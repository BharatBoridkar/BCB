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"/>
    </mc:Choice>
  </mc:AlternateContent>
  <xr:revisionPtr revIDLastSave="0" documentId="13_ncr:1_{19049C8A-FD89-4621-97EB-E02A823243B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uktangan (2)" sheetId="18" r:id="rId1"/>
    <sheet name="Surendra" sheetId="28" r:id="rId2"/>
    <sheet name="Navanand (2)" sheetId="36" r:id="rId3"/>
    <sheet name="Prathamesh" sheetId="19" r:id="rId4"/>
    <sheet name="Shanti" sheetId="20" r:id="rId5"/>
    <sheet name="THAKKAR" sheetId="35" r:id="rId6"/>
    <sheet name="Daivadnya" sheetId="42" r:id="rId7"/>
    <sheet name="Hanuman" sheetId="41" r:id="rId8"/>
    <sheet name="Sai-Kiran" sheetId="27" r:id="rId9"/>
    <sheet name="AARTI" sheetId="39" r:id="rId10"/>
    <sheet name="Sheet1" sheetId="46" r:id="rId11"/>
  </sheets>
  <definedNames>
    <definedName name="_xlnm.Print_Area" localSheetId="9">AARTI!$A$1:$J$35</definedName>
    <definedName name="_xlnm.Print_Area" localSheetId="6">Daivadnya!$A$1:$J$35</definedName>
    <definedName name="_xlnm.Print_Area" localSheetId="7">Hanuman!$A$1:$J$37</definedName>
    <definedName name="_xlnm.Print_Area" localSheetId="0">'Muktangan (2)'!$A$1:$J$35</definedName>
    <definedName name="_xlnm.Print_Area" localSheetId="2">'Navanand (2)'!$A$1:$J$32</definedName>
    <definedName name="_xlnm.Print_Area" localSheetId="3">Prathamesh!$A$1:$J$36</definedName>
    <definedName name="_xlnm.Print_Area" localSheetId="8">'Sai-Kiran'!$A$1:$J$36</definedName>
    <definedName name="_xlnm.Print_Area" localSheetId="4">Shanti!$A$1:$J$36</definedName>
    <definedName name="_xlnm.Print_Area" localSheetId="1">Surendra!$A$1:$J$36</definedName>
    <definedName name="_xlnm.Print_Area" localSheetId="5">THAKKAR!$A$1:$J$36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2" l="1"/>
  <c r="A13" i="41"/>
  <c r="L14" i="41"/>
  <c r="H24" i="41"/>
  <c r="H22" i="39"/>
  <c r="H24" i="36"/>
  <c r="A13" i="36"/>
  <c r="H23" i="35"/>
  <c r="A12" i="35"/>
  <c r="H23" i="28"/>
  <c r="A12" i="28"/>
  <c r="H23" i="27"/>
  <c r="A12" i="27"/>
  <c r="H23" i="20"/>
  <c r="A12" i="20"/>
  <c r="H23" i="19"/>
  <c r="A12" i="19"/>
  <c r="H22" i="18"/>
  <c r="A12" i="18"/>
</calcChain>
</file>

<file path=xl/sharedStrings.xml><?xml version="1.0" encoding="utf-8"?>
<sst xmlns="http://schemas.openxmlformats.org/spreadsheetml/2006/main" count="118" uniqueCount="64">
  <si>
    <t>SOHAM CONSULTANCY</t>
  </si>
  <si>
    <t>B I L L</t>
  </si>
  <si>
    <t>To,</t>
  </si>
  <si>
    <t>Note : Please draw A cheque in favour of " JYOTI  BORIDKAR"</t>
  </si>
  <si>
    <t>(Mrs. Jyoti Boridkar)</t>
  </si>
  <si>
    <r>
      <t xml:space="preserve">Boridkar House, Pandurang Bhoir Road, Dahisar - West, Gaothan, Mumbai - 400 068 </t>
    </r>
    <r>
      <rPr>
        <sz val="10"/>
        <color theme="1"/>
        <rFont val="Wingdings"/>
        <charset val="2"/>
      </rPr>
      <t xml:space="preserve"> )</t>
    </r>
    <r>
      <rPr>
        <sz val="10"/>
        <color theme="1"/>
        <rFont val="Calibri"/>
        <family val="2"/>
        <scheme val="minor"/>
      </rPr>
      <t>9619556667</t>
    </r>
  </si>
  <si>
    <r>
      <t xml:space="preserve">437/29, Gajanan Vijay CHS, Sector 4, Chatkop, Kandivali-West, Mumbai - 400 067 </t>
    </r>
    <r>
      <rPr>
        <sz val="10"/>
        <color theme="1"/>
        <rFont val="Wingdings"/>
        <charset val="2"/>
      </rPr>
      <t xml:space="preserve"> )</t>
    </r>
    <r>
      <rPr>
        <sz val="10"/>
        <color theme="1"/>
        <rFont val="Calibri"/>
        <family val="2"/>
        <scheme val="minor"/>
      </rPr>
      <t>9619556667</t>
    </r>
  </si>
  <si>
    <t>PRATHAMESH CO-OP. HSG. SOCT. LTD.</t>
  </si>
  <si>
    <t>Near Panchavan Complex, Divine Colony, Plot No.3,CTS. No.1065, Laxman Mhatre Road, Borivali - West, Mumbai - 400 103</t>
  </si>
  <si>
    <t>SHANTI CO-OPERATIVE HSG. SOCIETY LTD.</t>
  </si>
  <si>
    <t>SAI KIRAN CO-OPERATIVE HOUSING SOCIETY LTD.</t>
  </si>
  <si>
    <t>A-2, Jagannath Complex, Opp. Pramila Nagar, Waman Bhoir Road, Kandarpada, Dahisar - West, Mumbai - 400 068</t>
  </si>
  <si>
    <t>DAHISAR  "SURENDRA" CO-OP. HSG. SOCT. LTD.</t>
  </si>
  <si>
    <t>C.T.S. No. 704, Village Dahisar, Damodar Mhatre Road, Dahisar - West, Mumbai - 400 068</t>
  </si>
  <si>
    <t>The Secretary,</t>
  </si>
  <si>
    <t>Maratha Colony, Dahisar - East, Mumbai - 400 068</t>
  </si>
  <si>
    <t>Municipal Employees  "Muktangan" Co-Op. Hsg. Soct. Ltd.</t>
  </si>
  <si>
    <t>Maratha Colony Road, Dahisar - East, Mumbai - 400 068</t>
  </si>
  <si>
    <t>THAKKAR AVENUE CO-OP. HOUSING SOCIETY LTD.</t>
  </si>
  <si>
    <t>Shiv Vallabh Cross Road, Rawalpada, Dahisar-East, Mumbai - 400 068</t>
  </si>
  <si>
    <t>NAVANAND CO-OPERATIVE HSG. SOCIETY LTD.</t>
  </si>
  <si>
    <t>Total  Amount :- Rs. Six Thousand Only.</t>
  </si>
  <si>
    <t>Mumbai - 400 068</t>
  </si>
  <si>
    <t>AARTI NETERPRISES</t>
  </si>
  <si>
    <t>Dahisar-East</t>
  </si>
  <si>
    <t>The Secretary</t>
  </si>
  <si>
    <t>Bldg. No. 37 to 40, 39/333, MHB Colony, S. N. Dube Road, Dahisar - East, Mumbai - 400068</t>
  </si>
  <si>
    <t>DAHISAR HANUMAN  CO-OPERATIVE HOUSING SOCIETY LTD.</t>
  </si>
  <si>
    <t>Professional Charges towards preparing Form-16 of 71 Employees for the year 2019-2020</t>
  </si>
  <si>
    <t>Total  Amount :- Rs. Seven Thousand Five Hundred Only.</t>
  </si>
  <si>
    <t>SC/2019-20/01/001</t>
  </si>
  <si>
    <t>Daivadnya Brahmin Samaj Dahisar</t>
  </si>
  <si>
    <t>005, Sharda Sadan, Ramchandra Pawaskar Road, Behind Dr. Mondkar's Clinic, Dahisar - Gaothan, West, Mumbai - 400 068</t>
  </si>
  <si>
    <t>CTS. No.1313,1314, 1287, I. C. Colony Road, Borivali-West, Mumbai - 400 103</t>
  </si>
  <si>
    <t>SC/2022-23/007</t>
  </si>
  <si>
    <t>Professional Charges towards account writing charges for the year 2019-2020, 2020-2021 &amp; 2021-2022 @Rs.6000/- p.a.</t>
  </si>
  <si>
    <t>Total  Amount :- Rs. Eighteen Thousand Only.</t>
  </si>
  <si>
    <t xml:space="preserve">Filling Income Tax Return </t>
  </si>
  <si>
    <t>Total  Amount :- Rs. Fifteen Thousand Only.</t>
  </si>
  <si>
    <t>Total  Amount :- Rs. Seven Thousand Five Hundred  Only.</t>
  </si>
  <si>
    <t>Note : Please draw A cheque in favour of " JYOTI  B. BORIDKAR"</t>
  </si>
  <si>
    <t>SC/2024-25/001</t>
  </si>
  <si>
    <t>Professional Charges for filling Income Tax Return  for the Financial Year 2024-2025</t>
  </si>
  <si>
    <t>Professional Charges towards account writing charges for the year 2024-2025</t>
  </si>
  <si>
    <t>SC/2025-26/002</t>
  </si>
  <si>
    <t>Handling Repairs Fund Accounts &amp; Consultancy</t>
  </si>
  <si>
    <t>Total  Amount :- Rs. Fifteen Thousand  Only.</t>
  </si>
  <si>
    <t>Professional Charges towards account writing charges for the month from April2024 to March-2025 @ Rs. 1000/- pm.</t>
  </si>
  <si>
    <t>Total  Amount :- Rs. Nine Thousand Only.</t>
  </si>
  <si>
    <t>SC/2024-25/006</t>
  </si>
  <si>
    <t>SC/2025-26/ACCT/001</t>
  </si>
  <si>
    <t>Professional Charges towards account writing charges for the year 2024-2025 @Rs.500/- P.M.</t>
  </si>
  <si>
    <t>SC/2026-27/001</t>
  </si>
  <si>
    <t>Professional Charges towards account writing charges for the year 2024-2025.</t>
  </si>
  <si>
    <t>For the Year 2025-2026</t>
  </si>
  <si>
    <t>SC/2026-27/002</t>
  </si>
  <si>
    <t>Professional Charges towards account writing charges for the year 2025-2026</t>
  </si>
  <si>
    <t>SC/2026-27/003</t>
  </si>
  <si>
    <t>Professional Charges towards account writing charges for the year 2020-2021 To 2024-2025</t>
  </si>
  <si>
    <t>Out of Pocket Expenses : Typing, Xerox, Conveyance</t>
  </si>
  <si>
    <t>Total  Amount :- Rs. Twenty One  Thousand Only.</t>
  </si>
  <si>
    <t>SC/2026-27/004</t>
  </si>
  <si>
    <t>Professional Charges towards account writing charges for the year 2024-2025 &amp; 2025-2026</t>
  </si>
  <si>
    <t>Total  Amount :- Rs. Three  Thousand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</si>
</sst>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£&quot;#,##0;\-&quot;£&quot;#,##0"/>
    <numFmt numFmtId="165" formatCode="[$-409]d\-mmm\-yy;@"/>
    <numFmt numFmtId="166" formatCode="0_);\(0\)"/>
  </numFmts>
  <fonts count="23" x14ac:knownFonts="1">
    <font>
      <sz val="11"/>
      <color theme="1"/>
      <name val="Calibri"/>
      <family val="2"/>
      <scheme val="minor"/>
    </font>
    <font>
      <b/>
      <sz val="16"/>
      <name val="Comic Sans MS"/>
      <family val="4"/>
    </font>
    <font>
      <sz val="12"/>
      <name val="Comic Sans MS"/>
      <family val="4"/>
    </font>
    <font>
      <sz val="14"/>
      <name val="Comic Sans MS"/>
      <family val="4"/>
    </font>
    <font>
      <sz val="16"/>
      <name val="Comic Sans MS"/>
      <family val="4"/>
    </font>
    <font>
      <b/>
      <sz val="14"/>
      <name val="Comic Sans MS"/>
      <family val="4"/>
    </font>
    <font>
      <sz val="10"/>
      <color theme="1"/>
      <name val="Calibri"/>
      <family val="2"/>
      <scheme val="minor"/>
    </font>
    <font>
      <sz val="10"/>
      <color theme="1"/>
      <name val="Wingdings"/>
      <charset val="2"/>
    </font>
    <font>
      <b/>
      <sz val="28"/>
      <color theme="1"/>
      <name val="Franklin Gothic Heavy"/>
      <family val="2"/>
    </font>
    <font>
      <sz val="12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indexed="8"/>
      <name val="MS Sans Serif"/>
      <family val="2"/>
    </font>
    <font>
      <sz val="12"/>
      <name val="Calibri"/>
      <family val="2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10" fillId="0" borderId="0"/>
    <xf numFmtId="0" fontId="12" fillId="0" borderId="0"/>
    <xf numFmtId="0" fontId="14" fillId="0" borderId="0"/>
    <xf numFmtId="164" fontId="13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5" fillId="0" borderId="0"/>
    <xf numFmtId="0" fontId="12" fillId="0" borderId="0"/>
    <xf numFmtId="0" fontId="12" fillId="0" borderId="0"/>
    <xf numFmtId="0" fontId="12" fillId="0" borderId="0"/>
    <xf numFmtId="0" fontId="21" fillId="0" borderId="0"/>
  </cellStyleXfs>
  <cellXfs count="8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8" fillId="0" borderId="0" xfId="0" applyFont="1" applyAlignment="1">
      <alignment vertical="center"/>
    </xf>
    <xf numFmtId="0" fontId="9" fillId="0" borderId="11" xfId="0" applyFont="1" applyBorder="1"/>
    <xf numFmtId="0" fontId="0" fillId="2" borderId="0" xfId="0" applyFill="1"/>
    <xf numFmtId="0" fontId="9" fillId="0" borderId="0" xfId="0" applyFont="1"/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11" fillId="0" borderId="0" xfId="1" applyFont="1"/>
    <xf numFmtId="0" fontId="9" fillId="0" borderId="0" xfId="3" applyFont="1"/>
    <xf numFmtId="0" fontId="3" fillId="0" borderId="8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 wrapText="1"/>
    </xf>
    <xf numFmtId="0" fontId="18" fillId="3" borderId="0" xfId="0" applyFont="1" applyFill="1"/>
    <xf numFmtId="0" fontId="20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21" fillId="0" borderId="0" xfId="12" applyAlignment="1">
      <alignment vertical="center"/>
    </xf>
    <xf numFmtId="0" fontId="12" fillId="0" borderId="0" xfId="2"/>
    <xf numFmtId="0" fontId="19" fillId="4" borderId="0" xfId="0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1" fontId="4" fillId="0" borderId="2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16" fillId="0" borderId="0" xfId="2" applyFont="1" applyAlignment="1">
      <alignment horizontal="left" vertical="top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4" fillId="0" borderId="7" xfId="0" applyNumberFormat="1" applyFont="1" applyBorder="1" applyAlignment="1">
      <alignment horizontal="center" vertical="center"/>
    </xf>
    <xf numFmtId="1" fontId="4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left" vertical="center" wrapText="1"/>
    </xf>
    <xf numFmtId="1" fontId="1" fillId="0" borderId="10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7" fillId="4" borderId="0" xfId="0" applyFont="1" applyFill="1" applyAlignment="1">
      <alignment horizontal="center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justify" vertical="top" wrapText="1"/>
    </xf>
    <xf numFmtId="0" fontId="0" fillId="0" borderId="0" xfId="0" applyAlignment="1">
      <alignment horizontal="justify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9" fillId="3" borderId="0" xfId="0" applyFont="1" applyFill="1" applyAlignment="1">
      <alignment horizontal="center"/>
    </xf>
    <xf numFmtId="0" fontId="17" fillId="3" borderId="15" xfId="0" applyFont="1" applyFill="1" applyBorder="1" applyAlignment="1">
      <alignment horizontal="center"/>
    </xf>
    <xf numFmtId="0" fontId="17" fillId="3" borderId="16" xfId="0" applyFont="1" applyFill="1" applyBorder="1" applyAlignment="1">
      <alignment horizontal="center"/>
    </xf>
    <xf numFmtId="0" fontId="17" fillId="3" borderId="17" xfId="0" applyFont="1" applyFill="1" applyBorder="1" applyAlignment="1">
      <alignment horizontal="center"/>
    </xf>
    <xf numFmtId="0" fontId="17" fillId="3" borderId="0" xfId="0" applyFont="1" applyFill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166" fontId="4" fillId="0" borderId="7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0" fontId="20" fillId="0" borderId="0" xfId="2" applyFont="1" applyAlignment="1">
      <alignment vertical="top" wrapText="1"/>
    </xf>
    <xf numFmtId="0" fontId="0" fillId="0" borderId="0" xfId="0" applyAlignment="1">
      <alignment vertical="top" wrapText="1"/>
    </xf>
    <xf numFmtId="0" fontId="20" fillId="0" borderId="0" xfId="2" applyFont="1" applyAlignment="1">
      <alignment horizontal="left" vertical="top" wrapText="1"/>
    </xf>
    <xf numFmtId="0" fontId="12" fillId="0" borderId="0" xfId="2" applyAlignment="1">
      <alignment horizontal="left" vertical="top" wrapText="1"/>
    </xf>
    <xf numFmtId="0" fontId="22" fillId="0" borderId="0" xfId="1" applyFont="1" applyAlignment="1">
      <alignment horizontal="left" vertical="center" wrapText="1"/>
    </xf>
    <xf numFmtId="0" fontId="22" fillId="0" borderId="6" xfId="1" applyFont="1" applyBorder="1" applyAlignment="1">
      <alignment horizontal="left" vertical="center" wrapText="1"/>
    </xf>
  </cellXfs>
  <cellStyles count="13">
    <cellStyle name="Comma 2 2" xfId="4" xr:uid="{00000000-0005-0000-0000-000000000000}"/>
    <cellStyle name="Normal" xfId="0" builtinId="0"/>
    <cellStyle name="Normal 2" xfId="3" xr:uid="{00000000-0005-0000-0000-000002000000}"/>
    <cellStyle name="Normal 2 2" xfId="2" xr:uid="{00000000-0005-0000-0000-000003000000}"/>
    <cellStyle name="Normal 2 3" xfId="5" xr:uid="{00000000-0005-0000-0000-000004000000}"/>
    <cellStyle name="Normal 2 4" xfId="6" xr:uid="{00000000-0005-0000-0000-000005000000}"/>
    <cellStyle name="Normal 2 5" xfId="7" xr:uid="{00000000-0005-0000-0000-000006000000}"/>
    <cellStyle name="Normal 3" xfId="8" xr:uid="{00000000-0005-0000-0000-000007000000}"/>
    <cellStyle name="Normal 3 2" xfId="9" xr:uid="{00000000-0005-0000-0000-000008000000}"/>
    <cellStyle name="Normal 3 3" xfId="10" xr:uid="{00000000-0005-0000-0000-000009000000}"/>
    <cellStyle name="Normal 4" xfId="11" xr:uid="{00000000-0005-0000-0000-00000A000000}"/>
    <cellStyle name="Normal_BSPL 2004 NS" xfId="1" xr:uid="{00000000-0005-0000-0000-00000B000000}"/>
    <cellStyle name="Normal_FY 2003-2004 " xfId="12" xr:uid="{00000000-0005-0000-0000-00000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542044</xdr:colOff>
      <xdr:row>3</xdr:row>
      <xdr:rowOff>333374</xdr:rowOff>
    </xdr:to>
    <xdr:pic>
      <xdr:nvPicPr>
        <xdr:cNvPr id="2" name="Picture 1" descr="soham1.jp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49" y="0"/>
          <a:ext cx="1132595" cy="904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view="pageBreakPreview" topLeftCell="A5" zoomScaleSheetLayoutView="100" workbookViewId="0">
      <selection activeCell="A6" sqref="A6:XFD6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5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55</v>
      </c>
      <c r="I6" s="30">
        <v>46268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tr">
        <f>PROPER(L12)</f>
        <v>Municipal Employees  "Muktangan" Co-Op. Hsg. Soct. Ltd.</v>
      </c>
      <c r="B12" s="3"/>
      <c r="C12" s="3"/>
      <c r="D12" s="2"/>
      <c r="L12" s="8" t="s">
        <v>16</v>
      </c>
    </row>
    <row r="13" spans="1:12" x14ac:dyDescent="0.3">
      <c r="A13" s="60" t="s">
        <v>17</v>
      </c>
      <c r="B13" s="61"/>
      <c r="C13" s="61"/>
      <c r="D13" s="61"/>
      <c r="E13" s="61"/>
      <c r="F13" s="61"/>
    </row>
    <row r="14" spans="1:12" ht="27.75" customHeight="1" x14ac:dyDescent="0.3">
      <c r="A14" s="61"/>
      <c r="B14" s="61"/>
      <c r="C14" s="61"/>
      <c r="D14" s="61"/>
      <c r="E14" s="61"/>
      <c r="F14" s="61"/>
    </row>
    <row r="15" spans="1:12" ht="19.8" x14ac:dyDescent="0.45">
      <c r="A15" s="3"/>
      <c r="B15" s="3"/>
      <c r="C15" s="3"/>
      <c r="D15" s="2"/>
    </row>
    <row r="16" spans="1:12" ht="19.8" x14ac:dyDescent="0.45">
      <c r="A16" s="3"/>
      <c r="B16" s="3"/>
      <c r="C16" s="3"/>
      <c r="D16" s="2"/>
    </row>
    <row r="17" spans="1:9" ht="21" customHeight="1" x14ac:dyDescent="0.3">
      <c r="A17" s="55" t="s">
        <v>56</v>
      </c>
      <c r="B17" s="56"/>
      <c r="C17" s="56"/>
      <c r="D17" s="56"/>
      <c r="E17" s="56"/>
      <c r="F17" s="56"/>
      <c r="G17" s="57"/>
      <c r="H17" s="38">
        <v>7500</v>
      </c>
      <c r="I17" s="39"/>
    </row>
    <row r="18" spans="1:9" ht="21" customHeight="1" x14ac:dyDescent="0.3">
      <c r="A18" s="58"/>
      <c r="B18" s="53"/>
      <c r="C18" s="53"/>
      <c r="D18" s="53"/>
      <c r="E18" s="53"/>
      <c r="F18" s="53"/>
      <c r="G18" s="59"/>
      <c r="H18" s="40"/>
      <c r="I18" s="41"/>
    </row>
    <row r="19" spans="1:9" ht="21" customHeight="1" x14ac:dyDescent="0.3">
      <c r="A19" s="58"/>
      <c r="B19" s="53"/>
      <c r="C19" s="53"/>
      <c r="D19" s="53"/>
      <c r="E19" s="53"/>
      <c r="F19" s="53"/>
      <c r="G19" s="59"/>
      <c r="H19" s="40"/>
      <c r="I19" s="41"/>
    </row>
    <row r="20" spans="1:9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9" ht="21" customHeight="1" x14ac:dyDescent="0.3">
      <c r="A21" s="46"/>
      <c r="B21" s="47"/>
      <c r="C21" s="47"/>
      <c r="D21" s="47"/>
      <c r="E21" s="47"/>
      <c r="F21" s="47"/>
      <c r="G21" s="48"/>
      <c r="H21" s="49"/>
      <c r="I21" s="50"/>
    </row>
    <row r="22" spans="1:9" ht="45.75" customHeight="1" thickBot="1" x14ac:dyDescent="0.35">
      <c r="A22" s="51" t="s">
        <v>39</v>
      </c>
      <c r="B22" s="51"/>
      <c r="C22" s="51"/>
      <c r="D22" s="51"/>
      <c r="E22" s="51"/>
      <c r="F22" s="51"/>
      <c r="G22" s="51"/>
      <c r="H22" s="52">
        <f>SUM(H17:H21)</f>
        <v>7500</v>
      </c>
      <c r="I22" s="52"/>
    </row>
    <row r="23" spans="1:9" ht="20.399999999999999" thickTop="1" x14ac:dyDescent="0.45">
      <c r="A23" s="3"/>
      <c r="B23" s="3"/>
      <c r="C23" s="3"/>
      <c r="D23" s="2"/>
    </row>
    <row r="24" spans="1:9" ht="19.8" x14ac:dyDescent="0.45">
      <c r="A24" s="3"/>
      <c r="B24" s="3"/>
      <c r="C24" s="3"/>
      <c r="D24" s="2"/>
    </row>
    <row r="25" spans="1:9" ht="18.600000000000001" x14ac:dyDescent="0.45">
      <c r="A25" s="2"/>
      <c r="B25" s="2"/>
      <c r="C25" s="2"/>
      <c r="D25" s="2"/>
    </row>
    <row r="26" spans="1:9" ht="18.600000000000001" x14ac:dyDescent="0.45">
      <c r="A26" s="2"/>
      <c r="B26" s="2"/>
      <c r="C26" s="2"/>
      <c r="D26" s="2"/>
    </row>
    <row r="27" spans="1:9" ht="19.8" x14ac:dyDescent="0.45">
      <c r="A27" s="3" t="s">
        <v>4</v>
      </c>
      <c r="B27" s="2"/>
      <c r="C27" s="2"/>
      <c r="D27" s="2"/>
    </row>
    <row r="34" spans="1:10" s="9" customFormat="1" ht="18" x14ac:dyDescent="0.35">
      <c r="A34" s="54" t="s">
        <v>40</v>
      </c>
      <c r="B34" s="54"/>
      <c r="C34" s="54"/>
      <c r="D34" s="54"/>
      <c r="E34" s="54"/>
      <c r="F34" s="54"/>
      <c r="G34" s="54"/>
      <c r="H34" s="54"/>
      <c r="I34" s="54"/>
      <c r="J34" s="54"/>
    </row>
  </sheetData>
  <mergeCells count="14">
    <mergeCell ref="C1:J3"/>
    <mergeCell ref="C4:J4"/>
    <mergeCell ref="I6:J6"/>
    <mergeCell ref="A8:J8"/>
    <mergeCell ref="A17:G19"/>
    <mergeCell ref="H17:I19"/>
    <mergeCell ref="A13:F14"/>
    <mergeCell ref="A34:J34"/>
    <mergeCell ref="A20:G20"/>
    <mergeCell ref="H20:I20"/>
    <mergeCell ref="A21:G21"/>
    <mergeCell ref="H21:I21"/>
    <mergeCell ref="A22:G22"/>
    <mergeCell ref="H22:I22"/>
  </mergeCells>
  <pageMargins left="0.7" right="0.26" top="0.31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5"/>
  <sheetViews>
    <sheetView view="pageBreakPreview" topLeftCell="A12" zoomScaleSheetLayoutView="100" workbookViewId="0">
      <selection activeCell="G25" sqref="G25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6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6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6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6" ht="28.5" customHeight="1" thickBot="1" x14ac:dyDescent="0.35">
      <c r="A4" s="6"/>
      <c r="B4" s="5"/>
      <c r="C4" s="28" t="s">
        <v>6</v>
      </c>
      <c r="D4" s="29"/>
      <c r="E4" s="29"/>
      <c r="F4" s="29"/>
      <c r="G4" s="29"/>
      <c r="H4" s="29"/>
      <c r="I4" s="29"/>
      <c r="J4" s="29"/>
    </row>
    <row r="6" spans="1:16" x14ac:dyDescent="0.3">
      <c r="A6" t="s">
        <v>57</v>
      </c>
      <c r="I6" s="30">
        <v>46272</v>
      </c>
      <c r="J6" s="30"/>
    </row>
    <row r="8" spans="1:16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6" ht="25.2" x14ac:dyDescent="0.6">
      <c r="A9" s="1"/>
      <c r="B9" s="2"/>
      <c r="C9" s="2"/>
      <c r="D9" s="2"/>
    </row>
    <row r="10" spans="1:16" ht="19.8" x14ac:dyDescent="0.45">
      <c r="A10" s="3"/>
      <c r="B10" s="3"/>
      <c r="C10" s="3"/>
      <c r="D10" s="2"/>
    </row>
    <row r="11" spans="1:16" ht="19.8" x14ac:dyDescent="0.45">
      <c r="A11" s="4" t="s">
        <v>2</v>
      </c>
      <c r="B11" s="3"/>
      <c r="C11" s="3"/>
      <c r="D11" s="2"/>
    </row>
    <row r="12" spans="1:16" ht="19.8" x14ac:dyDescent="0.45">
      <c r="A12" s="4" t="str">
        <f>PROPER(L12)</f>
        <v>Dahisar  "Surendra" Co-Op. Hsg. Soct. Ltd.</v>
      </c>
      <c r="B12" s="3"/>
      <c r="C12" s="3"/>
      <c r="D12" s="2"/>
      <c r="L12" s="42" t="s">
        <v>12</v>
      </c>
      <c r="M12" s="42"/>
      <c r="N12" s="42"/>
      <c r="O12" s="42"/>
      <c r="P12" s="42"/>
    </row>
    <row r="13" spans="1:16" ht="15" customHeight="1" x14ac:dyDescent="0.3">
      <c r="A13" s="53" t="s">
        <v>13</v>
      </c>
      <c r="B13" s="53"/>
      <c r="C13" s="53"/>
      <c r="D13" s="53"/>
      <c r="E13" s="53"/>
      <c r="F13" s="53"/>
      <c r="G13" s="53"/>
    </row>
    <row r="14" spans="1:16" ht="15" customHeight="1" x14ac:dyDescent="0.3">
      <c r="A14" s="53"/>
      <c r="B14" s="53"/>
      <c r="C14" s="53"/>
      <c r="D14" s="53"/>
      <c r="E14" s="53"/>
      <c r="F14" s="53"/>
      <c r="G14" s="53"/>
    </row>
    <row r="15" spans="1:16" x14ac:dyDescent="0.3">
      <c r="A15" s="53"/>
      <c r="B15" s="53"/>
      <c r="C15" s="53"/>
      <c r="D15" s="53"/>
      <c r="E15" s="53"/>
      <c r="F15" s="53"/>
      <c r="G15" s="53"/>
    </row>
    <row r="16" spans="1:16" x14ac:dyDescent="0.3">
      <c r="A16" s="53"/>
      <c r="B16" s="53"/>
      <c r="C16" s="53"/>
      <c r="D16" s="53"/>
      <c r="E16" s="53"/>
      <c r="F16" s="53"/>
      <c r="G16" s="53"/>
    </row>
    <row r="17" spans="1:9" ht="19.8" x14ac:dyDescent="0.45">
      <c r="A17" s="3"/>
      <c r="B17" s="3"/>
      <c r="C17" s="3"/>
      <c r="D17" s="2"/>
    </row>
    <row r="18" spans="1:9" ht="21" customHeight="1" x14ac:dyDescent="0.3">
      <c r="A18" s="32" t="s">
        <v>58</v>
      </c>
      <c r="B18" s="33"/>
      <c r="C18" s="33"/>
      <c r="D18" s="33"/>
      <c r="E18" s="33"/>
      <c r="F18" s="33"/>
      <c r="G18" s="34"/>
      <c r="H18" s="38">
        <v>20000</v>
      </c>
      <c r="I18" s="39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9" ht="46.8" customHeight="1" x14ac:dyDescent="0.3">
      <c r="A21" s="43" t="s">
        <v>59</v>
      </c>
      <c r="B21" s="44"/>
      <c r="C21" s="44"/>
      <c r="D21" s="44"/>
      <c r="E21" s="44"/>
      <c r="F21" s="44"/>
      <c r="G21" s="45"/>
      <c r="H21" s="40">
        <v>1000</v>
      </c>
      <c r="I21" s="41"/>
    </row>
    <row r="22" spans="1:9" ht="21" customHeight="1" x14ac:dyDescent="0.3">
      <c r="A22" s="46"/>
      <c r="B22" s="47"/>
      <c r="C22" s="47"/>
      <c r="D22" s="47"/>
      <c r="E22" s="47"/>
      <c r="F22" s="47"/>
      <c r="G22" s="48"/>
      <c r="H22" s="49"/>
      <c r="I22" s="50"/>
    </row>
    <row r="23" spans="1:9" ht="45.75" customHeight="1" thickBot="1" x14ac:dyDescent="0.35">
      <c r="A23" s="51" t="s">
        <v>60</v>
      </c>
      <c r="B23" s="51"/>
      <c r="C23" s="51"/>
      <c r="D23" s="51"/>
      <c r="E23" s="51"/>
      <c r="F23" s="51"/>
      <c r="G23" s="51"/>
      <c r="H23" s="52">
        <f>SUM(H18:H22)</f>
        <v>21000</v>
      </c>
      <c r="I23" s="52"/>
    </row>
    <row r="24" spans="1:9" ht="20.399999999999999" thickTop="1" x14ac:dyDescent="0.45">
      <c r="A24" s="3"/>
      <c r="B24" s="3"/>
      <c r="C24" s="3"/>
      <c r="D24" s="2"/>
    </row>
    <row r="25" spans="1:9" ht="19.8" x14ac:dyDescent="0.45">
      <c r="A25" s="3"/>
      <c r="B25" s="3"/>
      <c r="C25" s="3"/>
      <c r="D25" s="2"/>
    </row>
    <row r="26" spans="1:9" ht="18.600000000000001" x14ac:dyDescent="0.45">
      <c r="A26" s="2"/>
      <c r="B26" s="2"/>
      <c r="C26" s="2"/>
      <c r="D26" s="2"/>
    </row>
    <row r="27" spans="1:9" ht="18.600000000000001" x14ac:dyDescent="0.45">
      <c r="A27" s="2"/>
      <c r="B27" s="2"/>
      <c r="C27" s="2"/>
      <c r="D27" s="2"/>
    </row>
    <row r="28" spans="1:9" ht="19.8" x14ac:dyDescent="0.45">
      <c r="A28" s="3" t="s">
        <v>4</v>
      </c>
      <c r="B28" s="2"/>
      <c r="C28" s="2"/>
      <c r="D28" s="2"/>
    </row>
    <row r="35" spans="1:10" s="9" customFormat="1" ht="21" x14ac:dyDescent="0.4">
      <c r="A35" s="26" t="s">
        <v>3</v>
      </c>
      <c r="B35" s="26"/>
      <c r="C35" s="26"/>
      <c r="D35" s="26"/>
      <c r="E35" s="26"/>
      <c r="F35" s="26"/>
      <c r="G35" s="26"/>
      <c r="H35" s="26"/>
      <c r="I35" s="26"/>
      <c r="J35" s="26"/>
    </row>
  </sheetData>
  <mergeCells count="15">
    <mergeCell ref="L12:P12"/>
    <mergeCell ref="A21:G21"/>
    <mergeCell ref="A22:G22"/>
    <mergeCell ref="H22:I22"/>
    <mergeCell ref="A23:G23"/>
    <mergeCell ref="H23:I23"/>
    <mergeCell ref="A13:G16"/>
    <mergeCell ref="H21:I21"/>
    <mergeCell ref="A35:J35"/>
    <mergeCell ref="C1:J3"/>
    <mergeCell ref="C4:J4"/>
    <mergeCell ref="I6:J6"/>
    <mergeCell ref="A8:J8"/>
    <mergeCell ref="A18:G20"/>
    <mergeCell ref="H18:I20"/>
  </mergeCells>
  <pageMargins left="0.7" right="0.26" top="0.31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view="pageBreakPreview" topLeftCell="A21" zoomScaleSheetLayoutView="100" workbookViewId="0">
      <selection activeCell="I41" sqref="I41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6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41</v>
      </c>
      <c r="I6" s="30">
        <v>45966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">
        <v>14</v>
      </c>
      <c r="B12" s="3"/>
      <c r="C12" s="3"/>
      <c r="D12" s="2"/>
    </row>
    <row r="13" spans="1:12" ht="19.8" x14ac:dyDescent="0.45">
      <c r="A13" s="4" t="str">
        <f>PROPER(L13)</f>
        <v>Navanand Co-Operative Hsg. Society Ltd.</v>
      </c>
      <c r="B13" s="3"/>
      <c r="C13" s="3"/>
      <c r="D13" s="2"/>
      <c r="L13" s="13" t="s">
        <v>20</v>
      </c>
    </row>
    <row r="14" spans="1:12" x14ac:dyDescent="0.3">
      <c r="A14" s="62" t="s">
        <v>15</v>
      </c>
      <c r="B14" s="63"/>
      <c r="C14" s="63"/>
      <c r="D14" s="63"/>
      <c r="E14" s="63"/>
      <c r="F14" s="63"/>
      <c r="G14" s="63"/>
    </row>
    <row r="15" spans="1:12" x14ac:dyDescent="0.3">
      <c r="A15" s="62"/>
      <c r="B15" s="63"/>
      <c r="C15" s="63"/>
      <c r="D15" s="63"/>
      <c r="E15" s="63"/>
      <c r="F15" s="63"/>
      <c r="G15" s="63"/>
    </row>
    <row r="16" spans="1:12" x14ac:dyDescent="0.3">
      <c r="A16" s="63"/>
      <c r="B16" s="63"/>
      <c r="C16" s="63"/>
      <c r="D16" s="63"/>
      <c r="E16" s="63"/>
      <c r="F16" s="63"/>
      <c r="G16" s="63"/>
    </row>
    <row r="17" spans="1:10" x14ac:dyDescent="0.3">
      <c r="A17" s="63"/>
      <c r="B17" s="63"/>
      <c r="C17" s="63"/>
      <c r="D17" s="63"/>
      <c r="E17" s="63"/>
      <c r="F17" s="63"/>
      <c r="G17" s="63"/>
    </row>
    <row r="18" spans="1:10" ht="19.8" x14ac:dyDescent="0.45">
      <c r="A18" s="3"/>
      <c r="B18" s="3"/>
      <c r="C18" s="3"/>
      <c r="D18" s="2"/>
    </row>
    <row r="19" spans="1:10" ht="21" customHeight="1" x14ac:dyDescent="0.3">
      <c r="A19" s="17">
        <v>1</v>
      </c>
      <c r="B19" s="56" t="s">
        <v>47</v>
      </c>
      <c r="C19" s="56"/>
      <c r="D19" s="56"/>
      <c r="E19" s="56"/>
      <c r="F19" s="56"/>
      <c r="G19" s="57"/>
      <c r="H19" s="38">
        <v>12000</v>
      </c>
      <c r="I19" s="39"/>
    </row>
    <row r="20" spans="1:10" ht="21" customHeight="1" x14ac:dyDescent="0.3">
      <c r="A20" s="18"/>
      <c r="B20" s="53"/>
      <c r="C20" s="53"/>
      <c r="D20" s="53"/>
      <c r="E20" s="53"/>
      <c r="F20" s="53"/>
      <c r="G20" s="59"/>
      <c r="H20" s="40"/>
      <c r="I20" s="41"/>
    </row>
    <row r="21" spans="1:10" ht="32.25" customHeight="1" x14ac:dyDescent="0.3">
      <c r="A21" s="18"/>
      <c r="B21" s="53"/>
      <c r="C21" s="53"/>
      <c r="D21" s="53"/>
      <c r="E21" s="53"/>
      <c r="F21" s="53"/>
      <c r="G21" s="59"/>
      <c r="H21" s="40"/>
      <c r="I21" s="41"/>
    </row>
    <row r="22" spans="1:10" ht="50.25" customHeight="1" x14ac:dyDescent="0.3">
      <c r="A22" s="19">
        <v>2</v>
      </c>
      <c r="B22" s="64" t="s">
        <v>42</v>
      </c>
      <c r="C22" s="65"/>
      <c r="D22" s="65"/>
      <c r="E22" s="65"/>
      <c r="F22" s="65"/>
      <c r="G22" s="66"/>
      <c r="H22" s="40">
        <v>3000</v>
      </c>
      <c r="I22" s="41"/>
    </row>
    <row r="23" spans="1:10" ht="21" customHeight="1" x14ac:dyDescent="0.3">
      <c r="A23" s="20"/>
      <c r="B23" s="15"/>
      <c r="C23" s="15"/>
      <c r="D23" s="15"/>
      <c r="E23" s="15"/>
      <c r="F23" s="15"/>
      <c r="G23" s="16"/>
      <c r="H23" s="49"/>
      <c r="I23" s="50"/>
    </row>
    <row r="24" spans="1:10" ht="45.75" customHeight="1" thickBot="1" x14ac:dyDescent="0.35">
      <c r="A24" s="51" t="s">
        <v>38</v>
      </c>
      <c r="B24" s="51"/>
      <c r="C24" s="51"/>
      <c r="D24" s="51"/>
      <c r="E24" s="51"/>
      <c r="F24" s="51"/>
      <c r="G24" s="51"/>
      <c r="H24" s="52">
        <f>SUM(H19:H23)</f>
        <v>15000</v>
      </c>
      <c r="I24" s="52"/>
    </row>
    <row r="25" spans="1:10" ht="20.399999999999999" thickTop="1" x14ac:dyDescent="0.45">
      <c r="A25" s="3"/>
      <c r="B25" s="3"/>
      <c r="C25" s="3"/>
      <c r="D25" s="2"/>
    </row>
    <row r="26" spans="1:10" ht="19.8" x14ac:dyDescent="0.45">
      <c r="A26" s="3"/>
      <c r="B26" s="3"/>
      <c r="C26" s="3"/>
      <c r="D26" s="2"/>
    </row>
    <row r="27" spans="1:10" ht="18.600000000000001" x14ac:dyDescent="0.45">
      <c r="A27" s="2"/>
      <c r="B27" s="2"/>
      <c r="C27" s="2"/>
      <c r="D27" s="2"/>
    </row>
    <row r="28" spans="1:10" ht="18.600000000000001" x14ac:dyDescent="0.45">
      <c r="A28" s="2"/>
      <c r="B28" s="2"/>
      <c r="C28" s="2"/>
      <c r="D28" s="2"/>
    </row>
    <row r="29" spans="1:10" ht="19.8" x14ac:dyDescent="0.45">
      <c r="A29" s="3" t="s">
        <v>4</v>
      </c>
      <c r="B29" s="2"/>
      <c r="C29" s="2"/>
      <c r="D29" s="2"/>
    </row>
    <row r="31" spans="1:10" s="21" customFormat="1" ht="21" x14ac:dyDescent="0.4">
      <c r="A31" s="67" t="s">
        <v>3</v>
      </c>
      <c r="B31" s="67"/>
      <c r="C31" s="67"/>
      <c r="D31" s="67"/>
      <c r="E31" s="67"/>
      <c r="F31" s="67"/>
      <c r="G31" s="67"/>
      <c r="H31" s="67"/>
      <c r="I31" s="67"/>
      <c r="J31" s="67"/>
    </row>
  </sheetData>
  <mergeCells count="13">
    <mergeCell ref="B22:G22"/>
    <mergeCell ref="H23:I23"/>
    <mergeCell ref="A24:G24"/>
    <mergeCell ref="H24:I24"/>
    <mergeCell ref="A31:J31"/>
    <mergeCell ref="H22:I22"/>
    <mergeCell ref="B19:G21"/>
    <mergeCell ref="H19:I21"/>
    <mergeCell ref="C1:J3"/>
    <mergeCell ref="C4:J4"/>
    <mergeCell ref="I6:J6"/>
    <mergeCell ref="A8:J8"/>
    <mergeCell ref="A14:G17"/>
  </mergeCells>
  <printOptions horizontalCentered="1"/>
  <pageMargins left="0.43307086614173229" right="0.27559055118110237" top="0.15748031496062992" bottom="0.23622047244094491" header="0.15748031496062992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5"/>
  <sheetViews>
    <sheetView view="pageBreakPreview" topLeftCell="A7" zoomScaleSheetLayoutView="100" workbookViewId="0">
      <selection activeCell="A13" sqref="A13:G16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6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52</v>
      </c>
      <c r="I6" s="30">
        <v>46134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tr">
        <f>PROPER(L12)</f>
        <v>Prathamesh Co-Op. Hsg. Soct. Ltd.</v>
      </c>
      <c r="B12" s="3"/>
      <c r="C12" s="3"/>
      <c r="D12" s="2"/>
      <c r="L12" s="13" t="s">
        <v>7</v>
      </c>
    </row>
    <row r="13" spans="1:12" x14ac:dyDescent="0.3">
      <c r="A13" s="62" t="s">
        <v>8</v>
      </c>
      <c r="B13" s="63"/>
      <c r="C13" s="63"/>
      <c r="D13" s="63"/>
      <c r="E13" s="63"/>
      <c r="F13" s="63"/>
      <c r="G13" s="63"/>
    </row>
    <row r="14" spans="1:12" x14ac:dyDescent="0.3">
      <c r="A14" s="62"/>
      <c r="B14" s="63"/>
      <c r="C14" s="63"/>
      <c r="D14" s="63"/>
      <c r="E14" s="63"/>
      <c r="F14" s="63"/>
      <c r="G14" s="63"/>
    </row>
    <row r="15" spans="1:12" x14ac:dyDescent="0.3">
      <c r="A15" s="63"/>
      <c r="B15" s="63"/>
      <c r="C15" s="63"/>
      <c r="D15" s="63"/>
      <c r="E15" s="63"/>
      <c r="F15" s="63"/>
      <c r="G15" s="63"/>
    </row>
    <row r="16" spans="1:12" ht="27.75" customHeight="1" x14ac:dyDescent="0.3">
      <c r="A16" s="63"/>
      <c r="B16" s="63"/>
      <c r="C16" s="63"/>
      <c r="D16" s="63"/>
      <c r="E16" s="63"/>
      <c r="F16" s="63"/>
      <c r="G16" s="63"/>
    </row>
    <row r="17" spans="1:9" ht="19.8" x14ac:dyDescent="0.45">
      <c r="A17" s="3"/>
      <c r="B17" s="3"/>
      <c r="C17" s="3"/>
      <c r="D17" s="2"/>
    </row>
    <row r="18" spans="1:9" ht="21" customHeight="1" x14ac:dyDescent="0.3">
      <c r="A18" s="32" t="s">
        <v>53</v>
      </c>
      <c r="B18" s="33"/>
      <c r="C18" s="33"/>
      <c r="D18" s="33"/>
      <c r="E18" s="33"/>
      <c r="F18" s="33"/>
      <c r="G18" s="34"/>
      <c r="H18" s="38">
        <v>4000</v>
      </c>
      <c r="I18" s="39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9" ht="21" customHeight="1" x14ac:dyDescent="0.3">
      <c r="A21" s="35" t="s">
        <v>54</v>
      </c>
      <c r="B21" s="36"/>
      <c r="C21" s="36"/>
      <c r="D21" s="36"/>
      <c r="E21" s="36"/>
      <c r="F21" s="36"/>
      <c r="G21" s="37"/>
      <c r="H21" s="40">
        <v>2000</v>
      </c>
      <c r="I21" s="41"/>
    </row>
    <row r="22" spans="1:9" ht="21" customHeight="1" x14ac:dyDescent="0.3">
      <c r="A22" s="46"/>
      <c r="B22" s="47"/>
      <c r="C22" s="47"/>
      <c r="D22" s="47"/>
      <c r="E22" s="47"/>
      <c r="F22" s="47"/>
      <c r="G22" s="48"/>
      <c r="H22" s="49"/>
      <c r="I22" s="50"/>
    </row>
    <row r="23" spans="1:9" ht="45.75" customHeight="1" thickBot="1" x14ac:dyDescent="0.35">
      <c r="A23" s="51" t="s">
        <v>21</v>
      </c>
      <c r="B23" s="51"/>
      <c r="C23" s="51"/>
      <c r="D23" s="51"/>
      <c r="E23" s="51"/>
      <c r="F23" s="51"/>
      <c r="G23" s="51"/>
      <c r="H23" s="52">
        <f>SUM(H18:H22)</f>
        <v>6000</v>
      </c>
      <c r="I23" s="52"/>
    </row>
    <row r="24" spans="1:9" ht="20.399999999999999" thickTop="1" x14ac:dyDescent="0.45">
      <c r="A24" s="3"/>
      <c r="B24" s="3"/>
      <c r="C24" s="3"/>
      <c r="D24" s="2"/>
    </row>
    <row r="25" spans="1:9" ht="19.8" x14ac:dyDescent="0.45">
      <c r="A25" s="3"/>
      <c r="B25" s="3"/>
      <c r="C25" s="3"/>
      <c r="D25" s="2"/>
    </row>
    <row r="26" spans="1:9" ht="18.600000000000001" x14ac:dyDescent="0.45">
      <c r="A26" s="2"/>
      <c r="B26" s="2"/>
      <c r="C26" s="2"/>
      <c r="D26" s="2"/>
    </row>
    <row r="27" spans="1:9" ht="18.600000000000001" x14ac:dyDescent="0.45">
      <c r="A27" s="2"/>
      <c r="B27" s="2"/>
      <c r="C27" s="2"/>
      <c r="D27" s="2"/>
    </row>
    <row r="28" spans="1:9" ht="19.8" x14ac:dyDescent="0.45">
      <c r="A28" s="3" t="s">
        <v>4</v>
      </c>
      <c r="B28" s="2"/>
      <c r="C28" s="2"/>
      <c r="D28" s="2"/>
    </row>
    <row r="35" spans="1:10" s="9" customFormat="1" ht="18" x14ac:dyDescent="0.35">
      <c r="A35" s="68" t="s">
        <v>3</v>
      </c>
      <c r="B35" s="69"/>
      <c r="C35" s="69"/>
      <c r="D35" s="69"/>
      <c r="E35" s="69"/>
      <c r="F35" s="69"/>
      <c r="G35" s="69"/>
      <c r="H35" s="69"/>
      <c r="I35" s="69"/>
      <c r="J35" s="70"/>
    </row>
  </sheetData>
  <mergeCells count="14">
    <mergeCell ref="A35:J35"/>
    <mergeCell ref="C1:J3"/>
    <mergeCell ref="C4:J4"/>
    <mergeCell ref="I6:J6"/>
    <mergeCell ref="A8:J8"/>
    <mergeCell ref="A18:G20"/>
    <mergeCell ref="H18:I20"/>
    <mergeCell ref="A13:G16"/>
    <mergeCell ref="A21:G21"/>
    <mergeCell ref="A22:G22"/>
    <mergeCell ref="H22:I22"/>
    <mergeCell ref="A23:G23"/>
    <mergeCell ref="H23:I23"/>
    <mergeCell ref="H21:I21"/>
  </mergeCells>
  <pageMargins left="0.7" right="0.26" top="0.31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35"/>
  <sheetViews>
    <sheetView tabSelected="1" view="pageBreakPreview" zoomScaleSheetLayoutView="100" workbookViewId="0">
      <selection activeCell="A24" sqref="A24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6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61</v>
      </c>
      <c r="I6" s="30">
        <v>46285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tr">
        <f>PROPER(L12)</f>
        <v>Shanti Co-Operative Hsg. Society Ltd.</v>
      </c>
      <c r="B12" s="3"/>
      <c r="C12" s="3"/>
      <c r="D12" s="2"/>
      <c r="L12" s="13" t="s">
        <v>9</v>
      </c>
    </row>
    <row r="13" spans="1:12" x14ac:dyDescent="0.3">
      <c r="A13" s="62" t="s">
        <v>33</v>
      </c>
      <c r="B13" s="63"/>
      <c r="C13" s="63"/>
      <c r="D13" s="63"/>
      <c r="E13" s="63"/>
      <c r="F13" s="63"/>
      <c r="G13" s="63"/>
    </row>
    <row r="14" spans="1:12" x14ac:dyDescent="0.3">
      <c r="A14" s="62"/>
      <c r="B14" s="63"/>
      <c r="C14" s="63"/>
      <c r="D14" s="63"/>
      <c r="E14" s="63"/>
      <c r="F14" s="63"/>
      <c r="G14" s="63"/>
    </row>
    <row r="15" spans="1:12" x14ac:dyDescent="0.3">
      <c r="A15" s="63"/>
      <c r="B15" s="63"/>
      <c r="C15" s="63"/>
      <c r="D15" s="63"/>
      <c r="E15" s="63"/>
      <c r="F15" s="63"/>
      <c r="G15" s="63"/>
    </row>
    <row r="16" spans="1:12" x14ac:dyDescent="0.3">
      <c r="A16" s="63"/>
      <c r="B16" s="63"/>
      <c r="C16" s="63"/>
      <c r="D16" s="63"/>
      <c r="E16" s="63"/>
      <c r="F16" s="63"/>
      <c r="G16" s="63"/>
    </row>
    <row r="17" spans="1:9" ht="19.8" x14ac:dyDescent="0.45">
      <c r="A17" s="3"/>
      <c r="B17" s="3"/>
      <c r="C17" s="3"/>
      <c r="D17" s="2"/>
    </row>
    <row r="18" spans="1:9" ht="21" customHeight="1" x14ac:dyDescent="0.3">
      <c r="A18" s="32" t="s">
        <v>62</v>
      </c>
      <c r="B18" s="33"/>
      <c r="C18" s="33"/>
      <c r="D18" s="33"/>
      <c r="E18" s="33"/>
      <c r="F18" s="33"/>
      <c r="G18" s="34"/>
      <c r="H18" s="38">
        <v>3000</v>
      </c>
      <c r="I18" s="39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9" ht="21" customHeight="1" x14ac:dyDescent="0.3">
      <c r="A21" s="43"/>
      <c r="B21" s="44"/>
      <c r="C21" s="44"/>
      <c r="D21" s="44"/>
      <c r="E21" s="44"/>
      <c r="F21" s="44"/>
      <c r="G21" s="45"/>
      <c r="H21" s="11"/>
      <c r="I21" s="12"/>
    </row>
    <row r="22" spans="1:9" ht="21" customHeight="1" x14ac:dyDescent="0.3">
      <c r="A22" s="46"/>
      <c r="B22" s="47"/>
      <c r="C22" s="47"/>
      <c r="D22" s="47"/>
      <c r="E22" s="47"/>
      <c r="F22" s="47"/>
      <c r="G22" s="48"/>
      <c r="H22" s="49"/>
      <c r="I22" s="50"/>
    </row>
    <row r="23" spans="1:9" ht="45.75" customHeight="1" thickBot="1" x14ac:dyDescent="0.35">
      <c r="A23" s="51" t="s">
        <v>63</v>
      </c>
      <c r="B23" s="51"/>
      <c r="C23" s="51"/>
      <c r="D23" s="51"/>
      <c r="E23" s="51"/>
      <c r="F23" s="51"/>
      <c r="G23" s="51"/>
      <c r="H23" s="52">
        <f>SUM(H18:H22)</f>
        <v>3000</v>
      </c>
      <c r="I23" s="52"/>
    </row>
    <row r="24" spans="1:9" ht="20.399999999999999" thickTop="1" x14ac:dyDescent="0.45">
      <c r="A24" s="3"/>
      <c r="B24" s="3"/>
      <c r="C24" s="3"/>
      <c r="D24" s="2"/>
    </row>
    <row r="25" spans="1:9" ht="19.8" x14ac:dyDescent="0.45">
      <c r="A25" s="3"/>
      <c r="B25" s="3"/>
      <c r="C25" s="3"/>
      <c r="D25" s="2"/>
    </row>
    <row r="26" spans="1:9" ht="18.600000000000001" x14ac:dyDescent="0.45">
      <c r="A26" s="2"/>
      <c r="B26" s="2"/>
      <c r="C26" s="2"/>
      <c r="D26" s="2"/>
    </row>
    <row r="27" spans="1:9" ht="18.600000000000001" x14ac:dyDescent="0.45">
      <c r="A27" s="2"/>
      <c r="B27" s="2"/>
      <c r="C27" s="2"/>
      <c r="D27" s="2"/>
    </row>
    <row r="28" spans="1:9" ht="19.8" x14ac:dyDescent="0.45">
      <c r="A28" s="3" t="s">
        <v>4</v>
      </c>
      <c r="B28" s="2"/>
      <c r="C28" s="2"/>
      <c r="D28" s="2"/>
    </row>
    <row r="35" spans="1:10" s="9" customFormat="1" ht="21" x14ac:dyDescent="0.4">
      <c r="A35" s="26" t="s">
        <v>3</v>
      </c>
      <c r="B35" s="26"/>
      <c r="C35" s="26"/>
      <c r="D35" s="26"/>
      <c r="E35" s="26"/>
      <c r="F35" s="26"/>
      <c r="G35" s="26"/>
      <c r="H35" s="26"/>
      <c r="I35" s="26"/>
      <c r="J35" s="26"/>
    </row>
  </sheetData>
  <mergeCells count="13">
    <mergeCell ref="A35:J35"/>
    <mergeCell ref="C1:J3"/>
    <mergeCell ref="C4:J4"/>
    <mergeCell ref="I6:J6"/>
    <mergeCell ref="A8:J8"/>
    <mergeCell ref="A13:G16"/>
    <mergeCell ref="A18:G20"/>
    <mergeCell ref="H18:I20"/>
    <mergeCell ref="A21:G21"/>
    <mergeCell ref="A22:G22"/>
    <mergeCell ref="H22:I22"/>
    <mergeCell ref="A23:G23"/>
    <mergeCell ref="H23:I23"/>
  </mergeCells>
  <pageMargins left="0.7" right="0.26" top="0.31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5"/>
  <sheetViews>
    <sheetView view="pageBreakPreview" zoomScaleSheetLayoutView="100" workbookViewId="0"/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6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6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6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6" ht="28.5" customHeight="1" thickBot="1" x14ac:dyDescent="0.35">
      <c r="A4" s="6"/>
      <c r="B4" s="5"/>
      <c r="C4" s="28" t="s">
        <v>5</v>
      </c>
      <c r="D4" s="29"/>
      <c r="E4" s="29"/>
      <c r="F4" s="29"/>
      <c r="G4" s="29"/>
      <c r="H4" s="29"/>
      <c r="I4" s="29"/>
      <c r="J4" s="29"/>
    </row>
    <row r="6" spans="1:16" x14ac:dyDescent="0.3">
      <c r="A6" t="s">
        <v>44</v>
      </c>
      <c r="I6" s="30">
        <v>45931</v>
      </c>
      <c r="J6" s="30"/>
    </row>
    <row r="8" spans="1:16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6" ht="25.2" x14ac:dyDescent="0.6">
      <c r="A9" s="1"/>
      <c r="B9" s="2"/>
      <c r="C9" s="2"/>
      <c r="D9" s="2"/>
    </row>
    <row r="10" spans="1:16" ht="19.8" x14ac:dyDescent="0.45">
      <c r="A10" s="3"/>
      <c r="B10" s="3"/>
      <c r="C10" s="3"/>
      <c r="D10" s="2"/>
    </row>
    <row r="11" spans="1:16" ht="19.8" x14ac:dyDescent="0.45">
      <c r="A11" s="4" t="s">
        <v>2</v>
      </c>
      <c r="B11" s="3"/>
      <c r="C11" s="3"/>
      <c r="D11" s="2"/>
    </row>
    <row r="12" spans="1:16" ht="19.8" x14ac:dyDescent="0.45">
      <c r="A12" s="4" t="str">
        <f>PROPER(L12)</f>
        <v>Thakkar Avenue Co-Op. Housing Society Ltd.</v>
      </c>
      <c r="B12" s="3"/>
      <c r="C12" s="3"/>
      <c r="D12" s="2"/>
      <c r="L12" s="42" t="s">
        <v>18</v>
      </c>
      <c r="M12" s="42"/>
      <c r="N12" s="42"/>
      <c r="O12" s="42"/>
      <c r="P12" s="42"/>
    </row>
    <row r="13" spans="1:16" ht="15" customHeight="1" x14ac:dyDescent="0.3">
      <c r="A13" s="53" t="s">
        <v>19</v>
      </c>
      <c r="B13" s="53"/>
      <c r="C13" s="53"/>
      <c r="D13" s="53"/>
      <c r="E13" s="53"/>
      <c r="F13" s="53"/>
      <c r="G13" s="53"/>
    </row>
    <row r="14" spans="1:16" ht="15" customHeight="1" x14ac:dyDescent="0.3">
      <c r="A14" s="53"/>
      <c r="B14" s="53"/>
      <c r="C14" s="53"/>
      <c r="D14" s="53"/>
      <c r="E14" s="53"/>
      <c r="F14" s="53"/>
      <c r="G14" s="53"/>
    </row>
    <row r="15" spans="1:16" x14ac:dyDescent="0.3">
      <c r="A15" s="53"/>
      <c r="B15" s="53"/>
      <c r="C15" s="53"/>
      <c r="D15" s="53"/>
      <c r="E15" s="53"/>
      <c r="F15" s="53"/>
      <c r="G15" s="53"/>
    </row>
    <row r="16" spans="1:16" x14ac:dyDescent="0.3">
      <c r="A16" s="53"/>
      <c r="B16" s="53"/>
      <c r="C16" s="53"/>
      <c r="D16" s="53"/>
      <c r="E16" s="53"/>
      <c r="F16" s="53"/>
      <c r="G16" s="53"/>
    </row>
    <row r="17" spans="1:9" ht="19.8" x14ac:dyDescent="0.45">
      <c r="A17" s="3"/>
      <c r="B17" s="3"/>
      <c r="C17" s="3"/>
      <c r="D17" s="2"/>
    </row>
    <row r="18" spans="1:9" ht="21" customHeight="1" x14ac:dyDescent="0.3">
      <c r="A18" s="72" t="s">
        <v>43</v>
      </c>
      <c r="B18" s="73"/>
      <c r="C18" s="73"/>
      <c r="D18" s="73"/>
      <c r="E18" s="73"/>
      <c r="F18" s="73"/>
      <c r="G18" s="74"/>
      <c r="H18" s="38">
        <v>12000</v>
      </c>
      <c r="I18" s="39"/>
    </row>
    <row r="19" spans="1:9" ht="21" customHeight="1" x14ac:dyDescent="0.3">
      <c r="A19" s="64"/>
      <c r="B19" s="65"/>
      <c r="C19" s="65"/>
      <c r="D19" s="65"/>
      <c r="E19" s="65"/>
      <c r="F19" s="65"/>
      <c r="G19" s="66"/>
      <c r="H19" s="40"/>
      <c r="I19" s="41"/>
    </row>
    <row r="20" spans="1:9" ht="21" customHeight="1" x14ac:dyDescent="0.3">
      <c r="A20" s="64"/>
      <c r="B20" s="65"/>
      <c r="C20" s="65"/>
      <c r="D20" s="65"/>
      <c r="E20" s="65"/>
      <c r="F20" s="65"/>
      <c r="G20" s="66"/>
      <c r="H20" s="40"/>
      <c r="I20" s="41"/>
    </row>
    <row r="21" spans="1:9" ht="51" customHeight="1" x14ac:dyDescent="0.3">
      <c r="A21" s="64" t="s">
        <v>45</v>
      </c>
      <c r="B21" s="65"/>
      <c r="C21" s="65"/>
      <c r="D21" s="65"/>
      <c r="E21" s="65"/>
      <c r="F21" s="65"/>
      <c r="G21" s="66"/>
      <c r="H21" s="40">
        <v>3000</v>
      </c>
      <c r="I21" s="41"/>
    </row>
    <row r="22" spans="1:9" ht="21" customHeight="1" x14ac:dyDescent="0.3">
      <c r="A22" s="46"/>
      <c r="B22" s="47"/>
      <c r="C22" s="47"/>
      <c r="D22" s="47"/>
      <c r="E22" s="47"/>
      <c r="F22" s="47"/>
      <c r="G22" s="48"/>
      <c r="H22" s="49"/>
      <c r="I22" s="50"/>
    </row>
    <row r="23" spans="1:9" ht="45.75" customHeight="1" thickBot="1" x14ac:dyDescent="0.35">
      <c r="A23" s="51" t="s">
        <v>46</v>
      </c>
      <c r="B23" s="51"/>
      <c r="C23" s="51"/>
      <c r="D23" s="51"/>
      <c r="E23" s="51"/>
      <c r="F23" s="51"/>
      <c r="G23" s="51"/>
      <c r="H23" s="52">
        <f>SUM(H18:I22)</f>
        <v>15000</v>
      </c>
      <c r="I23" s="52"/>
    </row>
    <row r="24" spans="1:9" ht="20.399999999999999" thickTop="1" x14ac:dyDescent="0.45">
      <c r="A24" s="3"/>
      <c r="B24" s="3"/>
      <c r="C24" s="3"/>
      <c r="D24" s="2"/>
    </row>
    <row r="25" spans="1:9" ht="19.8" x14ac:dyDescent="0.45">
      <c r="A25" s="3"/>
      <c r="B25" s="3"/>
      <c r="C25" s="3"/>
      <c r="D25" s="2"/>
    </row>
    <row r="26" spans="1:9" ht="18.600000000000001" x14ac:dyDescent="0.45">
      <c r="A26" s="2"/>
      <c r="B26" s="2"/>
      <c r="C26" s="2"/>
      <c r="D26" s="2"/>
    </row>
    <row r="27" spans="1:9" ht="18.600000000000001" x14ac:dyDescent="0.45">
      <c r="A27" s="2"/>
      <c r="B27" s="2"/>
      <c r="C27" s="2"/>
      <c r="D27" s="2"/>
    </row>
    <row r="28" spans="1:9" ht="19.8" x14ac:dyDescent="0.45">
      <c r="A28" s="3" t="s">
        <v>4</v>
      </c>
      <c r="B28" s="2"/>
      <c r="C28" s="2"/>
      <c r="D28" s="2"/>
    </row>
    <row r="35" spans="1:10" s="21" customFormat="1" ht="18" x14ac:dyDescent="0.35">
      <c r="A35" s="71" t="s">
        <v>3</v>
      </c>
      <c r="B35" s="71"/>
      <c r="C35" s="71"/>
      <c r="D35" s="71"/>
      <c r="E35" s="71"/>
      <c r="F35" s="71"/>
      <c r="G35" s="71"/>
      <c r="H35" s="71"/>
      <c r="I35" s="71"/>
      <c r="J35" s="71"/>
    </row>
  </sheetData>
  <mergeCells count="15">
    <mergeCell ref="C1:J3"/>
    <mergeCell ref="C4:J4"/>
    <mergeCell ref="I6:J6"/>
    <mergeCell ref="A8:J8"/>
    <mergeCell ref="L12:P12"/>
    <mergeCell ref="A35:J35"/>
    <mergeCell ref="A13:G16"/>
    <mergeCell ref="A22:G22"/>
    <mergeCell ref="H22:I22"/>
    <mergeCell ref="A23:G23"/>
    <mergeCell ref="H23:I23"/>
    <mergeCell ref="A18:G20"/>
    <mergeCell ref="H18:I20"/>
    <mergeCell ref="A21:G21"/>
    <mergeCell ref="H21:I21"/>
  </mergeCells>
  <printOptions horizontalCentered="1"/>
  <pageMargins left="0.7" right="0.26" top="0.31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4"/>
  <sheetViews>
    <sheetView view="pageBreakPreview" zoomScaleSheetLayoutView="100" workbookViewId="0"/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5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49</v>
      </c>
      <c r="I6" s="30">
        <v>45966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">
        <v>31</v>
      </c>
      <c r="B12" s="3"/>
      <c r="C12" s="3"/>
      <c r="D12" s="2"/>
      <c r="L12" s="10"/>
    </row>
    <row r="13" spans="1:12" ht="21.9" customHeight="1" x14ac:dyDescent="0.3">
      <c r="A13" s="60" t="s">
        <v>32</v>
      </c>
      <c r="B13" s="61"/>
      <c r="C13" s="61"/>
      <c r="D13" s="61"/>
      <c r="E13" s="61"/>
      <c r="F13" s="61"/>
    </row>
    <row r="14" spans="1:12" ht="21.9" customHeight="1" x14ac:dyDescent="0.3">
      <c r="A14" s="61"/>
      <c r="B14" s="61"/>
      <c r="C14" s="61"/>
      <c r="D14" s="61"/>
      <c r="E14" s="61"/>
      <c r="F14" s="61"/>
    </row>
    <row r="15" spans="1:12" ht="21.9" customHeight="1" x14ac:dyDescent="0.3">
      <c r="A15" s="61"/>
      <c r="B15" s="61"/>
      <c r="C15" s="61"/>
      <c r="D15" s="61"/>
      <c r="E15" s="61"/>
      <c r="F15" s="61"/>
    </row>
    <row r="16" spans="1:12" ht="19.8" x14ac:dyDescent="0.45">
      <c r="A16" s="3"/>
      <c r="B16" s="3"/>
      <c r="C16" s="3"/>
      <c r="D16" s="2"/>
    </row>
    <row r="17" spans="1:9" ht="21" customHeight="1" x14ac:dyDescent="0.3">
      <c r="A17" s="32" t="s">
        <v>43</v>
      </c>
      <c r="B17" s="33"/>
      <c r="C17" s="33"/>
      <c r="D17" s="33"/>
      <c r="E17" s="33"/>
      <c r="F17" s="33"/>
      <c r="G17" s="34"/>
      <c r="H17" s="38">
        <v>6000</v>
      </c>
      <c r="I17" s="39"/>
    </row>
    <row r="18" spans="1:9" ht="21" customHeight="1" x14ac:dyDescent="0.3">
      <c r="A18" s="35"/>
      <c r="B18" s="36"/>
      <c r="C18" s="36"/>
      <c r="D18" s="36"/>
      <c r="E18" s="36"/>
      <c r="F18" s="36"/>
      <c r="G18" s="37"/>
      <c r="H18" s="40"/>
      <c r="I18" s="41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30" customHeight="1" x14ac:dyDescent="0.3">
      <c r="A20" s="64" t="s">
        <v>37</v>
      </c>
      <c r="B20" s="65"/>
      <c r="C20" s="65"/>
      <c r="D20" s="65"/>
      <c r="E20" s="65"/>
      <c r="F20" s="65"/>
      <c r="G20" s="66"/>
      <c r="H20" s="40">
        <v>3000</v>
      </c>
      <c r="I20" s="41"/>
    </row>
    <row r="21" spans="1:9" ht="30" customHeight="1" x14ac:dyDescent="0.3">
      <c r="A21" s="75"/>
      <c r="B21" s="76"/>
      <c r="C21" s="76"/>
      <c r="D21" s="76"/>
      <c r="E21" s="76"/>
      <c r="F21" s="76"/>
      <c r="G21" s="77"/>
      <c r="H21" s="78"/>
      <c r="I21" s="79"/>
    </row>
    <row r="22" spans="1:9" ht="45.75" customHeight="1" thickBot="1" x14ac:dyDescent="0.35">
      <c r="A22" s="51" t="s">
        <v>48</v>
      </c>
      <c r="B22" s="51"/>
      <c r="C22" s="51"/>
      <c r="D22" s="51"/>
      <c r="E22" s="51"/>
      <c r="F22" s="51"/>
      <c r="G22" s="51"/>
      <c r="H22" s="52">
        <f>+H17+H20</f>
        <v>9000</v>
      </c>
      <c r="I22" s="52"/>
    </row>
    <row r="23" spans="1:9" ht="20.399999999999999" thickTop="1" x14ac:dyDescent="0.45">
      <c r="A23" s="3"/>
      <c r="B23" s="3"/>
      <c r="C23" s="3"/>
      <c r="D23" s="2"/>
    </row>
    <row r="24" spans="1:9" ht="19.8" x14ac:dyDescent="0.45">
      <c r="A24" s="3"/>
      <c r="B24" s="3"/>
      <c r="C24" s="3"/>
      <c r="D24" s="2"/>
    </row>
    <row r="25" spans="1:9" ht="18.600000000000001" x14ac:dyDescent="0.45">
      <c r="A25" s="2"/>
      <c r="B25" s="2"/>
      <c r="C25" s="2"/>
      <c r="D25" s="2"/>
    </row>
    <row r="26" spans="1:9" ht="18.600000000000001" x14ac:dyDescent="0.45">
      <c r="A26" s="2"/>
      <c r="B26" s="2"/>
      <c r="C26" s="2"/>
      <c r="D26" s="2"/>
    </row>
    <row r="27" spans="1:9" ht="19.8" x14ac:dyDescent="0.45">
      <c r="A27" s="3" t="s">
        <v>4</v>
      </c>
      <c r="B27" s="2"/>
      <c r="C27" s="2"/>
      <c r="D27" s="2"/>
    </row>
    <row r="34" spans="1:10" s="9" customFormat="1" ht="21" x14ac:dyDescent="0.4">
      <c r="A34" s="67" t="s">
        <v>3</v>
      </c>
      <c r="B34" s="67"/>
      <c r="C34" s="67"/>
      <c r="D34" s="67"/>
      <c r="E34" s="67"/>
      <c r="F34" s="67"/>
      <c r="G34" s="67"/>
      <c r="H34" s="67"/>
      <c r="I34" s="67"/>
      <c r="J34" s="67"/>
    </row>
  </sheetData>
  <mergeCells count="14">
    <mergeCell ref="C1:J3"/>
    <mergeCell ref="C4:J4"/>
    <mergeCell ref="I6:J6"/>
    <mergeCell ref="A8:J8"/>
    <mergeCell ref="A17:G19"/>
    <mergeCell ref="H17:I19"/>
    <mergeCell ref="A34:J34"/>
    <mergeCell ref="A13:F15"/>
    <mergeCell ref="A20:G20"/>
    <mergeCell ref="H20:I20"/>
    <mergeCell ref="A21:G21"/>
    <mergeCell ref="H21:I21"/>
    <mergeCell ref="A22:G22"/>
    <mergeCell ref="H22:I22"/>
  </mergeCells>
  <pageMargins left="0.7" right="0.26" top="0.31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36"/>
  <sheetViews>
    <sheetView view="pageBreakPreview" zoomScaleSheetLayoutView="100" workbookViewId="0">
      <selection activeCell="I6" sqref="I6:J6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21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21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21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21" ht="28.5" customHeight="1" thickBot="1" x14ac:dyDescent="0.35">
      <c r="A4" s="6"/>
      <c r="B4" s="5"/>
      <c r="C4" s="28" t="s">
        <v>6</v>
      </c>
      <c r="D4" s="29"/>
      <c r="E4" s="29"/>
      <c r="F4" s="29"/>
      <c r="G4" s="29"/>
      <c r="H4" s="29"/>
      <c r="I4" s="29"/>
      <c r="J4" s="29"/>
    </row>
    <row r="6" spans="1:21" x14ac:dyDescent="0.3">
      <c r="A6" t="s">
        <v>34</v>
      </c>
      <c r="I6" s="30">
        <v>44880</v>
      </c>
      <c r="J6" s="30"/>
    </row>
    <row r="8" spans="1:21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21" ht="25.2" x14ac:dyDescent="0.6">
      <c r="A9" s="1"/>
      <c r="B9" s="2"/>
      <c r="C9" s="2"/>
      <c r="D9" s="2"/>
    </row>
    <row r="10" spans="1:21" ht="19.8" x14ac:dyDescent="0.45">
      <c r="A10" s="3"/>
      <c r="B10" s="3"/>
      <c r="C10" s="3"/>
      <c r="D10" s="2"/>
    </row>
    <row r="11" spans="1:21" ht="19.8" x14ac:dyDescent="0.45">
      <c r="A11" s="4" t="s">
        <v>2</v>
      </c>
      <c r="B11" s="3"/>
      <c r="C11" s="3"/>
      <c r="D11" s="2"/>
    </row>
    <row r="12" spans="1:21" ht="21" customHeight="1" x14ac:dyDescent="0.45">
      <c r="A12" s="4" t="s">
        <v>25</v>
      </c>
      <c r="B12" s="3"/>
      <c r="C12" s="3"/>
      <c r="D12" s="2"/>
      <c r="L12" s="22"/>
      <c r="M12" s="23"/>
      <c r="N12" s="24"/>
      <c r="O12" s="24"/>
      <c r="P12" s="24"/>
      <c r="Q12" s="25"/>
      <c r="R12" s="25"/>
      <c r="S12" s="25"/>
      <c r="T12" s="25"/>
      <c r="U12" s="25"/>
    </row>
    <row r="13" spans="1:21" ht="21" customHeight="1" x14ac:dyDescent="0.45">
      <c r="A13" s="4" t="str">
        <f>+L13</f>
        <v>DAHISAR HANUMAN  CO-OPERATIVE HOUSING SOCIETY LTD.</v>
      </c>
      <c r="B13" s="3"/>
      <c r="C13" s="3"/>
      <c r="D13" s="2"/>
      <c r="L13" s="84" t="s">
        <v>27</v>
      </c>
      <c r="M13" s="84"/>
      <c r="N13" s="84"/>
      <c r="O13" s="84"/>
      <c r="P13" s="84"/>
      <c r="Q13" s="84"/>
      <c r="R13" s="85"/>
      <c r="S13" s="25"/>
      <c r="T13" s="25"/>
      <c r="U13" s="25"/>
    </row>
    <row r="14" spans="1:21" ht="15" customHeight="1" x14ac:dyDescent="0.3">
      <c r="A14" s="53" t="s">
        <v>26</v>
      </c>
      <c r="B14" s="53"/>
      <c r="C14" s="53"/>
      <c r="D14" s="53"/>
      <c r="E14" s="53"/>
      <c r="F14" s="53"/>
      <c r="G14" s="53"/>
      <c r="L14" s="80" t="str">
        <f>PROPER(AB14)</f>
        <v/>
      </c>
      <c r="M14" s="81"/>
      <c r="N14" s="81"/>
      <c r="O14" s="81"/>
      <c r="P14" s="81"/>
      <c r="Q14" s="81"/>
      <c r="R14" s="81"/>
      <c r="S14" s="81"/>
      <c r="T14" s="81"/>
      <c r="U14" s="81"/>
    </row>
    <row r="15" spans="1:21" ht="15" customHeight="1" x14ac:dyDescent="0.3">
      <c r="A15" s="53"/>
      <c r="B15" s="53"/>
      <c r="C15" s="53"/>
      <c r="D15" s="53"/>
      <c r="E15" s="53"/>
      <c r="F15" s="53"/>
      <c r="G15" s="53"/>
      <c r="L15" s="82"/>
      <c r="M15" s="83"/>
      <c r="N15" s="83"/>
      <c r="O15" s="83"/>
      <c r="P15" s="83"/>
      <c r="Q15" s="83"/>
      <c r="R15" s="83"/>
      <c r="S15" s="83"/>
      <c r="T15" s="25"/>
      <c r="U15" s="25"/>
    </row>
    <row r="16" spans="1:21" ht="15.6" x14ac:dyDescent="0.3">
      <c r="A16" s="53"/>
      <c r="B16" s="53"/>
      <c r="C16" s="53"/>
      <c r="D16" s="53"/>
      <c r="E16" s="53"/>
      <c r="F16" s="53"/>
      <c r="G16" s="53"/>
      <c r="L16" s="82"/>
      <c r="M16" s="83"/>
      <c r="N16" s="83"/>
      <c r="O16" s="83"/>
      <c r="P16" s="83"/>
      <c r="Q16" s="83"/>
      <c r="R16" s="83"/>
      <c r="S16" s="83"/>
      <c r="T16" s="25"/>
      <c r="U16" s="25"/>
    </row>
    <row r="17" spans="1:21" ht="15.6" x14ac:dyDescent="0.3">
      <c r="A17" s="53"/>
      <c r="B17" s="53"/>
      <c r="C17" s="53"/>
      <c r="D17" s="53"/>
      <c r="E17" s="53"/>
      <c r="F17" s="53"/>
      <c r="G17" s="53"/>
      <c r="L17" s="83"/>
      <c r="M17" s="83"/>
      <c r="N17" s="83"/>
      <c r="O17" s="83"/>
      <c r="P17" s="83"/>
      <c r="Q17" s="83"/>
      <c r="R17" s="83"/>
      <c r="S17" s="83"/>
      <c r="T17" s="25"/>
      <c r="U17" s="25"/>
    </row>
    <row r="18" spans="1:21" ht="19.8" x14ac:dyDescent="0.45">
      <c r="A18" s="3"/>
      <c r="B18" s="3"/>
      <c r="C18" s="3"/>
      <c r="D18" s="2"/>
    </row>
    <row r="19" spans="1:21" ht="21" customHeight="1" x14ac:dyDescent="0.3">
      <c r="A19" s="32" t="s">
        <v>35</v>
      </c>
      <c r="B19" s="33"/>
      <c r="C19" s="33"/>
      <c r="D19" s="33"/>
      <c r="E19" s="33"/>
      <c r="F19" s="33"/>
      <c r="G19" s="34"/>
      <c r="H19" s="38">
        <v>18000</v>
      </c>
      <c r="I19" s="39"/>
    </row>
    <row r="20" spans="1:21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21" ht="21" customHeight="1" x14ac:dyDescent="0.3">
      <c r="A21" s="35"/>
      <c r="B21" s="36"/>
      <c r="C21" s="36"/>
      <c r="D21" s="36"/>
      <c r="E21" s="36"/>
      <c r="F21" s="36"/>
      <c r="G21" s="37"/>
      <c r="H21" s="40"/>
      <c r="I21" s="41"/>
    </row>
    <row r="22" spans="1:21" ht="21" customHeight="1" x14ac:dyDescent="0.3">
      <c r="A22" s="43"/>
      <c r="B22" s="44"/>
      <c r="C22" s="44"/>
      <c r="D22" s="44"/>
      <c r="E22" s="44"/>
      <c r="F22" s="44"/>
      <c r="G22" s="45"/>
      <c r="H22" s="40"/>
      <c r="I22" s="41"/>
    </row>
    <row r="23" spans="1:21" ht="21" customHeight="1" x14ac:dyDescent="0.3">
      <c r="A23" s="46"/>
      <c r="B23" s="47"/>
      <c r="C23" s="47"/>
      <c r="D23" s="47"/>
      <c r="E23" s="47"/>
      <c r="F23" s="47"/>
      <c r="G23" s="48"/>
      <c r="H23" s="49"/>
      <c r="I23" s="50"/>
    </row>
    <row r="24" spans="1:21" ht="45.75" customHeight="1" thickBot="1" x14ac:dyDescent="0.35">
      <c r="A24" s="51" t="s">
        <v>36</v>
      </c>
      <c r="B24" s="51"/>
      <c r="C24" s="51"/>
      <c r="D24" s="51"/>
      <c r="E24" s="51"/>
      <c r="F24" s="51"/>
      <c r="G24" s="51"/>
      <c r="H24" s="52">
        <f>SUM(H19:H23)</f>
        <v>18000</v>
      </c>
      <c r="I24" s="52"/>
    </row>
    <row r="25" spans="1:21" ht="20.399999999999999" thickTop="1" x14ac:dyDescent="0.45">
      <c r="A25" s="3"/>
      <c r="B25" s="3"/>
      <c r="C25" s="3"/>
      <c r="D25" s="2"/>
    </row>
    <row r="26" spans="1:21" ht="19.8" x14ac:dyDescent="0.45">
      <c r="A26" s="3"/>
      <c r="B26" s="3"/>
      <c r="C26" s="3"/>
      <c r="D26" s="2"/>
    </row>
    <row r="27" spans="1:21" ht="18.600000000000001" x14ac:dyDescent="0.45">
      <c r="A27" s="2"/>
      <c r="B27" s="2"/>
      <c r="C27" s="2"/>
      <c r="D27" s="2"/>
    </row>
    <row r="28" spans="1:21" ht="18.600000000000001" x14ac:dyDescent="0.45">
      <c r="A28" s="2"/>
      <c r="B28" s="2"/>
      <c r="C28" s="2"/>
      <c r="D28" s="2"/>
    </row>
    <row r="29" spans="1:21" ht="19.8" x14ac:dyDescent="0.45">
      <c r="A29" s="3" t="s">
        <v>4</v>
      </c>
      <c r="B29" s="2"/>
      <c r="C29" s="2"/>
      <c r="D29" s="2"/>
    </row>
    <row r="36" spans="1:10" s="9" customFormat="1" ht="21" x14ac:dyDescent="0.4">
      <c r="A36" s="26" t="s">
        <v>3</v>
      </c>
      <c r="B36" s="26"/>
      <c r="C36" s="26"/>
      <c r="D36" s="26"/>
      <c r="E36" s="26"/>
      <c r="F36" s="26"/>
      <c r="G36" s="26"/>
      <c r="H36" s="26"/>
      <c r="I36" s="26"/>
      <c r="J36" s="26"/>
    </row>
  </sheetData>
  <mergeCells count="17">
    <mergeCell ref="C1:J3"/>
    <mergeCell ref="C4:J4"/>
    <mergeCell ref="I6:J6"/>
    <mergeCell ref="A8:J8"/>
    <mergeCell ref="A14:G17"/>
    <mergeCell ref="L13:R13"/>
    <mergeCell ref="A19:G21"/>
    <mergeCell ref="H19:I21"/>
    <mergeCell ref="A22:G22"/>
    <mergeCell ref="H22:I22"/>
    <mergeCell ref="A24:G24"/>
    <mergeCell ref="H24:I24"/>
    <mergeCell ref="A36:J36"/>
    <mergeCell ref="L14:U14"/>
    <mergeCell ref="L15:S17"/>
    <mergeCell ref="A23:G23"/>
    <mergeCell ref="H23:I23"/>
  </mergeCells>
  <pageMargins left="0.7" right="0.26" top="0.31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5"/>
  <sheetViews>
    <sheetView view="pageBreakPreview" zoomScaleSheetLayoutView="100" workbookViewId="0">
      <selection activeCell="G11" sqref="G11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5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50</v>
      </c>
      <c r="I6" s="30">
        <v>46031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tr">
        <f>PROPER(L12)</f>
        <v>Sai Kiran Co-Operative Housing Society Ltd.</v>
      </c>
      <c r="B12" s="3"/>
      <c r="C12" s="3"/>
      <c r="D12" s="2"/>
      <c r="L12" s="14" t="s">
        <v>10</v>
      </c>
    </row>
    <row r="13" spans="1:12" x14ac:dyDescent="0.3">
      <c r="A13" s="60" t="s">
        <v>11</v>
      </c>
      <c r="B13" s="61"/>
      <c r="C13" s="61"/>
      <c r="D13" s="61"/>
      <c r="E13" s="61"/>
      <c r="F13" s="61"/>
    </row>
    <row r="14" spans="1:12" x14ac:dyDescent="0.3">
      <c r="A14" s="60"/>
      <c r="B14" s="61"/>
      <c r="C14" s="61"/>
      <c r="D14" s="61"/>
      <c r="E14" s="61"/>
      <c r="F14" s="61"/>
    </row>
    <row r="15" spans="1:12" x14ac:dyDescent="0.3">
      <c r="A15" s="61"/>
      <c r="B15" s="61"/>
      <c r="C15" s="61"/>
      <c r="D15" s="61"/>
      <c r="E15" s="61"/>
      <c r="F15" s="61"/>
    </row>
    <row r="16" spans="1:12" x14ac:dyDescent="0.3">
      <c r="A16" s="61"/>
      <c r="B16" s="61"/>
      <c r="C16" s="61"/>
      <c r="D16" s="61"/>
      <c r="E16" s="61"/>
      <c r="F16" s="61"/>
    </row>
    <row r="17" spans="1:9" ht="19.8" x14ac:dyDescent="0.45">
      <c r="A17" s="3"/>
      <c r="B17" s="3"/>
      <c r="C17" s="3"/>
      <c r="D17" s="2"/>
    </row>
    <row r="18" spans="1:9" ht="21" customHeight="1" x14ac:dyDescent="0.3">
      <c r="A18" s="32" t="s">
        <v>51</v>
      </c>
      <c r="B18" s="33"/>
      <c r="C18" s="33"/>
      <c r="D18" s="33"/>
      <c r="E18" s="33"/>
      <c r="F18" s="33"/>
      <c r="G18" s="34"/>
      <c r="H18" s="38">
        <v>6000</v>
      </c>
      <c r="I18" s="39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21" customHeight="1" x14ac:dyDescent="0.3">
      <c r="A20" s="35"/>
      <c r="B20" s="36"/>
      <c r="C20" s="36"/>
      <c r="D20" s="36"/>
      <c r="E20" s="36"/>
      <c r="F20" s="36"/>
      <c r="G20" s="37"/>
      <c r="H20" s="40"/>
      <c r="I20" s="41"/>
    </row>
    <row r="21" spans="1:9" ht="21" customHeight="1" x14ac:dyDescent="0.3">
      <c r="A21" s="35"/>
      <c r="B21" s="36"/>
      <c r="C21" s="36"/>
      <c r="D21" s="36"/>
      <c r="E21" s="36"/>
      <c r="F21" s="36"/>
      <c r="G21" s="37"/>
      <c r="H21" s="40"/>
      <c r="I21" s="41"/>
    </row>
    <row r="22" spans="1:9" ht="21" customHeight="1" x14ac:dyDescent="0.3">
      <c r="A22" s="46"/>
      <c r="B22" s="47"/>
      <c r="C22" s="47"/>
      <c r="D22" s="47"/>
      <c r="E22" s="47"/>
      <c r="F22" s="47"/>
      <c r="G22" s="48"/>
      <c r="H22" s="49"/>
      <c r="I22" s="50"/>
    </row>
    <row r="23" spans="1:9" ht="45.75" customHeight="1" thickBot="1" x14ac:dyDescent="0.35">
      <c r="A23" s="51" t="s">
        <v>21</v>
      </c>
      <c r="B23" s="51"/>
      <c r="C23" s="51"/>
      <c r="D23" s="51"/>
      <c r="E23" s="51"/>
      <c r="F23" s="51"/>
      <c r="G23" s="51"/>
      <c r="H23" s="52">
        <f>SUM(H18:H22)</f>
        <v>6000</v>
      </c>
      <c r="I23" s="52"/>
    </row>
    <row r="24" spans="1:9" ht="20.399999999999999" thickTop="1" x14ac:dyDescent="0.45">
      <c r="A24" s="3"/>
      <c r="B24" s="3"/>
      <c r="C24" s="3"/>
      <c r="D24" s="2"/>
    </row>
    <row r="25" spans="1:9" ht="19.8" x14ac:dyDescent="0.45">
      <c r="A25" s="3"/>
      <c r="B25" s="3"/>
      <c r="C25" s="3"/>
      <c r="D25" s="2"/>
    </row>
    <row r="26" spans="1:9" ht="18.600000000000001" x14ac:dyDescent="0.45">
      <c r="A26" s="2"/>
      <c r="B26" s="2"/>
      <c r="C26" s="2"/>
      <c r="D26" s="2"/>
    </row>
    <row r="27" spans="1:9" ht="18.600000000000001" x14ac:dyDescent="0.45">
      <c r="A27" s="2"/>
      <c r="B27" s="2"/>
      <c r="C27" s="2"/>
      <c r="D27" s="2"/>
    </row>
    <row r="28" spans="1:9" ht="19.8" x14ac:dyDescent="0.45">
      <c r="A28" s="3" t="s">
        <v>4</v>
      </c>
      <c r="B28" s="2"/>
      <c r="C28" s="2"/>
      <c r="D28" s="2"/>
    </row>
    <row r="35" spans="1:10" s="21" customFormat="1" ht="21" x14ac:dyDescent="0.4">
      <c r="A35" s="67" t="s">
        <v>3</v>
      </c>
      <c r="B35" s="67"/>
      <c r="C35" s="67"/>
      <c r="D35" s="67"/>
      <c r="E35" s="67"/>
      <c r="F35" s="67"/>
      <c r="G35" s="67"/>
      <c r="H35" s="67"/>
      <c r="I35" s="67"/>
      <c r="J35" s="67"/>
    </row>
  </sheetData>
  <mergeCells count="14">
    <mergeCell ref="A35:J35"/>
    <mergeCell ref="C1:J3"/>
    <mergeCell ref="C4:J4"/>
    <mergeCell ref="I6:J6"/>
    <mergeCell ref="A8:J8"/>
    <mergeCell ref="A18:G20"/>
    <mergeCell ref="H18:I20"/>
    <mergeCell ref="A13:F16"/>
    <mergeCell ref="A21:G21"/>
    <mergeCell ref="A22:G22"/>
    <mergeCell ref="H22:I22"/>
    <mergeCell ref="A23:G23"/>
    <mergeCell ref="H23:I23"/>
    <mergeCell ref="H21:I21"/>
  </mergeCells>
  <pageMargins left="0.7" right="0.26" top="0.31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34"/>
  <sheetViews>
    <sheetView view="pageBreakPreview" zoomScaleSheetLayoutView="100" workbookViewId="0">
      <selection activeCell="N17" sqref="N17"/>
    </sheetView>
  </sheetViews>
  <sheetFormatPr defaultRowHeight="14.4" x14ac:dyDescent="0.3"/>
  <cols>
    <col min="2" max="2" width="8.44140625" customWidth="1"/>
    <col min="6" max="6" width="11.88671875" customWidth="1"/>
    <col min="8" max="8" width="10.6640625" bestFit="1" customWidth="1"/>
  </cols>
  <sheetData>
    <row r="1" spans="1:12" ht="15" customHeight="1" x14ac:dyDescent="0.3">
      <c r="B1" s="7"/>
      <c r="C1" s="27" t="s">
        <v>0</v>
      </c>
      <c r="D1" s="27"/>
      <c r="E1" s="27"/>
      <c r="F1" s="27"/>
      <c r="G1" s="27"/>
      <c r="H1" s="27"/>
      <c r="I1" s="27"/>
      <c r="J1" s="27"/>
    </row>
    <row r="2" spans="1:12" ht="15" customHeight="1" x14ac:dyDescent="0.3">
      <c r="A2" s="7"/>
      <c r="B2" s="7"/>
      <c r="C2" s="27"/>
      <c r="D2" s="27"/>
      <c r="E2" s="27"/>
      <c r="F2" s="27"/>
      <c r="G2" s="27"/>
      <c r="H2" s="27"/>
      <c r="I2" s="27"/>
      <c r="J2" s="27"/>
    </row>
    <row r="3" spans="1:12" ht="15" customHeight="1" x14ac:dyDescent="0.3">
      <c r="A3" s="7"/>
      <c r="B3" s="7"/>
      <c r="C3" s="27"/>
      <c r="D3" s="27"/>
      <c r="E3" s="27"/>
      <c r="F3" s="27"/>
      <c r="G3" s="27"/>
      <c r="H3" s="27"/>
      <c r="I3" s="27"/>
      <c r="J3" s="27"/>
    </row>
    <row r="4" spans="1:12" ht="28.5" customHeight="1" thickBot="1" x14ac:dyDescent="0.35">
      <c r="A4" s="6"/>
      <c r="B4" s="5"/>
      <c r="C4" s="28" t="s">
        <v>5</v>
      </c>
      <c r="D4" s="29"/>
      <c r="E4" s="29"/>
      <c r="F4" s="29"/>
      <c r="G4" s="29"/>
      <c r="H4" s="29"/>
      <c r="I4" s="29"/>
      <c r="J4" s="29"/>
    </row>
    <row r="6" spans="1:12" x14ac:dyDescent="0.3">
      <c r="A6" t="s">
        <v>30</v>
      </c>
      <c r="I6" s="30">
        <v>44126</v>
      </c>
      <c r="J6" s="30"/>
    </row>
    <row r="8" spans="1:12" ht="25.2" x14ac:dyDescent="0.6">
      <c r="A8" s="31" t="s">
        <v>1</v>
      </c>
      <c r="B8" s="31"/>
      <c r="C8" s="31"/>
      <c r="D8" s="31"/>
      <c r="E8" s="31"/>
      <c r="F8" s="31"/>
      <c r="G8" s="31"/>
      <c r="H8" s="31"/>
      <c r="I8" s="31"/>
      <c r="J8" s="31"/>
    </row>
    <row r="9" spans="1:12" ht="25.2" x14ac:dyDescent="0.6">
      <c r="A9" s="1"/>
      <c r="B9" s="2"/>
      <c r="C9" s="2"/>
      <c r="D9" s="2"/>
    </row>
    <row r="10" spans="1:12" ht="19.8" x14ac:dyDescent="0.45">
      <c r="A10" s="3"/>
      <c r="B10" s="3"/>
      <c r="C10" s="3"/>
      <c r="D10" s="2"/>
    </row>
    <row r="11" spans="1:12" ht="19.8" x14ac:dyDescent="0.45">
      <c r="A11" s="4" t="s">
        <v>2</v>
      </c>
      <c r="B11" s="3"/>
      <c r="C11" s="3"/>
      <c r="D11" s="2"/>
    </row>
    <row r="12" spans="1:12" ht="19.8" x14ac:dyDescent="0.45">
      <c r="A12" s="4" t="s">
        <v>23</v>
      </c>
      <c r="B12" s="3"/>
      <c r="C12" s="3"/>
      <c r="D12" s="2"/>
      <c r="L12" s="10"/>
    </row>
    <row r="13" spans="1:12" ht="19.8" x14ac:dyDescent="0.45">
      <c r="A13" s="4" t="s">
        <v>24</v>
      </c>
      <c r="B13" s="3"/>
      <c r="C13" s="3"/>
      <c r="D13" s="2"/>
    </row>
    <row r="14" spans="1:12" ht="19.8" x14ac:dyDescent="0.45">
      <c r="A14" s="3" t="s">
        <v>22</v>
      </c>
      <c r="B14" s="3"/>
      <c r="C14" s="3"/>
      <c r="D14" s="2"/>
    </row>
    <row r="15" spans="1:12" ht="19.8" x14ac:dyDescent="0.45">
      <c r="A15" s="3"/>
      <c r="B15" s="3"/>
      <c r="C15" s="3"/>
      <c r="D15" s="2"/>
    </row>
    <row r="16" spans="1:12" ht="19.8" x14ac:dyDescent="0.45">
      <c r="A16" s="3"/>
      <c r="B16" s="3"/>
      <c r="C16" s="3"/>
      <c r="D16" s="2"/>
    </row>
    <row r="17" spans="1:9" ht="21" customHeight="1" x14ac:dyDescent="0.3">
      <c r="A17" s="32" t="s">
        <v>28</v>
      </c>
      <c r="B17" s="33"/>
      <c r="C17" s="33"/>
      <c r="D17" s="33"/>
      <c r="E17" s="33"/>
      <c r="F17" s="33"/>
      <c r="G17" s="34"/>
      <c r="H17" s="38">
        <v>7500</v>
      </c>
      <c r="I17" s="39"/>
    </row>
    <row r="18" spans="1:9" ht="21" customHeight="1" x14ac:dyDescent="0.3">
      <c r="A18" s="35"/>
      <c r="B18" s="36"/>
      <c r="C18" s="36"/>
      <c r="D18" s="36"/>
      <c r="E18" s="36"/>
      <c r="F18" s="36"/>
      <c r="G18" s="37"/>
      <c r="H18" s="40"/>
      <c r="I18" s="41"/>
    </row>
    <row r="19" spans="1:9" ht="21" customHeight="1" x14ac:dyDescent="0.3">
      <c r="A19" s="35"/>
      <c r="B19" s="36"/>
      <c r="C19" s="36"/>
      <c r="D19" s="36"/>
      <c r="E19" s="36"/>
      <c r="F19" s="36"/>
      <c r="G19" s="37"/>
      <c r="H19" s="40"/>
      <c r="I19" s="41"/>
    </row>
    <row r="20" spans="1:9" ht="30" customHeight="1" x14ac:dyDescent="0.3">
      <c r="A20" s="64"/>
      <c r="B20" s="65"/>
      <c r="C20" s="65"/>
      <c r="D20" s="65"/>
      <c r="E20" s="65"/>
      <c r="F20" s="65"/>
      <c r="G20" s="66"/>
      <c r="H20" s="40"/>
      <c r="I20" s="41"/>
    </row>
    <row r="21" spans="1:9" ht="30" customHeight="1" x14ac:dyDescent="0.3">
      <c r="A21" s="75"/>
      <c r="B21" s="76"/>
      <c r="C21" s="76"/>
      <c r="D21" s="76"/>
      <c r="E21" s="76"/>
      <c r="F21" s="76"/>
      <c r="G21" s="77"/>
      <c r="H21" s="78"/>
      <c r="I21" s="79"/>
    </row>
    <row r="22" spans="1:9" ht="45.75" customHeight="1" thickBot="1" x14ac:dyDescent="0.35">
      <c r="A22" s="51" t="s">
        <v>29</v>
      </c>
      <c r="B22" s="51"/>
      <c r="C22" s="51"/>
      <c r="D22" s="51"/>
      <c r="E22" s="51"/>
      <c r="F22" s="51"/>
      <c r="G22" s="51"/>
      <c r="H22" s="52">
        <f>+H17+H21</f>
        <v>7500</v>
      </c>
      <c r="I22" s="52"/>
    </row>
    <row r="23" spans="1:9" ht="20.399999999999999" thickTop="1" x14ac:dyDescent="0.45">
      <c r="A23" s="3"/>
      <c r="B23" s="3"/>
      <c r="C23" s="3"/>
      <c r="D23" s="2"/>
    </row>
    <row r="24" spans="1:9" ht="19.8" x14ac:dyDescent="0.45">
      <c r="A24" s="3"/>
      <c r="B24" s="3"/>
      <c r="C24" s="3"/>
      <c r="D24" s="2"/>
    </row>
    <row r="25" spans="1:9" ht="18.600000000000001" x14ac:dyDescent="0.45">
      <c r="A25" s="2"/>
      <c r="B25" s="2"/>
      <c r="C25" s="2"/>
      <c r="D25" s="2"/>
    </row>
    <row r="26" spans="1:9" ht="18.600000000000001" x14ac:dyDescent="0.45">
      <c r="A26" s="2"/>
      <c r="B26" s="2"/>
      <c r="C26" s="2"/>
      <c r="D26" s="2"/>
    </row>
    <row r="27" spans="1:9" ht="19.8" x14ac:dyDescent="0.45">
      <c r="A27" s="3" t="s">
        <v>4</v>
      </c>
      <c r="B27" s="2"/>
      <c r="C27" s="2"/>
      <c r="D27" s="2"/>
    </row>
    <row r="34" spans="1:10" s="9" customFormat="1" ht="18" x14ac:dyDescent="0.35">
      <c r="A34" s="71" t="s">
        <v>3</v>
      </c>
      <c r="B34" s="71"/>
      <c r="C34" s="71"/>
      <c r="D34" s="71"/>
      <c r="E34" s="71"/>
      <c r="F34" s="71"/>
      <c r="G34" s="71"/>
      <c r="H34" s="71"/>
      <c r="I34" s="71"/>
      <c r="J34" s="71"/>
    </row>
  </sheetData>
  <mergeCells count="13">
    <mergeCell ref="A34:J34"/>
    <mergeCell ref="A20:G20"/>
    <mergeCell ref="H20:I20"/>
    <mergeCell ref="A21:G21"/>
    <mergeCell ref="H21:I21"/>
    <mergeCell ref="A22:G22"/>
    <mergeCell ref="H22:I22"/>
    <mergeCell ref="C1:J3"/>
    <mergeCell ref="C4:J4"/>
    <mergeCell ref="I6:J6"/>
    <mergeCell ref="A8:J8"/>
    <mergeCell ref="A17:G19"/>
    <mergeCell ref="H17:I19"/>
  </mergeCells>
  <pageMargins left="0.7" right="0.26" top="0.31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Muktangan (2)</vt:lpstr>
      <vt:lpstr>Surendra</vt:lpstr>
      <vt:lpstr>Navanand (2)</vt:lpstr>
      <vt:lpstr>Prathamesh</vt:lpstr>
      <vt:lpstr>Shanti</vt:lpstr>
      <vt:lpstr>THAKKAR</vt:lpstr>
      <vt:lpstr>Daivadnya</vt:lpstr>
      <vt:lpstr>Hanuman</vt:lpstr>
      <vt:lpstr>Sai-Kiran</vt:lpstr>
      <vt:lpstr>AARTI</vt:lpstr>
      <vt:lpstr>Sheet1</vt:lpstr>
      <vt:lpstr>AARTI!Print_Area</vt:lpstr>
      <vt:lpstr>Daivadnya!Print_Area</vt:lpstr>
      <vt:lpstr>Hanuman!Print_Area</vt:lpstr>
      <vt:lpstr>'Muktangan (2)'!Print_Area</vt:lpstr>
      <vt:lpstr>'Navanand (2)'!Print_Area</vt:lpstr>
      <vt:lpstr>Prathamesh!Print_Area</vt:lpstr>
      <vt:lpstr>'Sai-Kiran'!Print_Area</vt:lpstr>
      <vt:lpstr>Shanti!Print_Area</vt:lpstr>
      <vt:lpstr>Surendra!Print_Area</vt:lpstr>
      <vt:lpstr>THAKKAR!Print_Area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m5</dc:creator>
  <cp:lastModifiedBy>bharat boridkar</cp:lastModifiedBy>
  <cp:lastPrinted>2026-09-24T12:30:46Z</cp:lastPrinted>
  <dcterms:created xsi:type="dcterms:W3CDTF">2013-06-28T13:45:58Z</dcterms:created>
  <dcterms:modified xsi:type="dcterms:W3CDTF">2026-09-24T12:30:51Z</dcterms:modified>
</cp:coreProperties>
</file>