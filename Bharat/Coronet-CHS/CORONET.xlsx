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650" activeTab="2"/>
  </bookViews>
  <sheets>
    <sheet name="I &amp; E 24-25" sheetId="1" r:id="rId1"/>
    <sheet name="BS 24-25" sheetId="2" r:id="rId2"/>
    <sheet name="FD 24-25" sheetId="3" r:id="rId3"/>
  </sheets>
  <definedNames>
    <definedName name="_xlnm._FilterDatabase" localSheetId="2" hidden="1">'FD 24-25'!$B$3:$J$27</definedName>
    <definedName name="corrouspoundance">#REF!</definedName>
    <definedName name="_xlnm.Print_Area" localSheetId="1">'BS 24-25'!$A$1:$I$63</definedName>
    <definedName name="_xlnm.Print_Area" localSheetId="2">'FD 24-25'!$B$1:$J$29</definedName>
    <definedName name="_xlnm.Print_Area" localSheetId="0">'I &amp; E 24-25'!$A$1:$G$43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1" i="2"/>
  <c r="C22"/>
  <c r="D24" s="1"/>
  <c r="D40"/>
  <c r="I34"/>
  <c r="H30"/>
  <c r="I30" s="1"/>
  <c r="H26"/>
  <c r="I26" s="1"/>
  <c r="I17"/>
  <c r="E31" i="1"/>
  <c r="A29" s="1"/>
  <c r="C29"/>
  <c r="C31" s="1"/>
  <c r="G31"/>
  <c r="E27" i="3"/>
  <c r="F27"/>
  <c r="E30"/>
  <c r="G6"/>
  <c r="G5"/>
  <c r="C45" i="2" l="1"/>
  <c r="C46" s="1"/>
  <c r="D48" s="1"/>
  <c r="D50" s="1"/>
  <c r="U5" i="3"/>
  <c r="O5"/>
  <c r="M5"/>
  <c r="F16"/>
  <c r="F17" s="1"/>
  <c r="F29" s="1"/>
  <c r="F15"/>
  <c r="F14"/>
  <c r="F13"/>
  <c r="F11"/>
  <c r="F8"/>
  <c r="F7"/>
  <c r="F9"/>
  <c r="F10"/>
  <c r="F12"/>
  <c r="S15"/>
  <c r="T15" s="1"/>
  <c r="V15" s="1"/>
  <c r="F6"/>
  <c r="F5"/>
  <c r="Q17"/>
  <c r="S5"/>
  <c r="R23"/>
  <c r="S23"/>
  <c r="R24"/>
  <c r="S24"/>
  <c r="R25"/>
  <c r="S25"/>
  <c r="S26"/>
  <c r="E17"/>
  <c r="R15"/>
  <c r="G15"/>
  <c r="E29" l="1"/>
  <c r="Q27"/>
  <c r="I27"/>
  <c r="D27"/>
  <c r="O26"/>
  <c r="O25"/>
  <c r="U27"/>
  <c r="R22"/>
  <c r="O22"/>
  <c r="S22"/>
  <c r="R21"/>
  <c r="O21"/>
  <c r="G21"/>
  <c r="R20"/>
  <c r="O20"/>
  <c r="S20"/>
  <c r="R19"/>
  <c r="O19"/>
  <c r="S19"/>
  <c r="Q29"/>
  <c r="I17"/>
  <c r="I29" s="1"/>
  <c r="D17"/>
  <c r="R16"/>
  <c r="G16"/>
  <c r="R14"/>
  <c r="S14"/>
  <c r="R13"/>
  <c r="G13"/>
  <c r="R12"/>
  <c r="S11"/>
  <c r="T11" s="1"/>
  <c r="R11"/>
  <c r="G11"/>
  <c r="R10"/>
  <c r="S10"/>
  <c r="T10" s="1"/>
  <c r="S8"/>
  <c r="R7"/>
  <c r="G7"/>
  <c r="S6"/>
  <c r="R5"/>
  <c r="S4"/>
  <c r="T4" s="1"/>
  <c r="V4" s="1"/>
  <c r="R4"/>
  <c r="F50" i="2"/>
  <c r="A50"/>
  <c r="D15"/>
  <c r="I13"/>
  <c r="I50" s="1"/>
  <c r="I7"/>
  <c r="K50" l="1"/>
  <c r="D29" i="3"/>
  <c r="V26"/>
  <c r="V11"/>
  <c r="O7"/>
  <c r="T25"/>
  <c r="V25" s="1"/>
  <c r="M17"/>
  <c r="O9"/>
  <c r="S16"/>
  <c r="T16" s="1"/>
  <c r="V16" s="1"/>
  <c r="T22"/>
  <c r="V22" s="1"/>
  <c r="P27"/>
  <c r="P17"/>
  <c r="P29" s="1"/>
  <c r="S13"/>
  <c r="T13" s="1"/>
  <c r="V13" s="1"/>
  <c r="N27"/>
  <c r="G25"/>
  <c r="G8"/>
  <c r="V10"/>
  <c r="G22"/>
  <c r="O8"/>
  <c r="T8" s="1"/>
  <c r="V8" s="1"/>
  <c r="R9"/>
  <c r="G19"/>
  <c r="T20"/>
  <c r="V20" s="1"/>
  <c r="M27"/>
  <c r="G26"/>
  <c r="T19"/>
  <c r="T14"/>
  <c r="S21"/>
  <c r="R6"/>
  <c r="S7"/>
  <c r="T7" s="1"/>
  <c r="V7" s="1"/>
  <c r="G9"/>
  <c r="G10"/>
  <c r="S12"/>
  <c r="G14"/>
  <c r="R27"/>
  <c r="O6"/>
  <c r="R8"/>
  <c r="S9"/>
  <c r="G12"/>
  <c r="U17"/>
  <c r="U29" s="1"/>
  <c r="A31" i="1"/>
  <c r="N17" i="3"/>
  <c r="N29" s="1"/>
  <c r="G20"/>
  <c r="G27" l="1"/>
  <c r="J50" i="2"/>
  <c r="G17" i="3"/>
  <c r="M29"/>
  <c r="R17"/>
  <c r="R29" s="1"/>
  <c r="O27"/>
  <c r="S27"/>
  <c r="T5"/>
  <c r="S17"/>
  <c r="V14"/>
  <c r="V19"/>
  <c r="T12"/>
  <c r="T9"/>
  <c r="T21"/>
  <c r="V21" s="1"/>
  <c r="T6"/>
  <c r="V6" s="1"/>
  <c r="O17"/>
  <c r="O29" s="1"/>
  <c r="G29" l="1"/>
  <c r="S29"/>
  <c r="T27"/>
  <c r="V5"/>
  <c r="T17"/>
  <c r="V12"/>
  <c r="V9"/>
  <c r="V27"/>
  <c r="T29" l="1"/>
  <c r="V17"/>
  <c r="V29" s="1"/>
</calcChain>
</file>

<file path=xl/sharedStrings.xml><?xml version="1.0" encoding="utf-8"?>
<sst xmlns="http://schemas.openxmlformats.org/spreadsheetml/2006/main" count="251" uniqueCount="158">
  <si>
    <t>INCOME   AND   EXPENDITURE   A/C   FOR   THE   YEAR   ENDED   31ST  MARCH  2025</t>
  </si>
  <si>
    <t>Previous Year</t>
  </si>
  <si>
    <t>EXPENDITURE</t>
  </si>
  <si>
    <t>Current Year</t>
  </si>
  <si>
    <t>INCOME</t>
  </si>
  <si>
    <t>Property Expenses</t>
  </si>
  <si>
    <t>Collection From Members</t>
  </si>
  <si>
    <t xml:space="preserve">Maintenance Charges </t>
  </si>
  <si>
    <t xml:space="preserve">Water Charges </t>
  </si>
  <si>
    <t>Electricity Charges</t>
  </si>
  <si>
    <t xml:space="preserve">Parking Charges </t>
  </si>
  <si>
    <t>Establishment Expenses</t>
  </si>
  <si>
    <t xml:space="preserve">Insurance Charges </t>
  </si>
  <si>
    <t xml:space="preserve">Interest from Members </t>
  </si>
  <si>
    <t xml:space="preserve">Other Income </t>
  </si>
  <si>
    <t>Printing &amp; Stationery</t>
  </si>
  <si>
    <t xml:space="preserve">Security Charges </t>
  </si>
  <si>
    <t xml:space="preserve">Accounting Charges </t>
  </si>
  <si>
    <t>Dividend from MDCC Bank</t>
  </si>
  <si>
    <t xml:space="preserve">Bank Charges </t>
  </si>
  <si>
    <t>Conveyance Charges</t>
  </si>
  <si>
    <t>Depreciation</t>
  </si>
  <si>
    <t>Sinking Fund</t>
  </si>
  <si>
    <t>Misc. Expenses</t>
  </si>
  <si>
    <t xml:space="preserve">                                              TOTAL  RS.</t>
  </si>
  <si>
    <t>AS PER REPORT OF EVEN DATE</t>
  </si>
  <si>
    <t>CHAIRMAN                    SECRETARY                        TREASURER</t>
  </si>
  <si>
    <t>B A L A N C E   S H E E T   A S   A T   31 ST  M A R C H   2025</t>
  </si>
  <si>
    <t>LIABILITIES</t>
  </si>
  <si>
    <t>ASSETS</t>
  </si>
  <si>
    <t>AUTHORISED SHARE CAPITAL</t>
  </si>
  <si>
    <t>Cash &amp; Bank Balances</t>
  </si>
  <si>
    <t>Cash in Hand</t>
  </si>
  <si>
    <t>SUBSCRIBED &amp; PAID UP CAPITAL</t>
  </si>
  <si>
    <t>As per Last B/s.</t>
  </si>
  <si>
    <t>Land &amp; Building</t>
  </si>
  <si>
    <t>Land &amp; Building at Cost</t>
  </si>
  <si>
    <t xml:space="preserve">Accrued Interest </t>
  </si>
  <si>
    <t>Security Deposit - Adani Electricity</t>
  </si>
  <si>
    <t xml:space="preserve">Furniture &amp; Fixture </t>
  </si>
  <si>
    <t xml:space="preserve">Members Contri. Towards </t>
  </si>
  <si>
    <t>TDS on FD Interest</t>
  </si>
  <si>
    <t>Current Liabilities</t>
  </si>
  <si>
    <t>Advance from Members</t>
  </si>
  <si>
    <t>Provisions</t>
  </si>
  <si>
    <t xml:space="preserve">Electricity Charges </t>
  </si>
  <si>
    <t>Income &amp; Expenditure Account</t>
  </si>
  <si>
    <t>Add: Excess of Income Over Expenditure</t>
  </si>
  <si>
    <t>TOTAL</t>
  </si>
  <si>
    <t>AS PER MY REPORT OF EVEN DATE</t>
  </si>
  <si>
    <t xml:space="preserve"> CHAIRMAN                            SECRETARY                   TREASURER</t>
  </si>
  <si>
    <t>DETAILS ON FIXED DEPOSITS AS ON 31ST MARCH 2025</t>
  </si>
  <si>
    <t>Receipt No.</t>
  </si>
  <si>
    <t xml:space="preserve">Date </t>
  </si>
  <si>
    <t>Amount</t>
  </si>
  <si>
    <t>Acc. Int. Upto 31.03.2024</t>
  </si>
  <si>
    <t>Acc. Int. for 2024-2025</t>
  </si>
  <si>
    <t>Balance</t>
  </si>
  <si>
    <t>Mat.Date</t>
  </si>
  <si>
    <t>Mat. Valve</t>
  </si>
  <si>
    <t>Int. Rate</t>
  </si>
  <si>
    <t>FD NO.</t>
  </si>
  <si>
    <t>FD</t>
  </si>
  <si>
    <t>AI</t>
  </si>
  <si>
    <t>FDI</t>
  </si>
  <si>
    <t>FDI-TDS</t>
  </si>
  <si>
    <t>AI-TDS</t>
  </si>
  <si>
    <t>TOT-TDS</t>
  </si>
  <si>
    <t>FDI-AI</t>
  </si>
  <si>
    <t>TOT-FDI</t>
  </si>
  <si>
    <t>AS PER BANK</t>
  </si>
  <si>
    <t>DIFF.</t>
  </si>
  <si>
    <t>ok</t>
  </si>
  <si>
    <t>MDCC Bank</t>
  </si>
  <si>
    <t>Total:</t>
  </si>
  <si>
    <t>Grand Total:</t>
  </si>
  <si>
    <t>CORONET CO-OPERATIVE HOUSING SOCIETY LTD</t>
  </si>
  <si>
    <t>For Coronet Co-op. Housing Ltd.</t>
  </si>
  <si>
    <t>CORONET CO-OP. HOUSING SOCIETY LTD.</t>
  </si>
  <si>
    <t>Saraswat Bank</t>
  </si>
  <si>
    <t>Citizen Bank</t>
  </si>
  <si>
    <t>QTR INT.</t>
  </si>
  <si>
    <t>27.12.2023</t>
  </si>
  <si>
    <t>10.05.2025</t>
  </si>
  <si>
    <t>03.05.2024</t>
  </si>
  <si>
    <t>25.09.2025</t>
  </si>
  <si>
    <t>08.02.2024</t>
  </si>
  <si>
    <t>11.09.2024</t>
  </si>
  <si>
    <t>25.09.2024</t>
  </si>
  <si>
    <t>22.06.2025</t>
  </si>
  <si>
    <t>26.06.2025</t>
  </si>
  <si>
    <t>15.09.2025</t>
  </si>
  <si>
    <t>24.01.2028</t>
  </si>
  <si>
    <t>TD0000097942</t>
  </si>
  <si>
    <t>TD0000097947</t>
  </si>
  <si>
    <t>TD0000097948</t>
  </si>
  <si>
    <t>TD0000097949</t>
  </si>
  <si>
    <t>TD0000097950</t>
  </si>
  <si>
    <t>TD0000097951</t>
  </si>
  <si>
    <t>TD0000097952</t>
  </si>
  <si>
    <t>TD0000097953</t>
  </si>
  <si>
    <t>05.12.2023</t>
  </si>
  <si>
    <t>05.12.2025</t>
  </si>
  <si>
    <t>TD0000097954</t>
  </si>
  <si>
    <t>TD0000097955</t>
  </si>
  <si>
    <t>TD0000097956</t>
  </si>
  <si>
    <t>TD0000097957</t>
  </si>
  <si>
    <t>09.02.2026</t>
  </si>
  <si>
    <t>09.02.2025</t>
  </si>
  <si>
    <t>REN</t>
  </si>
  <si>
    <t>Salary to Staff</t>
  </si>
  <si>
    <t>Statutory Audit Fees</t>
  </si>
  <si>
    <t>Repairs &amp; Maintenance Expenses</t>
  </si>
  <si>
    <t>Electric Maintenance</t>
  </si>
  <si>
    <t>Lift Maintenance</t>
  </si>
  <si>
    <t>Meeting Expenses</t>
  </si>
  <si>
    <t xml:space="preserve">Non Occupancy Charges </t>
  </si>
  <si>
    <t>Bank Interest on Saving Account</t>
  </si>
  <si>
    <t>Interest on FD with Bank</t>
  </si>
  <si>
    <t>Citizen Credit Bank (2090052000009109)</t>
  </si>
  <si>
    <t>Investments</t>
  </si>
  <si>
    <t>FD with Saraswat Bank</t>
  </si>
  <si>
    <t>FD with Citizen Bank</t>
  </si>
  <si>
    <t>Shares-St Sebastian Co-Op. Hsg. Soc. Ltd.</t>
  </si>
  <si>
    <t>Dues from Members</t>
  </si>
  <si>
    <t>Fixed Assets</t>
  </si>
  <si>
    <t>Less:Depreciation @10%</t>
  </si>
  <si>
    <t>Gansis Telecom &amp; Security</t>
  </si>
  <si>
    <t>Less:Depreciation @15%</t>
  </si>
  <si>
    <t>60 Shares of Rs.50/- Each</t>
  </si>
  <si>
    <t>600 Shares of Rs.50/- Each</t>
  </si>
  <si>
    <t xml:space="preserve">General Reserve </t>
  </si>
  <si>
    <t>Balance as per Last Balance Sheet</t>
  </si>
  <si>
    <t>Add:Contribution during the year</t>
  </si>
  <si>
    <t>Salaries</t>
  </si>
  <si>
    <t xml:space="preserve">Service Charges </t>
  </si>
  <si>
    <t xml:space="preserve">Municipal Taxes </t>
  </si>
  <si>
    <t>Municipal Taxes (2023-24)</t>
  </si>
  <si>
    <t xml:space="preserve">Property Taxes </t>
  </si>
  <si>
    <t>Propwerty Taxes (2023-24)</t>
  </si>
  <si>
    <t>Accounting Manager Salary</t>
  </si>
  <si>
    <t>Legal &amp; Professional Fees</t>
  </si>
  <si>
    <t>Sundry Debtors &amp; Deposits</t>
  </si>
  <si>
    <t>Add: A.Y. 2025-26</t>
  </si>
  <si>
    <t>Repair Fund</t>
  </si>
  <si>
    <t>Water Charges</t>
  </si>
  <si>
    <t>Add:Major Repair Fund</t>
  </si>
  <si>
    <t>Less: Utilised for Bldg. Repairing &amp; Waterproofing Work</t>
  </si>
  <si>
    <t>Less: Utilised for External Materials Expenses</t>
  </si>
  <si>
    <t>Add: Trfd. from I&amp;E account</t>
  </si>
  <si>
    <t>Undentified Amount</t>
  </si>
  <si>
    <t>Retention Money (MS Enterprises)</t>
  </si>
  <si>
    <t>MS Enterprises Payable</t>
  </si>
  <si>
    <t>Add:Last year excess provisions of Audit fees w/back</t>
  </si>
  <si>
    <t xml:space="preserve">Less:Last year prematurity FD No.7943 to7946 </t>
  </si>
  <si>
    <t>Less: Trfd. to  repair fund account</t>
  </si>
  <si>
    <r>
      <rPr>
        <sz val="11"/>
        <rFont val="Arial MT"/>
        <family val="2"/>
      </rPr>
      <t>Excess of Income over Expenditures</t>
    </r>
  </si>
  <si>
    <t>0.00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</si>
</sst>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</numFmts>
  <fonts count="20">
    <font>
      <sz val="10"/>
      <name val="Arial"/>
    </font>
    <font>
      <sz val="10"/>
      <name val="Arial"/>
    </font>
    <font>
      <b/>
      <sz val="16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sz val="11"/>
      <color rgb="FF000000"/>
      <name val="Arial"/>
      <family val="2"/>
    </font>
    <font>
      <u/>
      <sz val="11"/>
      <name val="Arial"/>
      <family val="2"/>
    </font>
    <font>
      <b/>
      <sz val="18"/>
      <name val="Bookman Old Style"/>
      <family val="1"/>
    </font>
    <font>
      <b/>
      <sz val="12"/>
      <name val="Arial"/>
      <family val="2"/>
    </font>
    <font>
      <b/>
      <u/>
      <sz val="12"/>
      <name val="Arial"/>
      <family val="2"/>
    </font>
    <font>
      <sz val="11"/>
      <color rgb="FF000000"/>
      <name val="Arial MT"/>
      <family val="2"/>
    </font>
    <font>
      <sz val="11"/>
      <name val="Arial MT"/>
    </font>
    <font>
      <sz val="11"/>
      <name val="Arial MT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6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center"/>
    </xf>
    <xf numFmtId="0" fontId="0" fillId="0" borderId="9" xfId="0" applyBorder="1"/>
    <xf numFmtId="0" fontId="5" fillId="0" borderId="10" xfId="0" applyFont="1" applyBorder="1"/>
    <xf numFmtId="0" fontId="0" fillId="0" borderId="10" xfId="0" applyBorder="1"/>
    <xf numFmtId="164" fontId="3" fillId="0" borderId="11" xfId="1" applyFont="1" applyBorder="1" applyAlignment="1">
      <alignment horizontal="right" vertical="center"/>
    </xf>
    <xf numFmtId="164" fontId="3" fillId="0" borderId="0" xfId="1" applyFont="1" applyBorder="1" applyAlignment="1">
      <alignment horizontal="right" vertical="center"/>
    </xf>
    <xf numFmtId="0" fontId="0" fillId="0" borderId="14" xfId="0" applyBorder="1"/>
    <xf numFmtId="164" fontId="0" fillId="0" borderId="0" xfId="0" applyNumberFormat="1"/>
    <xf numFmtId="2" fontId="0" fillId="0" borderId="0" xfId="0" applyNumberFormat="1"/>
    <xf numFmtId="43" fontId="0" fillId="0" borderId="0" xfId="0" applyNumberFormat="1"/>
    <xf numFmtId="4" fontId="4" fillId="0" borderId="17" xfId="0" applyNumberFormat="1" applyFont="1" applyBorder="1" applyAlignment="1">
      <alignment horizontal="right"/>
    </xf>
    <xf numFmtId="0" fontId="4" fillId="0" borderId="6" xfId="0" applyFont="1" applyBorder="1" applyAlignment="1">
      <alignment horizontal="left" vertical="center"/>
    </xf>
    <xf numFmtId="164" fontId="4" fillId="0" borderId="17" xfId="1" applyFont="1" applyBorder="1" applyAlignment="1">
      <alignment vertical="center"/>
    </xf>
    <xf numFmtId="164" fontId="4" fillId="0" borderId="18" xfId="1" applyFont="1" applyBorder="1" applyAlignment="1">
      <alignment vertical="center"/>
    </xf>
    <xf numFmtId="0" fontId="4" fillId="0" borderId="6" xfId="0" applyFont="1" applyBorder="1" applyAlignment="1">
      <alignment horizontal="right" vertical="center"/>
    </xf>
    <xf numFmtId="0" fontId="6" fillId="0" borderId="14" xfId="0" applyFont="1" applyBorder="1"/>
    <xf numFmtId="4" fontId="7" fillId="0" borderId="11" xfId="0" applyNumberFormat="1" applyFont="1" applyBorder="1" applyAlignment="1">
      <alignment horizontal="left" indent="1"/>
    </xf>
    <xf numFmtId="164" fontId="7" fillId="0" borderId="0" xfId="1" applyFont="1" applyBorder="1"/>
    <xf numFmtId="0" fontId="7" fillId="0" borderId="11" xfId="0" applyFont="1" applyBorder="1" applyAlignment="1">
      <alignment horizontal="left" indent="1"/>
    </xf>
    <xf numFmtId="164" fontId="7" fillId="0" borderId="13" xfId="1" applyFont="1" applyBorder="1"/>
    <xf numFmtId="0" fontId="7" fillId="0" borderId="0" xfId="0" applyFont="1" applyBorder="1" applyAlignment="1">
      <alignment horizontal="left" indent="1"/>
    </xf>
    <xf numFmtId="0" fontId="6" fillId="0" borderId="0" xfId="0" applyFont="1" applyBorder="1"/>
    <xf numFmtId="164" fontId="6" fillId="0" borderId="0" xfId="0" applyNumberFormat="1" applyFont="1" applyBorder="1"/>
    <xf numFmtId="0" fontId="6" fillId="0" borderId="13" xfId="0" applyFont="1" applyBorder="1"/>
    <xf numFmtId="0" fontId="0" fillId="0" borderId="0" xfId="0" applyBorder="1"/>
    <xf numFmtId="0" fontId="0" fillId="0" borderId="13" xfId="0" applyBorder="1"/>
    <xf numFmtId="0" fontId="0" fillId="0" borderId="15" xfId="0" applyBorder="1"/>
    <xf numFmtId="0" fontId="0" fillId="0" borderId="19" xfId="0" applyBorder="1"/>
    <xf numFmtId="0" fontId="0" fillId="0" borderId="20" xfId="0" applyBorder="1"/>
    <xf numFmtId="0" fontId="9" fillId="0" borderId="9" xfId="0" applyFont="1" applyBorder="1" applyAlignment="1">
      <alignment horizontal="center" vertical="center"/>
    </xf>
    <xf numFmtId="164" fontId="10" fillId="0" borderId="1" xfId="1" applyFont="1" applyBorder="1" applyAlignment="1">
      <alignment vertical="center"/>
    </xf>
    <xf numFmtId="164" fontId="10" fillId="0" borderId="2" xfId="1" applyFont="1" applyBorder="1" applyAlignment="1">
      <alignment horizontal="center" vertical="center"/>
    </xf>
    <xf numFmtId="164" fontId="10" fillId="0" borderId="4" xfId="1" applyFont="1" applyBorder="1"/>
    <xf numFmtId="164" fontId="10" fillId="0" borderId="0" xfId="1" applyFont="1" applyBorder="1" applyAlignment="1">
      <alignment horizontal="center" vertical="center"/>
    </xf>
    <xf numFmtId="164" fontId="10" fillId="0" borderId="4" xfId="1" quotePrefix="1" applyFont="1" applyBorder="1" applyAlignment="1">
      <alignment horizontal="right" vertical="center"/>
    </xf>
    <xf numFmtId="164" fontId="10" fillId="0" borderId="0" xfId="1" applyFont="1" applyBorder="1" applyAlignment="1">
      <alignment vertical="center"/>
    </xf>
    <xf numFmtId="164" fontId="10" fillId="0" borderId="21" xfId="1" applyFont="1" applyBorder="1" applyAlignment="1">
      <alignment vertical="center"/>
    </xf>
    <xf numFmtId="164" fontId="10" fillId="0" borderId="0" xfId="1" applyFont="1" applyFill="1" applyBorder="1" applyAlignment="1">
      <alignment vertical="center"/>
    </xf>
    <xf numFmtId="164" fontId="10" fillId="0" borderId="0" xfId="1" applyFont="1" applyBorder="1"/>
    <xf numFmtId="164" fontId="10" fillId="0" borderId="4" xfId="1" applyFont="1" applyFill="1" applyBorder="1" applyAlignment="1">
      <alignment vertical="center"/>
    </xf>
    <xf numFmtId="164" fontId="10" fillId="0" borderId="0" xfId="1" applyFont="1" applyFill="1" applyBorder="1" applyAlignment="1">
      <alignment horizontal="right" vertical="center"/>
    </xf>
    <xf numFmtId="164" fontId="10" fillId="0" borderId="22" xfId="1" applyFont="1" applyBorder="1"/>
    <xf numFmtId="164" fontId="10" fillId="0" borderId="21" xfId="1" applyFont="1" applyBorder="1" applyAlignment="1">
      <alignment horizontal="right" vertical="center"/>
    </xf>
    <xf numFmtId="164" fontId="9" fillId="0" borderId="23" xfId="1" applyFont="1" applyBorder="1" applyAlignment="1">
      <alignment vertical="center"/>
    </xf>
    <xf numFmtId="0" fontId="6" fillId="0" borderId="4" xfId="0" applyFont="1" applyBorder="1"/>
    <xf numFmtId="164" fontId="7" fillId="0" borderId="0" xfId="1" applyFont="1" applyBorder="1" applyAlignment="1">
      <alignment vertical="center"/>
    </xf>
    <xf numFmtId="164" fontId="6" fillId="0" borderId="0" xfId="1" applyFont="1" applyBorder="1" applyAlignment="1">
      <alignment vertical="center"/>
    </xf>
    <xf numFmtId="165" fontId="0" fillId="0" borderId="0" xfId="0" applyNumberFormat="1"/>
    <xf numFmtId="164" fontId="7" fillId="0" borderId="5" xfId="1" applyFont="1" applyBorder="1" applyAlignment="1">
      <alignment vertical="center"/>
    </xf>
    <xf numFmtId="0" fontId="6" fillId="0" borderId="0" xfId="0" applyFont="1" applyBorder="1" applyAlignment="1">
      <alignment horizontal="left" vertical="center" indent="1"/>
    </xf>
    <xf numFmtId="0" fontId="0" fillId="0" borderId="5" xfId="0" applyBorder="1"/>
    <xf numFmtId="0" fontId="0" fillId="0" borderId="4" xfId="0" applyBorder="1"/>
    <xf numFmtId="43" fontId="0" fillId="0" borderId="0" xfId="0" applyNumberFormat="1" applyBorder="1"/>
    <xf numFmtId="0" fontId="0" fillId="0" borderId="22" xfId="0" applyBorder="1"/>
    <xf numFmtId="0" fontId="0" fillId="0" borderId="21" xfId="0" applyBorder="1"/>
    <xf numFmtId="0" fontId="0" fillId="0" borderId="26" xfId="0" applyBorder="1"/>
    <xf numFmtId="0" fontId="5" fillId="0" borderId="6" xfId="0" applyFont="1" applyBorder="1" applyAlignment="1">
      <alignment horizontal="center"/>
    </xf>
    <xf numFmtId="4" fontId="15" fillId="0" borderId="6" xfId="0" applyNumberFormat="1" applyFont="1" applyBorder="1" applyAlignment="1">
      <alignment horizontal="center"/>
    </xf>
    <xf numFmtId="4" fontId="15" fillId="0" borderId="6" xfId="0" applyNumberFormat="1" applyFont="1" applyBorder="1" applyAlignment="1"/>
    <xf numFmtId="4" fontId="16" fillId="0" borderId="6" xfId="0" applyNumberFormat="1" applyFont="1" applyBorder="1" applyAlignment="1"/>
    <xf numFmtId="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4" fontId="16" fillId="0" borderId="6" xfId="0" applyNumberFormat="1" applyFont="1" applyBorder="1" applyAlignment="1">
      <alignment horizontal="center"/>
    </xf>
    <xf numFmtId="4" fontId="16" fillId="0" borderId="6" xfId="0" applyNumberFormat="1" applyFont="1" applyBorder="1" applyAlignment="1">
      <alignment wrapText="1"/>
    </xf>
    <xf numFmtId="0" fontId="5" fillId="0" borderId="0" xfId="0" applyFont="1"/>
    <xf numFmtId="0" fontId="5" fillId="0" borderId="6" xfId="0" applyFont="1" applyBorder="1"/>
    <xf numFmtId="4" fontId="15" fillId="0" borderId="6" xfId="0" applyNumberFormat="1" applyFont="1" applyBorder="1" applyAlignment="1">
      <alignment vertical="center"/>
    </xf>
    <xf numFmtId="164" fontId="0" fillId="0" borderId="0" xfId="1" applyFont="1"/>
    <xf numFmtId="0" fontId="6" fillId="0" borderId="6" xfId="0" applyFont="1" applyBorder="1" applyAlignment="1">
      <alignment horizontal="center"/>
    </xf>
    <xf numFmtId="4" fontId="6" fillId="0" borderId="6" xfId="0" applyNumberFormat="1" applyFont="1" applyBorder="1" applyAlignment="1">
      <alignment horizontal="center"/>
    </xf>
    <xf numFmtId="164" fontId="0" fillId="0" borderId="6" xfId="1" applyFont="1" applyBorder="1" applyAlignment="1"/>
    <xf numFmtId="4" fontId="0" fillId="0" borderId="6" xfId="0" applyNumberFormat="1" applyBorder="1" applyAlignment="1"/>
    <xf numFmtId="164" fontId="0" fillId="0" borderId="6" xfId="1" applyFont="1" applyBorder="1" applyAlignment="1">
      <alignment horizontal="right"/>
    </xf>
    <xf numFmtId="0" fontId="6" fillId="0" borderId="0" xfId="0" applyFont="1"/>
    <xf numFmtId="2" fontId="0" fillId="0" borderId="6" xfId="1" applyNumberFormat="1" applyFont="1" applyBorder="1" applyAlignment="1"/>
    <xf numFmtId="0" fontId="0" fillId="0" borderId="6" xfId="0" applyFill="1" applyBorder="1" applyAlignment="1">
      <alignment horizontal="center"/>
    </xf>
    <xf numFmtId="164" fontId="6" fillId="0" borderId="6" xfId="1" applyFont="1" applyFill="1" applyBorder="1"/>
    <xf numFmtId="2" fontId="0" fillId="0" borderId="6" xfId="1" applyNumberFormat="1" applyFont="1" applyBorder="1"/>
    <xf numFmtId="4" fontId="4" fillId="0" borderId="6" xfId="0" applyNumberFormat="1" applyFont="1" applyBorder="1" applyAlignment="1">
      <alignment horizontal="right"/>
    </xf>
    <xf numFmtId="164" fontId="4" fillId="0" borderId="6" xfId="1" applyFont="1" applyBorder="1" applyAlignment="1"/>
    <xf numFmtId="0" fontId="0" fillId="0" borderId="6" xfId="0" applyBorder="1"/>
    <xf numFmtId="0" fontId="6" fillId="0" borderId="6" xfId="0" applyFont="1" applyBorder="1"/>
    <xf numFmtId="4" fontId="6" fillId="0" borderId="6" xfId="0" applyNumberFormat="1" applyFont="1" applyFill="1" applyBorder="1" applyAlignment="1">
      <alignment horizontal="center"/>
    </xf>
    <xf numFmtId="0" fontId="6" fillId="0" borderId="6" xfId="0" applyFont="1" applyFill="1" applyBorder="1"/>
    <xf numFmtId="164" fontId="4" fillId="0" borderId="6" xfId="1" applyFont="1" applyBorder="1"/>
    <xf numFmtId="164" fontId="6" fillId="0" borderId="6" xfId="1" applyFont="1" applyBorder="1"/>
    <xf numFmtId="164" fontId="0" fillId="0" borderId="6" xfId="1" applyFont="1" applyFill="1" applyBorder="1" applyAlignment="1">
      <alignment horizontal="center"/>
    </xf>
    <xf numFmtId="0" fontId="0" fillId="0" borderId="6" xfId="0" applyFill="1" applyBorder="1" applyAlignment="1">
      <alignment horizontal="left"/>
    </xf>
    <xf numFmtId="0" fontId="4" fillId="0" borderId="6" xfId="0" applyFont="1" applyBorder="1" applyAlignment="1">
      <alignment horizontal="right"/>
    </xf>
    <xf numFmtId="164" fontId="4" fillId="0" borderId="0" xfId="1" applyFont="1" applyFill="1" applyBorder="1"/>
    <xf numFmtId="0" fontId="3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2" fontId="0" fillId="0" borderId="6" xfId="0" applyNumberFormat="1" applyFill="1" applyBorder="1" applyAlignment="1"/>
    <xf numFmtId="2" fontId="6" fillId="0" borderId="6" xfId="1" applyNumberFormat="1" applyFont="1" applyBorder="1"/>
    <xf numFmtId="2" fontId="4" fillId="0" borderId="6" xfId="1" applyNumberFormat="1" applyFont="1" applyBorder="1"/>
    <xf numFmtId="0" fontId="5" fillId="0" borderId="11" xfId="0" applyFont="1" applyBorder="1"/>
    <xf numFmtId="0" fontId="10" fillId="0" borderId="0" xfId="0" applyFont="1"/>
    <xf numFmtId="164" fontId="10" fillId="0" borderId="0" xfId="1" applyFont="1" applyFill="1" applyBorder="1"/>
    <xf numFmtId="164" fontId="10" fillId="0" borderId="19" xfId="1" applyFont="1" applyFill="1" applyBorder="1" applyAlignment="1">
      <alignment vertical="center"/>
    </xf>
    <xf numFmtId="2" fontId="10" fillId="0" borderId="4" xfId="1" applyNumberFormat="1" applyFont="1" applyBorder="1"/>
    <xf numFmtId="2" fontId="10" fillId="0" borderId="4" xfId="1" applyNumberFormat="1" applyFont="1" applyFill="1" applyBorder="1"/>
    <xf numFmtId="164" fontId="3" fillId="0" borderId="0" xfId="1" applyFont="1" applyFill="1" applyBorder="1" applyAlignment="1">
      <alignment horizontal="right" vertical="center"/>
    </xf>
    <xf numFmtId="164" fontId="10" fillId="0" borderId="19" xfId="1" applyFont="1" applyBorder="1"/>
    <xf numFmtId="0" fontId="11" fillId="0" borderId="10" xfId="0" applyFont="1" applyBorder="1" applyAlignment="1">
      <alignment vertical="center"/>
    </xf>
    <xf numFmtId="164" fontId="10" fillId="0" borderId="12" xfId="1" applyFont="1" applyBorder="1" applyAlignment="1">
      <alignment vertical="center"/>
    </xf>
    <xf numFmtId="164" fontId="11" fillId="0" borderId="12" xfId="1" applyFont="1" applyBorder="1" applyAlignment="1">
      <alignment vertical="center"/>
    </xf>
    <xf numFmtId="164" fontId="10" fillId="0" borderId="12" xfId="1" applyFont="1" applyBorder="1"/>
    <xf numFmtId="164" fontId="10" fillId="0" borderId="12" xfId="1" applyFont="1" applyFill="1" applyBorder="1" applyAlignment="1">
      <alignment vertical="center"/>
    </xf>
    <xf numFmtId="164" fontId="13" fillId="0" borderId="12" xfId="1" applyFont="1" applyBorder="1" applyAlignment="1">
      <alignment vertical="center"/>
    </xf>
    <xf numFmtId="164" fontId="11" fillId="0" borderId="12" xfId="1" applyFont="1" applyBorder="1"/>
    <xf numFmtId="164" fontId="10" fillId="0" borderId="12" xfId="1" applyFont="1" applyFill="1" applyBorder="1"/>
    <xf numFmtId="164" fontId="10" fillId="0" borderId="16" xfId="1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164" fontId="10" fillId="0" borderId="19" xfId="1" applyFont="1" applyFill="1" applyBorder="1" applyAlignment="1">
      <alignment horizontal="right" vertical="center"/>
    </xf>
    <xf numFmtId="0" fontId="5" fillId="0" borderId="12" xfId="0" applyFont="1" applyBorder="1" applyAlignment="1">
      <alignment horizontal="center" vertical="center"/>
    </xf>
    <xf numFmtId="164" fontId="9" fillId="0" borderId="30" xfId="1" applyFont="1" applyBorder="1" applyAlignment="1">
      <alignment vertical="center"/>
    </xf>
    <xf numFmtId="164" fontId="10" fillId="0" borderId="10" xfId="1" applyFont="1" applyBorder="1" applyAlignment="1">
      <alignment horizontal="center" vertical="center"/>
    </xf>
    <xf numFmtId="164" fontId="10" fillId="0" borderId="12" xfId="1" applyFont="1" applyBorder="1" applyAlignment="1">
      <alignment horizontal="center" vertical="center"/>
    </xf>
    <xf numFmtId="164" fontId="10" fillId="0" borderId="12" xfId="1" applyFont="1" applyFill="1" applyBorder="1" applyAlignment="1">
      <alignment horizontal="center" vertical="center"/>
    </xf>
    <xf numFmtId="164" fontId="10" fillId="0" borderId="12" xfId="1" applyFont="1" applyFill="1" applyBorder="1" applyAlignment="1">
      <alignment horizontal="right" vertical="center"/>
    </xf>
    <xf numFmtId="164" fontId="10" fillId="0" borderId="16" xfId="1" applyFont="1" applyBorder="1" applyAlignment="1">
      <alignment horizontal="center" vertical="center"/>
    </xf>
    <xf numFmtId="164" fontId="10" fillId="0" borderId="21" xfId="1" applyFont="1" applyBorder="1"/>
    <xf numFmtId="164" fontId="10" fillId="0" borderId="10" xfId="1" applyFont="1" applyBorder="1" applyAlignment="1">
      <alignment vertical="center"/>
    </xf>
    <xf numFmtId="164" fontId="10" fillId="0" borderId="12" xfId="1" quotePrefix="1" applyFont="1" applyBorder="1" applyAlignment="1">
      <alignment horizontal="right" vertical="center"/>
    </xf>
    <xf numFmtId="164" fontId="10" fillId="0" borderId="12" xfId="1" applyFont="1" applyBorder="1" applyAlignment="1">
      <alignment horizontal="right"/>
    </xf>
    <xf numFmtId="164" fontId="12" fillId="0" borderId="12" xfId="1" applyFont="1" applyFill="1" applyBorder="1" applyAlignment="1">
      <alignment horizontal="right" vertical="top" shrinkToFit="1"/>
    </xf>
    <xf numFmtId="164" fontId="10" fillId="0" borderId="12" xfId="1" applyFont="1" applyFill="1" applyBorder="1" applyAlignment="1">
      <alignment horizontal="right" vertical="top" wrapText="1"/>
    </xf>
    <xf numFmtId="2" fontId="10" fillId="0" borderId="12" xfId="1" applyNumberFormat="1" applyFont="1" applyBorder="1" applyAlignment="1">
      <alignment vertical="center"/>
    </xf>
    <xf numFmtId="164" fontId="10" fillId="0" borderId="16" xfId="1" applyFont="1" applyBorder="1" applyAlignment="1">
      <alignment horizontal="right"/>
    </xf>
    <xf numFmtId="0" fontId="11" fillId="0" borderId="2" xfId="0" applyFont="1" applyBorder="1" applyAlignment="1">
      <alignment vertical="center"/>
    </xf>
    <xf numFmtId="164" fontId="11" fillId="0" borderId="0" xfId="1" applyFont="1" applyFill="1" applyBorder="1" applyAlignment="1">
      <alignment vertical="center"/>
    </xf>
    <xf numFmtId="164" fontId="13" fillId="0" borderId="0" xfId="1" applyFont="1" applyFill="1" applyBorder="1" applyAlignment="1">
      <alignment vertical="center"/>
    </xf>
    <xf numFmtId="164" fontId="11" fillId="0" borderId="0" xfId="1" applyFont="1" applyBorder="1"/>
    <xf numFmtId="164" fontId="10" fillId="0" borderId="30" xfId="1" applyFont="1" applyBorder="1" applyAlignment="1">
      <alignment vertical="center"/>
    </xf>
    <xf numFmtId="164" fontId="10" fillId="0" borderId="16" xfId="1" applyFont="1" applyBorder="1" applyAlignment="1">
      <alignment horizontal="right" vertical="center"/>
    </xf>
    <xf numFmtId="164" fontId="9" fillId="0" borderId="32" xfId="1" applyFont="1" applyBorder="1" applyAlignment="1">
      <alignment vertical="center"/>
    </xf>
    <xf numFmtId="164" fontId="10" fillId="0" borderId="16" xfId="1" applyFont="1" applyBorder="1"/>
    <xf numFmtId="0" fontId="10" fillId="0" borderId="12" xfId="0" applyFont="1" applyBorder="1"/>
    <xf numFmtId="164" fontId="10" fillId="0" borderId="0" xfId="1" applyFont="1" applyBorder="1" applyAlignment="1">
      <alignment horizontal="right" vertical="center"/>
    </xf>
    <xf numFmtId="0" fontId="10" fillId="0" borderId="0" xfId="0" applyFont="1" applyBorder="1"/>
    <xf numFmtId="164" fontId="10" fillId="0" borderId="14" xfId="1" applyFont="1" applyBorder="1"/>
    <xf numFmtId="0" fontId="10" fillId="0" borderId="12" xfId="0" applyFont="1" applyBorder="1" applyAlignment="1">
      <alignment horizontal="left"/>
    </xf>
    <xf numFmtId="0" fontId="10" fillId="0" borderId="12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0" fontId="10" fillId="0" borderId="0" xfId="0" applyFont="1" applyBorder="1" applyAlignment="1">
      <alignment horizontal="left" vertical="center"/>
    </xf>
    <xf numFmtId="0" fontId="9" fillId="0" borderId="12" xfId="0" applyFont="1" applyBorder="1"/>
    <xf numFmtId="0" fontId="10" fillId="0" borderId="0" xfId="0" applyFont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11" fillId="0" borderId="0" xfId="0" applyFont="1" applyBorder="1"/>
    <xf numFmtId="164" fontId="10" fillId="0" borderId="14" xfId="1" applyFont="1" applyFill="1" applyBorder="1"/>
    <xf numFmtId="164" fontId="10" fillId="0" borderId="12" xfId="1" applyFont="1" applyBorder="1" applyAlignment="1">
      <alignment horizontal="right" vertical="center"/>
    </xf>
    <xf numFmtId="0" fontId="19" fillId="0" borderId="0" xfId="0" applyFont="1" applyFill="1" applyBorder="1" applyAlignment="1">
      <alignment horizontal="left" vertical="top" wrapText="1"/>
    </xf>
    <xf numFmtId="43" fontId="10" fillId="0" borderId="12" xfId="0" applyNumberFormat="1" applyFont="1" applyBorder="1"/>
    <xf numFmtId="0" fontId="18" fillId="0" borderId="12" xfId="0" applyFont="1" applyFill="1" applyBorder="1" applyAlignment="1">
      <alignment horizontal="left" vertical="top" wrapText="1"/>
    </xf>
    <xf numFmtId="164" fontId="10" fillId="0" borderId="15" xfId="1" applyFont="1" applyBorder="1"/>
    <xf numFmtId="0" fontId="10" fillId="0" borderId="16" xfId="0" applyFont="1" applyFill="1" applyBorder="1" applyAlignment="1">
      <alignment horizontal="left"/>
    </xf>
    <xf numFmtId="0" fontId="10" fillId="0" borderId="19" xfId="0" applyFont="1" applyBorder="1" applyAlignment="1">
      <alignment horizontal="left" vertical="center"/>
    </xf>
    <xf numFmtId="0" fontId="10" fillId="0" borderId="16" xfId="0" applyFont="1" applyBorder="1"/>
    <xf numFmtId="164" fontId="17" fillId="0" borderId="12" xfId="1" applyFont="1" applyFill="1" applyBorder="1" applyAlignment="1">
      <alignment horizontal="right" vertical="top" shrinkToFit="1"/>
    </xf>
    <xf numFmtId="164" fontId="0" fillId="0" borderId="0" xfId="1" applyFont="1" applyFill="1" applyBorder="1"/>
    <xf numFmtId="164" fontId="0" fillId="0" borderId="0" xfId="0" applyNumberForma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8" fillId="0" borderId="0" xfId="1" applyFont="1" applyBorder="1" applyAlignment="1">
      <alignment horizontal="center"/>
    </xf>
    <xf numFmtId="164" fontId="8" fillId="0" borderId="13" xfId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4" fontId="8" fillId="0" borderId="5" xfId="1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2" fontId="4" fillId="0" borderId="28" xfId="0" applyNumberFormat="1" applyFont="1" applyBorder="1" applyAlignment="1">
      <alignment horizontal="center"/>
    </xf>
    <xf numFmtId="2" fontId="4" fillId="0" borderId="27" xfId="0" applyNumberFormat="1" applyFont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164" fontId="10" fillId="0" borderId="40" xfId="1" applyFont="1" applyBorder="1" applyAlignment="1">
      <alignment vertical="center"/>
    </xf>
    <xf numFmtId="164" fontId="10" fillId="0" borderId="39" xfId="1" applyFont="1" applyBorder="1" applyAlignment="1">
      <alignment vertical="center"/>
    </xf>
    <xf numFmtId="164" fontId="10" fillId="0" borderId="39" xfId="1" applyFont="1" applyBorder="1"/>
    <xf numFmtId="164" fontId="10" fillId="0" borderId="41" xfId="1" applyFont="1" applyBorder="1"/>
    <xf numFmtId="164" fontId="9" fillId="0" borderId="42" xfId="1" applyFont="1" applyBorder="1" applyAlignment="1">
      <alignment vertical="center"/>
    </xf>
    <xf numFmtId="164" fontId="10" fillId="0" borderId="12" xfId="1" quotePrefix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3"/>
  <sheetViews>
    <sheetView topLeftCell="A16" workbookViewId="0">
      <selection activeCell="B40" sqref="B40"/>
    </sheetView>
  </sheetViews>
  <sheetFormatPr defaultRowHeight="12.75"/>
  <cols>
    <col min="1" max="1" width="14.42578125" customWidth="1"/>
    <col min="2" max="2" width="38.42578125" customWidth="1"/>
    <col min="3" max="3" width="13.7109375" customWidth="1"/>
    <col min="4" max="4" width="1.140625" customWidth="1"/>
    <col min="5" max="5" width="13.85546875" customWidth="1"/>
    <col min="6" max="6" width="39.140625" customWidth="1"/>
    <col min="7" max="7" width="13.7109375" customWidth="1"/>
    <col min="8" max="8" width="9.28515625" bestFit="1" customWidth="1"/>
    <col min="9" max="9" width="10.28515625" bestFit="1" customWidth="1"/>
    <col min="10" max="10" width="10.85546875" bestFit="1" customWidth="1"/>
  </cols>
  <sheetData>
    <row r="1" spans="1:9" ht="20.25">
      <c r="A1" s="168" t="s">
        <v>76</v>
      </c>
      <c r="B1" s="169"/>
      <c r="C1" s="169"/>
      <c r="D1" s="169"/>
      <c r="E1" s="169"/>
      <c r="F1" s="169"/>
      <c r="G1" s="170"/>
    </row>
    <row r="2" spans="1:9">
      <c r="A2" s="171"/>
      <c r="B2" s="172"/>
      <c r="C2" s="172"/>
      <c r="D2" s="172"/>
      <c r="E2" s="172"/>
      <c r="F2" s="172"/>
      <c r="G2" s="173"/>
    </row>
    <row r="3" spans="1:9">
      <c r="A3" s="174" t="s">
        <v>0</v>
      </c>
      <c r="B3" s="175"/>
      <c r="C3" s="175"/>
      <c r="D3" s="175"/>
      <c r="E3" s="175"/>
      <c r="F3" s="175"/>
      <c r="G3" s="176"/>
    </row>
    <row r="4" spans="1:9">
      <c r="A4" s="1"/>
      <c r="B4" s="2"/>
      <c r="C4" s="2"/>
      <c r="D4" s="2"/>
      <c r="E4" s="2"/>
      <c r="F4" s="2"/>
      <c r="G4" s="3"/>
    </row>
    <row r="5" spans="1:9" ht="20.25" customHeight="1">
      <c r="A5" s="4" t="s">
        <v>1</v>
      </c>
      <c r="B5" s="5" t="s">
        <v>2</v>
      </c>
      <c r="C5" s="4" t="s">
        <v>3</v>
      </c>
      <c r="D5" s="6"/>
      <c r="E5" s="4" t="s">
        <v>1</v>
      </c>
      <c r="F5" s="5" t="s">
        <v>4</v>
      </c>
      <c r="G5" s="4" t="s">
        <v>3</v>
      </c>
    </row>
    <row r="6" spans="1:9">
      <c r="A6" s="7"/>
      <c r="B6" s="8" t="s">
        <v>5</v>
      </c>
      <c r="C6" s="9"/>
      <c r="D6" s="10"/>
      <c r="E6" s="9"/>
      <c r="F6" s="102" t="s">
        <v>6</v>
      </c>
      <c r="G6" s="9"/>
    </row>
    <row r="7" spans="1:9" ht="15.75" customHeight="1">
      <c r="A7" s="205" t="s">
        <v>157</v>
      </c>
      <c r="B7" s="144" t="s">
        <v>138</v>
      </c>
      <c r="C7" s="113">
        <v>60902</v>
      </c>
      <c r="D7" s="145"/>
      <c r="E7" s="205" t="s">
        <v>157</v>
      </c>
      <c r="F7" s="146" t="s">
        <v>136</v>
      </c>
      <c r="G7" s="165">
        <v>57760</v>
      </c>
    </row>
    <row r="8" spans="1:9" ht="15.75" customHeight="1">
      <c r="A8" s="205" t="s">
        <v>157</v>
      </c>
      <c r="B8" s="144" t="s">
        <v>139</v>
      </c>
      <c r="C8" s="113">
        <v>62038</v>
      </c>
      <c r="D8" s="145"/>
      <c r="E8" s="205" t="s">
        <v>157</v>
      </c>
      <c r="F8" s="146" t="s">
        <v>137</v>
      </c>
      <c r="G8" s="165">
        <v>56584</v>
      </c>
      <c r="H8" s="11"/>
      <c r="I8" s="30"/>
    </row>
    <row r="9" spans="1:9" ht="15.75" customHeight="1">
      <c r="A9" s="147">
        <v>32492</v>
      </c>
      <c r="B9" s="148" t="s">
        <v>8</v>
      </c>
      <c r="C9" s="113">
        <v>26394</v>
      </c>
      <c r="D9" s="145"/>
      <c r="E9" s="205">
        <v>40824</v>
      </c>
      <c r="F9" s="146" t="s">
        <v>8</v>
      </c>
      <c r="G9" s="165">
        <v>40824</v>
      </c>
      <c r="H9" s="11"/>
      <c r="I9" s="30"/>
    </row>
    <row r="10" spans="1:9" ht="15.75" customHeight="1">
      <c r="A10" s="147">
        <v>20160</v>
      </c>
      <c r="B10" s="149" t="s">
        <v>9</v>
      </c>
      <c r="C10" s="113">
        <v>21339.89</v>
      </c>
      <c r="D10" s="145"/>
      <c r="E10" s="205">
        <v>40200</v>
      </c>
      <c r="F10" s="150" t="s">
        <v>9</v>
      </c>
      <c r="G10" s="165">
        <v>40200</v>
      </c>
      <c r="I10" s="30"/>
    </row>
    <row r="11" spans="1:9" ht="15.75" customHeight="1">
      <c r="A11" s="103"/>
      <c r="B11" s="144"/>
      <c r="C11" s="144"/>
      <c r="D11" s="145"/>
      <c r="E11" s="205">
        <v>8300</v>
      </c>
      <c r="F11" s="151" t="s">
        <v>10</v>
      </c>
      <c r="G11" s="165">
        <v>5100</v>
      </c>
      <c r="I11" s="30"/>
    </row>
    <row r="12" spans="1:9" ht="15.75" customHeight="1">
      <c r="A12" s="147"/>
      <c r="B12" s="152" t="s">
        <v>11</v>
      </c>
      <c r="C12" s="113"/>
      <c r="D12" s="145"/>
      <c r="E12" s="205">
        <v>10560</v>
      </c>
      <c r="F12" s="153" t="s">
        <v>7</v>
      </c>
      <c r="G12" s="165">
        <v>10560</v>
      </c>
      <c r="I12" s="30"/>
    </row>
    <row r="13" spans="1:9" ht="15.75" customHeight="1">
      <c r="A13" s="147">
        <v>168000</v>
      </c>
      <c r="B13" s="148" t="s">
        <v>16</v>
      </c>
      <c r="C13" s="113">
        <v>172250</v>
      </c>
      <c r="D13" s="145"/>
      <c r="E13" s="205">
        <v>7560</v>
      </c>
      <c r="F13" s="153" t="s">
        <v>12</v>
      </c>
      <c r="G13" s="165">
        <v>7560</v>
      </c>
      <c r="I13" s="30"/>
    </row>
    <row r="14" spans="1:9" ht="15.75" customHeight="1">
      <c r="A14" s="147">
        <v>54500</v>
      </c>
      <c r="B14" s="149" t="s">
        <v>110</v>
      </c>
      <c r="C14" s="113">
        <v>40000</v>
      </c>
      <c r="D14" s="145"/>
      <c r="E14" s="205">
        <v>10788</v>
      </c>
      <c r="F14" s="146" t="s">
        <v>116</v>
      </c>
      <c r="G14" s="165">
        <v>9176</v>
      </c>
      <c r="H14" s="166"/>
      <c r="I14" s="167"/>
    </row>
    <row r="15" spans="1:9" ht="15.75" customHeight="1">
      <c r="A15" s="147">
        <v>476</v>
      </c>
      <c r="B15" s="148" t="s">
        <v>15</v>
      </c>
      <c r="C15" s="113">
        <v>1690</v>
      </c>
      <c r="D15" s="145"/>
      <c r="E15" s="205">
        <v>208680</v>
      </c>
      <c r="F15" s="153" t="s">
        <v>135</v>
      </c>
      <c r="G15" s="165">
        <v>208680</v>
      </c>
      <c r="I15" s="30"/>
    </row>
    <row r="16" spans="1:9" ht="15.75" customHeight="1">
      <c r="A16" s="147">
        <v>1200</v>
      </c>
      <c r="B16" s="148" t="s">
        <v>20</v>
      </c>
      <c r="C16" s="113">
        <v>170</v>
      </c>
      <c r="D16" s="145"/>
      <c r="E16" s="205">
        <v>769</v>
      </c>
      <c r="F16" s="154" t="s">
        <v>13</v>
      </c>
      <c r="G16" s="165" t="s">
        <v>157</v>
      </c>
      <c r="I16" s="30"/>
    </row>
    <row r="17" spans="1:10" ht="15.75" customHeight="1">
      <c r="A17" s="147">
        <v>8500</v>
      </c>
      <c r="B17" s="148" t="s">
        <v>140</v>
      </c>
      <c r="C17" s="113">
        <v>31000</v>
      </c>
      <c r="D17" s="145"/>
      <c r="E17" s="205"/>
      <c r="F17" s="103"/>
      <c r="G17" s="165"/>
      <c r="I17" s="30"/>
    </row>
    <row r="18" spans="1:10" ht="15.75" customHeight="1">
      <c r="A18" s="147">
        <v>3000</v>
      </c>
      <c r="B18" s="148" t="s">
        <v>111</v>
      </c>
      <c r="C18" s="113">
        <v>3000</v>
      </c>
      <c r="D18" s="145"/>
      <c r="E18" s="205"/>
      <c r="F18" s="155" t="s">
        <v>14</v>
      </c>
      <c r="G18" s="165"/>
      <c r="I18" s="30"/>
    </row>
    <row r="19" spans="1:10" ht="15.75" customHeight="1">
      <c r="A19" s="147">
        <v>23364</v>
      </c>
      <c r="B19" s="148" t="s">
        <v>12</v>
      </c>
      <c r="C19" s="113">
        <v>23364</v>
      </c>
      <c r="D19" s="145"/>
      <c r="E19" s="205">
        <v>13585</v>
      </c>
      <c r="F19" s="150" t="s">
        <v>117</v>
      </c>
      <c r="G19" s="165">
        <v>6119</v>
      </c>
      <c r="H19" s="14"/>
      <c r="I19" s="30"/>
    </row>
    <row r="20" spans="1:10" ht="15.75" customHeight="1">
      <c r="A20" s="147">
        <v>89162</v>
      </c>
      <c r="B20" s="149" t="s">
        <v>112</v>
      </c>
      <c r="C20" s="113">
        <v>91526</v>
      </c>
      <c r="D20" s="145"/>
      <c r="E20" s="205">
        <v>182262</v>
      </c>
      <c r="F20" s="150" t="s">
        <v>118</v>
      </c>
      <c r="G20" s="165">
        <v>130477</v>
      </c>
      <c r="I20" s="30"/>
    </row>
    <row r="21" spans="1:10" ht="15.75" customHeight="1">
      <c r="A21" s="147">
        <v>99000</v>
      </c>
      <c r="B21" s="148" t="s">
        <v>114</v>
      </c>
      <c r="C21" s="113">
        <v>10600</v>
      </c>
      <c r="D21" s="145"/>
      <c r="E21" s="205">
        <v>18.75</v>
      </c>
      <c r="F21" s="151" t="s">
        <v>18</v>
      </c>
      <c r="G21" s="165">
        <v>18.75</v>
      </c>
      <c r="I21" s="30"/>
    </row>
    <row r="22" spans="1:10" ht="15.75" customHeight="1">
      <c r="A22" s="147">
        <v>4859</v>
      </c>
      <c r="B22" s="149" t="s">
        <v>21</v>
      </c>
      <c r="C22" s="113">
        <v>4131</v>
      </c>
      <c r="D22" s="145"/>
      <c r="E22" s="144"/>
      <c r="F22" s="103"/>
      <c r="G22" s="165"/>
      <c r="I22" s="30"/>
    </row>
    <row r="23" spans="1:10" ht="15.75" customHeight="1">
      <c r="A23" s="156">
        <v>17</v>
      </c>
      <c r="B23" s="149" t="s">
        <v>113</v>
      </c>
      <c r="C23" s="117">
        <v>11295</v>
      </c>
      <c r="D23" s="145"/>
      <c r="E23" s="144"/>
      <c r="F23" s="103"/>
      <c r="G23" s="144"/>
      <c r="H23" s="108"/>
      <c r="I23" s="167"/>
    </row>
    <row r="24" spans="1:10" ht="15.75" customHeight="1">
      <c r="A24" s="147">
        <v>70.8</v>
      </c>
      <c r="B24" s="149" t="s">
        <v>19</v>
      </c>
      <c r="C24" s="113">
        <v>767</v>
      </c>
      <c r="D24" s="145"/>
      <c r="E24" s="144"/>
      <c r="F24" s="146"/>
      <c r="G24" s="144"/>
      <c r="I24" s="30"/>
    </row>
    <row r="25" spans="1:10" ht="15.75" customHeight="1">
      <c r="A25" s="156">
        <v>2090</v>
      </c>
      <c r="B25" s="149" t="s">
        <v>115</v>
      </c>
      <c r="C25" s="117">
        <v>550</v>
      </c>
      <c r="D25" s="145"/>
      <c r="E25" s="157"/>
      <c r="F25" s="151"/>
      <c r="G25" s="144"/>
    </row>
    <row r="26" spans="1:10" ht="15.75" customHeight="1">
      <c r="A26" s="147">
        <v>150</v>
      </c>
      <c r="B26" s="149" t="s">
        <v>23</v>
      </c>
      <c r="C26" s="205" t="s">
        <v>157</v>
      </c>
      <c r="D26" s="145"/>
      <c r="E26" s="157"/>
      <c r="F26" s="158"/>
      <c r="G26" s="159"/>
    </row>
    <row r="27" spans="1:10" ht="15.75" customHeight="1">
      <c r="A27" s="205" t="s">
        <v>157</v>
      </c>
      <c r="B27" s="149" t="s">
        <v>141</v>
      </c>
      <c r="C27" s="113">
        <v>11500</v>
      </c>
      <c r="D27" s="145"/>
      <c r="E27" s="157"/>
      <c r="F27" s="158"/>
      <c r="G27" s="159"/>
    </row>
    <row r="28" spans="1:10" ht="15.75" customHeight="1">
      <c r="A28" s="103"/>
      <c r="B28" s="144"/>
      <c r="C28" s="144"/>
      <c r="D28" s="145"/>
      <c r="E28" s="157"/>
      <c r="F28" s="158"/>
      <c r="G28" s="159"/>
    </row>
    <row r="29" spans="1:10" ht="15.75" customHeight="1">
      <c r="A29" s="147">
        <f>E31-SUM(A7:A27)</f>
        <v>16505.950000000012</v>
      </c>
      <c r="B29" s="160" t="s">
        <v>156</v>
      </c>
      <c r="C29" s="113">
        <f>G31-SUM(C7:C27)</f>
        <v>541.85999999998603</v>
      </c>
      <c r="D29" s="145"/>
      <c r="E29" s="157"/>
      <c r="F29" s="151"/>
      <c r="G29" s="144"/>
    </row>
    <row r="30" spans="1:10" ht="15.75" customHeight="1">
      <c r="A30" s="161"/>
      <c r="B30" s="162"/>
      <c r="C30" s="143"/>
      <c r="D30" s="145"/>
      <c r="E30" s="141"/>
      <c r="F30" s="163"/>
      <c r="G30" s="164"/>
    </row>
    <row r="31" spans="1:10" ht="13.5" thickBot="1">
      <c r="A31" s="16">
        <f>SUM(A9:A29)</f>
        <v>523546.75</v>
      </c>
      <c r="B31" s="17" t="s">
        <v>24</v>
      </c>
      <c r="C31" s="18">
        <f>SUM(C7:C29)</f>
        <v>573058.75</v>
      </c>
      <c r="D31" s="19"/>
      <c r="E31" s="19">
        <f>SUM(E7:E24)</f>
        <v>523546.75</v>
      </c>
      <c r="F31" s="20" t="s">
        <v>24</v>
      </c>
      <c r="G31" s="19">
        <f>SUM(G7:G29)</f>
        <v>573058.75</v>
      </c>
      <c r="J31" s="15"/>
    </row>
    <row r="32" spans="1:10" ht="13.5" thickTop="1">
      <c r="A32" s="21"/>
      <c r="B32" s="22"/>
      <c r="C32" s="23"/>
      <c r="D32" s="23"/>
      <c r="E32" s="23"/>
      <c r="F32" s="24"/>
      <c r="G32" s="25"/>
    </row>
    <row r="33" spans="1:7" ht="18">
      <c r="A33" s="21" t="s">
        <v>25</v>
      </c>
      <c r="B33" s="26"/>
      <c r="C33" s="23"/>
      <c r="D33" s="23"/>
      <c r="E33" s="177" t="s">
        <v>77</v>
      </c>
      <c r="F33" s="177"/>
      <c r="G33" s="178"/>
    </row>
    <row r="34" spans="1:7">
      <c r="A34" s="21"/>
      <c r="B34" s="27"/>
      <c r="C34" s="27"/>
      <c r="D34" s="27"/>
      <c r="E34" s="28"/>
      <c r="F34" s="27"/>
      <c r="G34" s="29"/>
    </row>
    <row r="35" spans="1:7">
      <c r="A35" s="21"/>
      <c r="B35" s="27"/>
      <c r="C35" s="28"/>
      <c r="D35" s="28"/>
      <c r="E35" s="27"/>
      <c r="F35" s="27"/>
      <c r="G35" s="29"/>
    </row>
    <row r="36" spans="1:7">
      <c r="A36" s="21"/>
      <c r="B36" s="27"/>
      <c r="C36" s="28"/>
      <c r="D36" s="28"/>
      <c r="E36" s="27"/>
      <c r="F36" s="27"/>
      <c r="G36" s="29"/>
    </row>
    <row r="37" spans="1:7">
      <c r="A37" s="21"/>
      <c r="B37" s="27"/>
      <c r="C37" s="28"/>
      <c r="D37" s="28"/>
      <c r="E37" s="27"/>
      <c r="F37" s="27"/>
      <c r="G37" s="29"/>
    </row>
    <row r="38" spans="1:7">
      <c r="A38" s="21"/>
      <c r="B38" s="27"/>
      <c r="C38" s="28"/>
      <c r="D38" s="28"/>
      <c r="E38" s="27"/>
      <c r="F38" s="27"/>
      <c r="G38" s="29"/>
    </row>
    <row r="39" spans="1:7">
      <c r="A39" s="21"/>
      <c r="B39" s="27"/>
      <c r="C39" s="27"/>
      <c r="D39" s="27"/>
      <c r="E39" s="27"/>
      <c r="F39" s="27"/>
      <c r="G39" s="29"/>
    </row>
    <row r="40" spans="1:7">
      <c r="A40" s="21"/>
      <c r="B40" s="27"/>
      <c r="C40" s="27"/>
      <c r="D40" s="27"/>
      <c r="E40" s="27"/>
      <c r="F40" s="27"/>
      <c r="G40" s="29"/>
    </row>
    <row r="41" spans="1:7">
      <c r="A41" s="21"/>
      <c r="B41" s="27"/>
      <c r="C41" s="27"/>
      <c r="D41" s="27"/>
      <c r="E41" s="179" t="s">
        <v>26</v>
      </c>
      <c r="F41" s="179"/>
      <c r="G41" s="180"/>
    </row>
    <row r="42" spans="1:7">
      <c r="A42" s="12"/>
      <c r="B42" s="30"/>
      <c r="C42" s="30"/>
      <c r="D42" s="30"/>
      <c r="E42" s="30"/>
      <c r="F42" s="30"/>
      <c r="G42" s="31"/>
    </row>
    <row r="43" spans="1:7">
      <c r="A43" s="32"/>
      <c r="B43" s="33"/>
      <c r="C43" s="33"/>
      <c r="D43" s="33"/>
      <c r="E43" s="33"/>
      <c r="F43" s="33"/>
      <c r="G43" s="34"/>
    </row>
  </sheetData>
  <mergeCells count="5">
    <mergeCell ref="A1:G1"/>
    <mergeCell ref="A2:G2"/>
    <mergeCell ref="A3:G3"/>
    <mergeCell ref="E33:G33"/>
    <mergeCell ref="E41:G4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63"/>
  <sheetViews>
    <sheetView workbookViewId="0">
      <selection sqref="A1:I63"/>
    </sheetView>
  </sheetViews>
  <sheetFormatPr defaultRowHeight="12.75"/>
  <cols>
    <col min="1" max="1" width="17.42578125" customWidth="1"/>
    <col min="2" max="2" width="56.42578125" customWidth="1"/>
    <col min="3" max="3" width="14.5703125" bestFit="1" customWidth="1"/>
    <col min="4" max="4" width="16.5703125" bestFit="1" customWidth="1"/>
    <col min="5" max="5" width="2.42578125" customWidth="1"/>
    <col min="6" max="6" width="16.5703125" bestFit="1" customWidth="1"/>
    <col min="7" max="7" width="49.28515625" customWidth="1"/>
    <col min="8" max="8" width="16.140625" customWidth="1"/>
    <col min="9" max="9" width="16.5703125" bestFit="1" customWidth="1"/>
    <col min="10" max="10" width="17.7109375" customWidth="1"/>
    <col min="11" max="11" width="11.28515625" bestFit="1" customWidth="1"/>
  </cols>
  <sheetData>
    <row r="1" spans="1:10" ht="20.25">
      <c r="A1" s="193" t="s">
        <v>27</v>
      </c>
      <c r="B1" s="194"/>
      <c r="C1" s="194"/>
      <c r="D1" s="194"/>
      <c r="E1" s="194"/>
      <c r="F1" s="194"/>
      <c r="G1" s="194"/>
      <c r="H1" s="194"/>
      <c r="I1" s="195"/>
    </row>
    <row r="2" spans="1:10" ht="15">
      <c r="A2" s="196" t="s">
        <v>27</v>
      </c>
      <c r="B2" s="184"/>
      <c r="C2" s="184"/>
      <c r="D2" s="184"/>
      <c r="E2" s="184"/>
      <c r="F2" s="184"/>
      <c r="G2" s="184"/>
      <c r="H2" s="184"/>
      <c r="I2" s="197"/>
    </row>
    <row r="3" spans="1:10" ht="30" customHeight="1" thickBot="1">
      <c r="A3" s="198" t="s">
        <v>1</v>
      </c>
      <c r="B3" s="185" t="s">
        <v>28</v>
      </c>
      <c r="C3" s="184"/>
      <c r="D3" s="121" t="s">
        <v>3</v>
      </c>
      <c r="E3" s="35"/>
      <c r="F3" s="121" t="s">
        <v>1</v>
      </c>
      <c r="G3" s="184" t="s">
        <v>29</v>
      </c>
      <c r="H3" s="185"/>
      <c r="I3" s="199" t="s">
        <v>3</v>
      </c>
    </row>
    <row r="4" spans="1:10" ht="15">
      <c r="A4" s="36"/>
      <c r="B4" s="110" t="s">
        <v>30</v>
      </c>
      <c r="C4" s="119"/>
      <c r="D4" s="123"/>
      <c r="E4" s="37"/>
      <c r="F4" s="129"/>
      <c r="G4" s="136" t="s">
        <v>31</v>
      </c>
      <c r="H4" s="129"/>
      <c r="I4" s="200"/>
    </row>
    <row r="5" spans="1:10" ht="14.25">
      <c r="A5" s="38">
        <v>30000</v>
      </c>
      <c r="B5" s="111" t="s">
        <v>130</v>
      </c>
      <c r="C5" s="41"/>
      <c r="D5" s="124">
        <v>30000</v>
      </c>
      <c r="E5" s="39"/>
      <c r="F5" s="130">
        <v>2304.91</v>
      </c>
      <c r="G5" s="41" t="s">
        <v>32</v>
      </c>
      <c r="H5" s="130">
        <v>456.91</v>
      </c>
      <c r="I5" s="201"/>
    </row>
    <row r="6" spans="1:10" ht="14.25">
      <c r="A6" s="38"/>
      <c r="B6" s="111"/>
      <c r="C6" s="41"/>
      <c r="D6" s="124"/>
      <c r="E6" s="41"/>
      <c r="F6" s="111">
        <v>3160</v>
      </c>
      <c r="G6" s="44" t="s">
        <v>73</v>
      </c>
      <c r="H6" s="111">
        <v>3160</v>
      </c>
      <c r="I6" s="202"/>
    </row>
    <row r="7" spans="1:10" ht="15.75" thickBot="1">
      <c r="A7" s="38"/>
      <c r="B7" s="112" t="s">
        <v>33</v>
      </c>
      <c r="C7" s="43"/>
      <c r="D7" s="125"/>
      <c r="E7" s="41"/>
      <c r="F7" s="131">
        <v>451203.04</v>
      </c>
      <c r="G7" s="41" t="s">
        <v>119</v>
      </c>
      <c r="H7" s="140">
        <v>233970.23</v>
      </c>
      <c r="I7" s="201">
        <f>SUM(H5:H7)</f>
        <v>237587.14</v>
      </c>
    </row>
    <row r="8" spans="1:10" ht="14.25">
      <c r="A8" s="38">
        <v>3000</v>
      </c>
      <c r="B8" s="111" t="s">
        <v>129</v>
      </c>
      <c r="C8" s="43"/>
      <c r="D8" s="125">
        <v>3000</v>
      </c>
      <c r="E8" s="41"/>
      <c r="F8" s="113"/>
      <c r="G8" s="44"/>
      <c r="H8" s="113"/>
      <c r="I8" s="202"/>
    </row>
    <row r="9" spans="1:10" ht="15">
      <c r="A9" s="38"/>
      <c r="B9" s="111"/>
      <c r="C9" s="43"/>
      <c r="D9" s="125"/>
      <c r="E9" s="41"/>
      <c r="F9" s="131"/>
      <c r="G9" s="137" t="s">
        <v>120</v>
      </c>
      <c r="H9" s="111"/>
      <c r="I9" s="201"/>
    </row>
    <row r="10" spans="1:10" ht="15">
      <c r="A10" s="38"/>
      <c r="B10" s="112" t="s">
        <v>131</v>
      </c>
      <c r="C10" s="43"/>
      <c r="D10" s="125"/>
      <c r="E10" s="43"/>
      <c r="F10" s="132">
        <v>427946</v>
      </c>
      <c r="G10" s="43" t="s">
        <v>37</v>
      </c>
      <c r="H10" s="132">
        <v>88658</v>
      </c>
      <c r="I10" s="201"/>
    </row>
    <row r="11" spans="1:10" ht="14.25">
      <c r="A11" s="38">
        <v>543113</v>
      </c>
      <c r="B11" s="111" t="s">
        <v>132</v>
      </c>
      <c r="C11" s="104"/>
      <c r="D11" s="125">
        <v>543113</v>
      </c>
      <c r="E11" s="41"/>
      <c r="F11" s="132">
        <v>1443865</v>
      </c>
      <c r="G11" s="43" t="s">
        <v>121</v>
      </c>
      <c r="H11" s="132">
        <v>1076165</v>
      </c>
      <c r="I11" s="201"/>
      <c r="J11" s="15"/>
    </row>
    <row r="12" spans="1:10" ht="14.25">
      <c r="A12" s="38"/>
      <c r="B12" s="111"/>
      <c r="C12" s="44"/>
      <c r="D12" s="113"/>
      <c r="E12" s="44"/>
      <c r="F12" s="132">
        <v>711240</v>
      </c>
      <c r="G12" s="43" t="s">
        <v>122</v>
      </c>
      <c r="H12" s="132">
        <v>711240</v>
      </c>
      <c r="I12" s="202"/>
    </row>
    <row r="13" spans="1:10" ht="15">
      <c r="A13" s="38"/>
      <c r="B13" s="112" t="s">
        <v>22</v>
      </c>
      <c r="C13" s="104"/>
      <c r="D13" s="125"/>
      <c r="E13" s="44"/>
      <c r="F13" s="132">
        <v>33</v>
      </c>
      <c r="G13" s="43" t="s">
        <v>123</v>
      </c>
      <c r="H13" s="132">
        <v>33</v>
      </c>
      <c r="I13" s="201">
        <f>SUM(H10:H14)</f>
        <v>1876096</v>
      </c>
    </row>
    <row r="14" spans="1:10" ht="14.25">
      <c r="A14" s="38">
        <v>762266</v>
      </c>
      <c r="B14" s="111" t="s">
        <v>132</v>
      </c>
      <c r="C14" s="104">
        <v>802706</v>
      </c>
      <c r="D14" s="125"/>
      <c r="E14" s="44"/>
      <c r="F14" s="133"/>
      <c r="G14" s="43"/>
      <c r="H14" s="133"/>
      <c r="I14" s="202"/>
      <c r="J14" s="13"/>
    </row>
    <row r="15" spans="1:10" ht="15">
      <c r="A15" s="38">
        <v>40440</v>
      </c>
      <c r="B15" s="111" t="s">
        <v>133</v>
      </c>
      <c r="C15" s="105">
        <v>40440</v>
      </c>
      <c r="D15" s="125">
        <f>SUM(C14:C16)</f>
        <v>843146</v>
      </c>
      <c r="E15" s="44"/>
      <c r="F15" s="113"/>
      <c r="G15" s="137" t="s">
        <v>142</v>
      </c>
      <c r="H15" s="113"/>
      <c r="I15" s="202"/>
    </row>
    <row r="16" spans="1:10" ht="14.25">
      <c r="A16" s="38"/>
      <c r="B16" s="113"/>
      <c r="C16" s="44"/>
      <c r="D16" s="113"/>
      <c r="E16" s="41"/>
      <c r="F16" s="132">
        <v>19656</v>
      </c>
      <c r="G16" s="43" t="s">
        <v>124</v>
      </c>
      <c r="H16" s="113">
        <v>69428</v>
      </c>
      <c r="I16" s="202"/>
    </row>
    <row r="17" spans="1:10" ht="15">
      <c r="A17" s="38"/>
      <c r="B17" s="112" t="s">
        <v>144</v>
      </c>
      <c r="C17" s="43"/>
      <c r="D17" s="125"/>
      <c r="E17" s="41"/>
      <c r="F17" s="132">
        <v>0</v>
      </c>
      <c r="G17" s="43" t="s">
        <v>38</v>
      </c>
      <c r="H17" s="118">
        <v>2741.67</v>
      </c>
      <c r="I17" s="201">
        <f>SUM(H16:H17)</f>
        <v>72169.67</v>
      </c>
    </row>
    <row r="18" spans="1:10" ht="15">
      <c r="A18" s="38">
        <v>878876</v>
      </c>
      <c r="B18" s="111" t="s">
        <v>132</v>
      </c>
      <c r="C18" s="43">
        <v>926876</v>
      </c>
      <c r="D18" s="125"/>
      <c r="E18" s="41"/>
      <c r="F18" s="131"/>
      <c r="G18" s="137"/>
      <c r="H18" s="113"/>
      <c r="I18" s="201"/>
    </row>
    <row r="19" spans="1:10" ht="15">
      <c r="A19" s="38">
        <v>48000</v>
      </c>
      <c r="B19" s="111" t="s">
        <v>133</v>
      </c>
      <c r="C19" s="43">
        <v>48000</v>
      </c>
      <c r="D19" s="125"/>
      <c r="E19" s="41"/>
      <c r="F19" s="131"/>
      <c r="G19" s="137" t="s">
        <v>35</v>
      </c>
      <c r="H19" s="111"/>
      <c r="I19" s="201"/>
    </row>
    <row r="20" spans="1:10" ht="15">
      <c r="A20" s="205" t="s">
        <v>157</v>
      </c>
      <c r="B20" s="111" t="s">
        <v>149</v>
      </c>
      <c r="C20" s="43">
        <v>131300</v>
      </c>
      <c r="D20" s="125"/>
      <c r="E20" s="41"/>
      <c r="F20" s="131"/>
      <c r="G20" s="137"/>
      <c r="H20" s="111"/>
      <c r="I20" s="201"/>
    </row>
    <row r="21" spans="1:10" ht="14.25">
      <c r="A21" s="205" t="s">
        <v>157</v>
      </c>
      <c r="B21" s="114" t="s">
        <v>146</v>
      </c>
      <c r="C21" s="105">
        <v>50000</v>
      </c>
      <c r="D21" s="113"/>
      <c r="E21" s="41"/>
      <c r="F21" s="131">
        <v>16715113</v>
      </c>
      <c r="G21" s="43" t="s">
        <v>36</v>
      </c>
      <c r="H21" s="111"/>
      <c r="I21" s="201">
        <v>16715113</v>
      </c>
      <c r="J21" s="15"/>
    </row>
    <row r="22" spans="1:10" ht="14.25">
      <c r="A22" s="106"/>
      <c r="B22" s="113"/>
      <c r="C22" s="44">
        <f>SUM(C18:C21)</f>
        <v>1156176</v>
      </c>
      <c r="D22" s="113"/>
      <c r="E22" s="41"/>
      <c r="F22" s="131"/>
      <c r="G22" s="43"/>
      <c r="H22" s="111"/>
      <c r="I22" s="201"/>
      <c r="J22" s="15"/>
    </row>
    <row r="23" spans="1:10" ht="15">
      <c r="A23" s="107">
        <v>0</v>
      </c>
      <c r="B23" s="114" t="s">
        <v>147</v>
      </c>
      <c r="C23" s="43">
        <v>781176</v>
      </c>
      <c r="D23" s="113"/>
      <c r="E23" s="41"/>
      <c r="F23" s="113"/>
      <c r="G23" s="137" t="s">
        <v>125</v>
      </c>
      <c r="H23" s="113"/>
      <c r="I23" s="202"/>
      <c r="J23" s="15"/>
    </row>
    <row r="24" spans="1:10" ht="14.25">
      <c r="A24" s="107">
        <v>0</v>
      </c>
      <c r="B24" s="114" t="s">
        <v>148</v>
      </c>
      <c r="C24" s="105">
        <v>327000</v>
      </c>
      <c r="D24" s="113">
        <f>C22-C23-C24</f>
        <v>48000</v>
      </c>
      <c r="E24" s="41"/>
      <c r="F24" s="131"/>
      <c r="G24" s="138" t="s">
        <v>39</v>
      </c>
      <c r="H24" s="111"/>
      <c r="I24" s="201"/>
      <c r="J24" s="15"/>
    </row>
    <row r="25" spans="1:10" ht="14.25">
      <c r="A25" s="38"/>
      <c r="B25" s="113"/>
      <c r="C25" s="44"/>
      <c r="D25" s="113"/>
      <c r="E25" s="41"/>
      <c r="F25" s="111">
        <v>246</v>
      </c>
      <c r="G25" s="41" t="s">
        <v>34</v>
      </c>
      <c r="H25" s="111">
        <v>222</v>
      </c>
      <c r="I25" s="201"/>
      <c r="J25" s="15"/>
    </row>
    <row r="26" spans="1:10" ht="15">
      <c r="A26" s="38"/>
      <c r="B26" s="112" t="s">
        <v>40</v>
      </c>
      <c r="C26" s="43"/>
      <c r="D26" s="125"/>
      <c r="E26" s="41"/>
      <c r="F26" s="134">
        <v>-24</v>
      </c>
      <c r="G26" s="41" t="s">
        <v>126</v>
      </c>
      <c r="H26" s="118">
        <f>ROUND((H25*10%),)</f>
        <v>22</v>
      </c>
      <c r="I26" s="201">
        <f>H25-H26</f>
        <v>200</v>
      </c>
      <c r="J26" s="15"/>
    </row>
    <row r="27" spans="1:10" ht="14.25">
      <c r="A27" s="38">
        <v>16685000</v>
      </c>
      <c r="B27" s="115" t="s">
        <v>35</v>
      </c>
      <c r="C27" s="43"/>
      <c r="D27" s="125">
        <v>16685000</v>
      </c>
      <c r="E27" s="41"/>
      <c r="F27" s="113"/>
      <c r="G27" s="44"/>
      <c r="H27" s="113"/>
      <c r="I27" s="202"/>
    </row>
    <row r="28" spans="1:10" ht="14.25">
      <c r="A28" s="38"/>
      <c r="B28" s="111"/>
      <c r="C28" s="43"/>
      <c r="D28" s="125"/>
      <c r="E28" s="41"/>
      <c r="F28" s="131"/>
      <c r="G28" s="43" t="s">
        <v>127</v>
      </c>
      <c r="H28" s="111"/>
      <c r="I28" s="201"/>
    </row>
    <row r="29" spans="1:10" ht="15">
      <c r="A29" s="38"/>
      <c r="B29" s="112" t="s">
        <v>42</v>
      </c>
      <c r="C29" s="43"/>
      <c r="D29" s="125"/>
      <c r="E29" s="41"/>
      <c r="F29" s="111">
        <v>32230</v>
      </c>
      <c r="G29" s="41" t="s">
        <v>34</v>
      </c>
      <c r="H29" s="111">
        <v>27395</v>
      </c>
      <c r="I29" s="201"/>
      <c r="J29" s="15"/>
    </row>
    <row r="30" spans="1:10" ht="14.25">
      <c r="A30" s="205" t="s">
        <v>157</v>
      </c>
      <c r="B30" s="114" t="s">
        <v>43</v>
      </c>
      <c r="C30" s="104">
        <v>302</v>
      </c>
      <c r="D30" s="125"/>
      <c r="E30" s="41"/>
      <c r="F30" s="134">
        <v>-4835</v>
      </c>
      <c r="G30" s="41" t="s">
        <v>128</v>
      </c>
      <c r="H30" s="118">
        <f>ROUND((H29*15%),)</f>
        <v>4109</v>
      </c>
      <c r="I30" s="201">
        <f>H29-H30</f>
        <v>23286</v>
      </c>
    </row>
    <row r="31" spans="1:10" ht="14.25">
      <c r="A31" s="38">
        <v>57226</v>
      </c>
      <c r="B31" s="113" t="s">
        <v>150</v>
      </c>
      <c r="C31" s="109">
        <v>57226</v>
      </c>
      <c r="D31" s="113">
        <f>SUM(C30:C31)</f>
        <v>57528</v>
      </c>
      <c r="E31" s="41"/>
      <c r="F31" s="113"/>
      <c r="G31" s="44"/>
      <c r="H31" s="113"/>
      <c r="I31" s="202"/>
      <c r="J31" s="15"/>
    </row>
    <row r="32" spans="1:10" ht="15">
      <c r="A32" s="205" t="s">
        <v>157</v>
      </c>
      <c r="B32" s="113" t="s">
        <v>151</v>
      </c>
      <c r="C32" s="44"/>
      <c r="D32" s="113">
        <v>39060</v>
      </c>
      <c r="E32" s="41"/>
      <c r="F32" s="131"/>
      <c r="G32" s="139" t="s">
        <v>41</v>
      </c>
      <c r="H32" s="111"/>
      <c r="I32" s="201"/>
    </row>
    <row r="33" spans="1:10" ht="14.25">
      <c r="A33" s="205" t="s">
        <v>157</v>
      </c>
      <c r="B33" s="113" t="s">
        <v>152</v>
      </c>
      <c r="C33" s="44"/>
      <c r="D33" s="113">
        <v>128304</v>
      </c>
      <c r="E33" s="41"/>
      <c r="F33" s="130">
        <v>45169</v>
      </c>
      <c r="G33" s="41" t="s">
        <v>34</v>
      </c>
      <c r="H33" s="111">
        <v>45169</v>
      </c>
      <c r="I33" s="202"/>
    </row>
    <row r="34" spans="1:10" ht="15">
      <c r="A34" s="38"/>
      <c r="B34" s="116" t="s">
        <v>44</v>
      </c>
      <c r="C34" s="104"/>
      <c r="D34" s="117"/>
      <c r="E34" s="41"/>
      <c r="F34" s="130">
        <v>0</v>
      </c>
      <c r="G34" s="43" t="s">
        <v>143</v>
      </c>
      <c r="H34" s="118">
        <v>13052</v>
      </c>
      <c r="I34" s="202">
        <f>SUM(H33:H34)</f>
        <v>58221</v>
      </c>
      <c r="J34" s="15"/>
    </row>
    <row r="35" spans="1:10" ht="14.25">
      <c r="A35" s="45">
        <v>8000</v>
      </c>
      <c r="B35" s="117" t="s">
        <v>17</v>
      </c>
      <c r="C35" s="43">
        <v>3000</v>
      </c>
      <c r="D35" s="113"/>
      <c r="E35" s="41"/>
      <c r="F35" s="113"/>
      <c r="G35" s="44"/>
      <c r="H35" s="113"/>
      <c r="I35" s="202"/>
    </row>
    <row r="36" spans="1:10" ht="14.25">
      <c r="A36" s="40">
        <v>6000</v>
      </c>
      <c r="B36" s="117" t="s">
        <v>111</v>
      </c>
      <c r="C36" s="43">
        <v>3000</v>
      </c>
      <c r="D36" s="113"/>
      <c r="E36" s="41"/>
      <c r="F36" s="113"/>
      <c r="G36" s="44"/>
      <c r="H36" s="113"/>
      <c r="I36" s="202"/>
    </row>
    <row r="37" spans="1:10" ht="14.25">
      <c r="A37" s="45">
        <v>6000</v>
      </c>
      <c r="B37" s="117" t="s">
        <v>134</v>
      </c>
      <c r="C37" s="205" t="s">
        <v>157</v>
      </c>
      <c r="D37" s="125"/>
      <c r="E37" s="41"/>
      <c r="F37" s="113"/>
      <c r="G37" s="44"/>
      <c r="H37" s="113"/>
      <c r="I37" s="202"/>
    </row>
    <row r="38" spans="1:10" ht="14.25">
      <c r="A38" s="45">
        <v>14000</v>
      </c>
      <c r="B38" s="117" t="s">
        <v>16</v>
      </c>
      <c r="C38" s="205" t="s">
        <v>157</v>
      </c>
      <c r="D38" s="125"/>
      <c r="E38" s="41"/>
      <c r="F38" s="113"/>
      <c r="G38" s="44"/>
      <c r="H38" s="113"/>
      <c r="I38" s="202"/>
    </row>
    <row r="39" spans="1:10" ht="14.25">
      <c r="A39" s="45">
        <v>1690</v>
      </c>
      <c r="B39" s="111" t="s">
        <v>45</v>
      </c>
      <c r="C39" s="205" t="s">
        <v>157</v>
      </c>
      <c r="D39" s="125"/>
      <c r="E39" s="41"/>
      <c r="F39" s="113"/>
      <c r="G39" s="44"/>
      <c r="H39" s="113"/>
      <c r="I39" s="202"/>
    </row>
    <row r="40" spans="1:10" ht="14.25">
      <c r="A40" s="205" t="s">
        <v>157</v>
      </c>
      <c r="B40" s="113" t="s">
        <v>145</v>
      </c>
      <c r="C40" s="105">
        <v>4303</v>
      </c>
      <c r="D40" s="125">
        <f>SUM(C35:C40)</f>
        <v>10303</v>
      </c>
      <c r="E40" s="41"/>
      <c r="F40" s="113"/>
      <c r="G40" s="44"/>
      <c r="H40" s="113"/>
      <c r="I40" s="202"/>
    </row>
    <row r="41" spans="1:10" ht="14.25">
      <c r="A41" s="45"/>
      <c r="B41" s="113"/>
      <c r="C41" s="43"/>
      <c r="D41" s="125"/>
      <c r="E41" s="41"/>
      <c r="F41" s="113"/>
      <c r="G41" s="44"/>
      <c r="H41" s="113"/>
      <c r="I41" s="202"/>
    </row>
    <row r="42" spans="1:10" ht="15">
      <c r="A42" s="38"/>
      <c r="B42" s="112" t="s">
        <v>46</v>
      </c>
      <c r="C42" s="46"/>
      <c r="D42" s="125"/>
      <c r="E42" s="41"/>
      <c r="F42" s="113"/>
      <c r="G42" s="44"/>
      <c r="H42" s="113"/>
      <c r="I42" s="202"/>
    </row>
    <row r="43" spans="1:10" ht="14.25">
      <c r="A43" s="38">
        <v>777190</v>
      </c>
      <c r="B43" s="111" t="s">
        <v>34</v>
      </c>
      <c r="C43" s="46">
        <v>793695.95</v>
      </c>
      <c r="D43" s="125"/>
      <c r="E43" s="41"/>
      <c r="F43" s="113"/>
      <c r="G43" s="44"/>
      <c r="H43" s="113"/>
      <c r="I43" s="202"/>
    </row>
    <row r="44" spans="1:10" ht="14.25">
      <c r="A44" s="38">
        <v>0</v>
      </c>
      <c r="B44" s="113" t="s">
        <v>153</v>
      </c>
      <c r="C44" s="43">
        <v>3000</v>
      </c>
      <c r="D44" s="113"/>
      <c r="E44" s="41"/>
      <c r="F44" s="113"/>
      <c r="G44" s="44"/>
      <c r="H44" s="113"/>
      <c r="I44" s="202"/>
    </row>
    <row r="45" spans="1:10" ht="14.25">
      <c r="A45" s="38">
        <v>16505.95</v>
      </c>
      <c r="B45" s="111" t="s">
        <v>47</v>
      </c>
      <c r="C45" s="120">
        <f>'I &amp; E 24-25'!C29</f>
        <v>541.85999999998603</v>
      </c>
      <c r="D45" s="113"/>
      <c r="E45" s="41"/>
      <c r="F45" s="113"/>
      <c r="G45" s="44"/>
      <c r="H45" s="113"/>
      <c r="I45" s="202"/>
    </row>
    <row r="46" spans="1:10" ht="14.25">
      <c r="A46" s="38"/>
      <c r="B46" s="113"/>
      <c r="C46" s="44">
        <f>SUM(C43:C45)</f>
        <v>797237.80999999994</v>
      </c>
      <c r="D46" s="113"/>
      <c r="E46" s="41"/>
      <c r="F46" s="113"/>
      <c r="G46" s="44"/>
      <c r="H46" s="113"/>
      <c r="I46" s="202"/>
    </row>
    <row r="47" spans="1:10" ht="14.25">
      <c r="A47" s="205" t="s">
        <v>157</v>
      </c>
      <c r="B47" s="111" t="s">
        <v>154</v>
      </c>
      <c r="C47" s="46">
        <v>40719</v>
      </c>
      <c r="D47" s="126"/>
      <c r="E47" s="44"/>
      <c r="F47" s="131"/>
      <c r="G47" s="44"/>
      <c r="H47" s="113"/>
      <c r="I47" s="202"/>
    </row>
    <row r="48" spans="1:10" ht="14.25">
      <c r="A48" s="205" t="s">
        <v>157</v>
      </c>
      <c r="B48" s="111" t="s">
        <v>155</v>
      </c>
      <c r="C48" s="120">
        <v>131300</v>
      </c>
      <c r="D48" s="126">
        <f>C46-C47-C48</f>
        <v>625218.80999999994</v>
      </c>
      <c r="E48" s="44"/>
      <c r="F48" s="131"/>
      <c r="G48" s="44"/>
      <c r="H48" s="113"/>
      <c r="I48" s="202"/>
    </row>
    <row r="49" spans="1:11" ht="15" thickBot="1">
      <c r="A49" s="47"/>
      <c r="B49" s="118"/>
      <c r="C49" s="48"/>
      <c r="D49" s="127"/>
      <c r="E49" s="128"/>
      <c r="F49" s="135"/>
      <c r="G49" s="42"/>
      <c r="H49" s="141"/>
      <c r="I49" s="203"/>
    </row>
    <row r="50" spans="1:11" ht="15.75" thickBot="1">
      <c r="A50" s="204">
        <f>SUM(A8:A49)</f>
        <v>19847306.949999999</v>
      </c>
      <c r="B50" s="186" t="s">
        <v>48</v>
      </c>
      <c r="C50" s="187"/>
      <c r="D50" s="122">
        <f>SUM(D8:D48)</f>
        <v>18982672.809999999</v>
      </c>
      <c r="E50" s="49"/>
      <c r="F50" s="122">
        <f>SUM(F5:F49)</f>
        <v>19847306.949999999</v>
      </c>
      <c r="G50" s="188" t="s">
        <v>48</v>
      </c>
      <c r="H50" s="189"/>
      <c r="I50" s="142">
        <f>SUM(I6:I34)</f>
        <v>18982672.809999999</v>
      </c>
      <c r="J50" s="13">
        <f>I50-D50</f>
        <v>0</v>
      </c>
      <c r="K50" s="13">
        <f>F50-A50</f>
        <v>0</v>
      </c>
    </row>
    <row r="51" spans="1:11">
      <c r="A51" s="50"/>
      <c r="B51" s="26"/>
      <c r="C51" s="51"/>
      <c r="D51" s="51"/>
      <c r="E51" s="51"/>
      <c r="F51" s="30"/>
      <c r="G51" s="30"/>
      <c r="H51" s="30"/>
      <c r="I51" s="96"/>
    </row>
    <row r="52" spans="1:11" ht="18">
      <c r="A52" s="50" t="s">
        <v>49</v>
      </c>
      <c r="B52" s="27"/>
      <c r="C52" s="51"/>
      <c r="D52" s="51"/>
      <c r="E52" s="51"/>
      <c r="F52" s="52"/>
      <c r="G52" s="177" t="s">
        <v>77</v>
      </c>
      <c r="H52" s="177"/>
      <c r="I52" s="181"/>
      <c r="J52" s="53"/>
    </row>
    <row r="53" spans="1:11">
      <c r="A53" s="50"/>
      <c r="B53" s="27"/>
      <c r="C53" s="51"/>
      <c r="D53" s="51"/>
      <c r="E53" s="51"/>
      <c r="F53" s="52"/>
      <c r="G53" s="98"/>
      <c r="H53" s="97"/>
      <c r="I53" s="54"/>
    </row>
    <row r="54" spans="1:11">
      <c r="A54" s="50"/>
      <c r="B54" s="27"/>
      <c r="C54" s="51"/>
      <c r="D54" s="51"/>
      <c r="E54" s="51"/>
      <c r="F54" s="52"/>
      <c r="G54" s="55"/>
      <c r="H54" s="98"/>
      <c r="I54" s="96"/>
    </row>
    <row r="55" spans="1:11">
      <c r="A55" s="50"/>
      <c r="B55" s="27"/>
      <c r="C55" s="51"/>
      <c r="D55" s="51"/>
      <c r="E55" s="51"/>
      <c r="F55" s="52"/>
      <c r="G55" s="55"/>
      <c r="H55" s="98"/>
      <c r="I55" s="96"/>
    </row>
    <row r="56" spans="1:11">
      <c r="A56" s="50"/>
      <c r="B56" s="27"/>
      <c r="C56" s="51"/>
      <c r="D56" s="51"/>
      <c r="E56" s="51"/>
      <c r="F56" s="52"/>
      <c r="G56" s="55"/>
      <c r="H56" s="98"/>
      <c r="I56" s="96"/>
    </row>
    <row r="57" spans="1:11">
      <c r="A57" s="50"/>
      <c r="B57" s="27"/>
      <c r="C57" s="51"/>
      <c r="D57" s="51"/>
      <c r="E57" s="51"/>
      <c r="F57" s="52"/>
      <c r="G57" s="55"/>
      <c r="H57" s="98"/>
      <c r="I57" s="96"/>
    </row>
    <row r="58" spans="1:11">
      <c r="A58" s="50"/>
      <c r="B58" s="27"/>
      <c r="C58" s="51"/>
      <c r="D58" s="51"/>
      <c r="E58" s="51"/>
      <c r="F58" s="52"/>
      <c r="G58" s="55"/>
      <c r="H58" s="98"/>
      <c r="I58" s="56"/>
    </row>
    <row r="59" spans="1:11">
      <c r="A59" s="50"/>
      <c r="B59" s="27"/>
      <c r="C59" s="30"/>
      <c r="D59" s="51"/>
      <c r="E59" s="51"/>
      <c r="F59" s="52"/>
      <c r="G59" s="55"/>
      <c r="H59" s="52"/>
      <c r="I59" s="56"/>
    </row>
    <row r="60" spans="1:11">
      <c r="A60" s="57"/>
      <c r="B60" s="30"/>
      <c r="C60" s="30"/>
      <c r="D60" s="30"/>
      <c r="E60" s="30"/>
      <c r="F60" s="52"/>
      <c r="G60" s="182" t="s">
        <v>50</v>
      </c>
      <c r="H60" s="182"/>
      <c r="I60" s="183"/>
    </row>
    <row r="61" spans="1:11">
      <c r="A61" s="57"/>
      <c r="B61" s="30"/>
      <c r="C61" s="30"/>
      <c r="D61" s="30"/>
      <c r="E61" s="30"/>
      <c r="F61" s="30"/>
      <c r="G61" s="30"/>
      <c r="H61" s="30"/>
      <c r="I61" s="56"/>
    </row>
    <row r="62" spans="1:11">
      <c r="A62" s="57"/>
      <c r="B62" s="30"/>
      <c r="C62" s="58"/>
      <c r="D62" s="30"/>
      <c r="E62" s="30"/>
      <c r="F62" s="30"/>
      <c r="G62" s="30"/>
      <c r="H62" s="30"/>
      <c r="I62" s="56"/>
    </row>
    <row r="63" spans="1:11" ht="13.5" thickBot="1">
      <c r="A63" s="59"/>
      <c r="B63" s="60"/>
      <c r="C63" s="60"/>
      <c r="D63" s="60"/>
      <c r="E63" s="60"/>
      <c r="F63" s="60"/>
      <c r="G63" s="60"/>
      <c r="H63" s="60"/>
      <c r="I63" s="61"/>
    </row>
  </sheetData>
  <mergeCells count="8">
    <mergeCell ref="G52:I52"/>
    <mergeCell ref="G60:I60"/>
    <mergeCell ref="A1:I1"/>
    <mergeCell ref="A2:I2"/>
    <mergeCell ref="B3:C3"/>
    <mergeCell ref="G3:H3"/>
    <mergeCell ref="B50:C50"/>
    <mergeCell ref="G50:H50"/>
  </mergeCells>
  <printOptions horizont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1:W31"/>
  <sheetViews>
    <sheetView tabSelected="1" workbookViewId="0">
      <selection activeCell="H31" sqref="H31"/>
    </sheetView>
  </sheetViews>
  <sheetFormatPr defaultRowHeight="12.75"/>
  <cols>
    <col min="2" max="2" width="15.42578125" customWidth="1"/>
    <col min="3" max="3" width="17.85546875" customWidth="1"/>
    <col min="4" max="5" width="16.85546875" customWidth="1"/>
    <col min="6" max="6" width="15.28515625" customWidth="1"/>
    <col min="7" max="7" width="16" customWidth="1"/>
    <col min="8" max="8" width="15.28515625" customWidth="1"/>
    <col min="9" max="9" width="15.5703125" customWidth="1"/>
    <col min="10" max="10" width="10.85546875" customWidth="1"/>
    <col min="12" max="13" width="13.5703125" customWidth="1"/>
    <col min="14" max="14" width="13.42578125" customWidth="1"/>
    <col min="15" max="15" width="14.42578125" customWidth="1"/>
    <col min="17" max="18" width="11.85546875" customWidth="1"/>
    <col min="19" max="19" width="13.42578125" customWidth="1"/>
    <col min="20" max="20" width="12.7109375" customWidth="1"/>
    <col min="21" max="21" width="15.7109375" customWidth="1"/>
    <col min="22" max="22" width="10.28515625" bestFit="1" customWidth="1"/>
  </cols>
  <sheetData>
    <row r="1" spans="2:22" ht="23.25">
      <c r="B1" s="190" t="s">
        <v>78</v>
      </c>
      <c r="C1" s="190"/>
      <c r="D1" s="190"/>
      <c r="E1" s="190"/>
      <c r="F1" s="190"/>
      <c r="G1" s="190"/>
      <c r="H1" s="190"/>
      <c r="I1" s="190"/>
      <c r="J1" s="190"/>
    </row>
    <row r="2" spans="2:22" ht="15.75">
      <c r="B2" s="62"/>
      <c r="C2" s="63"/>
      <c r="D2" s="64"/>
      <c r="E2" s="65" t="s">
        <v>51</v>
      </c>
      <c r="F2" s="64"/>
      <c r="G2" s="64"/>
      <c r="H2" s="63"/>
      <c r="I2" s="66"/>
      <c r="J2" s="66"/>
    </row>
    <row r="3" spans="2:22" ht="39" customHeight="1">
      <c r="B3" s="62" t="s">
        <v>52</v>
      </c>
      <c r="C3" s="68" t="s">
        <v>53</v>
      </c>
      <c r="D3" s="65" t="s">
        <v>54</v>
      </c>
      <c r="E3" s="69" t="s">
        <v>55</v>
      </c>
      <c r="F3" s="69" t="s">
        <v>56</v>
      </c>
      <c r="G3" s="69" t="s">
        <v>57</v>
      </c>
      <c r="H3" s="68" t="s">
        <v>58</v>
      </c>
      <c r="I3" s="68" t="s">
        <v>59</v>
      </c>
      <c r="J3" s="65" t="s">
        <v>60</v>
      </c>
      <c r="L3" s="70" t="s">
        <v>61</v>
      </c>
      <c r="M3" s="70" t="s">
        <v>62</v>
      </c>
      <c r="N3" s="70" t="s">
        <v>63</v>
      </c>
      <c r="O3" s="70" t="s">
        <v>64</v>
      </c>
      <c r="P3" s="70" t="s">
        <v>65</v>
      </c>
      <c r="Q3" s="70" t="s">
        <v>66</v>
      </c>
      <c r="R3" s="70" t="s">
        <v>67</v>
      </c>
      <c r="S3" s="70" t="s">
        <v>68</v>
      </c>
      <c r="T3" s="70" t="s">
        <v>69</v>
      </c>
      <c r="U3" s="70" t="s">
        <v>70</v>
      </c>
      <c r="V3" s="70" t="s">
        <v>71</v>
      </c>
    </row>
    <row r="4" spans="2:22" ht="15.75">
      <c r="B4" s="71" t="s">
        <v>79</v>
      </c>
      <c r="C4" s="68"/>
      <c r="D4" s="69"/>
      <c r="E4" s="72"/>
      <c r="F4" s="72"/>
      <c r="G4" s="72"/>
      <c r="H4" s="68"/>
      <c r="I4" s="68"/>
      <c r="J4" s="65"/>
      <c r="R4">
        <f>P4+Q4</f>
        <v>0</v>
      </c>
      <c r="S4" s="15">
        <f t="shared" ref="S4:S16" si="0">F4+Q4</f>
        <v>0</v>
      </c>
      <c r="T4" s="15">
        <f>O4+S4</f>
        <v>0</v>
      </c>
      <c r="U4" s="73"/>
      <c r="V4" s="15">
        <f>T4-U4</f>
        <v>0</v>
      </c>
    </row>
    <row r="5" spans="2:22">
      <c r="B5" s="74" t="s">
        <v>93</v>
      </c>
      <c r="C5" s="75" t="s">
        <v>108</v>
      </c>
      <c r="D5" s="76">
        <v>70300</v>
      </c>
      <c r="E5" s="80">
        <v>0</v>
      </c>
      <c r="F5" s="76">
        <f>730-73</f>
        <v>657</v>
      </c>
      <c r="G5" s="77">
        <f>D5+E5+F5</f>
        <v>70957</v>
      </c>
      <c r="H5" s="75" t="s">
        <v>107</v>
      </c>
      <c r="I5" s="78">
        <v>75877</v>
      </c>
      <c r="J5" s="77">
        <v>7.15</v>
      </c>
      <c r="K5" s="79" t="s">
        <v>109</v>
      </c>
      <c r="L5" s="74" t="s">
        <v>93</v>
      </c>
      <c r="M5">
        <f>70300-65624</f>
        <v>4676</v>
      </c>
      <c r="N5">
        <v>959</v>
      </c>
      <c r="O5">
        <f>M5-N5+P5</f>
        <v>4129</v>
      </c>
      <c r="P5">
        <v>412</v>
      </c>
      <c r="Q5">
        <v>73</v>
      </c>
      <c r="R5">
        <f t="shared" ref="R5:R14" si="1">P5+Q5</f>
        <v>485</v>
      </c>
      <c r="S5" s="15">
        <f t="shared" si="0"/>
        <v>730</v>
      </c>
      <c r="T5" s="15">
        <f t="shared" ref="T5:T14" si="2">O5+S5</f>
        <v>4859</v>
      </c>
      <c r="U5" s="73">
        <f>4129+730</f>
        <v>4859</v>
      </c>
      <c r="V5" s="15">
        <f t="shared" ref="V5:V14" si="3">T5-U5</f>
        <v>0</v>
      </c>
    </row>
    <row r="6" spans="2:22">
      <c r="B6" s="74" t="s">
        <v>94</v>
      </c>
      <c r="C6" s="75" t="s">
        <v>101</v>
      </c>
      <c r="D6" s="76">
        <v>99321</v>
      </c>
      <c r="E6" s="80">
        <v>2054</v>
      </c>
      <c r="F6" s="76">
        <f>7372-738</f>
        <v>6634</v>
      </c>
      <c r="G6" s="77">
        <f>D6+E6+F6</f>
        <v>108009</v>
      </c>
      <c r="H6" s="75" t="s">
        <v>102</v>
      </c>
      <c r="I6" s="78">
        <v>114325</v>
      </c>
      <c r="J6" s="77">
        <v>7.1</v>
      </c>
      <c r="K6" s="79" t="s">
        <v>72</v>
      </c>
      <c r="L6" s="74" t="s">
        <v>94</v>
      </c>
      <c r="O6">
        <f>M6-N6+P6</f>
        <v>0</v>
      </c>
      <c r="Q6">
        <v>738</v>
      </c>
      <c r="R6">
        <f t="shared" si="1"/>
        <v>738</v>
      </c>
      <c r="S6" s="15">
        <f t="shared" si="0"/>
        <v>7372</v>
      </c>
      <c r="T6" s="15">
        <f t="shared" si="2"/>
        <v>7372</v>
      </c>
      <c r="U6" s="73">
        <v>7372</v>
      </c>
      <c r="V6" s="15">
        <f t="shared" si="3"/>
        <v>0</v>
      </c>
    </row>
    <row r="7" spans="2:22">
      <c r="B7" s="74" t="s">
        <v>95</v>
      </c>
      <c r="C7" s="75" t="s">
        <v>101</v>
      </c>
      <c r="D7" s="76">
        <v>99317</v>
      </c>
      <c r="E7" s="80">
        <v>2055</v>
      </c>
      <c r="F7" s="76">
        <f>7372-736</f>
        <v>6636</v>
      </c>
      <c r="G7" s="77">
        <f t="shared" ref="G7:G16" si="4">D7+E7+F7</f>
        <v>108008</v>
      </c>
      <c r="H7" s="75" t="s">
        <v>102</v>
      </c>
      <c r="I7" s="78">
        <v>114321</v>
      </c>
      <c r="J7" s="77">
        <v>7.1</v>
      </c>
      <c r="K7" s="79" t="s">
        <v>72</v>
      </c>
      <c r="L7" s="74" t="s">
        <v>95</v>
      </c>
      <c r="O7">
        <f>M7-N7+P7</f>
        <v>0</v>
      </c>
      <c r="Q7">
        <v>736</v>
      </c>
      <c r="R7">
        <f t="shared" si="1"/>
        <v>736</v>
      </c>
      <c r="S7" s="15">
        <f t="shared" si="0"/>
        <v>7372</v>
      </c>
      <c r="T7" s="15">
        <f t="shared" si="2"/>
        <v>7372</v>
      </c>
      <c r="U7" s="73">
        <v>7372</v>
      </c>
      <c r="V7" s="15">
        <f t="shared" si="3"/>
        <v>0</v>
      </c>
    </row>
    <row r="8" spans="2:22">
      <c r="B8" s="74" t="s">
        <v>96</v>
      </c>
      <c r="C8" s="75" t="s">
        <v>101</v>
      </c>
      <c r="D8" s="76">
        <v>99320</v>
      </c>
      <c r="E8" s="80">
        <v>2054</v>
      </c>
      <c r="F8" s="76">
        <f>7372-736</f>
        <v>6636</v>
      </c>
      <c r="G8" s="77">
        <f t="shared" si="4"/>
        <v>108010</v>
      </c>
      <c r="H8" s="75" t="s">
        <v>102</v>
      </c>
      <c r="I8" s="78">
        <v>114324</v>
      </c>
      <c r="J8" s="77">
        <v>7.1</v>
      </c>
      <c r="K8" s="79" t="s">
        <v>72</v>
      </c>
      <c r="L8" s="74" t="s">
        <v>96</v>
      </c>
      <c r="O8">
        <f>M8-N8+P8</f>
        <v>0</v>
      </c>
      <c r="Q8">
        <v>736</v>
      </c>
      <c r="R8">
        <f t="shared" si="1"/>
        <v>736</v>
      </c>
      <c r="S8" s="15">
        <f t="shared" si="0"/>
        <v>7372</v>
      </c>
      <c r="T8" s="15">
        <f t="shared" si="2"/>
        <v>7372</v>
      </c>
      <c r="U8" s="73">
        <v>7372</v>
      </c>
      <c r="V8" s="15">
        <f t="shared" si="3"/>
        <v>0</v>
      </c>
    </row>
    <row r="9" spans="2:22">
      <c r="B9" s="74" t="s">
        <v>97</v>
      </c>
      <c r="C9" s="75" t="s">
        <v>101</v>
      </c>
      <c r="D9" s="76">
        <v>99318</v>
      </c>
      <c r="E9" s="80">
        <v>2055</v>
      </c>
      <c r="F9" s="76">
        <f t="shared" ref="F9:F12" si="5">7372-738</f>
        <v>6634</v>
      </c>
      <c r="G9" s="77">
        <f t="shared" si="4"/>
        <v>108007</v>
      </c>
      <c r="H9" s="75" t="s">
        <v>102</v>
      </c>
      <c r="I9" s="78">
        <v>114322</v>
      </c>
      <c r="J9" s="77">
        <v>7.1</v>
      </c>
      <c r="K9" s="79" t="s">
        <v>72</v>
      </c>
      <c r="L9" s="74" t="s">
        <v>97</v>
      </c>
      <c r="O9">
        <f>M9-N9+P9</f>
        <v>0</v>
      </c>
      <c r="Q9">
        <v>738</v>
      </c>
      <c r="R9">
        <f t="shared" si="1"/>
        <v>738</v>
      </c>
      <c r="S9" s="15">
        <f t="shared" si="0"/>
        <v>7372</v>
      </c>
      <c r="T9" s="15">
        <f t="shared" si="2"/>
        <v>7372</v>
      </c>
      <c r="U9" s="73">
        <v>7372</v>
      </c>
      <c r="V9" s="15">
        <f t="shared" si="3"/>
        <v>0</v>
      </c>
    </row>
    <row r="10" spans="2:22">
      <c r="B10" s="74" t="s">
        <v>98</v>
      </c>
      <c r="C10" s="75" t="s">
        <v>101</v>
      </c>
      <c r="D10" s="82">
        <v>99318</v>
      </c>
      <c r="E10" s="83">
        <v>2055</v>
      </c>
      <c r="F10" s="76">
        <f t="shared" si="5"/>
        <v>6634</v>
      </c>
      <c r="G10" s="77">
        <f t="shared" ref="G10:G15" si="6">D10+E10+F10</f>
        <v>108007</v>
      </c>
      <c r="H10" s="75" t="s">
        <v>102</v>
      </c>
      <c r="I10" s="78">
        <v>114322</v>
      </c>
      <c r="J10" s="77">
        <v>7.1</v>
      </c>
      <c r="K10" s="79" t="s">
        <v>72</v>
      </c>
      <c r="L10" s="74" t="s">
        <v>98</v>
      </c>
      <c r="Q10">
        <v>738</v>
      </c>
      <c r="R10">
        <f t="shared" si="1"/>
        <v>738</v>
      </c>
      <c r="S10" s="15">
        <f t="shared" si="0"/>
        <v>7372</v>
      </c>
      <c r="T10" s="15">
        <f t="shared" si="2"/>
        <v>7372</v>
      </c>
      <c r="U10" s="73">
        <v>7372</v>
      </c>
      <c r="V10" s="15">
        <f t="shared" si="3"/>
        <v>0</v>
      </c>
    </row>
    <row r="11" spans="2:22">
      <c r="B11" s="74" t="s">
        <v>99</v>
      </c>
      <c r="C11" s="75" t="s">
        <v>101</v>
      </c>
      <c r="D11" s="82">
        <v>99321</v>
      </c>
      <c r="E11" s="83">
        <v>2054</v>
      </c>
      <c r="F11" s="76">
        <f>7372-737</f>
        <v>6635</v>
      </c>
      <c r="G11" s="77">
        <f t="shared" si="6"/>
        <v>108010</v>
      </c>
      <c r="H11" s="75" t="s">
        <v>102</v>
      </c>
      <c r="I11" s="78">
        <v>114325</v>
      </c>
      <c r="J11" s="77">
        <v>7.1</v>
      </c>
      <c r="K11" s="79" t="s">
        <v>72</v>
      </c>
      <c r="L11" s="74" t="s">
        <v>99</v>
      </c>
      <c r="Q11">
        <v>737</v>
      </c>
      <c r="R11">
        <f t="shared" si="1"/>
        <v>737</v>
      </c>
      <c r="S11" s="15">
        <f t="shared" si="0"/>
        <v>7372</v>
      </c>
      <c r="T11" s="15">
        <f t="shared" si="2"/>
        <v>7372</v>
      </c>
      <c r="U11" s="73">
        <v>7372</v>
      </c>
      <c r="V11" s="15">
        <f t="shared" si="3"/>
        <v>0</v>
      </c>
    </row>
    <row r="12" spans="2:22">
      <c r="B12" s="74" t="s">
        <v>100</v>
      </c>
      <c r="C12" s="75" t="s">
        <v>101</v>
      </c>
      <c r="D12" s="82">
        <v>99319</v>
      </c>
      <c r="E12" s="83">
        <v>2055</v>
      </c>
      <c r="F12" s="76">
        <f t="shared" si="5"/>
        <v>6634</v>
      </c>
      <c r="G12" s="77">
        <f t="shared" si="6"/>
        <v>108008</v>
      </c>
      <c r="H12" s="75" t="s">
        <v>102</v>
      </c>
      <c r="I12" s="78">
        <v>114323</v>
      </c>
      <c r="J12" s="77">
        <v>7.1</v>
      </c>
      <c r="K12" s="79" t="s">
        <v>72</v>
      </c>
      <c r="L12" s="74" t="s">
        <v>100</v>
      </c>
      <c r="Q12">
        <v>738</v>
      </c>
      <c r="R12">
        <f t="shared" si="1"/>
        <v>738</v>
      </c>
      <c r="S12" s="15">
        <f t="shared" si="0"/>
        <v>7372</v>
      </c>
      <c r="T12" s="15">
        <f t="shared" si="2"/>
        <v>7372</v>
      </c>
      <c r="U12" s="73">
        <v>7372</v>
      </c>
      <c r="V12" s="15">
        <f t="shared" si="3"/>
        <v>0</v>
      </c>
    </row>
    <row r="13" spans="2:22">
      <c r="B13" s="74" t="s">
        <v>103</v>
      </c>
      <c r="C13" s="75" t="s">
        <v>101</v>
      </c>
      <c r="D13" s="82">
        <v>99317</v>
      </c>
      <c r="E13" s="83">
        <v>2054</v>
      </c>
      <c r="F13" s="76">
        <f>7372-737</f>
        <v>6635</v>
      </c>
      <c r="G13" s="77">
        <f t="shared" si="6"/>
        <v>108006</v>
      </c>
      <c r="H13" s="75" t="s">
        <v>102</v>
      </c>
      <c r="I13" s="78">
        <v>114321</v>
      </c>
      <c r="J13" s="77">
        <v>7.1</v>
      </c>
      <c r="K13" s="79" t="s">
        <v>72</v>
      </c>
      <c r="L13" s="74" t="s">
        <v>103</v>
      </c>
      <c r="Q13">
        <v>737</v>
      </c>
      <c r="R13">
        <f t="shared" si="1"/>
        <v>737</v>
      </c>
      <c r="S13" s="15">
        <f t="shared" si="0"/>
        <v>7372</v>
      </c>
      <c r="T13" s="15">
        <f t="shared" si="2"/>
        <v>7372</v>
      </c>
      <c r="U13" s="73">
        <v>7372</v>
      </c>
      <c r="V13" s="15">
        <f t="shared" si="3"/>
        <v>0</v>
      </c>
    </row>
    <row r="14" spans="2:22">
      <c r="B14" s="74" t="s">
        <v>104</v>
      </c>
      <c r="C14" s="75" t="s">
        <v>101</v>
      </c>
      <c r="D14" s="82">
        <v>99321</v>
      </c>
      <c r="E14" s="83">
        <v>2055</v>
      </c>
      <c r="F14" s="76">
        <f t="shared" ref="F14:F15" si="7">7372-737</f>
        <v>6635</v>
      </c>
      <c r="G14" s="77">
        <f t="shared" si="6"/>
        <v>108011</v>
      </c>
      <c r="H14" s="75" t="s">
        <v>102</v>
      </c>
      <c r="I14" s="78">
        <v>114325</v>
      </c>
      <c r="J14" s="77">
        <v>7.1</v>
      </c>
      <c r="K14" s="79" t="s">
        <v>72</v>
      </c>
      <c r="L14" s="74" t="s">
        <v>104</v>
      </c>
      <c r="Q14">
        <v>737</v>
      </c>
      <c r="R14">
        <f t="shared" si="1"/>
        <v>737</v>
      </c>
      <c r="S14" s="15">
        <f t="shared" si="0"/>
        <v>7372</v>
      </c>
      <c r="T14" s="15">
        <f t="shared" si="2"/>
        <v>7372</v>
      </c>
      <c r="U14" s="73">
        <v>7372</v>
      </c>
      <c r="V14" s="15">
        <f t="shared" si="3"/>
        <v>0</v>
      </c>
    </row>
    <row r="15" spans="2:22">
      <c r="B15" s="74" t="s">
        <v>105</v>
      </c>
      <c r="C15" s="75" t="s">
        <v>101</v>
      </c>
      <c r="D15" s="82">
        <v>99319</v>
      </c>
      <c r="E15" s="83">
        <v>2055</v>
      </c>
      <c r="F15" s="76">
        <f t="shared" si="7"/>
        <v>6635</v>
      </c>
      <c r="G15" s="77">
        <f t="shared" si="6"/>
        <v>108009</v>
      </c>
      <c r="H15" s="75" t="s">
        <v>102</v>
      </c>
      <c r="I15" s="78">
        <v>114323</v>
      </c>
      <c r="J15" s="77">
        <v>7.1</v>
      </c>
      <c r="K15" s="79" t="s">
        <v>72</v>
      </c>
      <c r="L15" s="74" t="s">
        <v>105</v>
      </c>
      <c r="Q15">
        <v>737</v>
      </c>
      <c r="R15">
        <f t="shared" ref="R15" si="8">P15+Q15</f>
        <v>737</v>
      </c>
      <c r="S15" s="15">
        <f t="shared" si="0"/>
        <v>7372</v>
      </c>
      <c r="T15" s="15">
        <f t="shared" ref="T15" si="9">O15+S15</f>
        <v>7372</v>
      </c>
      <c r="U15" s="73">
        <v>7372</v>
      </c>
      <c r="V15" s="15">
        <f t="shared" ref="V15" si="10">T15-U15</f>
        <v>0</v>
      </c>
    </row>
    <row r="16" spans="2:22">
      <c r="B16" s="74" t="s">
        <v>106</v>
      </c>
      <c r="C16" s="75" t="s">
        <v>101</v>
      </c>
      <c r="D16" s="82">
        <v>12674</v>
      </c>
      <c r="E16" s="83">
        <v>261</v>
      </c>
      <c r="F16" s="76">
        <f>941-95</f>
        <v>846</v>
      </c>
      <c r="G16" s="77">
        <f t="shared" si="4"/>
        <v>13781</v>
      </c>
      <c r="H16" s="75" t="s">
        <v>102</v>
      </c>
      <c r="I16" s="78">
        <v>114325</v>
      </c>
      <c r="J16" s="77">
        <v>7.1</v>
      </c>
      <c r="K16" s="79" t="s">
        <v>72</v>
      </c>
      <c r="L16" s="74" t="s">
        <v>106</v>
      </c>
      <c r="Q16">
        <v>95</v>
      </c>
      <c r="R16">
        <f>P16+Q16</f>
        <v>95</v>
      </c>
      <c r="S16" s="15">
        <f t="shared" si="0"/>
        <v>941</v>
      </c>
      <c r="T16" s="15">
        <f>O16+S16</f>
        <v>941</v>
      </c>
      <c r="U16" s="73">
        <v>941</v>
      </c>
      <c r="V16" s="15">
        <f>T16-U16</f>
        <v>0</v>
      </c>
    </row>
    <row r="17" spans="2:23">
      <c r="B17" s="74"/>
      <c r="C17" s="84"/>
      <c r="D17" s="85">
        <f>SUM(D5:D16)</f>
        <v>1076165</v>
      </c>
      <c r="E17" s="85">
        <f>SUM(E5:E16)</f>
        <v>20807</v>
      </c>
      <c r="F17" s="85">
        <f>SUM(F5:F16)</f>
        <v>67851</v>
      </c>
      <c r="G17" s="85">
        <f>SUM(G5:G16)</f>
        <v>1164823</v>
      </c>
      <c r="H17" s="75"/>
      <c r="I17" s="85">
        <f>SUM(I5:I16)</f>
        <v>1333433</v>
      </c>
      <c r="J17" s="77"/>
      <c r="M17" s="85">
        <f t="shared" ref="M17:V17" si="11">SUM(M5:M16)</f>
        <v>4676</v>
      </c>
      <c r="N17" s="85">
        <f t="shared" si="11"/>
        <v>959</v>
      </c>
      <c r="O17" s="85">
        <f t="shared" si="11"/>
        <v>4129</v>
      </c>
      <c r="P17" s="85">
        <f t="shared" si="11"/>
        <v>412</v>
      </c>
      <c r="Q17" s="85">
        <f t="shared" si="11"/>
        <v>7540</v>
      </c>
      <c r="R17" s="85">
        <f t="shared" si="11"/>
        <v>7952</v>
      </c>
      <c r="S17" s="85">
        <f t="shared" si="11"/>
        <v>75391</v>
      </c>
      <c r="T17" s="85">
        <f t="shared" si="11"/>
        <v>79520</v>
      </c>
      <c r="U17" s="85">
        <f t="shared" si="11"/>
        <v>79520</v>
      </c>
      <c r="V17" s="85">
        <f t="shared" si="11"/>
        <v>0</v>
      </c>
    </row>
    <row r="18" spans="2:23">
      <c r="B18" s="62" t="s">
        <v>80</v>
      </c>
      <c r="C18" s="86"/>
      <c r="D18" s="90"/>
      <c r="E18" s="86"/>
      <c r="F18" s="86"/>
      <c r="G18" s="86"/>
      <c r="H18" s="86"/>
      <c r="I18" s="86"/>
      <c r="J18" s="86"/>
      <c r="W18" s="30"/>
    </row>
    <row r="19" spans="2:23">
      <c r="B19" s="67">
        <v>3064984</v>
      </c>
      <c r="C19" s="87" t="s">
        <v>82</v>
      </c>
      <c r="D19" s="91">
        <v>40000</v>
      </c>
      <c r="E19" s="99">
        <v>0</v>
      </c>
      <c r="F19" s="99">
        <v>0</v>
      </c>
      <c r="G19" s="77">
        <f>D19+E19+F19</f>
        <v>40000</v>
      </c>
      <c r="H19" s="88" t="s">
        <v>83</v>
      </c>
      <c r="I19" s="91">
        <v>40000</v>
      </c>
      <c r="J19" s="92">
        <v>7.25</v>
      </c>
      <c r="K19" s="79" t="s">
        <v>81</v>
      </c>
      <c r="L19" s="67">
        <v>3064984</v>
      </c>
      <c r="O19">
        <f t="shared" ref="O19:O26" si="12">M19-N19+P19</f>
        <v>0</v>
      </c>
      <c r="R19">
        <f t="shared" ref="R19:R22" si="13">P19+Q19</f>
        <v>0</v>
      </c>
      <c r="S19" s="15">
        <f>F19+Q19</f>
        <v>0</v>
      </c>
      <c r="T19" s="15">
        <f t="shared" ref="T19:T25" si="14">O19+S19</f>
        <v>0</v>
      </c>
      <c r="U19" s="73"/>
      <c r="V19" s="15">
        <f t="shared" ref="V19:V26" si="15">T19-U19</f>
        <v>0</v>
      </c>
    </row>
    <row r="20" spans="2:23">
      <c r="B20" s="67">
        <v>3064054</v>
      </c>
      <c r="C20" s="87" t="s">
        <v>86</v>
      </c>
      <c r="D20" s="91">
        <v>48000</v>
      </c>
      <c r="E20" s="99">
        <v>0</v>
      </c>
      <c r="F20" s="99">
        <v>0</v>
      </c>
      <c r="G20" s="77">
        <f t="shared" ref="G20:G21" si="16">D20+E20+F20</f>
        <v>48000</v>
      </c>
      <c r="H20" s="88" t="s">
        <v>89</v>
      </c>
      <c r="I20" s="91">
        <v>48000</v>
      </c>
      <c r="J20" s="92">
        <v>7.25</v>
      </c>
      <c r="K20" s="79" t="s">
        <v>81</v>
      </c>
      <c r="L20" s="67">
        <v>3064054</v>
      </c>
      <c r="O20">
        <f t="shared" si="12"/>
        <v>0</v>
      </c>
      <c r="R20">
        <f t="shared" si="13"/>
        <v>0</v>
      </c>
      <c r="S20" s="15">
        <f>F20+Q20</f>
        <v>0</v>
      </c>
      <c r="T20" s="15">
        <f t="shared" si="14"/>
        <v>0</v>
      </c>
      <c r="U20" s="73"/>
      <c r="V20" s="15">
        <f t="shared" si="15"/>
        <v>0</v>
      </c>
    </row>
    <row r="21" spans="2:23">
      <c r="B21" s="67">
        <v>3064055</v>
      </c>
      <c r="C21" s="87" t="s">
        <v>86</v>
      </c>
      <c r="D21" s="91">
        <v>100000</v>
      </c>
      <c r="E21" s="99">
        <v>0</v>
      </c>
      <c r="F21" s="99">
        <v>0</v>
      </c>
      <c r="G21" s="77">
        <f t="shared" si="16"/>
        <v>100000</v>
      </c>
      <c r="H21" s="88" t="s">
        <v>89</v>
      </c>
      <c r="I21" s="91">
        <v>100000</v>
      </c>
      <c r="J21" s="92">
        <v>7.25</v>
      </c>
      <c r="K21" s="79" t="s">
        <v>81</v>
      </c>
      <c r="L21" s="67">
        <v>3064055</v>
      </c>
      <c r="O21">
        <f t="shared" si="12"/>
        <v>0</v>
      </c>
      <c r="R21">
        <f t="shared" si="13"/>
        <v>0</v>
      </c>
      <c r="S21" s="15">
        <f>F21+Q21</f>
        <v>0</v>
      </c>
      <c r="T21" s="15">
        <f t="shared" si="14"/>
        <v>0</v>
      </c>
      <c r="U21" s="73"/>
      <c r="V21" s="15">
        <f t="shared" si="15"/>
        <v>0</v>
      </c>
    </row>
    <row r="22" spans="2:23">
      <c r="B22" s="67">
        <v>3064056</v>
      </c>
      <c r="C22" s="87" t="s">
        <v>86</v>
      </c>
      <c r="D22" s="91">
        <v>40440</v>
      </c>
      <c r="E22" s="99">
        <v>0</v>
      </c>
      <c r="F22" s="99">
        <v>0</v>
      </c>
      <c r="G22" s="77">
        <f>D22+E22+F22</f>
        <v>40440</v>
      </c>
      <c r="H22" s="88" t="s">
        <v>90</v>
      </c>
      <c r="I22" s="91">
        <v>40440</v>
      </c>
      <c r="J22" s="92">
        <v>7.25</v>
      </c>
      <c r="K22" s="79" t="s">
        <v>81</v>
      </c>
      <c r="L22" s="67">
        <v>3064056</v>
      </c>
      <c r="O22">
        <f t="shared" si="12"/>
        <v>0</v>
      </c>
      <c r="R22">
        <f t="shared" si="13"/>
        <v>0</v>
      </c>
      <c r="S22" s="15">
        <f>F22+Q22</f>
        <v>0</v>
      </c>
      <c r="T22" s="15">
        <f t="shared" si="14"/>
        <v>0</v>
      </c>
      <c r="U22" s="73"/>
      <c r="V22" s="15">
        <f t="shared" si="15"/>
        <v>0</v>
      </c>
    </row>
    <row r="23" spans="2:23">
      <c r="B23" s="67">
        <v>3064212</v>
      </c>
      <c r="C23" s="87" t="s">
        <v>84</v>
      </c>
      <c r="D23" s="91">
        <v>129000</v>
      </c>
      <c r="E23" s="100">
        <v>0</v>
      </c>
      <c r="F23" s="100">
        <v>0</v>
      </c>
      <c r="G23" s="77">
        <v>129000</v>
      </c>
      <c r="H23" s="74" t="s">
        <v>91</v>
      </c>
      <c r="I23" s="91">
        <v>129000</v>
      </c>
      <c r="J23" s="92">
        <v>7.25</v>
      </c>
      <c r="K23" s="79" t="s">
        <v>81</v>
      </c>
      <c r="L23" s="67">
        <v>3064212</v>
      </c>
      <c r="O23">
        <v>0</v>
      </c>
      <c r="R23">
        <f t="shared" ref="R23:R25" si="17">P23+Q23</f>
        <v>0</v>
      </c>
      <c r="S23" s="15">
        <f t="shared" ref="S23:S26" si="18">F23+Q23</f>
        <v>0</v>
      </c>
      <c r="T23" s="15">
        <v>0</v>
      </c>
      <c r="U23" s="73"/>
      <c r="V23" s="15">
        <v>0</v>
      </c>
    </row>
    <row r="24" spans="2:23">
      <c r="B24" s="67">
        <v>3064213</v>
      </c>
      <c r="C24" s="86" t="s">
        <v>84</v>
      </c>
      <c r="D24" s="91">
        <v>53800</v>
      </c>
      <c r="E24" s="100">
        <v>0</v>
      </c>
      <c r="F24" s="100">
        <v>0</v>
      </c>
      <c r="G24" s="77">
        <v>53800</v>
      </c>
      <c r="H24" s="74" t="s">
        <v>91</v>
      </c>
      <c r="I24" s="91">
        <v>53800</v>
      </c>
      <c r="J24" s="92">
        <v>7.25</v>
      </c>
      <c r="K24" s="79" t="s">
        <v>81</v>
      </c>
      <c r="L24" s="67">
        <v>3064213</v>
      </c>
      <c r="O24">
        <v>0</v>
      </c>
      <c r="R24">
        <f t="shared" si="17"/>
        <v>0</v>
      </c>
      <c r="S24" s="15">
        <f t="shared" si="18"/>
        <v>0</v>
      </c>
      <c r="T24" s="15">
        <v>0</v>
      </c>
      <c r="U24" s="73"/>
      <c r="V24" s="15">
        <v>0</v>
      </c>
    </row>
    <row r="25" spans="2:23">
      <c r="B25" s="81">
        <v>3065435</v>
      </c>
      <c r="C25" s="93" t="s">
        <v>87</v>
      </c>
      <c r="D25" s="82">
        <v>100000</v>
      </c>
      <c r="E25" s="83">
        <v>0</v>
      </c>
      <c r="F25" s="83">
        <v>0</v>
      </c>
      <c r="G25" s="77">
        <f>D25+E25+F25</f>
        <v>100000</v>
      </c>
      <c r="H25" s="74" t="s">
        <v>92</v>
      </c>
      <c r="I25" s="82">
        <v>100000</v>
      </c>
      <c r="J25" s="92">
        <v>7.25</v>
      </c>
      <c r="K25" s="79" t="s">
        <v>81</v>
      </c>
      <c r="L25" s="81">
        <v>3065435</v>
      </c>
      <c r="O25">
        <f t="shared" si="12"/>
        <v>0</v>
      </c>
      <c r="R25">
        <f t="shared" si="17"/>
        <v>0</v>
      </c>
      <c r="S25" s="15">
        <f t="shared" si="18"/>
        <v>0</v>
      </c>
      <c r="T25" s="15">
        <f t="shared" si="14"/>
        <v>0</v>
      </c>
      <c r="U25" s="73"/>
      <c r="V25" s="15">
        <f t="shared" si="15"/>
        <v>0</v>
      </c>
    </row>
    <row r="26" spans="2:23">
      <c r="B26" s="67">
        <v>304550</v>
      </c>
      <c r="C26" s="89" t="s">
        <v>88</v>
      </c>
      <c r="D26" s="82">
        <v>200000</v>
      </c>
      <c r="E26" s="83">
        <v>0</v>
      </c>
      <c r="F26" s="83">
        <v>0</v>
      </c>
      <c r="G26" s="77">
        <f>D26+E26+F26</f>
        <v>200000</v>
      </c>
      <c r="H26" s="74" t="s">
        <v>85</v>
      </c>
      <c r="I26" s="82">
        <v>200000</v>
      </c>
      <c r="J26" s="92">
        <v>7.1</v>
      </c>
      <c r="K26" s="79" t="s">
        <v>81</v>
      </c>
      <c r="L26" s="67">
        <v>304550</v>
      </c>
      <c r="O26">
        <f t="shared" si="12"/>
        <v>0</v>
      </c>
      <c r="R26">
        <v>5100</v>
      </c>
      <c r="S26" s="15">
        <f t="shared" si="18"/>
        <v>0</v>
      </c>
      <c r="T26" s="15">
        <v>50957</v>
      </c>
      <c r="U26" s="73">
        <v>50957</v>
      </c>
      <c r="V26" s="15">
        <f t="shared" si="15"/>
        <v>0</v>
      </c>
    </row>
    <row r="27" spans="2:23">
      <c r="B27" s="86"/>
      <c r="C27" s="94" t="s">
        <v>74</v>
      </c>
      <c r="D27" s="90">
        <f>SUM(D19:D26)</f>
        <v>711240</v>
      </c>
      <c r="E27" s="101">
        <f t="shared" ref="E27:G27" si="19">SUM(E19:E26)</f>
        <v>0</v>
      </c>
      <c r="F27" s="101">
        <f t="shared" si="19"/>
        <v>0</v>
      </c>
      <c r="G27" s="90">
        <f t="shared" si="19"/>
        <v>711240</v>
      </c>
      <c r="H27" s="86"/>
      <c r="I27" s="90">
        <f>SUM(I19:I26)</f>
        <v>711240</v>
      </c>
      <c r="J27" s="86"/>
      <c r="M27" s="90">
        <f t="shared" ref="M27:V27" si="20">SUM(M19:M26)</f>
        <v>0</v>
      </c>
      <c r="N27" s="90">
        <f t="shared" si="20"/>
        <v>0</v>
      </c>
      <c r="O27" s="90">
        <f t="shared" si="20"/>
        <v>0</v>
      </c>
      <c r="P27" s="90">
        <f t="shared" si="20"/>
        <v>0</v>
      </c>
      <c r="Q27" s="90">
        <f t="shared" si="20"/>
        <v>0</v>
      </c>
      <c r="R27" s="90">
        <f t="shared" si="20"/>
        <v>5100</v>
      </c>
      <c r="S27" s="90">
        <f t="shared" si="20"/>
        <v>0</v>
      </c>
      <c r="T27" s="90">
        <f t="shared" si="20"/>
        <v>50957</v>
      </c>
      <c r="U27" s="90">
        <f t="shared" si="20"/>
        <v>50957</v>
      </c>
      <c r="V27" s="90">
        <f t="shared" si="20"/>
        <v>0</v>
      </c>
    </row>
    <row r="28" spans="2:23">
      <c r="B28" s="86"/>
      <c r="C28" s="86"/>
      <c r="D28" s="90"/>
      <c r="E28" s="90"/>
      <c r="F28" s="90"/>
      <c r="G28" s="90"/>
      <c r="H28" s="86"/>
      <c r="I28" s="90"/>
      <c r="J28" s="86"/>
      <c r="M28" s="90"/>
      <c r="N28" s="90"/>
      <c r="O28" s="90"/>
      <c r="P28" s="90"/>
      <c r="Q28" s="90"/>
      <c r="R28" s="90"/>
      <c r="S28" s="90"/>
      <c r="T28" s="90"/>
      <c r="U28" s="90"/>
      <c r="V28" s="90"/>
    </row>
    <row r="29" spans="2:23">
      <c r="B29" s="86"/>
      <c r="C29" s="94" t="s">
        <v>75</v>
      </c>
      <c r="D29" s="90">
        <f>D17+D27</f>
        <v>1787405</v>
      </c>
      <c r="E29" s="90">
        <f t="shared" ref="E29:I29" si="21">E17+E27</f>
        <v>20807</v>
      </c>
      <c r="F29" s="90">
        <f t="shared" si="21"/>
        <v>67851</v>
      </c>
      <c r="G29" s="90">
        <f t="shared" si="21"/>
        <v>1876063</v>
      </c>
      <c r="H29" s="86"/>
      <c r="I29" s="90">
        <f t="shared" si="21"/>
        <v>2044673</v>
      </c>
      <c r="J29" s="86"/>
      <c r="M29" s="90">
        <f t="shared" ref="M29:V29" si="22">M17+M27</f>
        <v>4676</v>
      </c>
      <c r="N29" s="90">
        <f t="shared" si="22"/>
        <v>959</v>
      </c>
      <c r="O29" s="90">
        <f t="shared" si="22"/>
        <v>4129</v>
      </c>
      <c r="P29" s="90">
        <f t="shared" si="22"/>
        <v>412</v>
      </c>
      <c r="Q29" s="90">
        <f t="shared" si="22"/>
        <v>7540</v>
      </c>
      <c r="R29" s="90">
        <f t="shared" si="22"/>
        <v>13052</v>
      </c>
      <c r="S29" s="90">
        <f t="shared" si="22"/>
        <v>75391</v>
      </c>
      <c r="T29" s="90">
        <f t="shared" si="22"/>
        <v>130477</v>
      </c>
      <c r="U29" s="90">
        <f t="shared" si="22"/>
        <v>130477</v>
      </c>
      <c r="V29" s="90">
        <f t="shared" si="22"/>
        <v>0</v>
      </c>
    </row>
    <row r="30" spans="2:23" ht="13.5" thickBot="1">
      <c r="D30" s="95"/>
      <c r="E30" s="191">
        <f>20807+67851</f>
        <v>88658</v>
      </c>
      <c r="F30" s="192"/>
    </row>
    <row r="31" spans="2:23" ht="13.5" thickTop="1"/>
  </sheetData>
  <autoFilter ref="B3:J27"/>
  <mergeCells count="2">
    <mergeCell ref="B1:J1"/>
    <mergeCell ref="E30:F30"/>
  </mergeCells>
  <pageMargins left="0.70866141732283472" right="0.70866141732283472" top="0.74803149606299213" bottom="0.74803149606299213" header="0.31496062992125984" footer="0.31496062992125984"/>
  <pageSetup paperSize="9" scale="95" orientation="landscape" r:id="rId1"/>
  <ignoredErrors>
    <ignoredError sqref="F11:F1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 &amp; E 24-25</vt:lpstr>
      <vt:lpstr>BS 24-25</vt:lpstr>
      <vt:lpstr>FD 24-25</vt:lpstr>
      <vt:lpstr>'BS 24-25'!Print_Area</vt:lpstr>
      <vt:lpstr>'FD 24-25'!Print_Area</vt:lpstr>
      <vt:lpstr>'I &amp; E 24-25'!Print_Area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Hanumanta</cp:lastModifiedBy>
  <cp:lastPrinted>2025-06-26T04:14:59Z</cp:lastPrinted>
  <dcterms:created xsi:type="dcterms:W3CDTF">2025-06-22T17:18:44Z</dcterms:created>
  <dcterms:modified xsi:type="dcterms:W3CDTF">2025-06-26T08:30:52Z</dcterms:modified>
</cp:coreProperties>
</file>