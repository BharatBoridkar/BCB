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Bharat\Dahisaralkachs\"/>
    </mc:Choice>
  </mc:AlternateContent>
  <xr:revisionPtr revIDLastSave="0" documentId="13_ncr:1_{E95BF351-53CA-44F4-BBBD-3C240D632B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l Accounts" sheetId="1" r:id="rId1"/>
    <sheet name="FD Register" sheetId="5" r:id="rId2"/>
    <sheet name="Sheet1" sheetId="6" r:id="rId3"/>
  </sheets>
  <definedNames>
    <definedName name="_xlnm.Print_Area" localSheetId="1">'FD Register'!$A$1:$I$27</definedName>
    <definedName name="_xlnm.Print_Area" localSheetId="0">'Final Accounts'!$A$1:$I$86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I68" i="1"/>
  <c r="H23" i="5"/>
  <c r="G23" i="5"/>
  <c r="C23" i="5"/>
  <c r="F22" i="5"/>
  <c r="F20" i="5"/>
  <c r="F19" i="5"/>
  <c r="F18" i="5"/>
  <c r="F12" i="5"/>
  <c r="F11" i="5"/>
  <c r="F10" i="5"/>
  <c r="F9" i="5"/>
  <c r="F8" i="5"/>
  <c r="F23" i="5" l="1"/>
  <c r="I73" i="1"/>
  <c r="F16" i="5" l="1"/>
  <c r="H13" i="5" l="1"/>
  <c r="G13" i="5"/>
  <c r="C13" i="5"/>
  <c r="G26" i="5" l="1"/>
  <c r="F13" i="5"/>
  <c r="C26" i="5"/>
  <c r="H26" i="5"/>
  <c r="A77" i="1"/>
  <c r="F77" i="1"/>
  <c r="F26" i="5" l="1"/>
  <c r="I45" i="1" l="1"/>
  <c r="I53" i="1"/>
  <c r="I50" i="1"/>
  <c r="D58" i="1"/>
  <c r="D55" i="1"/>
  <c r="D51" i="1"/>
  <c r="I18" i="1"/>
  <c r="F18" i="1"/>
  <c r="F27" i="1" s="1"/>
  <c r="A27" i="1" l="1"/>
  <c r="F25" i="1" s="1"/>
  <c r="I77" i="1"/>
  <c r="I27" i="1"/>
  <c r="D25" i="1" l="1"/>
  <c r="C76" i="1" s="1"/>
  <c r="D27" i="1" l="1"/>
  <c r="I25" i="1" s="1"/>
  <c r="D76" i="1"/>
  <c r="D77" i="1" s="1"/>
</calcChain>
</file>

<file path=xl/sharedStrings.xml><?xml version="1.0" encoding="utf-8"?>
<sst xmlns="http://schemas.openxmlformats.org/spreadsheetml/2006/main" count="149" uniqueCount="113">
  <si>
    <t>DAHISAR ALKA CO-OP. HOUSING SOCIETY LTD.</t>
  </si>
  <si>
    <t>Previous Year</t>
  </si>
  <si>
    <t>EXPENDITURE</t>
  </si>
  <si>
    <t>INCOME</t>
  </si>
  <si>
    <r>
      <t xml:space="preserve">By </t>
    </r>
    <r>
      <rPr>
        <u/>
        <sz val="10"/>
        <color theme="1"/>
        <rFont val="Arial"/>
        <family val="2"/>
      </rPr>
      <t>Member's Contribution Towards</t>
    </r>
  </si>
  <si>
    <t>Water Charges</t>
  </si>
  <si>
    <t>Electricity Charges</t>
  </si>
  <si>
    <t xml:space="preserve">     Municipal Taxes</t>
  </si>
  <si>
    <t xml:space="preserve">     Service Charges</t>
  </si>
  <si>
    <t xml:space="preserve">     Lease Rent</t>
  </si>
  <si>
    <t xml:space="preserve">     Water Charges</t>
  </si>
  <si>
    <t xml:space="preserve">     Parking Charges</t>
  </si>
  <si>
    <t xml:space="preserve">     Electricity Charges</t>
  </si>
  <si>
    <t xml:space="preserve">     Interest on Arrears</t>
  </si>
  <si>
    <t>By Interest on Saving Bank</t>
  </si>
  <si>
    <t>By FD Interest</t>
  </si>
  <si>
    <t>To Salaries &amp; Wages</t>
  </si>
  <si>
    <t>To Water Charges (including Tanker Water)</t>
  </si>
  <si>
    <t>To Electricity Charges</t>
  </si>
  <si>
    <t>To Audit Fees</t>
  </si>
  <si>
    <t>To Accounts Writing Charges</t>
  </si>
  <si>
    <t>To Printing &amp; Stationery</t>
  </si>
  <si>
    <t>To Repairs &amp; Maintenance</t>
  </si>
  <si>
    <t>To Bank Charges</t>
  </si>
  <si>
    <t>To Depreciation</t>
  </si>
  <si>
    <t>To Miscellaneous Expenses</t>
  </si>
  <si>
    <t>To Conveyance</t>
  </si>
  <si>
    <t>To Postage</t>
  </si>
  <si>
    <t>To Subscription</t>
  </si>
  <si>
    <t>By Excess of Expenditure over Income</t>
  </si>
  <si>
    <t>TOTAL</t>
  </si>
  <si>
    <t>CAPITAL &amp; LIABILITIES</t>
  </si>
  <si>
    <t>PROPERTY &amp; ASSETS</t>
  </si>
  <si>
    <t>SHARE CAPITAL</t>
  </si>
  <si>
    <t>Authorised</t>
  </si>
  <si>
    <t>Issued,Subscribed &amp; Paid up</t>
  </si>
  <si>
    <t>2000 Shares of Rs.50/- each</t>
  </si>
  <si>
    <t>75 Shares of Rs.50/- each fully paid up</t>
  </si>
  <si>
    <t>RESERVE &amp; SURPLUS</t>
  </si>
  <si>
    <t>Reserve Fund</t>
  </si>
  <si>
    <t>Balance as per last Balance Sheet</t>
  </si>
  <si>
    <t>Sinking Fund</t>
  </si>
  <si>
    <t>Add: Contribution during the year</t>
  </si>
  <si>
    <t>Add: Interest on FD</t>
  </si>
  <si>
    <t>Repair Fund</t>
  </si>
  <si>
    <t>CURRENT LIABILITIES &amp; PROVISIONS</t>
  </si>
  <si>
    <t>Outstanding Expenses</t>
  </si>
  <si>
    <t>Salaries &amp; Wages</t>
  </si>
  <si>
    <t>Audit Fees</t>
  </si>
  <si>
    <t>Accounts Writing Charges</t>
  </si>
  <si>
    <t>Member's Credit Balances (As per List)</t>
  </si>
  <si>
    <t>INCOME &amp; EXPENDITURE ACCOUNT</t>
  </si>
  <si>
    <t>CASH &amp; BANK BALANCES</t>
  </si>
  <si>
    <t>Cash on Hand</t>
  </si>
  <si>
    <t>Balance with The MSCB Ltd.</t>
  </si>
  <si>
    <t>INVESTMENTS</t>
  </si>
  <si>
    <t>One shrare of MDCHF</t>
  </si>
  <si>
    <t>FD with The MSCB Ltd</t>
  </si>
  <si>
    <t>General</t>
  </si>
  <si>
    <t>Interest Accrued</t>
  </si>
  <si>
    <t>SUNDRY DEBTORS</t>
  </si>
  <si>
    <t>Dues from Members (As per List)</t>
  </si>
  <si>
    <t>WATER PUMP</t>
  </si>
  <si>
    <t>Less: Depreiciation</t>
  </si>
  <si>
    <t>Common Benefit Fund</t>
  </si>
  <si>
    <t>Security Deposit - Adhunik Developers</t>
  </si>
  <si>
    <t xml:space="preserve">     Others</t>
  </si>
  <si>
    <t>FD with MSCB - General</t>
  </si>
  <si>
    <t>FD with MSCB - Sinking Fund</t>
  </si>
  <si>
    <t>Interest</t>
  </si>
  <si>
    <t>Amount</t>
  </si>
  <si>
    <t>Remarks</t>
  </si>
  <si>
    <t>Earned Interest</t>
  </si>
  <si>
    <t xml:space="preserve">Accured </t>
  </si>
  <si>
    <t xml:space="preserve">Maturity </t>
  </si>
  <si>
    <t>Maturity Date</t>
  </si>
  <si>
    <t>Date</t>
  </si>
  <si>
    <t>No</t>
  </si>
  <si>
    <t>(Reg. No. BOM/WR/HSG [T.C.] 2427/ Year 86-87 Dt.06.02.1987)</t>
  </si>
  <si>
    <t xml:space="preserve">     Legal Charges</t>
  </si>
  <si>
    <t xml:space="preserve">To Excess of Income over Expenditure </t>
  </si>
  <si>
    <t>Add: Purchased during the year</t>
  </si>
  <si>
    <t>C C TV</t>
  </si>
  <si>
    <t>Subscription</t>
  </si>
  <si>
    <t>Add: Surplus during the Year</t>
  </si>
  <si>
    <t>10472/52</t>
  </si>
  <si>
    <t>TDS</t>
  </si>
  <si>
    <t>LOANS &amp; ADVANCES</t>
  </si>
  <si>
    <t>Deposit with Adani Electricity</t>
  </si>
  <si>
    <t>Add: Addition during the Year</t>
  </si>
  <si>
    <t>TDS 2022-23</t>
  </si>
  <si>
    <t>To Professional Fees</t>
  </si>
  <si>
    <t>TDS 2023-24</t>
  </si>
  <si>
    <t>To Legal Expenses</t>
  </si>
  <si>
    <t>To Election Expenses</t>
  </si>
  <si>
    <t>TDS 2024-25</t>
  </si>
  <si>
    <t>Schedule of Fixed Deposit as on 31/03/2026</t>
  </si>
  <si>
    <t>10487/110</t>
  </si>
  <si>
    <t>Renewed</t>
  </si>
  <si>
    <t>TDS 2025-26</t>
  </si>
  <si>
    <t>Security Deposit - Surbhi Construction</t>
  </si>
  <si>
    <r>
      <t>INCOME &amp; EXPENDITURE ACCOUNT FOR THE YEAR ENDED ON 31</t>
    </r>
    <r>
      <rPr>
        <b/>
        <u/>
        <vertAlign val="superscript"/>
        <sz val="11"/>
        <color theme="1"/>
        <rFont val="Arial"/>
        <family val="2"/>
      </rPr>
      <t>st</t>
    </r>
    <r>
      <rPr>
        <b/>
        <u/>
        <sz val="11"/>
        <color theme="1"/>
        <rFont val="Arial"/>
        <family val="2"/>
      </rPr>
      <t xml:space="preserve"> MARCH, 2026</t>
    </r>
  </si>
  <si>
    <t>Rs.</t>
  </si>
  <si>
    <t xml:space="preserve">AS PER MY REPORT ON EVEN DATE </t>
  </si>
  <si>
    <t>Shri. Bharat C. Boridkar</t>
  </si>
  <si>
    <t>PLACE : MUMBAI</t>
  </si>
  <si>
    <t>[Panel No.: Mumbai-4/C1/1011404]</t>
  </si>
  <si>
    <t>Govt. Certified Panel Auditor</t>
  </si>
  <si>
    <t>Chairman                        Hon. Secretary                   Hon. Treasurer</t>
  </si>
  <si>
    <t>For DAHISAR ALKA CO-OP. HOUSING SOCIETY LTD.</t>
  </si>
  <si>
    <r>
      <t>BALANCE SHEET AS ON 31</t>
    </r>
    <r>
      <rPr>
        <b/>
        <u/>
        <vertAlign val="superscript"/>
        <sz val="11"/>
        <color theme="1"/>
        <rFont val="Arial"/>
        <family val="2"/>
      </rPr>
      <t>st</t>
    </r>
    <r>
      <rPr>
        <b/>
        <u/>
        <sz val="11"/>
        <color theme="1"/>
        <rFont val="Arial"/>
        <family val="2"/>
      </rPr>
      <t xml:space="preserve"> MARCH, 2026</t>
    </r>
  </si>
  <si>
    <t>TOTAL :-</t>
  </si>
  <si>
    <t>Less : TDS Receivables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</si>
</sst>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0.00_)"/>
    <numFmt numFmtId="166" formatCode="&quot;Mumbai: &quot;dd&quot;th&quot;\ mmmm\,\ yyyy"/>
  </numFmts>
  <fonts count="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Rupee Foradian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vertAlign val="superscript"/>
      <sz val="11"/>
      <color theme="1"/>
      <name val="Arial"/>
      <family val="2"/>
    </font>
    <font>
      <b/>
      <u/>
      <sz val="14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Arial"/>
      <family val="2"/>
    </font>
    <font>
      <sz val="11"/>
      <name val="Times New Roman"/>
      <family val="1"/>
    </font>
    <font>
      <b/>
      <sz val="10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0" fontId="18" fillId="0" borderId="0"/>
    <xf numFmtId="0" fontId="11" fillId="0" borderId="0"/>
  </cellStyleXfs>
  <cellXfs count="74">
    <xf numFmtId="0" fontId="0" fillId="0" borderId="0" xfId="0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164" fontId="0" fillId="0" borderId="0" xfId="0" applyNumberFormat="1"/>
    <xf numFmtId="164" fontId="0" fillId="0" borderId="7" xfId="0" applyNumberFormat="1" applyBorder="1"/>
    <xf numFmtId="2" fontId="12" fillId="0" borderId="6" xfId="1" applyNumberFormat="1" applyFont="1" applyBorder="1" applyAlignment="1">
      <alignment vertical="center"/>
    </xf>
    <xf numFmtId="165" fontId="12" fillId="0" borderId="0" xfId="1" applyNumberFormat="1" applyFont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0" xfId="1" applyFont="1" applyAlignment="1">
      <alignment horizontal="left" vertical="center"/>
    </xf>
    <xf numFmtId="2" fontId="12" fillId="0" borderId="0" xfId="1" applyNumberFormat="1" applyFont="1" applyAlignment="1">
      <alignment horizontal="left" vertical="center"/>
    </xf>
    <xf numFmtId="165" fontId="12" fillId="0" borderId="10" xfId="1" applyNumberFormat="1" applyFont="1" applyBorder="1" applyAlignment="1">
      <alignment vertical="center"/>
    </xf>
    <xf numFmtId="165" fontId="12" fillId="0" borderId="6" xfId="1" applyNumberFormat="1" applyFont="1" applyBorder="1" applyAlignment="1">
      <alignment vertical="center"/>
    </xf>
    <xf numFmtId="0" fontId="12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3" fontId="1" fillId="0" borderId="6" xfId="0" applyNumberFormat="1" applyFont="1" applyBorder="1" applyAlignment="1">
      <alignment vertical="center"/>
    </xf>
    <xf numFmtId="43" fontId="1" fillId="0" borderId="2" xfId="0" applyNumberFormat="1" applyFont="1" applyBorder="1" applyAlignment="1">
      <alignment vertical="center"/>
    </xf>
    <xf numFmtId="43" fontId="19" fillId="0" borderId="3" xfId="0" applyNumberFormat="1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" fontId="13" fillId="0" borderId="0" xfId="2" applyNumberFormat="1" applyFont="1" applyAlignment="1">
      <alignment vertical="center"/>
    </xf>
    <xf numFmtId="1" fontId="12" fillId="0" borderId="0" xfId="2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43" fontId="1" fillId="0" borderId="4" xfId="0" applyNumberFormat="1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20" fillId="0" borderId="0" xfId="0" applyFont="1"/>
    <xf numFmtId="0" fontId="4" fillId="0" borderId="7" xfId="0" applyFont="1" applyBorder="1" applyAlignment="1">
      <alignment horizontal="center"/>
    </xf>
    <xf numFmtId="0" fontId="0" fillId="0" borderId="7" xfId="0" applyBorder="1"/>
    <xf numFmtId="14" fontId="0" fillId="0" borderId="7" xfId="0" applyNumberFormat="1" applyBorder="1"/>
    <xf numFmtId="0" fontId="4" fillId="0" borderId="7" xfId="0" applyFont="1" applyBorder="1"/>
    <xf numFmtId="164" fontId="4" fillId="0" borderId="7" xfId="0" applyNumberFormat="1" applyFont="1" applyBorder="1"/>
    <xf numFmtId="0" fontId="4" fillId="0" borderId="0" xfId="0" applyFont="1"/>
    <xf numFmtId="164" fontId="4" fillId="0" borderId="0" xfId="0" applyNumberFormat="1" applyFont="1"/>
    <xf numFmtId="166" fontId="12" fillId="0" borderId="6" xfId="3" applyNumberFormat="1" applyFont="1" applyBorder="1" applyAlignment="1">
      <alignment horizontal="left" vertical="center"/>
    </xf>
    <xf numFmtId="166" fontId="12" fillId="0" borderId="0" xfId="3" applyNumberFormat="1" applyFont="1" applyAlignment="1">
      <alignment horizontal="left" vertical="center"/>
    </xf>
    <xf numFmtId="165" fontId="15" fillId="0" borderId="0" xfId="1" applyNumberFormat="1" applyFont="1" applyAlignment="1">
      <alignment horizontal="center" vertical="center" wrapText="1"/>
    </xf>
    <xf numFmtId="165" fontId="15" fillId="0" borderId="10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165" fontId="12" fillId="0" borderId="0" xfId="1" applyNumberFormat="1" applyFont="1" applyAlignment="1">
      <alignment horizontal="center" vertical="center"/>
    </xf>
    <xf numFmtId="165" fontId="12" fillId="0" borderId="10" xfId="1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">
    <cellStyle name="Normal" xfId="0" builtinId="0"/>
    <cellStyle name="Normal 5 2" xfId="1" xr:uid="{1548B5A6-A5D2-4536-930D-55ED78343974}"/>
    <cellStyle name="Normal_BSPL 2004 NS" xfId="3" xr:uid="{BD496D32-F5F6-4FB9-B8CE-3CCDF8B7EBA9}"/>
    <cellStyle name="Normal_FY 2003-2004  2 2" xfId="2" xr:uid="{A1B3A253-7F1A-44C2-AB75-FA84CA8FF7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"/>
  <sheetViews>
    <sheetView view="pageBreakPreview" topLeftCell="A65" zoomScaleNormal="118" zoomScaleSheetLayoutView="100" workbookViewId="0">
      <selection activeCell="A39" sqref="A39:I86"/>
    </sheetView>
  </sheetViews>
  <sheetFormatPr defaultColWidth="9.109375" defaultRowHeight="13.2"/>
  <cols>
    <col min="1" max="1" width="13.5546875" style="18" customWidth="1"/>
    <col min="2" max="2" width="30.6640625" style="18" customWidth="1"/>
    <col min="3" max="3" width="12.6640625" style="18" customWidth="1"/>
    <col min="4" max="4" width="13.5546875" style="18" customWidth="1"/>
    <col min="5" max="5" width="0.88671875" style="18" customWidth="1"/>
    <col min="6" max="6" width="13.5546875" style="18" customWidth="1"/>
    <col min="7" max="7" width="30.6640625" style="18" customWidth="1"/>
    <col min="8" max="8" width="12.6640625" style="18" customWidth="1"/>
    <col min="9" max="9" width="13.5546875" style="18" customWidth="1"/>
    <col min="10" max="16384" width="9.109375" style="18"/>
  </cols>
  <sheetData>
    <row r="1" spans="1:9" ht="19.95" customHeight="1">
      <c r="A1" s="58" t="s">
        <v>0</v>
      </c>
      <c r="B1" s="59"/>
      <c r="C1" s="59"/>
      <c r="D1" s="59"/>
      <c r="E1" s="59"/>
      <c r="F1" s="59"/>
      <c r="G1" s="59"/>
      <c r="H1" s="59"/>
      <c r="I1" s="60"/>
    </row>
    <row r="2" spans="1:9" ht="14.4" customHeight="1">
      <c r="A2" s="61" t="s">
        <v>78</v>
      </c>
      <c r="B2" s="62"/>
      <c r="C2" s="62"/>
      <c r="D2" s="62"/>
      <c r="E2" s="62"/>
      <c r="F2" s="62"/>
      <c r="G2" s="62"/>
      <c r="H2" s="62"/>
      <c r="I2" s="63"/>
    </row>
    <row r="3" spans="1:9" ht="7.95" customHeight="1">
      <c r="A3" s="20"/>
      <c r="I3" s="21"/>
    </row>
    <row r="4" spans="1:9" ht="16.8" customHeight="1">
      <c r="A4" s="69" t="s">
        <v>101</v>
      </c>
      <c r="B4" s="70"/>
      <c r="C4" s="70"/>
      <c r="D4" s="70"/>
      <c r="E4" s="70"/>
      <c r="F4" s="70"/>
      <c r="G4" s="70"/>
      <c r="H4" s="70"/>
      <c r="I4" s="71"/>
    </row>
    <row r="5" spans="1:9" ht="7.95" customHeight="1">
      <c r="A5" s="22"/>
      <c r="B5" s="23"/>
      <c r="C5" s="23"/>
      <c r="D5" s="23"/>
      <c r="E5" s="23"/>
      <c r="F5" s="23"/>
      <c r="G5" s="23"/>
      <c r="H5" s="23"/>
      <c r="I5" s="24"/>
    </row>
    <row r="6" spans="1:9" ht="13.8" thickBot="1">
      <c r="A6" s="25" t="s">
        <v>1</v>
      </c>
      <c r="B6" s="25" t="s">
        <v>2</v>
      </c>
      <c r="C6" s="26" t="s">
        <v>102</v>
      </c>
      <c r="D6" s="26" t="s">
        <v>102</v>
      </c>
      <c r="E6" s="25"/>
      <c r="F6" s="25" t="s">
        <v>1</v>
      </c>
      <c r="G6" s="25" t="s">
        <v>3</v>
      </c>
      <c r="H6" s="26" t="s">
        <v>102</v>
      </c>
      <c r="I6" s="26" t="s">
        <v>102</v>
      </c>
    </row>
    <row r="7" spans="1:9" ht="10.050000000000001" customHeight="1">
      <c r="A7" s="27"/>
      <c r="B7" s="28"/>
      <c r="C7" s="27"/>
      <c r="D7" s="27"/>
      <c r="E7" s="28"/>
      <c r="F7" s="27"/>
      <c r="G7" s="28"/>
      <c r="H7" s="27"/>
      <c r="I7" s="27"/>
    </row>
    <row r="8" spans="1:9" ht="15" customHeight="1">
      <c r="A8" s="27">
        <v>19500</v>
      </c>
      <c r="B8" s="28" t="s">
        <v>16</v>
      </c>
      <c r="C8" s="27"/>
      <c r="D8" s="27">
        <v>20400</v>
      </c>
      <c r="E8" s="28"/>
      <c r="F8" s="27"/>
      <c r="G8" s="28" t="s">
        <v>4</v>
      </c>
      <c r="H8" s="27"/>
      <c r="I8" s="27"/>
    </row>
    <row r="9" spans="1:9" ht="15" customHeight="1">
      <c r="A9" s="27">
        <v>48778</v>
      </c>
      <c r="B9" s="28" t="s">
        <v>17</v>
      </c>
      <c r="C9" s="27"/>
      <c r="D9" s="27">
        <v>44540</v>
      </c>
      <c r="E9" s="28"/>
      <c r="F9" s="27">
        <v>20712</v>
      </c>
      <c r="G9" s="28" t="s">
        <v>7</v>
      </c>
      <c r="H9" s="27">
        <v>20712</v>
      </c>
      <c r="I9" s="27"/>
    </row>
    <row r="10" spans="1:9" ht="15" customHeight="1">
      <c r="A10" s="27">
        <v>21430</v>
      </c>
      <c r="B10" s="28" t="s">
        <v>18</v>
      </c>
      <c r="C10" s="27"/>
      <c r="D10" s="27">
        <v>22850</v>
      </c>
      <c r="E10" s="28"/>
      <c r="F10" s="27">
        <v>58500</v>
      </c>
      <c r="G10" s="28" t="s">
        <v>8</v>
      </c>
      <c r="H10" s="27">
        <v>58500</v>
      </c>
      <c r="I10" s="27"/>
    </row>
    <row r="11" spans="1:9" ht="15" customHeight="1">
      <c r="A11" s="27">
        <v>1500</v>
      </c>
      <c r="B11" s="28" t="s">
        <v>19</v>
      </c>
      <c r="C11" s="27"/>
      <c r="D11" s="27">
        <v>1500</v>
      </c>
      <c r="E11" s="28"/>
      <c r="F11" s="27">
        <v>17750</v>
      </c>
      <c r="G11" s="28" t="s">
        <v>9</v>
      </c>
      <c r="H11" s="27">
        <v>16750</v>
      </c>
      <c r="I11" s="27"/>
    </row>
    <row r="12" spans="1:9" ht="15" customHeight="1">
      <c r="A12" s="27">
        <v>3500</v>
      </c>
      <c r="B12" s="28" t="s">
        <v>20</v>
      </c>
      <c r="C12" s="27"/>
      <c r="D12" s="27">
        <v>3500</v>
      </c>
      <c r="E12" s="28"/>
      <c r="F12" s="27">
        <v>26100</v>
      </c>
      <c r="G12" s="28" t="s">
        <v>10</v>
      </c>
      <c r="H12" s="27">
        <v>26100</v>
      </c>
      <c r="I12" s="27"/>
    </row>
    <row r="13" spans="1:9" ht="15" customHeight="1">
      <c r="A13" s="27">
        <v>2705</v>
      </c>
      <c r="B13" s="28" t="s">
        <v>21</v>
      </c>
      <c r="C13" s="27"/>
      <c r="D13" s="27">
        <v>848</v>
      </c>
      <c r="E13" s="28"/>
      <c r="F13" s="27">
        <v>13000</v>
      </c>
      <c r="G13" s="28" t="s">
        <v>11</v>
      </c>
      <c r="H13" s="27">
        <v>14550</v>
      </c>
      <c r="I13" s="27"/>
    </row>
    <row r="14" spans="1:9" ht="15" customHeight="1">
      <c r="A14" s="27">
        <v>26098</v>
      </c>
      <c r="B14" s="28" t="s">
        <v>22</v>
      </c>
      <c r="C14" s="27"/>
      <c r="D14" s="27">
        <v>42148</v>
      </c>
      <c r="E14" s="28"/>
      <c r="F14" s="27">
        <v>11700</v>
      </c>
      <c r="G14" s="28" t="s">
        <v>12</v>
      </c>
      <c r="H14" s="27">
        <v>11700</v>
      </c>
      <c r="I14" s="27"/>
    </row>
    <row r="15" spans="1:9" ht="15" customHeight="1">
      <c r="A15" s="27">
        <v>0</v>
      </c>
      <c r="B15" s="28" t="s">
        <v>23</v>
      </c>
      <c r="C15" s="27"/>
      <c r="D15" s="27">
        <v>177</v>
      </c>
      <c r="E15" s="28"/>
      <c r="F15" s="29">
        <v>0</v>
      </c>
      <c r="G15" s="28" t="s">
        <v>66</v>
      </c>
      <c r="H15" s="29">
        <v>1000</v>
      </c>
      <c r="I15" s="27"/>
    </row>
    <row r="16" spans="1:9" ht="15" customHeight="1">
      <c r="A16" s="27">
        <v>5187</v>
      </c>
      <c r="B16" s="28" t="s">
        <v>24</v>
      </c>
      <c r="C16" s="27"/>
      <c r="D16" s="27">
        <v>4357</v>
      </c>
      <c r="E16" s="28"/>
      <c r="F16" s="27">
        <v>60000</v>
      </c>
      <c r="G16" s="18" t="s">
        <v>79</v>
      </c>
      <c r="H16" s="27">
        <v>150000</v>
      </c>
      <c r="I16" s="28"/>
    </row>
    <row r="17" spans="1:9" ht="15" customHeight="1">
      <c r="A17" s="27">
        <v>2105</v>
      </c>
      <c r="B17" s="28" t="s">
        <v>25</v>
      </c>
      <c r="C17" s="27"/>
      <c r="D17" s="27">
        <v>580</v>
      </c>
      <c r="E17" s="28"/>
      <c r="F17" s="30">
        <v>32423</v>
      </c>
      <c r="G17" s="28" t="s">
        <v>13</v>
      </c>
      <c r="H17" s="30">
        <v>44782</v>
      </c>
      <c r="I17" s="27"/>
    </row>
    <row r="18" spans="1:9" ht="15" customHeight="1">
      <c r="A18" s="27">
        <v>5000</v>
      </c>
      <c r="B18" s="28" t="s">
        <v>91</v>
      </c>
      <c r="C18" s="27"/>
      <c r="D18" s="27">
        <v>0</v>
      </c>
      <c r="E18" s="28"/>
      <c r="F18" s="27">
        <f>SUM(F9:F17)</f>
        <v>240185</v>
      </c>
      <c r="G18" s="28"/>
      <c r="H18" s="27"/>
      <c r="I18" s="27">
        <f>SUM(H9:H17)</f>
        <v>344094</v>
      </c>
    </row>
    <row r="19" spans="1:9" ht="15" customHeight="1">
      <c r="A19" s="27">
        <v>4077</v>
      </c>
      <c r="B19" s="28" t="s">
        <v>26</v>
      </c>
      <c r="C19" s="27"/>
      <c r="D19" s="27">
        <v>2926</v>
      </c>
      <c r="E19" s="28"/>
      <c r="F19" s="27">
        <v>2163</v>
      </c>
      <c r="G19" s="28" t="s">
        <v>14</v>
      </c>
      <c r="H19" s="27"/>
      <c r="I19" s="27">
        <v>3222</v>
      </c>
    </row>
    <row r="20" spans="1:9" ht="15" customHeight="1">
      <c r="A20" s="27">
        <v>230</v>
      </c>
      <c r="B20" s="28" t="s">
        <v>27</v>
      </c>
      <c r="C20" s="27"/>
      <c r="D20" s="27">
        <v>30</v>
      </c>
      <c r="E20" s="28"/>
      <c r="F20" s="27">
        <v>52088</v>
      </c>
      <c r="G20" s="28" t="s">
        <v>15</v>
      </c>
      <c r="H20" s="27"/>
      <c r="I20" s="27">
        <v>49106</v>
      </c>
    </row>
    <row r="21" spans="1:9" ht="15" customHeight="1">
      <c r="A21" s="27">
        <v>826</v>
      </c>
      <c r="B21" s="28" t="s">
        <v>28</v>
      </c>
      <c r="C21" s="27"/>
      <c r="D21" s="27">
        <v>826</v>
      </c>
      <c r="E21" s="28"/>
      <c r="F21" s="27"/>
      <c r="G21" s="28"/>
      <c r="H21" s="27"/>
      <c r="I21" s="27"/>
    </row>
    <row r="22" spans="1:9" ht="15" customHeight="1">
      <c r="A22" s="27">
        <v>118000</v>
      </c>
      <c r="B22" s="28" t="s">
        <v>93</v>
      </c>
      <c r="C22" s="28"/>
      <c r="D22" s="27">
        <v>165000</v>
      </c>
      <c r="E22" s="28"/>
      <c r="F22" s="27"/>
      <c r="G22" s="28"/>
      <c r="H22" s="27"/>
      <c r="I22" s="27"/>
    </row>
    <row r="23" spans="1:9" ht="15" customHeight="1">
      <c r="A23" s="27">
        <v>15000</v>
      </c>
      <c r="B23" s="28" t="s">
        <v>94</v>
      </c>
      <c r="C23" s="27"/>
      <c r="D23" s="27">
        <v>0</v>
      </c>
      <c r="E23" s="28"/>
      <c r="F23" s="27"/>
      <c r="G23" s="28"/>
      <c r="H23" s="27"/>
      <c r="I23" s="27"/>
    </row>
    <row r="24" spans="1:9">
      <c r="A24" s="27"/>
      <c r="B24" s="28"/>
      <c r="C24" s="27"/>
      <c r="D24" s="27"/>
      <c r="E24" s="28"/>
      <c r="F24" s="27"/>
      <c r="G24" s="28"/>
      <c r="H24" s="27"/>
      <c r="I24" s="27"/>
    </row>
    <row r="25" spans="1:9" ht="15" customHeight="1">
      <c r="A25" s="27">
        <v>20500</v>
      </c>
      <c r="B25" s="28" t="s">
        <v>80</v>
      </c>
      <c r="C25" s="27"/>
      <c r="D25" s="27">
        <f>I27-(SUM(D8:D23))</f>
        <v>86740</v>
      </c>
      <c r="E25" s="28"/>
      <c r="F25" s="27">
        <f>A27-(F18+F19+F20+F21+F22)</f>
        <v>0</v>
      </c>
      <c r="G25" s="28" t="s">
        <v>29</v>
      </c>
      <c r="H25" s="27"/>
      <c r="I25" s="27">
        <f>D27-(I18+I19+I20+I21+I22)</f>
        <v>0</v>
      </c>
    </row>
    <row r="26" spans="1:9" ht="10.050000000000001" customHeight="1">
      <c r="A26" s="27"/>
      <c r="B26" s="28"/>
      <c r="C26" s="27"/>
      <c r="D26" s="27"/>
      <c r="E26" s="28"/>
      <c r="F26" s="27"/>
      <c r="G26" s="28"/>
      <c r="H26" s="27"/>
      <c r="I26" s="27"/>
    </row>
    <row r="27" spans="1:9" s="33" customFormat="1" ht="19.95" customHeight="1" thickBot="1">
      <c r="A27" s="31">
        <f>SUM(A8:A25)</f>
        <v>294436</v>
      </c>
      <c r="B27" s="41" t="s">
        <v>111</v>
      </c>
      <c r="C27" s="31"/>
      <c r="D27" s="31">
        <f>SUM(D8:D25)</f>
        <v>396422</v>
      </c>
      <c r="E27" s="32"/>
      <c r="F27" s="31">
        <f>F18+F19+F20+F21</f>
        <v>294436</v>
      </c>
      <c r="G27" s="41" t="s">
        <v>111</v>
      </c>
      <c r="H27" s="31"/>
      <c r="I27" s="31">
        <f>SUM(I18:I21)</f>
        <v>396422</v>
      </c>
    </row>
    <row r="28" spans="1:9" ht="8.1" customHeight="1" thickTop="1">
      <c r="A28" s="20"/>
      <c r="I28" s="21"/>
    </row>
    <row r="29" spans="1:9" ht="14.4">
      <c r="A29" s="10" t="s">
        <v>103</v>
      </c>
      <c r="B29" s="11"/>
      <c r="C29" s="11"/>
      <c r="D29" s="11"/>
      <c r="G29" s="19"/>
      <c r="I29" s="21"/>
    </row>
    <row r="30" spans="1:9" ht="15.75" customHeight="1">
      <c r="A30" s="12"/>
      <c r="B30" s="67"/>
      <c r="C30" s="67"/>
      <c r="D30" s="67"/>
      <c r="G30" s="52" t="s">
        <v>109</v>
      </c>
      <c r="H30" s="52"/>
      <c r="I30" s="53"/>
    </row>
    <row r="31" spans="1:9" ht="14.4">
      <c r="A31" s="12"/>
      <c r="B31" s="68"/>
      <c r="C31" s="68"/>
      <c r="D31" s="68"/>
      <c r="G31" s="54"/>
      <c r="H31" s="54"/>
      <c r="I31" s="55"/>
    </row>
    <row r="32" spans="1:9" ht="14.4">
      <c r="A32" s="12"/>
      <c r="B32" s="13"/>
      <c r="C32" s="13"/>
      <c r="D32" s="14"/>
      <c r="F32" s="34"/>
      <c r="G32" s="11"/>
      <c r="H32" s="11"/>
      <c r="I32" s="15"/>
    </row>
    <row r="33" spans="1:9" ht="14.4">
      <c r="A33" s="12"/>
      <c r="B33" s="13"/>
      <c r="C33" s="35" t="s">
        <v>104</v>
      </c>
      <c r="D33" s="14"/>
      <c r="G33" s="11"/>
      <c r="H33" s="11"/>
      <c r="I33" s="15"/>
    </row>
    <row r="34" spans="1:9" ht="14.4">
      <c r="A34" s="16" t="s">
        <v>105</v>
      </c>
      <c r="B34" s="13"/>
      <c r="C34" s="36" t="s">
        <v>106</v>
      </c>
      <c r="D34" s="13"/>
      <c r="G34" s="11"/>
      <c r="H34" s="11"/>
      <c r="I34" s="15"/>
    </row>
    <row r="35" spans="1:9" ht="14.4">
      <c r="A35" s="50">
        <v>46234</v>
      </c>
      <c r="B35" s="51"/>
      <c r="C35" s="36" t="s">
        <v>107</v>
      </c>
      <c r="D35" s="17"/>
      <c r="G35" s="56" t="s">
        <v>108</v>
      </c>
      <c r="H35" s="56"/>
      <c r="I35" s="57"/>
    </row>
    <row r="36" spans="1:9" ht="7.95" customHeight="1">
      <c r="A36" s="22"/>
      <c r="B36" s="23"/>
      <c r="C36" s="23"/>
      <c r="D36" s="23"/>
      <c r="E36" s="23"/>
      <c r="F36" s="23"/>
      <c r="G36" s="23"/>
      <c r="H36" s="23"/>
      <c r="I36" s="24"/>
    </row>
    <row r="37" spans="1:9" ht="7.95" customHeight="1"/>
    <row r="39" spans="1:9" ht="19.95" customHeight="1">
      <c r="A39" s="58" t="s">
        <v>0</v>
      </c>
      <c r="B39" s="59"/>
      <c r="C39" s="59"/>
      <c r="D39" s="59"/>
      <c r="E39" s="59"/>
      <c r="F39" s="59"/>
      <c r="G39" s="59"/>
      <c r="H39" s="59"/>
      <c r="I39" s="60"/>
    </row>
    <row r="40" spans="1:9" ht="14.4" customHeight="1">
      <c r="A40" s="61" t="s">
        <v>78</v>
      </c>
      <c r="B40" s="62"/>
      <c r="C40" s="62"/>
      <c r="D40" s="62"/>
      <c r="E40" s="62"/>
      <c r="F40" s="62"/>
      <c r="G40" s="62"/>
      <c r="H40" s="62"/>
      <c r="I40" s="63"/>
    </row>
    <row r="41" spans="1:9" ht="19.95" customHeight="1">
      <c r="A41" s="64" t="s">
        <v>110</v>
      </c>
      <c r="B41" s="65"/>
      <c r="C41" s="65"/>
      <c r="D41" s="65"/>
      <c r="E41" s="65"/>
      <c r="F41" s="65"/>
      <c r="G41" s="65"/>
      <c r="H41" s="65"/>
      <c r="I41" s="66"/>
    </row>
    <row r="42" spans="1:9" ht="19.95" customHeight="1" thickBot="1">
      <c r="A42" s="25" t="s">
        <v>1</v>
      </c>
      <c r="B42" s="25" t="s">
        <v>31</v>
      </c>
      <c r="C42" s="26" t="s">
        <v>102</v>
      </c>
      <c r="D42" s="26" t="s">
        <v>102</v>
      </c>
      <c r="E42" s="25"/>
      <c r="F42" s="25" t="s">
        <v>1</v>
      </c>
      <c r="G42" s="25" t="s">
        <v>32</v>
      </c>
      <c r="H42" s="26" t="s">
        <v>102</v>
      </c>
      <c r="I42" s="26" t="s">
        <v>102</v>
      </c>
    </row>
    <row r="43" spans="1:9" ht="15" customHeight="1">
      <c r="A43" s="27"/>
      <c r="B43" s="37" t="s">
        <v>33</v>
      </c>
      <c r="C43" s="27"/>
      <c r="D43" s="27"/>
      <c r="E43" s="28"/>
      <c r="F43" s="27"/>
      <c r="G43" s="37" t="s">
        <v>52</v>
      </c>
      <c r="H43" s="27"/>
      <c r="I43" s="27"/>
    </row>
    <row r="44" spans="1:9" ht="15" customHeight="1">
      <c r="A44" s="27"/>
      <c r="B44" s="37" t="s">
        <v>34</v>
      </c>
      <c r="C44" s="27"/>
      <c r="D44" s="27"/>
      <c r="E44" s="28"/>
      <c r="F44" s="27">
        <v>1521</v>
      </c>
      <c r="G44" s="28" t="s">
        <v>53</v>
      </c>
      <c r="H44" s="27">
        <v>3697</v>
      </c>
      <c r="I44" s="27"/>
    </row>
    <row r="45" spans="1:9" ht="15" customHeight="1" thickBot="1">
      <c r="A45" s="38">
        <v>100000</v>
      </c>
      <c r="B45" s="28" t="s">
        <v>36</v>
      </c>
      <c r="C45" s="27"/>
      <c r="D45" s="38">
        <v>100000</v>
      </c>
      <c r="E45" s="28"/>
      <c r="F45" s="27">
        <v>42805.9</v>
      </c>
      <c r="G45" s="28" t="s">
        <v>54</v>
      </c>
      <c r="H45" s="30">
        <v>159270.9</v>
      </c>
      <c r="I45" s="27">
        <f>SUM(H44:H45)</f>
        <v>162967.9</v>
      </c>
    </row>
    <row r="46" spans="1:9" ht="15" customHeight="1" thickTop="1">
      <c r="A46" s="27"/>
      <c r="B46" s="37" t="s">
        <v>35</v>
      </c>
      <c r="C46" s="27"/>
      <c r="D46" s="27"/>
      <c r="E46" s="28"/>
      <c r="F46" s="27"/>
      <c r="G46" s="37" t="s">
        <v>55</v>
      </c>
      <c r="H46" s="27"/>
      <c r="I46" s="27"/>
    </row>
    <row r="47" spans="1:9" ht="15" customHeight="1">
      <c r="A47" s="27">
        <v>3750</v>
      </c>
      <c r="B47" s="28" t="s">
        <v>37</v>
      </c>
      <c r="C47" s="27"/>
      <c r="D47" s="27">
        <v>3750</v>
      </c>
      <c r="E47" s="28"/>
      <c r="F47" s="27">
        <v>100</v>
      </c>
      <c r="G47" s="28" t="s">
        <v>56</v>
      </c>
      <c r="H47" s="28"/>
      <c r="I47" s="27">
        <v>100</v>
      </c>
    </row>
    <row r="48" spans="1:9" ht="15" customHeight="1">
      <c r="A48" s="27"/>
      <c r="B48" s="28" t="s">
        <v>38</v>
      </c>
      <c r="C48" s="27"/>
      <c r="D48" s="27"/>
      <c r="E48" s="28"/>
      <c r="F48" s="27"/>
      <c r="G48" s="37" t="s">
        <v>57</v>
      </c>
      <c r="H48" s="27"/>
      <c r="I48" s="27"/>
    </row>
    <row r="49" spans="1:11" ht="15" customHeight="1">
      <c r="A49" s="27"/>
      <c r="B49" s="37" t="s">
        <v>39</v>
      </c>
      <c r="C49" s="27"/>
      <c r="D49" s="27"/>
      <c r="E49" s="28"/>
      <c r="F49" s="27">
        <v>219225</v>
      </c>
      <c r="G49" s="28" t="s">
        <v>41</v>
      </c>
      <c r="H49" s="27">
        <v>219225</v>
      </c>
      <c r="I49" s="27"/>
    </row>
    <row r="50" spans="1:11" ht="15" customHeight="1">
      <c r="A50" s="27">
        <v>257956</v>
      </c>
      <c r="B50" s="28" t="s">
        <v>40</v>
      </c>
      <c r="C50" s="27">
        <v>257956</v>
      </c>
      <c r="D50" s="27"/>
      <c r="E50" s="28"/>
      <c r="F50" s="27">
        <v>692085</v>
      </c>
      <c r="G50" s="28" t="s">
        <v>58</v>
      </c>
      <c r="H50" s="30">
        <v>726065</v>
      </c>
      <c r="I50" s="27">
        <f>SUM(H49:H50)</f>
        <v>945290</v>
      </c>
    </row>
    <row r="51" spans="1:11" ht="15" customHeight="1">
      <c r="A51" s="27"/>
      <c r="B51" s="28" t="s">
        <v>89</v>
      </c>
      <c r="C51" s="30">
        <v>51200</v>
      </c>
      <c r="D51" s="27">
        <f>SUM(C50:C51)</f>
        <v>309156</v>
      </c>
      <c r="E51" s="28"/>
      <c r="F51" s="27"/>
      <c r="G51" s="37" t="s">
        <v>59</v>
      </c>
      <c r="H51" s="27"/>
      <c r="I51" s="27"/>
    </row>
    <row r="52" spans="1:11" ht="15" customHeight="1">
      <c r="A52" s="27"/>
      <c r="B52" s="37" t="s">
        <v>41</v>
      </c>
      <c r="C52" s="27"/>
      <c r="D52" s="27"/>
      <c r="E52" s="28"/>
      <c r="F52" s="27">
        <v>21489</v>
      </c>
      <c r="G52" s="28" t="s">
        <v>41</v>
      </c>
      <c r="H52" s="27">
        <v>36034</v>
      </c>
      <c r="I52" s="27"/>
    </row>
    <row r="53" spans="1:11" ht="15" customHeight="1">
      <c r="A53" s="27">
        <v>333039</v>
      </c>
      <c r="B53" s="28" t="s">
        <v>40</v>
      </c>
      <c r="C53" s="27">
        <v>333039</v>
      </c>
      <c r="D53" s="27"/>
      <c r="E53" s="28"/>
      <c r="F53" s="27">
        <v>43095</v>
      </c>
      <c r="G53" s="28" t="s">
        <v>58</v>
      </c>
      <c r="H53" s="30">
        <v>53843</v>
      </c>
      <c r="I53" s="27">
        <f>SUM(H52:H53)</f>
        <v>89877</v>
      </c>
    </row>
    <row r="54" spans="1:11" ht="15" customHeight="1">
      <c r="A54" s="27"/>
      <c r="B54" s="28" t="s">
        <v>42</v>
      </c>
      <c r="C54" s="27">
        <v>1464</v>
      </c>
      <c r="D54" s="27"/>
      <c r="E54" s="28"/>
      <c r="F54" s="27"/>
      <c r="G54" s="37" t="s">
        <v>60</v>
      </c>
      <c r="H54" s="27"/>
      <c r="I54" s="27"/>
    </row>
    <row r="55" spans="1:11" ht="15" customHeight="1">
      <c r="A55" s="27"/>
      <c r="B55" s="28" t="s">
        <v>43</v>
      </c>
      <c r="C55" s="30">
        <v>16753</v>
      </c>
      <c r="D55" s="27">
        <f>SUM(C53:C55)</f>
        <v>351256</v>
      </c>
      <c r="E55" s="28"/>
      <c r="F55" s="27">
        <v>208101</v>
      </c>
      <c r="G55" s="28" t="s">
        <v>61</v>
      </c>
      <c r="H55" s="27"/>
      <c r="I55" s="27">
        <v>345990</v>
      </c>
    </row>
    <row r="56" spans="1:11" ht="15" customHeight="1">
      <c r="A56" s="27"/>
      <c r="B56" s="37" t="s">
        <v>44</v>
      </c>
      <c r="C56" s="27"/>
      <c r="D56" s="27"/>
      <c r="E56" s="28"/>
      <c r="F56" s="28"/>
      <c r="G56" s="28"/>
      <c r="H56" s="28"/>
      <c r="I56" s="28"/>
    </row>
    <row r="57" spans="1:11" ht="15" customHeight="1">
      <c r="A57" s="27">
        <v>66010</v>
      </c>
      <c r="B57" s="28" t="s">
        <v>40</v>
      </c>
      <c r="C57" s="27">
        <v>66010</v>
      </c>
      <c r="D57" s="27"/>
      <c r="E57" s="28"/>
      <c r="F57" s="27"/>
      <c r="G57" s="37" t="s">
        <v>87</v>
      </c>
      <c r="H57" s="27"/>
      <c r="I57" s="27"/>
    </row>
    <row r="58" spans="1:11" ht="15" customHeight="1">
      <c r="A58" s="27"/>
      <c r="B58" s="28" t="s">
        <v>42</v>
      </c>
      <c r="C58" s="30">
        <v>5400</v>
      </c>
      <c r="D58" s="27">
        <f>SUM(C57:C58)</f>
        <v>71410</v>
      </c>
      <c r="E58" s="28"/>
      <c r="F58" s="27">
        <v>1970</v>
      </c>
      <c r="G58" s="28" t="s">
        <v>88</v>
      </c>
      <c r="H58" s="27"/>
      <c r="I58" s="27">
        <v>1970</v>
      </c>
    </row>
    <row r="59" spans="1:11" ht="15" customHeight="1">
      <c r="A59" s="27"/>
      <c r="B59" s="37" t="s">
        <v>64</v>
      </c>
      <c r="C59" s="27"/>
      <c r="D59" s="27"/>
      <c r="E59" s="28"/>
      <c r="F59" s="27">
        <v>4230</v>
      </c>
      <c r="G59" s="28" t="s">
        <v>90</v>
      </c>
      <c r="H59" s="28"/>
      <c r="I59" s="27">
        <v>0</v>
      </c>
    </row>
    <row r="60" spans="1:11" ht="15" customHeight="1">
      <c r="A60" s="27">
        <v>35882</v>
      </c>
      <c r="B60" s="28" t="s">
        <v>40</v>
      </c>
      <c r="C60" s="27"/>
      <c r="D60" s="27">
        <v>35882</v>
      </c>
      <c r="E60" s="28"/>
      <c r="F60" s="27">
        <v>4804</v>
      </c>
      <c r="G60" s="28" t="s">
        <v>92</v>
      </c>
      <c r="H60" s="28"/>
      <c r="I60" s="27">
        <v>0</v>
      </c>
    </row>
    <row r="61" spans="1:11" ht="15" customHeight="1">
      <c r="A61" s="28"/>
      <c r="B61" s="37" t="s">
        <v>45</v>
      </c>
      <c r="C61" s="28"/>
      <c r="D61" s="28"/>
      <c r="E61" s="28"/>
      <c r="F61" s="27">
        <v>6958</v>
      </c>
      <c r="G61" s="28" t="s">
        <v>95</v>
      </c>
      <c r="H61" s="27"/>
      <c r="I61" s="27">
        <v>0</v>
      </c>
    </row>
    <row r="62" spans="1:11" ht="15" customHeight="1">
      <c r="A62" s="27">
        <v>50</v>
      </c>
      <c r="B62" s="28" t="s">
        <v>50</v>
      </c>
      <c r="C62" s="27"/>
      <c r="D62" s="27">
        <v>3401</v>
      </c>
      <c r="E62" s="28"/>
      <c r="F62" s="27">
        <v>0</v>
      </c>
      <c r="G62" s="28" t="s">
        <v>99</v>
      </c>
      <c r="H62" s="27"/>
      <c r="I62" s="27">
        <v>6586</v>
      </c>
    </row>
    <row r="63" spans="1:11" ht="15" customHeight="1">
      <c r="A63" s="27">
        <v>250000</v>
      </c>
      <c r="B63" s="28" t="s">
        <v>65</v>
      </c>
      <c r="C63" s="27"/>
      <c r="D63" s="27">
        <v>250000</v>
      </c>
      <c r="E63" s="28"/>
      <c r="F63" s="27"/>
      <c r="G63" s="37"/>
      <c r="H63" s="27"/>
      <c r="I63" s="27"/>
    </row>
    <row r="64" spans="1:11" ht="15" customHeight="1">
      <c r="A64" s="27">
        <v>0</v>
      </c>
      <c r="B64" s="28" t="s">
        <v>100</v>
      </c>
      <c r="C64" s="27"/>
      <c r="D64" s="27">
        <v>150000</v>
      </c>
      <c r="E64" s="28"/>
      <c r="F64" s="27"/>
      <c r="G64" s="28"/>
      <c r="H64" s="27"/>
      <c r="I64" s="27"/>
      <c r="K64" s="39"/>
    </row>
    <row r="65" spans="1:11" ht="15" customHeight="1">
      <c r="A65" s="27"/>
      <c r="B65" s="37" t="s">
        <v>46</v>
      </c>
      <c r="C65" s="27"/>
      <c r="D65" s="27"/>
      <c r="E65" s="28"/>
      <c r="F65" s="27"/>
      <c r="G65" s="37" t="s">
        <v>62</v>
      </c>
      <c r="H65" s="27"/>
      <c r="I65" s="27"/>
    </row>
    <row r="66" spans="1:11" ht="15" customHeight="1">
      <c r="A66" s="27">
        <v>1500</v>
      </c>
      <c r="B66" s="28" t="s">
        <v>47</v>
      </c>
      <c r="C66" s="27">
        <v>1800</v>
      </c>
      <c r="D66" s="27"/>
      <c r="E66" s="28"/>
      <c r="F66" s="27">
        <v>16623</v>
      </c>
      <c r="G66" s="28" t="s">
        <v>40</v>
      </c>
      <c r="H66" s="27">
        <v>16623</v>
      </c>
      <c r="I66" s="27"/>
    </row>
    <row r="67" spans="1:11" ht="15" customHeight="1">
      <c r="A67" s="27">
        <v>1500</v>
      </c>
      <c r="B67" s="28" t="s">
        <v>48</v>
      </c>
      <c r="C67" s="27">
        <v>3000</v>
      </c>
      <c r="D67" s="27"/>
      <c r="E67" s="28"/>
      <c r="F67" s="28"/>
      <c r="G67" s="28" t="s">
        <v>81</v>
      </c>
      <c r="H67" s="27">
        <v>0</v>
      </c>
      <c r="I67" s="28"/>
    </row>
    <row r="68" spans="1:11" ht="15" customHeight="1">
      <c r="A68" s="27">
        <v>3500</v>
      </c>
      <c r="B68" s="28" t="s">
        <v>49</v>
      </c>
      <c r="C68" s="27">
        <v>3500</v>
      </c>
      <c r="D68" s="27"/>
      <c r="E68" s="28"/>
      <c r="F68" s="27"/>
      <c r="G68" s="28" t="s">
        <v>63</v>
      </c>
      <c r="H68" s="30">
        <v>-2493</v>
      </c>
      <c r="I68" s="27">
        <f>SUM(H66:H68)</f>
        <v>14130</v>
      </c>
    </row>
    <row r="69" spans="1:11" ht="15" customHeight="1">
      <c r="A69" s="27">
        <v>10532</v>
      </c>
      <c r="B69" s="28" t="s">
        <v>5</v>
      </c>
      <c r="C69" s="27">
        <v>11000</v>
      </c>
      <c r="D69" s="27"/>
      <c r="E69" s="28"/>
      <c r="F69" s="27"/>
      <c r="G69" s="28"/>
      <c r="H69" s="27"/>
      <c r="I69" s="27"/>
    </row>
    <row r="70" spans="1:11" ht="15" customHeight="1">
      <c r="A70" s="27">
        <v>1880</v>
      </c>
      <c r="B70" s="28" t="s">
        <v>6</v>
      </c>
      <c r="C70" s="27">
        <v>1910</v>
      </c>
      <c r="D70" s="27"/>
      <c r="E70" s="28"/>
      <c r="F70" s="27">
        <v>12425</v>
      </c>
      <c r="G70" s="37" t="s">
        <v>82</v>
      </c>
      <c r="H70" s="28"/>
      <c r="I70" s="28"/>
    </row>
    <row r="71" spans="1:11" ht="15" customHeight="1">
      <c r="A71" s="27">
        <v>4630</v>
      </c>
      <c r="B71" s="20" t="s">
        <v>83</v>
      </c>
      <c r="C71" s="30">
        <v>5456</v>
      </c>
      <c r="D71" s="40">
        <f>SUM(C66:C71)</f>
        <v>26666</v>
      </c>
      <c r="E71" s="28"/>
      <c r="F71" s="28"/>
      <c r="G71" s="28" t="s">
        <v>40</v>
      </c>
      <c r="H71" s="27">
        <v>12425</v>
      </c>
      <c r="I71" s="28"/>
      <c r="K71" s="39"/>
    </row>
    <row r="72" spans="1:11" ht="15" customHeight="1">
      <c r="A72" s="28"/>
      <c r="B72" s="28"/>
      <c r="C72" s="28"/>
      <c r="D72" s="40"/>
      <c r="E72" s="28"/>
      <c r="F72" s="27"/>
      <c r="G72" s="28" t="s">
        <v>63</v>
      </c>
      <c r="H72" s="30">
        <v>-1864</v>
      </c>
      <c r="I72" s="28"/>
    </row>
    <row r="73" spans="1:11" ht="15" customHeight="1">
      <c r="A73" s="27">
        <v>305202.90000000002</v>
      </c>
      <c r="B73" s="37" t="s">
        <v>51</v>
      </c>
      <c r="C73" s="27"/>
      <c r="D73" s="27"/>
      <c r="E73" s="28"/>
      <c r="F73" s="28"/>
      <c r="G73" s="28"/>
      <c r="H73" s="27"/>
      <c r="I73" s="27">
        <f>SUM(H71:H72)</f>
        <v>10561</v>
      </c>
    </row>
    <row r="74" spans="1:11" ht="15" customHeight="1">
      <c r="A74" s="27"/>
      <c r="B74" s="28" t="s">
        <v>40</v>
      </c>
      <c r="C74" s="27">
        <v>305202.90000000002</v>
      </c>
      <c r="D74" s="40"/>
      <c r="E74" s="28"/>
      <c r="F74" s="27"/>
      <c r="G74" s="28"/>
      <c r="H74" s="27"/>
      <c r="I74" s="27"/>
    </row>
    <row r="75" spans="1:11" ht="15" customHeight="1">
      <c r="A75" s="27"/>
      <c r="B75" s="28" t="s">
        <v>112</v>
      </c>
      <c r="C75" s="27">
        <v>15992</v>
      </c>
      <c r="D75" s="40"/>
      <c r="E75" s="28"/>
      <c r="F75" s="27"/>
      <c r="G75" s="28"/>
      <c r="H75" s="27"/>
      <c r="I75" s="27"/>
    </row>
    <row r="76" spans="1:11" ht="15" customHeight="1">
      <c r="A76" s="27"/>
      <c r="B76" s="28" t="s">
        <v>84</v>
      </c>
      <c r="C76" s="27">
        <f>D25</f>
        <v>86740</v>
      </c>
      <c r="D76" s="27">
        <f>+C74-C75+C76</f>
        <v>375950.9</v>
      </c>
      <c r="E76" s="28"/>
      <c r="F76" s="27"/>
      <c r="G76" s="28"/>
      <c r="H76" s="27"/>
      <c r="I76" s="27"/>
    </row>
    <row r="77" spans="1:11" s="33" customFormat="1" ht="19.95" customHeight="1" thickBot="1">
      <c r="A77" s="31">
        <f>SUM(A47:A76)</f>
        <v>1275431.8999999999</v>
      </c>
      <c r="B77" s="41" t="s">
        <v>111</v>
      </c>
      <c r="C77" s="31"/>
      <c r="D77" s="31">
        <f>SUM(D47:D76)</f>
        <v>1577471.9</v>
      </c>
      <c r="E77" s="32"/>
      <c r="F77" s="31">
        <f>SUM(F43:F76)</f>
        <v>1275431.8999999999</v>
      </c>
      <c r="G77" s="41" t="s">
        <v>111</v>
      </c>
      <c r="H77" s="31"/>
      <c r="I77" s="31">
        <f>SUM(I43:I76)</f>
        <v>1577471.9</v>
      </c>
    </row>
    <row r="78" spans="1:11" ht="8.1" customHeight="1" thickTop="1">
      <c r="A78" s="20"/>
      <c r="I78" s="21"/>
    </row>
    <row r="79" spans="1:11" ht="14.4">
      <c r="A79" s="10" t="s">
        <v>103</v>
      </c>
      <c r="B79" s="11"/>
      <c r="C79" s="11"/>
      <c r="D79" s="11"/>
      <c r="G79" s="19"/>
      <c r="I79" s="21"/>
    </row>
    <row r="80" spans="1:11" ht="15.75" customHeight="1">
      <c r="A80" s="12"/>
      <c r="B80" s="67"/>
      <c r="C80" s="67"/>
      <c r="D80" s="67"/>
      <c r="G80" s="52" t="s">
        <v>109</v>
      </c>
      <c r="H80" s="52"/>
      <c r="I80" s="53"/>
    </row>
    <row r="81" spans="1:9" ht="14.4">
      <c r="A81" s="12"/>
      <c r="B81" s="68"/>
      <c r="C81" s="68"/>
      <c r="D81" s="68"/>
      <c r="G81" s="54"/>
      <c r="H81" s="54"/>
      <c r="I81" s="55"/>
    </row>
    <row r="82" spans="1:9" ht="14.4">
      <c r="A82" s="12"/>
      <c r="B82" s="13"/>
      <c r="C82" s="13"/>
      <c r="D82" s="14"/>
      <c r="F82" s="34"/>
      <c r="G82" s="11"/>
      <c r="H82" s="11"/>
      <c r="I82" s="15"/>
    </row>
    <row r="83" spans="1:9" ht="14.4">
      <c r="A83" s="12"/>
      <c r="B83" s="13"/>
      <c r="C83" s="35" t="s">
        <v>104</v>
      </c>
      <c r="D83" s="14"/>
      <c r="G83" s="11"/>
      <c r="H83" s="11"/>
      <c r="I83" s="15"/>
    </row>
    <row r="84" spans="1:9" ht="14.4">
      <c r="A84" s="16" t="s">
        <v>105</v>
      </c>
      <c r="B84" s="13"/>
      <c r="C84" s="36" t="s">
        <v>106</v>
      </c>
      <c r="D84" s="13"/>
      <c r="G84" s="11"/>
      <c r="H84" s="11"/>
      <c r="I84" s="15"/>
    </row>
    <row r="85" spans="1:9" ht="14.4">
      <c r="A85" s="50">
        <v>46234</v>
      </c>
      <c r="B85" s="51"/>
      <c r="C85" s="36" t="s">
        <v>107</v>
      </c>
      <c r="D85" s="17"/>
      <c r="G85" s="56" t="s">
        <v>108</v>
      </c>
      <c r="H85" s="56"/>
      <c r="I85" s="57"/>
    </row>
    <row r="86" spans="1:9" ht="7.95" customHeight="1">
      <c r="A86" s="22"/>
      <c r="B86" s="23"/>
      <c r="C86" s="23"/>
      <c r="D86" s="23"/>
      <c r="E86" s="23"/>
      <c r="F86" s="23"/>
      <c r="G86" s="23"/>
      <c r="H86" s="23"/>
      <c r="I86" s="24"/>
    </row>
    <row r="87" spans="1:9">
      <c r="A87" s="40"/>
      <c r="C87" s="40"/>
      <c r="D87" s="40"/>
      <c r="F87" s="40"/>
      <c r="H87" s="40"/>
      <c r="I87" s="40"/>
    </row>
    <row r="88" spans="1:9">
      <c r="A88" s="40"/>
      <c r="C88" s="40"/>
      <c r="D88" s="40"/>
      <c r="F88" s="40"/>
      <c r="H88" s="40"/>
      <c r="I88" s="40"/>
    </row>
    <row r="89" spans="1:9">
      <c r="A89" s="40"/>
      <c r="C89" s="40"/>
      <c r="D89" s="40"/>
      <c r="F89" s="40"/>
      <c r="H89" s="40"/>
      <c r="I89" s="40"/>
    </row>
  </sheetData>
  <mergeCells count="16">
    <mergeCell ref="A1:I1"/>
    <mergeCell ref="A2:I2"/>
    <mergeCell ref="A4:I4"/>
    <mergeCell ref="B30:D30"/>
    <mergeCell ref="B31:D31"/>
    <mergeCell ref="A35:B35"/>
    <mergeCell ref="G30:I31"/>
    <mergeCell ref="G35:I35"/>
    <mergeCell ref="A85:B85"/>
    <mergeCell ref="G85:I85"/>
    <mergeCell ref="A39:I39"/>
    <mergeCell ref="A40:I40"/>
    <mergeCell ref="A41:I41"/>
    <mergeCell ref="B80:D80"/>
    <mergeCell ref="G80:I81"/>
    <mergeCell ref="B81:D81"/>
  </mergeCells>
  <printOptions horizontalCentered="1"/>
  <pageMargins left="0.59055118110236227" right="0.23622047244094491" top="0.39370078740157483" bottom="0.19685039370078741" header="0.31496062992125984" footer="0.31496062992125984"/>
  <pageSetup paperSize="9" scale="75" orientation="landscape" r:id="rId1"/>
  <rowBreaks count="1" manualBreakCount="1">
    <brk id="3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1"/>
  <sheetViews>
    <sheetView tabSelected="1" view="pageBreakPreview" zoomScaleNormal="100" zoomScaleSheetLayoutView="100" workbookViewId="0">
      <selection activeCell="A20" sqref="A20"/>
    </sheetView>
  </sheetViews>
  <sheetFormatPr defaultRowHeight="14.4"/>
  <cols>
    <col min="1" max="1" width="16.88671875" bestFit="1" customWidth="1"/>
    <col min="2" max="2" width="10.6640625" bestFit="1" customWidth="1"/>
    <col min="3" max="3" width="13.33203125" bestFit="1" customWidth="1"/>
    <col min="4" max="4" width="12" bestFit="1" customWidth="1"/>
    <col min="5" max="5" width="9.5546875" bestFit="1" customWidth="1"/>
    <col min="6" max="6" width="10.109375" bestFit="1" customWidth="1"/>
    <col min="7" max="7" width="13.44140625" bestFit="1" customWidth="1"/>
    <col min="8" max="8" width="13.33203125" customWidth="1"/>
    <col min="9" max="9" width="9.6640625" bestFit="1" customWidth="1"/>
  </cols>
  <sheetData>
    <row r="1" spans="1:12" ht="18">
      <c r="A1" s="73" t="s">
        <v>0</v>
      </c>
      <c r="B1" s="73"/>
      <c r="C1" s="73"/>
      <c r="D1" s="73"/>
      <c r="E1" s="73"/>
      <c r="F1" s="73"/>
      <c r="G1" s="73"/>
      <c r="H1" s="73"/>
      <c r="I1" s="42"/>
    </row>
    <row r="2" spans="1:12">
      <c r="A2" s="72" t="s">
        <v>96</v>
      </c>
      <c r="B2" s="72"/>
      <c r="C2" s="72"/>
      <c r="D2" s="72"/>
      <c r="E2" s="72"/>
      <c r="F2" s="72"/>
      <c r="G2" s="72"/>
      <c r="H2" s="72"/>
    </row>
    <row r="4" spans="1:12" s="3" customFormat="1" ht="13.8">
      <c r="A4" s="6" t="s">
        <v>77</v>
      </c>
      <c r="B4" s="6" t="s">
        <v>76</v>
      </c>
      <c r="C4" s="6" t="s">
        <v>70</v>
      </c>
      <c r="D4" s="6" t="s">
        <v>75</v>
      </c>
      <c r="E4" s="7" t="s">
        <v>74</v>
      </c>
      <c r="F4" s="6" t="s">
        <v>73</v>
      </c>
      <c r="G4" s="6" t="s">
        <v>72</v>
      </c>
      <c r="H4" s="7" t="s">
        <v>86</v>
      </c>
      <c r="I4" s="6" t="s">
        <v>71</v>
      </c>
    </row>
    <row r="5" spans="1:12" s="3" customFormat="1" ht="12.75" customHeight="1">
      <c r="A5" s="4"/>
      <c r="B5" s="4"/>
      <c r="C5" s="4"/>
      <c r="D5" s="4"/>
      <c r="E5" s="5" t="s">
        <v>70</v>
      </c>
      <c r="F5" s="4" t="s">
        <v>69</v>
      </c>
      <c r="G5" s="4"/>
      <c r="H5" s="4"/>
      <c r="I5" s="4"/>
    </row>
    <row r="6" spans="1:12" s="3" customFormat="1">
      <c r="A6" s="2" t="s">
        <v>68</v>
      </c>
    </row>
    <row r="7" spans="1:12" s="3" customFormat="1">
      <c r="A7" t="s">
        <v>85</v>
      </c>
    </row>
    <row r="8" spans="1:12">
      <c r="A8">
        <v>5500459</v>
      </c>
      <c r="B8" s="1">
        <v>45239</v>
      </c>
      <c r="C8" s="8">
        <v>13512</v>
      </c>
      <c r="D8" s="1">
        <v>46243</v>
      </c>
      <c r="E8" s="8">
        <v>16620</v>
      </c>
      <c r="F8" s="8">
        <f>366+1068-285+1132-368</f>
        <v>1913</v>
      </c>
      <c r="G8" s="8">
        <v>1132</v>
      </c>
      <c r="H8" s="8">
        <v>368</v>
      </c>
      <c r="I8" s="8"/>
      <c r="J8" s="8"/>
      <c r="K8" s="8"/>
      <c r="L8" s="8"/>
    </row>
    <row r="9" spans="1:12">
      <c r="A9">
        <v>5500460</v>
      </c>
      <c r="B9" s="1">
        <v>45239</v>
      </c>
      <c r="C9" s="8">
        <v>53846</v>
      </c>
      <c r="D9" s="1">
        <v>46243</v>
      </c>
      <c r="E9" s="8">
        <v>66232</v>
      </c>
      <c r="F9" s="8">
        <f>1455+4300-430+4609-537</f>
        <v>9397</v>
      </c>
      <c r="G9" s="8">
        <v>4609</v>
      </c>
      <c r="H9" s="8">
        <v>537</v>
      </c>
      <c r="I9" s="8"/>
      <c r="J9" s="8"/>
      <c r="K9" s="8"/>
      <c r="L9" s="8"/>
    </row>
    <row r="10" spans="1:12">
      <c r="A10">
        <v>5500461</v>
      </c>
      <c r="B10" s="1">
        <v>45239</v>
      </c>
      <c r="C10" s="8">
        <v>106587</v>
      </c>
      <c r="D10" s="1">
        <v>46243</v>
      </c>
      <c r="E10" s="8">
        <v>131105</v>
      </c>
      <c r="F10" s="8">
        <f>2878+8510-849+9133-914</f>
        <v>18758</v>
      </c>
      <c r="G10" s="8">
        <v>9133</v>
      </c>
      <c r="H10" s="8">
        <v>914</v>
      </c>
      <c r="I10" s="8"/>
      <c r="J10" s="8"/>
      <c r="K10" s="8"/>
      <c r="L10" s="8"/>
    </row>
    <row r="11" spans="1:12">
      <c r="A11">
        <v>5500462</v>
      </c>
      <c r="B11" s="1">
        <v>45239</v>
      </c>
      <c r="C11" s="8">
        <v>10242</v>
      </c>
      <c r="D11" s="1">
        <v>46243</v>
      </c>
      <c r="E11" s="8">
        <v>12598</v>
      </c>
      <c r="F11" s="8">
        <f>278+818-84+876-87</f>
        <v>1801</v>
      </c>
      <c r="G11" s="8">
        <v>876</v>
      </c>
      <c r="H11" s="8">
        <v>87</v>
      </c>
      <c r="I11" s="8"/>
      <c r="J11" s="8"/>
      <c r="K11" s="8"/>
      <c r="L11" s="8"/>
    </row>
    <row r="12" spans="1:12">
      <c r="A12">
        <v>5500463</v>
      </c>
      <c r="B12" s="1">
        <v>45239</v>
      </c>
      <c r="C12" s="8">
        <v>35038</v>
      </c>
      <c r="D12" s="1">
        <v>46243</v>
      </c>
      <c r="E12" s="8">
        <v>43098</v>
      </c>
      <c r="F12" s="8">
        <f>945+2798-279+1003-302</f>
        <v>4165</v>
      </c>
      <c r="G12" s="8">
        <v>1003</v>
      </c>
      <c r="H12" s="8">
        <v>302</v>
      </c>
      <c r="I12" s="8"/>
      <c r="J12" s="8"/>
      <c r="K12" s="8"/>
      <c r="L12" s="8"/>
    </row>
    <row r="13" spans="1:12" ht="15" thickBot="1">
      <c r="A13" s="44"/>
      <c r="B13" s="45"/>
      <c r="C13" s="9">
        <f>SUM(C8:C12)</f>
        <v>219225</v>
      </c>
      <c r="D13" s="45"/>
      <c r="E13" s="9"/>
      <c r="F13" s="9">
        <f>SUM(F8:F12)</f>
        <v>36034</v>
      </c>
      <c r="G13" s="9">
        <f>SUM(G8:G12)</f>
        <v>16753</v>
      </c>
      <c r="H13" s="9">
        <f>SUM(H8:H12)</f>
        <v>2208</v>
      </c>
      <c r="J13" s="8"/>
      <c r="K13" s="8"/>
    </row>
    <row r="14" spans="1:12" ht="15" thickTop="1">
      <c r="A14" s="2" t="s">
        <v>67</v>
      </c>
      <c r="B14" s="1"/>
      <c r="C14" s="8"/>
      <c r="D14" s="1"/>
      <c r="E14" s="8"/>
      <c r="F14" s="8"/>
      <c r="G14" s="8"/>
    </row>
    <row r="15" spans="1:12">
      <c r="A15" t="s">
        <v>85</v>
      </c>
      <c r="B15" s="1"/>
      <c r="C15" s="8"/>
      <c r="D15" s="1"/>
      <c r="E15" s="8"/>
      <c r="F15" s="8"/>
      <c r="G15" s="8"/>
    </row>
    <row r="16" spans="1:12">
      <c r="A16">
        <v>5600077</v>
      </c>
      <c r="B16" s="1">
        <v>45421</v>
      </c>
      <c r="C16" s="8">
        <v>428272</v>
      </c>
      <c r="D16" s="1">
        <v>45786</v>
      </c>
      <c r="F16" s="8">
        <f>30214-3021</f>
        <v>27193</v>
      </c>
      <c r="G16" s="8">
        <v>7172</v>
      </c>
      <c r="H16" s="8">
        <v>385</v>
      </c>
      <c r="I16" s="8" t="s">
        <v>98</v>
      </c>
      <c r="J16" s="8"/>
      <c r="K16" s="8"/>
      <c r="L16" s="8"/>
    </row>
    <row r="17" spans="1:12">
      <c r="L17" s="8"/>
    </row>
    <row r="18" spans="1:12">
      <c r="A18">
        <v>5500464</v>
      </c>
      <c r="B18" s="1">
        <v>45239</v>
      </c>
      <c r="C18" s="8">
        <v>64240</v>
      </c>
      <c r="D18" s="1">
        <v>46243</v>
      </c>
      <c r="E18" s="8">
        <v>79017</v>
      </c>
      <c r="F18" s="8">
        <f>1735+5130-514+5503-550</f>
        <v>11304</v>
      </c>
      <c r="G18" s="8">
        <v>5503</v>
      </c>
      <c r="H18" s="8">
        <v>550</v>
      </c>
      <c r="I18" s="8"/>
      <c r="J18" s="8"/>
      <c r="K18" s="8"/>
      <c r="L18" s="8"/>
    </row>
    <row r="19" spans="1:12">
      <c r="A19">
        <v>5500465</v>
      </c>
      <c r="B19" s="1">
        <v>45239</v>
      </c>
      <c r="C19" s="8">
        <v>65320</v>
      </c>
      <c r="D19" s="1">
        <v>46243</v>
      </c>
      <c r="E19" s="8">
        <v>80346</v>
      </c>
      <c r="F19" s="8">
        <f>1765+5215-520+7598-560</f>
        <v>13498</v>
      </c>
      <c r="G19" s="8">
        <v>7598</v>
      </c>
      <c r="H19" s="8">
        <v>560</v>
      </c>
      <c r="I19" s="8"/>
      <c r="J19" s="8"/>
      <c r="K19" s="8"/>
      <c r="L19" s="8"/>
    </row>
    <row r="20" spans="1:12">
      <c r="A20">
        <v>5600347</v>
      </c>
      <c r="B20" s="1">
        <v>45630</v>
      </c>
      <c r="C20" s="8">
        <v>134253</v>
      </c>
      <c r="D20" s="1">
        <v>46026</v>
      </c>
      <c r="F20" s="8">
        <f>3435-344+8268-827</f>
        <v>10532</v>
      </c>
      <c r="G20" s="8">
        <v>8268</v>
      </c>
      <c r="H20" s="8">
        <v>827</v>
      </c>
      <c r="I20" s="8"/>
      <c r="J20" s="8"/>
      <c r="K20" s="8"/>
      <c r="L20" s="8"/>
    </row>
    <row r="21" spans="1:12">
      <c r="A21" t="s">
        <v>97</v>
      </c>
      <c r="B21" s="1"/>
      <c r="C21" s="8"/>
      <c r="D21" s="1"/>
      <c r="F21" s="8"/>
      <c r="G21" s="8"/>
      <c r="H21" s="8"/>
      <c r="I21" s="8"/>
      <c r="J21" s="8"/>
      <c r="K21" s="8"/>
      <c r="L21" s="8"/>
    </row>
    <row r="22" spans="1:12">
      <c r="A22">
        <v>5700057</v>
      </c>
      <c r="B22" s="1">
        <v>45874</v>
      </c>
      <c r="C22" s="8">
        <v>462252</v>
      </c>
      <c r="D22" s="1">
        <v>46239</v>
      </c>
      <c r="F22" s="8">
        <f>20565-2056</f>
        <v>18509</v>
      </c>
      <c r="G22" s="8">
        <v>20565</v>
      </c>
      <c r="H22" s="8">
        <v>2056</v>
      </c>
      <c r="I22" s="8"/>
      <c r="J22" s="8"/>
      <c r="K22" s="8"/>
      <c r="L22" s="8"/>
    </row>
    <row r="23" spans="1:12" ht="15" thickBot="1">
      <c r="A23" s="44"/>
      <c r="B23" s="45"/>
      <c r="C23" s="9">
        <f>SUM(C18:C22)</f>
        <v>726065</v>
      </c>
      <c r="D23" s="45"/>
      <c r="E23" s="9"/>
      <c r="F23" s="9">
        <f>SUM(F18:F22)</f>
        <v>53843</v>
      </c>
      <c r="G23" s="9">
        <f>SUM(G16:G22)</f>
        <v>49106</v>
      </c>
      <c r="H23" s="9">
        <f>SUM(H16:H22)</f>
        <v>4378</v>
      </c>
      <c r="I23" s="8"/>
      <c r="J23" s="8"/>
      <c r="K23" s="8"/>
      <c r="L23" s="8"/>
    </row>
    <row r="24" spans="1:12" ht="15" thickTop="1">
      <c r="B24" s="1"/>
      <c r="J24" s="8"/>
      <c r="K24" s="8"/>
      <c r="L24" s="8"/>
    </row>
    <row r="25" spans="1:12">
      <c r="B25" s="1"/>
      <c r="C25" s="8"/>
      <c r="D25" s="1"/>
      <c r="E25" s="8"/>
      <c r="F25" s="8"/>
      <c r="G25" s="8"/>
      <c r="K25" s="8"/>
      <c r="L25" s="8"/>
    </row>
    <row r="26" spans="1:12" s="48" customFormat="1" ht="15" thickBot="1">
      <c r="A26" s="43" t="s">
        <v>30</v>
      </c>
      <c r="B26" s="46"/>
      <c r="C26" s="47">
        <f>C13+C23</f>
        <v>945290</v>
      </c>
      <c r="D26" s="46"/>
      <c r="E26" s="47"/>
      <c r="F26" s="47">
        <f>F13+F23</f>
        <v>89877</v>
      </c>
      <c r="G26" s="47">
        <f>G13+G23</f>
        <v>65859</v>
      </c>
      <c r="H26" s="47">
        <f>H13+H23</f>
        <v>6586</v>
      </c>
      <c r="J26" s="49"/>
      <c r="K26" s="49"/>
    </row>
    <row r="27" spans="1:12" ht="15" thickTop="1"/>
    <row r="31" spans="1:12">
      <c r="G31" s="8"/>
      <c r="H31" s="8"/>
      <c r="I31" s="8"/>
    </row>
  </sheetData>
  <mergeCells count="2">
    <mergeCell ref="A2:H2"/>
    <mergeCell ref="A1:H1"/>
  </mergeCells>
  <printOptions horizontalCentered="1"/>
  <pageMargins left="0.70866141732283472" right="0.70866141732283472" top="0.59055118110236227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E5A4-FC5F-4F48-8E89-D18467EAA6D7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Final Accounts</vt:lpstr>
      <vt:lpstr>FD Register</vt:lpstr>
      <vt:lpstr>Sheet1</vt:lpstr>
      <vt:lpstr>'FD Register'!Print_Area</vt:lpstr>
      <vt:lpstr>'Final Accounts'!Print_Area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2026-08-02T04:50:07Z</cp:lastPrinted>
  <dcterms:created xsi:type="dcterms:W3CDTF">2015-04-02T08:21:30Z</dcterms:created>
  <dcterms:modified xsi:type="dcterms:W3CDTF">2026-08-02T04:50:11Z</dcterms:modified>
</cp:coreProperties>
</file>