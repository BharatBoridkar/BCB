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HARAT\2025-2026\BCB\Bharat\Akshita-Avenue\"/>
    </mc:Choice>
  </mc:AlternateContent>
  <xr:revisionPtr revIDLastSave="0" documentId="8_{93817E30-9DC1-4438-8120-55161E7D7E55}" xr6:coauthVersionLast="47" xr6:coauthVersionMax="47" xr10:uidLastSave="{00000000-0000-0000-0000-000000000000}"/>
  <bookViews>
    <workbookView xWindow="-108" yWindow="-108" windowWidth="23256" windowHeight="12456" tabRatio="500" activeTab="2" xr2:uid="{00000000-000D-0000-FFFF-FFFF00000000}"/>
  </bookViews>
  <sheets>
    <sheet name="TIT" sheetId="1" r:id="rId1"/>
    <sheet name="FirstPage" sheetId="2" r:id="rId2"/>
    <sheet name="Sheet1" sheetId="3" r:id="rId3"/>
    <sheet name="AR (2)" sheetId="4" r:id="rId4"/>
    <sheet name="SCHAR (2)" sheetId="5" r:id="rId5"/>
    <sheet name="F-1" sheetId="6" r:id="rId6"/>
    <sheet name="F-28" sheetId="7" r:id="rId7"/>
    <sheet name="GR" sheetId="8" r:id="rId8"/>
    <sheet name="SCH (2)" sheetId="9" r:id="rId9"/>
    <sheet name="INDEX" sheetId="10" r:id="rId10"/>
    <sheet name="mEETINGS" sheetId="11" r:id="rId11"/>
    <sheet name="Sheet2" sheetId="12" r:id="rId12"/>
  </sheets>
  <definedNames>
    <definedName name="_xlnm.Print_Area" localSheetId="3">'AR (2)'!$A$2:$M$76</definedName>
    <definedName name="_xlnm.Print_Area" localSheetId="5">'F-1'!$A$1:$M$193</definedName>
    <definedName name="_xlnm.Print_Area" localSheetId="6">'F-28'!$A$1:$M$140</definedName>
    <definedName name="_xlnm.Print_Area" localSheetId="1">FirstPage!$A$1:$J$40</definedName>
    <definedName name="_xlnm.Print_Area" localSheetId="7">GR!$A$1:$R$370</definedName>
    <definedName name="_xlnm.Print_Area" localSheetId="9">INDEX!$A$2:$K$27</definedName>
    <definedName name="_xlnm.Print_Area" localSheetId="10">mEETINGS!$A$1:$N$26</definedName>
    <definedName name="_xlnm.Print_Area" localSheetId="8">'SCH (2)'!$A$1:$M$48</definedName>
    <definedName name="_xlnm.Print_Area" localSheetId="4">'SCHAR (2)'!$A$1:$M$46</definedName>
    <definedName name="_xlnm.Print_Area" localSheetId="2">Sheet1!$A$2:$M$45</definedName>
    <definedName name="_xlnm.Print_Area" localSheetId="0">TIT!$A$1:$J$45</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11" l="1"/>
  <c r="C19" i="11"/>
  <c r="N13" i="11"/>
  <c r="M13" i="11"/>
  <c r="L13" i="11"/>
  <c r="K13" i="11"/>
  <c r="J13" i="11"/>
  <c r="I13" i="11"/>
  <c r="H13" i="11"/>
  <c r="G13" i="11"/>
  <c r="F13" i="11"/>
  <c r="E13" i="11"/>
  <c r="D13" i="11"/>
  <c r="C13" i="11"/>
  <c r="A13" i="10"/>
  <c r="A10" i="10"/>
  <c r="A9" i="10"/>
  <c r="A4" i="10"/>
  <c r="A3" i="10"/>
  <c r="A2" i="10"/>
  <c r="D47" i="9"/>
  <c r="D46" i="9"/>
  <c r="D45" i="9"/>
  <c r="D44" i="9"/>
  <c r="H43" i="9"/>
  <c r="A1" i="9"/>
  <c r="K368" i="8"/>
  <c r="A368" i="8"/>
  <c r="K367" i="8"/>
  <c r="K366" i="8"/>
  <c r="K318" i="8"/>
  <c r="A318" i="8"/>
  <c r="K317" i="8"/>
  <c r="K316" i="8"/>
  <c r="C312" i="8"/>
  <c r="M297" i="8"/>
  <c r="J297" i="8"/>
  <c r="P297" i="8" s="1"/>
  <c r="R297" i="8" s="1"/>
  <c r="R296" i="8"/>
  <c r="P296" i="8"/>
  <c r="P295" i="8"/>
  <c r="R295" i="8" s="1"/>
  <c r="R294" i="8"/>
  <c r="P294" i="8"/>
  <c r="P293" i="8"/>
  <c r="R293" i="8" s="1"/>
  <c r="R292" i="8"/>
  <c r="P292" i="8"/>
  <c r="P291" i="8"/>
  <c r="R291" i="8" s="1"/>
  <c r="R290" i="8"/>
  <c r="P290" i="8"/>
  <c r="P289" i="8"/>
  <c r="R289" i="8" s="1"/>
  <c r="R288" i="8"/>
  <c r="P288" i="8"/>
  <c r="P287" i="8"/>
  <c r="R287" i="8" s="1"/>
  <c r="R286" i="8"/>
  <c r="P286" i="8"/>
  <c r="P285" i="8"/>
  <c r="R285" i="8" s="1"/>
  <c r="R284" i="8"/>
  <c r="P284" i="8"/>
  <c r="P283" i="8"/>
  <c r="R283" i="8" s="1"/>
  <c r="R282" i="8"/>
  <c r="P282" i="8"/>
  <c r="P281" i="8"/>
  <c r="R281" i="8" s="1"/>
  <c r="R280" i="8"/>
  <c r="P280" i="8"/>
  <c r="P279" i="8"/>
  <c r="R279" i="8" s="1"/>
  <c r="R278" i="8"/>
  <c r="P278" i="8"/>
  <c r="P277" i="8"/>
  <c r="R277" i="8" s="1"/>
  <c r="R276" i="8"/>
  <c r="P276" i="8"/>
  <c r="P275" i="8"/>
  <c r="R275" i="8" s="1"/>
  <c r="R274" i="8"/>
  <c r="P274" i="8"/>
  <c r="P273" i="8"/>
  <c r="R273" i="8" s="1"/>
  <c r="R272" i="8"/>
  <c r="P272" i="8"/>
  <c r="P271" i="8"/>
  <c r="R271" i="8" s="1"/>
  <c r="R270" i="8"/>
  <c r="P270" i="8"/>
  <c r="P269" i="8"/>
  <c r="R269" i="8" s="1"/>
  <c r="R268" i="8"/>
  <c r="P268" i="8"/>
  <c r="M266" i="8"/>
  <c r="M298" i="8" s="1"/>
  <c r="J266" i="8"/>
  <c r="P265" i="8"/>
  <c r="R265" i="8" s="1"/>
  <c r="R264" i="8"/>
  <c r="P264" i="8"/>
  <c r="P263" i="8"/>
  <c r="R263" i="8" s="1"/>
  <c r="R262" i="8"/>
  <c r="P262" i="8"/>
  <c r="P261" i="8"/>
  <c r="R261" i="8" s="1"/>
  <c r="R260" i="8"/>
  <c r="P260" i="8"/>
  <c r="P259" i="8"/>
  <c r="R259" i="8" s="1"/>
  <c r="R258" i="8"/>
  <c r="P258" i="8"/>
  <c r="P257" i="8"/>
  <c r="R257" i="8" s="1"/>
  <c r="R256" i="8"/>
  <c r="P256" i="8"/>
  <c r="P255" i="8"/>
  <c r="R255" i="8" s="1"/>
  <c r="R254" i="8"/>
  <c r="P254" i="8"/>
  <c r="P253" i="8"/>
  <c r="R253" i="8" s="1"/>
  <c r="R252" i="8"/>
  <c r="P252" i="8"/>
  <c r="P251" i="8"/>
  <c r="R251" i="8" s="1"/>
  <c r="M242" i="8"/>
  <c r="J242" i="8"/>
  <c r="N227" i="8"/>
  <c r="J227" i="8"/>
  <c r="H227" i="8"/>
  <c r="L226" i="8"/>
  <c r="P226" i="8" s="1"/>
  <c r="L225" i="8"/>
  <c r="P225" i="8" s="1"/>
  <c r="P224" i="8"/>
  <c r="L224" i="8"/>
  <c r="P223" i="8"/>
  <c r="L223" i="8"/>
  <c r="L222" i="8"/>
  <c r="P222" i="8" s="1"/>
  <c r="L221" i="8"/>
  <c r="P221" i="8" s="1"/>
  <c r="P220" i="8"/>
  <c r="L220" i="8"/>
  <c r="L227" i="8" s="1"/>
  <c r="M205" i="8"/>
  <c r="J205" i="8"/>
  <c r="P204" i="8"/>
  <c r="P203" i="8"/>
  <c r="P202" i="8"/>
  <c r="P201" i="8"/>
  <c r="P205" i="8" s="1"/>
  <c r="M192" i="8"/>
  <c r="J192" i="8"/>
  <c r="M172" i="8"/>
  <c r="J172" i="8"/>
  <c r="P152" i="8"/>
  <c r="M152" i="8"/>
  <c r="J152" i="8"/>
  <c r="P151" i="8"/>
  <c r="P150" i="8"/>
  <c r="P149" i="8"/>
  <c r="P148" i="8"/>
  <c r="P147" i="8"/>
  <c r="C145" i="8"/>
  <c r="M134" i="8"/>
  <c r="J134" i="8"/>
  <c r="P134" i="8" s="1"/>
  <c r="P133" i="8"/>
  <c r="P132" i="8"/>
  <c r="P131" i="8"/>
  <c r="P130" i="8"/>
  <c r="P129" i="8"/>
  <c r="P128" i="8"/>
  <c r="M126" i="8"/>
  <c r="P126" i="8" s="1"/>
  <c r="J126" i="8"/>
  <c r="P125" i="8"/>
  <c r="P124" i="8"/>
  <c r="P123" i="8"/>
  <c r="P122" i="8"/>
  <c r="P121" i="8"/>
  <c r="B98" i="8"/>
  <c r="C87" i="8"/>
  <c r="C86" i="8"/>
  <c r="M83" i="8"/>
  <c r="J83" i="8"/>
  <c r="M82" i="8"/>
  <c r="M81" i="8"/>
  <c r="J81" i="8"/>
  <c r="B61" i="8"/>
  <c r="K55" i="8"/>
  <c r="A55" i="8"/>
  <c r="K54" i="8"/>
  <c r="K53" i="8"/>
  <c r="G10" i="8"/>
  <c r="G9" i="8"/>
  <c r="G8" i="8"/>
  <c r="G7" i="8"/>
  <c r="G6" i="8"/>
  <c r="A2" i="8"/>
  <c r="A1" i="8"/>
  <c r="I137" i="7"/>
  <c r="I136" i="7"/>
  <c r="I135" i="7"/>
  <c r="I59" i="7"/>
  <c r="I38" i="7"/>
  <c r="A1" i="7"/>
  <c r="I191" i="6"/>
  <c r="A191" i="6"/>
  <c r="A137" i="7" s="1"/>
  <c r="I190" i="6"/>
  <c r="I189" i="6"/>
  <c r="I188" i="6"/>
  <c r="I134" i="7" s="1"/>
  <c r="I143" i="6"/>
  <c r="I105" i="6"/>
  <c r="K104" i="6"/>
  <c r="I104" i="6"/>
  <c r="I91" i="6"/>
  <c r="I90" i="6"/>
  <c r="I89" i="6"/>
  <c r="I82" i="6"/>
  <c r="I81" i="6"/>
  <c r="I77" i="6"/>
  <c r="I74" i="6"/>
  <c r="I73" i="6"/>
  <c r="I53" i="6"/>
  <c r="I56" i="6" s="1"/>
  <c r="I41" i="6"/>
  <c r="J33" i="6"/>
  <c r="J27" i="6"/>
  <c r="I25" i="6"/>
  <c r="I24" i="6"/>
  <c r="K23" i="6"/>
  <c r="I23" i="6"/>
  <c r="I22" i="6"/>
  <c r="I20" i="6"/>
  <c r="K19" i="6"/>
  <c r="I19" i="6"/>
  <c r="I17" i="6"/>
  <c r="I16" i="6"/>
  <c r="I12" i="6"/>
  <c r="I11" i="6"/>
  <c r="I8" i="6"/>
  <c r="I7" i="6"/>
  <c r="I5" i="6"/>
  <c r="C45" i="5"/>
  <c r="C44" i="5"/>
  <c r="C43" i="5"/>
  <c r="C42" i="5"/>
  <c r="J7" i="5"/>
  <c r="A3" i="5"/>
  <c r="A2" i="5"/>
  <c r="A1" i="5"/>
  <c r="C73" i="4"/>
  <c r="C72" i="4"/>
  <c r="C70" i="4"/>
  <c r="C69" i="4"/>
  <c r="C62" i="4"/>
  <c r="B16" i="4"/>
  <c r="B13" i="4"/>
  <c r="B12" i="4"/>
  <c r="B4" i="4"/>
  <c r="B3" i="4"/>
  <c r="B2" i="4"/>
  <c r="B40" i="3"/>
  <c r="B38" i="3"/>
  <c r="B36" i="3"/>
  <c r="B35" i="3"/>
  <c r="B12" i="3"/>
  <c r="B10" i="3"/>
  <c r="B9" i="3"/>
  <c r="B4" i="3"/>
  <c r="B3" i="3"/>
  <c r="B2" i="3"/>
  <c r="A39" i="2"/>
  <c r="A37" i="2"/>
  <c r="A36" i="2"/>
  <c r="A35" i="2"/>
  <c r="A34" i="2"/>
  <c r="A21" i="2"/>
  <c r="A18" i="2"/>
  <c r="A17" i="2"/>
  <c r="A15" i="2"/>
  <c r="D29" i="1"/>
  <c r="I145" i="6" s="1"/>
  <c r="P227" i="8" l="1"/>
  <c r="P266" i="8"/>
  <c r="R266" i="8" s="1"/>
  <c r="J298" i="8"/>
  <c r="B115" i="8" l="1"/>
  <c r="P298" i="8"/>
  <c r="R298" i="8" s="1"/>
  <c r="L135" i="6"/>
</calcChain>
</file>

<file path=xl/sharedStrings.xml><?xml version="1.0" encoding="utf-8"?>
<sst xmlns="http://schemas.openxmlformats.org/spreadsheetml/2006/main" count="1058" uniqueCount="811">
  <si>
    <t>CONTROL SHEET  —  master inputs for the entire audit report  (yellow cells = confirm / edit)</t>
  </si>
  <si>
    <t>Name</t>
  </si>
  <si>
    <t>AKSHITA AVENUE CO-OPERATIVE HOUSING SOCIETY LTD.</t>
  </si>
  <si>
    <t>Registration No.</t>
  </si>
  <si>
    <t>BOM (WR) / HSG (TC) 10502-99-2000</t>
  </si>
  <si>
    <t>Date of Registration</t>
  </si>
  <si>
    <t>Area of operation</t>
  </si>
  <si>
    <t>Mumbai - Suburban</t>
  </si>
  <si>
    <t>Address</t>
  </si>
  <si>
    <t>Akshita Avenue, Holy Cross Road, I. C. Colony, Borivali West, Mumbai - 400 103</t>
  </si>
  <si>
    <t>Accounting Year</t>
  </si>
  <si>
    <t>from</t>
  </si>
  <si>
    <t>1st April, 2025</t>
  </si>
  <si>
    <t>to</t>
  </si>
  <si>
    <t>31st March, 2026</t>
  </si>
  <si>
    <t>Auditor</t>
  </si>
  <si>
    <t>Shri. Bharat C. Boridkar</t>
  </si>
  <si>
    <t>Govt. Certified Panel Auditor</t>
  </si>
  <si>
    <t>Panel No.</t>
  </si>
  <si>
    <t>Mumbai-4/C1/1011404</t>
  </si>
  <si>
    <t>Boridkar House, Pandurang Bhoir Road, Dahisar - West, Mumbai - 400 068</t>
  </si>
  <si>
    <t>Place &amp; Date of Report</t>
  </si>
  <si>
    <t>Sr.No. of the audit memo</t>
  </si>
  <si>
    <t>-</t>
  </si>
  <si>
    <t>Date of commencement</t>
  </si>
  <si>
    <t>Date of completion</t>
  </si>
  <si>
    <t>Audit memo submitted</t>
  </si>
  <si>
    <t>Annual General Meeting</t>
  </si>
  <si>
    <t>AGM held during FY 2025-26</t>
  </si>
  <si>
    <t>Special General Meeting</t>
  </si>
  <si>
    <t>M C Meetings</t>
  </si>
  <si>
    <t>Rectification of Reports:</t>
  </si>
  <si>
    <t>Not submitted</t>
  </si>
  <si>
    <t>Date of submission</t>
  </si>
  <si>
    <t>Not applicable</t>
  </si>
  <si>
    <t>Audit Fees</t>
  </si>
  <si>
    <t>Amt</t>
  </si>
  <si>
    <t>Period</t>
  </si>
  <si>
    <t>01/04/2024 to 31/03/2025</t>
  </si>
  <si>
    <t>Paid on</t>
  </si>
  <si>
    <t>Secretary</t>
  </si>
  <si>
    <t>Mr. Prakash Kamath</t>
  </si>
  <si>
    <t>Pay drawn:</t>
  </si>
  <si>
    <t>Nil</t>
  </si>
  <si>
    <t>Cash verification</t>
  </si>
  <si>
    <t>Date</t>
  </si>
  <si>
    <t>Designation</t>
  </si>
  <si>
    <t>Hon. Secretary</t>
  </si>
  <si>
    <t>AGBM of appointment</t>
  </si>
  <si>
    <t>AGM at which auditor was appointed for FY 2025-26</t>
  </si>
  <si>
    <t>Audit Classification</t>
  </si>
  <si>
    <t>B</t>
  </si>
  <si>
    <t>Auditor to confirm — see Part-B conclusion</t>
  </si>
  <si>
    <t>Classification last 3 audits</t>
  </si>
  <si>
    <t>B / B / B</t>
  </si>
  <si>
    <t>No. of members</t>
  </si>
  <si>
    <t>Flats / Shops</t>
  </si>
  <si>
    <t>52 Flats &amp; 12 Shops</t>
  </si>
  <si>
    <t>LEGEND</t>
  </si>
  <si>
    <t>Yellow fill + blue text  =  input cell.  Confirm or edit before issuing the report.</t>
  </si>
  <si>
    <t>Black text  =  formula or standing text.  Do not overtype.</t>
  </si>
  <si>
    <t>Every other sheet pulls the society name, address, registration no., period, dates,</t>
  </si>
  <si>
    <t>auditor details, classification and meeting counts from THIS sheet.  Edit here only.</t>
  </si>
  <si>
    <t>Financial figures are taken from the Society’s Statement of Accounts for the year ended</t>
  </si>
  <si>
    <t>31.03.2026 (file: Akshita_Avenue-Accounts.pdf) and are entered on sheet GR in blue.</t>
  </si>
  <si>
    <t>STATUTORY AUDIT REPORT</t>
  </si>
  <si>
    <t>To,</t>
  </si>
  <si>
    <t>The Chairman, Members</t>
  </si>
  <si>
    <t>Enclosed please find 3 [Three only] sets of duly audited, signed and sealed report comprising Audit Report in Form N-2, Form-1 along with Schedules 1 to 6, Form-28, General Remarks, Balance Sheet, Income and Expenditure Account along with Schedules forming an integral part of the same, and Audit Report [Executive Summary] for the Financial Year ended on 31-Mar-2026, for the record of the Society.</t>
  </si>
  <si>
    <t>It is advised that one set be submitted to The Dy. Registrar, Co-Operative Societies, R/North Ward, 2nd floor, C wing, Municipal Godown Bldg, Nr. St. Lawrence School, 90 feet Road, Sanskruti Complex, Kandivali East, Mumbai - 400 101 under the Society’s covering letter at your earliest.</t>
  </si>
  <si>
    <t>You are requested to upload the mandatory returns prescribed u/s 79 of the MCS Act, i.e. 1] Annual Report of Activities, 2] Abridged Audit Report, 3] Balance Sheet, 4] Income and Expenditure Account, 5] Plan for Surplus Distribution, 6] List of Amendments to Bye-Laws, if any, 7] Date of holding AGBM and Election, and 8] Name of Auditor, for the year ended 31-03-2026, together with the Return Consent, on "www.mahasahakar.maharashtra.gov.in" within the time prescribed.</t>
  </si>
  <si>
    <t>I am also enclosing the Invoice for audit fees with a request to settle the same at your earliest.</t>
  </si>
  <si>
    <t>Please note that the Audit Rectification Report in Form "O", duly approved by the Managing Committee, is to be submitted to the Registering Authority within the time permitted, i.e. 3 months from the date of the audit report, under Section 82 of the MCS Act. Please ensure that an authenticated copy of the same, along with a soft copy, is provided to me for my comments thereon and for uploading thereafter on "www.mahasahakar.maharashtra.gov.in".</t>
  </si>
  <si>
    <t>In case any further information is required, please feel free to contact me at your convenience.</t>
  </si>
  <si>
    <t>Inconvenience, if any, is regretted.</t>
  </si>
  <si>
    <t>Thanks a lot.</t>
  </si>
  <si>
    <t>Yours faithfully,</t>
  </si>
  <si>
    <t>Co-op Soc Empanelment Number : A-2 / 13395</t>
  </si>
  <si>
    <t>Encl:</t>
  </si>
  <si>
    <t>1] 3 [three only] sets as above</t>
  </si>
  <si>
    <t>2] Original Invoice of Audit Fees</t>
  </si>
  <si>
    <t>INDEPENDENT AUDITOR'S REPORT</t>
  </si>
  <si>
    <t>[As prescribed under section 81 of the Maharashtra Co-operative Societies Act, 1960 and rule 69 (3) of the Maharashtra Co-op. Societies Rules, 1961.]</t>
  </si>
  <si>
    <t>Report on the Financial Statements as a Statutory Auditor</t>
  </si>
  <si>
    <t>1.</t>
  </si>
  <si>
    <t>We have audited the accompanying financial statements of AKSHITA AVENUE CO-OPERATIVE HOUSING SOCIETY LIMITED, which comprise the Balance Sheet as at 31st MARCH, 2026 and the Statement of Income and Expenditure for the year ended on that date, and a summary of significant accounting policies and other explanatory information incorporated in these financial statements of the Society audited by us for the period 1st April 2025 to 31st March 2026.</t>
  </si>
  <si>
    <t>Management’s Responsibility for the Financial Statements</t>
  </si>
  <si>
    <t>2.</t>
  </si>
  <si>
    <t>Management is responsible for the preparation of these financial statements that give a true and fair view of the financial position and financial performance of the Society in accordance with the accounting principles generally accepted in India, the Maharashtra Co-operative Societies Act, 1960 and the Rules there under. This responsibility includes maintenance of adequate accounting records in accordance with the provisions of the Act for safeguarding the assets of the Society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t>
  </si>
  <si>
    <t>Auditor’s Responsibility</t>
  </si>
  <si>
    <t>3.</t>
  </si>
  <si>
    <t>Our responsibility is to express an opinion on these financial statements based on our audit. We have taken into account the provisions of the Act, the accounting and auditing standards and matters which are required to be included in the audit report under the provisions of the Act and Rules made there under. We have conducted our audit in accordance with the applicable standards issued by the Institute of Chartered Accountants of India and under the Maharashtra Co-operative Societies (MCS) Act, 1960. Those standards require that we comply with ethical requirements and plan and perform the audit to obtain reasonable assurance about whether the financial statements are free from material misstatement.</t>
  </si>
  <si>
    <t>4.</t>
  </si>
  <si>
    <t>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Society’s preparation and fair presentation of the financial statements in order to design audit procedures that are appropriate in the circumstances, but not for the purpose of expressing an opinion on the effectiveness of the Society’s internal control. An audit also includes evaluating the appropriateness of accounting policies used and the reasonableness of the accounting estimates made by management, as well as evaluating the overall presentation of the financial statements.</t>
  </si>
  <si>
    <t>5.</t>
  </si>
  <si>
    <t>We believe that the audit evidence we have obtained is sufficient and appropriate to provide a basis for our audit opinion on the financial statements.</t>
  </si>
  <si>
    <t>Emphasis of Matter</t>
  </si>
  <si>
    <t>6.</t>
  </si>
  <si>
    <t>We invite attention to the following matters, in respect of which our opinion is not modified:  (a) interest recoverable from members aggregating Rs. 6,61,348/- has been written off during the year by debit directly to the accumulated balance of the Income and Expenditure Account instead of being routed through the Income and Expenditure Account for the year;  (b) the balance with The Catholic Syrian Bank has been carried in the Balance Sheet at Rs. 5,88,837.80 being the balance as per the bank pass book, as against the balance as per the books of Rs. 4,09,500.80 shown by the Bank Reconciliation Statement of even date;  and (c) expenditure of Rs. 14,92,029/- on terrace shed roofing has been charged wholly to revenue as against recovery of Rs. 10,00,320/- from members, without any transfer from the Building Repair Fund. These matters are more fully described in the General Remarks forming part of this report.</t>
  </si>
  <si>
    <t>Opinion</t>
  </si>
  <si>
    <t>7.</t>
  </si>
  <si>
    <t>In our opinion and to the best of our information and according to the explanations given to us, the said financial statements together with the notes thereon give the information required as per the Maharashtra Co-operative Societies Act, 1960 and the Maharashtra Co-operative Societies Rules, 1961, and any other applicable Acts, and/or circulars issued by the Registrar, in the manner so required and give a true and fair view in conformity with the accounting principles generally accepted in India:</t>
  </si>
  <si>
    <t>i.</t>
  </si>
  <si>
    <t>In the case of the Balance Sheet, of the state of affairs of the Society as at 31st MARCH, 2026; and</t>
  </si>
  <si>
    <t>ii.</t>
  </si>
  <si>
    <t>In the case of the Statement of Income and Expenditure, of the Excess of Expenditure over Income of the Society for the year ended on that date.</t>
  </si>
  <si>
    <t>Report on Other Legal and Regulatory Matters</t>
  </si>
  <si>
    <t>As required by the Maharashtra Co-operative Societies Act, 1960 and the Rules made there under, and in terms of Circular No. 976/2014 dated 28/10/2014, we give in Parts A, B &amp; C a statement on the matters specified in the said parts, to the extent applicable.</t>
  </si>
  <si>
    <t>8.</t>
  </si>
  <si>
    <t>The Balance Sheet and the Income and Expenditure Account have been drawn up in accordance with the provisions of the Maharashtra State Co-operative Societies Act, 1960.</t>
  </si>
  <si>
    <t>9.</t>
  </si>
  <si>
    <t>We report that :</t>
  </si>
  <si>
    <t>(a)</t>
  </si>
  <si>
    <t>We have obtained all the information and explanations which to the best of our knowledge and belief were necessary for the purpose of our audit and have found them to be satisfactory, except for balance confirmations from members and from the Municipal Corporation / Electricity Supply Company in respect of deposits, which were not made available to us.</t>
  </si>
  <si>
    <t>(b)</t>
  </si>
  <si>
    <t>The transactions of the Society, which have come to our notice, have been within the powers of the Society, save for the write-off of interest recoverable from members referred to in paragraph 6(a) above, for which the sanction of the General Body was not produced before us.</t>
  </si>
  <si>
    <t>(c)</t>
  </si>
  <si>
    <t>The returns received from the office of the Society have been found adequate for the purposes of our audit.</t>
  </si>
  <si>
    <t>10.</t>
  </si>
  <si>
    <t>In our opinion, the Balance Sheet and the Income and Expenditure Account comply with the applicable Accounting Standards.</t>
  </si>
  <si>
    <t>11.</t>
  </si>
  <si>
    <t>We further report that :</t>
  </si>
  <si>
    <t>The Balance Sheet and the Income and Expenditure Account dealt with by this report are in agreement with the books of account and the returns, and give a true and fair view of the state of affairs, subject to our observation in paragraph 6(b) above regarding the bank balance carried in the Balance Sheet.</t>
  </si>
  <si>
    <t>In our opinion, proper books of account as required by law have been kept by the Society so far as appears from our examination of those books.</t>
  </si>
  <si>
    <t>Audit Classification:-</t>
  </si>
  <si>
    <t>Period:-  01.04.2025 To 31.03.2026</t>
  </si>
  <si>
    <t>Schedules attached to and forming part of the Audit Report dated  :-</t>
  </si>
  <si>
    <t>Statutory Report as required u/s 81 (2)</t>
  </si>
  <si>
    <t>SCHEDULE - I</t>
  </si>
  <si>
    <t>Transactions involving infringement of the provisions of the Act, the Rules &amp; the Bye-laws</t>
  </si>
  <si>
    <t>- Refer to Form No. 1 item 10, General Remarks Part-A item 7 and Part-C.</t>
  </si>
  <si>
    <t>SCHEDULE - II</t>
  </si>
  <si>
    <t>Particulars of sums which ought to have been but have not been brought into account.</t>
  </si>
  <si>
    <t>- Contribution to the Education and Training Fund u/s 24A; Tax Deducted at Source of Rs. 5,697/- on fixed deposit interest for the year; and interest recoverable from members on arrears, not charged during the year.</t>
  </si>
  <si>
    <t>SCHEDULE - III</t>
  </si>
  <si>
    <t>Material impropriety or irregularity in the expenditure or in the realisation of moneys due to the Society</t>
  </si>
  <si>
    <t>- Interest recoverable from members of Rs. 6,61,348/- written off against the accumulated balance of the Income and Expenditure Account without the sanction of the General Body being produced. Refer to General Remarks.</t>
  </si>
  <si>
    <t>SCHEDULE - III-A</t>
  </si>
  <si>
    <t>Irregularities in the realisation of money</t>
  </si>
  <si>
    <t>- Refer to General Remarks Part-B and Part-C.</t>
  </si>
  <si>
    <t>List of doubtful &amp; bad debts</t>
  </si>
  <si>
    <t>- NIL</t>
  </si>
  <si>
    <t>SCHEDULE - V</t>
  </si>
  <si>
    <t>List of the movable &amp; immovable properties &amp; other assets considered doubtful of realisation</t>
  </si>
  <si>
    <t>SCHEDULE - VI</t>
  </si>
  <si>
    <t>Personal Expenditure debited to revenue</t>
  </si>
  <si>
    <t>FORM NO. 1</t>
  </si>
  <si>
    <t>Audit Memo (For all types of Co-op. Societies)</t>
  </si>
  <si>
    <t>Part-I</t>
  </si>
  <si>
    <t>Name of the Society</t>
  </si>
  <si>
    <t>Sr. No. of the audit memo as per audit register</t>
  </si>
  <si>
    <t>Full registered address</t>
  </si>
  <si>
    <t>District</t>
  </si>
  <si>
    <t>Mumbai Suburban District</t>
  </si>
  <si>
    <t>Borivali - West</t>
  </si>
  <si>
    <t>No. of branches, depots and shops (Give separate figures)</t>
  </si>
  <si>
    <t>NA</t>
  </si>
  <si>
    <t>(i)</t>
  </si>
  <si>
    <t>Audit classification</t>
  </si>
  <si>
    <t>(ii)</t>
  </si>
  <si>
    <t>Audit classification given during the last three audits</t>
  </si>
  <si>
    <t>Audit information:</t>
  </si>
  <si>
    <t>(1)</t>
  </si>
  <si>
    <t>Full name, designation and head quarters of auditing officer.</t>
  </si>
  <si>
    <t>(2)</t>
  </si>
  <si>
    <t>Period covered during the present audit.</t>
  </si>
  <si>
    <t>(3) Dates on which</t>
  </si>
  <si>
    <t>(1) Audit was commenced and continued.</t>
  </si>
  <si>
    <t>(2) Audit was completed</t>
  </si>
  <si>
    <t>(3) Audit memo was submitted.</t>
  </si>
  <si>
    <t>Membership:</t>
  </si>
  <si>
    <t>No. of Members:</t>
  </si>
  <si>
    <t>(a) Individual:</t>
  </si>
  <si>
    <t>(I) Ordinary</t>
  </si>
  <si>
    <t>(ii) Nominal</t>
  </si>
  <si>
    <t>(iii) Sympathiser</t>
  </si>
  <si>
    <t>(b) Societies.</t>
  </si>
  <si>
    <t>(c) Others</t>
  </si>
  <si>
    <t>Give details of the other members, if any</t>
  </si>
  <si>
    <t>Total</t>
  </si>
  <si>
    <t>Have new members been duly admitted?</t>
  </si>
  <si>
    <t>Yes</t>
  </si>
  <si>
    <t>Have they paid entrance fees?</t>
  </si>
  <si>
    <t>(iii)</t>
  </si>
  <si>
    <t>Are their written applications in order and are they filed properly?</t>
  </si>
  <si>
    <t>(iv)</t>
  </si>
  <si>
    <t>Is the members' register kept in Form 'I' prescribed under Rules 32 and 65(I) of the M.C.S. Rules, 1961?</t>
  </si>
  <si>
    <t>Maintained, but not updated</t>
  </si>
  <si>
    <t>(v)</t>
  </si>
  <si>
    <t>Is a list of members kept in Form 'J' under Rule 33 of the M.C.S. Rules, 1961?</t>
  </si>
  <si>
    <t>(vi)</t>
  </si>
  <si>
    <t>Have due remarks been passed against names of the deceased, dismissed, or resigned members in the members' register?</t>
  </si>
  <si>
    <t>(vii)</t>
  </si>
  <si>
    <t>Are resignations in order and are they duly accepted?</t>
  </si>
  <si>
    <t>(viii)</t>
  </si>
  <si>
    <t>Have nominations made under Rule 25 of the M.C.S. Rules, 1961 been duly entered in the member's register under Rule 26?</t>
  </si>
  <si>
    <t>Nominations not fully received. Please see General Remarks.</t>
  </si>
  <si>
    <t>Shares:</t>
  </si>
  <si>
    <t>Are applications for shares in order?</t>
  </si>
  <si>
    <t>Is share register written up-to-date?</t>
  </si>
  <si>
    <t>Do the entries in share register tally with the entries in the cash book?</t>
  </si>
  <si>
    <t>Is share ledger written up-to-date?</t>
  </si>
  <si>
    <t>Do the total of share ledger balances tally with the figures of share capital in the balance sheet?</t>
  </si>
  <si>
    <t>No. 260 shares of Rs. 50/- each aggregating Rs. 13,000/- are subscribed against 64 members, as against the minimum of 10 shares per member required by Bye-law 22(b).</t>
  </si>
  <si>
    <t>Have share certificates been issued to the share holders for all the shares subscribed?</t>
  </si>
  <si>
    <t>Are share transfers and refunds in accordance with the provisions of the Bye-laws, Act and Rules?</t>
  </si>
  <si>
    <t>Outside Borrowings:</t>
  </si>
  <si>
    <t>What is the limit fixed in the Bye-laws for borrowings of the society?</t>
  </si>
  <si>
    <t>As per Rule 35 of MCS Rules, 1961.</t>
  </si>
  <si>
    <t>Has it been exceeded?</t>
  </si>
  <si>
    <t>No</t>
  </si>
  <si>
    <t>If so, state whether necessary permission has been obtained from the competent authority?</t>
  </si>
  <si>
    <t>Meetings:</t>
  </si>
  <si>
    <t>Give dates of:-</t>
  </si>
  <si>
    <t>(a) Annual General Meeting</t>
  </si>
  <si>
    <t>(b) Special General Meeting</t>
  </si>
  <si>
    <t>State the No. of meetings held during the period as follows:-</t>
  </si>
  <si>
    <t>(a) Board or Managing Committee Meetings</t>
  </si>
  <si>
    <t>(b) Executive or Sub-Committee meetings.</t>
  </si>
  <si>
    <t>(c) Other Meetings</t>
  </si>
  <si>
    <t>Has the society submitted audit rectification reports of the previous audit memos? If so, give dates of submission. If not, state the reason for non-submission.</t>
  </si>
  <si>
    <t>Have any important points mentioned in the previous audit memos been neglected by the society? If so, state them in general remarks.</t>
  </si>
  <si>
    <t>Yes. Refer to General Remarks — unrectified objections of the previous audit report.</t>
  </si>
  <si>
    <t>Give amount of audit fees last assessed-</t>
  </si>
  <si>
    <t>State period for which assessed:</t>
  </si>
  <si>
    <t>State the date of recovery of audit fees, name of Treasury and amount credited (Give No. and date of Treasury Challan.)</t>
  </si>
  <si>
    <t>If audit fees have not been paid by the society, give details about outstanding audit fees and reasons for non-payment.</t>
  </si>
  <si>
    <t>Audit fees of Rs. 7,300/- for the previous year remain unpaid; a provision of Rs. 14,600/- (two years) is carried in the Balance Sheet.</t>
  </si>
  <si>
    <t>Internal or Local Audit:</t>
  </si>
  <si>
    <t>If there is internal or local audit, state by whom done, period covered and whether memo is on the record of the society.</t>
  </si>
  <si>
    <t>No Internal Audit</t>
  </si>
  <si>
    <t>State whether there is proper co-ordination between Statutory Auditor and Internal Auditor.</t>
  </si>
  <si>
    <t>Not Applicable</t>
  </si>
  <si>
    <t>(A)</t>
  </si>
  <si>
    <t>Managing Director / Manager / Secretary</t>
  </si>
  <si>
    <t>Name of the Officer</t>
  </si>
  <si>
    <t>Grade:</t>
  </si>
  <si>
    <t>State other allowances, if any, and facilities given such as rent free quarters etc:</t>
  </si>
  <si>
    <t>State whether he is a member.</t>
  </si>
  <si>
    <t>If so, whether he has borrowed or has been given any credit facilities? State the amount borrowed and the amounts overdue, if any.</t>
  </si>
  <si>
    <t>If other amounts are due from him, give details.</t>
  </si>
  <si>
    <t>Nil. The balance of Rs. 30,288/- payable to the Hon. Secretary at the beginning of the year has been settled during the year.</t>
  </si>
  <si>
    <t>(B)</t>
  </si>
  <si>
    <t>Obtain a list of staff showing names, designations, qualifications, scales, present pay and allowances given, dates from which employed, security furnished etc.</t>
  </si>
  <si>
    <t>The Society does not have its own employees. Sweeping, security and gardening services are obtained on contract.</t>
  </si>
  <si>
    <t>Breaches:</t>
  </si>
  <si>
    <t>Does the Society possess a copy of the Act, Rules and its registered Bye-laws?</t>
  </si>
  <si>
    <t>a) Act &amp; Rules</t>
  </si>
  <si>
    <t>b) Bye-laws</t>
  </si>
  <si>
    <t>Give only numbers of breaches of the Act, Rules and Bye-laws?</t>
  </si>
  <si>
    <t>1. Section Nos.</t>
  </si>
  <si>
    <t>24A, 26(1), 70, 75(2), 79, 81, 82</t>
  </si>
  <si>
    <t>2. Rules Nos.</t>
  </si>
  <si>
    <t>26, 54, 55, 73, 107-D</t>
  </si>
  <si>
    <t>3. Bye-laws Nos.</t>
  </si>
  <si>
    <t>15, 20, 22(b), 32, 127(i), 142, 145, 146, 153(a), 160</t>
  </si>
  <si>
    <t>Have any rules been framed under the Bye-laws? Are they approved by the appropriate authority? Are they properly followed?</t>
  </si>
  <si>
    <t>Election Rules</t>
  </si>
  <si>
    <t>(These breaches are discussed in brief in the General Remarks)</t>
  </si>
  <si>
    <t>Profit and Loss:</t>
  </si>
  <si>
    <t>What is the amount of profit earned or loss incurred during the last co-operative year?</t>
  </si>
  <si>
    <t>Excess of Expenditure over Income</t>
  </si>
  <si>
    <t>State how the net profits are distributed? (In case of non-business societies, figures of surplus or deficit may be given against query No. 11(1) above).</t>
  </si>
  <si>
    <t>Not applicable — the Society is a non-business society and has incurred a deficit for the year.</t>
  </si>
  <si>
    <t>Cash, Bank Balances and Securities:</t>
  </si>
  <si>
    <t>Cash:</t>
  </si>
  <si>
    <t>Count cash and sign the cash book stating the amount so counted and the date on which counted.</t>
  </si>
  <si>
    <t>Who produced the cash for counting? Give his name and designation. Is he authorised to keep cash?</t>
  </si>
  <si>
    <t>Is it correct according to the Cash Book?</t>
  </si>
  <si>
    <t>On the date of verification the cash book was written up to date.</t>
  </si>
  <si>
    <t>Are arrangements for safety of cash in safe and cash in transit adequate?</t>
  </si>
  <si>
    <t>Generally, yes. However, cash on hand at the year end of Rs. 11,335/- exceeds the limit prescribed by the Bye-laws.</t>
  </si>
  <si>
    <t>Bank Balance:</t>
  </si>
  <si>
    <t>Do the bank balances shown in bank pass books or bank statements and bank balance certificates tally with such balances shown in the books of account? If not, check reconciliation statements.</t>
  </si>
  <si>
    <t>Partly. The Balance Sheet carries the Catholic Syrian Bank balance at Rs. 5,88,837.80 as per the pass book, whereas the Bank Reconciliation Statement as at 31.03.2026 shows the balance as per books at Rs. 4,09,500.80.</t>
  </si>
  <si>
    <t>Securities:</t>
  </si>
  <si>
    <t>Verify securities physically and see whether they are in the name of the Society.</t>
  </si>
  <si>
    <t>Are dividends and interest being duly collected?</t>
  </si>
  <si>
    <t>If securities are lodged with the Bank, are relevant certificates obtained?</t>
  </si>
  <si>
    <t>Is an investment register kept and written up-to-date?</t>
  </si>
  <si>
    <t>Movable and Immovable Property:</t>
  </si>
  <si>
    <t>Are relevant registers maintained and written up-to-date?</t>
  </si>
  <si>
    <t>No. The Property Register is not maintained.</t>
  </si>
  <si>
    <t>Verify property physically and obtain its list.</t>
  </si>
  <si>
    <t>Physical verification of property was not carried out by me.</t>
  </si>
  <si>
    <t>Do the balances tally with balance sheet figures?</t>
  </si>
  <si>
    <t>In case of immovable property including lands, verify title deeds and see whether they are in the name of the society.</t>
  </si>
  <si>
    <t>Conveyance of the property has not been executed in favour of the Society.</t>
  </si>
  <si>
    <t>Is the property duly insured where necessary?</t>
  </si>
  <si>
    <t>If so, give details in general remarks.</t>
  </si>
  <si>
    <t>Depreciation:</t>
  </si>
  <si>
    <t>(i) Is due depreciation charged?</t>
  </si>
  <si>
    <t>Yes. Full-year depreciation has been charged on additions made during the year.</t>
  </si>
  <si>
    <t>(ii) State the rate of depreciation charged on various assets.</t>
  </si>
  <si>
    <t>Furniture &amp; Fixtures</t>
  </si>
  <si>
    <t>@ 10% p.a.</t>
  </si>
  <si>
    <t>Fire Extinguishers</t>
  </si>
  <si>
    <t>CCTV Camera</t>
  </si>
  <si>
    <t>@ 15% p.a.</t>
  </si>
  <si>
    <t>Water Pump &amp; Pump Controller</t>
  </si>
  <si>
    <t>Printer</t>
  </si>
  <si>
    <t>Fan</t>
  </si>
  <si>
    <t>Have you discussed the draft audit memo in the Board or Managing Committee Meeting? If not, state reasons for the same.</t>
  </si>
  <si>
    <t>Discussed with the Hon. Secretary and the Managing Committee Members.</t>
  </si>
  <si>
    <t>Signature and Designation of Auditing Staff</t>
  </si>
  <si>
    <t>FORM NO. 28</t>
  </si>
  <si>
    <t>Audit Memo (Co-operative Housing Societies)</t>
  </si>
  <si>
    <t>Part - II</t>
  </si>
  <si>
    <t>Borrowings :-</t>
  </si>
  <si>
    <t>State the loans obtained by the Society for various purposes from Government and other agencies</t>
  </si>
  <si>
    <t>Agency Sanctioning loan</t>
  </si>
  <si>
    <t>Purpose for which the loan is sanctioned</t>
  </si>
  <si>
    <t>Amount of loan sanctioned</t>
  </si>
  <si>
    <t>Maximum amount drawn</t>
  </si>
  <si>
    <t>Repayment made</t>
  </si>
  <si>
    <t>Outstanding</t>
  </si>
  <si>
    <t>Amount overdue, if any</t>
  </si>
  <si>
    <t>Remarks</t>
  </si>
  <si>
    <t>Not Applicable — the Society has not obtained any loan.</t>
  </si>
  <si>
    <t>Are repayments of loans punctual?</t>
  </si>
  <si>
    <t>Are all conditions laid down for grant of various loans and credits observed? Note breaches, if any.</t>
  </si>
  <si>
    <t>Are necessary documents executed in favour of the authority sanctioning the loan?</t>
  </si>
  <si>
    <t>Government Financial Assistance :-</t>
  </si>
  <si>
    <t>What is the amount of Government subsidy sanctioned and received by the society?</t>
  </si>
  <si>
    <t>Has Government sanctioned any amount for land development? If so, state the amount. Have development expenses exceeded the said amount?</t>
  </si>
  <si>
    <t>Membership :-</t>
  </si>
  <si>
    <t>State whether in case of backward class co-operative housing societies, certificates from the social welfare officers are obtained for their eligibility to membership and obtaining of financial assistance?</t>
  </si>
  <si>
    <t>State whether certificates are obtained from officers of the concerned industry in case of the subsidised industrial housing scheme.</t>
  </si>
  <si>
    <t>Have declarations been obtained from members that they and their family members do not own lands or houses in the area of operation of the society as per provisions in the bye-laws?</t>
  </si>
  <si>
    <t>Lands and their development :-</t>
  </si>
  <si>
    <t>State whether lands for construction of houses have been secured, purchased or obtained on lease. Give details of the lands, stating total area, survey Nos. and C.R.S. Nos. if any, price for which purchased, lease rent etc.</t>
  </si>
  <si>
    <t>See the title deeds and ascertain whether they are properly executed in favour of the Society?</t>
  </si>
  <si>
    <t>Conveyance is not executed in favour of the Society.</t>
  </si>
  <si>
    <t>State how the land has been utilised for:-</t>
  </si>
  <si>
    <t>Construction of houses.</t>
  </si>
  <si>
    <t>Construction of roads.</t>
  </si>
  <si>
    <t>Open spaces.</t>
  </si>
  <si>
    <t>(d)</t>
  </si>
  <si>
    <t>Other purposes. (give details)</t>
  </si>
  <si>
    <t>Have the layouts and plans for development been approved by the Municipal authorities before actual commencement of the work?</t>
  </si>
  <si>
    <t>Have completion certificates been obtained from appropriate authorities for drainage, water supply, roads, etc. before construction work of buildings is commenced?</t>
  </si>
  <si>
    <t>Construction of Buildings :-</t>
  </si>
  <si>
    <t>(a) Have building constructions commenced?</t>
  </si>
  <si>
    <t>Already Constructed</t>
  </si>
  <si>
    <t>(b) State the No. of houses or flats constructed and under construction.</t>
  </si>
  <si>
    <t>(c) Have the completed houses and flats been allotted to members?</t>
  </si>
  <si>
    <t>Are buildings constructed on contract basis? See the terms and conditions of contracts and state whether they have been properly observed. Note breaches, if any.</t>
  </si>
  <si>
    <t>Are these contracts properly sanctioned by the competent authority as per bye-laws of the society?</t>
  </si>
  <si>
    <t>Have tenders or quotations been called after giving due advertisements in local newspapers? If the works are not given to the contractors quoting the lowest figures, see whether reasons for the same are recorded.</t>
  </si>
  <si>
    <t>In respect of the terrace shed roofing work of Rs. 14,92,029/-, comparative quotations were produced; the Managing Committee resolution approving the award of the work was not made available to me.</t>
  </si>
  <si>
    <t>Are contractors paid after necessary work progress certificates are obtained from the Architects? Are running and final bills obtained before payments are made to the contractors?</t>
  </si>
  <si>
    <t>Bills of the contractor were produced. Architect’s / Engineer’s work progress certificates were not made available to me.</t>
  </si>
  <si>
    <t>See the terms on which the architects are employed. Are there any breaches?</t>
  </si>
  <si>
    <t>See whether completion certificates have been obtained from the qualified engineers and architects, stating that the constructions have been completed according to approved plans, specifications and other terms of contracts.</t>
  </si>
  <si>
    <t>Is a property register kept in proper form?</t>
  </si>
  <si>
    <t>Is it written up-to-date?</t>
  </si>
  <si>
    <t>Not maintained</t>
  </si>
  <si>
    <t>(ix)</t>
  </si>
  <si>
    <t>When buildings are built departmentally, state whether the following books are kept and written up-to-date:-</t>
  </si>
  <si>
    <t>N.A.</t>
  </si>
  <si>
    <t>(a) Job registers &amp; measurement books.</t>
  </si>
  <si>
    <t>(b) Stock registers.</t>
  </si>
  <si>
    <t>(c) Are valuation certificates from qualified engineers and/or architects obtained?</t>
  </si>
  <si>
    <t>(d) Is expenditure allocated properly between items of capital and revenue nature?</t>
  </si>
  <si>
    <t>No. Terrace shed roofing expenditure of Rs. 14,92,029/- (previous year Rs. 7,05,212/-), being in the nature of a major structural repair, has been charged wholly to revenue and no part thereof has been met out of the Building Repair Fund.</t>
  </si>
  <si>
    <t>(x)</t>
  </si>
  <si>
    <t>State whether buildings have been constructed according to the original plans and estimates submitted with the loan applications and which are approved by the competent authority. Are there any deviations? If so, are they got approved from the competent authority?</t>
  </si>
  <si>
    <t>(xi)</t>
  </si>
  <si>
    <t>In case of flat-owners societies, see whether titles to the land have been transferred in the name of the society.</t>
  </si>
  <si>
    <t>Conveyance is not executed</t>
  </si>
  <si>
    <t>(xii)</t>
  </si>
  <si>
    <t>Are buildings and other constructions got insured?</t>
  </si>
  <si>
    <t>(xiii)</t>
  </si>
  <si>
    <t>In case of flat-owners societies, have the promoters fulfilled their obligations as per agreements entered into with them by the members prior to the registration of the society?</t>
  </si>
  <si>
    <t>(xiv)</t>
  </si>
  <si>
    <t>Examine the agreements entered into with the promoters and see whether they are in the interest of the society.</t>
  </si>
  <si>
    <t>(xv)</t>
  </si>
  <si>
    <t>Has the society executed lease deeds in favour of members for giving plots and/or buildings on lease to them?</t>
  </si>
  <si>
    <t>(xvi)</t>
  </si>
  <si>
    <t>Has the society created a sinking fund as per provisions of the bye-laws?</t>
  </si>
  <si>
    <t>Yes. The Sinking Fund stands at Rs. 5,20,756/- as at 31.03.2026.</t>
  </si>
  <si>
    <t>(xvii)</t>
  </si>
  <si>
    <t>Examine the basis on which monthly rents or contributions are fixed in case of tenant co-partnership societies or flat owners societies and see that the following items are adequately covered -</t>
  </si>
  <si>
    <t>(i) Amounts required for repayment of loan instalments.</t>
  </si>
  <si>
    <t>(ii) Municipal and other taxes.</t>
  </si>
  <si>
    <t>(iii) Lease rent.</t>
  </si>
  <si>
    <t>(iv) Service charges and common expenses.</t>
  </si>
  <si>
    <t>Yes. However the Society has incurred a deficit of Rs. 5,65,589/- for the year; the levy requires revision.</t>
  </si>
  <si>
    <t>(v) Contribution to the sinking fund.</t>
  </si>
  <si>
    <t>Loans to Members :-</t>
  </si>
  <si>
    <t>Are recoveries of loans punctual?</t>
  </si>
  <si>
    <t>State the amounts of overdues.</t>
  </si>
  <si>
    <t>State what steps are being taken to recover overdues.</t>
  </si>
  <si>
    <t>Expenditure :-</t>
  </si>
  <si>
    <t>Has the expenditure been approved by the Managing Committee from time to time?</t>
  </si>
  <si>
    <t>Not in all cases. Resolutions approving periodic expenditure, acceptance of quotations and the write-off of interest recoverable from members were not recorded in the minutes.</t>
  </si>
  <si>
    <t>INTRODUCTION</t>
  </si>
  <si>
    <t>Name of the society</t>
  </si>
  <si>
    <t>:-</t>
  </si>
  <si>
    <t>Registered Address</t>
  </si>
  <si>
    <t>Reg. No. &amp; date</t>
  </si>
  <si>
    <t>Period of audit</t>
  </si>
  <si>
    <t>GENERAL REMARKS  (PART-A)</t>
  </si>
  <si>
    <t>The following are the major discrepancies found during the audit.</t>
  </si>
  <si>
    <t>Sr no</t>
  </si>
  <si>
    <t>Particulars</t>
  </si>
  <si>
    <t>Instances / Examples which require reporting</t>
  </si>
  <si>
    <t>Auditor’s remarks</t>
  </si>
  <si>
    <t>Fraud</t>
  </si>
  <si>
    <t>1) Debiting excess amount than the voucher amount / bill amount.</t>
  </si>
  <si>
    <t>During the year under audit, I have not found any such instance.</t>
  </si>
  <si>
    <t>2) Withdrawing the amount from bank but not crediting in cash book.</t>
  </si>
  <si>
    <t>3) Debiting the bank account without depositing the amount in bank.</t>
  </si>
  <si>
    <t>4) Disbursing loans without sanction / without security / without loan documents / using forged documents.</t>
  </si>
  <si>
    <t>Not applicable. The Society is a Co-operative Housing Society and does not disburse loans.</t>
  </si>
  <si>
    <t>5) Any other transaction with the intention to defraud the society by any person.</t>
  </si>
  <si>
    <t>On the basis of verification of the records made available to me, I have not found any such instance.</t>
  </si>
  <si>
    <t>Mis-utilisation of funds and properties</t>
  </si>
  <si>
    <t>1) Purchasing / constructing building without inviting tenders.</t>
  </si>
  <si>
    <t>Terrace shed roofing work of Rs. 14,92,029/- was carried out during the year. Comparative quotations were produced; the Managing Committee resolution awarding the work was not recorded in the minutes.</t>
  </si>
  <si>
    <t>2) Purchasing the computers / fixed assets without inviting tenders.</t>
  </si>
  <si>
    <t>Additions to fixed assets of Rs. 2,58,037/- were made during the year, mainly CCTV cameras of Rs. 1,92,617/-. Quotations were produced; the approving resolution was not recorded in the minutes.</t>
  </si>
  <si>
    <t>3) Selling the movable / immovable properties without inviting bids.</t>
  </si>
  <si>
    <t>4) Selling the movable / immovable properties below Reserve Price (Upset price).</t>
  </si>
  <si>
    <t>Misapplication of funds</t>
  </si>
  <si>
    <t>1) Use of sinking fund for day to day maintenance without passing the required resolution in the General Body.</t>
  </si>
  <si>
    <t>No amount has been withdrawn from the Sinking Fund during the year.</t>
  </si>
  <si>
    <t>2) Use of revenue reserve / general reserve for creating Reserve for Bad and Doubtful Debts.</t>
  </si>
  <si>
    <t>Interest recoverable from members of Rs. 6,61,348/- has been written off by debit directly to the accumulated balance of the Income and Expenditure Account, instead of being routed through the Income and Expenditure Account for the year. The sanction of the General Body for the write-off was not produced before me.</t>
  </si>
  <si>
    <t>Manipulation of accounts</t>
  </si>
  <si>
    <t>I have not found any manipulation of accounts during the year under audit.</t>
  </si>
  <si>
    <t>Falsification of accounts</t>
  </si>
  <si>
    <t>I have not found any falsification of accounts during the year under audit.</t>
  </si>
  <si>
    <t>Shortfall in various provisions</t>
  </si>
  <si>
    <t>Contribution to the Education and Training Fund under Section 24A has not been provided for. Tax deducted at source of Rs. 5,697/- on fixed deposit interest for the year has not been recorded in the books. Except as aforesaid, there is no material shortfall in the recognition of liabilities for outstanding expenses / provisions.</t>
  </si>
  <si>
    <t>7.   Infringement of the M.C.S. Act, 1960, the M.C.S. Rules, 1961 and the Bye-Laws of the Society</t>
  </si>
  <si>
    <t>Sr.</t>
  </si>
  <si>
    <t>Act</t>
  </si>
  <si>
    <t>Rules</t>
  </si>
  <si>
    <t>Bye-laws</t>
  </si>
  <si>
    <t>Description</t>
  </si>
  <si>
    <t>70</t>
  </si>
  <si>
    <t>54, 55</t>
  </si>
  <si>
    <t>15</t>
  </si>
  <si>
    <t>Investment of Funds — Sinking Fund, Building Repair Fund, Reserve Fund, Common Amenity Fund and Share Capital are not fully invested. Shortfall as at 31.03.2026 is Rs. 10,54,527/-.</t>
  </si>
  <si>
    <t>20</t>
  </si>
  <si>
    <t>A sub-lettee / licensee has not applied for Nominal Membership of the Society.</t>
  </si>
  <si>
    <t>26(1)</t>
  </si>
  <si>
    <t>22 (b)</t>
  </si>
  <si>
    <t>Minimum contribution of a member to the share capital — 260 shares are subscribed against 64 members, as against the minimum of 10 shares per member.</t>
  </si>
  <si>
    <t>160</t>
  </si>
  <si>
    <t>The Managing Committee did not meet once in every month.</t>
  </si>
  <si>
    <t>127(i)</t>
  </si>
  <si>
    <t>Nominations not fully received from members.</t>
  </si>
  <si>
    <t>26</t>
  </si>
  <si>
    <t>32</t>
  </si>
  <si>
    <t>Payments made by means other than crossed account payee cheque.</t>
  </si>
  <si>
    <t>81</t>
  </si>
  <si>
    <t>107-D</t>
  </si>
  <si>
    <t>145</t>
  </si>
  <si>
    <t>Co-operative education and training not organised for members and committee members.</t>
  </si>
  <si>
    <t>24A</t>
  </si>
  <si>
    <t>Contribution to the Education and Training Fund not paid; mandatory annual returns not filed / uploaded and not received by the AGM from the committee.</t>
  </si>
  <si>
    <t>75(2)</t>
  </si>
  <si>
    <t>95(g) &amp; 146(b)</t>
  </si>
  <si>
    <t>Audit rectification report in Form "O" not placed before the Managing Committee and not submitted to the Registering Authority and to the auditor for comments.</t>
  </si>
  <si>
    <t>82</t>
  </si>
  <si>
    <t>73</t>
  </si>
  <si>
    <t>153(a)</t>
  </si>
  <si>
    <t>79</t>
  </si>
  <si>
    <t>142</t>
  </si>
  <si>
    <t>Statutory registers — Form I, Form J, Share Register, Nomination Register and Property Register — are not written up to date.</t>
  </si>
  <si>
    <t>Personal expenses debited to the Income and Expenditure Account.</t>
  </si>
  <si>
    <t>Transactions with relatives of members of the Managing Committee, or companies / firms in which members of the Managing Committee are interested, which are not at reasonable rates.</t>
  </si>
  <si>
    <t>No action against overdues in excess of one year.</t>
  </si>
  <si>
    <t>Dues from members stand at Rs. 36,71,055/- as at 31.03.2026. I have been informed that the Society has not taken legal action for recovery against members in arrears for more than one year. Further, interest on delayed payment has not been charged during the year, and interest of Rs. 6,61,348/- already charged has been written off.</t>
  </si>
  <si>
    <t>GENERAL REMARKS  (PART-B)</t>
  </si>
  <si>
    <t>I have conducted the audit for the period 1st April, 2025 to 31st March, 2026. The statutory audit is based on the books, records, financial statements, annexures and lists maintained in the computer system and verified by me accordingly. The written and oral information given by the management of the Society at the time of audit has been relied upon by me while completing the statutory audit. I assume that all transactions are as per the Maharashtra State Co-operative Societies Act, 1960, the Rules, 1961, and the Bye-Laws of the Society.</t>
  </si>
  <si>
    <t>We presume that the computer entries / transactions are strictly accurate and are working as per the standard software language / program and have no internal defect. The Society will be solely responsible for any subsequent changes.</t>
  </si>
  <si>
    <t>Information obtained and irregularities observed during the audit are presented in three parts — A, B and C. After complying with the irregularities, the Audit Compliance Report is to be submitted.</t>
  </si>
  <si>
    <t>MANAGEMENT</t>
  </si>
  <si>
    <t>The list of the Managing Committee as on 31st March, 2026 has been provided by the Society. The office bearers for the audit period are as under:</t>
  </si>
  <si>
    <t>Chairman</t>
  </si>
  <si>
    <t>Treasurer</t>
  </si>
  <si>
    <t>Committee Member</t>
  </si>
  <si>
    <t>MEETINGS</t>
  </si>
  <si>
    <t>During the year of audit the following meetings were held.</t>
  </si>
  <si>
    <t>Sr. No.</t>
  </si>
  <si>
    <t>Meeting Name</t>
  </si>
  <si>
    <t>No. of Meetings</t>
  </si>
  <si>
    <t>Meeting Dates</t>
  </si>
  <si>
    <t>Managing Committee Meetings</t>
  </si>
  <si>
    <t>Special General Meetings</t>
  </si>
  <si>
    <t>MINUTE BOOK</t>
  </si>
  <si>
    <t>The folios of the minute book are not serially numbered.</t>
  </si>
  <si>
    <t>The name of the person who chaired the meeting is not mentioned in the minutes.</t>
  </si>
  <si>
    <t>The resolution regarding reading and confirming the minutes of the previous Managing Committee meeting, and signing the same by the chairman of the meeting in which the minutes are read, is not recorded in the minutes.</t>
  </si>
  <si>
    <t>The place and date of signing the minutes by the chairman are not recorded in the minutes.</t>
  </si>
  <si>
    <t>Managing Committee resolutions for approval of periodic expenditure, acceptance of vendors’ quotations, the award of the terrace shed roofing contract, the write-off of interest recoverable from members, the rectification report in Form "O", the minutes of Special General Body Meetings, leave and licence requests and allotment of parking space are not available in the minutes.</t>
  </si>
  <si>
    <t>The resolutions passed are not serially numbered, and the names of the persons who proposed and seconded each resolution are not mentioned.</t>
  </si>
  <si>
    <t>Some blank pages have been left between the minutes of two meetings. These need to be cancelled.</t>
  </si>
  <si>
    <t>The Managing Committee did not meet every month in the year under audit.</t>
  </si>
  <si>
    <t>MEMBERS</t>
  </si>
  <si>
    <t>UNRECTIFIED AUDIT OBJECTIONS OF THE PREVIOUS AUDIT REPORT</t>
  </si>
  <si>
    <t>Balance confirmations from members for the balances as at the year end have not been obtained.</t>
  </si>
  <si>
    <t>Contribution towards the Education and Training Fund has not been paid.</t>
  </si>
  <si>
    <t>Single payments exceeding Rs. 1,500/- have been made in cash.</t>
  </si>
  <si>
    <t>Statutory registers — Form I, Form J, Share Register, Nomination Register and Property Register — remain un-updated.</t>
  </si>
  <si>
    <t>Sinking Fund, Building Repair Fund and Reserve Fund remain un-invested to the extent of the fund balances.</t>
  </si>
  <si>
    <t>Income Tax returns and TDS returns have not been filed.</t>
  </si>
  <si>
    <t>Audit Rectification Report in Form "O" for the previous year has not been submitted.</t>
  </si>
  <si>
    <t>CONTRAVENTION OF PROVISIONS OF OTHER ALLIED ACTS</t>
  </si>
  <si>
    <t>TDS returns have not been filed. Tax has not been deducted at source on payments to contractors for repairs and maintenance, security and housekeeping services, where the provisions of Chapter XVII-B of the Income Tax Act, 1961 are attracted.</t>
  </si>
  <si>
    <t>Income Tax return has not been filed. Tax deducted at source on fixed deposit interest aggregating Rs. 17,402/- for assessment years 2022-23 to 2025-26 remains unclaimed, and a further Rs. 5,697/- deducted during the year under audit has not been recorded in the books at all.</t>
  </si>
  <si>
    <t>Contribution to the Education and Training Fund under Section 24A read with Section 155-B(6) of the MCS Act, 1960 has neither been provided for nor paid.</t>
  </si>
  <si>
    <t>FINANCIAL PERFORMANCE</t>
  </si>
  <si>
    <t>The deficit is principally attributable to (a) terrace shed roofing expenditure of Rs. 14,92,029/- charged wholly to revenue against a recovery of Rs. 10,00,320/- from members, with no amount transferred from the Building Repair Fund; (b) water charges of Rs. 4,60,160/- as against Rs. 86,358/- in the previous year; and (c) interest on members’ dues of Rs. 3,40,955/- credited in the previous year but not charged at all during the year under audit.</t>
  </si>
  <si>
    <t>OBSERVATIONS ON THE BALANCE SHEET AS AT 31-03-2026</t>
  </si>
  <si>
    <t>31-03-2026</t>
  </si>
  <si>
    <t>31-03-2025</t>
  </si>
  <si>
    <t>Increase / (Decrease)</t>
  </si>
  <si>
    <t>LIABILITIES</t>
  </si>
  <si>
    <t>Issued, Subscribed &amp; Paid-up Share Capital</t>
  </si>
  <si>
    <t>Reserve Fund and Other Funds</t>
  </si>
  <si>
    <t>Contribution from Members towards Land &amp; Building</t>
  </si>
  <si>
    <t>Current Liabilities &amp; Provisions</t>
  </si>
  <si>
    <t>Income &amp; Expenditure Account</t>
  </si>
  <si>
    <t>TOTAL :-</t>
  </si>
  <si>
    <t>ASSETS</t>
  </si>
  <si>
    <t>Cash &amp; Bank Balances</t>
  </si>
  <si>
    <t>Investments (including accrued interest)</t>
  </si>
  <si>
    <t>Fixed Assets (Written Down Value)</t>
  </si>
  <si>
    <t>Contribution towards Land &amp; Building</t>
  </si>
  <si>
    <t>Deposits, Advances &amp; Prepaid Expenses</t>
  </si>
  <si>
    <t>Dues from Members</t>
  </si>
  <si>
    <t>Source: Statement of Accounts of the Society for the year ended 31.03.2026 (Balance Sheet and Schedules) provided by the Society. Figures in blue are as extracted from those accounts; all totals and differences are computed.</t>
  </si>
  <si>
    <t>ANALYSIS OF THE BALANCE SHEET</t>
  </si>
  <si>
    <t>SECTION I: CAPITAL AND LIABILITIES</t>
  </si>
  <si>
    <t>AUTHORISED SHARE CAPITAL:</t>
  </si>
  <si>
    <t>The authorised share capital is Rs. 1,30,000/- comprising 260 shares of Rs. 500/- each, whereas the subscribed and paid-up capital is stated as 260 shares of Rs. 50/- each aggregating Rs. 13,000/-. The Society is advised to reconcile the face value of the shares between the two statements and to regularise the position.</t>
  </si>
  <si>
    <t>PAID-UP SHARE CAPITAL:</t>
  </si>
  <si>
    <t>The paid-up share capital is Rs. 13,000/-. Against 64 members, Bye-law 22(b) requires a minimum of 10 shares per member. The share ledger balances therefore do not tally with the share capital in the Balance Sheet.</t>
  </si>
  <si>
    <t>RESERVES AND FUNDS — INVESTMENT THEREOF:</t>
  </si>
  <si>
    <t>Balance (Rs.)</t>
  </si>
  <si>
    <t>Investment (Rs.)</t>
  </si>
  <si>
    <t>Deficit / (Surplus) (Rs.)</t>
  </si>
  <si>
    <t>Reserve Fund</t>
  </si>
  <si>
    <t>Sinking Fund</t>
  </si>
  <si>
    <t>Building Repair Fund</t>
  </si>
  <si>
    <t>Common Amenity Fund</t>
  </si>
  <si>
    <t>Share Capital</t>
  </si>
  <si>
    <t>a</t>
  </si>
  <si>
    <t>Share Capital, Sinking Fund, Building Repair Fund, Reserve Fund and Common Amenity Fund should each be invested separately in the modes permitted by Section 70 of the MCS Act, 1960 read with Rules 54 and 55. It is suggested that the investments be brought up to the extent of the respective fund balances.</t>
  </si>
  <si>
    <t>b</t>
  </si>
  <si>
    <t>The two fixed deposits held with The Catholic Syrian Bank (Certificate Nos. 27576 and 27588) are earmarked against the Sinking Fund and the Building Repair Fund respectively. No investment is earmarked against the Reserve Fund or the Share Capital, and the Common Amenity Fund of Rs. 11,26,117/- is backed only by a recurring deposit of Rs. 84,236/-.</t>
  </si>
  <si>
    <t>c</t>
  </si>
  <si>
    <t>For the Common Amenity Fund, the Society is advised to frame guidelines / a policy for collections into the fund and for its utilisation. Rs. 50,000/- has been added to the fund during the year without any corresponding investment.</t>
  </si>
  <si>
    <t>CURRENT LIABILITIES &amp; PROVISIONS</t>
  </si>
  <si>
    <t>Details of sundry creditors and provisions made by the Society as at 31st March, 2026 are as under:</t>
  </si>
  <si>
    <t>31-03-2026 (Rs.)</t>
  </si>
  <si>
    <t>31-03-2025 (Rs.)</t>
  </si>
  <si>
    <t>Advance from Office Bearer</t>
  </si>
  <si>
    <t>Suspense Account</t>
  </si>
  <si>
    <t>Good Luck Properties</t>
  </si>
  <si>
    <t>Retention Money</t>
  </si>
  <si>
    <t>Payable to Shri Prakash Kamath</t>
  </si>
  <si>
    <t>Provision — Electricity Charges</t>
  </si>
  <si>
    <t>Provision — Water Charges</t>
  </si>
  <si>
    <t>Provision — Sweeper &amp; Manager Salary</t>
  </si>
  <si>
    <t>Provision — Security Charges</t>
  </si>
  <si>
    <t>Provision — Accounting Charges</t>
  </si>
  <si>
    <t>Provision — Audit Fees</t>
  </si>
  <si>
    <t>Provision — Membership &amp; Subscription</t>
  </si>
  <si>
    <t>The credit balance of Rs. 24,106/- lying in the Suspense Account at the beginning of the year has been credited to Miscellaneous Income during the year. Unclaimed credits should be written back only with the sanction of the General Body; the resolution authorising the write-back was not produced before me.</t>
  </si>
  <si>
    <t>Provisions carried forward</t>
  </si>
  <si>
    <t>The provision for Audit Fees of Rs. 14,600/- and for Membership &amp; Subscription of Rs. 3,304/- each represent two years’ charge, indicating that the provisions made in the previous year have neither been paid nor reversed. The Society is advised to settle these liabilities.</t>
  </si>
  <si>
    <t>Advances from / to Office Bearers</t>
  </si>
  <si>
    <t>The advance from an office bearer of Rs. 2,237.10 continues unchanged. The amount of Rs. 30,288/- payable to Shri Prakash Kamath at the beginning of the year has been settled during the year. These balances are subject to confirmation by the respective parties.</t>
  </si>
  <si>
    <t>SECTION II: ASSETS</t>
  </si>
  <si>
    <t>Cash on hand Rs. 11,335/-</t>
  </si>
  <si>
    <t>i</t>
  </si>
  <si>
    <t>Cash on hand has increased from Rs. 1,335/- to Rs. 11,335/- during the year. The closing balance exceeds the limit on cash on hand prescribed by the Bye-laws, and the Society is advised to bank the excess.</t>
  </si>
  <si>
    <t>ii</t>
  </si>
  <si>
    <t>Cash in hand is stated to be verified by the Hon. Secretary at regular intervals and on the last day of the financial year. During the year, on some occasions cash payments exceeded the limit of Rs. 1,500/- prescribed by Rule 107-D read with the relevant Bye-law.</t>
  </si>
  <si>
    <t>Bank Balances Rs. 6,19,607.44/-</t>
  </si>
  <si>
    <t>The Society maintains accounts with the following banks:</t>
  </si>
  <si>
    <t>Bank</t>
  </si>
  <si>
    <t>Citizen Credit Co-op. Bank Ltd.</t>
  </si>
  <si>
    <t>Mumbai District Central Co-op. Bank Ltd.</t>
  </si>
  <si>
    <t>The Catholic Syrian Bank Ltd.</t>
  </si>
  <si>
    <t>Union Bank of India</t>
  </si>
  <si>
    <t>The balance with The Catholic Syrian Bank Ltd. has been carried in the Balance Sheet at Rs. 5,88,837.80, being the balance as per the bank pass book. The Bank Reconciliation Statement as at 31.03.2026 produced before me shows the balance as per the books of the Society at Rs. 4,09,500.80, after deducting cheques of Rs. 1,79,337/- deposited but not cleared. The Balance Sheet should carry the balance as per the books of account, with the reconciliation explaining the difference from the pass book. The Society is advised to correct the presentation.</t>
  </si>
  <si>
    <t>iii</t>
  </si>
  <si>
    <t>Two of the reconciling items in the said Bank Reconciliation Statement, aggregating Rs. 7,705/- (NEFT MR 43 dated 19.04.2025 and NEFT MR 438 dated 24.05.2025), have remained outstanding for over ten months. The Society is advised to clear or write back these long-outstanding items.</t>
  </si>
  <si>
    <t>iv</t>
  </si>
  <si>
    <t>Bank pass books in respect of the Mumbai District Central Co-op. Bank Ltd. (Rs. 20,234/-), Citizen Credit Co-op. Bank Ltd. (Rs. 1,646/-) and Union Bank of India (Rs. 8,889.64) were not produced for my verification, and the balances in these three accounts have remained static for two years. Balance confirmation certificates should be obtained.</t>
  </si>
  <si>
    <t>INVESTMENTS</t>
  </si>
  <si>
    <t>The investment portfolio consists mainly of fixed deposits. The details as at 31.03.2026 are as under:</t>
  </si>
  <si>
    <t>Fixed Deposits with The Catholic Syrian Bank Ltd.</t>
  </si>
  <si>
    <t>Shares of M.D. Housing Federation</t>
  </si>
  <si>
    <t>Accrued Interest on Fixed Deposits</t>
  </si>
  <si>
    <t>Recurring Deposit Account</t>
  </si>
  <si>
    <t>The fixed deposits are carried at their original cost of Rs. 8,98,126/- (Sinking Fund Rs. 5,13,214/- and Building Repair Fund Rs. 3,84,912/-), both with The Catholic Syrian Bank Ltd. at 7% p.a., maturing on 03.11.2026 and 03.12.2026 respectively.</t>
  </si>
  <si>
    <t>The schedule of fixed deposits furnished by the Society is headed "as on 31.03.2026" but the accrued interest column within it is labelled "Acc. Int. for 2024-25". The label requires correction. Further, accrued interest of Rs. 56,541/- carried in the Balance Sheet does not agree with the accrued interest of Rs. 40,220/- shown by that schedule; the difference of Rs. 16,321/- requires reconciliation by the Society.</t>
  </si>
  <si>
    <t>Tax deducted at source of Rs. 5,697/- on the fixed deposit interest for the year, as appearing in the said schedule, has not been recorded in the books of account. The TDS asset in the Balance Sheet remains at Rs. 17,402/- covering assessment years 2022-23 to 2025-26 only.</t>
  </si>
  <si>
    <t>Dues from Members Rs. 36,71,055/-</t>
  </si>
  <si>
    <t>Dues from members have decreased from Rs. 46,82,418/- to Rs. 36,71,055/-. The decrease of Rs. 10,11,363/- includes Rs. 6,61,348/- written off on account of interest charged in earlier years. The net recovery from members during the year is therefore only Rs. 3,50,015/-, against a levy of approximately Rs. 29,58,415/- for the year.</t>
  </si>
  <si>
    <t>Interest recoverable from members of Rs. 6,61,348/- has been written off by debit directly to the accumulated balance of the Income and Expenditure Account. Such a write-off ought to have been routed through the Income and Expenditure Account for the year, and requires the sanction of the General Body, which was not produced before me. Had the write-off been so routed, the deficit for the year would have been Rs. 12,26,937/-.</t>
  </si>
  <si>
    <t>No interest on delayed payment of members’ dues has been charged during the year, as against Rs. 3,40,955/- charged in the previous year. Bye-law 72 permits the Society to charge simple interest on defaulted amounts. Discontinuance of the levy requires a General Body resolution.</t>
  </si>
  <si>
    <t>The balances are subject to confirmation by the respective members. The Society has to take necessary action as per its Bye-laws and Section 101 of the MCS Act, 1960 to ensure prompt recovery from defaulting members. The sum of Rs. 14,753/- receivable towards water charges (Bungalow) has remained static and unrecovered.</t>
  </si>
  <si>
    <t>FIXED ASSETS</t>
  </si>
  <si>
    <t>Fixed assets are stated at cost less depreciation, depreciated on the written down value basis at the rates determined by the management. The details as per Schedule 1 to the accounts are as under:</t>
  </si>
  <si>
    <t>Assets</t>
  </si>
  <si>
    <t>Rate</t>
  </si>
  <si>
    <t>WDV 01.04.2025</t>
  </si>
  <si>
    <t>Additions</t>
  </si>
  <si>
    <t>Dep. for the year</t>
  </si>
  <si>
    <t>WDV 31.03.2026</t>
  </si>
  <si>
    <t>Furniture &amp; Fixture</t>
  </si>
  <si>
    <t>Fire Extinguisher</t>
  </si>
  <si>
    <t>Water Pump Controller</t>
  </si>
  <si>
    <t>Water Pump</t>
  </si>
  <si>
    <t>Total :-</t>
  </si>
  <si>
    <t>Schedule 1 is headed "Details of Fixed Assets as on 31.03.2026" while the Balance Sheet and the Income and Expenditure Account are headed "as at 31st March 2025" and "for the year ended 31st March 2025" respectively. The headings of the Balance Sheet and of the Income and Expenditure Account are incorrect and require correction to 31st March 2026 before the accounts are placed before the General Body.</t>
  </si>
  <si>
    <t>Full-year depreciation has been charged on additions made during the year, including CCTV cameras of Rs. 1,92,617/-, although the stated accounting policy is to provide depreciation for the number of days the asset was put to use. The Society is advised either to apply the policy consistently or to amend the stated policy.</t>
  </si>
  <si>
    <t>d</t>
  </si>
  <si>
    <t>The rate of depreciation on Fire Extinguishers has been changed from 15% to 10%, and on CCTV Cameras from 20% to 15%, as compared with the rates stated in the previous year’s audit report. The Society may record the basis of the rates adopted.</t>
  </si>
  <si>
    <t>e</t>
  </si>
  <si>
    <t>Land &amp; Building is carried at cost of Rs. 2,23,86,000/- with a corresponding credit under "Members’ Contribution towards Land &amp; Building". No depreciation is charged thereon. Conveyance of the property has not been executed in favour of the Society. A Property Register in the prescribed form is not maintained.</t>
  </si>
  <si>
    <t>DEPOSITS, ADVANCES AND OTHER ASSETS Rs. 85,061/-</t>
  </si>
  <si>
    <t>Security Deposit — Adani Electricity</t>
  </si>
  <si>
    <t>Security Deposit — M.C.G.M.</t>
  </si>
  <si>
    <t>Prepaid Expenses — Insurance Charges</t>
  </si>
  <si>
    <t>Prepaid Expenses — Pest Control Charges</t>
  </si>
  <si>
    <t>TDS on Interest on Fixed Deposits (A.Y. 2022-23 to 2025-26)</t>
  </si>
  <si>
    <t>The deposit with Adani Electricity Ltd. of Rs. 18,955/- and the deposit with the M.C.G.M. of Rs. 44,129/- have remained unconfirmed as at the Balance Sheet date. The Society is advised to reconcile these with the records of the respective authorities and obtain confirmations.</t>
  </si>
  <si>
    <t>The Bank Suspense balance of Rs. 4,000/- carried in the previous year has been written off during the previous year against the accumulated balance of the Income and Expenditure Account.</t>
  </si>
  <si>
    <t>ANALYSIS OF THE INCOME AND EXPENDITURE ACCOUNT</t>
  </si>
  <si>
    <t>2025-26 (Rs.)</t>
  </si>
  <si>
    <t>2024-25 (Rs.)</t>
  </si>
  <si>
    <t>%</t>
  </si>
  <si>
    <t>INCOME :-</t>
  </si>
  <si>
    <t>Service Charges</t>
  </si>
  <si>
    <t>Parking Charges — 2 Wheeler</t>
  </si>
  <si>
    <t>Parking Charges — 4 Wheeler</t>
  </si>
  <si>
    <t>Parking Charges (combined, previous year)</t>
  </si>
  <si>
    <t>Miscellaneous Charges</t>
  </si>
  <si>
    <t>Insurance Charges recovered</t>
  </si>
  <si>
    <t>Non-Occupancy Charges</t>
  </si>
  <si>
    <t>Interest on Members’ Dues</t>
  </si>
  <si>
    <t>Terrace Shed Charges</t>
  </si>
  <si>
    <t>Bank Interest</t>
  </si>
  <si>
    <t>Interest on Recurring Deposit</t>
  </si>
  <si>
    <t>Interest on Fixed Deposit</t>
  </si>
  <si>
    <t>Miscellaneous Income</t>
  </si>
  <si>
    <t>Building Insurance Claim</t>
  </si>
  <si>
    <t>Amount transferred from Building Repair Fund</t>
  </si>
  <si>
    <t>TOTAL INCOME :-</t>
  </si>
  <si>
    <t>EXPENDITURE :-</t>
  </si>
  <si>
    <t>Water Charges (B.M.C.)</t>
  </si>
  <si>
    <t>Electricity Charges</t>
  </si>
  <si>
    <t>Building Insurance Charges</t>
  </si>
  <si>
    <t>Accounting Charges</t>
  </si>
  <si>
    <t>Bank Charges</t>
  </si>
  <si>
    <t>Depreciation</t>
  </si>
  <si>
    <t>Pest Control Expenses</t>
  </si>
  <si>
    <t>Printing &amp; Stationery</t>
  </si>
  <si>
    <t>Festival / Meeting Expenses</t>
  </si>
  <si>
    <t>Membership &amp; Subscription</t>
  </si>
  <si>
    <t>Sweeper Salary</t>
  </si>
  <si>
    <t>Gardener Salary</t>
  </si>
  <si>
    <t>Security Charges</t>
  </si>
  <si>
    <t>Major Repair Expenses (Civil Work)</t>
  </si>
  <si>
    <t>Terrace Shed Roofing Expenses</t>
  </si>
  <si>
    <t>Fire Extinguisher Expenses</t>
  </si>
  <si>
    <t>Garden Expenses</t>
  </si>
  <si>
    <t>Miscellaneous Expenses</t>
  </si>
  <si>
    <t>Conveyance Charges</t>
  </si>
  <si>
    <t>CCTV Maintenance Charges</t>
  </si>
  <si>
    <t>Legal &amp; Professional Charges</t>
  </si>
  <si>
    <t>Water Pump Expenses</t>
  </si>
  <si>
    <t>Lift Maintenance</t>
  </si>
  <si>
    <t>Electric Maintenance</t>
  </si>
  <si>
    <t>Cleaning &amp; Plumbing Charges</t>
  </si>
  <si>
    <t>Repair &amp; Maintenance</t>
  </si>
  <si>
    <t>Major Repair</t>
  </si>
  <si>
    <t>Rebate on Drainage Pipe Repair Charges</t>
  </si>
  <si>
    <t>TOTAL EXPENDITURE :-</t>
  </si>
  <si>
    <t>SURPLUS / (DEFICIT) FOR THE YEAR :-</t>
  </si>
  <si>
    <t>Source: Income and Expenditure Account of the Society for the year ended 31.03.2026 provided by the Society. Figures in blue are as extracted from those accounts; totals, differences and percentages are computed. Parking charges were shown as a single head in the previous year and have been bifurcated between two-wheeler and four-wheeler this year; both are shown above for comparison.</t>
  </si>
  <si>
    <t>INCOME</t>
  </si>
  <si>
    <t>The Society is advised to levy maintenance and other charges under the various applicable heads strictly in accordance with the Bye-laws, the Act, the Rules and the notifications issued by Government from time to time. Total income for the year, at Rs. 29,92,989.40, does not cover the expenditure of Rs. 35,58,578.40; the levy requires revision.</t>
  </si>
  <si>
    <t>TERRACE SHED</t>
  </si>
  <si>
    <t>Terrace shed roofing expenditure of Rs. 14,92,029/- has been incurred during the year, in addition to Rs. 7,05,212/- in the previous year, aggregating Rs. 21,97,241/-, against which Rs. 10,00,320/- has been recovered from members during the year. No amount has been transferred from the Building Repair Fund, which stands at Rs. 3,63,186/-. Expenditure of this nature is a major repair and should either be capitalised or met out of the Building Repair Fund with the sanction of the General Body. The Society is advised to place the complete account of the terrace shed work, including the basis of recovery from members, before the General Body.</t>
  </si>
  <si>
    <t>EXPENDITURE</t>
  </si>
  <si>
    <t>Water charges have risen from Rs. 86,358/- to Rs. 4,60,160/-, and electricity charges from Rs. 2,92,570/- to Rs. 3,99,521/-. The Society is advised to verify the M.C.G.M. water bills and the Adani Electricity bills, to examine whether any arrears of earlier years are included in the charge for the year, and to review the adequacy of the corresponding recovery from members.</t>
  </si>
  <si>
    <t>Tax has not been deducted at source on payments to contractors for security charges of Rs. 4,73,726/-, terrace shed roofing of Rs. 14,92,029/-, cleaning and plumbing charges of Rs. 1,45,011/- and other contract payments, where the thresholds under Section 194C of the Income Tax Act, 1961 are exceeded.</t>
  </si>
  <si>
    <t>CONCLUSION AND AWARD OF AUDIT CLASSIFICATION</t>
  </si>
  <si>
    <t>From the examination of the books of account and other records maintained and produced by the Society, I would like to record my appreciation of the co-operation received from time to time from the office bearers of the Society.</t>
  </si>
  <si>
    <t>GENERAL REMARKS  (PART-C)</t>
  </si>
  <si>
    <t>AUDIT OBJECTIONS &amp; GENERAL REMARKS</t>
  </si>
  <si>
    <t>Interest recoverable from members of Rs. 6,61,348/- has been written off by debit directly to the accumulated balance of the Income and Expenditure Account instead of being routed through the Income and Expenditure Account, and without the sanction of the General Body being produced.</t>
  </si>
  <si>
    <t>The Balance Sheet carries the balance with The Catholic Syrian Bank at the pass book figure of Rs. 5,88,837.80 instead of the book balance of Rs. 4,09,500.80 as shown by the Bank Reconciliation Statement of even date.</t>
  </si>
  <si>
    <t>Terrace shed roofing expenditure of Rs. 14,92,029/- has been charged wholly to revenue without any transfer from the Building Repair Fund, contributing materially to the deficit for the year.</t>
  </si>
  <si>
    <t>The Balance Sheet and the Income and Expenditure Account are headed "31st March 2025" although they relate to the year ended 31st March 2026. The headings require correction.</t>
  </si>
  <si>
    <t>In Schedule 1 to the accounts, the sub-totals of the "Additions during the year" and "Total" columns omit the addition of the Fan of Rs. 8,250/- and require correction.</t>
  </si>
  <si>
    <t>Sinking Fund, Building Repair Fund, Reserve Fund, Common Amenity Fund and Share Capital are not fully invested as required by Section 70 of the MCS Act, 1960 read with Rules 54 and 55. The shortfall is Rs. 10,54,527/-.</t>
  </si>
  <si>
    <t>It is observed that some members of the Society have still not submitted their nominations. It is in the interest of the members to file nominations at the earliest, as required by the Bye-laws of the Society.</t>
  </si>
  <si>
    <t>Managing Committee meetings should be held at least once in a month and the minutes properly documented.</t>
  </si>
  <si>
    <t>No interest on delayed payment has been charged on members’ dues during the year, and dues of Rs. 36,71,055/- remain outstanding. The Society should take appropriate action to recover members’ dues on time.</t>
  </si>
  <si>
    <t>On some occasions single payments above Rs. 1,500/- (Bye-law No. 146) have been effected by means other than a crossed account payee cheque.</t>
  </si>
  <si>
    <t>The Society has not adopted the new Model Bye-Laws giving effect to the changes in the MCS Act, 1960 made by the Amendment Acts of 2013, 2014 and 2019 and the amended Rules, 2014.</t>
  </si>
  <si>
    <t>The Society has to provide education and training to 20% of its members every year as per the circular dated 15th May, 2015, and to pay the contribution to the Education and Training Fund under Section 24A.</t>
  </si>
  <si>
    <t>No provision for taxation has been made. Actual payment of income tax, if any, will be debited in the year of payment to the Income and Expenditure Account. The Society has not paid any advance income tax for the year and has not filed its return of income.</t>
  </si>
  <si>
    <t>RECORDS</t>
  </si>
  <si>
    <t>The Society has maintained the following statutory registers, which are required as per Bye-law No. 142 and which should be updated:</t>
  </si>
  <si>
    <t>Form I, Form J and Share Register.</t>
  </si>
  <si>
    <t>Nomination Register.</t>
  </si>
  <si>
    <t>Property Register.</t>
  </si>
  <si>
    <t>Audit Rectification Register in Form "O".</t>
  </si>
  <si>
    <t>Investment Register.</t>
  </si>
  <si>
    <t>SUGGESTIONS</t>
  </si>
  <si>
    <t>The Society should levy maintenance and other applicable charges strictly in accordance with the Bye-Laws, the relevant Acts, the Rules and Government notifications issued from time to time, and at a level which covers the expenditure of the Society.</t>
  </si>
  <si>
    <t>The Balance Sheet should carry the bank balance as per the books of account, supported by a Bank Reconciliation Statement reconciling it with the pass book balance. Long-outstanding reconciling items should be cleared.</t>
  </si>
  <si>
    <t>Any write-off of dues recoverable from members should be placed before and sanctioned by the General Body, and should be routed through the Income and Expenditure Account of the year in which it is written off.</t>
  </si>
  <si>
    <t>Major repairs should be met out of the Building Repair Fund, with the sanction of the General Body, or capitalised, and the fund should be replenished by a corresponding levy.</t>
  </si>
  <si>
    <t>Statutory registers should be updated regularly.</t>
  </si>
  <si>
    <t>All single payments above Rs. 1,500/- should be made only by crossed account payee cheque or by electronic transfer.</t>
  </si>
  <si>
    <t>Closing cash on hand should be maintained within the limits prescribed by the Rules and the Bye-Laws.</t>
  </si>
  <si>
    <t>Sinking Fund, Building Repair Fund, Reserve Fund and Common Amenity Fund should be invested separately, to the extent of the respective fund balances, in the modes permitted by Section 70 of the MCS Act, 1960.</t>
  </si>
  <si>
    <t>The Education and Training Fund should be utilised to provide education and training to at least 20% of the members every year, in accordance with Section 24A and Section 155-B(6) of the Maharashtra Co-operative Societies Act, 1960.</t>
  </si>
  <si>
    <t>All mandatory returns prescribed under Section 79 of the MCS Act should be uploaded on or before 30th September every year.</t>
  </si>
  <si>
    <t>Tax should be deducted at source in accordance with the relevant provisions of the Income Tax Act, 1961 — for example on payments to contractors for repairs, maintenance, security and housekeeping — the quarterly TDS statements should be filed, and TDS certificates issued to the deductees. The return of income should be filed so that the accumulated TDS of Rs. 17,402/- and the TDS for the year are claimed.</t>
  </si>
  <si>
    <t>A more robust financial management system should be implemented, including budget monitoring, variance analysis and related MIS reporting.</t>
  </si>
  <si>
    <t>The minutes of Managing Committee meetings as well as of General Body meetings should be clear, complete and unambiguous, and all resolutions should be serially numbered.</t>
  </si>
  <si>
    <t>Note that the Maharashtra Co-operative Societies Act, 1960 was amended on 13th August 2013. As per the amended provisions of Section 73CB(1), the State Co-operative Election Authority has been constituted, and elections of all co-operative societies must be conducted in accordance with the Maharashtra Co-operative Societies (Elections to Committee) Rules, 2014.</t>
  </si>
  <si>
    <t>The Audit Rectification Report should be prepared within three months as required under Section 82 of the MCS Act, 1960 in Form "O" prescribed under Rule 73. It should be placed before the Managing Committee for approval, then submitted to the registering authority along with a copy of the Managing Committee resolution, and also forwarded to the auditor for comments.</t>
  </si>
  <si>
    <t>Schedules attached to and forming part of the Annual Accounts for the year ended 31st March, 2026</t>
  </si>
  <si>
    <t>A</t>
  </si>
  <si>
    <t>Accounting Conventions:</t>
  </si>
  <si>
    <t>The financial statements have been prepared under the historical cost convention, in accordance with generally accepted accounting policies and the provisions of the Maharashtra Co-operative Societies Act, 1960 and the Rules framed there under and the registered Bye-laws of the Society, and the same, unless specifically referred to otherwise, are adopted consistently by the Society.</t>
  </si>
  <si>
    <t>Recognition of Income and Expenditure:</t>
  </si>
  <si>
    <t>The Society generally follows the accrual system of accounting and recognises significant items of income and expenditure on accrual basis, except contributions by members towards Property Tax and Non-Agricultural Tax and their payment, and the annual contribution towards the education and training fund of the State federal society. During the year under audit, interest on delayed payment of members’ dues has not been charged.</t>
  </si>
  <si>
    <t>Fixed Assets:</t>
  </si>
  <si>
    <t>Fixed assets are stated at cost less depreciation. Cost comprises the cost of acquisition and any attributable cost of bringing the asset to the condition for its intended use.</t>
  </si>
  <si>
    <t>Depreciation is provided on the written down value (WDV) method at the rates prescribed under the Income Tax Act, 1961. During the year under audit, full-year depreciation has been charged on additions to fixed assets irrespective of the date of their being put to use.</t>
  </si>
  <si>
    <t>Investments:</t>
  </si>
  <si>
    <t>Investments are stated at cost. Interest accrued on fixed deposits is accounted separately under Current Assets.</t>
  </si>
  <si>
    <t>Contingent Liabilities:</t>
  </si>
  <si>
    <t>Contingent liabilities are not provided for and, if any, the same are disclosed by way of note.</t>
  </si>
  <si>
    <t>Notes on Accounts:</t>
  </si>
  <si>
    <t>Previous year figures:</t>
  </si>
  <si>
    <t>Previous year figures have been re-worked, re-grouped, re-arranged and re-classified wherever necessary to facilitate comparison with the current year figures.</t>
  </si>
  <si>
    <t>Confirmations:</t>
  </si>
  <si>
    <t>The dues from members, the credit balances and the security deposits with MCGM and Adani Electricity are subject to confirmation.</t>
  </si>
  <si>
    <t>Bank balance:</t>
  </si>
  <si>
    <t>The balance with The Catholic Syrian Bank has been carried at the balance as per the bank pass book. The balance as per the books of account, as per the Bank Reconciliation Statement as at 31.03.2026, is Rs. 4,09,500.80.</t>
  </si>
  <si>
    <t>Interest written off:</t>
  </si>
  <si>
    <t>Interest recoverable from members of Rs. 6,61,348/- has been written off during the year by debit to the accumulated balance of the Income and Expenditure Account.</t>
  </si>
  <si>
    <t>Other assets:</t>
  </si>
  <si>
    <t>In the opinion of the Managing Committee, the value of other assets is as stated in the financial statements, if realised in the ordinary course of the operations of the Society.</t>
  </si>
  <si>
    <t>Chairman         Secretary         Treasurer</t>
  </si>
  <si>
    <t>INDEX</t>
  </si>
  <si>
    <t>Page No.</t>
  </si>
  <si>
    <t>Letter to Society</t>
  </si>
  <si>
    <t>2</t>
  </si>
  <si>
    <t>Auditor's Report</t>
  </si>
  <si>
    <t>3 - 4</t>
  </si>
  <si>
    <t>Schedules attached to and forming part of the Audit Report</t>
  </si>
  <si>
    <t>5</t>
  </si>
  <si>
    <t>Form No. 1</t>
  </si>
  <si>
    <t>6 - 9</t>
  </si>
  <si>
    <t>Form No. 28</t>
  </si>
  <si>
    <t>10 - 12</t>
  </si>
  <si>
    <t>Accounting Policies</t>
  </si>
  <si>
    <t>13</t>
  </si>
  <si>
    <t>General Remarks - part A, B, C</t>
  </si>
  <si>
    <t>14 - 20</t>
  </si>
  <si>
    <t>Statement of Accounts with Schedule</t>
  </si>
  <si>
    <t>21 - 23</t>
  </si>
  <si>
    <t>Meeting-1</t>
  </si>
  <si>
    <t>Meeting-2</t>
  </si>
  <si>
    <t>Meeting-3</t>
  </si>
  <si>
    <t>Meeting-4</t>
  </si>
  <si>
    <t>Meeting-5</t>
  </si>
  <si>
    <t>Meeting-6</t>
  </si>
  <si>
    <t>Meeting-7</t>
  </si>
  <si>
    <t>Meeting-8</t>
  </si>
  <si>
    <t>Meeting-9</t>
  </si>
  <si>
    <t>Meeting-10</t>
  </si>
  <si>
    <t>Meeting-11</t>
  </si>
  <si>
    <t>Meeting-12</t>
  </si>
  <si>
    <t>Name of the Member</t>
  </si>
  <si>
    <t>Member</t>
  </si>
  <si>
    <t>Attendance</t>
  </si>
  <si>
    <t>MC meeting dates (text, feeds TIT D19 count and General Remarks)</t>
  </si>
  <si>
    <t>AGM held during the year</t>
  </si>
  <si>
    <t>SGM held during the year</t>
  </si>
  <si>
    <t>Register observations</t>
  </si>
  <si>
    <t>Form I, Form J and Nomination Register to be updated</t>
  </si>
  <si>
    <t>Share Register to be updated</t>
  </si>
  <si>
    <t>Property Register not maintained</t>
  </si>
  <si>
    <t>Blank pages left between minutes of two meetings</t>
  </si>
  <si>
    <t>In Schedule 1 to the accounts, the column totals for Additions during the year and for Total are stated as Rs. 2,49,787/- and Rs. 4,60,349/- respectively. The correct totals are Rs. 2,58,037/- and Rs. 4,68,599/- respectively — the addition of the Fan of Rs. 8,250/- has been omitted from the casting of both columns. The depreciation for the year of Rs. 64,410/- and the closing written down value of Rs. 4,04,189/- carried to the Balance Sheet are correct, and the error is confined to the two sub-totals within the schedule. The Society is advised to correct the schedule.</t>
  </si>
  <si>
    <r>
      <t xml:space="preserve">The audit report for </t>
    </r>
    <r>
      <rPr>
        <b/>
        <sz val="11"/>
        <color theme="1"/>
        <rFont val="Calibri"/>
        <family val="2"/>
        <charset val="1"/>
      </rPr>
      <t>FY 2025‑26</t>
    </r>
    <r>
      <rPr>
        <sz val="11"/>
        <color theme="1"/>
        <rFont val="Calibri"/>
        <family val="2"/>
        <charset val="1"/>
      </rPr>
      <t xml:space="preserve"> is ready, built on your standard 11‑sheet template (TIT → FirstPage → Sheet1 → AR → SCHAR → F‑1 → F‑28 → GR → SCH → INDEX → mEETINGS), with all financial figures pulled from the Society's accounts and every formula verified error‑free.</t>
    </r>
  </si>
  <si>
    <r>
      <t>Headline finding:</t>
    </r>
    <r>
      <rPr>
        <sz val="11"/>
        <color theme="1"/>
        <rFont val="Calibri"/>
        <family val="2"/>
        <charset val="1"/>
      </rPr>
      <t xml:space="preserve"> the Society has swung from a surplus of ₹8,37,371 (FY24‑25) to a </t>
    </r>
    <r>
      <rPr>
        <b/>
        <sz val="11"/>
        <color theme="1"/>
        <rFont val="Calibri"/>
        <family val="2"/>
        <charset val="1"/>
      </rPr>
      <t>deficit of ₹5,65,589</t>
    </r>
    <r>
      <rPr>
        <sz val="11"/>
        <color theme="1"/>
        <rFont val="Calibri"/>
        <family val="2"/>
        <charset val="1"/>
      </rPr>
      <t xml:space="preserve"> this year — driven mainly by the terrace shed roofing cost (₹14,92,029 expensed against only ₹10,00,320 recovered from members, with nothing drawn from the Building Repair Fund) and interest on members' dues (₹3,40,955 last year, nil this year).</t>
    </r>
  </si>
  <si>
    <t>Two things worth flagging before you sign off:</t>
  </si>
  <si>
    <r>
      <t>Fixed Asset schedule casting error</t>
    </r>
    <r>
      <rPr>
        <sz val="11"/>
        <color theme="1"/>
        <rFont val="Calibri"/>
        <family val="2"/>
        <charset val="1"/>
      </rPr>
      <t xml:space="preserve"> — the Society's own schedule sub‑totals (Additions ₹2,49,787, Total ₹4,60,349) omit the Fan addition of ₹8,250; correct figures are ₹2,58,037 and ₹4,68,599. Depreciation and closing WDV carried to the Balance Sheet are unaffected — I've noted this in GR.</t>
    </r>
  </si>
  <si>
    <r>
      <t>Source accounts header mismatch</t>
    </r>
    <r>
      <rPr>
        <sz val="11"/>
        <color theme="1"/>
        <rFont val="Calibri"/>
        <family val="2"/>
        <charset val="1"/>
      </rPr>
      <t xml:space="preserve"> — the Income &amp; Expenditure and Balance Sheet page headers in the accounts PDF still read "31st March 2025," while the FD and Fixed Asset schedules correctly say 2026. I've treated the data as FY25‑26 throughout (per your note), but the Society should correct the stale header on its own statements.</t>
    </r>
  </si>
  <si>
    <r>
      <t>Needs your input</t>
    </r>
    <r>
      <rPr>
        <sz val="11"/>
        <color theme="1"/>
        <rFont val="Calibri"/>
        <family val="2"/>
        <charset val="1"/>
      </rPr>
      <t xml:space="preserve"> — the </t>
    </r>
    <r>
      <rPr>
        <b/>
        <sz val="11"/>
        <color theme="1"/>
        <rFont val="Calibri"/>
        <family val="2"/>
        <charset val="1"/>
      </rPr>
      <t>TIT sheet</t>
    </r>
    <r>
      <rPr>
        <sz val="11"/>
        <color theme="1"/>
        <rFont val="Calibri"/>
        <family val="2"/>
        <charset val="1"/>
      </rPr>
      <t xml:space="preserve"> is the control sheet everything else pulls from; its yellow cells (audit commencement/completion/submission dates, AGM date, MC meeting dates/count, AGBM‑of‑appointment date, and the audit classification) are left blank or defaulted since I don't have that data — fill those in and the rest of the report (GR, F‑1, meeting tables) updates automatically.</t>
    </r>
  </si>
  <si>
    <t>Also caught and folded into GR: interest recoverable of ₹6,61,348 written off directly against accumulated I&amp;E balance rather than routed through the year's account, and TDS of ₹5,697 on FD interest not yet recorded in the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</si>
</sst>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0;\(#,##0.00\);\-"/>
    <numFmt numFmtId="167" formatCode="0.0\%;\(0.0&quot;)%&quot;;\-"/>
  </numFmts>
  <fonts count="20" x14ac:knownFonts="1">
    <font>
      <sz val="11"/>
      <color theme="1"/>
      <name val="Calibri"/>
      <family val="2"/>
      <charset val="1"/>
    </font>
    <font>
      <b/>
      <sz val="11"/>
      <name val="Arial"/>
      <charset val="1"/>
    </font>
    <font>
      <b/>
      <sz val="10"/>
      <name val="Arial"/>
      <charset val="1"/>
    </font>
    <font>
      <sz val="10"/>
      <name val="Arial"/>
      <charset val="1"/>
    </font>
    <font>
      <sz val="10"/>
      <color rgb="FF0000FF"/>
      <name val="Arial"/>
      <charset val="1"/>
    </font>
    <font>
      <i/>
      <sz val="9"/>
      <name val="Arial"/>
      <charset val="1"/>
    </font>
    <font>
      <b/>
      <u/>
      <sz val="10"/>
      <name val="Arial"/>
      <charset val="1"/>
    </font>
    <font>
      <sz val="9"/>
      <name val="Arial"/>
      <charset val="1"/>
    </font>
    <font>
      <b/>
      <sz val="20"/>
      <name val="Arial"/>
      <charset val="1"/>
    </font>
    <font>
      <b/>
      <sz val="14"/>
      <name val="Arial"/>
      <charset val="1"/>
    </font>
    <font>
      <sz val="11"/>
      <name val="Arial"/>
      <charset val="1"/>
    </font>
    <font>
      <b/>
      <sz val="12"/>
      <name val="Arial"/>
      <charset val="1"/>
    </font>
    <font>
      <b/>
      <sz val="13"/>
      <name val="Arial"/>
      <charset val="1"/>
    </font>
    <font>
      <b/>
      <u/>
      <sz val="11"/>
      <name val="Arial"/>
      <charset val="1"/>
    </font>
    <font>
      <b/>
      <sz val="9"/>
      <name val="Arial"/>
      <charset val="1"/>
    </font>
    <font>
      <i/>
      <sz val="10"/>
      <name val="Arial"/>
      <charset val="1"/>
    </font>
    <font>
      <i/>
      <sz val="8"/>
      <name val="Arial"/>
      <charset val="1"/>
    </font>
    <font>
      <sz val="9"/>
      <color rgb="FF0000FF"/>
      <name val="Arial"/>
      <charset val="1"/>
    </font>
    <font>
      <b/>
      <u/>
      <sz val="12"/>
      <name val="Arial"/>
      <charset val="1"/>
    </font>
    <font>
      <b/>
      <sz val="11"/>
      <color theme="1"/>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2">
    <xf numFmtId="0" fontId="0" fillId="0" borderId="0" xfId="0"/>
    <xf numFmtId="164" fontId="3" fillId="0" borderId="0" xfId="0" applyNumberFormat="1" applyFont="1"/>
    <xf numFmtId="0" fontId="3" fillId="0" borderId="0" xfId="0" applyFont="1" applyAlignment="1">
      <alignment vertical="top" wrapText="1"/>
    </xf>
    <xf numFmtId="0" fontId="3" fillId="0" borderId="0" xfId="0" applyFont="1" applyAlignment="1">
      <alignment horizontal="center" vertical="center" wrapText="1"/>
    </xf>
    <xf numFmtId="0" fontId="11" fillId="0" borderId="0" xfId="0" applyFont="1" applyAlignment="1">
      <alignment horizontal="center" vertical="center"/>
    </xf>
    <xf numFmtId="0" fontId="3" fillId="0" borderId="0" xfId="0" applyFont="1" applyAlignment="1">
      <alignment horizontal="center" vertical="center"/>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center" vertical="center" wrapText="1"/>
    </xf>
    <xf numFmtId="0" fontId="8" fillId="0" borderId="0" xfId="0" applyFont="1" applyAlignment="1">
      <alignment horizontal="center" vertical="center"/>
    </xf>
    <xf numFmtId="0" fontId="4" fillId="2" borderId="0" xfId="0" applyFont="1" applyFill="1"/>
    <xf numFmtId="0" fontId="2" fillId="0" borderId="0" xfId="0" applyFont="1"/>
    <xf numFmtId="0" fontId="3" fillId="0" borderId="0" xfId="0" applyFont="1"/>
    <xf numFmtId="0" fontId="1" fillId="0" borderId="0" xfId="0" applyFont="1"/>
    <xf numFmtId="0" fontId="1" fillId="0" borderId="0" xfId="0" applyFont="1"/>
    <xf numFmtId="0" fontId="2" fillId="0" borderId="0" xfId="0" applyFont="1"/>
    <xf numFmtId="0" fontId="3" fillId="0" borderId="0" xfId="0" applyFont="1"/>
    <xf numFmtId="164" fontId="3" fillId="0" borderId="0" xfId="0" applyNumberFormat="1" applyFont="1"/>
    <xf numFmtId="164" fontId="4" fillId="2" borderId="0" xfId="0" applyNumberFormat="1" applyFont="1" applyFill="1"/>
    <xf numFmtId="0" fontId="4" fillId="2" borderId="0" xfId="0" applyFont="1" applyFill="1"/>
    <xf numFmtId="0" fontId="5" fillId="0" borderId="0" xfId="0" applyFont="1"/>
    <xf numFmtId="1" fontId="4" fillId="2" borderId="0" xfId="0" applyNumberFormat="1" applyFont="1" applyFill="1"/>
    <xf numFmtId="165" fontId="3" fillId="0" borderId="0" xfId="0" applyNumberFormat="1" applyFont="1"/>
    <xf numFmtId="0" fontId="4" fillId="2" borderId="0" xfId="0" applyFont="1" applyFill="1" applyAlignment="1">
      <alignment horizontal="center" vertical="center"/>
    </xf>
    <xf numFmtId="0" fontId="6" fillId="0" borderId="0" xfId="0" applyFont="1"/>
    <xf numFmtId="0" fontId="7" fillId="0" borderId="0" xfId="0" applyFont="1"/>
    <xf numFmtId="0" fontId="3" fillId="0" borderId="0" xfId="0" applyFont="1" applyAlignment="1">
      <alignment horizontal="center" vertical="center"/>
    </xf>
    <xf numFmtId="1" fontId="3" fillId="0" borderId="0" xfId="0" applyNumberFormat="1" applyFont="1" applyAlignment="1">
      <alignment horizontal="right"/>
    </xf>
    <xf numFmtId="1" fontId="2" fillId="0" borderId="0" xfId="0" applyNumberFormat="1" applyFont="1" applyAlignment="1">
      <alignment horizontal="right"/>
    </xf>
    <xf numFmtId="0" fontId="7" fillId="0" borderId="1" xfId="0" applyFont="1" applyBorder="1" applyAlignment="1">
      <alignment horizontal="center" vertical="center"/>
    </xf>
    <xf numFmtId="0" fontId="3" fillId="0" borderId="0" xfId="0" applyFont="1" applyAlignment="1">
      <alignment horizontal="center" vertical="top"/>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0" fillId="0" borderId="1" xfId="0" applyBorder="1"/>
    <xf numFmtId="0" fontId="2" fillId="0" borderId="0" xfId="0" applyFont="1" applyAlignment="1">
      <alignment horizontal="center" vertical="top"/>
    </xf>
    <xf numFmtId="0" fontId="14" fillId="3" borderId="1" xfId="0" applyFont="1" applyFill="1" applyBorder="1" applyAlignment="1">
      <alignment horizontal="center" vertical="center" wrapText="1"/>
    </xf>
    <xf numFmtId="9" fontId="7" fillId="0" borderId="1" xfId="0" applyNumberFormat="1" applyFont="1" applyBorder="1" applyAlignment="1">
      <alignment horizontal="center" vertical="center"/>
    </xf>
    <xf numFmtId="167" fontId="7" fillId="0" borderId="1" xfId="0" applyNumberFormat="1" applyFont="1" applyBorder="1" applyAlignment="1">
      <alignment horizontal="right" vertical="center"/>
    </xf>
    <xf numFmtId="0" fontId="14" fillId="0" borderId="1" xfId="0" applyFont="1" applyBorder="1" applyAlignment="1">
      <alignment horizontal="center" vertical="center"/>
    </xf>
    <xf numFmtId="167" fontId="14" fillId="0" borderId="1" xfId="0" applyNumberFormat="1" applyFont="1" applyBorder="1" applyAlignment="1">
      <alignment horizontal="right" vertical="center"/>
    </xf>
    <xf numFmtId="0" fontId="13" fillId="0" borderId="0" xfId="0" applyFont="1"/>
    <xf numFmtId="164" fontId="4" fillId="2" borderId="1" xfId="0" applyNumberFormat="1" applyFont="1" applyFill="1" applyBorder="1" applyAlignment="1">
      <alignment horizontal="center" vertical="center"/>
    </xf>
    <xf numFmtId="0" fontId="4" fillId="2" borderId="1" xfId="0" applyFont="1" applyFill="1" applyBorder="1"/>
    <xf numFmtId="0" fontId="4" fillId="2" borderId="1" xfId="0" applyFont="1" applyFill="1" applyBorder="1" applyAlignment="1">
      <alignment horizontal="center" vertical="center"/>
    </xf>
    <xf numFmtId="0" fontId="2" fillId="0" borderId="1" xfId="0" applyFont="1" applyBorder="1"/>
    <xf numFmtId="1" fontId="2" fillId="0" borderId="1" xfId="0" applyNumberFormat="1" applyFont="1" applyBorder="1" applyAlignment="1">
      <alignment horizontal="center" vertical="center"/>
    </xf>
    <xf numFmtId="0" fontId="12" fillId="0" borderId="0" xfId="0"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vertical="top" wrapText="1"/>
    </xf>
    <xf numFmtId="0" fontId="6" fillId="0" borderId="0" xfId="0" applyFont="1"/>
    <xf numFmtId="0" fontId="1" fillId="0" borderId="0" xfId="0" applyFont="1" applyAlignment="1">
      <alignment horizontal="center" vertical="center"/>
    </xf>
    <xf numFmtId="164" fontId="2" fillId="0" borderId="0" xfId="0" applyNumberFormat="1" applyFont="1"/>
    <xf numFmtId="0" fontId="6"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xf>
    <xf numFmtId="1" fontId="3" fillId="0" borderId="0" xfId="0" applyNumberFormat="1" applyFont="1"/>
    <xf numFmtId="0" fontId="5" fillId="0" borderId="0" xfId="0" applyFont="1"/>
    <xf numFmtId="0" fontId="14" fillId="0" borderId="1" xfId="0" applyFont="1" applyBorder="1" applyAlignment="1">
      <alignment horizontal="center" vertical="center" wrapText="1"/>
    </xf>
    <xf numFmtId="0" fontId="7" fillId="0" borderId="1" xfId="0" applyFont="1" applyBorder="1" applyAlignment="1">
      <alignment horizontal="center" vertical="center"/>
    </xf>
    <xf numFmtId="0" fontId="15"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wrapText="1"/>
    </xf>
    <xf numFmtId="0" fontId="6" fillId="0" borderId="0" xfId="0" applyFont="1" applyAlignment="1">
      <alignment vertical="top" wrapText="1"/>
    </xf>
    <xf numFmtId="0" fontId="3" fillId="0" borderId="1" xfId="0" applyFont="1" applyBorder="1" applyAlignment="1">
      <alignment horizontal="center" vertical="center" wrapText="1"/>
    </xf>
    <xf numFmtId="0" fontId="4" fillId="2" borderId="0" xfId="0" applyFont="1" applyFill="1" applyAlignment="1">
      <alignment vertical="top" wrapText="1"/>
    </xf>
    <xf numFmtId="0" fontId="3" fillId="0" borderId="1" xfId="0" applyFont="1" applyBorder="1"/>
    <xf numFmtId="1" fontId="3" fillId="0" borderId="1" xfId="0" applyNumberFormat="1" applyFont="1" applyBorder="1" applyAlignment="1">
      <alignment horizontal="center" vertical="center"/>
    </xf>
    <xf numFmtId="0" fontId="6"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wrapText="1"/>
    </xf>
    <xf numFmtId="166" fontId="4" fillId="0" borderId="1" xfId="0" applyNumberFormat="1" applyFont="1" applyBorder="1" applyAlignment="1">
      <alignment horizontal="right" vertical="center"/>
    </xf>
    <xf numFmtId="166" fontId="3" fillId="0" borderId="1" xfId="0" applyNumberFormat="1" applyFont="1" applyBorder="1" applyAlignment="1">
      <alignment horizontal="right" vertical="center"/>
    </xf>
    <xf numFmtId="0" fontId="2" fillId="0" borderId="1" xfId="0" applyFont="1" applyBorder="1" applyAlignment="1">
      <alignment vertical="center" wrapText="1"/>
    </xf>
    <xf numFmtId="166" fontId="2" fillId="0" borderId="1" xfId="0" applyNumberFormat="1" applyFont="1" applyBorder="1" applyAlignment="1">
      <alignment horizontal="right" vertical="center"/>
    </xf>
    <xf numFmtId="0" fontId="16" fillId="0" borderId="0" xfId="0" applyFont="1" applyAlignment="1">
      <alignment vertical="top" wrapText="1"/>
    </xf>
    <xf numFmtId="0" fontId="0" fillId="0" borderId="1" xfId="0" applyBorder="1"/>
    <xf numFmtId="0" fontId="2" fillId="0" borderId="1" xfId="0" applyFont="1" applyBorder="1" applyAlignment="1">
      <alignment horizontal="right" vertical="center"/>
    </xf>
    <xf numFmtId="165" fontId="4" fillId="0" borderId="1" xfId="0" applyNumberFormat="1" applyFont="1" applyBorder="1" applyAlignment="1">
      <alignment horizontal="right" vertical="center"/>
    </xf>
    <xf numFmtId="165" fontId="3"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14" fillId="3" borderId="1" xfId="0" applyFont="1" applyFill="1" applyBorder="1" applyAlignment="1">
      <alignment horizontal="center" vertical="center" wrapText="1"/>
    </xf>
    <xf numFmtId="0" fontId="7" fillId="0" borderId="1" xfId="0" applyFont="1" applyBorder="1" applyAlignment="1">
      <alignment vertical="center" wrapText="1"/>
    </xf>
    <xf numFmtId="165" fontId="17" fillId="0" borderId="1" xfId="0" applyNumberFormat="1" applyFont="1" applyBorder="1" applyAlignment="1">
      <alignment horizontal="right" vertical="center"/>
    </xf>
    <xf numFmtId="165" fontId="7" fillId="0" borderId="1" xfId="0" applyNumberFormat="1" applyFont="1" applyBorder="1" applyAlignment="1">
      <alignment horizontal="right" vertical="center"/>
    </xf>
    <xf numFmtId="0" fontId="14" fillId="0" borderId="1" xfId="0" applyFont="1" applyBorder="1" applyAlignment="1">
      <alignment horizontal="right" vertical="center"/>
    </xf>
    <xf numFmtId="165" fontId="14" fillId="0" borderId="1" xfId="0" applyNumberFormat="1" applyFont="1" applyBorder="1" applyAlignment="1">
      <alignment horizontal="right" vertical="center"/>
    </xf>
    <xf numFmtId="166" fontId="17"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166" fontId="14" fillId="0" borderId="1" xfId="0" applyNumberFormat="1" applyFont="1" applyBorder="1" applyAlignment="1">
      <alignment horizontal="right" vertical="center"/>
    </xf>
    <xf numFmtId="0" fontId="18" fillId="0" borderId="0" xfId="0" applyFont="1" applyAlignment="1">
      <alignment horizontal="center"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4"/>
  <sheetViews>
    <sheetView showGridLines="0" zoomScaleNormal="100" workbookViewId="0">
      <selection activeCell="N12" sqref="N12"/>
    </sheetView>
  </sheetViews>
  <sheetFormatPr defaultColWidth="8.6640625" defaultRowHeight="14.4" x14ac:dyDescent="0.3"/>
  <cols>
    <col min="1" max="1" width="21" customWidth="1"/>
    <col min="2" max="2" width="10" customWidth="1"/>
    <col min="3" max="3" width="2" customWidth="1"/>
    <col min="4" max="4" width="15" customWidth="1"/>
    <col min="5" max="6" width="11" customWidth="1"/>
    <col min="7" max="7" width="10" customWidth="1"/>
    <col min="8" max="10" width="9" customWidth="1"/>
    <col min="11" max="11" width="3" customWidth="1"/>
  </cols>
  <sheetData>
    <row r="1" spans="1:10" ht="15" customHeight="1" x14ac:dyDescent="0.3">
      <c r="A1" s="14" t="s">
        <v>0</v>
      </c>
      <c r="B1" s="14"/>
      <c r="C1" s="14"/>
      <c r="D1" s="14"/>
      <c r="E1" s="14"/>
      <c r="F1" s="14"/>
      <c r="G1" s="14"/>
      <c r="H1" s="14"/>
      <c r="I1" s="14"/>
      <c r="J1" s="14"/>
    </row>
    <row r="2" spans="1:10" ht="15" customHeight="1" x14ac:dyDescent="0.3">
      <c r="A2" s="16" t="s">
        <v>1</v>
      </c>
      <c r="D2" s="13" t="s">
        <v>2</v>
      </c>
      <c r="E2" s="13"/>
      <c r="F2" s="13"/>
      <c r="G2" s="13"/>
      <c r="H2" s="13"/>
      <c r="I2" s="13"/>
      <c r="J2" s="13"/>
    </row>
    <row r="3" spans="1:10" ht="15" customHeight="1" x14ac:dyDescent="0.3">
      <c r="A3" s="16" t="s">
        <v>3</v>
      </c>
      <c r="D3" s="13" t="s">
        <v>4</v>
      </c>
      <c r="E3" s="13"/>
      <c r="F3" s="13"/>
      <c r="G3" s="13"/>
      <c r="H3" s="13"/>
      <c r="I3" s="13"/>
      <c r="J3" s="13"/>
    </row>
    <row r="4" spans="1:10" ht="15" customHeight="1" x14ac:dyDescent="0.3">
      <c r="A4" s="16" t="s">
        <v>5</v>
      </c>
      <c r="D4" s="18">
        <v>36383</v>
      </c>
    </row>
    <row r="5" spans="1:10" ht="15" customHeight="1" x14ac:dyDescent="0.3">
      <c r="A5" s="16" t="s">
        <v>6</v>
      </c>
      <c r="D5" s="13" t="s">
        <v>7</v>
      </c>
      <c r="E5" s="13"/>
      <c r="F5" s="13"/>
      <c r="G5" s="13"/>
      <c r="H5" s="13"/>
      <c r="I5" s="13"/>
      <c r="J5" s="13"/>
    </row>
    <row r="6" spans="1:10" ht="15" customHeight="1" x14ac:dyDescent="0.3">
      <c r="A6" s="16" t="s">
        <v>8</v>
      </c>
      <c r="D6" s="13" t="s">
        <v>9</v>
      </c>
      <c r="E6" s="13"/>
      <c r="F6" s="13"/>
      <c r="G6" s="13"/>
      <c r="H6" s="13"/>
      <c r="I6" s="13"/>
      <c r="J6" s="13"/>
    </row>
    <row r="7" spans="1:10" ht="15" customHeight="1" x14ac:dyDescent="0.3">
      <c r="A7" s="12" t="s">
        <v>10</v>
      </c>
      <c r="B7" s="17" t="s">
        <v>11</v>
      </c>
      <c r="D7" s="17" t="s">
        <v>12</v>
      </c>
    </row>
    <row r="8" spans="1:10" ht="15" customHeight="1" x14ac:dyDescent="0.3">
      <c r="A8" s="12"/>
      <c r="B8" s="17" t="s">
        <v>13</v>
      </c>
      <c r="D8" s="17" t="s">
        <v>14</v>
      </c>
    </row>
    <row r="9" spans="1:10" ht="15" customHeight="1" x14ac:dyDescent="0.3">
      <c r="A9" s="16" t="s">
        <v>15</v>
      </c>
      <c r="B9" s="17" t="s">
        <v>1</v>
      </c>
      <c r="D9" s="17" t="s">
        <v>16</v>
      </c>
      <c r="F9" s="17" t="s">
        <v>17</v>
      </c>
    </row>
    <row r="10" spans="1:10" ht="15" customHeight="1" x14ac:dyDescent="0.3">
      <c r="A10" s="16" t="s">
        <v>18</v>
      </c>
      <c r="D10" s="17" t="s">
        <v>19</v>
      </c>
    </row>
    <row r="11" spans="1:10" ht="15" customHeight="1" x14ac:dyDescent="0.3">
      <c r="B11" s="17" t="s">
        <v>8</v>
      </c>
      <c r="D11" s="13" t="s">
        <v>20</v>
      </c>
      <c r="E11" s="13"/>
      <c r="F11" s="13"/>
      <c r="G11" s="13"/>
      <c r="H11" s="13"/>
      <c r="I11" s="13"/>
      <c r="J11" s="13"/>
    </row>
    <row r="12" spans="1:10" ht="15" customHeight="1" x14ac:dyDescent="0.3">
      <c r="A12" s="16" t="s">
        <v>21</v>
      </c>
      <c r="D12" s="19">
        <v>46282</v>
      </c>
    </row>
    <row r="13" spans="1:10" ht="15" customHeight="1" x14ac:dyDescent="0.3">
      <c r="A13" s="16" t="s">
        <v>22</v>
      </c>
      <c r="D13" s="20" t="s">
        <v>23</v>
      </c>
    </row>
    <row r="14" spans="1:10" ht="15" customHeight="1" x14ac:dyDescent="0.3">
      <c r="A14" s="16" t="s">
        <v>24</v>
      </c>
      <c r="D14" s="19">
        <v>46272</v>
      </c>
    </row>
    <row r="15" spans="1:10" ht="15" customHeight="1" x14ac:dyDescent="0.3">
      <c r="A15" s="16" t="s">
        <v>25</v>
      </c>
      <c r="D15" s="19">
        <v>46282</v>
      </c>
    </row>
    <row r="16" spans="1:10" ht="15" customHeight="1" x14ac:dyDescent="0.3">
      <c r="A16" s="16" t="s">
        <v>26</v>
      </c>
      <c r="D16" s="19">
        <v>46282</v>
      </c>
    </row>
    <row r="17" spans="1:10" ht="15" customHeight="1" x14ac:dyDescent="0.3">
      <c r="A17" s="16" t="s">
        <v>27</v>
      </c>
      <c r="D17" s="19"/>
      <c r="F17" s="21" t="s">
        <v>28</v>
      </c>
    </row>
    <row r="18" spans="1:10" ht="15" customHeight="1" x14ac:dyDescent="0.3">
      <c r="A18" s="16" t="s">
        <v>29</v>
      </c>
      <c r="D18" s="11"/>
      <c r="E18" s="11"/>
      <c r="F18" s="11"/>
      <c r="G18" s="11"/>
      <c r="H18" s="11"/>
      <c r="I18" s="11"/>
      <c r="J18" s="11"/>
    </row>
    <row r="19" spans="1:10" ht="15" customHeight="1" x14ac:dyDescent="0.3">
      <c r="A19" s="16" t="s">
        <v>30</v>
      </c>
      <c r="D19" s="22"/>
    </row>
    <row r="20" spans="1:10" ht="15" customHeight="1" x14ac:dyDescent="0.3">
      <c r="A20" s="16" t="s">
        <v>31</v>
      </c>
      <c r="D20" s="20" t="s">
        <v>32</v>
      </c>
    </row>
    <row r="21" spans="1:10" ht="15" customHeight="1" x14ac:dyDescent="0.3">
      <c r="A21" s="16" t="s">
        <v>33</v>
      </c>
      <c r="D21" s="20" t="s">
        <v>34</v>
      </c>
    </row>
    <row r="22" spans="1:10" ht="15" customHeight="1" x14ac:dyDescent="0.3">
      <c r="A22" s="12" t="s">
        <v>35</v>
      </c>
      <c r="B22" s="17" t="s">
        <v>36</v>
      </c>
      <c r="D22" s="23">
        <v>7300</v>
      </c>
    </row>
    <row r="23" spans="1:10" ht="15" customHeight="1" x14ac:dyDescent="0.3">
      <c r="A23" s="12"/>
      <c r="B23" s="17" t="s">
        <v>37</v>
      </c>
      <c r="D23" s="17" t="s">
        <v>38</v>
      </c>
    </row>
    <row r="24" spans="1:10" ht="15" customHeight="1" x14ac:dyDescent="0.3">
      <c r="A24" s="12"/>
      <c r="B24" s="17" t="s">
        <v>39</v>
      </c>
      <c r="D24" s="20"/>
    </row>
    <row r="25" spans="1:10" ht="15" customHeight="1" x14ac:dyDescent="0.3">
      <c r="A25" s="16" t="s">
        <v>40</v>
      </c>
      <c r="B25" s="17" t="s">
        <v>1</v>
      </c>
      <c r="D25" s="20" t="s">
        <v>41</v>
      </c>
    </row>
    <row r="26" spans="1:10" ht="15" customHeight="1" x14ac:dyDescent="0.3">
      <c r="A26" s="16" t="s">
        <v>42</v>
      </c>
      <c r="D26" s="17" t="s">
        <v>43</v>
      </c>
    </row>
    <row r="27" spans="1:10" ht="15" customHeight="1" x14ac:dyDescent="0.3">
      <c r="A27" s="12" t="s">
        <v>44</v>
      </c>
      <c r="B27" s="17" t="s">
        <v>36</v>
      </c>
      <c r="D27" s="20"/>
    </row>
    <row r="28" spans="1:10" ht="15" customHeight="1" x14ac:dyDescent="0.3">
      <c r="A28" s="12"/>
      <c r="B28" s="17" t="s">
        <v>45</v>
      </c>
      <c r="D28" s="19"/>
    </row>
    <row r="29" spans="1:10" ht="15" customHeight="1" x14ac:dyDescent="0.3">
      <c r="A29" s="12"/>
      <c r="B29" s="17" t="s">
        <v>1</v>
      </c>
      <c r="D29" s="17" t="str">
        <f>+D25</f>
        <v>Mr. Prakash Kamath</v>
      </c>
    </row>
    <row r="30" spans="1:10" ht="15" customHeight="1" x14ac:dyDescent="0.3">
      <c r="A30" s="12"/>
      <c r="B30" s="17" t="s">
        <v>46</v>
      </c>
      <c r="D30" s="17" t="s">
        <v>47</v>
      </c>
    </row>
    <row r="31" spans="1:10" ht="15" customHeight="1" x14ac:dyDescent="0.3">
      <c r="A31" s="16" t="s">
        <v>48</v>
      </c>
      <c r="D31" s="19"/>
      <c r="F31" s="21" t="s">
        <v>49</v>
      </c>
    </row>
    <row r="32" spans="1:10" ht="15" customHeight="1" x14ac:dyDescent="0.3">
      <c r="A32" s="16" t="s">
        <v>50</v>
      </c>
      <c r="D32" s="24" t="s">
        <v>51</v>
      </c>
      <c r="F32" s="21" t="s">
        <v>52</v>
      </c>
    </row>
    <row r="33" spans="1:4" ht="15" customHeight="1" x14ac:dyDescent="0.3">
      <c r="A33" s="16" t="s">
        <v>53</v>
      </c>
      <c r="D33" s="20" t="s">
        <v>54</v>
      </c>
    </row>
    <row r="34" spans="1:4" ht="15" customHeight="1" x14ac:dyDescent="0.3">
      <c r="A34" s="16" t="s">
        <v>55</v>
      </c>
      <c r="D34" s="22">
        <v>64</v>
      </c>
    </row>
    <row r="35" spans="1:4" ht="15" customHeight="1" x14ac:dyDescent="0.3">
      <c r="A35" s="16" t="s">
        <v>56</v>
      </c>
      <c r="D35" s="20" t="s">
        <v>57</v>
      </c>
    </row>
    <row r="38" spans="1:4" ht="15" customHeight="1" x14ac:dyDescent="0.3">
      <c r="A38" s="25" t="s">
        <v>58</v>
      </c>
    </row>
    <row r="39" spans="1:4" ht="15" customHeight="1" x14ac:dyDescent="0.3">
      <c r="A39" s="26" t="s">
        <v>59</v>
      </c>
    </row>
    <row r="40" spans="1:4" ht="15" customHeight="1" x14ac:dyDescent="0.3">
      <c r="A40" s="26" t="s">
        <v>60</v>
      </c>
    </row>
    <row r="41" spans="1:4" ht="15" customHeight="1" x14ac:dyDescent="0.3">
      <c r="A41" s="26" t="s">
        <v>61</v>
      </c>
    </row>
    <row r="42" spans="1:4" ht="15" customHeight="1" x14ac:dyDescent="0.3">
      <c r="A42" s="26" t="s">
        <v>62</v>
      </c>
    </row>
    <row r="43" spans="1:4" ht="15" customHeight="1" x14ac:dyDescent="0.3">
      <c r="A43" s="26" t="s">
        <v>63</v>
      </c>
    </row>
    <row r="44" spans="1:4" ht="15" customHeight="1" x14ac:dyDescent="0.3">
      <c r="A44" s="26" t="s">
        <v>64</v>
      </c>
    </row>
  </sheetData>
  <mergeCells count="10">
    <mergeCell ref="A7:A8"/>
    <mergeCell ref="D11:J11"/>
    <mergeCell ref="D18:J18"/>
    <mergeCell ref="A22:A24"/>
    <mergeCell ref="A27:A30"/>
    <mergeCell ref="A1:J1"/>
    <mergeCell ref="D2:J2"/>
    <mergeCell ref="D3:J3"/>
    <mergeCell ref="D5:J5"/>
    <mergeCell ref="D6:J6"/>
  </mergeCells>
  <pageMargins left="0.4" right="0.4" top="0.5" bottom="0.5"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J39"/>
  <sheetViews>
    <sheetView showGridLines="0" topLeftCell="A25" zoomScaleNormal="100" workbookViewId="0"/>
  </sheetViews>
  <sheetFormatPr defaultColWidth="8.6640625" defaultRowHeight="14.4" x14ac:dyDescent="0.3"/>
  <cols>
    <col min="1" max="10" width="8.44140625" customWidth="1"/>
  </cols>
  <sheetData>
    <row r="3" spans="1:10" ht="24" customHeight="1" x14ac:dyDescent="0.3">
      <c r="A3" s="10" t="s">
        <v>65</v>
      </c>
      <c r="B3" s="10"/>
      <c r="C3" s="10"/>
      <c r="D3" s="10"/>
      <c r="E3" s="10"/>
      <c r="F3" s="10"/>
      <c r="G3" s="10"/>
      <c r="H3" s="10"/>
      <c r="I3" s="10"/>
      <c r="J3" s="10"/>
    </row>
    <row r="15" spans="1:10" ht="21.75" customHeight="1" x14ac:dyDescent="0.3">
      <c r="A15" s="9" t="str">
        <f>+TIT!D2</f>
        <v>AKSHITA AVENUE CO-OPERATIVE HOUSING SOCIETY LTD.</v>
      </c>
      <c r="B15" s="9"/>
      <c r="C15" s="9"/>
      <c r="D15" s="9"/>
      <c r="E15" s="9"/>
      <c r="F15" s="9"/>
      <c r="G15" s="9"/>
      <c r="H15" s="9"/>
      <c r="I15" s="9"/>
      <c r="J15" s="9"/>
    </row>
    <row r="16" spans="1:10" ht="15" customHeight="1" x14ac:dyDescent="0.3">
      <c r="A16" s="9"/>
      <c r="B16" s="9"/>
      <c r="C16" s="9"/>
      <c r="D16" s="9"/>
      <c r="E16" s="9"/>
      <c r="F16" s="9"/>
      <c r="G16" s="9"/>
      <c r="H16" s="9"/>
      <c r="I16" s="9"/>
      <c r="J16" s="9"/>
    </row>
    <row r="17" spans="1:10" ht="15" customHeight="1" x14ac:dyDescent="0.3">
      <c r="A17" s="8" t="str">
        <f>+TIT!D3</f>
        <v>BOM (WR) / HSG (TC) 10502-99-2000</v>
      </c>
      <c r="B17" s="8"/>
      <c r="C17" s="8"/>
      <c r="D17" s="8"/>
      <c r="E17" s="8"/>
      <c r="F17" s="8"/>
      <c r="G17" s="8"/>
      <c r="H17" s="8"/>
      <c r="I17" s="8"/>
      <c r="J17" s="8"/>
    </row>
    <row r="18" spans="1:10" ht="21.75" customHeight="1" x14ac:dyDescent="0.3">
      <c r="A18" s="7" t="str">
        <f>+TIT!D6</f>
        <v>Akshita Avenue, Holy Cross Road, I. C. Colony, Borivali West, Mumbai - 400 103</v>
      </c>
      <c r="B18" s="7"/>
      <c r="C18" s="7"/>
      <c r="D18" s="7"/>
      <c r="E18" s="7"/>
      <c r="F18" s="7"/>
      <c r="G18" s="7"/>
      <c r="H18" s="7"/>
      <c r="I18" s="7"/>
      <c r="J18" s="7"/>
    </row>
    <row r="19" spans="1:10" ht="15" customHeight="1" x14ac:dyDescent="0.3">
      <c r="A19" s="7"/>
      <c r="B19" s="7"/>
      <c r="C19" s="7"/>
      <c r="D19" s="7"/>
      <c r="E19" s="7"/>
      <c r="F19" s="7"/>
      <c r="G19" s="7"/>
      <c r="H19" s="7"/>
      <c r="I19" s="7"/>
      <c r="J19" s="7"/>
    </row>
    <row r="21" spans="1:10" ht="21.75" customHeight="1" x14ac:dyDescent="0.3">
      <c r="A21" s="6" t="str">
        <f>"STATEMENT OF AUDIT REPORTS &amp; ACCOUNTS STATEMENTS FOR THE YEAR ENDED "&amp;UPPER(TIT!D8)</f>
        <v>STATEMENT OF AUDIT REPORTS &amp; ACCOUNTS STATEMENTS FOR THE YEAR ENDED 31ST MARCH, 2026</v>
      </c>
      <c r="B21" s="6"/>
      <c r="C21" s="6"/>
      <c r="D21" s="6"/>
      <c r="E21" s="6"/>
      <c r="F21" s="6"/>
      <c r="G21" s="6"/>
      <c r="H21" s="6"/>
      <c r="I21" s="6"/>
      <c r="J21" s="6"/>
    </row>
    <row r="22" spans="1:10" ht="15" customHeight="1" x14ac:dyDescent="0.3">
      <c r="A22" s="6"/>
      <c r="B22" s="6"/>
      <c r="C22" s="6"/>
      <c r="D22" s="6"/>
      <c r="E22" s="6"/>
      <c r="F22" s="6"/>
      <c r="G22" s="6"/>
      <c r="H22" s="6"/>
      <c r="I22" s="6"/>
      <c r="J22" s="6"/>
    </row>
    <row r="34" spans="1:10" ht="15" customHeight="1" x14ac:dyDescent="0.3">
      <c r="A34" s="5" t="str">
        <f>REPT("=",79)</f>
        <v>===============================================================================</v>
      </c>
      <c r="B34" s="5"/>
      <c r="C34" s="5"/>
      <c r="D34" s="5"/>
      <c r="E34" s="5"/>
      <c r="F34" s="5"/>
      <c r="G34" s="5"/>
      <c r="H34" s="5"/>
      <c r="I34" s="5"/>
      <c r="J34" s="5"/>
    </row>
    <row r="35" spans="1:10" ht="15" customHeight="1" x14ac:dyDescent="0.3">
      <c r="A35" s="4" t="str">
        <f>+TIT!D9</f>
        <v>Shri. Bharat C. Boridkar</v>
      </c>
      <c r="B35" s="4"/>
      <c r="C35" s="4"/>
      <c r="D35" s="4"/>
      <c r="E35" s="4"/>
      <c r="F35" s="4"/>
      <c r="G35" s="4"/>
      <c r="H35" s="4"/>
      <c r="I35" s="4"/>
      <c r="J35" s="4"/>
    </row>
    <row r="36" spans="1:10" ht="15" customHeight="1" x14ac:dyDescent="0.3">
      <c r="A36" s="8" t="str">
        <f>+TIT!F9</f>
        <v>Govt. Certified Panel Auditor</v>
      </c>
      <c r="B36" s="8"/>
      <c r="C36" s="8"/>
      <c r="D36" s="8"/>
      <c r="E36" s="8"/>
      <c r="F36" s="8"/>
      <c r="G36" s="8"/>
      <c r="H36" s="8"/>
      <c r="I36" s="8"/>
      <c r="J36" s="8"/>
    </row>
    <row r="37" spans="1:10" ht="21.75" customHeight="1" x14ac:dyDescent="0.3">
      <c r="A37" s="3" t="str">
        <f>+TIT!D11</f>
        <v>Boridkar House, Pandurang Bhoir Road, Dahisar - West, Mumbai - 400 068</v>
      </c>
      <c r="B37" s="3"/>
      <c r="C37" s="3"/>
      <c r="D37" s="3"/>
      <c r="E37" s="3"/>
      <c r="F37" s="3"/>
      <c r="G37" s="3"/>
      <c r="H37" s="3"/>
      <c r="I37" s="3"/>
      <c r="J37" s="3"/>
    </row>
    <row r="38" spans="1:10" ht="15" customHeight="1" x14ac:dyDescent="0.3">
      <c r="A38" s="3"/>
      <c r="B38" s="3"/>
      <c r="C38" s="3"/>
      <c r="D38" s="3"/>
      <c r="E38" s="3"/>
      <c r="F38" s="3"/>
      <c r="G38" s="3"/>
      <c r="H38" s="3"/>
      <c r="I38" s="3"/>
      <c r="J38" s="3"/>
    </row>
    <row r="39" spans="1:10" ht="15" customHeight="1" x14ac:dyDescent="0.3">
      <c r="A39" s="5" t="str">
        <f>REPT("=",79)</f>
        <v>===============================================================================</v>
      </c>
      <c r="B39" s="5"/>
      <c r="C39" s="5"/>
      <c r="D39" s="5"/>
      <c r="E39" s="5"/>
      <c r="F39" s="5"/>
      <c r="G39" s="5"/>
      <c r="H39" s="5"/>
      <c r="I39" s="5"/>
      <c r="J39" s="5"/>
    </row>
  </sheetData>
  <mergeCells count="10">
    <mergeCell ref="A34:J34"/>
    <mergeCell ref="A35:J35"/>
    <mergeCell ref="A36:J36"/>
    <mergeCell ref="A37:J38"/>
    <mergeCell ref="A39:J39"/>
    <mergeCell ref="A3:J3"/>
    <mergeCell ref="A15:J16"/>
    <mergeCell ref="A17:J17"/>
    <mergeCell ref="A18:J19"/>
    <mergeCell ref="A21:J22"/>
  </mergeCells>
  <pageMargins left="0.4" right="0.4" top="0.5" bottom="0.5"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M43"/>
  <sheetViews>
    <sheetView showGridLines="0" tabSelected="1" zoomScaleNormal="100" workbookViewId="0">
      <selection activeCell="N4" sqref="N4"/>
    </sheetView>
  </sheetViews>
  <sheetFormatPr defaultColWidth="8.6640625" defaultRowHeight="14.4" x14ac:dyDescent="0.3"/>
  <cols>
    <col min="1" max="1" width="2" customWidth="1"/>
    <col min="2" max="2" width="4" customWidth="1"/>
    <col min="3" max="3" width="5" customWidth="1"/>
    <col min="4" max="4" width="8" customWidth="1"/>
    <col min="5" max="8" width="9" customWidth="1"/>
    <col min="9" max="9" width="8" customWidth="1"/>
    <col min="10" max="10" width="9" customWidth="1"/>
    <col min="11" max="12" width="8" customWidth="1"/>
    <col min="13" max="13" width="7" customWidth="1"/>
  </cols>
  <sheetData>
    <row r="2" spans="2:13" ht="15" customHeight="1" x14ac:dyDescent="0.3">
      <c r="B2" s="4" t="str">
        <f>+TIT!D9</f>
        <v>Shri. Bharat C. Boridkar</v>
      </c>
      <c r="C2" s="4"/>
      <c r="D2" s="4"/>
      <c r="E2" s="4"/>
      <c r="F2" s="4"/>
      <c r="G2" s="4"/>
      <c r="H2" s="4"/>
      <c r="I2" s="4"/>
      <c r="J2" s="4"/>
      <c r="K2" s="4"/>
      <c r="L2" s="4"/>
      <c r="M2" s="4"/>
    </row>
    <row r="3" spans="2:13" ht="15" customHeight="1" x14ac:dyDescent="0.3">
      <c r="B3" s="5" t="str">
        <f>+TIT!F9</f>
        <v>Govt. Certified Panel Auditor</v>
      </c>
      <c r="C3" s="5"/>
      <c r="D3" s="5"/>
      <c r="E3" s="5"/>
      <c r="F3" s="5"/>
      <c r="G3" s="5"/>
      <c r="H3" s="5"/>
      <c r="I3" s="5"/>
      <c r="J3" s="5"/>
      <c r="K3" s="5"/>
      <c r="L3" s="5"/>
      <c r="M3" s="5"/>
    </row>
    <row r="4" spans="2:13" ht="15" customHeight="1" x14ac:dyDescent="0.3">
      <c r="B4" s="3" t="str">
        <f>+TIT!D11</f>
        <v>Boridkar House, Pandurang Bhoir Road, Dahisar - West, Mumbai - 400 068</v>
      </c>
      <c r="C4" s="3"/>
      <c r="D4" s="3"/>
      <c r="E4" s="3"/>
      <c r="F4" s="3"/>
      <c r="G4" s="3"/>
      <c r="H4" s="3"/>
      <c r="I4" s="3"/>
      <c r="J4" s="3"/>
      <c r="K4" s="3"/>
      <c r="L4" s="3"/>
      <c r="M4" s="3"/>
    </row>
    <row r="7" spans="2:13" ht="15" customHeight="1" x14ac:dyDescent="0.3">
      <c r="B7" s="16" t="s">
        <v>66</v>
      </c>
    </row>
    <row r="8" spans="2:13" ht="15" customHeight="1" x14ac:dyDescent="0.3">
      <c r="B8" s="16" t="s">
        <v>67</v>
      </c>
    </row>
    <row r="9" spans="2:13" ht="15" customHeight="1" x14ac:dyDescent="0.3">
      <c r="B9" s="15" t="str">
        <f>+TIT!D2</f>
        <v>AKSHITA AVENUE CO-OPERATIVE HOUSING SOCIETY LTD.</v>
      </c>
    </row>
    <row r="10" spans="2:13" ht="15" customHeight="1" x14ac:dyDescent="0.3">
      <c r="B10" s="13" t="str">
        <f>+TIT!D6</f>
        <v>Akshita Avenue, Holy Cross Road, I. C. Colony, Borivali West, Mumbai - 400 103</v>
      </c>
      <c r="C10" s="13"/>
      <c r="D10" s="13"/>
      <c r="E10" s="13"/>
      <c r="F10" s="13"/>
      <c r="G10" s="13"/>
      <c r="H10" s="13"/>
      <c r="I10" s="13"/>
      <c r="J10" s="13"/>
      <c r="K10" s="13"/>
      <c r="L10" s="13"/>
      <c r="M10" s="13"/>
    </row>
    <row r="12" spans="2:13" ht="15" customHeight="1" x14ac:dyDescent="0.3">
      <c r="B12" s="12" t="str">
        <f>"Sub :- Statutory audit of your society for the Financial Year ended on "&amp;TEXT(DATE(2026,3,31),"dd-mmm-yyyy")</f>
        <v>Sub :- Statutory audit of your society for the Financial Year ended on 31-Mar-2026</v>
      </c>
      <c r="C12" s="12"/>
      <c r="D12" s="12"/>
      <c r="E12" s="12"/>
      <c r="F12" s="12"/>
      <c r="G12" s="12"/>
      <c r="H12" s="12"/>
      <c r="I12" s="12"/>
      <c r="J12" s="12"/>
      <c r="K12" s="12"/>
      <c r="L12" s="12"/>
      <c r="M12" s="12"/>
    </row>
    <row r="15" spans="2:13" ht="67.5" customHeight="1" x14ac:dyDescent="0.3">
      <c r="B15" s="2" t="s">
        <v>68</v>
      </c>
      <c r="C15" s="2"/>
      <c r="D15" s="2"/>
      <c r="E15" s="2"/>
      <c r="F15" s="2"/>
      <c r="G15" s="2"/>
      <c r="H15" s="2"/>
      <c r="I15" s="2"/>
      <c r="J15" s="2"/>
      <c r="K15" s="2"/>
      <c r="L15" s="2"/>
      <c r="M15" s="2"/>
    </row>
    <row r="17" spans="2:13" ht="40.5" customHeight="1" x14ac:dyDescent="0.3">
      <c r="B17" s="2" t="s">
        <v>69</v>
      </c>
      <c r="C17" s="2"/>
      <c r="D17" s="2"/>
      <c r="E17" s="2"/>
      <c r="F17" s="2"/>
      <c r="G17" s="2"/>
      <c r="H17" s="2"/>
      <c r="I17" s="2"/>
      <c r="J17" s="2"/>
      <c r="K17" s="2"/>
      <c r="L17" s="2"/>
      <c r="M17" s="2"/>
    </row>
    <row r="19" spans="2:13" ht="67.5" customHeight="1" x14ac:dyDescent="0.3">
      <c r="B19" s="2" t="s">
        <v>70</v>
      </c>
      <c r="C19" s="2"/>
      <c r="D19" s="2"/>
      <c r="E19" s="2"/>
      <c r="F19" s="2"/>
      <c r="G19" s="2"/>
      <c r="H19" s="2"/>
      <c r="I19" s="2"/>
      <c r="J19" s="2"/>
      <c r="K19" s="2"/>
      <c r="L19" s="2"/>
      <c r="M19" s="2"/>
    </row>
    <row r="21" spans="2:13" ht="30" customHeight="1" x14ac:dyDescent="0.3">
      <c r="B21" s="2" t="s">
        <v>71</v>
      </c>
      <c r="C21" s="2"/>
      <c r="D21" s="2"/>
      <c r="E21" s="2"/>
      <c r="F21" s="2"/>
      <c r="G21" s="2"/>
      <c r="H21" s="2"/>
      <c r="I21" s="2"/>
      <c r="J21" s="2"/>
      <c r="K21" s="2"/>
      <c r="L21" s="2"/>
      <c r="M21" s="2"/>
    </row>
    <row r="23" spans="2:13" ht="67.5" customHeight="1" x14ac:dyDescent="0.3">
      <c r="B23" s="2" t="s">
        <v>72</v>
      </c>
      <c r="C23" s="2"/>
      <c r="D23" s="2"/>
      <c r="E23" s="2"/>
      <c r="F23" s="2"/>
      <c r="G23" s="2"/>
      <c r="H23" s="2"/>
      <c r="I23" s="2"/>
      <c r="J23" s="2"/>
      <c r="K23" s="2"/>
      <c r="L23" s="2"/>
      <c r="M23" s="2"/>
    </row>
    <row r="25" spans="2:13" ht="30" customHeight="1" x14ac:dyDescent="0.3">
      <c r="B25" s="2" t="s">
        <v>73</v>
      </c>
      <c r="C25" s="2"/>
      <c r="D25" s="2"/>
      <c r="E25" s="2"/>
      <c r="F25" s="2"/>
      <c r="G25" s="2"/>
      <c r="H25" s="2"/>
      <c r="I25" s="2"/>
      <c r="J25" s="2"/>
      <c r="K25" s="2"/>
      <c r="L25" s="2"/>
      <c r="M25" s="2"/>
    </row>
    <row r="27" spans="2:13" ht="30" customHeight="1" x14ac:dyDescent="0.3">
      <c r="B27" s="2" t="s">
        <v>74</v>
      </c>
      <c r="C27" s="2"/>
      <c r="D27" s="2"/>
      <c r="E27" s="2"/>
      <c r="F27" s="2"/>
      <c r="G27" s="2"/>
      <c r="H27" s="2"/>
      <c r="I27" s="2"/>
      <c r="J27" s="2"/>
      <c r="K27" s="2"/>
      <c r="L27" s="2"/>
      <c r="M27" s="2"/>
    </row>
    <row r="29" spans="2:13" ht="30" customHeight="1" x14ac:dyDescent="0.3">
      <c r="B29" s="2" t="s">
        <v>75</v>
      </c>
      <c r="C29" s="2"/>
      <c r="D29" s="2"/>
      <c r="E29" s="2"/>
      <c r="F29" s="2"/>
      <c r="G29" s="2"/>
      <c r="H29" s="2"/>
      <c r="I29" s="2"/>
      <c r="J29" s="2"/>
      <c r="K29" s="2"/>
      <c r="L29" s="2"/>
      <c r="M29" s="2"/>
    </row>
    <row r="31" spans="2:13" ht="30" customHeight="1" x14ac:dyDescent="0.3">
      <c r="B31" s="17" t="s">
        <v>76</v>
      </c>
    </row>
    <row r="35" spans="2:5" ht="15" customHeight="1" x14ac:dyDescent="0.3">
      <c r="B35" s="15" t="str">
        <f>+TIT!D9</f>
        <v>Shri. Bharat C. Boridkar</v>
      </c>
    </row>
    <row r="36" spans="2:5" ht="15" customHeight="1" x14ac:dyDescent="0.3">
      <c r="B36" s="17" t="str">
        <f>+TIT!F9</f>
        <v>Govt. Certified Panel Auditor</v>
      </c>
    </row>
    <row r="37" spans="2:5" ht="15" customHeight="1" x14ac:dyDescent="0.3">
      <c r="B37" s="17" t="s">
        <v>77</v>
      </c>
    </row>
    <row r="38" spans="2:5" ht="15" customHeight="1" x14ac:dyDescent="0.3">
      <c r="B38" s="17" t="str">
        <f>"Co-op Soc Empanelment Number : "&amp;TIT!D10</f>
        <v>Co-op Soc Empanelment Number : Mumbai-4/C1/1011404</v>
      </c>
    </row>
    <row r="40" spans="2:5" ht="15" customHeight="1" x14ac:dyDescent="0.3">
      <c r="B40" s="1">
        <f>+TIT!D12</f>
        <v>46282</v>
      </c>
      <c r="C40" s="1"/>
      <c r="D40" s="1"/>
      <c r="E40" s="1"/>
    </row>
    <row r="42" spans="2:5" ht="15" customHeight="1" x14ac:dyDescent="0.3">
      <c r="B42" s="16" t="s">
        <v>78</v>
      </c>
      <c r="C42" s="17" t="s">
        <v>79</v>
      </c>
    </row>
    <row r="43" spans="2:5" ht="15" customHeight="1" x14ac:dyDescent="0.3">
      <c r="C43" s="17" t="s">
        <v>80</v>
      </c>
    </row>
  </sheetData>
  <mergeCells count="14">
    <mergeCell ref="B25:M25"/>
    <mergeCell ref="B27:M27"/>
    <mergeCell ref="B29:M29"/>
    <mergeCell ref="B40:E40"/>
    <mergeCell ref="B15:M15"/>
    <mergeCell ref="B17:M17"/>
    <mergeCell ref="B19:M19"/>
    <mergeCell ref="B21:M21"/>
    <mergeCell ref="B23:M23"/>
    <mergeCell ref="B2:M2"/>
    <mergeCell ref="B3:M3"/>
    <mergeCell ref="B4:M4"/>
    <mergeCell ref="B10:M10"/>
    <mergeCell ref="B12:M12"/>
  </mergeCells>
  <pageMargins left="0.4" right="0.4" top="0.5" bottom="0.5"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M73"/>
  <sheetViews>
    <sheetView showGridLines="0" zoomScaleNormal="100" workbookViewId="0"/>
  </sheetViews>
  <sheetFormatPr defaultColWidth="8.6640625" defaultRowHeight="14.4" x14ac:dyDescent="0.3"/>
  <cols>
    <col min="1" max="1" width="1" customWidth="1"/>
    <col min="2" max="2" width="4" customWidth="1"/>
    <col min="3" max="3" width="4.44140625" customWidth="1"/>
    <col min="4" max="4" width="8" customWidth="1"/>
    <col min="5" max="8" width="9" customWidth="1"/>
    <col min="9" max="9" width="8" customWidth="1"/>
    <col min="10" max="10" width="9" customWidth="1"/>
    <col min="11" max="12" width="8" customWidth="1"/>
    <col min="13" max="13" width="7" customWidth="1"/>
  </cols>
  <sheetData>
    <row r="2" spans="2:13" ht="15" customHeight="1" x14ac:dyDescent="0.3">
      <c r="B2" s="4" t="str">
        <f>+TIT!D9</f>
        <v>Shri. Bharat C. Boridkar</v>
      </c>
      <c r="C2" s="4"/>
      <c r="D2" s="4"/>
      <c r="E2" s="4"/>
      <c r="F2" s="4"/>
      <c r="G2" s="4"/>
      <c r="H2" s="4"/>
      <c r="I2" s="4"/>
      <c r="J2" s="4"/>
      <c r="K2" s="4"/>
      <c r="L2" s="4"/>
      <c r="M2" s="4"/>
    </row>
    <row r="3" spans="2:13" ht="15" customHeight="1" x14ac:dyDescent="0.3">
      <c r="B3" s="5" t="str">
        <f>+TIT!F9</f>
        <v>Govt. Certified Panel Auditor</v>
      </c>
      <c r="C3" s="5"/>
      <c r="D3" s="5"/>
      <c r="E3" s="5"/>
      <c r="F3" s="5"/>
      <c r="G3" s="5"/>
      <c r="H3" s="5"/>
      <c r="I3" s="5"/>
      <c r="J3" s="5"/>
      <c r="K3" s="5"/>
      <c r="L3" s="5"/>
      <c r="M3" s="5"/>
    </row>
    <row r="4" spans="2:13" ht="15" customHeight="1" x14ac:dyDescent="0.3">
      <c r="B4" s="3" t="str">
        <f>+TIT!D11&amp;", 9769556665"</f>
        <v>Boridkar House, Pandurang Bhoir Road, Dahisar - West, Mumbai - 400 068, 9769556665</v>
      </c>
      <c r="C4" s="3"/>
      <c r="D4" s="3"/>
      <c r="E4" s="3"/>
      <c r="F4" s="3"/>
      <c r="G4" s="3"/>
      <c r="H4" s="3"/>
      <c r="I4" s="3"/>
      <c r="J4" s="3"/>
      <c r="K4" s="3"/>
      <c r="L4" s="3"/>
      <c r="M4" s="3"/>
    </row>
    <row r="7" spans="2:13" ht="15.75" customHeight="1" x14ac:dyDescent="0.3">
      <c r="B7" s="49" t="s">
        <v>81</v>
      </c>
      <c r="C7" s="49"/>
      <c r="D7" s="49"/>
      <c r="E7" s="49"/>
      <c r="F7" s="49"/>
      <c r="G7" s="49"/>
      <c r="H7" s="49"/>
      <c r="I7" s="49"/>
      <c r="J7" s="49"/>
      <c r="K7" s="49"/>
      <c r="L7" s="49"/>
      <c r="M7" s="49"/>
    </row>
    <row r="8" spans="2:13" ht="25.5" customHeight="1" x14ac:dyDescent="0.3">
      <c r="B8" s="50" t="s">
        <v>82</v>
      </c>
      <c r="C8" s="50"/>
      <c r="D8" s="50"/>
      <c r="E8" s="50"/>
      <c r="F8" s="50"/>
      <c r="G8" s="50"/>
      <c r="H8" s="50"/>
      <c r="I8" s="50"/>
      <c r="J8" s="50"/>
      <c r="K8" s="50"/>
      <c r="L8" s="50"/>
      <c r="M8" s="50"/>
    </row>
    <row r="10" spans="2:13" ht="15" customHeight="1" x14ac:dyDescent="0.3">
      <c r="B10" s="16" t="s">
        <v>66</v>
      </c>
    </row>
    <row r="11" spans="2:13" ht="15" customHeight="1" x14ac:dyDescent="0.3">
      <c r="B11" s="16" t="s">
        <v>67</v>
      </c>
    </row>
    <row r="12" spans="2:13" ht="15" customHeight="1" x14ac:dyDescent="0.3">
      <c r="B12" s="15" t="str">
        <f>+TIT!D2</f>
        <v>AKSHITA AVENUE CO-OPERATIVE HOUSING SOCIETY LTD.</v>
      </c>
    </row>
    <row r="13" spans="2:13" ht="15" customHeight="1" x14ac:dyDescent="0.3">
      <c r="B13" s="2" t="str">
        <f>+TIT!D6</f>
        <v>Akshita Avenue, Holy Cross Road, I. C. Colony, Borivali West, Mumbai - 400 103</v>
      </c>
      <c r="C13" s="2"/>
      <c r="D13" s="2"/>
      <c r="E13" s="2"/>
      <c r="F13" s="2"/>
      <c r="G13" s="2"/>
      <c r="H13" s="2"/>
      <c r="I13" s="2"/>
      <c r="J13" s="2"/>
      <c r="K13" s="2"/>
      <c r="L13" s="2"/>
      <c r="M13" s="2"/>
    </row>
    <row r="14" spans="2:13" ht="15" customHeight="1" x14ac:dyDescent="0.3">
      <c r="B14" s="2"/>
      <c r="C14" s="2"/>
      <c r="D14" s="2"/>
      <c r="E14" s="2"/>
      <c r="F14" s="2"/>
      <c r="G14" s="2"/>
      <c r="H14" s="2"/>
      <c r="I14" s="2"/>
      <c r="J14" s="2"/>
      <c r="K14" s="2"/>
      <c r="L14" s="2"/>
      <c r="M14" s="2"/>
    </row>
    <row r="16" spans="2:13" ht="15" customHeight="1" x14ac:dyDescent="0.3">
      <c r="B16" s="12" t="str">
        <f>"Sub :- Statutory audit of your society for the Financial Year ended on "&amp;TEXT(DATE(2026,3,31),"dd-mmm-yyyy")</f>
        <v>Sub :- Statutory audit of your society for the Financial Year ended on 31-Mar-2026</v>
      </c>
      <c r="C16" s="12"/>
      <c r="D16" s="12"/>
      <c r="E16" s="12"/>
      <c r="F16" s="12"/>
      <c r="G16" s="12"/>
      <c r="H16" s="12"/>
      <c r="I16" s="12"/>
      <c r="J16" s="12"/>
      <c r="K16" s="12"/>
      <c r="L16" s="12"/>
      <c r="M16" s="12"/>
    </row>
    <row r="18" spans="2:13" ht="13.5" customHeight="1" x14ac:dyDescent="0.3">
      <c r="C18" s="51" t="s">
        <v>83</v>
      </c>
      <c r="D18" s="51"/>
      <c r="E18" s="51"/>
      <c r="F18" s="51"/>
      <c r="G18" s="51"/>
      <c r="H18" s="51"/>
      <c r="I18" s="51"/>
      <c r="J18" s="51"/>
      <c r="K18" s="51"/>
      <c r="L18" s="51"/>
      <c r="M18" s="51"/>
    </row>
    <row r="20" spans="2:13" ht="67.5" customHeight="1" x14ac:dyDescent="0.3">
      <c r="B20" s="17" t="s">
        <v>84</v>
      </c>
      <c r="C20" s="2" t="s">
        <v>85</v>
      </c>
      <c r="D20" s="2"/>
      <c r="E20" s="2"/>
      <c r="F20" s="2"/>
      <c r="G20" s="2"/>
      <c r="H20" s="2"/>
      <c r="I20" s="2"/>
      <c r="J20" s="2"/>
      <c r="K20" s="2"/>
      <c r="L20" s="2"/>
      <c r="M20" s="2"/>
    </row>
    <row r="22" spans="2:13" ht="13.5" customHeight="1" x14ac:dyDescent="0.3">
      <c r="C22" s="51" t="s">
        <v>86</v>
      </c>
      <c r="D22" s="51"/>
      <c r="E22" s="51"/>
      <c r="F22" s="51"/>
      <c r="G22" s="51"/>
      <c r="H22" s="51"/>
      <c r="I22" s="51"/>
      <c r="J22" s="51"/>
      <c r="K22" s="51"/>
      <c r="L22" s="51"/>
      <c r="M22" s="51"/>
    </row>
    <row r="23" spans="2:13" ht="162" customHeight="1" x14ac:dyDescent="0.3">
      <c r="B23" s="17" t="s">
        <v>87</v>
      </c>
      <c r="C23" s="2" t="s">
        <v>88</v>
      </c>
      <c r="D23" s="2"/>
      <c r="E23" s="2"/>
      <c r="F23" s="2"/>
      <c r="G23" s="2"/>
      <c r="H23" s="2"/>
      <c r="I23" s="2"/>
      <c r="J23" s="2"/>
      <c r="K23" s="2"/>
      <c r="L23" s="2"/>
      <c r="M23" s="2"/>
    </row>
    <row r="25" spans="2:13" ht="13.5" customHeight="1" x14ac:dyDescent="0.3">
      <c r="C25" s="51" t="s">
        <v>89</v>
      </c>
      <c r="D25" s="51"/>
      <c r="E25" s="51"/>
      <c r="F25" s="51"/>
      <c r="G25" s="51"/>
      <c r="H25" s="51"/>
      <c r="I25" s="51"/>
      <c r="J25" s="51"/>
      <c r="K25" s="51"/>
      <c r="L25" s="51"/>
      <c r="M25" s="51"/>
    </row>
    <row r="26" spans="2:13" ht="108" customHeight="1" x14ac:dyDescent="0.3">
      <c r="B26" s="17" t="s">
        <v>90</v>
      </c>
      <c r="C26" s="2" t="s">
        <v>91</v>
      </c>
      <c r="D26" s="2"/>
      <c r="E26" s="2"/>
      <c r="F26" s="2"/>
      <c r="G26" s="2"/>
      <c r="H26" s="2"/>
      <c r="I26" s="2"/>
      <c r="J26" s="2"/>
      <c r="K26" s="2"/>
      <c r="L26" s="2"/>
      <c r="M26" s="2"/>
    </row>
    <row r="28" spans="2:13" ht="135" customHeight="1" x14ac:dyDescent="0.3">
      <c r="B28" s="17" t="s">
        <v>92</v>
      </c>
      <c r="C28" s="2" t="s">
        <v>93</v>
      </c>
      <c r="D28" s="2"/>
      <c r="E28" s="2"/>
      <c r="F28" s="2"/>
      <c r="G28" s="2"/>
      <c r="H28" s="2"/>
      <c r="I28" s="2"/>
      <c r="J28" s="2"/>
      <c r="K28" s="2"/>
      <c r="L28" s="2"/>
      <c r="M28" s="2"/>
    </row>
    <row r="30" spans="2:13" ht="27" customHeight="1" x14ac:dyDescent="0.3">
      <c r="B30" s="17" t="s">
        <v>94</v>
      </c>
      <c r="C30" s="2" t="s">
        <v>95</v>
      </c>
      <c r="D30" s="2"/>
      <c r="E30" s="2"/>
      <c r="F30" s="2"/>
      <c r="G30" s="2"/>
      <c r="H30" s="2"/>
      <c r="I30" s="2"/>
      <c r="J30" s="2"/>
      <c r="K30" s="2"/>
      <c r="L30" s="2"/>
      <c r="M30" s="2"/>
    </row>
    <row r="32" spans="2:13" ht="13.5" customHeight="1" x14ac:dyDescent="0.3">
      <c r="C32" s="51" t="s">
        <v>96</v>
      </c>
      <c r="D32" s="51"/>
      <c r="E32" s="51"/>
      <c r="F32" s="51"/>
      <c r="G32" s="51"/>
      <c r="H32" s="51"/>
      <c r="I32" s="51"/>
      <c r="J32" s="51"/>
      <c r="K32" s="51"/>
      <c r="L32" s="51"/>
      <c r="M32" s="51"/>
    </row>
    <row r="33" spans="2:13" ht="148.5" customHeight="1" x14ac:dyDescent="0.3">
      <c r="B33" s="17" t="s">
        <v>97</v>
      </c>
      <c r="C33" s="2" t="s">
        <v>98</v>
      </c>
      <c r="D33" s="2"/>
      <c r="E33" s="2"/>
      <c r="F33" s="2"/>
      <c r="G33" s="2"/>
      <c r="H33" s="2"/>
      <c r="I33" s="2"/>
      <c r="J33" s="2"/>
      <c r="K33" s="2"/>
      <c r="L33" s="2"/>
      <c r="M33" s="2"/>
    </row>
    <row r="35" spans="2:13" ht="13.5" customHeight="1" x14ac:dyDescent="0.3">
      <c r="C35" s="51" t="s">
        <v>99</v>
      </c>
      <c r="D35" s="51"/>
      <c r="E35" s="51"/>
      <c r="F35" s="51"/>
      <c r="G35" s="51"/>
      <c r="H35" s="51"/>
      <c r="I35" s="51"/>
      <c r="J35" s="51"/>
      <c r="K35" s="51"/>
      <c r="L35" s="51"/>
      <c r="M35" s="51"/>
    </row>
    <row r="36" spans="2:13" ht="81" customHeight="1" x14ac:dyDescent="0.3">
      <c r="B36" s="17" t="s">
        <v>100</v>
      </c>
      <c r="C36" s="2" t="s">
        <v>101</v>
      </c>
      <c r="D36" s="2"/>
      <c r="E36" s="2"/>
      <c r="F36" s="2"/>
      <c r="G36" s="2"/>
      <c r="H36" s="2"/>
      <c r="I36" s="2"/>
      <c r="J36" s="2"/>
      <c r="K36" s="2"/>
      <c r="L36" s="2"/>
      <c r="M36" s="2"/>
    </row>
    <row r="38" spans="2:13" ht="27" customHeight="1" x14ac:dyDescent="0.3">
      <c r="C38" s="17" t="s">
        <v>102</v>
      </c>
      <c r="D38" s="2" t="s">
        <v>103</v>
      </c>
      <c r="E38" s="2"/>
      <c r="F38" s="2"/>
      <c r="G38" s="2"/>
      <c r="H38" s="2"/>
      <c r="I38" s="2"/>
      <c r="J38" s="2"/>
      <c r="K38" s="2"/>
      <c r="L38" s="2"/>
      <c r="M38" s="2"/>
    </row>
    <row r="40" spans="2:13" ht="15" customHeight="1" x14ac:dyDescent="0.3">
      <c r="C40" s="17" t="s">
        <v>104</v>
      </c>
      <c r="D40" s="2" t="s">
        <v>105</v>
      </c>
      <c r="E40" s="2"/>
      <c r="F40" s="2"/>
      <c r="G40" s="2"/>
      <c r="H40" s="2"/>
      <c r="I40" s="2"/>
      <c r="J40" s="2"/>
      <c r="K40" s="2"/>
      <c r="L40" s="2"/>
      <c r="M40" s="2"/>
    </row>
    <row r="41" spans="2:13" ht="15" customHeight="1" x14ac:dyDescent="0.3">
      <c r="D41" s="2"/>
      <c r="E41" s="2"/>
      <c r="F41" s="2"/>
      <c r="G41" s="2"/>
      <c r="H41" s="2"/>
      <c r="I41" s="2"/>
      <c r="J41" s="2"/>
      <c r="K41" s="2"/>
      <c r="L41" s="2"/>
      <c r="M41" s="2"/>
    </row>
    <row r="43" spans="2:13" ht="13.5" customHeight="1" x14ac:dyDescent="0.3">
      <c r="C43" s="51" t="s">
        <v>106</v>
      </c>
      <c r="D43" s="51"/>
      <c r="E43" s="51"/>
      <c r="F43" s="51"/>
      <c r="G43" s="51"/>
      <c r="H43" s="51"/>
      <c r="I43" s="51"/>
      <c r="J43" s="51"/>
      <c r="K43" s="51"/>
      <c r="L43" s="51"/>
      <c r="M43" s="51"/>
    </row>
    <row r="44" spans="2:13" ht="40.5" customHeight="1" x14ac:dyDescent="0.3">
      <c r="C44" s="2" t="s">
        <v>107</v>
      </c>
      <c r="D44" s="2"/>
      <c r="E44" s="2"/>
      <c r="F44" s="2"/>
      <c r="G44" s="2"/>
      <c r="H44" s="2"/>
      <c r="I44" s="2"/>
      <c r="J44" s="2"/>
      <c r="K44" s="2"/>
      <c r="L44" s="2"/>
      <c r="M44" s="2"/>
    </row>
    <row r="45" spans="2:13" ht="27" customHeight="1" x14ac:dyDescent="0.3">
      <c r="B45" s="17" t="s">
        <v>108</v>
      </c>
      <c r="C45" s="2" t="s">
        <v>109</v>
      </c>
      <c r="D45" s="2"/>
      <c r="E45" s="2"/>
      <c r="F45" s="2"/>
      <c r="G45" s="2"/>
      <c r="H45" s="2"/>
      <c r="I45" s="2"/>
      <c r="J45" s="2"/>
      <c r="K45" s="2"/>
      <c r="L45" s="2"/>
      <c r="M45" s="2"/>
    </row>
    <row r="47" spans="2:13" ht="13.5" customHeight="1" x14ac:dyDescent="0.3">
      <c r="B47" s="17" t="s">
        <v>110</v>
      </c>
      <c r="C47" s="51" t="s">
        <v>111</v>
      </c>
      <c r="D47" s="51"/>
      <c r="E47" s="51"/>
      <c r="F47" s="51"/>
      <c r="G47" s="51"/>
      <c r="H47" s="51"/>
      <c r="I47" s="51"/>
      <c r="J47" s="51"/>
      <c r="K47" s="51"/>
      <c r="L47" s="51"/>
      <c r="M47" s="51"/>
    </row>
    <row r="48" spans="2:13" ht="67.5" customHeight="1" x14ac:dyDescent="0.3">
      <c r="C48" s="17" t="s">
        <v>112</v>
      </c>
      <c r="D48" s="2" t="s">
        <v>113</v>
      </c>
      <c r="E48" s="2"/>
      <c r="F48" s="2"/>
      <c r="G48" s="2"/>
      <c r="H48" s="2"/>
      <c r="I48" s="2"/>
      <c r="J48" s="2"/>
      <c r="K48" s="2"/>
      <c r="L48" s="2"/>
      <c r="M48" s="2"/>
    </row>
    <row r="50" spans="2:13" ht="54" customHeight="1" x14ac:dyDescent="0.3">
      <c r="C50" s="17" t="s">
        <v>114</v>
      </c>
      <c r="D50" s="2" t="s">
        <v>115</v>
      </c>
      <c r="E50" s="2"/>
      <c r="F50" s="2"/>
      <c r="G50" s="2"/>
      <c r="H50" s="2"/>
      <c r="I50" s="2"/>
      <c r="J50" s="2"/>
      <c r="K50" s="2"/>
      <c r="L50" s="2"/>
      <c r="M50" s="2"/>
    </row>
    <row r="52" spans="2:13" ht="27" customHeight="1" x14ac:dyDescent="0.3">
      <c r="C52" s="17" t="s">
        <v>116</v>
      </c>
      <c r="D52" s="2" t="s">
        <v>117</v>
      </c>
      <c r="E52" s="2"/>
      <c r="F52" s="2"/>
      <c r="G52" s="2"/>
      <c r="H52" s="2"/>
      <c r="I52" s="2"/>
      <c r="J52" s="2"/>
      <c r="K52" s="2"/>
      <c r="L52" s="2"/>
      <c r="M52" s="2"/>
    </row>
    <row r="54" spans="2:13" ht="27" customHeight="1" x14ac:dyDescent="0.3">
      <c r="B54" s="17" t="s">
        <v>118</v>
      </c>
      <c r="C54" s="2" t="s">
        <v>119</v>
      </c>
      <c r="D54" s="2"/>
      <c r="E54" s="2"/>
      <c r="F54" s="2"/>
      <c r="G54" s="2"/>
      <c r="H54" s="2"/>
      <c r="I54" s="2"/>
      <c r="J54" s="2"/>
      <c r="K54" s="2"/>
      <c r="L54" s="2"/>
      <c r="M54" s="2"/>
    </row>
    <row r="56" spans="2:13" ht="13.5" customHeight="1" x14ac:dyDescent="0.3">
      <c r="B56" s="17" t="s">
        <v>120</v>
      </c>
      <c r="C56" s="51" t="s">
        <v>121</v>
      </c>
      <c r="D56" s="51"/>
      <c r="E56" s="51"/>
      <c r="F56" s="51"/>
      <c r="G56" s="51"/>
      <c r="H56" s="51"/>
      <c r="I56" s="51"/>
      <c r="J56" s="51"/>
      <c r="K56" s="51"/>
      <c r="L56" s="51"/>
      <c r="M56" s="51"/>
    </row>
    <row r="57" spans="2:13" ht="54" customHeight="1" x14ac:dyDescent="0.3">
      <c r="C57" s="17" t="s">
        <v>102</v>
      </c>
      <c r="D57" s="2" t="s">
        <v>122</v>
      </c>
      <c r="E57" s="2"/>
      <c r="F57" s="2"/>
      <c r="G57" s="2"/>
      <c r="H57" s="2"/>
      <c r="I57" s="2"/>
      <c r="J57" s="2"/>
      <c r="K57" s="2"/>
      <c r="L57" s="2"/>
      <c r="M57" s="2"/>
    </row>
    <row r="59" spans="2:13" ht="27" customHeight="1" x14ac:dyDescent="0.3">
      <c r="C59" s="17" t="s">
        <v>104</v>
      </c>
      <c r="D59" s="2" t="s">
        <v>123</v>
      </c>
      <c r="E59" s="2"/>
      <c r="F59" s="2"/>
      <c r="G59" s="2"/>
      <c r="H59" s="2"/>
      <c r="I59" s="2"/>
      <c r="J59" s="2"/>
      <c r="K59" s="2"/>
      <c r="L59" s="2"/>
      <c r="M59" s="2"/>
    </row>
    <row r="61" spans="2:13" ht="15" customHeight="1" x14ac:dyDescent="0.3">
      <c r="B61" s="52" t="s">
        <v>124</v>
      </c>
      <c r="C61" s="52"/>
      <c r="D61" s="52"/>
      <c r="E61" s="52"/>
      <c r="F61" s="52"/>
      <c r="G61" s="52"/>
      <c r="H61" s="52"/>
      <c r="I61" s="52"/>
      <c r="J61" s="52"/>
      <c r="K61" s="52"/>
      <c r="L61" s="52"/>
      <c r="M61" s="52"/>
    </row>
    <row r="62" spans="2:13" ht="15" customHeight="1" x14ac:dyDescent="0.3">
      <c r="C62" s="12" t="str">
        <f>"The Society has been awarded "&amp;CHAR(34)&amp;TIT!D32&amp;CHAR(34)&amp;" Audit Classification for the Co-operative financial year 2025-2026."</f>
        <v>The Society has been awarded "B" Audit Classification for the Co-operative financial year 2025-2026.</v>
      </c>
      <c r="D62" s="12"/>
      <c r="E62" s="12"/>
      <c r="F62" s="12"/>
      <c r="G62" s="12"/>
      <c r="H62" s="12"/>
      <c r="I62" s="12"/>
      <c r="J62" s="12"/>
      <c r="K62" s="12"/>
      <c r="L62" s="12"/>
      <c r="M62" s="12"/>
    </row>
    <row r="69" spans="3:7" ht="15" customHeight="1" x14ac:dyDescent="0.3">
      <c r="C69" s="15" t="str">
        <f>+TIT!D9</f>
        <v>Shri. Bharat C. Boridkar</v>
      </c>
    </row>
    <row r="70" spans="3:7" ht="15" customHeight="1" x14ac:dyDescent="0.3">
      <c r="C70" s="17" t="str">
        <f>+TIT!F9</f>
        <v>Govt. Certified Panel Auditor</v>
      </c>
    </row>
    <row r="71" spans="3:7" ht="15" customHeight="1" x14ac:dyDescent="0.3">
      <c r="C71" s="17" t="s">
        <v>77</v>
      </c>
    </row>
    <row r="72" spans="3:7" ht="15" customHeight="1" x14ac:dyDescent="0.3">
      <c r="C72" s="17" t="str">
        <f>"Co-op Soc Empanelment Number : "&amp;TIT!D10</f>
        <v>Co-op Soc Empanelment Number : Mumbai-4/C1/1011404</v>
      </c>
    </row>
    <row r="73" spans="3:7" ht="15" customHeight="1" x14ac:dyDescent="0.3">
      <c r="C73" s="1">
        <f>+TIT!D12</f>
        <v>46282</v>
      </c>
      <c r="D73" s="1"/>
      <c r="E73" s="1"/>
      <c r="F73" s="1"/>
      <c r="G73" s="1"/>
    </row>
  </sheetData>
  <mergeCells count="35">
    <mergeCell ref="D57:M57"/>
    <mergeCell ref="D59:M59"/>
    <mergeCell ref="B61:M61"/>
    <mergeCell ref="C62:M62"/>
    <mergeCell ref="C73:G73"/>
    <mergeCell ref="D48:M48"/>
    <mergeCell ref="D50:M50"/>
    <mergeCell ref="D52:M52"/>
    <mergeCell ref="C54:M54"/>
    <mergeCell ref="C56:M56"/>
    <mergeCell ref="D40:M41"/>
    <mergeCell ref="C43:M43"/>
    <mergeCell ref="C44:M44"/>
    <mergeCell ref="C45:M45"/>
    <mergeCell ref="C47:M47"/>
    <mergeCell ref="C32:M32"/>
    <mergeCell ref="C33:M33"/>
    <mergeCell ref="C35:M35"/>
    <mergeCell ref="C36:M36"/>
    <mergeCell ref="D38:M38"/>
    <mergeCell ref="C23:M23"/>
    <mergeCell ref="C25:M25"/>
    <mergeCell ref="C26:M26"/>
    <mergeCell ref="C28:M28"/>
    <mergeCell ref="C30:M30"/>
    <mergeCell ref="B13:M14"/>
    <mergeCell ref="B16:M16"/>
    <mergeCell ref="C18:M18"/>
    <mergeCell ref="C20:M20"/>
    <mergeCell ref="C22:M22"/>
    <mergeCell ref="B2:M2"/>
    <mergeCell ref="B3:M3"/>
    <mergeCell ref="B4:M4"/>
    <mergeCell ref="B7:M7"/>
    <mergeCell ref="B8:M8"/>
  </mergeCells>
  <pageMargins left="0.4" right="0.4" top="0.5" bottom="0.5" header="0.511811023622047" footer="0.511811023622047"/>
  <pageSetup paperSize="9"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45"/>
  <sheetViews>
    <sheetView showGridLines="0" zoomScaleNormal="100" workbookViewId="0"/>
  </sheetViews>
  <sheetFormatPr defaultColWidth="8.6640625" defaultRowHeight="14.4" x14ac:dyDescent="0.3"/>
  <cols>
    <col min="1" max="1" width="3" customWidth="1"/>
    <col min="2" max="2" width="2.44140625" customWidth="1"/>
    <col min="3" max="3" width="9" customWidth="1"/>
    <col min="4" max="4" width="8" customWidth="1"/>
    <col min="5" max="7" width="9" customWidth="1"/>
    <col min="8" max="8" width="8.44140625" customWidth="1"/>
    <col min="9" max="9" width="8" customWidth="1"/>
    <col min="10" max="10" width="6" customWidth="1"/>
    <col min="11" max="11" width="8" customWidth="1"/>
    <col min="12" max="12" width="6.5546875" customWidth="1"/>
    <col min="13" max="13" width="9.5546875" customWidth="1"/>
  </cols>
  <sheetData>
    <row r="1" spans="1:13" ht="15" customHeight="1" x14ac:dyDescent="0.3">
      <c r="A1" s="4" t="str">
        <f>+TIT!D2</f>
        <v>AKSHITA AVENUE CO-OPERATIVE HOUSING SOCIETY LTD.</v>
      </c>
      <c r="B1" s="4"/>
      <c r="C1" s="4"/>
      <c r="D1" s="4"/>
      <c r="E1" s="4"/>
      <c r="F1" s="4"/>
      <c r="G1" s="4"/>
      <c r="H1" s="4"/>
      <c r="I1" s="4"/>
      <c r="J1" s="4"/>
      <c r="K1" s="4"/>
      <c r="L1" s="4"/>
      <c r="M1" s="4"/>
    </row>
    <row r="2" spans="1:13" ht="15" customHeight="1" x14ac:dyDescent="0.3">
      <c r="A2" s="5" t="str">
        <f>+TIT!D3</f>
        <v>BOM (WR) / HSG (TC) 10502-99-2000</v>
      </c>
      <c r="B2" s="5"/>
      <c r="C2" s="5"/>
      <c r="D2" s="5"/>
      <c r="E2" s="5"/>
      <c r="F2" s="5"/>
      <c r="G2" s="5"/>
      <c r="H2" s="5"/>
      <c r="I2" s="5"/>
      <c r="J2" s="5"/>
      <c r="K2" s="5"/>
      <c r="L2" s="5"/>
      <c r="M2" s="5"/>
    </row>
    <row r="3" spans="1:13" ht="15" customHeight="1" x14ac:dyDescent="0.3">
      <c r="A3" s="3" t="str">
        <f>+TIT!D6</f>
        <v>Akshita Avenue, Holy Cross Road, I. C. Colony, Borivali West, Mumbai - 400 103</v>
      </c>
      <c r="B3" s="3"/>
      <c r="C3" s="3"/>
      <c r="D3" s="3"/>
      <c r="E3" s="3"/>
      <c r="F3" s="3"/>
      <c r="G3" s="3"/>
      <c r="H3" s="3"/>
      <c r="I3" s="3"/>
      <c r="J3" s="3"/>
      <c r="K3" s="3"/>
      <c r="L3" s="3"/>
      <c r="M3" s="3"/>
    </row>
    <row r="4" spans="1:13" ht="15" customHeight="1" x14ac:dyDescent="0.3">
      <c r="A4" s="53" t="s">
        <v>125</v>
      </c>
      <c r="B4" s="53"/>
      <c r="C4" s="53"/>
      <c r="D4" s="53"/>
      <c r="E4" s="53"/>
      <c r="F4" s="53"/>
      <c r="G4" s="53"/>
      <c r="H4" s="53"/>
      <c r="I4" s="53"/>
      <c r="J4" s="53"/>
      <c r="K4" s="53"/>
      <c r="L4" s="53"/>
      <c r="M4" s="53"/>
    </row>
    <row r="5" spans="1:13" ht="15" customHeight="1" x14ac:dyDescent="0.3">
      <c r="A5" s="53"/>
      <c r="B5" s="53"/>
      <c r="C5" s="53"/>
      <c r="D5" s="53"/>
      <c r="E5" s="53"/>
      <c r="F5" s="53"/>
      <c r="G5" s="53"/>
      <c r="H5" s="53"/>
      <c r="I5" s="53"/>
      <c r="J5" s="53"/>
      <c r="K5" s="53"/>
      <c r="L5" s="53"/>
      <c r="M5" s="53"/>
    </row>
    <row r="7" spans="1:13" ht="15" customHeight="1" x14ac:dyDescent="0.3">
      <c r="A7" s="12" t="s">
        <v>126</v>
      </c>
      <c r="B7" s="12"/>
      <c r="C7" s="12"/>
      <c r="D7" s="12"/>
      <c r="E7" s="12"/>
      <c r="F7" s="12"/>
      <c r="G7" s="12"/>
      <c r="H7" s="12"/>
      <c r="I7" s="12"/>
      <c r="J7" s="54">
        <f>+TIT!D12</f>
        <v>46282</v>
      </c>
      <c r="K7" s="54"/>
    </row>
    <row r="8" spans="1:13" ht="15" customHeight="1" x14ac:dyDescent="0.3">
      <c r="A8" s="55" t="s">
        <v>127</v>
      </c>
      <c r="B8" s="55"/>
      <c r="C8" s="55"/>
      <c r="D8" s="55"/>
      <c r="E8" s="55"/>
      <c r="F8" s="55"/>
      <c r="G8" s="55"/>
      <c r="H8" s="55"/>
      <c r="I8" s="55"/>
      <c r="J8" s="55"/>
      <c r="K8" s="55"/>
      <c r="L8" s="55"/>
      <c r="M8" s="55"/>
    </row>
    <row r="10" spans="1:13" ht="15" customHeight="1" x14ac:dyDescent="0.3">
      <c r="A10" s="56" t="s">
        <v>128</v>
      </c>
      <c r="B10" s="56"/>
      <c r="C10" s="56"/>
      <c r="D10" s="56"/>
      <c r="E10" s="56"/>
      <c r="F10" s="56"/>
      <c r="G10" s="56"/>
      <c r="H10" s="56"/>
      <c r="I10" s="56"/>
      <c r="J10" s="56"/>
      <c r="K10" s="56"/>
      <c r="L10" s="56"/>
      <c r="M10" s="56"/>
    </row>
    <row r="11" spans="1:13" ht="24.75" customHeight="1" x14ac:dyDescent="0.3">
      <c r="C11" s="51" t="s">
        <v>129</v>
      </c>
      <c r="D11" s="51"/>
      <c r="E11" s="51"/>
      <c r="F11" s="51"/>
      <c r="G11" s="51"/>
      <c r="H11" s="51"/>
      <c r="I11" s="51"/>
      <c r="J11" s="51"/>
      <c r="K11" s="51"/>
      <c r="L11" s="51"/>
      <c r="M11" s="51"/>
    </row>
    <row r="12" spans="1:13" ht="13.5" customHeight="1" x14ac:dyDescent="0.3">
      <c r="D12" s="2" t="s">
        <v>130</v>
      </c>
      <c r="E12" s="2"/>
      <c r="F12" s="2"/>
      <c r="G12" s="2"/>
      <c r="H12" s="2"/>
      <c r="I12" s="2"/>
      <c r="J12" s="2"/>
      <c r="K12" s="2"/>
      <c r="L12" s="2"/>
      <c r="M12" s="2"/>
    </row>
    <row r="14" spans="1:13" ht="15" customHeight="1" x14ac:dyDescent="0.3">
      <c r="A14" s="56" t="s">
        <v>131</v>
      </c>
      <c r="B14" s="56"/>
      <c r="C14" s="56"/>
      <c r="D14" s="56"/>
      <c r="E14" s="56"/>
      <c r="F14" s="56"/>
      <c r="G14" s="56"/>
      <c r="H14" s="56"/>
      <c r="I14" s="56"/>
      <c r="J14" s="56"/>
      <c r="K14" s="56"/>
      <c r="L14" s="56"/>
      <c r="M14" s="56"/>
    </row>
    <row r="15" spans="1:13" ht="13.5" customHeight="1" x14ac:dyDescent="0.3">
      <c r="C15" s="51" t="s">
        <v>132</v>
      </c>
      <c r="D15" s="51"/>
      <c r="E15" s="51"/>
      <c r="F15" s="51"/>
      <c r="G15" s="51"/>
      <c r="H15" s="51"/>
      <c r="I15" s="51"/>
      <c r="J15" s="51"/>
      <c r="K15" s="51"/>
      <c r="L15" s="51"/>
      <c r="M15" s="51"/>
    </row>
    <row r="16" spans="1:13" ht="40.5" customHeight="1" x14ac:dyDescent="0.3">
      <c r="D16" s="2" t="s">
        <v>133</v>
      </c>
      <c r="E16" s="2"/>
      <c r="F16" s="2"/>
      <c r="G16" s="2"/>
      <c r="H16" s="2"/>
      <c r="I16" s="2"/>
      <c r="J16" s="2"/>
      <c r="K16" s="2"/>
      <c r="L16" s="2"/>
      <c r="M16" s="2"/>
    </row>
    <row r="18" spans="1:13" ht="15" customHeight="1" x14ac:dyDescent="0.3">
      <c r="A18" s="56" t="s">
        <v>134</v>
      </c>
      <c r="B18" s="56"/>
      <c r="C18" s="56"/>
      <c r="D18" s="56"/>
      <c r="E18" s="56"/>
      <c r="F18" s="56"/>
      <c r="G18" s="56"/>
      <c r="H18" s="56"/>
      <c r="I18" s="56"/>
      <c r="J18" s="56"/>
      <c r="K18" s="56"/>
      <c r="L18" s="56"/>
      <c r="M18" s="56"/>
    </row>
    <row r="19" spans="1:13" ht="27" customHeight="1" x14ac:dyDescent="0.3">
      <c r="C19" s="51" t="s">
        <v>135</v>
      </c>
      <c r="D19" s="51"/>
      <c r="E19" s="51"/>
      <c r="F19" s="51"/>
      <c r="G19" s="51"/>
      <c r="H19" s="51"/>
      <c r="I19" s="51"/>
      <c r="J19" s="51"/>
      <c r="K19" s="51"/>
      <c r="L19" s="51"/>
      <c r="M19" s="51"/>
    </row>
    <row r="20" spans="1:13" ht="40.5" customHeight="1" x14ac:dyDescent="0.3">
      <c r="D20" s="2" t="s">
        <v>136</v>
      </c>
      <c r="E20" s="2"/>
      <c r="F20" s="2"/>
      <c r="G20" s="2"/>
      <c r="H20" s="2"/>
      <c r="I20" s="2"/>
      <c r="J20" s="2"/>
      <c r="K20" s="2"/>
      <c r="L20" s="2"/>
      <c r="M20" s="2"/>
    </row>
    <row r="22" spans="1:13" ht="15" customHeight="1" x14ac:dyDescent="0.3">
      <c r="A22" s="56" t="s">
        <v>137</v>
      </c>
      <c r="B22" s="56"/>
      <c r="C22" s="56"/>
      <c r="D22" s="56"/>
      <c r="E22" s="56"/>
      <c r="F22" s="56"/>
      <c r="G22" s="56"/>
      <c r="H22" s="56"/>
      <c r="I22" s="56"/>
      <c r="J22" s="56"/>
      <c r="K22" s="56"/>
      <c r="L22" s="56"/>
      <c r="M22" s="56"/>
    </row>
    <row r="23" spans="1:13" ht="13.5" customHeight="1" x14ac:dyDescent="0.3">
      <c r="C23" s="51" t="s">
        <v>138</v>
      </c>
      <c r="D23" s="51"/>
      <c r="E23" s="51"/>
      <c r="F23" s="51"/>
      <c r="G23" s="51"/>
      <c r="H23" s="51"/>
      <c r="I23" s="51"/>
      <c r="J23" s="51"/>
      <c r="K23" s="51"/>
      <c r="L23" s="51"/>
      <c r="M23" s="51"/>
    </row>
    <row r="24" spans="1:13" ht="13.5" customHeight="1" x14ac:dyDescent="0.3">
      <c r="D24" s="2" t="s">
        <v>139</v>
      </c>
      <c r="E24" s="2"/>
      <c r="F24" s="2"/>
      <c r="G24" s="2"/>
      <c r="H24" s="2"/>
      <c r="I24" s="2"/>
      <c r="J24" s="2"/>
      <c r="K24" s="2"/>
      <c r="L24" s="2"/>
      <c r="M24" s="2"/>
    </row>
    <row r="26" spans="1:13" ht="13.5" customHeight="1" x14ac:dyDescent="0.3">
      <c r="C26" s="51" t="s">
        <v>140</v>
      </c>
      <c r="D26" s="51"/>
      <c r="E26" s="51"/>
      <c r="F26" s="51"/>
      <c r="G26" s="51"/>
      <c r="H26" s="51"/>
      <c r="I26" s="51"/>
      <c r="J26" s="51"/>
      <c r="K26" s="51"/>
      <c r="L26" s="51"/>
      <c r="M26" s="51"/>
    </row>
    <row r="27" spans="1:13" ht="13.5" customHeight="1" x14ac:dyDescent="0.3">
      <c r="D27" s="2" t="s">
        <v>141</v>
      </c>
      <c r="E27" s="2"/>
      <c r="F27" s="2"/>
      <c r="G27" s="2"/>
      <c r="H27" s="2"/>
      <c r="I27" s="2"/>
      <c r="J27" s="2"/>
      <c r="K27" s="2"/>
      <c r="L27" s="2"/>
      <c r="M27" s="2"/>
    </row>
    <row r="28" spans="1:13" ht="15" customHeight="1" x14ac:dyDescent="0.3">
      <c r="A28" s="56" t="s">
        <v>142</v>
      </c>
      <c r="B28" s="56"/>
      <c r="C28" s="56"/>
      <c r="D28" s="56"/>
      <c r="E28" s="56"/>
      <c r="F28" s="56"/>
      <c r="G28" s="56"/>
      <c r="H28" s="56"/>
      <c r="I28" s="56"/>
      <c r="J28" s="56"/>
      <c r="K28" s="56"/>
      <c r="L28" s="56"/>
      <c r="M28" s="56"/>
    </row>
    <row r="29" spans="1:13" ht="24.75" customHeight="1" x14ac:dyDescent="0.3">
      <c r="C29" s="51" t="s">
        <v>143</v>
      </c>
      <c r="D29" s="51"/>
      <c r="E29" s="51"/>
      <c r="F29" s="51"/>
      <c r="G29" s="51"/>
      <c r="H29" s="51"/>
      <c r="I29" s="51"/>
      <c r="J29" s="51"/>
      <c r="K29" s="51"/>
      <c r="L29" s="51"/>
      <c r="M29" s="51"/>
    </row>
    <row r="30" spans="1:13" ht="13.5" customHeight="1" x14ac:dyDescent="0.3">
      <c r="D30" s="2" t="s">
        <v>141</v>
      </c>
      <c r="E30" s="2"/>
      <c r="F30" s="2"/>
      <c r="G30" s="2"/>
      <c r="H30" s="2"/>
      <c r="I30" s="2"/>
      <c r="J30" s="2"/>
      <c r="K30" s="2"/>
      <c r="L30" s="2"/>
      <c r="M30" s="2"/>
    </row>
    <row r="32" spans="1:13" ht="15" customHeight="1" x14ac:dyDescent="0.3">
      <c r="A32" s="56" t="s">
        <v>144</v>
      </c>
      <c r="B32" s="56"/>
      <c r="C32" s="56"/>
      <c r="D32" s="56"/>
      <c r="E32" s="56"/>
      <c r="F32" s="56"/>
      <c r="G32" s="56"/>
      <c r="H32" s="56"/>
      <c r="I32" s="56"/>
      <c r="J32" s="56"/>
      <c r="K32" s="56"/>
      <c r="L32" s="56"/>
      <c r="M32" s="56"/>
    </row>
    <row r="33" spans="3:13" ht="13.5" customHeight="1" x14ac:dyDescent="0.3">
      <c r="C33" s="51" t="s">
        <v>145</v>
      </c>
      <c r="D33" s="51"/>
      <c r="E33" s="51"/>
      <c r="F33" s="51"/>
      <c r="G33" s="51"/>
      <c r="H33" s="51"/>
      <c r="I33" s="51"/>
      <c r="J33" s="51"/>
      <c r="K33" s="51"/>
      <c r="L33" s="51"/>
      <c r="M33" s="51"/>
    </row>
    <row r="34" spans="3:13" ht="13.5" customHeight="1" x14ac:dyDescent="0.3">
      <c r="D34" s="2" t="s">
        <v>141</v>
      </c>
      <c r="E34" s="2"/>
      <c r="F34" s="2"/>
      <c r="G34" s="2"/>
      <c r="H34" s="2"/>
      <c r="I34" s="2"/>
      <c r="J34" s="2"/>
      <c r="K34" s="2"/>
      <c r="L34" s="2"/>
      <c r="M34" s="2"/>
    </row>
    <row r="42" spans="3:13" ht="15" customHeight="1" x14ac:dyDescent="0.3">
      <c r="C42" s="14" t="str">
        <f>+TIT!D9</f>
        <v>Shri. Bharat C. Boridkar</v>
      </c>
      <c r="D42" s="14"/>
      <c r="E42" s="14"/>
      <c r="F42" s="14"/>
    </row>
    <row r="43" spans="3:13" ht="15" customHeight="1" x14ac:dyDescent="0.3">
      <c r="C43" s="17" t="str">
        <f>"[Panel No.: "&amp;TIT!D10&amp;"]"</f>
        <v>[Panel No.: Mumbai-4/C1/1011404]</v>
      </c>
    </row>
    <row r="44" spans="3:13" ht="15" customHeight="1" x14ac:dyDescent="0.3">
      <c r="C44" s="17" t="str">
        <f>+TIT!F9</f>
        <v>Govt. Certified Panel Auditor</v>
      </c>
    </row>
    <row r="45" spans="3:13" ht="15" customHeight="1" x14ac:dyDescent="0.3">
      <c r="C45" s="1">
        <f>+TIT!D12</f>
        <v>46282</v>
      </c>
      <c r="D45" s="1"/>
      <c r="E45" s="1"/>
      <c r="F45" s="1"/>
    </row>
  </sheetData>
  <mergeCells count="29">
    <mergeCell ref="D34:M34"/>
    <mergeCell ref="C42:F42"/>
    <mergeCell ref="C45:F45"/>
    <mergeCell ref="A28:M28"/>
    <mergeCell ref="C29:M29"/>
    <mergeCell ref="D30:M30"/>
    <mergeCell ref="A32:M32"/>
    <mergeCell ref="C33:M33"/>
    <mergeCell ref="A22:M22"/>
    <mergeCell ref="C23:M23"/>
    <mergeCell ref="D24:M24"/>
    <mergeCell ref="C26:M26"/>
    <mergeCell ref="D27:M27"/>
    <mergeCell ref="C15:M15"/>
    <mergeCell ref="D16:M16"/>
    <mergeCell ref="A18:M18"/>
    <mergeCell ref="C19:M19"/>
    <mergeCell ref="D20:M20"/>
    <mergeCell ref="A8:M8"/>
    <mergeCell ref="A10:M10"/>
    <mergeCell ref="C11:M11"/>
    <mergeCell ref="D12:M12"/>
    <mergeCell ref="A14:M14"/>
    <mergeCell ref="A1:M1"/>
    <mergeCell ref="A2:M2"/>
    <mergeCell ref="A3:M3"/>
    <mergeCell ref="A4:M5"/>
    <mergeCell ref="A7:I7"/>
    <mergeCell ref="J7:K7"/>
  </mergeCells>
  <pageMargins left="0.4" right="0.4" top="0.5" bottom="0.5"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2"/>
  <sheetViews>
    <sheetView showGridLines="0" topLeftCell="A38" zoomScaleNormal="100" workbookViewId="0">
      <selection activeCell="N19" sqref="N19"/>
    </sheetView>
  </sheetViews>
  <sheetFormatPr defaultColWidth="8.6640625" defaultRowHeight="14.4" x14ac:dyDescent="0.3"/>
  <cols>
    <col min="1" max="1" width="3.21875" customWidth="1"/>
    <col min="2" max="2" width="4.44140625" customWidth="1"/>
    <col min="3" max="3" width="5" customWidth="1"/>
    <col min="4" max="4" width="8" customWidth="1"/>
    <col min="5" max="5" width="9" customWidth="1"/>
    <col min="6" max="6" width="8.21875" customWidth="1"/>
    <col min="7" max="7" width="6.6640625" customWidth="1"/>
    <col min="8" max="8" width="0.77734375" customWidth="1"/>
    <col min="9" max="9" width="11.5546875" bestFit="1" customWidth="1"/>
    <col min="10" max="10" width="6" customWidth="1"/>
    <col min="11" max="11" width="11.5546875" bestFit="1" customWidth="1"/>
    <col min="13" max="13" width="8" customWidth="1"/>
  </cols>
  <sheetData>
    <row r="1" spans="1:13" ht="17.25" customHeight="1" x14ac:dyDescent="0.3">
      <c r="A1" s="57" t="s">
        <v>146</v>
      </c>
      <c r="B1" s="57"/>
      <c r="C1" s="57"/>
      <c r="D1" s="57"/>
      <c r="E1" s="57"/>
      <c r="F1" s="57"/>
      <c r="G1" s="57"/>
      <c r="H1" s="57"/>
      <c r="I1" s="57"/>
      <c r="J1" s="57"/>
      <c r="K1" s="57"/>
      <c r="L1" s="57"/>
      <c r="M1" s="57"/>
    </row>
    <row r="2" spans="1:13" ht="15" customHeight="1" x14ac:dyDescent="0.3">
      <c r="A2" s="53" t="s">
        <v>147</v>
      </c>
      <c r="B2" s="53"/>
      <c r="C2" s="53"/>
      <c r="D2" s="53"/>
      <c r="E2" s="53"/>
      <c r="F2" s="53"/>
      <c r="G2" s="53"/>
      <c r="H2" s="53"/>
      <c r="I2" s="53"/>
      <c r="J2" s="53"/>
      <c r="K2" s="53"/>
      <c r="L2" s="53"/>
      <c r="M2" s="53"/>
    </row>
    <row r="3" spans="1:13" ht="15" customHeight="1" x14ac:dyDescent="0.3">
      <c r="A3" s="53" t="s">
        <v>148</v>
      </c>
      <c r="B3" s="53"/>
      <c r="C3" s="53"/>
      <c r="D3" s="53"/>
      <c r="E3" s="53"/>
      <c r="F3" s="53"/>
      <c r="G3" s="53"/>
      <c r="H3" s="53"/>
      <c r="I3" s="53"/>
      <c r="J3" s="53"/>
      <c r="K3" s="53"/>
      <c r="L3" s="53"/>
      <c r="M3" s="53"/>
    </row>
    <row r="5" spans="1:13" ht="15" customHeight="1" x14ac:dyDescent="0.3">
      <c r="A5" s="16" t="s">
        <v>149</v>
      </c>
      <c r="I5" s="51" t="str">
        <f>+TIT!D2</f>
        <v>AKSHITA AVENUE CO-OPERATIVE HOUSING SOCIETY LTD.</v>
      </c>
      <c r="J5" s="51"/>
      <c r="K5" s="51"/>
      <c r="L5" s="51"/>
      <c r="M5" s="51"/>
    </row>
    <row r="6" spans="1:13" ht="15" customHeight="1" x14ac:dyDescent="0.3">
      <c r="I6" s="51"/>
      <c r="J6" s="51"/>
      <c r="K6" s="51"/>
      <c r="L6" s="51"/>
      <c r="M6" s="51"/>
    </row>
    <row r="7" spans="1:13" ht="15" customHeight="1" x14ac:dyDescent="0.3">
      <c r="A7" s="12" t="s">
        <v>150</v>
      </c>
      <c r="B7" s="12"/>
      <c r="C7" s="12"/>
      <c r="D7" s="12"/>
      <c r="E7" s="12"/>
      <c r="F7" s="12"/>
      <c r="G7" s="12"/>
      <c r="I7" s="13" t="str">
        <f>+TIT!D13</f>
        <v>-</v>
      </c>
      <c r="J7" s="13"/>
      <c r="K7" s="13"/>
      <c r="L7" s="13"/>
      <c r="M7" s="13"/>
    </row>
    <row r="8" spans="1:13" ht="15" customHeight="1" x14ac:dyDescent="0.3">
      <c r="A8" s="16" t="s">
        <v>151</v>
      </c>
      <c r="I8" s="2" t="str">
        <f>+TIT!D6</f>
        <v>Akshita Avenue, Holy Cross Road, I. C. Colony, Borivali West, Mumbai - 400 103</v>
      </c>
      <c r="J8" s="2"/>
      <c r="K8" s="2"/>
      <c r="L8" s="2"/>
      <c r="M8" s="2"/>
    </row>
    <row r="9" spans="1:13" ht="15" customHeight="1" x14ac:dyDescent="0.3">
      <c r="I9" s="2"/>
      <c r="J9" s="2"/>
      <c r="K9" s="2"/>
      <c r="L9" s="2"/>
      <c r="M9" s="2"/>
    </row>
    <row r="10" spans="1:13" ht="15" customHeight="1" x14ac:dyDescent="0.3">
      <c r="A10" s="16" t="s">
        <v>152</v>
      </c>
      <c r="I10" s="13" t="s">
        <v>153</v>
      </c>
      <c r="J10" s="13"/>
      <c r="K10" s="13"/>
      <c r="L10" s="13"/>
      <c r="M10" s="13"/>
    </row>
    <row r="11" spans="1:13" ht="15" customHeight="1" x14ac:dyDescent="0.3">
      <c r="A11" s="16" t="s">
        <v>3</v>
      </c>
      <c r="I11" s="13" t="str">
        <f>+TIT!D3</f>
        <v>BOM (WR) / HSG (TC) 10502-99-2000</v>
      </c>
      <c r="J11" s="13"/>
      <c r="K11" s="13"/>
      <c r="L11" s="13"/>
      <c r="M11" s="13"/>
    </row>
    <row r="12" spans="1:13" ht="15" customHeight="1" x14ac:dyDescent="0.3">
      <c r="A12" s="16" t="s">
        <v>5</v>
      </c>
      <c r="I12" s="1">
        <f>+TIT!D4</f>
        <v>36383</v>
      </c>
      <c r="J12" s="1"/>
      <c r="K12" s="1"/>
      <c r="L12" s="1"/>
      <c r="M12" s="1"/>
    </row>
    <row r="13" spans="1:13" ht="15" customHeight="1" x14ac:dyDescent="0.3">
      <c r="A13" s="16" t="s">
        <v>6</v>
      </c>
      <c r="I13" s="13" t="s">
        <v>154</v>
      </c>
      <c r="J13" s="13"/>
      <c r="K13" s="13"/>
      <c r="L13" s="13"/>
      <c r="M13" s="13"/>
    </row>
    <row r="14" spans="1:13" ht="15" customHeight="1" x14ac:dyDescent="0.3">
      <c r="A14" s="51" t="s">
        <v>155</v>
      </c>
      <c r="B14" s="51"/>
      <c r="C14" s="51"/>
      <c r="D14" s="51"/>
      <c r="E14" s="51"/>
      <c r="F14" s="51"/>
      <c r="G14" s="51"/>
      <c r="I14" s="13" t="s">
        <v>156</v>
      </c>
      <c r="J14" s="13"/>
      <c r="K14" s="13"/>
      <c r="L14" s="13"/>
      <c r="M14" s="13"/>
    </row>
    <row r="15" spans="1:13" ht="15" customHeight="1" x14ac:dyDescent="0.3">
      <c r="A15" s="51"/>
      <c r="B15" s="51"/>
      <c r="C15" s="51"/>
      <c r="D15" s="51"/>
      <c r="E15" s="51"/>
      <c r="F15" s="51"/>
      <c r="G15" s="51"/>
    </row>
    <row r="16" spans="1:13" ht="15" customHeight="1" x14ac:dyDescent="0.3">
      <c r="A16" s="17" t="s">
        <v>157</v>
      </c>
      <c r="B16" s="16" t="s">
        <v>158</v>
      </c>
      <c r="I16" s="12" t="str">
        <f>"‘"&amp;TIT!D32&amp;"’"</f>
        <v>‘B’</v>
      </c>
      <c r="J16" s="12"/>
      <c r="K16" s="12"/>
      <c r="L16" s="12"/>
      <c r="M16" s="12"/>
    </row>
    <row r="17" spans="1:13" ht="15" customHeight="1" x14ac:dyDescent="0.3">
      <c r="A17" s="17" t="s">
        <v>159</v>
      </c>
      <c r="B17" s="12" t="s">
        <v>160</v>
      </c>
      <c r="C17" s="12"/>
      <c r="D17" s="12"/>
      <c r="E17" s="12"/>
      <c r="F17" s="12"/>
      <c r="G17" s="12"/>
      <c r="I17" s="13" t="str">
        <f>+TIT!D33</f>
        <v>B / B / B</v>
      </c>
      <c r="J17" s="13"/>
      <c r="K17" s="13"/>
      <c r="L17" s="13"/>
      <c r="M17" s="13"/>
    </row>
    <row r="18" spans="1:13" ht="15" customHeight="1" x14ac:dyDescent="0.3">
      <c r="A18" s="16">
        <v>1</v>
      </c>
      <c r="B18" s="25" t="s">
        <v>161</v>
      </c>
    </row>
    <row r="19" spans="1:13" ht="15" customHeight="1" x14ac:dyDescent="0.3">
      <c r="B19" s="17" t="s">
        <v>162</v>
      </c>
      <c r="C19" s="2" t="s">
        <v>163</v>
      </c>
      <c r="D19" s="2"/>
      <c r="E19" s="2"/>
      <c r="F19" s="2"/>
      <c r="G19" s="2"/>
      <c r="I19" s="12" t="str">
        <f>+TIT!D9</f>
        <v>Shri. Bharat C. Boridkar</v>
      </c>
      <c r="J19" s="12"/>
      <c r="K19" s="13" t="str">
        <f>+TIT!F9</f>
        <v>Govt. Certified Panel Auditor</v>
      </c>
      <c r="L19" s="13"/>
      <c r="M19" s="13"/>
    </row>
    <row r="20" spans="1:13" ht="15" customHeight="1" x14ac:dyDescent="0.3">
      <c r="C20" s="2"/>
      <c r="D20" s="2"/>
      <c r="E20" s="2"/>
      <c r="F20" s="2"/>
      <c r="G20" s="2"/>
      <c r="I20" s="2" t="str">
        <f>"Address: "&amp;TIT!D11</f>
        <v>Address: Boridkar House, Pandurang Bhoir Road, Dahisar - West, Mumbai - 400 068</v>
      </c>
      <c r="J20" s="2"/>
      <c r="K20" s="2"/>
      <c r="L20" s="2"/>
      <c r="M20" s="2"/>
    </row>
    <row r="21" spans="1:13" ht="15" customHeight="1" x14ac:dyDescent="0.3">
      <c r="I21" s="2"/>
      <c r="J21" s="2"/>
      <c r="K21" s="2"/>
      <c r="L21" s="2"/>
      <c r="M21" s="2"/>
    </row>
    <row r="22" spans="1:13" ht="15" customHeight="1" x14ac:dyDescent="0.3">
      <c r="B22" s="17" t="s">
        <v>164</v>
      </c>
      <c r="C22" s="13" t="s">
        <v>165</v>
      </c>
      <c r="D22" s="13"/>
      <c r="E22" s="13"/>
      <c r="F22" s="13"/>
      <c r="G22" s="13"/>
      <c r="I22" s="12" t="str">
        <f>+TIT!D7&amp;" to "&amp;TIT!D8</f>
        <v>1st April, 2025 to 31st March, 2026</v>
      </c>
      <c r="J22" s="12"/>
      <c r="K22" s="12"/>
      <c r="L22" s="12"/>
      <c r="M22" s="12"/>
    </row>
    <row r="23" spans="1:13" ht="15" customHeight="1" x14ac:dyDescent="0.3">
      <c r="B23" s="13" t="s">
        <v>166</v>
      </c>
      <c r="C23" s="13"/>
      <c r="D23" s="13" t="s">
        <v>167</v>
      </c>
      <c r="E23" s="13"/>
      <c r="F23" s="13"/>
      <c r="G23" s="13"/>
      <c r="I23" s="18">
        <f>+TIT!D14</f>
        <v>46272</v>
      </c>
      <c r="J23" s="27" t="s">
        <v>13</v>
      </c>
      <c r="K23" s="18">
        <f>+TIT!D15</f>
        <v>46282</v>
      </c>
    </row>
    <row r="24" spans="1:13" ht="15" customHeight="1" x14ac:dyDescent="0.3">
      <c r="B24" s="13"/>
      <c r="C24" s="13"/>
      <c r="D24" s="13" t="s">
        <v>168</v>
      </c>
      <c r="E24" s="13"/>
      <c r="F24" s="13"/>
      <c r="G24" s="13"/>
      <c r="I24" s="18">
        <f>+K23</f>
        <v>46282</v>
      </c>
    </row>
    <row r="25" spans="1:13" ht="15" customHeight="1" x14ac:dyDescent="0.3">
      <c r="B25" s="13"/>
      <c r="C25" s="13"/>
      <c r="D25" s="13" t="s">
        <v>169</v>
      </c>
      <c r="E25" s="13"/>
      <c r="F25" s="13"/>
      <c r="G25" s="13"/>
      <c r="I25" s="18">
        <f>+TIT!D16</f>
        <v>46282</v>
      </c>
    </row>
    <row r="26" spans="1:13" ht="15" customHeight="1" x14ac:dyDescent="0.3">
      <c r="A26" s="16">
        <v>2</v>
      </c>
      <c r="B26" s="25" t="s">
        <v>170</v>
      </c>
    </row>
    <row r="27" spans="1:13" ht="15" customHeight="1" x14ac:dyDescent="0.3">
      <c r="B27" s="17" t="s">
        <v>157</v>
      </c>
      <c r="C27" s="17" t="s">
        <v>171</v>
      </c>
      <c r="E27" s="13" t="s">
        <v>172</v>
      </c>
      <c r="F27" s="17" t="s">
        <v>173</v>
      </c>
      <c r="J27" s="28">
        <f>+TIT!D34</f>
        <v>64</v>
      </c>
    </row>
    <row r="28" spans="1:13" ht="15" customHeight="1" x14ac:dyDescent="0.3">
      <c r="E28" s="13"/>
      <c r="F28" s="17" t="s">
        <v>174</v>
      </c>
      <c r="J28" s="28">
        <v>0</v>
      </c>
    </row>
    <row r="29" spans="1:13" ht="15" customHeight="1" x14ac:dyDescent="0.3">
      <c r="E29" s="13"/>
      <c r="F29" s="17" t="s">
        <v>175</v>
      </c>
      <c r="J29" s="28">
        <v>0</v>
      </c>
    </row>
    <row r="30" spans="1:13" ht="15" customHeight="1" x14ac:dyDescent="0.3">
      <c r="E30" s="17" t="s">
        <v>176</v>
      </c>
      <c r="J30" s="28">
        <v>0</v>
      </c>
    </row>
    <row r="31" spans="1:13" ht="15" customHeight="1" x14ac:dyDescent="0.3">
      <c r="E31" s="17" t="s">
        <v>177</v>
      </c>
      <c r="J31" s="28">
        <v>0</v>
      </c>
    </row>
    <row r="32" spans="1:13" ht="15" customHeight="1" x14ac:dyDescent="0.3">
      <c r="E32" s="13" t="s">
        <v>178</v>
      </c>
      <c r="F32" s="13"/>
      <c r="G32" s="13"/>
    </row>
    <row r="33" spans="2:13" ht="15" customHeight="1" x14ac:dyDescent="0.3">
      <c r="E33" s="16" t="s">
        <v>179</v>
      </c>
      <c r="J33" s="29">
        <f>SUM(J27:J32)</f>
        <v>64</v>
      </c>
    </row>
    <row r="34" spans="2:13" ht="15" customHeight="1" x14ac:dyDescent="0.3">
      <c r="B34" s="17" t="s">
        <v>159</v>
      </c>
      <c r="C34" s="2" t="s">
        <v>180</v>
      </c>
      <c r="D34" s="2"/>
      <c r="E34" s="2"/>
      <c r="F34" s="2"/>
      <c r="G34" s="2"/>
      <c r="I34" s="2" t="s">
        <v>181</v>
      </c>
      <c r="J34" s="2"/>
      <c r="K34" s="2"/>
      <c r="L34" s="2"/>
      <c r="M34" s="2"/>
    </row>
    <row r="35" spans="2:13" ht="15" customHeight="1" x14ac:dyDescent="0.3">
      <c r="C35" s="2" t="s">
        <v>182</v>
      </c>
      <c r="D35" s="2"/>
      <c r="E35" s="2"/>
      <c r="F35" s="2"/>
      <c r="G35" s="2"/>
      <c r="I35" s="2" t="s">
        <v>181</v>
      </c>
      <c r="J35" s="2"/>
      <c r="K35" s="2"/>
      <c r="L35" s="2"/>
      <c r="M35" s="2"/>
    </row>
    <row r="36" spans="2:13" ht="15" customHeight="1" x14ac:dyDescent="0.3">
      <c r="B36" s="17" t="s">
        <v>183</v>
      </c>
      <c r="C36" s="2" t="s">
        <v>184</v>
      </c>
      <c r="D36" s="2"/>
      <c r="E36" s="2"/>
      <c r="F36" s="2"/>
      <c r="G36" s="2"/>
      <c r="I36" s="2" t="s">
        <v>181</v>
      </c>
      <c r="J36" s="2"/>
      <c r="K36" s="2"/>
      <c r="L36" s="2"/>
      <c r="M36" s="2"/>
    </row>
    <row r="37" spans="2:13" ht="15" customHeight="1" x14ac:dyDescent="0.3">
      <c r="C37" s="2"/>
      <c r="D37" s="2"/>
      <c r="E37" s="2"/>
      <c r="F37" s="2"/>
      <c r="G37" s="2"/>
    </row>
    <row r="38" spans="2:13" ht="15" customHeight="1" x14ac:dyDescent="0.3">
      <c r="B38" s="17" t="s">
        <v>185</v>
      </c>
      <c r="C38" s="2" t="s">
        <v>186</v>
      </c>
      <c r="D38" s="2"/>
      <c r="E38" s="2"/>
      <c r="F38" s="2"/>
      <c r="G38" s="2"/>
      <c r="I38" s="2" t="s">
        <v>187</v>
      </c>
      <c r="J38" s="2"/>
      <c r="K38" s="2"/>
      <c r="L38" s="2"/>
      <c r="M38" s="2"/>
    </row>
    <row r="39" spans="2:13" ht="15" customHeight="1" x14ac:dyDescent="0.3">
      <c r="C39" s="2"/>
      <c r="D39" s="2"/>
      <c r="E39" s="2"/>
      <c r="F39" s="2"/>
      <c r="G39" s="2"/>
      <c r="I39" s="2"/>
      <c r="J39" s="2"/>
      <c r="K39" s="2"/>
      <c r="L39" s="2"/>
      <c r="M39" s="2"/>
    </row>
    <row r="40" spans="2:13" ht="15" customHeight="1" x14ac:dyDescent="0.3">
      <c r="C40" s="2"/>
      <c r="D40" s="2"/>
      <c r="E40" s="2"/>
      <c r="F40" s="2"/>
      <c r="G40" s="2"/>
    </row>
    <row r="41" spans="2:13" ht="20.25" customHeight="1" x14ac:dyDescent="0.3">
      <c r="B41" s="17" t="s">
        <v>188</v>
      </c>
      <c r="C41" s="2" t="s">
        <v>189</v>
      </c>
      <c r="D41" s="2"/>
      <c r="E41" s="2"/>
      <c r="F41" s="2"/>
      <c r="G41" s="2"/>
      <c r="I41" s="2" t="str">
        <f>+I38</f>
        <v>Maintained, but not updated</v>
      </c>
      <c r="J41" s="2"/>
      <c r="K41" s="2"/>
      <c r="L41" s="2"/>
      <c r="M41" s="2"/>
    </row>
    <row r="42" spans="2:13" ht="20.25" customHeight="1" x14ac:dyDescent="0.3">
      <c r="C42" s="2"/>
      <c r="D42" s="2"/>
      <c r="E42" s="2"/>
      <c r="F42" s="2"/>
      <c r="G42" s="2"/>
    </row>
    <row r="43" spans="2:13" ht="18" customHeight="1" x14ac:dyDescent="0.3">
      <c r="B43" s="17" t="s">
        <v>190</v>
      </c>
      <c r="C43" s="2" t="s">
        <v>191</v>
      </c>
      <c r="D43" s="2"/>
      <c r="E43" s="2"/>
      <c r="F43" s="2"/>
      <c r="G43" s="2"/>
      <c r="I43" s="2" t="s">
        <v>156</v>
      </c>
      <c r="J43" s="2"/>
      <c r="K43" s="2"/>
      <c r="L43" s="2"/>
      <c r="M43" s="2"/>
    </row>
    <row r="44" spans="2:13" ht="18" customHeight="1" x14ac:dyDescent="0.3">
      <c r="C44" s="2"/>
      <c r="D44" s="2"/>
      <c r="E44" s="2"/>
      <c r="F44" s="2"/>
      <c r="G44" s="2"/>
      <c r="I44" s="2"/>
      <c r="J44" s="2"/>
      <c r="K44" s="2"/>
      <c r="L44" s="2"/>
      <c r="M44" s="2"/>
    </row>
    <row r="45" spans="2:13" ht="18" customHeight="1" x14ac:dyDescent="0.3">
      <c r="C45" s="2"/>
      <c r="D45" s="2"/>
      <c r="E45" s="2"/>
      <c r="F45" s="2"/>
      <c r="G45" s="2"/>
    </row>
    <row r="46" spans="2:13" ht="15" customHeight="1" x14ac:dyDescent="0.3">
      <c r="B46" s="17" t="s">
        <v>192</v>
      </c>
      <c r="C46" s="2" t="s">
        <v>193</v>
      </c>
      <c r="D46" s="2"/>
      <c r="E46" s="2"/>
      <c r="F46" s="2"/>
      <c r="G46" s="2"/>
      <c r="I46" s="2" t="s">
        <v>181</v>
      </c>
      <c r="J46" s="2"/>
      <c r="K46" s="2"/>
      <c r="L46" s="2"/>
      <c r="M46" s="2"/>
    </row>
    <row r="47" spans="2:13" ht="15" customHeight="1" x14ac:dyDescent="0.3">
      <c r="C47" s="2"/>
      <c r="D47" s="2"/>
      <c r="E47" s="2"/>
      <c r="F47" s="2"/>
      <c r="G47" s="2"/>
    </row>
    <row r="48" spans="2:13" ht="18" customHeight="1" x14ac:dyDescent="0.3">
      <c r="B48" s="17" t="s">
        <v>194</v>
      </c>
      <c r="C48" s="2" t="s">
        <v>195</v>
      </c>
      <c r="D48" s="2"/>
      <c r="E48" s="2"/>
      <c r="F48" s="2"/>
      <c r="G48" s="2"/>
      <c r="I48" s="2" t="s">
        <v>196</v>
      </c>
      <c r="J48" s="2"/>
      <c r="K48" s="2"/>
      <c r="L48" s="2"/>
      <c r="M48" s="2"/>
    </row>
    <row r="49" spans="1:13" ht="18" customHeight="1" x14ac:dyDescent="0.3">
      <c r="C49" s="2"/>
      <c r="D49" s="2"/>
      <c r="E49" s="2"/>
      <c r="F49" s="2"/>
      <c r="G49" s="2"/>
      <c r="I49" s="2"/>
      <c r="J49" s="2"/>
      <c r="K49" s="2"/>
      <c r="L49" s="2"/>
      <c r="M49" s="2"/>
    </row>
    <row r="50" spans="1:13" ht="18" customHeight="1" x14ac:dyDescent="0.3">
      <c r="C50" s="2"/>
      <c r="D50" s="2"/>
      <c r="E50" s="2"/>
      <c r="F50" s="2"/>
      <c r="G50" s="2"/>
    </row>
    <row r="51" spans="1:13" ht="15" customHeight="1" x14ac:dyDescent="0.3">
      <c r="A51" s="16">
        <v>3</v>
      </c>
      <c r="B51" s="25" t="s">
        <v>197</v>
      </c>
    </row>
    <row r="52" spans="1:13" ht="15" customHeight="1" x14ac:dyDescent="0.3">
      <c r="B52" s="17" t="s">
        <v>157</v>
      </c>
      <c r="C52" s="2" t="s">
        <v>198</v>
      </c>
      <c r="D52" s="2"/>
      <c r="E52" s="2"/>
      <c r="F52" s="2"/>
      <c r="G52" s="2"/>
      <c r="I52" s="2" t="s">
        <v>181</v>
      </c>
      <c r="J52" s="2"/>
      <c r="K52" s="2"/>
      <c r="L52" s="2"/>
      <c r="M52" s="2"/>
    </row>
    <row r="53" spans="1:13" ht="15" customHeight="1" x14ac:dyDescent="0.3">
      <c r="B53" s="17" t="s">
        <v>159</v>
      </c>
      <c r="C53" s="2" t="s">
        <v>199</v>
      </c>
      <c r="D53" s="2"/>
      <c r="E53" s="2"/>
      <c r="F53" s="2"/>
      <c r="G53" s="2"/>
      <c r="I53" s="2" t="str">
        <f>+I41</f>
        <v>Maintained, but not updated</v>
      </c>
      <c r="J53" s="2"/>
      <c r="K53" s="2"/>
      <c r="L53" s="2"/>
      <c r="M53" s="2"/>
    </row>
    <row r="54" spans="1:13" ht="15" customHeight="1" x14ac:dyDescent="0.3">
      <c r="B54" s="17" t="s">
        <v>183</v>
      </c>
      <c r="C54" s="2" t="s">
        <v>200</v>
      </c>
      <c r="D54" s="2"/>
      <c r="E54" s="2"/>
      <c r="F54" s="2"/>
      <c r="G54" s="2"/>
      <c r="I54" s="2" t="s">
        <v>181</v>
      </c>
      <c r="J54" s="2"/>
      <c r="K54" s="2"/>
      <c r="L54" s="2"/>
      <c r="M54" s="2"/>
    </row>
    <row r="55" spans="1:13" ht="15" customHeight="1" x14ac:dyDescent="0.3">
      <c r="C55" s="2"/>
      <c r="D55" s="2"/>
      <c r="E55" s="2"/>
      <c r="F55" s="2"/>
      <c r="G55" s="2"/>
      <c r="I55" s="2"/>
      <c r="J55" s="2"/>
      <c r="K55" s="2"/>
      <c r="L55" s="2"/>
      <c r="M55" s="2"/>
    </row>
    <row r="56" spans="1:13" ht="15" customHeight="1" x14ac:dyDescent="0.3">
      <c r="B56" s="17" t="s">
        <v>185</v>
      </c>
      <c r="C56" s="2" t="s">
        <v>201</v>
      </c>
      <c r="D56" s="2"/>
      <c r="E56" s="2"/>
      <c r="F56" s="2"/>
      <c r="G56" s="2"/>
      <c r="I56" s="2" t="str">
        <f>+I53</f>
        <v>Maintained, but not updated</v>
      </c>
      <c r="J56" s="2"/>
      <c r="K56" s="2"/>
      <c r="L56" s="2"/>
      <c r="M56" s="2"/>
    </row>
    <row r="57" spans="1:13" ht="15" customHeight="1" x14ac:dyDescent="0.3">
      <c r="C57" s="2"/>
      <c r="D57" s="2"/>
      <c r="E57" s="2"/>
      <c r="F57" s="2"/>
      <c r="G57" s="2"/>
      <c r="I57" s="2"/>
      <c r="J57" s="2"/>
      <c r="K57" s="2"/>
      <c r="L57" s="2"/>
      <c r="M57" s="2"/>
    </row>
    <row r="58" spans="1:13" ht="27" customHeight="1" x14ac:dyDescent="0.3">
      <c r="B58" s="17" t="s">
        <v>188</v>
      </c>
      <c r="C58" s="2" t="s">
        <v>202</v>
      </c>
      <c r="D58" s="2"/>
      <c r="E58" s="2"/>
      <c r="F58" s="2"/>
      <c r="G58" s="2"/>
      <c r="I58" s="2" t="s">
        <v>203</v>
      </c>
      <c r="J58" s="2"/>
      <c r="K58" s="2"/>
      <c r="L58" s="2"/>
      <c r="M58" s="2"/>
    </row>
    <row r="59" spans="1:13" ht="27" customHeight="1" x14ac:dyDescent="0.3">
      <c r="C59" s="2"/>
      <c r="D59" s="2"/>
      <c r="E59" s="2"/>
      <c r="F59" s="2"/>
      <c r="G59" s="2"/>
      <c r="I59" s="2"/>
      <c r="J59" s="2"/>
      <c r="K59" s="2"/>
      <c r="L59" s="2"/>
      <c r="M59" s="2"/>
    </row>
    <row r="60" spans="1:13" ht="20.25" customHeight="1" x14ac:dyDescent="0.3">
      <c r="B60" s="17" t="s">
        <v>190</v>
      </c>
      <c r="C60" s="2" t="s">
        <v>204</v>
      </c>
      <c r="D60" s="2"/>
      <c r="E60" s="2"/>
      <c r="F60" s="2"/>
      <c r="G60" s="2"/>
      <c r="I60" s="2" t="s">
        <v>181</v>
      </c>
      <c r="J60" s="2"/>
      <c r="K60" s="2"/>
      <c r="L60" s="2"/>
      <c r="M60" s="2"/>
    </row>
    <row r="61" spans="1:13" ht="20.25" customHeight="1" x14ac:dyDescent="0.3">
      <c r="C61" s="2"/>
      <c r="D61" s="2"/>
      <c r="E61" s="2"/>
      <c r="F61" s="2"/>
      <c r="G61" s="2"/>
      <c r="I61" s="2"/>
      <c r="J61" s="2"/>
      <c r="K61" s="2"/>
      <c r="L61" s="2"/>
      <c r="M61" s="2"/>
    </row>
    <row r="62" spans="1:13" ht="15" customHeight="1" x14ac:dyDescent="0.3">
      <c r="B62" s="17" t="s">
        <v>192</v>
      </c>
      <c r="C62" s="2" t="s">
        <v>205</v>
      </c>
      <c r="D62" s="2"/>
      <c r="E62" s="2"/>
      <c r="F62" s="2"/>
      <c r="G62" s="2"/>
      <c r="I62" s="2" t="s">
        <v>181</v>
      </c>
      <c r="J62" s="2"/>
      <c r="K62" s="2"/>
      <c r="L62" s="2"/>
      <c r="M62" s="2"/>
    </row>
    <row r="63" spans="1:13" ht="15" customHeight="1" x14ac:dyDescent="0.3">
      <c r="C63" s="2"/>
      <c r="D63" s="2"/>
      <c r="E63" s="2"/>
      <c r="F63" s="2"/>
      <c r="G63" s="2"/>
      <c r="I63" s="2"/>
      <c r="J63" s="2"/>
      <c r="K63" s="2"/>
      <c r="L63" s="2"/>
      <c r="M63" s="2"/>
    </row>
    <row r="64" spans="1:13" ht="15" customHeight="1" x14ac:dyDescent="0.3">
      <c r="C64" s="2"/>
      <c r="D64" s="2"/>
      <c r="E64" s="2"/>
      <c r="F64" s="2"/>
      <c r="G64" s="2"/>
      <c r="I64" s="2"/>
      <c r="J64" s="2"/>
      <c r="K64" s="2"/>
      <c r="L64" s="2"/>
      <c r="M64" s="2"/>
    </row>
    <row r="65" spans="1:13" ht="15" customHeight="1" x14ac:dyDescent="0.3">
      <c r="A65" s="16">
        <v>4</v>
      </c>
      <c r="B65" s="25" t="s">
        <v>206</v>
      </c>
    </row>
    <row r="66" spans="1:13" ht="15" customHeight="1" x14ac:dyDescent="0.3">
      <c r="B66" s="17" t="s">
        <v>157</v>
      </c>
      <c r="C66" s="2" t="s">
        <v>207</v>
      </c>
      <c r="D66" s="2"/>
      <c r="E66" s="2"/>
      <c r="F66" s="2"/>
      <c r="G66" s="2"/>
      <c r="I66" s="2" t="s">
        <v>208</v>
      </c>
      <c r="J66" s="2"/>
      <c r="K66" s="2"/>
      <c r="L66" s="2"/>
      <c r="M66" s="2"/>
    </row>
    <row r="67" spans="1:13" ht="15" customHeight="1" x14ac:dyDescent="0.3">
      <c r="C67" s="2"/>
      <c r="D67" s="2"/>
      <c r="E67" s="2"/>
      <c r="F67" s="2"/>
      <c r="G67" s="2"/>
    </row>
    <row r="68" spans="1:13" ht="15" customHeight="1" x14ac:dyDescent="0.3">
      <c r="B68" s="17" t="s">
        <v>159</v>
      </c>
      <c r="C68" s="2" t="s">
        <v>209</v>
      </c>
      <c r="D68" s="2"/>
      <c r="E68" s="2"/>
      <c r="F68" s="2"/>
      <c r="G68" s="2"/>
      <c r="I68" s="2" t="s">
        <v>210</v>
      </c>
      <c r="J68" s="2"/>
      <c r="K68" s="2"/>
      <c r="L68" s="2"/>
      <c r="M68" s="2"/>
    </row>
    <row r="69" spans="1:13" ht="20.25" customHeight="1" x14ac:dyDescent="0.3">
      <c r="B69" s="17" t="s">
        <v>183</v>
      </c>
      <c r="C69" s="2" t="s">
        <v>211</v>
      </c>
      <c r="D69" s="2"/>
      <c r="E69" s="2"/>
      <c r="F69" s="2"/>
      <c r="G69" s="2"/>
      <c r="I69" s="2" t="s">
        <v>34</v>
      </c>
      <c r="J69" s="2"/>
      <c r="K69" s="2"/>
      <c r="L69" s="2"/>
      <c r="M69" s="2"/>
    </row>
    <row r="70" spans="1:13" ht="20.25" customHeight="1" x14ac:dyDescent="0.3">
      <c r="C70" s="2"/>
      <c r="D70" s="2"/>
      <c r="E70" s="2"/>
      <c r="F70" s="2"/>
      <c r="G70" s="2"/>
    </row>
    <row r="71" spans="1:13" ht="15" customHeight="1" x14ac:dyDescent="0.3">
      <c r="A71" s="16">
        <v>5</v>
      </c>
      <c r="B71" s="25" t="s">
        <v>212</v>
      </c>
    </row>
    <row r="72" spans="1:13" ht="15" customHeight="1" x14ac:dyDescent="0.3">
      <c r="B72" s="17" t="s">
        <v>157</v>
      </c>
      <c r="C72" s="17" t="s">
        <v>213</v>
      </c>
    </row>
    <row r="73" spans="1:13" ht="15" customHeight="1" x14ac:dyDescent="0.3">
      <c r="C73" s="13" t="s">
        <v>214</v>
      </c>
      <c r="D73" s="13"/>
      <c r="E73" s="13"/>
      <c r="F73" s="13"/>
      <c r="G73" s="13"/>
      <c r="I73" s="1">
        <f>+TIT!D17</f>
        <v>0</v>
      </c>
      <c r="J73" s="1"/>
      <c r="K73" s="1"/>
      <c r="L73" s="1"/>
      <c r="M73" s="1"/>
    </row>
    <row r="74" spans="1:13" ht="15" customHeight="1" x14ac:dyDescent="0.3">
      <c r="C74" s="13" t="s">
        <v>215</v>
      </c>
      <c r="D74" s="13"/>
      <c r="E74" s="13"/>
      <c r="F74" s="13"/>
      <c r="G74" s="13"/>
      <c r="I74" s="2">
        <f>+TIT!D18</f>
        <v>0</v>
      </c>
      <c r="J74" s="2"/>
      <c r="K74" s="2"/>
      <c r="L74" s="2"/>
      <c r="M74" s="2"/>
    </row>
    <row r="75" spans="1:13" ht="15" customHeight="1" x14ac:dyDescent="0.3">
      <c r="B75" s="17" t="s">
        <v>159</v>
      </c>
      <c r="C75" s="2" t="s">
        <v>216</v>
      </c>
      <c r="D75" s="2"/>
      <c r="E75" s="2"/>
      <c r="F75" s="2"/>
      <c r="G75" s="2"/>
    </row>
    <row r="76" spans="1:13" ht="15" customHeight="1" x14ac:dyDescent="0.3">
      <c r="C76" s="2"/>
      <c r="D76" s="2"/>
      <c r="E76" s="2"/>
      <c r="F76" s="2"/>
      <c r="G76" s="2"/>
    </row>
    <row r="77" spans="1:13" ht="15" customHeight="1" x14ac:dyDescent="0.3">
      <c r="C77" s="13" t="s">
        <v>217</v>
      </c>
      <c r="D77" s="13"/>
      <c r="E77" s="13"/>
      <c r="F77" s="13"/>
      <c r="G77" s="13"/>
      <c r="I77" s="58">
        <f>+TIT!D19</f>
        <v>0</v>
      </c>
      <c r="J77" s="58"/>
      <c r="K77" s="58"/>
      <c r="L77" s="58"/>
      <c r="M77" s="58"/>
    </row>
    <row r="78" spans="1:13" ht="15" customHeight="1" x14ac:dyDescent="0.3">
      <c r="C78" s="13" t="s">
        <v>218</v>
      </c>
      <c r="D78" s="13"/>
      <c r="E78" s="13"/>
      <c r="F78" s="13"/>
      <c r="G78" s="13"/>
      <c r="I78" s="13" t="s">
        <v>43</v>
      </c>
      <c r="J78" s="13"/>
      <c r="K78" s="13"/>
      <c r="L78" s="13"/>
      <c r="M78" s="13"/>
    </row>
    <row r="79" spans="1:13" ht="15" customHeight="1" x14ac:dyDescent="0.3">
      <c r="C79" s="13" t="s">
        <v>219</v>
      </c>
      <c r="D79" s="13"/>
      <c r="E79" s="13"/>
      <c r="F79" s="13"/>
      <c r="G79" s="13"/>
      <c r="I79" s="13" t="s">
        <v>43</v>
      </c>
      <c r="J79" s="13"/>
      <c r="K79" s="13"/>
      <c r="L79" s="13"/>
      <c r="M79" s="13"/>
    </row>
    <row r="80" spans="1:13" ht="15" customHeight="1" x14ac:dyDescent="0.3">
      <c r="A80" s="16">
        <v>6</v>
      </c>
      <c r="B80" s="25" t="s">
        <v>31</v>
      </c>
    </row>
    <row r="81" spans="1:13" ht="16.5" customHeight="1" x14ac:dyDescent="0.3">
      <c r="B81" s="17" t="s">
        <v>157</v>
      </c>
      <c r="C81" s="2" t="s">
        <v>220</v>
      </c>
      <c r="D81" s="2"/>
      <c r="E81" s="2"/>
      <c r="F81" s="2"/>
      <c r="G81" s="2"/>
      <c r="I81" s="13" t="str">
        <f>+TIT!D20</f>
        <v>Not submitted</v>
      </c>
      <c r="J81" s="13"/>
      <c r="K81" s="13"/>
      <c r="L81" s="13"/>
      <c r="M81" s="13"/>
    </row>
    <row r="82" spans="1:13" ht="16.5" customHeight="1" x14ac:dyDescent="0.3">
      <c r="C82" s="2"/>
      <c r="D82" s="2"/>
      <c r="E82" s="2"/>
      <c r="F82" s="2"/>
      <c r="G82" s="2"/>
      <c r="I82" s="13" t="str">
        <f>+TIT!D21</f>
        <v>Not applicable</v>
      </c>
      <c r="J82" s="13"/>
      <c r="K82" s="13"/>
      <c r="L82" s="13"/>
      <c r="M82" s="13"/>
    </row>
    <row r="83" spans="1:13" ht="16.5" customHeight="1" x14ac:dyDescent="0.3">
      <c r="C83" s="2"/>
      <c r="D83" s="2"/>
      <c r="E83" s="2"/>
      <c r="F83" s="2"/>
      <c r="G83" s="2"/>
    </row>
    <row r="84" spans="1:13" ht="16.5" customHeight="1" x14ac:dyDescent="0.3">
      <c r="C84" s="2"/>
      <c r="D84" s="2"/>
      <c r="E84" s="2"/>
      <c r="F84" s="2"/>
      <c r="G84" s="2"/>
    </row>
    <row r="85" spans="1:13" ht="18" customHeight="1" x14ac:dyDescent="0.3">
      <c r="B85" s="17" t="s">
        <v>159</v>
      </c>
      <c r="C85" s="2" t="s">
        <v>221</v>
      </c>
      <c r="D85" s="2"/>
      <c r="E85" s="2"/>
      <c r="F85" s="2"/>
      <c r="G85" s="2"/>
      <c r="I85" s="2" t="s">
        <v>222</v>
      </c>
      <c r="J85" s="2"/>
      <c r="K85" s="2"/>
      <c r="L85" s="2"/>
      <c r="M85" s="2"/>
    </row>
    <row r="86" spans="1:13" ht="18" customHeight="1" x14ac:dyDescent="0.3">
      <c r="C86" s="2"/>
      <c r="D86" s="2"/>
      <c r="E86" s="2"/>
      <c r="F86" s="2"/>
      <c r="G86" s="2"/>
      <c r="I86" s="2"/>
      <c r="J86" s="2"/>
      <c r="K86" s="2"/>
      <c r="L86" s="2"/>
      <c r="M86" s="2"/>
    </row>
    <row r="87" spans="1:13" ht="18" customHeight="1" x14ac:dyDescent="0.3">
      <c r="C87" s="2"/>
      <c r="D87" s="2"/>
      <c r="E87" s="2"/>
      <c r="F87" s="2"/>
      <c r="G87" s="2"/>
    </row>
    <row r="88" spans="1:13" ht="15" customHeight="1" x14ac:dyDescent="0.3">
      <c r="A88" s="16">
        <v>7</v>
      </c>
      <c r="B88" s="25" t="s">
        <v>35</v>
      </c>
    </row>
    <row r="89" spans="1:13" ht="15" customHeight="1" x14ac:dyDescent="0.3">
      <c r="B89" s="17" t="s">
        <v>157</v>
      </c>
      <c r="C89" s="13" t="s">
        <v>223</v>
      </c>
      <c r="D89" s="13"/>
      <c r="E89" s="13"/>
      <c r="F89" s="13"/>
      <c r="G89" s="13"/>
      <c r="I89" s="23">
        <f>+TIT!D22</f>
        <v>7300</v>
      </c>
    </row>
    <row r="90" spans="1:13" ht="15" customHeight="1" x14ac:dyDescent="0.3">
      <c r="C90" s="13" t="s">
        <v>224</v>
      </c>
      <c r="D90" s="13"/>
      <c r="E90" s="13"/>
      <c r="F90" s="13"/>
      <c r="G90" s="13"/>
      <c r="I90" s="13" t="str">
        <f>+TIT!D23</f>
        <v>01/04/2024 to 31/03/2025</v>
      </c>
      <c r="J90" s="13"/>
      <c r="K90" s="13"/>
      <c r="L90" s="13"/>
      <c r="M90" s="13"/>
    </row>
    <row r="91" spans="1:13" ht="18" customHeight="1" x14ac:dyDescent="0.3">
      <c r="C91" s="2" t="s">
        <v>225</v>
      </c>
      <c r="D91" s="2"/>
      <c r="E91" s="2"/>
      <c r="F91" s="2"/>
      <c r="G91" s="2"/>
      <c r="I91" s="13">
        <f>+TIT!D24</f>
        <v>0</v>
      </c>
      <c r="J91" s="13"/>
      <c r="K91" s="13"/>
      <c r="L91" s="13"/>
      <c r="M91" s="13"/>
    </row>
    <row r="92" spans="1:13" ht="18" customHeight="1" x14ac:dyDescent="0.3">
      <c r="C92" s="2"/>
      <c r="D92" s="2"/>
      <c r="E92" s="2"/>
      <c r="F92" s="2"/>
      <c r="G92" s="2"/>
    </row>
    <row r="93" spans="1:13" ht="18" customHeight="1" x14ac:dyDescent="0.3">
      <c r="C93" s="2"/>
      <c r="D93" s="2"/>
      <c r="E93" s="2"/>
      <c r="F93" s="2"/>
      <c r="G93" s="2"/>
    </row>
    <row r="94" spans="1:13" ht="27" customHeight="1" x14ac:dyDescent="0.3">
      <c r="B94" s="17" t="s">
        <v>159</v>
      </c>
      <c r="C94" s="2" t="s">
        <v>226</v>
      </c>
      <c r="D94" s="2"/>
      <c r="E94" s="2"/>
      <c r="F94" s="2"/>
      <c r="G94" s="2"/>
      <c r="I94" s="2" t="s">
        <v>227</v>
      </c>
      <c r="J94" s="2"/>
      <c r="K94" s="2"/>
      <c r="L94" s="2"/>
      <c r="M94" s="2"/>
    </row>
    <row r="95" spans="1:13" ht="27" customHeight="1" x14ac:dyDescent="0.3">
      <c r="C95" s="2"/>
      <c r="D95" s="2"/>
      <c r="E95" s="2"/>
      <c r="F95" s="2"/>
      <c r="G95" s="2"/>
      <c r="I95" s="2"/>
      <c r="J95" s="2"/>
      <c r="K95" s="2"/>
      <c r="L95" s="2"/>
      <c r="M95" s="2"/>
    </row>
    <row r="96" spans="1:13" ht="18" customHeight="1" x14ac:dyDescent="0.3">
      <c r="C96" s="2"/>
      <c r="D96" s="2"/>
      <c r="E96" s="2"/>
      <c r="F96" s="2"/>
      <c r="G96" s="2"/>
    </row>
    <row r="97" spans="1:13" ht="15" customHeight="1" x14ac:dyDescent="0.3">
      <c r="A97" s="16">
        <v>8</v>
      </c>
      <c r="B97" s="25" t="s">
        <v>228</v>
      </c>
    </row>
    <row r="98" spans="1:13" ht="18" customHeight="1" x14ac:dyDescent="0.3">
      <c r="B98" s="17" t="s">
        <v>157</v>
      </c>
      <c r="C98" s="2" t="s">
        <v>229</v>
      </c>
      <c r="D98" s="2"/>
      <c r="E98" s="2"/>
      <c r="F98" s="2"/>
      <c r="G98" s="2"/>
      <c r="I98" s="13" t="s">
        <v>230</v>
      </c>
      <c r="J98" s="13"/>
      <c r="K98" s="13"/>
      <c r="L98" s="13"/>
      <c r="M98" s="13"/>
    </row>
    <row r="99" spans="1:13" ht="18" customHeight="1" x14ac:dyDescent="0.3">
      <c r="C99" s="2"/>
      <c r="D99" s="2"/>
      <c r="E99" s="2"/>
      <c r="F99" s="2"/>
      <c r="G99" s="2"/>
    </row>
    <row r="100" spans="1:13" ht="18" customHeight="1" x14ac:dyDescent="0.3">
      <c r="C100" s="2"/>
      <c r="D100" s="2"/>
      <c r="E100" s="2"/>
      <c r="F100" s="2"/>
      <c r="G100" s="2"/>
    </row>
    <row r="101" spans="1:13" ht="20.25" customHeight="1" x14ac:dyDescent="0.3">
      <c r="B101" s="17" t="s">
        <v>159</v>
      </c>
      <c r="C101" s="2" t="s">
        <v>231</v>
      </c>
      <c r="D101" s="2"/>
      <c r="E101" s="2"/>
      <c r="F101" s="2"/>
      <c r="G101" s="2"/>
      <c r="I101" s="13" t="s">
        <v>232</v>
      </c>
      <c r="J101" s="13"/>
      <c r="K101" s="13"/>
      <c r="L101" s="13"/>
      <c r="M101" s="13"/>
    </row>
    <row r="102" spans="1:13" ht="20.25" customHeight="1" x14ac:dyDescent="0.3">
      <c r="C102" s="2"/>
      <c r="D102" s="2"/>
      <c r="E102" s="2"/>
      <c r="F102" s="2"/>
      <c r="G102" s="2"/>
    </row>
    <row r="103" spans="1:13" ht="15" customHeight="1" x14ac:dyDescent="0.3">
      <c r="A103" s="16">
        <v>9</v>
      </c>
      <c r="B103" s="16" t="s">
        <v>233</v>
      </c>
      <c r="C103" s="52" t="s">
        <v>234</v>
      </c>
      <c r="D103" s="52"/>
      <c r="E103" s="52"/>
      <c r="F103" s="52"/>
      <c r="G103" s="52"/>
    </row>
    <row r="104" spans="1:13" ht="15" customHeight="1" x14ac:dyDescent="0.3">
      <c r="B104" s="17" t="s">
        <v>157</v>
      </c>
      <c r="C104" s="13" t="s">
        <v>235</v>
      </c>
      <c r="D104" s="13"/>
      <c r="E104" s="13"/>
      <c r="F104" s="13"/>
      <c r="G104" s="13"/>
      <c r="I104" s="13" t="str">
        <f>+TIT!D25</f>
        <v>Mr. Prakash Kamath</v>
      </c>
      <c r="J104" s="13"/>
      <c r="K104" s="13" t="str">
        <f>+TIT!D30</f>
        <v>Hon. Secretary</v>
      </c>
      <c r="L104" s="13"/>
      <c r="M104" s="13"/>
    </row>
    <row r="105" spans="1:13" ht="15" customHeight="1" x14ac:dyDescent="0.3">
      <c r="B105" s="17" t="s">
        <v>159</v>
      </c>
      <c r="C105" s="13" t="s">
        <v>42</v>
      </c>
      <c r="D105" s="13"/>
      <c r="E105" s="13"/>
      <c r="F105" s="13"/>
      <c r="G105" s="13"/>
      <c r="I105" s="13" t="str">
        <f>+TIT!D26</f>
        <v>Nil</v>
      </c>
      <c r="J105" s="13"/>
      <c r="K105" s="13"/>
      <c r="L105" s="13"/>
      <c r="M105" s="13"/>
    </row>
    <row r="106" spans="1:13" ht="15" customHeight="1" x14ac:dyDescent="0.3">
      <c r="C106" s="13" t="s">
        <v>236</v>
      </c>
      <c r="D106" s="13"/>
      <c r="E106" s="13"/>
      <c r="F106" s="13"/>
      <c r="G106" s="13"/>
      <c r="I106" s="13" t="s">
        <v>156</v>
      </c>
      <c r="J106" s="13"/>
      <c r="K106" s="13"/>
      <c r="L106" s="13"/>
      <c r="M106" s="13"/>
    </row>
    <row r="107" spans="1:13" ht="20.25" customHeight="1" x14ac:dyDescent="0.3">
      <c r="B107" s="17" t="s">
        <v>183</v>
      </c>
      <c r="C107" s="2" t="s">
        <v>237</v>
      </c>
      <c r="D107" s="2"/>
      <c r="E107" s="2"/>
      <c r="F107" s="2"/>
      <c r="G107" s="2"/>
      <c r="I107" s="13" t="s">
        <v>43</v>
      </c>
      <c r="J107" s="13"/>
      <c r="K107" s="13"/>
      <c r="L107" s="13"/>
      <c r="M107" s="13"/>
    </row>
    <row r="108" spans="1:13" ht="20.25" customHeight="1" x14ac:dyDescent="0.3">
      <c r="C108" s="2"/>
      <c r="D108" s="2"/>
      <c r="E108" s="2"/>
      <c r="F108" s="2"/>
      <c r="G108" s="2"/>
    </row>
    <row r="109" spans="1:13" ht="15" customHeight="1" x14ac:dyDescent="0.3">
      <c r="B109" s="17" t="s">
        <v>185</v>
      </c>
      <c r="C109" s="13" t="s">
        <v>238</v>
      </c>
      <c r="D109" s="13"/>
      <c r="E109" s="13"/>
      <c r="F109" s="13"/>
      <c r="G109" s="13"/>
      <c r="I109" s="13" t="s">
        <v>181</v>
      </c>
      <c r="J109" s="13"/>
      <c r="K109" s="13"/>
      <c r="L109" s="13"/>
      <c r="M109" s="13"/>
    </row>
    <row r="111" spans="1:13" ht="18" customHeight="1" x14ac:dyDescent="0.3">
      <c r="B111" s="17" t="s">
        <v>188</v>
      </c>
      <c r="C111" s="2" t="s">
        <v>239</v>
      </c>
      <c r="D111" s="2"/>
      <c r="E111" s="2"/>
      <c r="F111" s="2"/>
      <c r="G111" s="2"/>
      <c r="I111" s="13" t="s">
        <v>210</v>
      </c>
      <c r="J111" s="13"/>
      <c r="K111" s="13"/>
      <c r="L111" s="13"/>
      <c r="M111" s="13"/>
    </row>
    <row r="112" spans="1:13" ht="18" customHeight="1" x14ac:dyDescent="0.3">
      <c r="C112" s="2"/>
      <c r="D112" s="2"/>
      <c r="E112" s="2"/>
      <c r="F112" s="2"/>
      <c r="G112" s="2"/>
    </row>
    <row r="113" spans="1:13" ht="18" customHeight="1" x14ac:dyDescent="0.3">
      <c r="C113" s="2"/>
      <c r="D113" s="2"/>
      <c r="E113" s="2"/>
      <c r="F113" s="2"/>
      <c r="G113" s="2"/>
    </row>
    <row r="114" spans="1:13" ht="20.25" customHeight="1" x14ac:dyDescent="0.3">
      <c r="B114" s="17" t="s">
        <v>190</v>
      </c>
      <c r="C114" s="2" t="s">
        <v>240</v>
      </c>
      <c r="D114" s="2"/>
      <c r="E114" s="2"/>
      <c r="F114" s="2"/>
      <c r="G114" s="2"/>
      <c r="I114" s="2" t="s">
        <v>241</v>
      </c>
      <c r="J114" s="2"/>
      <c r="K114" s="2"/>
      <c r="L114" s="2"/>
      <c r="M114" s="2"/>
    </row>
    <row r="115" spans="1:13" ht="20.25" customHeight="1" x14ac:dyDescent="0.3">
      <c r="C115" s="2"/>
      <c r="D115" s="2"/>
      <c r="E115" s="2"/>
      <c r="F115" s="2"/>
      <c r="G115" s="2"/>
      <c r="I115" s="2"/>
      <c r="J115" s="2"/>
      <c r="K115" s="2"/>
      <c r="L115" s="2"/>
      <c r="M115" s="2"/>
    </row>
    <row r="116" spans="1:13" ht="16.5" customHeight="1" x14ac:dyDescent="0.3">
      <c r="B116" s="17" t="s">
        <v>242</v>
      </c>
      <c r="C116" s="2" t="s">
        <v>243</v>
      </c>
      <c r="D116" s="2"/>
      <c r="E116" s="2"/>
      <c r="F116" s="2"/>
      <c r="G116" s="2"/>
      <c r="I116" s="2" t="s">
        <v>244</v>
      </c>
      <c r="J116" s="2"/>
      <c r="K116" s="2"/>
      <c r="L116" s="2"/>
      <c r="M116" s="2"/>
    </row>
    <row r="117" spans="1:13" ht="16.5" customHeight="1" x14ac:dyDescent="0.3">
      <c r="C117" s="2"/>
      <c r="D117" s="2"/>
      <c r="E117" s="2"/>
      <c r="F117" s="2"/>
      <c r="G117" s="2"/>
      <c r="I117" s="2"/>
      <c r="J117" s="2"/>
      <c r="K117" s="2"/>
      <c r="L117" s="2"/>
      <c r="M117" s="2"/>
    </row>
    <row r="118" spans="1:13" ht="16.5" customHeight="1" x14ac:dyDescent="0.3">
      <c r="C118" s="2"/>
      <c r="D118" s="2"/>
      <c r="E118" s="2"/>
      <c r="F118" s="2"/>
      <c r="G118" s="2"/>
      <c r="I118" s="2"/>
      <c r="J118" s="2"/>
      <c r="K118" s="2"/>
      <c r="L118" s="2"/>
      <c r="M118" s="2"/>
    </row>
    <row r="119" spans="1:13" ht="16.5" customHeight="1" x14ac:dyDescent="0.3">
      <c r="C119" s="2"/>
      <c r="D119" s="2"/>
      <c r="E119" s="2"/>
      <c r="F119" s="2"/>
      <c r="G119" s="2"/>
    </row>
    <row r="120" spans="1:13" ht="15" customHeight="1" x14ac:dyDescent="0.3">
      <c r="A120" s="16">
        <v>10</v>
      </c>
      <c r="B120" s="25" t="s">
        <v>245</v>
      </c>
    </row>
    <row r="121" spans="1:13" ht="20.25" customHeight="1" x14ac:dyDescent="0.3">
      <c r="B121" s="17" t="s">
        <v>157</v>
      </c>
      <c r="C121" s="2" t="s">
        <v>246</v>
      </c>
      <c r="D121" s="2"/>
      <c r="E121" s="2"/>
      <c r="F121" s="2"/>
      <c r="G121" s="2"/>
      <c r="I121" s="17" t="s">
        <v>247</v>
      </c>
      <c r="K121" s="17" t="s">
        <v>210</v>
      </c>
    </row>
    <row r="122" spans="1:13" ht="20.25" customHeight="1" x14ac:dyDescent="0.3">
      <c r="C122" s="2"/>
      <c r="D122" s="2"/>
      <c r="E122" s="2"/>
      <c r="F122" s="2"/>
      <c r="G122" s="2"/>
      <c r="I122" s="17" t="s">
        <v>248</v>
      </c>
      <c r="K122" s="17" t="s">
        <v>181</v>
      </c>
    </row>
    <row r="123" spans="1:13" ht="15" customHeight="1" x14ac:dyDescent="0.3">
      <c r="B123" s="17" t="s">
        <v>159</v>
      </c>
      <c r="C123" s="2" t="s">
        <v>249</v>
      </c>
      <c r="D123" s="2"/>
      <c r="E123" s="2"/>
      <c r="F123" s="2"/>
      <c r="G123" s="2"/>
    </row>
    <row r="124" spans="1:13" ht="15" customHeight="1" x14ac:dyDescent="0.3">
      <c r="C124" s="2"/>
      <c r="D124" s="2"/>
      <c r="E124" s="2"/>
      <c r="F124" s="2"/>
      <c r="G124" s="2"/>
    </row>
    <row r="126" spans="1:13" ht="15" customHeight="1" x14ac:dyDescent="0.3">
      <c r="C126" s="13" t="s">
        <v>250</v>
      </c>
      <c r="D126" s="13"/>
      <c r="E126" s="13"/>
      <c r="F126" s="13"/>
      <c r="G126" s="13"/>
      <c r="I126" s="13" t="s">
        <v>251</v>
      </c>
      <c r="J126" s="13"/>
      <c r="K126" s="13"/>
      <c r="L126" s="13"/>
      <c r="M126" s="13"/>
    </row>
    <row r="127" spans="1:13" ht="15" customHeight="1" x14ac:dyDescent="0.3">
      <c r="C127" s="13" t="s">
        <v>252</v>
      </c>
      <c r="D127" s="13"/>
      <c r="E127" s="13"/>
      <c r="F127" s="13"/>
      <c r="G127" s="13"/>
      <c r="I127" s="13" t="s">
        <v>253</v>
      </c>
      <c r="J127" s="13"/>
      <c r="K127" s="13"/>
      <c r="L127" s="13"/>
      <c r="M127" s="13"/>
    </row>
    <row r="128" spans="1:13" ht="15" customHeight="1" x14ac:dyDescent="0.3">
      <c r="C128" s="13" t="s">
        <v>254</v>
      </c>
      <c r="D128" s="13"/>
      <c r="E128" s="13"/>
      <c r="F128" s="13"/>
      <c r="G128" s="13"/>
      <c r="I128" s="13" t="s">
        <v>255</v>
      </c>
      <c r="J128" s="13"/>
      <c r="K128" s="13"/>
      <c r="L128" s="13"/>
      <c r="M128" s="13"/>
    </row>
    <row r="129" spans="1:13" ht="18" customHeight="1" x14ac:dyDescent="0.3">
      <c r="B129" s="17" t="s">
        <v>183</v>
      </c>
      <c r="C129" s="2" t="s">
        <v>256</v>
      </c>
      <c r="D129" s="2"/>
      <c r="E129" s="2"/>
      <c r="F129" s="2"/>
      <c r="G129" s="2"/>
      <c r="I129" s="13" t="s">
        <v>257</v>
      </c>
      <c r="J129" s="13"/>
      <c r="K129" s="13"/>
      <c r="L129" s="13"/>
      <c r="M129" s="13"/>
    </row>
    <row r="130" spans="1:13" ht="18" customHeight="1" x14ac:dyDescent="0.3">
      <c r="C130" s="2"/>
      <c r="D130" s="2"/>
      <c r="E130" s="2"/>
      <c r="F130" s="2"/>
      <c r="G130" s="2"/>
      <c r="I130" s="13" t="s">
        <v>181</v>
      </c>
      <c r="J130" s="13"/>
      <c r="K130" s="13"/>
      <c r="L130" s="13"/>
      <c r="M130" s="13"/>
    </row>
    <row r="131" spans="1:13" ht="18" customHeight="1" x14ac:dyDescent="0.3">
      <c r="C131" s="2"/>
      <c r="D131" s="2"/>
      <c r="E131" s="2"/>
      <c r="F131" s="2"/>
      <c r="G131" s="2"/>
    </row>
    <row r="132" spans="1:13" ht="15" customHeight="1" x14ac:dyDescent="0.3">
      <c r="C132" s="59" t="s">
        <v>258</v>
      </c>
      <c r="D132" s="59"/>
      <c r="E132" s="59"/>
      <c r="F132" s="59"/>
      <c r="G132" s="59"/>
    </row>
    <row r="133" spans="1:13" ht="15" customHeight="1" x14ac:dyDescent="0.3">
      <c r="C133" s="59"/>
      <c r="D133" s="59"/>
      <c r="E133" s="59"/>
      <c r="F133" s="59"/>
      <c r="G133" s="59"/>
    </row>
    <row r="134" spans="1:13" ht="15" customHeight="1" x14ac:dyDescent="0.3">
      <c r="A134" s="16">
        <v>11</v>
      </c>
      <c r="B134" s="25" t="s">
        <v>259</v>
      </c>
    </row>
    <row r="135" spans="1:13" ht="20.25" customHeight="1" x14ac:dyDescent="0.3">
      <c r="B135" s="17" t="s">
        <v>84</v>
      </c>
      <c r="C135" s="2" t="s">
        <v>260</v>
      </c>
      <c r="D135" s="2"/>
      <c r="E135" s="2"/>
      <c r="F135" s="2"/>
      <c r="G135" s="2"/>
      <c r="I135" s="12" t="s">
        <v>261</v>
      </c>
      <c r="J135" s="12"/>
      <c r="K135" s="12"/>
      <c r="L135" s="12" t="str">
        <f>"Rs. "&amp;IF(ABS(GR!J298)&gt;=100000,INT(ABS(GR!J298)/100000)&amp;","&amp;TEXT(MOD(INT(ABS(GR!J298)/1000),100),"00")&amp;","&amp;TEXT(MOD(ABS(GR!J298),1000),"000"),TEXT(ABS(GR!J298),"##,##0"))&amp;"/-"</f>
        <v>Rs. 5,65,589/-</v>
      </c>
      <c r="M135" s="12"/>
    </row>
    <row r="136" spans="1:13" ht="20.25" customHeight="1" x14ac:dyDescent="0.3">
      <c r="C136" s="2"/>
      <c r="D136" s="2"/>
      <c r="E136" s="2"/>
      <c r="F136" s="2"/>
      <c r="G136" s="2"/>
    </row>
    <row r="137" spans="1:13" ht="20.25" customHeight="1" x14ac:dyDescent="0.3">
      <c r="B137" s="17" t="s">
        <v>87</v>
      </c>
      <c r="C137" s="2" t="s">
        <v>262</v>
      </c>
      <c r="D137" s="2"/>
      <c r="E137" s="2"/>
      <c r="F137" s="2"/>
      <c r="G137" s="2"/>
      <c r="I137" s="2" t="s">
        <v>263</v>
      </c>
      <c r="J137" s="2"/>
      <c r="K137" s="2"/>
      <c r="L137" s="2"/>
      <c r="M137" s="2"/>
    </row>
    <row r="138" spans="1:13" ht="20.25" customHeight="1" x14ac:dyDescent="0.3">
      <c r="C138" s="2"/>
      <c r="D138" s="2"/>
      <c r="E138" s="2"/>
      <c r="F138" s="2"/>
      <c r="G138" s="2"/>
      <c r="I138" s="2"/>
      <c r="J138" s="2"/>
      <c r="K138" s="2"/>
      <c r="L138" s="2"/>
      <c r="M138" s="2"/>
    </row>
    <row r="139" spans="1:13" ht="16.5" customHeight="1" x14ac:dyDescent="0.3">
      <c r="C139" s="2"/>
      <c r="D139" s="2"/>
      <c r="E139" s="2"/>
      <c r="F139" s="2"/>
      <c r="G139" s="2"/>
    </row>
    <row r="140" spans="1:13" ht="16.5" customHeight="1" x14ac:dyDescent="0.3">
      <c r="C140" s="2"/>
      <c r="D140" s="2"/>
      <c r="E140" s="2"/>
      <c r="F140" s="2"/>
      <c r="G140" s="2"/>
    </row>
    <row r="141" spans="1:13" ht="15" customHeight="1" x14ac:dyDescent="0.3">
      <c r="A141" s="16">
        <v>12</v>
      </c>
      <c r="B141" s="25" t="s">
        <v>264</v>
      </c>
    </row>
    <row r="142" spans="1:13" ht="15" customHeight="1" x14ac:dyDescent="0.3">
      <c r="B142" s="17" t="s">
        <v>112</v>
      </c>
      <c r="C142" s="16" t="s">
        <v>265</v>
      </c>
    </row>
    <row r="143" spans="1:13" ht="20.25" customHeight="1" x14ac:dyDescent="0.3">
      <c r="B143" s="17">
        <v>1</v>
      </c>
      <c r="C143" s="2" t="s">
        <v>266</v>
      </c>
      <c r="D143" s="2"/>
      <c r="E143" s="2"/>
      <c r="F143" s="2"/>
      <c r="G143" s="2"/>
      <c r="I143" s="13">
        <f>+TIT!D27</f>
        <v>0</v>
      </c>
      <c r="J143" s="13"/>
      <c r="K143" s="13"/>
      <c r="L143" s="13"/>
      <c r="M143" s="13"/>
    </row>
    <row r="144" spans="1:13" ht="20.25" customHeight="1" x14ac:dyDescent="0.3">
      <c r="C144" s="2"/>
      <c r="D144" s="2"/>
      <c r="E144" s="2"/>
      <c r="F144" s="2"/>
      <c r="G144" s="2"/>
    </row>
    <row r="145" spans="2:13" ht="15" customHeight="1" x14ac:dyDescent="0.3">
      <c r="B145" s="17">
        <v>2</v>
      </c>
      <c r="C145" s="2" t="s">
        <v>267</v>
      </c>
      <c r="D145" s="2"/>
      <c r="E145" s="2"/>
      <c r="F145" s="2"/>
      <c r="G145" s="2"/>
      <c r="I145" s="13" t="str">
        <f>+TIT!D29&amp;", "&amp;TIT!D30</f>
        <v>Mr. Prakash Kamath, Hon. Secretary</v>
      </c>
      <c r="J145" s="13"/>
      <c r="K145" s="13"/>
      <c r="L145" s="13"/>
      <c r="M145" s="13"/>
    </row>
    <row r="146" spans="2:13" ht="15" customHeight="1" x14ac:dyDescent="0.3">
      <c r="C146" s="2"/>
      <c r="D146" s="2"/>
      <c r="E146" s="2"/>
      <c r="F146" s="2"/>
      <c r="G146" s="2"/>
    </row>
    <row r="147" spans="2:13" ht="15" customHeight="1" x14ac:dyDescent="0.3">
      <c r="C147" s="2"/>
      <c r="D147" s="2"/>
      <c r="E147" s="2"/>
      <c r="F147" s="2"/>
      <c r="G147" s="2"/>
    </row>
    <row r="148" spans="2:13" ht="27" customHeight="1" x14ac:dyDescent="0.3">
      <c r="B148" s="17">
        <v>3</v>
      </c>
      <c r="C148" s="13" t="s">
        <v>268</v>
      </c>
      <c r="D148" s="13"/>
      <c r="E148" s="13"/>
      <c r="F148" s="13"/>
      <c r="G148" s="13"/>
      <c r="I148" s="2" t="s">
        <v>269</v>
      </c>
      <c r="J148" s="2"/>
      <c r="K148" s="2"/>
      <c r="L148" s="2"/>
      <c r="M148" s="2"/>
    </row>
    <row r="149" spans="2:13" ht="20.25" customHeight="1" x14ac:dyDescent="0.3">
      <c r="B149" s="17">
        <v>4</v>
      </c>
      <c r="C149" s="2" t="s">
        <v>270</v>
      </c>
      <c r="D149" s="2"/>
      <c r="E149" s="2"/>
      <c r="F149" s="2"/>
      <c r="G149" s="2"/>
      <c r="I149" s="2" t="s">
        <v>271</v>
      </c>
      <c r="J149" s="2"/>
      <c r="K149" s="2"/>
      <c r="L149" s="2"/>
      <c r="M149" s="2"/>
    </row>
    <row r="150" spans="2:13" ht="20.25" customHeight="1" x14ac:dyDescent="0.3">
      <c r="C150" s="2"/>
      <c r="D150" s="2"/>
      <c r="E150" s="2"/>
      <c r="F150" s="2"/>
      <c r="G150" s="2"/>
      <c r="I150" s="2"/>
      <c r="J150" s="2"/>
      <c r="K150" s="2"/>
      <c r="L150" s="2"/>
      <c r="M150" s="2"/>
    </row>
    <row r="151" spans="2:13" ht="15" customHeight="1" x14ac:dyDescent="0.3">
      <c r="B151" s="17" t="s">
        <v>114</v>
      </c>
      <c r="C151" s="16" t="s">
        <v>272</v>
      </c>
    </row>
    <row r="152" spans="2:13" ht="22.5" customHeight="1" x14ac:dyDescent="0.3">
      <c r="C152" s="2" t="s">
        <v>273</v>
      </c>
      <c r="D152" s="2"/>
      <c r="E152" s="2"/>
      <c r="F152" s="2"/>
      <c r="G152" s="2"/>
      <c r="I152" s="2" t="s">
        <v>274</v>
      </c>
      <c r="J152" s="2"/>
      <c r="K152" s="2"/>
      <c r="L152" s="2"/>
      <c r="M152" s="2"/>
    </row>
    <row r="153" spans="2:13" ht="22.5" customHeight="1" x14ac:dyDescent="0.3">
      <c r="C153" s="2"/>
      <c r="D153" s="2"/>
      <c r="E153" s="2"/>
      <c r="F153" s="2"/>
      <c r="G153" s="2"/>
      <c r="I153" s="2"/>
      <c r="J153" s="2"/>
      <c r="K153" s="2"/>
      <c r="L153" s="2"/>
      <c r="M153" s="2"/>
    </row>
    <row r="154" spans="2:13" ht="22.5" customHeight="1" x14ac:dyDescent="0.3">
      <c r="C154" s="2"/>
      <c r="D154" s="2"/>
      <c r="E154" s="2"/>
      <c r="F154" s="2"/>
      <c r="G154" s="2"/>
      <c r="I154" s="2"/>
      <c r="J154" s="2"/>
      <c r="K154" s="2"/>
      <c r="L154" s="2"/>
      <c r="M154" s="2"/>
    </row>
    <row r="155" spans="2:13" ht="20.25" customHeight="1" x14ac:dyDescent="0.3">
      <c r="C155" s="2"/>
      <c r="D155" s="2"/>
      <c r="E155" s="2"/>
      <c r="F155" s="2"/>
      <c r="G155" s="2"/>
    </row>
    <row r="156" spans="2:13" ht="15" customHeight="1" x14ac:dyDescent="0.3">
      <c r="B156" s="17" t="s">
        <v>116</v>
      </c>
      <c r="C156" s="16" t="s">
        <v>275</v>
      </c>
    </row>
    <row r="157" spans="2:13" ht="20.25" customHeight="1" x14ac:dyDescent="0.3">
      <c r="B157" s="17">
        <v>1</v>
      </c>
      <c r="C157" s="2" t="s">
        <v>276</v>
      </c>
      <c r="D157" s="2"/>
      <c r="E157" s="2"/>
      <c r="F157" s="2"/>
      <c r="G157" s="2"/>
      <c r="I157" s="13" t="s">
        <v>181</v>
      </c>
      <c r="J157" s="13"/>
      <c r="K157" s="13"/>
      <c r="L157" s="13"/>
      <c r="M157" s="13"/>
    </row>
    <row r="158" spans="2:13" ht="20.25" customHeight="1" x14ac:dyDescent="0.3">
      <c r="C158" s="2"/>
      <c r="D158" s="2"/>
      <c r="E158" s="2"/>
      <c r="F158" s="2"/>
      <c r="G158" s="2"/>
    </row>
    <row r="159" spans="2:13" ht="27" customHeight="1" x14ac:dyDescent="0.3">
      <c r="B159" s="17">
        <v>2</v>
      </c>
      <c r="C159" s="2" t="s">
        <v>277</v>
      </c>
      <c r="D159" s="2"/>
      <c r="E159" s="2"/>
      <c r="F159" s="2"/>
      <c r="G159" s="2"/>
      <c r="I159" s="13" t="s">
        <v>181</v>
      </c>
      <c r="J159" s="13"/>
      <c r="K159" s="13"/>
      <c r="L159" s="13"/>
      <c r="M159" s="13"/>
    </row>
    <row r="160" spans="2:13" ht="15" customHeight="1" x14ac:dyDescent="0.3">
      <c r="B160" s="17">
        <v>3</v>
      </c>
      <c r="C160" s="2" t="s">
        <v>278</v>
      </c>
      <c r="D160" s="2"/>
      <c r="E160" s="2"/>
      <c r="F160" s="2"/>
      <c r="G160" s="2"/>
      <c r="I160" s="13" t="s">
        <v>232</v>
      </c>
      <c r="J160" s="13"/>
      <c r="K160" s="13"/>
      <c r="L160" s="13"/>
      <c r="M160" s="13"/>
    </row>
    <row r="161" spans="1:13" ht="15" customHeight="1" x14ac:dyDescent="0.3">
      <c r="C161" s="2"/>
      <c r="D161" s="2"/>
      <c r="E161" s="2"/>
      <c r="F161" s="2"/>
      <c r="G161" s="2"/>
    </row>
    <row r="162" spans="1:13" ht="27" customHeight="1" x14ac:dyDescent="0.3">
      <c r="B162" s="17">
        <v>4</v>
      </c>
      <c r="C162" s="2" t="s">
        <v>279</v>
      </c>
      <c r="D162" s="2"/>
      <c r="E162" s="2"/>
      <c r="F162" s="2"/>
      <c r="G162" s="2"/>
      <c r="I162" s="13" t="s">
        <v>181</v>
      </c>
      <c r="J162" s="13"/>
      <c r="K162" s="13"/>
      <c r="L162" s="13"/>
      <c r="M162" s="13"/>
    </row>
    <row r="164" spans="1:13" ht="15" customHeight="1" x14ac:dyDescent="0.3">
      <c r="A164" s="16">
        <v>13</v>
      </c>
      <c r="B164" s="25" t="s">
        <v>280</v>
      </c>
    </row>
    <row r="165" spans="1:13" ht="15" customHeight="1" x14ac:dyDescent="0.3">
      <c r="B165" s="17">
        <v>1</v>
      </c>
      <c r="C165" s="2" t="s">
        <v>281</v>
      </c>
      <c r="D165" s="2"/>
      <c r="E165" s="2"/>
      <c r="F165" s="2"/>
      <c r="G165" s="2"/>
      <c r="I165" s="13" t="s">
        <v>282</v>
      </c>
      <c r="J165" s="13"/>
      <c r="K165" s="13"/>
      <c r="L165" s="13"/>
      <c r="M165" s="13"/>
    </row>
    <row r="166" spans="1:13" ht="15" customHeight="1" x14ac:dyDescent="0.3">
      <c r="C166" s="2"/>
      <c r="D166" s="2"/>
      <c r="E166" s="2"/>
      <c r="F166" s="2"/>
      <c r="G166" s="2"/>
    </row>
    <row r="167" spans="1:13" ht="27" customHeight="1" x14ac:dyDescent="0.3">
      <c r="B167" s="17">
        <v>2</v>
      </c>
      <c r="C167" s="13" t="s">
        <v>283</v>
      </c>
      <c r="D167" s="13"/>
      <c r="E167" s="13"/>
      <c r="F167" s="13"/>
      <c r="G167" s="13"/>
      <c r="I167" s="2" t="s">
        <v>284</v>
      </c>
      <c r="J167" s="2"/>
      <c r="K167" s="2"/>
      <c r="L167" s="2"/>
      <c r="M167" s="2"/>
    </row>
    <row r="168" spans="1:13" ht="15" customHeight="1" x14ac:dyDescent="0.3">
      <c r="C168" s="13" t="s">
        <v>285</v>
      </c>
      <c r="D168" s="13"/>
      <c r="E168" s="13"/>
      <c r="F168" s="13"/>
      <c r="G168" s="13"/>
      <c r="I168" s="13" t="s">
        <v>34</v>
      </c>
      <c r="J168" s="13"/>
      <c r="K168" s="13"/>
      <c r="L168" s="13"/>
      <c r="M168" s="13"/>
    </row>
    <row r="169" spans="1:13" ht="18" customHeight="1" x14ac:dyDescent="0.3">
      <c r="B169" s="17">
        <v>3</v>
      </c>
      <c r="C169" s="2" t="s">
        <v>286</v>
      </c>
      <c r="D169" s="2"/>
      <c r="E169" s="2"/>
      <c r="F169" s="2"/>
      <c r="G169" s="2"/>
      <c r="I169" s="2" t="s">
        <v>287</v>
      </c>
      <c r="J169" s="2"/>
      <c r="K169" s="2"/>
      <c r="L169" s="2"/>
      <c r="M169" s="2"/>
    </row>
    <row r="170" spans="1:13" ht="18" customHeight="1" x14ac:dyDescent="0.3">
      <c r="C170" s="2"/>
      <c r="D170" s="2"/>
      <c r="E170" s="2"/>
      <c r="F170" s="2"/>
      <c r="G170" s="2"/>
      <c r="I170" s="2"/>
      <c r="J170" s="2"/>
      <c r="K170" s="2"/>
      <c r="L170" s="2"/>
      <c r="M170" s="2"/>
    </row>
    <row r="171" spans="1:13" ht="18" customHeight="1" x14ac:dyDescent="0.3">
      <c r="C171" s="2"/>
      <c r="D171" s="2"/>
      <c r="E171" s="2"/>
      <c r="F171" s="2"/>
      <c r="G171" s="2"/>
    </row>
    <row r="172" spans="1:13" ht="15" customHeight="1" x14ac:dyDescent="0.3">
      <c r="B172" s="17">
        <v>4</v>
      </c>
      <c r="C172" s="13" t="s">
        <v>288</v>
      </c>
      <c r="D172" s="13"/>
      <c r="E172" s="13"/>
      <c r="F172" s="13"/>
      <c r="G172" s="13"/>
      <c r="I172" s="13" t="s">
        <v>181</v>
      </c>
      <c r="J172" s="13"/>
      <c r="K172" s="13"/>
      <c r="L172" s="13"/>
      <c r="M172" s="13"/>
    </row>
    <row r="173" spans="1:13" ht="15" customHeight="1" x14ac:dyDescent="0.3">
      <c r="C173" s="13" t="s">
        <v>289</v>
      </c>
      <c r="D173" s="13"/>
      <c r="E173" s="13"/>
      <c r="F173" s="13"/>
      <c r="G173" s="13"/>
    </row>
    <row r="174" spans="1:13" ht="15" customHeight="1" x14ac:dyDescent="0.3">
      <c r="B174" s="17">
        <v>5</v>
      </c>
      <c r="C174" s="12" t="s">
        <v>290</v>
      </c>
      <c r="D174" s="12"/>
      <c r="E174" s="12"/>
      <c r="F174" s="12"/>
      <c r="G174" s="12"/>
    </row>
    <row r="175" spans="1:13" ht="27" customHeight="1" x14ac:dyDescent="0.3">
      <c r="C175" s="13" t="s">
        <v>291</v>
      </c>
      <c r="D175" s="13"/>
      <c r="E175" s="13"/>
      <c r="F175" s="13"/>
      <c r="G175" s="13"/>
      <c r="I175" s="2" t="s">
        <v>292</v>
      </c>
      <c r="J175" s="2"/>
      <c r="K175" s="2"/>
      <c r="L175" s="2"/>
      <c r="M175" s="2"/>
    </row>
    <row r="176" spans="1:13" ht="15" customHeight="1" x14ac:dyDescent="0.3">
      <c r="C176" s="2" t="s">
        <v>293</v>
      </c>
      <c r="D176" s="2"/>
      <c r="E176" s="2"/>
      <c r="F176" s="2"/>
      <c r="G176" s="2"/>
      <c r="I176" s="13" t="s">
        <v>294</v>
      </c>
      <c r="J176" s="13"/>
      <c r="K176" s="13" t="s">
        <v>295</v>
      </c>
      <c r="L176" s="13"/>
      <c r="M176" s="13"/>
    </row>
    <row r="177" spans="1:13" ht="15" customHeight="1" x14ac:dyDescent="0.3">
      <c r="C177" s="2"/>
      <c r="D177" s="2"/>
      <c r="E177" s="2"/>
      <c r="F177" s="2"/>
      <c r="G177" s="2"/>
      <c r="I177" s="13" t="s">
        <v>296</v>
      </c>
      <c r="J177" s="13"/>
      <c r="K177" s="13" t="s">
        <v>295</v>
      </c>
      <c r="L177" s="13"/>
      <c r="M177" s="13"/>
    </row>
    <row r="178" spans="1:13" ht="15" customHeight="1" x14ac:dyDescent="0.3">
      <c r="I178" s="13" t="s">
        <v>297</v>
      </c>
      <c r="J178" s="13"/>
      <c r="K178" s="13" t="s">
        <v>298</v>
      </c>
      <c r="L178" s="13"/>
      <c r="M178" s="13"/>
    </row>
    <row r="179" spans="1:13" ht="15" customHeight="1" x14ac:dyDescent="0.3">
      <c r="I179" s="13" t="s">
        <v>299</v>
      </c>
      <c r="J179" s="13"/>
      <c r="K179" s="13" t="s">
        <v>298</v>
      </c>
      <c r="L179" s="13"/>
      <c r="M179" s="13"/>
    </row>
    <row r="180" spans="1:13" ht="15" customHeight="1" x14ac:dyDescent="0.3">
      <c r="I180" s="13" t="s">
        <v>300</v>
      </c>
      <c r="J180" s="13"/>
      <c r="K180" s="13" t="s">
        <v>298</v>
      </c>
      <c r="L180" s="13"/>
      <c r="M180" s="13"/>
    </row>
    <row r="181" spans="1:13" ht="15" customHeight="1" x14ac:dyDescent="0.3">
      <c r="I181" s="13" t="s">
        <v>301</v>
      </c>
      <c r="J181" s="13"/>
      <c r="K181" s="13" t="s">
        <v>298</v>
      </c>
      <c r="L181" s="13"/>
      <c r="M181" s="13"/>
    </row>
    <row r="183" spans="1:13" ht="15" customHeight="1" x14ac:dyDescent="0.3">
      <c r="A183" s="16">
        <v>14</v>
      </c>
      <c r="B183" s="51" t="s">
        <v>302</v>
      </c>
      <c r="C183" s="51"/>
      <c r="D183" s="51"/>
      <c r="E183" s="51"/>
      <c r="F183" s="51"/>
      <c r="G183" s="51"/>
      <c r="I183" s="2" t="s">
        <v>303</v>
      </c>
      <c r="J183" s="2"/>
      <c r="K183" s="2"/>
      <c r="L183" s="2"/>
      <c r="M183" s="2"/>
    </row>
    <row r="184" spans="1:13" ht="15" customHeight="1" x14ac:dyDescent="0.3">
      <c r="B184" s="51"/>
      <c r="C184" s="51"/>
      <c r="D184" s="51"/>
      <c r="E184" s="51"/>
      <c r="F184" s="51"/>
      <c r="G184" s="51"/>
      <c r="I184" s="2"/>
      <c r="J184" s="2"/>
      <c r="K184" s="2"/>
      <c r="L184" s="2"/>
      <c r="M184" s="2"/>
    </row>
    <row r="185" spans="1:13" ht="15" customHeight="1" x14ac:dyDescent="0.3">
      <c r="B185" s="51"/>
      <c r="C185" s="51"/>
      <c r="D185" s="51"/>
      <c r="E185" s="51"/>
      <c r="F185" s="51"/>
      <c r="G185" s="51"/>
    </row>
    <row r="187" spans="1:13" ht="15" customHeight="1" x14ac:dyDescent="0.3">
      <c r="I187" s="12" t="s">
        <v>304</v>
      </c>
      <c r="J187" s="12"/>
      <c r="K187" s="12"/>
      <c r="L187" s="12"/>
      <c r="M187" s="12"/>
    </row>
    <row r="188" spans="1:13" ht="15" customHeight="1" x14ac:dyDescent="0.3">
      <c r="I188" s="14" t="str">
        <f>+TIT!D9</f>
        <v>Shri. Bharat C. Boridkar</v>
      </c>
      <c r="J188" s="14"/>
      <c r="K188" s="14"/>
      <c r="L188" s="14"/>
      <c r="M188" s="14"/>
    </row>
    <row r="189" spans="1:13" ht="15" customHeight="1" x14ac:dyDescent="0.3">
      <c r="I189" s="13" t="str">
        <f>"["&amp;TIT!A10&amp;" "&amp;TIT!D10&amp;" ]"</f>
        <v>[Panel No. Mumbai-4/C1/1011404 ]</v>
      </c>
      <c r="J189" s="13"/>
      <c r="K189" s="13"/>
      <c r="L189" s="13"/>
      <c r="M189" s="13"/>
    </row>
    <row r="190" spans="1:13" ht="15" customHeight="1" x14ac:dyDescent="0.3">
      <c r="I190" s="13" t="str">
        <f>+TIT!F9</f>
        <v>Govt. Certified Panel Auditor</v>
      </c>
      <c r="J190" s="13"/>
      <c r="K190" s="13"/>
      <c r="L190" s="13"/>
      <c r="M190" s="13"/>
    </row>
    <row r="191" spans="1:13" ht="15" customHeight="1" x14ac:dyDescent="0.3">
      <c r="A191" s="1">
        <f>+TIT!D16</f>
        <v>46282</v>
      </c>
      <c r="B191" s="1"/>
      <c r="C191" s="1"/>
      <c r="D191" s="1"/>
      <c r="E191" s="1"/>
      <c r="I191" s="2" t="str">
        <f>TIT!B11&amp;": "&amp;TIT!D11</f>
        <v>Address: Boridkar House, Pandurang Bhoir Road, Dahisar - West, Mumbai - 400 068</v>
      </c>
      <c r="J191" s="2"/>
      <c r="K191" s="2"/>
      <c r="L191" s="2"/>
      <c r="M191" s="2"/>
    </row>
    <row r="192" spans="1:13" ht="15" customHeight="1" x14ac:dyDescent="0.3">
      <c r="I192" s="2"/>
      <c r="J192" s="2"/>
      <c r="K192" s="2"/>
      <c r="L192" s="2"/>
      <c r="M192" s="2"/>
    </row>
  </sheetData>
  <mergeCells count="179">
    <mergeCell ref="I188:M188"/>
    <mergeCell ref="I189:M189"/>
    <mergeCell ref="I190:M190"/>
    <mergeCell ref="A191:E191"/>
    <mergeCell ref="I191:M192"/>
    <mergeCell ref="I179:J179"/>
    <mergeCell ref="K179:M179"/>
    <mergeCell ref="I180:J180"/>
    <mergeCell ref="K180:M180"/>
    <mergeCell ref="I181:J181"/>
    <mergeCell ref="K181:M181"/>
    <mergeCell ref="B183:G185"/>
    <mergeCell ref="I183:M184"/>
    <mergeCell ref="I187:M187"/>
    <mergeCell ref="C174:G174"/>
    <mergeCell ref="C175:G175"/>
    <mergeCell ref="I175:M175"/>
    <mergeCell ref="C176:G177"/>
    <mergeCell ref="I176:J176"/>
    <mergeCell ref="K176:M176"/>
    <mergeCell ref="I177:J177"/>
    <mergeCell ref="K177:M177"/>
    <mergeCell ref="I178:J178"/>
    <mergeCell ref="K178:M178"/>
    <mergeCell ref="C167:G167"/>
    <mergeCell ref="I167:M167"/>
    <mergeCell ref="C168:G168"/>
    <mergeCell ref="I168:M168"/>
    <mergeCell ref="C169:G171"/>
    <mergeCell ref="I169:M170"/>
    <mergeCell ref="C172:G172"/>
    <mergeCell ref="I172:M172"/>
    <mergeCell ref="C173:G173"/>
    <mergeCell ref="C157:G158"/>
    <mergeCell ref="I157:M157"/>
    <mergeCell ref="C159:G159"/>
    <mergeCell ref="I159:M159"/>
    <mergeCell ref="C160:G161"/>
    <mergeCell ref="I160:M160"/>
    <mergeCell ref="C162:G162"/>
    <mergeCell ref="I162:M162"/>
    <mergeCell ref="C165:G166"/>
    <mergeCell ref="I165:M165"/>
    <mergeCell ref="C143:G144"/>
    <mergeCell ref="I143:M143"/>
    <mergeCell ref="C145:G147"/>
    <mergeCell ref="I145:M145"/>
    <mergeCell ref="C148:G148"/>
    <mergeCell ref="I148:M148"/>
    <mergeCell ref="C149:G150"/>
    <mergeCell ref="I149:M150"/>
    <mergeCell ref="C152:G155"/>
    <mergeCell ref="I152:M154"/>
    <mergeCell ref="C129:G131"/>
    <mergeCell ref="I129:M129"/>
    <mergeCell ref="I130:M130"/>
    <mergeCell ref="C132:G133"/>
    <mergeCell ref="C135:G136"/>
    <mergeCell ref="I135:K135"/>
    <mergeCell ref="L135:M135"/>
    <mergeCell ref="C137:G140"/>
    <mergeCell ref="I137:M138"/>
    <mergeCell ref="C116:G119"/>
    <mergeCell ref="I116:M118"/>
    <mergeCell ref="C121:G122"/>
    <mergeCell ref="C123:G124"/>
    <mergeCell ref="C126:G126"/>
    <mergeCell ref="I126:M126"/>
    <mergeCell ref="C127:G127"/>
    <mergeCell ref="I127:M127"/>
    <mergeCell ref="C128:G128"/>
    <mergeCell ref="I128:M128"/>
    <mergeCell ref="C106:G106"/>
    <mergeCell ref="I106:M106"/>
    <mergeCell ref="C107:G108"/>
    <mergeCell ref="I107:M107"/>
    <mergeCell ref="C109:G109"/>
    <mergeCell ref="I109:M109"/>
    <mergeCell ref="C111:G113"/>
    <mergeCell ref="I111:M111"/>
    <mergeCell ref="C114:G115"/>
    <mergeCell ref="I114:M115"/>
    <mergeCell ref="C98:G100"/>
    <mergeCell ref="I98:M98"/>
    <mergeCell ref="C101:G102"/>
    <mergeCell ref="I101:M101"/>
    <mergeCell ref="C103:G103"/>
    <mergeCell ref="C104:G104"/>
    <mergeCell ref="I104:J104"/>
    <mergeCell ref="K104:M104"/>
    <mergeCell ref="C105:G105"/>
    <mergeCell ref="I105:M105"/>
    <mergeCell ref="C85:G87"/>
    <mergeCell ref="I85:M86"/>
    <mergeCell ref="C89:G89"/>
    <mergeCell ref="C90:G90"/>
    <mergeCell ref="I90:M90"/>
    <mergeCell ref="C91:G93"/>
    <mergeCell ref="I91:M91"/>
    <mergeCell ref="C94:G96"/>
    <mergeCell ref="I94:M95"/>
    <mergeCell ref="C77:G77"/>
    <mergeCell ref="I77:M77"/>
    <mergeCell ref="C78:G78"/>
    <mergeCell ref="I78:M78"/>
    <mergeCell ref="C79:G79"/>
    <mergeCell ref="I79:M79"/>
    <mergeCell ref="C81:G84"/>
    <mergeCell ref="I81:M81"/>
    <mergeCell ref="I82:M82"/>
    <mergeCell ref="C68:G68"/>
    <mergeCell ref="I68:M68"/>
    <mergeCell ref="C69:G70"/>
    <mergeCell ref="I69:M69"/>
    <mergeCell ref="C73:G73"/>
    <mergeCell ref="I73:M73"/>
    <mergeCell ref="C74:G74"/>
    <mergeCell ref="I74:M74"/>
    <mergeCell ref="C75:G76"/>
    <mergeCell ref="C56:G57"/>
    <mergeCell ref="I56:M57"/>
    <mergeCell ref="C58:G59"/>
    <mergeCell ref="I58:M59"/>
    <mergeCell ref="C60:G61"/>
    <mergeCell ref="I60:M61"/>
    <mergeCell ref="C62:G64"/>
    <mergeCell ref="I62:M64"/>
    <mergeCell ref="C66:G67"/>
    <mergeCell ref="I66:M66"/>
    <mergeCell ref="C46:G47"/>
    <mergeCell ref="I46:M46"/>
    <mergeCell ref="C48:G50"/>
    <mergeCell ref="I48:M49"/>
    <mergeCell ref="C52:G52"/>
    <mergeCell ref="I52:M52"/>
    <mergeCell ref="C53:G53"/>
    <mergeCell ref="I53:M53"/>
    <mergeCell ref="C54:G55"/>
    <mergeCell ref="I54:M55"/>
    <mergeCell ref="C35:G35"/>
    <mergeCell ref="I35:M35"/>
    <mergeCell ref="C36:G37"/>
    <mergeCell ref="I36:M36"/>
    <mergeCell ref="C38:G40"/>
    <mergeCell ref="I38:M39"/>
    <mergeCell ref="C41:G42"/>
    <mergeCell ref="I41:M41"/>
    <mergeCell ref="C43:G45"/>
    <mergeCell ref="I43:M44"/>
    <mergeCell ref="C22:G22"/>
    <mergeCell ref="I22:M22"/>
    <mergeCell ref="B23:C25"/>
    <mergeCell ref="D23:G23"/>
    <mergeCell ref="D24:G24"/>
    <mergeCell ref="D25:G25"/>
    <mergeCell ref="E27:E29"/>
    <mergeCell ref="E32:G32"/>
    <mergeCell ref="C34:G34"/>
    <mergeCell ref="I34:M34"/>
    <mergeCell ref="I12:M12"/>
    <mergeCell ref="I13:M13"/>
    <mergeCell ref="A14:G15"/>
    <mergeCell ref="I14:M14"/>
    <mergeCell ref="I16:M16"/>
    <mergeCell ref="B17:G17"/>
    <mergeCell ref="I17:M17"/>
    <mergeCell ref="C19:G20"/>
    <mergeCell ref="I19:J19"/>
    <mergeCell ref="K19:M19"/>
    <mergeCell ref="I20:M21"/>
    <mergeCell ref="A1:M1"/>
    <mergeCell ref="A2:M2"/>
    <mergeCell ref="A3:M3"/>
    <mergeCell ref="I5:M6"/>
    <mergeCell ref="A7:G7"/>
    <mergeCell ref="I7:M7"/>
    <mergeCell ref="I8:M9"/>
    <mergeCell ref="I10:M10"/>
    <mergeCell ref="I11:M11"/>
  </mergeCells>
  <pageMargins left="0.4" right="0.4" top="0.5" bottom="0.5"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38"/>
  <sheetViews>
    <sheetView showGridLines="0" zoomScaleNormal="100" workbookViewId="0">
      <selection sqref="A1:M1"/>
    </sheetView>
  </sheetViews>
  <sheetFormatPr defaultColWidth="8.6640625" defaultRowHeight="14.4" x14ac:dyDescent="0.3"/>
  <cols>
    <col min="1" max="1" width="3.21875" customWidth="1"/>
    <col min="2" max="2" width="4.44140625" customWidth="1"/>
    <col min="3" max="3" width="5.6640625" customWidth="1"/>
    <col min="4" max="4" width="8" customWidth="1"/>
    <col min="5" max="7" width="9" customWidth="1"/>
    <col min="8" max="8" width="0.88671875" customWidth="1"/>
    <col min="9" max="9" width="9" customWidth="1"/>
    <col min="10" max="13" width="8" customWidth="1"/>
  </cols>
  <sheetData>
    <row r="1" spans="1:13" ht="15" customHeight="1" x14ac:dyDescent="0.3">
      <c r="A1" s="4" t="str">
        <f>+TIT!D2</f>
        <v>AKSHITA AVENUE CO-OPERATIVE HOUSING SOCIETY LTD.</v>
      </c>
      <c r="B1" s="4"/>
      <c r="C1" s="4"/>
      <c r="D1" s="4"/>
      <c r="E1" s="4"/>
      <c r="F1" s="4"/>
      <c r="G1" s="4"/>
      <c r="H1" s="4"/>
      <c r="I1" s="4"/>
      <c r="J1" s="4"/>
      <c r="K1" s="4"/>
      <c r="L1" s="4"/>
      <c r="M1" s="4"/>
    </row>
    <row r="2" spans="1:13" ht="17.25" customHeight="1" x14ac:dyDescent="0.3">
      <c r="A2" s="57" t="s">
        <v>305</v>
      </c>
      <c r="B2" s="57"/>
      <c r="C2" s="57"/>
      <c r="D2" s="57"/>
      <c r="E2" s="57"/>
      <c r="F2" s="57"/>
      <c r="G2" s="57"/>
      <c r="H2" s="57"/>
      <c r="I2" s="57"/>
      <c r="J2" s="57"/>
      <c r="K2" s="57"/>
      <c r="L2" s="57"/>
      <c r="M2" s="57"/>
    </row>
    <row r="3" spans="1:13" ht="15" customHeight="1" x14ac:dyDescent="0.3">
      <c r="A3" s="53" t="s">
        <v>306</v>
      </c>
      <c r="B3" s="53"/>
      <c r="C3" s="53"/>
      <c r="D3" s="53"/>
      <c r="E3" s="53"/>
      <c r="F3" s="53"/>
      <c r="G3" s="53"/>
      <c r="H3" s="53"/>
      <c r="I3" s="53"/>
      <c r="J3" s="53"/>
      <c r="K3" s="53"/>
      <c r="L3" s="53"/>
      <c r="M3" s="53"/>
    </row>
    <row r="4" spans="1:13" ht="15" customHeight="1" x14ac:dyDescent="0.3">
      <c r="A4" s="53" t="s">
        <v>307</v>
      </c>
      <c r="B4" s="53"/>
      <c r="C4" s="53"/>
      <c r="D4" s="53"/>
      <c r="E4" s="53"/>
      <c r="F4" s="53"/>
      <c r="G4" s="53"/>
      <c r="H4" s="53"/>
      <c r="I4" s="53"/>
      <c r="J4" s="53"/>
      <c r="K4" s="53"/>
      <c r="L4" s="53"/>
      <c r="M4" s="53"/>
    </row>
    <row r="5" spans="1:13" ht="15" customHeight="1" x14ac:dyDescent="0.3">
      <c r="A5" s="16" t="s">
        <v>84</v>
      </c>
      <c r="B5" s="25" t="s">
        <v>308</v>
      </c>
    </row>
    <row r="6" spans="1:13" ht="27" customHeight="1" x14ac:dyDescent="0.3">
      <c r="B6" s="17" t="s">
        <v>157</v>
      </c>
      <c r="C6" s="2" t="s">
        <v>309</v>
      </c>
      <c r="D6" s="2"/>
      <c r="E6" s="2"/>
      <c r="F6" s="2"/>
      <c r="G6" s="2"/>
      <c r="H6" s="2"/>
      <c r="I6" s="2"/>
      <c r="J6" s="2"/>
      <c r="K6" s="2"/>
      <c r="L6" s="2"/>
      <c r="M6" s="2"/>
    </row>
    <row r="7" spans="1:13" ht="30" customHeight="1" x14ac:dyDescent="0.3">
      <c r="A7" s="60" t="s">
        <v>310</v>
      </c>
      <c r="B7" s="60"/>
      <c r="C7" s="60"/>
      <c r="D7" s="60"/>
      <c r="E7" s="60" t="s">
        <v>311</v>
      </c>
      <c r="F7" s="60"/>
      <c r="G7" s="60" t="s">
        <v>312</v>
      </c>
      <c r="H7" s="60"/>
      <c r="I7" s="60" t="s">
        <v>313</v>
      </c>
      <c r="J7" s="60" t="s">
        <v>314</v>
      </c>
      <c r="K7" s="60" t="s">
        <v>315</v>
      </c>
      <c r="L7" s="60" t="s">
        <v>316</v>
      </c>
      <c r="M7" s="60" t="s">
        <v>317</v>
      </c>
    </row>
    <row r="8" spans="1:13" ht="15" customHeight="1" x14ac:dyDescent="0.3">
      <c r="A8" s="60"/>
      <c r="B8" s="60"/>
      <c r="C8" s="60"/>
      <c r="D8" s="60"/>
      <c r="E8" s="60"/>
      <c r="F8" s="60"/>
      <c r="G8" s="60"/>
      <c r="H8" s="60"/>
      <c r="I8" s="60"/>
      <c r="J8" s="60"/>
      <c r="K8" s="60"/>
      <c r="L8" s="60"/>
      <c r="M8" s="60"/>
    </row>
    <row r="9" spans="1:13" ht="15" customHeight="1" x14ac:dyDescent="0.3">
      <c r="A9" s="60"/>
      <c r="B9" s="60"/>
      <c r="C9" s="60"/>
      <c r="D9" s="60"/>
      <c r="E9" s="60"/>
      <c r="F9" s="60"/>
      <c r="G9" s="60"/>
      <c r="H9" s="60"/>
      <c r="I9" s="60"/>
      <c r="J9" s="60"/>
      <c r="K9" s="60"/>
      <c r="L9" s="60"/>
      <c r="M9" s="60"/>
    </row>
    <row r="10" spans="1:13" ht="15" customHeight="1" x14ac:dyDescent="0.3">
      <c r="A10" s="61">
        <v>1</v>
      </c>
      <c r="B10" s="61"/>
      <c r="C10" s="61"/>
      <c r="D10" s="61"/>
      <c r="E10" s="61">
        <v>2</v>
      </c>
      <c r="F10" s="61"/>
      <c r="G10" s="61">
        <v>3</v>
      </c>
      <c r="H10" s="61"/>
      <c r="I10" s="30">
        <v>4</v>
      </c>
      <c r="J10" s="30">
        <v>5</v>
      </c>
      <c r="K10" s="30">
        <v>6</v>
      </c>
      <c r="L10" s="30">
        <v>7</v>
      </c>
      <c r="M10" s="30">
        <v>8</v>
      </c>
    </row>
    <row r="12" spans="1:13" ht="15" customHeight="1" x14ac:dyDescent="0.3">
      <c r="A12" s="62" t="s">
        <v>318</v>
      </c>
      <c r="B12" s="62"/>
      <c r="C12" s="62"/>
      <c r="D12" s="62"/>
      <c r="E12" s="62"/>
      <c r="F12" s="62"/>
      <c r="G12" s="62"/>
      <c r="H12" s="62"/>
      <c r="I12" s="62"/>
      <c r="J12" s="62"/>
      <c r="K12" s="62"/>
      <c r="L12" s="62"/>
      <c r="M12" s="62"/>
    </row>
    <row r="14" spans="1:13" ht="15" customHeight="1" x14ac:dyDescent="0.3">
      <c r="B14" s="17" t="s">
        <v>159</v>
      </c>
      <c r="C14" s="2" t="s">
        <v>319</v>
      </c>
      <c r="D14" s="2"/>
      <c r="E14" s="2"/>
      <c r="F14" s="2"/>
      <c r="G14" s="2"/>
      <c r="I14" s="2" t="s">
        <v>232</v>
      </c>
      <c r="J14" s="2"/>
      <c r="K14" s="2"/>
      <c r="L14" s="2"/>
      <c r="M14" s="2"/>
    </row>
    <row r="15" spans="1:13" ht="20.25" customHeight="1" x14ac:dyDescent="0.3">
      <c r="B15" s="17" t="s">
        <v>183</v>
      </c>
      <c r="C15" s="2" t="s">
        <v>320</v>
      </c>
      <c r="D15" s="2"/>
      <c r="E15" s="2"/>
      <c r="F15" s="2"/>
      <c r="G15" s="2"/>
      <c r="I15" s="2" t="s">
        <v>232</v>
      </c>
      <c r="J15" s="2"/>
      <c r="K15" s="2"/>
      <c r="L15" s="2"/>
      <c r="M15" s="2"/>
    </row>
    <row r="16" spans="1:13" ht="20.25" customHeight="1" x14ac:dyDescent="0.3">
      <c r="C16" s="2"/>
      <c r="D16" s="2"/>
      <c r="E16" s="2"/>
      <c r="F16" s="2"/>
      <c r="G16" s="2"/>
    </row>
    <row r="17" spans="1:13" ht="15" customHeight="1" x14ac:dyDescent="0.3">
      <c r="B17" s="17" t="s">
        <v>185</v>
      </c>
      <c r="C17" s="2" t="s">
        <v>321</v>
      </c>
      <c r="D17" s="2"/>
      <c r="E17" s="2"/>
      <c r="F17" s="2"/>
      <c r="G17" s="2"/>
      <c r="I17" s="2" t="s">
        <v>232</v>
      </c>
      <c r="J17" s="2"/>
      <c r="K17" s="2"/>
      <c r="L17" s="2"/>
      <c r="M17" s="2"/>
    </row>
    <row r="18" spans="1:13" ht="15" customHeight="1" x14ac:dyDescent="0.3">
      <c r="C18" s="2"/>
      <c r="D18" s="2"/>
      <c r="E18" s="2"/>
      <c r="F18" s="2"/>
      <c r="G18" s="2"/>
    </row>
    <row r="19" spans="1:13" ht="15" customHeight="1" x14ac:dyDescent="0.3">
      <c r="A19" s="16" t="s">
        <v>87</v>
      </c>
      <c r="B19" s="25" t="s">
        <v>322</v>
      </c>
    </row>
    <row r="20" spans="1:13" ht="15" customHeight="1" x14ac:dyDescent="0.3">
      <c r="B20" s="17" t="s">
        <v>157</v>
      </c>
      <c r="C20" s="2" t="s">
        <v>323</v>
      </c>
      <c r="D20" s="2"/>
      <c r="E20" s="2"/>
      <c r="F20" s="2"/>
      <c r="G20" s="2"/>
      <c r="I20" s="2" t="s">
        <v>232</v>
      </c>
      <c r="J20" s="2"/>
      <c r="K20" s="2"/>
      <c r="L20" s="2"/>
      <c r="M20" s="2"/>
    </row>
    <row r="21" spans="1:13" ht="15" customHeight="1" x14ac:dyDescent="0.3">
      <c r="C21" s="2"/>
      <c r="D21" s="2"/>
      <c r="E21" s="2"/>
      <c r="F21" s="2"/>
      <c r="G21" s="2"/>
    </row>
    <row r="22" spans="1:13" ht="18" customHeight="1" x14ac:dyDescent="0.3">
      <c r="B22" s="17" t="s">
        <v>159</v>
      </c>
      <c r="C22" s="2" t="s">
        <v>324</v>
      </c>
      <c r="D22" s="2"/>
      <c r="E22" s="2"/>
      <c r="F22" s="2"/>
      <c r="G22" s="2"/>
      <c r="I22" s="2" t="s">
        <v>232</v>
      </c>
      <c r="J22" s="2"/>
      <c r="K22" s="2"/>
      <c r="L22" s="2"/>
      <c r="M22" s="2"/>
    </row>
    <row r="23" spans="1:13" ht="18" customHeight="1" x14ac:dyDescent="0.3">
      <c r="C23" s="2"/>
      <c r="D23" s="2"/>
      <c r="E23" s="2"/>
      <c r="F23" s="2"/>
      <c r="G23" s="2"/>
      <c r="I23" s="2"/>
      <c r="J23" s="2"/>
      <c r="K23" s="2"/>
      <c r="L23" s="2"/>
      <c r="M23" s="2"/>
    </row>
    <row r="24" spans="1:13" ht="18" customHeight="1" x14ac:dyDescent="0.3">
      <c r="C24" s="2"/>
      <c r="D24" s="2"/>
      <c r="E24" s="2"/>
      <c r="F24" s="2"/>
      <c r="G24" s="2"/>
    </row>
    <row r="25" spans="1:13" ht="15" customHeight="1" x14ac:dyDescent="0.3">
      <c r="A25" s="16" t="s">
        <v>90</v>
      </c>
      <c r="B25" s="25" t="s">
        <v>325</v>
      </c>
    </row>
    <row r="26" spans="1:13" ht="16.5" customHeight="1" x14ac:dyDescent="0.3">
      <c r="B26" s="17" t="s">
        <v>157</v>
      </c>
      <c r="C26" s="2" t="s">
        <v>326</v>
      </c>
      <c r="D26" s="2"/>
      <c r="E26" s="2"/>
      <c r="F26" s="2"/>
      <c r="G26" s="2"/>
      <c r="I26" s="2" t="s">
        <v>232</v>
      </c>
      <c r="J26" s="2"/>
      <c r="K26" s="2"/>
      <c r="L26" s="2"/>
      <c r="M26" s="2"/>
    </row>
    <row r="27" spans="1:13" ht="16.5" customHeight="1" x14ac:dyDescent="0.3">
      <c r="C27" s="2"/>
      <c r="D27" s="2"/>
      <c r="E27" s="2"/>
      <c r="F27" s="2"/>
      <c r="G27" s="2"/>
      <c r="I27" s="2"/>
      <c r="J27" s="2"/>
      <c r="K27" s="2"/>
      <c r="L27" s="2"/>
      <c r="M27" s="2"/>
    </row>
    <row r="28" spans="1:13" ht="16.5" customHeight="1" x14ac:dyDescent="0.3">
      <c r="C28" s="2"/>
      <c r="D28" s="2"/>
      <c r="E28" s="2"/>
      <c r="F28" s="2"/>
      <c r="G28" s="2"/>
      <c r="I28" s="2"/>
      <c r="J28" s="2"/>
      <c r="K28" s="2"/>
      <c r="L28" s="2"/>
      <c r="M28" s="2"/>
    </row>
    <row r="29" spans="1:13" ht="16.5" customHeight="1" x14ac:dyDescent="0.3">
      <c r="C29" s="2"/>
      <c r="D29" s="2"/>
      <c r="E29" s="2"/>
      <c r="F29" s="2"/>
      <c r="G29" s="2"/>
    </row>
    <row r="30" spans="1:13" ht="18" customHeight="1" x14ac:dyDescent="0.3">
      <c r="B30" s="17" t="s">
        <v>159</v>
      </c>
      <c r="C30" s="2" t="s">
        <v>327</v>
      </c>
      <c r="D30" s="2"/>
      <c r="E30" s="2"/>
      <c r="F30" s="2"/>
      <c r="G30" s="2"/>
      <c r="I30" s="2" t="s">
        <v>232</v>
      </c>
      <c r="J30" s="2"/>
      <c r="K30" s="2"/>
      <c r="L30" s="2"/>
      <c r="M30" s="2"/>
    </row>
    <row r="31" spans="1:13" ht="18" customHeight="1" x14ac:dyDescent="0.3">
      <c r="C31" s="2"/>
      <c r="D31" s="2"/>
      <c r="E31" s="2"/>
      <c r="F31" s="2"/>
      <c r="G31" s="2"/>
      <c r="I31" s="2"/>
      <c r="J31" s="2"/>
      <c r="K31" s="2"/>
      <c r="L31" s="2"/>
      <c r="M31" s="2"/>
    </row>
    <row r="32" spans="1:13" ht="18" customHeight="1" x14ac:dyDescent="0.3">
      <c r="C32" s="2"/>
      <c r="D32" s="2"/>
      <c r="E32" s="2"/>
      <c r="F32" s="2"/>
      <c r="G32" s="2"/>
    </row>
    <row r="33" spans="1:13" ht="16.5" customHeight="1" x14ac:dyDescent="0.3">
      <c r="B33" s="17" t="s">
        <v>183</v>
      </c>
      <c r="C33" s="2" t="s">
        <v>328</v>
      </c>
      <c r="D33" s="2"/>
      <c r="E33" s="2"/>
      <c r="F33" s="2"/>
      <c r="G33" s="2"/>
      <c r="I33" s="2" t="s">
        <v>232</v>
      </c>
      <c r="J33" s="2"/>
      <c r="K33" s="2"/>
      <c r="L33" s="2"/>
      <c r="M33" s="2"/>
    </row>
    <row r="34" spans="1:13" ht="16.5" customHeight="1" x14ac:dyDescent="0.3">
      <c r="C34" s="2"/>
      <c r="D34" s="2"/>
      <c r="E34" s="2"/>
      <c r="F34" s="2"/>
      <c r="G34" s="2"/>
      <c r="I34" s="2"/>
      <c r="J34" s="2"/>
      <c r="K34" s="2"/>
      <c r="L34" s="2"/>
      <c r="M34" s="2"/>
    </row>
    <row r="35" spans="1:13" ht="16.5" customHeight="1" x14ac:dyDescent="0.3">
      <c r="C35" s="2"/>
      <c r="D35" s="2"/>
      <c r="E35" s="2"/>
      <c r="F35" s="2"/>
      <c r="G35" s="2"/>
      <c r="I35" s="2"/>
      <c r="J35" s="2"/>
      <c r="K35" s="2"/>
      <c r="L35" s="2"/>
      <c r="M35" s="2"/>
    </row>
    <row r="36" spans="1:13" ht="16.5" customHeight="1" x14ac:dyDescent="0.3">
      <c r="C36" s="2"/>
      <c r="D36" s="2"/>
      <c r="E36" s="2"/>
      <c r="F36" s="2"/>
      <c r="G36" s="2"/>
    </row>
    <row r="37" spans="1:13" ht="15" customHeight="1" x14ac:dyDescent="0.3">
      <c r="A37" s="16" t="s">
        <v>92</v>
      </c>
      <c r="B37" s="25" t="s">
        <v>329</v>
      </c>
    </row>
    <row r="38" spans="1:13" ht="15.75" customHeight="1" x14ac:dyDescent="0.3">
      <c r="B38" s="17" t="s">
        <v>157</v>
      </c>
      <c r="C38" s="2" t="s">
        <v>330</v>
      </c>
      <c r="D38" s="2"/>
      <c r="E38" s="2"/>
      <c r="F38" s="2"/>
      <c r="G38" s="2"/>
      <c r="I38" s="2" t="str">
        <f>+TIT!D6</f>
        <v>Akshita Avenue, Holy Cross Road, I. C. Colony, Borivali West, Mumbai - 400 103</v>
      </c>
      <c r="J38" s="2"/>
      <c r="K38" s="2"/>
      <c r="L38" s="2"/>
      <c r="M38" s="2"/>
    </row>
    <row r="39" spans="1:13" ht="15.75" customHeight="1" x14ac:dyDescent="0.3">
      <c r="C39" s="2"/>
      <c r="D39" s="2"/>
      <c r="E39" s="2"/>
      <c r="F39" s="2"/>
      <c r="G39" s="2"/>
      <c r="I39" s="2"/>
      <c r="J39" s="2"/>
      <c r="K39" s="2"/>
      <c r="L39" s="2"/>
      <c r="M39" s="2"/>
    </row>
    <row r="40" spans="1:13" ht="15.75" customHeight="1" x14ac:dyDescent="0.3">
      <c r="C40" s="2"/>
      <c r="D40" s="2"/>
      <c r="E40" s="2"/>
      <c r="F40" s="2"/>
      <c r="G40" s="2"/>
      <c r="I40" s="2"/>
      <c r="J40" s="2"/>
      <c r="K40" s="2"/>
      <c r="L40" s="2"/>
      <c r="M40" s="2"/>
    </row>
    <row r="41" spans="1:13" ht="15.75" customHeight="1" x14ac:dyDescent="0.3">
      <c r="C41" s="2"/>
      <c r="D41" s="2"/>
      <c r="E41" s="2"/>
      <c r="F41" s="2"/>
      <c r="G41" s="2"/>
      <c r="I41" s="2"/>
      <c r="J41" s="2"/>
      <c r="K41" s="2"/>
      <c r="L41" s="2"/>
      <c r="M41" s="2"/>
    </row>
    <row r="42" spans="1:13" ht="15.75" customHeight="1" x14ac:dyDescent="0.3">
      <c r="C42" s="2"/>
      <c r="D42" s="2"/>
      <c r="E42" s="2"/>
      <c r="F42" s="2"/>
      <c r="G42" s="2"/>
    </row>
    <row r="43" spans="1:13" ht="27" customHeight="1" x14ac:dyDescent="0.3">
      <c r="B43" s="17" t="s">
        <v>159</v>
      </c>
      <c r="C43" s="2" t="s">
        <v>331</v>
      </c>
      <c r="D43" s="2"/>
      <c r="E43" s="2"/>
      <c r="F43" s="2"/>
      <c r="G43" s="2"/>
      <c r="I43" s="2" t="s">
        <v>332</v>
      </c>
      <c r="J43" s="2"/>
      <c r="K43" s="2"/>
      <c r="L43" s="2"/>
      <c r="M43" s="2"/>
    </row>
    <row r="44" spans="1:13" ht="20.25" customHeight="1" x14ac:dyDescent="0.3">
      <c r="C44" s="2"/>
      <c r="D44" s="2"/>
      <c r="E44" s="2"/>
      <c r="F44" s="2"/>
      <c r="G44" s="2"/>
    </row>
    <row r="45" spans="1:13" ht="27" customHeight="1" x14ac:dyDescent="0.3">
      <c r="B45" s="17" t="s">
        <v>183</v>
      </c>
      <c r="C45" s="2" t="s">
        <v>333</v>
      </c>
      <c r="D45" s="2"/>
      <c r="E45" s="2"/>
      <c r="F45" s="2"/>
      <c r="G45" s="2"/>
    </row>
    <row r="46" spans="1:13" ht="15" customHeight="1" x14ac:dyDescent="0.3">
      <c r="B46" s="17" t="s">
        <v>112</v>
      </c>
      <c r="C46" s="2" t="s">
        <v>334</v>
      </c>
      <c r="D46" s="2"/>
      <c r="E46" s="2"/>
      <c r="F46" s="2"/>
      <c r="G46" s="2"/>
      <c r="I46" s="2" t="s">
        <v>181</v>
      </c>
      <c r="J46" s="2"/>
      <c r="K46" s="2"/>
      <c r="L46" s="2"/>
      <c r="M46" s="2"/>
    </row>
    <row r="47" spans="1:13" ht="15" customHeight="1" x14ac:dyDescent="0.3">
      <c r="B47" s="17" t="s">
        <v>114</v>
      </c>
      <c r="C47" s="2" t="s">
        <v>335</v>
      </c>
      <c r="D47" s="2"/>
      <c r="E47" s="2"/>
      <c r="F47" s="2"/>
      <c r="G47" s="2"/>
      <c r="I47" s="2" t="s">
        <v>23</v>
      </c>
      <c r="J47" s="2"/>
      <c r="K47" s="2"/>
      <c r="L47" s="2"/>
      <c r="M47" s="2"/>
    </row>
    <row r="48" spans="1:13" ht="15" customHeight="1" x14ac:dyDescent="0.3">
      <c r="B48" s="17" t="s">
        <v>116</v>
      </c>
      <c r="C48" s="2" t="s">
        <v>336</v>
      </c>
      <c r="D48" s="2"/>
      <c r="E48" s="2"/>
      <c r="F48" s="2"/>
      <c r="G48" s="2"/>
      <c r="I48" s="2" t="s">
        <v>23</v>
      </c>
      <c r="J48" s="2"/>
      <c r="K48" s="2"/>
      <c r="L48" s="2"/>
      <c r="M48" s="2"/>
    </row>
    <row r="49" spans="1:13" ht="15" customHeight="1" x14ac:dyDescent="0.3">
      <c r="B49" s="17" t="s">
        <v>337</v>
      </c>
      <c r="C49" s="2" t="s">
        <v>338</v>
      </c>
      <c r="D49" s="2"/>
      <c r="E49" s="2"/>
      <c r="F49" s="2"/>
      <c r="G49" s="2"/>
      <c r="I49" s="2" t="s">
        <v>23</v>
      </c>
      <c r="J49" s="2"/>
      <c r="K49" s="2"/>
      <c r="L49" s="2"/>
      <c r="M49" s="2"/>
    </row>
    <row r="50" spans="1:13" ht="18" customHeight="1" x14ac:dyDescent="0.3">
      <c r="B50" s="17" t="s">
        <v>185</v>
      </c>
      <c r="C50" s="2" t="s">
        <v>339</v>
      </c>
      <c r="D50" s="2"/>
      <c r="E50" s="2"/>
      <c r="F50" s="2"/>
      <c r="G50" s="2"/>
      <c r="I50" s="2" t="s">
        <v>181</v>
      </c>
      <c r="J50" s="2"/>
      <c r="K50" s="2"/>
      <c r="L50" s="2"/>
      <c r="M50" s="2"/>
    </row>
    <row r="51" spans="1:13" ht="18" customHeight="1" x14ac:dyDescent="0.3">
      <c r="C51" s="2"/>
      <c r="D51" s="2"/>
      <c r="E51" s="2"/>
      <c r="F51" s="2"/>
      <c r="G51" s="2"/>
      <c r="I51" s="2"/>
      <c r="J51" s="2"/>
      <c r="K51" s="2"/>
      <c r="L51" s="2"/>
      <c r="M51" s="2"/>
    </row>
    <row r="52" spans="1:13" ht="18" customHeight="1" x14ac:dyDescent="0.3">
      <c r="C52" s="2"/>
      <c r="D52" s="2"/>
      <c r="E52" s="2"/>
      <c r="F52" s="2"/>
      <c r="G52" s="2"/>
    </row>
    <row r="53" spans="1:13" ht="15" customHeight="1" x14ac:dyDescent="0.3">
      <c r="B53" s="17" t="s">
        <v>188</v>
      </c>
      <c r="C53" s="2" t="s">
        <v>340</v>
      </c>
      <c r="D53" s="2"/>
      <c r="E53" s="2"/>
      <c r="F53" s="2"/>
      <c r="G53" s="2"/>
      <c r="I53" s="2" t="s">
        <v>181</v>
      </c>
      <c r="J53" s="2"/>
      <c r="K53" s="2"/>
      <c r="L53" s="2"/>
      <c r="M53" s="2"/>
    </row>
    <row r="54" spans="1:13" ht="15" customHeight="1" x14ac:dyDescent="0.3">
      <c r="C54" s="2"/>
      <c r="D54" s="2"/>
      <c r="E54" s="2"/>
      <c r="F54" s="2"/>
      <c r="G54" s="2"/>
      <c r="I54" s="2"/>
      <c r="J54" s="2"/>
      <c r="K54" s="2"/>
      <c r="L54" s="2"/>
      <c r="M54" s="2"/>
    </row>
    <row r="55" spans="1:13" ht="15" customHeight="1" x14ac:dyDescent="0.3">
      <c r="C55" s="2"/>
      <c r="D55" s="2"/>
      <c r="E55" s="2"/>
      <c r="F55" s="2"/>
      <c r="G55" s="2"/>
      <c r="I55" s="2"/>
      <c r="J55" s="2"/>
      <c r="K55" s="2"/>
      <c r="L55" s="2"/>
      <c r="M55" s="2"/>
    </row>
    <row r="56" spans="1:13" ht="15" customHeight="1" x14ac:dyDescent="0.3">
      <c r="C56" s="2"/>
      <c r="D56" s="2"/>
      <c r="E56" s="2"/>
      <c r="F56" s="2"/>
      <c r="G56" s="2"/>
    </row>
    <row r="57" spans="1:13" ht="15" customHeight="1" x14ac:dyDescent="0.3">
      <c r="A57" s="16" t="s">
        <v>94</v>
      </c>
      <c r="B57" s="25" t="s">
        <v>341</v>
      </c>
    </row>
    <row r="58" spans="1:13" ht="27" customHeight="1" x14ac:dyDescent="0.3">
      <c r="B58" s="17" t="s">
        <v>157</v>
      </c>
      <c r="C58" s="2" t="s">
        <v>342</v>
      </c>
      <c r="D58" s="2"/>
      <c r="E58" s="2"/>
      <c r="F58" s="2"/>
      <c r="G58" s="2"/>
      <c r="I58" s="2" t="s">
        <v>343</v>
      </c>
      <c r="J58" s="2"/>
      <c r="K58" s="2"/>
      <c r="L58" s="2"/>
      <c r="M58" s="2"/>
    </row>
    <row r="59" spans="1:13" ht="15" customHeight="1" x14ac:dyDescent="0.3">
      <c r="C59" s="2" t="s">
        <v>344</v>
      </c>
      <c r="D59" s="2"/>
      <c r="E59" s="2"/>
      <c r="F59" s="2"/>
      <c r="G59" s="2"/>
      <c r="I59" s="2" t="str">
        <f>+TIT!D35</f>
        <v>52 Flats &amp; 12 Shops</v>
      </c>
      <c r="J59" s="2"/>
      <c r="K59" s="2"/>
      <c r="L59" s="2"/>
      <c r="M59" s="2"/>
    </row>
    <row r="60" spans="1:13" ht="15" customHeight="1" x14ac:dyDescent="0.3">
      <c r="C60" s="2"/>
      <c r="D60" s="2"/>
      <c r="E60" s="2"/>
      <c r="F60" s="2"/>
      <c r="G60" s="2"/>
    </row>
    <row r="61" spans="1:13" ht="15" customHeight="1" x14ac:dyDescent="0.3">
      <c r="C61" s="2" t="s">
        <v>345</v>
      </c>
      <c r="D61" s="2"/>
      <c r="E61" s="2"/>
      <c r="F61" s="2"/>
      <c r="G61" s="2"/>
      <c r="I61" s="2" t="s">
        <v>181</v>
      </c>
      <c r="J61" s="2"/>
      <c r="K61" s="2"/>
      <c r="L61" s="2"/>
      <c r="M61" s="2"/>
    </row>
    <row r="62" spans="1:13" ht="15" customHeight="1" x14ac:dyDescent="0.3">
      <c r="C62" s="2"/>
      <c r="D62" s="2"/>
      <c r="E62" s="2"/>
      <c r="F62" s="2"/>
      <c r="G62" s="2"/>
    </row>
    <row r="63" spans="1:13" ht="15" customHeight="1" x14ac:dyDescent="0.3">
      <c r="B63" s="17" t="s">
        <v>159</v>
      </c>
      <c r="C63" s="2" t="s">
        <v>346</v>
      </c>
      <c r="D63" s="2"/>
      <c r="E63" s="2"/>
      <c r="F63" s="2"/>
      <c r="G63" s="2"/>
      <c r="I63" s="2" t="s">
        <v>343</v>
      </c>
      <c r="J63" s="2"/>
      <c r="K63" s="2"/>
      <c r="L63" s="2"/>
      <c r="M63" s="2"/>
    </row>
    <row r="64" spans="1:13" ht="15" customHeight="1" x14ac:dyDescent="0.3">
      <c r="C64" s="2"/>
      <c r="D64" s="2"/>
      <c r="E64" s="2"/>
      <c r="F64" s="2"/>
      <c r="G64" s="2"/>
      <c r="I64" s="2"/>
      <c r="J64" s="2"/>
      <c r="K64" s="2"/>
      <c r="L64" s="2"/>
      <c r="M64" s="2"/>
    </row>
    <row r="65" spans="2:13" ht="15" customHeight="1" x14ac:dyDescent="0.3">
      <c r="C65" s="2"/>
      <c r="D65" s="2"/>
      <c r="E65" s="2"/>
      <c r="F65" s="2"/>
      <c r="G65" s="2"/>
      <c r="I65" s="2"/>
      <c r="J65" s="2"/>
      <c r="K65" s="2"/>
      <c r="L65" s="2"/>
      <c r="M65" s="2"/>
    </row>
    <row r="66" spans="2:13" ht="15" customHeight="1" x14ac:dyDescent="0.3">
      <c r="C66" s="2"/>
      <c r="D66" s="2"/>
      <c r="E66" s="2"/>
      <c r="F66" s="2"/>
      <c r="G66" s="2"/>
    </row>
    <row r="67" spans="2:13" ht="20.25" customHeight="1" x14ac:dyDescent="0.3">
      <c r="B67" s="17" t="s">
        <v>183</v>
      </c>
      <c r="C67" s="2" t="s">
        <v>347</v>
      </c>
      <c r="D67" s="2"/>
      <c r="E67" s="2"/>
      <c r="F67" s="2"/>
      <c r="G67" s="2"/>
      <c r="I67" s="2" t="s">
        <v>343</v>
      </c>
      <c r="J67" s="2"/>
      <c r="K67" s="2"/>
      <c r="L67" s="2"/>
      <c r="M67" s="2"/>
    </row>
    <row r="68" spans="2:13" ht="20.25" customHeight="1" x14ac:dyDescent="0.3">
      <c r="C68" s="2"/>
      <c r="D68" s="2"/>
      <c r="E68" s="2"/>
      <c r="F68" s="2"/>
      <c r="G68" s="2"/>
    </row>
    <row r="69" spans="2:13" ht="22.5" customHeight="1" x14ac:dyDescent="0.3">
      <c r="B69" s="17" t="s">
        <v>185</v>
      </c>
      <c r="C69" s="2" t="s">
        <v>348</v>
      </c>
      <c r="D69" s="2"/>
      <c r="E69" s="2"/>
      <c r="F69" s="2"/>
      <c r="G69" s="2"/>
      <c r="I69" s="2" t="s">
        <v>349</v>
      </c>
      <c r="J69" s="2"/>
      <c r="K69" s="2"/>
      <c r="L69" s="2"/>
      <c r="M69" s="2"/>
    </row>
    <row r="70" spans="2:13" ht="22.5" customHeight="1" x14ac:dyDescent="0.3">
      <c r="C70" s="2"/>
      <c r="D70" s="2"/>
      <c r="E70" s="2"/>
      <c r="F70" s="2"/>
      <c r="G70" s="2"/>
      <c r="I70" s="2"/>
      <c r="J70" s="2"/>
      <c r="K70" s="2"/>
      <c r="L70" s="2"/>
      <c r="M70" s="2"/>
    </row>
    <row r="71" spans="2:13" ht="22.5" customHeight="1" x14ac:dyDescent="0.3">
      <c r="C71" s="2"/>
      <c r="D71" s="2"/>
      <c r="E71" s="2"/>
      <c r="F71" s="2"/>
      <c r="G71" s="2"/>
      <c r="I71" s="2"/>
      <c r="J71" s="2"/>
      <c r="K71" s="2"/>
      <c r="L71" s="2"/>
      <c r="M71" s="2"/>
    </row>
    <row r="72" spans="2:13" ht="20.25" customHeight="1" x14ac:dyDescent="0.3">
      <c r="C72" s="2"/>
      <c r="D72" s="2"/>
      <c r="E72" s="2"/>
      <c r="F72" s="2"/>
      <c r="G72" s="2"/>
    </row>
    <row r="73" spans="2:13" ht="16.5" customHeight="1" x14ac:dyDescent="0.3">
      <c r="B73" s="17" t="s">
        <v>188</v>
      </c>
      <c r="C73" s="2" t="s">
        <v>350</v>
      </c>
      <c r="D73" s="2"/>
      <c r="E73" s="2"/>
      <c r="F73" s="2"/>
      <c r="G73" s="2"/>
      <c r="I73" s="2" t="s">
        <v>351</v>
      </c>
      <c r="J73" s="2"/>
      <c r="K73" s="2"/>
      <c r="L73" s="2"/>
      <c r="M73" s="2"/>
    </row>
    <row r="74" spans="2:13" ht="16.5" customHeight="1" x14ac:dyDescent="0.3">
      <c r="C74" s="2"/>
      <c r="D74" s="2"/>
      <c r="E74" s="2"/>
      <c r="F74" s="2"/>
      <c r="G74" s="2"/>
      <c r="I74" s="2"/>
      <c r="J74" s="2"/>
      <c r="K74" s="2"/>
      <c r="L74" s="2"/>
      <c r="M74" s="2"/>
    </row>
    <row r="75" spans="2:13" ht="16.5" customHeight="1" x14ac:dyDescent="0.3">
      <c r="C75" s="2"/>
      <c r="D75" s="2"/>
      <c r="E75" s="2"/>
      <c r="F75" s="2"/>
      <c r="G75" s="2"/>
      <c r="I75" s="2"/>
      <c r="J75" s="2"/>
      <c r="K75" s="2"/>
      <c r="L75" s="2"/>
      <c r="M75" s="2"/>
    </row>
    <row r="76" spans="2:13" ht="16.5" customHeight="1" x14ac:dyDescent="0.3">
      <c r="C76" s="2"/>
      <c r="D76" s="2"/>
      <c r="E76" s="2"/>
      <c r="F76" s="2"/>
      <c r="G76" s="2"/>
    </row>
    <row r="77" spans="2:13" ht="15" customHeight="1" x14ac:dyDescent="0.3">
      <c r="B77" s="17" t="s">
        <v>190</v>
      </c>
      <c r="C77" s="2" t="s">
        <v>352</v>
      </c>
      <c r="D77" s="2"/>
      <c r="E77" s="2"/>
      <c r="F77" s="2"/>
      <c r="G77" s="2"/>
      <c r="I77" s="2" t="s">
        <v>343</v>
      </c>
      <c r="J77" s="2"/>
      <c r="K77" s="2"/>
      <c r="L77" s="2"/>
      <c r="M77" s="2"/>
    </row>
    <row r="78" spans="2:13" ht="15" customHeight="1" x14ac:dyDescent="0.3">
      <c r="C78" s="2"/>
      <c r="D78" s="2"/>
      <c r="E78" s="2"/>
      <c r="F78" s="2"/>
      <c r="G78" s="2"/>
    </row>
    <row r="79" spans="2:13" ht="15.75" customHeight="1" x14ac:dyDescent="0.3">
      <c r="B79" s="17" t="s">
        <v>192</v>
      </c>
      <c r="C79" s="2" t="s">
        <v>353</v>
      </c>
      <c r="D79" s="2"/>
      <c r="E79" s="2"/>
      <c r="F79" s="2"/>
      <c r="G79" s="2"/>
      <c r="I79" s="2" t="s">
        <v>343</v>
      </c>
      <c r="J79" s="2"/>
      <c r="K79" s="2"/>
      <c r="L79" s="2"/>
      <c r="M79" s="2"/>
    </row>
    <row r="80" spans="2:13" ht="15.75" customHeight="1" x14ac:dyDescent="0.3">
      <c r="C80" s="2"/>
      <c r="D80" s="2"/>
      <c r="E80" s="2"/>
      <c r="F80" s="2"/>
      <c r="G80" s="2"/>
      <c r="I80" s="2"/>
      <c r="J80" s="2"/>
      <c r="K80" s="2"/>
      <c r="L80" s="2"/>
      <c r="M80" s="2"/>
    </row>
    <row r="81" spans="2:13" ht="15.75" customHeight="1" x14ac:dyDescent="0.3">
      <c r="C81" s="2"/>
      <c r="D81" s="2"/>
      <c r="E81" s="2"/>
      <c r="F81" s="2"/>
      <c r="G81" s="2"/>
      <c r="I81" s="2"/>
      <c r="J81" s="2"/>
      <c r="K81" s="2"/>
      <c r="L81" s="2"/>
      <c r="M81" s="2"/>
    </row>
    <row r="82" spans="2:13" ht="15.75" customHeight="1" x14ac:dyDescent="0.3">
      <c r="C82" s="2"/>
      <c r="D82" s="2"/>
      <c r="E82" s="2"/>
      <c r="F82" s="2"/>
      <c r="G82" s="2"/>
      <c r="I82" s="2"/>
      <c r="J82" s="2"/>
      <c r="K82" s="2"/>
      <c r="L82" s="2"/>
      <c r="M82" s="2"/>
    </row>
    <row r="83" spans="2:13" ht="15.75" customHeight="1" x14ac:dyDescent="0.3">
      <c r="C83" s="2"/>
      <c r="D83" s="2"/>
      <c r="E83" s="2"/>
      <c r="F83" s="2"/>
      <c r="G83" s="2"/>
    </row>
    <row r="84" spans="2:13" ht="27" customHeight="1" x14ac:dyDescent="0.3">
      <c r="B84" s="17" t="s">
        <v>194</v>
      </c>
      <c r="C84" s="2" t="s">
        <v>354</v>
      </c>
      <c r="D84" s="2"/>
      <c r="E84" s="2"/>
      <c r="F84" s="2"/>
      <c r="G84" s="2"/>
      <c r="I84" s="2" t="s">
        <v>210</v>
      </c>
      <c r="J84" s="2"/>
      <c r="K84" s="2"/>
      <c r="L84" s="2"/>
      <c r="M84" s="2"/>
    </row>
    <row r="85" spans="2:13" ht="15" customHeight="1" x14ac:dyDescent="0.3">
      <c r="C85" s="2" t="s">
        <v>355</v>
      </c>
      <c r="D85" s="2"/>
      <c r="E85" s="2"/>
      <c r="F85" s="2"/>
      <c r="G85" s="2"/>
      <c r="I85" s="2" t="s">
        <v>356</v>
      </c>
      <c r="J85" s="2"/>
      <c r="K85" s="2"/>
      <c r="L85" s="2"/>
      <c r="M85" s="2"/>
    </row>
    <row r="86" spans="2:13" ht="20.25" customHeight="1" x14ac:dyDescent="0.3">
      <c r="B86" s="17" t="s">
        <v>357</v>
      </c>
      <c r="C86" s="2" t="s">
        <v>358</v>
      </c>
      <c r="D86" s="2"/>
      <c r="E86" s="2"/>
      <c r="F86" s="2"/>
      <c r="G86" s="2"/>
      <c r="I86" s="2" t="s">
        <v>359</v>
      </c>
      <c r="J86" s="2"/>
      <c r="K86" s="2"/>
      <c r="L86" s="2"/>
      <c r="M86" s="2"/>
    </row>
    <row r="87" spans="2:13" ht="20.25" customHeight="1" x14ac:dyDescent="0.3">
      <c r="C87" s="2"/>
      <c r="D87" s="2"/>
      <c r="E87" s="2"/>
      <c r="F87" s="2"/>
      <c r="G87" s="2"/>
    </row>
    <row r="88" spans="2:13" ht="15" customHeight="1" x14ac:dyDescent="0.3">
      <c r="C88" s="2" t="s">
        <v>360</v>
      </c>
      <c r="D88" s="2"/>
      <c r="E88" s="2"/>
      <c r="F88" s="2"/>
      <c r="G88" s="2"/>
      <c r="I88" s="2" t="s">
        <v>359</v>
      </c>
      <c r="J88" s="2"/>
      <c r="K88" s="2"/>
      <c r="L88" s="2"/>
      <c r="M88" s="2"/>
    </row>
    <row r="89" spans="2:13" ht="15" customHeight="1" x14ac:dyDescent="0.3">
      <c r="C89" s="2" t="s">
        <v>361</v>
      </c>
      <c r="D89" s="2"/>
      <c r="E89" s="2"/>
      <c r="F89" s="2"/>
      <c r="G89" s="2"/>
      <c r="I89" s="2" t="s">
        <v>359</v>
      </c>
      <c r="J89" s="2"/>
      <c r="K89" s="2"/>
      <c r="L89" s="2"/>
      <c r="M89" s="2"/>
    </row>
    <row r="90" spans="2:13" ht="20.25" customHeight="1" x14ac:dyDescent="0.3">
      <c r="C90" s="2" t="s">
        <v>362</v>
      </c>
      <c r="D90" s="2"/>
      <c r="E90" s="2"/>
      <c r="F90" s="2"/>
      <c r="G90" s="2"/>
      <c r="I90" s="2" t="s">
        <v>359</v>
      </c>
      <c r="J90" s="2"/>
      <c r="K90" s="2"/>
      <c r="L90" s="2"/>
      <c r="M90" s="2"/>
    </row>
    <row r="91" spans="2:13" ht="20.25" customHeight="1" x14ac:dyDescent="0.3">
      <c r="C91" s="2"/>
      <c r="D91" s="2"/>
      <c r="E91" s="2"/>
      <c r="F91" s="2"/>
      <c r="G91" s="2"/>
    </row>
    <row r="92" spans="2:13" ht="81" customHeight="1" x14ac:dyDescent="0.3">
      <c r="C92" s="2" t="s">
        <v>363</v>
      </c>
      <c r="D92" s="2"/>
      <c r="E92" s="2"/>
      <c r="F92" s="2"/>
      <c r="G92" s="2"/>
      <c r="I92" s="2" t="s">
        <v>364</v>
      </c>
      <c r="J92" s="2"/>
      <c r="K92" s="2"/>
      <c r="L92" s="2"/>
      <c r="M92" s="2"/>
    </row>
    <row r="93" spans="2:13" ht="15" customHeight="1" x14ac:dyDescent="0.3">
      <c r="C93" s="2"/>
      <c r="D93" s="2"/>
      <c r="E93" s="2"/>
      <c r="F93" s="2"/>
      <c r="G93" s="2"/>
    </row>
    <row r="94" spans="2:13" ht="18.75" customHeight="1" x14ac:dyDescent="0.3">
      <c r="B94" s="17" t="s">
        <v>365</v>
      </c>
      <c r="C94" s="2" t="s">
        <v>366</v>
      </c>
      <c r="D94" s="2"/>
      <c r="E94" s="2"/>
      <c r="F94" s="2"/>
      <c r="G94" s="2"/>
      <c r="I94" s="2" t="s">
        <v>343</v>
      </c>
      <c r="J94" s="2"/>
      <c r="K94" s="2"/>
      <c r="L94" s="2"/>
      <c r="M94" s="2"/>
    </row>
    <row r="95" spans="2:13" ht="18.75" customHeight="1" x14ac:dyDescent="0.3">
      <c r="C95" s="2"/>
      <c r="D95" s="2"/>
      <c r="E95" s="2"/>
      <c r="F95" s="2"/>
      <c r="G95" s="2"/>
      <c r="I95" s="2"/>
      <c r="J95" s="2"/>
      <c r="K95" s="2"/>
      <c r="L95" s="2"/>
      <c r="M95" s="2"/>
    </row>
    <row r="96" spans="2:13" ht="18.75" customHeight="1" x14ac:dyDescent="0.3">
      <c r="C96" s="2"/>
      <c r="D96" s="2"/>
      <c r="E96" s="2"/>
      <c r="F96" s="2"/>
      <c r="G96" s="2"/>
      <c r="I96" s="2"/>
      <c r="J96" s="2"/>
      <c r="K96" s="2"/>
      <c r="L96" s="2"/>
      <c r="M96" s="2"/>
    </row>
    <row r="97" spans="2:13" ht="18.75" customHeight="1" x14ac:dyDescent="0.3">
      <c r="C97" s="2"/>
      <c r="D97" s="2"/>
      <c r="E97" s="2"/>
      <c r="F97" s="2"/>
      <c r="G97" s="2"/>
      <c r="I97" s="2"/>
      <c r="J97" s="2"/>
      <c r="K97" s="2"/>
      <c r="L97" s="2"/>
      <c r="M97" s="2"/>
    </row>
    <row r="98" spans="2:13" ht="18.75" customHeight="1" x14ac:dyDescent="0.3">
      <c r="C98" s="2"/>
      <c r="D98" s="2"/>
      <c r="E98" s="2"/>
      <c r="F98" s="2"/>
      <c r="G98" s="2"/>
    </row>
    <row r="99" spans="2:13" ht="15" customHeight="1" x14ac:dyDescent="0.3">
      <c r="B99" s="17" t="s">
        <v>367</v>
      </c>
      <c r="C99" s="2" t="s">
        <v>368</v>
      </c>
      <c r="D99" s="2"/>
      <c r="E99" s="2"/>
      <c r="F99" s="2"/>
      <c r="G99" s="2"/>
      <c r="I99" s="2" t="s">
        <v>369</v>
      </c>
      <c r="J99" s="2"/>
      <c r="K99" s="2"/>
      <c r="L99" s="2"/>
      <c r="M99" s="2"/>
    </row>
    <row r="100" spans="2:13" ht="15" customHeight="1" x14ac:dyDescent="0.3">
      <c r="C100" s="2"/>
      <c r="D100" s="2"/>
      <c r="E100" s="2"/>
      <c r="F100" s="2"/>
      <c r="G100" s="2"/>
      <c r="I100" s="2"/>
      <c r="J100" s="2"/>
      <c r="K100" s="2"/>
      <c r="L100" s="2"/>
      <c r="M100" s="2"/>
    </row>
    <row r="101" spans="2:13" ht="15" customHeight="1" x14ac:dyDescent="0.3">
      <c r="C101" s="2"/>
      <c r="D101" s="2"/>
      <c r="E101" s="2"/>
      <c r="F101" s="2"/>
      <c r="G101" s="2"/>
    </row>
    <row r="102" spans="2:13" ht="27" customHeight="1" x14ac:dyDescent="0.3">
      <c r="B102" s="17" t="s">
        <v>370</v>
      </c>
      <c r="C102" s="2" t="s">
        <v>371</v>
      </c>
      <c r="D102" s="2"/>
      <c r="E102" s="2"/>
      <c r="F102" s="2"/>
      <c r="G102" s="2"/>
      <c r="I102" s="2" t="s">
        <v>181</v>
      </c>
      <c r="J102" s="2"/>
      <c r="K102" s="2"/>
      <c r="L102" s="2"/>
      <c r="M102" s="2"/>
    </row>
    <row r="103" spans="2:13" ht="16.5" customHeight="1" x14ac:dyDescent="0.3">
      <c r="B103" s="17" t="s">
        <v>372</v>
      </c>
      <c r="C103" s="2" t="s">
        <v>373</v>
      </c>
      <c r="D103" s="2"/>
      <c r="E103" s="2"/>
      <c r="F103" s="2"/>
      <c r="G103" s="2"/>
      <c r="I103" s="2" t="s">
        <v>369</v>
      </c>
      <c r="J103" s="2"/>
      <c r="K103" s="2"/>
      <c r="L103" s="2"/>
      <c r="M103" s="2"/>
    </row>
    <row r="104" spans="2:13" ht="16.5" customHeight="1" x14ac:dyDescent="0.3">
      <c r="C104" s="2"/>
      <c r="D104" s="2"/>
      <c r="E104" s="2"/>
      <c r="F104" s="2"/>
      <c r="G104" s="2"/>
      <c r="I104" s="2"/>
      <c r="J104" s="2"/>
      <c r="K104" s="2"/>
      <c r="L104" s="2"/>
      <c r="M104" s="2"/>
    </row>
    <row r="105" spans="2:13" ht="16.5" customHeight="1" x14ac:dyDescent="0.3">
      <c r="C105" s="2"/>
      <c r="D105" s="2"/>
      <c r="E105" s="2"/>
      <c r="F105" s="2"/>
      <c r="G105" s="2"/>
      <c r="I105" s="2"/>
      <c r="J105" s="2"/>
      <c r="K105" s="2"/>
      <c r="L105" s="2"/>
      <c r="M105" s="2"/>
    </row>
    <row r="106" spans="2:13" ht="16.5" customHeight="1" x14ac:dyDescent="0.3">
      <c r="C106" s="2"/>
      <c r="D106" s="2"/>
      <c r="E106" s="2"/>
      <c r="F106" s="2"/>
      <c r="G106" s="2"/>
    </row>
    <row r="107" spans="2:13" ht="20.25" customHeight="1" x14ac:dyDescent="0.3">
      <c r="B107" s="17" t="s">
        <v>374</v>
      </c>
      <c r="C107" s="2" t="s">
        <v>375</v>
      </c>
      <c r="D107" s="2"/>
      <c r="E107" s="2"/>
      <c r="F107" s="2"/>
      <c r="G107" s="2"/>
      <c r="I107" s="2" t="s">
        <v>181</v>
      </c>
      <c r="J107" s="2"/>
      <c r="K107" s="2"/>
      <c r="L107" s="2"/>
      <c r="M107" s="2"/>
    </row>
    <row r="108" spans="2:13" ht="20.25" customHeight="1" x14ac:dyDescent="0.3">
      <c r="C108" s="2"/>
      <c r="D108" s="2"/>
      <c r="E108" s="2"/>
      <c r="F108" s="2"/>
      <c r="G108" s="2"/>
    </row>
    <row r="109" spans="2:13" ht="15" customHeight="1" x14ac:dyDescent="0.3">
      <c r="B109" s="17" t="s">
        <v>376</v>
      </c>
      <c r="C109" s="2" t="s">
        <v>377</v>
      </c>
      <c r="D109" s="2"/>
      <c r="E109" s="2"/>
      <c r="F109" s="2"/>
      <c r="G109" s="2"/>
      <c r="I109" s="2" t="s">
        <v>359</v>
      </c>
      <c r="J109" s="2"/>
      <c r="K109" s="2"/>
      <c r="L109" s="2"/>
      <c r="M109" s="2"/>
    </row>
    <row r="110" spans="2:13" ht="15" customHeight="1" x14ac:dyDescent="0.3">
      <c r="C110" s="2"/>
      <c r="D110" s="2"/>
      <c r="E110" s="2"/>
      <c r="F110" s="2"/>
      <c r="G110" s="2"/>
      <c r="I110" s="2"/>
      <c r="J110" s="2"/>
      <c r="K110" s="2"/>
      <c r="L110" s="2"/>
      <c r="M110" s="2"/>
    </row>
    <row r="111" spans="2:13" ht="15" customHeight="1" x14ac:dyDescent="0.3">
      <c r="C111" s="2"/>
      <c r="D111" s="2"/>
      <c r="E111" s="2"/>
      <c r="F111" s="2"/>
      <c r="G111" s="2"/>
    </row>
    <row r="112" spans="2:13" ht="27" customHeight="1" x14ac:dyDescent="0.3">
      <c r="B112" s="17" t="s">
        <v>378</v>
      </c>
      <c r="C112" s="2" t="s">
        <v>379</v>
      </c>
      <c r="D112" s="2"/>
      <c r="E112" s="2"/>
      <c r="F112" s="2"/>
      <c r="G112" s="2"/>
      <c r="I112" s="2" t="s">
        <v>380</v>
      </c>
      <c r="J112" s="2"/>
      <c r="K112" s="2"/>
      <c r="L112" s="2"/>
      <c r="M112" s="2"/>
    </row>
    <row r="113" spans="1:13" ht="15" customHeight="1" x14ac:dyDescent="0.3">
      <c r="C113" s="2"/>
      <c r="D113" s="2"/>
      <c r="E113" s="2"/>
      <c r="F113" s="2"/>
      <c r="G113" s="2"/>
    </row>
    <row r="114" spans="1:13" ht="16.5" customHeight="1" x14ac:dyDescent="0.3">
      <c r="B114" s="17" t="s">
        <v>381</v>
      </c>
      <c r="C114" s="2" t="s">
        <v>382</v>
      </c>
      <c r="D114" s="2"/>
      <c r="E114" s="2"/>
      <c r="F114" s="2"/>
      <c r="G114" s="2"/>
    </row>
    <row r="115" spans="1:13" ht="16.5" customHeight="1" x14ac:dyDescent="0.3">
      <c r="C115" s="2"/>
      <c r="D115" s="2"/>
      <c r="E115" s="2"/>
      <c r="F115" s="2"/>
      <c r="G115" s="2"/>
    </row>
    <row r="116" spans="1:13" ht="16.5" customHeight="1" x14ac:dyDescent="0.3">
      <c r="C116" s="2"/>
      <c r="D116" s="2"/>
      <c r="E116" s="2"/>
      <c r="F116" s="2"/>
      <c r="G116" s="2"/>
    </row>
    <row r="117" spans="1:13" ht="16.5" customHeight="1" x14ac:dyDescent="0.3">
      <c r="C117" s="2"/>
      <c r="D117" s="2"/>
      <c r="E117" s="2"/>
      <c r="F117" s="2"/>
      <c r="G117" s="2"/>
    </row>
    <row r="118" spans="1:13" ht="27" customHeight="1" x14ac:dyDescent="0.3">
      <c r="C118" s="2" t="s">
        <v>383</v>
      </c>
      <c r="D118" s="2"/>
      <c r="E118" s="2"/>
      <c r="F118" s="2"/>
      <c r="G118" s="2"/>
      <c r="I118" s="2" t="s">
        <v>232</v>
      </c>
      <c r="J118" s="2"/>
      <c r="K118" s="2"/>
      <c r="L118" s="2"/>
      <c r="M118" s="2"/>
    </row>
    <row r="119" spans="1:13" ht="15" customHeight="1" x14ac:dyDescent="0.3">
      <c r="C119" s="2" t="s">
        <v>384</v>
      </c>
      <c r="D119" s="2"/>
      <c r="E119" s="2"/>
      <c r="F119" s="2"/>
      <c r="G119" s="2"/>
      <c r="I119" s="2" t="s">
        <v>181</v>
      </c>
      <c r="J119" s="2"/>
      <c r="K119" s="2"/>
      <c r="L119" s="2"/>
      <c r="M119" s="2"/>
    </row>
    <row r="120" spans="1:13" ht="15" customHeight="1" x14ac:dyDescent="0.3">
      <c r="C120" s="2" t="s">
        <v>385</v>
      </c>
      <c r="D120" s="2"/>
      <c r="E120" s="2"/>
      <c r="F120" s="2"/>
      <c r="G120" s="2"/>
      <c r="I120" s="2" t="s">
        <v>359</v>
      </c>
      <c r="J120" s="2"/>
      <c r="K120" s="2"/>
      <c r="L120" s="2"/>
      <c r="M120" s="2"/>
    </row>
    <row r="121" spans="1:13" ht="40.5" customHeight="1" x14ac:dyDescent="0.3">
      <c r="C121" s="2" t="s">
        <v>386</v>
      </c>
      <c r="D121" s="2"/>
      <c r="E121" s="2"/>
      <c r="F121" s="2"/>
      <c r="G121" s="2"/>
      <c r="I121" s="2" t="s">
        <v>387</v>
      </c>
      <c r="J121" s="2"/>
      <c r="K121" s="2"/>
      <c r="L121" s="2"/>
      <c r="M121" s="2"/>
    </row>
    <row r="122" spans="1:13" ht="15" customHeight="1" x14ac:dyDescent="0.3">
      <c r="C122" s="2" t="s">
        <v>388</v>
      </c>
      <c r="D122" s="2"/>
      <c r="E122" s="2"/>
      <c r="F122" s="2"/>
      <c r="G122" s="2"/>
      <c r="I122" s="2" t="s">
        <v>181</v>
      </c>
      <c r="J122" s="2"/>
      <c r="K122" s="2"/>
      <c r="L122" s="2"/>
      <c r="M122" s="2"/>
    </row>
    <row r="123" spans="1:13" ht="15" customHeight="1" x14ac:dyDescent="0.3">
      <c r="A123" s="16" t="s">
        <v>97</v>
      </c>
      <c r="B123" s="25" t="s">
        <v>389</v>
      </c>
    </row>
    <row r="124" spans="1:13" ht="15" customHeight="1" x14ac:dyDescent="0.3">
      <c r="B124" s="17" t="s">
        <v>157</v>
      </c>
      <c r="C124" s="2" t="s">
        <v>390</v>
      </c>
      <c r="D124" s="2"/>
      <c r="E124" s="2"/>
      <c r="F124" s="2"/>
      <c r="G124" s="2"/>
      <c r="I124" s="2" t="s">
        <v>232</v>
      </c>
      <c r="J124" s="2"/>
      <c r="K124" s="2"/>
      <c r="L124" s="2"/>
      <c r="M124" s="2"/>
    </row>
    <row r="125" spans="1:13" ht="15" customHeight="1" x14ac:dyDescent="0.3">
      <c r="B125" s="17" t="s">
        <v>159</v>
      </c>
      <c r="C125" s="2" t="s">
        <v>391</v>
      </c>
      <c r="D125" s="2"/>
      <c r="E125" s="2"/>
      <c r="F125" s="2"/>
      <c r="G125" s="2"/>
      <c r="I125" s="2" t="s">
        <v>232</v>
      </c>
      <c r="J125" s="2"/>
      <c r="K125" s="2"/>
      <c r="L125" s="2"/>
      <c r="M125" s="2"/>
    </row>
    <row r="126" spans="1:13" ht="27" customHeight="1" x14ac:dyDescent="0.3">
      <c r="B126" s="17" t="s">
        <v>183</v>
      </c>
      <c r="C126" s="2" t="s">
        <v>392</v>
      </c>
      <c r="D126" s="2"/>
      <c r="E126" s="2"/>
      <c r="F126" s="2"/>
      <c r="G126" s="2"/>
      <c r="I126" s="2" t="s">
        <v>232</v>
      </c>
      <c r="J126" s="2"/>
      <c r="K126" s="2"/>
      <c r="L126" s="2"/>
      <c r="M126" s="2"/>
    </row>
    <row r="127" spans="1:13" ht="15" customHeight="1" x14ac:dyDescent="0.3">
      <c r="A127" s="16" t="s">
        <v>100</v>
      </c>
      <c r="B127" s="25" t="s">
        <v>393</v>
      </c>
    </row>
    <row r="128" spans="1:13" ht="27" customHeight="1" x14ac:dyDescent="0.3">
      <c r="C128" s="2" t="s">
        <v>394</v>
      </c>
      <c r="D128" s="2"/>
      <c r="E128" s="2"/>
      <c r="F128" s="2"/>
      <c r="G128" s="2"/>
      <c r="I128" s="2" t="s">
        <v>395</v>
      </c>
      <c r="J128" s="2"/>
      <c r="K128" s="2"/>
      <c r="L128" s="2"/>
      <c r="M128" s="2"/>
    </row>
    <row r="129" spans="1:13" ht="27" customHeight="1" x14ac:dyDescent="0.3">
      <c r="C129" s="2"/>
      <c r="D129" s="2"/>
      <c r="E129" s="2"/>
      <c r="F129" s="2"/>
      <c r="G129" s="2"/>
      <c r="I129" s="2"/>
      <c r="J129" s="2"/>
      <c r="K129" s="2"/>
      <c r="L129" s="2"/>
      <c r="M129" s="2"/>
    </row>
    <row r="130" spans="1:13" ht="15" customHeight="1" x14ac:dyDescent="0.3">
      <c r="C130" s="2"/>
      <c r="D130" s="2"/>
      <c r="E130" s="2"/>
      <c r="F130" s="2"/>
      <c r="G130" s="2"/>
    </row>
    <row r="133" spans="1:13" ht="15" customHeight="1" x14ac:dyDescent="0.3">
      <c r="I133" s="12" t="s">
        <v>304</v>
      </c>
      <c r="J133" s="12"/>
      <c r="K133" s="12"/>
      <c r="L133" s="12"/>
      <c r="M133" s="12"/>
    </row>
    <row r="134" spans="1:13" ht="15" customHeight="1" x14ac:dyDescent="0.3">
      <c r="I134" s="14" t="str">
        <f>+'F-1'!I188</f>
        <v>Shri. Bharat C. Boridkar</v>
      </c>
      <c r="J134" s="14"/>
      <c r="K134" s="14"/>
      <c r="L134" s="14"/>
      <c r="M134" s="14"/>
    </row>
    <row r="135" spans="1:13" ht="15" customHeight="1" x14ac:dyDescent="0.3">
      <c r="I135" s="13" t="str">
        <f>"["&amp;TIT!A10&amp;" "&amp;TIT!D10&amp;" ]"</f>
        <v>[Panel No. Mumbai-4/C1/1011404 ]</v>
      </c>
      <c r="J135" s="13"/>
      <c r="K135" s="13"/>
      <c r="L135" s="13"/>
      <c r="M135" s="13"/>
    </row>
    <row r="136" spans="1:13" ht="15" customHeight="1" x14ac:dyDescent="0.3">
      <c r="I136" s="13" t="str">
        <f>+TIT!F9</f>
        <v>Govt. Certified Panel Auditor</v>
      </c>
      <c r="J136" s="13"/>
      <c r="K136" s="13"/>
      <c r="L136" s="13"/>
      <c r="M136" s="13"/>
    </row>
    <row r="137" spans="1:13" ht="15" customHeight="1" x14ac:dyDescent="0.3">
      <c r="A137" s="1">
        <f>+'F-1'!A191</f>
        <v>46282</v>
      </c>
      <c r="B137" s="1"/>
      <c r="C137" s="1"/>
      <c r="D137" s="1"/>
      <c r="E137" s="1"/>
      <c r="I137" s="2" t="str">
        <f>TIT!B11&amp;": "&amp;TIT!D11</f>
        <v>Address: Boridkar House, Pandurang Bhoir Road, Dahisar - West, Mumbai - 400 068</v>
      </c>
      <c r="J137" s="2"/>
      <c r="K137" s="2"/>
      <c r="L137" s="2"/>
      <c r="M137" s="2"/>
    </row>
    <row r="138" spans="1:13" ht="15" customHeight="1" x14ac:dyDescent="0.3">
      <c r="I138" s="2"/>
      <c r="J138" s="2"/>
      <c r="K138" s="2"/>
      <c r="L138" s="2"/>
      <c r="M138" s="2"/>
    </row>
  </sheetData>
  <mergeCells count="121">
    <mergeCell ref="C126:G126"/>
    <mergeCell ref="I126:M126"/>
    <mergeCell ref="C128:G130"/>
    <mergeCell ref="I128:M129"/>
    <mergeCell ref="I133:M133"/>
    <mergeCell ref="I134:M134"/>
    <mergeCell ref="I135:M135"/>
    <mergeCell ref="I136:M136"/>
    <mergeCell ref="A137:E137"/>
    <mergeCell ref="I137:M138"/>
    <mergeCell ref="C120:G120"/>
    <mergeCell ref="I120:M120"/>
    <mergeCell ref="C121:G121"/>
    <mergeCell ref="I121:M121"/>
    <mergeCell ref="C122:G122"/>
    <mergeCell ref="I122:M122"/>
    <mergeCell ref="C124:G124"/>
    <mergeCell ref="I124:M124"/>
    <mergeCell ref="C125:G125"/>
    <mergeCell ref="I125:M125"/>
    <mergeCell ref="C109:G111"/>
    <mergeCell ref="I109:M110"/>
    <mergeCell ref="C112:G113"/>
    <mergeCell ref="I112:M112"/>
    <mergeCell ref="C114:G117"/>
    <mergeCell ref="C118:G118"/>
    <mergeCell ref="I118:M118"/>
    <mergeCell ref="C119:G119"/>
    <mergeCell ref="I119:M119"/>
    <mergeCell ref="C94:G98"/>
    <mergeCell ref="I94:M97"/>
    <mergeCell ref="C99:G101"/>
    <mergeCell ref="I99:M100"/>
    <mergeCell ref="C102:G102"/>
    <mergeCell ref="I102:M102"/>
    <mergeCell ref="C103:G106"/>
    <mergeCell ref="I103:M105"/>
    <mergeCell ref="C107:G108"/>
    <mergeCell ref="I107:M107"/>
    <mergeCell ref="C86:G87"/>
    <mergeCell ref="I86:M86"/>
    <mergeCell ref="C88:G88"/>
    <mergeCell ref="I88:M88"/>
    <mergeCell ref="C89:G89"/>
    <mergeCell ref="I89:M89"/>
    <mergeCell ref="C90:G91"/>
    <mergeCell ref="I90:M90"/>
    <mergeCell ref="C92:G93"/>
    <mergeCell ref="I92:M92"/>
    <mergeCell ref="C73:G76"/>
    <mergeCell ref="I73:M75"/>
    <mergeCell ref="C77:G78"/>
    <mergeCell ref="I77:M77"/>
    <mergeCell ref="C79:G83"/>
    <mergeCell ref="I79:M82"/>
    <mergeCell ref="C84:G84"/>
    <mergeCell ref="I84:M84"/>
    <mergeCell ref="C85:G85"/>
    <mergeCell ref="I85:M85"/>
    <mergeCell ref="C59:G60"/>
    <mergeCell ref="I59:M59"/>
    <mergeCell ref="C61:G62"/>
    <mergeCell ref="I61:M61"/>
    <mergeCell ref="C63:G66"/>
    <mergeCell ref="I63:M65"/>
    <mergeCell ref="C67:G68"/>
    <mergeCell ref="I67:M67"/>
    <mergeCell ref="C69:G72"/>
    <mergeCell ref="I69:M71"/>
    <mergeCell ref="C48:G48"/>
    <mergeCell ref="I48:M48"/>
    <mergeCell ref="C49:G49"/>
    <mergeCell ref="I49:M49"/>
    <mergeCell ref="C50:G52"/>
    <mergeCell ref="I50:M51"/>
    <mergeCell ref="C53:G56"/>
    <mergeCell ref="I53:M55"/>
    <mergeCell ref="C58:G58"/>
    <mergeCell ref="I58:M58"/>
    <mergeCell ref="C38:G42"/>
    <mergeCell ref="I38:M41"/>
    <mergeCell ref="C43:G44"/>
    <mergeCell ref="I43:M43"/>
    <mergeCell ref="C45:G45"/>
    <mergeCell ref="C46:G46"/>
    <mergeCell ref="I46:M46"/>
    <mergeCell ref="C47:G47"/>
    <mergeCell ref="I47:M47"/>
    <mergeCell ref="C20:G21"/>
    <mergeCell ref="I20:M20"/>
    <mergeCell ref="C22:G24"/>
    <mergeCell ref="I22:M23"/>
    <mergeCell ref="C26:G29"/>
    <mergeCell ref="I26:M28"/>
    <mergeCell ref="C30:G32"/>
    <mergeCell ref="I30:M31"/>
    <mergeCell ref="C33:G36"/>
    <mergeCell ref="I33:M35"/>
    <mergeCell ref="A10:D10"/>
    <mergeCell ref="E10:F10"/>
    <mergeCell ref="G10:H10"/>
    <mergeCell ref="A12:M12"/>
    <mergeCell ref="C14:G14"/>
    <mergeCell ref="I14:M14"/>
    <mergeCell ref="C15:G16"/>
    <mergeCell ref="I15:M15"/>
    <mergeCell ref="C17:G18"/>
    <mergeCell ref="I17:M17"/>
    <mergeCell ref="A1:M1"/>
    <mergeCell ref="A2:M2"/>
    <mergeCell ref="A3:M3"/>
    <mergeCell ref="A4:M4"/>
    <mergeCell ref="C6:M6"/>
    <mergeCell ref="A7:D9"/>
    <mergeCell ref="E7:F9"/>
    <mergeCell ref="G7:H9"/>
    <mergeCell ref="I7:I9"/>
    <mergeCell ref="J7:J9"/>
    <mergeCell ref="K7:K9"/>
    <mergeCell ref="L7:L9"/>
    <mergeCell ref="M7:M9"/>
  </mergeCells>
  <pageMargins left="0.4" right="0.4" top="0.5" bottom="0.5" header="0.511811023622047" footer="0.511811023622047"/>
  <pageSetup paperSize="9"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368"/>
  <sheetViews>
    <sheetView showGridLines="0" topLeftCell="A354" zoomScaleNormal="100" workbookViewId="0">
      <selection activeCell="B299" sqref="B299:R299"/>
    </sheetView>
  </sheetViews>
  <sheetFormatPr defaultColWidth="8.6640625" defaultRowHeight="14.4" x14ac:dyDescent="0.3"/>
  <cols>
    <col min="1" max="1" width="3.44140625" customWidth="1"/>
    <col min="2" max="2" width="4" customWidth="1"/>
    <col min="3" max="4" width="6" customWidth="1"/>
    <col min="5" max="9" width="8" customWidth="1"/>
    <col min="10" max="11" width="7" customWidth="1"/>
    <col min="12" max="12" width="4" customWidth="1"/>
    <col min="13" max="14" width="7" customWidth="1"/>
    <col min="15" max="15" width="4" customWidth="1"/>
    <col min="16" max="16" width="7" customWidth="1"/>
    <col min="17" max="17" width="5" customWidth="1"/>
    <col min="18" max="18" width="7.33203125" bestFit="1" customWidth="1"/>
  </cols>
  <sheetData>
    <row r="1" spans="1:18" ht="15" customHeight="1" x14ac:dyDescent="0.3">
      <c r="A1" s="4" t="str">
        <f>+TIT!D2</f>
        <v>AKSHITA AVENUE CO-OPERATIVE HOUSING SOCIETY LTD.</v>
      </c>
      <c r="B1" s="4"/>
      <c r="C1" s="4"/>
      <c r="D1" s="4"/>
      <c r="E1" s="4"/>
      <c r="F1" s="4"/>
      <c r="G1" s="4"/>
      <c r="H1" s="4"/>
      <c r="I1" s="4"/>
      <c r="J1" s="4"/>
      <c r="K1" s="4"/>
      <c r="L1" s="4"/>
      <c r="M1" s="4"/>
      <c r="N1" s="4"/>
      <c r="O1" s="4"/>
      <c r="P1" s="4"/>
      <c r="Q1" s="4"/>
      <c r="R1" s="4"/>
    </row>
    <row r="2" spans="1:18" ht="15" customHeight="1" x14ac:dyDescent="0.3">
      <c r="A2" s="63" t="str">
        <f>"General Remarks and Observations attached to and forming part of the audit report dated "&amp;TEXT(TIT!D12,"dd-mmm-yyyy")</f>
        <v>General Remarks and Observations attached to and forming part of the audit report dated 17-Sep-2026</v>
      </c>
      <c r="B2" s="63"/>
      <c r="C2" s="63"/>
      <c r="D2" s="63"/>
      <c r="E2" s="63"/>
      <c r="F2" s="63"/>
      <c r="G2" s="63"/>
      <c r="H2" s="63"/>
      <c r="I2" s="63"/>
      <c r="J2" s="63"/>
      <c r="K2" s="63"/>
      <c r="L2" s="63"/>
      <c r="M2" s="63"/>
      <c r="N2" s="63"/>
      <c r="O2" s="63"/>
      <c r="P2" s="63"/>
      <c r="Q2" s="63"/>
      <c r="R2" s="63"/>
    </row>
    <row r="4" spans="1:18" ht="15" customHeight="1" x14ac:dyDescent="0.3">
      <c r="A4" s="56" t="s">
        <v>396</v>
      </c>
      <c r="B4" s="56"/>
      <c r="C4" s="56"/>
      <c r="D4" s="56"/>
      <c r="E4" s="56"/>
      <c r="F4" s="56"/>
      <c r="G4" s="56"/>
      <c r="H4" s="56"/>
      <c r="I4" s="56"/>
      <c r="J4" s="56"/>
      <c r="K4" s="56"/>
      <c r="L4" s="56"/>
      <c r="M4" s="56"/>
      <c r="N4" s="56"/>
      <c r="O4" s="56"/>
      <c r="P4" s="56"/>
      <c r="Q4" s="56"/>
      <c r="R4" s="56"/>
    </row>
    <row r="6" spans="1:18" ht="15" customHeight="1" x14ac:dyDescent="0.3">
      <c r="A6" s="31">
        <v>1</v>
      </c>
      <c r="B6" s="13" t="s">
        <v>397</v>
      </c>
      <c r="C6" s="13"/>
      <c r="D6" s="13"/>
      <c r="E6" s="13"/>
      <c r="F6" s="27" t="s">
        <v>398</v>
      </c>
      <c r="G6" s="64" t="str">
        <f>+TIT!D2</f>
        <v>AKSHITA AVENUE CO-OPERATIVE HOUSING SOCIETY LTD.</v>
      </c>
      <c r="H6" s="64"/>
      <c r="I6" s="64"/>
      <c r="J6" s="64"/>
      <c r="K6" s="64"/>
      <c r="L6" s="64"/>
      <c r="M6" s="64"/>
      <c r="N6" s="64"/>
      <c r="O6" s="64"/>
      <c r="P6" s="64"/>
      <c r="Q6" s="64"/>
      <c r="R6" s="64"/>
    </row>
    <row r="7" spans="1:18" ht="15" customHeight="1" x14ac:dyDescent="0.3">
      <c r="A7" s="31">
        <v>2</v>
      </c>
      <c r="B7" s="13" t="s">
        <v>399</v>
      </c>
      <c r="C7" s="13"/>
      <c r="D7" s="13"/>
      <c r="E7" s="13"/>
      <c r="F7" s="27" t="s">
        <v>398</v>
      </c>
      <c r="G7" s="64" t="str">
        <f>+TIT!D6</f>
        <v>Akshita Avenue, Holy Cross Road, I. C. Colony, Borivali West, Mumbai - 400 103</v>
      </c>
      <c r="H7" s="64"/>
      <c r="I7" s="64"/>
      <c r="J7" s="64"/>
      <c r="K7" s="64"/>
      <c r="L7" s="64"/>
      <c r="M7" s="64"/>
      <c r="N7" s="64"/>
      <c r="O7" s="64"/>
      <c r="P7" s="64"/>
      <c r="Q7" s="64"/>
      <c r="R7" s="64"/>
    </row>
    <row r="8" spans="1:18" ht="15" customHeight="1" x14ac:dyDescent="0.3">
      <c r="A8" s="31">
        <v>3</v>
      </c>
      <c r="B8" s="13" t="s">
        <v>400</v>
      </c>
      <c r="C8" s="13"/>
      <c r="D8" s="13"/>
      <c r="E8" s="13"/>
      <c r="F8" s="27" t="s">
        <v>398</v>
      </c>
      <c r="G8" s="64" t="str">
        <f>+TIT!D3</f>
        <v>BOM (WR) / HSG (TC) 10502-99-2000</v>
      </c>
      <c r="H8" s="64"/>
      <c r="I8" s="64"/>
      <c r="J8" s="64"/>
      <c r="K8" s="64"/>
      <c r="L8" s="64"/>
      <c r="M8" s="64"/>
      <c r="N8" s="64"/>
      <c r="O8" s="64"/>
      <c r="P8" s="64"/>
      <c r="Q8" s="64"/>
      <c r="R8" s="64"/>
    </row>
    <row r="9" spans="1:18" ht="15" customHeight="1" x14ac:dyDescent="0.3">
      <c r="A9" s="31">
        <v>4</v>
      </c>
      <c r="B9" s="13" t="s">
        <v>401</v>
      </c>
      <c r="C9" s="13"/>
      <c r="D9" s="13"/>
      <c r="E9" s="13"/>
      <c r="F9" s="27" t="s">
        <v>398</v>
      </c>
      <c r="G9" s="64" t="str">
        <f>"01-Apr-2025 To 31-Mar-2026"</f>
        <v>01-Apr-2025 To 31-Mar-2026</v>
      </c>
      <c r="H9" s="64"/>
      <c r="I9" s="64"/>
      <c r="J9" s="64"/>
      <c r="K9" s="64"/>
      <c r="L9" s="64"/>
      <c r="M9" s="64"/>
      <c r="N9" s="64"/>
      <c r="O9" s="64"/>
      <c r="P9" s="64"/>
      <c r="Q9" s="64"/>
      <c r="R9" s="64"/>
    </row>
    <row r="10" spans="1:18" ht="15" customHeight="1" x14ac:dyDescent="0.3">
      <c r="A10" s="31">
        <v>5</v>
      </c>
      <c r="B10" s="13" t="s">
        <v>158</v>
      </c>
      <c r="C10" s="13"/>
      <c r="D10" s="13"/>
      <c r="E10" s="13"/>
      <c r="F10" s="27" t="s">
        <v>398</v>
      </c>
      <c r="G10" s="64" t="str">
        <f>CHAR(34)&amp;TIT!D32&amp;CHAR(34)</f>
        <v>"B"</v>
      </c>
      <c r="H10" s="64"/>
      <c r="I10" s="64"/>
      <c r="J10" s="64"/>
      <c r="K10" s="64"/>
      <c r="L10" s="64"/>
      <c r="M10" s="64"/>
      <c r="N10" s="64"/>
      <c r="O10" s="64"/>
      <c r="P10" s="64"/>
      <c r="Q10" s="64"/>
      <c r="R10" s="64"/>
    </row>
    <row r="12" spans="1:18" ht="15" customHeight="1" x14ac:dyDescent="0.3">
      <c r="A12" s="56" t="s">
        <v>402</v>
      </c>
      <c r="B12" s="56"/>
      <c r="C12" s="56"/>
      <c r="D12" s="56"/>
      <c r="E12" s="56"/>
      <c r="F12" s="56"/>
      <c r="G12" s="56"/>
      <c r="H12" s="56"/>
      <c r="I12" s="56"/>
      <c r="J12" s="56"/>
      <c r="K12" s="56"/>
      <c r="L12" s="56"/>
      <c r="M12" s="56"/>
      <c r="N12" s="56"/>
      <c r="O12" s="56"/>
      <c r="P12" s="56"/>
      <c r="Q12" s="56"/>
      <c r="R12" s="56"/>
    </row>
    <row r="13" spans="1:18" ht="13.5" customHeight="1" x14ac:dyDescent="0.3">
      <c r="A13" s="51" t="s">
        <v>403</v>
      </c>
      <c r="B13" s="51"/>
      <c r="C13" s="51"/>
      <c r="D13" s="51"/>
      <c r="E13" s="51"/>
      <c r="F13" s="51"/>
      <c r="G13" s="51"/>
      <c r="H13" s="51"/>
      <c r="I13" s="51"/>
      <c r="J13" s="51"/>
      <c r="K13" s="51"/>
      <c r="L13" s="51"/>
      <c r="M13" s="51"/>
      <c r="N13" s="51"/>
      <c r="O13" s="51"/>
      <c r="P13" s="51"/>
      <c r="Q13" s="51"/>
      <c r="R13" s="51"/>
    </row>
    <row r="15" spans="1:18" ht="25.5" customHeight="1" x14ac:dyDescent="0.3">
      <c r="A15" s="32" t="s">
        <v>404</v>
      </c>
      <c r="B15" s="65" t="s">
        <v>405</v>
      </c>
      <c r="C15" s="65"/>
      <c r="D15" s="65"/>
      <c r="E15" s="65" t="s">
        <v>406</v>
      </c>
      <c r="F15" s="65"/>
      <c r="G15" s="65"/>
      <c r="H15" s="65"/>
      <c r="I15" s="65"/>
      <c r="J15" s="65"/>
      <c r="K15" s="65"/>
      <c r="L15" s="65" t="s">
        <v>407</v>
      </c>
      <c r="M15" s="65"/>
      <c r="N15" s="65"/>
      <c r="O15" s="65"/>
      <c r="P15" s="65"/>
      <c r="Q15" s="65"/>
      <c r="R15" s="65"/>
    </row>
    <row r="16" spans="1:18" ht="27" customHeight="1" x14ac:dyDescent="0.3">
      <c r="A16" s="66">
        <v>1</v>
      </c>
      <c r="B16" s="67" t="s">
        <v>408</v>
      </c>
      <c r="C16" s="67"/>
      <c r="D16" s="67"/>
      <c r="E16" s="68" t="s">
        <v>409</v>
      </c>
      <c r="F16" s="68"/>
      <c r="G16" s="68"/>
      <c r="H16" s="68"/>
      <c r="I16" s="68"/>
      <c r="J16" s="68"/>
      <c r="K16" s="68"/>
      <c r="L16" s="68" t="s">
        <v>410</v>
      </c>
      <c r="M16" s="68"/>
      <c r="N16" s="68"/>
      <c r="O16" s="68"/>
      <c r="P16" s="68"/>
      <c r="Q16" s="68"/>
      <c r="R16" s="68"/>
    </row>
    <row r="17" spans="1:18" ht="27" customHeight="1" x14ac:dyDescent="0.3">
      <c r="A17" s="66"/>
      <c r="B17" s="67"/>
      <c r="C17" s="67"/>
      <c r="D17" s="67"/>
      <c r="E17" s="68" t="s">
        <v>411</v>
      </c>
      <c r="F17" s="68"/>
      <c r="G17" s="68"/>
      <c r="H17" s="68"/>
      <c r="I17" s="68"/>
      <c r="J17" s="68"/>
      <c r="K17" s="68"/>
      <c r="L17" s="68" t="s">
        <v>410</v>
      </c>
      <c r="M17" s="68"/>
      <c r="N17" s="68"/>
      <c r="O17" s="68"/>
      <c r="P17" s="68"/>
      <c r="Q17" s="68"/>
      <c r="R17" s="68"/>
    </row>
    <row r="18" spans="1:18" ht="27" customHeight="1" x14ac:dyDescent="0.3">
      <c r="A18" s="66"/>
      <c r="B18" s="67"/>
      <c r="C18" s="67"/>
      <c r="D18" s="67"/>
      <c r="E18" s="68" t="s">
        <v>412</v>
      </c>
      <c r="F18" s="68"/>
      <c r="G18" s="68"/>
      <c r="H18" s="68"/>
      <c r="I18" s="68"/>
      <c r="J18" s="68"/>
      <c r="K18" s="68"/>
      <c r="L18" s="68" t="s">
        <v>410</v>
      </c>
      <c r="M18" s="68"/>
      <c r="N18" s="68"/>
      <c r="O18" s="68"/>
      <c r="P18" s="68"/>
      <c r="Q18" s="68"/>
      <c r="R18" s="68"/>
    </row>
    <row r="19" spans="1:18" ht="40.5" customHeight="1" x14ac:dyDescent="0.3">
      <c r="A19" s="66"/>
      <c r="B19" s="67"/>
      <c r="C19" s="67"/>
      <c r="D19" s="67"/>
      <c r="E19" s="68" t="s">
        <v>413</v>
      </c>
      <c r="F19" s="68"/>
      <c r="G19" s="68"/>
      <c r="H19" s="68"/>
      <c r="I19" s="68"/>
      <c r="J19" s="68"/>
      <c r="K19" s="68"/>
      <c r="L19" s="68" t="s">
        <v>414</v>
      </c>
      <c r="M19" s="68"/>
      <c r="N19" s="68"/>
      <c r="O19" s="68"/>
      <c r="P19" s="68"/>
      <c r="Q19" s="68"/>
      <c r="R19" s="68"/>
    </row>
    <row r="20" spans="1:18" ht="40.5" customHeight="1" x14ac:dyDescent="0.3">
      <c r="A20" s="66"/>
      <c r="B20" s="67"/>
      <c r="C20" s="67"/>
      <c r="D20" s="67"/>
      <c r="E20" s="68" t="s">
        <v>415</v>
      </c>
      <c r="F20" s="68"/>
      <c r="G20" s="68"/>
      <c r="H20" s="68"/>
      <c r="I20" s="68"/>
      <c r="J20" s="68"/>
      <c r="K20" s="68"/>
      <c r="L20" s="68" t="s">
        <v>416</v>
      </c>
      <c r="M20" s="68"/>
      <c r="N20" s="68"/>
      <c r="O20" s="68"/>
      <c r="P20" s="68"/>
      <c r="Q20" s="68"/>
      <c r="R20" s="68"/>
    </row>
    <row r="21" spans="1:18" ht="67.5" customHeight="1" x14ac:dyDescent="0.3">
      <c r="A21" s="66">
        <v>2</v>
      </c>
      <c r="B21" s="67" t="s">
        <v>417</v>
      </c>
      <c r="C21" s="67"/>
      <c r="D21" s="67"/>
      <c r="E21" s="68" t="s">
        <v>418</v>
      </c>
      <c r="F21" s="68"/>
      <c r="G21" s="68"/>
      <c r="H21" s="68"/>
      <c r="I21" s="68"/>
      <c r="J21" s="68"/>
      <c r="K21" s="68"/>
      <c r="L21" s="68" t="s">
        <v>419</v>
      </c>
      <c r="M21" s="68"/>
      <c r="N21" s="68"/>
      <c r="O21" s="68"/>
      <c r="P21" s="68"/>
      <c r="Q21" s="68"/>
      <c r="R21" s="68"/>
    </row>
    <row r="22" spans="1:18" ht="67.5" customHeight="1" x14ac:dyDescent="0.3">
      <c r="A22" s="66"/>
      <c r="B22" s="67"/>
      <c r="C22" s="67"/>
      <c r="D22" s="67"/>
      <c r="E22" s="68" t="s">
        <v>420</v>
      </c>
      <c r="F22" s="68"/>
      <c r="G22" s="68"/>
      <c r="H22" s="68"/>
      <c r="I22" s="68"/>
      <c r="J22" s="68"/>
      <c r="K22" s="68"/>
      <c r="L22" s="68" t="s">
        <v>421</v>
      </c>
      <c r="M22" s="68"/>
      <c r="N22" s="68"/>
      <c r="O22" s="68"/>
      <c r="P22" s="68"/>
      <c r="Q22" s="68"/>
      <c r="R22" s="68"/>
    </row>
    <row r="23" spans="1:18" ht="27" customHeight="1" x14ac:dyDescent="0.3">
      <c r="A23" s="66"/>
      <c r="B23" s="67"/>
      <c r="C23" s="67"/>
      <c r="D23" s="67"/>
      <c r="E23" s="68" t="s">
        <v>422</v>
      </c>
      <c r="F23" s="68"/>
      <c r="G23" s="68"/>
      <c r="H23" s="68"/>
      <c r="I23" s="68"/>
      <c r="J23" s="68"/>
      <c r="K23" s="68"/>
      <c r="L23" s="68" t="s">
        <v>410</v>
      </c>
      <c r="M23" s="68"/>
      <c r="N23" s="68"/>
      <c r="O23" s="68"/>
      <c r="P23" s="68"/>
      <c r="Q23" s="68"/>
      <c r="R23" s="68"/>
    </row>
    <row r="24" spans="1:18" ht="27" customHeight="1" x14ac:dyDescent="0.3">
      <c r="A24" s="66"/>
      <c r="B24" s="67"/>
      <c r="C24" s="67"/>
      <c r="D24" s="67"/>
      <c r="E24" s="68" t="s">
        <v>423</v>
      </c>
      <c r="F24" s="68"/>
      <c r="G24" s="68"/>
      <c r="H24" s="68"/>
      <c r="I24" s="68"/>
      <c r="J24" s="68"/>
      <c r="K24" s="68"/>
      <c r="L24" s="68" t="s">
        <v>410</v>
      </c>
      <c r="M24" s="68"/>
      <c r="N24" s="68"/>
      <c r="O24" s="68"/>
      <c r="P24" s="68"/>
      <c r="Q24" s="68"/>
      <c r="R24" s="68"/>
    </row>
    <row r="25" spans="1:18" ht="27" customHeight="1" x14ac:dyDescent="0.3">
      <c r="A25" s="66">
        <v>3</v>
      </c>
      <c r="B25" s="67" t="s">
        <v>424</v>
      </c>
      <c r="C25" s="67"/>
      <c r="D25" s="67"/>
      <c r="E25" s="68" t="s">
        <v>425</v>
      </c>
      <c r="F25" s="68"/>
      <c r="G25" s="68"/>
      <c r="H25" s="68"/>
      <c r="I25" s="68"/>
      <c r="J25" s="68"/>
      <c r="K25" s="68"/>
      <c r="L25" s="68" t="s">
        <v>426</v>
      </c>
      <c r="M25" s="68"/>
      <c r="N25" s="68"/>
      <c r="O25" s="68"/>
      <c r="P25" s="68"/>
      <c r="Q25" s="68"/>
      <c r="R25" s="68"/>
    </row>
    <row r="26" spans="1:18" ht="108" customHeight="1" x14ac:dyDescent="0.3">
      <c r="A26" s="66"/>
      <c r="B26" s="67"/>
      <c r="C26" s="67"/>
      <c r="D26" s="67"/>
      <c r="E26" s="68" t="s">
        <v>427</v>
      </c>
      <c r="F26" s="68"/>
      <c r="G26" s="68"/>
      <c r="H26" s="68"/>
      <c r="I26" s="68"/>
      <c r="J26" s="68"/>
      <c r="K26" s="68"/>
      <c r="L26" s="68" t="s">
        <v>428</v>
      </c>
      <c r="M26" s="68"/>
      <c r="N26" s="68"/>
      <c r="O26" s="68"/>
      <c r="P26" s="68"/>
      <c r="Q26" s="68"/>
      <c r="R26" s="68"/>
    </row>
    <row r="27" spans="1:18" ht="27" customHeight="1" x14ac:dyDescent="0.3">
      <c r="A27" s="33">
        <v>4</v>
      </c>
      <c r="B27" s="67" t="s">
        <v>429</v>
      </c>
      <c r="C27" s="67"/>
      <c r="D27" s="67"/>
      <c r="E27" s="68"/>
      <c r="F27" s="68"/>
      <c r="G27" s="68"/>
      <c r="H27" s="68"/>
      <c r="I27" s="68"/>
      <c r="J27" s="68"/>
      <c r="K27" s="68"/>
      <c r="L27" s="68" t="s">
        <v>430</v>
      </c>
      <c r="M27" s="68"/>
      <c r="N27" s="68"/>
      <c r="O27" s="68"/>
      <c r="P27" s="68"/>
      <c r="Q27" s="68"/>
      <c r="R27" s="68"/>
    </row>
    <row r="28" spans="1:18" ht="27" customHeight="1" x14ac:dyDescent="0.3">
      <c r="A28" s="33">
        <v>5</v>
      </c>
      <c r="B28" s="67" t="s">
        <v>431</v>
      </c>
      <c r="C28" s="67"/>
      <c r="D28" s="67"/>
      <c r="E28" s="68"/>
      <c r="F28" s="68"/>
      <c r="G28" s="68"/>
      <c r="H28" s="68"/>
      <c r="I28" s="68"/>
      <c r="J28" s="68"/>
      <c r="K28" s="68"/>
      <c r="L28" s="68" t="s">
        <v>432</v>
      </c>
      <c r="M28" s="68"/>
      <c r="N28" s="68"/>
      <c r="O28" s="68"/>
      <c r="P28" s="68"/>
      <c r="Q28" s="68"/>
      <c r="R28" s="68"/>
    </row>
    <row r="29" spans="1:18" ht="108" customHeight="1" x14ac:dyDescent="0.3">
      <c r="A29" s="33">
        <v>6</v>
      </c>
      <c r="B29" s="67" t="s">
        <v>433</v>
      </c>
      <c r="C29" s="67"/>
      <c r="D29" s="67"/>
      <c r="E29" s="68"/>
      <c r="F29" s="68"/>
      <c r="G29" s="68"/>
      <c r="H29" s="68"/>
      <c r="I29" s="68"/>
      <c r="J29" s="68"/>
      <c r="K29" s="68"/>
      <c r="L29" s="68" t="s">
        <v>434</v>
      </c>
      <c r="M29" s="68"/>
      <c r="N29" s="68"/>
      <c r="O29" s="68"/>
      <c r="P29" s="68"/>
      <c r="Q29" s="68"/>
      <c r="R29" s="68"/>
    </row>
    <row r="31" spans="1:18" ht="13.5" customHeight="1" x14ac:dyDescent="0.3">
      <c r="A31" s="69" t="s">
        <v>435</v>
      </c>
      <c r="B31" s="69"/>
      <c r="C31" s="69"/>
      <c r="D31" s="69"/>
      <c r="E31" s="69"/>
      <c r="F31" s="69"/>
      <c r="G31" s="69"/>
      <c r="H31" s="69"/>
      <c r="I31" s="69"/>
      <c r="J31" s="69"/>
      <c r="K31" s="69"/>
      <c r="L31" s="69"/>
      <c r="M31" s="69"/>
      <c r="N31" s="69"/>
      <c r="O31" s="69"/>
      <c r="P31" s="69"/>
      <c r="Q31" s="69"/>
      <c r="R31" s="69"/>
    </row>
    <row r="33" spans="1:18" ht="15" customHeight="1" x14ac:dyDescent="0.3">
      <c r="B33" s="32" t="s">
        <v>436</v>
      </c>
      <c r="C33" s="32" t="s">
        <v>437</v>
      </c>
      <c r="D33" s="32" t="s">
        <v>438</v>
      </c>
      <c r="E33" s="65" t="s">
        <v>439</v>
      </c>
      <c r="F33" s="65"/>
      <c r="G33" s="65" t="s">
        <v>440</v>
      </c>
      <c r="H33" s="65"/>
      <c r="I33" s="65"/>
      <c r="J33" s="65"/>
      <c r="K33" s="65"/>
      <c r="L33" s="65"/>
      <c r="M33" s="65"/>
      <c r="N33" s="65"/>
      <c r="O33" s="65"/>
      <c r="P33" s="65"/>
      <c r="Q33" s="65"/>
      <c r="R33" s="65"/>
    </row>
    <row r="34" spans="1:18" ht="40.5" customHeight="1" x14ac:dyDescent="0.3">
      <c r="B34" s="34">
        <v>1</v>
      </c>
      <c r="C34" s="34" t="s">
        <v>441</v>
      </c>
      <c r="D34" s="34" t="s">
        <v>442</v>
      </c>
      <c r="E34" s="70" t="s">
        <v>443</v>
      </c>
      <c r="F34" s="70"/>
      <c r="G34" s="68" t="s">
        <v>444</v>
      </c>
      <c r="H34" s="68"/>
      <c r="I34" s="68"/>
      <c r="J34" s="68"/>
      <c r="K34" s="68"/>
      <c r="L34" s="68"/>
      <c r="M34" s="68"/>
      <c r="N34" s="68"/>
      <c r="O34" s="68"/>
      <c r="P34" s="68"/>
      <c r="Q34" s="68"/>
      <c r="R34" s="68"/>
    </row>
    <row r="35" spans="1:18" ht="13.5" customHeight="1" x14ac:dyDescent="0.3">
      <c r="B35" s="34">
        <v>2</v>
      </c>
      <c r="C35" s="34"/>
      <c r="D35" s="34"/>
      <c r="E35" s="70" t="s">
        <v>445</v>
      </c>
      <c r="F35" s="70"/>
      <c r="G35" s="68" t="s">
        <v>446</v>
      </c>
      <c r="H35" s="68"/>
      <c r="I35" s="68"/>
      <c r="J35" s="68"/>
      <c r="K35" s="68"/>
      <c r="L35" s="68"/>
      <c r="M35" s="68"/>
      <c r="N35" s="68"/>
      <c r="O35" s="68"/>
      <c r="P35" s="68"/>
      <c r="Q35" s="68"/>
      <c r="R35" s="68"/>
    </row>
    <row r="36" spans="1:18" ht="27" customHeight="1" x14ac:dyDescent="0.3">
      <c r="B36" s="34">
        <v>3</v>
      </c>
      <c r="C36" s="34" t="s">
        <v>447</v>
      </c>
      <c r="D36" s="34"/>
      <c r="E36" s="70" t="s">
        <v>448</v>
      </c>
      <c r="F36" s="70"/>
      <c r="G36" s="68" t="s">
        <v>449</v>
      </c>
      <c r="H36" s="68"/>
      <c r="I36" s="68"/>
      <c r="J36" s="68"/>
      <c r="K36" s="68"/>
      <c r="L36" s="68"/>
      <c r="M36" s="68"/>
      <c r="N36" s="68"/>
      <c r="O36" s="68"/>
      <c r="P36" s="68"/>
      <c r="Q36" s="68"/>
      <c r="R36" s="68"/>
    </row>
    <row r="37" spans="1:18" ht="13.5" customHeight="1" x14ac:dyDescent="0.3">
      <c r="B37" s="34">
        <v>4</v>
      </c>
      <c r="C37" s="34"/>
      <c r="D37" s="34"/>
      <c r="E37" s="70" t="s">
        <v>450</v>
      </c>
      <c r="F37" s="70"/>
      <c r="G37" s="68" t="s">
        <v>451</v>
      </c>
      <c r="H37" s="68"/>
      <c r="I37" s="68"/>
      <c r="J37" s="68"/>
      <c r="K37" s="68"/>
      <c r="L37" s="68"/>
      <c r="M37" s="68"/>
      <c r="N37" s="68"/>
      <c r="O37" s="68"/>
      <c r="P37" s="68"/>
      <c r="Q37" s="68"/>
      <c r="R37" s="68"/>
    </row>
    <row r="38" spans="1:18" ht="13.5" customHeight="1" x14ac:dyDescent="0.3">
      <c r="B38" s="34">
        <v>5</v>
      </c>
      <c r="C38" s="34"/>
      <c r="D38" s="34"/>
      <c r="E38" s="70" t="s">
        <v>452</v>
      </c>
      <c r="F38" s="70"/>
      <c r="G38" s="68" t="s">
        <v>453</v>
      </c>
      <c r="H38" s="68"/>
      <c r="I38" s="68"/>
      <c r="J38" s="68"/>
      <c r="K38" s="68"/>
      <c r="L38" s="68"/>
      <c r="M38" s="68"/>
      <c r="N38" s="68"/>
      <c r="O38" s="68"/>
      <c r="P38" s="68"/>
      <c r="Q38" s="68"/>
      <c r="R38" s="68"/>
    </row>
    <row r="39" spans="1:18" ht="13.5" customHeight="1" x14ac:dyDescent="0.3">
      <c r="B39" s="34">
        <v>6</v>
      </c>
      <c r="C39" s="34"/>
      <c r="D39" s="34" t="s">
        <v>454</v>
      </c>
      <c r="E39" s="70" t="s">
        <v>455</v>
      </c>
      <c r="F39" s="70"/>
      <c r="G39" s="68" t="s">
        <v>456</v>
      </c>
      <c r="H39" s="68"/>
      <c r="I39" s="68"/>
      <c r="J39" s="68"/>
      <c r="K39" s="68"/>
      <c r="L39" s="68"/>
      <c r="M39" s="68"/>
      <c r="N39" s="68"/>
      <c r="O39" s="68"/>
      <c r="P39" s="68"/>
      <c r="Q39" s="68"/>
      <c r="R39" s="68"/>
    </row>
    <row r="40" spans="1:18" ht="13.5" customHeight="1" x14ac:dyDescent="0.3">
      <c r="B40" s="34">
        <v>7</v>
      </c>
      <c r="C40" s="34" t="s">
        <v>457</v>
      </c>
      <c r="D40" s="34" t="s">
        <v>458</v>
      </c>
      <c r="E40" s="70" t="s">
        <v>459</v>
      </c>
      <c r="F40" s="70"/>
      <c r="G40" s="68" t="s">
        <v>460</v>
      </c>
      <c r="H40" s="68"/>
      <c r="I40" s="68"/>
      <c r="J40" s="68"/>
      <c r="K40" s="68"/>
      <c r="L40" s="68"/>
      <c r="M40" s="68"/>
      <c r="N40" s="68"/>
      <c r="O40" s="68"/>
      <c r="P40" s="68"/>
      <c r="Q40" s="68"/>
      <c r="R40" s="68"/>
    </row>
    <row r="41" spans="1:18" ht="27" customHeight="1" x14ac:dyDescent="0.3">
      <c r="B41" s="34">
        <v>8</v>
      </c>
      <c r="C41" s="34" t="s">
        <v>461</v>
      </c>
      <c r="D41" s="34"/>
      <c r="E41" s="70"/>
      <c r="F41" s="70"/>
      <c r="G41" s="68" t="s">
        <v>462</v>
      </c>
      <c r="H41" s="68"/>
      <c r="I41" s="68"/>
      <c r="J41" s="68"/>
      <c r="K41" s="68"/>
      <c r="L41" s="68"/>
      <c r="M41" s="68"/>
      <c r="N41" s="68"/>
      <c r="O41" s="68"/>
      <c r="P41" s="68"/>
      <c r="Q41" s="68"/>
      <c r="R41" s="68"/>
    </row>
    <row r="42" spans="1:18" ht="27" customHeight="1" x14ac:dyDescent="0.3">
      <c r="B42" s="34">
        <v>9</v>
      </c>
      <c r="C42" s="34" t="s">
        <v>463</v>
      </c>
      <c r="D42" s="34"/>
      <c r="E42" s="70" t="s">
        <v>464</v>
      </c>
      <c r="F42" s="70"/>
      <c r="G42" s="68" t="s">
        <v>465</v>
      </c>
      <c r="H42" s="68"/>
      <c r="I42" s="68"/>
      <c r="J42" s="68"/>
      <c r="K42" s="68"/>
      <c r="L42" s="68"/>
      <c r="M42" s="68"/>
      <c r="N42" s="68"/>
      <c r="O42" s="68"/>
      <c r="P42" s="68"/>
      <c r="Q42" s="68"/>
      <c r="R42" s="68"/>
    </row>
    <row r="43" spans="1:18" ht="13.5" customHeight="1" x14ac:dyDescent="0.3">
      <c r="B43" s="34">
        <v>10</v>
      </c>
      <c r="C43" s="34" t="s">
        <v>466</v>
      </c>
      <c r="D43" s="34" t="s">
        <v>467</v>
      </c>
      <c r="E43" s="70" t="s">
        <v>468</v>
      </c>
      <c r="F43" s="70"/>
      <c r="G43" s="68" t="s">
        <v>287</v>
      </c>
      <c r="H43" s="68"/>
      <c r="I43" s="68"/>
      <c r="J43" s="68"/>
      <c r="K43" s="68"/>
      <c r="L43" s="68"/>
      <c r="M43" s="68"/>
      <c r="N43" s="68"/>
      <c r="O43" s="68"/>
      <c r="P43" s="68"/>
      <c r="Q43" s="68"/>
      <c r="R43" s="68"/>
    </row>
    <row r="44" spans="1:18" ht="27" customHeight="1" x14ac:dyDescent="0.3">
      <c r="B44" s="34">
        <v>11</v>
      </c>
      <c r="C44" s="34" t="s">
        <v>469</v>
      </c>
      <c r="D44" s="34"/>
      <c r="E44" s="70" t="s">
        <v>470</v>
      </c>
      <c r="F44" s="70"/>
      <c r="G44" s="68" t="s">
        <v>471</v>
      </c>
      <c r="H44" s="68"/>
      <c r="I44" s="68"/>
      <c r="J44" s="68"/>
      <c r="K44" s="68"/>
      <c r="L44" s="68"/>
      <c r="M44" s="68"/>
      <c r="N44" s="68"/>
      <c r="O44" s="68"/>
      <c r="P44" s="68"/>
      <c r="Q44" s="68"/>
      <c r="R44" s="68"/>
    </row>
    <row r="46" spans="1:18" ht="25.5" customHeight="1" x14ac:dyDescent="0.3">
      <c r="A46" s="32" t="s">
        <v>404</v>
      </c>
      <c r="B46" s="65" t="s">
        <v>405</v>
      </c>
      <c r="C46" s="65"/>
      <c r="D46" s="65"/>
      <c r="E46" s="65" t="s">
        <v>406</v>
      </c>
      <c r="F46" s="65"/>
      <c r="G46" s="65"/>
      <c r="H46" s="65"/>
      <c r="I46" s="65"/>
      <c r="J46" s="65"/>
      <c r="K46" s="65"/>
      <c r="L46" s="65" t="s">
        <v>407</v>
      </c>
      <c r="M46" s="65"/>
      <c r="N46" s="65"/>
      <c r="O46" s="65"/>
      <c r="P46" s="65"/>
      <c r="Q46" s="65"/>
      <c r="R46" s="65"/>
    </row>
    <row r="47" spans="1:18" ht="27" customHeight="1" x14ac:dyDescent="0.3">
      <c r="A47" s="33">
        <v>8</v>
      </c>
      <c r="B47" s="68" t="s">
        <v>472</v>
      </c>
      <c r="C47" s="68"/>
      <c r="D47" s="68"/>
      <c r="E47" s="68"/>
      <c r="F47" s="68"/>
      <c r="G47" s="68"/>
      <c r="H47" s="68"/>
      <c r="I47" s="68"/>
      <c r="J47" s="68"/>
      <c r="K47" s="68"/>
      <c r="L47" s="68" t="s">
        <v>410</v>
      </c>
      <c r="M47" s="68"/>
      <c r="N47" s="68"/>
      <c r="O47" s="68"/>
      <c r="P47" s="68"/>
      <c r="Q47" s="68"/>
      <c r="R47" s="68"/>
    </row>
    <row r="48" spans="1:18" ht="48.75" customHeight="1" x14ac:dyDescent="0.3">
      <c r="A48" s="33">
        <v>9</v>
      </c>
      <c r="B48" s="68" t="s">
        <v>473</v>
      </c>
      <c r="C48" s="68"/>
      <c r="D48" s="68"/>
      <c r="E48" s="68"/>
      <c r="F48" s="68"/>
      <c r="G48" s="68"/>
      <c r="H48" s="68"/>
      <c r="I48" s="68"/>
      <c r="J48" s="68"/>
      <c r="K48" s="68"/>
      <c r="L48" s="68" t="s">
        <v>410</v>
      </c>
      <c r="M48" s="68"/>
      <c r="N48" s="68"/>
      <c r="O48" s="68"/>
      <c r="P48" s="68"/>
      <c r="Q48" s="68"/>
      <c r="R48" s="68"/>
    </row>
    <row r="49" spans="1:18" ht="108" customHeight="1" x14ac:dyDescent="0.3">
      <c r="A49" s="33">
        <v>10</v>
      </c>
      <c r="B49" s="68" t="s">
        <v>474</v>
      </c>
      <c r="C49" s="68"/>
      <c r="D49" s="68"/>
      <c r="E49" s="68"/>
      <c r="F49" s="68"/>
      <c r="G49" s="68"/>
      <c r="H49" s="68"/>
      <c r="I49" s="68"/>
      <c r="J49" s="68"/>
      <c r="K49" s="68"/>
      <c r="L49" s="68" t="s">
        <v>475</v>
      </c>
      <c r="M49" s="68"/>
      <c r="N49" s="68"/>
      <c r="O49" s="68"/>
      <c r="P49" s="68"/>
      <c r="Q49" s="68"/>
      <c r="R49" s="68"/>
    </row>
    <row r="53" spans="1:18" ht="15" customHeight="1" x14ac:dyDescent="0.3">
      <c r="K53" s="15" t="str">
        <f>+TIT!D9</f>
        <v>Shri. Bharat C. Boridkar</v>
      </c>
    </row>
    <row r="54" spans="1:18" ht="15" customHeight="1" x14ac:dyDescent="0.3">
      <c r="K54" s="17" t="str">
        <f>+TIT!F9</f>
        <v>Govt. Certified Panel Auditor</v>
      </c>
    </row>
    <row r="55" spans="1:18" ht="15" customHeight="1" x14ac:dyDescent="0.3">
      <c r="A55" s="18">
        <f>+TIT!$D$12</f>
        <v>46282</v>
      </c>
      <c r="K55" s="17" t="str">
        <f>"[Panel No.: "&amp;TIT!D10&amp;"]"</f>
        <v>[Panel No.: Mumbai-4/C1/1011404]</v>
      </c>
    </row>
    <row r="58" spans="1:18" ht="15" customHeight="1" x14ac:dyDescent="0.3">
      <c r="A58" s="56" t="s">
        <v>476</v>
      </c>
      <c r="B58" s="56"/>
      <c r="C58" s="56"/>
      <c r="D58" s="56"/>
      <c r="E58" s="56"/>
      <c r="F58" s="56"/>
      <c r="G58" s="56"/>
      <c r="H58" s="56"/>
      <c r="I58" s="56"/>
      <c r="J58" s="56"/>
      <c r="K58" s="56"/>
      <c r="L58" s="56"/>
      <c r="M58" s="56"/>
      <c r="N58" s="56"/>
      <c r="O58" s="56"/>
      <c r="P58" s="56"/>
      <c r="Q58" s="56"/>
      <c r="R58" s="56"/>
    </row>
    <row r="60" spans="1:18" ht="15" customHeight="1" x14ac:dyDescent="0.3">
      <c r="A60" s="55" t="s">
        <v>396</v>
      </c>
      <c r="B60" s="55"/>
      <c r="C60" s="55"/>
      <c r="D60" s="55"/>
      <c r="E60" s="55"/>
      <c r="F60" s="55"/>
      <c r="G60" s="55"/>
      <c r="H60" s="55"/>
      <c r="I60" s="55"/>
      <c r="J60" s="55"/>
      <c r="K60" s="55"/>
      <c r="L60" s="55"/>
      <c r="M60" s="55"/>
      <c r="N60" s="55"/>
      <c r="O60" s="55"/>
      <c r="P60" s="55"/>
      <c r="Q60" s="55"/>
      <c r="R60" s="55"/>
    </row>
    <row r="61" spans="1:18" ht="24" customHeight="1" x14ac:dyDescent="0.3">
      <c r="B61" s="2" t="str">
        <f>"I have been appointed as the Statutory Auditor of "&amp;TIT!D2&amp;", "&amp;TIT!D6&amp;", by the members of the Society in their Annual General Body Meeting dated "&amp;IF(TIT!D31="","____________",TEXT(TIT!D31,"dd-mmm-yyyy"))&amp;". Accordingly I have completed the audit work."</f>
        <v>I have been appointed as the Statutory Auditor of AKSHITA AVENUE CO-OPERATIVE HOUSING SOCIETY LTD., Akshita Avenue, Holy Cross Road, I. C. Colony, Borivali West, Mumbai - 400 103, by the members of the Society in their Annual General Body Meeting dated ____________. Accordingly I have completed the audit work.</v>
      </c>
      <c r="C61" s="2"/>
      <c r="D61" s="2"/>
      <c r="E61" s="2"/>
      <c r="F61" s="2"/>
      <c r="G61" s="2"/>
      <c r="H61" s="2"/>
      <c r="I61" s="2"/>
      <c r="J61" s="2"/>
      <c r="K61" s="2"/>
      <c r="L61" s="2"/>
      <c r="M61" s="2"/>
      <c r="N61" s="2"/>
      <c r="O61" s="2"/>
      <c r="P61" s="2"/>
      <c r="Q61" s="2"/>
      <c r="R61" s="2"/>
    </row>
    <row r="62" spans="1:18" ht="67.5" customHeight="1" x14ac:dyDescent="0.3">
      <c r="B62" s="2" t="s">
        <v>477</v>
      </c>
      <c r="C62" s="2"/>
      <c r="D62" s="2"/>
      <c r="E62" s="2"/>
      <c r="F62" s="2"/>
      <c r="G62" s="2"/>
      <c r="H62" s="2"/>
      <c r="I62" s="2"/>
      <c r="J62" s="2"/>
      <c r="K62" s="2"/>
      <c r="L62" s="2"/>
      <c r="M62" s="2"/>
      <c r="N62" s="2"/>
      <c r="O62" s="2"/>
      <c r="P62" s="2"/>
      <c r="Q62" s="2"/>
      <c r="R62" s="2"/>
    </row>
    <row r="63" spans="1:18" ht="27" customHeight="1" x14ac:dyDescent="0.3">
      <c r="B63" s="2" t="s">
        <v>478</v>
      </c>
      <c r="C63" s="2"/>
      <c r="D63" s="2"/>
      <c r="E63" s="2"/>
      <c r="F63" s="2"/>
      <c r="G63" s="2"/>
      <c r="H63" s="2"/>
      <c r="I63" s="2"/>
      <c r="J63" s="2"/>
      <c r="K63" s="2"/>
      <c r="L63" s="2"/>
      <c r="M63" s="2"/>
      <c r="N63" s="2"/>
      <c r="O63" s="2"/>
      <c r="P63" s="2"/>
      <c r="Q63" s="2"/>
      <c r="R63" s="2"/>
    </row>
    <row r="64" spans="1:18" ht="27" customHeight="1" x14ac:dyDescent="0.3">
      <c r="B64" s="2" t="s">
        <v>479</v>
      </c>
      <c r="C64" s="2"/>
      <c r="D64" s="2"/>
      <c r="E64" s="2"/>
      <c r="F64" s="2"/>
      <c r="G64" s="2"/>
      <c r="H64" s="2"/>
      <c r="I64" s="2"/>
      <c r="J64" s="2"/>
      <c r="K64" s="2"/>
      <c r="L64" s="2"/>
      <c r="M64" s="2"/>
      <c r="N64" s="2"/>
      <c r="O64" s="2"/>
      <c r="P64" s="2"/>
      <c r="Q64" s="2"/>
      <c r="R64" s="2"/>
    </row>
    <row r="66" spans="1:18" ht="15" customHeight="1" x14ac:dyDescent="0.3">
      <c r="A66" s="55" t="s">
        <v>480</v>
      </c>
      <c r="B66" s="55"/>
      <c r="C66" s="55"/>
      <c r="D66" s="55"/>
      <c r="E66" s="55"/>
      <c r="F66" s="55"/>
      <c r="G66" s="55"/>
      <c r="H66" s="55"/>
      <c r="I66" s="55"/>
      <c r="J66" s="55"/>
      <c r="K66" s="55"/>
      <c r="L66" s="55"/>
      <c r="M66" s="55"/>
      <c r="N66" s="55"/>
      <c r="O66" s="55"/>
      <c r="P66" s="55"/>
      <c r="Q66" s="55"/>
      <c r="R66" s="55"/>
    </row>
    <row r="67" spans="1:18" ht="27" customHeight="1" x14ac:dyDescent="0.3">
      <c r="B67" s="2" t="s">
        <v>481</v>
      </c>
      <c r="C67" s="2"/>
      <c r="D67" s="2"/>
      <c r="E67" s="2"/>
      <c r="F67" s="2"/>
      <c r="G67" s="2"/>
      <c r="H67" s="2"/>
      <c r="I67" s="2"/>
      <c r="J67" s="2"/>
      <c r="K67" s="2"/>
      <c r="L67" s="2"/>
      <c r="M67" s="2"/>
      <c r="N67" s="2"/>
      <c r="O67" s="2"/>
      <c r="P67" s="2"/>
      <c r="Q67" s="2"/>
      <c r="R67" s="2"/>
    </row>
    <row r="68" spans="1:18" ht="15" customHeight="1" x14ac:dyDescent="0.3">
      <c r="C68" s="13" t="s">
        <v>482</v>
      </c>
      <c r="D68" s="13"/>
      <c r="E68" s="13"/>
      <c r="F68" s="13"/>
      <c r="G68" s="27" t="s">
        <v>23</v>
      </c>
      <c r="H68" s="71"/>
      <c r="I68" s="71"/>
      <c r="J68" s="71"/>
      <c r="K68" s="71"/>
      <c r="L68" s="71"/>
      <c r="M68" s="71"/>
      <c r="N68" s="71"/>
      <c r="O68" s="71"/>
      <c r="P68" s="71"/>
      <c r="Q68" s="71"/>
      <c r="R68" s="71"/>
    </row>
    <row r="69" spans="1:18" ht="15" customHeight="1" x14ac:dyDescent="0.3">
      <c r="C69" s="13" t="s">
        <v>40</v>
      </c>
      <c r="D69" s="13"/>
      <c r="E69" s="13"/>
      <c r="F69" s="13"/>
      <c r="G69" s="27" t="s">
        <v>23</v>
      </c>
      <c r="H69" s="71"/>
      <c r="I69" s="71"/>
      <c r="J69" s="71"/>
      <c r="K69" s="71"/>
      <c r="L69" s="71"/>
      <c r="M69" s="71"/>
      <c r="N69" s="71"/>
      <c r="O69" s="71"/>
      <c r="P69" s="71"/>
      <c r="Q69" s="71"/>
      <c r="R69" s="71"/>
    </row>
    <row r="70" spans="1:18" ht="15" customHeight="1" x14ac:dyDescent="0.3">
      <c r="C70" s="13" t="s">
        <v>483</v>
      </c>
      <c r="D70" s="13"/>
      <c r="E70" s="13"/>
      <c r="F70" s="13"/>
      <c r="G70" s="27" t="s">
        <v>23</v>
      </c>
      <c r="H70" s="71"/>
      <c r="I70" s="71"/>
      <c r="J70" s="71"/>
      <c r="K70" s="71"/>
      <c r="L70" s="71"/>
      <c r="M70" s="71"/>
      <c r="N70" s="71"/>
      <c r="O70" s="71"/>
      <c r="P70" s="71"/>
      <c r="Q70" s="71"/>
      <c r="R70" s="71"/>
    </row>
    <row r="71" spans="1:18" ht="15" customHeight="1" x14ac:dyDescent="0.3">
      <c r="C71" s="13" t="s">
        <v>484</v>
      </c>
      <c r="D71" s="13"/>
      <c r="E71" s="13"/>
      <c r="F71" s="13"/>
      <c r="G71" s="27" t="s">
        <v>23</v>
      </c>
      <c r="H71" s="71"/>
      <c r="I71" s="71"/>
      <c r="J71" s="71"/>
      <c r="K71" s="71"/>
      <c r="L71" s="71"/>
      <c r="M71" s="71"/>
      <c r="N71" s="71"/>
      <c r="O71" s="71"/>
      <c r="P71" s="71"/>
      <c r="Q71" s="71"/>
      <c r="R71" s="71"/>
    </row>
    <row r="72" spans="1:18" ht="15" customHeight="1" x14ac:dyDescent="0.3">
      <c r="C72" s="13" t="s">
        <v>484</v>
      </c>
      <c r="D72" s="13"/>
      <c r="E72" s="13"/>
      <c r="F72" s="13"/>
      <c r="G72" s="27" t="s">
        <v>23</v>
      </c>
      <c r="H72" s="71"/>
      <c r="I72" s="71"/>
      <c r="J72" s="71"/>
      <c r="K72" s="71"/>
      <c r="L72" s="71"/>
      <c r="M72" s="71"/>
      <c r="N72" s="71"/>
      <c r="O72" s="71"/>
      <c r="P72" s="71"/>
      <c r="Q72" s="71"/>
      <c r="R72" s="71"/>
    </row>
    <row r="73" spans="1:18" ht="15" customHeight="1" x14ac:dyDescent="0.3">
      <c r="C73" s="13" t="s">
        <v>484</v>
      </c>
      <c r="D73" s="13"/>
      <c r="E73" s="13"/>
      <c r="F73" s="13"/>
      <c r="G73" s="27" t="s">
        <v>23</v>
      </c>
      <c r="H73" s="71"/>
      <c r="I73" s="71"/>
      <c r="J73" s="71"/>
      <c r="K73" s="71"/>
      <c r="L73" s="71"/>
      <c r="M73" s="71"/>
      <c r="N73" s="71"/>
      <c r="O73" s="71"/>
      <c r="P73" s="71"/>
      <c r="Q73" s="71"/>
      <c r="R73" s="71"/>
    </row>
    <row r="74" spans="1:18" ht="15" customHeight="1" x14ac:dyDescent="0.3">
      <c r="C74" s="13" t="s">
        <v>484</v>
      </c>
      <c r="D74" s="13"/>
      <c r="E74" s="13"/>
      <c r="F74" s="13"/>
      <c r="G74" s="27" t="s">
        <v>23</v>
      </c>
      <c r="H74" s="71"/>
      <c r="I74" s="71"/>
      <c r="J74" s="71"/>
      <c r="K74" s="71"/>
      <c r="L74" s="71"/>
      <c r="M74" s="71"/>
      <c r="N74" s="71"/>
      <c r="O74" s="71"/>
      <c r="P74" s="71"/>
      <c r="Q74" s="71"/>
      <c r="R74" s="71"/>
    </row>
    <row r="75" spans="1:18" ht="15" customHeight="1" x14ac:dyDescent="0.3">
      <c r="C75" s="13" t="s">
        <v>484</v>
      </c>
      <c r="D75" s="13"/>
      <c r="E75" s="13"/>
      <c r="F75" s="13"/>
      <c r="G75" s="27" t="s">
        <v>23</v>
      </c>
      <c r="H75" s="71"/>
      <c r="I75" s="71"/>
      <c r="J75" s="71"/>
      <c r="K75" s="71"/>
      <c r="L75" s="71"/>
      <c r="M75" s="71"/>
      <c r="N75" s="71"/>
      <c r="O75" s="71"/>
      <c r="P75" s="71"/>
      <c r="Q75" s="71"/>
      <c r="R75" s="71"/>
    </row>
    <row r="76" spans="1:18" ht="15" customHeight="1" x14ac:dyDescent="0.3">
      <c r="C76" s="13" t="s">
        <v>484</v>
      </c>
      <c r="D76" s="13"/>
      <c r="E76" s="13"/>
      <c r="F76" s="13"/>
      <c r="G76" s="27" t="s">
        <v>23</v>
      </c>
      <c r="H76" s="71"/>
      <c r="I76" s="71"/>
      <c r="J76" s="71"/>
      <c r="K76" s="71"/>
      <c r="L76" s="71"/>
      <c r="M76" s="71"/>
      <c r="N76" s="71"/>
      <c r="O76" s="71"/>
      <c r="P76" s="71"/>
      <c r="Q76" s="71"/>
      <c r="R76" s="71"/>
    </row>
    <row r="78" spans="1:18" ht="15" customHeight="1" x14ac:dyDescent="0.3">
      <c r="A78" s="55" t="s">
        <v>485</v>
      </c>
      <c r="B78" s="55"/>
      <c r="C78" s="55"/>
      <c r="D78" s="55"/>
      <c r="E78" s="55"/>
      <c r="F78" s="55"/>
      <c r="G78" s="55"/>
      <c r="H78" s="55"/>
      <c r="I78" s="55"/>
      <c r="J78" s="55"/>
      <c r="K78" s="55"/>
      <c r="L78" s="55"/>
      <c r="M78" s="55"/>
      <c r="N78" s="55"/>
      <c r="O78" s="55"/>
      <c r="P78" s="55"/>
      <c r="Q78" s="55"/>
      <c r="R78" s="55"/>
    </row>
    <row r="79" spans="1:18" ht="13.5" customHeight="1" x14ac:dyDescent="0.3">
      <c r="B79" s="2" t="s">
        <v>486</v>
      </c>
      <c r="C79" s="2"/>
      <c r="D79" s="2"/>
      <c r="E79" s="2"/>
      <c r="F79" s="2"/>
      <c r="G79" s="2"/>
      <c r="H79" s="2"/>
      <c r="I79" s="2"/>
      <c r="J79" s="2"/>
      <c r="K79" s="2"/>
      <c r="L79" s="2"/>
      <c r="M79" s="2"/>
      <c r="N79" s="2"/>
      <c r="O79" s="2"/>
      <c r="P79" s="2"/>
      <c r="Q79" s="2"/>
      <c r="R79" s="2"/>
    </row>
    <row r="80" spans="1:18" ht="23.25" customHeight="1" x14ac:dyDescent="0.3">
      <c r="C80" s="32" t="s">
        <v>487</v>
      </c>
      <c r="D80" s="65" t="s">
        <v>488</v>
      </c>
      <c r="E80" s="65"/>
      <c r="F80" s="65"/>
      <c r="G80" s="65"/>
      <c r="H80" s="65"/>
      <c r="I80" s="65"/>
      <c r="J80" s="65" t="s">
        <v>489</v>
      </c>
      <c r="K80" s="65"/>
      <c r="L80" s="65"/>
      <c r="M80" s="65" t="s">
        <v>490</v>
      </c>
      <c r="N80" s="65"/>
      <c r="O80" s="65"/>
      <c r="P80" s="65"/>
      <c r="Q80" s="65"/>
      <c r="R80" s="65"/>
    </row>
    <row r="81" spans="1:18" ht="25.5" customHeight="1" x14ac:dyDescent="0.3">
      <c r="C81" s="34">
        <v>1</v>
      </c>
      <c r="D81" s="72" t="s">
        <v>491</v>
      </c>
      <c r="E81" s="72"/>
      <c r="F81" s="72"/>
      <c r="G81" s="72"/>
      <c r="H81" s="72"/>
      <c r="I81" s="72"/>
      <c r="J81" s="73">
        <f>+TIT!D19</f>
        <v>0</v>
      </c>
      <c r="K81" s="73"/>
      <c r="L81" s="73"/>
      <c r="M81" s="68">
        <f>+mEETINGS!A17</f>
        <v>0</v>
      </c>
      <c r="N81" s="68"/>
      <c r="O81" s="68"/>
      <c r="P81" s="68"/>
      <c r="Q81" s="68"/>
      <c r="R81" s="68"/>
    </row>
    <row r="82" spans="1:18" ht="25.5" customHeight="1" x14ac:dyDescent="0.3">
      <c r="C82" s="34">
        <v>2</v>
      </c>
      <c r="D82" s="72" t="s">
        <v>27</v>
      </c>
      <c r="E82" s="72"/>
      <c r="F82" s="72"/>
      <c r="G82" s="72"/>
      <c r="H82" s="72"/>
      <c r="I82" s="72"/>
      <c r="J82" s="73">
        <v>1</v>
      </c>
      <c r="K82" s="73"/>
      <c r="L82" s="73"/>
      <c r="M82" s="68" t="str">
        <f>IF(TIT!D17="","____________",TEXT(TIT!D17,"dd-mmm-yyyy"))</f>
        <v>____________</v>
      </c>
      <c r="N82" s="68"/>
      <c r="O82" s="68"/>
      <c r="P82" s="68"/>
      <c r="Q82" s="68"/>
      <c r="R82" s="68"/>
    </row>
    <row r="83" spans="1:18" ht="25.5" customHeight="1" x14ac:dyDescent="0.3">
      <c r="C83" s="34">
        <v>3</v>
      </c>
      <c r="D83" s="72" t="s">
        <v>492</v>
      </c>
      <c r="E83" s="72"/>
      <c r="F83" s="72"/>
      <c r="G83" s="72"/>
      <c r="H83" s="72"/>
      <c r="I83" s="72"/>
      <c r="J83" s="73" t="str">
        <f>IF(TIT!D18="","",LEN(TIT!D18)-LEN(SUBSTITUTE(TIT!D18,",",""))+1)</f>
        <v/>
      </c>
      <c r="K83" s="73"/>
      <c r="L83" s="73"/>
      <c r="M83" s="68">
        <f>+TIT!D18</f>
        <v>0</v>
      </c>
      <c r="N83" s="68"/>
      <c r="O83" s="68"/>
      <c r="P83" s="68"/>
      <c r="Q83" s="68"/>
      <c r="R83" s="68"/>
    </row>
    <row r="85" spans="1:18" ht="15" customHeight="1" x14ac:dyDescent="0.3">
      <c r="A85" s="55" t="s">
        <v>493</v>
      </c>
      <c r="B85" s="55"/>
      <c r="C85" s="55"/>
      <c r="D85" s="55"/>
      <c r="E85" s="55"/>
      <c r="F85" s="55"/>
      <c r="G85" s="55"/>
      <c r="H85" s="55"/>
      <c r="I85" s="55"/>
      <c r="J85" s="55"/>
      <c r="K85" s="55"/>
      <c r="L85" s="55"/>
      <c r="M85" s="55"/>
      <c r="N85" s="55"/>
      <c r="O85" s="55"/>
      <c r="P85" s="55"/>
      <c r="Q85" s="55"/>
      <c r="R85" s="55"/>
    </row>
    <row r="86" spans="1:18" ht="24" customHeight="1" x14ac:dyDescent="0.3">
      <c r="C86" s="2" t="str">
        <f>"Annual General Body Meeting was held on "&amp;IF(TIT!D17="","____________",TEXT(TIT!D17,"dd-mmm-yyyy"))&amp;". The minutes of the meeting are maintained. The minutes are print-outs pasted in the minute book."</f>
        <v>Annual General Body Meeting was held on ____________. The minutes of the meeting are maintained. The minutes are print-outs pasted in the minute book.</v>
      </c>
      <c r="D86" s="2"/>
      <c r="E86" s="2"/>
      <c r="F86" s="2"/>
      <c r="G86" s="2"/>
      <c r="H86" s="2"/>
      <c r="I86" s="2"/>
      <c r="J86" s="2"/>
      <c r="K86" s="2"/>
      <c r="L86" s="2"/>
      <c r="M86" s="2"/>
      <c r="N86" s="2"/>
      <c r="O86" s="2"/>
      <c r="P86" s="2"/>
      <c r="Q86" s="2"/>
      <c r="R86" s="2"/>
    </row>
    <row r="87" spans="1:18" ht="24" customHeight="1" x14ac:dyDescent="0.3">
      <c r="C87" s="51" t="str">
        <f>IF(TIT!D19="","____ meetings of the Managing Committee of the Society were held during the year, as against the twelve required by Bye-law No. 160.",TIT!D19&amp;" meetings of the Managing Committee of the Society were held during the year, as against the twelve required by Bye-law No. 160.")</f>
        <v>____ meetings of the Managing Committee of the Society were held during the year, as against the twelve required by Bye-law No. 160.</v>
      </c>
      <c r="D87" s="51"/>
      <c r="E87" s="51"/>
      <c r="F87" s="51"/>
      <c r="G87" s="51"/>
      <c r="H87" s="51"/>
      <c r="I87" s="51"/>
      <c r="J87" s="51"/>
      <c r="K87" s="51"/>
      <c r="L87" s="51"/>
      <c r="M87" s="51"/>
      <c r="N87" s="51"/>
      <c r="O87" s="51"/>
      <c r="P87" s="51"/>
      <c r="Q87" s="51"/>
      <c r="R87" s="51"/>
    </row>
    <row r="88" spans="1:18" ht="13.5" customHeight="1" x14ac:dyDescent="0.3">
      <c r="B88" s="31">
        <v>1</v>
      </c>
      <c r="C88" s="2" t="s">
        <v>494</v>
      </c>
      <c r="D88" s="2"/>
      <c r="E88" s="2"/>
      <c r="F88" s="2"/>
      <c r="G88" s="2"/>
      <c r="H88" s="2"/>
      <c r="I88" s="2"/>
      <c r="J88" s="2"/>
      <c r="K88" s="2"/>
      <c r="L88" s="2"/>
      <c r="M88" s="2"/>
      <c r="N88" s="2"/>
      <c r="O88" s="2"/>
      <c r="P88" s="2"/>
      <c r="Q88" s="2"/>
      <c r="R88" s="2"/>
    </row>
    <row r="89" spans="1:18" ht="13.5" customHeight="1" x14ac:dyDescent="0.3">
      <c r="B89" s="31">
        <v>2</v>
      </c>
      <c r="C89" s="2" t="s">
        <v>495</v>
      </c>
      <c r="D89" s="2"/>
      <c r="E89" s="2"/>
      <c r="F89" s="2"/>
      <c r="G89" s="2"/>
      <c r="H89" s="2"/>
      <c r="I89" s="2"/>
      <c r="J89" s="2"/>
      <c r="K89" s="2"/>
      <c r="L89" s="2"/>
      <c r="M89" s="2"/>
      <c r="N89" s="2"/>
      <c r="O89" s="2"/>
      <c r="P89" s="2"/>
      <c r="Q89" s="2"/>
      <c r="R89" s="2"/>
    </row>
    <row r="90" spans="1:18" ht="27" customHeight="1" x14ac:dyDescent="0.3">
      <c r="B90" s="31">
        <v>3</v>
      </c>
      <c r="C90" s="2" t="s">
        <v>496</v>
      </c>
      <c r="D90" s="2"/>
      <c r="E90" s="2"/>
      <c r="F90" s="2"/>
      <c r="G90" s="2"/>
      <c r="H90" s="2"/>
      <c r="I90" s="2"/>
      <c r="J90" s="2"/>
      <c r="K90" s="2"/>
      <c r="L90" s="2"/>
      <c r="M90" s="2"/>
      <c r="N90" s="2"/>
      <c r="O90" s="2"/>
      <c r="P90" s="2"/>
      <c r="Q90" s="2"/>
      <c r="R90" s="2"/>
    </row>
    <row r="91" spans="1:18" ht="13.5" customHeight="1" x14ac:dyDescent="0.3">
      <c r="B91" s="31">
        <v>4</v>
      </c>
      <c r="C91" s="2" t="s">
        <v>497</v>
      </c>
      <c r="D91" s="2"/>
      <c r="E91" s="2"/>
      <c r="F91" s="2"/>
      <c r="G91" s="2"/>
      <c r="H91" s="2"/>
      <c r="I91" s="2"/>
      <c r="J91" s="2"/>
      <c r="K91" s="2"/>
      <c r="L91" s="2"/>
      <c r="M91" s="2"/>
      <c r="N91" s="2"/>
      <c r="O91" s="2"/>
      <c r="P91" s="2"/>
      <c r="Q91" s="2"/>
      <c r="R91" s="2"/>
    </row>
    <row r="92" spans="1:18" ht="54" customHeight="1" x14ac:dyDescent="0.3">
      <c r="B92" s="31">
        <v>5</v>
      </c>
      <c r="C92" s="2" t="s">
        <v>498</v>
      </c>
      <c r="D92" s="2"/>
      <c r="E92" s="2"/>
      <c r="F92" s="2"/>
      <c r="G92" s="2"/>
      <c r="H92" s="2"/>
      <c r="I92" s="2"/>
      <c r="J92" s="2"/>
      <c r="K92" s="2"/>
      <c r="L92" s="2"/>
      <c r="M92" s="2"/>
      <c r="N92" s="2"/>
      <c r="O92" s="2"/>
      <c r="P92" s="2"/>
      <c r="Q92" s="2"/>
      <c r="R92" s="2"/>
    </row>
    <row r="93" spans="1:18" ht="27" customHeight="1" x14ac:dyDescent="0.3">
      <c r="B93" s="31">
        <v>6</v>
      </c>
      <c r="C93" s="2" t="s">
        <v>499</v>
      </c>
      <c r="D93" s="2"/>
      <c r="E93" s="2"/>
      <c r="F93" s="2"/>
      <c r="G93" s="2"/>
      <c r="H93" s="2"/>
      <c r="I93" s="2"/>
      <c r="J93" s="2"/>
      <c r="K93" s="2"/>
      <c r="L93" s="2"/>
      <c r="M93" s="2"/>
      <c r="N93" s="2"/>
      <c r="O93" s="2"/>
      <c r="P93" s="2"/>
      <c r="Q93" s="2"/>
      <c r="R93" s="2"/>
    </row>
    <row r="94" spans="1:18" ht="13.5" customHeight="1" x14ac:dyDescent="0.3">
      <c r="B94" s="31">
        <v>7</v>
      </c>
      <c r="C94" s="2" t="s">
        <v>500</v>
      </c>
      <c r="D94" s="2"/>
      <c r="E94" s="2"/>
      <c r="F94" s="2"/>
      <c r="G94" s="2"/>
      <c r="H94" s="2"/>
      <c r="I94" s="2"/>
      <c r="J94" s="2"/>
      <c r="K94" s="2"/>
      <c r="L94" s="2"/>
      <c r="M94" s="2"/>
      <c r="N94" s="2"/>
      <c r="O94" s="2"/>
      <c r="P94" s="2"/>
      <c r="Q94" s="2"/>
      <c r="R94" s="2"/>
    </row>
    <row r="95" spans="1:18" ht="13.5" customHeight="1" x14ac:dyDescent="0.3">
      <c r="B95" s="31">
        <v>8</v>
      </c>
      <c r="C95" s="2" t="s">
        <v>501</v>
      </c>
      <c r="D95" s="2"/>
      <c r="E95" s="2"/>
      <c r="F95" s="2"/>
      <c r="G95" s="2"/>
      <c r="H95" s="2"/>
      <c r="I95" s="2"/>
      <c r="J95" s="2"/>
      <c r="K95" s="2"/>
      <c r="L95" s="2"/>
      <c r="M95" s="2"/>
      <c r="N95" s="2"/>
      <c r="O95" s="2"/>
      <c r="P95" s="2"/>
      <c r="Q95" s="2"/>
      <c r="R95" s="2"/>
    </row>
    <row r="97" spans="1:18" ht="15" customHeight="1" x14ac:dyDescent="0.3">
      <c r="A97" s="55" t="s">
        <v>502</v>
      </c>
      <c r="B97" s="55"/>
      <c r="C97" s="55"/>
      <c r="D97" s="55"/>
      <c r="E97" s="55"/>
      <c r="F97" s="55"/>
      <c r="G97" s="55"/>
      <c r="H97" s="55"/>
      <c r="I97" s="55"/>
      <c r="J97" s="55"/>
      <c r="K97" s="55"/>
      <c r="L97" s="55"/>
      <c r="M97" s="55"/>
      <c r="N97" s="55"/>
      <c r="O97" s="55"/>
      <c r="P97" s="55"/>
      <c r="Q97" s="55"/>
      <c r="R97" s="55"/>
    </row>
    <row r="98" spans="1:18" ht="36" customHeight="1" x14ac:dyDescent="0.3">
      <c r="B98" s="2" t="str">
        <f>"There are "&amp;TIT!D35&amp;", i.e. "&amp;TIT!D34&amp;" members in the Society. Balance confirmations from members for the balances as at the year end have not been obtained. The Society has not provided details regarding cases of transfer or transmission during the year."</f>
        <v>There are 52 Flats &amp; 12 Shops, i.e. 64 members in the Society. Balance confirmations from members for the balances as at the year end have not been obtained. The Society has not provided details regarding cases of transfer or transmission during the year.</v>
      </c>
      <c r="C98" s="2"/>
      <c r="D98" s="2"/>
      <c r="E98" s="2"/>
      <c r="F98" s="2"/>
      <c r="G98" s="2"/>
      <c r="H98" s="2"/>
      <c r="I98" s="2"/>
      <c r="J98" s="2"/>
      <c r="K98" s="2"/>
      <c r="L98" s="2"/>
      <c r="M98" s="2"/>
      <c r="N98" s="2"/>
      <c r="O98" s="2"/>
      <c r="P98" s="2"/>
      <c r="Q98" s="2"/>
      <c r="R98" s="2"/>
    </row>
    <row r="100" spans="1:18" ht="15" customHeight="1" x14ac:dyDescent="0.3">
      <c r="A100" s="55" t="s">
        <v>503</v>
      </c>
      <c r="B100" s="55"/>
      <c r="C100" s="55"/>
      <c r="D100" s="55"/>
      <c r="E100" s="55"/>
      <c r="F100" s="55"/>
      <c r="G100" s="55"/>
      <c r="H100" s="55"/>
      <c r="I100" s="55"/>
      <c r="J100" s="55"/>
      <c r="K100" s="55"/>
      <c r="L100" s="55"/>
      <c r="M100" s="55"/>
      <c r="N100" s="55"/>
      <c r="O100" s="55"/>
      <c r="P100" s="55"/>
      <c r="Q100" s="55"/>
      <c r="R100" s="55"/>
    </row>
    <row r="101" spans="1:18" ht="13.5" customHeight="1" x14ac:dyDescent="0.3">
      <c r="B101" s="31">
        <v>1</v>
      </c>
      <c r="C101" s="2" t="s">
        <v>504</v>
      </c>
      <c r="D101" s="2"/>
      <c r="E101" s="2"/>
      <c r="F101" s="2"/>
      <c r="G101" s="2"/>
      <c r="H101" s="2"/>
      <c r="I101" s="2"/>
      <c r="J101" s="2"/>
      <c r="K101" s="2"/>
      <c r="L101" s="2"/>
      <c r="M101" s="2"/>
      <c r="N101" s="2"/>
      <c r="O101" s="2"/>
      <c r="P101" s="2"/>
      <c r="Q101" s="2"/>
      <c r="R101" s="2"/>
    </row>
    <row r="102" spans="1:18" ht="13.5" customHeight="1" x14ac:dyDescent="0.3">
      <c r="B102" s="31">
        <v>2</v>
      </c>
      <c r="C102" s="2" t="s">
        <v>505</v>
      </c>
      <c r="D102" s="2"/>
      <c r="E102" s="2"/>
      <c r="F102" s="2"/>
      <c r="G102" s="2"/>
      <c r="H102" s="2"/>
      <c r="I102" s="2"/>
      <c r="J102" s="2"/>
      <c r="K102" s="2"/>
      <c r="L102" s="2"/>
      <c r="M102" s="2"/>
      <c r="N102" s="2"/>
      <c r="O102" s="2"/>
      <c r="P102" s="2"/>
      <c r="Q102" s="2"/>
      <c r="R102" s="2"/>
    </row>
    <row r="103" spans="1:18" ht="13.5" customHeight="1" x14ac:dyDescent="0.3">
      <c r="B103" s="31">
        <v>3</v>
      </c>
      <c r="C103" s="2" t="s">
        <v>506</v>
      </c>
      <c r="D103" s="2"/>
      <c r="E103" s="2"/>
      <c r="F103" s="2"/>
      <c r="G103" s="2"/>
      <c r="H103" s="2"/>
      <c r="I103" s="2"/>
      <c r="J103" s="2"/>
      <c r="K103" s="2"/>
      <c r="L103" s="2"/>
      <c r="M103" s="2"/>
      <c r="N103" s="2"/>
      <c r="O103" s="2"/>
      <c r="P103" s="2"/>
      <c r="Q103" s="2"/>
      <c r="R103" s="2"/>
    </row>
    <row r="104" spans="1:18" ht="24" customHeight="1" x14ac:dyDescent="0.3">
      <c r="B104" s="31">
        <v>4</v>
      </c>
      <c r="C104" s="2" t="s">
        <v>507</v>
      </c>
      <c r="D104" s="2"/>
      <c r="E104" s="2"/>
      <c r="F104" s="2"/>
      <c r="G104" s="2"/>
      <c r="H104" s="2"/>
      <c r="I104" s="2"/>
      <c r="J104" s="2"/>
      <c r="K104" s="2"/>
      <c r="L104" s="2"/>
      <c r="M104" s="2"/>
      <c r="N104" s="2"/>
      <c r="O104" s="2"/>
      <c r="P104" s="2"/>
      <c r="Q104" s="2"/>
      <c r="R104" s="2"/>
    </row>
    <row r="105" spans="1:18" ht="13.5" customHeight="1" x14ac:dyDescent="0.3">
      <c r="B105" s="31">
        <v>5</v>
      </c>
      <c r="C105" s="2" t="s">
        <v>508</v>
      </c>
      <c r="D105" s="2"/>
      <c r="E105" s="2"/>
      <c r="F105" s="2"/>
      <c r="G105" s="2"/>
      <c r="H105" s="2"/>
      <c r="I105" s="2"/>
      <c r="J105" s="2"/>
      <c r="K105" s="2"/>
      <c r="L105" s="2"/>
      <c r="M105" s="2"/>
      <c r="N105" s="2"/>
      <c r="O105" s="2"/>
      <c r="P105" s="2"/>
      <c r="Q105" s="2"/>
      <c r="R105" s="2"/>
    </row>
    <row r="106" spans="1:18" ht="13.5" customHeight="1" x14ac:dyDescent="0.3">
      <c r="B106" s="31">
        <v>6</v>
      </c>
      <c r="C106" s="2" t="s">
        <v>509</v>
      </c>
      <c r="D106" s="2"/>
      <c r="E106" s="2"/>
      <c r="F106" s="2"/>
      <c r="G106" s="2"/>
      <c r="H106" s="2"/>
      <c r="I106" s="2"/>
      <c r="J106" s="2"/>
      <c r="K106" s="2"/>
      <c r="L106" s="2"/>
      <c r="M106" s="2"/>
      <c r="N106" s="2"/>
      <c r="O106" s="2"/>
      <c r="P106" s="2"/>
      <c r="Q106" s="2"/>
      <c r="R106" s="2"/>
    </row>
    <row r="107" spans="1:18" ht="13.5" customHeight="1" x14ac:dyDescent="0.3">
      <c r="B107" s="31">
        <v>7</v>
      </c>
      <c r="C107" s="2" t="s">
        <v>510</v>
      </c>
      <c r="D107" s="2"/>
      <c r="E107" s="2"/>
      <c r="F107" s="2"/>
      <c r="G107" s="2"/>
      <c r="H107" s="2"/>
      <c r="I107" s="2"/>
      <c r="J107" s="2"/>
      <c r="K107" s="2"/>
      <c r="L107" s="2"/>
      <c r="M107" s="2"/>
      <c r="N107" s="2"/>
      <c r="O107" s="2"/>
      <c r="P107" s="2"/>
      <c r="Q107" s="2"/>
      <c r="R107" s="2"/>
    </row>
    <row r="109" spans="1:18" ht="15" customHeight="1" x14ac:dyDescent="0.3">
      <c r="A109" s="55" t="s">
        <v>511</v>
      </c>
      <c r="B109" s="55"/>
      <c r="C109" s="55"/>
      <c r="D109" s="55"/>
      <c r="E109" s="55"/>
      <c r="F109" s="55"/>
      <c r="G109" s="55"/>
      <c r="H109" s="55"/>
      <c r="I109" s="55"/>
      <c r="J109" s="55"/>
      <c r="K109" s="55"/>
      <c r="L109" s="55"/>
      <c r="M109" s="55"/>
      <c r="N109" s="55"/>
      <c r="O109" s="55"/>
      <c r="P109" s="55"/>
      <c r="Q109" s="55"/>
      <c r="R109" s="55"/>
    </row>
    <row r="110" spans="1:18" ht="40.5" customHeight="1" x14ac:dyDescent="0.3">
      <c r="B110" s="31">
        <v>1</v>
      </c>
      <c r="C110" s="2" t="s">
        <v>512</v>
      </c>
      <c r="D110" s="2"/>
      <c r="E110" s="2"/>
      <c r="F110" s="2"/>
      <c r="G110" s="2"/>
      <c r="H110" s="2"/>
      <c r="I110" s="2"/>
      <c r="J110" s="2"/>
      <c r="K110" s="2"/>
      <c r="L110" s="2"/>
      <c r="M110" s="2"/>
      <c r="N110" s="2"/>
      <c r="O110" s="2"/>
      <c r="P110" s="2"/>
      <c r="Q110" s="2"/>
      <c r="R110" s="2"/>
    </row>
    <row r="111" spans="1:18" ht="40.5" customHeight="1" x14ac:dyDescent="0.3">
      <c r="B111" s="31">
        <v>2</v>
      </c>
      <c r="C111" s="2" t="s">
        <v>513</v>
      </c>
      <c r="D111" s="2"/>
      <c r="E111" s="2"/>
      <c r="F111" s="2"/>
      <c r="G111" s="2"/>
      <c r="H111" s="2"/>
      <c r="I111" s="2"/>
      <c r="J111" s="2"/>
      <c r="K111" s="2"/>
      <c r="L111" s="2"/>
      <c r="M111" s="2"/>
      <c r="N111" s="2"/>
      <c r="O111" s="2"/>
      <c r="P111" s="2"/>
      <c r="Q111" s="2"/>
      <c r="R111" s="2"/>
    </row>
    <row r="112" spans="1:18" ht="27" customHeight="1" x14ac:dyDescent="0.3">
      <c r="B112" s="31">
        <v>3</v>
      </c>
      <c r="C112" s="2" t="s">
        <v>514</v>
      </c>
      <c r="D112" s="2"/>
      <c r="E112" s="2"/>
      <c r="F112" s="2"/>
      <c r="G112" s="2"/>
      <c r="H112" s="2"/>
      <c r="I112" s="2"/>
      <c r="J112" s="2"/>
      <c r="K112" s="2"/>
      <c r="L112" s="2"/>
      <c r="M112" s="2"/>
      <c r="N112" s="2"/>
      <c r="O112" s="2"/>
      <c r="P112" s="2"/>
      <c r="Q112" s="2"/>
      <c r="R112" s="2"/>
    </row>
    <row r="114" spans="1:18" ht="15" customHeight="1" x14ac:dyDescent="0.3">
      <c r="A114" s="55" t="s">
        <v>515</v>
      </c>
      <c r="B114" s="55"/>
      <c r="C114" s="55"/>
      <c r="D114" s="55"/>
      <c r="E114" s="55"/>
      <c r="F114" s="55"/>
      <c r="G114" s="55"/>
      <c r="H114" s="55"/>
      <c r="I114" s="55"/>
      <c r="J114" s="55"/>
      <c r="K114" s="55"/>
      <c r="L114" s="55"/>
      <c r="M114" s="55"/>
      <c r="N114" s="55"/>
      <c r="O114" s="55"/>
      <c r="P114" s="55"/>
      <c r="Q114" s="55"/>
      <c r="R114" s="55"/>
    </row>
    <row r="115" spans="1:18" ht="36" customHeight="1" x14ac:dyDescent="0.3">
      <c r="B115" s="51" t="str">
        <f>"During the year under audit the Society has incurred a DEFICIT (Excess of Expenditure over Income) of Rs. "&amp;IF(ABS(J298)&gt;=100000,INT(ABS(J298)/100000)&amp;","&amp;TEXT(MOD(INT(ABS(J298)/1000),100),"00")&amp;","&amp;TEXT(MOD(ABS(J298),1000),"000"),TEXT(ABS(J298),"##,##0"))&amp;"/- for the year ended 31-Mar-2026, as against a SURPLUS of Rs. "&amp;IF(ABS(M298)&gt;=100000,INT(ABS(M298)/100000)&amp;","&amp;TEXT(MOD(INT(ABS(M298)/1000),100),"00")&amp;","&amp;TEXT(MOD(ABS(M298),1000),"000"),TEXT(ABS(M298),"##,##0"))&amp;"/- for the previous year."</f>
        <v>During the year under audit the Society has incurred a DEFICIT (Excess of Expenditure over Income) of Rs. 5,65,589/- for the year ended 31-Mar-2026, as against a SURPLUS of Rs. 91,679/- for the previous year.</v>
      </c>
      <c r="C115" s="51"/>
      <c r="D115" s="51"/>
      <c r="E115" s="51"/>
      <c r="F115" s="51"/>
      <c r="G115" s="51"/>
      <c r="H115" s="51"/>
      <c r="I115" s="51"/>
      <c r="J115" s="51"/>
      <c r="K115" s="51"/>
      <c r="L115" s="51"/>
      <c r="M115" s="51"/>
      <c r="N115" s="51"/>
      <c r="O115" s="51"/>
      <c r="P115" s="51"/>
      <c r="Q115" s="51"/>
      <c r="R115" s="51"/>
    </row>
    <row r="116" spans="1:18" ht="54" customHeight="1" x14ac:dyDescent="0.3">
      <c r="B116" s="2" t="s">
        <v>516</v>
      </c>
      <c r="C116" s="2"/>
      <c r="D116" s="2"/>
      <c r="E116" s="2"/>
      <c r="F116" s="2"/>
      <c r="G116" s="2"/>
      <c r="H116" s="2"/>
      <c r="I116" s="2"/>
      <c r="J116" s="2"/>
      <c r="K116" s="2"/>
      <c r="L116" s="2"/>
      <c r="M116" s="2"/>
      <c r="N116" s="2"/>
      <c r="O116" s="2"/>
      <c r="P116" s="2"/>
      <c r="Q116" s="2"/>
      <c r="R116" s="2"/>
    </row>
    <row r="118" spans="1:18" ht="15" customHeight="1" x14ac:dyDescent="0.3">
      <c r="A118" s="55" t="s">
        <v>517</v>
      </c>
      <c r="B118" s="55"/>
      <c r="C118" s="55"/>
      <c r="D118" s="55"/>
      <c r="E118" s="55"/>
      <c r="F118" s="55"/>
      <c r="G118" s="55"/>
      <c r="H118" s="55"/>
      <c r="I118" s="55"/>
      <c r="J118" s="55"/>
      <c r="K118" s="55"/>
      <c r="L118" s="55"/>
      <c r="M118" s="55"/>
      <c r="N118" s="55"/>
      <c r="O118" s="55"/>
      <c r="P118" s="55"/>
      <c r="Q118" s="55"/>
      <c r="R118" s="55"/>
    </row>
    <row r="119" spans="1:18" ht="27" customHeight="1" x14ac:dyDescent="0.3">
      <c r="A119" s="65" t="s">
        <v>487</v>
      </c>
      <c r="B119" s="65"/>
      <c r="C119" s="65" t="s">
        <v>405</v>
      </c>
      <c r="D119" s="65"/>
      <c r="E119" s="65"/>
      <c r="F119" s="65"/>
      <c r="G119" s="65"/>
      <c r="H119" s="65"/>
      <c r="I119" s="65"/>
      <c r="J119" s="65" t="s">
        <v>518</v>
      </c>
      <c r="K119" s="65"/>
      <c r="L119" s="65"/>
      <c r="M119" s="65" t="s">
        <v>519</v>
      </c>
      <c r="N119" s="65"/>
      <c r="O119" s="65"/>
      <c r="P119" s="65" t="s">
        <v>520</v>
      </c>
      <c r="Q119" s="65"/>
      <c r="R119" s="65"/>
    </row>
    <row r="120" spans="1:18" ht="15" customHeight="1" x14ac:dyDescent="0.3">
      <c r="A120" s="36"/>
      <c r="B120" s="36"/>
      <c r="C120" s="74" t="s">
        <v>521</v>
      </c>
      <c r="D120" s="74"/>
      <c r="E120" s="74"/>
      <c r="F120" s="74"/>
      <c r="G120" s="74"/>
      <c r="H120" s="74"/>
      <c r="I120" s="74"/>
      <c r="J120" s="36"/>
      <c r="K120" s="36"/>
      <c r="L120" s="36"/>
      <c r="M120" s="36"/>
      <c r="N120" s="36"/>
      <c r="O120" s="36"/>
      <c r="P120" s="36"/>
      <c r="Q120" s="36"/>
      <c r="R120" s="36"/>
    </row>
    <row r="121" spans="1:18" ht="15" customHeight="1" x14ac:dyDescent="0.3">
      <c r="A121" s="75">
        <v>1</v>
      </c>
      <c r="B121" s="75"/>
      <c r="C121" s="76" t="s">
        <v>522</v>
      </c>
      <c r="D121" s="76"/>
      <c r="E121" s="76"/>
      <c r="F121" s="76"/>
      <c r="G121" s="76"/>
      <c r="H121" s="76"/>
      <c r="I121" s="76"/>
      <c r="J121" s="77">
        <v>13000</v>
      </c>
      <c r="K121" s="77"/>
      <c r="L121" s="77"/>
      <c r="M121" s="77">
        <v>13000</v>
      </c>
      <c r="N121" s="77"/>
      <c r="O121" s="77"/>
      <c r="P121" s="78">
        <f t="shared" ref="P121:P126" si="0">+J121-M121</f>
        <v>0</v>
      </c>
      <c r="Q121" s="78"/>
      <c r="R121" s="78"/>
    </row>
    <row r="122" spans="1:18" ht="15" customHeight="1" x14ac:dyDescent="0.3">
      <c r="A122" s="75">
        <v>2</v>
      </c>
      <c r="B122" s="75"/>
      <c r="C122" s="76" t="s">
        <v>523</v>
      </c>
      <c r="D122" s="76"/>
      <c r="E122" s="76"/>
      <c r="F122" s="76"/>
      <c r="G122" s="76"/>
      <c r="H122" s="76"/>
      <c r="I122" s="76"/>
      <c r="J122" s="77">
        <v>2023888.82</v>
      </c>
      <c r="K122" s="77"/>
      <c r="L122" s="77"/>
      <c r="M122" s="77">
        <v>1904199.82</v>
      </c>
      <c r="N122" s="77"/>
      <c r="O122" s="77"/>
      <c r="P122" s="78">
        <f t="shared" si="0"/>
        <v>119689</v>
      </c>
      <c r="Q122" s="78"/>
      <c r="R122" s="78"/>
    </row>
    <row r="123" spans="1:18" ht="15" customHeight="1" x14ac:dyDescent="0.3">
      <c r="A123" s="75">
        <v>3</v>
      </c>
      <c r="B123" s="75"/>
      <c r="C123" s="76" t="s">
        <v>524</v>
      </c>
      <c r="D123" s="76"/>
      <c r="E123" s="76"/>
      <c r="F123" s="76"/>
      <c r="G123" s="76"/>
      <c r="H123" s="76"/>
      <c r="I123" s="76"/>
      <c r="J123" s="77">
        <v>22386000</v>
      </c>
      <c r="K123" s="77"/>
      <c r="L123" s="77"/>
      <c r="M123" s="77">
        <v>22386000</v>
      </c>
      <c r="N123" s="77"/>
      <c r="O123" s="77"/>
      <c r="P123" s="78">
        <f t="shared" si="0"/>
        <v>0</v>
      </c>
      <c r="Q123" s="78"/>
      <c r="R123" s="78"/>
    </row>
    <row r="124" spans="1:18" ht="15" customHeight="1" x14ac:dyDescent="0.3">
      <c r="A124" s="75">
        <v>4</v>
      </c>
      <c r="B124" s="75"/>
      <c r="C124" s="76" t="s">
        <v>525</v>
      </c>
      <c r="D124" s="76"/>
      <c r="E124" s="76"/>
      <c r="F124" s="76"/>
      <c r="G124" s="76"/>
      <c r="H124" s="76"/>
      <c r="I124" s="76"/>
      <c r="J124" s="77">
        <v>329863.09999999998</v>
      </c>
      <c r="K124" s="77"/>
      <c r="L124" s="77"/>
      <c r="M124" s="77">
        <v>408305.1</v>
      </c>
      <c r="N124" s="77"/>
      <c r="O124" s="77"/>
      <c r="P124" s="78">
        <f t="shared" si="0"/>
        <v>-78442</v>
      </c>
      <c r="Q124" s="78"/>
      <c r="R124" s="78"/>
    </row>
    <row r="125" spans="1:18" ht="15" customHeight="1" x14ac:dyDescent="0.3">
      <c r="A125" s="75">
        <v>5</v>
      </c>
      <c r="B125" s="75"/>
      <c r="C125" s="76" t="s">
        <v>526</v>
      </c>
      <c r="D125" s="76"/>
      <c r="E125" s="76"/>
      <c r="F125" s="76"/>
      <c r="G125" s="76"/>
      <c r="H125" s="76"/>
      <c r="I125" s="76"/>
      <c r="J125" s="77">
        <v>3478251.52</v>
      </c>
      <c r="K125" s="77"/>
      <c r="L125" s="77"/>
      <c r="M125" s="77">
        <v>4695789.5199999996</v>
      </c>
      <c r="N125" s="77"/>
      <c r="O125" s="77"/>
      <c r="P125" s="78">
        <f t="shared" si="0"/>
        <v>-1217537.9999999995</v>
      </c>
      <c r="Q125" s="78"/>
      <c r="R125" s="78"/>
    </row>
    <row r="126" spans="1:18" ht="15" customHeight="1" x14ac:dyDescent="0.3">
      <c r="A126" s="66"/>
      <c r="B126" s="66"/>
      <c r="C126" s="79" t="s">
        <v>527</v>
      </c>
      <c r="D126" s="79"/>
      <c r="E126" s="79"/>
      <c r="F126" s="79"/>
      <c r="G126" s="79"/>
      <c r="H126" s="79"/>
      <c r="I126" s="79"/>
      <c r="J126" s="80">
        <f>SUM(J121:L125)</f>
        <v>28231003.440000001</v>
      </c>
      <c r="K126" s="80"/>
      <c r="L126" s="80"/>
      <c r="M126" s="80">
        <f>SUM(M121:O125)</f>
        <v>29407294.440000001</v>
      </c>
      <c r="N126" s="80"/>
      <c r="O126" s="80"/>
      <c r="P126" s="80">
        <f t="shared" si="0"/>
        <v>-1176291</v>
      </c>
      <c r="Q126" s="80"/>
      <c r="R126" s="80"/>
    </row>
    <row r="127" spans="1:18" ht="15" customHeight="1" x14ac:dyDescent="0.3">
      <c r="A127" s="36"/>
      <c r="B127" s="36"/>
      <c r="C127" s="74" t="s">
        <v>528</v>
      </c>
      <c r="D127" s="74"/>
      <c r="E127" s="74"/>
      <c r="F127" s="74"/>
      <c r="G127" s="74"/>
      <c r="H127" s="74"/>
      <c r="I127" s="74"/>
      <c r="J127" s="36"/>
      <c r="K127" s="36"/>
      <c r="L127" s="36"/>
      <c r="M127" s="36"/>
      <c r="N127" s="36"/>
      <c r="O127" s="36"/>
      <c r="P127" s="36"/>
      <c r="Q127" s="36"/>
      <c r="R127" s="36"/>
    </row>
    <row r="128" spans="1:18" ht="15" customHeight="1" x14ac:dyDescent="0.3">
      <c r="A128" s="75">
        <v>1</v>
      </c>
      <c r="B128" s="75"/>
      <c r="C128" s="76" t="s">
        <v>529</v>
      </c>
      <c r="D128" s="76"/>
      <c r="E128" s="76"/>
      <c r="F128" s="76"/>
      <c r="G128" s="76"/>
      <c r="H128" s="76"/>
      <c r="I128" s="76"/>
      <c r="J128" s="77">
        <v>630942.43999999994</v>
      </c>
      <c r="K128" s="77"/>
      <c r="L128" s="77"/>
      <c r="M128" s="77">
        <v>1043248.44</v>
      </c>
      <c r="N128" s="77"/>
      <c r="O128" s="77"/>
      <c r="P128" s="78">
        <f t="shared" ref="P128:P134" si="1">+J128-M128</f>
        <v>-412306</v>
      </c>
      <c r="Q128" s="78"/>
      <c r="R128" s="78"/>
    </row>
    <row r="129" spans="1:18" ht="15" customHeight="1" x14ac:dyDescent="0.3">
      <c r="A129" s="75">
        <v>2</v>
      </c>
      <c r="B129" s="75"/>
      <c r="C129" s="76" t="s">
        <v>530</v>
      </c>
      <c r="D129" s="76"/>
      <c r="E129" s="76"/>
      <c r="F129" s="76"/>
      <c r="G129" s="76"/>
      <c r="H129" s="76"/>
      <c r="I129" s="76"/>
      <c r="J129" s="77">
        <v>1039003</v>
      </c>
      <c r="K129" s="77"/>
      <c r="L129" s="77"/>
      <c r="M129" s="77">
        <v>955148</v>
      </c>
      <c r="N129" s="77"/>
      <c r="O129" s="77"/>
      <c r="P129" s="78">
        <f t="shared" si="1"/>
        <v>83855</v>
      </c>
      <c r="Q129" s="78"/>
      <c r="R129" s="78"/>
    </row>
    <row r="130" spans="1:18" ht="15" customHeight="1" x14ac:dyDescent="0.3">
      <c r="A130" s="75">
        <v>3</v>
      </c>
      <c r="B130" s="75"/>
      <c r="C130" s="76" t="s">
        <v>531</v>
      </c>
      <c r="D130" s="76"/>
      <c r="E130" s="76"/>
      <c r="F130" s="76"/>
      <c r="G130" s="76"/>
      <c r="H130" s="76"/>
      <c r="I130" s="76"/>
      <c r="J130" s="77">
        <v>404189</v>
      </c>
      <c r="K130" s="77"/>
      <c r="L130" s="77"/>
      <c r="M130" s="77">
        <v>210562</v>
      </c>
      <c r="N130" s="77"/>
      <c r="O130" s="77"/>
      <c r="P130" s="78">
        <f t="shared" si="1"/>
        <v>193627</v>
      </c>
      <c r="Q130" s="78"/>
      <c r="R130" s="78"/>
    </row>
    <row r="131" spans="1:18" ht="15" customHeight="1" x14ac:dyDescent="0.3">
      <c r="A131" s="75">
        <v>4</v>
      </c>
      <c r="B131" s="75"/>
      <c r="C131" s="76" t="s">
        <v>532</v>
      </c>
      <c r="D131" s="76"/>
      <c r="E131" s="76"/>
      <c r="F131" s="76"/>
      <c r="G131" s="76"/>
      <c r="H131" s="76"/>
      <c r="I131" s="76"/>
      <c r="J131" s="77">
        <v>22386000</v>
      </c>
      <c r="K131" s="77"/>
      <c r="L131" s="77"/>
      <c r="M131" s="77">
        <v>22386000</v>
      </c>
      <c r="N131" s="77"/>
      <c r="O131" s="77"/>
      <c r="P131" s="78">
        <f t="shared" si="1"/>
        <v>0</v>
      </c>
      <c r="Q131" s="78"/>
      <c r="R131" s="78"/>
    </row>
    <row r="132" spans="1:18" ht="15" customHeight="1" x14ac:dyDescent="0.3">
      <c r="A132" s="75">
        <v>5</v>
      </c>
      <c r="B132" s="75"/>
      <c r="C132" s="76" t="s">
        <v>533</v>
      </c>
      <c r="D132" s="76"/>
      <c r="E132" s="76"/>
      <c r="F132" s="76"/>
      <c r="G132" s="76"/>
      <c r="H132" s="76"/>
      <c r="I132" s="76"/>
      <c r="J132" s="77">
        <v>85061</v>
      </c>
      <c r="K132" s="77"/>
      <c r="L132" s="77"/>
      <c r="M132" s="77">
        <v>115165</v>
      </c>
      <c r="N132" s="77"/>
      <c r="O132" s="77"/>
      <c r="P132" s="78">
        <f t="shared" si="1"/>
        <v>-30104</v>
      </c>
      <c r="Q132" s="78"/>
      <c r="R132" s="78"/>
    </row>
    <row r="133" spans="1:18" ht="15" customHeight="1" x14ac:dyDescent="0.3">
      <c r="A133" s="75">
        <v>6</v>
      </c>
      <c r="B133" s="75"/>
      <c r="C133" s="76" t="s">
        <v>534</v>
      </c>
      <c r="D133" s="76"/>
      <c r="E133" s="76"/>
      <c r="F133" s="76"/>
      <c r="G133" s="76"/>
      <c r="H133" s="76"/>
      <c r="I133" s="76"/>
      <c r="J133" s="77">
        <v>3685808</v>
      </c>
      <c r="K133" s="77"/>
      <c r="L133" s="77"/>
      <c r="M133" s="77">
        <v>4697171</v>
      </c>
      <c r="N133" s="77"/>
      <c r="O133" s="77"/>
      <c r="P133" s="78">
        <f t="shared" si="1"/>
        <v>-1011363</v>
      </c>
      <c r="Q133" s="78"/>
      <c r="R133" s="78"/>
    </row>
    <row r="134" spans="1:18" ht="15" customHeight="1" x14ac:dyDescent="0.3">
      <c r="A134" s="66"/>
      <c r="B134" s="66"/>
      <c r="C134" s="79" t="s">
        <v>527</v>
      </c>
      <c r="D134" s="79"/>
      <c r="E134" s="79"/>
      <c r="F134" s="79"/>
      <c r="G134" s="79"/>
      <c r="H134" s="79"/>
      <c r="I134" s="79"/>
      <c r="J134" s="80">
        <f>SUM(J128:L133)</f>
        <v>28231003.440000001</v>
      </c>
      <c r="K134" s="80"/>
      <c r="L134" s="80"/>
      <c r="M134" s="80">
        <f>SUM(M128:O133)</f>
        <v>29407294.440000001</v>
      </c>
      <c r="N134" s="80"/>
      <c r="O134" s="80"/>
      <c r="P134" s="80">
        <f t="shared" si="1"/>
        <v>-1176291</v>
      </c>
      <c r="Q134" s="80"/>
      <c r="R134" s="80"/>
    </row>
    <row r="135" spans="1:18" ht="24" customHeight="1" x14ac:dyDescent="0.3">
      <c r="B135" s="81" t="s">
        <v>535</v>
      </c>
      <c r="C135" s="81"/>
      <c r="D135" s="81"/>
      <c r="E135" s="81"/>
      <c r="F135" s="81"/>
      <c r="G135" s="81"/>
      <c r="H135" s="81"/>
      <c r="I135" s="81"/>
      <c r="J135" s="81"/>
      <c r="K135" s="81"/>
      <c r="L135" s="81"/>
      <c r="M135" s="81"/>
      <c r="N135" s="81"/>
      <c r="O135" s="81"/>
      <c r="P135" s="81"/>
      <c r="Q135" s="81"/>
      <c r="R135" s="81"/>
    </row>
    <row r="137" spans="1:18" ht="15" customHeight="1" x14ac:dyDescent="0.3">
      <c r="A137" s="56" t="s">
        <v>536</v>
      </c>
      <c r="B137" s="56"/>
      <c r="C137" s="56"/>
      <c r="D137" s="56"/>
      <c r="E137" s="56"/>
      <c r="F137" s="56"/>
      <c r="G137" s="56"/>
      <c r="H137" s="56"/>
      <c r="I137" s="56"/>
      <c r="J137" s="56"/>
      <c r="K137" s="56"/>
      <c r="L137" s="56"/>
      <c r="M137" s="56"/>
      <c r="N137" s="56"/>
      <c r="O137" s="56"/>
      <c r="P137" s="56"/>
      <c r="Q137" s="56"/>
      <c r="R137" s="56"/>
    </row>
    <row r="139" spans="1:18" ht="15" customHeight="1" x14ac:dyDescent="0.3">
      <c r="A139" s="55" t="s">
        <v>537</v>
      </c>
      <c r="B139" s="55"/>
      <c r="C139" s="55"/>
      <c r="D139" s="55"/>
      <c r="E139" s="55"/>
      <c r="F139" s="55"/>
      <c r="G139" s="55"/>
      <c r="H139" s="55"/>
      <c r="I139" s="55"/>
      <c r="J139" s="55"/>
      <c r="K139" s="55"/>
      <c r="L139" s="55"/>
      <c r="M139" s="55"/>
      <c r="N139" s="55"/>
      <c r="O139" s="55"/>
      <c r="P139" s="55"/>
      <c r="Q139" s="55"/>
      <c r="R139" s="55"/>
    </row>
    <row r="140" spans="1:18" ht="13.5" customHeight="1" x14ac:dyDescent="0.3">
      <c r="B140" s="37">
        <v>1</v>
      </c>
      <c r="C140" s="69" t="s">
        <v>538</v>
      </c>
      <c r="D140" s="69"/>
      <c r="E140" s="69"/>
      <c r="F140" s="69"/>
      <c r="G140" s="69"/>
      <c r="H140" s="69"/>
      <c r="I140" s="69"/>
      <c r="J140" s="69"/>
      <c r="K140" s="69"/>
      <c r="L140" s="69"/>
      <c r="M140" s="69"/>
      <c r="N140" s="69"/>
      <c r="O140" s="69"/>
      <c r="P140" s="69"/>
      <c r="Q140" s="69"/>
      <c r="R140" s="69"/>
    </row>
    <row r="141" spans="1:18" ht="40.5" customHeight="1" x14ac:dyDescent="0.3">
      <c r="C141" s="2" t="s">
        <v>539</v>
      </c>
      <c r="D141" s="2"/>
      <c r="E141" s="2"/>
      <c r="F141" s="2"/>
      <c r="G141" s="2"/>
      <c r="H141" s="2"/>
      <c r="I141" s="2"/>
      <c r="J141" s="2"/>
      <c r="K141" s="2"/>
      <c r="L141" s="2"/>
      <c r="M141" s="2"/>
      <c r="N141" s="2"/>
      <c r="O141" s="2"/>
      <c r="P141" s="2"/>
      <c r="Q141" s="2"/>
      <c r="R141" s="2"/>
    </row>
    <row r="142" spans="1:18" ht="13.5" customHeight="1" x14ac:dyDescent="0.3">
      <c r="B142" s="37">
        <v>2</v>
      </c>
      <c r="C142" s="69" t="s">
        <v>540</v>
      </c>
      <c r="D142" s="69"/>
      <c r="E142" s="69"/>
      <c r="F142" s="69"/>
      <c r="G142" s="69"/>
      <c r="H142" s="69"/>
      <c r="I142" s="69"/>
      <c r="J142" s="69"/>
      <c r="K142" s="69"/>
      <c r="L142" s="69"/>
      <c r="M142" s="69"/>
      <c r="N142" s="69"/>
      <c r="O142" s="69"/>
      <c r="P142" s="69"/>
      <c r="Q142" s="69"/>
      <c r="R142" s="69"/>
    </row>
    <row r="143" spans="1:18" ht="27" customHeight="1" x14ac:dyDescent="0.3">
      <c r="C143" s="2" t="s">
        <v>541</v>
      </c>
      <c r="D143" s="2"/>
      <c r="E143" s="2"/>
      <c r="F143" s="2"/>
      <c r="G143" s="2"/>
      <c r="H143" s="2"/>
      <c r="I143" s="2"/>
      <c r="J143" s="2"/>
      <c r="K143" s="2"/>
      <c r="L143" s="2"/>
      <c r="M143" s="2"/>
      <c r="N143" s="2"/>
      <c r="O143" s="2"/>
      <c r="P143" s="2"/>
      <c r="Q143" s="2"/>
      <c r="R143" s="2"/>
    </row>
    <row r="144" spans="1:18" ht="13.5" customHeight="1" x14ac:dyDescent="0.3">
      <c r="B144" s="37">
        <v>3</v>
      </c>
      <c r="C144" s="69" t="s">
        <v>542</v>
      </c>
      <c r="D144" s="69"/>
      <c r="E144" s="69"/>
      <c r="F144" s="69"/>
      <c r="G144" s="69"/>
      <c r="H144" s="69"/>
      <c r="I144" s="69"/>
      <c r="J144" s="69"/>
      <c r="K144" s="69"/>
      <c r="L144" s="69"/>
      <c r="M144" s="69"/>
      <c r="N144" s="69"/>
      <c r="O144" s="69"/>
      <c r="P144" s="69"/>
      <c r="Q144" s="69"/>
      <c r="R144" s="69"/>
    </row>
    <row r="145" spans="1:18" ht="24" customHeight="1" x14ac:dyDescent="0.3">
      <c r="C145" s="2" t="str">
        <f>"As on 31.03.2026 there is a deficit in the investment of the following funds, aggregating Rs. "&amp;IF(ABS(P152)&gt;=100000,INT(ABS(P152)/100000)&amp;","&amp;TEXT(MOD(INT(ABS(P152)/1000),100),"00")&amp;","&amp;TEXT(MOD(ABS(P152),1000),"000"),TEXT(ABS(P152),"##,##0"))&amp;"/-. The details are given below:"</f>
        <v>As on 31.03.2026 there is a deficit in the investment of the following funds, aggregating Rs. 10,54,527/-. The details are given below:</v>
      </c>
      <c r="D145" s="2"/>
      <c r="E145" s="2"/>
      <c r="F145" s="2"/>
      <c r="G145" s="2"/>
      <c r="H145" s="2"/>
      <c r="I145" s="2"/>
      <c r="J145" s="2"/>
      <c r="K145" s="2"/>
      <c r="L145" s="2"/>
      <c r="M145" s="2"/>
      <c r="N145" s="2"/>
      <c r="O145" s="2"/>
      <c r="P145" s="2"/>
      <c r="Q145" s="2"/>
      <c r="R145" s="2"/>
    </row>
    <row r="146" spans="1:18" ht="27" customHeight="1" x14ac:dyDescent="0.3">
      <c r="A146" s="65" t="s">
        <v>487</v>
      </c>
      <c r="B146" s="65"/>
      <c r="C146" s="65" t="s">
        <v>405</v>
      </c>
      <c r="D146" s="65"/>
      <c r="E146" s="65"/>
      <c r="F146" s="65"/>
      <c r="G146" s="65"/>
      <c r="H146" s="65"/>
      <c r="I146" s="65"/>
      <c r="J146" s="65" t="s">
        <v>543</v>
      </c>
      <c r="K146" s="65"/>
      <c r="L146" s="65"/>
      <c r="M146" s="65" t="s">
        <v>544</v>
      </c>
      <c r="N146" s="65"/>
      <c r="O146" s="65"/>
      <c r="P146" s="65" t="s">
        <v>545</v>
      </c>
      <c r="Q146" s="65"/>
      <c r="R146" s="65"/>
    </row>
    <row r="147" spans="1:18" ht="15" customHeight="1" x14ac:dyDescent="0.3">
      <c r="A147" s="75">
        <v>1</v>
      </c>
      <c r="B147" s="75"/>
      <c r="C147" s="76" t="s">
        <v>546</v>
      </c>
      <c r="D147" s="76"/>
      <c r="E147" s="76"/>
      <c r="F147" s="76"/>
      <c r="G147" s="76"/>
      <c r="H147" s="76"/>
      <c r="I147" s="76"/>
      <c r="J147" s="77">
        <v>13830</v>
      </c>
      <c r="K147" s="77"/>
      <c r="L147" s="77"/>
      <c r="M147" s="77">
        <v>0</v>
      </c>
      <c r="N147" s="77"/>
      <c r="O147" s="77"/>
      <c r="P147" s="78">
        <f t="shared" ref="P147:P152" si="2">+J147-M147</f>
        <v>13830</v>
      </c>
      <c r="Q147" s="78"/>
      <c r="R147" s="78"/>
    </row>
    <row r="148" spans="1:18" ht="15" customHeight="1" x14ac:dyDescent="0.3">
      <c r="A148" s="75">
        <v>2</v>
      </c>
      <c r="B148" s="75"/>
      <c r="C148" s="76" t="s">
        <v>547</v>
      </c>
      <c r="D148" s="76"/>
      <c r="E148" s="76"/>
      <c r="F148" s="76"/>
      <c r="G148" s="76"/>
      <c r="H148" s="76"/>
      <c r="I148" s="76"/>
      <c r="J148" s="77">
        <v>520756</v>
      </c>
      <c r="K148" s="77"/>
      <c r="L148" s="77"/>
      <c r="M148" s="77">
        <v>513214</v>
      </c>
      <c r="N148" s="77"/>
      <c r="O148" s="77"/>
      <c r="P148" s="78">
        <f t="shared" si="2"/>
        <v>7542</v>
      </c>
      <c r="Q148" s="78"/>
      <c r="R148" s="78"/>
    </row>
    <row r="149" spans="1:18" ht="15" customHeight="1" x14ac:dyDescent="0.3">
      <c r="A149" s="75">
        <v>3</v>
      </c>
      <c r="B149" s="75"/>
      <c r="C149" s="76" t="s">
        <v>548</v>
      </c>
      <c r="D149" s="76"/>
      <c r="E149" s="76"/>
      <c r="F149" s="76"/>
      <c r="G149" s="76"/>
      <c r="H149" s="76"/>
      <c r="I149" s="76"/>
      <c r="J149" s="77">
        <v>363186</v>
      </c>
      <c r="K149" s="77"/>
      <c r="L149" s="77"/>
      <c r="M149" s="77">
        <v>384912</v>
      </c>
      <c r="N149" s="77"/>
      <c r="O149" s="77"/>
      <c r="P149" s="78">
        <f t="shared" si="2"/>
        <v>-21726</v>
      </c>
      <c r="Q149" s="78"/>
      <c r="R149" s="78"/>
    </row>
    <row r="150" spans="1:18" ht="15" customHeight="1" x14ac:dyDescent="0.3">
      <c r="A150" s="75">
        <v>4</v>
      </c>
      <c r="B150" s="75"/>
      <c r="C150" s="76" t="s">
        <v>549</v>
      </c>
      <c r="D150" s="76"/>
      <c r="E150" s="76"/>
      <c r="F150" s="76"/>
      <c r="G150" s="76"/>
      <c r="H150" s="76"/>
      <c r="I150" s="76"/>
      <c r="J150" s="77">
        <v>1126116.82</v>
      </c>
      <c r="K150" s="77"/>
      <c r="L150" s="77"/>
      <c r="M150" s="77">
        <v>84236</v>
      </c>
      <c r="N150" s="77"/>
      <c r="O150" s="77"/>
      <c r="P150" s="78">
        <f t="shared" si="2"/>
        <v>1041880.8200000001</v>
      </c>
      <c r="Q150" s="78"/>
      <c r="R150" s="78"/>
    </row>
    <row r="151" spans="1:18" ht="15" customHeight="1" x14ac:dyDescent="0.3">
      <c r="A151" s="75">
        <v>5</v>
      </c>
      <c r="B151" s="75"/>
      <c r="C151" s="76" t="s">
        <v>550</v>
      </c>
      <c r="D151" s="76"/>
      <c r="E151" s="76"/>
      <c r="F151" s="76"/>
      <c r="G151" s="76"/>
      <c r="H151" s="76"/>
      <c r="I151" s="76"/>
      <c r="J151" s="77">
        <v>13000</v>
      </c>
      <c r="K151" s="77"/>
      <c r="L151" s="77"/>
      <c r="M151" s="77">
        <v>0</v>
      </c>
      <c r="N151" s="77"/>
      <c r="O151" s="77"/>
      <c r="P151" s="78">
        <f t="shared" si="2"/>
        <v>13000</v>
      </c>
      <c r="Q151" s="78"/>
      <c r="R151" s="78"/>
    </row>
    <row r="152" spans="1:18" ht="15" customHeight="1" x14ac:dyDescent="0.3">
      <c r="A152" s="82"/>
      <c r="B152" s="82"/>
      <c r="C152" s="82"/>
      <c r="D152" s="82"/>
      <c r="E152" s="82"/>
      <c r="F152" s="82"/>
      <c r="G152" s="82"/>
      <c r="H152" s="82"/>
      <c r="I152" s="82"/>
      <c r="J152" s="80">
        <f>SUM(J147:L151)</f>
        <v>2036888.82</v>
      </c>
      <c r="K152" s="80"/>
      <c r="L152" s="80"/>
      <c r="M152" s="80">
        <f>SUM(M147:O151)</f>
        <v>982362</v>
      </c>
      <c r="N152" s="80"/>
      <c r="O152" s="80"/>
      <c r="P152" s="80">
        <f t="shared" si="2"/>
        <v>1054526.82</v>
      </c>
      <c r="Q152" s="80"/>
      <c r="R152" s="80"/>
    </row>
    <row r="153" spans="1:18" ht="40.5" customHeight="1" x14ac:dyDescent="0.3">
      <c r="B153" s="31" t="s">
        <v>551</v>
      </c>
      <c r="C153" s="2" t="s">
        <v>552</v>
      </c>
      <c r="D153" s="2"/>
      <c r="E153" s="2"/>
      <c r="F153" s="2"/>
      <c r="G153" s="2"/>
      <c r="H153" s="2"/>
      <c r="I153" s="2"/>
      <c r="J153" s="2"/>
      <c r="K153" s="2"/>
      <c r="L153" s="2"/>
      <c r="M153" s="2"/>
      <c r="N153" s="2"/>
      <c r="O153" s="2"/>
      <c r="P153" s="2"/>
      <c r="Q153" s="2"/>
      <c r="R153" s="2"/>
    </row>
    <row r="154" spans="1:18" ht="48.75" customHeight="1" x14ac:dyDescent="0.3">
      <c r="B154" s="31" t="s">
        <v>553</v>
      </c>
      <c r="C154" s="2" t="s">
        <v>554</v>
      </c>
      <c r="D154" s="2"/>
      <c r="E154" s="2"/>
      <c r="F154" s="2"/>
      <c r="G154" s="2"/>
      <c r="H154" s="2"/>
      <c r="I154" s="2"/>
      <c r="J154" s="2"/>
      <c r="K154" s="2"/>
      <c r="L154" s="2"/>
      <c r="M154" s="2"/>
      <c r="N154" s="2"/>
      <c r="O154" s="2"/>
      <c r="P154" s="2"/>
      <c r="Q154" s="2"/>
      <c r="R154" s="2"/>
    </row>
    <row r="155" spans="1:18" ht="36" customHeight="1" x14ac:dyDescent="0.3">
      <c r="B155" s="31" t="s">
        <v>555</v>
      </c>
      <c r="C155" s="2" t="s">
        <v>556</v>
      </c>
      <c r="D155" s="2"/>
      <c r="E155" s="2"/>
      <c r="F155" s="2"/>
      <c r="G155" s="2"/>
      <c r="H155" s="2"/>
      <c r="I155" s="2"/>
      <c r="J155" s="2"/>
      <c r="K155" s="2"/>
      <c r="L155" s="2"/>
      <c r="M155" s="2"/>
      <c r="N155" s="2"/>
      <c r="O155" s="2"/>
      <c r="P155" s="2"/>
      <c r="Q155" s="2"/>
      <c r="R155" s="2"/>
    </row>
    <row r="157" spans="1:18" ht="13.5" customHeight="1" x14ac:dyDescent="0.3">
      <c r="B157" s="37">
        <v>4</v>
      </c>
      <c r="C157" s="69" t="s">
        <v>557</v>
      </c>
      <c r="D157" s="69"/>
      <c r="E157" s="69"/>
      <c r="F157" s="69"/>
      <c r="G157" s="69"/>
      <c r="H157" s="69"/>
      <c r="I157" s="69"/>
      <c r="J157" s="69"/>
      <c r="K157" s="69"/>
      <c r="L157" s="69"/>
      <c r="M157" s="69"/>
      <c r="N157" s="69"/>
      <c r="O157" s="69"/>
      <c r="P157" s="69"/>
      <c r="Q157" s="69"/>
      <c r="R157" s="69"/>
    </row>
    <row r="158" spans="1:18" ht="13.5" customHeight="1" x14ac:dyDescent="0.3">
      <c r="C158" s="2" t="s">
        <v>558</v>
      </c>
      <c r="D158" s="2"/>
      <c r="E158" s="2"/>
      <c r="F158" s="2"/>
      <c r="G158" s="2"/>
      <c r="H158" s="2"/>
      <c r="I158" s="2"/>
      <c r="J158" s="2"/>
      <c r="K158" s="2"/>
      <c r="L158" s="2"/>
      <c r="M158" s="2"/>
      <c r="N158" s="2"/>
      <c r="O158" s="2"/>
      <c r="P158" s="2"/>
      <c r="Q158" s="2"/>
      <c r="R158" s="2"/>
    </row>
    <row r="159" spans="1:18" ht="25.5" customHeight="1" x14ac:dyDescent="0.3">
      <c r="C159" s="65" t="s">
        <v>405</v>
      </c>
      <c r="D159" s="65"/>
      <c r="E159" s="65"/>
      <c r="F159" s="65"/>
      <c r="G159" s="65"/>
      <c r="H159" s="65"/>
      <c r="I159" s="65"/>
      <c r="J159" s="65" t="s">
        <v>559</v>
      </c>
      <c r="K159" s="65"/>
      <c r="L159" s="65"/>
      <c r="M159" s="65" t="s">
        <v>560</v>
      </c>
      <c r="N159" s="65"/>
      <c r="O159" s="65"/>
    </row>
    <row r="160" spans="1:18" ht="15" customHeight="1" x14ac:dyDescent="0.3">
      <c r="C160" s="76" t="s">
        <v>561</v>
      </c>
      <c r="D160" s="76"/>
      <c r="E160" s="76"/>
      <c r="F160" s="76"/>
      <c r="G160" s="76"/>
      <c r="H160" s="76"/>
      <c r="I160" s="76"/>
      <c r="J160" s="77">
        <v>2237.1</v>
      </c>
      <c r="K160" s="77"/>
      <c r="L160" s="77"/>
      <c r="M160" s="77">
        <v>2237.1</v>
      </c>
      <c r="N160" s="77"/>
      <c r="O160" s="77"/>
    </row>
    <row r="161" spans="2:18" ht="15" customHeight="1" x14ac:dyDescent="0.3">
      <c r="C161" s="76" t="s">
        <v>562</v>
      </c>
      <c r="D161" s="76"/>
      <c r="E161" s="76"/>
      <c r="F161" s="76"/>
      <c r="G161" s="76"/>
      <c r="H161" s="76"/>
      <c r="I161" s="76"/>
      <c r="J161" s="77">
        <v>0</v>
      </c>
      <c r="K161" s="77"/>
      <c r="L161" s="77"/>
      <c r="M161" s="77">
        <v>24106</v>
      </c>
      <c r="N161" s="77"/>
      <c r="O161" s="77"/>
    </row>
    <row r="162" spans="2:18" ht="15" customHeight="1" x14ac:dyDescent="0.3">
      <c r="C162" s="76" t="s">
        <v>563</v>
      </c>
      <c r="D162" s="76"/>
      <c r="E162" s="76"/>
      <c r="F162" s="76"/>
      <c r="G162" s="76"/>
      <c r="H162" s="76"/>
      <c r="I162" s="76"/>
      <c r="J162" s="77">
        <v>7222</v>
      </c>
      <c r="K162" s="77"/>
      <c r="L162" s="77"/>
      <c r="M162" s="77">
        <v>7222</v>
      </c>
      <c r="N162" s="77"/>
      <c r="O162" s="77"/>
    </row>
    <row r="163" spans="2:18" ht="15" customHeight="1" x14ac:dyDescent="0.3">
      <c r="C163" s="76" t="s">
        <v>564</v>
      </c>
      <c r="D163" s="76"/>
      <c r="E163" s="76"/>
      <c r="F163" s="76"/>
      <c r="G163" s="76"/>
      <c r="H163" s="76"/>
      <c r="I163" s="76"/>
      <c r="J163" s="77">
        <v>125000</v>
      </c>
      <c r="K163" s="77"/>
      <c r="L163" s="77"/>
      <c r="M163" s="77">
        <v>125000</v>
      </c>
      <c r="N163" s="77"/>
      <c r="O163" s="77"/>
    </row>
    <row r="164" spans="2:18" ht="15" customHeight="1" x14ac:dyDescent="0.3">
      <c r="C164" s="76" t="s">
        <v>565</v>
      </c>
      <c r="D164" s="76"/>
      <c r="E164" s="76"/>
      <c r="F164" s="76"/>
      <c r="G164" s="76"/>
      <c r="H164" s="76"/>
      <c r="I164" s="76"/>
      <c r="J164" s="77">
        <v>0</v>
      </c>
      <c r="K164" s="77"/>
      <c r="L164" s="77"/>
      <c r="M164" s="77">
        <v>30288</v>
      </c>
      <c r="N164" s="77"/>
      <c r="O164" s="77"/>
    </row>
    <row r="165" spans="2:18" ht="15" customHeight="1" x14ac:dyDescent="0.3">
      <c r="C165" s="76" t="s">
        <v>566</v>
      </c>
      <c r="D165" s="76"/>
      <c r="E165" s="76"/>
      <c r="F165" s="76"/>
      <c r="G165" s="76"/>
      <c r="H165" s="76"/>
      <c r="I165" s="76"/>
      <c r="J165" s="77">
        <v>35000</v>
      </c>
      <c r="K165" s="77"/>
      <c r="L165" s="77"/>
      <c r="M165" s="77">
        <v>8000</v>
      </c>
      <c r="N165" s="77"/>
      <c r="O165" s="77"/>
    </row>
    <row r="166" spans="2:18" ht="15" customHeight="1" x14ac:dyDescent="0.3">
      <c r="C166" s="76" t="s">
        <v>567</v>
      </c>
      <c r="D166" s="76"/>
      <c r="E166" s="76"/>
      <c r="F166" s="76"/>
      <c r="G166" s="76"/>
      <c r="H166" s="76"/>
      <c r="I166" s="76"/>
      <c r="J166" s="77">
        <v>90000</v>
      </c>
      <c r="K166" s="77"/>
      <c r="L166" s="77"/>
      <c r="M166" s="77">
        <v>150000</v>
      </c>
      <c r="N166" s="77"/>
      <c r="O166" s="77"/>
    </row>
    <row r="167" spans="2:18" ht="15" customHeight="1" x14ac:dyDescent="0.3">
      <c r="C167" s="76" t="s">
        <v>568</v>
      </c>
      <c r="D167" s="76"/>
      <c r="E167" s="76"/>
      <c r="F167" s="76"/>
      <c r="G167" s="76"/>
      <c r="H167" s="76"/>
      <c r="I167" s="76"/>
      <c r="J167" s="77">
        <v>9000</v>
      </c>
      <c r="K167" s="77"/>
      <c r="L167" s="77"/>
      <c r="M167" s="77">
        <v>13500</v>
      </c>
      <c r="N167" s="77"/>
      <c r="O167" s="77"/>
    </row>
    <row r="168" spans="2:18" ht="15" customHeight="1" x14ac:dyDescent="0.3">
      <c r="C168" s="76" t="s">
        <v>569</v>
      </c>
      <c r="D168" s="76"/>
      <c r="E168" s="76"/>
      <c r="F168" s="76"/>
      <c r="G168" s="76"/>
      <c r="H168" s="76"/>
      <c r="I168" s="76"/>
      <c r="J168" s="77">
        <v>38500</v>
      </c>
      <c r="K168" s="77"/>
      <c r="L168" s="77"/>
      <c r="M168" s="77">
        <v>34000</v>
      </c>
      <c r="N168" s="77"/>
      <c r="O168" s="77"/>
    </row>
    <row r="169" spans="2:18" ht="15" customHeight="1" x14ac:dyDescent="0.3">
      <c r="C169" s="76" t="s">
        <v>570</v>
      </c>
      <c r="D169" s="76"/>
      <c r="E169" s="76"/>
      <c r="F169" s="76"/>
      <c r="G169" s="76"/>
      <c r="H169" s="76"/>
      <c r="I169" s="76"/>
      <c r="J169" s="77">
        <v>5000</v>
      </c>
      <c r="K169" s="77"/>
      <c r="L169" s="77"/>
      <c r="M169" s="77">
        <v>5000</v>
      </c>
      <c r="N169" s="77"/>
      <c r="O169" s="77"/>
    </row>
    <row r="170" spans="2:18" ht="15" customHeight="1" x14ac:dyDescent="0.3">
      <c r="C170" s="76" t="s">
        <v>571</v>
      </c>
      <c r="D170" s="76"/>
      <c r="E170" s="76"/>
      <c r="F170" s="76"/>
      <c r="G170" s="76"/>
      <c r="H170" s="76"/>
      <c r="I170" s="76"/>
      <c r="J170" s="77">
        <v>14600</v>
      </c>
      <c r="K170" s="77"/>
      <c r="L170" s="77"/>
      <c r="M170" s="77">
        <v>7300</v>
      </c>
      <c r="N170" s="77"/>
      <c r="O170" s="77"/>
    </row>
    <row r="171" spans="2:18" ht="15" customHeight="1" x14ac:dyDescent="0.3">
      <c r="C171" s="76" t="s">
        <v>572</v>
      </c>
      <c r="D171" s="76"/>
      <c r="E171" s="76"/>
      <c r="F171" s="76"/>
      <c r="G171" s="76"/>
      <c r="H171" s="76"/>
      <c r="I171" s="76"/>
      <c r="J171" s="77">
        <v>3304</v>
      </c>
      <c r="K171" s="77"/>
      <c r="L171" s="77"/>
      <c r="M171" s="77">
        <v>1652</v>
      </c>
      <c r="N171" s="77"/>
      <c r="O171" s="77"/>
    </row>
    <row r="172" spans="2:18" ht="15" customHeight="1" x14ac:dyDescent="0.3">
      <c r="C172" s="83" t="s">
        <v>527</v>
      </c>
      <c r="D172" s="83"/>
      <c r="E172" s="83"/>
      <c r="F172" s="83"/>
      <c r="G172" s="83"/>
      <c r="H172" s="83"/>
      <c r="I172" s="83"/>
      <c r="J172" s="80">
        <f>SUM(J160:L171)</f>
        <v>329863.09999999998</v>
      </c>
      <c r="K172" s="80"/>
      <c r="L172" s="80"/>
      <c r="M172" s="80">
        <f>SUM(M160:O171)</f>
        <v>408305.1</v>
      </c>
      <c r="N172" s="80"/>
      <c r="O172" s="80"/>
    </row>
    <row r="174" spans="2:18" ht="13.5" customHeight="1" x14ac:dyDescent="0.3">
      <c r="B174" s="37">
        <v>5</v>
      </c>
      <c r="C174" s="69" t="s">
        <v>562</v>
      </c>
      <c r="D174" s="69"/>
      <c r="E174" s="69"/>
      <c r="F174" s="69"/>
      <c r="G174" s="69"/>
      <c r="H174" s="69"/>
      <c r="I174" s="69"/>
      <c r="J174" s="69"/>
      <c r="K174" s="69"/>
      <c r="L174" s="69"/>
      <c r="M174" s="69"/>
      <c r="N174" s="69"/>
      <c r="O174" s="69"/>
      <c r="P174" s="69"/>
      <c r="Q174" s="69"/>
      <c r="R174" s="69"/>
    </row>
    <row r="175" spans="2:18" ht="40.5" customHeight="1" x14ac:dyDescent="0.3">
      <c r="C175" s="2" t="s">
        <v>573</v>
      </c>
      <c r="D175" s="2"/>
      <c r="E175" s="2"/>
      <c r="F175" s="2"/>
      <c r="G175" s="2"/>
      <c r="H175" s="2"/>
      <c r="I175" s="2"/>
      <c r="J175" s="2"/>
      <c r="K175" s="2"/>
      <c r="L175" s="2"/>
      <c r="M175" s="2"/>
      <c r="N175" s="2"/>
      <c r="O175" s="2"/>
      <c r="P175" s="2"/>
      <c r="Q175" s="2"/>
      <c r="R175" s="2"/>
    </row>
    <row r="176" spans="2:18" ht="13.5" customHeight="1" x14ac:dyDescent="0.3">
      <c r="B176" s="37">
        <v>6</v>
      </c>
      <c r="C176" s="69" t="s">
        <v>574</v>
      </c>
      <c r="D176" s="69"/>
      <c r="E176" s="69"/>
      <c r="F176" s="69"/>
      <c r="G176" s="69"/>
      <c r="H176" s="69"/>
      <c r="I176" s="69"/>
      <c r="J176" s="69"/>
      <c r="K176" s="69"/>
      <c r="L176" s="69"/>
      <c r="M176" s="69"/>
      <c r="N176" s="69"/>
      <c r="O176" s="69"/>
      <c r="P176" s="69"/>
      <c r="Q176" s="69"/>
      <c r="R176" s="69"/>
    </row>
    <row r="177" spans="1:18" ht="40.5" customHeight="1" x14ac:dyDescent="0.3">
      <c r="C177" s="2" t="s">
        <v>575</v>
      </c>
      <c r="D177" s="2"/>
      <c r="E177" s="2"/>
      <c r="F177" s="2"/>
      <c r="G177" s="2"/>
      <c r="H177" s="2"/>
      <c r="I177" s="2"/>
      <c r="J177" s="2"/>
      <c r="K177" s="2"/>
      <c r="L177" s="2"/>
      <c r="M177" s="2"/>
      <c r="N177" s="2"/>
      <c r="O177" s="2"/>
      <c r="P177" s="2"/>
      <c r="Q177" s="2"/>
      <c r="R177" s="2"/>
    </row>
    <row r="178" spans="1:18" ht="13.5" customHeight="1" x14ac:dyDescent="0.3">
      <c r="B178" s="37">
        <v>7</v>
      </c>
      <c r="C178" s="69" t="s">
        <v>576</v>
      </c>
      <c r="D178" s="69"/>
      <c r="E178" s="69"/>
      <c r="F178" s="69"/>
      <c r="G178" s="69"/>
      <c r="H178" s="69"/>
      <c r="I178" s="69"/>
      <c r="J178" s="69"/>
      <c r="K178" s="69"/>
      <c r="L178" s="69"/>
      <c r="M178" s="69"/>
      <c r="N178" s="69"/>
      <c r="O178" s="69"/>
      <c r="P178" s="69"/>
      <c r="Q178" s="69"/>
      <c r="R178" s="69"/>
    </row>
    <row r="179" spans="1:18" ht="40.5" customHeight="1" x14ac:dyDescent="0.3">
      <c r="C179" s="2" t="s">
        <v>577</v>
      </c>
      <c r="D179" s="2"/>
      <c r="E179" s="2"/>
      <c r="F179" s="2"/>
      <c r="G179" s="2"/>
      <c r="H179" s="2"/>
      <c r="I179" s="2"/>
      <c r="J179" s="2"/>
      <c r="K179" s="2"/>
      <c r="L179" s="2"/>
      <c r="M179" s="2"/>
      <c r="N179" s="2"/>
      <c r="O179" s="2"/>
      <c r="P179" s="2"/>
      <c r="Q179" s="2"/>
      <c r="R179" s="2"/>
    </row>
    <row r="181" spans="1:18" ht="15" customHeight="1" x14ac:dyDescent="0.3">
      <c r="A181" s="55" t="s">
        <v>578</v>
      </c>
      <c r="B181" s="55"/>
      <c r="C181" s="55"/>
      <c r="D181" s="55"/>
      <c r="E181" s="55"/>
      <c r="F181" s="55"/>
      <c r="G181" s="55"/>
      <c r="H181" s="55"/>
      <c r="I181" s="55"/>
      <c r="J181" s="55"/>
      <c r="K181" s="55"/>
      <c r="L181" s="55"/>
      <c r="M181" s="55"/>
      <c r="N181" s="55"/>
      <c r="O181" s="55"/>
      <c r="P181" s="55"/>
      <c r="Q181" s="55"/>
      <c r="R181" s="55"/>
    </row>
    <row r="182" spans="1:18" ht="13.5" customHeight="1" x14ac:dyDescent="0.3">
      <c r="B182" s="37">
        <v>1</v>
      </c>
      <c r="C182" s="69" t="s">
        <v>579</v>
      </c>
      <c r="D182" s="69"/>
      <c r="E182" s="69"/>
      <c r="F182" s="69"/>
      <c r="G182" s="69"/>
      <c r="H182" s="69"/>
      <c r="I182" s="69"/>
      <c r="J182" s="69"/>
      <c r="K182" s="69"/>
      <c r="L182" s="69"/>
      <c r="M182" s="69"/>
      <c r="N182" s="69"/>
      <c r="O182" s="69"/>
      <c r="P182" s="69"/>
      <c r="Q182" s="69"/>
      <c r="R182" s="69"/>
    </row>
    <row r="183" spans="1:18" ht="27" customHeight="1" x14ac:dyDescent="0.3">
      <c r="B183" s="31" t="s">
        <v>580</v>
      </c>
      <c r="C183" s="2" t="s">
        <v>581</v>
      </c>
      <c r="D183" s="2"/>
      <c r="E183" s="2"/>
      <c r="F183" s="2"/>
      <c r="G183" s="2"/>
      <c r="H183" s="2"/>
      <c r="I183" s="2"/>
      <c r="J183" s="2"/>
      <c r="K183" s="2"/>
      <c r="L183" s="2"/>
      <c r="M183" s="2"/>
      <c r="N183" s="2"/>
      <c r="O183" s="2"/>
      <c r="P183" s="2"/>
      <c r="Q183" s="2"/>
      <c r="R183" s="2"/>
    </row>
    <row r="184" spans="1:18" ht="40.5" customHeight="1" x14ac:dyDescent="0.3">
      <c r="B184" s="31" t="s">
        <v>582</v>
      </c>
      <c r="C184" s="2" t="s">
        <v>583</v>
      </c>
      <c r="D184" s="2"/>
      <c r="E184" s="2"/>
      <c r="F184" s="2"/>
      <c r="G184" s="2"/>
      <c r="H184" s="2"/>
      <c r="I184" s="2"/>
      <c r="J184" s="2"/>
      <c r="K184" s="2"/>
      <c r="L184" s="2"/>
      <c r="M184" s="2"/>
      <c r="N184" s="2"/>
      <c r="O184" s="2"/>
      <c r="P184" s="2"/>
      <c r="Q184" s="2"/>
      <c r="R184" s="2"/>
    </row>
    <row r="185" spans="1:18" ht="13.5" customHeight="1" x14ac:dyDescent="0.3">
      <c r="B185" s="37">
        <v>2</v>
      </c>
      <c r="C185" s="69" t="s">
        <v>584</v>
      </c>
      <c r="D185" s="69"/>
      <c r="E185" s="69"/>
      <c r="F185" s="69"/>
      <c r="G185" s="69"/>
      <c r="H185" s="69"/>
      <c r="I185" s="69"/>
      <c r="J185" s="69"/>
      <c r="K185" s="69"/>
      <c r="L185" s="69"/>
      <c r="M185" s="69"/>
      <c r="N185" s="69"/>
      <c r="O185" s="69"/>
      <c r="P185" s="69"/>
      <c r="Q185" s="69"/>
      <c r="R185" s="69"/>
    </row>
    <row r="186" spans="1:18" ht="13.5" customHeight="1" x14ac:dyDescent="0.3">
      <c r="B186" s="31" t="s">
        <v>580</v>
      </c>
      <c r="C186" s="2" t="s">
        <v>585</v>
      </c>
      <c r="D186" s="2"/>
      <c r="E186" s="2"/>
      <c r="F186" s="2"/>
      <c r="G186" s="2"/>
      <c r="H186" s="2"/>
      <c r="I186" s="2"/>
      <c r="J186" s="2"/>
      <c r="K186" s="2"/>
      <c r="L186" s="2"/>
      <c r="M186" s="2"/>
      <c r="N186" s="2"/>
      <c r="O186" s="2"/>
      <c r="P186" s="2"/>
      <c r="Q186" s="2"/>
      <c r="R186" s="2"/>
    </row>
    <row r="187" spans="1:18" ht="25.5" customHeight="1" x14ac:dyDescent="0.3">
      <c r="C187" s="32" t="s">
        <v>487</v>
      </c>
      <c r="D187" s="65" t="s">
        <v>586</v>
      </c>
      <c r="E187" s="65"/>
      <c r="F187" s="65"/>
      <c r="G187" s="65"/>
      <c r="H187" s="65"/>
      <c r="I187" s="65"/>
      <c r="J187" s="65" t="s">
        <v>559</v>
      </c>
      <c r="K187" s="65"/>
      <c r="L187" s="65"/>
      <c r="M187" s="65" t="s">
        <v>560</v>
      </c>
      <c r="N187" s="65"/>
      <c r="O187" s="65"/>
    </row>
    <row r="188" spans="1:18" ht="15" customHeight="1" x14ac:dyDescent="0.3">
      <c r="C188" s="34">
        <v>1</v>
      </c>
      <c r="D188" s="76" t="s">
        <v>587</v>
      </c>
      <c r="E188" s="76"/>
      <c r="F188" s="76"/>
      <c r="G188" s="76"/>
      <c r="H188" s="76"/>
      <c r="I188" s="76"/>
      <c r="J188" s="77">
        <v>1646</v>
      </c>
      <c r="K188" s="77"/>
      <c r="L188" s="77"/>
      <c r="M188" s="77">
        <v>1646</v>
      </c>
      <c r="N188" s="77"/>
      <c r="O188" s="77"/>
    </row>
    <row r="189" spans="1:18" ht="15" customHeight="1" x14ac:dyDescent="0.3">
      <c r="C189" s="34">
        <v>2</v>
      </c>
      <c r="D189" s="76" t="s">
        <v>588</v>
      </c>
      <c r="E189" s="76"/>
      <c r="F189" s="76"/>
      <c r="G189" s="76"/>
      <c r="H189" s="76"/>
      <c r="I189" s="76"/>
      <c r="J189" s="77">
        <v>20234</v>
      </c>
      <c r="K189" s="77"/>
      <c r="L189" s="77"/>
      <c r="M189" s="77">
        <v>20234</v>
      </c>
      <c r="N189" s="77"/>
      <c r="O189" s="77"/>
    </row>
    <row r="190" spans="1:18" ht="15" customHeight="1" x14ac:dyDescent="0.3">
      <c r="C190" s="34">
        <v>3</v>
      </c>
      <c r="D190" s="76" t="s">
        <v>589</v>
      </c>
      <c r="E190" s="76"/>
      <c r="F190" s="76"/>
      <c r="G190" s="76"/>
      <c r="H190" s="76"/>
      <c r="I190" s="76"/>
      <c r="J190" s="77">
        <v>588837.80000000005</v>
      </c>
      <c r="K190" s="77"/>
      <c r="L190" s="77"/>
      <c r="M190" s="77">
        <v>1011143.8</v>
      </c>
      <c r="N190" s="77"/>
      <c r="O190" s="77"/>
    </row>
    <row r="191" spans="1:18" ht="15" customHeight="1" x14ac:dyDescent="0.3">
      <c r="C191" s="34">
        <v>4</v>
      </c>
      <c r="D191" s="76" t="s">
        <v>590</v>
      </c>
      <c r="E191" s="76"/>
      <c r="F191" s="76"/>
      <c r="G191" s="76"/>
      <c r="H191" s="76"/>
      <c r="I191" s="76"/>
      <c r="J191" s="77">
        <v>8889.64</v>
      </c>
      <c r="K191" s="77"/>
      <c r="L191" s="77"/>
      <c r="M191" s="77">
        <v>8889.64</v>
      </c>
      <c r="N191" s="77"/>
      <c r="O191" s="77"/>
    </row>
    <row r="192" spans="1:18" ht="15" customHeight="1" x14ac:dyDescent="0.3">
      <c r="C192" s="82"/>
      <c r="D192" s="82"/>
      <c r="E192" s="82"/>
      <c r="F192" s="82"/>
      <c r="G192" s="82"/>
      <c r="H192" s="82"/>
      <c r="I192" s="82"/>
      <c r="J192" s="80">
        <f>SUM(J188:L191)</f>
        <v>619607.44000000006</v>
      </c>
      <c r="K192" s="80"/>
      <c r="L192" s="80"/>
      <c r="M192" s="80">
        <f>SUM(M188:O191)</f>
        <v>1041913.4400000001</v>
      </c>
      <c r="N192" s="80"/>
      <c r="O192" s="80"/>
    </row>
    <row r="194" spans="2:18" ht="67.5" customHeight="1" x14ac:dyDescent="0.3">
      <c r="B194" s="31" t="s">
        <v>582</v>
      </c>
      <c r="C194" s="2" t="s">
        <v>591</v>
      </c>
      <c r="D194" s="2"/>
      <c r="E194" s="2"/>
      <c r="F194" s="2"/>
      <c r="G194" s="2"/>
      <c r="H194" s="2"/>
      <c r="I194" s="2"/>
      <c r="J194" s="2"/>
      <c r="K194" s="2"/>
      <c r="L194" s="2"/>
      <c r="M194" s="2"/>
      <c r="N194" s="2"/>
      <c r="O194" s="2"/>
      <c r="P194" s="2"/>
      <c r="Q194" s="2"/>
      <c r="R194" s="2"/>
    </row>
    <row r="195" spans="2:18" ht="40.5" customHeight="1" x14ac:dyDescent="0.3">
      <c r="B195" s="31" t="s">
        <v>592</v>
      </c>
      <c r="C195" s="2" t="s">
        <v>593</v>
      </c>
      <c r="D195" s="2"/>
      <c r="E195" s="2"/>
      <c r="F195" s="2"/>
      <c r="G195" s="2"/>
      <c r="H195" s="2"/>
      <c r="I195" s="2"/>
      <c r="J195" s="2"/>
      <c r="K195" s="2"/>
      <c r="L195" s="2"/>
      <c r="M195" s="2"/>
      <c r="N195" s="2"/>
      <c r="O195" s="2"/>
      <c r="P195" s="2"/>
      <c r="Q195" s="2"/>
      <c r="R195" s="2"/>
    </row>
    <row r="196" spans="2:18" ht="48.75" customHeight="1" x14ac:dyDescent="0.3">
      <c r="B196" s="31" t="s">
        <v>594</v>
      </c>
      <c r="C196" s="2" t="s">
        <v>595</v>
      </c>
      <c r="D196" s="2"/>
      <c r="E196" s="2"/>
      <c r="F196" s="2"/>
      <c r="G196" s="2"/>
      <c r="H196" s="2"/>
      <c r="I196" s="2"/>
      <c r="J196" s="2"/>
      <c r="K196" s="2"/>
      <c r="L196" s="2"/>
      <c r="M196" s="2"/>
      <c r="N196" s="2"/>
      <c r="O196" s="2"/>
      <c r="P196" s="2"/>
      <c r="Q196" s="2"/>
      <c r="R196" s="2"/>
    </row>
    <row r="198" spans="2:18" ht="13.5" customHeight="1" x14ac:dyDescent="0.3">
      <c r="B198" s="37">
        <v>3</v>
      </c>
      <c r="C198" s="69" t="s">
        <v>596</v>
      </c>
      <c r="D198" s="69"/>
      <c r="E198" s="69"/>
      <c r="F198" s="69"/>
      <c r="G198" s="69"/>
      <c r="H198" s="69"/>
      <c r="I198" s="69"/>
      <c r="J198" s="69"/>
      <c r="K198" s="69"/>
      <c r="L198" s="69"/>
      <c r="M198" s="69"/>
      <c r="N198" s="69"/>
      <c r="O198" s="69"/>
      <c r="P198" s="69"/>
      <c r="Q198" s="69"/>
      <c r="R198" s="69"/>
    </row>
    <row r="199" spans="2:18" ht="13.5" customHeight="1" x14ac:dyDescent="0.3">
      <c r="C199" s="2" t="s">
        <v>597</v>
      </c>
      <c r="D199" s="2"/>
      <c r="E199" s="2"/>
      <c r="F199" s="2"/>
      <c r="G199" s="2"/>
      <c r="H199" s="2"/>
      <c r="I199" s="2"/>
      <c r="J199" s="2"/>
      <c r="K199" s="2"/>
      <c r="L199" s="2"/>
      <c r="M199" s="2"/>
      <c r="N199" s="2"/>
      <c r="O199" s="2"/>
      <c r="P199" s="2"/>
      <c r="Q199" s="2"/>
      <c r="R199" s="2"/>
    </row>
    <row r="200" spans="2:18" ht="27" customHeight="1" x14ac:dyDescent="0.3">
      <c r="C200" s="65" t="s">
        <v>405</v>
      </c>
      <c r="D200" s="65"/>
      <c r="E200" s="65"/>
      <c r="F200" s="65"/>
      <c r="G200" s="65"/>
      <c r="H200" s="65"/>
      <c r="I200" s="65"/>
      <c r="J200" s="65" t="s">
        <v>518</v>
      </c>
      <c r="K200" s="65"/>
      <c r="L200" s="65"/>
      <c r="M200" s="65" t="s">
        <v>519</v>
      </c>
      <c r="N200" s="65"/>
      <c r="O200" s="65"/>
      <c r="P200" s="65" t="s">
        <v>520</v>
      </c>
      <c r="Q200" s="65"/>
      <c r="R200" s="65"/>
    </row>
    <row r="201" spans="2:18" ht="15" customHeight="1" x14ac:dyDescent="0.3">
      <c r="C201" s="76" t="s">
        <v>598</v>
      </c>
      <c r="D201" s="76"/>
      <c r="E201" s="76"/>
      <c r="F201" s="76"/>
      <c r="G201" s="76"/>
      <c r="H201" s="76"/>
      <c r="I201" s="76"/>
      <c r="J201" s="84">
        <v>898126</v>
      </c>
      <c r="K201" s="84"/>
      <c r="L201" s="84"/>
      <c r="M201" s="84">
        <v>898126</v>
      </c>
      <c r="N201" s="84"/>
      <c r="O201" s="84"/>
      <c r="P201" s="85">
        <f>+J201-M201</f>
        <v>0</v>
      </c>
      <c r="Q201" s="85"/>
      <c r="R201" s="85"/>
    </row>
    <row r="202" spans="2:18" ht="15" customHeight="1" x14ac:dyDescent="0.3">
      <c r="C202" s="76" t="s">
        <v>599</v>
      </c>
      <c r="D202" s="76"/>
      <c r="E202" s="76"/>
      <c r="F202" s="76"/>
      <c r="G202" s="76"/>
      <c r="H202" s="76"/>
      <c r="I202" s="76"/>
      <c r="J202" s="84">
        <v>100</v>
      </c>
      <c r="K202" s="84"/>
      <c r="L202" s="84"/>
      <c r="M202" s="84">
        <v>100</v>
      </c>
      <c r="N202" s="84"/>
      <c r="O202" s="84"/>
      <c r="P202" s="85">
        <f>+J202-M202</f>
        <v>0</v>
      </c>
      <c r="Q202" s="85"/>
      <c r="R202" s="85"/>
    </row>
    <row r="203" spans="2:18" ht="15" customHeight="1" x14ac:dyDescent="0.3">
      <c r="C203" s="76" t="s">
        <v>600</v>
      </c>
      <c r="D203" s="76"/>
      <c r="E203" s="76"/>
      <c r="F203" s="76"/>
      <c r="G203" s="76"/>
      <c r="H203" s="76"/>
      <c r="I203" s="76"/>
      <c r="J203" s="84">
        <v>56541</v>
      </c>
      <c r="K203" s="84"/>
      <c r="L203" s="84"/>
      <c r="M203" s="84">
        <v>6922</v>
      </c>
      <c r="N203" s="84"/>
      <c r="O203" s="84"/>
      <c r="P203" s="85">
        <f>+J203-M203</f>
        <v>49619</v>
      </c>
      <c r="Q203" s="85"/>
      <c r="R203" s="85"/>
    </row>
    <row r="204" spans="2:18" ht="15" customHeight="1" x14ac:dyDescent="0.3">
      <c r="C204" s="76" t="s">
        <v>601</v>
      </c>
      <c r="D204" s="76"/>
      <c r="E204" s="76"/>
      <c r="F204" s="76"/>
      <c r="G204" s="76"/>
      <c r="H204" s="76"/>
      <c r="I204" s="76"/>
      <c r="J204" s="84">
        <v>84236</v>
      </c>
      <c r="K204" s="84"/>
      <c r="L204" s="84"/>
      <c r="M204" s="84">
        <v>50000</v>
      </c>
      <c r="N204" s="84"/>
      <c r="O204" s="84"/>
      <c r="P204" s="85">
        <f>+J204-M204</f>
        <v>34236</v>
      </c>
      <c r="Q204" s="85"/>
      <c r="R204" s="85"/>
    </row>
    <row r="205" spans="2:18" ht="15" customHeight="1" x14ac:dyDescent="0.3">
      <c r="C205" s="83" t="s">
        <v>527</v>
      </c>
      <c r="D205" s="83"/>
      <c r="E205" s="83"/>
      <c r="F205" s="83"/>
      <c r="G205" s="83"/>
      <c r="H205" s="83"/>
      <c r="I205" s="83"/>
      <c r="J205" s="86">
        <f>SUM(J201:L204)</f>
        <v>1039003</v>
      </c>
      <c r="K205" s="86"/>
      <c r="L205" s="86"/>
      <c r="M205" s="86">
        <f>SUM(M201:O204)</f>
        <v>955148</v>
      </c>
      <c r="N205" s="86"/>
      <c r="O205" s="86"/>
      <c r="P205" s="86">
        <f>SUM(P201:R204)</f>
        <v>83855</v>
      </c>
      <c r="Q205" s="86"/>
      <c r="R205" s="86"/>
    </row>
    <row r="207" spans="2:18" ht="40.5" customHeight="1" x14ac:dyDescent="0.3">
      <c r="B207" s="31" t="s">
        <v>551</v>
      </c>
      <c r="C207" s="2" t="s">
        <v>602</v>
      </c>
      <c r="D207" s="2"/>
      <c r="E207" s="2"/>
      <c r="F207" s="2"/>
      <c r="G207" s="2"/>
      <c r="H207" s="2"/>
      <c r="I207" s="2"/>
      <c r="J207" s="2"/>
      <c r="K207" s="2"/>
      <c r="L207" s="2"/>
      <c r="M207" s="2"/>
      <c r="N207" s="2"/>
      <c r="O207" s="2"/>
      <c r="P207" s="2"/>
      <c r="Q207" s="2"/>
      <c r="R207" s="2"/>
    </row>
    <row r="208" spans="2:18" ht="54" customHeight="1" x14ac:dyDescent="0.3">
      <c r="B208" s="31" t="s">
        <v>553</v>
      </c>
      <c r="C208" s="2" t="s">
        <v>603</v>
      </c>
      <c r="D208" s="2"/>
      <c r="E208" s="2"/>
      <c r="F208" s="2"/>
      <c r="G208" s="2"/>
      <c r="H208" s="2"/>
      <c r="I208" s="2"/>
      <c r="J208" s="2"/>
      <c r="K208" s="2"/>
      <c r="L208" s="2"/>
      <c r="M208" s="2"/>
      <c r="N208" s="2"/>
      <c r="O208" s="2"/>
      <c r="P208" s="2"/>
      <c r="Q208" s="2"/>
      <c r="R208" s="2"/>
    </row>
    <row r="209" spans="2:18" ht="40.5" customHeight="1" x14ac:dyDescent="0.3">
      <c r="B209" s="31" t="s">
        <v>555</v>
      </c>
      <c r="C209" s="2" t="s">
        <v>604</v>
      </c>
      <c r="D209" s="2"/>
      <c r="E209" s="2"/>
      <c r="F209" s="2"/>
      <c r="G209" s="2"/>
      <c r="H209" s="2"/>
      <c r="I209" s="2"/>
      <c r="J209" s="2"/>
      <c r="K209" s="2"/>
      <c r="L209" s="2"/>
      <c r="M209" s="2"/>
      <c r="N209" s="2"/>
      <c r="O209" s="2"/>
      <c r="P209" s="2"/>
      <c r="Q209" s="2"/>
      <c r="R209" s="2"/>
    </row>
    <row r="211" spans="2:18" ht="13.5" customHeight="1" x14ac:dyDescent="0.3">
      <c r="B211" s="37">
        <v>4</v>
      </c>
      <c r="C211" s="69" t="s">
        <v>605</v>
      </c>
      <c r="D211" s="69"/>
      <c r="E211" s="69"/>
      <c r="F211" s="69"/>
      <c r="G211" s="69"/>
      <c r="H211" s="69"/>
      <c r="I211" s="69"/>
      <c r="J211" s="69"/>
      <c r="K211" s="69"/>
      <c r="L211" s="69"/>
      <c r="M211" s="69"/>
      <c r="N211" s="69"/>
      <c r="O211" s="69"/>
      <c r="P211" s="69"/>
      <c r="Q211" s="69"/>
      <c r="R211" s="69"/>
    </row>
    <row r="212" spans="2:18" ht="40.5" customHeight="1" x14ac:dyDescent="0.3">
      <c r="B212" s="31" t="s">
        <v>580</v>
      </c>
      <c r="C212" s="2" t="s">
        <v>606</v>
      </c>
      <c r="D212" s="2"/>
      <c r="E212" s="2"/>
      <c r="F212" s="2"/>
      <c r="G212" s="2"/>
      <c r="H212" s="2"/>
      <c r="I212" s="2"/>
      <c r="J212" s="2"/>
      <c r="K212" s="2"/>
      <c r="L212" s="2"/>
      <c r="M212" s="2"/>
      <c r="N212" s="2"/>
      <c r="O212" s="2"/>
      <c r="P212" s="2"/>
      <c r="Q212" s="2"/>
      <c r="R212" s="2"/>
    </row>
    <row r="213" spans="2:18" ht="54" customHeight="1" x14ac:dyDescent="0.3">
      <c r="B213" s="31" t="s">
        <v>582</v>
      </c>
      <c r="C213" s="2" t="s">
        <v>607</v>
      </c>
      <c r="D213" s="2"/>
      <c r="E213" s="2"/>
      <c r="F213" s="2"/>
      <c r="G213" s="2"/>
      <c r="H213" s="2"/>
      <c r="I213" s="2"/>
      <c r="J213" s="2"/>
      <c r="K213" s="2"/>
      <c r="L213" s="2"/>
      <c r="M213" s="2"/>
      <c r="N213" s="2"/>
      <c r="O213" s="2"/>
      <c r="P213" s="2"/>
      <c r="Q213" s="2"/>
      <c r="R213" s="2"/>
    </row>
    <row r="214" spans="2:18" ht="40.5" customHeight="1" x14ac:dyDescent="0.3">
      <c r="B214" s="31" t="s">
        <v>592</v>
      </c>
      <c r="C214" s="2" t="s">
        <v>608</v>
      </c>
      <c r="D214" s="2"/>
      <c r="E214" s="2"/>
      <c r="F214" s="2"/>
      <c r="G214" s="2"/>
      <c r="H214" s="2"/>
      <c r="I214" s="2"/>
      <c r="J214" s="2"/>
      <c r="K214" s="2"/>
      <c r="L214" s="2"/>
      <c r="M214" s="2"/>
      <c r="N214" s="2"/>
      <c r="O214" s="2"/>
      <c r="P214" s="2"/>
      <c r="Q214" s="2"/>
      <c r="R214" s="2"/>
    </row>
    <row r="215" spans="2:18" ht="40.5" customHeight="1" x14ac:dyDescent="0.3">
      <c r="B215" s="31" t="s">
        <v>594</v>
      </c>
      <c r="C215" s="2" t="s">
        <v>609</v>
      </c>
      <c r="D215" s="2"/>
      <c r="E215" s="2"/>
      <c r="F215" s="2"/>
      <c r="G215" s="2"/>
      <c r="H215" s="2"/>
      <c r="I215" s="2"/>
      <c r="J215" s="2"/>
      <c r="K215" s="2"/>
      <c r="L215" s="2"/>
      <c r="M215" s="2"/>
      <c r="N215" s="2"/>
      <c r="O215" s="2"/>
      <c r="P215" s="2"/>
      <c r="Q215" s="2"/>
      <c r="R215" s="2"/>
    </row>
    <row r="217" spans="2:18" ht="13.5" customHeight="1" x14ac:dyDescent="0.3">
      <c r="B217" s="37">
        <v>5</v>
      </c>
      <c r="C217" s="69" t="s">
        <v>610</v>
      </c>
      <c r="D217" s="69"/>
      <c r="E217" s="69"/>
      <c r="F217" s="69"/>
      <c r="G217" s="69"/>
      <c r="H217" s="69"/>
      <c r="I217" s="69"/>
      <c r="J217" s="69"/>
      <c r="K217" s="69"/>
      <c r="L217" s="69"/>
      <c r="M217" s="69"/>
      <c r="N217" s="69"/>
      <c r="O217" s="69"/>
      <c r="P217" s="69"/>
      <c r="Q217" s="69"/>
      <c r="R217" s="69"/>
    </row>
    <row r="218" spans="2:18" ht="27" customHeight="1" x14ac:dyDescent="0.3">
      <c r="C218" s="2" t="s">
        <v>611</v>
      </c>
      <c r="D218" s="2"/>
      <c r="E218" s="2"/>
      <c r="F218" s="2"/>
      <c r="G218" s="2"/>
      <c r="H218" s="2"/>
      <c r="I218" s="2"/>
      <c r="J218" s="2"/>
      <c r="K218" s="2"/>
      <c r="L218" s="2"/>
      <c r="M218" s="2"/>
      <c r="N218" s="2"/>
      <c r="O218" s="2"/>
      <c r="P218" s="2"/>
      <c r="Q218" s="2"/>
      <c r="R218" s="2"/>
    </row>
    <row r="219" spans="2:18" ht="30" customHeight="1" x14ac:dyDescent="0.3">
      <c r="C219" s="87" t="s">
        <v>612</v>
      </c>
      <c r="D219" s="87"/>
      <c r="E219" s="87"/>
      <c r="F219" s="87"/>
      <c r="G219" s="38" t="s">
        <v>613</v>
      </c>
      <c r="H219" s="87" t="s">
        <v>614</v>
      </c>
      <c r="I219" s="87"/>
      <c r="J219" s="87" t="s">
        <v>615</v>
      </c>
      <c r="K219" s="87"/>
      <c r="L219" s="87" t="s">
        <v>179</v>
      </c>
      <c r="M219" s="87"/>
      <c r="N219" s="87" t="s">
        <v>616</v>
      </c>
      <c r="O219" s="87"/>
      <c r="P219" s="87" t="s">
        <v>617</v>
      </c>
      <c r="Q219" s="87"/>
      <c r="R219" s="87"/>
    </row>
    <row r="220" spans="2:18" ht="15" customHeight="1" x14ac:dyDescent="0.3">
      <c r="C220" s="88" t="s">
        <v>618</v>
      </c>
      <c r="D220" s="88"/>
      <c r="E220" s="88"/>
      <c r="F220" s="88"/>
      <c r="G220" s="39">
        <v>0.1</v>
      </c>
      <c r="H220" s="89">
        <v>65274</v>
      </c>
      <c r="I220" s="89"/>
      <c r="J220" s="89">
        <v>35170</v>
      </c>
      <c r="K220" s="89"/>
      <c r="L220" s="90">
        <f t="shared" ref="L220:L226" si="3">+H220+J220</f>
        <v>100444</v>
      </c>
      <c r="M220" s="90"/>
      <c r="N220" s="89">
        <v>10044</v>
      </c>
      <c r="O220" s="89"/>
      <c r="P220" s="90">
        <f t="shared" ref="P220:P226" si="4">+L220-N220</f>
        <v>90400</v>
      </c>
      <c r="Q220" s="90"/>
      <c r="R220" s="90"/>
    </row>
    <row r="221" spans="2:18" ht="15" customHeight="1" x14ac:dyDescent="0.3">
      <c r="C221" s="88" t="s">
        <v>619</v>
      </c>
      <c r="D221" s="88"/>
      <c r="E221" s="88"/>
      <c r="F221" s="88"/>
      <c r="G221" s="39">
        <v>0.1</v>
      </c>
      <c r="H221" s="89">
        <v>17168</v>
      </c>
      <c r="I221" s="89"/>
      <c r="J221" s="89">
        <v>0</v>
      </c>
      <c r="K221" s="89"/>
      <c r="L221" s="90">
        <f t="shared" si="3"/>
        <v>17168</v>
      </c>
      <c r="M221" s="90"/>
      <c r="N221" s="89">
        <v>1717</v>
      </c>
      <c r="O221" s="89"/>
      <c r="P221" s="90">
        <f t="shared" si="4"/>
        <v>15451</v>
      </c>
      <c r="Q221" s="90"/>
      <c r="R221" s="90"/>
    </row>
    <row r="222" spans="2:18" ht="15" customHeight="1" x14ac:dyDescent="0.3">
      <c r="C222" s="88" t="s">
        <v>297</v>
      </c>
      <c r="D222" s="88"/>
      <c r="E222" s="88"/>
      <c r="F222" s="88"/>
      <c r="G222" s="39">
        <v>0.15</v>
      </c>
      <c r="H222" s="89">
        <v>64073</v>
      </c>
      <c r="I222" s="89"/>
      <c r="J222" s="89">
        <v>192617</v>
      </c>
      <c r="K222" s="89"/>
      <c r="L222" s="90">
        <f t="shared" si="3"/>
        <v>256690</v>
      </c>
      <c r="M222" s="90"/>
      <c r="N222" s="89">
        <v>38504</v>
      </c>
      <c r="O222" s="89"/>
      <c r="P222" s="90">
        <f t="shared" si="4"/>
        <v>218186</v>
      </c>
      <c r="Q222" s="90"/>
      <c r="R222" s="90"/>
    </row>
    <row r="223" spans="2:18" ht="15" customHeight="1" x14ac:dyDescent="0.3">
      <c r="C223" s="88" t="s">
        <v>620</v>
      </c>
      <c r="D223" s="88"/>
      <c r="E223" s="88"/>
      <c r="F223" s="88"/>
      <c r="G223" s="39">
        <v>0.15</v>
      </c>
      <c r="H223" s="89">
        <v>10347</v>
      </c>
      <c r="I223" s="89"/>
      <c r="J223" s="89">
        <v>0</v>
      </c>
      <c r="K223" s="89"/>
      <c r="L223" s="90">
        <f t="shared" si="3"/>
        <v>10347</v>
      </c>
      <c r="M223" s="90"/>
      <c r="N223" s="89">
        <v>1552</v>
      </c>
      <c r="O223" s="89"/>
      <c r="P223" s="90">
        <f t="shared" si="4"/>
        <v>8795</v>
      </c>
      <c r="Q223" s="90"/>
      <c r="R223" s="90"/>
    </row>
    <row r="224" spans="2:18" ht="15" customHeight="1" x14ac:dyDescent="0.3">
      <c r="C224" s="88" t="s">
        <v>621</v>
      </c>
      <c r="D224" s="88"/>
      <c r="E224" s="88"/>
      <c r="F224" s="88"/>
      <c r="G224" s="39">
        <v>0.15</v>
      </c>
      <c r="H224" s="89">
        <v>53700</v>
      </c>
      <c r="I224" s="89"/>
      <c r="J224" s="89">
        <v>0</v>
      </c>
      <c r="K224" s="89"/>
      <c r="L224" s="90">
        <f t="shared" si="3"/>
        <v>53700</v>
      </c>
      <c r="M224" s="90"/>
      <c r="N224" s="89">
        <v>8055</v>
      </c>
      <c r="O224" s="89"/>
      <c r="P224" s="90">
        <f t="shared" si="4"/>
        <v>45645</v>
      </c>
      <c r="Q224" s="90"/>
      <c r="R224" s="90"/>
    </row>
    <row r="225" spans="2:18" ht="15" customHeight="1" x14ac:dyDescent="0.3">
      <c r="C225" s="88" t="s">
        <v>300</v>
      </c>
      <c r="D225" s="88"/>
      <c r="E225" s="88"/>
      <c r="F225" s="88"/>
      <c r="G225" s="39">
        <v>0.15</v>
      </c>
      <c r="H225" s="89">
        <v>0</v>
      </c>
      <c r="I225" s="89"/>
      <c r="J225" s="89">
        <v>22000</v>
      </c>
      <c r="K225" s="89"/>
      <c r="L225" s="90">
        <f t="shared" si="3"/>
        <v>22000</v>
      </c>
      <c r="M225" s="90"/>
      <c r="N225" s="89">
        <v>3300</v>
      </c>
      <c r="O225" s="89"/>
      <c r="P225" s="90">
        <f t="shared" si="4"/>
        <v>18700</v>
      </c>
      <c r="Q225" s="90"/>
      <c r="R225" s="90"/>
    </row>
    <row r="226" spans="2:18" ht="15" customHeight="1" x14ac:dyDescent="0.3">
      <c r="C226" s="88" t="s">
        <v>301</v>
      </c>
      <c r="D226" s="88"/>
      <c r="E226" s="88"/>
      <c r="F226" s="88"/>
      <c r="G226" s="39">
        <v>0.15</v>
      </c>
      <c r="H226" s="89">
        <v>0</v>
      </c>
      <c r="I226" s="89"/>
      <c r="J226" s="89">
        <v>8250</v>
      </c>
      <c r="K226" s="89"/>
      <c r="L226" s="90">
        <f t="shared" si="3"/>
        <v>8250</v>
      </c>
      <c r="M226" s="90"/>
      <c r="N226" s="89">
        <v>1238</v>
      </c>
      <c r="O226" s="89"/>
      <c r="P226" s="90">
        <f t="shared" si="4"/>
        <v>7012</v>
      </c>
      <c r="Q226" s="90"/>
      <c r="R226" s="90"/>
    </row>
    <row r="227" spans="2:18" ht="15" customHeight="1" x14ac:dyDescent="0.3">
      <c r="C227" s="91" t="s">
        <v>622</v>
      </c>
      <c r="D227" s="91"/>
      <c r="E227" s="91"/>
      <c r="F227" s="91"/>
      <c r="G227" s="91"/>
      <c r="H227" s="92">
        <f>SUM(H220:I226)</f>
        <v>210562</v>
      </c>
      <c r="I227" s="92"/>
      <c r="J227" s="92">
        <f>SUM(J220:K226)</f>
        <v>258037</v>
      </c>
      <c r="K227" s="92"/>
      <c r="L227" s="92">
        <f>SUM(L220:M226)</f>
        <v>468599</v>
      </c>
      <c r="M227" s="92"/>
      <c r="N227" s="92">
        <f>SUM(N220:O226)</f>
        <v>64410</v>
      </c>
      <c r="O227" s="92"/>
      <c r="P227" s="92">
        <f>SUM(P220:R226)</f>
        <v>404189</v>
      </c>
      <c r="Q227" s="92"/>
      <c r="R227" s="92"/>
    </row>
    <row r="229" spans="2:18" ht="72.75" customHeight="1" x14ac:dyDescent="0.3">
      <c r="B229" s="31" t="s">
        <v>551</v>
      </c>
      <c r="C229" s="2" t="s">
        <v>803</v>
      </c>
      <c r="D229" s="2"/>
      <c r="E229" s="2"/>
      <c r="F229" s="2"/>
      <c r="G229" s="2"/>
      <c r="H229" s="2"/>
      <c r="I229" s="2"/>
      <c r="J229" s="2"/>
      <c r="K229" s="2"/>
      <c r="L229" s="2"/>
      <c r="M229" s="2"/>
      <c r="N229" s="2"/>
      <c r="O229" s="2"/>
      <c r="P229" s="2"/>
      <c r="Q229" s="2"/>
      <c r="R229" s="2"/>
    </row>
    <row r="230" spans="2:18" ht="54" customHeight="1" x14ac:dyDescent="0.3">
      <c r="B230" s="31" t="s">
        <v>553</v>
      </c>
      <c r="C230" s="2" t="s">
        <v>623</v>
      </c>
      <c r="D230" s="2"/>
      <c r="E230" s="2"/>
      <c r="F230" s="2"/>
      <c r="G230" s="2"/>
      <c r="H230" s="2"/>
      <c r="I230" s="2"/>
      <c r="J230" s="2"/>
      <c r="K230" s="2"/>
      <c r="L230" s="2"/>
      <c r="M230" s="2"/>
      <c r="N230" s="2"/>
      <c r="O230" s="2"/>
      <c r="P230" s="2"/>
      <c r="Q230" s="2"/>
      <c r="R230" s="2"/>
    </row>
    <row r="231" spans="2:18" ht="40.5" customHeight="1" x14ac:dyDescent="0.3">
      <c r="B231" s="31" t="s">
        <v>555</v>
      </c>
      <c r="C231" s="2" t="s">
        <v>624</v>
      </c>
      <c r="D231" s="2"/>
      <c r="E231" s="2"/>
      <c r="F231" s="2"/>
      <c r="G231" s="2"/>
      <c r="H231" s="2"/>
      <c r="I231" s="2"/>
      <c r="J231" s="2"/>
      <c r="K231" s="2"/>
      <c r="L231" s="2"/>
      <c r="M231" s="2"/>
      <c r="N231" s="2"/>
      <c r="O231" s="2"/>
      <c r="P231" s="2"/>
      <c r="Q231" s="2"/>
      <c r="R231" s="2"/>
    </row>
    <row r="232" spans="2:18" ht="40.5" customHeight="1" x14ac:dyDescent="0.3">
      <c r="B232" s="31" t="s">
        <v>625</v>
      </c>
      <c r="C232" s="2" t="s">
        <v>626</v>
      </c>
      <c r="D232" s="2"/>
      <c r="E232" s="2"/>
      <c r="F232" s="2"/>
      <c r="G232" s="2"/>
      <c r="H232" s="2"/>
      <c r="I232" s="2"/>
      <c r="J232" s="2"/>
      <c r="K232" s="2"/>
      <c r="L232" s="2"/>
      <c r="M232" s="2"/>
      <c r="N232" s="2"/>
      <c r="O232" s="2"/>
      <c r="P232" s="2"/>
      <c r="Q232" s="2"/>
      <c r="R232" s="2"/>
    </row>
    <row r="233" spans="2:18" ht="40.5" customHeight="1" x14ac:dyDescent="0.3">
      <c r="B233" s="31" t="s">
        <v>627</v>
      </c>
      <c r="C233" s="2" t="s">
        <v>628</v>
      </c>
      <c r="D233" s="2"/>
      <c r="E233" s="2"/>
      <c r="F233" s="2"/>
      <c r="G233" s="2"/>
      <c r="H233" s="2"/>
      <c r="I233" s="2"/>
      <c r="J233" s="2"/>
      <c r="K233" s="2"/>
      <c r="L233" s="2"/>
      <c r="M233" s="2"/>
      <c r="N233" s="2"/>
      <c r="O233" s="2"/>
      <c r="P233" s="2"/>
      <c r="Q233" s="2"/>
      <c r="R233" s="2"/>
    </row>
    <row r="235" spans="2:18" ht="13.5" customHeight="1" x14ac:dyDescent="0.3">
      <c r="B235" s="37">
        <v>6</v>
      </c>
      <c r="C235" s="69" t="s">
        <v>629</v>
      </c>
      <c r="D235" s="69"/>
      <c r="E235" s="69"/>
      <c r="F235" s="69"/>
      <c r="G235" s="69"/>
      <c r="H235" s="69"/>
      <c r="I235" s="69"/>
      <c r="J235" s="69"/>
      <c r="K235" s="69"/>
      <c r="L235" s="69"/>
      <c r="M235" s="69"/>
      <c r="N235" s="69"/>
      <c r="O235" s="69"/>
      <c r="P235" s="69"/>
      <c r="Q235" s="69"/>
      <c r="R235" s="69"/>
    </row>
    <row r="236" spans="2:18" ht="25.5" customHeight="1" x14ac:dyDescent="0.3">
      <c r="C236" s="32" t="s">
        <v>487</v>
      </c>
      <c r="D236" s="65" t="s">
        <v>405</v>
      </c>
      <c r="E236" s="65"/>
      <c r="F236" s="65"/>
      <c r="G236" s="65"/>
      <c r="H236" s="65"/>
      <c r="I236" s="65"/>
      <c r="J236" s="65" t="s">
        <v>559</v>
      </c>
      <c r="K236" s="65"/>
      <c r="L236" s="65"/>
      <c r="M236" s="65" t="s">
        <v>560</v>
      </c>
      <c r="N236" s="65"/>
      <c r="O236" s="65"/>
    </row>
    <row r="237" spans="2:18" ht="15" customHeight="1" x14ac:dyDescent="0.3">
      <c r="C237" s="34">
        <v>1</v>
      </c>
      <c r="D237" s="76" t="s">
        <v>630</v>
      </c>
      <c r="E237" s="76"/>
      <c r="F237" s="76"/>
      <c r="G237" s="76"/>
      <c r="H237" s="76"/>
      <c r="I237" s="76"/>
      <c r="J237" s="84">
        <v>18955</v>
      </c>
      <c r="K237" s="84"/>
      <c r="L237" s="84"/>
      <c r="M237" s="84">
        <v>18955</v>
      </c>
      <c r="N237" s="84"/>
      <c r="O237" s="84"/>
    </row>
    <row r="238" spans="2:18" ht="15" customHeight="1" x14ac:dyDescent="0.3">
      <c r="C238" s="34">
        <v>2</v>
      </c>
      <c r="D238" s="76" t="s">
        <v>631</v>
      </c>
      <c r="E238" s="76"/>
      <c r="F238" s="76"/>
      <c r="G238" s="76"/>
      <c r="H238" s="76"/>
      <c r="I238" s="76"/>
      <c r="J238" s="84">
        <v>44129</v>
      </c>
      <c r="K238" s="84"/>
      <c r="L238" s="84"/>
      <c r="M238" s="84">
        <v>44129</v>
      </c>
      <c r="N238" s="84"/>
      <c r="O238" s="84"/>
    </row>
    <row r="239" spans="2:18" ht="15" customHeight="1" x14ac:dyDescent="0.3">
      <c r="C239" s="34">
        <v>3</v>
      </c>
      <c r="D239" s="76" t="s">
        <v>632</v>
      </c>
      <c r="E239" s="76"/>
      <c r="F239" s="76"/>
      <c r="G239" s="76"/>
      <c r="H239" s="76"/>
      <c r="I239" s="76"/>
      <c r="J239" s="84">
        <v>0</v>
      </c>
      <c r="K239" s="84"/>
      <c r="L239" s="84"/>
      <c r="M239" s="84">
        <v>25901</v>
      </c>
      <c r="N239" s="84"/>
      <c r="O239" s="84"/>
    </row>
    <row r="240" spans="2:18" ht="15" customHeight="1" x14ac:dyDescent="0.3">
      <c r="C240" s="34">
        <v>4</v>
      </c>
      <c r="D240" s="76" t="s">
        <v>633</v>
      </c>
      <c r="E240" s="76"/>
      <c r="F240" s="76"/>
      <c r="G240" s="76"/>
      <c r="H240" s="76"/>
      <c r="I240" s="76"/>
      <c r="J240" s="84">
        <v>4575</v>
      </c>
      <c r="K240" s="84"/>
      <c r="L240" s="84"/>
      <c r="M240" s="84">
        <v>8778</v>
      </c>
      <c r="N240" s="84"/>
      <c r="O240" s="84"/>
    </row>
    <row r="241" spans="1:18" ht="27" customHeight="1" x14ac:dyDescent="0.3">
      <c r="C241" s="34">
        <v>5</v>
      </c>
      <c r="D241" s="76" t="s">
        <v>634</v>
      </c>
      <c r="E241" s="76"/>
      <c r="F241" s="76"/>
      <c r="G241" s="76"/>
      <c r="H241" s="76"/>
      <c r="I241" s="76"/>
      <c r="J241" s="84">
        <v>17402</v>
      </c>
      <c r="K241" s="84"/>
      <c r="L241" s="84"/>
      <c r="M241" s="84">
        <v>17402</v>
      </c>
      <c r="N241" s="84"/>
      <c r="O241" s="84"/>
    </row>
    <row r="242" spans="1:18" ht="15" customHeight="1" x14ac:dyDescent="0.3">
      <c r="C242" s="82"/>
      <c r="D242" s="82"/>
      <c r="E242" s="82"/>
      <c r="F242" s="82"/>
      <c r="G242" s="82"/>
      <c r="H242" s="82"/>
      <c r="I242" s="82"/>
      <c r="J242" s="86">
        <f>SUM(J237:L241)</f>
        <v>85061</v>
      </c>
      <c r="K242" s="86"/>
      <c r="L242" s="86"/>
      <c r="M242" s="86">
        <f>SUM(M237:O241)</f>
        <v>115165</v>
      </c>
      <c r="N242" s="86"/>
      <c r="O242" s="86"/>
    </row>
    <row r="244" spans="1:18" ht="40.5" customHeight="1" x14ac:dyDescent="0.3">
      <c r="B244" s="31" t="s">
        <v>551</v>
      </c>
      <c r="C244" s="2" t="s">
        <v>635</v>
      </c>
      <c r="D244" s="2"/>
      <c r="E244" s="2"/>
      <c r="F244" s="2"/>
      <c r="G244" s="2"/>
      <c r="H244" s="2"/>
      <c r="I244" s="2"/>
      <c r="J244" s="2"/>
      <c r="K244" s="2"/>
      <c r="L244" s="2"/>
      <c r="M244" s="2"/>
      <c r="N244" s="2"/>
      <c r="O244" s="2"/>
      <c r="P244" s="2"/>
      <c r="Q244" s="2"/>
      <c r="R244" s="2"/>
    </row>
    <row r="245" spans="1:18" ht="27" customHeight="1" x14ac:dyDescent="0.3">
      <c r="B245" s="31" t="s">
        <v>553</v>
      </c>
      <c r="C245" s="2" t="s">
        <v>636</v>
      </c>
      <c r="D245" s="2"/>
      <c r="E245" s="2"/>
      <c r="F245" s="2"/>
      <c r="G245" s="2"/>
      <c r="H245" s="2"/>
      <c r="I245" s="2"/>
      <c r="J245" s="2"/>
      <c r="K245" s="2"/>
      <c r="L245" s="2"/>
      <c r="M245" s="2"/>
      <c r="N245" s="2"/>
      <c r="O245" s="2"/>
      <c r="P245" s="2"/>
      <c r="Q245" s="2"/>
      <c r="R245" s="2"/>
    </row>
    <row r="247" spans="1:18" ht="15" customHeight="1" x14ac:dyDescent="0.3">
      <c r="A247" s="56" t="s">
        <v>637</v>
      </c>
      <c r="B247" s="56"/>
      <c r="C247" s="56"/>
      <c r="D247" s="56"/>
      <c r="E247" s="56"/>
      <c r="F247" s="56"/>
      <c r="G247" s="56"/>
      <c r="H247" s="56"/>
      <c r="I247" s="56"/>
      <c r="J247" s="56"/>
      <c r="K247" s="56"/>
      <c r="L247" s="56"/>
      <c r="M247" s="56"/>
      <c r="N247" s="56"/>
      <c r="O247" s="56"/>
      <c r="P247" s="56"/>
      <c r="Q247" s="56"/>
      <c r="R247" s="56"/>
    </row>
    <row r="249" spans="1:18" ht="27.75" customHeight="1" x14ac:dyDescent="0.3">
      <c r="A249" s="65" t="s">
        <v>487</v>
      </c>
      <c r="B249" s="65"/>
      <c r="C249" s="65" t="s">
        <v>405</v>
      </c>
      <c r="D249" s="65"/>
      <c r="E249" s="65"/>
      <c r="F249" s="65"/>
      <c r="G249" s="65"/>
      <c r="H249" s="65"/>
      <c r="I249" s="65"/>
      <c r="J249" s="65" t="s">
        <v>638</v>
      </c>
      <c r="K249" s="65"/>
      <c r="L249" s="65"/>
      <c r="M249" s="65" t="s">
        <v>639</v>
      </c>
      <c r="N249" s="65"/>
      <c r="O249" s="65"/>
      <c r="P249" s="65" t="s">
        <v>520</v>
      </c>
      <c r="Q249" s="65"/>
      <c r="R249" s="32" t="s">
        <v>640</v>
      </c>
    </row>
    <row r="250" spans="1:18" ht="15" customHeight="1" x14ac:dyDescent="0.3">
      <c r="A250" s="36"/>
      <c r="B250" s="36"/>
      <c r="C250" s="74" t="s">
        <v>641</v>
      </c>
      <c r="D250" s="74"/>
      <c r="E250" s="74"/>
      <c r="F250" s="74"/>
      <c r="G250" s="74"/>
      <c r="H250" s="74"/>
      <c r="I250" s="74"/>
      <c r="J250" s="36"/>
      <c r="K250" s="36"/>
      <c r="L250" s="36"/>
      <c r="M250" s="36"/>
      <c r="N250" s="36"/>
      <c r="O250" s="36"/>
      <c r="P250" s="36"/>
      <c r="Q250" s="36"/>
      <c r="R250" s="36"/>
    </row>
    <row r="251" spans="1:18" ht="15" customHeight="1" x14ac:dyDescent="0.3">
      <c r="A251" s="61">
        <v>1</v>
      </c>
      <c r="B251" s="61"/>
      <c r="C251" s="88" t="s">
        <v>642</v>
      </c>
      <c r="D251" s="88"/>
      <c r="E251" s="88"/>
      <c r="F251" s="88"/>
      <c r="G251" s="88"/>
      <c r="H251" s="88"/>
      <c r="I251" s="88"/>
      <c r="J251" s="93">
        <v>1769400</v>
      </c>
      <c r="K251" s="93"/>
      <c r="L251" s="93"/>
      <c r="M251" s="93">
        <v>1588800</v>
      </c>
      <c r="N251" s="93"/>
      <c r="O251" s="93"/>
      <c r="P251" s="94">
        <f t="shared" ref="P251:P266" si="5">+J251-M251</f>
        <v>180600</v>
      </c>
      <c r="Q251" s="94"/>
      <c r="R251" s="40">
        <f t="shared" ref="R251:R266" si="6">IFERROR(P251*100/M251,"")</f>
        <v>11.367069486404834</v>
      </c>
    </row>
    <row r="252" spans="1:18" ht="15" customHeight="1" x14ac:dyDescent="0.3">
      <c r="A252" s="61">
        <v>2</v>
      </c>
      <c r="B252" s="61"/>
      <c r="C252" s="88" t="s">
        <v>643</v>
      </c>
      <c r="D252" s="88"/>
      <c r="E252" s="88"/>
      <c r="F252" s="88"/>
      <c r="G252" s="88"/>
      <c r="H252" s="88"/>
      <c r="I252" s="88"/>
      <c r="J252" s="93">
        <v>44800</v>
      </c>
      <c r="K252" s="93"/>
      <c r="L252" s="93"/>
      <c r="M252" s="93">
        <v>0</v>
      </c>
      <c r="N252" s="93"/>
      <c r="O252" s="93"/>
      <c r="P252" s="94">
        <f t="shared" si="5"/>
        <v>44800</v>
      </c>
      <c r="Q252" s="94"/>
      <c r="R252" s="40" t="str">
        <f t="shared" si="6"/>
        <v/>
      </c>
    </row>
    <row r="253" spans="1:18" ht="15" customHeight="1" x14ac:dyDescent="0.3">
      <c r="A253" s="61">
        <v>3</v>
      </c>
      <c r="B253" s="61"/>
      <c r="C253" s="88" t="s">
        <v>644</v>
      </c>
      <c r="D253" s="88"/>
      <c r="E253" s="88"/>
      <c r="F253" s="88"/>
      <c r="G253" s="88"/>
      <c r="H253" s="88"/>
      <c r="I253" s="88"/>
      <c r="J253" s="93">
        <v>42600</v>
      </c>
      <c r="K253" s="93"/>
      <c r="L253" s="93"/>
      <c r="M253" s="93">
        <v>0</v>
      </c>
      <c r="N253" s="93"/>
      <c r="O253" s="93"/>
      <c r="P253" s="94">
        <f t="shared" si="5"/>
        <v>42600</v>
      </c>
      <c r="Q253" s="94"/>
      <c r="R253" s="40" t="str">
        <f t="shared" si="6"/>
        <v/>
      </c>
    </row>
    <row r="254" spans="1:18" ht="15" customHeight="1" x14ac:dyDescent="0.3">
      <c r="A254" s="61">
        <v>4</v>
      </c>
      <c r="B254" s="61"/>
      <c r="C254" s="88" t="s">
        <v>645</v>
      </c>
      <c r="D254" s="88"/>
      <c r="E254" s="88"/>
      <c r="F254" s="88"/>
      <c r="G254" s="88"/>
      <c r="H254" s="88"/>
      <c r="I254" s="88"/>
      <c r="J254" s="93">
        <v>0</v>
      </c>
      <c r="K254" s="93"/>
      <c r="L254" s="93"/>
      <c r="M254" s="93">
        <v>94400</v>
      </c>
      <c r="N254" s="93"/>
      <c r="O254" s="93"/>
      <c r="P254" s="94">
        <f t="shared" si="5"/>
        <v>-94400</v>
      </c>
      <c r="Q254" s="94"/>
      <c r="R254" s="40">
        <f t="shared" si="6"/>
        <v>-100</v>
      </c>
    </row>
    <row r="255" spans="1:18" ht="15" customHeight="1" x14ac:dyDescent="0.3">
      <c r="A255" s="61">
        <v>5</v>
      </c>
      <c r="B255" s="61"/>
      <c r="C255" s="88" t="s">
        <v>646</v>
      </c>
      <c r="D255" s="88"/>
      <c r="E255" s="88"/>
      <c r="F255" s="88"/>
      <c r="G255" s="88"/>
      <c r="H255" s="88"/>
      <c r="I255" s="88"/>
      <c r="J255" s="93">
        <v>12100</v>
      </c>
      <c r="K255" s="93"/>
      <c r="L255" s="93"/>
      <c r="M255" s="93">
        <v>20200</v>
      </c>
      <c r="N255" s="93"/>
      <c r="O255" s="93"/>
      <c r="P255" s="94">
        <f t="shared" si="5"/>
        <v>-8100</v>
      </c>
      <c r="Q255" s="94"/>
      <c r="R255" s="40">
        <f t="shared" si="6"/>
        <v>-40.099009900990097</v>
      </c>
    </row>
    <row r="256" spans="1:18" ht="15" customHeight="1" x14ac:dyDescent="0.3">
      <c r="A256" s="61">
        <v>6</v>
      </c>
      <c r="B256" s="61"/>
      <c r="C256" s="88" t="s">
        <v>647</v>
      </c>
      <c r="D256" s="88"/>
      <c r="E256" s="88"/>
      <c r="F256" s="88"/>
      <c r="G256" s="88"/>
      <c r="H256" s="88"/>
      <c r="I256" s="88"/>
      <c r="J256" s="93">
        <v>31200</v>
      </c>
      <c r="K256" s="93"/>
      <c r="L256" s="93"/>
      <c r="M256" s="93">
        <v>31200</v>
      </c>
      <c r="N256" s="93"/>
      <c r="O256" s="93"/>
      <c r="P256" s="94">
        <f t="shared" si="5"/>
        <v>0</v>
      </c>
      <c r="Q256" s="94"/>
      <c r="R256" s="40">
        <f t="shared" si="6"/>
        <v>0</v>
      </c>
    </row>
    <row r="257" spans="1:18" ht="15" customHeight="1" x14ac:dyDescent="0.3">
      <c r="A257" s="61">
        <v>7</v>
      </c>
      <c r="B257" s="61"/>
      <c r="C257" s="88" t="s">
        <v>648</v>
      </c>
      <c r="D257" s="88"/>
      <c r="E257" s="88"/>
      <c r="F257" s="88"/>
      <c r="G257" s="88"/>
      <c r="H257" s="88"/>
      <c r="I257" s="88"/>
      <c r="J257" s="93">
        <v>57995</v>
      </c>
      <c r="K257" s="93"/>
      <c r="L257" s="93"/>
      <c r="M257" s="93">
        <v>50600</v>
      </c>
      <c r="N257" s="93"/>
      <c r="O257" s="93"/>
      <c r="P257" s="94">
        <f t="shared" si="5"/>
        <v>7395</v>
      </c>
      <c r="Q257" s="94"/>
      <c r="R257" s="40">
        <f t="shared" si="6"/>
        <v>14.614624505928854</v>
      </c>
    </row>
    <row r="258" spans="1:18" ht="15" customHeight="1" x14ac:dyDescent="0.3">
      <c r="A258" s="61">
        <v>8</v>
      </c>
      <c r="B258" s="61"/>
      <c r="C258" s="88" t="s">
        <v>649</v>
      </c>
      <c r="D258" s="88"/>
      <c r="E258" s="88"/>
      <c r="F258" s="88"/>
      <c r="G258" s="88"/>
      <c r="H258" s="88"/>
      <c r="I258" s="88"/>
      <c r="J258" s="93">
        <v>0</v>
      </c>
      <c r="K258" s="93"/>
      <c r="L258" s="93"/>
      <c r="M258" s="93">
        <v>340955</v>
      </c>
      <c r="N258" s="93"/>
      <c r="O258" s="93"/>
      <c r="P258" s="94">
        <f t="shared" si="5"/>
        <v>-340955</v>
      </c>
      <c r="Q258" s="94"/>
      <c r="R258" s="40">
        <f t="shared" si="6"/>
        <v>-100</v>
      </c>
    </row>
    <row r="259" spans="1:18" ht="15" customHeight="1" x14ac:dyDescent="0.3">
      <c r="A259" s="61">
        <v>9</v>
      </c>
      <c r="B259" s="61"/>
      <c r="C259" s="88" t="s">
        <v>650</v>
      </c>
      <c r="D259" s="88"/>
      <c r="E259" s="88"/>
      <c r="F259" s="88"/>
      <c r="G259" s="88"/>
      <c r="H259" s="88"/>
      <c r="I259" s="88"/>
      <c r="J259" s="93">
        <v>1000320</v>
      </c>
      <c r="K259" s="93"/>
      <c r="L259" s="93"/>
      <c r="M259" s="93">
        <v>0</v>
      </c>
      <c r="N259" s="93"/>
      <c r="O259" s="93"/>
      <c r="P259" s="94">
        <f t="shared" si="5"/>
        <v>1000320</v>
      </c>
      <c r="Q259" s="94"/>
      <c r="R259" s="40" t="str">
        <f t="shared" si="6"/>
        <v/>
      </c>
    </row>
    <row r="260" spans="1:18" ht="15" customHeight="1" x14ac:dyDescent="0.3">
      <c r="A260" s="61">
        <v>10</v>
      </c>
      <c r="B260" s="61"/>
      <c r="C260" s="88" t="s">
        <v>651</v>
      </c>
      <c r="D260" s="88"/>
      <c r="E260" s="88"/>
      <c r="F260" s="88"/>
      <c r="G260" s="88"/>
      <c r="H260" s="88"/>
      <c r="I260" s="88"/>
      <c r="J260" s="93">
        <v>7621.4</v>
      </c>
      <c r="K260" s="93"/>
      <c r="L260" s="93"/>
      <c r="M260" s="93">
        <v>9537</v>
      </c>
      <c r="N260" s="93"/>
      <c r="O260" s="93"/>
      <c r="P260" s="94">
        <f t="shared" si="5"/>
        <v>-1915.6000000000004</v>
      </c>
      <c r="Q260" s="94"/>
      <c r="R260" s="40">
        <f t="shared" si="6"/>
        <v>-20.085980916430746</v>
      </c>
    </row>
    <row r="261" spans="1:18" ht="15" customHeight="1" x14ac:dyDescent="0.3">
      <c r="A261" s="61">
        <v>11</v>
      </c>
      <c r="B261" s="61"/>
      <c r="C261" s="88" t="s">
        <v>652</v>
      </c>
      <c r="D261" s="88"/>
      <c r="E261" s="88"/>
      <c r="F261" s="88"/>
      <c r="G261" s="88"/>
      <c r="H261" s="88"/>
      <c r="I261" s="88"/>
      <c r="J261" s="93">
        <v>0</v>
      </c>
      <c r="K261" s="93"/>
      <c r="L261" s="93"/>
      <c r="M261" s="93">
        <v>2006</v>
      </c>
      <c r="N261" s="93"/>
      <c r="O261" s="93"/>
      <c r="P261" s="94">
        <f t="shared" si="5"/>
        <v>-2006</v>
      </c>
      <c r="Q261" s="94"/>
      <c r="R261" s="40">
        <f t="shared" si="6"/>
        <v>-100</v>
      </c>
    </row>
    <row r="262" spans="1:18" ht="15" customHeight="1" x14ac:dyDescent="0.3">
      <c r="A262" s="61">
        <v>12</v>
      </c>
      <c r="B262" s="61"/>
      <c r="C262" s="88" t="s">
        <v>653</v>
      </c>
      <c r="D262" s="88"/>
      <c r="E262" s="88"/>
      <c r="F262" s="88"/>
      <c r="G262" s="88"/>
      <c r="H262" s="88"/>
      <c r="I262" s="88"/>
      <c r="J262" s="93">
        <v>2847</v>
      </c>
      <c r="K262" s="93"/>
      <c r="L262" s="93"/>
      <c r="M262" s="93">
        <v>0</v>
      </c>
      <c r="N262" s="93"/>
      <c r="O262" s="93"/>
      <c r="P262" s="94">
        <f t="shared" si="5"/>
        <v>2847</v>
      </c>
      <c r="Q262" s="94"/>
      <c r="R262" s="40" t="str">
        <f t="shared" si="6"/>
        <v/>
      </c>
    </row>
    <row r="263" spans="1:18" ht="15" customHeight="1" x14ac:dyDescent="0.3">
      <c r="A263" s="61">
        <v>13</v>
      </c>
      <c r="B263" s="61"/>
      <c r="C263" s="88" t="s">
        <v>654</v>
      </c>
      <c r="D263" s="88"/>
      <c r="E263" s="88"/>
      <c r="F263" s="88"/>
      <c r="G263" s="88"/>
      <c r="H263" s="88"/>
      <c r="I263" s="88"/>
      <c r="J263" s="93">
        <v>24106</v>
      </c>
      <c r="K263" s="93"/>
      <c r="L263" s="93"/>
      <c r="M263" s="93">
        <v>5500</v>
      </c>
      <c r="N263" s="93"/>
      <c r="O263" s="93"/>
      <c r="P263" s="94">
        <f t="shared" si="5"/>
        <v>18606</v>
      </c>
      <c r="Q263" s="94"/>
      <c r="R263" s="40">
        <f t="shared" si="6"/>
        <v>338.29090909090911</v>
      </c>
    </row>
    <row r="264" spans="1:18" ht="15" customHeight="1" x14ac:dyDescent="0.3">
      <c r="A264" s="61">
        <v>14</v>
      </c>
      <c r="B264" s="61"/>
      <c r="C264" s="88" t="s">
        <v>655</v>
      </c>
      <c r="D264" s="88"/>
      <c r="E264" s="88"/>
      <c r="F264" s="88"/>
      <c r="G264" s="88"/>
      <c r="H264" s="88"/>
      <c r="I264" s="88"/>
      <c r="J264" s="93">
        <v>0</v>
      </c>
      <c r="K264" s="93"/>
      <c r="L264" s="93"/>
      <c r="M264" s="93">
        <v>170006</v>
      </c>
      <c r="N264" s="93"/>
      <c r="O264" s="93"/>
      <c r="P264" s="94">
        <f t="shared" si="5"/>
        <v>-170006</v>
      </c>
      <c r="Q264" s="94"/>
      <c r="R264" s="40">
        <f t="shared" si="6"/>
        <v>-100</v>
      </c>
    </row>
    <row r="265" spans="1:18" ht="15" customHeight="1" x14ac:dyDescent="0.3">
      <c r="A265" s="61">
        <v>15</v>
      </c>
      <c r="B265" s="61"/>
      <c r="C265" s="88" t="s">
        <v>656</v>
      </c>
      <c r="D265" s="88"/>
      <c r="E265" s="88"/>
      <c r="F265" s="88"/>
      <c r="G265" s="88"/>
      <c r="H265" s="88"/>
      <c r="I265" s="88"/>
      <c r="J265" s="93">
        <v>0</v>
      </c>
      <c r="K265" s="93"/>
      <c r="L265" s="93"/>
      <c r="M265" s="93">
        <v>308046</v>
      </c>
      <c r="N265" s="93"/>
      <c r="O265" s="93"/>
      <c r="P265" s="94">
        <f t="shared" si="5"/>
        <v>-308046</v>
      </c>
      <c r="Q265" s="94"/>
      <c r="R265" s="40">
        <f t="shared" si="6"/>
        <v>-100</v>
      </c>
    </row>
    <row r="266" spans="1:18" ht="15" customHeight="1" x14ac:dyDescent="0.3">
      <c r="A266" s="95"/>
      <c r="B266" s="95"/>
      <c r="C266" s="96" t="s">
        <v>657</v>
      </c>
      <c r="D266" s="96"/>
      <c r="E266" s="96"/>
      <c r="F266" s="96"/>
      <c r="G266" s="96"/>
      <c r="H266" s="96"/>
      <c r="I266" s="96"/>
      <c r="J266" s="97">
        <f>SUM(J251:L265)</f>
        <v>2992989.4</v>
      </c>
      <c r="K266" s="97"/>
      <c r="L266" s="97"/>
      <c r="M266" s="97">
        <f>SUM(M251:O265)</f>
        <v>2621250</v>
      </c>
      <c r="N266" s="97"/>
      <c r="O266" s="97"/>
      <c r="P266" s="97">
        <f t="shared" si="5"/>
        <v>371739.39999999991</v>
      </c>
      <c r="Q266" s="97"/>
      <c r="R266" s="42">
        <f t="shared" si="6"/>
        <v>14.1817606103958</v>
      </c>
    </row>
    <row r="267" spans="1:18" ht="15" customHeight="1" x14ac:dyDescent="0.3">
      <c r="A267" s="36"/>
      <c r="B267" s="36"/>
      <c r="C267" s="74" t="s">
        <v>658</v>
      </c>
      <c r="D267" s="74"/>
      <c r="E267" s="74"/>
      <c r="F267" s="74"/>
      <c r="G267" s="74"/>
      <c r="H267" s="74"/>
      <c r="I267" s="74"/>
      <c r="J267" s="36"/>
      <c r="K267" s="36"/>
      <c r="L267" s="36"/>
      <c r="M267" s="36"/>
      <c r="N267" s="36"/>
      <c r="O267" s="36"/>
      <c r="P267" s="36"/>
      <c r="Q267" s="36"/>
      <c r="R267" s="36"/>
    </row>
    <row r="268" spans="1:18" ht="15" customHeight="1" x14ac:dyDescent="0.3">
      <c r="A268" s="61">
        <v>1</v>
      </c>
      <c r="B268" s="61"/>
      <c r="C268" s="88" t="s">
        <v>659</v>
      </c>
      <c r="D268" s="88"/>
      <c r="E268" s="88"/>
      <c r="F268" s="88"/>
      <c r="G268" s="88"/>
      <c r="H268" s="88"/>
      <c r="I268" s="88"/>
      <c r="J268" s="93">
        <v>460160</v>
      </c>
      <c r="K268" s="93"/>
      <c r="L268" s="93"/>
      <c r="M268" s="93">
        <v>86358</v>
      </c>
      <c r="N268" s="93"/>
      <c r="O268" s="93"/>
      <c r="P268" s="94">
        <f t="shared" ref="P268:P298" si="7">+J268-M268</f>
        <v>373802</v>
      </c>
      <c r="Q268" s="94"/>
      <c r="R268" s="40">
        <f t="shared" ref="R268:R298" si="8">IFERROR(P268*100/M268,"")</f>
        <v>432.85161768452258</v>
      </c>
    </row>
    <row r="269" spans="1:18" ht="15" customHeight="1" x14ac:dyDescent="0.3">
      <c r="A269" s="61">
        <v>2</v>
      </c>
      <c r="B269" s="61"/>
      <c r="C269" s="88" t="s">
        <v>660</v>
      </c>
      <c r="D269" s="88"/>
      <c r="E269" s="88"/>
      <c r="F269" s="88"/>
      <c r="G269" s="88"/>
      <c r="H269" s="88"/>
      <c r="I269" s="88"/>
      <c r="J269" s="93">
        <v>399521</v>
      </c>
      <c r="K269" s="93"/>
      <c r="L269" s="93"/>
      <c r="M269" s="93">
        <v>292570</v>
      </c>
      <c r="N269" s="93"/>
      <c r="O269" s="93"/>
      <c r="P269" s="94">
        <f t="shared" si="7"/>
        <v>106951</v>
      </c>
      <c r="Q269" s="94"/>
      <c r="R269" s="40">
        <f t="shared" si="8"/>
        <v>36.555696072734733</v>
      </c>
    </row>
    <row r="270" spans="1:18" ht="15" customHeight="1" x14ac:dyDescent="0.3">
      <c r="A270" s="61">
        <v>3</v>
      </c>
      <c r="B270" s="61"/>
      <c r="C270" s="88" t="s">
        <v>661</v>
      </c>
      <c r="D270" s="88"/>
      <c r="E270" s="88"/>
      <c r="F270" s="88"/>
      <c r="G270" s="88"/>
      <c r="H270" s="88"/>
      <c r="I270" s="88"/>
      <c r="J270" s="93">
        <v>57204</v>
      </c>
      <c r="K270" s="93"/>
      <c r="L270" s="93"/>
      <c r="M270" s="93">
        <v>31302</v>
      </c>
      <c r="N270" s="93"/>
      <c r="O270" s="93"/>
      <c r="P270" s="94">
        <f t="shared" si="7"/>
        <v>25902</v>
      </c>
      <c r="Q270" s="94"/>
      <c r="R270" s="40">
        <f t="shared" si="8"/>
        <v>82.748706152961475</v>
      </c>
    </row>
    <row r="271" spans="1:18" ht="15" customHeight="1" x14ac:dyDescent="0.3">
      <c r="A271" s="61">
        <v>4</v>
      </c>
      <c r="B271" s="61"/>
      <c r="C271" s="88" t="s">
        <v>35</v>
      </c>
      <c r="D271" s="88"/>
      <c r="E271" s="88"/>
      <c r="F271" s="88"/>
      <c r="G271" s="88"/>
      <c r="H271" s="88"/>
      <c r="I271" s="88"/>
      <c r="J271" s="93">
        <v>7300</v>
      </c>
      <c r="K271" s="93"/>
      <c r="L271" s="93"/>
      <c r="M271" s="93">
        <v>7300</v>
      </c>
      <c r="N271" s="93"/>
      <c r="O271" s="93"/>
      <c r="P271" s="94">
        <f t="shared" si="7"/>
        <v>0</v>
      </c>
      <c r="Q271" s="94"/>
      <c r="R271" s="40">
        <f t="shared" si="8"/>
        <v>0</v>
      </c>
    </row>
    <row r="272" spans="1:18" ht="15" customHeight="1" x14ac:dyDescent="0.3">
      <c r="A272" s="61">
        <v>5</v>
      </c>
      <c r="B272" s="61"/>
      <c r="C272" s="88" t="s">
        <v>662</v>
      </c>
      <c r="D272" s="88"/>
      <c r="E272" s="88"/>
      <c r="F272" s="88"/>
      <c r="G272" s="88"/>
      <c r="H272" s="88"/>
      <c r="I272" s="88"/>
      <c r="J272" s="93">
        <v>25000</v>
      </c>
      <c r="K272" s="93"/>
      <c r="L272" s="93"/>
      <c r="M272" s="93">
        <v>20000</v>
      </c>
      <c r="N272" s="93"/>
      <c r="O272" s="93"/>
      <c r="P272" s="94">
        <f t="shared" si="7"/>
        <v>5000</v>
      </c>
      <c r="Q272" s="94"/>
      <c r="R272" s="40">
        <f t="shared" si="8"/>
        <v>25</v>
      </c>
    </row>
    <row r="273" spans="1:18" ht="15" customHeight="1" x14ac:dyDescent="0.3">
      <c r="A273" s="61">
        <v>6</v>
      </c>
      <c r="B273" s="61"/>
      <c r="C273" s="88" t="s">
        <v>663</v>
      </c>
      <c r="D273" s="88"/>
      <c r="E273" s="88"/>
      <c r="F273" s="88"/>
      <c r="G273" s="88"/>
      <c r="H273" s="88"/>
      <c r="I273" s="88"/>
      <c r="J273" s="93">
        <v>35.4</v>
      </c>
      <c r="K273" s="93"/>
      <c r="L273" s="93"/>
      <c r="M273" s="93">
        <v>373</v>
      </c>
      <c r="N273" s="93"/>
      <c r="O273" s="93"/>
      <c r="P273" s="94">
        <f t="shared" si="7"/>
        <v>-337.6</v>
      </c>
      <c r="Q273" s="94"/>
      <c r="R273" s="40">
        <f t="shared" si="8"/>
        <v>-90.509383378016082</v>
      </c>
    </row>
    <row r="274" spans="1:18" ht="15" customHeight="1" x14ac:dyDescent="0.3">
      <c r="A274" s="61">
        <v>7</v>
      </c>
      <c r="B274" s="61"/>
      <c r="C274" s="88" t="s">
        <v>664</v>
      </c>
      <c r="D274" s="88"/>
      <c r="E274" s="88"/>
      <c r="F274" s="88"/>
      <c r="G274" s="88"/>
      <c r="H274" s="88"/>
      <c r="I274" s="88"/>
      <c r="J274" s="93">
        <v>64410</v>
      </c>
      <c r="K274" s="93"/>
      <c r="L274" s="93"/>
      <c r="M274" s="93">
        <v>31771</v>
      </c>
      <c r="N274" s="93"/>
      <c r="O274" s="93"/>
      <c r="P274" s="94">
        <f t="shared" si="7"/>
        <v>32639</v>
      </c>
      <c r="Q274" s="94"/>
      <c r="R274" s="40">
        <f t="shared" si="8"/>
        <v>102.7320512416984</v>
      </c>
    </row>
    <row r="275" spans="1:18" ht="15" customHeight="1" x14ac:dyDescent="0.3">
      <c r="A275" s="61">
        <v>8</v>
      </c>
      <c r="B275" s="61"/>
      <c r="C275" s="88" t="s">
        <v>665</v>
      </c>
      <c r="D275" s="88"/>
      <c r="E275" s="88"/>
      <c r="F275" s="88"/>
      <c r="G275" s="88"/>
      <c r="H275" s="88"/>
      <c r="I275" s="88"/>
      <c r="J275" s="93">
        <v>13643</v>
      </c>
      <c r="K275" s="93"/>
      <c r="L275" s="93"/>
      <c r="M275" s="93">
        <v>15826</v>
      </c>
      <c r="N275" s="93"/>
      <c r="O275" s="93"/>
      <c r="P275" s="94">
        <f t="shared" si="7"/>
        <v>-2183</v>
      </c>
      <c r="Q275" s="94"/>
      <c r="R275" s="40">
        <f t="shared" si="8"/>
        <v>-13.793757108555541</v>
      </c>
    </row>
    <row r="276" spans="1:18" ht="15" customHeight="1" x14ac:dyDescent="0.3">
      <c r="A276" s="61">
        <v>9</v>
      </c>
      <c r="B276" s="61"/>
      <c r="C276" s="88" t="s">
        <v>666</v>
      </c>
      <c r="D276" s="88"/>
      <c r="E276" s="88"/>
      <c r="F276" s="88"/>
      <c r="G276" s="88"/>
      <c r="H276" s="88"/>
      <c r="I276" s="88"/>
      <c r="J276" s="93">
        <v>0</v>
      </c>
      <c r="K276" s="93"/>
      <c r="L276" s="93"/>
      <c r="M276" s="93">
        <v>2505</v>
      </c>
      <c r="N276" s="93"/>
      <c r="O276" s="93"/>
      <c r="P276" s="94">
        <f t="shared" si="7"/>
        <v>-2505</v>
      </c>
      <c r="Q276" s="94"/>
      <c r="R276" s="40">
        <f t="shared" si="8"/>
        <v>-100</v>
      </c>
    </row>
    <row r="277" spans="1:18" ht="15" customHeight="1" x14ac:dyDescent="0.3">
      <c r="A277" s="61">
        <v>10</v>
      </c>
      <c r="B277" s="61"/>
      <c r="C277" s="88" t="s">
        <v>667</v>
      </c>
      <c r="D277" s="88"/>
      <c r="E277" s="88"/>
      <c r="F277" s="88"/>
      <c r="G277" s="88"/>
      <c r="H277" s="88"/>
      <c r="I277" s="88"/>
      <c r="J277" s="93">
        <v>69200</v>
      </c>
      <c r="K277" s="93"/>
      <c r="L277" s="93"/>
      <c r="M277" s="93">
        <v>66007</v>
      </c>
      <c r="N277" s="93"/>
      <c r="O277" s="93"/>
      <c r="P277" s="94">
        <f t="shared" si="7"/>
        <v>3193</v>
      </c>
      <c r="Q277" s="94"/>
      <c r="R277" s="40">
        <f t="shared" si="8"/>
        <v>4.8373657339373093</v>
      </c>
    </row>
    <row r="278" spans="1:18" ht="15" customHeight="1" x14ac:dyDescent="0.3">
      <c r="A278" s="61">
        <v>11</v>
      </c>
      <c r="B278" s="61"/>
      <c r="C278" s="88" t="s">
        <v>668</v>
      </c>
      <c r="D278" s="88"/>
      <c r="E278" s="88"/>
      <c r="F278" s="88"/>
      <c r="G278" s="88"/>
      <c r="H278" s="88"/>
      <c r="I278" s="88"/>
      <c r="J278" s="93">
        <v>1652</v>
      </c>
      <c r="K278" s="93"/>
      <c r="L278" s="93"/>
      <c r="M278" s="93">
        <v>826</v>
      </c>
      <c r="N278" s="93"/>
      <c r="O278" s="93"/>
      <c r="P278" s="94">
        <f t="shared" si="7"/>
        <v>826</v>
      </c>
      <c r="Q278" s="94"/>
      <c r="R278" s="40">
        <f t="shared" si="8"/>
        <v>100</v>
      </c>
    </row>
    <row r="279" spans="1:18" ht="15" customHeight="1" x14ac:dyDescent="0.3">
      <c r="A279" s="61">
        <v>12</v>
      </c>
      <c r="B279" s="61"/>
      <c r="C279" s="88" t="s">
        <v>669</v>
      </c>
      <c r="D279" s="88"/>
      <c r="E279" s="88"/>
      <c r="F279" s="88"/>
      <c r="G279" s="88"/>
      <c r="H279" s="88"/>
      <c r="I279" s="88"/>
      <c r="J279" s="93">
        <v>136950</v>
      </c>
      <c r="K279" s="93"/>
      <c r="L279" s="93"/>
      <c r="M279" s="93">
        <v>211550</v>
      </c>
      <c r="N279" s="93"/>
      <c r="O279" s="93"/>
      <c r="P279" s="94">
        <f t="shared" si="7"/>
        <v>-74600</v>
      </c>
      <c r="Q279" s="94"/>
      <c r="R279" s="40">
        <f t="shared" si="8"/>
        <v>-35.263531080122902</v>
      </c>
    </row>
    <row r="280" spans="1:18" ht="15" customHeight="1" x14ac:dyDescent="0.3">
      <c r="A280" s="61">
        <v>13</v>
      </c>
      <c r="B280" s="61"/>
      <c r="C280" s="88" t="s">
        <v>670</v>
      </c>
      <c r="D280" s="88"/>
      <c r="E280" s="88"/>
      <c r="F280" s="88"/>
      <c r="G280" s="88"/>
      <c r="H280" s="88"/>
      <c r="I280" s="88"/>
      <c r="J280" s="93">
        <v>3000</v>
      </c>
      <c r="K280" s="93"/>
      <c r="L280" s="93"/>
      <c r="M280" s="93">
        <v>0</v>
      </c>
      <c r="N280" s="93"/>
      <c r="O280" s="93"/>
      <c r="P280" s="94">
        <f t="shared" si="7"/>
        <v>3000</v>
      </c>
      <c r="Q280" s="94"/>
      <c r="R280" s="40" t="str">
        <f t="shared" si="8"/>
        <v/>
      </c>
    </row>
    <row r="281" spans="1:18" ht="15" customHeight="1" x14ac:dyDescent="0.3">
      <c r="A281" s="61">
        <v>14</v>
      </c>
      <c r="B281" s="61"/>
      <c r="C281" s="88" t="s">
        <v>671</v>
      </c>
      <c r="D281" s="88"/>
      <c r="E281" s="88"/>
      <c r="F281" s="88"/>
      <c r="G281" s="88"/>
      <c r="H281" s="88"/>
      <c r="I281" s="88"/>
      <c r="J281" s="93">
        <v>473726</v>
      </c>
      <c r="K281" s="93"/>
      <c r="L281" s="93"/>
      <c r="M281" s="93">
        <v>438615</v>
      </c>
      <c r="N281" s="93"/>
      <c r="O281" s="93"/>
      <c r="P281" s="94">
        <f t="shared" si="7"/>
        <v>35111</v>
      </c>
      <c r="Q281" s="94"/>
      <c r="R281" s="40">
        <f t="shared" si="8"/>
        <v>8.0049701902579713</v>
      </c>
    </row>
    <row r="282" spans="1:18" ht="15" customHeight="1" x14ac:dyDescent="0.3">
      <c r="A282" s="61">
        <v>15</v>
      </c>
      <c r="B282" s="61"/>
      <c r="C282" s="88" t="s">
        <v>672</v>
      </c>
      <c r="D282" s="88"/>
      <c r="E282" s="88"/>
      <c r="F282" s="88"/>
      <c r="G282" s="88"/>
      <c r="H282" s="88"/>
      <c r="I282" s="88"/>
      <c r="J282" s="93">
        <v>0</v>
      </c>
      <c r="K282" s="93"/>
      <c r="L282" s="93"/>
      <c r="M282" s="93">
        <v>308046</v>
      </c>
      <c r="N282" s="93"/>
      <c r="O282" s="93"/>
      <c r="P282" s="94">
        <f t="shared" si="7"/>
        <v>-308046</v>
      </c>
      <c r="Q282" s="94"/>
      <c r="R282" s="40">
        <f t="shared" si="8"/>
        <v>-100</v>
      </c>
    </row>
    <row r="283" spans="1:18" ht="15" customHeight="1" x14ac:dyDescent="0.3">
      <c r="A283" s="61">
        <v>16</v>
      </c>
      <c r="B283" s="61"/>
      <c r="C283" s="88" t="s">
        <v>673</v>
      </c>
      <c r="D283" s="88"/>
      <c r="E283" s="88"/>
      <c r="F283" s="88"/>
      <c r="G283" s="88"/>
      <c r="H283" s="88"/>
      <c r="I283" s="88"/>
      <c r="J283" s="93">
        <v>1492029</v>
      </c>
      <c r="K283" s="93"/>
      <c r="L283" s="93"/>
      <c r="M283" s="93">
        <v>705212</v>
      </c>
      <c r="N283" s="93"/>
      <c r="O283" s="93"/>
      <c r="P283" s="94">
        <f t="shared" si="7"/>
        <v>786817</v>
      </c>
      <c r="Q283" s="94"/>
      <c r="R283" s="40">
        <f t="shared" si="8"/>
        <v>111.57169758881017</v>
      </c>
    </row>
    <row r="284" spans="1:18" ht="15" customHeight="1" x14ac:dyDescent="0.3">
      <c r="A284" s="61">
        <v>17</v>
      </c>
      <c r="B284" s="61"/>
      <c r="C284" s="88" t="s">
        <v>674</v>
      </c>
      <c r="D284" s="88"/>
      <c r="E284" s="88"/>
      <c r="F284" s="88"/>
      <c r="G284" s="88"/>
      <c r="H284" s="88"/>
      <c r="I284" s="88"/>
      <c r="J284" s="93">
        <v>16000</v>
      </c>
      <c r="K284" s="93"/>
      <c r="L284" s="93"/>
      <c r="M284" s="93">
        <v>6000</v>
      </c>
      <c r="N284" s="93"/>
      <c r="O284" s="93"/>
      <c r="P284" s="94">
        <f t="shared" si="7"/>
        <v>10000</v>
      </c>
      <c r="Q284" s="94"/>
      <c r="R284" s="40">
        <f t="shared" si="8"/>
        <v>166.66666666666666</v>
      </c>
    </row>
    <row r="285" spans="1:18" ht="15" customHeight="1" x14ac:dyDescent="0.3">
      <c r="A285" s="61">
        <v>18</v>
      </c>
      <c r="B285" s="61"/>
      <c r="C285" s="88" t="s">
        <v>675</v>
      </c>
      <c r="D285" s="88"/>
      <c r="E285" s="88"/>
      <c r="F285" s="88"/>
      <c r="G285" s="88"/>
      <c r="H285" s="88"/>
      <c r="I285" s="88"/>
      <c r="J285" s="93">
        <v>0</v>
      </c>
      <c r="K285" s="93"/>
      <c r="L285" s="93"/>
      <c r="M285" s="93">
        <v>24850</v>
      </c>
      <c r="N285" s="93"/>
      <c r="O285" s="93"/>
      <c r="P285" s="94">
        <f t="shared" si="7"/>
        <v>-24850</v>
      </c>
      <c r="Q285" s="94"/>
      <c r="R285" s="40">
        <f t="shared" si="8"/>
        <v>-100</v>
      </c>
    </row>
    <row r="286" spans="1:18" ht="15" customHeight="1" x14ac:dyDescent="0.3">
      <c r="A286" s="61">
        <v>19</v>
      </c>
      <c r="B286" s="61"/>
      <c r="C286" s="88" t="s">
        <v>676</v>
      </c>
      <c r="D286" s="88"/>
      <c r="E286" s="88"/>
      <c r="F286" s="88"/>
      <c r="G286" s="88"/>
      <c r="H286" s="88"/>
      <c r="I286" s="88"/>
      <c r="J286" s="93">
        <v>0</v>
      </c>
      <c r="K286" s="93"/>
      <c r="L286" s="93"/>
      <c r="M286" s="93">
        <v>14200</v>
      </c>
      <c r="N286" s="93"/>
      <c r="O286" s="93"/>
      <c r="P286" s="94">
        <f t="shared" si="7"/>
        <v>-14200</v>
      </c>
      <c r="Q286" s="94"/>
      <c r="R286" s="40">
        <f t="shared" si="8"/>
        <v>-100</v>
      </c>
    </row>
    <row r="287" spans="1:18" ht="15" customHeight="1" x14ac:dyDescent="0.3">
      <c r="A287" s="61">
        <v>20</v>
      </c>
      <c r="B287" s="61"/>
      <c r="C287" s="88" t="s">
        <v>677</v>
      </c>
      <c r="D287" s="88"/>
      <c r="E287" s="88"/>
      <c r="F287" s="88"/>
      <c r="G287" s="88"/>
      <c r="H287" s="88"/>
      <c r="I287" s="88"/>
      <c r="J287" s="93">
        <v>0</v>
      </c>
      <c r="K287" s="93"/>
      <c r="L287" s="93"/>
      <c r="M287" s="93">
        <v>790</v>
      </c>
      <c r="N287" s="93"/>
      <c r="O287" s="93"/>
      <c r="P287" s="94">
        <f t="shared" si="7"/>
        <v>-790</v>
      </c>
      <c r="Q287" s="94"/>
      <c r="R287" s="40">
        <f t="shared" si="8"/>
        <v>-100</v>
      </c>
    </row>
    <row r="288" spans="1:18" ht="15" customHeight="1" x14ac:dyDescent="0.3">
      <c r="A288" s="61">
        <v>21</v>
      </c>
      <c r="B288" s="61"/>
      <c r="C288" s="88" t="s">
        <v>678</v>
      </c>
      <c r="D288" s="88"/>
      <c r="E288" s="88"/>
      <c r="F288" s="88"/>
      <c r="G288" s="88"/>
      <c r="H288" s="88"/>
      <c r="I288" s="88"/>
      <c r="J288" s="93">
        <v>0</v>
      </c>
      <c r="K288" s="93"/>
      <c r="L288" s="93"/>
      <c r="M288" s="93">
        <v>10900</v>
      </c>
      <c r="N288" s="93"/>
      <c r="O288" s="93"/>
      <c r="P288" s="94">
        <f t="shared" si="7"/>
        <v>-10900</v>
      </c>
      <c r="Q288" s="94"/>
      <c r="R288" s="40">
        <f t="shared" si="8"/>
        <v>-100</v>
      </c>
    </row>
    <row r="289" spans="1:18" ht="15" customHeight="1" x14ac:dyDescent="0.3">
      <c r="A289" s="61">
        <v>22</v>
      </c>
      <c r="B289" s="61"/>
      <c r="C289" s="88" t="s">
        <v>679</v>
      </c>
      <c r="D289" s="88"/>
      <c r="E289" s="88"/>
      <c r="F289" s="88"/>
      <c r="G289" s="88"/>
      <c r="H289" s="88"/>
      <c r="I289" s="88"/>
      <c r="J289" s="93">
        <v>0</v>
      </c>
      <c r="K289" s="93"/>
      <c r="L289" s="93"/>
      <c r="M289" s="93">
        <v>30600</v>
      </c>
      <c r="N289" s="93"/>
      <c r="O289" s="93"/>
      <c r="P289" s="94">
        <f t="shared" si="7"/>
        <v>-30600</v>
      </c>
      <c r="Q289" s="94"/>
      <c r="R289" s="40">
        <f t="shared" si="8"/>
        <v>-100</v>
      </c>
    </row>
    <row r="290" spans="1:18" ht="15" customHeight="1" x14ac:dyDescent="0.3">
      <c r="A290" s="61">
        <v>23</v>
      </c>
      <c r="B290" s="61"/>
      <c r="C290" s="88" t="s">
        <v>680</v>
      </c>
      <c r="D290" s="88"/>
      <c r="E290" s="88"/>
      <c r="F290" s="88"/>
      <c r="G290" s="88"/>
      <c r="H290" s="88"/>
      <c r="I290" s="88"/>
      <c r="J290" s="93">
        <v>23587</v>
      </c>
      <c r="K290" s="93"/>
      <c r="L290" s="93"/>
      <c r="M290" s="93">
        <v>0</v>
      </c>
      <c r="N290" s="93"/>
      <c r="O290" s="93"/>
      <c r="P290" s="94">
        <f t="shared" si="7"/>
        <v>23587</v>
      </c>
      <c r="Q290" s="94"/>
      <c r="R290" s="40" t="str">
        <f t="shared" si="8"/>
        <v/>
      </c>
    </row>
    <row r="291" spans="1:18" ht="15" customHeight="1" x14ac:dyDescent="0.3">
      <c r="A291" s="61">
        <v>24</v>
      </c>
      <c r="B291" s="61"/>
      <c r="C291" s="88" t="s">
        <v>681</v>
      </c>
      <c r="D291" s="88"/>
      <c r="E291" s="88"/>
      <c r="F291" s="88"/>
      <c r="G291" s="88"/>
      <c r="H291" s="88"/>
      <c r="I291" s="88"/>
      <c r="J291" s="93">
        <v>65900</v>
      </c>
      <c r="K291" s="93"/>
      <c r="L291" s="93"/>
      <c r="M291" s="93">
        <v>73010</v>
      </c>
      <c r="N291" s="93"/>
      <c r="O291" s="93"/>
      <c r="P291" s="94">
        <f t="shared" si="7"/>
        <v>-7110</v>
      </c>
      <c r="Q291" s="94"/>
      <c r="R291" s="40">
        <f t="shared" si="8"/>
        <v>-9.7383920010957397</v>
      </c>
    </row>
    <row r="292" spans="1:18" ht="15" customHeight="1" x14ac:dyDescent="0.3">
      <c r="A292" s="61">
        <v>25</v>
      </c>
      <c r="B292" s="61"/>
      <c r="C292" s="88" t="s">
        <v>682</v>
      </c>
      <c r="D292" s="88"/>
      <c r="E292" s="88"/>
      <c r="F292" s="88"/>
      <c r="G292" s="88"/>
      <c r="H292" s="88"/>
      <c r="I292" s="88"/>
      <c r="J292" s="93">
        <v>4700</v>
      </c>
      <c r="K292" s="93"/>
      <c r="L292" s="93"/>
      <c r="M292" s="93">
        <v>19896</v>
      </c>
      <c r="N292" s="93"/>
      <c r="O292" s="93"/>
      <c r="P292" s="94">
        <f t="shared" si="7"/>
        <v>-15196</v>
      </c>
      <c r="Q292" s="94"/>
      <c r="R292" s="40">
        <f t="shared" si="8"/>
        <v>-76.377161238439882</v>
      </c>
    </row>
    <row r="293" spans="1:18" ht="15" customHeight="1" x14ac:dyDescent="0.3">
      <c r="A293" s="61">
        <v>26</v>
      </c>
      <c r="B293" s="61"/>
      <c r="C293" s="88" t="s">
        <v>683</v>
      </c>
      <c r="D293" s="88"/>
      <c r="E293" s="88"/>
      <c r="F293" s="88"/>
      <c r="G293" s="88"/>
      <c r="H293" s="88"/>
      <c r="I293" s="88"/>
      <c r="J293" s="93">
        <v>145011</v>
      </c>
      <c r="K293" s="93"/>
      <c r="L293" s="93"/>
      <c r="M293" s="93">
        <v>40600</v>
      </c>
      <c r="N293" s="93"/>
      <c r="O293" s="93"/>
      <c r="P293" s="94">
        <f t="shared" si="7"/>
        <v>104411</v>
      </c>
      <c r="Q293" s="94"/>
      <c r="R293" s="40">
        <f t="shared" si="8"/>
        <v>257.16995073891627</v>
      </c>
    </row>
    <row r="294" spans="1:18" ht="15" customHeight="1" x14ac:dyDescent="0.3">
      <c r="A294" s="61">
        <v>27</v>
      </c>
      <c r="B294" s="61"/>
      <c r="C294" s="88" t="s">
        <v>684</v>
      </c>
      <c r="D294" s="88"/>
      <c r="E294" s="88"/>
      <c r="F294" s="88"/>
      <c r="G294" s="88"/>
      <c r="H294" s="88"/>
      <c r="I294" s="88"/>
      <c r="J294" s="93">
        <v>9800</v>
      </c>
      <c r="K294" s="93"/>
      <c r="L294" s="93"/>
      <c r="M294" s="93">
        <v>86464</v>
      </c>
      <c r="N294" s="93"/>
      <c r="O294" s="93"/>
      <c r="P294" s="94">
        <f t="shared" si="7"/>
        <v>-76664</v>
      </c>
      <c r="Q294" s="94"/>
      <c r="R294" s="40">
        <f t="shared" si="8"/>
        <v>-88.665803108808291</v>
      </c>
    </row>
    <row r="295" spans="1:18" ht="15" customHeight="1" x14ac:dyDescent="0.3">
      <c r="A295" s="61">
        <v>28</v>
      </c>
      <c r="B295" s="61"/>
      <c r="C295" s="88" t="s">
        <v>685</v>
      </c>
      <c r="D295" s="88"/>
      <c r="E295" s="88"/>
      <c r="F295" s="88"/>
      <c r="G295" s="88"/>
      <c r="H295" s="88"/>
      <c r="I295" s="88"/>
      <c r="J295" s="93">
        <v>89750</v>
      </c>
      <c r="K295" s="93"/>
      <c r="L295" s="93"/>
      <c r="M295" s="93">
        <v>0</v>
      </c>
      <c r="N295" s="93"/>
      <c r="O295" s="93"/>
      <c r="P295" s="94">
        <f t="shared" si="7"/>
        <v>89750</v>
      </c>
      <c r="Q295" s="94"/>
      <c r="R295" s="40" t="str">
        <f t="shared" si="8"/>
        <v/>
      </c>
    </row>
    <row r="296" spans="1:18" ht="15" customHeight="1" x14ac:dyDescent="0.3">
      <c r="A296" s="61">
        <v>29</v>
      </c>
      <c r="B296" s="61"/>
      <c r="C296" s="88" t="s">
        <v>686</v>
      </c>
      <c r="D296" s="88"/>
      <c r="E296" s="88"/>
      <c r="F296" s="88"/>
      <c r="G296" s="88"/>
      <c r="H296" s="88"/>
      <c r="I296" s="88"/>
      <c r="J296" s="93">
        <v>0</v>
      </c>
      <c r="K296" s="93"/>
      <c r="L296" s="93"/>
      <c r="M296" s="93">
        <v>4000</v>
      </c>
      <c r="N296" s="93"/>
      <c r="O296" s="93"/>
      <c r="P296" s="94">
        <f t="shared" si="7"/>
        <v>-4000</v>
      </c>
      <c r="Q296" s="94"/>
      <c r="R296" s="40">
        <f t="shared" si="8"/>
        <v>-100</v>
      </c>
    </row>
    <row r="297" spans="1:18" ht="15" customHeight="1" x14ac:dyDescent="0.3">
      <c r="A297" s="95"/>
      <c r="B297" s="95"/>
      <c r="C297" s="96" t="s">
        <v>687</v>
      </c>
      <c r="D297" s="96"/>
      <c r="E297" s="96"/>
      <c r="F297" s="96"/>
      <c r="G297" s="96"/>
      <c r="H297" s="96"/>
      <c r="I297" s="96"/>
      <c r="J297" s="97">
        <f>SUM(J268:L296)</f>
        <v>3558578.4</v>
      </c>
      <c r="K297" s="97"/>
      <c r="L297" s="97"/>
      <c r="M297" s="97">
        <f>SUM(M268:O296)</f>
        <v>2529571</v>
      </c>
      <c r="N297" s="97"/>
      <c r="O297" s="97"/>
      <c r="P297" s="97">
        <f t="shared" si="7"/>
        <v>1029007.3999999999</v>
      </c>
      <c r="Q297" s="97"/>
      <c r="R297" s="42">
        <f t="shared" si="8"/>
        <v>40.679127014027273</v>
      </c>
    </row>
    <row r="298" spans="1:18" ht="15" customHeight="1" x14ac:dyDescent="0.3">
      <c r="A298" s="95"/>
      <c r="B298" s="95"/>
      <c r="C298" s="96" t="s">
        <v>688</v>
      </c>
      <c r="D298" s="96"/>
      <c r="E298" s="96"/>
      <c r="F298" s="96"/>
      <c r="G298" s="96"/>
      <c r="H298" s="96"/>
      <c r="I298" s="96"/>
      <c r="J298" s="97">
        <f>+J266-J297</f>
        <v>-565589</v>
      </c>
      <c r="K298" s="97"/>
      <c r="L298" s="97"/>
      <c r="M298" s="97">
        <f>+M266-M297</f>
        <v>91679</v>
      </c>
      <c r="N298" s="97"/>
      <c r="O298" s="97"/>
      <c r="P298" s="97">
        <f t="shared" si="7"/>
        <v>-657268</v>
      </c>
      <c r="Q298" s="97"/>
      <c r="R298" s="42">
        <f t="shared" si="8"/>
        <v>-716.92317760883077</v>
      </c>
    </row>
    <row r="299" spans="1:18" ht="48.75" customHeight="1" x14ac:dyDescent="0.3">
      <c r="B299" s="81" t="s">
        <v>689</v>
      </c>
      <c r="C299" s="81"/>
      <c r="D299" s="81"/>
      <c r="E299" s="81"/>
      <c r="F299" s="81"/>
      <c r="G299" s="81"/>
      <c r="H299" s="81"/>
      <c r="I299" s="81"/>
      <c r="J299" s="81"/>
      <c r="K299" s="81"/>
      <c r="L299" s="81"/>
      <c r="M299" s="81"/>
      <c r="N299" s="81"/>
      <c r="O299" s="81"/>
      <c r="P299" s="81"/>
      <c r="Q299" s="81"/>
      <c r="R299" s="81"/>
    </row>
    <row r="301" spans="1:18" ht="13.5" customHeight="1" x14ac:dyDescent="0.3">
      <c r="B301" s="37">
        <v>1</v>
      </c>
      <c r="C301" s="69" t="s">
        <v>690</v>
      </c>
      <c r="D301" s="69"/>
      <c r="E301" s="69"/>
      <c r="F301" s="69"/>
      <c r="G301" s="69"/>
      <c r="H301" s="69"/>
      <c r="I301" s="69"/>
      <c r="J301" s="69"/>
      <c r="K301" s="69"/>
      <c r="L301" s="69"/>
      <c r="M301" s="69"/>
      <c r="N301" s="69"/>
      <c r="O301" s="69"/>
      <c r="P301" s="69"/>
      <c r="Q301" s="69"/>
      <c r="R301" s="69"/>
    </row>
    <row r="302" spans="1:18" ht="48.75" customHeight="1" x14ac:dyDescent="0.3">
      <c r="C302" s="2" t="s">
        <v>691</v>
      </c>
      <c r="D302" s="2"/>
      <c r="E302" s="2"/>
      <c r="F302" s="2"/>
      <c r="G302" s="2"/>
      <c r="H302" s="2"/>
      <c r="I302" s="2"/>
      <c r="J302" s="2"/>
      <c r="K302" s="2"/>
      <c r="L302" s="2"/>
      <c r="M302" s="2"/>
      <c r="N302" s="2"/>
      <c r="O302" s="2"/>
      <c r="P302" s="2"/>
      <c r="Q302" s="2"/>
      <c r="R302" s="2"/>
    </row>
    <row r="303" spans="1:18" ht="13.5" customHeight="1" x14ac:dyDescent="0.3">
      <c r="B303" s="37">
        <v>2</v>
      </c>
      <c r="C303" s="69" t="s">
        <v>692</v>
      </c>
      <c r="D303" s="69"/>
      <c r="E303" s="69"/>
      <c r="F303" s="69"/>
      <c r="G303" s="69"/>
      <c r="H303" s="69"/>
      <c r="I303" s="69"/>
      <c r="J303" s="69"/>
      <c r="K303" s="69"/>
      <c r="L303" s="69"/>
      <c r="M303" s="69"/>
      <c r="N303" s="69"/>
      <c r="O303" s="69"/>
      <c r="P303" s="69"/>
      <c r="Q303" s="69"/>
      <c r="R303" s="69"/>
    </row>
    <row r="304" spans="1:18" ht="81" customHeight="1" x14ac:dyDescent="0.3">
      <c r="C304" s="2" t="s">
        <v>693</v>
      </c>
      <c r="D304" s="2"/>
      <c r="E304" s="2"/>
      <c r="F304" s="2"/>
      <c r="G304" s="2"/>
      <c r="H304" s="2"/>
      <c r="I304" s="2"/>
      <c r="J304" s="2"/>
      <c r="K304" s="2"/>
      <c r="L304" s="2"/>
      <c r="M304" s="2"/>
      <c r="N304" s="2"/>
      <c r="O304" s="2"/>
      <c r="P304" s="2"/>
      <c r="Q304" s="2"/>
      <c r="R304" s="2"/>
    </row>
    <row r="305" spans="1:18" ht="13.5" customHeight="1" x14ac:dyDescent="0.3">
      <c r="B305" s="37">
        <v>3</v>
      </c>
      <c r="C305" s="69" t="s">
        <v>694</v>
      </c>
      <c r="D305" s="69"/>
      <c r="E305" s="69"/>
      <c r="F305" s="69"/>
      <c r="G305" s="69"/>
      <c r="H305" s="69"/>
      <c r="I305" s="69"/>
      <c r="J305" s="69"/>
      <c r="K305" s="69"/>
      <c r="L305" s="69"/>
      <c r="M305" s="69"/>
      <c r="N305" s="69"/>
      <c r="O305" s="69"/>
      <c r="P305" s="69"/>
      <c r="Q305" s="69"/>
      <c r="R305" s="69"/>
    </row>
    <row r="306" spans="1:18" ht="54" customHeight="1" x14ac:dyDescent="0.3">
      <c r="C306" s="2" t="s">
        <v>695</v>
      </c>
      <c r="D306" s="2"/>
      <c r="E306" s="2"/>
      <c r="F306" s="2"/>
      <c r="G306" s="2"/>
      <c r="H306" s="2"/>
      <c r="I306" s="2"/>
      <c r="J306" s="2"/>
      <c r="K306" s="2"/>
      <c r="L306" s="2"/>
      <c r="M306" s="2"/>
      <c r="N306" s="2"/>
      <c r="O306" s="2"/>
      <c r="P306" s="2"/>
      <c r="Q306" s="2"/>
      <c r="R306" s="2"/>
    </row>
    <row r="307" spans="1:18" ht="40.5" customHeight="1" x14ac:dyDescent="0.3">
      <c r="C307" s="2" t="s">
        <v>696</v>
      </c>
      <c r="D307" s="2"/>
      <c r="E307" s="2"/>
      <c r="F307" s="2"/>
      <c r="G307" s="2"/>
      <c r="H307" s="2"/>
      <c r="I307" s="2"/>
      <c r="J307" s="2"/>
      <c r="K307" s="2"/>
      <c r="L307" s="2"/>
      <c r="M307" s="2"/>
      <c r="N307" s="2"/>
      <c r="O307" s="2"/>
      <c r="P307" s="2"/>
      <c r="Q307" s="2"/>
      <c r="R307" s="2"/>
    </row>
    <row r="309" spans="1:18" ht="15" customHeight="1" x14ac:dyDescent="0.3">
      <c r="A309" s="56" t="s">
        <v>697</v>
      </c>
      <c r="B309" s="56"/>
      <c r="C309" s="56"/>
      <c r="D309" s="56"/>
      <c r="E309" s="56"/>
      <c r="F309" s="56"/>
      <c r="G309" s="56"/>
      <c r="H309" s="56"/>
      <c r="I309" s="56"/>
      <c r="J309" s="56"/>
      <c r="K309" s="56"/>
      <c r="L309" s="56"/>
      <c r="M309" s="56"/>
      <c r="N309" s="56"/>
      <c r="O309" s="56"/>
      <c r="P309" s="56"/>
      <c r="Q309" s="56"/>
      <c r="R309" s="56"/>
    </row>
    <row r="311" spans="1:18" ht="36" customHeight="1" x14ac:dyDescent="0.3">
      <c r="B311" s="37">
        <v>1</v>
      </c>
      <c r="C311" s="2" t="s">
        <v>698</v>
      </c>
      <c r="D311" s="2"/>
      <c r="E311" s="2"/>
      <c r="F311" s="2"/>
      <c r="G311" s="2"/>
      <c r="H311" s="2"/>
      <c r="I311" s="2"/>
      <c r="J311" s="2"/>
      <c r="K311" s="2"/>
      <c r="L311" s="2"/>
      <c r="M311" s="2"/>
      <c r="N311" s="2"/>
      <c r="O311" s="2"/>
      <c r="P311" s="2"/>
      <c r="Q311" s="2"/>
      <c r="R311" s="2"/>
    </row>
    <row r="312" spans="1:18" ht="24" customHeight="1" x14ac:dyDescent="0.3">
      <c r="B312" s="37">
        <v>2</v>
      </c>
      <c r="C312" s="51" t="str">
        <f>"Having regard to the matters reported in Parts A, B and C above, I award "&amp;CHAR(34)&amp;TIT!D32&amp;CHAR(34)&amp;" classification to the Society for the year under audit."</f>
        <v>Having regard to the matters reported in Parts A, B and C above, I award "B" classification to the Society for the year under audit.</v>
      </c>
      <c r="D312" s="51"/>
      <c r="E312" s="51"/>
      <c r="F312" s="51"/>
      <c r="G312" s="51"/>
      <c r="H312" s="51"/>
      <c r="I312" s="51"/>
      <c r="J312" s="51"/>
      <c r="K312" s="51"/>
      <c r="L312" s="51"/>
      <c r="M312" s="51"/>
      <c r="N312" s="51"/>
      <c r="O312" s="51"/>
      <c r="P312" s="51"/>
      <c r="Q312" s="51"/>
      <c r="R312" s="51"/>
    </row>
    <row r="316" spans="1:18" ht="15" customHeight="1" x14ac:dyDescent="0.3">
      <c r="K316" s="15" t="str">
        <f>+TIT!D9</f>
        <v>Shri. Bharat C. Boridkar</v>
      </c>
    </row>
    <row r="317" spans="1:18" ht="15" customHeight="1" x14ac:dyDescent="0.3">
      <c r="K317" s="17" t="str">
        <f>+TIT!F9</f>
        <v>Govt. Certified Panel Auditor</v>
      </c>
    </row>
    <row r="318" spans="1:18" ht="15" customHeight="1" x14ac:dyDescent="0.3">
      <c r="A318" s="18">
        <f>+TIT!$D$12</f>
        <v>46282</v>
      </c>
      <c r="K318" s="17" t="str">
        <f>"[Panel No.: "&amp;TIT!D10&amp;"]"</f>
        <v>[Panel No.: Mumbai-4/C1/1011404]</v>
      </c>
    </row>
    <row r="321" spans="1:18" ht="15" customHeight="1" x14ac:dyDescent="0.3">
      <c r="A321" s="56" t="s">
        <v>699</v>
      </c>
      <c r="B321" s="56"/>
      <c r="C321" s="56"/>
      <c r="D321" s="56"/>
      <c r="E321" s="56"/>
      <c r="F321" s="56"/>
      <c r="G321" s="56"/>
      <c r="H321" s="56"/>
      <c r="I321" s="56"/>
      <c r="J321" s="56"/>
      <c r="K321" s="56"/>
      <c r="L321" s="56"/>
      <c r="M321" s="56"/>
      <c r="N321" s="56"/>
      <c r="O321" s="56"/>
      <c r="P321" s="56"/>
      <c r="Q321" s="56"/>
      <c r="R321" s="56"/>
    </row>
    <row r="323" spans="1:18" ht="15" customHeight="1" x14ac:dyDescent="0.3">
      <c r="A323" s="55" t="s">
        <v>700</v>
      </c>
      <c r="B323" s="55"/>
      <c r="C323" s="55"/>
      <c r="D323" s="55"/>
      <c r="E323" s="55"/>
      <c r="F323" s="55"/>
      <c r="G323" s="55"/>
      <c r="H323" s="55"/>
      <c r="I323" s="55"/>
      <c r="J323" s="55"/>
      <c r="K323" s="55"/>
      <c r="L323" s="55"/>
      <c r="M323" s="55"/>
      <c r="N323" s="55"/>
      <c r="O323" s="55"/>
      <c r="P323" s="55"/>
      <c r="Q323" s="55"/>
      <c r="R323" s="55"/>
    </row>
    <row r="324" spans="1:18" ht="40.5" customHeight="1" x14ac:dyDescent="0.3">
      <c r="B324" s="31">
        <v>1</v>
      </c>
      <c r="C324" s="2" t="s">
        <v>701</v>
      </c>
      <c r="D324" s="2"/>
      <c r="E324" s="2"/>
      <c r="F324" s="2"/>
      <c r="G324" s="2"/>
      <c r="H324" s="2"/>
      <c r="I324" s="2"/>
      <c r="J324" s="2"/>
      <c r="K324" s="2"/>
      <c r="L324" s="2"/>
      <c r="M324" s="2"/>
      <c r="N324" s="2"/>
      <c r="O324" s="2"/>
      <c r="P324" s="2"/>
      <c r="Q324" s="2"/>
      <c r="R324" s="2"/>
    </row>
    <row r="325" spans="1:18" ht="27" customHeight="1" x14ac:dyDescent="0.3">
      <c r="B325" s="31">
        <v>2</v>
      </c>
      <c r="C325" s="2" t="s">
        <v>702</v>
      </c>
      <c r="D325" s="2"/>
      <c r="E325" s="2"/>
      <c r="F325" s="2"/>
      <c r="G325" s="2"/>
      <c r="H325" s="2"/>
      <c r="I325" s="2"/>
      <c r="J325" s="2"/>
      <c r="K325" s="2"/>
      <c r="L325" s="2"/>
      <c r="M325" s="2"/>
      <c r="N325" s="2"/>
      <c r="O325" s="2"/>
      <c r="P325" s="2"/>
      <c r="Q325" s="2"/>
      <c r="R325" s="2"/>
    </row>
    <row r="326" spans="1:18" ht="27" customHeight="1" x14ac:dyDescent="0.3">
      <c r="B326" s="31">
        <v>3</v>
      </c>
      <c r="C326" s="2" t="s">
        <v>703</v>
      </c>
      <c r="D326" s="2"/>
      <c r="E326" s="2"/>
      <c r="F326" s="2"/>
      <c r="G326" s="2"/>
      <c r="H326" s="2"/>
      <c r="I326" s="2"/>
      <c r="J326" s="2"/>
      <c r="K326" s="2"/>
      <c r="L326" s="2"/>
      <c r="M326" s="2"/>
      <c r="N326" s="2"/>
      <c r="O326" s="2"/>
      <c r="P326" s="2"/>
      <c r="Q326" s="2"/>
      <c r="R326" s="2"/>
    </row>
    <row r="327" spans="1:18" ht="27" customHeight="1" x14ac:dyDescent="0.3">
      <c r="B327" s="31">
        <v>4</v>
      </c>
      <c r="C327" s="2" t="s">
        <v>704</v>
      </c>
      <c r="D327" s="2"/>
      <c r="E327" s="2"/>
      <c r="F327" s="2"/>
      <c r="G327" s="2"/>
      <c r="H327" s="2"/>
      <c r="I327" s="2"/>
      <c r="J327" s="2"/>
      <c r="K327" s="2"/>
      <c r="L327" s="2"/>
      <c r="M327" s="2"/>
      <c r="N327" s="2"/>
      <c r="O327" s="2"/>
      <c r="P327" s="2"/>
      <c r="Q327" s="2"/>
      <c r="R327" s="2"/>
    </row>
    <row r="328" spans="1:18" ht="27" customHeight="1" x14ac:dyDescent="0.3">
      <c r="B328" s="31">
        <v>5</v>
      </c>
      <c r="C328" s="2" t="s">
        <v>705</v>
      </c>
      <c r="D328" s="2"/>
      <c r="E328" s="2"/>
      <c r="F328" s="2"/>
      <c r="G328" s="2"/>
      <c r="H328" s="2"/>
      <c r="I328" s="2"/>
      <c r="J328" s="2"/>
      <c r="K328" s="2"/>
      <c r="L328" s="2"/>
      <c r="M328" s="2"/>
      <c r="N328" s="2"/>
      <c r="O328" s="2"/>
      <c r="P328" s="2"/>
      <c r="Q328" s="2"/>
      <c r="R328" s="2"/>
    </row>
    <row r="329" spans="1:18" ht="27" customHeight="1" x14ac:dyDescent="0.3">
      <c r="B329" s="31">
        <v>6</v>
      </c>
      <c r="C329" s="2" t="s">
        <v>706</v>
      </c>
      <c r="D329" s="2"/>
      <c r="E329" s="2"/>
      <c r="F329" s="2"/>
      <c r="G329" s="2"/>
      <c r="H329" s="2"/>
      <c r="I329" s="2"/>
      <c r="J329" s="2"/>
      <c r="K329" s="2"/>
      <c r="L329" s="2"/>
      <c r="M329" s="2"/>
      <c r="N329" s="2"/>
      <c r="O329" s="2"/>
      <c r="P329" s="2"/>
      <c r="Q329" s="2"/>
      <c r="R329" s="2"/>
    </row>
    <row r="330" spans="1:18" ht="27" customHeight="1" x14ac:dyDescent="0.3">
      <c r="B330" s="31">
        <v>7</v>
      </c>
      <c r="C330" s="2" t="s">
        <v>707</v>
      </c>
      <c r="D330" s="2"/>
      <c r="E330" s="2"/>
      <c r="F330" s="2"/>
      <c r="G330" s="2"/>
      <c r="H330" s="2"/>
      <c r="I330" s="2"/>
      <c r="J330" s="2"/>
      <c r="K330" s="2"/>
      <c r="L330" s="2"/>
      <c r="M330" s="2"/>
      <c r="N330" s="2"/>
      <c r="O330" s="2"/>
      <c r="P330" s="2"/>
      <c r="Q330" s="2"/>
      <c r="R330" s="2"/>
    </row>
    <row r="331" spans="1:18" ht="13.5" customHeight="1" x14ac:dyDescent="0.3">
      <c r="B331" s="31">
        <v>8</v>
      </c>
      <c r="C331" s="2" t="s">
        <v>708</v>
      </c>
      <c r="D331" s="2"/>
      <c r="E331" s="2"/>
      <c r="F331" s="2"/>
      <c r="G331" s="2"/>
      <c r="H331" s="2"/>
      <c r="I331" s="2"/>
      <c r="J331" s="2"/>
      <c r="K331" s="2"/>
      <c r="L331" s="2"/>
      <c r="M331" s="2"/>
      <c r="N331" s="2"/>
      <c r="O331" s="2"/>
      <c r="P331" s="2"/>
      <c r="Q331" s="2"/>
      <c r="R331" s="2"/>
    </row>
    <row r="332" spans="1:18" ht="27" customHeight="1" x14ac:dyDescent="0.3">
      <c r="B332" s="31">
        <v>9</v>
      </c>
      <c r="C332" s="2" t="s">
        <v>709</v>
      </c>
      <c r="D332" s="2"/>
      <c r="E332" s="2"/>
      <c r="F332" s="2"/>
      <c r="G332" s="2"/>
      <c r="H332" s="2"/>
      <c r="I332" s="2"/>
      <c r="J332" s="2"/>
      <c r="K332" s="2"/>
      <c r="L332" s="2"/>
      <c r="M332" s="2"/>
      <c r="N332" s="2"/>
      <c r="O332" s="2"/>
      <c r="P332" s="2"/>
      <c r="Q332" s="2"/>
      <c r="R332" s="2"/>
    </row>
    <row r="333" spans="1:18" ht="27" customHeight="1" x14ac:dyDescent="0.3">
      <c r="B333" s="31">
        <v>10</v>
      </c>
      <c r="C333" s="2" t="s">
        <v>710</v>
      </c>
      <c r="D333" s="2"/>
      <c r="E333" s="2"/>
      <c r="F333" s="2"/>
      <c r="G333" s="2"/>
      <c r="H333" s="2"/>
      <c r="I333" s="2"/>
      <c r="J333" s="2"/>
      <c r="K333" s="2"/>
      <c r="L333" s="2"/>
      <c r="M333" s="2"/>
      <c r="N333" s="2"/>
      <c r="O333" s="2"/>
      <c r="P333" s="2"/>
      <c r="Q333" s="2"/>
      <c r="R333" s="2"/>
    </row>
    <row r="334" spans="1:18" ht="27" customHeight="1" x14ac:dyDescent="0.3">
      <c r="B334" s="31">
        <v>11</v>
      </c>
      <c r="C334" s="2" t="s">
        <v>711</v>
      </c>
      <c r="D334" s="2"/>
      <c r="E334" s="2"/>
      <c r="F334" s="2"/>
      <c r="G334" s="2"/>
      <c r="H334" s="2"/>
      <c r="I334" s="2"/>
      <c r="J334" s="2"/>
      <c r="K334" s="2"/>
      <c r="L334" s="2"/>
      <c r="M334" s="2"/>
      <c r="N334" s="2"/>
      <c r="O334" s="2"/>
      <c r="P334" s="2"/>
      <c r="Q334" s="2"/>
      <c r="R334" s="2"/>
    </row>
    <row r="335" spans="1:18" ht="27" customHeight="1" x14ac:dyDescent="0.3">
      <c r="B335" s="31">
        <v>12</v>
      </c>
      <c r="C335" s="2" t="s">
        <v>712</v>
      </c>
      <c r="D335" s="2"/>
      <c r="E335" s="2"/>
      <c r="F335" s="2"/>
      <c r="G335" s="2"/>
      <c r="H335" s="2"/>
      <c r="I335" s="2"/>
      <c r="J335" s="2"/>
      <c r="K335" s="2"/>
      <c r="L335" s="2"/>
      <c r="M335" s="2"/>
      <c r="N335" s="2"/>
      <c r="O335" s="2"/>
      <c r="P335" s="2"/>
      <c r="Q335" s="2"/>
      <c r="R335" s="2"/>
    </row>
    <row r="336" spans="1:18" ht="40.5" customHeight="1" x14ac:dyDescent="0.3">
      <c r="B336" s="31">
        <v>13</v>
      </c>
      <c r="C336" s="2" t="s">
        <v>713</v>
      </c>
      <c r="D336" s="2"/>
      <c r="E336" s="2"/>
      <c r="F336" s="2"/>
      <c r="G336" s="2"/>
      <c r="H336" s="2"/>
      <c r="I336" s="2"/>
      <c r="J336" s="2"/>
      <c r="K336" s="2"/>
      <c r="L336" s="2"/>
      <c r="M336" s="2"/>
      <c r="N336" s="2"/>
      <c r="O336" s="2"/>
      <c r="P336" s="2"/>
      <c r="Q336" s="2"/>
      <c r="R336" s="2"/>
    </row>
    <row r="337" spans="1:18" ht="13.5" customHeight="1" x14ac:dyDescent="0.3">
      <c r="B337" s="31">
        <v>14</v>
      </c>
      <c r="C337" s="2" t="s">
        <v>287</v>
      </c>
      <c r="D337" s="2"/>
      <c r="E337" s="2"/>
      <c r="F337" s="2"/>
      <c r="G337" s="2"/>
      <c r="H337" s="2"/>
      <c r="I337" s="2"/>
      <c r="J337" s="2"/>
      <c r="K337" s="2"/>
      <c r="L337" s="2"/>
      <c r="M337" s="2"/>
      <c r="N337" s="2"/>
      <c r="O337" s="2"/>
      <c r="P337" s="2"/>
      <c r="Q337" s="2"/>
      <c r="R337" s="2"/>
    </row>
    <row r="339" spans="1:18" ht="15" customHeight="1" x14ac:dyDescent="0.3">
      <c r="A339" s="55" t="s">
        <v>714</v>
      </c>
      <c r="B339" s="55"/>
      <c r="C339" s="55"/>
      <c r="D339" s="55"/>
      <c r="E339" s="55"/>
      <c r="F339" s="55"/>
      <c r="G339" s="55"/>
      <c r="H339" s="55"/>
      <c r="I339" s="55"/>
      <c r="J339" s="55"/>
      <c r="K339" s="55"/>
      <c r="L339" s="55"/>
      <c r="M339" s="55"/>
      <c r="N339" s="55"/>
      <c r="O339" s="55"/>
      <c r="P339" s="55"/>
      <c r="Q339" s="55"/>
      <c r="R339" s="55"/>
    </row>
    <row r="340" spans="1:18" ht="27" customHeight="1" x14ac:dyDescent="0.3">
      <c r="B340" s="2" t="s">
        <v>715</v>
      </c>
      <c r="C340" s="2"/>
      <c r="D340" s="2"/>
      <c r="E340" s="2"/>
      <c r="F340" s="2"/>
      <c r="G340" s="2"/>
      <c r="H340" s="2"/>
      <c r="I340" s="2"/>
      <c r="J340" s="2"/>
      <c r="K340" s="2"/>
      <c r="L340" s="2"/>
      <c r="M340" s="2"/>
      <c r="N340" s="2"/>
      <c r="O340" s="2"/>
      <c r="P340" s="2"/>
      <c r="Q340" s="2"/>
      <c r="R340" s="2"/>
    </row>
    <row r="341" spans="1:18" ht="13.5" customHeight="1" x14ac:dyDescent="0.3">
      <c r="C341" s="31" t="s">
        <v>551</v>
      </c>
      <c r="D341" s="2" t="s">
        <v>716</v>
      </c>
      <c r="E341" s="2"/>
      <c r="F341" s="2"/>
      <c r="G341" s="2"/>
      <c r="H341" s="2"/>
      <c r="I341" s="2"/>
      <c r="J341" s="2"/>
      <c r="K341" s="2"/>
      <c r="L341" s="2"/>
      <c r="M341" s="2"/>
      <c r="N341" s="2"/>
      <c r="O341" s="2"/>
      <c r="P341" s="2"/>
      <c r="Q341" s="2"/>
      <c r="R341" s="2"/>
    </row>
    <row r="342" spans="1:18" ht="13.5" customHeight="1" x14ac:dyDescent="0.3">
      <c r="C342" s="31" t="s">
        <v>553</v>
      </c>
      <c r="D342" s="2" t="s">
        <v>717</v>
      </c>
      <c r="E342" s="2"/>
      <c r="F342" s="2"/>
      <c r="G342" s="2"/>
      <c r="H342" s="2"/>
      <c r="I342" s="2"/>
      <c r="J342" s="2"/>
      <c r="K342" s="2"/>
      <c r="L342" s="2"/>
      <c r="M342" s="2"/>
      <c r="N342" s="2"/>
      <c r="O342" s="2"/>
      <c r="P342" s="2"/>
      <c r="Q342" s="2"/>
      <c r="R342" s="2"/>
    </row>
    <row r="343" spans="1:18" ht="13.5" customHeight="1" x14ac:dyDescent="0.3">
      <c r="C343" s="31" t="s">
        <v>555</v>
      </c>
      <c r="D343" s="2" t="s">
        <v>718</v>
      </c>
      <c r="E343" s="2"/>
      <c r="F343" s="2"/>
      <c r="G343" s="2"/>
      <c r="H343" s="2"/>
      <c r="I343" s="2"/>
      <c r="J343" s="2"/>
      <c r="K343" s="2"/>
      <c r="L343" s="2"/>
      <c r="M343" s="2"/>
      <c r="N343" s="2"/>
      <c r="O343" s="2"/>
      <c r="P343" s="2"/>
      <c r="Q343" s="2"/>
      <c r="R343" s="2"/>
    </row>
    <row r="344" spans="1:18" ht="13.5" customHeight="1" x14ac:dyDescent="0.3">
      <c r="C344" s="31" t="s">
        <v>625</v>
      </c>
      <c r="D344" s="2" t="s">
        <v>719</v>
      </c>
      <c r="E344" s="2"/>
      <c r="F344" s="2"/>
      <c r="G344" s="2"/>
      <c r="H344" s="2"/>
      <c r="I344" s="2"/>
      <c r="J344" s="2"/>
      <c r="K344" s="2"/>
      <c r="L344" s="2"/>
      <c r="M344" s="2"/>
      <c r="N344" s="2"/>
      <c r="O344" s="2"/>
      <c r="P344" s="2"/>
      <c r="Q344" s="2"/>
      <c r="R344" s="2"/>
    </row>
    <row r="345" spans="1:18" ht="13.5" customHeight="1" x14ac:dyDescent="0.3">
      <c r="C345" s="31" t="s">
        <v>627</v>
      </c>
      <c r="D345" s="2" t="s">
        <v>720</v>
      </c>
      <c r="E345" s="2"/>
      <c r="F345" s="2"/>
      <c r="G345" s="2"/>
      <c r="H345" s="2"/>
      <c r="I345" s="2"/>
      <c r="J345" s="2"/>
      <c r="K345" s="2"/>
      <c r="L345" s="2"/>
      <c r="M345" s="2"/>
      <c r="N345" s="2"/>
      <c r="O345" s="2"/>
      <c r="P345" s="2"/>
      <c r="Q345" s="2"/>
      <c r="R345" s="2"/>
    </row>
    <row r="347" spans="1:18" ht="15" customHeight="1" x14ac:dyDescent="0.3">
      <c r="A347" s="55" t="s">
        <v>721</v>
      </c>
      <c r="B347" s="55"/>
      <c r="C347" s="55"/>
      <c r="D347" s="55"/>
      <c r="E347" s="55"/>
      <c r="F347" s="55"/>
      <c r="G347" s="55"/>
      <c r="H347" s="55"/>
      <c r="I347" s="55"/>
      <c r="J347" s="55"/>
      <c r="K347" s="55"/>
      <c r="L347" s="55"/>
      <c r="M347" s="55"/>
      <c r="N347" s="55"/>
      <c r="O347" s="55"/>
      <c r="P347" s="55"/>
      <c r="Q347" s="55"/>
      <c r="R347" s="55"/>
    </row>
    <row r="348" spans="1:18" ht="40.5" customHeight="1" x14ac:dyDescent="0.3">
      <c r="B348" s="31">
        <v>1</v>
      </c>
      <c r="C348" s="2" t="s">
        <v>722</v>
      </c>
      <c r="D348" s="2"/>
      <c r="E348" s="2"/>
      <c r="F348" s="2"/>
      <c r="G348" s="2"/>
      <c r="H348" s="2"/>
      <c r="I348" s="2"/>
      <c r="J348" s="2"/>
      <c r="K348" s="2"/>
      <c r="L348" s="2"/>
      <c r="M348" s="2"/>
      <c r="N348" s="2"/>
      <c r="O348" s="2"/>
      <c r="P348" s="2"/>
      <c r="Q348" s="2"/>
      <c r="R348" s="2"/>
    </row>
    <row r="349" spans="1:18" ht="27" customHeight="1" x14ac:dyDescent="0.3">
      <c r="B349" s="31">
        <v>2</v>
      </c>
      <c r="C349" s="2" t="s">
        <v>723</v>
      </c>
      <c r="D349" s="2"/>
      <c r="E349" s="2"/>
      <c r="F349" s="2"/>
      <c r="G349" s="2"/>
      <c r="H349" s="2"/>
      <c r="I349" s="2"/>
      <c r="J349" s="2"/>
      <c r="K349" s="2"/>
      <c r="L349" s="2"/>
      <c r="M349" s="2"/>
      <c r="N349" s="2"/>
      <c r="O349" s="2"/>
      <c r="P349" s="2"/>
      <c r="Q349" s="2"/>
      <c r="R349" s="2"/>
    </row>
    <row r="350" spans="1:18" ht="27" customHeight="1" x14ac:dyDescent="0.3">
      <c r="B350" s="31">
        <v>3</v>
      </c>
      <c r="C350" s="2" t="s">
        <v>724</v>
      </c>
      <c r="D350" s="2"/>
      <c r="E350" s="2"/>
      <c r="F350" s="2"/>
      <c r="G350" s="2"/>
      <c r="H350" s="2"/>
      <c r="I350" s="2"/>
      <c r="J350" s="2"/>
      <c r="K350" s="2"/>
      <c r="L350" s="2"/>
      <c r="M350" s="2"/>
      <c r="N350" s="2"/>
      <c r="O350" s="2"/>
      <c r="P350" s="2"/>
      <c r="Q350" s="2"/>
      <c r="R350" s="2"/>
    </row>
    <row r="351" spans="1:18" ht="27" customHeight="1" x14ac:dyDescent="0.3">
      <c r="B351" s="31">
        <v>4</v>
      </c>
      <c r="C351" s="2" t="s">
        <v>725</v>
      </c>
      <c r="D351" s="2"/>
      <c r="E351" s="2"/>
      <c r="F351" s="2"/>
      <c r="G351" s="2"/>
      <c r="H351" s="2"/>
      <c r="I351" s="2"/>
      <c r="J351" s="2"/>
      <c r="K351" s="2"/>
      <c r="L351" s="2"/>
      <c r="M351" s="2"/>
      <c r="N351" s="2"/>
      <c r="O351" s="2"/>
      <c r="P351" s="2"/>
      <c r="Q351" s="2"/>
      <c r="R351" s="2"/>
    </row>
    <row r="352" spans="1:18" ht="13.5" customHeight="1" x14ac:dyDescent="0.3">
      <c r="B352" s="31">
        <v>5</v>
      </c>
      <c r="C352" s="2" t="s">
        <v>726</v>
      </c>
      <c r="D352" s="2"/>
      <c r="E352" s="2"/>
      <c r="F352" s="2"/>
      <c r="G352" s="2"/>
      <c r="H352" s="2"/>
      <c r="I352" s="2"/>
      <c r="J352" s="2"/>
      <c r="K352" s="2"/>
      <c r="L352" s="2"/>
      <c r="M352" s="2"/>
      <c r="N352" s="2"/>
      <c r="O352" s="2"/>
      <c r="P352" s="2"/>
      <c r="Q352" s="2"/>
      <c r="R352" s="2"/>
    </row>
    <row r="353" spans="1:18" ht="24" customHeight="1" x14ac:dyDescent="0.3">
      <c r="B353" s="31">
        <v>6</v>
      </c>
      <c r="C353" s="2" t="s">
        <v>727</v>
      </c>
      <c r="D353" s="2"/>
      <c r="E353" s="2"/>
      <c r="F353" s="2"/>
      <c r="G353" s="2"/>
      <c r="H353" s="2"/>
      <c r="I353" s="2"/>
      <c r="J353" s="2"/>
      <c r="K353" s="2"/>
      <c r="L353" s="2"/>
      <c r="M353" s="2"/>
      <c r="N353" s="2"/>
      <c r="O353" s="2"/>
      <c r="P353" s="2"/>
      <c r="Q353" s="2"/>
      <c r="R353" s="2"/>
    </row>
    <row r="354" spans="1:18" ht="13.5" customHeight="1" x14ac:dyDescent="0.3">
      <c r="B354" s="31">
        <v>7</v>
      </c>
      <c r="C354" s="2" t="s">
        <v>728</v>
      </c>
      <c r="D354" s="2"/>
      <c r="E354" s="2"/>
      <c r="F354" s="2"/>
      <c r="G354" s="2"/>
      <c r="H354" s="2"/>
      <c r="I354" s="2"/>
      <c r="J354" s="2"/>
      <c r="K354" s="2"/>
      <c r="L354" s="2"/>
      <c r="M354" s="2"/>
      <c r="N354" s="2"/>
      <c r="O354" s="2"/>
      <c r="P354" s="2"/>
      <c r="Q354" s="2"/>
      <c r="R354" s="2"/>
    </row>
    <row r="355" spans="1:18" ht="27" customHeight="1" x14ac:dyDescent="0.3">
      <c r="B355" s="31">
        <v>8</v>
      </c>
      <c r="C355" s="2" t="s">
        <v>729</v>
      </c>
      <c r="D355" s="2"/>
      <c r="E355" s="2"/>
      <c r="F355" s="2"/>
      <c r="G355" s="2"/>
      <c r="H355" s="2"/>
      <c r="I355" s="2"/>
      <c r="J355" s="2"/>
      <c r="K355" s="2"/>
      <c r="L355" s="2"/>
      <c r="M355" s="2"/>
      <c r="N355" s="2"/>
      <c r="O355" s="2"/>
      <c r="P355" s="2"/>
      <c r="Q355" s="2"/>
      <c r="R355" s="2"/>
    </row>
    <row r="356" spans="1:18" ht="36" customHeight="1" x14ac:dyDescent="0.3">
      <c r="B356" s="31">
        <v>9</v>
      </c>
      <c r="C356" s="2" t="s">
        <v>730</v>
      </c>
      <c r="D356" s="2"/>
      <c r="E356" s="2"/>
      <c r="F356" s="2"/>
      <c r="G356" s="2"/>
      <c r="H356" s="2"/>
      <c r="I356" s="2"/>
      <c r="J356" s="2"/>
      <c r="K356" s="2"/>
      <c r="L356" s="2"/>
      <c r="M356" s="2"/>
      <c r="N356" s="2"/>
      <c r="O356" s="2"/>
      <c r="P356" s="2"/>
      <c r="Q356" s="2"/>
      <c r="R356" s="2"/>
    </row>
    <row r="357" spans="1:18" ht="27" customHeight="1" x14ac:dyDescent="0.3">
      <c r="B357" s="31">
        <v>10</v>
      </c>
      <c r="C357" s="2" t="s">
        <v>731</v>
      </c>
      <c r="D357" s="2"/>
      <c r="E357" s="2"/>
      <c r="F357" s="2"/>
      <c r="G357" s="2"/>
      <c r="H357" s="2"/>
      <c r="I357" s="2"/>
      <c r="J357" s="2"/>
      <c r="K357" s="2"/>
      <c r="L357" s="2"/>
      <c r="M357" s="2"/>
      <c r="N357" s="2"/>
      <c r="O357" s="2"/>
      <c r="P357" s="2"/>
      <c r="Q357" s="2"/>
      <c r="R357" s="2"/>
    </row>
    <row r="358" spans="1:18" ht="54" customHeight="1" x14ac:dyDescent="0.3">
      <c r="B358" s="31">
        <v>11</v>
      </c>
      <c r="C358" s="2" t="s">
        <v>732</v>
      </c>
      <c r="D358" s="2"/>
      <c r="E358" s="2"/>
      <c r="F358" s="2"/>
      <c r="G358" s="2"/>
      <c r="H358" s="2"/>
      <c r="I358" s="2"/>
      <c r="J358" s="2"/>
      <c r="K358" s="2"/>
      <c r="L358" s="2"/>
      <c r="M358" s="2"/>
      <c r="N358" s="2"/>
      <c r="O358" s="2"/>
      <c r="P358" s="2"/>
      <c r="Q358" s="2"/>
      <c r="R358" s="2"/>
    </row>
    <row r="359" spans="1:18" ht="27" customHeight="1" x14ac:dyDescent="0.3">
      <c r="B359" s="31">
        <v>12</v>
      </c>
      <c r="C359" s="2" t="s">
        <v>733</v>
      </c>
      <c r="D359" s="2"/>
      <c r="E359" s="2"/>
      <c r="F359" s="2"/>
      <c r="G359" s="2"/>
      <c r="H359" s="2"/>
      <c r="I359" s="2"/>
      <c r="J359" s="2"/>
      <c r="K359" s="2"/>
      <c r="L359" s="2"/>
      <c r="M359" s="2"/>
      <c r="N359" s="2"/>
      <c r="O359" s="2"/>
      <c r="P359" s="2"/>
      <c r="Q359" s="2"/>
      <c r="R359" s="2"/>
    </row>
    <row r="360" spans="1:18" ht="27" customHeight="1" x14ac:dyDescent="0.3">
      <c r="B360" s="31">
        <v>13</v>
      </c>
      <c r="C360" s="2" t="s">
        <v>734</v>
      </c>
      <c r="D360" s="2"/>
      <c r="E360" s="2"/>
      <c r="F360" s="2"/>
      <c r="G360" s="2"/>
      <c r="H360" s="2"/>
      <c r="I360" s="2"/>
      <c r="J360" s="2"/>
      <c r="K360" s="2"/>
      <c r="L360" s="2"/>
      <c r="M360" s="2"/>
      <c r="N360" s="2"/>
      <c r="O360" s="2"/>
      <c r="P360" s="2"/>
      <c r="Q360" s="2"/>
      <c r="R360" s="2"/>
    </row>
    <row r="361" spans="1:18" ht="54" customHeight="1" x14ac:dyDescent="0.3">
      <c r="B361" s="31">
        <v>14</v>
      </c>
      <c r="C361" s="2" t="s">
        <v>735</v>
      </c>
      <c r="D361" s="2"/>
      <c r="E361" s="2"/>
      <c r="F361" s="2"/>
      <c r="G361" s="2"/>
      <c r="H361" s="2"/>
      <c r="I361" s="2"/>
      <c r="J361" s="2"/>
      <c r="K361" s="2"/>
      <c r="L361" s="2"/>
      <c r="M361" s="2"/>
      <c r="N361" s="2"/>
      <c r="O361" s="2"/>
      <c r="P361" s="2"/>
      <c r="Q361" s="2"/>
      <c r="R361" s="2"/>
    </row>
    <row r="362" spans="1:18" ht="54" customHeight="1" x14ac:dyDescent="0.3">
      <c r="B362" s="31">
        <v>15</v>
      </c>
      <c r="C362" s="2" t="s">
        <v>736</v>
      </c>
      <c r="D362" s="2"/>
      <c r="E362" s="2"/>
      <c r="F362" s="2"/>
      <c r="G362" s="2"/>
      <c r="H362" s="2"/>
      <c r="I362" s="2"/>
      <c r="J362" s="2"/>
      <c r="K362" s="2"/>
      <c r="L362" s="2"/>
      <c r="M362" s="2"/>
      <c r="N362" s="2"/>
      <c r="O362" s="2"/>
      <c r="P362" s="2"/>
      <c r="Q362" s="2"/>
      <c r="R362" s="2"/>
    </row>
    <row r="366" spans="1:18" ht="15" customHeight="1" x14ac:dyDescent="0.3">
      <c r="K366" s="15" t="str">
        <f>+TIT!D9</f>
        <v>Shri. Bharat C. Boridkar</v>
      </c>
    </row>
    <row r="367" spans="1:18" ht="15" customHeight="1" x14ac:dyDescent="0.3">
      <c r="K367" s="17" t="str">
        <f>+TIT!F9</f>
        <v>Govt. Certified Panel Auditor</v>
      </c>
    </row>
    <row r="368" spans="1:18" ht="15" customHeight="1" x14ac:dyDescent="0.3">
      <c r="A368" s="1">
        <f>+TIT!D12</f>
        <v>46282</v>
      </c>
      <c r="B368" s="1"/>
      <c r="C368" s="1"/>
      <c r="D368" s="1"/>
      <c r="K368" s="17" t="str">
        <f>"[Panel No.: "&amp;TIT!D10&amp;"]"</f>
        <v>[Panel No.: Mumbai-4/C1/1011404]</v>
      </c>
    </row>
  </sheetData>
  <mergeCells count="766">
    <mergeCell ref="C358:R358"/>
    <mergeCell ref="C359:R359"/>
    <mergeCell ref="C360:R360"/>
    <mergeCell ref="C361:R361"/>
    <mergeCell ref="C362:R362"/>
    <mergeCell ref="A368:D368"/>
    <mergeCell ref="C349:R349"/>
    <mergeCell ref="C350:R350"/>
    <mergeCell ref="C351:R351"/>
    <mergeCell ref="C352:R352"/>
    <mergeCell ref="C353:R353"/>
    <mergeCell ref="C354:R354"/>
    <mergeCell ref="C355:R355"/>
    <mergeCell ref="C356:R356"/>
    <mergeCell ref="C357:R357"/>
    <mergeCell ref="A339:R339"/>
    <mergeCell ref="B340:R340"/>
    <mergeCell ref="D341:R341"/>
    <mergeCell ref="D342:R342"/>
    <mergeCell ref="D343:R343"/>
    <mergeCell ref="D344:R344"/>
    <mergeCell ref="D345:R345"/>
    <mergeCell ref="A347:R347"/>
    <mergeCell ref="C348:R348"/>
    <mergeCell ref="C329:R329"/>
    <mergeCell ref="C330:R330"/>
    <mergeCell ref="C331:R331"/>
    <mergeCell ref="C332:R332"/>
    <mergeCell ref="C333:R333"/>
    <mergeCell ref="C334:R334"/>
    <mergeCell ref="C335:R335"/>
    <mergeCell ref="C336:R336"/>
    <mergeCell ref="C337:R337"/>
    <mergeCell ref="C311:R311"/>
    <mergeCell ref="C312:R312"/>
    <mergeCell ref="A321:R321"/>
    <mergeCell ref="A323:R323"/>
    <mergeCell ref="C324:R324"/>
    <mergeCell ref="C325:R325"/>
    <mergeCell ref="C326:R326"/>
    <mergeCell ref="C327:R327"/>
    <mergeCell ref="C328:R328"/>
    <mergeCell ref="B299:R299"/>
    <mergeCell ref="C301:R301"/>
    <mergeCell ref="C302:R302"/>
    <mergeCell ref="C303:R303"/>
    <mergeCell ref="C304:R304"/>
    <mergeCell ref="C305:R305"/>
    <mergeCell ref="C306:R306"/>
    <mergeCell ref="C307:R307"/>
    <mergeCell ref="A309:R309"/>
    <mergeCell ref="A297:B297"/>
    <mergeCell ref="C297:I297"/>
    <mergeCell ref="J297:L297"/>
    <mergeCell ref="M297:O297"/>
    <mergeCell ref="P297:Q297"/>
    <mergeCell ref="A298:B298"/>
    <mergeCell ref="C298:I298"/>
    <mergeCell ref="J298:L298"/>
    <mergeCell ref="M298:O298"/>
    <mergeCell ref="P298:Q298"/>
    <mergeCell ref="A295:B295"/>
    <mergeCell ref="C295:I295"/>
    <mergeCell ref="J295:L295"/>
    <mergeCell ref="M295:O295"/>
    <mergeCell ref="P295:Q295"/>
    <mergeCell ref="A296:B296"/>
    <mergeCell ref="C296:I296"/>
    <mergeCell ref="J296:L296"/>
    <mergeCell ref="M296:O296"/>
    <mergeCell ref="P296:Q296"/>
    <mergeCell ref="A293:B293"/>
    <mergeCell ref="C293:I293"/>
    <mergeCell ref="J293:L293"/>
    <mergeCell ref="M293:O293"/>
    <mergeCell ref="P293:Q293"/>
    <mergeCell ref="A294:B294"/>
    <mergeCell ref="C294:I294"/>
    <mergeCell ref="J294:L294"/>
    <mergeCell ref="M294:O294"/>
    <mergeCell ref="P294:Q294"/>
    <mergeCell ref="A291:B291"/>
    <mergeCell ref="C291:I291"/>
    <mergeCell ref="J291:L291"/>
    <mergeCell ref="M291:O291"/>
    <mergeCell ref="P291:Q291"/>
    <mergeCell ref="A292:B292"/>
    <mergeCell ref="C292:I292"/>
    <mergeCell ref="J292:L292"/>
    <mergeCell ref="M292:O292"/>
    <mergeCell ref="P292:Q292"/>
    <mergeCell ref="A289:B289"/>
    <mergeCell ref="C289:I289"/>
    <mergeCell ref="J289:L289"/>
    <mergeCell ref="M289:O289"/>
    <mergeCell ref="P289:Q289"/>
    <mergeCell ref="A290:B290"/>
    <mergeCell ref="C290:I290"/>
    <mergeCell ref="J290:L290"/>
    <mergeCell ref="M290:O290"/>
    <mergeCell ref="P290:Q290"/>
    <mergeCell ref="A287:B287"/>
    <mergeCell ref="C287:I287"/>
    <mergeCell ref="J287:L287"/>
    <mergeCell ref="M287:O287"/>
    <mergeCell ref="P287:Q287"/>
    <mergeCell ref="A288:B288"/>
    <mergeCell ref="C288:I288"/>
    <mergeCell ref="J288:L288"/>
    <mergeCell ref="M288:O288"/>
    <mergeCell ref="P288:Q288"/>
    <mergeCell ref="A285:B285"/>
    <mergeCell ref="C285:I285"/>
    <mergeCell ref="J285:L285"/>
    <mergeCell ref="M285:O285"/>
    <mergeCell ref="P285:Q285"/>
    <mergeCell ref="A286:B286"/>
    <mergeCell ref="C286:I286"/>
    <mergeCell ref="J286:L286"/>
    <mergeCell ref="M286:O286"/>
    <mergeCell ref="P286:Q286"/>
    <mergeCell ref="A283:B283"/>
    <mergeCell ref="C283:I283"/>
    <mergeCell ref="J283:L283"/>
    <mergeCell ref="M283:O283"/>
    <mergeCell ref="P283:Q283"/>
    <mergeCell ref="A284:B284"/>
    <mergeCell ref="C284:I284"/>
    <mergeCell ref="J284:L284"/>
    <mergeCell ref="M284:O284"/>
    <mergeCell ref="P284:Q284"/>
    <mergeCell ref="A281:B281"/>
    <mergeCell ref="C281:I281"/>
    <mergeCell ref="J281:L281"/>
    <mergeCell ref="M281:O281"/>
    <mergeCell ref="P281:Q281"/>
    <mergeCell ref="A282:B282"/>
    <mergeCell ref="C282:I282"/>
    <mergeCell ref="J282:L282"/>
    <mergeCell ref="M282:O282"/>
    <mergeCell ref="P282:Q282"/>
    <mergeCell ref="A279:B279"/>
    <mergeCell ref="C279:I279"/>
    <mergeCell ref="J279:L279"/>
    <mergeCell ref="M279:O279"/>
    <mergeCell ref="P279:Q279"/>
    <mergeCell ref="A280:B280"/>
    <mergeCell ref="C280:I280"/>
    <mergeCell ref="J280:L280"/>
    <mergeCell ref="M280:O280"/>
    <mergeCell ref="P280:Q280"/>
    <mergeCell ref="A277:B277"/>
    <mergeCell ref="C277:I277"/>
    <mergeCell ref="J277:L277"/>
    <mergeCell ref="M277:O277"/>
    <mergeCell ref="P277:Q277"/>
    <mergeCell ref="A278:B278"/>
    <mergeCell ref="C278:I278"/>
    <mergeCell ref="J278:L278"/>
    <mergeCell ref="M278:O278"/>
    <mergeCell ref="P278:Q278"/>
    <mergeCell ref="A275:B275"/>
    <mergeCell ref="C275:I275"/>
    <mergeCell ref="J275:L275"/>
    <mergeCell ref="M275:O275"/>
    <mergeCell ref="P275:Q275"/>
    <mergeCell ref="A276:B276"/>
    <mergeCell ref="C276:I276"/>
    <mergeCell ref="J276:L276"/>
    <mergeCell ref="M276:O276"/>
    <mergeCell ref="P276:Q276"/>
    <mergeCell ref="A273:B273"/>
    <mergeCell ref="C273:I273"/>
    <mergeCell ref="J273:L273"/>
    <mergeCell ref="M273:O273"/>
    <mergeCell ref="P273:Q273"/>
    <mergeCell ref="A274:B274"/>
    <mergeCell ref="C274:I274"/>
    <mergeCell ref="J274:L274"/>
    <mergeCell ref="M274:O274"/>
    <mergeCell ref="P274:Q274"/>
    <mergeCell ref="A271:B271"/>
    <mergeCell ref="C271:I271"/>
    <mergeCell ref="J271:L271"/>
    <mergeCell ref="M271:O271"/>
    <mergeCell ref="P271:Q271"/>
    <mergeCell ref="A272:B272"/>
    <mergeCell ref="C272:I272"/>
    <mergeCell ref="J272:L272"/>
    <mergeCell ref="M272:O272"/>
    <mergeCell ref="P272:Q272"/>
    <mergeCell ref="A269:B269"/>
    <mergeCell ref="C269:I269"/>
    <mergeCell ref="J269:L269"/>
    <mergeCell ref="M269:O269"/>
    <mergeCell ref="P269:Q269"/>
    <mergeCell ref="A270:B270"/>
    <mergeCell ref="C270:I270"/>
    <mergeCell ref="J270:L270"/>
    <mergeCell ref="M270:O270"/>
    <mergeCell ref="P270:Q270"/>
    <mergeCell ref="A266:B266"/>
    <mergeCell ref="C266:I266"/>
    <mergeCell ref="J266:L266"/>
    <mergeCell ref="M266:O266"/>
    <mergeCell ref="P266:Q266"/>
    <mergeCell ref="C267:I267"/>
    <mergeCell ref="A268:B268"/>
    <mergeCell ref="C268:I268"/>
    <mergeCell ref="J268:L268"/>
    <mergeCell ref="M268:O268"/>
    <mergeCell ref="P268:Q268"/>
    <mergeCell ref="A264:B264"/>
    <mergeCell ref="C264:I264"/>
    <mergeCell ref="J264:L264"/>
    <mergeCell ref="M264:O264"/>
    <mergeCell ref="P264:Q264"/>
    <mergeCell ref="A265:B265"/>
    <mergeCell ref="C265:I265"/>
    <mergeCell ref="J265:L265"/>
    <mergeCell ref="M265:O265"/>
    <mergeCell ref="P265:Q265"/>
    <mergeCell ref="A262:B262"/>
    <mergeCell ref="C262:I262"/>
    <mergeCell ref="J262:L262"/>
    <mergeCell ref="M262:O262"/>
    <mergeCell ref="P262:Q262"/>
    <mergeCell ref="A263:B263"/>
    <mergeCell ref="C263:I263"/>
    <mergeCell ref="J263:L263"/>
    <mergeCell ref="M263:O263"/>
    <mergeCell ref="P263:Q263"/>
    <mergeCell ref="A260:B260"/>
    <mergeCell ref="C260:I260"/>
    <mergeCell ref="J260:L260"/>
    <mergeCell ref="M260:O260"/>
    <mergeCell ref="P260:Q260"/>
    <mergeCell ref="A261:B261"/>
    <mergeCell ref="C261:I261"/>
    <mergeCell ref="J261:L261"/>
    <mergeCell ref="M261:O261"/>
    <mergeCell ref="P261:Q261"/>
    <mergeCell ref="A258:B258"/>
    <mergeCell ref="C258:I258"/>
    <mergeCell ref="J258:L258"/>
    <mergeCell ref="M258:O258"/>
    <mergeCell ref="P258:Q258"/>
    <mergeCell ref="A259:B259"/>
    <mergeCell ref="C259:I259"/>
    <mergeCell ref="J259:L259"/>
    <mergeCell ref="M259:O259"/>
    <mergeCell ref="P259:Q259"/>
    <mergeCell ref="A256:B256"/>
    <mergeCell ref="C256:I256"/>
    <mergeCell ref="J256:L256"/>
    <mergeCell ref="M256:O256"/>
    <mergeCell ref="P256:Q256"/>
    <mergeCell ref="A257:B257"/>
    <mergeCell ref="C257:I257"/>
    <mergeCell ref="J257:L257"/>
    <mergeCell ref="M257:O257"/>
    <mergeCell ref="P257:Q257"/>
    <mergeCell ref="A254:B254"/>
    <mergeCell ref="C254:I254"/>
    <mergeCell ref="J254:L254"/>
    <mergeCell ref="M254:O254"/>
    <mergeCell ref="P254:Q254"/>
    <mergeCell ref="A255:B255"/>
    <mergeCell ref="C255:I255"/>
    <mergeCell ref="J255:L255"/>
    <mergeCell ref="M255:O255"/>
    <mergeCell ref="P255:Q255"/>
    <mergeCell ref="A252:B252"/>
    <mergeCell ref="C252:I252"/>
    <mergeCell ref="J252:L252"/>
    <mergeCell ref="M252:O252"/>
    <mergeCell ref="P252:Q252"/>
    <mergeCell ref="A253:B253"/>
    <mergeCell ref="C253:I253"/>
    <mergeCell ref="J253:L253"/>
    <mergeCell ref="M253:O253"/>
    <mergeCell ref="P253:Q253"/>
    <mergeCell ref="A249:B249"/>
    <mergeCell ref="C249:I249"/>
    <mergeCell ref="J249:L249"/>
    <mergeCell ref="M249:O249"/>
    <mergeCell ref="P249:Q249"/>
    <mergeCell ref="C250:I250"/>
    <mergeCell ref="A251:B251"/>
    <mergeCell ref="C251:I251"/>
    <mergeCell ref="J251:L251"/>
    <mergeCell ref="M251:O251"/>
    <mergeCell ref="P251:Q251"/>
    <mergeCell ref="D241:I241"/>
    <mergeCell ref="J241:L241"/>
    <mergeCell ref="M241:O241"/>
    <mergeCell ref="C242:I242"/>
    <mergeCell ref="J242:L242"/>
    <mergeCell ref="M242:O242"/>
    <mergeCell ref="C244:R244"/>
    <mergeCell ref="C245:R245"/>
    <mergeCell ref="A247:R247"/>
    <mergeCell ref="D238:I238"/>
    <mergeCell ref="J238:L238"/>
    <mergeCell ref="M238:O238"/>
    <mergeCell ref="D239:I239"/>
    <mergeCell ref="J239:L239"/>
    <mergeCell ref="M239:O239"/>
    <mergeCell ref="D240:I240"/>
    <mergeCell ref="J240:L240"/>
    <mergeCell ref="M240:O240"/>
    <mergeCell ref="C232:R232"/>
    <mergeCell ref="C233:R233"/>
    <mergeCell ref="C235:R235"/>
    <mergeCell ref="D236:I236"/>
    <mergeCell ref="J236:L236"/>
    <mergeCell ref="M236:O236"/>
    <mergeCell ref="D237:I237"/>
    <mergeCell ref="J237:L237"/>
    <mergeCell ref="M237:O237"/>
    <mergeCell ref="C227:G227"/>
    <mergeCell ref="H227:I227"/>
    <mergeCell ref="J227:K227"/>
    <mergeCell ref="L227:M227"/>
    <mergeCell ref="N227:O227"/>
    <mergeCell ref="P227:R227"/>
    <mergeCell ref="C229:R229"/>
    <mergeCell ref="C230:R230"/>
    <mergeCell ref="C231:R231"/>
    <mergeCell ref="C225:F225"/>
    <mergeCell ref="H225:I225"/>
    <mergeCell ref="J225:K225"/>
    <mergeCell ref="L225:M225"/>
    <mergeCell ref="N225:O225"/>
    <mergeCell ref="P225:R225"/>
    <mergeCell ref="C226:F226"/>
    <mergeCell ref="H226:I226"/>
    <mergeCell ref="J226:K226"/>
    <mergeCell ref="L226:M226"/>
    <mergeCell ref="N226:O226"/>
    <mergeCell ref="P226:R226"/>
    <mergeCell ref="C223:F223"/>
    <mergeCell ref="H223:I223"/>
    <mergeCell ref="J223:K223"/>
    <mergeCell ref="L223:M223"/>
    <mergeCell ref="N223:O223"/>
    <mergeCell ref="P223:R223"/>
    <mergeCell ref="C224:F224"/>
    <mergeCell ref="H224:I224"/>
    <mergeCell ref="J224:K224"/>
    <mergeCell ref="L224:M224"/>
    <mergeCell ref="N224:O224"/>
    <mergeCell ref="P224:R224"/>
    <mergeCell ref="C221:F221"/>
    <mergeCell ref="H221:I221"/>
    <mergeCell ref="J221:K221"/>
    <mergeCell ref="L221:M221"/>
    <mergeCell ref="N221:O221"/>
    <mergeCell ref="P221:R221"/>
    <mergeCell ref="C222:F222"/>
    <mergeCell ref="H222:I222"/>
    <mergeCell ref="J222:K222"/>
    <mergeCell ref="L222:M222"/>
    <mergeCell ref="N222:O222"/>
    <mergeCell ref="P222:R222"/>
    <mergeCell ref="C219:F219"/>
    <mergeCell ref="H219:I219"/>
    <mergeCell ref="J219:K219"/>
    <mergeCell ref="L219:M219"/>
    <mergeCell ref="N219:O219"/>
    <mergeCell ref="P219:R219"/>
    <mergeCell ref="C220:F220"/>
    <mergeCell ref="H220:I220"/>
    <mergeCell ref="J220:K220"/>
    <mergeCell ref="L220:M220"/>
    <mergeCell ref="N220:O220"/>
    <mergeCell ref="P220:R220"/>
    <mergeCell ref="C208:R208"/>
    <mergeCell ref="C209:R209"/>
    <mergeCell ref="C211:R211"/>
    <mergeCell ref="C212:R212"/>
    <mergeCell ref="C213:R213"/>
    <mergeCell ref="C214:R214"/>
    <mergeCell ref="C215:R215"/>
    <mergeCell ref="C217:R217"/>
    <mergeCell ref="C218:R218"/>
    <mergeCell ref="C204:I204"/>
    <mergeCell ref="J204:L204"/>
    <mergeCell ref="M204:O204"/>
    <mergeCell ref="P204:R204"/>
    <mergeCell ref="C205:I205"/>
    <mergeCell ref="J205:L205"/>
    <mergeCell ref="M205:O205"/>
    <mergeCell ref="P205:R205"/>
    <mergeCell ref="C207:R207"/>
    <mergeCell ref="C201:I201"/>
    <mergeCell ref="J201:L201"/>
    <mergeCell ref="M201:O201"/>
    <mergeCell ref="P201:R201"/>
    <mergeCell ref="C202:I202"/>
    <mergeCell ref="J202:L202"/>
    <mergeCell ref="M202:O202"/>
    <mergeCell ref="P202:R202"/>
    <mergeCell ref="C203:I203"/>
    <mergeCell ref="J203:L203"/>
    <mergeCell ref="M203:O203"/>
    <mergeCell ref="P203:R203"/>
    <mergeCell ref="C192:I192"/>
    <mergeCell ref="J192:L192"/>
    <mergeCell ref="M192:O192"/>
    <mergeCell ref="C194:R194"/>
    <mergeCell ref="C195:R195"/>
    <mergeCell ref="C196:R196"/>
    <mergeCell ref="C198:R198"/>
    <mergeCell ref="C199:R199"/>
    <mergeCell ref="C200:I200"/>
    <mergeCell ref="J200:L200"/>
    <mergeCell ref="M200:O200"/>
    <mergeCell ref="P200:R200"/>
    <mergeCell ref="D189:I189"/>
    <mergeCell ref="J189:L189"/>
    <mergeCell ref="M189:O189"/>
    <mergeCell ref="D190:I190"/>
    <mergeCell ref="J190:L190"/>
    <mergeCell ref="M190:O190"/>
    <mergeCell ref="D191:I191"/>
    <mergeCell ref="J191:L191"/>
    <mergeCell ref="M191:O191"/>
    <mergeCell ref="C184:R184"/>
    <mergeCell ref="C185:R185"/>
    <mergeCell ref="C186:R186"/>
    <mergeCell ref="D187:I187"/>
    <mergeCell ref="J187:L187"/>
    <mergeCell ref="M187:O187"/>
    <mergeCell ref="D188:I188"/>
    <mergeCell ref="J188:L188"/>
    <mergeCell ref="M188:O188"/>
    <mergeCell ref="C174:R174"/>
    <mergeCell ref="C175:R175"/>
    <mergeCell ref="C176:R176"/>
    <mergeCell ref="C177:R177"/>
    <mergeCell ref="C178:R178"/>
    <mergeCell ref="C179:R179"/>
    <mergeCell ref="A181:R181"/>
    <mergeCell ref="C182:R182"/>
    <mergeCell ref="C183:R183"/>
    <mergeCell ref="C170:I170"/>
    <mergeCell ref="J170:L170"/>
    <mergeCell ref="M170:O170"/>
    <mergeCell ref="C171:I171"/>
    <mergeCell ref="J171:L171"/>
    <mergeCell ref="M171:O171"/>
    <mergeCell ref="C172:I172"/>
    <mergeCell ref="J172:L172"/>
    <mergeCell ref="M172:O172"/>
    <mergeCell ref="C167:I167"/>
    <mergeCell ref="J167:L167"/>
    <mergeCell ref="M167:O167"/>
    <mergeCell ref="C168:I168"/>
    <mergeCell ref="J168:L168"/>
    <mergeCell ref="M168:O168"/>
    <mergeCell ref="C169:I169"/>
    <mergeCell ref="J169:L169"/>
    <mergeCell ref="M169:O169"/>
    <mergeCell ref="C164:I164"/>
    <mergeCell ref="J164:L164"/>
    <mergeCell ref="M164:O164"/>
    <mergeCell ref="C165:I165"/>
    <mergeCell ref="J165:L165"/>
    <mergeCell ref="M165:O165"/>
    <mergeCell ref="C166:I166"/>
    <mergeCell ref="J166:L166"/>
    <mergeCell ref="M166:O166"/>
    <mergeCell ref="C161:I161"/>
    <mergeCell ref="J161:L161"/>
    <mergeCell ref="M161:O161"/>
    <mergeCell ref="C162:I162"/>
    <mergeCell ref="J162:L162"/>
    <mergeCell ref="M162:O162"/>
    <mergeCell ref="C163:I163"/>
    <mergeCell ref="J163:L163"/>
    <mergeCell ref="M163:O163"/>
    <mergeCell ref="C153:R153"/>
    <mergeCell ref="C154:R154"/>
    <mergeCell ref="C155:R155"/>
    <mergeCell ref="C157:R157"/>
    <mergeCell ref="C158:R158"/>
    <mergeCell ref="C159:I159"/>
    <mergeCell ref="J159:L159"/>
    <mergeCell ref="M159:O159"/>
    <mergeCell ref="C160:I160"/>
    <mergeCell ref="J160:L160"/>
    <mergeCell ref="M160:O160"/>
    <mergeCell ref="A151:B151"/>
    <mergeCell ref="C151:I151"/>
    <mergeCell ref="J151:L151"/>
    <mergeCell ref="M151:O151"/>
    <mergeCell ref="P151:R151"/>
    <mergeCell ref="A152:I152"/>
    <mergeCell ref="J152:L152"/>
    <mergeCell ref="M152:O152"/>
    <mergeCell ref="P152:R152"/>
    <mergeCell ref="A149:B149"/>
    <mergeCell ref="C149:I149"/>
    <mergeCell ref="J149:L149"/>
    <mergeCell ref="M149:O149"/>
    <mergeCell ref="P149:R149"/>
    <mergeCell ref="A150:B150"/>
    <mergeCell ref="C150:I150"/>
    <mergeCell ref="J150:L150"/>
    <mergeCell ref="M150:O150"/>
    <mergeCell ref="P150:R150"/>
    <mergeCell ref="A147:B147"/>
    <mergeCell ref="C147:I147"/>
    <mergeCell ref="J147:L147"/>
    <mergeCell ref="M147:O147"/>
    <mergeCell ref="P147:R147"/>
    <mergeCell ref="A148:B148"/>
    <mergeCell ref="C148:I148"/>
    <mergeCell ref="J148:L148"/>
    <mergeCell ref="M148:O148"/>
    <mergeCell ref="P148:R148"/>
    <mergeCell ref="C141:R141"/>
    <mergeCell ref="C142:R142"/>
    <mergeCell ref="C143:R143"/>
    <mergeCell ref="C144:R144"/>
    <mergeCell ref="C145:R145"/>
    <mergeCell ref="A146:B146"/>
    <mergeCell ref="C146:I146"/>
    <mergeCell ref="J146:L146"/>
    <mergeCell ref="M146:O146"/>
    <mergeCell ref="P146:R146"/>
    <mergeCell ref="A134:B134"/>
    <mergeCell ref="C134:I134"/>
    <mergeCell ref="J134:L134"/>
    <mergeCell ref="M134:O134"/>
    <mergeCell ref="P134:R134"/>
    <mergeCell ref="B135:R135"/>
    <mergeCell ref="A137:R137"/>
    <mergeCell ref="A139:R139"/>
    <mergeCell ref="C140:R140"/>
    <mergeCell ref="A132:B132"/>
    <mergeCell ref="C132:I132"/>
    <mergeCell ref="J132:L132"/>
    <mergeCell ref="M132:O132"/>
    <mergeCell ref="P132:R132"/>
    <mergeCell ref="A133:B133"/>
    <mergeCell ref="C133:I133"/>
    <mergeCell ref="J133:L133"/>
    <mergeCell ref="M133:O133"/>
    <mergeCell ref="P133:R133"/>
    <mergeCell ref="A130:B130"/>
    <mergeCell ref="C130:I130"/>
    <mergeCell ref="J130:L130"/>
    <mergeCell ref="M130:O130"/>
    <mergeCell ref="P130:R130"/>
    <mergeCell ref="A131:B131"/>
    <mergeCell ref="C131:I131"/>
    <mergeCell ref="J131:L131"/>
    <mergeCell ref="M131:O131"/>
    <mergeCell ref="P131:R131"/>
    <mergeCell ref="C127:I127"/>
    <mergeCell ref="A128:B128"/>
    <mergeCell ref="C128:I128"/>
    <mergeCell ref="J128:L128"/>
    <mergeCell ref="M128:O128"/>
    <mergeCell ref="P128:R128"/>
    <mergeCell ref="A129:B129"/>
    <mergeCell ref="C129:I129"/>
    <mergeCell ref="J129:L129"/>
    <mergeCell ref="M129:O129"/>
    <mergeCell ref="P129:R129"/>
    <mergeCell ref="A125:B125"/>
    <mergeCell ref="C125:I125"/>
    <mergeCell ref="J125:L125"/>
    <mergeCell ref="M125:O125"/>
    <mergeCell ref="P125:R125"/>
    <mergeCell ref="A126:B126"/>
    <mergeCell ref="C126:I126"/>
    <mergeCell ref="J126:L126"/>
    <mergeCell ref="M126:O126"/>
    <mergeCell ref="P126:R126"/>
    <mergeCell ref="A123:B123"/>
    <mergeCell ref="C123:I123"/>
    <mergeCell ref="J123:L123"/>
    <mergeCell ref="M123:O123"/>
    <mergeCell ref="P123:R123"/>
    <mergeCell ref="A124:B124"/>
    <mergeCell ref="C124:I124"/>
    <mergeCell ref="J124:L124"/>
    <mergeCell ref="M124:O124"/>
    <mergeCell ref="P124:R124"/>
    <mergeCell ref="C120:I120"/>
    <mergeCell ref="A121:B121"/>
    <mergeCell ref="C121:I121"/>
    <mergeCell ref="J121:L121"/>
    <mergeCell ref="M121:O121"/>
    <mergeCell ref="P121:R121"/>
    <mergeCell ref="A122:B122"/>
    <mergeCell ref="C122:I122"/>
    <mergeCell ref="J122:L122"/>
    <mergeCell ref="M122:O122"/>
    <mergeCell ref="P122:R122"/>
    <mergeCell ref="C112:R112"/>
    <mergeCell ref="A114:R114"/>
    <mergeCell ref="B115:R115"/>
    <mergeCell ref="B116:R116"/>
    <mergeCell ref="A118:R118"/>
    <mergeCell ref="A119:B119"/>
    <mergeCell ref="C119:I119"/>
    <mergeCell ref="J119:L119"/>
    <mergeCell ref="M119:O119"/>
    <mergeCell ref="P119:R119"/>
    <mergeCell ref="C102:R102"/>
    <mergeCell ref="C103:R103"/>
    <mergeCell ref="C104:R104"/>
    <mergeCell ref="C105:R105"/>
    <mergeCell ref="C106:R106"/>
    <mergeCell ref="C107:R107"/>
    <mergeCell ref="A109:R109"/>
    <mergeCell ref="C110:R110"/>
    <mergeCell ref="C111:R111"/>
    <mergeCell ref="C91:R91"/>
    <mergeCell ref="C92:R92"/>
    <mergeCell ref="C93:R93"/>
    <mergeCell ref="C94:R94"/>
    <mergeCell ref="C95:R95"/>
    <mergeCell ref="A97:R97"/>
    <mergeCell ref="B98:R98"/>
    <mergeCell ref="A100:R100"/>
    <mergeCell ref="C101:R101"/>
    <mergeCell ref="D83:I83"/>
    <mergeCell ref="J83:L83"/>
    <mergeCell ref="M83:R83"/>
    <mergeCell ref="A85:R85"/>
    <mergeCell ref="C86:R86"/>
    <mergeCell ref="C87:R87"/>
    <mergeCell ref="C88:R88"/>
    <mergeCell ref="C89:R89"/>
    <mergeCell ref="C90:R90"/>
    <mergeCell ref="A78:R78"/>
    <mergeCell ref="B79:R79"/>
    <mergeCell ref="D80:I80"/>
    <mergeCell ref="J80:L80"/>
    <mergeCell ref="M80:R80"/>
    <mergeCell ref="D81:I81"/>
    <mergeCell ref="J81:L81"/>
    <mergeCell ref="M81:R81"/>
    <mergeCell ref="D82:I82"/>
    <mergeCell ref="J82:L82"/>
    <mergeCell ref="M82:R82"/>
    <mergeCell ref="C72:F72"/>
    <mergeCell ref="H72:R72"/>
    <mergeCell ref="C73:F73"/>
    <mergeCell ref="H73:R73"/>
    <mergeCell ref="C74:F74"/>
    <mergeCell ref="H74:R74"/>
    <mergeCell ref="C75:F75"/>
    <mergeCell ref="H75:R75"/>
    <mergeCell ref="C76:F76"/>
    <mergeCell ref="H76:R76"/>
    <mergeCell ref="B67:R67"/>
    <mergeCell ref="C68:F68"/>
    <mergeCell ref="H68:R68"/>
    <mergeCell ref="C69:F69"/>
    <mergeCell ref="H69:R69"/>
    <mergeCell ref="C70:F70"/>
    <mergeCell ref="H70:R70"/>
    <mergeCell ref="C71:F71"/>
    <mergeCell ref="H71:R71"/>
    <mergeCell ref="B49:K49"/>
    <mergeCell ref="L49:R49"/>
    <mergeCell ref="A58:R58"/>
    <mergeCell ref="A60:R60"/>
    <mergeCell ref="B61:R61"/>
    <mergeCell ref="B62:R62"/>
    <mergeCell ref="B63:R63"/>
    <mergeCell ref="B64:R64"/>
    <mergeCell ref="A66:R66"/>
    <mergeCell ref="E44:F44"/>
    <mergeCell ref="G44:R44"/>
    <mergeCell ref="B46:D46"/>
    <mergeCell ref="E46:K46"/>
    <mergeCell ref="L46:R46"/>
    <mergeCell ref="B47:K47"/>
    <mergeCell ref="L47:R47"/>
    <mergeCell ref="B48:K48"/>
    <mergeCell ref="L48:R48"/>
    <mergeCell ref="E39:F39"/>
    <mergeCell ref="G39:R39"/>
    <mergeCell ref="E40:F40"/>
    <mergeCell ref="G40:R40"/>
    <mergeCell ref="E41:F41"/>
    <mergeCell ref="G41:R41"/>
    <mergeCell ref="E42:F42"/>
    <mergeCell ref="G42:R42"/>
    <mergeCell ref="E43:F43"/>
    <mergeCell ref="G43:R43"/>
    <mergeCell ref="E34:F34"/>
    <mergeCell ref="G34:R34"/>
    <mergeCell ref="E35:F35"/>
    <mergeCell ref="G35:R35"/>
    <mergeCell ref="E36:F36"/>
    <mergeCell ref="G36:R36"/>
    <mergeCell ref="E37:F37"/>
    <mergeCell ref="G37:R37"/>
    <mergeCell ref="E38:F38"/>
    <mergeCell ref="G38:R38"/>
    <mergeCell ref="B28:D28"/>
    <mergeCell ref="E28:K28"/>
    <mergeCell ref="L28:R28"/>
    <mergeCell ref="B29:D29"/>
    <mergeCell ref="E29:K29"/>
    <mergeCell ref="L29:R29"/>
    <mergeCell ref="A31:R31"/>
    <mergeCell ref="E33:F33"/>
    <mergeCell ref="G33:R33"/>
    <mergeCell ref="A25:A26"/>
    <mergeCell ref="B25:D26"/>
    <mergeCell ref="E25:K25"/>
    <mergeCell ref="L25:R25"/>
    <mergeCell ref="E26:K26"/>
    <mergeCell ref="L26:R26"/>
    <mergeCell ref="B27:D27"/>
    <mergeCell ref="E27:K27"/>
    <mergeCell ref="L27:R27"/>
    <mergeCell ref="A21:A24"/>
    <mergeCell ref="B21:D24"/>
    <mergeCell ref="E21:K21"/>
    <mergeCell ref="L21:R21"/>
    <mergeCell ref="E22:K22"/>
    <mergeCell ref="L22:R22"/>
    <mergeCell ref="E23:K23"/>
    <mergeCell ref="L23:R23"/>
    <mergeCell ref="E24:K24"/>
    <mergeCell ref="L24:R24"/>
    <mergeCell ref="A16:A20"/>
    <mergeCell ref="B16:D20"/>
    <mergeCell ref="E16:K16"/>
    <mergeCell ref="L16:R16"/>
    <mergeCell ref="E17:K17"/>
    <mergeCell ref="L17:R17"/>
    <mergeCell ref="E18:K18"/>
    <mergeCell ref="L18:R18"/>
    <mergeCell ref="E19:K19"/>
    <mergeCell ref="L19:R19"/>
    <mergeCell ref="E20:K20"/>
    <mergeCell ref="L20:R20"/>
    <mergeCell ref="B9:E9"/>
    <mergeCell ref="G9:R9"/>
    <mergeCell ref="B10:E10"/>
    <mergeCell ref="G10:R10"/>
    <mergeCell ref="A12:R12"/>
    <mergeCell ref="A13:R13"/>
    <mergeCell ref="B15:D15"/>
    <mergeCell ref="E15:K15"/>
    <mergeCell ref="L15:R15"/>
    <mergeCell ref="A1:R1"/>
    <mergeCell ref="A2:R2"/>
    <mergeCell ref="A4:R4"/>
    <mergeCell ref="B6:E6"/>
    <mergeCell ref="G6:R6"/>
    <mergeCell ref="B7:E7"/>
    <mergeCell ref="G7:R7"/>
    <mergeCell ref="B8:E8"/>
    <mergeCell ref="G8:R8"/>
  </mergeCells>
  <pageMargins left="0.4" right="0.4" top="0.5" bottom="0.5" header="0.511811023622047" footer="0.511811023622047"/>
  <pageSetup paperSize="9"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47"/>
  <sheetViews>
    <sheetView showGridLines="0" zoomScaleNormal="100" workbookViewId="0"/>
  </sheetViews>
  <sheetFormatPr defaultColWidth="8.6640625" defaultRowHeight="14.4" x14ac:dyDescent="0.3"/>
  <cols>
    <col min="1" max="1" width="3" customWidth="1"/>
    <col min="2" max="2" width="2.44140625" customWidth="1"/>
    <col min="3" max="7" width="9" customWidth="1"/>
    <col min="8" max="8" width="8.44140625" customWidth="1"/>
    <col min="9" max="9" width="9" customWidth="1"/>
    <col min="10" max="10" width="5.5546875" customWidth="1"/>
    <col min="11" max="11" width="9" customWidth="1"/>
    <col min="12" max="12" width="6.33203125" customWidth="1"/>
    <col min="13" max="13" width="9.44140625" customWidth="1"/>
  </cols>
  <sheetData>
    <row r="1" spans="1:13" ht="15" customHeight="1" x14ac:dyDescent="0.3">
      <c r="A1" s="4" t="str">
        <f>+TIT!D2</f>
        <v>AKSHITA AVENUE CO-OPERATIVE HOUSING SOCIETY LTD.</v>
      </c>
      <c r="B1" s="4"/>
      <c r="C1" s="4"/>
      <c r="D1" s="4"/>
      <c r="E1" s="4"/>
      <c r="F1" s="4"/>
      <c r="G1" s="4"/>
      <c r="H1" s="4"/>
      <c r="I1" s="4"/>
      <c r="J1" s="4"/>
      <c r="K1" s="4"/>
      <c r="L1" s="4"/>
      <c r="M1" s="4"/>
    </row>
    <row r="2" spans="1:13" ht="15" customHeight="1" x14ac:dyDescent="0.3">
      <c r="A2" s="63" t="s">
        <v>737</v>
      </c>
      <c r="B2" s="63"/>
      <c r="C2" s="63"/>
      <c r="D2" s="63"/>
      <c r="E2" s="63"/>
      <c r="F2" s="63"/>
      <c r="G2" s="63"/>
      <c r="H2" s="63"/>
      <c r="I2" s="63"/>
      <c r="J2" s="63"/>
      <c r="K2" s="63"/>
      <c r="L2" s="63"/>
      <c r="M2" s="63"/>
    </row>
    <row r="4" spans="1:13" ht="15" customHeight="1" x14ac:dyDescent="0.3">
      <c r="A4" s="15" t="s">
        <v>738</v>
      </c>
      <c r="B4" s="43" t="s">
        <v>739</v>
      </c>
    </row>
    <row r="5" spans="1:13" ht="15" customHeight="1" x14ac:dyDescent="0.3">
      <c r="B5" s="16">
        <v>1</v>
      </c>
    </row>
    <row r="6" spans="1:13" ht="22.5" customHeight="1" x14ac:dyDescent="0.3">
      <c r="D6" s="2" t="s">
        <v>740</v>
      </c>
      <c r="E6" s="2"/>
      <c r="F6" s="2"/>
      <c r="G6" s="2"/>
      <c r="H6" s="2"/>
      <c r="I6" s="2"/>
      <c r="J6" s="2"/>
      <c r="K6" s="2"/>
      <c r="L6" s="2"/>
      <c r="M6" s="2"/>
    </row>
    <row r="7" spans="1:13" ht="22.5" customHeight="1" x14ac:dyDescent="0.3">
      <c r="D7" s="2"/>
      <c r="E7" s="2"/>
      <c r="F7" s="2"/>
      <c r="G7" s="2"/>
      <c r="H7" s="2"/>
      <c r="I7" s="2"/>
      <c r="J7" s="2"/>
      <c r="K7" s="2"/>
      <c r="L7" s="2"/>
      <c r="M7" s="2"/>
    </row>
    <row r="8" spans="1:13" ht="22.5" customHeight="1" x14ac:dyDescent="0.3">
      <c r="D8" s="2"/>
      <c r="E8" s="2"/>
      <c r="F8" s="2"/>
      <c r="G8" s="2"/>
      <c r="H8" s="2"/>
      <c r="I8" s="2"/>
      <c r="J8" s="2"/>
      <c r="K8" s="2"/>
      <c r="L8" s="2"/>
      <c r="M8" s="2"/>
    </row>
    <row r="10" spans="1:13" ht="15" customHeight="1" x14ac:dyDescent="0.3">
      <c r="B10" s="16">
        <v>2</v>
      </c>
      <c r="C10" s="25" t="s">
        <v>741</v>
      </c>
    </row>
    <row r="11" spans="1:13" ht="27" customHeight="1" x14ac:dyDescent="0.3">
      <c r="D11" s="2" t="s">
        <v>742</v>
      </c>
      <c r="E11" s="2"/>
      <c r="F11" s="2"/>
      <c r="G11" s="2"/>
      <c r="H11" s="2"/>
      <c r="I11" s="2"/>
      <c r="J11" s="2"/>
      <c r="K11" s="2"/>
      <c r="L11" s="2"/>
      <c r="M11" s="2"/>
    </row>
    <row r="12" spans="1:13" ht="27" customHeight="1" x14ac:dyDescent="0.3">
      <c r="D12" s="2"/>
      <c r="E12" s="2"/>
      <c r="F12" s="2"/>
      <c r="G12" s="2"/>
      <c r="H12" s="2"/>
      <c r="I12" s="2"/>
      <c r="J12" s="2"/>
      <c r="K12" s="2"/>
      <c r="L12" s="2"/>
      <c r="M12" s="2"/>
    </row>
    <row r="13" spans="1:13" ht="27" customHeight="1" x14ac:dyDescent="0.3">
      <c r="D13" s="2"/>
      <c r="E13" s="2"/>
      <c r="F13" s="2"/>
      <c r="G13" s="2"/>
      <c r="H13" s="2"/>
      <c r="I13" s="2"/>
      <c r="J13" s="2"/>
      <c r="K13" s="2"/>
      <c r="L13" s="2"/>
      <c r="M13" s="2"/>
    </row>
    <row r="15" spans="1:13" ht="15" customHeight="1" x14ac:dyDescent="0.3">
      <c r="B15" s="16">
        <v>3</v>
      </c>
      <c r="C15" s="25" t="s">
        <v>743</v>
      </c>
    </row>
    <row r="16" spans="1:13" ht="13.5" customHeight="1" x14ac:dyDescent="0.3">
      <c r="D16" s="2" t="s">
        <v>744</v>
      </c>
      <c r="E16" s="2"/>
      <c r="F16" s="2"/>
      <c r="G16" s="2"/>
      <c r="H16" s="2"/>
      <c r="I16" s="2"/>
      <c r="J16" s="2"/>
      <c r="K16" s="2"/>
      <c r="L16" s="2"/>
      <c r="M16" s="2"/>
    </row>
    <row r="17" spans="1:13" ht="15" customHeight="1" x14ac:dyDescent="0.3">
      <c r="D17" s="2"/>
      <c r="E17" s="2"/>
      <c r="F17" s="2"/>
      <c r="G17" s="2"/>
      <c r="H17" s="2"/>
      <c r="I17" s="2"/>
      <c r="J17" s="2"/>
      <c r="K17" s="2"/>
      <c r="L17" s="2"/>
      <c r="M17" s="2"/>
    </row>
    <row r="18" spans="1:13" ht="15" customHeight="1" x14ac:dyDescent="0.3">
      <c r="D18" s="2"/>
      <c r="E18" s="2"/>
      <c r="F18" s="2"/>
      <c r="G18" s="2"/>
      <c r="H18" s="2"/>
      <c r="I18" s="2"/>
      <c r="J18" s="2"/>
      <c r="K18" s="2"/>
      <c r="L18" s="2"/>
      <c r="M18" s="2"/>
    </row>
    <row r="19" spans="1:13" ht="15" customHeight="1" x14ac:dyDescent="0.3">
      <c r="B19" s="16">
        <v>4</v>
      </c>
      <c r="C19" s="25" t="s">
        <v>290</v>
      </c>
    </row>
    <row r="20" spans="1:13" ht="18" customHeight="1" x14ac:dyDescent="0.3">
      <c r="D20" s="2" t="s">
        <v>745</v>
      </c>
      <c r="E20" s="2"/>
      <c r="F20" s="2"/>
      <c r="G20" s="2"/>
      <c r="H20" s="2"/>
      <c r="I20" s="2"/>
      <c r="J20" s="2"/>
      <c r="K20" s="2"/>
      <c r="L20" s="2"/>
      <c r="M20" s="2"/>
    </row>
    <row r="21" spans="1:13" ht="18" customHeight="1" x14ac:dyDescent="0.3">
      <c r="D21" s="2"/>
      <c r="E21" s="2"/>
      <c r="F21" s="2"/>
      <c r="G21" s="2"/>
      <c r="H21" s="2"/>
      <c r="I21" s="2"/>
      <c r="J21" s="2"/>
      <c r="K21" s="2"/>
      <c r="L21" s="2"/>
      <c r="M21" s="2"/>
    </row>
    <row r="22" spans="1:13" ht="18" customHeight="1" x14ac:dyDescent="0.3">
      <c r="D22" s="2"/>
      <c r="E22" s="2"/>
      <c r="F22" s="2"/>
      <c r="G22" s="2"/>
      <c r="H22" s="2"/>
      <c r="I22" s="2"/>
      <c r="J22" s="2"/>
      <c r="K22" s="2"/>
      <c r="L22" s="2"/>
      <c r="M22" s="2"/>
    </row>
    <row r="24" spans="1:13" ht="15" customHeight="1" x14ac:dyDescent="0.3">
      <c r="B24" s="16">
        <v>5</v>
      </c>
      <c r="C24" s="25" t="s">
        <v>746</v>
      </c>
    </row>
    <row r="25" spans="1:13" ht="13.5" customHeight="1" x14ac:dyDescent="0.3">
      <c r="D25" s="2" t="s">
        <v>747</v>
      </c>
      <c r="E25" s="2"/>
      <c r="F25" s="2"/>
      <c r="G25" s="2"/>
      <c r="H25" s="2"/>
      <c r="I25" s="2"/>
      <c r="J25" s="2"/>
      <c r="K25" s="2"/>
      <c r="L25" s="2"/>
      <c r="M25" s="2"/>
    </row>
    <row r="26" spans="1:13" ht="15" customHeight="1" x14ac:dyDescent="0.3">
      <c r="D26" s="2"/>
      <c r="E26" s="2"/>
      <c r="F26" s="2"/>
      <c r="G26" s="2"/>
      <c r="H26" s="2"/>
      <c r="I26" s="2"/>
      <c r="J26" s="2"/>
      <c r="K26" s="2"/>
      <c r="L26" s="2"/>
      <c r="M26" s="2"/>
    </row>
    <row r="27" spans="1:13" ht="15" customHeight="1" x14ac:dyDescent="0.3">
      <c r="B27" s="16">
        <v>6</v>
      </c>
      <c r="C27" s="25" t="s">
        <v>748</v>
      </c>
      <c r="D27" s="2"/>
      <c r="E27" s="2"/>
      <c r="F27" s="2"/>
      <c r="G27" s="2"/>
      <c r="H27" s="2"/>
      <c r="I27" s="2"/>
      <c r="J27" s="2"/>
      <c r="K27" s="2"/>
      <c r="L27" s="2"/>
      <c r="M27" s="2"/>
    </row>
    <row r="28" spans="1:13" ht="13.5" customHeight="1" x14ac:dyDescent="0.3">
      <c r="D28" s="2" t="s">
        <v>749</v>
      </c>
      <c r="E28" s="2"/>
      <c r="F28" s="2"/>
      <c r="G28" s="2"/>
      <c r="H28" s="2"/>
      <c r="I28" s="2"/>
      <c r="J28" s="2"/>
      <c r="K28" s="2"/>
      <c r="L28" s="2"/>
      <c r="M28" s="2"/>
    </row>
    <row r="29" spans="1:13" ht="15" customHeight="1" x14ac:dyDescent="0.3">
      <c r="D29" s="2"/>
      <c r="E29" s="2"/>
      <c r="F29" s="2"/>
      <c r="G29" s="2"/>
      <c r="H29" s="2"/>
      <c r="I29" s="2"/>
      <c r="J29" s="2"/>
      <c r="K29" s="2"/>
      <c r="L29" s="2"/>
      <c r="M29" s="2"/>
    </row>
    <row r="30" spans="1:13" ht="15" customHeight="1" x14ac:dyDescent="0.3">
      <c r="A30" s="15" t="s">
        <v>51</v>
      </c>
      <c r="B30" s="43" t="s">
        <v>750</v>
      </c>
      <c r="D30" s="2"/>
      <c r="E30" s="2"/>
      <c r="F30" s="2"/>
      <c r="G30" s="2"/>
      <c r="H30" s="2"/>
      <c r="I30" s="2"/>
      <c r="J30" s="2"/>
      <c r="K30" s="2"/>
      <c r="L30" s="2"/>
      <c r="M30" s="2"/>
    </row>
    <row r="31" spans="1:13" ht="15" customHeight="1" x14ac:dyDescent="0.3">
      <c r="B31" s="16">
        <v>1</v>
      </c>
      <c r="C31" s="16" t="s">
        <v>751</v>
      </c>
    </row>
    <row r="32" spans="1:13" ht="27" customHeight="1" x14ac:dyDescent="0.3">
      <c r="D32" s="2" t="s">
        <v>752</v>
      </c>
      <c r="E32" s="2"/>
      <c r="F32" s="2"/>
      <c r="G32" s="2"/>
      <c r="H32" s="2"/>
      <c r="I32" s="2"/>
      <c r="J32" s="2"/>
      <c r="K32" s="2"/>
      <c r="L32" s="2"/>
      <c r="M32" s="2"/>
    </row>
    <row r="34" spans="2:13" ht="15" customHeight="1" x14ac:dyDescent="0.3">
      <c r="B34" s="16">
        <v>2</v>
      </c>
      <c r="C34" s="16" t="s">
        <v>753</v>
      </c>
    </row>
    <row r="35" spans="2:13" ht="27" customHeight="1" x14ac:dyDescent="0.3">
      <c r="D35" s="2" t="s">
        <v>754</v>
      </c>
      <c r="E35" s="2"/>
      <c r="F35" s="2"/>
      <c r="G35" s="2"/>
      <c r="H35" s="2"/>
      <c r="I35" s="2"/>
      <c r="J35" s="2"/>
      <c r="K35" s="2"/>
      <c r="L35" s="2"/>
      <c r="M35" s="2"/>
    </row>
    <row r="36" spans="2:13" ht="15" customHeight="1" x14ac:dyDescent="0.3">
      <c r="B36" s="16">
        <v>3</v>
      </c>
      <c r="C36" s="16" t="s">
        <v>755</v>
      </c>
    </row>
    <row r="37" spans="2:13" ht="40.5" customHeight="1" x14ac:dyDescent="0.3">
      <c r="D37" s="2" t="s">
        <v>756</v>
      </c>
      <c r="E37" s="2"/>
      <c r="F37" s="2"/>
      <c r="G37" s="2"/>
      <c r="H37" s="2"/>
      <c r="I37" s="2"/>
      <c r="J37" s="2"/>
      <c r="K37" s="2"/>
      <c r="L37" s="2"/>
      <c r="M37" s="2"/>
    </row>
    <row r="38" spans="2:13" ht="15" customHeight="1" x14ac:dyDescent="0.3">
      <c r="B38" s="16">
        <v>4</v>
      </c>
      <c r="C38" s="16" t="s">
        <v>757</v>
      </c>
    </row>
    <row r="39" spans="2:13" ht="27" customHeight="1" x14ac:dyDescent="0.3">
      <c r="D39" s="2" t="s">
        <v>758</v>
      </c>
      <c r="E39" s="2"/>
      <c r="F39" s="2"/>
      <c r="G39" s="2"/>
      <c r="H39" s="2"/>
      <c r="I39" s="2"/>
      <c r="J39" s="2"/>
      <c r="K39" s="2"/>
      <c r="L39" s="2"/>
      <c r="M39" s="2"/>
    </row>
    <row r="40" spans="2:13" ht="15" customHeight="1" x14ac:dyDescent="0.3">
      <c r="B40" s="16">
        <v>5</v>
      </c>
      <c r="C40" s="16" t="s">
        <v>759</v>
      </c>
    </row>
    <row r="41" spans="2:13" ht="40.5" customHeight="1" x14ac:dyDescent="0.3">
      <c r="D41" s="2" t="s">
        <v>760</v>
      </c>
      <c r="E41" s="2"/>
      <c r="F41" s="2"/>
      <c r="G41" s="2"/>
      <c r="H41" s="2"/>
      <c r="I41" s="2"/>
      <c r="J41" s="2"/>
      <c r="K41" s="2"/>
      <c r="L41" s="2"/>
      <c r="M41" s="2"/>
    </row>
    <row r="43" spans="2:13" ht="15" customHeight="1" x14ac:dyDescent="0.3">
      <c r="H43" s="51" t="str">
        <f>"For "&amp;TIT!D2</f>
        <v>For AKSHITA AVENUE CO-OPERATIVE HOUSING SOCIETY LTD.</v>
      </c>
      <c r="I43" s="51"/>
      <c r="J43" s="51"/>
      <c r="K43" s="51"/>
      <c r="L43" s="51"/>
      <c r="M43" s="51"/>
    </row>
    <row r="44" spans="2:13" ht="15" customHeight="1" x14ac:dyDescent="0.3">
      <c r="D44" s="14" t="str">
        <f>+TIT!D9</f>
        <v>Shri. Bharat C. Boridkar</v>
      </c>
      <c r="E44" s="14"/>
      <c r="F44" s="14"/>
      <c r="G44" s="14"/>
      <c r="H44" s="51"/>
      <c r="I44" s="51"/>
      <c r="J44" s="51"/>
      <c r="K44" s="51"/>
      <c r="L44" s="51"/>
      <c r="M44" s="51"/>
    </row>
    <row r="45" spans="2:13" ht="15" customHeight="1" x14ac:dyDescent="0.3">
      <c r="D45" s="13" t="str">
        <f>"[Panel No.: "&amp;TIT!D10&amp;"]"</f>
        <v>[Panel No.: Mumbai-4/C1/1011404]</v>
      </c>
      <c r="E45" s="13"/>
      <c r="F45" s="13"/>
      <c r="G45" s="13"/>
    </row>
    <row r="46" spans="2:13" ht="15" customHeight="1" x14ac:dyDescent="0.3">
      <c r="D46" s="13" t="str">
        <f>+TIT!F9</f>
        <v>Govt. Certified Panel Auditor</v>
      </c>
      <c r="E46" s="13"/>
      <c r="F46" s="13"/>
      <c r="G46" s="13"/>
    </row>
    <row r="47" spans="2:13" ht="15" customHeight="1" x14ac:dyDescent="0.3">
      <c r="D47" s="1">
        <f>+TIT!D12</f>
        <v>46282</v>
      </c>
      <c r="E47" s="1"/>
      <c r="F47" s="1"/>
      <c r="G47" s="1"/>
      <c r="H47" s="13" t="s">
        <v>761</v>
      </c>
      <c r="I47" s="13"/>
      <c r="J47" s="13"/>
      <c r="K47" s="13"/>
      <c r="L47" s="13"/>
      <c r="M47" s="13"/>
    </row>
  </sheetData>
  <mergeCells count="19">
    <mergeCell ref="D45:G45"/>
    <mergeCell ref="D46:G46"/>
    <mergeCell ref="D47:G47"/>
    <mergeCell ref="H47:M47"/>
    <mergeCell ref="D37:M37"/>
    <mergeCell ref="D39:M39"/>
    <mergeCell ref="D41:M41"/>
    <mergeCell ref="H43:M44"/>
    <mergeCell ref="D44:G44"/>
    <mergeCell ref="D20:M22"/>
    <mergeCell ref="D25:M27"/>
    <mergeCell ref="D28:M30"/>
    <mergeCell ref="D32:M32"/>
    <mergeCell ref="D35:M35"/>
    <mergeCell ref="A1:M1"/>
    <mergeCell ref="A2:M2"/>
    <mergeCell ref="D6:M8"/>
    <mergeCell ref="D11:M13"/>
    <mergeCell ref="D16:M18"/>
  </mergeCells>
  <pageMargins left="0.4" right="0.4" top="0.5" bottom="0.5" header="0.511811023622047" footer="0.511811023622047"/>
  <pageSetup paperSize="9"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K24"/>
  <sheetViews>
    <sheetView showGridLines="0" zoomScaleNormal="100" workbookViewId="0"/>
  </sheetViews>
  <sheetFormatPr defaultColWidth="8.6640625" defaultRowHeight="14.4" x14ac:dyDescent="0.3"/>
  <cols>
    <col min="1" max="1" width="4" customWidth="1"/>
    <col min="2" max="8" width="9" customWidth="1"/>
    <col min="9" max="9" width="13" customWidth="1"/>
    <col min="10" max="10" width="8" customWidth="1"/>
    <col min="11" max="11" width="7" customWidth="1"/>
  </cols>
  <sheetData>
    <row r="2" spans="1:11" ht="15" customHeight="1" x14ac:dyDescent="0.3">
      <c r="A2" s="4" t="str">
        <f>+TIT!D9</f>
        <v>Shri. Bharat C. Boridkar</v>
      </c>
      <c r="B2" s="4"/>
      <c r="C2" s="4"/>
      <c r="D2" s="4"/>
      <c r="E2" s="4"/>
      <c r="F2" s="4"/>
      <c r="G2" s="4"/>
      <c r="H2" s="4"/>
      <c r="I2" s="4"/>
      <c r="J2" s="4"/>
      <c r="K2" s="4"/>
    </row>
    <row r="3" spans="1:11" ht="15" customHeight="1" x14ac:dyDescent="0.3">
      <c r="A3" s="5" t="str">
        <f>+TIT!F9</f>
        <v>Govt. Certified Panel Auditor</v>
      </c>
      <c r="B3" s="5"/>
      <c r="C3" s="5"/>
      <c r="D3" s="5"/>
      <c r="E3" s="5"/>
      <c r="F3" s="5"/>
      <c r="G3" s="5"/>
      <c r="H3" s="5"/>
      <c r="I3" s="5"/>
      <c r="J3" s="5"/>
      <c r="K3" s="5"/>
    </row>
    <row r="4" spans="1:11" ht="15" customHeight="1" x14ac:dyDescent="0.3">
      <c r="A4" s="3" t="str">
        <f>+TIT!D11</f>
        <v>Boridkar House, Pandurang Bhoir Road, Dahisar - West, Mumbai - 400 068</v>
      </c>
      <c r="B4" s="3"/>
      <c r="C4" s="3"/>
      <c r="D4" s="3"/>
      <c r="E4" s="3"/>
      <c r="F4" s="3"/>
      <c r="G4" s="3"/>
      <c r="H4" s="3"/>
      <c r="I4" s="3"/>
      <c r="J4" s="3"/>
      <c r="K4" s="3"/>
    </row>
    <row r="9" spans="1:11" ht="15" customHeight="1" x14ac:dyDescent="0.3">
      <c r="A9" s="4" t="str">
        <f>+TIT!D2</f>
        <v>AKSHITA AVENUE CO-OPERATIVE HOUSING SOCIETY LTD.</v>
      </c>
      <c r="B9" s="4"/>
      <c r="C9" s="4"/>
      <c r="D9" s="4"/>
      <c r="E9" s="4"/>
      <c r="F9" s="4"/>
      <c r="G9" s="4"/>
      <c r="H9" s="4"/>
      <c r="I9" s="4"/>
      <c r="J9" s="4"/>
      <c r="K9" s="4"/>
    </row>
    <row r="10" spans="1:11" ht="15" customHeight="1" x14ac:dyDescent="0.3">
      <c r="A10" s="3" t="str">
        <f>+TIT!D6</f>
        <v>Akshita Avenue, Holy Cross Road, I. C. Colony, Borivali West, Mumbai - 400 103</v>
      </c>
      <c r="B10" s="3"/>
      <c r="C10" s="3"/>
      <c r="D10" s="3"/>
      <c r="E10" s="3"/>
      <c r="F10" s="3"/>
      <c r="G10" s="3"/>
      <c r="H10" s="3"/>
      <c r="I10" s="3"/>
      <c r="J10" s="3"/>
      <c r="K10" s="3"/>
    </row>
    <row r="12" spans="1:11" ht="15" customHeight="1" x14ac:dyDescent="0.3">
      <c r="A12" s="4" t="s">
        <v>65</v>
      </c>
      <c r="B12" s="4"/>
      <c r="C12" s="4"/>
      <c r="D12" s="4"/>
      <c r="E12" s="4"/>
      <c r="F12" s="4"/>
      <c r="G12" s="4"/>
      <c r="H12" s="4"/>
      <c r="I12" s="4"/>
      <c r="J12" s="4"/>
      <c r="K12" s="4"/>
    </row>
    <row r="13" spans="1:11" ht="15" customHeight="1" x14ac:dyDescent="0.3">
      <c r="A13" s="53" t="str">
        <f>"Financial Year : "&amp;2025&amp;"-"&amp;2026</f>
        <v>Financial Year : 2025-2026</v>
      </c>
      <c r="B13" s="53"/>
      <c r="C13" s="53"/>
      <c r="D13" s="53"/>
      <c r="E13" s="53"/>
      <c r="F13" s="53"/>
      <c r="G13" s="53"/>
      <c r="H13" s="53"/>
      <c r="I13" s="53"/>
      <c r="J13" s="53"/>
      <c r="K13" s="53"/>
    </row>
    <row r="14" spans="1:11" ht="15" customHeight="1" x14ac:dyDescent="0.3">
      <c r="A14" s="98" t="s">
        <v>762</v>
      </c>
      <c r="B14" s="98"/>
      <c r="C14" s="98"/>
      <c r="D14" s="98"/>
      <c r="E14" s="98"/>
      <c r="F14" s="98"/>
      <c r="G14" s="98"/>
      <c r="H14" s="98"/>
      <c r="I14" s="98"/>
      <c r="J14" s="98"/>
      <c r="K14" s="98"/>
    </row>
    <row r="16" spans="1:11" ht="15" customHeight="1" x14ac:dyDescent="0.3">
      <c r="B16" s="33" t="s">
        <v>487</v>
      </c>
      <c r="C16" s="66" t="s">
        <v>405</v>
      </c>
      <c r="D16" s="66"/>
      <c r="E16" s="66"/>
      <c r="F16" s="66"/>
      <c r="G16" s="66"/>
      <c r="H16" s="66"/>
      <c r="I16" s="33" t="s">
        <v>763</v>
      </c>
    </row>
    <row r="17" spans="2:9" ht="15" customHeight="1" x14ac:dyDescent="0.3">
      <c r="B17" s="34">
        <v>1</v>
      </c>
      <c r="C17" s="72" t="s">
        <v>764</v>
      </c>
      <c r="D17" s="72"/>
      <c r="E17" s="72"/>
      <c r="F17" s="72"/>
      <c r="G17" s="72"/>
      <c r="H17" s="72"/>
      <c r="I17" s="34" t="s">
        <v>765</v>
      </c>
    </row>
    <row r="18" spans="2:9" ht="15" customHeight="1" x14ac:dyDescent="0.3">
      <c r="B18" s="34">
        <v>2</v>
      </c>
      <c r="C18" s="72" t="s">
        <v>766</v>
      </c>
      <c r="D18" s="72"/>
      <c r="E18" s="72"/>
      <c r="F18" s="72"/>
      <c r="G18" s="72"/>
      <c r="H18" s="72"/>
      <c r="I18" s="34" t="s">
        <v>767</v>
      </c>
    </row>
    <row r="19" spans="2:9" ht="15" customHeight="1" x14ac:dyDescent="0.3">
      <c r="B19" s="34">
        <v>3</v>
      </c>
      <c r="C19" s="72" t="s">
        <v>768</v>
      </c>
      <c r="D19" s="72"/>
      <c r="E19" s="72"/>
      <c r="F19" s="72"/>
      <c r="G19" s="72"/>
      <c r="H19" s="72"/>
      <c r="I19" s="34" t="s">
        <v>769</v>
      </c>
    </row>
    <row r="20" spans="2:9" ht="15" customHeight="1" x14ac:dyDescent="0.3">
      <c r="B20" s="34">
        <v>4</v>
      </c>
      <c r="C20" s="72" t="s">
        <v>770</v>
      </c>
      <c r="D20" s="72"/>
      <c r="E20" s="72"/>
      <c r="F20" s="72"/>
      <c r="G20" s="72"/>
      <c r="H20" s="72"/>
      <c r="I20" s="34" t="s">
        <v>771</v>
      </c>
    </row>
    <row r="21" spans="2:9" ht="15" customHeight="1" x14ac:dyDescent="0.3">
      <c r="B21" s="34">
        <v>5</v>
      </c>
      <c r="C21" s="72" t="s">
        <v>772</v>
      </c>
      <c r="D21" s="72"/>
      <c r="E21" s="72"/>
      <c r="F21" s="72"/>
      <c r="G21" s="72"/>
      <c r="H21" s="72"/>
      <c r="I21" s="34" t="s">
        <v>773</v>
      </c>
    </row>
    <row r="22" spans="2:9" ht="15" customHeight="1" x14ac:dyDescent="0.3">
      <c r="B22" s="34">
        <v>6</v>
      </c>
      <c r="C22" s="72" t="s">
        <v>774</v>
      </c>
      <c r="D22" s="72"/>
      <c r="E22" s="72"/>
      <c r="F22" s="72"/>
      <c r="G22" s="72"/>
      <c r="H22" s="72"/>
      <c r="I22" s="34" t="s">
        <v>775</v>
      </c>
    </row>
    <row r="23" spans="2:9" ht="15" customHeight="1" x14ac:dyDescent="0.3">
      <c r="B23" s="34">
        <v>7</v>
      </c>
      <c r="C23" s="72" t="s">
        <v>776</v>
      </c>
      <c r="D23" s="72"/>
      <c r="E23" s="72"/>
      <c r="F23" s="72"/>
      <c r="G23" s="72"/>
      <c r="H23" s="72"/>
      <c r="I23" s="34" t="s">
        <v>777</v>
      </c>
    </row>
    <row r="24" spans="2:9" ht="15" customHeight="1" x14ac:dyDescent="0.3">
      <c r="B24" s="34">
        <v>8</v>
      </c>
      <c r="C24" s="72" t="s">
        <v>778</v>
      </c>
      <c r="D24" s="72"/>
      <c r="E24" s="72"/>
      <c r="F24" s="72"/>
      <c r="G24" s="72"/>
      <c r="H24" s="72"/>
      <c r="I24" s="34" t="s">
        <v>779</v>
      </c>
    </row>
  </sheetData>
  <mergeCells count="17">
    <mergeCell ref="C23:H23"/>
    <mergeCell ref="C24:H24"/>
    <mergeCell ref="C18:H18"/>
    <mergeCell ref="C19:H19"/>
    <mergeCell ref="C20:H20"/>
    <mergeCell ref="C21:H21"/>
    <mergeCell ref="C22:H22"/>
    <mergeCell ref="A12:K12"/>
    <mergeCell ref="A13:K13"/>
    <mergeCell ref="A14:K14"/>
    <mergeCell ref="C16:H16"/>
    <mergeCell ref="C17:H17"/>
    <mergeCell ref="A2:K2"/>
    <mergeCell ref="A3:K3"/>
    <mergeCell ref="A4:K4"/>
    <mergeCell ref="A9:K9"/>
    <mergeCell ref="A10:K10"/>
  </mergeCells>
  <pageMargins left="0.4" right="0.4" top="0.5" bottom="0.5" header="0.511811023622047" footer="0.511811023622047"/>
  <pageSetup paperSize="9" fitToHeight="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26"/>
  <sheetViews>
    <sheetView showGridLines="0" zoomScaleNormal="100" workbookViewId="0"/>
  </sheetViews>
  <sheetFormatPr defaultColWidth="8.6640625" defaultRowHeight="14.4" x14ac:dyDescent="0.3"/>
  <cols>
    <col min="1" max="1" width="26" customWidth="1"/>
    <col min="2" max="14" width="14" customWidth="1"/>
  </cols>
  <sheetData>
    <row r="1" spans="1:14" ht="15" customHeight="1" x14ac:dyDescent="0.3">
      <c r="C1" s="41" t="s">
        <v>780</v>
      </c>
      <c r="D1" s="41" t="s">
        <v>781</v>
      </c>
      <c r="E1" s="41" t="s">
        <v>782</v>
      </c>
      <c r="F1" s="41" t="s">
        <v>783</v>
      </c>
      <c r="G1" s="41" t="s">
        <v>784</v>
      </c>
      <c r="H1" s="41" t="s">
        <v>785</v>
      </c>
      <c r="I1" s="41" t="s">
        <v>786</v>
      </c>
      <c r="J1" s="41" t="s">
        <v>787</v>
      </c>
      <c r="K1" s="41" t="s">
        <v>788</v>
      </c>
      <c r="L1" s="41" t="s">
        <v>789</v>
      </c>
      <c r="M1" s="41" t="s">
        <v>790</v>
      </c>
      <c r="N1" s="41" t="s">
        <v>791</v>
      </c>
    </row>
    <row r="2" spans="1:14" ht="15" customHeight="1" x14ac:dyDescent="0.3">
      <c r="A2" s="33" t="s">
        <v>792</v>
      </c>
      <c r="B2" s="33" t="s">
        <v>46</v>
      </c>
      <c r="C2" s="44"/>
      <c r="D2" s="44"/>
      <c r="E2" s="44"/>
      <c r="F2" s="44"/>
      <c r="G2" s="44"/>
      <c r="H2" s="44"/>
      <c r="I2" s="44"/>
      <c r="J2" s="44"/>
      <c r="K2" s="44"/>
      <c r="L2" s="44"/>
      <c r="M2" s="44"/>
      <c r="N2" s="44"/>
    </row>
    <row r="3" spans="1:14" ht="15" customHeight="1" x14ac:dyDescent="0.3">
      <c r="A3" s="45"/>
      <c r="B3" s="34" t="s">
        <v>482</v>
      </c>
      <c r="C3" s="46"/>
      <c r="D3" s="46"/>
      <c r="E3" s="46"/>
      <c r="F3" s="46"/>
      <c r="G3" s="46"/>
      <c r="H3" s="46"/>
      <c r="I3" s="46"/>
      <c r="J3" s="46"/>
      <c r="K3" s="46"/>
      <c r="L3" s="46"/>
      <c r="M3" s="46"/>
      <c r="N3" s="46"/>
    </row>
    <row r="4" spans="1:14" ht="15" customHeight="1" x14ac:dyDescent="0.3">
      <c r="A4" s="45"/>
      <c r="B4" s="34" t="s">
        <v>40</v>
      </c>
      <c r="C4" s="46"/>
      <c r="D4" s="46"/>
      <c r="E4" s="46"/>
      <c r="F4" s="46"/>
      <c r="G4" s="46"/>
      <c r="H4" s="46"/>
      <c r="I4" s="46"/>
      <c r="J4" s="46"/>
      <c r="K4" s="46"/>
      <c r="L4" s="46"/>
      <c r="M4" s="46"/>
      <c r="N4" s="46"/>
    </row>
    <row r="5" spans="1:14" ht="15" customHeight="1" x14ac:dyDescent="0.3">
      <c r="A5" s="45"/>
      <c r="B5" s="34" t="s">
        <v>483</v>
      </c>
      <c r="C5" s="46"/>
      <c r="D5" s="46"/>
      <c r="E5" s="46"/>
      <c r="F5" s="46"/>
      <c r="G5" s="46"/>
      <c r="H5" s="46"/>
      <c r="I5" s="46"/>
      <c r="J5" s="46"/>
      <c r="K5" s="46"/>
      <c r="L5" s="46"/>
      <c r="M5" s="46"/>
      <c r="N5" s="46"/>
    </row>
    <row r="6" spans="1:14" ht="15" customHeight="1" x14ac:dyDescent="0.3">
      <c r="A6" s="45"/>
      <c r="B6" s="34" t="s">
        <v>793</v>
      </c>
      <c r="C6" s="46"/>
      <c r="D6" s="46"/>
      <c r="E6" s="46"/>
      <c r="F6" s="46"/>
      <c r="G6" s="46"/>
      <c r="H6" s="46"/>
      <c r="I6" s="46"/>
      <c r="J6" s="46"/>
      <c r="K6" s="46"/>
      <c r="L6" s="46"/>
      <c r="M6" s="46"/>
      <c r="N6" s="46"/>
    </row>
    <row r="7" spans="1:14" ht="15" customHeight="1" x14ac:dyDescent="0.3">
      <c r="A7" s="45"/>
      <c r="B7" s="34" t="s">
        <v>793</v>
      </c>
      <c r="C7" s="46"/>
      <c r="D7" s="46"/>
      <c r="E7" s="46"/>
      <c r="F7" s="46"/>
      <c r="G7" s="46"/>
      <c r="H7" s="46"/>
      <c r="I7" s="46"/>
      <c r="J7" s="46"/>
      <c r="K7" s="46"/>
      <c r="L7" s="46"/>
      <c r="M7" s="46"/>
      <c r="N7" s="46"/>
    </row>
    <row r="8" spans="1:14" ht="15" customHeight="1" x14ac:dyDescent="0.3">
      <c r="A8" s="45"/>
      <c r="B8" s="34" t="s">
        <v>793</v>
      </c>
      <c r="C8" s="46"/>
      <c r="D8" s="46"/>
      <c r="E8" s="46"/>
      <c r="F8" s="46"/>
      <c r="G8" s="46"/>
      <c r="H8" s="46"/>
      <c r="I8" s="46"/>
      <c r="J8" s="46"/>
      <c r="K8" s="46"/>
      <c r="L8" s="46"/>
      <c r="M8" s="46"/>
      <c r="N8" s="46"/>
    </row>
    <row r="9" spans="1:14" ht="15" customHeight="1" x14ac:dyDescent="0.3">
      <c r="A9" s="45"/>
      <c r="B9" s="34" t="s">
        <v>793</v>
      </c>
      <c r="C9" s="46"/>
      <c r="D9" s="46"/>
      <c r="E9" s="46"/>
      <c r="F9" s="46"/>
      <c r="G9" s="46"/>
      <c r="H9" s="46"/>
      <c r="I9" s="46"/>
      <c r="J9" s="46"/>
      <c r="K9" s="46"/>
      <c r="L9" s="46"/>
      <c r="M9" s="46"/>
      <c r="N9" s="46"/>
    </row>
    <row r="10" spans="1:14" ht="15" customHeight="1" x14ac:dyDescent="0.3">
      <c r="A10" s="45"/>
      <c r="B10" s="34" t="s">
        <v>793</v>
      </c>
      <c r="C10" s="46"/>
      <c r="D10" s="46"/>
      <c r="E10" s="46"/>
      <c r="F10" s="46"/>
      <c r="G10" s="46"/>
      <c r="H10" s="46"/>
      <c r="I10" s="46"/>
      <c r="J10" s="46"/>
      <c r="K10" s="46"/>
      <c r="L10" s="46"/>
      <c r="M10" s="46"/>
      <c r="N10" s="46"/>
    </row>
    <row r="11" spans="1:14" ht="15" customHeight="1" x14ac:dyDescent="0.3">
      <c r="A11" s="45"/>
      <c r="B11" s="34" t="s">
        <v>793</v>
      </c>
      <c r="C11" s="46"/>
      <c r="D11" s="46"/>
      <c r="E11" s="46"/>
      <c r="F11" s="46"/>
      <c r="G11" s="46"/>
      <c r="H11" s="46"/>
      <c r="I11" s="46"/>
      <c r="J11" s="46"/>
      <c r="K11" s="46"/>
      <c r="L11" s="46"/>
      <c r="M11" s="46"/>
      <c r="N11" s="46"/>
    </row>
    <row r="13" spans="1:14" ht="15" customHeight="1" x14ac:dyDescent="0.3">
      <c r="A13" s="47" t="s">
        <v>794</v>
      </c>
      <c r="B13" s="35"/>
      <c r="C13" s="48">
        <f t="shared" ref="C13:N13" si="0">COUNTIF(C3:C11,"P")</f>
        <v>0</v>
      </c>
      <c r="D13" s="48">
        <f t="shared" si="0"/>
        <v>0</v>
      </c>
      <c r="E13" s="48">
        <f t="shared" si="0"/>
        <v>0</v>
      </c>
      <c r="F13" s="48">
        <f t="shared" si="0"/>
        <v>0</v>
      </c>
      <c r="G13" s="48">
        <f t="shared" si="0"/>
        <v>0</v>
      </c>
      <c r="H13" s="48">
        <f t="shared" si="0"/>
        <v>0</v>
      </c>
      <c r="I13" s="48">
        <f t="shared" si="0"/>
        <v>0</v>
      </c>
      <c r="J13" s="48">
        <f t="shared" si="0"/>
        <v>0</v>
      </c>
      <c r="K13" s="48">
        <f t="shared" si="0"/>
        <v>0</v>
      </c>
      <c r="L13" s="48">
        <f t="shared" si="0"/>
        <v>0</v>
      </c>
      <c r="M13" s="48">
        <f t="shared" si="0"/>
        <v>0</v>
      </c>
      <c r="N13" s="48">
        <f t="shared" si="0"/>
        <v>0</v>
      </c>
    </row>
    <row r="16" spans="1:14" ht="15" customHeight="1" x14ac:dyDescent="0.3">
      <c r="A16" s="16" t="s">
        <v>795</v>
      </c>
    </row>
    <row r="17" spans="1:14" ht="15" customHeight="1" x14ac:dyDescent="0.3">
      <c r="A17" s="11"/>
      <c r="B17" s="11"/>
      <c r="C17" s="11"/>
      <c r="D17" s="11"/>
      <c r="E17" s="11"/>
      <c r="F17" s="11"/>
      <c r="G17" s="11"/>
      <c r="H17" s="11"/>
      <c r="I17" s="11"/>
      <c r="J17" s="11"/>
      <c r="K17" s="11"/>
      <c r="L17" s="11"/>
      <c r="M17" s="11"/>
      <c r="N17" s="11"/>
    </row>
    <row r="19" spans="1:14" ht="15" customHeight="1" x14ac:dyDescent="0.3">
      <c r="A19" s="16" t="s">
        <v>796</v>
      </c>
      <c r="C19" s="18">
        <f>+TIT!D17</f>
        <v>0</v>
      </c>
    </row>
    <row r="20" spans="1:14" ht="15" customHeight="1" x14ac:dyDescent="0.3">
      <c r="A20" s="16" t="s">
        <v>797</v>
      </c>
      <c r="C20" s="17">
        <f>+TIT!D18</f>
        <v>0</v>
      </c>
    </row>
    <row r="22" spans="1:14" ht="15" customHeight="1" x14ac:dyDescent="0.3">
      <c r="A22" s="25" t="s">
        <v>798</v>
      </c>
    </row>
    <row r="23" spans="1:14" ht="15" customHeight="1" x14ac:dyDescent="0.3">
      <c r="A23" s="13" t="s">
        <v>799</v>
      </c>
      <c r="B23" s="13"/>
      <c r="C23" s="13"/>
      <c r="D23" s="13"/>
      <c r="E23" s="13"/>
      <c r="F23" s="13"/>
    </row>
    <row r="24" spans="1:14" ht="15" customHeight="1" x14ac:dyDescent="0.3">
      <c r="A24" s="13" t="s">
        <v>800</v>
      </c>
      <c r="B24" s="13"/>
      <c r="C24" s="13"/>
      <c r="D24" s="13"/>
      <c r="E24" s="13"/>
      <c r="F24" s="13"/>
    </row>
    <row r="25" spans="1:14" ht="15" customHeight="1" x14ac:dyDescent="0.3">
      <c r="A25" s="13" t="s">
        <v>801</v>
      </c>
      <c r="B25" s="13"/>
      <c r="C25" s="13"/>
      <c r="D25" s="13"/>
      <c r="E25" s="13"/>
      <c r="F25" s="13"/>
    </row>
    <row r="26" spans="1:14" ht="15" customHeight="1" x14ac:dyDescent="0.3">
      <c r="A26" s="13" t="s">
        <v>802</v>
      </c>
      <c r="B26" s="13"/>
      <c r="C26" s="13"/>
      <c r="D26" s="13"/>
      <c r="E26" s="13"/>
      <c r="F26" s="13"/>
    </row>
  </sheetData>
  <mergeCells count="5">
    <mergeCell ref="A17:N17"/>
    <mergeCell ref="A23:F23"/>
    <mergeCell ref="A24:F24"/>
    <mergeCell ref="A25:F25"/>
    <mergeCell ref="A26:F26"/>
  </mergeCells>
  <pageMargins left="0.4" right="0.4" top="0.5" bottom="0.5"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19EB-E6FA-4E8C-B1CA-E071EA31EC12}">
  <dimension ref="A1:A12"/>
  <sheetViews>
    <sheetView workbookViewId="0">
      <selection activeCell="E16" sqref="E16"/>
    </sheetView>
  </sheetViews>
  <sheetFormatPr defaultRowHeight="14.4" x14ac:dyDescent="0.3"/>
  <sheetData>
    <row r="1" spans="1:1" x14ac:dyDescent="0.3">
      <c r="A1" t="s">
        <v>804</v>
      </c>
    </row>
    <row r="3" spans="1:1" x14ac:dyDescent="0.3">
      <c r="A3" s="99" t="s">
        <v>805</v>
      </c>
    </row>
    <row r="5" spans="1:1" x14ac:dyDescent="0.3">
      <c r="A5" s="99" t="s">
        <v>806</v>
      </c>
    </row>
    <row r="6" spans="1:1" x14ac:dyDescent="0.3">
      <c r="A6" s="100"/>
    </row>
    <row r="7" spans="1:1" x14ac:dyDescent="0.3">
      <c r="A7" s="101" t="s">
        <v>807</v>
      </c>
    </row>
    <row r="8" spans="1:1" x14ac:dyDescent="0.3">
      <c r="A8" s="101" t="s">
        <v>808</v>
      </c>
    </row>
    <row r="10" spans="1:1" x14ac:dyDescent="0.3">
      <c r="A10" s="99" t="s">
        <v>809</v>
      </c>
    </row>
    <row r="12" spans="1:1" x14ac:dyDescent="0.3">
      <c r="A12" t="s">
        <v>810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TIT</vt:lpstr>
      <vt:lpstr>FirstPage</vt:lpstr>
      <vt:lpstr>Sheet1</vt:lpstr>
      <vt:lpstr>AR (2)</vt:lpstr>
      <vt:lpstr>SCHAR (2)</vt:lpstr>
      <vt:lpstr>F-1</vt:lpstr>
      <vt:lpstr>F-28</vt:lpstr>
      <vt:lpstr>GR</vt:lpstr>
      <vt:lpstr>SCH (2)</vt:lpstr>
      <vt:lpstr>INDEX</vt:lpstr>
      <vt:lpstr>mEETINGS</vt:lpstr>
      <vt:lpstr>Sheet2</vt:lpstr>
      <vt:lpstr>'AR (2)'!Print_Area</vt:lpstr>
      <vt:lpstr>'F-1'!Print_Area</vt:lpstr>
      <vt:lpstr>'F-28'!Print_Area</vt:lpstr>
      <vt:lpstr>FirstPage!Print_Area</vt:lpstr>
      <vt:lpstr>GR!Print_Area</vt:lpstr>
      <vt:lpstr>INDEX!Print_Area</vt:lpstr>
      <vt:lpstr>mEETINGS!Print_Area</vt:lpstr>
      <vt:lpstr>'SCH (2)'!Print_Area</vt:lpstr>
      <vt:lpstr>'SCHAR (2)'!Print_Area</vt:lpstr>
      <vt:lpstr>Sheet1!Print_Area</vt:lpstr>
      <vt:lpstr>TIT!Print_Area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bharatboridkar@gmail.com</cp:lastModifiedBy>
  <cp:revision>0</cp:revision>
  <dcterms:created xsi:type="dcterms:W3CDTF">2026-09-17T14:16:42Z</dcterms:created>
  <dcterms:modified xsi:type="dcterms:W3CDTF">2026-09-17T19:47:44Z</dcterms:modified>
  <dc:language>en-US</dc:language>
</cp:coreProperties>
</file>