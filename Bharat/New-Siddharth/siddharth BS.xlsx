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Bharat\New-Siddharth\"/>
    </mc:Choice>
  </mc:AlternateContent>
  <xr:revisionPtr revIDLastSave="0" documentId="13_ncr:1_{AB881747-524C-40C4-955A-AF499119F2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&amp;E" sheetId="1" r:id="rId1"/>
    <sheet name="BS" sheetId="2" r:id="rId2"/>
    <sheet name="FD" sheetId="3" r:id="rId3"/>
    <sheet name="DEP" sheetId="4" r:id="rId4"/>
    <sheet name="B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5" l="1"/>
  <c r="E10" i="5"/>
  <c r="E11" i="4"/>
  <c r="D11" i="4"/>
  <c r="G10" i="4"/>
  <c r="F10" i="4"/>
  <c r="G9" i="4"/>
  <c r="F9" i="4"/>
  <c r="H9" i="4" s="1"/>
  <c r="G8" i="4"/>
  <c r="F8" i="4"/>
  <c r="G7" i="4"/>
  <c r="F7" i="4"/>
  <c r="H7" i="4" s="1"/>
  <c r="G6" i="4"/>
  <c r="F6" i="4"/>
  <c r="H6" i="4" s="1"/>
  <c r="F5" i="4"/>
  <c r="J12" i="3"/>
  <c r="I12" i="3"/>
  <c r="H12" i="3"/>
  <c r="F12" i="3"/>
  <c r="E12" i="3"/>
  <c r="P11" i="3"/>
  <c r="N11" i="3"/>
  <c r="O11" i="3" s="1"/>
  <c r="G11" i="3"/>
  <c r="A11" i="3"/>
  <c r="R10" i="3"/>
  <c r="W10" i="3" s="1"/>
  <c r="N10" i="3"/>
  <c r="M10" i="3"/>
  <c r="M12" i="3" s="1"/>
  <c r="G10" i="3"/>
  <c r="A10" i="3"/>
  <c r="P9" i="3"/>
  <c r="R9" i="3" s="1"/>
  <c r="W9" i="3" s="1"/>
  <c r="N9" i="3"/>
  <c r="O9" i="3" s="1"/>
  <c r="G9" i="3"/>
  <c r="A9" i="3"/>
  <c r="P8" i="3"/>
  <c r="R8" i="3" s="1"/>
  <c r="W8" i="3" s="1"/>
  <c r="N8" i="3"/>
  <c r="G8" i="3"/>
  <c r="A8" i="3"/>
  <c r="P7" i="3"/>
  <c r="O7" i="3"/>
  <c r="K7" i="3"/>
  <c r="K12" i="3" s="1"/>
  <c r="G7" i="3"/>
  <c r="A7" i="3"/>
  <c r="A40" i="2"/>
  <c r="D38" i="2"/>
  <c r="I37" i="2"/>
  <c r="H32" i="2"/>
  <c r="D32" i="2"/>
  <c r="D40" i="2" s="1"/>
  <c r="F40" i="2"/>
  <c r="I22" i="2"/>
  <c r="I15" i="2"/>
  <c r="I11" i="2"/>
  <c r="E24" i="1"/>
  <c r="A24" i="1"/>
  <c r="G24" i="1"/>
  <c r="C22" i="1" s="1"/>
  <c r="C24" i="1" s="1"/>
  <c r="N12" i="3" l="1"/>
  <c r="G12" i="3"/>
  <c r="R11" i="3"/>
  <c r="W11" i="3" s="1"/>
  <c r="P12" i="3"/>
  <c r="F11" i="4"/>
  <c r="H10" i="4"/>
  <c r="H8" i="4"/>
  <c r="G5" i="4"/>
  <c r="G11" i="4" s="1"/>
  <c r="O10" i="3"/>
  <c r="Q7" i="3"/>
  <c r="O8" i="3"/>
  <c r="O12" i="3" s="1"/>
  <c r="I40" i="2"/>
  <c r="J40" i="2" s="1"/>
  <c r="D44" i="2"/>
  <c r="K40" i="2"/>
  <c r="H5" i="4" l="1"/>
  <c r="H11" i="4" s="1"/>
  <c r="Q12" i="3"/>
  <c r="R7" i="3"/>
  <c r="R12" i="3" l="1"/>
  <c r="W7" i="3"/>
</calcChain>
</file>

<file path=xl/sharedStrings.xml><?xml version="1.0" encoding="utf-8"?>
<sst xmlns="http://schemas.openxmlformats.org/spreadsheetml/2006/main" count="175" uniqueCount="137">
  <si>
    <t>NEW SIDDHARTH CO-OPERATIVE HOUSING SOCIETY LTD.</t>
  </si>
  <si>
    <t>Reg. No. BOM/(WR)/HSG(TC)/2633/86-87</t>
  </si>
  <si>
    <t>INCOME   AND   EXPENDITURE   A/C   FOR   THE   YEAR   ENDED   31ST  MARCH  2026</t>
  </si>
  <si>
    <t>Previous Year</t>
  </si>
  <si>
    <t>EXPENDITURE</t>
  </si>
  <si>
    <t>Current Year</t>
  </si>
  <si>
    <t>INCOME</t>
  </si>
  <si>
    <t xml:space="preserve">By Members Contribution Towards </t>
  </si>
  <si>
    <t>To, Accounting Charges</t>
  </si>
  <si>
    <t xml:space="preserve">Maintenance Charges </t>
  </si>
  <si>
    <t>To, Repair &amp; Maintainance Charges</t>
  </si>
  <si>
    <t>By, Fixed Deposit Interest</t>
  </si>
  <si>
    <t xml:space="preserve">To, Audit Fees </t>
  </si>
  <si>
    <t>By, Interest On Saving Bank</t>
  </si>
  <si>
    <t>To, Printing &amp; Stationery</t>
  </si>
  <si>
    <t>To, Membership &amp; Subscription</t>
  </si>
  <si>
    <t>To, Conveyance Charges</t>
  </si>
  <si>
    <t>To, Legal &amp; Professional Fees</t>
  </si>
  <si>
    <t>To, Meeting Expenses</t>
  </si>
  <si>
    <t>To, Security Servises</t>
  </si>
  <si>
    <t>To, Water Charges</t>
  </si>
  <si>
    <t>To, Electricity Charges</t>
  </si>
  <si>
    <t>Redevelopment Expenses</t>
  </si>
  <si>
    <t xml:space="preserve">Depriciation </t>
  </si>
  <si>
    <t>Bank Charges</t>
  </si>
  <si>
    <t xml:space="preserve">Excess of Income over Expenditures </t>
  </si>
  <si>
    <t xml:space="preserve">Excess of Expenditures over Income </t>
  </si>
  <si>
    <t xml:space="preserve">                                                      TOTAL  </t>
  </si>
  <si>
    <t xml:space="preserve">                             TOTAL  </t>
  </si>
  <si>
    <t>AS PER REPORT OF EVEN DATE</t>
  </si>
  <si>
    <t>For NEW SIDDHARTH CO-OP HSG. SOC. LTD.</t>
  </si>
  <si>
    <t>CHAIRMAN                    SECRETARY                        TREASURER</t>
  </si>
  <si>
    <t xml:space="preserve">    Reg. No. BOM/(WR)/HSG(TC)/2633/86-87</t>
  </si>
  <si>
    <t>B A L A N C E   S H E E T   A S   A T   31 ST  M A R C H   2026</t>
  </si>
  <si>
    <t>LIABILITIES</t>
  </si>
  <si>
    <t>ASSETS</t>
  </si>
  <si>
    <t>AUTHORISED SHARE CAPITAL</t>
  </si>
  <si>
    <t>Cash &amp; Bank Balances</t>
  </si>
  <si>
    <t>2000 Shares of Rs./- Each</t>
  </si>
  <si>
    <t>Cash in Hand</t>
  </si>
  <si>
    <t>CitizenCredit Co-op. Bank Ltd.</t>
  </si>
  <si>
    <t>Issued, Subscribed &amp; Paid Up</t>
  </si>
  <si>
    <t>MDCC Bank</t>
  </si>
  <si>
    <t>165 Shares of Rs.50/- each</t>
  </si>
  <si>
    <t xml:space="preserve">Union Bank of India </t>
  </si>
  <si>
    <t>Saraswat Co-op. Bank</t>
  </si>
  <si>
    <t>Reserve Fund</t>
  </si>
  <si>
    <t>As per last Balance Sheet</t>
  </si>
  <si>
    <t>Deposits &amp; Advances</t>
  </si>
  <si>
    <t>Deposits of Adani Electricity</t>
  </si>
  <si>
    <t>Sinking fund</t>
  </si>
  <si>
    <t>Dues from Members</t>
  </si>
  <si>
    <t>Investment &amp; Deposits</t>
  </si>
  <si>
    <t>Repair &amp; Maintenance Fund</t>
  </si>
  <si>
    <t>Share With MDCC</t>
  </si>
  <si>
    <t>Share With MDHF</t>
  </si>
  <si>
    <t>Sinking Fund FDR</t>
  </si>
  <si>
    <t>Citizen Credit Bank (GF)</t>
  </si>
  <si>
    <t>Painting Fund</t>
  </si>
  <si>
    <t>Accrued Interest Sinking Fund FDR</t>
  </si>
  <si>
    <t xml:space="preserve">Fixed Assets </t>
  </si>
  <si>
    <t>Members Contribution Towards</t>
  </si>
  <si>
    <t>Land &amp; Building</t>
  </si>
  <si>
    <t xml:space="preserve">Current Liabilites </t>
  </si>
  <si>
    <t>Income Tax Payable</t>
  </si>
  <si>
    <t>Fixed Assets (As per Schedule )</t>
  </si>
  <si>
    <t>Tender Money</t>
  </si>
  <si>
    <t>Advance from Members</t>
  </si>
  <si>
    <t>Income &amp; Expenditure Account</t>
  </si>
  <si>
    <t>Builder Deposit</t>
  </si>
  <si>
    <t xml:space="preserve">As per last year </t>
  </si>
  <si>
    <t>Provisions</t>
  </si>
  <si>
    <t>Add: TDS on FD Interest w/off</t>
  </si>
  <si>
    <t xml:space="preserve">Accounting Charges </t>
  </si>
  <si>
    <t>Add: Excess of Expenditure over Income</t>
  </si>
  <si>
    <t>Less: short accrued provision w/0ff</t>
  </si>
  <si>
    <t xml:space="preserve">Security Services </t>
  </si>
  <si>
    <t>Audit Fees</t>
  </si>
  <si>
    <t>Less: Excess Of Income over Expenditure</t>
  </si>
  <si>
    <t>Subscription Charges</t>
  </si>
  <si>
    <t>TOTAL</t>
  </si>
  <si>
    <t>AS PER MY REPORT OF EVEN DATE</t>
  </si>
  <si>
    <t xml:space="preserve">                                                                                                                          CHAIRMAN                            SECRETARY                   TREASURER</t>
  </si>
  <si>
    <t>FY 25-26</t>
  </si>
  <si>
    <t>Scheldule B: LIST OF FIXED DEPOSITS AS ON 31.03.2026</t>
  </si>
  <si>
    <t>Sr.</t>
  </si>
  <si>
    <t>Bank</t>
  </si>
  <si>
    <t>Rec No/FD no.</t>
  </si>
  <si>
    <t>Date of Creation</t>
  </si>
  <si>
    <t>Balance As on 01.04.25</t>
  </si>
  <si>
    <t>Addition</t>
  </si>
  <si>
    <t xml:space="preserve">Total </t>
  </si>
  <si>
    <t>T.D.S.</t>
  </si>
  <si>
    <t>Diff.</t>
  </si>
  <si>
    <t>Date of Maturity</t>
  </si>
  <si>
    <t>F. D. Matured/Renewed</t>
  </si>
  <si>
    <t>Balance. As on 31.03.26</t>
  </si>
  <si>
    <t>FD Status</t>
  </si>
  <si>
    <t>Ear Marking</t>
  </si>
  <si>
    <t>Remarks</t>
  </si>
  <si>
    <t>Principal</t>
  </si>
  <si>
    <t>Interest</t>
  </si>
  <si>
    <t>Total</t>
  </si>
  <si>
    <t>during year</t>
  </si>
  <si>
    <t>Interest    (Recd.+Accrued)</t>
  </si>
  <si>
    <t>Int.</t>
  </si>
  <si>
    <t>Accrued Interest</t>
  </si>
  <si>
    <t>as per Balance certificate</t>
  </si>
  <si>
    <t>Diff</t>
  </si>
  <si>
    <t>Union Bank</t>
  </si>
  <si>
    <t>renew</t>
  </si>
  <si>
    <t>Sinking Fund</t>
  </si>
  <si>
    <t>Citizen credit co op bank</t>
  </si>
  <si>
    <t>new fd</t>
  </si>
  <si>
    <t>General fund</t>
  </si>
  <si>
    <t>Details of Fixed Assets as on 31.3.2026</t>
  </si>
  <si>
    <t xml:space="preserve">Assets </t>
  </si>
  <si>
    <t>Rate of Dep.</t>
  </si>
  <si>
    <t>W.D.V. As on
 01.04.2024</t>
  </si>
  <si>
    <t>Additions During the year</t>
  </si>
  <si>
    <t>Dep.for the year 2025</t>
  </si>
  <si>
    <t>W.D.V. As On 31.03.2025</t>
  </si>
  <si>
    <t>Furniture &amp; Fixture</t>
  </si>
  <si>
    <t>Letter Boxes</t>
  </si>
  <si>
    <t>Summersible Water Pump</t>
  </si>
  <si>
    <t>Jet Cleaning Machine</t>
  </si>
  <si>
    <t>Fan</t>
  </si>
  <si>
    <t xml:space="preserve">Mobile </t>
  </si>
  <si>
    <t>Bank Reco 2025-26 of Citizen Credit Co-op Bank</t>
  </si>
  <si>
    <t>Perticular</t>
  </si>
  <si>
    <t xml:space="preserve">Amont </t>
  </si>
  <si>
    <t>Amount</t>
  </si>
  <si>
    <t xml:space="preserve">Balance as per our book </t>
  </si>
  <si>
    <t>Add: Cheque Issued But Not Presented</t>
  </si>
  <si>
    <t>Less: Cheque deposited but not cleared</t>
  </si>
  <si>
    <t>Balance As Per Bank Passbook</t>
  </si>
  <si>
    <t>Bank Reco 2025-26 of Union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</si>
</sst>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 Black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singleAccounting"/>
      <sz val="12"/>
      <name val="Arial"/>
      <family val="2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0"/>
      <name val="Arial"/>
      <family val="2"/>
    </font>
    <font>
      <b/>
      <sz val="14"/>
      <name val="Times New Roman"/>
      <family val="1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5" fillId="0" borderId="0"/>
  </cellStyleXfs>
  <cellXfs count="274">
    <xf numFmtId="0" fontId="0" fillId="0" borderId="0" xfId="0"/>
    <xf numFmtId="0" fontId="3" fillId="0" borderId="4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right" vertical="center"/>
    </xf>
    <xf numFmtId="2" fontId="6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left" vertical="center"/>
    </xf>
    <xf numFmtId="2" fontId="5" fillId="0" borderId="6" xfId="1" applyNumberFormat="1" applyFont="1" applyFill="1" applyBorder="1" applyAlignment="1">
      <alignment horizontal="right" vertical="center"/>
    </xf>
    <xf numFmtId="2" fontId="5" fillId="0" borderId="6" xfId="1" quotePrefix="1" applyNumberFormat="1" applyFont="1" applyBorder="1" applyAlignment="1">
      <alignment horizontal="right" vertical="center"/>
    </xf>
    <xf numFmtId="43" fontId="7" fillId="0" borderId="7" xfId="1" applyFont="1" applyFill="1" applyBorder="1" applyAlignment="1">
      <alignment horizontal="center" vertical="center"/>
    </xf>
    <xf numFmtId="0" fontId="0" fillId="0" borderId="6" xfId="0" applyBorder="1"/>
    <xf numFmtId="43" fontId="0" fillId="0" borderId="0" xfId="0" applyNumberFormat="1"/>
    <xf numFmtId="2" fontId="5" fillId="0" borderId="0" xfId="1" applyNumberFormat="1" applyFont="1" applyBorder="1" applyAlignment="1">
      <alignment horizontal="right" vertical="center"/>
    </xf>
    <xf numFmtId="2" fontId="5" fillId="0" borderId="8" xfId="1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left" vertical="center"/>
    </xf>
    <xf numFmtId="2" fontId="4" fillId="0" borderId="8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/>
    </xf>
    <xf numFmtId="2" fontId="3" fillId="0" borderId="11" xfId="0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right"/>
    </xf>
    <xf numFmtId="2" fontId="8" fillId="0" borderId="7" xfId="1" applyNumberFormat="1" applyFont="1" applyBorder="1" applyAlignment="1">
      <alignment horizontal="right"/>
    </xf>
    <xf numFmtId="2" fontId="8" fillId="0" borderId="10" xfId="1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1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/>
    </xf>
    <xf numFmtId="4" fontId="5" fillId="0" borderId="0" xfId="0" applyNumberFormat="1" applyFont="1" applyAlignment="1">
      <alignment horizontal="right" indent="1"/>
    </xf>
    <xf numFmtId="43" fontId="5" fillId="0" borderId="0" xfId="1" applyFont="1" applyBorder="1" applyAlignment="1">
      <alignment horizontal="right"/>
    </xf>
    <xf numFmtId="43" fontId="5" fillId="0" borderId="2" xfId="1" applyFont="1" applyBorder="1" applyAlignment="1">
      <alignment horizontal="right"/>
    </xf>
    <xf numFmtId="0" fontId="5" fillId="0" borderId="2" xfId="0" applyFont="1" applyBorder="1" applyAlignment="1">
      <alignment horizontal="right" indent="1"/>
    </xf>
    <xf numFmtId="43" fontId="5" fillId="0" borderId="7" xfId="1" applyFont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7" xfId="0" applyFont="1" applyBorder="1" applyAlignment="1">
      <alignment horizontal="right"/>
    </xf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10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right" vertical="center"/>
    </xf>
    <xf numFmtId="2" fontId="10" fillId="0" borderId="2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right" vertical="center"/>
    </xf>
    <xf numFmtId="2" fontId="0" fillId="0" borderId="5" xfId="0" applyNumberFormat="1" applyBorder="1" applyAlignment="1">
      <alignment horizontal="right"/>
    </xf>
    <xf numFmtId="0" fontId="0" fillId="0" borderId="5" xfId="0" applyBorder="1"/>
    <xf numFmtId="0" fontId="0" fillId="0" borderId="2" xfId="0" applyBorder="1"/>
    <xf numFmtId="0" fontId="0" fillId="0" borderId="27" xfId="0" applyBorder="1"/>
    <xf numFmtId="2" fontId="5" fillId="0" borderId="19" xfId="1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2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3" fillId="0" borderId="6" xfId="0" applyFont="1" applyBorder="1" applyAlignment="1">
      <alignment vertical="center"/>
    </xf>
    <xf numFmtId="2" fontId="5" fillId="0" borderId="28" xfId="1" applyNumberFormat="1" applyFont="1" applyBorder="1" applyAlignment="1">
      <alignment horizontal="right" vertical="center"/>
    </xf>
    <xf numFmtId="2" fontId="14" fillId="0" borderId="19" xfId="1" applyNumberFormat="1" applyFont="1" applyBorder="1" applyAlignment="1">
      <alignment horizontal="right"/>
    </xf>
    <xf numFmtId="0" fontId="5" fillId="0" borderId="6" xfId="0" applyFont="1" applyBorder="1" applyAlignment="1">
      <alignment vertical="center"/>
    </xf>
    <xf numFmtId="2" fontId="14" fillId="0" borderId="6" xfId="1" applyNumberFormat="1" applyFont="1" applyBorder="1" applyAlignment="1">
      <alignment horizontal="right"/>
    </xf>
    <xf numFmtId="2" fontId="5" fillId="0" borderId="13" xfId="1" applyNumberFormat="1" applyFont="1" applyBorder="1" applyAlignment="1">
      <alignment horizontal="right" vertical="center"/>
    </xf>
    <xf numFmtId="0" fontId="14" fillId="0" borderId="6" xfId="0" applyFont="1" applyBorder="1"/>
    <xf numFmtId="2" fontId="15" fillId="0" borderId="19" xfId="1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right" vertical="center"/>
    </xf>
    <xf numFmtId="2" fontId="5" fillId="0" borderId="19" xfId="0" applyNumberFormat="1" applyFont="1" applyBorder="1" applyAlignment="1">
      <alignment horizontal="right"/>
    </xf>
    <xf numFmtId="0" fontId="16" fillId="0" borderId="6" xfId="0" applyFont="1" applyBorder="1"/>
    <xf numFmtId="2" fontId="17" fillId="0" borderId="0" xfId="1" applyNumberFormat="1" applyFont="1" applyBorder="1" applyAlignment="1">
      <alignment horizontal="right" vertical="center"/>
    </xf>
    <xf numFmtId="2" fontId="5" fillId="0" borderId="13" xfId="1" applyNumberFormat="1" applyFont="1" applyFill="1" applyBorder="1" applyAlignment="1">
      <alignment horizontal="right" vertical="center"/>
    </xf>
    <xf numFmtId="2" fontId="5" fillId="0" borderId="0" xfId="1" applyNumberFormat="1" applyFont="1" applyFill="1" applyBorder="1" applyAlignment="1">
      <alignment horizontal="right" vertical="center"/>
    </xf>
    <xf numFmtId="2" fontId="14" fillId="0" borderId="28" xfId="0" applyNumberFormat="1" applyFont="1" applyBorder="1" applyAlignment="1">
      <alignment horizontal="right"/>
    </xf>
    <xf numFmtId="2" fontId="5" fillId="0" borderId="9" xfId="1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2" fontId="14" fillId="0" borderId="0" xfId="1" applyNumberFormat="1" applyFont="1" applyBorder="1" applyAlignment="1">
      <alignment horizontal="right"/>
    </xf>
    <xf numFmtId="0" fontId="13" fillId="0" borderId="6" xfId="0" applyFont="1" applyBorder="1" applyAlignment="1">
      <alignment horizontal="left" vertical="center"/>
    </xf>
    <xf numFmtId="2" fontId="0" fillId="0" borderId="6" xfId="0" applyNumberFormat="1" applyBorder="1" applyAlignment="1">
      <alignment horizontal="right"/>
    </xf>
    <xf numFmtId="0" fontId="17" fillId="0" borderId="6" xfId="0" applyFont="1" applyBorder="1" applyAlignment="1">
      <alignment horizontal="left" vertical="center"/>
    </xf>
    <xf numFmtId="2" fontId="0" fillId="0" borderId="19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28" xfId="0" applyNumberFormat="1" applyBorder="1" applyAlignment="1">
      <alignment horizontal="right"/>
    </xf>
    <xf numFmtId="2" fontId="5" fillId="0" borderId="9" xfId="1" applyNumberFormat="1" applyFont="1" applyFill="1" applyBorder="1" applyAlignment="1">
      <alignment horizontal="right" vertical="center"/>
    </xf>
    <xf numFmtId="2" fontId="17" fillId="0" borderId="6" xfId="1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28" xfId="0" applyNumberFormat="1" applyFont="1" applyBorder="1" applyAlignment="1">
      <alignment horizontal="right" vertical="center"/>
    </xf>
    <xf numFmtId="2" fontId="5" fillId="0" borderId="28" xfId="1" applyNumberFormat="1" applyFont="1" applyFill="1" applyBorder="1" applyAlignment="1">
      <alignment horizontal="right" vertical="center"/>
    </xf>
    <xf numFmtId="2" fontId="17" fillId="0" borderId="19" xfId="1" applyNumberFormat="1" applyFont="1" applyBorder="1" applyAlignment="1">
      <alignment horizontal="right" vertical="center"/>
    </xf>
    <xf numFmtId="2" fontId="14" fillId="0" borderId="6" xfId="0" applyNumberFormat="1" applyFont="1" applyBorder="1" applyAlignment="1">
      <alignment horizontal="right"/>
    </xf>
    <xf numFmtId="165" fontId="19" fillId="0" borderId="6" xfId="2" applyNumberFormat="1" applyFont="1" applyFill="1" applyBorder="1"/>
    <xf numFmtId="2" fontId="14" fillId="0" borderId="0" xfId="0" applyNumberFormat="1" applyFont="1" applyAlignment="1">
      <alignment horizontal="right"/>
    </xf>
    <xf numFmtId="2" fontId="17" fillId="0" borderId="19" xfId="1" quotePrefix="1" applyNumberFormat="1" applyFont="1" applyBorder="1" applyAlignment="1">
      <alignment horizontal="right" vertical="center"/>
    </xf>
    <xf numFmtId="2" fontId="17" fillId="0" borderId="0" xfId="1" applyNumberFormat="1" applyFont="1" applyFill="1" applyBorder="1" applyAlignment="1">
      <alignment horizontal="right" vertical="center"/>
    </xf>
    <xf numFmtId="2" fontId="17" fillId="0" borderId="9" xfId="1" applyNumberFormat="1" applyFont="1" applyBorder="1" applyAlignment="1">
      <alignment horizontal="right" vertical="center"/>
    </xf>
    <xf numFmtId="2" fontId="14" fillId="0" borderId="6" xfId="1" quotePrefix="1" applyNumberFormat="1" applyFont="1" applyBorder="1" applyAlignment="1">
      <alignment horizontal="right"/>
    </xf>
    <xf numFmtId="2" fontId="14" fillId="0" borderId="19" xfId="0" applyNumberFormat="1" applyFont="1" applyBorder="1" applyAlignment="1">
      <alignment horizontal="right"/>
    </xf>
    <xf numFmtId="0" fontId="20" fillId="0" borderId="6" xfId="0" applyFont="1" applyBorder="1"/>
    <xf numFmtId="2" fontId="17" fillId="0" borderId="19" xfId="1" applyNumberFormat="1" applyFont="1" applyFill="1" applyBorder="1" applyAlignment="1">
      <alignment horizontal="right"/>
    </xf>
    <xf numFmtId="2" fontId="17" fillId="0" borderId="0" xfId="1" applyNumberFormat="1" applyFont="1" applyFill="1" applyBorder="1" applyAlignment="1">
      <alignment horizontal="right"/>
    </xf>
    <xf numFmtId="0" fontId="14" fillId="0" borderId="13" xfId="0" applyFont="1" applyBorder="1"/>
    <xf numFmtId="2" fontId="6" fillId="0" borderId="20" xfId="0" applyNumberFormat="1" applyFont="1" applyBorder="1" applyAlignment="1">
      <alignment horizontal="right"/>
    </xf>
    <xf numFmtId="0" fontId="14" fillId="0" borderId="0" xfId="0" applyFont="1"/>
    <xf numFmtId="0" fontId="0" fillId="0" borderId="20" xfId="0" applyBorder="1"/>
    <xf numFmtId="2" fontId="17" fillId="0" borderId="19" xfId="1" applyNumberFormat="1" applyFont="1" applyBorder="1" applyAlignment="1">
      <alignment horizontal="right"/>
    </xf>
    <xf numFmtId="2" fontId="17" fillId="0" borderId="0" xfId="1" applyNumberFormat="1" applyFont="1" applyBorder="1" applyAlignment="1">
      <alignment horizontal="right"/>
    </xf>
    <xf numFmtId="2" fontId="14" fillId="0" borderId="6" xfId="1" applyNumberFormat="1" applyFont="1" applyFill="1" applyBorder="1" applyAlignment="1">
      <alignment horizontal="right"/>
    </xf>
    <xf numFmtId="2" fontId="17" fillId="0" borderId="19" xfId="1" quotePrefix="1" applyNumberFormat="1" applyFont="1" applyBorder="1" applyAlignment="1">
      <alignment horizontal="right"/>
    </xf>
    <xf numFmtId="2" fontId="17" fillId="0" borderId="9" xfId="1" quotePrefix="1" applyNumberFormat="1" applyFont="1" applyBorder="1" applyAlignment="1">
      <alignment horizontal="right"/>
    </xf>
    <xf numFmtId="0" fontId="14" fillId="0" borderId="8" xfId="0" applyFont="1" applyBorder="1"/>
    <xf numFmtId="2" fontId="14" fillId="0" borderId="8" xfId="1" applyNumberFormat="1" applyFont="1" applyBorder="1" applyAlignment="1">
      <alignment horizontal="right"/>
    </xf>
    <xf numFmtId="2" fontId="14" fillId="0" borderId="9" xfId="0" applyNumberFormat="1" applyFont="1" applyBorder="1" applyAlignment="1">
      <alignment horizontal="right"/>
    </xf>
    <xf numFmtId="2" fontId="14" fillId="0" borderId="29" xfId="0" applyNumberFormat="1" applyFont="1" applyBorder="1" applyAlignment="1">
      <alignment horizontal="right"/>
    </xf>
    <xf numFmtId="2" fontId="3" fillId="0" borderId="23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4" fillId="0" borderId="4" xfId="0" applyFont="1" applyBorder="1"/>
    <xf numFmtId="2" fontId="3" fillId="0" borderId="30" xfId="0" applyNumberFormat="1" applyFont="1" applyBorder="1" applyAlignment="1">
      <alignment horizontal="right"/>
    </xf>
    <xf numFmtId="43" fontId="0" fillId="2" borderId="0" xfId="0" applyNumberFormat="1" applyFill="1"/>
    <xf numFmtId="0" fontId="18" fillId="0" borderId="19" xfId="0" applyFont="1" applyBorder="1"/>
    <xf numFmtId="0" fontId="21" fillId="0" borderId="0" xfId="0" applyFont="1" applyAlignment="1">
      <alignment horizontal="left" indent="1"/>
    </xf>
    <xf numFmtId="43" fontId="21" fillId="0" borderId="0" xfId="1" applyFont="1" applyBorder="1" applyAlignment="1">
      <alignment vertical="center"/>
    </xf>
    <xf numFmtId="43" fontId="22" fillId="0" borderId="0" xfId="1" applyFont="1" applyBorder="1" applyAlignment="1">
      <alignment horizontal="center"/>
    </xf>
    <xf numFmtId="43" fontId="22" fillId="0" borderId="20" xfId="1" applyFont="1" applyBorder="1" applyAlignment="1">
      <alignment horizontal="center"/>
    </xf>
    <xf numFmtId="0" fontId="5" fillId="0" borderId="19" xfId="0" applyFont="1" applyBorder="1"/>
    <xf numFmtId="0" fontId="18" fillId="0" borderId="0" xfId="0" applyFont="1"/>
    <xf numFmtId="43" fontId="23" fillId="0" borderId="0" xfId="1" applyFont="1" applyBorder="1" applyAlignment="1">
      <alignment vertical="center"/>
    </xf>
    <xf numFmtId="43" fontId="21" fillId="0" borderId="20" xfId="1" applyFont="1" applyBorder="1" applyAlignment="1">
      <alignment vertical="center"/>
    </xf>
    <xf numFmtId="43" fontId="18" fillId="0" borderId="0" xfId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8" fillId="0" borderId="20" xfId="0" applyFont="1" applyBorder="1" applyAlignment="1">
      <alignment horizontal="center" vertical="center"/>
    </xf>
    <xf numFmtId="0" fontId="0" fillId="0" borderId="1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164" fontId="26" fillId="0" borderId="0" xfId="3" applyNumberFormat="1" applyFont="1" applyAlignment="1">
      <alignment vertical="center"/>
    </xf>
    <xf numFmtId="0" fontId="25" fillId="0" borderId="0" xfId="3"/>
    <xf numFmtId="0" fontId="18" fillId="0" borderId="0" xfId="3" applyFont="1"/>
    <xf numFmtId="0" fontId="27" fillId="0" borderId="0" xfId="3" applyFont="1" applyAlignment="1">
      <alignment vertical="center"/>
    </xf>
    <xf numFmtId="0" fontId="26" fillId="0" borderId="34" xfId="3" applyFont="1" applyBorder="1" applyAlignment="1">
      <alignment vertical="center"/>
    </xf>
    <xf numFmtId="0" fontId="28" fillId="0" borderId="34" xfId="3" applyFont="1" applyBorder="1"/>
    <xf numFmtId="0" fontId="28" fillId="0" borderId="0" xfId="3" applyFont="1"/>
    <xf numFmtId="165" fontId="26" fillId="0" borderId="35" xfId="3" applyNumberFormat="1" applyFont="1" applyBorder="1" applyAlignment="1">
      <alignment horizontal="center" vertical="center"/>
    </xf>
    <xf numFmtId="165" fontId="26" fillId="0" borderId="35" xfId="3" applyNumberFormat="1" applyFont="1" applyBorder="1" applyAlignment="1">
      <alignment horizontal="center" vertical="center" wrapText="1"/>
    </xf>
    <xf numFmtId="0" fontId="28" fillId="0" borderId="40" xfId="3" applyFont="1" applyBorder="1"/>
    <xf numFmtId="1" fontId="26" fillId="0" borderId="40" xfId="3" applyNumberFormat="1" applyFont="1" applyBorder="1" applyAlignment="1">
      <alignment horizontal="center" vertical="center" wrapText="1"/>
    </xf>
    <xf numFmtId="165" fontId="26" fillId="0" borderId="41" xfId="3" applyNumberFormat="1" applyFont="1" applyBorder="1" applyAlignment="1">
      <alignment horizontal="center" vertical="center"/>
    </xf>
    <xf numFmtId="165" fontId="26" fillId="0" borderId="42" xfId="3" applyNumberFormat="1" applyFont="1" applyBorder="1" applyAlignment="1">
      <alignment horizontal="center" vertical="center"/>
    </xf>
    <xf numFmtId="165" fontId="26" fillId="0" borderId="40" xfId="3" applyNumberFormat="1" applyFont="1" applyBorder="1" applyAlignment="1">
      <alignment horizontal="center" vertical="center"/>
    </xf>
    <xf numFmtId="165" fontId="26" fillId="0" borderId="40" xfId="3" applyNumberFormat="1" applyFont="1" applyBorder="1" applyAlignment="1">
      <alignment horizontal="center" vertical="center" wrapText="1"/>
    </xf>
    <xf numFmtId="0" fontId="11" fillId="0" borderId="0" xfId="3" applyFont="1" applyAlignment="1">
      <alignment wrapText="1"/>
    </xf>
    <xf numFmtId="0" fontId="28" fillId="0" borderId="43" xfId="3" applyFont="1" applyBorder="1"/>
    <xf numFmtId="165" fontId="26" fillId="0" borderId="34" xfId="3" applyNumberFormat="1" applyFont="1" applyBorder="1" applyAlignment="1">
      <alignment horizontal="center" vertical="center"/>
    </xf>
    <xf numFmtId="165" fontId="26" fillId="0" borderId="43" xfId="3" applyNumberFormat="1" applyFont="1" applyBorder="1" applyAlignment="1">
      <alignment horizontal="center" vertical="center"/>
    </xf>
    <xf numFmtId="165" fontId="26" fillId="0" borderId="43" xfId="3" applyNumberFormat="1" applyFont="1" applyBorder="1" applyAlignment="1">
      <alignment horizontal="center" vertical="center" wrapText="1"/>
    </xf>
    <xf numFmtId="0" fontId="28" fillId="0" borderId="43" xfId="3" applyFont="1" applyBorder="1" applyAlignment="1">
      <alignment horizontal="center"/>
    </xf>
    <xf numFmtId="165" fontId="26" fillId="0" borderId="0" xfId="3" applyNumberFormat="1" applyFont="1" applyAlignment="1">
      <alignment horizontal="center" vertical="center"/>
    </xf>
    <xf numFmtId="0" fontId="27" fillId="0" borderId="36" xfId="3" applyFont="1" applyBorder="1" applyAlignment="1">
      <alignment horizontal="center" vertical="center"/>
    </xf>
    <xf numFmtId="0" fontId="27" fillId="0" borderId="4" xfId="3" applyFont="1" applyBorder="1" applyAlignment="1">
      <alignment vertical="center"/>
    </xf>
    <xf numFmtId="0" fontId="27" fillId="0" borderId="41" xfId="3" applyFont="1" applyBorder="1"/>
    <xf numFmtId="14" fontId="27" fillId="0" borderId="41" xfId="3" applyNumberFormat="1" applyFont="1" applyBorder="1"/>
    <xf numFmtId="3" fontId="27" fillId="0" borderId="41" xfId="3" applyNumberFormat="1" applyFont="1" applyBorder="1"/>
    <xf numFmtId="165" fontId="27" fillId="0" borderId="37" xfId="3" applyNumberFormat="1" applyFont="1" applyBorder="1" applyAlignment="1">
      <alignment vertical="center"/>
    </xf>
    <xf numFmtId="164" fontId="27" fillId="0" borderId="37" xfId="3" applyNumberFormat="1" applyFont="1" applyBorder="1" applyAlignment="1">
      <alignment horizontal="center" vertical="center"/>
    </xf>
    <xf numFmtId="3" fontId="28" fillId="0" borderId="41" xfId="3" applyNumberFormat="1" applyFont="1" applyBorder="1"/>
    <xf numFmtId="165" fontId="27" fillId="0" borderId="36" xfId="3" applyNumberFormat="1" applyFont="1" applyBorder="1" applyAlignment="1">
      <alignment vertical="center"/>
    </xf>
    <xf numFmtId="165" fontId="18" fillId="0" borderId="0" xfId="3" applyNumberFormat="1" applyFont="1"/>
    <xf numFmtId="0" fontId="27" fillId="0" borderId="4" xfId="3" applyFont="1" applyBorder="1" applyAlignment="1">
      <alignment vertical="center" wrapText="1"/>
    </xf>
    <xf numFmtId="165" fontId="27" fillId="0" borderId="37" xfId="3" applyNumberFormat="1" applyFont="1" applyBorder="1" applyAlignment="1">
      <alignment horizontal="center" vertical="center"/>
    </xf>
    <xf numFmtId="0" fontId="30" fillId="0" borderId="44" xfId="3" applyFont="1" applyBorder="1" applyAlignment="1">
      <alignment horizontal="center" vertical="center"/>
    </xf>
    <xf numFmtId="165" fontId="30" fillId="0" borderId="44" xfId="3" applyNumberFormat="1" applyFont="1" applyBorder="1" applyAlignment="1">
      <alignment vertical="center"/>
    </xf>
    <xf numFmtId="1" fontId="30" fillId="0" borderId="44" xfId="3" applyNumberFormat="1" applyFont="1" applyBorder="1" applyAlignment="1">
      <alignment vertical="center"/>
    </xf>
    <xf numFmtId="0" fontId="18" fillId="0" borderId="0" xfId="3" applyFont="1" applyAlignment="1">
      <alignment vertical="center"/>
    </xf>
    <xf numFmtId="1" fontId="18" fillId="0" borderId="0" xfId="3" applyNumberFormat="1" applyFont="1" applyAlignment="1">
      <alignment vertical="center"/>
    </xf>
    <xf numFmtId="165" fontId="18" fillId="0" borderId="0" xfId="3" applyNumberFormat="1" applyFont="1" applyAlignment="1">
      <alignment vertical="center"/>
    </xf>
    <xf numFmtId="1" fontId="18" fillId="0" borderId="0" xfId="3" applyNumberFormat="1" applyFont="1"/>
    <xf numFmtId="165" fontId="27" fillId="3" borderId="41" xfId="3" applyNumberFormat="1" applyFont="1" applyFill="1" applyBorder="1" applyAlignment="1">
      <alignment vertical="center"/>
    </xf>
    <xf numFmtId="165" fontId="30" fillId="3" borderId="44" xfId="3" applyNumberFormat="1" applyFont="1" applyFill="1" applyBorder="1" applyAlignment="1">
      <alignment vertical="center"/>
    </xf>
    <xf numFmtId="165" fontId="27" fillId="3" borderId="36" xfId="3" applyNumberFormat="1" applyFont="1" applyFill="1" applyBorder="1" applyAlignment="1">
      <alignment vertical="center"/>
    </xf>
    <xf numFmtId="0" fontId="27" fillId="3" borderId="41" xfId="3" applyFont="1" applyFill="1" applyBorder="1" applyAlignment="1">
      <alignment vertical="center"/>
    </xf>
    <xf numFmtId="0" fontId="27" fillId="3" borderId="0" xfId="3" applyFont="1" applyFill="1" applyAlignment="1">
      <alignment vertical="center"/>
    </xf>
    <xf numFmtId="0" fontId="30" fillId="3" borderId="44" xfId="3" applyFont="1" applyFill="1" applyBorder="1" applyAlignment="1">
      <alignment vertical="center"/>
    </xf>
    <xf numFmtId="0" fontId="30" fillId="3" borderId="0" xfId="3" applyFont="1" applyFill="1" applyAlignment="1">
      <alignment vertical="center"/>
    </xf>
    <xf numFmtId="0" fontId="18" fillId="3" borderId="0" xfId="3" applyFont="1" applyFill="1" applyAlignment="1">
      <alignment vertical="center"/>
    </xf>
    <xf numFmtId="165" fontId="30" fillId="4" borderId="44" xfId="3" applyNumberFormat="1" applyFont="1" applyFill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49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/>
    </xf>
    <xf numFmtId="165" fontId="11" fillId="0" borderId="25" xfId="2" applyNumberFormat="1" applyFont="1" applyBorder="1" applyAlignment="1">
      <alignment horizontal="center" vertical="center" wrapText="1"/>
    </xf>
    <xf numFmtId="9" fontId="0" fillId="0" borderId="6" xfId="0" applyNumberFormat="1" applyBorder="1"/>
    <xf numFmtId="2" fontId="0" fillId="0" borderId="6" xfId="2" applyNumberFormat="1" applyFont="1" applyBorder="1"/>
    <xf numFmtId="2" fontId="0" fillId="0" borderId="0" xfId="2" applyNumberFormat="1" applyFont="1" applyBorder="1"/>
    <xf numFmtId="2" fontId="0" fillId="0" borderId="28" xfId="2" applyNumberFormat="1" applyFont="1" applyBorder="1"/>
    <xf numFmtId="0" fontId="14" fillId="0" borderId="19" xfId="0" applyFont="1" applyBorder="1"/>
    <xf numFmtId="164" fontId="11" fillId="0" borderId="51" xfId="0" applyNumberFormat="1" applyFont="1" applyBorder="1"/>
    <xf numFmtId="164" fontId="11" fillId="0" borderId="52" xfId="0" applyNumberFormat="1" applyFont="1" applyBorder="1"/>
    <xf numFmtId="2" fontId="11" fillId="0" borderId="52" xfId="2" applyNumberFormat="1" applyFont="1" applyBorder="1"/>
    <xf numFmtId="2" fontId="11" fillId="0" borderId="53" xfId="2" applyNumberFormat="1" applyFont="1" applyBorder="1"/>
    <xf numFmtId="0" fontId="0" fillId="0" borderId="4" xfId="0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2" fontId="0" fillId="0" borderId="28" xfId="0" applyNumberFormat="1" applyBorder="1"/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3" fillId="0" borderId="19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7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right"/>
    </xf>
    <xf numFmtId="2" fontId="0" fillId="0" borderId="0" xfId="0" applyNumberFormat="1"/>
    <xf numFmtId="2" fontId="0" fillId="0" borderId="13" xfId="0" applyNumberFormat="1" applyBorder="1"/>
    <xf numFmtId="14" fontId="0" fillId="0" borderId="19" xfId="0" applyNumberFormat="1" applyBorder="1"/>
    <xf numFmtId="0" fontId="0" fillId="0" borderId="29" xfId="0" applyBorder="1"/>
    <xf numFmtId="2" fontId="0" fillId="0" borderId="53" xfId="0" applyNumberFormat="1" applyBorder="1"/>
    <xf numFmtId="0" fontId="33" fillId="0" borderId="19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54" xfId="0" applyFont="1" applyBorder="1" applyAlignment="1">
      <alignment horizontal="center"/>
    </xf>
    <xf numFmtId="0" fontId="33" fillId="0" borderId="55" xfId="0" applyFont="1" applyBorder="1" applyAlignment="1">
      <alignment horizontal="center"/>
    </xf>
    <xf numFmtId="0" fontId="33" fillId="0" borderId="56" xfId="0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Border="1" applyAlignment="1">
      <alignment horizontal="center"/>
    </xf>
    <xf numFmtId="43" fontId="5" fillId="0" borderId="7" xfId="1" applyFont="1" applyBorder="1" applyAlignment="1">
      <alignment horizontal="center"/>
    </xf>
    <xf numFmtId="43" fontId="22" fillId="0" borderId="0" xfId="1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26" fillId="0" borderId="39" xfId="3" applyNumberFormat="1" applyFont="1" applyBorder="1" applyAlignment="1">
      <alignment horizontal="center" vertical="center"/>
    </xf>
    <xf numFmtId="165" fontId="26" fillId="0" borderId="35" xfId="3" applyNumberFormat="1" applyFont="1" applyBorder="1" applyAlignment="1">
      <alignment horizontal="center" vertical="center"/>
    </xf>
    <xf numFmtId="0" fontId="28" fillId="0" borderId="40" xfId="3" applyFont="1" applyBorder="1"/>
    <xf numFmtId="165" fontId="26" fillId="0" borderId="35" xfId="3" applyNumberFormat="1" applyFont="1" applyBorder="1" applyAlignment="1">
      <alignment horizontal="center" vertical="center" wrapText="1"/>
    </xf>
    <xf numFmtId="165" fontId="26" fillId="0" borderId="40" xfId="3" applyNumberFormat="1" applyFont="1" applyBorder="1" applyAlignment="1">
      <alignment horizontal="center" vertical="center" wrapText="1"/>
    </xf>
    <xf numFmtId="165" fontId="26" fillId="0" borderId="36" xfId="3" applyNumberFormat="1" applyFont="1" applyBorder="1" applyAlignment="1">
      <alignment horizontal="center" vertical="center"/>
    </xf>
    <xf numFmtId="0" fontId="28" fillId="0" borderId="37" xfId="3" applyFont="1" applyBorder="1"/>
    <xf numFmtId="0" fontId="28" fillId="0" borderId="38" xfId="3" applyFont="1" applyBorder="1"/>
    <xf numFmtId="0" fontId="29" fillId="0" borderId="35" xfId="3" applyFont="1" applyBorder="1" applyAlignment="1">
      <alignment horizontal="center"/>
    </xf>
    <xf numFmtId="0" fontId="29" fillId="0" borderId="40" xfId="3" applyFont="1" applyBorder="1" applyAlignment="1">
      <alignment horizontal="center"/>
    </xf>
    <xf numFmtId="0" fontId="26" fillId="0" borderId="35" xfId="3" applyFont="1" applyBorder="1" applyAlignment="1">
      <alignment horizontal="center" vertical="center"/>
    </xf>
    <xf numFmtId="1" fontId="26" fillId="0" borderId="35" xfId="3" applyNumberFormat="1" applyFont="1" applyBorder="1" applyAlignment="1">
      <alignment horizontal="center" vertical="center"/>
    </xf>
    <xf numFmtId="1" fontId="26" fillId="0" borderId="35" xfId="3" applyNumberFormat="1" applyFont="1" applyBorder="1" applyAlignment="1">
      <alignment horizontal="center" vertical="center" wrapText="1"/>
    </xf>
    <xf numFmtId="1" fontId="26" fillId="0" borderId="40" xfId="3" applyNumberFormat="1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49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164" fontId="34" fillId="0" borderId="0" xfId="3" applyNumberFormat="1" applyFont="1" applyAlignment="1">
      <alignment vertical="center"/>
    </xf>
    <xf numFmtId="0" fontId="35" fillId="0" borderId="0" xfId="3" applyFont="1"/>
    <xf numFmtId="0" fontId="22" fillId="0" borderId="0" xfId="3" applyFont="1"/>
  </cellXfs>
  <cellStyles count="4">
    <cellStyle name="Comma" xfId="1" builtinId="3"/>
    <cellStyle name="Comma 13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opLeftCell="A10" workbookViewId="0">
      <selection sqref="A1:G24"/>
    </sheetView>
  </sheetViews>
  <sheetFormatPr defaultRowHeight="14.4" x14ac:dyDescent="0.3"/>
  <cols>
    <col min="1" max="1" width="18.33203125" customWidth="1"/>
    <col min="2" max="2" width="36.6640625" customWidth="1"/>
    <col min="3" max="3" width="14.33203125" customWidth="1"/>
    <col min="4" max="4" width="0.6640625" customWidth="1"/>
    <col min="5" max="5" width="17.6640625" customWidth="1"/>
    <col min="6" max="6" width="43.88671875" customWidth="1"/>
    <col min="7" max="7" width="15" customWidth="1"/>
    <col min="8" max="8" width="18" bestFit="1" customWidth="1"/>
  </cols>
  <sheetData>
    <row r="1" spans="1:7" ht="21" x14ac:dyDescent="0.4">
      <c r="A1" s="231" t="s">
        <v>0</v>
      </c>
      <c r="B1" s="232"/>
      <c r="C1" s="232"/>
      <c r="D1" s="232"/>
      <c r="E1" s="232"/>
      <c r="F1" s="232"/>
      <c r="G1" s="233"/>
    </row>
    <row r="2" spans="1:7" ht="15.6" x14ac:dyDescent="0.3">
      <c r="A2" s="234" t="s">
        <v>1</v>
      </c>
      <c r="B2" s="234"/>
      <c r="C2" s="234"/>
      <c r="D2" s="234"/>
      <c r="E2" s="234"/>
      <c r="F2" s="234"/>
      <c r="G2" s="234"/>
    </row>
    <row r="3" spans="1:7" ht="15.6" x14ac:dyDescent="0.3">
      <c r="A3" s="234" t="s">
        <v>2</v>
      </c>
      <c r="B3" s="234"/>
      <c r="C3" s="234"/>
      <c r="D3" s="234"/>
      <c r="E3" s="234"/>
      <c r="F3" s="234"/>
      <c r="G3" s="234"/>
    </row>
    <row r="4" spans="1:7" ht="15.6" x14ac:dyDescent="0.3">
      <c r="A4" s="1" t="s">
        <v>3</v>
      </c>
      <c r="B4" s="1" t="s">
        <v>4</v>
      </c>
      <c r="C4" s="1" t="s">
        <v>5</v>
      </c>
      <c r="D4" s="1"/>
      <c r="E4" s="1" t="s">
        <v>3</v>
      </c>
      <c r="F4" s="1" t="s">
        <v>6</v>
      </c>
      <c r="G4" s="1" t="s">
        <v>5</v>
      </c>
    </row>
    <row r="5" spans="1:7" ht="15.6" x14ac:dyDescent="0.3">
      <c r="A5" s="2"/>
      <c r="B5" s="3"/>
      <c r="C5" s="2"/>
      <c r="D5" s="4"/>
      <c r="E5" s="2"/>
      <c r="F5" s="5" t="s">
        <v>7</v>
      </c>
      <c r="G5" s="2"/>
    </row>
    <row r="6" spans="1:7" ht="15.6" x14ac:dyDescent="0.3">
      <c r="A6" s="6">
        <v>9000</v>
      </c>
      <c r="B6" s="7" t="s">
        <v>8</v>
      </c>
      <c r="C6" s="6">
        <v>11000</v>
      </c>
      <c r="D6" s="8"/>
      <c r="E6" s="6">
        <v>0</v>
      </c>
      <c r="F6" s="7" t="s">
        <v>9</v>
      </c>
      <c r="G6" s="6">
        <v>89852</v>
      </c>
    </row>
    <row r="7" spans="1:7" ht="15.6" x14ac:dyDescent="0.3">
      <c r="A7" s="6">
        <v>2650</v>
      </c>
      <c r="B7" s="7" t="s">
        <v>10</v>
      </c>
      <c r="C7" s="6">
        <v>5760</v>
      </c>
      <c r="D7" s="8"/>
      <c r="E7" s="6">
        <v>50351</v>
      </c>
      <c r="F7" s="7" t="s">
        <v>11</v>
      </c>
      <c r="G7" s="9">
        <v>127439</v>
      </c>
    </row>
    <row r="8" spans="1:7" ht="15.6" x14ac:dyDescent="0.3">
      <c r="A8" s="6">
        <v>3300</v>
      </c>
      <c r="B8" s="7" t="s">
        <v>12</v>
      </c>
      <c r="C8" s="6">
        <v>1600</v>
      </c>
      <c r="D8" s="8"/>
      <c r="E8" s="6">
        <v>41541</v>
      </c>
      <c r="F8" s="7" t="s">
        <v>13</v>
      </c>
      <c r="G8" s="6">
        <v>14443</v>
      </c>
    </row>
    <row r="9" spans="1:7" ht="15.6" x14ac:dyDescent="0.3">
      <c r="A9" s="6">
        <v>3273</v>
      </c>
      <c r="B9" s="7" t="s">
        <v>14</v>
      </c>
      <c r="C9" s="6">
        <v>1619</v>
      </c>
      <c r="D9" s="8"/>
      <c r="E9" s="6"/>
      <c r="F9" s="7"/>
      <c r="G9" s="6"/>
    </row>
    <row r="10" spans="1:7" ht="15.6" x14ac:dyDescent="0.3">
      <c r="A10" s="6">
        <v>826</v>
      </c>
      <c r="B10" s="7" t="s">
        <v>15</v>
      </c>
      <c r="C10" s="6">
        <v>826</v>
      </c>
      <c r="D10" s="8"/>
      <c r="E10" s="6"/>
      <c r="F10" s="10"/>
      <c r="G10" s="6"/>
    </row>
    <row r="11" spans="1:7" ht="15.6" x14ac:dyDescent="0.3">
      <c r="A11" s="6">
        <v>400</v>
      </c>
      <c r="B11" s="7" t="s">
        <v>16</v>
      </c>
      <c r="C11" s="6">
        <v>700</v>
      </c>
      <c r="D11" s="8"/>
      <c r="E11" s="6"/>
      <c r="F11" s="10"/>
      <c r="G11" s="6"/>
    </row>
    <row r="12" spans="1:7" ht="15.6" x14ac:dyDescent="0.3">
      <c r="A12" s="6">
        <v>1000</v>
      </c>
      <c r="B12" s="7" t="s">
        <v>17</v>
      </c>
      <c r="C12" s="6">
        <v>55000</v>
      </c>
      <c r="D12" s="8"/>
      <c r="E12" s="11"/>
      <c r="F12" s="7"/>
      <c r="G12" s="11"/>
    </row>
    <row r="13" spans="1:7" ht="15.6" x14ac:dyDescent="0.3">
      <c r="A13" s="6">
        <v>0</v>
      </c>
      <c r="B13" s="7" t="s">
        <v>18</v>
      </c>
      <c r="C13" s="6">
        <v>3260</v>
      </c>
      <c r="D13" s="8"/>
      <c r="E13" s="6"/>
      <c r="F13" s="7"/>
      <c r="G13" s="6"/>
    </row>
    <row r="14" spans="1:7" ht="15.6" x14ac:dyDescent="0.3">
      <c r="A14" s="6">
        <v>0</v>
      </c>
      <c r="B14" s="10" t="s">
        <v>19</v>
      </c>
      <c r="C14" s="6">
        <v>57160</v>
      </c>
      <c r="D14" s="8"/>
      <c r="E14" s="6"/>
      <c r="F14" s="7"/>
      <c r="G14" s="6"/>
    </row>
    <row r="15" spans="1:7" ht="15.6" x14ac:dyDescent="0.3">
      <c r="A15" s="6">
        <v>0</v>
      </c>
      <c r="B15" s="7" t="s">
        <v>20</v>
      </c>
      <c r="C15" s="6">
        <v>99788</v>
      </c>
      <c r="D15" s="8"/>
      <c r="E15" s="12"/>
      <c r="F15" s="10"/>
      <c r="G15" s="12"/>
    </row>
    <row r="16" spans="1:7" ht="15.6" x14ac:dyDescent="0.3">
      <c r="A16" s="6">
        <v>0</v>
      </c>
      <c r="B16" s="7" t="s">
        <v>21</v>
      </c>
      <c r="C16" s="6">
        <v>10640</v>
      </c>
      <c r="D16" s="8"/>
      <c r="E16" s="6"/>
      <c r="F16" s="7"/>
      <c r="G16" s="6"/>
    </row>
    <row r="17" spans="1:8" ht="18.600000000000001" x14ac:dyDescent="0.3">
      <c r="A17" s="11">
        <v>69300</v>
      </c>
      <c r="B17" s="7" t="s">
        <v>22</v>
      </c>
      <c r="C17" s="11">
        <v>0</v>
      </c>
      <c r="D17" s="8"/>
      <c r="E17" s="6"/>
      <c r="F17" s="7"/>
      <c r="G17" s="6"/>
      <c r="H17" s="13"/>
    </row>
    <row r="18" spans="1:8" ht="15.6" x14ac:dyDescent="0.3">
      <c r="A18" s="6">
        <v>2265</v>
      </c>
      <c r="B18" s="7" t="s">
        <v>23</v>
      </c>
      <c r="C18" s="6">
        <v>1947</v>
      </c>
      <c r="D18" s="8"/>
      <c r="E18" s="14"/>
      <c r="G18" s="14"/>
    </row>
    <row r="19" spans="1:8" ht="15.6" x14ac:dyDescent="0.3">
      <c r="A19" s="6">
        <v>0</v>
      </c>
      <c r="B19" s="7" t="s">
        <v>24</v>
      </c>
      <c r="C19" s="6">
        <v>712.03</v>
      </c>
      <c r="D19" s="8"/>
      <c r="E19" s="14"/>
      <c r="G19" s="14"/>
      <c r="H19" s="15"/>
    </row>
    <row r="20" spans="1:8" ht="15.6" x14ac:dyDescent="0.3">
      <c r="A20" s="6"/>
      <c r="B20" s="10"/>
      <c r="C20" s="6"/>
      <c r="D20" s="8"/>
      <c r="E20" s="14"/>
      <c r="G20" s="14"/>
    </row>
    <row r="21" spans="1:8" ht="15.6" x14ac:dyDescent="0.3">
      <c r="A21" s="6"/>
      <c r="C21" s="6"/>
      <c r="D21" s="8"/>
      <c r="E21" s="14"/>
      <c r="G21" s="14"/>
    </row>
    <row r="22" spans="1:8" ht="15.6" x14ac:dyDescent="0.3">
      <c r="A22" s="6">
        <v>0</v>
      </c>
      <c r="B22" s="7" t="s">
        <v>25</v>
      </c>
      <c r="C22" s="6">
        <f>G24-SUM(C6:C20)</f>
        <v>0</v>
      </c>
      <c r="D22" s="16"/>
      <c r="E22" s="6">
        <v>122</v>
      </c>
      <c r="F22" s="7" t="s">
        <v>26</v>
      </c>
      <c r="G22" s="6">
        <v>18278.03</v>
      </c>
    </row>
    <row r="23" spans="1:8" ht="15.6" x14ac:dyDescent="0.3">
      <c r="A23" s="17"/>
      <c r="B23" s="18"/>
      <c r="C23" s="6"/>
      <c r="D23" s="8"/>
      <c r="E23" s="19"/>
      <c r="F23" s="20"/>
      <c r="G23" s="19"/>
    </row>
    <row r="24" spans="1:8" ht="16.2" thickBot="1" x14ac:dyDescent="0.35">
      <c r="A24" s="21">
        <f>SUM(A6:A23)</f>
        <v>92014</v>
      </c>
      <c r="B24" s="22" t="s">
        <v>27</v>
      </c>
      <c r="C24" s="23">
        <f>SUM(C6:C23)</f>
        <v>250012.03</v>
      </c>
      <c r="D24" s="24"/>
      <c r="E24" s="25">
        <f>SUM(E5:E23)</f>
        <v>92014</v>
      </c>
      <c r="F24" s="26" t="s">
        <v>28</v>
      </c>
      <c r="G24" s="27">
        <f>SUM(G6:G22)</f>
        <v>250012.03</v>
      </c>
    </row>
    <row r="25" spans="1:8" ht="9.9" customHeight="1" thickTop="1" x14ac:dyDescent="0.3">
      <c r="A25" s="28"/>
      <c r="B25" s="29"/>
      <c r="C25" s="30"/>
      <c r="D25" s="31"/>
      <c r="E25" s="30"/>
      <c r="F25" s="32"/>
      <c r="G25" s="33"/>
    </row>
    <row r="26" spans="1:8" ht="15.6" x14ac:dyDescent="0.3">
      <c r="A26" s="235" t="s">
        <v>29</v>
      </c>
      <c r="B26" s="236"/>
      <c r="C26" s="30"/>
      <c r="D26" s="30"/>
      <c r="E26" s="237" t="s">
        <v>30</v>
      </c>
      <c r="F26" s="237"/>
      <c r="G26" s="238"/>
    </row>
    <row r="27" spans="1:8" ht="15.9" customHeight="1" x14ac:dyDescent="0.3">
      <c r="A27" s="28"/>
      <c r="B27" s="34"/>
      <c r="C27" s="34"/>
      <c r="D27" s="34"/>
      <c r="E27" s="35"/>
      <c r="F27" s="34"/>
      <c r="G27" s="36"/>
    </row>
    <row r="28" spans="1:8" ht="15.9" customHeight="1" x14ac:dyDescent="0.3">
      <c r="A28" s="28"/>
      <c r="B28" s="34"/>
      <c r="C28" s="35"/>
      <c r="D28" s="35"/>
      <c r="E28" s="34"/>
      <c r="F28" s="34"/>
      <c r="G28" s="36"/>
    </row>
    <row r="29" spans="1:8" ht="15.9" customHeight="1" x14ac:dyDescent="0.3">
      <c r="A29" s="28"/>
      <c r="B29" s="34"/>
      <c r="C29" s="34"/>
      <c r="D29" s="34"/>
      <c r="E29" s="34"/>
      <c r="F29" s="34"/>
      <c r="G29" s="36"/>
    </row>
    <row r="30" spans="1:8" ht="15.9" customHeight="1" x14ac:dyDescent="0.3">
      <c r="A30" s="28"/>
      <c r="B30" s="34"/>
      <c r="C30" s="34"/>
      <c r="D30" s="34"/>
      <c r="E30" s="34"/>
      <c r="F30" s="34"/>
      <c r="G30" s="36"/>
    </row>
    <row r="31" spans="1:8" ht="15.6" x14ac:dyDescent="0.3">
      <c r="A31" s="28"/>
      <c r="B31" s="34"/>
      <c r="C31" s="34"/>
      <c r="D31" s="34"/>
      <c r="E31" s="229" t="s">
        <v>31</v>
      </c>
      <c r="F31" s="229"/>
      <c r="G31" s="230"/>
    </row>
    <row r="32" spans="1:8" x14ac:dyDescent="0.3">
      <c r="A32" s="37"/>
      <c r="G32" s="38"/>
    </row>
    <row r="33" spans="1:7" x14ac:dyDescent="0.3">
      <c r="A33" s="39"/>
      <c r="B33" s="40"/>
      <c r="C33" s="40"/>
      <c r="D33" s="40"/>
      <c r="E33" s="40"/>
      <c r="F33" s="40"/>
      <c r="G33" s="41"/>
    </row>
  </sheetData>
  <mergeCells count="6">
    <mergeCell ref="E31:G31"/>
    <mergeCell ref="A1:G1"/>
    <mergeCell ref="A2:G2"/>
    <mergeCell ref="A3:G3"/>
    <mergeCell ref="A26:B26"/>
    <mergeCell ref="E26:G26"/>
  </mergeCells>
  <pageMargins left="0.70866141732283472" right="0.70866141732283472" top="0.74803149606299213" bottom="0.74803149606299213" header="0.31496062992125984" footer="0.31496062992125984"/>
  <pageSetup paperSize="9" scale="7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9"/>
  <sheetViews>
    <sheetView zoomScale="70" zoomScaleNormal="70" workbookViewId="0">
      <selection sqref="A1:I1"/>
    </sheetView>
  </sheetViews>
  <sheetFormatPr defaultRowHeight="14.4" x14ac:dyDescent="0.3"/>
  <cols>
    <col min="1" max="1" width="17.33203125" customWidth="1"/>
    <col min="2" max="2" width="42" customWidth="1"/>
    <col min="3" max="3" width="18.109375" customWidth="1"/>
    <col min="4" max="4" width="19.88671875" customWidth="1"/>
    <col min="5" max="5" width="2" customWidth="1"/>
    <col min="6" max="6" width="17.6640625" customWidth="1"/>
    <col min="7" max="7" width="51" customWidth="1"/>
    <col min="8" max="8" width="17.5546875" customWidth="1"/>
    <col min="9" max="9" width="18.33203125" customWidth="1"/>
    <col min="10" max="10" width="17.6640625" customWidth="1"/>
    <col min="11" max="11" width="11.5546875" bestFit="1" customWidth="1"/>
  </cols>
  <sheetData>
    <row r="1" spans="1:9" ht="17.399999999999999" x14ac:dyDescent="0.3">
      <c r="A1" s="240" t="s">
        <v>0</v>
      </c>
      <c r="B1" s="241"/>
      <c r="C1" s="241"/>
      <c r="D1" s="241"/>
      <c r="E1" s="241"/>
      <c r="F1" s="241"/>
      <c r="G1" s="241"/>
      <c r="H1" s="241"/>
      <c r="I1" s="242"/>
    </row>
    <row r="2" spans="1:9" x14ac:dyDescent="0.3">
      <c r="A2" s="243" t="s">
        <v>32</v>
      </c>
      <c r="B2" s="244"/>
      <c r="C2" s="244"/>
      <c r="D2" s="244"/>
      <c r="E2" s="244"/>
      <c r="F2" s="244"/>
      <c r="G2" s="244"/>
      <c r="H2" s="244"/>
      <c r="I2" s="245"/>
    </row>
    <row r="3" spans="1:9" x14ac:dyDescent="0.3">
      <c r="A3" s="246" t="s">
        <v>33</v>
      </c>
      <c r="B3" s="247"/>
      <c r="C3" s="247"/>
      <c r="D3" s="247"/>
      <c r="E3" s="247"/>
      <c r="F3" s="247"/>
      <c r="G3" s="247"/>
      <c r="H3" s="247"/>
      <c r="I3" s="248"/>
    </row>
    <row r="4" spans="1:9" ht="15.6" x14ac:dyDescent="0.3">
      <c r="A4" s="43" t="s">
        <v>3</v>
      </c>
      <c r="B4" s="249" t="s">
        <v>34</v>
      </c>
      <c r="C4" s="249"/>
      <c r="D4" s="1" t="s">
        <v>5</v>
      </c>
      <c r="E4" s="45"/>
      <c r="F4" s="1" t="s">
        <v>3</v>
      </c>
      <c r="G4" s="44" t="s">
        <v>35</v>
      </c>
      <c r="H4" s="46"/>
      <c r="I4" s="47" t="s">
        <v>5</v>
      </c>
    </row>
    <row r="5" spans="1:9" x14ac:dyDescent="0.3">
      <c r="A5" s="48"/>
      <c r="B5" s="46"/>
      <c r="C5" s="49"/>
      <c r="D5" s="50"/>
      <c r="E5" s="42"/>
      <c r="F5" s="51"/>
      <c r="G5" s="52"/>
      <c r="H5" s="53"/>
      <c r="I5" s="54"/>
    </row>
    <row r="6" spans="1:9" ht="15.6" x14ac:dyDescent="0.3">
      <c r="A6" s="55"/>
      <c r="B6" s="56" t="s">
        <v>36</v>
      </c>
      <c r="C6" s="57"/>
      <c r="D6" s="6"/>
      <c r="E6" s="58"/>
      <c r="F6" s="6"/>
      <c r="G6" s="59" t="s">
        <v>37</v>
      </c>
      <c r="H6" s="16"/>
      <c r="I6" s="60"/>
    </row>
    <row r="7" spans="1:9" ht="15.6" x14ac:dyDescent="0.3">
      <c r="A7" s="61">
        <v>0</v>
      </c>
      <c r="B7" s="62" t="s">
        <v>38</v>
      </c>
      <c r="C7" s="57"/>
      <c r="D7" s="63"/>
      <c r="E7" s="58"/>
      <c r="F7" s="64">
        <v>2729.03</v>
      </c>
      <c r="G7" s="65" t="s">
        <v>39</v>
      </c>
      <c r="H7" s="16">
        <v>2838.03</v>
      </c>
      <c r="I7" s="60"/>
    </row>
    <row r="8" spans="1:9" ht="19.2" x14ac:dyDescent="0.6">
      <c r="A8" s="66"/>
      <c r="B8" s="62"/>
      <c r="C8" s="57"/>
      <c r="D8" s="67"/>
      <c r="E8" s="58"/>
      <c r="F8" s="64">
        <v>1324929.82</v>
      </c>
      <c r="G8" s="65" t="s">
        <v>40</v>
      </c>
      <c r="H8" s="16">
        <v>128240.79</v>
      </c>
      <c r="I8" s="60"/>
    </row>
    <row r="9" spans="1:9" ht="15.6" x14ac:dyDescent="0.3">
      <c r="A9" s="68"/>
      <c r="B9" s="69" t="s">
        <v>41</v>
      </c>
      <c r="C9" s="16"/>
      <c r="D9" s="6"/>
      <c r="E9" s="58"/>
      <c r="F9" s="64">
        <v>47501.89</v>
      </c>
      <c r="G9" s="65" t="s">
        <v>42</v>
      </c>
      <c r="H9" s="16">
        <v>47501.89</v>
      </c>
      <c r="I9" s="60"/>
    </row>
    <row r="10" spans="1:9" ht="15.6" x14ac:dyDescent="0.3">
      <c r="A10" s="61">
        <v>8250</v>
      </c>
      <c r="B10" s="65" t="s">
        <v>43</v>
      </c>
      <c r="C10" s="70"/>
      <c r="D10" s="63">
        <v>8250</v>
      </c>
      <c r="E10" s="58"/>
      <c r="F10" s="71">
        <v>60555.1</v>
      </c>
      <c r="G10" s="65" t="s">
        <v>44</v>
      </c>
      <c r="H10" s="72">
        <v>62162.1</v>
      </c>
      <c r="I10" s="73"/>
    </row>
    <row r="11" spans="1:9" ht="15.6" x14ac:dyDescent="0.3">
      <c r="A11" s="61"/>
      <c r="B11" s="65"/>
      <c r="C11" s="70"/>
      <c r="D11" s="63"/>
      <c r="E11" s="58"/>
      <c r="F11" s="6">
        <v>6734</v>
      </c>
      <c r="G11" s="65" t="s">
        <v>45</v>
      </c>
      <c r="H11" s="74">
        <v>6734</v>
      </c>
      <c r="I11" s="60">
        <f>SUM(H7:H11)</f>
        <v>247476.81000000003</v>
      </c>
    </row>
    <row r="12" spans="1:9" ht="15.6" x14ac:dyDescent="0.3">
      <c r="A12" s="61"/>
      <c r="B12" s="69" t="s">
        <v>46</v>
      </c>
      <c r="C12" s="75"/>
      <c r="D12" s="63"/>
      <c r="E12" s="58"/>
      <c r="F12" s="6"/>
      <c r="G12" s="65"/>
      <c r="H12" s="16"/>
      <c r="I12" s="60"/>
    </row>
    <row r="13" spans="1:9" ht="15.6" x14ac:dyDescent="0.3">
      <c r="A13" s="61">
        <v>84852.49</v>
      </c>
      <c r="B13" s="65" t="s">
        <v>47</v>
      </c>
      <c r="C13" s="76"/>
      <c r="D13" s="63">
        <v>84852.49</v>
      </c>
      <c r="E13" s="58"/>
      <c r="F13" s="6"/>
      <c r="G13" s="77" t="s">
        <v>48</v>
      </c>
      <c r="H13" s="16"/>
      <c r="I13" s="60"/>
    </row>
    <row r="14" spans="1:9" ht="15.6" x14ac:dyDescent="0.3">
      <c r="A14" s="61"/>
      <c r="B14" s="65"/>
      <c r="C14" s="76"/>
      <c r="D14" s="78"/>
      <c r="E14" s="58"/>
      <c r="F14" s="11">
        <v>13455</v>
      </c>
      <c r="G14" s="79" t="s">
        <v>49</v>
      </c>
      <c r="H14" s="72">
        <v>13455</v>
      </c>
      <c r="I14" s="73"/>
    </row>
    <row r="15" spans="1:9" ht="15.6" x14ac:dyDescent="0.3">
      <c r="A15" s="61"/>
      <c r="B15" s="69" t="s">
        <v>50</v>
      </c>
      <c r="C15" s="70"/>
      <c r="D15" s="63"/>
      <c r="E15" s="58"/>
      <c r="F15" s="6">
        <v>6918</v>
      </c>
      <c r="G15" s="65" t="s">
        <v>51</v>
      </c>
      <c r="H15" s="74">
        <v>6918</v>
      </c>
      <c r="I15" s="60">
        <f>SUM(H13:H15)</f>
        <v>20373</v>
      </c>
    </row>
    <row r="16" spans="1:9" ht="15.6" x14ac:dyDescent="0.3">
      <c r="A16" s="61">
        <v>2106920.9</v>
      </c>
      <c r="B16" s="65" t="s">
        <v>47</v>
      </c>
      <c r="C16" s="70"/>
      <c r="D16" s="63">
        <v>2106920.9</v>
      </c>
      <c r="E16" s="58"/>
      <c r="F16" s="6"/>
      <c r="G16" s="65"/>
      <c r="H16" s="16"/>
      <c r="I16" s="60"/>
    </row>
    <row r="17" spans="1:9" ht="15.6" x14ac:dyDescent="0.3">
      <c r="A17" s="80"/>
      <c r="B17" s="14"/>
      <c r="C17" s="81"/>
      <c r="D17" s="78"/>
      <c r="E17" s="58"/>
      <c r="F17" s="6"/>
      <c r="G17" s="77" t="s">
        <v>52</v>
      </c>
      <c r="H17" s="16"/>
      <c r="I17" s="73"/>
    </row>
    <row r="18" spans="1:9" ht="15.6" x14ac:dyDescent="0.3">
      <c r="A18" s="61"/>
      <c r="B18" s="69" t="s">
        <v>53</v>
      </c>
      <c r="C18" s="70"/>
      <c r="D18" s="63"/>
      <c r="E18" s="58"/>
      <c r="F18" s="6">
        <v>100</v>
      </c>
      <c r="G18" s="65" t="s">
        <v>54</v>
      </c>
      <c r="H18" s="16">
        <v>100</v>
      </c>
      <c r="I18" s="60"/>
    </row>
    <row r="19" spans="1:9" ht="15.6" x14ac:dyDescent="0.3">
      <c r="A19" s="61">
        <v>121101</v>
      </c>
      <c r="B19" s="65" t="s">
        <v>47</v>
      </c>
      <c r="C19" s="70"/>
      <c r="D19" s="63">
        <v>121101</v>
      </c>
      <c r="E19" s="58"/>
      <c r="F19" s="6">
        <v>100</v>
      </c>
      <c r="G19" s="65" t="s">
        <v>55</v>
      </c>
      <c r="H19" s="16">
        <v>100</v>
      </c>
      <c r="I19" s="60"/>
    </row>
    <row r="20" spans="1:9" ht="15.6" x14ac:dyDescent="0.3">
      <c r="A20" s="80"/>
      <c r="B20" s="14"/>
      <c r="C20" s="81"/>
      <c r="D20" s="78"/>
      <c r="E20" s="58"/>
      <c r="F20" s="6">
        <v>1600729</v>
      </c>
      <c r="G20" s="79" t="s">
        <v>56</v>
      </c>
      <c r="H20" s="16">
        <v>1600729</v>
      </c>
      <c r="I20" s="82"/>
    </row>
    <row r="21" spans="1:9" ht="15.6" x14ac:dyDescent="0.3">
      <c r="A21" s="80"/>
      <c r="B21" s="14"/>
      <c r="C21" s="81"/>
      <c r="D21" s="78"/>
      <c r="E21" s="58"/>
      <c r="F21" s="6">
        <v>0</v>
      </c>
      <c r="G21" s="79" t="s">
        <v>57</v>
      </c>
      <c r="H21" s="16">
        <v>1100000</v>
      </c>
      <c r="I21" s="60"/>
    </row>
    <row r="22" spans="1:9" ht="15.6" x14ac:dyDescent="0.3">
      <c r="A22" s="61"/>
      <c r="B22" s="69" t="s">
        <v>58</v>
      </c>
      <c r="C22" s="75"/>
      <c r="D22" s="63"/>
      <c r="E22" s="58"/>
      <c r="F22" s="6">
        <v>21439</v>
      </c>
      <c r="G22" s="79" t="s">
        <v>59</v>
      </c>
      <c r="H22" s="83">
        <v>125147</v>
      </c>
      <c r="I22" s="60">
        <f>SUM(H18:H22)</f>
        <v>2826076</v>
      </c>
    </row>
    <row r="23" spans="1:9" ht="15.6" x14ac:dyDescent="0.3">
      <c r="A23" s="61">
        <v>455037</v>
      </c>
      <c r="B23" s="65" t="s">
        <v>47</v>
      </c>
      <c r="C23" s="81"/>
      <c r="D23" s="84">
        <v>455037</v>
      </c>
      <c r="E23" s="58"/>
      <c r="F23" s="11"/>
      <c r="G23" s="65"/>
      <c r="H23" s="72"/>
      <c r="I23" s="82"/>
    </row>
    <row r="24" spans="1:9" ht="15.6" x14ac:dyDescent="0.3">
      <c r="A24" s="80"/>
      <c r="B24" s="14"/>
      <c r="C24" s="81"/>
      <c r="D24" s="78"/>
      <c r="E24" s="58"/>
      <c r="F24" s="85"/>
      <c r="G24" s="77" t="s">
        <v>60</v>
      </c>
      <c r="H24" s="16"/>
      <c r="I24" s="86"/>
    </row>
    <row r="25" spans="1:9" ht="15.6" x14ac:dyDescent="0.3">
      <c r="A25" s="61"/>
      <c r="B25" s="69" t="s">
        <v>61</v>
      </c>
      <c r="C25" s="70"/>
      <c r="D25" s="63"/>
      <c r="E25" s="58"/>
      <c r="F25" s="6">
        <v>1866100</v>
      </c>
      <c r="G25" s="79" t="s">
        <v>62</v>
      </c>
      <c r="H25" s="16"/>
      <c r="I25" s="60">
        <v>1866100</v>
      </c>
    </row>
    <row r="26" spans="1:9" ht="15.6" x14ac:dyDescent="0.3">
      <c r="A26" s="61">
        <v>1866100</v>
      </c>
      <c r="B26" s="79" t="s">
        <v>62</v>
      </c>
      <c r="C26" s="70"/>
      <c r="D26" s="63">
        <v>1866100</v>
      </c>
      <c r="E26" s="58"/>
      <c r="F26" s="6"/>
      <c r="G26" s="79"/>
      <c r="H26" s="81"/>
      <c r="I26" s="60"/>
    </row>
    <row r="27" spans="1:9" ht="15.6" x14ac:dyDescent="0.3">
      <c r="A27" s="80"/>
      <c r="B27" s="14"/>
      <c r="C27" s="81"/>
      <c r="D27" s="78"/>
      <c r="E27" s="58"/>
      <c r="F27" s="11"/>
      <c r="G27" s="77"/>
      <c r="I27" s="87"/>
    </row>
    <row r="28" spans="1:9" ht="15.6" x14ac:dyDescent="0.3">
      <c r="A28" s="61"/>
      <c r="B28" s="69" t="s">
        <v>63</v>
      </c>
      <c r="C28" s="70"/>
      <c r="D28" s="63"/>
      <c r="E28" s="58"/>
      <c r="F28" s="6"/>
      <c r="G28" s="79"/>
      <c r="I28" s="60"/>
    </row>
    <row r="29" spans="1:9" ht="15.6" x14ac:dyDescent="0.3">
      <c r="A29" s="88">
        <v>51175</v>
      </c>
      <c r="B29" s="65" t="s">
        <v>64</v>
      </c>
      <c r="C29" s="70">
        <v>51175</v>
      </c>
      <c r="D29" s="89"/>
      <c r="E29" s="58"/>
      <c r="F29" s="6">
        <v>14802.27</v>
      </c>
      <c r="G29" s="90" t="s">
        <v>65</v>
      </c>
      <c r="H29" s="91"/>
      <c r="I29" s="60">
        <v>12855.27</v>
      </c>
    </row>
    <row r="30" spans="1:9" ht="15.6" x14ac:dyDescent="0.3">
      <c r="A30" s="92">
        <v>87000</v>
      </c>
      <c r="B30" s="65" t="s">
        <v>66</v>
      </c>
      <c r="C30" s="93">
        <v>87000</v>
      </c>
      <c r="D30" s="89"/>
      <c r="E30" s="58"/>
      <c r="F30" s="6"/>
      <c r="G30" s="77"/>
      <c r="H30" s="16"/>
      <c r="I30" s="60"/>
    </row>
    <row r="31" spans="1:9" ht="15.6" x14ac:dyDescent="0.3">
      <c r="A31" s="88">
        <v>17525</v>
      </c>
      <c r="B31" s="65" t="s">
        <v>67</v>
      </c>
      <c r="C31" s="70">
        <v>17525</v>
      </c>
      <c r="D31" s="78"/>
      <c r="E31" s="58"/>
      <c r="F31" s="6"/>
      <c r="G31" s="69" t="s">
        <v>68</v>
      </c>
      <c r="H31" s="16"/>
      <c r="I31" s="60"/>
    </row>
    <row r="32" spans="1:9" ht="15.6" x14ac:dyDescent="0.3">
      <c r="A32" s="80">
        <v>491360</v>
      </c>
      <c r="B32" s="65" t="s">
        <v>69</v>
      </c>
      <c r="C32" s="94">
        <v>491360</v>
      </c>
      <c r="D32" s="89">
        <f>SUM(C29:C32)</f>
        <v>647060</v>
      </c>
      <c r="E32" s="58"/>
      <c r="F32" s="95">
        <v>324135.28000000003</v>
      </c>
      <c r="G32" s="65" t="s">
        <v>70</v>
      </c>
      <c r="H32" s="16">
        <f>SUM(F32:F34)</f>
        <v>344606.28</v>
      </c>
      <c r="I32" s="60"/>
    </row>
    <row r="33" spans="1:11" ht="15.6" x14ac:dyDescent="0.3">
      <c r="A33" s="96"/>
      <c r="B33" s="97" t="s">
        <v>71</v>
      </c>
      <c r="C33" s="91"/>
      <c r="D33" s="78"/>
      <c r="E33" s="58"/>
      <c r="F33" s="95">
        <v>20349</v>
      </c>
      <c r="G33" s="65" t="s">
        <v>72</v>
      </c>
      <c r="H33" s="16">
        <v>0</v>
      </c>
      <c r="I33" s="82"/>
    </row>
    <row r="34" spans="1:11" ht="15.6" x14ac:dyDescent="0.3">
      <c r="A34" s="98">
        <v>9000</v>
      </c>
      <c r="B34" s="65" t="s">
        <v>73</v>
      </c>
      <c r="C34" s="99">
        <v>11000</v>
      </c>
      <c r="D34" s="78"/>
      <c r="E34" s="58"/>
      <c r="F34" s="95">
        <v>122</v>
      </c>
      <c r="G34" s="100" t="s">
        <v>74</v>
      </c>
      <c r="H34" s="11">
        <v>0</v>
      </c>
      <c r="I34" s="101"/>
    </row>
    <row r="35" spans="1:11" ht="15.6" x14ac:dyDescent="0.3">
      <c r="A35" s="98"/>
      <c r="B35" s="65"/>
      <c r="C35" s="99"/>
      <c r="D35" s="78"/>
      <c r="E35" s="58"/>
      <c r="F35" s="95">
        <v>0</v>
      </c>
      <c r="G35" s="102" t="s">
        <v>75</v>
      </c>
      <c r="H35" s="11">
        <v>-23140</v>
      </c>
      <c r="I35" s="101"/>
    </row>
    <row r="36" spans="1:11" ht="15.6" x14ac:dyDescent="0.3">
      <c r="A36" s="98">
        <v>0</v>
      </c>
      <c r="B36" s="65" t="s">
        <v>76</v>
      </c>
      <c r="C36" s="99">
        <v>5000</v>
      </c>
      <c r="D36" s="78"/>
      <c r="E36" s="58"/>
      <c r="F36" s="14"/>
      <c r="H36" s="11"/>
      <c r="I36" s="103"/>
    </row>
    <row r="37" spans="1:11" ht="15.6" x14ac:dyDescent="0.3">
      <c r="A37" s="104">
        <v>9900</v>
      </c>
      <c r="B37" s="65" t="s">
        <v>77</v>
      </c>
      <c r="C37" s="105">
        <v>4000</v>
      </c>
      <c r="D37" s="78"/>
      <c r="E37" s="58"/>
      <c r="F37" s="106">
        <v>0</v>
      </c>
      <c r="G37" s="102" t="s">
        <v>78</v>
      </c>
      <c r="H37" s="17">
        <v>-18278.03</v>
      </c>
      <c r="I37" s="60">
        <f>H36-H37+H35+H32</f>
        <v>339744.31000000006</v>
      </c>
    </row>
    <row r="38" spans="1:11" ht="15.6" x14ac:dyDescent="0.3">
      <c r="A38" s="107">
        <v>2478</v>
      </c>
      <c r="B38" s="65" t="s">
        <v>79</v>
      </c>
      <c r="C38" s="108">
        <v>3304</v>
      </c>
      <c r="D38" s="89">
        <f>SUM(C34:C38)</f>
        <v>23304</v>
      </c>
      <c r="E38" s="58"/>
      <c r="F38" s="6"/>
      <c r="G38" s="65"/>
      <c r="H38" s="16"/>
      <c r="I38" s="60"/>
    </row>
    <row r="39" spans="1:11" ht="15.6" x14ac:dyDescent="0.3">
      <c r="A39" s="61"/>
      <c r="B39" s="109"/>
      <c r="C39" s="94"/>
      <c r="D39" s="110"/>
      <c r="E39" s="58"/>
      <c r="F39" s="17"/>
      <c r="G39" s="109"/>
      <c r="H39" s="111"/>
      <c r="I39" s="112"/>
    </row>
    <row r="40" spans="1:11" ht="15.6" x14ac:dyDescent="0.3">
      <c r="A40" s="113">
        <f>SUM(A10:A39)</f>
        <v>5310699.3900000006</v>
      </c>
      <c r="B40" s="234" t="s">
        <v>80</v>
      </c>
      <c r="C40" s="250"/>
      <c r="D40" s="113">
        <f>SUM(D9:D39)</f>
        <v>5312625.3900000006</v>
      </c>
      <c r="E40" s="114"/>
      <c r="F40" s="113">
        <f>SUM(F7:F39)</f>
        <v>5310699.3899999997</v>
      </c>
      <c r="G40" s="115" t="s">
        <v>80</v>
      </c>
      <c r="H40" s="116"/>
      <c r="I40" s="117">
        <f>SUM(I7:I39)</f>
        <v>5312625.3900000006</v>
      </c>
      <c r="J40" s="118">
        <f>I40-D40</f>
        <v>0</v>
      </c>
      <c r="K40" s="118">
        <f>F40-A40</f>
        <v>0</v>
      </c>
    </row>
    <row r="41" spans="1:11" ht="17.399999999999999" x14ac:dyDescent="0.3">
      <c r="A41" s="119"/>
      <c r="B41" s="120"/>
      <c r="C41" s="121"/>
      <c r="D41" s="121"/>
      <c r="E41" s="42"/>
      <c r="H41" s="122"/>
      <c r="I41" s="123"/>
    </row>
    <row r="42" spans="1:11" ht="17.399999999999999" x14ac:dyDescent="0.3">
      <c r="A42" s="124" t="s">
        <v>81</v>
      </c>
      <c r="B42" s="125"/>
      <c r="C42" s="121"/>
      <c r="D42" s="126"/>
      <c r="E42" s="42"/>
      <c r="F42" s="239" t="s">
        <v>30</v>
      </c>
      <c r="G42" s="239"/>
      <c r="H42" s="239"/>
      <c r="I42" s="127"/>
    </row>
    <row r="43" spans="1:11" x14ac:dyDescent="0.3">
      <c r="A43" s="119"/>
      <c r="B43" s="125"/>
      <c r="C43" s="121"/>
      <c r="D43" s="126"/>
      <c r="E43" s="42"/>
      <c r="F43" s="128"/>
      <c r="G43" s="129"/>
      <c r="H43" s="129"/>
      <c r="I43" s="130"/>
    </row>
    <row r="44" spans="1:11" x14ac:dyDescent="0.3">
      <c r="A44" s="119"/>
      <c r="B44" s="125"/>
      <c r="C44" s="121"/>
      <c r="D44" s="121">
        <f>F40-A40</f>
        <v>0</v>
      </c>
      <c r="E44" s="42"/>
      <c r="F44" s="128"/>
      <c r="G44" s="129"/>
      <c r="H44" s="129"/>
      <c r="I44" s="130"/>
    </row>
    <row r="45" spans="1:11" x14ac:dyDescent="0.3">
      <c r="A45" s="119"/>
      <c r="B45" s="125"/>
      <c r="C45" s="121"/>
      <c r="D45" s="121"/>
      <c r="E45" s="42"/>
      <c r="F45" s="128"/>
      <c r="G45" s="131"/>
      <c r="H45" s="129"/>
      <c r="I45" s="103"/>
    </row>
    <row r="46" spans="1:11" x14ac:dyDescent="0.3">
      <c r="A46" s="119"/>
      <c r="B46" s="125"/>
      <c r="C46" s="121"/>
      <c r="D46" s="121"/>
      <c r="E46" s="42"/>
      <c r="F46" s="128"/>
      <c r="G46" s="131"/>
      <c r="H46" s="128"/>
      <c r="I46" s="103"/>
    </row>
    <row r="47" spans="1:11" x14ac:dyDescent="0.3">
      <c r="A47" s="119"/>
      <c r="B47" s="125"/>
      <c r="D47" s="121"/>
      <c r="E47" s="42"/>
      <c r="F47" s="128"/>
      <c r="G47" s="131"/>
      <c r="H47" s="129"/>
      <c r="I47" s="132"/>
    </row>
    <row r="48" spans="1:11" x14ac:dyDescent="0.3">
      <c r="A48" s="133"/>
      <c r="E48" s="42"/>
      <c r="F48" s="129" t="s">
        <v>82</v>
      </c>
      <c r="G48" s="129"/>
      <c r="I48" s="103"/>
    </row>
    <row r="49" spans="1:9" ht="15" thickBot="1" x14ac:dyDescent="0.35">
      <c r="A49" s="134"/>
      <c r="B49" s="135"/>
      <c r="C49" s="135"/>
      <c r="D49" s="135"/>
      <c r="E49" s="135"/>
      <c r="F49" s="135"/>
      <c r="G49" s="135"/>
      <c r="H49" s="135"/>
      <c r="I49" s="136"/>
    </row>
  </sheetData>
  <mergeCells count="6">
    <mergeCell ref="F42:H42"/>
    <mergeCell ref="A1:I1"/>
    <mergeCell ref="A2:I2"/>
    <mergeCell ref="A3:I3"/>
    <mergeCell ref="B4:C4"/>
    <mergeCell ref="B40:C40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3"/>
  <sheetViews>
    <sheetView tabSelected="1" zoomScale="85" zoomScaleNormal="85" workbookViewId="0">
      <selection sqref="A1:T13"/>
    </sheetView>
  </sheetViews>
  <sheetFormatPr defaultColWidth="14.44140625" defaultRowHeight="14.4" x14ac:dyDescent="0.3"/>
  <cols>
    <col min="1" max="1" width="3.6640625" style="138" customWidth="1"/>
    <col min="2" max="2" width="12.33203125" style="138" bestFit="1" customWidth="1"/>
    <col min="3" max="3" width="14.44140625" style="138" customWidth="1"/>
    <col min="4" max="4" width="12.88671875" style="138" customWidth="1"/>
    <col min="5" max="5" width="10.5546875" style="138" customWidth="1"/>
    <col min="6" max="6" width="9.44140625" style="138" customWidth="1"/>
    <col min="7" max="7" width="10.33203125" style="138" customWidth="1"/>
    <col min="8" max="8" width="12.6640625" style="138" customWidth="1"/>
    <col min="9" max="9" width="14.5546875" style="138" customWidth="1"/>
    <col min="10" max="10" width="7.5546875" style="138" customWidth="1"/>
    <col min="11" max="11" width="10" style="138" bestFit="1" customWidth="1"/>
    <col min="12" max="12" width="16.33203125" style="138" bestFit="1" customWidth="1"/>
    <col min="13" max="13" width="10.5546875" style="138" customWidth="1"/>
    <col min="14" max="14" width="7.6640625" style="138" customWidth="1"/>
    <col min="15" max="15" width="10" style="138" bestFit="1" customWidth="1"/>
    <col min="16" max="16" width="10.5546875" style="138" customWidth="1"/>
    <col min="17" max="17" width="9.44140625" style="138" customWidth="1"/>
    <col min="18" max="19" width="10" style="138" customWidth="1"/>
    <col min="20" max="20" width="13.5546875" style="138" bestFit="1" customWidth="1"/>
    <col min="21" max="21" width="23.88671875" style="138" customWidth="1"/>
    <col min="22" max="22" width="15.88671875" style="138" hidden="1" customWidth="1"/>
    <col min="23" max="25" width="10.6640625" style="138" hidden="1" customWidth="1"/>
    <col min="26" max="16384" width="14.44140625" style="138"/>
  </cols>
  <sheetData>
    <row r="1" spans="1:24" s="272" customFormat="1" ht="18" x14ac:dyDescent="0.35">
      <c r="A1" s="271" t="s">
        <v>0</v>
      </c>
      <c r="V1" s="273"/>
      <c r="W1" s="273"/>
      <c r="X1" s="273"/>
    </row>
    <row r="2" spans="1:24" x14ac:dyDescent="0.3">
      <c r="A2" s="137" t="s">
        <v>83</v>
      </c>
      <c r="T2" s="140"/>
      <c r="U2" s="140"/>
      <c r="V2" s="139"/>
      <c r="W2" s="139"/>
      <c r="X2" s="139"/>
    </row>
    <row r="3" spans="1:24" x14ac:dyDescent="0.3">
      <c r="A3" s="141" t="s">
        <v>84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3"/>
      <c r="V3" s="139"/>
      <c r="W3" s="139"/>
      <c r="X3" s="139"/>
    </row>
    <row r="4" spans="1:24" x14ac:dyDescent="0.3">
      <c r="A4" s="261" t="s">
        <v>85</v>
      </c>
      <c r="B4" s="261" t="s">
        <v>86</v>
      </c>
      <c r="C4" s="262" t="s">
        <v>87</v>
      </c>
      <c r="D4" s="263" t="s">
        <v>88</v>
      </c>
      <c r="E4" s="256" t="s">
        <v>89</v>
      </c>
      <c r="F4" s="257"/>
      <c r="G4" s="258"/>
      <c r="H4" s="144" t="s">
        <v>90</v>
      </c>
      <c r="I4" s="144" t="s">
        <v>91</v>
      </c>
      <c r="J4" s="252" t="s">
        <v>92</v>
      </c>
      <c r="K4" s="252" t="s">
        <v>93</v>
      </c>
      <c r="L4" s="254" t="s">
        <v>94</v>
      </c>
      <c r="M4" s="256" t="s">
        <v>95</v>
      </c>
      <c r="N4" s="257"/>
      <c r="O4" s="258"/>
      <c r="P4" s="256" t="s">
        <v>96</v>
      </c>
      <c r="Q4" s="257"/>
      <c r="R4" s="258"/>
      <c r="S4" s="259" t="s">
        <v>97</v>
      </c>
      <c r="T4" s="252" t="s">
        <v>98</v>
      </c>
      <c r="U4" s="251" t="s">
        <v>99</v>
      </c>
      <c r="V4" s="139"/>
      <c r="W4" s="139"/>
      <c r="X4" s="139"/>
    </row>
    <row r="5" spans="1:24" ht="39.6" x14ac:dyDescent="0.3">
      <c r="A5" s="253"/>
      <c r="B5" s="253"/>
      <c r="C5" s="253"/>
      <c r="D5" s="264"/>
      <c r="E5" s="148" t="s">
        <v>100</v>
      </c>
      <c r="F5" s="149" t="s">
        <v>101</v>
      </c>
      <c r="G5" s="150" t="s">
        <v>102</v>
      </c>
      <c r="H5" s="150" t="s">
        <v>103</v>
      </c>
      <c r="I5" s="145" t="s">
        <v>104</v>
      </c>
      <c r="J5" s="253"/>
      <c r="K5" s="253"/>
      <c r="L5" s="255"/>
      <c r="M5" s="150" t="s">
        <v>100</v>
      </c>
      <c r="N5" s="150" t="s">
        <v>105</v>
      </c>
      <c r="O5" s="150" t="s">
        <v>102</v>
      </c>
      <c r="P5" s="150" t="s">
        <v>100</v>
      </c>
      <c r="Q5" s="151" t="s">
        <v>106</v>
      </c>
      <c r="R5" s="150" t="s">
        <v>102</v>
      </c>
      <c r="S5" s="260"/>
      <c r="T5" s="253"/>
      <c r="U5" s="251"/>
      <c r="V5" s="152" t="s">
        <v>107</v>
      </c>
      <c r="W5" s="139" t="s">
        <v>108</v>
      </c>
      <c r="X5" s="139"/>
    </row>
    <row r="6" spans="1:24" ht="6" customHeight="1" x14ac:dyDescent="0.3">
      <c r="A6" s="153"/>
      <c r="B6" s="143"/>
      <c r="C6" s="146"/>
      <c r="D6" s="147"/>
      <c r="E6" s="148"/>
      <c r="F6" s="154"/>
      <c r="G6" s="150"/>
      <c r="H6" s="154"/>
      <c r="I6" s="145"/>
      <c r="J6" s="146"/>
      <c r="K6" s="153"/>
      <c r="L6" s="151"/>
      <c r="M6" s="155"/>
      <c r="N6" s="155"/>
      <c r="O6" s="155"/>
      <c r="P6" s="155"/>
      <c r="Q6" s="156"/>
      <c r="R6" s="155"/>
      <c r="S6" s="157"/>
      <c r="T6" s="146"/>
      <c r="U6" s="158"/>
      <c r="V6" s="152"/>
      <c r="W6" s="139"/>
      <c r="X6" s="139"/>
    </row>
    <row r="7" spans="1:24" ht="30" customHeight="1" x14ac:dyDescent="0.3">
      <c r="A7" s="159">
        <f t="shared" ref="A7:A11" si="0">ROW()-5</f>
        <v>2</v>
      </c>
      <c r="B7" s="160" t="s">
        <v>109</v>
      </c>
      <c r="C7" s="161">
        <v>2357</v>
      </c>
      <c r="D7" s="162">
        <v>45652</v>
      </c>
      <c r="E7" s="163">
        <v>1600729</v>
      </c>
      <c r="F7" s="164">
        <v>21439</v>
      </c>
      <c r="G7" s="178">
        <f t="shared" ref="G7:G11" si="1">E7+F7</f>
        <v>1622168</v>
      </c>
      <c r="H7" s="165"/>
      <c r="I7" s="166">
        <v>100710</v>
      </c>
      <c r="J7" s="166">
        <v>20142</v>
      </c>
      <c r="K7" s="167">
        <f>1725876-1702736</f>
        <v>23140</v>
      </c>
      <c r="L7" s="162">
        <v>46199</v>
      </c>
      <c r="M7" s="167"/>
      <c r="N7" s="167"/>
      <c r="O7" s="180">
        <f t="shared" ref="O7:O11" si="2">SUM(M7:N7)</f>
        <v>0</v>
      </c>
      <c r="P7" s="180">
        <f>E7+H7-M7</f>
        <v>1600729</v>
      </c>
      <c r="Q7" s="180">
        <f>I7-J7+F7+K7</f>
        <v>125147</v>
      </c>
      <c r="R7" s="180">
        <f t="shared" ref="R7:R11" si="3">Q7+P7</f>
        <v>1725876</v>
      </c>
      <c r="S7" s="180" t="s">
        <v>110</v>
      </c>
      <c r="T7" s="181" t="s">
        <v>111</v>
      </c>
      <c r="U7" s="182"/>
      <c r="V7" s="139">
        <v>472096</v>
      </c>
      <c r="W7" s="168">
        <f t="shared" ref="W7:W11" si="4">R7-V7</f>
        <v>1253780</v>
      </c>
      <c r="X7" s="139"/>
    </row>
    <row r="8" spans="1:24" ht="30" customHeight="1" x14ac:dyDescent="0.3">
      <c r="A8" s="159">
        <f t="shared" si="0"/>
        <v>3</v>
      </c>
      <c r="B8" s="169" t="s">
        <v>112</v>
      </c>
      <c r="C8" s="161">
        <v>3102</v>
      </c>
      <c r="D8" s="162">
        <v>45852</v>
      </c>
      <c r="E8" s="163"/>
      <c r="F8" s="164"/>
      <c r="G8" s="178">
        <f t="shared" si="1"/>
        <v>0</v>
      </c>
      <c r="H8" s="170">
        <v>500000</v>
      </c>
      <c r="I8" s="166">
        <v>23447</v>
      </c>
      <c r="J8" s="166">
        <v>2345</v>
      </c>
      <c r="K8" s="167"/>
      <c r="L8" s="162">
        <v>46217</v>
      </c>
      <c r="M8" s="167"/>
      <c r="N8" s="167">
        <f t="shared" ref="N8:N9" si="5">I8-J8</f>
        <v>21102</v>
      </c>
      <c r="O8" s="180">
        <f t="shared" si="2"/>
        <v>21102</v>
      </c>
      <c r="P8" s="180">
        <f t="shared" ref="P8:P9" si="6">E8+H8-M8+K8</f>
        <v>500000</v>
      </c>
      <c r="Q8" s="180"/>
      <c r="R8" s="180">
        <f t="shared" si="3"/>
        <v>500000</v>
      </c>
      <c r="S8" s="180" t="s">
        <v>113</v>
      </c>
      <c r="T8" s="181" t="s">
        <v>114</v>
      </c>
      <c r="U8" s="182"/>
      <c r="V8" s="139">
        <v>472096</v>
      </c>
      <c r="W8" s="168">
        <f t="shared" si="4"/>
        <v>27904</v>
      </c>
      <c r="X8" s="139"/>
    </row>
    <row r="9" spans="1:24" ht="30" customHeight="1" x14ac:dyDescent="0.3">
      <c r="A9" s="159">
        <f t="shared" si="0"/>
        <v>4</v>
      </c>
      <c r="B9" s="169" t="s">
        <v>112</v>
      </c>
      <c r="C9" s="161">
        <v>3117</v>
      </c>
      <c r="D9" s="162">
        <v>45852</v>
      </c>
      <c r="E9" s="163"/>
      <c r="F9" s="164"/>
      <c r="G9" s="178">
        <f t="shared" si="1"/>
        <v>0</v>
      </c>
      <c r="H9" s="170">
        <v>500000</v>
      </c>
      <c r="I9" s="166">
        <v>23447</v>
      </c>
      <c r="J9" s="166">
        <v>2345</v>
      </c>
      <c r="K9" s="167"/>
      <c r="L9" s="162">
        <v>46217</v>
      </c>
      <c r="M9" s="167"/>
      <c r="N9" s="167">
        <f t="shared" si="5"/>
        <v>21102</v>
      </c>
      <c r="O9" s="180">
        <f t="shared" si="2"/>
        <v>21102</v>
      </c>
      <c r="P9" s="180">
        <f t="shared" si="6"/>
        <v>500000</v>
      </c>
      <c r="Q9" s="180"/>
      <c r="R9" s="180">
        <f t="shared" si="3"/>
        <v>500000</v>
      </c>
      <c r="S9" s="180" t="s">
        <v>113</v>
      </c>
      <c r="T9" s="181" t="s">
        <v>114</v>
      </c>
      <c r="U9" s="182"/>
      <c r="V9" s="139">
        <v>472096</v>
      </c>
      <c r="W9" s="168">
        <f t="shared" si="4"/>
        <v>27904</v>
      </c>
      <c r="X9" s="139"/>
    </row>
    <row r="10" spans="1:24" ht="30" customHeight="1" x14ac:dyDescent="0.3">
      <c r="A10" s="159">
        <f t="shared" si="0"/>
        <v>5</v>
      </c>
      <c r="B10" s="169" t="s">
        <v>112</v>
      </c>
      <c r="C10" s="161">
        <v>3124</v>
      </c>
      <c r="D10" s="162">
        <v>45852</v>
      </c>
      <c r="E10" s="163"/>
      <c r="F10" s="164"/>
      <c r="G10" s="178">
        <f t="shared" si="1"/>
        <v>0</v>
      </c>
      <c r="H10" s="170">
        <v>100000</v>
      </c>
      <c r="I10" s="166">
        <v>497</v>
      </c>
      <c r="J10" s="166">
        <v>50</v>
      </c>
      <c r="K10" s="167"/>
      <c r="L10" s="162"/>
      <c r="M10" s="167">
        <f>H10</f>
        <v>100000</v>
      </c>
      <c r="N10" s="167">
        <f>I10-J10</f>
        <v>447</v>
      </c>
      <c r="O10" s="180">
        <f t="shared" si="2"/>
        <v>100447</v>
      </c>
      <c r="P10" s="180"/>
      <c r="Q10" s="180"/>
      <c r="R10" s="180">
        <f t="shared" si="3"/>
        <v>0</v>
      </c>
      <c r="S10" s="180" t="s">
        <v>113</v>
      </c>
      <c r="T10" s="181" t="s">
        <v>114</v>
      </c>
      <c r="U10" s="182"/>
      <c r="V10" s="139">
        <v>472096</v>
      </c>
      <c r="W10" s="168">
        <f t="shared" si="4"/>
        <v>-472096</v>
      </c>
      <c r="X10" s="139"/>
    </row>
    <row r="11" spans="1:24" ht="30" customHeight="1" x14ac:dyDescent="0.3">
      <c r="A11" s="159">
        <f t="shared" si="0"/>
        <v>6</v>
      </c>
      <c r="B11" s="169" t="s">
        <v>112</v>
      </c>
      <c r="C11" s="161">
        <v>3137</v>
      </c>
      <c r="D11" s="162">
        <v>45852</v>
      </c>
      <c r="E11" s="163"/>
      <c r="F11" s="164"/>
      <c r="G11" s="178">
        <f t="shared" si="1"/>
        <v>0</v>
      </c>
      <c r="H11" s="170">
        <v>100000</v>
      </c>
      <c r="I11" s="166">
        <v>4689</v>
      </c>
      <c r="J11" s="166">
        <v>469</v>
      </c>
      <c r="K11" s="167"/>
      <c r="L11" s="162">
        <v>46217</v>
      </c>
      <c r="M11" s="167"/>
      <c r="N11" s="167">
        <f t="shared" ref="N11" si="7">I11-J11</f>
        <v>4220</v>
      </c>
      <c r="O11" s="180">
        <f t="shared" si="2"/>
        <v>4220</v>
      </c>
      <c r="P11" s="180">
        <f t="shared" ref="P11" si="8">E11+H11-M11+K11</f>
        <v>100000</v>
      </c>
      <c r="Q11" s="180"/>
      <c r="R11" s="180">
        <f t="shared" si="3"/>
        <v>100000</v>
      </c>
      <c r="S11" s="180" t="s">
        <v>113</v>
      </c>
      <c r="T11" s="181" t="s">
        <v>114</v>
      </c>
      <c r="U11" s="182"/>
      <c r="V11" s="139">
        <v>472096</v>
      </c>
      <c r="W11" s="168">
        <f t="shared" si="4"/>
        <v>-372096</v>
      </c>
      <c r="X11" s="139"/>
    </row>
    <row r="12" spans="1:24" ht="30" customHeight="1" thickBot="1" x14ac:dyDescent="0.35">
      <c r="A12" s="171"/>
      <c r="B12" s="172" t="s">
        <v>102</v>
      </c>
      <c r="C12" s="173"/>
      <c r="D12" s="173"/>
      <c r="E12" s="172">
        <f t="shared" ref="E12:K12" si="9">SUM(E7:E11)</f>
        <v>1600729</v>
      </c>
      <c r="F12" s="172">
        <f t="shared" si="9"/>
        <v>21439</v>
      </c>
      <c r="G12" s="179">
        <f t="shared" si="9"/>
        <v>1622168</v>
      </c>
      <c r="H12" s="172">
        <f t="shared" si="9"/>
        <v>1200000</v>
      </c>
      <c r="I12" s="172">
        <f t="shared" si="9"/>
        <v>152790</v>
      </c>
      <c r="J12" s="172">
        <f t="shared" si="9"/>
        <v>25351</v>
      </c>
      <c r="K12" s="186">
        <f t="shared" si="9"/>
        <v>23140</v>
      </c>
      <c r="L12" s="172"/>
      <c r="M12" s="172">
        <f t="shared" ref="M12:R12" si="10">SUM(M7:M11)</f>
        <v>100000</v>
      </c>
      <c r="N12" s="172">
        <f t="shared" si="10"/>
        <v>46871</v>
      </c>
      <c r="O12" s="179">
        <f t="shared" si="10"/>
        <v>146871</v>
      </c>
      <c r="P12" s="179">
        <f t="shared" si="10"/>
        <v>2700729</v>
      </c>
      <c r="Q12" s="179">
        <f t="shared" si="10"/>
        <v>125147</v>
      </c>
      <c r="R12" s="179">
        <f t="shared" si="10"/>
        <v>2825876</v>
      </c>
      <c r="S12" s="179"/>
      <c r="T12" s="183"/>
      <c r="U12" s="184"/>
      <c r="V12" s="139"/>
      <c r="W12" s="168"/>
      <c r="X12" s="139"/>
    </row>
    <row r="13" spans="1:24" ht="15" thickTop="1" x14ac:dyDescent="0.3">
      <c r="A13" s="174"/>
      <c r="B13" s="174"/>
      <c r="C13" s="175"/>
      <c r="D13" s="175"/>
      <c r="E13" s="176"/>
      <c r="F13" s="174"/>
      <c r="G13" s="174"/>
      <c r="H13" s="174"/>
      <c r="I13" s="176"/>
      <c r="J13" s="174"/>
      <c r="K13" s="174"/>
      <c r="L13" s="174"/>
      <c r="M13" s="174"/>
      <c r="N13" s="174"/>
      <c r="O13" s="185"/>
      <c r="P13" s="185"/>
      <c r="Q13" s="185"/>
      <c r="R13" s="185"/>
      <c r="S13" s="185"/>
      <c r="T13" s="185"/>
      <c r="U13" s="185"/>
      <c r="V13" s="139"/>
      <c r="W13" s="139"/>
      <c r="X13" s="139"/>
    </row>
    <row r="14" spans="1:24" x14ac:dyDescent="0.3">
      <c r="A14" s="174"/>
      <c r="B14" s="174"/>
      <c r="C14" s="175"/>
      <c r="D14" s="175"/>
      <c r="E14" s="176"/>
      <c r="F14" s="174"/>
      <c r="G14" s="174"/>
      <c r="H14" s="174"/>
      <c r="I14" s="176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39"/>
      <c r="W14" s="139"/>
      <c r="X14" s="139"/>
    </row>
    <row r="15" spans="1:24" x14ac:dyDescent="0.3">
      <c r="A15" s="139"/>
      <c r="B15" s="139"/>
      <c r="C15" s="177"/>
      <c r="D15" s="177"/>
      <c r="E15" s="139"/>
      <c r="F15" s="139"/>
      <c r="G15" s="139"/>
      <c r="H15" s="139"/>
      <c r="I15" s="168"/>
      <c r="J15" s="168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</row>
    <row r="16" spans="1:24" x14ac:dyDescent="0.3">
      <c r="A16" s="139"/>
      <c r="B16" s="139"/>
      <c r="C16" s="177"/>
      <c r="D16" s="177"/>
      <c r="E16" s="139"/>
      <c r="F16" s="139"/>
      <c r="G16" s="139"/>
      <c r="H16" s="139"/>
      <c r="I16" s="168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</row>
    <row r="17" spans="1:24" x14ac:dyDescent="0.3">
      <c r="A17" s="139"/>
      <c r="G17" s="139"/>
      <c r="H17" s="139"/>
      <c r="I17" s="168"/>
      <c r="J17" s="168"/>
      <c r="K17" s="139"/>
      <c r="L17" s="139"/>
      <c r="M17" s="139"/>
      <c r="N17" s="139"/>
      <c r="O17" s="139"/>
      <c r="P17" s="139"/>
      <c r="Q17" s="168"/>
      <c r="R17" s="139"/>
      <c r="S17" s="139"/>
      <c r="T17" s="139"/>
      <c r="U17" s="139"/>
      <c r="V17" s="139"/>
      <c r="W17" s="139"/>
      <c r="X17" s="139"/>
    </row>
    <row r="18" spans="1:24" x14ac:dyDescent="0.3">
      <c r="A18" s="139"/>
      <c r="B18" s="139"/>
      <c r="C18" s="177"/>
      <c r="D18" s="177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</row>
    <row r="19" spans="1:24" x14ac:dyDescent="0.3">
      <c r="A19" s="139"/>
      <c r="B19" s="139"/>
      <c r="C19" s="177"/>
      <c r="D19" s="177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</row>
    <row r="20" spans="1:24" x14ac:dyDescent="0.3">
      <c r="A20" s="139"/>
      <c r="B20" s="139"/>
      <c r="C20" s="177"/>
      <c r="D20" s="177"/>
      <c r="E20" s="139"/>
      <c r="F20" s="139"/>
      <c r="G20" s="139"/>
      <c r="H20" s="139"/>
      <c r="I20" s="168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</row>
    <row r="21" spans="1:24" x14ac:dyDescent="0.3">
      <c r="A21" s="139"/>
      <c r="B21" s="139"/>
      <c r="C21" s="177"/>
      <c r="D21" s="177"/>
      <c r="E21" s="139"/>
      <c r="F21" s="139"/>
      <c r="G21" s="139"/>
      <c r="H21" s="139"/>
      <c r="I21" s="168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</row>
    <row r="22" spans="1:24" x14ac:dyDescent="0.3">
      <c r="A22" s="139"/>
      <c r="B22" s="139"/>
      <c r="C22" s="177"/>
      <c r="D22" s="177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</row>
    <row r="23" spans="1:24" x14ac:dyDescent="0.3">
      <c r="A23" s="139"/>
      <c r="B23" s="139"/>
      <c r="C23" s="177"/>
      <c r="D23" s="177"/>
      <c r="E23" s="139"/>
      <c r="F23" s="139"/>
      <c r="G23" s="139"/>
      <c r="H23" s="139"/>
      <c r="I23" s="168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</row>
    <row r="24" spans="1:24" x14ac:dyDescent="0.3">
      <c r="A24" s="139"/>
      <c r="B24" s="139"/>
      <c r="C24" s="177"/>
      <c r="D24" s="177"/>
      <c r="E24" s="139"/>
      <c r="F24" s="139"/>
      <c r="G24" s="139"/>
      <c r="H24" s="139"/>
      <c r="I24" s="168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</row>
    <row r="25" spans="1:24" x14ac:dyDescent="0.3">
      <c r="A25" s="139"/>
      <c r="B25" s="139"/>
      <c r="C25" s="177"/>
      <c r="D25" s="177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</row>
    <row r="26" spans="1:24" x14ac:dyDescent="0.3">
      <c r="A26" s="139"/>
      <c r="B26" s="139"/>
      <c r="C26" s="177"/>
      <c r="D26" s="177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</row>
    <row r="27" spans="1:24" x14ac:dyDescent="0.3">
      <c r="A27" s="139"/>
      <c r="B27" s="139"/>
      <c r="C27" s="177"/>
      <c r="D27" s="177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</row>
    <row r="28" spans="1:24" x14ac:dyDescent="0.3">
      <c r="A28" s="139"/>
      <c r="B28" s="139"/>
      <c r="C28" s="177"/>
      <c r="D28" s="177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</row>
    <row r="29" spans="1:24" x14ac:dyDescent="0.3">
      <c r="A29" s="139"/>
      <c r="B29" s="139"/>
      <c r="C29" s="177"/>
      <c r="D29" s="177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</row>
    <row r="30" spans="1:24" x14ac:dyDescent="0.3">
      <c r="A30" s="139"/>
      <c r="B30" s="139"/>
      <c r="C30" s="177"/>
      <c r="D30" s="177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</row>
    <row r="31" spans="1:24" x14ac:dyDescent="0.3">
      <c r="A31" s="139"/>
      <c r="B31" s="139"/>
      <c r="C31" s="177"/>
      <c r="D31" s="177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</row>
    <row r="32" spans="1:24" x14ac:dyDescent="0.3">
      <c r="A32" s="139"/>
      <c r="B32" s="139"/>
      <c r="C32" s="177"/>
      <c r="D32" s="177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</row>
    <row r="33" spans="1:24" x14ac:dyDescent="0.3">
      <c r="A33" s="139"/>
      <c r="B33" s="139"/>
      <c r="C33" s="177"/>
      <c r="D33" s="177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</row>
    <row r="34" spans="1:24" x14ac:dyDescent="0.3">
      <c r="A34" s="139"/>
      <c r="B34" s="139"/>
      <c r="C34" s="177"/>
      <c r="D34" s="177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</row>
    <row r="35" spans="1:24" x14ac:dyDescent="0.3">
      <c r="A35" s="139"/>
      <c r="B35" s="139"/>
      <c r="C35" s="177"/>
      <c r="D35" s="177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</row>
    <row r="36" spans="1:24" x14ac:dyDescent="0.3">
      <c r="A36" s="139"/>
      <c r="B36" s="139"/>
      <c r="C36" s="177"/>
      <c r="D36" s="177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</row>
    <row r="37" spans="1:24" x14ac:dyDescent="0.3">
      <c r="A37" s="139"/>
      <c r="B37" s="139"/>
      <c r="C37" s="177"/>
      <c r="D37" s="177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</row>
    <row r="38" spans="1:24" x14ac:dyDescent="0.3">
      <c r="A38" s="139"/>
      <c r="B38" s="139"/>
      <c r="C38" s="177"/>
      <c r="D38" s="177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</row>
    <row r="39" spans="1:24" x14ac:dyDescent="0.3">
      <c r="A39" s="139"/>
      <c r="B39" s="139"/>
      <c r="C39" s="177"/>
      <c r="D39" s="177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</row>
    <row r="40" spans="1:24" x14ac:dyDescent="0.3">
      <c r="A40" s="139"/>
      <c r="B40" s="139"/>
      <c r="C40" s="177"/>
      <c r="D40" s="177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</row>
    <row r="41" spans="1:24" x14ac:dyDescent="0.3">
      <c r="A41" s="139"/>
      <c r="B41" s="139"/>
      <c r="C41" s="177"/>
      <c r="D41" s="177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</row>
    <row r="42" spans="1:24" x14ac:dyDescent="0.3">
      <c r="A42" s="139"/>
      <c r="B42" s="139"/>
      <c r="C42" s="177"/>
      <c r="D42" s="177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</row>
    <row r="43" spans="1:24" x14ac:dyDescent="0.3">
      <c r="A43" s="139"/>
      <c r="B43" s="139"/>
      <c r="C43" s="177"/>
      <c r="D43" s="177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</row>
    <row r="44" spans="1:24" x14ac:dyDescent="0.3">
      <c r="A44" s="139"/>
      <c r="B44" s="139"/>
      <c r="C44" s="177"/>
      <c r="D44" s="177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</row>
    <row r="45" spans="1:24" x14ac:dyDescent="0.3">
      <c r="A45" s="139"/>
      <c r="B45" s="139"/>
      <c r="C45" s="177"/>
      <c r="D45" s="177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</row>
    <row r="46" spans="1:24" x14ac:dyDescent="0.3">
      <c r="A46" s="139"/>
      <c r="B46" s="139"/>
      <c r="C46" s="177"/>
      <c r="D46" s="177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</row>
    <row r="47" spans="1:24" x14ac:dyDescent="0.3">
      <c r="A47" s="139"/>
      <c r="B47" s="139"/>
      <c r="C47" s="177"/>
      <c r="D47" s="177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</row>
    <row r="48" spans="1:24" x14ac:dyDescent="0.3">
      <c r="A48" s="139"/>
      <c r="B48" s="139"/>
      <c r="C48" s="177"/>
      <c r="D48" s="177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</row>
    <row r="49" spans="1:24" x14ac:dyDescent="0.3">
      <c r="A49" s="139"/>
      <c r="B49" s="139"/>
      <c r="C49" s="177"/>
      <c r="D49" s="177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</row>
    <row r="50" spans="1:24" x14ac:dyDescent="0.3">
      <c r="A50" s="139"/>
      <c r="B50" s="139"/>
      <c r="C50" s="177"/>
      <c r="D50" s="177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</row>
    <row r="51" spans="1:24" x14ac:dyDescent="0.3">
      <c r="A51" s="139"/>
      <c r="B51" s="139"/>
      <c r="C51" s="177"/>
      <c r="D51" s="177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</row>
    <row r="52" spans="1:24" x14ac:dyDescent="0.3">
      <c r="A52" s="139"/>
      <c r="B52" s="139"/>
      <c r="C52" s="177"/>
      <c r="D52" s="177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</row>
    <row r="53" spans="1:24" x14ac:dyDescent="0.3">
      <c r="A53" s="139"/>
      <c r="B53" s="139"/>
      <c r="C53" s="177"/>
      <c r="D53" s="177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</row>
    <row r="54" spans="1:24" x14ac:dyDescent="0.3">
      <c r="A54" s="139"/>
      <c r="B54" s="139"/>
      <c r="C54" s="177"/>
      <c r="D54" s="177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</row>
    <row r="55" spans="1:24" x14ac:dyDescent="0.3">
      <c r="A55" s="139"/>
      <c r="B55" s="139"/>
      <c r="C55" s="177"/>
      <c r="D55" s="177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</row>
    <row r="56" spans="1:24" x14ac:dyDescent="0.3">
      <c r="A56" s="139"/>
      <c r="B56" s="139"/>
      <c r="C56" s="177"/>
      <c r="D56" s="177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</row>
    <row r="57" spans="1:24" x14ac:dyDescent="0.3">
      <c r="A57" s="139"/>
      <c r="B57" s="139"/>
      <c r="C57" s="177"/>
      <c r="D57" s="177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</row>
    <row r="58" spans="1:24" x14ac:dyDescent="0.3">
      <c r="A58" s="139"/>
      <c r="B58" s="139"/>
      <c r="C58" s="177"/>
      <c r="D58" s="177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</row>
    <row r="59" spans="1:24" x14ac:dyDescent="0.3">
      <c r="A59" s="139"/>
      <c r="B59" s="139"/>
      <c r="C59" s="177"/>
      <c r="D59" s="177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</row>
    <row r="60" spans="1:24" x14ac:dyDescent="0.3">
      <c r="A60" s="139"/>
      <c r="B60" s="139"/>
      <c r="C60" s="177"/>
      <c r="D60" s="177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</row>
    <row r="61" spans="1:24" x14ac:dyDescent="0.3">
      <c r="A61" s="139"/>
      <c r="B61" s="139"/>
      <c r="C61" s="177"/>
      <c r="D61" s="177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</row>
    <row r="62" spans="1:24" x14ac:dyDescent="0.3">
      <c r="A62" s="139"/>
      <c r="B62" s="139"/>
      <c r="C62" s="177"/>
      <c r="D62" s="177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</row>
    <row r="63" spans="1:24" x14ac:dyDescent="0.3">
      <c r="A63" s="139"/>
      <c r="B63" s="139"/>
      <c r="C63" s="177"/>
      <c r="D63" s="177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</row>
    <row r="64" spans="1:24" x14ac:dyDescent="0.3">
      <c r="A64" s="139"/>
      <c r="B64" s="139"/>
      <c r="C64" s="177"/>
      <c r="D64" s="177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</row>
    <row r="65" spans="1:24" x14ac:dyDescent="0.3">
      <c r="A65" s="139"/>
      <c r="B65" s="139"/>
      <c r="C65" s="177"/>
      <c r="D65" s="177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</row>
    <row r="66" spans="1:24" x14ac:dyDescent="0.3">
      <c r="A66" s="139"/>
      <c r="B66" s="139"/>
      <c r="C66" s="177"/>
      <c r="D66" s="177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</row>
    <row r="67" spans="1:24" x14ac:dyDescent="0.3">
      <c r="A67" s="139"/>
      <c r="B67" s="139"/>
      <c r="C67" s="177"/>
      <c r="D67" s="177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</row>
    <row r="68" spans="1:24" x14ac:dyDescent="0.3">
      <c r="A68" s="139"/>
      <c r="B68" s="139"/>
      <c r="C68" s="177"/>
      <c r="D68" s="177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</row>
    <row r="69" spans="1:24" x14ac:dyDescent="0.3">
      <c r="A69" s="139"/>
      <c r="B69" s="139"/>
      <c r="C69" s="177"/>
      <c r="D69" s="177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</row>
    <row r="70" spans="1:24" x14ac:dyDescent="0.3">
      <c r="A70" s="139"/>
      <c r="B70" s="139"/>
      <c r="C70" s="177"/>
      <c r="D70" s="177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</row>
    <row r="71" spans="1:24" x14ac:dyDescent="0.3">
      <c r="A71" s="139"/>
      <c r="B71" s="139"/>
      <c r="C71" s="177"/>
      <c r="D71" s="177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</row>
    <row r="72" spans="1:24" x14ac:dyDescent="0.3">
      <c r="A72" s="139"/>
      <c r="B72" s="139"/>
      <c r="C72" s="177"/>
      <c r="D72" s="177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</row>
    <row r="73" spans="1:24" x14ac:dyDescent="0.3">
      <c r="A73" s="139"/>
      <c r="B73" s="139"/>
      <c r="C73" s="177"/>
      <c r="D73" s="177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</row>
    <row r="74" spans="1:24" x14ac:dyDescent="0.3">
      <c r="A74" s="139"/>
      <c r="B74" s="139"/>
      <c r="C74" s="177"/>
      <c r="D74" s="177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</row>
    <row r="75" spans="1:24" x14ac:dyDescent="0.3">
      <c r="A75" s="139"/>
      <c r="B75" s="139"/>
      <c r="C75" s="177"/>
      <c r="D75" s="177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</row>
    <row r="76" spans="1:24" x14ac:dyDescent="0.3">
      <c r="A76" s="139"/>
      <c r="B76" s="139"/>
      <c r="C76" s="177"/>
      <c r="D76" s="177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</row>
    <row r="77" spans="1:24" x14ac:dyDescent="0.3">
      <c r="A77" s="139"/>
      <c r="B77" s="139"/>
      <c r="C77" s="177"/>
      <c r="D77" s="177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</row>
    <row r="78" spans="1:24" x14ac:dyDescent="0.3">
      <c r="A78" s="139"/>
      <c r="B78" s="139"/>
      <c r="C78" s="177"/>
      <c r="D78" s="177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</row>
    <row r="79" spans="1:24" x14ac:dyDescent="0.3">
      <c r="A79" s="139"/>
      <c r="B79" s="139"/>
      <c r="C79" s="177"/>
      <c r="D79" s="177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</row>
    <row r="80" spans="1:24" x14ac:dyDescent="0.3">
      <c r="A80" s="139"/>
      <c r="B80" s="139"/>
      <c r="C80" s="177"/>
      <c r="D80" s="177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</row>
    <row r="81" spans="1:24" x14ac:dyDescent="0.3">
      <c r="A81" s="139"/>
      <c r="B81" s="139"/>
      <c r="C81" s="177"/>
      <c r="D81" s="177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</row>
    <row r="82" spans="1:24" x14ac:dyDescent="0.3">
      <c r="A82" s="139"/>
      <c r="B82" s="139"/>
      <c r="C82" s="177"/>
      <c r="D82" s="177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</row>
    <row r="83" spans="1:24" x14ac:dyDescent="0.3">
      <c r="A83" s="139"/>
      <c r="B83" s="139"/>
      <c r="C83" s="177"/>
      <c r="D83" s="177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</row>
    <row r="84" spans="1:24" x14ac:dyDescent="0.3">
      <c r="A84" s="139"/>
      <c r="B84" s="139"/>
      <c r="C84" s="177"/>
      <c r="D84" s="177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</row>
    <row r="85" spans="1:24" x14ac:dyDescent="0.3">
      <c r="A85" s="139"/>
      <c r="B85" s="139"/>
      <c r="C85" s="177"/>
      <c r="D85" s="177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</row>
    <row r="86" spans="1:24" x14ac:dyDescent="0.3">
      <c r="A86" s="139"/>
      <c r="B86" s="139"/>
      <c r="C86" s="177"/>
      <c r="D86" s="177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</row>
    <row r="87" spans="1:24" x14ac:dyDescent="0.3">
      <c r="A87" s="139"/>
      <c r="B87" s="139"/>
      <c r="C87" s="177"/>
      <c r="D87" s="177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</row>
    <row r="88" spans="1:24" x14ac:dyDescent="0.3">
      <c r="A88" s="139"/>
      <c r="B88" s="139"/>
      <c r="C88" s="177"/>
      <c r="D88" s="177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</row>
    <row r="89" spans="1:24" x14ac:dyDescent="0.3">
      <c r="A89" s="139"/>
      <c r="B89" s="139"/>
      <c r="C89" s="177"/>
      <c r="D89" s="177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</row>
    <row r="90" spans="1:24" x14ac:dyDescent="0.3">
      <c r="A90" s="139"/>
      <c r="B90" s="139"/>
      <c r="C90" s="177"/>
      <c r="D90" s="177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</row>
    <row r="91" spans="1:24" x14ac:dyDescent="0.3">
      <c r="A91" s="139"/>
      <c r="B91" s="139"/>
      <c r="C91" s="177"/>
      <c r="D91" s="177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</row>
    <row r="92" spans="1:24" x14ac:dyDescent="0.3">
      <c r="A92" s="139"/>
      <c r="B92" s="139"/>
      <c r="C92" s="177"/>
      <c r="D92" s="177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</row>
    <row r="93" spans="1:24" x14ac:dyDescent="0.3">
      <c r="A93" s="139"/>
      <c r="B93" s="139"/>
      <c r="C93" s="177"/>
      <c r="D93" s="177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</row>
  </sheetData>
  <mergeCells count="13">
    <mergeCell ref="J4:J5"/>
    <mergeCell ref="A4:A5"/>
    <mergeCell ref="B4:B5"/>
    <mergeCell ref="C4:C5"/>
    <mergeCell ref="D4:D5"/>
    <mergeCell ref="E4:G4"/>
    <mergeCell ref="U4:U5"/>
    <mergeCell ref="K4:K5"/>
    <mergeCell ref="L4:L5"/>
    <mergeCell ref="M4:O4"/>
    <mergeCell ref="P4:R4"/>
    <mergeCell ref="S4:S5"/>
    <mergeCell ref="T4:T5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1"/>
  <sheetViews>
    <sheetView workbookViewId="0">
      <selection activeCell="B16" sqref="B16"/>
    </sheetView>
  </sheetViews>
  <sheetFormatPr defaultRowHeight="14.4" x14ac:dyDescent="0.3"/>
  <cols>
    <col min="2" max="2" width="27.5546875" customWidth="1"/>
    <col min="3" max="3" width="8.88671875" customWidth="1"/>
    <col min="4" max="4" width="15.6640625" customWidth="1"/>
    <col min="6" max="6" width="10.88671875" customWidth="1"/>
    <col min="7" max="7" width="12.44140625" customWidth="1"/>
    <col min="8" max="8" width="13.44140625" customWidth="1"/>
  </cols>
  <sheetData>
    <row r="1" spans="2:8" ht="15" thickBot="1" x14ac:dyDescent="0.35"/>
    <row r="2" spans="2:8" ht="25.8" x14ac:dyDescent="0.5">
      <c r="B2" s="265" t="s">
        <v>0</v>
      </c>
      <c r="C2" s="266"/>
      <c r="D2" s="266"/>
      <c r="E2" s="266"/>
      <c r="F2" s="266"/>
      <c r="G2" s="266"/>
      <c r="H2" s="267"/>
    </row>
    <row r="3" spans="2:8" ht="18" x14ac:dyDescent="0.35">
      <c r="B3" s="268" t="s">
        <v>115</v>
      </c>
      <c r="C3" s="269"/>
      <c r="D3" s="269"/>
      <c r="E3" s="269"/>
      <c r="F3" s="269"/>
      <c r="G3" s="269"/>
      <c r="H3" s="270"/>
    </row>
    <row r="4" spans="2:8" ht="52.8" x14ac:dyDescent="0.3">
      <c r="B4" s="187" t="s">
        <v>116</v>
      </c>
      <c r="C4" s="188" t="s">
        <v>117</v>
      </c>
      <c r="D4" s="189" t="s">
        <v>118</v>
      </c>
      <c r="E4" s="190" t="s">
        <v>119</v>
      </c>
      <c r="F4" s="191" t="s">
        <v>102</v>
      </c>
      <c r="G4" s="190" t="s">
        <v>120</v>
      </c>
      <c r="H4" s="192" t="s">
        <v>121</v>
      </c>
    </row>
    <row r="5" spans="2:8" x14ac:dyDescent="0.3">
      <c r="B5" s="119" t="s">
        <v>122</v>
      </c>
      <c r="C5" s="193">
        <v>0.1</v>
      </c>
      <c r="D5" s="194">
        <v>2876.69</v>
      </c>
      <c r="E5" s="195">
        <v>0</v>
      </c>
      <c r="F5" s="194">
        <f t="shared" ref="F5:F10" si="0">D5+E5</f>
        <v>2876.69</v>
      </c>
      <c r="G5" s="194">
        <f>ROUND((F5*10%),)</f>
        <v>288</v>
      </c>
      <c r="H5" s="196">
        <f>F5-G5</f>
        <v>2588.69</v>
      </c>
    </row>
    <row r="6" spans="2:8" x14ac:dyDescent="0.3">
      <c r="B6" s="119" t="s">
        <v>123</v>
      </c>
      <c r="C6" s="193">
        <v>0.1</v>
      </c>
      <c r="D6" s="194">
        <v>686.75</v>
      </c>
      <c r="E6" s="195">
        <v>0</v>
      </c>
      <c r="F6" s="194">
        <f t="shared" si="0"/>
        <v>686.75</v>
      </c>
      <c r="G6" s="194">
        <f>ROUND((D6*10%),)</f>
        <v>69</v>
      </c>
      <c r="H6" s="196">
        <f t="shared" ref="H6:H10" si="1">F6-G6</f>
        <v>617.75</v>
      </c>
    </row>
    <row r="7" spans="2:8" ht="15.6" x14ac:dyDescent="0.3">
      <c r="B7" s="197" t="s">
        <v>124</v>
      </c>
      <c r="C7" s="193">
        <v>0.15</v>
      </c>
      <c r="D7" s="194">
        <v>6881</v>
      </c>
      <c r="E7" s="195">
        <v>0</v>
      </c>
      <c r="F7" s="194">
        <f t="shared" si="0"/>
        <v>6881</v>
      </c>
      <c r="G7" s="194">
        <f>ROUND((D7*15%),)</f>
        <v>1032</v>
      </c>
      <c r="H7" s="196">
        <f t="shared" si="1"/>
        <v>5849</v>
      </c>
    </row>
    <row r="8" spans="2:8" ht="15.6" x14ac:dyDescent="0.3">
      <c r="B8" s="197" t="s">
        <v>125</v>
      </c>
      <c r="C8" s="193">
        <v>0.1</v>
      </c>
      <c r="D8" s="194">
        <v>1950.83</v>
      </c>
      <c r="E8" s="195">
        <v>0</v>
      </c>
      <c r="F8" s="194">
        <f t="shared" si="0"/>
        <v>1950.83</v>
      </c>
      <c r="G8" s="194">
        <f>ROUND((D8*10%),)</f>
        <v>195</v>
      </c>
      <c r="H8" s="196">
        <f t="shared" si="1"/>
        <v>1755.83</v>
      </c>
    </row>
    <row r="9" spans="2:8" ht="15.6" x14ac:dyDescent="0.3">
      <c r="B9" s="197" t="s">
        <v>126</v>
      </c>
      <c r="C9" s="193">
        <v>0.1</v>
      </c>
      <c r="D9" s="194">
        <v>1181</v>
      </c>
      <c r="E9" s="195">
        <v>0</v>
      </c>
      <c r="F9" s="194">
        <f t="shared" si="0"/>
        <v>1181</v>
      </c>
      <c r="G9" s="194">
        <f>ROUND((D9*10%),)</f>
        <v>118</v>
      </c>
      <c r="H9" s="196">
        <f>F9-G9</f>
        <v>1063</v>
      </c>
    </row>
    <row r="10" spans="2:8" ht="15.6" x14ac:dyDescent="0.3">
      <c r="B10" s="197" t="s">
        <v>127</v>
      </c>
      <c r="C10" s="193">
        <v>0.2</v>
      </c>
      <c r="D10" s="194">
        <v>1226</v>
      </c>
      <c r="E10" s="195">
        <v>0</v>
      </c>
      <c r="F10" s="194">
        <f t="shared" si="0"/>
        <v>1226</v>
      </c>
      <c r="G10" s="194">
        <f>ROUND((D10*20%),)</f>
        <v>245</v>
      </c>
      <c r="H10" s="196">
        <f t="shared" si="1"/>
        <v>981</v>
      </c>
    </row>
    <row r="11" spans="2:8" ht="15" thickBot="1" x14ac:dyDescent="0.35">
      <c r="B11" s="198" t="s">
        <v>102</v>
      </c>
      <c r="C11" s="199"/>
      <c r="D11" s="200">
        <f>SUM(D5:D10)</f>
        <v>14802.27</v>
      </c>
      <c r="E11" s="200">
        <f>SUM(E5:E10)</f>
        <v>0</v>
      </c>
      <c r="F11" s="200">
        <f>SUM(F5:F10)</f>
        <v>14802.27</v>
      </c>
      <c r="G11" s="200">
        <f>SUM(G5:G10)</f>
        <v>1947</v>
      </c>
      <c r="H11" s="201">
        <f>SUM(H5:H10)</f>
        <v>12855.27</v>
      </c>
    </row>
  </sheetData>
  <mergeCells count="2">
    <mergeCell ref="B2:H2"/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I9" sqref="I9"/>
    </sheetView>
  </sheetViews>
  <sheetFormatPr defaultRowHeight="14.4" x14ac:dyDescent="0.3"/>
  <cols>
    <col min="1" max="1" width="13.88671875" customWidth="1"/>
    <col min="2" max="2" width="12.5546875" customWidth="1"/>
    <col min="3" max="3" width="11.6640625" customWidth="1"/>
    <col min="5" max="5" width="9.5546875" bestFit="1" customWidth="1"/>
  </cols>
  <sheetData>
    <row r="1" spans="1:5" x14ac:dyDescent="0.3">
      <c r="A1" s="224" t="s">
        <v>128</v>
      </c>
      <c r="B1" s="225"/>
      <c r="C1" s="225"/>
      <c r="D1" s="225"/>
      <c r="E1" s="226"/>
    </row>
    <row r="2" spans="1:5" x14ac:dyDescent="0.3">
      <c r="A2" s="227" t="s">
        <v>129</v>
      </c>
      <c r="B2" s="228"/>
      <c r="C2" s="228"/>
      <c r="D2" s="202" t="s">
        <v>130</v>
      </c>
      <c r="E2" s="203" t="s">
        <v>131</v>
      </c>
    </row>
    <row r="3" spans="1:5" x14ac:dyDescent="0.3">
      <c r="A3" s="219" t="s">
        <v>132</v>
      </c>
      <c r="B3" s="220"/>
      <c r="C3" s="204"/>
      <c r="D3" s="14"/>
      <c r="E3" s="205">
        <v>128240.79</v>
      </c>
    </row>
    <row r="4" spans="1:5" x14ac:dyDescent="0.3">
      <c r="A4" s="206"/>
      <c r="B4" s="207"/>
      <c r="C4" s="208"/>
      <c r="D4" s="37"/>
      <c r="E4" s="205"/>
    </row>
    <row r="5" spans="1:5" x14ac:dyDescent="0.3">
      <c r="A5" s="209" t="s">
        <v>133</v>
      </c>
      <c r="B5" s="210"/>
      <c r="C5" s="211"/>
      <c r="D5" s="14"/>
      <c r="E5" s="205"/>
    </row>
    <row r="6" spans="1:5" x14ac:dyDescent="0.3">
      <c r="A6" s="206"/>
      <c r="B6" s="212"/>
      <c r="C6" s="207"/>
      <c r="D6" s="37"/>
      <c r="E6" s="205"/>
    </row>
    <row r="7" spans="1:5" x14ac:dyDescent="0.3">
      <c r="A7" s="209" t="s">
        <v>134</v>
      </c>
      <c r="B7" s="213"/>
      <c r="C7" s="214"/>
      <c r="D7" s="215"/>
      <c r="E7" s="205"/>
    </row>
    <row r="8" spans="1:5" x14ac:dyDescent="0.3">
      <c r="A8" s="216"/>
      <c r="B8" s="213"/>
      <c r="C8" s="214"/>
      <c r="D8" s="215"/>
      <c r="E8" s="205"/>
    </row>
    <row r="9" spans="1:5" x14ac:dyDescent="0.3">
      <c r="A9" s="133"/>
      <c r="D9" s="215"/>
      <c r="E9" s="217"/>
    </row>
    <row r="10" spans="1:5" ht="15" thickBot="1" x14ac:dyDescent="0.35">
      <c r="A10" s="221" t="s">
        <v>135</v>
      </c>
      <c r="B10" s="222"/>
      <c r="C10" s="222"/>
      <c r="D10" s="223"/>
      <c r="E10" s="218">
        <f>E3</f>
        <v>128240.79</v>
      </c>
    </row>
    <row r="12" spans="1:5" x14ac:dyDescent="0.3">
      <c r="A12" s="224" t="s">
        <v>136</v>
      </c>
      <c r="B12" s="225"/>
      <c r="C12" s="225"/>
      <c r="D12" s="225"/>
      <c r="E12" s="226"/>
    </row>
    <row r="13" spans="1:5" x14ac:dyDescent="0.3">
      <c r="A13" s="227" t="s">
        <v>129</v>
      </c>
      <c r="B13" s="228"/>
      <c r="C13" s="228"/>
      <c r="D13" s="202" t="s">
        <v>130</v>
      </c>
      <c r="E13" s="203" t="s">
        <v>131</v>
      </c>
    </row>
    <row r="14" spans="1:5" x14ac:dyDescent="0.3">
      <c r="A14" s="219" t="s">
        <v>132</v>
      </c>
      <c r="B14" s="220"/>
      <c r="C14" s="204"/>
      <c r="D14" s="14"/>
      <c r="E14" s="205">
        <v>62162.1</v>
      </c>
    </row>
    <row r="15" spans="1:5" x14ac:dyDescent="0.3">
      <c r="A15" s="206"/>
      <c r="B15" s="207"/>
      <c r="C15" s="208"/>
      <c r="D15" s="37"/>
      <c r="E15" s="205"/>
    </row>
    <row r="16" spans="1:5" x14ac:dyDescent="0.3">
      <c r="A16" s="209" t="s">
        <v>133</v>
      </c>
      <c r="B16" s="210"/>
      <c r="C16" s="211"/>
      <c r="D16" s="14"/>
      <c r="E16" s="205"/>
    </row>
    <row r="17" spans="1:5" x14ac:dyDescent="0.3">
      <c r="A17" s="206"/>
      <c r="B17" s="212"/>
      <c r="C17" s="207"/>
      <c r="D17" s="37"/>
      <c r="E17" s="205"/>
    </row>
    <row r="18" spans="1:5" x14ac:dyDescent="0.3">
      <c r="A18" s="209" t="s">
        <v>134</v>
      </c>
      <c r="B18" s="213"/>
      <c r="C18" s="214"/>
      <c r="D18" s="215"/>
      <c r="E18" s="205"/>
    </row>
    <row r="19" spans="1:5" x14ac:dyDescent="0.3">
      <c r="A19" s="216"/>
      <c r="B19" s="213"/>
      <c r="C19" s="214"/>
      <c r="D19" s="215"/>
      <c r="E19" s="205"/>
    </row>
    <row r="20" spans="1:5" x14ac:dyDescent="0.3">
      <c r="A20" s="133"/>
      <c r="D20" s="215"/>
      <c r="E20" s="217"/>
    </row>
    <row r="21" spans="1:5" ht="15" thickBot="1" x14ac:dyDescent="0.35">
      <c r="A21" s="221" t="s">
        <v>135</v>
      </c>
      <c r="B21" s="222"/>
      <c r="C21" s="222"/>
      <c r="D21" s="223"/>
      <c r="E21" s="218">
        <f>E14</f>
        <v>62162.1</v>
      </c>
    </row>
  </sheetData>
  <mergeCells count="8">
    <mergeCell ref="A14:B14"/>
    <mergeCell ref="A21:D21"/>
    <mergeCell ref="A1:E1"/>
    <mergeCell ref="A2:C2"/>
    <mergeCell ref="A3:B3"/>
    <mergeCell ref="A10:D10"/>
    <mergeCell ref="A12:E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I&amp;E</vt:lpstr>
      <vt:lpstr>BS</vt:lpstr>
      <vt:lpstr>FD</vt:lpstr>
      <vt:lpstr>DEP</vt:lpstr>
      <vt:lpstr>BRS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bharatboridkar@gmail.com</cp:lastModifiedBy>
  <cp:lastPrinted>2026-08-22T09:43:50Z</cp:lastPrinted>
  <dcterms:created xsi:type="dcterms:W3CDTF">2026-08-09T11:54:37Z</dcterms:created>
  <dcterms:modified xsi:type="dcterms:W3CDTF">2026-08-22T09:43:53Z</dcterms:modified>
</cp:coreProperties>
</file>