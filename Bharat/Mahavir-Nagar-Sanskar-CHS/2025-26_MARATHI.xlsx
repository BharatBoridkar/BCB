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Bharat\Mahavir-Nagar-Sanskar-CHS\"/>
    </mc:Choice>
  </mc:AlternateContent>
  <xr:revisionPtr revIDLastSave="0" documentId="11_A78E4FB602DC303851FC1AAD13C7E66CCA8879F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 &amp; E AC" sheetId="1" r:id="rId1"/>
    <sheet name="BALANCE SHEET" sheetId="4" r:id="rId2"/>
    <sheet name="FD DETAILS" sheetId="2" r:id="rId3"/>
    <sheet name="QUERY AS ON 31.03.2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J9" i="2"/>
  <c r="N7" i="2"/>
  <c r="J7" i="2"/>
  <c r="D7" i="1"/>
  <c r="D18" i="4" l="1"/>
  <c r="E19" i="4" s="1"/>
  <c r="D15" i="4"/>
  <c r="E16" i="4" s="1"/>
  <c r="D11" i="4"/>
  <c r="E13" i="4" s="1"/>
  <c r="H20" i="4"/>
  <c r="I21" i="4" s="1"/>
  <c r="E20" i="1"/>
  <c r="N8" i="2"/>
  <c r="B24" i="1"/>
  <c r="I13" i="1"/>
  <c r="D28" i="4"/>
  <c r="H23" i="4"/>
  <c r="I24" i="4" s="1"/>
  <c r="N11" i="2"/>
  <c r="N10" i="2"/>
  <c r="N6" i="2"/>
  <c r="O13" i="2" l="1"/>
  <c r="O15" i="2" s="1"/>
  <c r="M13" i="2"/>
  <c r="O16" i="2" s="1"/>
  <c r="L13" i="2"/>
  <c r="K13" i="2"/>
  <c r="I13" i="2"/>
  <c r="H13" i="2"/>
  <c r="N13" i="2" l="1"/>
  <c r="O17" i="2"/>
  <c r="I14" i="4" l="1"/>
  <c r="F31" i="4"/>
  <c r="B31" i="4"/>
  <c r="E25" i="4"/>
  <c r="I9" i="4"/>
  <c r="F24" i="1"/>
  <c r="A24" i="1" s="1"/>
  <c r="E16" i="1"/>
  <c r="A31" i="4" l="1"/>
  <c r="I31" i="4"/>
  <c r="E24" i="1" l="1"/>
  <c r="J6" i="2"/>
  <c r="G13" i="2"/>
  <c r="J11" i="2"/>
  <c r="J10" i="2"/>
  <c r="J8" i="2"/>
  <c r="I22" i="1" l="1"/>
  <c r="J13" i="2"/>
  <c r="I24" i="1" l="1"/>
  <c r="J24" i="1" s="1"/>
  <c r="D29" i="4"/>
  <c r="E29" i="4" s="1"/>
  <c r="E31" i="4" s="1"/>
  <c r="J31" i="4" s="1"/>
</calcChain>
</file>

<file path=xl/sharedStrings.xml><?xml version="1.0" encoding="utf-8"?>
<sst xmlns="http://schemas.openxmlformats.org/spreadsheetml/2006/main" count="131" uniqueCount="103">
  <si>
    <t xml:space="preserve">महावीर नगर संस्कार सहकारी गृहनिर्माण संस्था मर्यादित </t>
  </si>
  <si>
    <t xml:space="preserve">एमयूएम / एमएचएडीबी / एचएसजी / (टीसी) / १२७८८ / सन २००८ - २००९  दि.२०/०६/२००८ </t>
  </si>
  <si>
    <t xml:space="preserve">खर्च तपशील </t>
  </si>
  <si>
    <t xml:space="preserve">उत्पन्न तपशील </t>
  </si>
  <si>
    <t xml:space="preserve">विद्युत आकार </t>
  </si>
  <si>
    <t>दुरूस्ती व देखभाल</t>
  </si>
  <si>
    <t xml:space="preserve">हिशोब लिहिणावळ फी </t>
  </si>
  <si>
    <t xml:space="preserve">लेखापरीक्षण फी </t>
  </si>
  <si>
    <t xml:space="preserve">सभा खर्च </t>
  </si>
  <si>
    <t xml:space="preserve">छपाई व लेखन सामुग्री </t>
  </si>
  <si>
    <t xml:space="preserve">प्रवास खर्च </t>
  </si>
  <si>
    <t xml:space="preserve">घसारा </t>
  </si>
  <si>
    <t xml:space="preserve">तरतुदी </t>
  </si>
  <si>
    <t>निक्षेप निधी</t>
  </si>
  <si>
    <t xml:space="preserve">राखीव निधी  - २५ % नफा </t>
  </si>
  <si>
    <t xml:space="preserve">जमेचे खर्चावरील आधिक्य </t>
  </si>
  <si>
    <t xml:space="preserve">सभासद मासिक वर्गणी </t>
  </si>
  <si>
    <t xml:space="preserve">मुदत ठेवी वरील व्याज </t>
  </si>
  <si>
    <t xml:space="preserve">बचत खात्यावरील व्याज </t>
  </si>
  <si>
    <t xml:space="preserve">थकबाकी वरील व्याज </t>
  </si>
  <si>
    <t>इतर उत्पन्न</t>
  </si>
  <si>
    <t xml:space="preserve">सभासदांकडून वर्गणी </t>
  </si>
  <si>
    <t xml:space="preserve">सोबत जोडलेल्या अहवालानुसार </t>
  </si>
  <si>
    <t xml:space="preserve">दिनांक </t>
  </si>
  <si>
    <t xml:space="preserve">स्थळ : मुंबई </t>
  </si>
  <si>
    <t xml:space="preserve">भाग भांडवल व देणी </t>
  </si>
  <si>
    <t xml:space="preserve">मालमत्ता व येणी </t>
  </si>
  <si>
    <t xml:space="preserve">वसूल भाग भांडवल </t>
  </si>
  <si>
    <t xml:space="preserve">१६० समभाग प्रत्येकी रु.५०/- प्रमाणे </t>
  </si>
  <si>
    <t xml:space="preserve">राखीव व इतर निधी </t>
  </si>
  <si>
    <t xml:space="preserve">राखीव निधी </t>
  </si>
  <si>
    <t xml:space="preserve">चालू देणी व तरतुदी </t>
  </si>
  <si>
    <t xml:space="preserve">उत्पन्न व खर्च खाते </t>
  </si>
  <si>
    <t xml:space="preserve">मागील ताळेबंदप्रमाणे </t>
  </si>
  <si>
    <t xml:space="preserve">रोख व बँक शिल्लक </t>
  </si>
  <si>
    <t xml:space="preserve">रोख शिल्लक </t>
  </si>
  <si>
    <t xml:space="preserve">एम डी सी बँक </t>
  </si>
  <si>
    <t>गुंतवणूक</t>
  </si>
  <si>
    <t>मुदत ठेव</t>
  </si>
  <si>
    <t xml:space="preserve">एम डी सी बँक - भाग भांडवल </t>
  </si>
  <si>
    <t>मुदत ठेवीवरील संभाव्य व्याज</t>
  </si>
  <si>
    <t xml:space="preserve">अनामत </t>
  </si>
  <si>
    <t>आदानी इ. लि.</t>
  </si>
  <si>
    <t xml:space="preserve">स्थायी मालमत्ता </t>
  </si>
  <si>
    <t xml:space="preserve">संस्था नावफलक </t>
  </si>
  <si>
    <t xml:space="preserve">वजा : घसारा </t>
  </si>
  <si>
    <t xml:space="preserve">सभासदांकडून येणे बाकी </t>
  </si>
  <si>
    <t>A/C NO.</t>
  </si>
  <si>
    <t>DATE</t>
  </si>
  <si>
    <t>M. DATE</t>
  </si>
  <si>
    <t xml:space="preserve">INT. </t>
  </si>
  <si>
    <t>M. AMT.</t>
  </si>
  <si>
    <t xml:space="preserve">OPENING </t>
  </si>
  <si>
    <t xml:space="preserve">REVERSED </t>
  </si>
  <si>
    <t xml:space="preserve">NEW </t>
  </si>
  <si>
    <t>TOTAL</t>
  </si>
  <si>
    <t xml:space="preserve">ACCURED </t>
  </si>
  <si>
    <t>REVERSED</t>
  </si>
  <si>
    <t xml:space="preserve">CURRENT </t>
  </si>
  <si>
    <t xml:space="preserve">TOTAL </t>
  </si>
  <si>
    <t>EARNED</t>
  </si>
  <si>
    <t>011124</t>
  </si>
  <si>
    <t>011125</t>
  </si>
  <si>
    <t>Total --------</t>
  </si>
  <si>
    <t>Earned</t>
  </si>
  <si>
    <t>Accrued</t>
  </si>
  <si>
    <t xml:space="preserve">ठेवी तपशील </t>
  </si>
  <si>
    <t xml:space="preserve">ठेवीवरील व्याजचा तपशील </t>
  </si>
  <si>
    <t xml:space="preserve">कायम ठेवी - एम डी सी बँक </t>
  </si>
  <si>
    <t xml:space="preserve">एमयूएम / एमएचएडीबी / एचएसजी / (टीसी) / १२७८८ / सन २००८ - २००९ दि.२०/०६/२००८ </t>
  </si>
  <si>
    <t>प्रशिक्षण निधी</t>
  </si>
  <si>
    <t>शिक्षण निधी</t>
  </si>
  <si>
    <t xml:space="preserve">             महावीर नगर संस्कार सहकारी गृहनिर्माण संस्था मर्यादित </t>
  </si>
  <si>
    <t xml:space="preserve">           अध्यक्ष              सचिव                खजिनदार </t>
  </si>
  <si>
    <t xml:space="preserve">फर्निचर </t>
  </si>
  <si>
    <t>17.03.25</t>
  </si>
  <si>
    <t xml:space="preserve">       महावीर नगर संस्कार सहकारी गृहनिर्माण संस्था मर्यादित </t>
  </si>
  <si>
    <t xml:space="preserve">    अध्यक्ष              सचिव                खजिनदार </t>
  </si>
  <si>
    <t>CHECK NAME LIST</t>
  </si>
  <si>
    <t>12.02.25</t>
  </si>
  <si>
    <t>12.05.26</t>
  </si>
  <si>
    <t>012608</t>
  </si>
  <si>
    <t>012607</t>
  </si>
  <si>
    <t>२०२४-२५</t>
  </si>
  <si>
    <t xml:space="preserve">उत्पन्न व खर्च पत्रक ३१ मार्च २०२६ अखेर </t>
  </si>
  <si>
    <t>२०२५-२६</t>
  </si>
  <si>
    <t xml:space="preserve">ताळेबंद पत्रक ३१ मार्च २०२६ अखेर </t>
  </si>
  <si>
    <t>कायदेशीर आणि व्यावसायिक शुल्क</t>
  </si>
  <si>
    <t>QUERY AS ON 31.03.26</t>
  </si>
  <si>
    <t xml:space="preserve">दिनांक ३१.०३.२०२६ रोजीची गुंतवणूक तपशील </t>
  </si>
  <si>
    <t>NO SUPPORTING NO VOUCHER PAYMENT VOUCHER NO. 41 &amp; 42</t>
  </si>
  <si>
    <t>17.03.26</t>
  </si>
  <si>
    <t>अधिक : अहवालसालची जमा</t>
  </si>
  <si>
    <t>अधिक : जमा खर्चाकडून वर्ग</t>
  </si>
  <si>
    <t xml:space="preserve">अधिक : अहवालसालची वर्गणी </t>
  </si>
  <si>
    <t xml:space="preserve">पोस्टेज </t>
  </si>
  <si>
    <t xml:space="preserve">खर्चाचे जमेवरील आधिक्य </t>
  </si>
  <si>
    <t xml:space="preserve">जाहिरात खर्च </t>
  </si>
  <si>
    <t xml:space="preserve">वजा : खर्चाचे जमेवरील आधिक्य </t>
  </si>
  <si>
    <t>17.03.27</t>
  </si>
  <si>
    <t>FDR RENEW -done</t>
  </si>
  <si>
    <t>SURPLUS TRF. PENDING -deficit</t>
  </si>
  <si>
    <t>ELECTRICITY CHG PROVISION PENDING REQUIRE MAR BILL -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</si>
</sst>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[$-4000439]0.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hivaji05"/>
    </font>
    <font>
      <b/>
      <sz val="10"/>
      <color rgb="FFFF0000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1"/>
      <name val="Arial"/>
      <family val="2"/>
    </font>
    <font>
      <sz val="11"/>
      <color theme="1"/>
      <name val="Shivaji05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Shivaji05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 tint="0.14999847407452621"/>
      <name val="Century Gothic"/>
      <family val="2"/>
    </font>
    <font>
      <sz val="11"/>
      <color theme="1" tint="0.1499984740745262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2" fontId="4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2" fontId="5" fillId="0" borderId="8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0" fontId="7" fillId="0" borderId="13" xfId="0" applyFont="1" applyBorder="1" applyAlignment="1">
      <alignment vertical="center"/>
    </xf>
    <xf numFmtId="2" fontId="7" fillId="0" borderId="14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10" fillId="0" borderId="8" xfId="0" applyNumberFormat="1" applyFont="1" applyBorder="1" applyAlignment="1">
      <alignment vertical="center"/>
    </xf>
    <xf numFmtId="164" fontId="10" fillId="0" borderId="0" xfId="0" applyNumberFormat="1" applyFont="1" applyAlignment="1">
      <alignment vertical="center"/>
    </xf>
    <xf numFmtId="164" fontId="10" fillId="0" borderId="1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4" fontId="14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0" fillId="0" borderId="8" xfId="0" applyNumberFormat="1" applyBorder="1" applyAlignment="1">
      <alignment vertical="center"/>
    </xf>
    <xf numFmtId="165" fontId="17" fillId="0" borderId="11" xfId="0" applyNumberFormat="1" applyFont="1" applyBorder="1" applyAlignment="1">
      <alignment vertical="center"/>
    </xf>
    <xf numFmtId="165" fontId="17" fillId="0" borderId="0" xfId="0" applyNumberFormat="1" applyFont="1" applyAlignment="1">
      <alignment vertical="center"/>
    </xf>
    <xf numFmtId="164" fontId="18" fillId="0" borderId="16" xfId="0" applyNumberFormat="1" applyFont="1" applyBorder="1" applyAlignment="1">
      <alignment vertical="center"/>
    </xf>
    <xf numFmtId="165" fontId="17" fillId="0" borderId="8" xfId="0" applyNumberFormat="1" applyFont="1" applyBorder="1" applyAlignment="1">
      <alignment vertical="center"/>
    </xf>
    <xf numFmtId="164" fontId="18" fillId="0" borderId="8" xfId="0" applyNumberFormat="1" applyFont="1" applyBorder="1" applyAlignment="1">
      <alignment vertical="center"/>
    </xf>
    <xf numFmtId="165" fontId="17" fillId="0" borderId="9" xfId="0" applyNumberFormat="1" applyFont="1" applyBorder="1" applyAlignment="1">
      <alignment vertical="center"/>
    </xf>
    <xf numFmtId="164" fontId="18" fillId="0" borderId="11" xfId="0" applyNumberFormat="1" applyFont="1" applyBorder="1" applyAlignment="1">
      <alignment vertical="center"/>
    </xf>
    <xf numFmtId="164" fontId="18" fillId="0" borderId="0" xfId="0" applyNumberFormat="1" applyFont="1" applyAlignment="1">
      <alignment vertical="center"/>
    </xf>
    <xf numFmtId="165" fontId="17" fillId="0" borderId="16" xfId="0" applyNumberFormat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165" fontId="20" fillId="0" borderId="20" xfId="0" applyNumberFormat="1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64" fontId="21" fillId="0" borderId="19" xfId="0" applyNumberFormat="1" applyFont="1" applyBorder="1" applyAlignment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65" fontId="24" fillId="0" borderId="8" xfId="0" applyNumberFormat="1" applyFont="1" applyBorder="1" applyAlignment="1">
      <alignment vertical="center"/>
    </xf>
    <xf numFmtId="165" fontId="24" fillId="0" borderId="11" xfId="0" applyNumberFormat="1" applyFont="1" applyBorder="1" applyAlignment="1">
      <alignment vertical="center"/>
    </xf>
    <xf numFmtId="165" fontId="24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2" fontId="16" fillId="0" borderId="8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vertical="center"/>
    </xf>
    <xf numFmtId="2" fontId="4" fillId="0" borderId="16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11" xfId="0" applyNumberFormat="1" applyFont="1" applyBorder="1" applyAlignment="1">
      <alignment vertical="center"/>
    </xf>
    <xf numFmtId="165" fontId="20" fillId="0" borderId="10" xfId="0" applyNumberFormat="1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65" fontId="20" fillId="0" borderId="15" xfId="0" applyNumberFormat="1" applyFont="1" applyBorder="1" applyAlignment="1">
      <alignment horizontal="center" vertical="center"/>
    </xf>
    <xf numFmtId="165" fontId="20" fillId="0" borderId="6" xfId="0" applyNumberFormat="1" applyFont="1" applyBorder="1" applyAlignment="1">
      <alignment horizontal="center" vertical="center"/>
    </xf>
    <xf numFmtId="4" fontId="0" fillId="0" borderId="0" xfId="0" applyNumberFormat="1"/>
    <xf numFmtId="2" fontId="16" fillId="0" borderId="22" xfId="0" applyNumberFormat="1" applyFont="1" applyBorder="1" applyAlignment="1">
      <alignment vertical="center"/>
    </xf>
    <xf numFmtId="165" fontId="20" fillId="0" borderId="22" xfId="0" applyNumberFormat="1" applyFont="1" applyBorder="1" applyAlignment="1">
      <alignment vertical="center"/>
    </xf>
    <xf numFmtId="165" fontId="24" fillId="0" borderId="9" xfId="0" applyNumberFormat="1" applyFont="1" applyBorder="1" applyAlignment="1">
      <alignment vertical="center"/>
    </xf>
    <xf numFmtId="0" fontId="23" fillId="0" borderId="0" xfId="0" applyFont="1" applyAlignment="1">
      <alignment vertical="center" wrapText="1"/>
    </xf>
    <xf numFmtId="2" fontId="25" fillId="0" borderId="0" xfId="0" applyNumberFormat="1" applyFont="1" applyAlignment="1">
      <alignment vertical="center"/>
    </xf>
    <xf numFmtId="165" fontId="26" fillId="0" borderId="8" xfId="0" applyNumberFormat="1" applyFont="1" applyBorder="1" applyAlignment="1">
      <alignment vertical="center"/>
    </xf>
    <xf numFmtId="165" fontId="26" fillId="0" borderId="9" xfId="0" applyNumberFormat="1" applyFont="1" applyBorder="1" applyAlignment="1">
      <alignment vertical="center"/>
    </xf>
    <xf numFmtId="165" fontId="26" fillId="0" borderId="11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9"/>
  <sheetViews>
    <sheetView tabSelected="1" topLeftCell="A15" zoomScale="90" zoomScaleNormal="90" workbookViewId="0">
      <selection activeCell="J33" sqref="J33"/>
    </sheetView>
  </sheetViews>
  <sheetFormatPr defaultColWidth="9.109375" defaultRowHeight="15.6"/>
  <cols>
    <col min="1" max="1" width="10.33203125" style="24" bestFit="1" customWidth="1"/>
    <col min="2" max="2" width="12.6640625" style="24" customWidth="1"/>
    <col min="3" max="3" width="30.6640625" style="24" customWidth="1"/>
    <col min="4" max="6" width="12.6640625" style="24" customWidth="1"/>
    <col min="7" max="7" width="30.6640625" style="24" customWidth="1"/>
    <col min="8" max="9" width="12.6640625" style="24" customWidth="1"/>
    <col min="10" max="16384" width="9.109375" style="24"/>
  </cols>
  <sheetData>
    <row r="2" spans="2:12" ht="18" customHeight="1">
      <c r="B2" s="90" t="s">
        <v>0</v>
      </c>
      <c r="C2" s="91"/>
      <c r="D2" s="91"/>
      <c r="E2" s="92"/>
      <c r="F2" s="91"/>
      <c r="G2" s="91"/>
      <c r="H2" s="91"/>
      <c r="I2" s="92"/>
    </row>
    <row r="3" spans="2:12" ht="18" customHeight="1">
      <c r="B3" s="93" t="s">
        <v>69</v>
      </c>
      <c r="C3" s="94"/>
      <c r="D3" s="94"/>
      <c r="E3" s="95"/>
      <c r="F3" s="94"/>
      <c r="G3" s="94"/>
      <c r="H3" s="94"/>
      <c r="I3" s="95"/>
    </row>
    <row r="4" spans="2:12" ht="18" customHeight="1">
      <c r="B4" s="96" t="s">
        <v>84</v>
      </c>
      <c r="C4" s="97"/>
      <c r="D4" s="97"/>
      <c r="E4" s="97"/>
      <c r="F4" s="97"/>
      <c r="G4" s="97"/>
      <c r="H4" s="97"/>
      <c r="I4" s="98"/>
    </row>
    <row r="5" spans="2:12" ht="20.100000000000001" customHeight="1">
      <c r="B5" s="43" t="s">
        <v>83</v>
      </c>
      <c r="C5" s="44" t="s">
        <v>2</v>
      </c>
      <c r="D5" s="45"/>
      <c r="E5" s="46" t="s">
        <v>85</v>
      </c>
      <c r="F5" s="45" t="s">
        <v>83</v>
      </c>
      <c r="G5" s="44" t="s">
        <v>3</v>
      </c>
      <c r="H5" s="45"/>
      <c r="I5" s="45" t="s">
        <v>85</v>
      </c>
    </row>
    <row r="6" spans="2:12" ht="20.100000000000001" customHeight="1">
      <c r="B6" s="59">
        <v>5140</v>
      </c>
      <c r="C6" s="14" t="s">
        <v>4</v>
      </c>
      <c r="D6" s="60">
        <v>4151.28</v>
      </c>
      <c r="E6" s="34"/>
      <c r="F6" s="31"/>
      <c r="G6" s="30" t="s">
        <v>21</v>
      </c>
      <c r="H6" s="31"/>
      <c r="I6" s="31"/>
    </row>
    <row r="7" spans="2:12" ht="20.100000000000001" customHeight="1">
      <c r="B7" s="32">
        <v>7000</v>
      </c>
      <c r="C7" s="14" t="s">
        <v>5</v>
      </c>
      <c r="D7" s="33">
        <f>9400+8000</f>
        <v>17400</v>
      </c>
      <c r="E7" s="34"/>
      <c r="F7" s="32">
        <v>39600</v>
      </c>
      <c r="G7" s="14" t="s">
        <v>16</v>
      </c>
      <c r="H7" s="35"/>
      <c r="I7" s="32">
        <v>39600</v>
      </c>
      <c r="K7"/>
      <c r="L7" s="72"/>
    </row>
    <row r="8" spans="2:12" ht="20.100000000000001" customHeight="1">
      <c r="B8" s="32">
        <v>4000</v>
      </c>
      <c r="C8" s="47" t="s">
        <v>6</v>
      </c>
      <c r="D8" s="33">
        <v>4000</v>
      </c>
      <c r="E8" s="34"/>
      <c r="F8" s="32"/>
      <c r="G8" s="14"/>
      <c r="H8" s="35"/>
      <c r="I8" s="32"/>
      <c r="K8"/>
      <c r="L8" s="72"/>
    </row>
    <row r="9" spans="2:12" ht="20.100000000000001" customHeight="1">
      <c r="B9" s="32">
        <v>4500</v>
      </c>
      <c r="C9" s="14" t="s">
        <v>7</v>
      </c>
      <c r="D9" s="33">
        <v>3300</v>
      </c>
      <c r="E9" s="34"/>
      <c r="F9" s="32"/>
      <c r="G9" s="30" t="s">
        <v>20</v>
      </c>
      <c r="H9" s="35"/>
      <c r="I9" s="32"/>
      <c r="K9"/>
      <c r="L9" s="72"/>
    </row>
    <row r="10" spans="2:12" ht="20.100000000000001" customHeight="1">
      <c r="B10" s="32">
        <v>610</v>
      </c>
      <c r="C10" s="14" t="s">
        <v>8</v>
      </c>
      <c r="D10" s="33">
        <v>590</v>
      </c>
      <c r="E10" s="34"/>
      <c r="F10" s="59">
        <v>9010</v>
      </c>
      <c r="G10" s="14" t="s">
        <v>17</v>
      </c>
      <c r="H10" s="58">
        <v>26596</v>
      </c>
      <c r="I10" s="32"/>
      <c r="K10"/>
      <c r="L10" s="72"/>
    </row>
    <row r="11" spans="2:12" ht="20.100000000000001" customHeight="1">
      <c r="B11" s="32">
        <v>400</v>
      </c>
      <c r="C11" s="14" t="s">
        <v>10</v>
      </c>
      <c r="D11" s="33">
        <v>638</v>
      </c>
      <c r="E11" s="34"/>
      <c r="F11" s="32">
        <v>9189</v>
      </c>
      <c r="G11" s="14" t="s">
        <v>18</v>
      </c>
      <c r="H11" s="35">
        <v>1412</v>
      </c>
      <c r="I11" s="32"/>
      <c r="K11"/>
      <c r="L11"/>
    </row>
    <row r="12" spans="2:12" ht="20.100000000000001" customHeight="1">
      <c r="B12" s="32">
        <v>1106</v>
      </c>
      <c r="C12" s="14" t="s">
        <v>9</v>
      </c>
      <c r="D12" s="33">
        <v>6434</v>
      </c>
      <c r="E12" s="34"/>
      <c r="F12" s="32">
        <v>4266</v>
      </c>
      <c r="G12" s="14" t="s">
        <v>19</v>
      </c>
      <c r="H12" s="35">
        <v>6708</v>
      </c>
      <c r="I12" s="32"/>
      <c r="K12"/>
      <c r="L12"/>
    </row>
    <row r="13" spans="2:12" ht="20.100000000000001" customHeight="1">
      <c r="B13" s="32">
        <v>1062</v>
      </c>
      <c r="C13" s="14" t="s">
        <v>11</v>
      </c>
      <c r="D13" s="33">
        <v>956</v>
      </c>
      <c r="E13" s="34"/>
      <c r="F13" s="32">
        <v>50</v>
      </c>
      <c r="G13" s="14" t="s">
        <v>20</v>
      </c>
      <c r="H13" s="37">
        <v>0</v>
      </c>
      <c r="I13" s="32">
        <f>SUM(H9:H13)</f>
        <v>34716</v>
      </c>
      <c r="K13"/>
      <c r="L13" s="72"/>
    </row>
    <row r="14" spans="2:12" ht="20.100000000000001" customHeight="1">
      <c r="B14" s="59">
        <v>19470</v>
      </c>
      <c r="C14" s="21" t="s">
        <v>87</v>
      </c>
      <c r="D14" s="58">
        <v>44470</v>
      </c>
      <c r="E14" s="40"/>
      <c r="F14" s="32"/>
      <c r="G14" s="14"/>
      <c r="H14" s="35"/>
      <c r="I14" s="32"/>
      <c r="K14"/>
      <c r="L14" s="72"/>
    </row>
    <row r="15" spans="2:12" ht="20.100000000000001" customHeight="1">
      <c r="B15" s="59">
        <v>0</v>
      </c>
      <c r="C15" s="21" t="s">
        <v>97</v>
      </c>
      <c r="D15" s="58">
        <v>8416</v>
      </c>
      <c r="E15" s="40"/>
      <c r="F15" s="36"/>
      <c r="G15" s="14"/>
      <c r="H15" s="36"/>
      <c r="I15" s="36"/>
      <c r="K15"/>
      <c r="L15" s="72"/>
    </row>
    <row r="16" spans="2:12" ht="20.100000000000001" customHeight="1">
      <c r="B16" s="32">
        <v>0</v>
      </c>
      <c r="C16" s="14" t="s">
        <v>95</v>
      </c>
      <c r="D16" s="37">
        <v>48</v>
      </c>
      <c r="E16" s="40">
        <f>SUM(D6:D16)</f>
        <v>90403.28</v>
      </c>
      <c r="F16" s="36"/>
      <c r="G16" s="14"/>
      <c r="H16" s="36"/>
      <c r="I16" s="36"/>
      <c r="K16"/>
      <c r="L16" s="72"/>
    </row>
    <row r="17" spans="1:12" ht="20.100000000000001" customHeight="1">
      <c r="B17" s="38"/>
      <c r="C17" s="30" t="s">
        <v>12</v>
      </c>
      <c r="D17" s="39"/>
      <c r="E17" s="34"/>
      <c r="F17" s="36"/>
      <c r="G17" s="14"/>
      <c r="H17" s="36"/>
      <c r="I17" s="36"/>
      <c r="K17"/>
      <c r="L17" s="72"/>
    </row>
    <row r="18" spans="1:12" ht="20.100000000000001" customHeight="1">
      <c r="B18" s="32">
        <v>3960</v>
      </c>
      <c r="C18" s="14" t="s">
        <v>70</v>
      </c>
      <c r="D18" s="33">
        <v>3960</v>
      </c>
      <c r="E18" s="40"/>
      <c r="F18" s="36"/>
      <c r="G18" s="14"/>
      <c r="H18" s="36"/>
      <c r="I18" s="36"/>
      <c r="K18"/>
      <c r="L18" s="72"/>
    </row>
    <row r="19" spans="1:12" ht="20.100000000000001" customHeight="1">
      <c r="B19" s="32">
        <v>5940</v>
      </c>
      <c r="C19" s="21" t="s">
        <v>13</v>
      </c>
      <c r="D19" s="33">
        <v>5940</v>
      </c>
      <c r="E19" s="40"/>
      <c r="F19" s="36"/>
      <c r="G19" s="14"/>
      <c r="H19" s="36"/>
      <c r="I19" s="36"/>
      <c r="K19"/>
      <c r="L19" s="72"/>
    </row>
    <row r="20" spans="1:12" ht="20.100000000000001" customHeight="1">
      <c r="B20" s="59">
        <v>2232</v>
      </c>
      <c r="C20" s="21" t="s">
        <v>14</v>
      </c>
      <c r="D20" s="75">
        <v>0</v>
      </c>
      <c r="E20" s="40">
        <f>SUM(D18:D20)</f>
        <v>9900</v>
      </c>
      <c r="F20" s="36"/>
      <c r="G20" s="14"/>
      <c r="H20" s="36"/>
      <c r="I20" s="36"/>
    </row>
    <row r="21" spans="1:12" ht="20.100000000000001" customHeight="1">
      <c r="B21" s="59"/>
      <c r="C21" s="21"/>
      <c r="D21" s="60"/>
      <c r="E21" s="40"/>
      <c r="F21" s="36"/>
      <c r="G21" s="14"/>
      <c r="H21" s="36"/>
      <c r="I21" s="36"/>
    </row>
    <row r="22" spans="1:12" ht="20.100000000000001" customHeight="1">
      <c r="A22" s="25"/>
      <c r="B22" s="59">
        <v>6695</v>
      </c>
      <c r="C22" s="14" t="s">
        <v>15</v>
      </c>
      <c r="D22" s="33"/>
      <c r="E22" s="40">
        <v>0</v>
      </c>
      <c r="F22" s="32">
        <v>0</v>
      </c>
      <c r="G22" s="14" t="s">
        <v>96</v>
      </c>
      <c r="H22" s="36"/>
      <c r="I22" s="35">
        <f>+E24-SUM(I6:I21)</f>
        <v>25987.279999999999</v>
      </c>
    </row>
    <row r="23" spans="1:12" ht="20.100000000000001" customHeight="1">
      <c r="A23" s="25"/>
      <c r="B23" s="59"/>
      <c r="C23" s="14"/>
      <c r="D23" s="33"/>
      <c r="E23" s="40"/>
      <c r="F23" s="36"/>
      <c r="G23" s="14"/>
      <c r="H23" s="36"/>
      <c r="I23" s="36"/>
    </row>
    <row r="24" spans="1:12" ht="20.100000000000001" customHeight="1" thickBot="1">
      <c r="A24" s="61">
        <f>+B24-F24</f>
        <v>0</v>
      </c>
      <c r="B24" s="48">
        <f>SUM(B5:B22)</f>
        <v>62115</v>
      </c>
      <c r="C24" s="49"/>
      <c r="D24" s="50"/>
      <c r="E24" s="51">
        <f>SUM(E6:E22)</f>
        <v>100303.28</v>
      </c>
      <c r="F24" s="48">
        <f>SUM(F6:F22)</f>
        <v>62115</v>
      </c>
      <c r="G24" s="49"/>
      <c r="H24" s="50"/>
      <c r="I24" s="48">
        <f>SUM(I6:I22)</f>
        <v>100303.28</v>
      </c>
      <c r="J24" s="61">
        <f>+E24-I24</f>
        <v>0</v>
      </c>
    </row>
    <row r="25" spans="1:12" ht="18" customHeight="1">
      <c r="B25" s="74"/>
      <c r="C25" s="73"/>
      <c r="D25" s="26"/>
      <c r="E25" s="26"/>
      <c r="F25" s="26"/>
      <c r="G25" s="26"/>
      <c r="H25" s="26"/>
    </row>
    <row r="26" spans="1:12" ht="18" customHeight="1">
      <c r="B26" s="26" t="s">
        <v>22</v>
      </c>
      <c r="C26" s="27"/>
      <c r="D26" s="26"/>
      <c r="E26" s="26"/>
      <c r="F26" s="3" t="s">
        <v>76</v>
      </c>
      <c r="G26" s="26"/>
      <c r="H26" s="26"/>
    </row>
    <row r="27" spans="1:12" ht="18" customHeight="1">
      <c r="B27" s="26"/>
      <c r="C27" s="27"/>
      <c r="D27" s="26"/>
      <c r="E27" s="26"/>
      <c r="F27" s="26"/>
      <c r="G27" s="26"/>
      <c r="H27" s="26"/>
    </row>
    <row r="28" spans="1:12" ht="18" customHeight="1">
      <c r="B28" s="26" t="s">
        <v>23</v>
      </c>
      <c r="C28" s="27"/>
      <c r="D28" s="26"/>
      <c r="E28" s="26"/>
      <c r="F28" s="26"/>
      <c r="G28" s="26"/>
      <c r="H28" s="26"/>
    </row>
    <row r="29" spans="1:12" ht="18" customHeight="1">
      <c r="B29" s="26" t="s">
        <v>24</v>
      </c>
      <c r="C29" s="27"/>
      <c r="D29" s="26"/>
      <c r="E29" s="26"/>
      <c r="F29" s="28" t="s">
        <v>77</v>
      </c>
      <c r="G29" s="26"/>
      <c r="H29" s="26"/>
    </row>
  </sheetData>
  <mergeCells count="3">
    <mergeCell ref="B2:I2"/>
    <mergeCell ref="B3:I3"/>
    <mergeCell ref="B4:I4"/>
  </mergeCells>
  <pageMargins left="0.37" right="0.19685039370078741" top="0.22" bottom="0.31496062992125984" header="0.22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6"/>
  <sheetViews>
    <sheetView topLeftCell="A9" zoomScale="90" zoomScaleNormal="90" workbookViewId="0"/>
  </sheetViews>
  <sheetFormatPr defaultColWidth="9.109375" defaultRowHeight="14.4"/>
  <cols>
    <col min="1" max="1" width="9.109375" style="14"/>
    <col min="2" max="2" width="12.6640625" style="14" customWidth="1"/>
    <col min="3" max="3" width="35.6640625" style="14" customWidth="1"/>
    <col min="4" max="6" width="12.6640625" style="14" customWidth="1"/>
    <col min="7" max="7" width="35.6640625" style="14" customWidth="1"/>
    <col min="8" max="9" width="12.6640625" style="14" customWidth="1"/>
    <col min="10" max="10" width="12.33203125" style="14" customWidth="1"/>
    <col min="11" max="16384" width="9.109375" style="14"/>
  </cols>
  <sheetData>
    <row r="2" spans="2:11" ht="15.9" customHeight="1">
      <c r="B2" s="81" t="s">
        <v>0</v>
      </c>
      <c r="C2" s="82"/>
      <c r="D2" s="82"/>
      <c r="E2" s="83"/>
      <c r="F2" s="82"/>
      <c r="G2" s="82"/>
      <c r="H2" s="82"/>
      <c r="I2" s="83"/>
    </row>
    <row r="3" spans="2:11" ht="15.9" customHeight="1">
      <c r="B3" s="84" t="s">
        <v>1</v>
      </c>
      <c r="C3" s="85"/>
      <c r="D3" s="85"/>
      <c r="E3" s="86"/>
      <c r="F3" s="85"/>
      <c r="G3" s="85"/>
      <c r="H3" s="85"/>
      <c r="I3" s="86"/>
    </row>
    <row r="4" spans="2:11" ht="15.9" customHeight="1">
      <c r="B4" s="87" t="s">
        <v>86</v>
      </c>
      <c r="C4" s="88"/>
      <c r="D4" s="88"/>
      <c r="E4" s="88"/>
      <c r="F4" s="88"/>
      <c r="G4" s="88"/>
      <c r="H4" s="88"/>
      <c r="I4" s="89"/>
    </row>
    <row r="5" spans="2:11" ht="15">
      <c r="B5" s="71" t="s">
        <v>83</v>
      </c>
      <c r="C5" s="69" t="s">
        <v>25</v>
      </c>
      <c r="D5" s="15"/>
      <c r="E5" s="70" t="s">
        <v>85</v>
      </c>
      <c r="F5" s="68" t="s">
        <v>83</v>
      </c>
      <c r="G5" s="69" t="s">
        <v>26</v>
      </c>
      <c r="H5" s="16"/>
      <c r="I5" s="68" t="s">
        <v>85</v>
      </c>
    </row>
    <row r="6" spans="2:11" ht="15">
      <c r="B6" s="63"/>
      <c r="C6" s="28"/>
      <c r="D6" s="64"/>
      <c r="E6" s="65"/>
      <c r="F6" s="35"/>
      <c r="G6" s="17"/>
      <c r="H6" s="66"/>
      <c r="I6" s="67"/>
    </row>
    <row r="7" spans="2:11" ht="15">
      <c r="B7" s="32"/>
      <c r="C7" s="28" t="s">
        <v>27</v>
      </c>
      <c r="D7" s="35"/>
      <c r="E7" s="40"/>
      <c r="F7" s="18"/>
      <c r="G7" s="28" t="s">
        <v>34</v>
      </c>
      <c r="H7" s="62"/>
      <c r="I7" s="62"/>
    </row>
    <row r="8" spans="2:11" ht="15">
      <c r="B8" s="32">
        <v>8000</v>
      </c>
      <c r="C8" s="26" t="s">
        <v>28</v>
      </c>
      <c r="D8" s="35"/>
      <c r="E8" s="40">
        <v>8000</v>
      </c>
      <c r="F8" s="35">
        <v>20156</v>
      </c>
      <c r="G8" s="26" t="s">
        <v>35</v>
      </c>
      <c r="H8" s="35">
        <v>10654</v>
      </c>
      <c r="I8" s="35"/>
      <c r="K8" s="54"/>
    </row>
    <row r="9" spans="2:11" ht="15">
      <c r="B9" s="32"/>
      <c r="C9" s="26"/>
      <c r="D9" s="35"/>
      <c r="E9" s="40"/>
      <c r="F9" s="35">
        <v>81270</v>
      </c>
      <c r="G9" s="26" t="s">
        <v>36</v>
      </c>
      <c r="H9" s="37">
        <v>46996</v>
      </c>
      <c r="I9" s="35">
        <f>SUM(H8:H9)</f>
        <v>57650</v>
      </c>
    </row>
    <row r="10" spans="2:11" ht="15">
      <c r="B10" s="32"/>
      <c r="C10" s="28" t="s">
        <v>29</v>
      </c>
      <c r="D10" s="35"/>
      <c r="E10" s="40"/>
      <c r="F10" s="35"/>
      <c r="G10" s="26"/>
      <c r="H10" s="35"/>
      <c r="I10" s="35"/>
    </row>
    <row r="11" spans="2:11" ht="15">
      <c r="B11" s="32">
        <v>228162</v>
      </c>
      <c r="C11" s="26" t="s">
        <v>30</v>
      </c>
      <c r="D11" s="35">
        <f>+B11</f>
        <v>228162</v>
      </c>
      <c r="E11" s="40"/>
      <c r="F11" s="35"/>
      <c r="G11" s="28" t="s">
        <v>37</v>
      </c>
      <c r="H11" s="35"/>
      <c r="I11" s="35"/>
    </row>
    <row r="12" spans="2:11" ht="15">
      <c r="B12" s="32"/>
      <c r="C12" s="26" t="s">
        <v>92</v>
      </c>
      <c r="D12" s="35">
        <v>0</v>
      </c>
      <c r="E12" s="40"/>
      <c r="F12" s="35">
        <v>1010</v>
      </c>
      <c r="G12" s="26" t="s">
        <v>39</v>
      </c>
      <c r="H12" s="35">
        <v>1010</v>
      </c>
      <c r="I12" s="35"/>
    </row>
    <row r="13" spans="2:11" ht="15">
      <c r="B13" s="32"/>
      <c r="C13" s="26" t="s">
        <v>93</v>
      </c>
      <c r="D13" s="37">
        <v>0</v>
      </c>
      <c r="E13" s="40">
        <f>+D11+D12+D13</f>
        <v>228162</v>
      </c>
      <c r="F13" s="58">
        <v>342906</v>
      </c>
      <c r="G13" s="77" t="s">
        <v>38</v>
      </c>
      <c r="H13" s="78">
        <v>350269</v>
      </c>
      <c r="I13" s="35"/>
    </row>
    <row r="14" spans="2:11" ht="15">
      <c r="B14" s="32"/>
      <c r="C14" s="26"/>
      <c r="D14" s="35"/>
      <c r="E14" s="40"/>
      <c r="F14" s="58">
        <v>2826</v>
      </c>
      <c r="G14" s="77" t="s">
        <v>40</v>
      </c>
      <c r="H14" s="79">
        <v>22059</v>
      </c>
      <c r="I14" s="35">
        <f>SUM(H12:H14)</f>
        <v>373338</v>
      </c>
      <c r="J14" s="21"/>
    </row>
    <row r="15" spans="2:11" ht="15">
      <c r="B15" s="32">
        <v>93501</v>
      </c>
      <c r="C15" s="28" t="s">
        <v>13</v>
      </c>
      <c r="D15" s="35">
        <f>+B15</f>
        <v>93501</v>
      </c>
      <c r="E15" s="40"/>
      <c r="F15" s="35"/>
      <c r="G15" s="26"/>
      <c r="H15" s="35"/>
      <c r="I15" s="35"/>
    </row>
    <row r="16" spans="2:11" ht="15">
      <c r="B16" s="32"/>
      <c r="C16" s="26" t="s">
        <v>94</v>
      </c>
      <c r="D16" s="37">
        <v>5940</v>
      </c>
      <c r="E16" s="40">
        <f>+D15+D16</f>
        <v>99441</v>
      </c>
      <c r="F16" s="35"/>
      <c r="G16" s="28" t="s">
        <v>41</v>
      </c>
      <c r="H16" s="35"/>
      <c r="I16" s="35"/>
    </row>
    <row r="17" spans="1:12" ht="15">
      <c r="B17" s="32"/>
      <c r="C17" s="26"/>
      <c r="D17" s="35"/>
      <c r="E17" s="40"/>
      <c r="F17" s="58">
        <v>278.02</v>
      </c>
      <c r="G17" s="26" t="s">
        <v>42</v>
      </c>
      <c r="H17" s="35"/>
      <c r="I17" s="35">
        <v>296.74</v>
      </c>
      <c r="K17" s="54"/>
    </row>
    <row r="18" spans="1:12" ht="15">
      <c r="B18" s="32">
        <v>43560</v>
      </c>
      <c r="C18" s="28" t="s">
        <v>71</v>
      </c>
      <c r="D18" s="35">
        <f>+B18</f>
        <v>43560</v>
      </c>
      <c r="E18" s="40"/>
      <c r="F18" s="58"/>
      <c r="G18" s="26"/>
      <c r="H18" s="35"/>
      <c r="I18" s="35"/>
    </row>
    <row r="19" spans="1:12" ht="15">
      <c r="B19" s="32"/>
      <c r="C19" s="26" t="s">
        <v>94</v>
      </c>
      <c r="D19" s="37">
        <v>3960</v>
      </c>
      <c r="E19" s="40">
        <f>+D18+D19</f>
        <v>47520</v>
      </c>
      <c r="F19" s="35"/>
      <c r="G19" s="28" t="s">
        <v>43</v>
      </c>
      <c r="H19" s="35"/>
      <c r="I19" s="35"/>
    </row>
    <row r="20" spans="1:12" ht="15">
      <c r="B20" s="32"/>
      <c r="C20" s="26"/>
      <c r="D20" s="35"/>
      <c r="E20" s="40"/>
      <c r="F20" s="35">
        <v>5552</v>
      </c>
      <c r="G20" s="26" t="s">
        <v>44</v>
      </c>
      <c r="H20" s="35">
        <f>+F20</f>
        <v>5552</v>
      </c>
      <c r="I20" s="35"/>
    </row>
    <row r="21" spans="1:12" ht="15">
      <c r="B21" s="32"/>
      <c r="C21" s="28" t="s">
        <v>31</v>
      </c>
      <c r="D21" s="35"/>
      <c r="E21" s="40"/>
      <c r="F21" s="35"/>
      <c r="G21" s="26" t="s">
        <v>45</v>
      </c>
      <c r="H21" s="37">
        <v>555</v>
      </c>
      <c r="I21" s="35">
        <f>+H20-H21</f>
        <v>4997</v>
      </c>
      <c r="K21" s="54"/>
    </row>
    <row r="22" spans="1:12" ht="15">
      <c r="B22" s="32">
        <v>3300</v>
      </c>
      <c r="C22" s="26" t="s">
        <v>7</v>
      </c>
      <c r="D22" s="35">
        <v>3300</v>
      </c>
      <c r="E22" s="40"/>
      <c r="F22" s="35"/>
      <c r="G22" s="26"/>
      <c r="H22" s="35"/>
      <c r="I22" s="35"/>
    </row>
    <row r="23" spans="1:12" ht="15">
      <c r="B23" s="32">
        <v>4000</v>
      </c>
      <c r="C23" s="26" t="s">
        <v>6</v>
      </c>
      <c r="D23" s="35">
        <v>4000</v>
      </c>
      <c r="E23" s="40"/>
      <c r="F23" s="32">
        <v>4010</v>
      </c>
      <c r="G23" s="28" t="s">
        <v>74</v>
      </c>
      <c r="H23" s="35">
        <f>+F23</f>
        <v>4010</v>
      </c>
      <c r="I23" s="35"/>
    </row>
    <row r="24" spans="1:12" ht="15">
      <c r="B24" s="80">
        <v>800</v>
      </c>
      <c r="C24" s="77" t="s">
        <v>4</v>
      </c>
      <c r="D24" s="78">
        <v>1170</v>
      </c>
      <c r="E24" s="40"/>
      <c r="F24" s="35"/>
      <c r="G24" s="26" t="s">
        <v>45</v>
      </c>
      <c r="H24" s="37">
        <v>401</v>
      </c>
      <c r="I24" s="35">
        <f>+H23-H24</f>
        <v>3609</v>
      </c>
      <c r="K24" s="54"/>
    </row>
    <row r="25" spans="1:12" ht="15">
      <c r="B25" s="32">
        <v>825</v>
      </c>
      <c r="C25" s="26" t="s">
        <v>71</v>
      </c>
      <c r="D25" s="37">
        <v>825</v>
      </c>
      <c r="E25" s="40">
        <f>SUM(D22:D25)</f>
        <v>9295</v>
      </c>
      <c r="F25" s="18"/>
      <c r="G25" s="26"/>
      <c r="H25" s="35"/>
      <c r="I25" s="35"/>
    </row>
    <row r="26" spans="1:12" ht="15">
      <c r="B26" s="32"/>
      <c r="C26" s="22"/>
      <c r="D26" s="35"/>
      <c r="E26" s="40"/>
      <c r="F26" s="35">
        <v>16400</v>
      </c>
      <c r="G26" s="28" t="s">
        <v>46</v>
      </c>
      <c r="H26" s="35"/>
      <c r="I26" s="35">
        <v>18800</v>
      </c>
    </row>
    <row r="27" spans="1:12" ht="15">
      <c r="B27" s="32"/>
      <c r="C27" s="28" t="s">
        <v>32</v>
      </c>
      <c r="D27" s="35"/>
      <c r="E27" s="40"/>
      <c r="F27" s="18"/>
      <c r="G27" s="26"/>
      <c r="H27" s="35"/>
      <c r="I27" s="35"/>
    </row>
    <row r="28" spans="1:12" ht="15">
      <c r="B28" s="32">
        <v>92260.02</v>
      </c>
      <c r="C28" s="26" t="s">
        <v>33</v>
      </c>
      <c r="D28" s="35">
        <f>+B28</f>
        <v>92260.02</v>
      </c>
      <c r="E28" s="40"/>
      <c r="F28" s="18"/>
      <c r="G28" s="26"/>
      <c r="H28" s="35"/>
      <c r="I28" s="35"/>
    </row>
    <row r="29" spans="1:12" ht="15">
      <c r="B29" s="32"/>
      <c r="C29" s="14" t="s">
        <v>98</v>
      </c>
      <c r="D29" s="37">
        <f>+'I &amp; E AC'!I22</f>
        <v>25987.279999999999</v>
      </c>
      <c r="E29" s="40">
        <f>+D28-D29</f>
        <v>66272.740000000005</v>
      </c>
      <c r="F29" s="18"/>
      <c r="G29" s="26"/>
      <c r="H29" s="35"/>
      <c r="I29" s="35"/>
      <c r="L29" s="42"/>
    </row>
    <row r="30" spans="1:12">
      <c r="B30" s="32"/>
      <c r="C30" s="17"/>
      <c r="D30" s="35"/>
      <c r="E30" s="40"/>
      <c r="F30" s="18"/>
      <c r="G30" s="17"/>
      <c r="H30" s="19"/>
      <c r="I30" s="20"/>
    </row>
    <row r="31" spans="1:12" ht="15" thickBot="1">
      <c r="A31" s="14">
        <f>+B31-F31</f>
        <v>0</v>
      </c>
      <c r="B31" s="48">
        <f>SUM(B7:B30)</f>
        <v>474408.02</v>
      </c>
      <c r="C31" s="41"/>
      <c r="D31" s="52"/>
      <c r="E31" s="51">
        <f>SUM(E7:E30)</f>
        <v>458690.74</v>
      </c>
      <c r="F31" s="52">
        <f>SUM(F7:F30)</f>
        <v>474408.02</v>
      </c>
      <c r="G31" s="53"/>
      <c r="H31" s="52"/>
      <c r="I31" s="48">
        <f>SUM(I7:I30)</f>
        <v>458690.74</v>
      </c>
      <c r="J31" s="23">
        <f>+E31-I31</f>
        <v>0</v>
      </c>
    </row>
    <row r="32" spans="1:12" ht="18" customHeight="1">
      <c r="B32" s="26" t="s">
        <v>22</v>
      </c>
      <c r="C32" s="1"/>
      <c r="D32" s="1"/>
      <c r="E32" s="1"/>
      <c r="F32" s="1"/>
      <c r="G32" s="1"/>
      <c r="H32" s="1"/>
    </row>
    <row r="33" spans="2:9" ht="18" customHeight="1">
      <c r="B33" s="1"/>
      <c r="C33" s="2"/>
      <c r="D33" s="1"/>
      <c r="E33" s="1"/>
      <c r="F33" s="3" t="s">
        <v>72</v>
      </c>
      <c r="G33" s="1"/>
      <c r="H33" s="1"/>
      <c r="I33" s="23"/>
    </row>
    <row r="34" spans="2:9" ht="18" customHeight="1">
      <c r="B34" s="26" t="s">
        <v>23</v>
      </c>
      <c r="C34" s="2"/>
      <c r="D34" s="1"/>
      <c r="E34" s="1"/>
      <c r="F34" s="1"/>
      <c r="G34" s="1"/>
      <c r="H34" s="1"/>
      <c r="I34" s="42"/>
    </row>
    <row r="35" spans="2:9" ht="18" customHeight="1">
      <c r="B35" s="29"/>
      <c r="C35" s="2"/>
      <c r="D35" s="1"/>
      <c r="E35" s="1"/>
      <c r="F35" s="1"/>
      <c r="G35" s="1"/>
      <c r="H35" s="1"/>
    </row>
    <row r="36" spans="2:9" ht="18" customHeight="1">
      <c r="B36" s="26" t="s">
        <v>24</v>
      </c>
      <c r="C36" s="2"/>
      <c r="D36" s="1"/>
      <c r="E36" s="1"/>
      <c r="F36" s="3" t="s">
        <v>73</v>
      </c>
      <c r="G36" s="1"/>
      <c r="H36" s="1"/>
    </row>
  </sheetData>
  <sortState xmlns:xlrd2="http://schemas.microsoft.com/office/spreadsheetml/2017/richdata2" ref="F11:J13">
    <sortCondition ref="J11:J13"/>
  </sortState>
  <mergeCells count="3">
    <mergeCell ref="B2:I2"/>
    <mergeCell ref="B3:I3"/>
    <mergeCell ref="B4:I4"/>
  </mergeCells>
  <pageMargins left="0.6" right="0.31496062992125984" top="0.31496062992125984" bottom="0.31496062992125984" header="0.31496062992125984" footer="0.31496062992125984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8"/>
  <sheetViews>
    <sheetView workbookViewId="0"/>
  </sheetViews>
  <sheetFormatPr defaultColWidth="9" defaultRowHeight="13.2"/>
  <cols>
    <col min="1" max="1" width="21.44140625" style="4" bestFit="1" customWidth="1"/>
    <col min="2" max="2" width="9" style="4"/>
    <col min="3" max="4" width="10.6640625" style="4" customWidth="1"/>
    <col min="5" max="5" width="7.5546875" style="4" customWidth="1"/>
    <col min="6" max="15" width="10.6640625" style="4" customWidth="1"/>
    <col min="16" max="16" width="9.5546875" style="4" bestFit="1" customWidth="1"/>
    <col min="17" max="16384" width="9" style="4"/>
  </cols>
  <sheetData>
    <row r="1" spans="2:18" ht="20.100000000000001" customHeight="1">
      <c r="B1" s="99" t="s">
        <v>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2:18" ht="20.100000000000001" customHeight="1">
      <c r="B2" s="99" t="s">
        <v>89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3" spans="2:18" ht="15.9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8" ht="20.100000000000001" customHeight="1">
      <c r="B4" s="101" t="s">
        <v>68</v>
      </c>
      <c r="C4" s="101"/>
      <c r="D4" s="101"/>
      <c r="E4" s="101"/>
      <c r="F4" s="101"/>
      <c r="G4" s="100" t="s">
        <v>66</v>
      </c>
      <c r="H4" s="100"/>
      <c r="I4" s="100"/>
      <c r="J4" s="100"/>
      <c r="K4" s="100" t="s">
        <v>67</v>
      </c>
      <c r="L4" s="100"/>
      <c r="M4" s="100"/>
      <c r="N4" s="100"/>
      <c r="O4" s="100"/>
    </row>
    <row r="5" spans="2:18" ht="20.100000000000001" customHeight="1">
      <c r="B5" s="6" t="s">
        <v>47</v>
      </c>
      <c r="C5" s="6" t="s">
        <v>48</v>
      </c>
      <c r="D5" s="6" t="s">
        <v>49</v>
      </c>
      <c r="E5" s="6" t="s">
        <v>50</v>
      </c>
      <c r="F5" s="7" t="s">
        <v>51</v>
      </c>
      <c r="G5" s="6" t="s">
        <v>52</v>
      </c>
      <c r="H5" s="6" t="s">
        <v>53</v>
      </c>
      <c r="I5" s="6" t="s">
        <v>54</v>
      </c>
      <c r="J5" s="7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 t="s">
        <v>60</v>
      </c>
    </row>
    <row r="6" spans="2:18" ht="20.100000000000001" customHeight="1">
      <c r="B6" s="8" t="s">
        <v>61</v>
      </c>
      <c r="C6" s="5" t="s">
        <v>75</v>
      </c>
      <c r="D6" s="5" t="s">
        <v>91</v>
      </c>
      <c r="E6" s="5">
        <v>7.7</v>
      </c>
      <c r="F6" s="9">
        <v>89281</v>
      </c>
      <c r="G6" s="10">
        <v>82725</v>
      </c>
      <c r="H6" s="10">
        <v>82725</v>
      </c>
      <c r="I6" s="10">
        <v>0</v>
      </c>
      <c r="J6" s="9">
        <f t="shared" ref="J6" si="0">+G6-H6+I6</f>
        <v>0</v>
      </c>
      <c r="K6" s="10">
        <v>262</v>
      </c>
      <c r="L6" s="10">
        <v>262</v>
      </c>
      <c r="M6" s="10">
        <v>0</v>
      </c>
      <c r="N6" s="10">
        <f t="shared" ref="N6" si="1">+K6-L6+M6</f>
        <v>0</v>
      </c>
      <c r="O6" s="10">
        <v>6294</v>
      </c>
      <c r="P6" s="10"/>
      <c r="Q6" s="10"/>
      <c r="R6" s="10"/>
    </row>
    <row r="7" spans="2:18" ht="20.100000000000001" customHeight="1">
      <c r="B7" s="8" t="s">
        <v>61</v>
      </c>
      <c r="C7" s="5" t="s">
        <v>91</v>
      </c>
      <c r="D7" s="5" t="s">
        <v>99</v>
      </c>
      <c r="E7" s="5">
        <v>6.65</v>
      </c>
      <c r="F7" s="9">
        <v>95368</v>
      </c>
      <c r="G7" s="10">
        <v>0</v>
      </c>
      <c r="H7" s="10">
        <v>0</v>
      </c>
      <c r="I7" s="10">
        <v>89281</v>
      </c>
      <c r="J7" s="9">
        <f t="shared" ref="J7" si="2">+G7-H7+I7</f>
        <v>89281</v>
      </c>
      <c r="K7" s="10">
        <v>0</v>
      </c>
      <c r="L7" s="10">
        <v>0</v>
      </c>
      <c r="M7" s="10">
        <v>247</v>
      </c>
      <c r="N7" s="10">
        <f t="shared" ref="N7" si="3">+K7-L7+M7</f>
        <v>247</v>
      </c>
      <c r="O7" s="10">
        <v>0</v>
      </c>
      <c r="P7" s="10"/>
      <c r="Q7" s="10"/>
      <c r="R7" s="10"/>
    </row>
    <row r="8" spans="2:18" ht="20.100000000000001" customHeight="1">
      <c r="B8" s="8" t="s">
        <v>62</v>
      </c>
      <c r="C8" s="5" t="s">
        <v>75</v>
      </c>
      <c r="D8" s="5" t="s">
        <v>91</v>
      </c>
      <c r="E8" s="5">
        <v>7.7</v>
      </c>
      <c r="F8" s="9">
        <v>10988</v>
      </c>
      <c r="G8" s="10">
        <v>10181</v>
      </c>
      <c r="H8" s="10">
        <v>10181</v>
      </c>
      <c r="I8" s="10">
        <v>0</v>
      </c>
      <c r="J8" s="9">
        <f t="shared" ref="J8:J11" si="4">+G8-H8+I8</f>
        <v>0</v>
      </c>
      <c r="K8" s="10">
        <v>32</v>
      </c>
      <c r="L8" s="10">
        <v>32</v>
      </c>
      <c r="M8" s="10">
        <v>0</v>
      </c>
      <c r="N8" s="10">
        <f t="shared" ref="N8" si="5">+K8-L8+M8</f>
        <v>0</v>
      </c>
      <c r="O8" s="10">
        <v>775</v>
      </c>
      <c r="P8" s="10"/>
      <c r="Q8" s="10"/>
      <c r="R8" s="10"/>
    </row>
    <row r="9" spans="2:18" ht="20.100000000000001" customHeight="1">
      <c r="B9" s="8" t="s">
        <v>62</v>
      </c>
      <c r="C9" s="5" t="s">
        <v>91</v>
      </c>
      <c r="D9" s="5" t="s">
        <v>99</v>
      </c>
      <c r="E9" s="5">
        <v>6.65</v>
      </c>
      <c r="F9" s="9">
        <v>11737</v>
      </c>
      <c r="G9" s="10">
        <v>0</v>
      </c>
      <c r="H9" s="10">
        <v>0</v>
      </c>
      <c r="I9" s="10">
        <v>10988</v>
      </c>
      <c r="J9" s="9">
        <f t="shared" ref="J9" si="6">+G9-H9+I9</f>
        <v>10988</v>
      </c>
      <c r="K9" s="10">
        <v>0</v>
      </c>
      <c r="L9" s="10">
        <v>0</v>
      </c>
      <c r="M9" s="10">
        <v>30</v>
      </c>
      <c r="N9" s="10">
        <f t="shared" ref="N9" si="7">+K9-L9+M9</f>
        <v>30</v>
      </c>
      <c r="O9" s="10">
        <v>0</v>
      </c>
      <c r="P9" s="10"/>
      <c r="Q9" s="10"/>
      <c r="R9" s="10"/>
    </row>
    <row r="10" spans="2:18" ht="20.100000000000001" customHeight="1">
      <c r="B10" s="8" t="s">
        <v>81</v>
      </c>
      <c r="C10" s="5" t="s">
        <v>79</v>
      </c>
      <c r="D10" s="5" t="s">
        <v>80</v>
      </c>
      <c r="E10" s="5">
        <v>7.7</v>
      </c>
      <c r="F10" s="9">
        <v>165004</v>
      </c>
      <c r="G10" s="10">
        <v>150000</v>
      </c>
      <c r="H10" s="10">
        <v>0</v>
      </c>
      <c r="I10" s="10">
        <v>0</v>
      </c>
      <c r="J10" s="9">
        <f t="shared" si="4"/>
        <v>150000</v>
      </c>
      <c r="K10" s="10">
        <v>1519</v>
      </c>
      <c r="L10" s="10">
        <v>0</v>
      </c>
      <c r="M10" s="10">
        <v>11550</v>
      </c>
      <c r="N10" s="10">
        <f t="shared" ref="N10:N11" si="8">+K10-L10+M10</f>
        <v>13069</v>
      </c>
      <c r="O10" s="10">
        <v>0</v>
      </c>
      <c r="P10" s="10"/>
    </row>
    <row r="11" spans="2:18" ht="20.100000000000001" customHeight="1">
      <c r="B11" s="8" t="s">
        <v>82</v>
      </c>
      <c r="C11" s="5" t="s">
        <v>79</v>
      </c>
      <c r="D11" s="5" t="s">
        <v>80</v>
      </c>
      <c r="E11" s="5">
        <v>7.7</v>
      </c>
      <c r="F11" s="9">
        <v>110003</v>
      </c>
      <c r="G11" s="10">
        <v>100000</v>
      </c>
      <c r="H11" s="10">
        <v>0</v>
      </c>
      <c r="I11" s="10">
        <v>0</v>
      </c>
      <c r="J11" s="9">
        <f t="shared" si="4"/>
        <v>100000</v>
      </c>
      <c r="K11" s="10">
        <v>1013</v>
      </c>
      <c r="L11" s="10">
        <v>0</v>
      </c>
      <c r="M11" s="10">
        <v>7700</v>
      </c>
      <c r="N11" s="10">
        <f t="shared" si="8"/>
        <v>8713</v>
      </c>
      <c r="O11" s="10">
        <v>0</v>
      </c>
      <c r="P11" s="10"/>
    </row>
    <row r="12" spans="2:18" ht="20.100000000000001" customHeight="1">
      <c r="F12" s="9"/>
      <c r="G12" s="10"/>
      <c r="H12" s="10"/>
      <c r="I12" s="10"/>
      <c r="J12" s="9"/>
      <c r="K12" s="10"/>
      <c r="L12" s="10"/>
      <c r="M12" s="10"/>
      <c r="N12" s="10"/>
      <c r="O12" s="10"/>
    </row>
    <row r="13" spans="2:18" ht="20.100000000000001" customHeight="1" thickBot="1">
      <c r="B13" s="11" t="s">
        <v>63</v>
      </c>
      <c r="C13" s="11"/>
      <c r="D13" s="11"/>
      <c r="E13" s="11"/>
      <c r="F13" s="12"/>
      <c r="G13" s="13">
        <f t="shared" ref="G13:O13" si="9">SUM(G6:G12)</f>
        <v>342906</v>
      </c>
      <c r="H13" s="13">
        <f t="shared" si="9"/>
        <v>92906</v>
      </c>
      <c r="I13" s="13">
        <f t="shared" si="9"/>
        <v>100269</v>
      </c>
      <c r="J13" s="12">
        <f t="shared" si="9"/>
        <v>350269</v>
      </c>
      <c r="K13" s="13">
        <f t="shared" si="9"/>
        <v>2826</v>
      </c>
      <c r="L13" s="13">
        <f t="shared" si="9"/>
        <v>294</v>
      </c>
      <c r="M13" s="13">
        <f t="shared" si="9"/>
        <v>19527</v>
      </c>
      <c r="N13" s="13">
        <f t="shared" si="9"/>
        <v>22059</v>
      </c>
      <c r="O13" s="13">
        <f t="shared" si="9"/>
        <v>7069</v>
      </c>
      <c r="P13" s="10"/>
    </row>
    <row r="14" spans="2:18" ht="13.8" thickTop="1"/>
    <row r="15" spans="2:18" ht="18" customHeight="1">
      <c r="N15" s="4" t="s">
        <v>64</v>
      </c>
      <c r="O15" s="10">
        <f>+O13</f>
        <v>7069</v>
      </c>
    </row>
    <row r="16" spans="2:18" ht="18" customHeight="1">
      <c r="N16" s="4" t="s">
        <v>65</v>
      </c>
      <c r="O16" s="10">
        <f>+M13</f>
        <v>19527</v>
      </c>
    </row>
    <row r="17" spans="15:15" ht="18" customHeight="1" thickBot="1">
      <c r="O17" s="13">
        <f>+O15+O16</f>
        <v>26596</v>
      </c>
    </row>
    <row r="18" spans="15:15" ht="18" customHeight="1" thickTop="1"/>
  </sheetData>
  <mergeCells count="5">
    <mergeCell ref="B1:O1"/>
    <mergeCell ref="G4:J4"/>
    <mergeCell ref="B2:O2"/>
    <mergeCell ref="B4:F4"/>
    <mergeCell ref="K4:O4"/>
  </mergeCells>
  <pageMargins left="0.27559055118110237" right="0.15748031496062992" top="0.31496062992125984" bottom="0.74803149606299213" header="0.31496062992125984" footer="0.31496062992125984"/>
  <pageSetup paperSize="9" scale="9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B2" sqref="B2"/>
    </sheetView>
  </sheetViews>
  <sheetFormatPr defaultColWidth="9.109375" defaultRowHeight="13.2"/>
  <cols>
    <col min="1" max="1" width="9.109375" style="55"/>
    <col min="2" max="4" width="13.6640625" style="55" customWidth="1"/>
    <col min="5" max="5" width="12.6640625" style="55" customWidth="1"/>
    <col min="6" max="16384" width="9.109375" style="55"/>
  </cols>
  <sheetData>
    <row r="1" spans="1:4" ht="18" customHeight="1">
      <c r="A1" s="57" t="s">
        <v>88</v>
      </c>
    </row>
    <row r="2" spans="1:4" ht="18" customHeight="1">
      <c r="A2" s="56">
        <v>1</v>
      </c>
      <c r="B2" s="55" t="s">
        <v>90</v>
      </c>
    </row>
    <row r="3" spans="1:4" ht="18" customHeight="1">
      <c r="A3" s="56">
        <v>2</v>
      </c>
      <c r="B3" s="55" t="s">
        <v>78</v>
      </c>
      <c r="C3" s="76"/>
      <c r="D3" s="76"/>
    </row>
    <row r="4" spans="1:4" ht="18" customHeight="1">
      <c r="A4" s="56">
        <v>3</v>
      </c>
      <c r="B4" s="55" t="s">
        <v>102</v>
      </c>
    </row>
    <row r="5" spans="1:4" ht="15" customHeight="1">
      <c r="A5" s="56">
        <v>4</v>
      </c>
      <c r="B5" s="55" t="s">
        <v>100</v>
      </c>
    </row>
    <row r="6" spans="1:4">
      <c r="A6" s="56">
        <v>5</v>
      </c>
      <c r="B6" s="55" t="s">
        <v>101</v>
      </c>
    </row>
  </sheetData>
  <pageMargins left="0.37" right="0.24" top="0.33" bottom="0.74803149606299213" header="0.31496062992125984" footer="0.31496062992125984"/>
  <pageSetup paperSize="9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 &amp; E AC</vt:lpstr>
      <vt:lpstr>BALANCE SHEET</vt:lpstr>
      <vt:lpstr>FD DETAILS</vt:lpstr>
      <vt:lpstr>QUERY AS ON 31.03.24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bharatboridkar@gmail.com</cp:lastModifiedBy>
  <cp:lastPrinted>2026-08-11T10:12:18Z</cp:lastPrinted>
  <dcterms:created xsi:type="dcterms:W3CDTF">2021-11-19T11:51:21Z</dcterms:created>
  <dcterms:modified xsi:type="dcterms:W3CDTF">2026-08-25T18:26:11Z</dcterms:modified>
</cp:coreProperties>
</file>