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HARAT\2025-2026\Bharat\Dahisar-Sadguru\"/>
    </mc:Choice>
  </mc:AlternateContent>
  <bookViews>
    <workbookView xWindow="-120" yWindow="-120" windowWidth="20730" windowHeight="11160"/>
  </bookViews>
  <sheets>
    <sheet name="Final Accounts" sheetId="1" r:id="rId1"/>
    <sheet name="FD Register" sheetId="4" r:id="rId2"/>
  </sheets>
  <calcPr calcId="162913"/>
</workbook>
</file>

<file path=xl/calcChain.xml><?xml version="1.0" encoding="utf-8"?>
<calcChain xmlns="http://schemas.openxmlformats.org/spreadsheetml/2006/main">
  <c r="D74" i="1" l="1"/>
  <c r="F11" i="4" l="1"/>
  <c r="F10" i="4"/>
  <c r="F9" i="4"/>
  <c r="H12" i="4"/>
  <c r="C12" i="4" l="1"/>
  <c r="G15" i="4" l="1"/>
  <c r="A30" i="1" l="1"/>
  <c r="D64" i="1" l="1"/>
  <c r="D81" i="1" l="1"/>
  <c r="D60" i="1"/>
  <c r="D57" i="1"/>
  <c r="D30" i="1"/>
  <c r="G16" i="4"/>
  <c r="F16" i="4" l="1"/>
  <c r="D82" i="1"/>
  <c r="F82" i="1" l="1"/>
  <c r="A82" i="1"/>
  <c r="I72" i="1"/>
  <c r="I69" i="1"/>
  <c r="I66" i="1"/>
  <c r="I63" i="1"/>
  <c r="I57" i="1"/>
  <c r="I52" i="1"/>
  <c r="I82" i="1" l="1"/>
  <c r="F16" i="1"/>
  <c r="I16" i="1"/>
  <c r="I28" i="1" s="1"/>
  <c r="I30" i="1" s="1"/>
  <c r="D28" i="1" s="1"/>
  <c r="F28" i="1" l="1"/>
  <c r="F30" i="1" s="1"/>
  <c r="A28" i="1" s="1"/>
</calcChain>
</file>

<file path=xl/sharedStrings.xml><?xml version="1.0" encoding="utf-8"?>
<sst xmlns="http://schemas.openxmlformats.org/spreadsheetml/2006/main" count="142" uniqueCount="106">
  <si>
    <t>EXPENDITURE</t>
  </si>
  <si>
    <t>INCOME</t>
  </si>
  <si>
    <t>Audit Fees</t>
  </si>
  <si>
    <t>Accounting Charges</t>
  </si>
  <si>
    <t>Water Charges</t>
  </si>
  <si>
    <t>Municipal Taxes</t>
  </si>
  <si>
    <t>Parking Charges</t>
  </si>
  <si>
    <t>MUMBAI,</t>
  </si>
  <si>
    <t>Chairman</t>
  </si>
  <si>
    <t>Secretary</t>
  </si>
  <si>
    <t>Treasurer</t>
  </si>
  <si>
    <t>LIABILITIES</t>
  </si>
  <si>
    <t>ASSETS</t>
  </si>
  <si>
    <t>Share Capital</t>
  </si>
  <si>
    <t>Authorised</t>
  </si>
  <si>
    <t>Issued,Subscribed &amp; Paid Up</t>
  </si>
  <si>
    <t>Reserve &amp; Surplus</t>
  </si>
  <si>
    <t>Reserve Fund</t>
  </si>
  <si>
    <t>Sinking Fund</t>
  </si>
  <si>
    <t>Income &amp; Expenditure Account</t>
  </si>
  <si>
    <t>Current Liabilities &amp; Provisions</t>
  </si>
  <si>
    <t>Fixed Assets (At Cost)</t>
  </si>
  <si>
    <t>Land &amp; Building</t>
  </si>
  <si>
    <t>Furniture &amp; Fixtures</t>
  </si>
  <si>
    <t>Investments</t>
  </si>
  <si>
    <t>Current Assets, Loans &amp; Advances</t>
  </si>
  <si>
    <t>Dues from Members (As per Schedule)</t>
  </si>
  <si>
    <t>Cash &amp; Bank Balances</t>
  </si>
  <si>
    <t>Previous Year</t>
  </si>
  <si>
    <t>Member's Contribution Towards Cost of Flats</t>
  </si>
  <si>
    <t>Balance per last Balance Sheet</t>
  </si>
  <si>
    <t>Add: Contribution during the year</t>
  </si>
  <si>
    <t>Cash on hand</t>
  </si>
  <si>
    <t>2000 Shares of Rs.50/- each</t>
  </si>
  <si>
    <t xml:space="preserve">Outstanding Expenses </t>
  </si>
  <si>
    <t>Water Pump</t>
  </si>
  <si>
    <t>To Electricity Charges</t>
  </si>
  <si>
    <t>To Water Charges</t>
  </si>
  <si>
    <t>To Property Taxes</t>
  </si>
  <si>
    <t>To Repairs &amp; Maintenance</t>
  </si>
  <si>
    <t>To Conveyance</t>
  </si>
  <si>
    <t>To Audit Fees</t>
  </si>
  <si>
    <t>To Accounting Charges</t>
  </si>
  <si>
    <t>To Bank Charges</t>
  </si>
  <si>
    <t>To Subscription</t>
  </si>
  <si>
    <t>To Insurance</t>
  </si>
  <si>
    <t>Accrued Interest</t>
  </si>
  <si>
    <t>By Excess of Expenditure over Income</t>
  </si>
  <si>
    <t>`</t>
  </si>
  <si>
    <t>TOTAL</t>
  </si>
  <si>
    <t>DAHISAR SADGURU CO-OP. HOUSING SOCIETY LTD.</t>
  </si>
  <si>
    <t>(Regd. No. BOM/WR/HSG/TC/3684/88-89/88)</t>
  </si>
  <si>
    <t>Maintenance</t>
  </si>
  <si>
    <t>Non-Occupancy Charges</t>
  </si>
  <si>
    <t>Others</t>
  </si>
  <si>
    <t>Interest on Dues</t>
  </si>
  <si>
    <t>By Interest on Saving Account</t>
  </si>
  <si>
    <t xml:space="preserve">By Interest on FDR </t>
  </si>
  <si>
    <t>To Salary &amp; Bonus</t>
  </si>
  <si>
    <t>To Sundry Expenses</t>
  </si>
  <si>
    <r>
      <t xml:space="preserve">By </t>
    </r>
    <r>
      <rPr>
        <u/>
        <sz val="10"/>
        <rFont val="Arial"/>
        <family val="2"/>
      </rPr>
      <t>Member's Contribution Towards</t>
    </r>
  </si>
  <si>
    <t>80 Shares of Rs.50/- each fully paid up</t>
  </si>
  <si>
    <t>Repair Fund</t>
  </si>
  <si>
    <t>One Share of MDHF</t>
  </si>
  <si>
    <t xml:space="preserve">The Maharashtra State Co-op. Bank </t>
  </si>
  <si>
    <t>Mumbai Bank</t>
  </si>
  <si>
    <t xml:space="preserve">DATED: </t>
  </si>
  <si>
    <t>Saraswat Bank</t>
  </si>
  <si>
    <t>For DAHISAR SADGURU CO-OP. HOUSING SOCIETY LTD.</t>
  </si>
  <si>
    <t>Remark</t>
  </si>
  <si>
    <t>Interest of the Year</t>
  </si>
  <si>
    <t>Accured Interest</t>
  </si>
  <si>
    <t>Maturity Date</t>
  </si>
  <si>
    <t>Amount</t>
  </si>
  <si>
    <t>Date</t>
  </si>
  <si>
    <t>Account No</t>
  </si>
  <si>
    <t>As per our Report of Even Date</t>
  </si>
  <si>
    <t>To Printing &amp; Stationery</t>
  </si>
  <si>
    <t>Add: Addition during the Year</t>
  </si>
  <si>
    <t>Water Meter</t>
  </si>
  <si>
    <t xml:space="preserve">To Depreciation </t>
  </si>
  <si>
    <t>FD with Saraswat Bank</t>
  </si>
  <si>
    <t>Deposit with Adani Electricity</t>
  </si>
  <si>
    <t>By Miscllaneous Receipt</t>
  </si>
  <si>
    <t>To Postage &amp; Courier Charges</t>
  </si>
  <si>
    <t>By Excess of Income over Expenditure c/d</t>
  </si>
  <si>
    <t>Add: 25% of Surplus of the Year</t>
  </si>
  <si>
    <t>To Professional Fees</t>
  </si>
  <si>
    <t>FD with Mumbai Bank</t>
  </si>
  <si>
    <t>CCTV</t>
  </si>
  <si>
    <t>Less: Expenses during the Year</t>
  </si>
  <si>
    <t>Add; Purchsed during the Year</t>
  </si>
  <si>
    <t>Less: Deficit during the year</t>
  </si>
  <si>
    <t>Mat Amount</t>
  </si>
  <si>
    <t>TD0000265550/0002</t>
  </si>
  <si>
    <t>TD0000265551/0002</t>
  </si>
  <si>
    <t>TD0000265552/0002</t>
  </si>
  <si>
    <t>To Meeting Expenses</t>
  </si>
  <si>
    <t>INCOME &amp; EXPENDITURE ACCOUNT FOR THE YEAR ENDED ON 31'st MARCH, 2026.</t>
  </si>
  <si>
    <t>BALANCE SHEET AS AT 31'st MARCH, 2026.</t>
  </si>
  <si>
    <t>Schedule of Fixed Deposit &amp; Interest as on 31/03/2026</t>
  </si>
  <si>
    <t>To Redevelopment Expenses</t>
  </si>
  <si>
    <t>To Amount W/off</t>
  </si>
  <si>
    <t>Advance from Members</t>
  </si>
  <si>
    <t>Less: W/off</t>
  </si>
  <si>
    <t>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</si>
</sst>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8"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Rupee Foradian"/>
      <family val="2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2" fontId="0" fillId="0" borderId="0"/>
    <xf numFmtId="0" fontId="7" fillId="0" borderId="0"/>
    <xf numFmtId="0" fontId="15" fillId="0" borderId="0">
      <alignment vertical="top"/>
    </xf>
    <xf numFmtId="0" fontId="6" fillId="0" borderId="0"/>
    <xf numFmtId="0" fontId="17" fillId="0" borderId="0">
      <alignment vertical="top"/>
    </xf>
    <xf numFmtId="0" fontId="5" fillId="0" borderId="0"/>
    <xf numFmtId="0" fontId="3" fillId="0" borderId="0"/>
  </cellStyleXfs>
  <cellXfs count="38">
    <xf numFmtId="2" fontId="0" fillId="0" borderId="0" xfId="0"/>
    <xf numFmtId="2" fontId="8" fillId="0" borderId="0" xfId="0" applyFont="1"/>
    <xf numFmtId="2" fontId="9" fillId="0" borderId="0" xfId="0" applyFont="1" applyAlignment="1">
      <alignment horizontal="center"/>
    </xf>
    <xf numFmtId="2" fontId="8" fillId="0" borderId="0" xfId="0" applyFont="1" applyAlignment="1">
      <alignment horizontal="center"/>
    </xf>
    <xf numFmtId="2" fontId="10" fillId="0" borderId="0" xfId="0" applyFont="1" applyAlignment="1">
      <alignment horizontal="center"/>
    </xf>
    <xf numFmtId="2" fontId="8" fillId="0" borderId="1" xfId="0" applyFont="1" applyBorder="1" applyAlignment="1">
      <alignment horizontal="center"/>
    </xf>
    <xf numFmtId="2" fontId="11" fillId="0" borderId="1" xfId="0" applyFont="1" applyBorder="1" applyAlignment="1">
      <alignment horizontal="center"/>
    </xf>
    <xf numFmtId="2" fontId="8" fillId="0" borderId="2" xfId="0" applyFont="1" applyBorder="1" applyAlignment="1">
      <alignment horizontal="center"/>
    </xf>
    <xf numFmtId="164" fontId="8" fillId="0" borderId="2" xfId="0" applyNumberFormat="1" applyFont="1" applyBorder="1"/>
    <xf numFmtId="2" fontId="8" fillId="0" borderId="2" xfId="0" applyFont="1" applyBorder="1"/>
    <xf numFmtId="164" fontId="8" fillId="0" borderId="3" xfId="0" applyNumberFormat="1" applyFont="1" applyBorder="1"/>
    <xf numFmtId="2" fontId="8" fillId="0" borderId="3" xfId="0" applyFont="1" applyBorder="1" applyAlignment="1">
      <alignment horizontal="right"/>
    </xf>
    <xf numFmtId="2" fontId="8" fillId="0" borderId="3" xfId="0" applyFont="1" applyBorder="1"/>
    <xf numFmtId="164" fontId="8" fillId="0" borderId="4" xfId="0" applyNumberFormat="1" applyFont="1" applyBorder="1"/>
    <xf numFmtId="2" fontId="10" fillId="0" borderId="2" xfId="0" applyFont="1" applyBorder="1"/>
    <xf numFmtId="164" fontId="8" fillId="0" borderId="5" xfId="0" applyNumberFormat="1" applyFont="1" applyBorder="1"/>
    <xf numFmtId="0" fontId="7" fillId="0" borderId="0" xfId="1"/>
    <xf numFmtId="14" fontId="7" fillId="0" borderId="0" xfId="1" applyNumberFormat="1"/>
    <xf numFmtId="0" fontId="12" fillId="0" borderId="0" xfId="1" applyFont="1"/>
    <xf numFmtId="0" fontId="12" fillId="0" borderId="7" xfId="1" applyFont="1" applyBorder="1"/>
    <xf numFmtId="0" fontId="13" fillId="0" borderId="0" xfId="1" applyFont="1"/>
    <xf numFmtId="0" fontId="14" fillId="0" borderId="0" xfId="1" applyFont="1"/>
    <xf numFmtId="0" fontId="16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left"/>
    </xf>
    <xf numFmtId="164" fontId="8" fillId="0" borderId="8" xfId="0" applyNumberFormat="1" applyFont="1" applyBorder="1"/>
    <xf numFmtId="2" fontId="8" fillId="0" borderId="2" xfId="0" applyFont="1" applyBorder="1" applyAlignment="1">
      <alignment horizontal="right"/>
    </xf>
    <xf numFmtId="164" fontId="8" fillId="0" borderId="0" xfId="0" applyNumberFormat="1" applyFont="1" applyBorder="1"/>
    <xf numFmtId="2" fontId="8" fillId="0" borderId="0" xfId="0" applyFont="1" applyBorder="1"/>
    <xf numFmtId="164" fontId="8" fillId="0" borderId="9" xfId="0" applyNumberFormat="1" applyFont="1" applyBorder="1"/>
    <xf numFmtId="2" fontId="8" fillId="0" borderId="9" xfId="0" applyFont="1" applyBorder="1"/>
    <xf numFmtId="0" fontId="4" fillId="0" borderId="0" xfId="1" applyFont="1"/>
    <xf numFmtId="165" fontId="7" fillId="0" borderId="0" xfId="1" applyNumberFormat="1"/>
    <xf numFmtId="165" fontId="7" fillId="0" borderId="6" xfId="1" applyNumberFormat="1" applyBorder="1"/>
    <xf numFmtId="1" fontId="7" fillId="0" borderId="0" xfId="1" applyNumberFormat="1"/>
    <xf numFmtId="2" fontId="11" fillId="0" borderId="2" xfId="0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0" fontId="2" fillId="0" borderId="0" xfId="1" applyFont="1"/>
    <xf numFmtId="0" fontId="1" fillId="0" borderId="0" xfId="1" applyFont="1"/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topLeftCell="A25" zoomScale="141" zoomScaleNormal="141" workbookViewId="0">
      <selection activeCell="G33" sqref="G33"/>
    </sheetView>
  </sheetViews>
  <sheetFormatPr defaultColWidth="9" defaultRowHeight="12.75"/>
  <cols>
    <col min="1" max="1" width="12.625" style="1" customWidth="1"/>
    <col min="2" max="2" width="27.625" style="1" customWidth="1"/>
    <col min="3" max="4" width="11.625" style="1" customWidth="1"/>
    <col min="5" max="5" width="0.875" style="1" customWidth="1"/>
    <col min="6" max="6" width="12.625" style="1" customWidth="1"/>
    <col min="7" max="7" width="27.625" style="1" customWidth="1"/>
    <col min="8" max="9" width="11.625" style="1" customWidth="1"/>
    <col min="10" max="16384" width="9" style="1"/>
  </cols>
  <sheetData>
    <row r="1" spans="1:9">
      <c r="E1" s="2" t="s">
        <v>50</v>
      </c>
    </row>
    <row r="2" spans="1:9">
      <c r="E2" s="3" t="s">
        <v>51</v>
      </c>
    </row>
    <row r="3" spans="1:9" ht="12.75" customHeight="1"/>
    <row r="4" spans="1:9">
      <c r="E4" s="4" t="s">
        <v>98</v>
      </c>
    </row>
    <row r="5" spans="1:9" ht="12.75" customHeight="1">
      <c r="E5" s="4"/>
    </row>
    <row r="6" spans="1:9">
      <c r="A6" s="5" t="s">
        <v>28</v>
      </c>
      <c r="B6" s="5" t="s">
        <v>0</v>
      </c>
      <c r="C6" s="6" t="s">
        <v>48</v>
      </c>
      <c r="D6" s="6" t="s">
        <v>48</v>
      </c>
      <c r="E6" s="5"/>
      <c r="F6" s="5" t="s">
        <v>28</v>
      </c>
      <c r="G6" s="5" t="s">
        <v>1</v>
      </c>
      <c r="H6" s="6" t="s">
        <v>48</v>
      </c>
      <c r="I6" s="6" t="s">
        <v>48</v>
      </c>
    </row>
    <row r="7" spans="1:9">
      <c r="A7" s="7"/>
      <c r="B7" s="7"/>
      <c r="C7" s="7"/>
      <c r="D7" s="7"/>
      <c r="E7" s="7"/>
      <c r="F7" s="7"/>
      <c r="G7" s="7"/>
      <c r="H7" s="7"/>
      <c r="I7" s="7"/>
    </row>
    <row r="8" spans="1:9">
      <c r="A8" s="8">
        <v>0</v>
      </c>
      <c r="B8" s="9" t="s">
        <v>38</v>
      </c>
      <c r="C8" s="8"/>
      <c r="D8" s="8">
        <v>0</v>
      </c>
      <c r="E8" s="9"/>
      <c r="F8" s="8"/>
      <c r="G8" s="9" t="s">
        <v>60</v>
      </c>
      <c r="H8" s="9"/>
      <c r="I8" s="9"/>
    </row>
    <row r="9" spans="1:9">
      <c r="A9" s="8">
        <v>40087</v>
      </c>
      <c r="B9" s="9" t="s">
        <v>37</v>
      </c>
      <c r="C9" s="8"/>
      <c r="D9" s="8">
        <v>30241</v>
      </c>
      <c r="E9" s="9"/>
      <c r="F9" s="8">
        <v>0</v>
      </c>
      <c r="G9" s="9" t="s">
        <v>5</v>
      </c>
      <c r="H9" s="8">
        <v>0</v>
      </c>
      <c r="I9" s="8"/>
    </row>
    <row r="10" spans="1:9">
      <c r="A10" s="8">
        <v>20940</v>
      </c>
      <c r="B10" s="9" t="s">
        <v>36</v>
      </c>
      <c r="C10" s="8"/>
      <c r="D10" s="8">
        <v>220</v>
      </c>
      <c r="E10" s="9"/>
      <c r="F10" s="8">
        <v>96000</v>
      </c>
      <c r="G10" s="9" t="s">
        <v>52</v>
      </c>
      <c r="H10" s="8">
        <v>0</v>
      </c>
      <c r="I10" s="8"/>
    </row>
    <row r="11" spans="1:9" ht="12.75" customHeight="1">
      <c r="A11" s="8">
        <v>44900</v>
      </c>
      <c r="B11" s="9" t="s">
        <v>58</v>
      </c>
      <c r="C11" s="8"/>
      <c r="D11" s="8">
        <v>0</v>
      </c>
      <c r="E11" s="9"/>
      <c r="F11" s="8">
        <v>30000</v>
      </c>
      <c r="G11" s="9" t="s">
        <v>4</v>
      </c>
      <c r="H11" s="8">
        <v>0</v>
      </c>
      <c r="I11" s="8"/>
    </row>
    <row r="12" spans="1:9">
      <c r="A12" s="8">
        <v>0</v>
      </c>
      <c r="B12" s="9" t="s">
        <v>43</v>
      </c>
      <c r="C12" s="8"/>
      <c r="D12" s="8">
        <v>0</v>
      </c>
      <c r="E12" s="9"/>
      <c r="F12" s="8">
        <v>2400</v>
      </c>
      <c r="G12" s="9" t="s">
        <v>53</v>
      </c>
      <c r="H12" s="8">
        <v>0</v>
      </c>
      <c r="I12" s="8"/>
    </row>
    <row r="13" spans="1:9">
      <c r="A13" s="8">
        <v>6000</v>
      </c>
      <c r="B13" s="9" t="s">
        <v>42</v>
      </c>
      <c r="C13" s="8"/>
      <c r="D13" s="8">
        <v>2000</v>
      </c>
      <c r="E13" s="9"/>
      <c r="F13" s="8">
        <v>1950</v>
      </c>
      <c r="G13" s="9" t="s">
        <v>6</v>
      </c>
      <c r="H13" s="8">
        <v>0</v>
      </c>
      <c r="I13" s="8"/>
    </row>
    <row r="14" spans="1:9">
      <c r="A14" s="8">
        <v>784</v>
      </c>
      <c r="B14" s="9" t="s">
        <v>59</v>
      </c>
      <c r="C14" s="8"/>
      <c r="D14" s="8">
        <v>0</v>
      </c>
      <c r="E14" s="9"/>
      <c r="F14" s="8">
        <v>0</v>
      </c>
      <c r="G14" s="9" t="s">
        <v>54</v>
      </c>
      <c r="H14" s="8">
        <v>0</v>
      </c>
      <c r="I14" s="8"/>
    </row>
    <row r="15" spans="1:9">
      <c r="A15" s="8">
        <v>1600</v>
      </c>
      <c r="B15" s="9" t="s">
        <v>41</v>
      </c>
      <c r="C15" s="8"/>
      <c r="D15" s="8">
        <v>1600</v>
      </c>
      <c r="E15" s="9"/>
      <c r="F15" s="10">
        <v>582</v>
      </c>
      <c r="G15" s="9" t="s">
        <v>55</v>
      </c>
      <c r="H15" s="10">
        <v>0</v>
      </c>
      <c r="I15" s="8"/>
    </row>
    <row r="16" spans="1:9">
      <c r="A16" s="8">
        <v>826</v>
      </c>
      <c r="B16" s="9" t="s">
        <v>44</v>
      </c>
      <c r="C16" s="8"/>
      <c r="D16" s="8">
        <v>826</v>
      </c>
      <c r="E16" s="9"/>
      <c r="F16" s="8">
        <f>SUM(F9:F15)</f>
        <v>130932</v>
      </c>
      <c r="G16" s="9"/>
      <c r="H16" s="8"/>
      <c r="I16" s="8">
        <f>SUM(H9:H19)</f>
        <v>0</v>
      </c>
    </row>
    <row r="17" spans="1:9">
      <c r="A17" s="8">
        <v>0</v>
      </c>
      <c r="B17" s="9" t="s">
        <v>87</v>
      </c>
      <c r="C17" s="8"/>
      <c r="D17" s="8">
        <v>0</v>
      </c>
      <c r="E17" s="9"/>
      <c r="F17" s="8">
        <v>3481</v>
      </c>
      <c r="G17" s="9" t="s">
        <v>56</v>
      </c>
      <c r="H17" s="8"/>
      <c r="I17" s="8">
        <v>3004</v>
      </c>
    </row>
    <row r="18" spans="1:9">
      <c r="A18" s="8">
        <v>2991</v>
      </c>
      <c r="B18" s="9" t="s">
        <v>39</v>
      </c>
      <c r="C18" s="8"/>
      <c r="D18" s="8">
        <v>0</v>
      </c>
      <c r="E18" s="9"/>
      <c r="F18" s="8">
        <v>13968</v>
      </c>
      <c r="G18" s="9" t="s">
        <v>57</v>
      </c>
      <c r="H18" s="8"/>
      <c r="I18" s="8">
        <v>10579</v>
      </c>
    </row>
    <row r="19" spans="1:9">
      <c r="A19" s="8">
        <v>5470</v>
      </c>
      <c r="B19" s="9" t="s">
        <v>45</v>
      </c>
      <c r="C19" s="8"/>
      <c r="D19" s="8">
        <v>0</v>
      </c>
      <c r="E19" s="9"/>
      <c r="F19" s="8">
        <v>0</v>
      </c>
      <c r="G19" s="9" t="s">
        <v>83</v>
      </c>
      <c r="H19" s="8"/>
      <c r="I19" s="8">
        <v>16500</v>
      </c>
    </row>
    <row r="20" spans="1:9">
      <c r="A20" s="8">
        <v>5594</v>
      </c>
      <c r="B20" s="9" t="s">
        <v>80</v>
      </c>
      <c r="C20" s="8"/>
      <c r="D20" s="8">
        <v>0</v>
      </c>
      <c r="E20" s="9"/>
      <c r="F20" s="8"/>
      <c r="G20" s="9"/>
      <c r="H20" s="8"/>
      <c r="I20" s="8"/>
    </row>
    <row r="21" spans="1:9">
      <c r="A21" s="8">
        <v>15500</v>
      </c>
      <c r="B21" s="9" t="s">
        <v>97</v>
      </c>
      <c r="C21" s="8"/>
      <c r="D21" s="8">
        <v>0</v>
      </c>
      <c r="E21" s="9"/>
      <c r="F21" s="8"/>
      <c r="G21" s="9"/>
      <c r="H21" s="8"/>
      <c r="I21" s="8"/>
    </row>
    <row r="22" spans="1:9">
      <c r="A22" s="8">
        <v>89</v>
      </c>
      <c r="B22" s="9" t="s">
        <v>84</v>
      </c>
      <c r="C22" s="8"/>
      <c r="D22" s="8">
        <v>41</v>
      </c>
      <c r="E22" s="9"/>
      <c r="F22" s="8"/>
      <c r="G22" s="9"/>
      <c r="H22" s="8"/>
      <c r="I22" s="8"/>
    </row>
    <row r="23" spans="1:9">
      <c r="A23" s="8">
        <v>3614</v>
      </c>
      <c r="B23" s="9" t="s">
        <v>77</v>
      </c>
      <c r="C23" s="8"/>
      <c r="D23" s="8">
        <v>765</v>
      </c>
      <c r="E23" s="9"/>
      <c r="F23" s="8"/>
      <c r="G23" s="9"/>
      <c r="H23" s="8"/>
      <c r="I23" s="8"/>
    </row>
    <row r="24" spans="1:9">
      <c r="A24" s="8">
        <v>0</v>
      </c>
      <c r="B24" s="9" t="s">
        <v>102</v>
      </c>
      <c r="C24" s="9"/>
      <c r="D24" s="8">
        <v>34140</v>
      </c>
      <c r="E24" s="9"/>
      <c r="F24" s="8"/>
      <c r="G24" s="9"/>
      <c r="H24" s="8"/>
      <c r="I24" s="8"/>
    </row>
    <row r="25" spans="1:9">
      <c r="A25" s="8">
        <v>0</v>
      </c>
      <c r="B25" s="9" t="s">
        <v>40</v>
      </c>
      <c r="C25" s="8"/>
      <c r="D25" s="8">
        <v>0</v>
      </c>
      <c r="E25" s="9"/>
      <c r="F25" s="8"/>
      <c r="G25" s="9"/>
      <c r="H25" s="8"/>
      <c r="I25" s="8"/>
    </row>
    <row r="26" spans="1:9">
      <c r="A26" s="8">
        <v>113637</v>
      </c>
      <c r="B26" s="9" t="s">
        <v>101</v>
      </c>
      <c r="C26" s="8"/>
      <c r="D26" s="8">
        <v>37500</v>
      </c>
      <c r="E26" s="9"/>
      <c r="F26" s="8"/>
      <c r="G26" s="9"/>
      <c r="H26" s="8"/>
      <c r="I26" s="8"/>
    </row>
    <row r="27" spans="1:9">
      <c r="A27" s="8"/>
      <c r="B27" s="9"/>
      <c r="C27" s="8"/>
      <c r="D27" s="8"/>
      <c r="E27" s="9"/>
      <c r="F27" s="8"/>
      <c r="G27" s="9"/>
      <c r="H27" s="8"/>
      <c r="I27" s="8"/>
    </row>
    <row r="28" spans="1:9">
      <c r="A28" s="8">
        <f>F30-SUM(A8:A27)</f>
        <v>0</v>
      </c>
      <c r="B28" s="9" t="s">
        <v>85</v>
      </c>
      <c r="C28" s="8"/>
      <c r="D28" s="8">
        <f>I30-(D8+D9+D10+D11+D12+D13+D14+D15+D16+D17+D18+D19+D20+D21+D22+D23+D24+D25+D26+D27)</f>
        <v>0</v>
      </c>
      <c r="E28" s="9"/>
      <c r="F28" s="8">
        <f>A30-(F16+F17+F18+F19+F20)</f>
        <v>113651</v>
      </c>
      <c r="G28" s="9" t="s">
        <v>47</v>
      </c>
      <c r="H28" s="8"/>
      <c r="I28" s="8">
        <f>D30-SUM(I16:I19)</f>
        <v>77250</v>
      </c>
    </row>
    <row r="29" spans="1:9">
      <c r="A29" s="8"/>
      <c r="B29" s="9"/>
      <c r="C29" s="8"/>
      <c r="D29" s="8"/>
      <c r="E29" s="9"/>
      <c r="F29" s="8"/>
      <c r="G29" s="9"/>
      <c r="H29" s="8"/>
      <c r="I29" s="8"/>
    </row>
    <row r="30" spans="1:9">
      <c r="A30" s="24">
        <f>SUM(A8:A27)</f>
        <v>262032</v>
      </c>
      <c r="B30" s="25" t="s">
        <v>49</v>
      </c>
      <c r="C30" s="8"/>
      <c r="D30" s="24">
        <f>SUM(D8:D27)</f>
        <v>107333</v>
      </c>
      <c r="E30" s="9"/>
      <c r="F30" s="24">
        <f>SUM(F16:F20)+F28</f>
        <v>262032</v>
      </c>
      <c r="G30" s="25" t="s">
        <v>49</v>
      </c>
      <c r="H30" s="8"/>
      <c r="I30" s="24">
        <f>SUM(I16:I28)</f>
        <v>107333</v>
      </c>
    </row>
    <row r="31" spans="1:9">
      <c r="A31" s="28"/>
      <c r="B31" s="29"/>
      <c r="C31" s="29"/>
      <c r="D31" s="28"/>
      <c r="E31" s="29"/>
      <c r="F31" s="28"/>
      <c r="G31" s="29"/>
      <c r="H31" s="29"/>
      <c r="I31" s="28"/>
    </row>
    <row r="32" spans="1:9">
      <c r="A32" s="26"/>
      <c r="B32" s="27"/>
      <c r="C32" s="27"/>
      <c r="D32" s="26"/>
      <c r="E32" s="27"/>
      <c r="F32" s="26"/>
      <c r="G32" s="27"/>
      <c r="H32" s="27"/>
      <c r="I32" s="26"/>
    </row>
    <row r="33" spans="1:9">
      <c r="C33" s="22" t="s">
        <v>76</v>
      </c>
      <c r="G33" s="3" t="s">
        <v>68</v>
      </c>
      <c r="I33" s="26"/>
    </row>
    <row r="34" spans="1:9">
      <c r="C34" s="22"/>
      <c r="I34" s="26"/>
    </row>
    <row r="35" spans="1:9">
      <c r="C35" s="22"/>
      <c r="I35" s="26"/>
    </row>
    <row r="36" spans="1:9">
      <c r="A36" s="1" t="s">
        <v>7</v>
      </c>
      <c r="C36" s="22"/>
      <c r="I36" s="26"/>
    </row>
    <row r="37" spans="1:9">
      <c r="A37" s="1" t="s">
        <v>66</v>
      </c>
      <c r="C37" s="22"/>
      <c r="F37" s="3" t="s">
        <v>8</v>
      </c>
      <c r="G37" s="3" t="s">
        <v>9</v>
      </c>
      <c r="H37" s="3" t="s">
        <v>10</v>
      </c>
    </row>
    <row r="38" spans="1:9">
      <c r="C38" s="22"/>
    </row>
    <row r="44" spans="1:9">
      <c r="E44" s="2" t="s">
        <v>50</v>
      </c>
    </row>
    <row r="45" spans="1:9" ht="12.75" customHeight="1">
      <c r="E45" s="3" t="s">
        <v>51</v>
      </c>
    </row>
    <row r="46" spans="1:9">
      <c r="E46" s="4" t="s">
        <v>99</v>
      </c>
    </row>
    <row r="47" spans="1:9">
      <c r="A47" s="5" t="s">
        <v>28</v>
      </c>
      <c r="B47" s="5" t="s">
        <v>11</v>
      </c>
      <c r="C47" s="6" t="s">
        <v>48</v>
      </c>
      <c r="D47" s="6" t="s">
        <v>48</v>
      </c>
      <c r="E47" s="5"/>
      <c r="F47" s="5" t="s">
        <v>28</v>
      </c>
      <c r="G47" s="5" t="s">
        <v>12</v>
      </c>
      <c r="H47" s="6" t="s">
        <v>48</v>
      </c>
      <c r="I47" s="6" t="s">
        <v>48</v>
      </c>
    </row>
    <row r="48" spans="1:9">
      <c r="A48" s="7"/>
      <c r="B48" s="14" t="s">
        <v>13</v>
      </c>
      <c r="C48" s="34"/>
      <c r="D48" s="34"/>
      <c r="E48" s="7"/>
      <c r="F48" s="8"/>
      <c r="G48" s="14" t="s">
        <v>27</v>
      </c>
      <c r="H48" s="8"/>
      <c r="I48" s="35"/>
    </row>
    <row r="49" spans="1:9">
      <c r="A49" s="8"/>
      <c r="B49" s="14" t="s">
        <v>14</v>
      </c>
      <c r="C49" s="8"/>
      <c r="D49" s="8"/>
      <c r="E49" s="7"/>
      <c r="F49" s="8">
        <v>1809</v>
      </c>
      <c r="G49" s="9" t="s">
        <v>32</v>
      </c>
      <c r="H49" s="8">
        <v>503</v>
      </c>
      <c r="I49" s="35"/>
    </row>
    <row r="50" spans="1:9" ht="13.5" thickBot="1">
      <c r="A50" s="15">
        <v>100000</v>
      </c>
      <c r="B50" s="9" t="s">
        <v>33</v>
      </c>
      <c r="C50" s="8"/>
      <c r="D50" s="15">
        <v>100000</v>
      </c>
      <c r="E50" s="7"/>
      <c r="F50" s="8">
        <v>4.82</v>
      </c>
      <c r="G50" s="9" t="s">
        <v>64</v>
      </c>
      <c r="H50" s="8">
        <v>4.82</v>
      </c>
      <c r="I50" s="35"/>
    </row>
    <row r="51" spans="1:9" ht="13.5" thickTop="1">
      <c r="A51" s="8"/>
      <c r="B51" s="14" t="s">
        <v>15</v>
      </c>
      <c r="C51" s="8"/>
      <c r="D51" s="8"/>
      <c r="E51" s="7"/>
      <c r="F51" s="8">
        <v>3430</v>
      </c>
      <c r="G51" s="9" t="s">
        <v>65</v>
      </c>
      <c r="H51" s="8">
        <v>4369</v>
      </c>
      <c r="I51" s="35"/>
    </row>
    <row r="52" spans="1:9">
      <c r="A52" s="8">
        <v>4000</v>
      </c>
      <c r="B52" s="9" t="s">
        <v>61</v>
      </c>
      <c r="C52" s="8"/>
      <c r="D52" s="8">
        <v>4000</v>
      </c>
      <c r="E52" s="9"/>
      <c r="F52" s="8">
        <v>159809.39000000001</v>
      </c>
      <c r="G52" s="9" t="s">
        <v>67</v>
      </c>
      <c r="H52" s="10">
        <v>93745.39</v>
      </c>
      <c r="I52" s="8">
        <f>SUM(H49:H52)</f>
        <v>98622.209999999992</v>
      </c>
    </row>
    <row r="53" spans="1:9">
      <c r="A53" s="8"/>
      <c r="B53" s="14" t="s">
        <v>16</v>
      </c>
      <c r="C53" s="8"/>
      <c r="D53" s="8"/>
      <c r="E53" s="9"/>
      <c r="F53" s="8"/>
      <c r="G53" s="14" t="s">
        <v>24</v>
      </c>
      <c r="H53" s="8"/>
      <c r="I53" s="8"/>
    </row>
    <row r="54" spans="1:9">
      <c r="A54" s="8">
        <v>300051</v>
      </c>
      <c r="B54" s="14" t="s">
        <v>17</v>
      </c>
      <c r="C54" s="8"/>
      <c r="D54" s="8"/>
      <c r="E54" s="9"/>
      <c r="F54" s="8">
        <v>100</v>
      </c>
      <c r="G54" s="9" t="s">
        <v>63</v>
      </c>
      <c r="H54" s="8">
        <v>100</v>
      </c>
      <c r="I54" s="8"/>
    </row>
    <row r="55" spans="1:9">
      <c r="A55" s="8"/>
      <c r="B55" s="9" t="s">
        <v>30</v>
      </c>
      <c r="C55" s="8">
        <v>300051</v>
      </c>
      <c r="D55" s="8"/>
      <c r="E55" s="9"/>
      <c r="F55" s="8">
        <v>137733</v>
      </c>
      <c r="G55" s="9" t="s">
        <v>81</v>
      </c>
      <c r="H55" s="8">
        <v>137733</v>
      </c>
      <c r="I55" s="8"/>
    </row>
    <row r="56" spans="1:9">
      <c r="A56" s="8"/>
      <c r="B56" s="9" t="s">
        <v>78</v>
      </c>
      <c r="C56" s="8">
        <v>0</v>
      </c>
      <c r="D56" s="8"/>
      <c r="E56" s="9"/>
      <c r="F56" s="8">
        <v>5000</v>
      </c>
      <c r="G56" s="9" t="s">
        <v>88</v>
      </c>
      <c r="H56" s="8">
        <v>5000</v>
      </c>
      <c r="I56" s="8"/>
    </row>
    <row r="57" spans="1:9">
      <c r="A57" s="8"/>
      <c r="B57" s="9" t="s">
        <v>86</v>
      </c>
      <c r="C57" s="10">
        <v>0</v>
      </c>
      <c r="D57" s="8">
        <f>SUM(C55:C57)</f>
        <v>300051</v>
      </c>
      <c r="E57" s="9"/>
      <c r="F57" s="8">
        <v>5076</v>
      </c>
      <c r="G57" s="9" t="s">
        <v>46</v>
      </c>
      <c r="H57" s="10">
        <v>15339</v>
      </c>
      <c r="I57" s="8">
        <f>SUM(H54:H57)</f>
        <v>158172</v>
      </c>
    </row>
    <row r="58" spans="1:9">
      <c r="A58" s="8">
        <v>82638</v>
      </c>
      <c r="B58" s="14" t="s">
        <v>18</v>
      </c>
      <c r="C58" s="8"/>
      <c r="D58" s="8"/>
      <c r="E58" s="9"/>
      <c r="F58" s="8"/>
      <c r="G58" s="14" t="s">
        <v>21</v>
      </c>
      <c r="H58" s="8"/>
      <c r="I58" s="8"/>
    </row>
    <row r="59" spans="1:9">
      <c r="A59" s="8"/>
      <c r="B59" s="9" t="s">
        <v>30</v>
      </c>
      <c r="C59" s="8">
        <v>82638</v>
      </c>
      <c r="D59" s="8"/>
      <c r="E59" s="9"/>
      <c r="F59" s="8">
        <v>733000</v>
      </c>
      <c r="G59" s="9" t="s">
        <v>22</v>
      </c>
      <c r="H59" s="8"/>
      <c r="I59" s="8">
        <v>0</v>
      </c>
    </row>
    <row r="60" spans="1:9">
      <c r="A60" s="8"/>
      <c r="B60" s="9" t="s">
        <v>31</v>
      </c>
      <c r="C60" s="10">
        <v>0</v>
      </c>
      <c r="D60" s="8">
        <f>SUM(C59:C60)</f>
        <v>82638</v>
      </c>
      <c r="E60" s="9"/>
      <c r="F60" s="8">
        <v>2404</v>
      </c>
      <c r="G60" s="14" t="s">
        <v>23</v>
      </c>
      <c r="H60" s="8"/>
      <c r="I60" s="8"/>
    </row>
    <row r="61" spans="1:9">
      <c r="A61" s="8">
        <v>22400</v>
      </c>
      <c r="B61" s="14" t="s">
        <v>62</v>
      </c>
      <c r="C61" s="8"/>
      <c r="D61" s="8"/>
      <c r="E61" s="9"/>
      <c r="F61" s="8"/>
      <c r="G61" s="9" t="s">
        <v>30</v>
      </c>
      <c r="H61" s="8">
        <v>2404</v>
      </c>
      <c r="I61" s="8"/>
    </row>
    <row r="62" spans="1:9">
      <c r="A62" s="8"/>
      <c r="B62" s="9" t="s">
        <v>30</v>
      </c>
      <c r="C62" s="8">
        <v>22400</v>
      </c>
      <c r="D62" s="8"/>
      <c r="E62" s="9"/>
      <c r="F62" s="9"/>
      <c r="G62" s="9" t="s">
        <v>91</v>
      </c>
      <c r="H62" s="9">
        <v>0</v>
      </c>
      <c r="I62" s="9"/>
    </row>
    <row r="63" spans="1:9">
      <c r="A63" s="8"/>
      <c r="B63" s="9" t="s">
        <v>31</v>
      </c>
      <c r="C63" s="8">
        <v>0</v>
      </c>
      <c r="D63" s="8"/>
      <c r="E63" s="9"/>
      <c r="F63" s="8"/>
      <c r="G63" s="9" t="s">
        <v>104</v>
      </c>
      <c r="H63" s="10">
        <v>-2404</v>
      </c>
      <c r="I63" s="8">
        <f>SUM(H61:H63)</f>
        <v>0</v>
      </c>
    </row>
    <row r="64" spans="1:9">
      <c r="A64" s="9"/>
      <c r="B64" s="9" t="s">
        <v>90</v>
      </c>
      <c r="C64" s="10">
        <v>0</v>
      </c>
      <c r="D64" s="9">
        <f>SUM(C62:C64)</f>
        <v>22400</v>
      </c>
      <c r="E64" s="9"/>
      <c r="F64" s="8">
        <v>3096</v>
      </c>
      <c r="G64" s="14" t="s">
        <v>35</v>
      </c>
      <c r="H64" s="8"/>
      <c r="I64" s="8"/>
    </row>
    <row r="65" spans="1:9">
      <c r="A65" s="8"/>
      <c r="B65" s="14"/>
      <c r="D65" s="8"/>
      <c r="E65" s="9"/>
      <c r="F65" s="8"/>
      <c r="G65" s="9" t="s">
        <v>30</v>
      </c>
      <c r="H65" s="8">
        <v>3096</v>
      </c>
      <c r="I65" s="8"/>
    </row>
    <row r="66" spans="1:9">
      <c r="B66" s="9"/>
      <c r="C66" s="8"/>
      <c r="E66" s="9"/>
      <c r="F66" s="8"/>
      <c r="G66" s="9" t="s">
        <v>104</v>
      </c>
      <c r="H66" s="10">
        <v>-3096</v>
      </c>
      <c r="I66" s="8">
        <f>SUM(H65:H66)</f>
        <v>0</v>
      </c>
    </row>
    <row r="67" spans="1:9">
      <c r="A67" s="9"/>
      <c r="B67" s="9"/>
      <c r="C67" s="8"/>
      <c r="D67" s="8"/>
      <c r="E67" s="9"/>
      <c r="F67" s="8">
        <v>7709</v>
      </c>
      <c r="G67" s="14" t="s">
        <v>79</v>
      </c>
      <c r="H67" s="8"/>
      <c r="I67" s="8"/>
    </row>
    <row r="68" spans="1:9">
      <c r="A68" s="8">
        <v>733000</v>
      </c>
      <c r="B68" s="9" t="s">
        <v>29</v>
      </c>
      <c r="C68" s="8"/>
      <c r="D68" s="8">
        <v>0</v>
      </c>
      <c r="E68" s="9"/>
      <c r="F68" s="8"/>
      <c r="G68" s="9" t="s">
        <v>30</v>
      </c>
      <c r="H68" s="8">
        <v>7709</v>
      </c>
      <c r="I68" s="8"/>
    </row>
    <row r="69" spans="1:9">
      <c r="A69" s="9"/>
      <c r="B69" s="9"/>
      <c r="C69" s="9"/>
      <c r="D69" s="9"/>
      <c r="E69" s="9"/>
      <c r="F69" s="8"/>
      <c r="G69" s="9" t="s">
        <v>104</v>
      </c>
      <c r="H69" s="10">
        <v>-7709</v>
      </c>
      <c r="I69" s="8">
        <f>SUM(H68:H69)</f>
        <v>0</v>
      </c>
    </row>
    <row r="70" spans="1:9">
      <c r="A70" s="8"/>
      <c r="B70" s="14" t="s">
        <v>20</v>
      </c>
      <c r="C70" s="8"/>
      <c r="E70" s="9"/>
      <c r="F70" s="8">
        <v>19381</v>
      </c>
      <c r="G70" s="14" t="s">
        <v>89</v>
      </c>
      <c r="H70" s="8"/>
      <c r="I70" s="8"/>
    </row>
    <row r="71" spans="1:9">
      <c r="A71" s="8">
        <v>11100</v>
      </c>
      <c r="B71" s="14" t="s">
        <v>34</v>
      </c>
      <c r="C71" s="8"/>
      <c r="D71" s="8"/>
      <c r="E71" s="9"/>
      <c r="F71" s="8"/>
      <c r="G71" s="9" t="s">
        <v>30</v>
      </c>
      <c r="H71" s="8">
        <v>19381</v>
      </c>
      <c r="I71" s="8"/>
    </row>
    <row r="72" spans="1:9">
      <c r="A72" s="8"/>
      <c r="B72" s="9" t="s">
        <v>105</v>
      </c>
      <c r="C72" s="8">
        <v>826</v>
      </c>
      <c r="D72" s="8"/>
      <c r="E72" s="9"/>
      <c r="F72" s="8"/>
      <c r="G72" s="9" t="s">
        <v>104</v>
      </c>
      <c r="H72" s="10">
        <v>-19381</v>
      </c>
      <c r="I72" s="8">
        <f>SUM(H71:H72)</f>
        <v>0</v>
      </c>
    </row>
    <row r="73" spans="1:9">
      <c r="A73" s="8"/>
      <c r="B73" s="9" t="s">
        <v>2</v>
      </c>
      <c r="C73" s="8">
        <v>1600</v>
      </c>
      <c r="D73" s="8"/>
      <c r="E73" s="9"/>
      <c r="F73" s="9"/>
      <c r="G73" s="9"/>
      <c r="H73" s="9"/>
      <c r="I73" s="9"/>
    </row>
    <row r="74" spans="1:9">
      <c r="A74" s="8"/>
      <c r="B74" s="9" t="s">
        <v>3</v>
      </c>
      <c r="C74" s="10">
        <v>2000</v>
      </c>
      <c r="D74" s="8">
        <f>SUM(C72:C74)</f>
        <v>4426</v>
      </c>
      <c r="E74" s="9"/>
      <c r="F74" s="9"/>
      <c r="G74" s="9"/>
      <c r="H74" s="9"/>
      <c r="I74" s="9"/>
    </row>
    <row r="75" spans="1:9">
      <c r="A75" s="8"/>
      <c r="B75" s="9"/>
      <c r="C75" s="8"/>
      <c r="D75" s="8"/>
      <c r="E75" s="9"/>
      <c r="F75" s="8"/>
      <c r="G75" s="14" t="s">
        <v>25</v>
      </c>
      <c r="H75" s="8"/>
      <c r="I75" s="8"/>
    </row>
    <row r="76" spans="1:9">
      <c r="A76" s="8"/>
      <c r="B76" s="9"/>
      <c r="C76" s="8"/>
      <c r="D76" s="9"/>
      <c r="E76" s="9"/>
      <c r="F76" s="8">
        <v>226</v>
      </c>
      <c r="G76" s="9" t="s">
        <v>26</v>
      </c>
      <c r="H76" s="8"/>
      <c r="I76" s="8">
        <v>0</v>
      </c>
    </row>
    <row r="77" spans="1:9">
      <c r="A77" s="8">
        <v>6610</v>
      </c>
      <c r="B77" s="9" t="s">
        <v>103</v>
      </c>
      <c r="C77" s="8"/>
      <c r="D77" s="8">
        <v>0</v>
      </c>
      <c r="E77" s="9"/>
      <c r="F77" s="8"/>
      <c r="G77" s="9"/>
      <c r="H77" s="8"/>
      <c r="I77" s="8"/>
    </row>
    <row r="78" spans="1:9">
      <c r="A78" s="8">
        <v>-79470.789999999994</v>
      </c>
      <c r="B78" s="14" t="s">
        <v>19</v>
      </c>
      <c r="C78" s="8"/>
      <c r="D78" s="8"/>
      <c r="E78" s="9"/>
      <c r="F78" s="8">
        <v>1550</v>
      </c>
      <c r="G78" s="9" t="s">
        <v>82</v>
      </c>
      <c r="H78" s="8"/>
      <c r="I78" s="8">
        <v>0</v>
      </c>
    </row>
    <row r="79" spans="1:9">
      <c r="A79" s="8"/>
      <c r="B79" s="9" t="s">
        <v>30</v>
      </c>
      <c r="C79" s="8">
        <v>-79470.789999999994</v>
      </c>
      <c r="D79" s="8"/>
      <c r="E79" s="9"/>
      <c r="F79" s="8"/>
      <c r="G79" s="9"/>
      <c r="H79" s="8"/>
      <c r="I79" s="8"/>
    </row>
    <row r="80" spans="1:9">
      <c r="A80" s="8"/>
      <c r="B80" s="1" t="s">
        <v>92</v>
      </c>
      <c r="C80" s="8">
        <v>-77250</v>
      </c>
      <c r="D80" s="8"/>
      <c r="E80" s="9"/>
      <c r="F80" s="8"/>
      <c r="G80" s="9"/>
      <c r="H80" s="8"/>
      <c r="I80" s="8"/>
    </row>
    <row r="81" spans="1:9">
      <c r="A81" s="8"/>
      <c r="B81" s="9"/>
      <c r="C81" s="10">
        <v>0</v>
      </c>
      <c r="D81" s="8">
        <f>SUM(C79:C81)</f>
        <v>-156720.78999999998</v>
      </c>
      <c r="E81" s="9"/>
      <c r="F81" s="9"/>
      <c r="G81" s="9"/>
      <c r="H81" s="9"/>
      <c r="I81" s="9"/>
    </row>
    <row r="82" spans="1:9" ht="13.5" thickBot="1">
      <c r="A82" s="13">
        <f>SUM(A52:A81)</f>
        <v>1080328.21</v>
      </c>
      <c r="B82" s="11" t="s">
        <v>49</v>
      </c>
      <c r="C82" s="10"/>
      <c r="D82" s="13">
        <f>SUM(D52:D81)</f>
        <v>256794.21000000002</v>
      </c>
      <c r="E82" s="12"/>
      <c r="F82" s="13">
        <f>SUM(F49:F81)</f>
        <v>1080328.21</v>
      </c>
      <c r="G82" s="11" t="s">
        <v>49</v>
      </c>
      <c r="H82" s="10"/>
      <c r="I82" s="13">
        <f>SUM(I49:I81)</f>
        <v>256794.21</v>
      </c>
    </row>
    <row r="83" spans="1:9" ht="13.5" thickTop="1">
      <c r="C83" s="22" t="s">
        <v>76</v>
      </c>
      <c r="G83" s="3" t="s">
        <v>68</v>
      </c>
    </row>
    <row r="84" spans="1:9">
      <c r="C84" s="22"/>
    </row>
    <row r="85" spans="1:9">
      <c r="A85" s="1" t="s">
        <v>7</v>
      </c>
      <c r="C85" s="22"/>
    </row>
    <row r="86" spans="1:9">
      <c r="A86" s="1" t="s">
        <v>66</v>
      </c>
      <c r="B86" s="23"/>
      <c r="C86" s="23"/>
      <c r="F86" s="3" t="s">
        <v>8</v>
      </c>
      <c r="G86" s="3" t="s">
        <v>9</v>
      </c>
      <c r="H86" s="3" t="s">
        <v>10</v>
      </c>
    </row>
    <row r="88" spans="1:9">
      <c r="C88" s="22"/>
    </row>
  </sheetData>
  <phoneticPr fontId="0" type="noConversion"/>
  <printOptions horizontalCentered="1"/>
  <pageMargins left="0.5" right="0.5" top="0.25" bottom="0.25" header="0.5" footer="0.5"/>
  <pageSetup paperSize="9" orientation="landscape" horizontalDpi="30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opLeftCell="A10" zoomScale="131" zoomScaleNormal="131" workbookViewId="0">
      <selection activeCell="A21" sqref="A21"/>
    </sheetView>
  </sheetViews>
  <sheetFormatPr defaultColWidth="9" defaultRowHeight="15"/>
  <cols>
    <col min="1" max="1" width="16" style="16" bestFit="1" customWidth="1"/>
    <col min="2" max="2" width="10" style="16" bestFit="1" customWidth="1"/>
    <col min="3" max="3" width="10.625" style="16" bestFit="1" customWidth="1"/>
    <col min="4" max="4" width="10.5" style="16" bestFit="1" customWidth="1"/>
    <col min="5" max="5" width="10.125" style="16" customWidth="1"/>
    <col min="6" max="6" width="12.375" style="16" bestFit="1" customWidth="1"/>
    <col min="7" max="7" width="14.5" style="16" bestFit="1" customWidth="1"/>
    <col min="8" max="8" width="35.625" style="16" bestFit="1" customWidth="1"/>
    <col min="9" max="16384" width="9" style="16"/>
  </cols>
  <sheetData>
    <row r="1" spans="1:9">
      <c r="A1" s="21" t="s">
        <v>50</v>
      </c>
    </row>
    <row r="3" spans="1:9">
      <c r="A3" s="20" t="s">
        <v>100</v>
      </c>
    </row>
    <row r="4" spans="1:9">
      <c r="A4" s="20"/>
    </row>
    <row r="5" spans="1:9" s="18" customFormat="1" ht="12.75">
      <c r="A5" s="19" t="s">
        <v>75</v>
      </c>
      <c r="B5" s="19" t="s">
        <v>74</v>
      </c>
      <c r="C5" s="19" t="s">
        <v>73</v>
      </c>
      <c r="D5" s="19" t="s">
        <v>72</v>
      </c>
      <c r="E5" s="19" t="s">
        <v>93</v>
      </c>
      <c r="F5" s="19" t="s">
        <v>71</v>
      </c>
      <c r="G5" s="19" t="s">
        <v>70</v>
      </c>
      <c r="H5" s="19" t="s">
        <v>69</v>
      </c>
    </row>
    <row r="6" spans="1:9" s="18" customFormat="1" ht="12.75"/>
    <row r="7" spans="1:9">
      <c r="A7" s="21" t="s">
        <v>67</v>
      </c>
    </row>
    <row r="9" spans="1:9">
      <c r="A9" s="36" t="s">
        <v>94</v>
      </c>
      <c r="B9" s="17">
        <v>45559</v>
      </c>
      <c r="C9" s="31">
        <v>45911</v>
      </c>
      <c r="D9" s="17">
        <v>46654</v>
      </c>
      <c r="E9" s="16">
        <v>56537</v>
      </c>
      <c r="F9" s="31">
        <f>1692+3421</f>
        <v>5113</v>
      </c>
      <c r="G9" s="16">
        <v>3421</v>
      </c>
      <c r="H9" s="16">
        <v>3421</v>
      </c>
      <c r="I9" s="37"/>
    </row>
    <row r="10" spans="1:9">
      <c r="A10" s="36" t="s">
        <v>95</v>
      </c>
      <c r="B10" s="17">
        <v>45559</v>
      </c>
      <c r="C10" s="31">
        <v>45911</v>
      </c>
      <c r="D10" s="17">
        <v>46654</v>
      </c>
      <c r="E10" s="16">
        <v>56537</v>
      </c>
      <c r="F10" s="31">
        <f t="shared" ref="F10:F11" si="0">1692+3421</f>
        <v>5113</v>
      </c>
      <c r="G10" s="16">
        <v>3421</v>
      </c>
      <c r="H10" s="16">
        <v>3421</v>
      </c>
    </row>
    <row r="11" spans="1:9">
      <c r="A11" s="36" t="s">
        <v>96</v>
      </c>
      <c r="B11" s="17">
        <v>45559</v>
      </c>
      <c r="C11" s="31">
        <v>45911</v>
      </c>
      <c r="D11" s="17">
        <v>46654</v>
      </c>
      <c r="E11" s="16">
        <v>56537</v>
      </c>
      <c r="F11" s="31">
        <f t="shared" si="0"/>
        <v>5113</v>
      </c>
      <c r="G11" s="16">
        <v>3421</v>
      </c>
      <c r="H11" s="16">
        <v>3421</v>
      </c>
    </row>
    <row r="12" spans="1:9" ht="15.75" thickBot="1">
      <c r="A12" s="30"/>
      <c r="B12" s="17"/>
      <c r="C12" s="32">
        <f>SUM(C9:C11)</f>
        <v>137733</v>
      </c>
      <c r="D12" s="17"/>
      <c r="F12" s="31"/>
      <c r="G12" s="31"/>
      <c r="H12" s="16">
        <f>SUM(H9:H11)</f>
        <v>10263</v>
      </c>
    </row>
    <row r="13" spans="1:9" ht="15.75" thickTop="1">
      <c r="A13" s="30"/>
      <c r="C13" s="31"/>
      <c r="F13" s="31"/>
      <c r="G13" s="31"/>
    </row>
    <row r="14" spans="1:9">
      <c r="A14" s="21" t="s">
        <v>65</v>
      </c>
      <c r="C14" s="31"/>
      <c r="F14" s="31"/>
      <c r="G14" s="31"/>
    </row>
    <row r="15" spans="1:9">
      <c r="A15" s="33">
        <v>29801200002025</v>
      </c>
      <c r="B15" s="17">
        <v>44980</v>
      </c>
      <c r="C15" s="16">
        <v>5000</v>
      </c>
      <c r="D15" s="17">
        <v>46165</v>
      </c>
      <c r="E15" s="16">
        <v>5000</v>
      </c>
      <c r="G15" s="16">
        <f>79*4</f>
        <v>316</v>
      </c>
      <c r="H15" s="16">
        <v>316</v>
      </c>
    </row>
    <row r="16" spans="1:9" ht="15.75" thickBot="1">
      <c r="C16" s="31"/>
      <c r="F16" s="32">
        <f>SUM(F9:F15)</f>
        <v>15339</v>
      </c>
      <c r="G16" s="32">
        <f>SUM(G8:G15)</f>
        <v>10579</v>
      </c>
    </row>
    <row r="17" ht="15.75" thickTop="1"/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Accounts</vt:lpstr>
      <vt:lpstr>FD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Bharat</cp:lastModifiedBy>
  <cp:lastPrinted>2026-05-19T06:22:15Z</cp:lastPrinted>
  <dcterms:created xsi:type="dcterms:W3CDTF">2005-08-10T12:15:20Z</dcterms:created>
  <dcterms:modified xsi:type="dcterms:W3CDTF">2026-06-30T15:28:16Z</dcterms:modified>
</cp:coreProperties>
</file>