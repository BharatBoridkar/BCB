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BHARAT\2025-2026\BCB\Bharat\Nikolaswadi\"/>
    </mc:Choice>
  </mc:AlternateContent>
  <xr:revisionPtr revIDLastSave="0" documentId="13_ncr:1_{5036640B-DD73-4F22-8372-9E0839D988EB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I&amp;E 25-26" sheetId="1" r:id="rId1"/>
    <sheet name="BS 25-26" sheetId="2" r:id="rId2"/>
    <sheet name="FD 25-26 (2)" sheetId="5" r:id="rId3"/>
    <sheet name="FD 25-26" sheetId="4" r:id="rId4"/>
    <sheet name="BRS 25-26" sheetId="3" r:id="rId5"/>
  </sheets>
  <externalReferences>
    <externalReference r:id="rId6"/>
  </externalReferences>
  <definedNames>
    <definedName name="_xlnm.Print_Area" localSheetId="1">'BS 25-26'!$A$1:$I$54</definedName>
    <definedName name="_xlnm.Print_Area" localSheetId="2">'FD 25-26 (2)'!$A$1:$H$11</definedName>
    <definedName name="_xlnm.Print_Area" localSheetId="0">'I&amp;E 25-26'!$A$1:$H$40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6" i="2" l="1"/>
  <c r="F8" i="3"/>
  <c r="G9" i="5"/>
  <c r="G8" i="5"/>
  <c r="G7" i="5"/>
  <c r="G6" i="5"/>
  <c r="F10" i="5"/>
  <c r="E10" i="5"/>
  <c r="J36" i="4"/>
  <c r="W20" i="4"/>
  <c r="N20" i="4"/>
  <c r="N21" i="4" s="1"/>
  <c r="M20" i="4"/>
  <c r="O20" i="4" s="1"/>
  <c r="I20" i="4"/>
  <c r="G20" i="4"/>
  <c r="A20" i="4"/>
  <c r="Q19" i="4"/>
  <c r="R19" i="4" s="1"/>
  <c r="P19" i="4"/>
  <c r="O19" i="4"/>
  <c r="G19" i="4"/>
  <c r="A19" i="4"/>
  <c r="L13" i="4"/>
  <c r="K13" i="4"/>
  <c r="J13" i="4"/>
  <c r="I13" i="4"/>
  <c r="I15" i="4" s="1"/>
  <c r="I16" i="4" s="1"/>
  <c r="F13" i="4"/>
  <c r="E13" i="4"/>
  <c r="Q12" i="4"/>
  <c r="G12" i="4"/>
  <c r="G13" i="4" s="1"/>
  <c r="A12" i="4"/>
  <c r="R11" i="4"/>
  <c r="Q11" i="4"/>
  <c r="P11" i="4"/>
  <c r="O11" i="4"/>
  <c r="G11" i="4"/>
  <c r="A11" i="4"/>
  <c r="Q10" i="4"/>
  <c r="R10" i="4" s="1"/>
  <c r="P10" i="4"/>
  <c r="O10" i="4"/>
  <c r="G10" i="4"/>
  <c r="A10" i="4"/>
  <c r="Q9" i="4"/>
  <c r="R9" i="4" s="1"/>
  <c r="W9" i="4" s="1"/>
  <c r="P9" i="4"/>
  <c r="O9" i="4"/>
  <c r="M9" i="4"/>
  <c r="G9" i="4"/>
  <c r="A9" i="4"/>
  <c r="G8" i="4"/>
  <c r="M8" i="4" s="1"/>
  <c r="O8" i="4" s="1"/>
  <c r="A8" i="4"/>
  <c r="W7" i="4"/>
  <c r="N7" i="4"/>
  <c r="N13" i="4" s="1"/>
  <c r="M7" i="4"/>
  <c r="G7" i="4"/>
  <c r="A7" i="4"/>
  <c r="G10" i="5" l="1"/>
  <c r="J34" i="4"/>
  <c r="J33" i="4"/>
  <c r="O7" i="4"/>
  <c r="Q8" i="4"/>
  <c r="M12" i="4"/>
  <c r="M13" i="4" s="1"/>
  <c r="H8" i="4"/>
  <c r="H13" i="4" l="1"/>
  <c r="P8" i="4"/>
  <c r="Q13" i="4"/>
  <c r="R8" i="4"/>
  <c r="P12" i="4"/>
  <c r="R12" i="4" s="1"/>
  <c r="W12" i="4" s="1"/>
  <c r="O12" i="4"/>
  <c r="O13" i="4"/>
  <c r="P13" i="4" l="1"/>
  <c r="R13" i="4"/>
  <c r="W8" i="4"/>
  <c r="H14" i="2" l="1"/>
  <c r="I43" i="2"/>
  <c r="D11" i="3"/>
  <c r="D17" i="3" s="1"/>
  <c r="F45" i="2"/>
  <c r="A45" i="2"/>
  <c r="H38" i="2"/>
  <c r="C37" i="2"/>
  <c r="H33" i="2"/>
  <c r="H35" i="2" s="1"/>
  <c r="D34" i="2"/>
  <c r="H30" i="2"/>
  <c r="D28" i="2"/>
  <c r="I26" i="2"/>
  <c r="C16" i="2"/>
  <c r="D17" i="2" s="1"/>
  <c r="I9" i="2"/>
  <c r="E31" i="1"/>
  <c r="A29" i="1"/>
  <c r="A24" i="1"/>
  <c r="H31" i="1"/>
  <c r="C29" i="1" s="1"/>
  <c r="C31" i="1" l="1"/>
  <c r="C38" i="2"/>
  <c r="C39" i="2" s="1"/>
  <c r="A31" i="1"/>
  <c r="H39" i="2"/>
  <c r="I39" i="2" s="1"/>
  <c r="H31" i="2"/>
  <c r="I31" i="2" s="1"/>
  <c r="I15" i="2"/>
  <c r="H36" i="2"/>
  <c r="I36" i="2" s="1"/>
  <c r="D41" i="2" l="1"/>
  <c r="D45" i="2" s="1"/>
  <c r="I45" i="2"/>
</calcChain>
</file>

<file path=xl/sharedStrings.xml><?xml version="1.0" encoding="utf-8"?>
<sst xmlns="http://schemas.openxmlformats.org/spreadsheetml/2006/main" count="238" uniqueCount="170">
  <si>
    <t>(REGD NO. MUM/SRA/HSG/(TC)/12021/2011)</t>
  </si>
  <si>
    <t xml:space="preserve"> INCOME &amp;  EXPENDITURE  ACCOUNT  FOR  THE YEAR AS ON 31ST MARCH 2026</t>
  </si>
  <si>
    <t>Previous year</t>
  </si>
  <si>
    <t>Particular</t>
  </si>
  <si>
    <t>Current Year</t>
  </si>
  <si>
    <t>Water Charges</t>
  </si>
  <si>
    <t>Maintenance Charges</t>
  </si>
  <si>
    <t>Electricity Charges</t>
  </si>
  <si>
    <t>Repair &amp; Maintenance</t>
  </si>
  <si>
    <t>NOC Charegs</t>
  </si>
  <si>
    <t>Electrical &amp; Maintenance</t>
  </si>
  <si>
    <t>Lift Maintenance Charges</t>
  </si>
  <si>
    <t>Insurance Charges</t>
  </si>
  <si>
    <t>Salary</t>
  </si>
  <si>
    <t>Building Insurance Charges</t>
  </si>
  <si>
    <t>Security Charges</t>
  </si>
  <si>
    <t>Interest from Members</t>
  </si>
  <si>
    <t>Bank Interest</t>
  </si>
  <si>
    <t>Pest Control Charges</t>
  </si>
  <si>
    <t>Fixed Deposits Interest</t>
  </si>
  <si>
    <t>Audit Fees</t>
  </si>
  <si>
    <t>Fixed Deposits Interest (Builder)</t>
  </si>
  <si>
    <t>Accounting Charges</t>
  </si>
  <si>
    <t>Misc. Charges</t>
  </si>
  <si>
    <t>Depriciation</t>
  </si>
  <si>
    <t>Misc. Income</t>
  </si>
  <si>
    <t>Function Expenses</t>
  </si>
  <si>
    <t xml:space="preserve">Interest on IT Refund </t>
  </si>
  <si>
    <t>Printing &amp; Stationery</t>
  </si>
  <si>
    <t>Rent From (G2 And G6)</t>
  </si>
  <si>
    <t>Conveyance Charges</t>
  </si>
  <si>
    <t>Misc. Expenses</t>
  </si>
  <si>
    <t>Postage &amp; Telephone</t>
  </si>
  <si>
    <t>Recd. encashment of FD</t>
  </si>
  <si>
    <t>Membership &amp; Subscription</t>
  </si>
  <si>
    <t>Legal &amp; Professional Fees</t>
  </si>
  <si>
    <t>CCTV Maint. Charges</t>
  </si>
  <si>
    <t>Bank Charges</t>
  </si>
  <si>
    <t>Major Repair Expenses</t>
  </si>
  <si>
    <t>Excess of Income Over Expenditure</t>
  </si>
  <si>
    <t xml:space="preserve">                                          TOTAL  RS.</t>
  </si>
  <si>
    <t xml:space="preserve">                             TOTAL  RS.</t>
  </si>
  <si>
    <t>Nicolas Apt. Flat no.001, Yashwantrao Tawade Road,Dahisar (West) Mumbai 400068.</t>
  </si>
  <si>
    <t>B A L A N C E   S H E E T   AS  ON    31 ST  M A R C H   2026</t>
  </si>
  <si>
    <t xml:space="preserve">LIABILITY </t>
  </si>
  <si>
    <t>ASSESTS</t>
  </si>
  <si>
    <t>AUTHORISED SHARE CAPITAL</t>
  </si>
  <si>
    <t>Cash &amp; Bank Balance</t>
  </si>
  <si>
    <t>2000 Shares of Rs.50/- Each</t>
  </si>
  <si>
    <t>Cash On Hand</t>
  </si>
  <si>
    <t>MDCC Bank Ltd.</t>
  </si>
  <si>
    <t>Issued, Subscribed &amp; Paid Up</t>
  </si>
  <si>
    <t>Saraswat Co-op.Bank Ltd.</t>
  </si>
  <si>
    <t>110 Shares of Rs.50/- each</t>
  </si>
  <si>
    <t>Investments</t>
  </si>
  <si>
    <t>Reserve Fund</t>
  </si>
  <si>
    <t xml:space="preserve">Share with MDCC </t>
  </si>
  <si>
    <t>As per last Balance Sheet</t>
  </si>
  <si>
    <t>Fixed Deposits (Saraswat)</t>
  </si>
  <si>
    <t>Fixed Deposits (MDCC)</t>
  </si>
  <si>
    <t>Accrued Interest</t>
  </si>
  <si>
    <t>Add: Interest on FD</t>
  </si>
  <si>
    <t xml:space="preserve">Security Deposits </t>
  </si>
  <si>
    <t>Deposits of Adani Electricity</t>
  </si>
  <si>
    <t>Property Tax (2016-2019)</t>
  </si>
  <si>
    <t>Sundry Debtors</t>
  </si>
  <si>
    <t>Dues from Members</t>
  </si>
  <si>
    <t xml:space="preserve">Current Liabilites </t>
  </si>
  <si>
    <t>Prepaid Expenses</t>
  </si>
  <si>
    <t>Advance From Office Bearer</t>
  </si>
  <si>
    <t>CCTV Maint. (April-July 2025)</t>
  </si>
  <si>
    <t>Advance from Members</t>
  </si>
  <si>
    <t>Lift Maint. (April-May 2026)</t>
  </si>
  <si>
    <t xml:space="preserve">Payble TDS </t>
  </si>
  <si>
    <t>Insurance Charges (01.04.2025-25.07.2025)</t>
  </si>
  <si>
    <t>Rent Deposits (G2 And G6)</t>
  </si>
  <si>
    <t>FIXED ASSESTS</t>
  </si>
  <si>
    <t>Provisions</t>
  </si>
  <si>
    <t>Furniture &amp; Fixture</t>
  </si>
  <si>
    <t>Accounting charges</t>
  </si>
  <si>
    <t>Less: Depriciation @ 10%</t>
  </si>
  <si>
    <t>CCTV Systems</t>
  </si>
  <si>
    <t>Salary Account</t>
  </si>
  <si>
    <t>Add:Additional during the year</t>
  </si>
  <si>
    <t>Income &amp; Expenditure Account</t>
  </si>
  <si>
    <t>Less: Depriciation @ 15%</t>
  </si>
  <si>
    <t>Add: Excess of Income Over Expenditure</t>
  </si>
  <si>
    <t>Water Pump</t>
  </si>
  <si>
    <t>Less: Encashment on FD adj. agst. I&amp;E capital account</t>
  </si>
  <si>
    <t>Additional during the year</t>
  </si>
  <si>
    <t xml:space="preserve">TDS on FD Interest </t>
  </si>
  <si>
    <t>F.Y. 2021-22</t>
  </si>
  <si>
    <t>F.Y. 2024-25</t>
  </si>
  <si>
    <t>TOTAL</t>
  </si>
  <si>
    <t>Bank Reconciliation Of 2025-26</t>
  </si>
  <si>
    <t xml:space="preserve">Date </t>
  </si>
  <si>
    <t>Perticular</t>
  </si>
  <si>
    <t xml:space="preserve">Amount </t>
  </si>
  <si>
    <t>MDCC Bank</t>
  </si>
  <si>
    <t xml:space="preserve">Balance As Per Our Bank Book </t>
  </si>
  <si>
    <t xml:space="preserve">Add: Cheque Isssued But Not Present </t>
  </si>
  <si>
    <t>GP.113, Chq No.42306</t>
  </si>
  <si>
    <t>GP.114 , Chq No.42307</t>
  </si>
  <si>
    <t>GP.115, Chq No.42308</t>
  </si>
  <si>
    <t>Less: Cheque Deposited But Not Clear</t>
  </si>
  <si>
    <t xml:space="preserve">MR.127 Flat No.106 Cheque </t>
  </si>
  <si>
    <t>Balance As Per Pass Book</t>
  </si>
  <si>
    <t>FY 25-26</t>
  </si>
  <si>
    <t>Scheldule B: LIST OF FIXED DEPOSITS AS ON 31.03.2026</t>
  </si>
  <si>
    <t>Sr.</t>
  </si>
  <si>
    <t>Bank</t>
  </si>
  <si>
    <t>Rec No/FD no.</t>
  </si>
  <si>
    <t>Date of Creation</t>
  </si>
  <si>
    <t>Balance As on 01.04.25</t>
  </si>
  <si>
    <t>Addition</t>
  </si>
  <si>
    <t xml:space="preserve">Total </t>
  </si>
  <si>
    <t>T.D.S.</t>
  </si>
  <si>
    <t>Diff.</t>
  </si>
  <si>
    <t>Date of Maturity</t>
  </si>
  <si>
    <t>F. D. Matured/Renewed</t>
  </si>
  <si>
    <t>Balance. As on 31.03.26</t>
  </si>
  <si>
    <t>FD Status</t>
  </si>
  <si>
    <t>Ear Marking</t>
  </si>
  <si>
    <t>Principal</t>
  </si>
  <si>
    <t>Total</t>
  </si>
  <si>
    <t>during year</t>
  </si>
  <si>
    <t>Interest    (Recd.+Accrued)</t>
  </si>
  <si>
    <t>Int.</t>
  </si>
  <si>
    <t>Saraswat Bank</t>
  </si>
  <si>
    <t>Renew</t>
  </si>
  <si>
    <t>fund name not available</t>
  </si>
  <si>
    <t>Active</t>
  </si>
  <si>
    <t>closed</t>
  </si>
  <si>
    <t>MDCC</t>
  </si>
  <si>
    <t>3801/6825</t>
  </si>
  <si>
    <t>New FD</t>
  </si>
  <si>
    <t>3750/8584</t>
  </si>
  <si>
    <t>1824/1056</t>
  </si>
  <si>
    <t>1464/5553</t>
  </si>
  <si>
    <t>FD shown as per FD certificate but not shown in BS</t>
  </si>
  <si>
    <t>NICOLAS WADI S.R.A CO-OPERATIVE HOUSING SOCIETY LTD</t>
  </si>
  <si>
    <t>NICOLAS WADI S.R.A. CO-OPERATIVE HOUSING SOCIETY LTD</t>
  </si>
  <si>
    <t xml:space="preserve">AS PER MY REPORT ON EVEN DATE </t>
  </si>
  <si>
    <t>Shri. Bharat C. Boridkar</t>
  </si>
  <si>
    <t>PLACE : MUMBAI</t>
  </si>
  <si>
    <t>[Panel No.: Mumbai-4/C1/1011404]</t>
  </si>
  <si>
    <t>Govt. Certified Panel Auditor</t>
  </si>
  <si>
    <t>Chairman                        Hon. Secretary                   Hon. Treasurer</t>
  </si>
  <si>
    <t>For NICOLAS WADI S.R.A CO-OPERATIVE HOUSING SOCIETY LTD</t>
  </si>
  <si>
    <t xml:space="preserve">Common Amenities &amp; Development Fund </t>
  </si>
  <si>
    <t xml:space="preserve">Nicolswadi </t>
  </si>
  <si>
    <t>Remarks</t>
  </si>
  <si>
    <t>Accrued</t>
  </si>
  <si>
    <t>as per Balance certificate</t>
  </si>
  <si>
    <t>Diff</t>
  </si>
  <si>
    <t>check in bank closed amount recved. Because not shown in FD int. certificate</t>
  </si>
  <si>
    <t>Total Interest</t>
  </si>
  <si>
    <t>Total Accrued</t>
  </si>
  <si>
    <t>Builder FD</t>
  </si>
  <si>
    <t>Commonity fund</t>
  </si>
  <si>
    <t>recvd in bank</t>
  </si>
  <si>
    <t>Entry</t>
  </si>
  <si>
    <t>Accrued Int</t>
  </si>
  <si>
    <t>dr</t>
  </si>
  <si>
    <t>Interest on FD</t>
  </si>
  <si>
    <t>cr</t>
  </si>
  <si>
    <t>Recvd in bank</t>
  </si>
  <si>
    <t>Balance As on 31-03-2026</t>
  </si>
  <si>
    <t>Members Contribution (MMRDA Deposits)</t>
  </si>
  <si>
    <t>Less : Exces Accrued Interest Written off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</si>
</sst>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_(* #,##0.00_);_(* \(#,##0.00\);_(* &quot;-&quot;??_);_(@_)"/>
    <numFmt numFmtId="165" formatCode="_(* #,##0_);_(* \(#,##0\);_(* &quot;-&quot;??_);_(@_)"/>
    <numFmt numFmtId="166" formatCode="0.00_)"/>
    <numFmt numFmtId="167" formatCode="&quot;Mumbai: &quot;dd&quot;th&quot;\ mmmm\,\ yyyy"/>
  </numFmts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Times New Roman"/>
      <family val="1"/>
    </font>
    <font>
      <sz val="11"/>
      <name val="Times New Roman"/>
      <family val="1"/>
    </font>
    <font>
      <b/>
      <u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</font>
    <font>
      <sz val="11"/>
      <name val="Calibri"/>
      <family val="2"/>
    </font>
    <font>
      <b/>
      <sz val="10"/>
      <name val="Calibri"/>
      <family val="2"/>
    </font>
    <font>
      <b/>
      <u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u/>
      <sz val="10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u/>
      <sz val="1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i/>
      <sz val="11"/>
      <name val="Calibri"/>
      <family val="2"/>
      <scheme val="minor"/>
    </font>
    <font>
      <b/>
      <sz val="10"/>
      <name val="Arial"/>
      <family val="2"/>
    </font>
    <font>
      <b/>
      <sz val="14"/>
      <name val="Calibri"/>
      <family val="2"/>
      <scheme val="minor"/>
    </font>
    <font>
      <sz val="14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0000"/>
        <bgColor indexed="64"/>
      </patternFill>
    </fill>
  </fills>
  <borders count="4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indexed="64"/>
      </bottom>
      <diagonal/>
    </border>
    <border>
      <left style="thin">
        <color rgb="FF000000"/>
      </left>
      <right style="thin">
        <color rgb="FF000000"/>
      </right>
      <top/>
      <bottom style="double">
        <color indexed="64"/>
      </bottom>
      <diagonal/>
    </border>
    <border>
      <left/>
      <right style="thin">
        <color rgb="FF000000"/>
      </right>
      <top/>
      <bottom style="double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double">
        <color rgb="FF000000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6" fillId="0" borderId="0"/>
    <xf numFmtId="0" fontId="24" fillId="0" borderId="0"/>
    <xf numFmtId="0" fontId="4" fillId="0" borderId="0"/>
    <xf numFmtId="0" fontId="24" fillId="0" borderId="0"/>
  </cellStyleXfs>
  <cellXfs count="256">
    <xf numFmtId="0" fontId="0" fillId="0" borderId="0" xfId="0"/>
    <xf numFmtId="0" fontId="2" fillId="0" borderId="4" xfId="0" applyFont="1" applyBorder="1" applyAlignment="1">
      <alignment horizontal="center"/>
    </xf>
    <xf numFmtId="0" fontId="0" fillId="0" borderId="5" xfId="0" applyBorder="1"/>
    <xf numFmtId="0" fontId="5" fillId="0" borderId="0" xfId="0" applyFont="1"/>
    <xf numFmtId="2" fontId="0" fillId="0" borderId="2" xfId="0" applyNumberFormat="1" applyBorder="1"/>
    <xf numFmtId="2" fontId="0" fillId="0" borderId="14" xfId="0" applyNumberFormat="1" applyBorder="1"/>
    <xf numFmtId="0" fontId="0" fillId="0" borderId="10" xfId="0" applyBorder="1"/>
    <xf numFmtId="2" fontId="0" fillId="0" borderId="7" xfId="0" applyNumberFormat="1" applyBorder="1"/>
    <xf numFmtId="2" fontId="0" fillId="0" borderId="9" xfId="0" applyNumberFormat="1" applyBorder="1"/>
    <xf numFmtId="0" fontId="2" fillId="0" borderId="0" xfId="0" applyFont="1"/>
    <xf numFmtId="14" fontId="0" fillId="0" borderId="10" xfId="0" applyNumberFormat="1" applyBorder="1"/>
    <xf numFmtId="2" fontId="0" fillId="0" borderId="13" xfId="0" applyNumberFormat="1" applyBorder="1"/>
    <xf numFmtId="0" fontId="0" fillId="0" borderId="17" xfId="0" applyBorder="1"/>
    <xf numFmtId="2" fontId="0" fillId="0" borderId="18" xfId="0" applyNumberFormat="1" applyBorder="1"/>
    <xf numFmtId="0" fontId="0" fillId="0" borderId="19" xfId="0" applyBorder="1"/>
    <xf numFmtId="2" fontId="0" fillId="0" borderId="22" xfId="0" applyNumberFormat="1" applyBorder="1"/>
    <xf numFmtId="164" fontId="3" fillId="0" borderId="0" xfId="2" applyNumberFormat="1" applyFont="1" applyAlignment="1">
      <alignment vertical="center"/>
    </xf>
    <xf numFmtId="0" fontId="6" fillId="0" borderId="0" xfId="2"/>
    <xf numFmtId="0" fontId="7" fillId="0" borderId="0" xfId="2" applyFont="1" applyAlignment="1">
      <alignment vertical="center"/>
    </xf>
    <xf numFmtId="165" fontId="3" fillId="0" borderId="24" xfId="2" applyNumberFormat="1" applyFont="1" applyBorder="1" applyAlignment="1">
      <alignment horizontal="center" vertical="center"/>
    </xf>
    <xf numFmtId="165" fontId="3" fillId="0" borderId="24" xfId="2" applyNumberFormat="1" applyFont="1" applyBorder="1" applyAlignment="1">
      <alignment horizontal="center" vertical="center" wrapText="1"/>
    </xf>
    <xf numFmtId="0" fontId="8" fillId="0" borderId="28" xfId="2" applyFont="1" applyBorder="1"/>
    <xf numFmtId="1" fontId="3" fillId="0" borderId="28" xfId="2" applyNumberFormat="1" applyFont="1" applyBorder="1" applyAlignment="1">
      <alignment horizontal="center" vertical="center" wrapText="1"/>
    </xf>
    <xf numFmtId="165" fontId="3" fillId="0" borderId="29" xfId="2" applyNumberFormat="1" applyFont="1" applyBorder="1" applyAlignment="1">
      <alignment horizontal="center" vertical="center"/>
    </xf>
    <xf numFmtId="165" fontId="3" fillId="0" borderId="30" xfId="2" applyNumberFormat="1" applyFont="1" applyBorder="1" applyAlignment="1">
      <alignment horizontal="center" vertical="center"/>
    </xf>
    <xf numFmtId="165" fontId="3" fillId="0" borderId="28" xfId="2" applyNumberFormat="1" applyFont="1" applyBorder="1" applyAlignment="1">
      <alignment horizontal="center" vertical="center"/>
    </xf>
    <xf numFmtId="165" fontId="3" fillId="0" borderId="28" xfId="2" applyNumberFormat="1" applyFont="1" applyBorder="1" applyAlignment="1">
      <alignment horizontal="center" vertical="center" wrapText="1"/>
    </xf>
    <xf numFmtId="0" fontId="8" fillId="0" borderId="31" xfId="2" applyFont="1" applyBorder="1"/>
    <xf numFmtId="0" fontId="8" fillId="0" borderId="0" xfId="2" applyFont="1"/>
    <xf numFmtId="165" fontId="3" fillId="0" borderId="23" xfId="2" applyNumberFormat="1" applyFont="1" applyBorder="1" applyAlignment="1">
      <alignment horizontal="center" vertical="center"/>
    </xf>
    <xf numFmtId="165" fontId="3" fillId="0" borderId="31" xfId="2" applyNumberFormat="1" applyFont="1" applyBorder="1" applyAlignment="1">
      <alignment horizontal="center" vertical="center"/>
    </xf>
    <xf numFmtId="165" fontId="3" fillId="0" borderId="31" xfId="2" applyNumberFormat="1" applyFont="1" applyBorder="1" applyAlignment="1">
      <alignment horizontal="center" vertical="center" wrapText="1"/>
    </xf>
    <xf numFmtId="0" fontId="8" fillId="0" borderId="31" xfId="2" applyFont="1" applyBorder="1" applyAlignment="1">
      <alignment horizontal="center"/>
    </xf>
    <xf numFmtId="43" fontId="11" fillId="0" borderId="7" xfId="1" applyFont="1" applyBorder="1"/>
    <xf numFmtId="43" fontId="11" fillId="0" borderId="0" xfId="1" applyFont="1" applyBorder="1"/>
    <xf numFmtId="0" fontId="11" fillId="0" borderId="11" xfId="0" applyFont="1" applyBorder="1"/>
    <xf numFmtId="2" fontId="11" fillId="0" borderId="7" xfId="1" applyNumberFormat="1" applyFont="1" applyBorder="1"/>
    <xf numFmtId="2" fontId="11" fillId="0" borderId="7" xfId="0" applyNumberFormat="1" applyFont="1" applyBorder="1"/>
    <xf numFmtId="0" fontId="11" fillId="0" borderId="7" xfId="0" applyFont="1" applyBorder="1"/>
    <xf numFmtId="2" fontId="0" fillId="0" borderId="0" xfId="0" applyNumberFormat="1"/>
    <xf numFmtId="0" fontId="0" fillId="0" borderId="7" xfId="0" applyBorder="1"/>
    <xf numFmtId="43" fontId="11" fillId="0" borderId="11" xfId="1" applyFont="1" applyBorder="1"/>
    <xf numFmtId="0" fontId="16" fillId="0" borderId="7" xfId="0" applyFont="1" applyBorder="1" applyAlignment="1">
      <alignment horizontal="left" vertical="center"/>
    </xf>
    <xf numFmtId="2" fontId="16" fillId="0" borderId="7" xfId="0" applyNumberFormat="1" applyFont="1" applyBorder="1" applyAlignment="1">
      <alignment vertical="center"/>
    </xf>
    <xf numFmtId="2" fontId="11" fillId="0" borderId="11" xfId="1" applyNumberFormat="1" applyFont="1" applyBorder="1"/>
    <xf numFmtId="2" fontId="11" fillId="0" borderId="15" xfId="1" applyNumberFormat="1" applyFont="1" applyBorder="1"/>
    <xf numFmtId="2" fontId="13" fillId="0" borderId="7" xfId="0" applyNumberFormat="1" applyFont="1" applyBorder="1"/>
    <xf numFmtId="2" fontId="16" fillId="0" borderId="0" xfId="1" applyNumberFormat="1" applyFont="1" applyBorder="1" applyAlignment="1">
      <alignment vertical="center"/>
    </xf>
    <xf numFmtId="2" fontId="16" fillId="0" borderId="7" xfId="1" applyNumberFormat="1" applyFont="1" applyBorder="1" applyAlignment="1">
      <alignment vertical="center"/>
    </xf>
    <xf numFmtId="2" fontId="11" fillId="0" borderId="16" xfId="1" applyNumberFormat="1" applyFont="1" applyBorder="1"/>
    <xf numFmtId="2" fontId="11" fillId="0" borderId="15" xfId="0" applyNumberFormat="1" applyFont="1" applyBorder="1"/>
    <xf numFmtId="2" fontId="16" fillId="0" borderId="15" xfId="1" applyNumberFormat="1" applyFont="1" applyBorder="1" applyAlignment="1">
      <alignment vertical="center"/>
    </xf>
    <xf numFmtId="2" fontId="16" fillId="0" borderId="7" xfId="1" applyNumberFormat="1" applyFont="1" applyFill="1" applyBorder="1" applyAlignment="1">
      <alignment vertical="center"/>
    </xf>
    <xf numFmtId="2" fontId="11" fillId="0" borderId="0" xfId="1" applyNumberFormat="1" applyFont="1" applyBorder="1"/>
    <xf numFmtId="2" fontId="11" fillId="0" borderId="1" xfId="1" applyNumberFormat="1" applyFont="1" applyBorder="1"/>
    <xf numFmtId="2" fontId="11" fillId="0" borderId="7" xfId="1" applyNumberFormat="1" applyFont="1" applyFill="1" applyBorder="1"/>
    <xf numFmtId="2" fontId="11" fillId="0" borderId="15" xfId="1" applyNumberFormat="1" applyFont="1" applyFill="1" applyBorder="1"/>
    <xf numFmtId="2" fontId="11" fillId="0" borderId="0" xfId="1" applyNumberFormat="1" applyFont="1" applyFill="1" applyBorder="1"/>
    <xf numFmtId="2" fontId="11" fillId="0" borderId="11" xfId="1" quotePrefix="1" applyNumberFormat="1" applyFont="1" applyBorder="1" applyAlignment="1">
      <alignment horizontal="right"/>
    </xf>
    <xf numFmtId="2" fontId="11" fillId="0" borderId="11" xfId="1" applyNumberFormat="1" applyFont="1" applyFill="1" applyBorder="1"/>
    <xf numFmtId="2" fontId="16" fillId="0" borderId="13" xfId="1" applyNumberFormat="1" applyFont="1" applyBorder="1" applyAlignment="1">
      <alignment vertical="center"/>
    </xf>
    <xf numFmtId="2" fontId="0" fillId="0" borderId="15" xfId="0" applyNumberFormat="1" applyBorder="1"/>
    <xf numFmtId="2" fontId="21" fillId="0" borderId="7" xfId="0" applyNumberFormat="1" applyFont="1" applyBorder="1"/>
    <xf numFmtId="2" fontId="11" fillId="0" borderId="15" xfId="1" applyNumberFormat="1" applyFont="1" applyBorder="1" applyAlignment="1">
      <alignment horizontal="right"/>
    </xf>
    <xf numFmtId="2" fontId="11" fillId="0" borderId="1" xfId="0" applyNumberFormat="1" applyFont="1" applyBorder="1"/>
    <xf numFmtId="2" fontId="0" fillId="0" borderId="11" xfId="0" applyNumberFormat="1" applyBorder="1"/>
    <xf numFmtId="2" fontId="11" fillId="0" borderId="16" xfId="0" applyNumberFormat="1" applyFont="1" applyBorder="1"/>
    <xf numFmtId="2" fontId="14" fillId="0" borderId="34" xfId="1" applyNumberFormat="1" applyFont="1" applyBorder="1" applyAlignment="1">
      <alignment vertical="center"/>
    </xf>
    <xf numFmtId="2" fontId="16" fillId="0" borderId="34" xfId="1" applyNumberFormat="1" applyFont="1" applyBorder="1" applyAlignment="1">
      <alignment vertical="center"/>
    </xf>
    <xf numFmtId="0" fontId="14" fillId="0" borderId="34" xfId="0" applyFont="1" applyBorder="1" applyAlignment="1">
      <alignment horizontal="right" vertical="center"/>
    </xf>
    <xf numFmtId="43" fontId="17" fillId="0" borderId="34" xfId="1" applyFont="1" applyBorder="1"/>
    <xf numFmtId="2" fontId="11" fillId="0" borderId="34" xfId="0" applyNumberFormat="1" applyFont="1" applyBorder="1"/>
    <xf numFmtId="0" fontId="14" fillId="0" borderId="34" xfId="0" applyFont="1" applyBorder="1" applyAlignment="1">
      <alignment horizontal="center" vertical="center"/>
    </xf>
    <xf numFmtId="0" fontId="13" fillId="0" borderId="37" xfId="0" applyFont="1" applyBorder="1" applyAlignment="1">
      <alignment horizontal="center"/>
    </xf>
    <xf numFmtId="0" fontId="14" fillId="0" borderId="38" xfId="0" applyFont="1" applyBorder="1" applyAlignment="1">
      <alignment horizontal="center" vertical="center"/>
    </xf>
    <xf numFmtId="0" fontId="13" fillId="0" borderId="21" xfId="0" applyFont="1" applyBorder="1" applyAlignment="1">
      <alignment horizontal="center"/>
    </xf>
    <xf numFmtId="0" fontId="15" fillId="0" borderId="38" xfId="0" applyFont="1" applyBorder="1" applyAlignment="1">
      <alignment horizontal="center" vertical="center"/>
    </xf>
    <xf numFmtId="0" fontId="13" fillId="0" borderId="39" xfId="0" applyFont="1" applyBorder="1" applyAlignment="1">
      <alignment horizontal="center"/>
    </xf>
    <xf numFmtId="0" fontId="12" fillId="0" borderId="7" xfId="0" applyFont="1" applyBorder="1" applyAlignment="1">
      <alignment vertical="center"/>
    </xf>
    <xf numFmtId="43" fontId="20" fillId="0" borderId="7" xfId="1" applyFont="1" applyBorder="1" applyAlignment="1">
      <alignment horizontal="center" vertical="center"/>
    </xf>
    <xf numFmtId="43" fontId="20" fillId="0" borderId="11" xfId="1" applyFont="1" applyBorder="1" applyAlignment="1">
      <alignment vertical="center"/>
    </xf>
    <xf numFmtId="0" fontId="13" fillId="0" borderId="7" xfId="0" applyFont="1" applyBorder="1"/>
    <xf numFmtId="0" fontId="11" fillId="0" borderId="15" xfId="0" applyFont="1" applyBorder="1"/>
    <xf numFmtId="0" fontId="19" fillId="0" borderId="39" xfId="0" applyFont="1" applyBorder="1" applyAlignment="1">
      <alignment horizontal="center" vertical="center"/>
    </xf>
    <xf numFmtId="0" fontId="13" fillId="0" borderId="38" xfId="0" applyFont="1" applyBorder="1" applyAlignment="1">
      <alignment horizontal="center"/>
    </xf>
    <xf numFmtId="0" fontId="23" fillId="0" borderId="11" xfId="0" applyFont="1" applyBorder="1" applyAlignment="1">
      <alignment vertical="center"/>
    </xf>
    <xf numFmtId="0" fontId="23" fillId="0" borderId="0" xfId="0" applyFont="1" applyAlignment="1">
      <alignment vertical="center"/>
    </xf>
    <xf numFmtId="0" fontId="23" fillId="0" borderId="15" xfId="0" applyFont="1" applyBorder="1" applyAlignment="1">
      <alignment vertical="center"/>
    </xf>
    <xf numFmtId="2" fontId="6" fillId="0" borderId="11" xfId="3" applyNumberFormat="1" applyFont="1" applyBorder="1" applyAlignment="1">
      <alignment vertical="center"/>
    </xf>
    <xf numFmtId="0" fontId="6" fillId="0" borderId="11" xfId="3" applyFont="1" applyBorder="1" applyAlignment="1">
      <alignment vertical="center"/>
    </xf>
    <xf numFmtId="166" fontId="6" fillId="0" borderId="15" xfId="3" applyNumberFormat="1" applyFont="1" applyBorder="1" applyAlignment="1">
      <alignment vertical="center"/>
    </xf>
    <xf numFmtId="166" fontId="6" fillId="0" borderId="11" xfId="3" applyNumberFormat="1" applyFont="1" applyBorder="1" applyAlignment="1">
      <alignment vertical="center"/>
    </xf>
    <xf numFmtId="0" fontId="23" fillId="0" borderId="12" xfId="0" applyFont="1" applyBorder="1" applyAlignment="1">
      <alignment vertical="center"/>
    </xf>
    <xf numFmtId="0" fontId="23" fillId="0" borderId="1" xfId="0" applyFont="1" applyBorder="1" applyAlignment="1">
      <alignment vertical="center"/>
    </xf>
    <xf numFmtId="0" fontId="23" fillId="0" borderId="16" xfId="0" applyFont="1" applyBorder="1" applyAlignment="1">
      <alignment vertical="center"/>
    </xf>
    <xf numFmtId="2" fontId="11" fillId="0" borderId="11" xfId="1" quotePrefix="1" applyNumberFormat="1" applyFont="1" applyFill="1" applyBorder="1" applyAlignment="1">
      <alignment horizontal="right"/>
    </xf>
    <xf numFmtId="2" fontId="11" fillId="0" borderId="16" xfId="1" applyNumberFormat="1" applyFont="1" applyFill="1" applyBorder="1"/>
    <xf numFmtId="4" fontId="14" fillId="0" borderId="34" xfId="0" applyNumberFormat="1" applyFont="1" applyBorder="1" applyAlignment="1">
      <alignment horizontal="right"/>
    </xf>
    <xf numFmtId="43" fontId="14" fillId="0" borderId="34" xfId="1" applyFont="1" applyBorder="1" applyAlignment="1">
      <alignment vertical="center"/>
    </xf>
    <xf numFmtId="43" fontId="11" fillId="2" borderId="7" xfId="1" applyFont="1" applyFill="1" applyBorder="1"/>
    <xf numFmtId="43" fontId="16" fillId="0" borderId="15" xfId="1" applyFont="1" applyFill="1" applyBorder="1" applyAlignment="1">
      <alignment horizontal="right" vertical="center"/>
    </xf>
    <xf numFmtId="0" fontId="6" fillId="0" borderId="1" xfId="3" applyFont="1" applyBorder="1" applyAlignment="1">
      <alignment vertical="center"/>
    </xf>
    <xf numFmtId="0" fontId="0" fillId="0" borderId="15" xfId="0" applyBorder="1"/>
    <xf numFmtId="2" fontId="14" fillId="0" borderId="34" xfId="0" applyNumberFormat="1" applyFont="1" applyBorder="1" applyAlignment="1">
      <alignment horizontal="right"/>
    </xf>
    <xf numFmtId="0" fontId="24" fillId="0" borderId="0" xfId="2" applyFont="1"/>
    <xf numFmtId="0" fontId="26" fillId="0" borderId="0" xfId="2" applyFont="1" applyAlignment="1">
      <alignment wrapText="1"/>
    </xf>
    <xf numFmtId="165" fontId="3" fillId="0" borderId="0" xfId="2" applyNumberFormat="1" applyFont="1" applyAlignment="1">
      <alignment horizontal="center" vertical="center"/>
    </xf>
    <xf numFmtId="0" fontId="7" fillId="0" borderId="25" xfId="2" applyFont="1" applyBorder="1" applyAlignment="1">
      <alignment horizontal="center" vertical="center"/>
    </xf>
    <xf numFmtId="0" fontId="7" fillId="0" borderId="4" xfId="2" applyFont="1" applyBorder="1" applyAlignment="1">
      <alignment vertical="center"/>
    </xf>
    <xf numFmtId="0" fontId="7" fillId="0" borderId="29" xfId="2" applyFont="1" applyBorder="1"/>
    <xf numFmtId="14" fontId="7" fillId="0" borderId="29" xfId="2" applyNumberFormat="1" applyFont="1" applyBorder="1"/>
    <xf numFmtId="3" fontId="7" fillId="0" borderId="29" xfId="2" applyNumberFormat="1" applyFont="1" applyBorder="1"/>
    <xf numFmtId="165" fontId="7" fillId="0" borderId="26" xfId="2" applyNumberFormat="1" applyFont="1" applyBorder="1" applyAlignment="1">
      <alignment vertical="center"/>
    </xf>
    <xf numFmtId="165" fontId="7" fillId="3" borderId="29" xfId="2" applyNumberFormat="1" applyFont="1" applyFill="1" applyBorder="1" applyAlignment="1">
      <alignment vertical="center"/>
    </xf>
    <xf numFmtId="164" fontId="7" fillId="0" borderId="26" xfId="2" applyNumberFormat="1" applyFont="1" applyBorder="1" applyAlignment="1">
      <alignment horizontal="center" vertical="center"/>
    </xf>
    <xf numFmtId="3" fontId="8" fillId="0" borderId="29" xfId="2" applyNumberFormat="1" applyFont="1" applyBorder="1"/>
    <xf numFmtId="165" fontId="7" fillId="0" borderId="25" xfId="2" applyNumberFormat="1" applyFont="1" applyBorder="1" applyAlignment="1">
      <alignment vertical="center"/>
    </xf>
    <xf numFmtId="165" fontId="7" fillId="3" borderId="25" xfId="2" applyNumberFormat="1" applyFont="1" applyFill="1" applyBorder="1" applyAlignment="1">
      <alignment vertical="center"/>
    </xf>
    <xf numFmtId="0" fontId="7" fillId="4" borderId="29" xfId="2" applyFont="1" applyFill="1" applyBorder="1" applyAlignment="1">
      <alignment vertical="center"/>
    </xf>
    <xf numFmtId="0" fontId="7" fillId="4" borderId="0" xfId="2" applyFont="1" applyFill="1" applyAlignment="1">
      <alignment vertical="center"/>
    </xf>
    <xf numFmtId="165" fontId="24" fillId="0" borderId="0" xfId="2" applyNumberFormat="1" applyFont="1"/>
    <xf numFmtId="3" fontId="7" fillId="0" borderId="24" xfId="2" applyNumberFormat="1" applyFont="1" applyBorder="1"/>
    <xf numFmtId="165" fontId="7" fillId="0" borderId="32" xfId="2" applyNumberFormat="1" applyFont="1" applyBorder="1" applyAlignment="1">
      <alignment vertical="center"/>
    </xf>
    <xf numFmtId="165" fontId="7" fillId="5" borderId="25" xfId="2" applyNumberFormat="1" applyFont="1" applyFill="1" applyBorder="1" applyAlignment="1">
      <alignment vertical="center"/>
    </xf>
    <xf numFmtId="0" fontId="7" fillId="4" borderId="0" xfId="2" applyFont="1" applyFill="1" applyAlignment="1">
      <alignment vertical="center" wrapText="1"/>
    </xf>
    <xf numFmtId="14" fontId="7" fillId="0" borderId="25" xfId="2" applyNumberFormat="1" applyFont="1" applyBorder="1"/>
    <xf numFmtId="165" fontId="7" fillId="0" borderId="4" xfId="2" applyNumberFormat="1" applyFont="1" applyBorder="1" applyAlignment="1">
      <alignment vertical="center"/>
    </xf>
    <xf numFmtId="165" fontId="7" fillId="0" borderId="23" xfId="2" applyNumberFormat="1" applyFont="1" applyBorder="1" applyAlignment="1">
      <alignment vertical="center"/>
    </xf>
    <xf numFmtId="165" fontId="7" fillId="4" borderId="0" xfId="2" applyNumberFormat="1" applyFont="1" applyFill="1" applyAlignment="1">
      <alignment vertical="center"/>
    </xf>
    <xf numFmtId="0" fontId="9" fillId="0" borderId="33" xfId="2" applyFont="1" applyBorder="1" applyAlignment="1">
      <alignment horizontal="center" vertical="center"/>
    </xf>
    <xf numFmtId="165" fontId="9" fillId="0" borderId="33" xfId="2" applyNumberFormat="1" applyFont="1" applyBorder="1" applyAlignment="1">
      <alignment vertical="center"/>
    </xf>
    <xf numFmtId="1" fontId="9" fillId="0" borderId="33" xfId="2" applyNumberFormat="1" applyFont="1" applyBorder="1" applyAlignment="1">
      <alignment vertical="center"/>
    </xf>
    <xf numFmtId="165" fontId="9" fillId="3" borderId="33" xfId="2" applyNumberFormat="1" applyFont="1" applyFill="1" applyBorder="1" applyAlignment="1">
      <alignment vertical="center"/>
    </xf>
    <xf numFmtId="0" fontId="9" fillId="0" borderId="33" xfId="2" applyFont="1" applyBorder="1" applyAlignment="1">
      <alignment vertical="center"/>
    </xf>
    <xf numFmtId="0" fontId="9" fillId="0" borderId="0" xfId="2" applyFont="1" applyAlignment="1">
      <alignment vertical="center"/>
    </xf>
    <xf numFmtId="1" fontId="24" fillId="0" borderId="0" xfId="2" applyNumberFormat="1" applyFont="1"/>
    <xf numFmtId="165" fontId="7" fillId="3" borderId="27" xfId="2" applyNumberFormat="1" applyFont="1" applyFill="1" applyBorder="1" applyAlignment="1">
      <alignment vertical="center"/>
    </xf>
    <xf numFmtId="0" fontId="7" fillId="6" borderId="4" xfId="2" applyFont="1" applyFill="1" applyBorder="1" applyAlignment="1">
      <alignment vertical="center"/>
    </xf>
    <xf numFmtId="0" fontId="7" fillId="6" borderId="29" xfId="2" applyFont="1" applyFill="1" applyBorder="1"/>
    <xf numFmtId="14" fontId="7" fillId="6" borderId="29" xfId="2" applyNumberFormat="1" applyFont="1" applyFill="1" applyBorder="1"/>
    <xf numFmtId="165" fontId="7" fillId="6" borderId="4" xfId="2" applyNumberFormat="1" applyFont="1" applyFill="1" applyBorder="1" applyAlignment="1">
      <alignment vertical="center"/>
    </xf>
    <xf numFmtId="165" fontId="7" fillId="6" borderId="23" xfId="2" applyNumberFormat="1" applyFont="1" applyFill="1" applyBorder="1" applyAlignment="1">
      <alignment vertical="center"/>
    </xf>
    <xf numFmtId="0" fontId="7" fillId="4" borderId="29" xfId="2" applyFont="1" applyFill="1" applyBorder="1" applyAlignment="1">
      <alignment vertical="center" wrapText="1"/>
    </xf>
    <xf numFmtId="43" fontId="24" fillId="0" borderId="0" xfId="2" applyNumberFormat="1" applyFont="1"/>
    <xf numFmtId="43" fontId="26" fillId="0" borderId="0" xfId="1" applyFont="1"/>
    <xf numFmtId="43" fontId="24" fillId="0" borderId="0" xfId="1" applyFont="1"/>
    <xf numFmtId="2" fontId="11" fillId="0" borderId="0" xfId="0" applyNumberFormat="1" applyFont="1"/>
    <xf numFmtId="0" fontId="11" fillId="0" borderId="0" xfId="0" applyFont="1"/>
    <xf numFmtId="0" fontId="16" fillId="0" borderId="0" xfId="0" applyFont="1" applyAlignment="1">
      <alignment horizontal="left" vertical="center"/>
    </xf>
    <xf numFmtId="166" fontId="6" fillId="0" borderId="0" xfId="3" applyNumberFormat="1" applyFont="1" applyAlignment="1">
      <alignment vertical="center"/>
    </xf>
    <xf numFmtId="0" fontId="23" fillId="0" borderId="0" xfId="0" applyFont="1" applyAlignment="1">
      <alignment horizontal="center" vertical="center"/>
    </xf>
    <xf numFmtId="0" fontId="22" fillId="0" borderId="0" xfId="3" applyFont="1" applyAlignment="1">
      <alignment horizontal="center" vertical="center"/>
    </xf>
    <xf numFmtId="2" fontId="6" fillId="0" borderId="0" xfId="3" applyNumberFormat="1" applyFont="1" applyAlignment="1">
      <alignment horizontal="left" vertical="center"/>
    </xf>
    <xf numFmtId="0" fontId="6" fillId="0" borderId="0" xfId="3" applyFont="1" applyAlignment="1">
      <alignment horizontal="left" vertical="center"/>
    </xf>
    <xf numFmtId="0" fontId="20" fillId="0" borderId="0" xfId="0" applyFont="1" applyAlignment="1">
      <alignment vertical="center"/>
    </xf>
    <xf numFmtId="2" fontId="16" fillId="0" borderId="0" xfId="0" applyNumberFormat="1" applyFont="1" applyAlignment="1">
      <alignment vertical="center"/>
    </xf>
    <xf numFmtId="0" fontId="23" fillId="0" borderId="0" xfId="0" applyFont="1" applyAlignment="1">
      <alignment horizontal="right" vertical="center"/>
    </xf>
    <xf numFmtId="1" fontId="18" fillId="0" borderId="0" xfId="4" applyNumberFormat="1" applyFont="1" applyAlignment="1">
      <alignment vertical="center"/>
    </xf>
    <xf numFmtId="1" fontId="6" fillId="0" borderId="0" xfId="4" applyNumberFormat="1" applyFont="1" applyAlignment="1">
      <alignment vertical="center"/>
    </xf>
    <xf numFmtId="0" fontId="6" fillId="0" borderId="0" xfId="3" applyFont="1" applyAlignment="1">
      <alignment vertical="center"/>
    </xf>
    <xf numFmtId="0" fontId="28" fillId="0" borderId="0" xfId="2" applyFont="1" applyAlignment="1">
      <alignment horizontal="center" vertical="center"/>
    </xf>
    <xf numFmtId="1" fontId="28" fillId="0" borderId="0" xfId="2" applyNumberFormat="1" applyFont="1" applyAlignment="1">
      <alignment horizontal="center" vertical="center"/>
    </xf>
    <xf numFmtId="0" fontId="16" fillId="0" borderId="0" xfId="2" applyFont="1" applyAlignment="1">
      <alignment horizontal="center" vertical="center"/>
    </xf>
    <xf numFmtId="165" fontId="14" fillId="0" borderId="41" xfId="2" applyNumberFormat="1" applyFont="1" applyBorder="1" applyAlignment="1">
      <alignment horizontal="center" vertical="center"/>
    </xf>
    <xf numFmtId="165" fontId="14" fillId="0" borderId="43" xfId="2" applyNumberFormat="1" applyFont="1" applyBorder="1" applyAlignment="1">
      <alignment horizontal="center" vertical="center"/>
    </xf>
    <xf numFmtId="165" fontId="14" fillId="0" borderId="42" xfId="2" applyNumberFormat="1" applyFont="1" applyBorder="1" applyAlignment="1">
      <alignment horizontal="center" vertical="center"/>
    </xf>
    <xf numFmtId="0" fontId="14" fillId="0" borderId="0" xfId="2" applyFont="1" applyAlignment="1">
      <alignment horizontal="center" vertical="center" wrapText="1"/>
    </xf>
    <xf numFmtId="0" fontId="16" fillId="0" borderId="31" xfId="2" applyFont="1" applyBorder="1" applyAlignment="1">
      <alignment horizontal="center" vertical="center"/>
    </xf>
    <xf numFmtId="0" fontId="16" fillId="0" borderId="28" xfId="2" applyFont="1" applyBorder="1" applyAlignment="1">
      <alignment horizontal="center" vertical="center"/>
    </xf>
    <xf numFmtId="1" fontId="14" fillId="0" borderId="28" xfId="2" applyNumberFormat="1" applyFont="1" applyBorder="1" applyAlignment="1">
      <alignment horizontal="center" vertical="center" wrapText="1"/>
    </xf>
    <xf numFmtId="165" fontId="14" fillId="0" borderId="28" xfId="2" applyNumberFormat="1" applyFont="1" applyBorder="1" applyAlignment="1">
      <alignment horizontal="center" vertical="center"/>
    </xf>
    <xf numFmtId="165" fontId="14" fillId="0" borderId="23" xfId="2" applyNumberFormat="1" applyFont="1" applyBorder="1" applyAlignment="1">
      <alignment horizontal="center" vertical="center"/>
    </xf>
    <xf numFmtId="165" fontId="14" fillId="0" borderId="28" xfId="2" applyNumberFormat="1" applyFont="1" applyBorder="1" applyAlignment="1">
      <alignment horizontal="center" vertical="center" wrapText="1"/>
    </xf>
    <xf numFmtId="0" fontId="16" fillId="0" borderId="25" xfId="2" applyFont="1" applyBorder="1" applyAlignment="1">
      <alignment horizontal="center" vertical="center"/>
    </xf>
    <xf numFmtId="0" fontId="16" fillId="0" borderId="4" xfId="2" applyFont="1" applyBorder="1" applyAlignment="1">
      <alignment horizontal="center" vertical="center"/>
    </xf>
    <xf numFmtId="0" fontId="16" fillId="0" borderId="29" xfId="2" applyFont="1" applyBorder="1" applyAlignment="1">
      <alignment horizontal="center" vertical="center"/>
    </xf>
    <xf numFmtId="14" fontId="16" fillId="0" borderId="29" xfId="2" applyNumberFormat="1" applyFont="1" applyBorder="1" applyAlignment="1">
      <alignment horizontal="center" vertical="center"/>
    </xf>
    <xf numFmtId="165" fontId="16" fillId="0" borderId="25" xfId="2" applyNumberFormat="1" applyFont="1" applyBorder="1" applyAlignment="1">
      <alignment horizontal="center" vertical="center"/>
    </xf>
    <xf numFmtId="165" fontId="16" fillId="0" borderId="29" xfId="2" applyNumberFormat="1" applyFont="1" applyBorder="1" applyAlignment="1">
      <alignment horizontal="center" vertical="center"/>
    </xf>
    <xf numFmtId="165" fontId="16" fillId="0" borderId="0" xfId="2" applyNumberFormat="1" applyFont="1" applyAlignment="1">
      <alignment horizontal="center" vertical="center"/>
    </xf>
    <xf numFmtId="14" fontId="16" fillId="0" borderId="25" xfId="2" applyNumberFormat="1" applyFont="1" applyBorder="1" applyAlignment="1">
      <alignment horizontal="center" vertical="center"/>
    </xf>
    <xf numFmtId="165" fontId="16" fillId="0" borderId="26" xfId="2" applyNumberFormat="1" applyFont="1" applyBorder="1" applyAlignment="1">
      <alignment horizontal="center" vertical="center"/>
    </xf>
    <xf numFmtId="0" fontId="14" fillId="0" borderId="33" xfId="2" applyFont="1" applyBorder="1" applyAlignment="1">
      <alignment horizontal="center" vertical="center"/>
    </xf>
    <xf numFmtId="165" fontId="14" fillId="0" borderId="33" xfId="2" applyNumberFormat="1" applyFont="1" applyBorder="1" applyAlignment="1">
      <alignment horizontal="center" vertical="center"/>
    </xf>
    <xf numFmtId="1" fontId="14" fillId="0" borderId="33" xfId="2" applyNumberFormat="1" applyFont="1" applyBorder="1" applyAlignment="1">
      <alignment horizontal="center" vertical="center"/>
    </xf>
    <xf numFmtId="1" fontId="16" fillId="0" borderId="0" xfId="2" applyNumberFormat="1" applyFont="1" applyAlignment="1">
      <alignment horizontal="center" vertical="center"/>
    </xf>
    <xf numFmtId="165" fontId="16" fillId="0" borderId="45" xfId="2" applyNumberFormat="1" applyFont="1" applyBorder="1" applyAlignment="1">
      <alignment horizontal="center" vertical="center"/>
    </xf>
    <xf numFmtId="165" fontId="14" fillId="0" borderId="46" xfId="2" applyNumberFormat="1" applyFont="1" applyBorder="1" applyAlignment="1">
      <alignment horizontal="center" vertical="center"/>
    </xf>
    <xf numFmtId="165" fontId="16" fillId="0" borderId="4" xfId="2" applyNumberFormat="1" applyFont="1" applyBorder="1" applyAlignment="1">
      <alignment horizontal="center" vertical="center"/>
    </xf>
    <xf numFmtId="165" fontId="3" fillId="0" borderId="40" xfId="2" applyNumberFormat="1" applyFont="1" applyBorder="1" applyAlignment="1">
      <alignment horizontal="center" vertical="center"/>
    </xf>
    <xf numFmtId="165" fontId="3" fillId="0" borderId="25" xfId="2" applyNumberFormat="1" applyFont="1" applyBorder="1" applyAlignment="1">
      <alignment horizontal="center" vertical="center"/>
    </xf>
    <xf numFmtId="0" fontId="8" fillId="0" borderId="26" xfId="2" applyFont="1" applyBorder="1"/>
    <xf numFmtId="0" fontId="8" fillId="0" borderId="27" xfId="2" applyFont="1" applyBorder="1"/>
    <xf numFmtId="0" fontId="8" fillId="0" borderId="24" xfId="2" applyFont="1" applyBorder="1" applyAlignment="1">
      <alignment horizontal="center"/>
    </xf>
    <xf numFmtId="0" fontId="8" fillId="0" borderId="28" xfId="2" applyFont="1" applyBorder="1" applyAlignment="1">
      <alignment horizontal="center"/>
    </xf>
    <xf numFmtId="165" fontId="3" fillId="0" borderId="24" xfId="2" applyNumberFormat="1" applyFont="1" applyBorder="1" applyAlignment="1">
      <alignment horizontal="center" vertical="center"/>
    </xf>
    <xf numFmtId="0" fontId="8" fillId="0" borderId="28" xfId="2" applyFont="1" applyBorder="1"/>
    <xf numFmtId="0" fontId="3" fillId="0" borderId="23" xfId="2" applyFont="1" applyBorder="1" applyAlignment="1">
      <alignment horizontal="center" vertical="center"/>
    </xf>
    <xf numFmtId="0" fontId="8" fillId="0" borderId="23" xfId="2" applyFont="1" applyBorder="1"/>
    <xf numFmtId="0" fontId="3" fillId="0" borderId="24" xfId="2" applyFont="1" applyBorder="1" applyAlignment="1">
      <alignment horizontal="center" vertical="center"/>
    </xf>
    <xf numFmtId="1" fontId="3" fillId="0" borderId="24" xfId="2" applyNumberFormat="1" applyFont="1" applyBorder="1" applyAlignment="1">
      <alignment horizontal="center" vertical="center"/>
    </xf>
    <xf numFmtId="1" fontId="3" fillId="0" borderId="24" xfId="2" applyNumberFormat="1" applyFont="1" applyBorder="1" applyAlignment="1">
      <alignment horizontal="center" vertical="center" wrapText="1"/>
    </xf>
    <xf numFmtId="1" fontId="3" fillId="0" borderId="28" xfId="2" applyNumberFormat="1" applyFont="1" applyBorder="1" applyAlignment="1">
      <alignment horizontal="center" vertical="center" wrapText="1"/>
    </xf>
    <xf numFmtId="165" fontId="3" fillId="0" borderId="24" xfId="2" applyNumberFormat="1" applyFont="1" applyBorder="1" applyAlignment="1">
      <alignment horizontal="center" vertical="center" wrapText="1"/>
    </xf>
    <xf numFmtId="165" fontId="3" fillId="0" borderId="28" xfId="2" applyNumberFormat="1" applyFont="1" applyBorder="1" applyAlignment="1">
      <alignment horizontal="center" vertical="center" wrapText="1"/>
    </xf>
    <xf numFmtId="167" fontId="6" fillId="0" borderId="12" xfId="5" applyNumberFormat="1" applyFont="1" applyBorder="1" applyAlignment="1">
      <alignment horizontal="left" vertical="center"/>
    </xf>
    <xf numFmtId="167" fontId="6" fillId="0" borderId="1" xfId="5" applyNumberFormat="1" applyFont="1" applyBorder="1" applyAlignment="1">
      <alignment horizontal="left" vertical="center"/>
    </xf>
    <xf numFmtId="166" fontId="14" fillId="0" borderId="0" xfId="3" applyNumberFormat="1" applyFont="1" applyAlignment="1">
      <alignment horizontal="center" vertical="top" wrapText="1"/>
    </xf>
    <xf numFmtId="166" fontId="14" fillId="0" borderId="15" xfId="3" applyNumberFormat="1" applyFont="1" applyBorder="1" applyAlignment="1">
      <alignment horizontal="center" vertical="top" wrapText="1"/>
    </xf>
    <xf numFmtId="166" fontId="6" fillId="0" borderId="1" xfId="3" applyNumberFormat="1" applyFont="1" applyBorder="1" applyAlignment="1">
      <alignment horizontal="center" vertical="center"/>
    </xf>
    <xf numFmtId="166" fontId="6" fillId="0" borderId="16" xfId="3" applyNumberFormat="1" applyFont="1" applyBorder="1" applyAlignment="1">
      <alignment horizontal="center" vertical="center"/>
    </xf>
    <xf numFmtId="1" fontId="18" fillId="0" borderId="0" xfId="4" applyNumberFormat="1" applyFont="1" applyAlignment="1">
      <alignment horizontal="center" vertical="center"/>
    </xf>
    <xf numFmtId="1" fontId="6" fillId="0" borderId="0" xfId="4" applyNumberFormat="1" applyFont="1" applyAlignment="1">
      <alignment horizontal="center" vertical="center"/>
    </xf>
    <xf numFmtId="0" fontId="22" fillId="0" borderId="0" xfId="3" applyFont="1" applyAlignment="1">
      <alignment horizontal="center" vertical="center"/>
    </xf>
    <xf numFmtId="0" fontId="25" fillId="0" borderId="0" xfId="3" applyFont="1" applyAlignment="1">
      <alignment horizontal="center" vertical="center"/>
    </xf>
    <xf numFmtId="0" fontId="10" fillId="0" borderId="6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1" fillId="0" borderId="11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1" fillId="0" borderId="15" xfId="0" applyFont="1" applyBorder="1" applyAlignment="1">
      <alignment horizontal="center"/>
    </xf>
    <xf numFmtId="0" fontId="15" fillId="0" borderId="12" xfId="0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15" fillId="0" borderId="16" xfId="0" applyFont="1" applyBorder="1" applyAlignment="1">
      <alignment horizontal="center"/>
    </xf>
    <xf numFmtId="0" fontId="13" fillId="0" borderId="39" xfId="0" applyFont="1" applyBorder="1" applyAlignment="1">
      <alignment horizontal="center"/>
    </xf>
    <xf numFmtId="0" fontId="13" fillId="0" borderId="21" xfId="0" applyFont="1" applyBorder="1" applyAlignment="1">
      <alignment horizontal="center"/>
    </xf>
    <xf numFmtId="167" fontId="6" fillId="0" borderId="11" xfId="5" applyNumberFormat="1" applyFont="1" applyBorder="1" applyAlignment="1">
      <alignment horizontal="left" vertical="center"/>
    </xf>
    <xf numFmtId="167" fontId="6" fillId="0" borderId="0" xfId="5" applyNumberFormat="1" applyFont="1" applyAlignment="1">
      <alignment horizontal="left" vertical="center"/>
    </xf>
    <xf numFmtId="166" fontId="6" fillId="0" borderId="0" xfId="3" applyNumberFormat="1" applyFont="1" applyAlignment="1">
      <alignment horizontal="center" vertical="center"/>
    </xf>
    <xf numFmtId="166" fontId="6" fillId="0" borderId="15" xfId="3" applyNumberFormat="1" applyFont="1" applyBorder="1" applyAlignment="1">
      <alignment horizontal="center" vertical="center"/>
    </xf>
    <xf numFmtId="2" fontId="14" fillId="0" borderId="34" xfId="0" applyNumberFormat="1" applyFont="1" applyBorder="1" applyAlignment="1">
      <alignment horizontal="center" vertical="center"/>
    </xf>
    <xf numFmtId="2" fontId="14" fillId="0" borderId="35" xfId="0" applyNumberFormat="1" applyFont="1" applyBorder="1" applyAlignment="1">
      <alignment horizontal="center"/>
    </xf>
    <xf numFmtId="2" fontId="14" fillId="0" borderId="36" xfId="0" applyNumberFormat="1" applyFont="1" applyBorder="1" applyAlignment="1">
      <alignment horizontal="center"/>
    </xf>
    <xf numFmtId="0" fontId="14" fillId="0" borderId="12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4" fillId="0" borderId="16" xfId="0" applyFont="1" applyBorder="1" applyAlignment="1">
      <alignment horizontal="center" vertical="center"/>
    </xf>
    <xf numFmtId="0" fontId="18" fillId="0" borderId="38" xfId="0" applyFont="1" applyBorder="1" applyAlignment="1">
      <alignment horizontal="center" vertical="center"/>
    </xf>
    <xf numFmtId="164" fontId="27" fillId="0" borderId="6" xfId="2" applyNumberFormat="1" applyFont="1" applyBorder="1" applyAlignment="1">
      <alignment horizontal="center" vertical="center"/>
    </xf>
    <xf numFmtId="164" fontId="27" fillId="0" borderId="8" xfId="2" applyNumberFormat="1" applyFont="1" applyBorder="1" applyAlignment="1">
      <alignment horizontal="center" vertical="center"/>
    </xf>
    <xf numFmtId="164" fontId="27" fillId="0" borderId="3" xfId="2" applyNumberFormat="1" applyFont="1" applyBorder="1" applyAlignment="1">
      <alignment horizontal="center" vertical="center"/>
    </xf>
    <xf numFmtId="0" fontId="27" fillId="0" borderId="12" xfId="2" applyFont="1" applyBorder="1" applyAlignment="1">
      <alignment horizontal="center" vertical="center"/>
    </xf>
    <xf numFmtId="0" fontId="28" fillId="0" borderId="1" xfId="2" applyFont="1" applyBorder="1" applyAlignment="1">
      <alignment horizontal="center" vertical="center"/>
    </xf>
    <xf numFmtId="0" fontId="28" fillId="0" borderId="16" xfId="2" applyFont="1" applyBorder="1" applyAlignment="1">
      <alignment horizontal="center" vertical="center"/>
    </xf>
    <xf numFmtId="0" fontId="14" fillId="0" borderId="44" xfId="2" applyFont="1" applyBorder="1" applyAlignment="1">
      <alignment horizontal="center" vertical="center"/>
    </xf>
    <xf numFmtId="0" fontId="16" fillId="0" borderId="42" xfId="2" applyFont="1" applyBorder="1" applyAlignment="1">
      <alignment horizontal="center" vertical="center"/>
    </xf>
    <xf numFmtId="1" fontId="14" fillId="0" borderId="44" xfId="2" applyNumberFormat="1" applyFont="1" applyBorder="1" applyAlignment="1">
      <alignment horizontal="center" vertical="center"/>
    </xf>
    <xf numFmtId="1" fontId="14" fillId="0" borderId="44" xfId="2" applyNumberFormat="1" applyFont="1" applyBorder="1" applyAlignment="1">
      <alignment horizontal="center" vertical="center" wrapText="1"/>
    </xf>
    <xf numFmtId="1" fontId="14" fillId="0" borderId="42" xfId="2" applyNumberFormat="1" applyFont="1" applyBorder="1" applyAlignment="1">
      <alignment horizontal="center" vertical="center" wrapText="1"/>
    </xf>
    <xf numFmtId="165" fontId="14" fillId="0" borderId="31" xfId="2" applyNumberFormat="1" applyFont="1" applyBorder="1" applyAlignment="1">
      <alignment horizontal="center" vertical="center"/>
    </xf>
    <xf numFmtId="0" fontId="16" fillId="0" borderId="23" xfId="2" applyFont="1" applyBorder="1" applyAlignment="1">
      <alignment horizontal="center" vertical="center"/>
    </xf>
    <xf numFmtId="0" fontId="16" fillId="0" borderId="30" xfId="2" applyFont="1" applyBorder="1" applyAlignment="1">
      <alignment horizontal="center" vertical="center"/>
    </xf>
    <xf numFmtId="165" fontId="14" fillId="0" borderId="44" xfId="2" applyNumberFormat="1" applyFont="1" applyBorder="1" applyAlignment="1">
      <alignment horizontal="center" vertical="center" wrapText="1"/>
    </xf>
    <xf numFmtId="165" fontId="14" fillId="0" borderId="42" xfId="2" applyNumberFormat="1" applyFont="1" applyBorder="1" applyAlignment="1">
      <alignment horizontal="center" vertical="center" wrapText="1"/>
    </xf>
    <xf numFmtId="0" fontId="0" fillId="3" borderId="4" xfId="0" applyFill="1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</cellXfs>
  <cellStyles count="6">
    <cellStyle name="Comma" xfId="1" builtinId="3"/>
    <cellStyle name="Normal" xfId="0" builtinId="0"/>
    <cellStyle name="Normal 3" xfId="2" xr:uid="{00000000-0005-0000-0000-000002000000}"/>
    <cellStyle name="Normal 5 2" xfId="3" xr:uid="{52E3FA64-090E-433C-82B7-4117D86F15ED}"/>
    <cellStyle name="Normal_BSPL 2004 NS" xfId="5" xr:uid="{A95E7EC5-D713-4B01-BCD9-C8F9E7EF44A3}"/>
    <cellStyle name="Normal_FY 2003-2004  2 2" xfId="4" xr:uid="{943D66A7-F85B-441C-BA29-211486FD3D7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Users/admin/Downloads/Nicolas%20Wadi.xlsx" TargetMode="External"/><Relationship Id="rId1" Type="http://schemas.openxmlformats.org/officeDocument/2006/relationships/externalLinkPath" Target="/Users/admin/Downloads/Nicolas%20Wadi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BS 16-17"/>
      <sheetName val="FD 17-18"/>
      <sheetName val="BS 17-18"/>
      <sheetName val="BRS 17-18"/>
      <sheetName val="CHCK LIST"/>
      <sheetName val="O FORM 17-18"/>
      <sheetName val="BRS 18-19"/>
      <sheetName val="FD 18-19"/>
      <sheetName val="BS 18-19"/>
      <sheetName val="O Form 2018-19"/>
      <sheetName val="BRS 19-20"/>
      <sheetName val="FD 19-20"/>
      <sheetName val="BS 19-20"/>
      <sheetName val="FD 20-21"/>
      <sheetName val="BS -21-22"/>
      <sheetName val="FD 21-22"/>
      <sheetName val="Sheet3"/>
      <sheetName val="BS 20-21"/>
      <sheetName val="BS 21-22"/>
      <sheetName val="BS 22-23"/>
      <sheetName val="FD 22-23"/>
      <sheetName val="BRS 20-23"/>
      <sheetName val="I &amp; E 23-24"/>
      <sheetName val="BS 23-24"/>
      <sheetName val="FD 23-24"/>
      <sheetName val="I &amp; E 24-25"/>
      <sheetName val="BS 24-25"/>
      <sheetName val="FD 24-25"/>
      <sheetName val="I&amp;E 25-26"/>
      <sheetName val="BS 25-26"/>
      <sheetName val="BRS 25-26"/>
      <sheetName val="FD 25-26"/>
      <sheetName val="ledger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>
        <row r="27">
          <cell r="D27">
            <v>205895</v>
          </cell>
        </row>
      </sheetData>
      <sheetData sheetId="26"/>
      <sheetData sheetId="27"/>
      <sheetData sheetId="28">
        <row r="29">
          <cell r="C29">
            <v>59837.099999999977</v>
          </cell>
        </row>
      </sheetData>
      <sheetData sheetId="29"/>
      <sheetData sheetId="30"/>
      <sheetData sheetId="31">
        <row r="9">
          <cell r="I9">
            <v>2884</v>
          </cell>
        </row>
      </sheetData>
      <sheetData sheetId="32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0"/>
  <sheetViews>
    <sheetView view="pageBreakPreview" topLeftCell="A16" zoomScaleNormal="100" zoomScaleSheetLayoutView="100" workbookViewId="0">
      <selection activeCell="K27" sqref="K27"/>
    </sheetView>
  </sheetViews>
  <sheetFormatPr defaultRowHeight="14.4" x14ac:dyDescent="0.3"/>
  <cols>
    <col min="1" max="1" width="20.109375" customWidth="1"/>
    <col min="2" max="2" width="38.33203125" bestFit="1" customWidth="1"/>
    <col min="3" max="3" width="15.5546875" bestFit="1" customWidth="1"/>
    <col min="4" max="4" width="0.6640625" customWidth="1"/>
    <col min="5" max="5" width="15.44140625" customWidth="1"/>
    <col min="6" max="6" width="30.6640625" customWidth="1"/>
    <col min="7" max="7" width="10.6640625" bestFit="1" customWidth="1"/>
    <col min="8" max="8" width="15.5546875" bestFit="1" customWidth="1"/>
    <col min="9" max="9" width="10.5546875" bestFit="1" customWidth="1"/>
  </cols>
  <sheetData>
    <row r="1" spans="1:8" ht="25.8" x14ac:dyDescent="0.5">
      <c r="A1" s="215" t="s">
        <v>141</v>
      </c>
      <c r="B1" s="216"/>
      <c r="C1" s="216"/>
      <c r="D1" s="216"/>
      <c r="E1" s="216"/>
      <c r="F1" s="216"/>
      <c r="G1" s="216"/>
      <c r="H1" s="217"/>
    </row>
    <row r="2" spans="1:8" ht="15.6" x14ac:dyDescent="0.3">
      <c r="A2" s="218" t="s">
        <v>0</v>
      </c>
      <c r="B2" s="219"/>
      <c r="C2" s="219"/>
      <c r="D2" s="219"/>
      <c r="E2" s="219"/>
      <c r="F2" s="219"/>
      <c r="G2" s="219"/>
      <c r="H2" s="220"/>
    </row>
    <row r="3" spans="1:8" ht="15.6" x14ac:dyDescent="0.3">
      <c r="A3" s="218" t="s">
        <v>42</v>
      </c>
      <c r="B3" s="219"/>
      <c r="C3" s="219"/>
      <c r="D3" s="219"/>
      <c r="E3" s="219"/>
      <c r="F3" s="219"/>
      <c r="G3" s="219"/>
      <c r="H3" s="220"/>
    </row>
    <row r="4" spans="1:8" ht="15.6" x14ac:dyDescent="0.3">
      <c r="A4" s="221" t="s">
        <v>1</v>
      </c>
      <c r="B4" s="222"/>
      <c r="C4" s="222"/>
      <c r="D4" s="222"/>
      <c r="E4" s="222"/>
      <c r="F4" s="222"/>
      <c r="G4" s="222"/>
      <c r="H4" s="223"/>
    </row>
    <row r="5" spans="1:8" ht="16.2" thickBot="1" x14ac:dyDescent="0.35">
      <c r="A5" s="77" t="s">
        <v>2</v>
      </c>
      <c r="B5" s="74" t="s">
        <v>3</v>
      </c>
      <c r="C5" s="75" t="s">
        <v>4</v>
      </c>
      <c r="D5" s="76"/>
      <c r="E5" s="73" t="s">
        <v>2</v>
      </c>
      <c r="F5" s="74" t="s">
        <v>3</v>
      </c>
      <c r="G5" s="224" t="s">
        <v>4</v>
      </c>
      <c r="H5" s="225"/>
    </row>
    <row r="6" spans="1:8" ht="15.6" x14ac:dyDescent="0.3">
      <c r="A6" s="33">
        <v>77836</v>
      </c>
      <c r="B6" s="35" t="s">
        <v>5</v>
      </c>
      <c r="C6" s="33">
        <v>81499</v>
      </c>
      <c r="D6" s="34"/>
      <c r="E6" s="36">
        <v>390000</v>
      </c>
      <c r="F6" s="146" t="s">
        <v>6</v>
      </c>
      <c r="G6" s="37"/>
      <c r="H6" s="33">
        <v>390000</v>
      </c>
    </row>
    <row r="7" spans="1:8" ht="15.6" x14ac:dyDescent="0.3">
      <c r="A7" s="33">
        <v>189700</v>
      </c>
      <c r="B7" s="35" t="s">
        <v>7</v>
      </c>
      <c r="C7" s="33">
        <v>200270</v>
      </c>
      <c r="D7" s="34"/>
      <c r="E7" s="36">
        <v>187200</v>
      </c>
      <c r="F7" s="146" t="s">
        <v>7</v>
      </c>
      <c r="G7" s="37"/>
      <c r="H7" s="33">
        <v>187200</v>
      </c>
    </row>
    <row r="8" spans="1:8" ht="15.6" x14ac:dyDescent="0.3">
      <c r="A8" s="33">
        <v>19059</v>
      </c>
      <c r="B8" s="35" t="s">
        <v>8</v>
      </c>
      <c r="C8" s="33">
        <v>86714</v>
      </c>
      <c r="D8" s="34"/>
      <c r="E8" s="36">
        <v>13080</v>
      </c>
      <c r="F8" s="146" t="s">
        <v>9</v>
      </c>
      <c r="G8" s="37"/>
      <c r="H8" s="33">
        <v>12856</v>
      </c>
    </row>
    <row r="9" spans="1:8" ht="15.6" x14ac:dyDescent="0.3">
      <c r="A9" s="33">
        <v>2850</v>
      </c>
      <c r="B9" s="35" t="s">
        <v>10</v>
      </c>
      <c r="C9" s="33">
        <v>5250</v>
      </c>
      <c r="D9" s="34"/>
      <c r="E9" s="36">
        <v>24480</v>
      </c>
      <c r="F9" s="146" t="s">
        <v>11</v>
      </c>
      <c r="G9" s="37"/>
      <c r="H9" s="33">
        <v>24480</v>
      </c>
    </row>
    <row r="10" spans="1:8" ht="15.6" x14ac:dyDescent="0.3">
      <c r="A10" s="33">
        <v>27531</v>
      </c>
      <c r="B10" s="35" t="s">
        <v>12</v>
      </c>
      <c r="C10" s="33">
        <v>40356.800000000003</v>
      </c>
      <c r="D10" s="34"/>
      <c r="E10" s="36">
        <v>99840</v>
      </c>
      <c r="F10" s="146" t="s">
        <v>5</v>
      </c>
      <c r="G10" s="37"/>
      <c r="H10" s="33">
        <v>99840</v>
      </c>
    </row>
    <row r="11" spans="1:8" ht="15.6" x14ac:dyDescent="0.3">
      <c r="A11" s="33">
        <v>117000</v>
      </c>
      <c r="B11" s="35" t="s">
        <v>13</v>
      </c>
      <c r="C11" s="33">
        <v>130000</v>
      </c>
      <c r="D11" s="34"/>
      <c r="E11" s="36">
        <v>45900</v>
      </c>
      <c r="F11" s="146" t="s">
        <v>14</v>
      </c>
      <c r="G11" s="37"/>
      <c r="H11" s="33">
        <v>45900</v>
      </c>
    </row>
    <row r="12" spans="1:8" ht="15.6" x14ac:dyDescent="0.3">
      <c r="A12" s="33">
        <v>204000</v>
      </c>
      <c r="B12" s="35" t="s">
        <v>15</v>
      </c>
      <c r="C12" s="33">
        <v>216000</v>
      </c>
      <c r="D12" s="34"/>
      <c r="E12" s="36">
        <v>97886</v>
      </c>
      <c r="F12" s="146" t="s">
        <v>16</v>
      </c>
      <c r="G12" s="37"/>
      <c r="H12" s="33">
        <v>146214</v>
      </c>
    </row>
    <row r="13" spans="1:8" ht="15.6" x14ac:dyDescent="0.3">
      <c r="A13" s="33">
        <v>27833</v>
      </c>
      <c r="B13" s="35" t="s">
        <v>11</v>
      </c>
      <c r="C13" s="33">
        <v>47994.400000000001</v>
      </c>
      <c r="D13" s="34"/>
      <c r="E13" s="36"/>
      <c r="F13" s="146"/>
      <c r="G13" s="37"/>
      <c r="H13" s="33"/>
    </row>
    <row r="14" spans="1:8" ht="15.6" x14ac:dyDescent="0.3">
      <c r="A14" s="33">
        <v>22510</v>
      </c>
      <c r="B14" s="35" t="s">
        <v>18</v>
      </c>
      <c r="C14" s="33">
        <v>29000</v>
      </c>
      <c r="D14" s="34"/>
      <c r="E14" s="36">
        <v>3428</v>
      </c>
      <c r="F14" s="146" t="s">
        <v>17</v>
      </c>
      <c r="G14" s="37"/>
      <c r="H14" s="33">
        <v>4163</v>
      </c>
    </row>
    <row r="15" spans="1:8" ht="15.6" x14ac:dyDescent="0.3">
      <c r="A15" s="33">
        <v>5000</v>
      </c>
      <c r="B15" s="35" t="s">
        <v>20</v>
      </c>
      <c r="C15" s="33">
        <v>5500</v>
      </c>
      <c r="D15" s="34"/>
      <c r="E15" s="36">
        <v>0</v>
      </c>
      <c r="F15" s="146" t="s">
        <v>19</v>
      </c>
      <c r="G15" s="36"/>
      <c r="H15" s="33">
        <v>33039</v>
      </c>
    </row>
    <row r="16" spans="1:8" ht="15.6" x14ac:dyDescent="0.3">
      <c r="A16" s="33">
        <v>14400</v>
      </c>
      <c r="B16" s="35" t="s">
        <v>22</v>
      </c>
      <c r="C16" s="33">
        <v>14400</v>
      </c>
      <c r="D16" s="146"/>
      <c r="E16" s="36">
        <v>41600</v>
      </c>
      <c r="F16" s="146" t="s">
        <v>21</v>
      </c>
      <c r="G16" s="37"/>
      <c r="H16" s="33">
        <v>0</v>
      </c>
    </row>
    <row r="17" spans="1:9" ht="15.6" x14ac:dyDescent="0.3">
      <c r="A17" s="99">
        <v>7412</v>
      </c>
      <c r="B17" s="35" t="s">
        <v>24</v>
      </c>
      <c r="C17" s="33">
        <v>8408.7000000000007</v>
      </c>
      <c r="D17" s="34"/>
      <c r="E17" s="37">
        <v>361</v>
      </c>
      <c r="F17" s="146" t="s">
        <v>27</v>
      </c>
      <c r="G17" s="37"/>
      <c r="H17" s="33">
        <v>9570</v>
      </c>
    </row>
    <row r="18" spans="1:9" ht="15.6" x14ac:dyDescent="0.3">
      <c r="A18" s="33">
        <v>2150</v>
      </c>
      <c r="B18" s="35" t="s">
        <v>26</v>
      </c>
      <c r="C18" s="33">
        <v>2675</v>
      </c>
      <c r="D18" s="34"/>
      <c r="E18" s="36"/>
      <c r="F18" s="146"/>
      <c r="G18" s="37"/>
      <c r="H18" s="33"/>
    </row>
    <row r="19" spans="1:9" ht="15.6" x14ac:dyDescent="0.3">
      <c r="A19" s="33">
        <v>1764</v>
      </c>
      <c r="B19" s="35" t="s">
        <v>28</v>
      </c>
      <c r="C19" s="33">
        <v>1726</v>
      </c>
      <c r="D19" s="34"/>
      <c r="E19" s="36">
        <v>0</v>
      </c>
      <c r="F19" s="146" t="s">
        <v>23</v>
      </c>
      <c r="G19" s="37"/>
      <c r="H19" s="33">
        <v>530</v>
      </c>
    </row>
    <row r="20" spans="1:9" ht="15.6" x14ac:dyDescent="0.3">
      <c r="A20" s="33">
        <v>4655</v>
      </c>
      <c r="B20" s="35" t="s">
        <v>30</v>
      </c>
      <c r="C20" s="33">
        <v>4199</v>
      </c>
      <c r="D20" s="34"/>
      <c r="E20" s="36">
        <v>0</v>
      </c>
      <c r="F20" s="146" t="s">
        <v>25</v>
      </c>
      <c r="G20" s="37"/>
      <c r="H20" s="33">
        <v>13000</v>
      </c>
    </row>
    <row r="21" spans="1:9" ht="15.6" x14ac:dyDescent="0.3">
      <c r="A21" s="33">
        <v>2955</v>
      </c>
      <c r="B21" s="35" t="s">
        <v>31</v>
      </c>
      <c r="C21" s="33">
        <v>1900</v>
      </c>
      <c r="D21" s="34"/>
      <c r="E21" s="37"/>
      <c r="F21" s="146"/>
      <c r="G21" s="37"/>
      <c r="H21" s="33"/>
      <c r="I21" s="39"/>
    </row>
    <row r="22" spans="1:9" ht="15.6" x14ac:dyDescent="0.3">
      <c r="A22" s="33">
        <v>0</v>
      </c>
      <c r="B22" s="35" t="s">
        <v>32</v>
      </c>
      <c r="C22" s="33">
        <v>23</v>
      </c>
      <c r="D22" s="34"/>
      <c r="E22" s="38">
        <v>20000</v>
      </c>
      <c r="F22" s="146" t="s">
        <v>29</v>
      </c>
      <c r="G22" s="38"/>
      <c r="H22" s="33">
        <v>131000</v>
      </c>
      <c r="I22" s="39"/>
    </row>
    <row r="23" spans="1:9" ht="15.6" x14ac:dyDescent="0.3">
      <c r="A23" s="33">
        <v>826</v>
      </c>
      <c r="B23" s="35" t="s">
        <v>34</v>
      </c>
      <c r="C23" s="33">
        <v>826</v>
      </c>
      <c r="D23" s="34"/>
      <c r="E23" s="38">
        <v>242215</v>
      </c>
      <c r="F23" s="146" t="s">
        <v>33</v>
      </c>
      <c r="G23" s="38"/>
      <c r="H23" s="37">
        <v>0</v>
      </c>
    </row>
    <row r="24" spans="1:9" ht="15.6" x14ac:dyDescent="0.3">
      <c r="A24" s="99">
        <f>6550+19231</f>
        <v>25781</v>
      </c>
      <c r="B24" s="35" t="s">
        <v>35</v>
      </c>
      <c r="C24" s="33">
        <v>3500</v>
      </c>
      <c r="D24" s="34"/>
      <c r="E24" s="38"/>
      <c r="F24" s="147"/>
      <c r="G24" s="38"/>
      <c r="H24" s="38"/>
      <c r="I24" s="39"/>
    </row>
    <row r="25" spans="1:9" ht="15.6" x14ac:dyDescent="0.3">
      <c r="A25" s="33">
        <v>4833</v>
      </c>
      <c r="B25" s="35" t="s">
        <v>36</v>
      </c>
      <c r="C25" s="33">
        <v>6850</v>
      </c>
      <c r="D25" s="34"/>
      <c r="E25" s="38"/>
      <c r="F25" s="147"/>
      <c r="G25" s="38"/>
      <c r="H25" s="38"/>
    </row>
    <row r="26" spans="1:9" ht="15.6" x14ac:dyDescent="0.3">
      <c r="A26" s="33">
        <v>0</v>
      </c>
      <c r="B26" s="35" t="s">
        <v>37</v>
      </c>
      <c r="C26" s="33">
        <v>590</v>
      </c>
      <c r="D26" s="34"/>
      <c r="E26" s="38"/>
      <c r="F26" s="146"/>
      <c r="G26" s="38"/>
      <c r="H26" s="37"/>
    </row>
    <row r="27" spans="1:9" ht="15.6" x14ac:dyDescent="0.3">
      <c r="A27" s="33">
        <v>202000</v>
      </c>
      <c r="B27" s="35" t="s">
        <v>38</v>
      </c>
      <c r="C27" s="33">
        <v>151500</v>
      </c>
      <c r="D27" s="34"/>
      <c r="E27" s="40"/>
      <c r="F27" s="40"/>
      <c r="G27" s="40"/>
      <c r="H27" s="40"/>
    </row>
    <row r="28" spans="1:9" ht="7.95" customHeight="1" x14ac:dyDescent="0.3">
      <c r="A28" s="41"/>
      <c r="B28" s="35"/>
      <c r="C28" s="35"/>
      <c r="D28" s="41"/>
      <c r="E28" s="40"/>
      <c r="G28" s="40"/>
      <c r="H28" s="40"/>
    </row>
    <row r="29" spans="1:9" ht="15.6" x14ac:dyDescent="0.3">
      <c r="A29" s="41">
        <f>'[1]I &amp; E 24-25'!D27</f>
        <v>205895</v>
      </c>
      <c r="B29" s="35" t="s">
        <v>39</v>
      </c>
      <c r="C29" s="33">
        <f>H31-SUM(C6:C27)</f>
        <v>58610.099999999977</v>
      </c>
      <c r="D29" s="34"/>
      <c r="E29" s="33"/>
      <c r="F29" s="148"/>
      <c r="G29" s="42"/>
      <c r="H29" s="100"/>
    </row>
    <row r="30" spans="1:9" ht="7.95" customHeight="1" x14ac:dyDescent="0.3">
      <c r="A30" s="41"/>
      <c r="B30" s="35"/>
      <c r="C30" s="33"/>
      <c r="D30" s="34"/>
      <c r="E30" s="33"/>
      <c r="F30" s="148"/>
      <c r="G30" s="42"/>
      <c r="H30" s="100"/>
    </row>
    <row r="31" spans="1:9" ht="16.2" thickBot="1" x14ac:dyDescent="0.35">
      <c r="A31" s="97">
        <f>SUM(A6:A29)</f>
        <v>1165990</v>
      </c>
      <c r="B31" s="69" t="s">
        <v>40</v>
      </c>
      <c r="C31" s="70">
        <f>SUM(C6:C29)</f>
        <v>1097792</v>
      </c>
      <c r="D31" s="71"/>
      <c r="E31" s="70">
        <f>SUM(E5:E28)</f>
        <v>1165990</v>
      </c>
      <c r="F31" s="72" t="s">
        <v>41</v>
      </c>
      <c r="G31" s="72"/>
      <c r="H31" s="98">
        <f>SUM(H6:H29)</f>
        <v>1097792</v>
      </c>
    </row>
    <row r="32" spans="1:9" s="86" customFormat="1" ht="8.1" customHeight="1" thickTop="1" x14ac:dyDescent="0.3">
      <c r="A32" s="85"/>
      <c r="H32" s="87"/>
      <c r="I32" s="87"/>
    </row>
    <row r="33" spans="1:9" s="86" customFormat="1" x14ac:dyDescent="0.3">
      <c r="A33" s="88" t="s">
        <v>142</v>
      </c>
      <c r="B33" s="149"/>
      <c r="C33" s="149"/>
      <c r="D33" s="149"/>
      <c r="G33" s="150"/>
      <c r="H33" s="87"/>
      <c r="I33" s="87"/>
    </row>
    <row r="34" spans="1:9" s="86" customFormat="1" ht="15.75" customHeight="1" x14ac:dyDescent="0.3">
      <c r="A34" s="89"/>
      <c r="B34" s="213"/>
      <c r="C34" s="213"/>
      <c r="D34" s="213"/>
      <c r="E34" s="207" t="s">
        <v>148</v>
      </c>
      <c r="F34" s="207"/>
      <c r="G34" s="207"/>
      <c r="H34" s="208"/>
    </row>
    <row r="35" spans="1:9" s="86" customFormat="1" ht="15.75" customHeight="1" x14ac:dyDescent="0.3">
      <c r="A35" s="89"/>
      <c r="B35" s="151"/>
      <c r="C35" s="151"/>
      <c r="D35" s="151"/>
      <c r="E35" s="207"/>
      <c r="F35" s="207"/>
      <c r="G35" s="207"/>
      <c r="H35" s="208"/>
    </row>
    <row r="36" spans="1:9" s="86" customFormat="1" ht="14.4" customHeight="1" x14ac:dyDescent="0.3">
      <c r="A36" s="89"/>
      <c r="B36" s="214"/>
      <c r="C36" s="214"/>
      <c r="D36" s="214"/>
      <c r="E36" s="207"/>
      <c r="F36" s="207"/>
      <c r="G36" s="207"/>
      <c r="H36" s="208"/>
    </row>
    <row r="37" spans="1:9" s="86" customFormat="1" x14ac:dyDescent="0.3">
      <c r="A37" s="89"/>
      <c r="B37" s="211" t="s">
        <v>143</v>
      </c>
      <c r="C37" s="211"/>
      <c r="D37" s="152"/>
      <c r="F37" s="149"/>
      <c r="G37" s="149"/>
      <c r="H37" s="90"/>
    </row>
    <row r="38" spans="1:9" s="86" customFormat="1" x14ac:dyDescent="0.3">
      <c r="A38" s="89"/>
      <c r="B38" s="212" t="s">
        <v>145</v>
      </c>
      <c r="C38" s="212"/>
      <c r="D38" s="152"/>
      <c r="F38" s="149"/>
      <c r="G38" s="149"/>
      <c r="H38" s="90"/>
    </row>
    <row r="39" spans="1:9" s="86" customFormat="1" x14ac:dyDescent="0.3">
      <c r="A39" s="91" t="s">
        <v>144</v>
      </c>
      <c r="B39" s="212" t="s">
        <v>146</v>
      </c>
      <c r="C39" s="212"/>
      <c r="D39" s="153"/>
      <c r="F39" s="149"/>
      <c r="G39" s="149"/>
      <c r="H39" s="90"/>
    </row>
    <row r="40" spans="1:9" s="86" customFormat="1" x14ac:dyDescent="0.3">
      <c r="A40" s="205">
        <v>46233</v>
      </c>
      <c r="B40" s="206"/>
      <c r="C40" s="93"/>
      <c r="D40" s="101"/>
      <c r="E40" s="209" t="s">
        <v>147</v>
      </c>
      <c r="F40" s="209"/>
      <c r="G40" s="209"/>
      <c r="H40" s="210"/>
    </row>
  </sheetData>
  <mergeCells count="13">
    <mergeCell ref="A1:H1"/>
    <mergeCell ref="A2:H2"/>
    <mergeCell ref="A3:H3"/>
    <mergeCell ref="A4:H4"/>
    <mergeCell ref="G5:H5"/>
    <mergeCell ref="A40:B40"/>
    <mergeCell ref="E34:H36"/>
    <mergeCell ref="E40:H40"/>
    <mergeCell ref="B37:C37"/>
    <mergeCell ref="B38:C38"/>
    <mergeCell ref="B39:C39"/>
    <mergeCell ref="B34:D34"/>
    <mergeCell ref="B36:D36"/>
  </mergeCells>
  <printOptions horizontalCentered="1"/>
  <pageMargins left="0.59055118110236227" right="0.70866141732283472" top="0.59055118110236227" bottom="0.19685039370078741" header="0.31496062992125984" footer="0.31496062992125984"/>
  <pageSetup paperSize="9" scale="85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54"/>
  <sheetViews>
    <sheetView view="pageBreakPreview" topLeftCell="A24" zoomScaleNormal="100" zoomScaleSheetLayoutView="100" workbookViewId="0">
      <selection activeCell="K27" sqref="K27"/>
    </sheetView>
  </sheetViews>
  <sheetFormatPr defaultRowHeight="14.4" x14ac:dyDescent="0.3"/>
  <cols>
    <col min="1" max="1" width="15.33203125" customWidth="1"/>
    <col min="2" max="2" width="54.44140625" customWidth="1"/>
    <col min="3" max="3" width="18.109375" customWidth="1"/>
    <col min="4" max="4" width="15.88671875" bestFit="1" customWidth="1"/>
    <col min="5" max="5" width="1" customWidth="1"/>
    <col min="6" max="6" width="16.5546875" bestFit="1" customWidth="1"/>
    <col min="7" max="7" width="46.6640625" customWidth="1"/>
    <col min="8" max="8" width="16.109375" customWidth="1"/>
    <col min="9" max="9" width="16" customWidth="1"/>
  </cols>
  <sheetData>
    <row r="1" spans="1:9" ht="25.8" x14ac:dyDescent="0.5">
      <c r="A1" s="215" t="s">
        <v>140</v>
      </c>
      <c r="B1" s="216"/>
      <c r="C1" s="216"/>
      <c r="D1" s="216"/>
      <c r="E1" s="216"/>
      <c r="F1" s="216"/>
      <c r="G1" s="216"/>
      <c r="H1" s="216"/>
      <c r="I1" s="217"/>
    </row>
    <row r="2" spans="1:9" ht="15.6" x14ac:dyDescent="0.3">
      <c r="A2" s="218" t="s">
        <v>0</v>
      </c>
      <c r="B2" s="219"/>
      <c r="C2" s="219"/>
      <c r="D2" s="219"/>
      <c r="E2" s="219"/>
      <c r="F2" s="219"/>
      <c r="G2" s="219"/>
      <c r="H2" s="219"/>
      <c r="I2" s="220"/>
    </row>
    <row r="3" spans="1:9" ht="15.6" x14ac:dyDescent="0.3">
      <c r="A3" s="218" t="s">
        <v>42</v>
      </c>
      <c r="B3" s="219"/>
      <c r="C3" s="219"/>
      <c r="D3" s="219"/>
      <c r="E3" s="219"/>
      <c r="F3" s="219"/>
      <c r="G3" s="219"/>
      <c r="H3" s="219"/>
      <c r="I3" s="220"/>
    </row>
    <row r="4" spans="1:9" ht="15.6" x14ac:dyDescent="0.3">
      <c r="A4" s="233" t="s">
        <v>43</v>
      </c>
      <c r="B4" s="234"/>
      <c r="C4" s="234"/>
      <c r="D4" s="234"/>
      <c r="E4" s="234"/>
      <c r="F4" s="234"/>
      <c r="G4" s="234"/>
      <c r="H4" s="234"/>
      <c r="I4" s="235"/>
    </row>
    <row r="5" spans="1:9" ht="16.2" thickBot="1" x14ac:dyDescent="0.35">
      <c r="A5" s="77" t="s">
        <v>2</v>
      </c>
      <c r="B5" s="236" t="s">
        <v>44</v>
      </c>
      <c r="C5" s="236"/>
      <c r="D5" s="75" t="s">
        <v>4</v>
      </c>
      <c r="E5" s="83"/>
      <c r="F5" s="84" t="s">
        <v>2</v>
      </c>
      <c r="G5" s="236" t="s">
        <v>45</v>
      </c>
      <c r="H5" s="236"/>
      <c r="I5" s="75" t="s">
        <v>4</v>
      </c>
    </row>
    <row r="6" spans="1:9" ht="16.05" customHeight="1" x14ac:dyDescent="0.3">
      <c r="A6" s="80"/>
      <c r="B6" s="78" t="s">
        <v>46</v>
      </c>
      <c r="C6" s="154"/>
      <c r="D6" s="79"/>
      <c r="E6" s="79"/>
      <c r="F6" s="80"/>
      <c r="G6" s="81" t="s">
        <v>47</v>
      </c>
      <c r="H6" s="82"/>
      <c r="I6" s="38"/>
    </row>
    <row r="7" spans="1:9" ht="16.05" customHeight="1" x14ac:dyDescent="0.3">
      <c r="A7" s="44">
        <v>100000</v>
      </c>
      <c r="B7" s="43" t="s">
        <v>48</v>
      </c>
      <c r="C7" s="155"/>
      <c r="D7" s="36">
        <v>100000</v>
      </c>
      <c r="E7" s="36"/>
      <c r="F7" s="44">
        <v>28</v>
      </c>
      <c r="G7" s="37" t="s">
        <v>49</v>
      </c>
      <c r="H7" s="45">
        <v>0</v>
      </c>
      <c r="I7" s="37"/>
    </row>
    <row r="8" spans="1:9" ht="16.05" customHeight="1" x14ac:dyDescent="0.3">
      <c r="A8" s="44"/>
      <c r="B8" s="43"/>
      <c r="C8" s="155"/>
      <c r="D8" s="43"/>
      <c r="E8" s="43"/>
      <c r="F8" s="44">
        <v>116289.43</v>
      </c>
      <c r="G8" s="37" t="s">
        <v>50</v>
      </c>
      <c r="H8" s="45">
        <v>64146.43</v>
      </c>
      <c r="I8" s="37"/>
    </row>
    <row r="9" spans="1:9" ht="16.05" customHeight="1" x14ac:dyDescent="0.3">
      <c r="A9" s="44"/>
      <c r="B9" s="46" t="s">
        <v>51</v>
      </c>
      <c r="C9" s="47"/>
      <c r="D9" s="48"/>
      <c r="E9" s="48"/>
      <c r="F9" s="44">
        <v>50839.23</v>
      </c>
      <c r="G9" s="37" t="s">
        <v>52</v>
      </c>
      <c r="H9" s="49">
        <v>20502.23</v>
      </c>
      <c r="I9" s="36">
        <f>SUM(H7:H9)</f>
        <v>84648.66</v>
      </c>
    </row>
    <row r="10" spans="1:9" ht="16.05" customHeight="1" x14ac:dyDescent="0.3">
      <c r="A10" s="44">
        <v>5500</v>
      </c>
      <c r="B10" s="37" t="s">
        <v>53</v>
      </c>
      <c r="C10" s="47"/>
      <c r="D10" s="36">
        <v>5500</v>
      </c>
      <c r="E10" s="36"/>
      <c r="F10" s="44"/>
      <c r="G10" s="37"/>
      <c r="H10" s="50"/>
      <c r="I10" s="37"/>
    </row>
    <row r="11" spans="1:9" ht="16.05" customHeight="1" x14ac:dyDescent="0.3">
      <c r="A11" s="44"/>
      <c r="B11" s="43"/>
      <c r="C11" s="47"/>
      <c r="D11" s="48"/>
      <c r="E11" s="48"/>
      <c r="F11" s="44"/>
      <c r="G11" s="46" t="s">
        <v>54</v>
      </c>
      <c r="H11" s="51"/>
      <c r="I11" s="48"/>
    </row>
    <row r="12" spans="1:9" ht="16.05" customHeight="1" x14ac:dyDescent="0.3">
      <c r="A12" s="44"/>
      <c r="B12" s="46" t="s">
        <v>55</v>
      </c>
      <c r="C12" s="47"/>
      <c r="D12" s="52"/>
      <c r="E12" s="52"/>
      <c r="F12" s="44">
        <v>1000</v>
      </c>
      <c r="G12" s="37" t="s">
        <v>56</v>
      </c>
      <c r="H12" s="45">
        <v>1000</v>
      </c>
      <c r="I12" s="37"/>
    </row>
    <row r="13" spans="1:9" ht="16.05" customHeight="1" x14ac:dyDescent="0.3">
      <c r="A13" s="44">
        <v>19800</v>
      </c>
      <c r="B13" s="37" t="s">
        <v>57</v>
      </c>
      <c r="C13" s="39"/>
      <c r="D13" s="36">
        <v>19800</v>
      </c>
      <c r="E13" s="36"/>
      <c r="F13" s="44">
        <v>529958</v>
      </c>
      <c r="G13" s="37" t="s">
        <v>58</v>
      </c>
      <c r="H13" s="56">
        <v>336903</v>
      </c>
      <c r="I13" s="36"/>
    </row>
    <row r="14" spans="1:9" ht="16.05" customHeight="1" x14ac:dyDescent="0.3">
      <c r="A14" s="44"/>
      <c r="B14" s="37"/>
      <c r="C14" s="53"/>
      <c r="D14" s="37"/>
      <c r="E14" s="37"/>
      <c r="F14" s="44">
        <v>640000</v>
      </c>
      <c r="G14" s="37" t="s">
        <v>59</v>
      </c>
      <c r="H14" s="56">
        <f>100000+640000</f>
        <v>740000</v>
      </c>
      <c r="I14" s="36"/>
    </row>
    <row r="15" spans="1:9" ht="16.05" customHeight="1" x14ac:dyDescent="0.3">
      <c r="A15" s="44"/>
      <c r="B15" s="46" t="s">
        <v>149</v>
      </c>
      <c r="C15" s="47"/>
      <c r="D15" s="48"/>
      <c r="E15" s="36"/>
      <c r="F15" s="44">
        <v>18238</v>
      </c>
      <c r="G15" s="37" t="s">
        <v>60</v>
      </c>
      <c r="H15" s="96">
        <v>42608</v>
      </c>
      <c r="I15" s="36">
        <f>SUM(H12:H15)</f>
        <v>1120511</v>
      </c>
    </row>
    <row r="16" spans="1:9" ht="16.05" customHeight="1" x14ac:dyDescent="0.3">
      <c r="A16" s="44">
        <v>433462</v>
      </c>
      <c r="B16" s="37" t="s">
        <v>57</v>
      </c>
      <c r="C16" s="53">
        <f>A16+A17</f>
        <v>483464</v>
      </c>
      <c r="D16" s="36"/>
      <c r="E16" s="37"/>
      <c r="F16" s="44"/>
      <c r="G16" s="37"/>
      <c r="H16" s="50"/>
      <c r="I16" s="37"/>
    </row>
    <row r="17" spans="1:9" ht="16.05" customHeight="1" x14ac:dyDescent="0.3">
      <c r="A17" s="44">
        <v>50002</v>
      </c>
      <c r="B17" s="37" t="s">
        <v>61</v>
      </c>
      <c r="C17" s="54">
        <v>41150</v>
      </c>
      <c r="D17" s="36">
        <f>SUM(C16:C17)</f>
        <v>524614</v>
      </c>
      <c r="E17" s="37"/>
      <c r="F17" s="44"/>
      <c r="G17" s="46" t="s">
        <v>62</v>
      </c>
      <c r="H17" s="50"/>
      <c r="I17" s="37"/>
    </row>
    <row r="18" spans="1:9" ht="16.05" customHeight="1" x14ac:dyDescent="0.3">
      <c r="A18" s="65"/>
      <c r="B18" s="7"/>
      <c r="C18" s="39"/>
      <c r="D18" s="7"/>
      <c r="E18" s="48"/>
      <c r="F18" s="44">
        <v>1852.36</v>
      </c>
      <c r="G18" s="37" t="s">
        <v>63</v>
      </c>
      <c r="H18" s="50"/>
      <c r="I18" s="36">
        <v>1852.36</v>
      </c>
    </row>
    <row r="19" spans="1:9" ht="16.05" customHeight="1" x14ac:dyDescent="0.3">
      <c r="A19" s="44">
        <v>640000</v>
      </c>
      <c r="B19" s="46" t="s">
        <v>168</v>
      </c>
      <c r="C19" s="47"/>
      <c r="D19" s="48">
        <v>640000</v>
      </c>
      <c r="E19" s="36"/>
      <c r="F19" s="44"/>
      <c r="G19" s="37"/>
      <c r="H19" s="45"/>
      <c r="I19" s="36"/>
    </row>
    <row r="20" spans="1:9" ht="16.05" customHeight="1" x14ac:dyDescent="0.3">
      <c r="A20" s="44"/>
      <c r="B20" s="37"/>
      <c r="C20" s="146"/>
      <c r="D20" s="37"/>
      <c r="E20" s="36"/>
      <c r="F20" s="44"/>
      <c r="G20" s="46" t="s">
        <v>65</v>
      </c>
      <c r="H20" s="51"/>
      <c r="I20" s="37"/>
    </row>
    <row r="21" spans="1:9" ht="16.05" customHeight="1" x14ac:dyDescent="0.3">
      <c r="A21" s="44"/>
      <c r="B21" s="46" t="s">
        <v>64</v>
      </c>
      <c r="C21" s="146"/>
      <c r="D21" s="37"/>
      <c r="E21" s="36"/>
      <c r="F21" s="44">
        <v>506865</v>
      </c>
      <c r="G21" s="37" t="s">
        <v>66</v>
      </c>
      <c r="H21" s="45"/>
      <c r="I21" s="48">
        <v>661208</v>
      </c>
    </row>
    <row r="22" spans="1:9" ht="16.05" customHeight="1" x14ac:dyDescent="0.3">
      <c r="A22" s="44">
        <v>210178</v>
      </c>
      <c r="B22" s="37" t="s">
        <v>57</v>
      </c>
      <c r="C22" s="146"/>
      <c r="D22" s="55">
        <v>210178</v>
      </c>
      <c r="E22" s="48"/>
      <c r="F22" s="44"/>
      <c r="G22" s="36"/>
      <c r="H22" s="56"/>
      <c r="I22" s="37"/>
    </row>
    <row r="23" spans="1:9" ht="16.05" customHeight="1" x14ac:dyDescent="0.3">
      <c r="A23" s="65"/>
      <c r="B23" s="7"/>
      <c r="C23" s="39"/>
      <c r="D23" s="7"/>
      <c r="E23" s="37"/>
      <c r="F23" s="44"/>
      <c r="G23" s="46" t="s">
        <v>68</v>
      </c>
      <c r="H23" s="56"/>
      <c r="I23" s="37"/>
    </row>
    <row r="24" spans="1:9" ht="16.05" customHeight="1" x14ac:dyDescent="0.3">
      <c r="A24" s="44"/>
      <c r="B24" s="46" t="s">
        <v>67</v>
      </c>
      <c r="C24" s="53"/>
      <c r="D24" s="48"/>
      <c r="E24" s="37"/>
      <c r="F24" s="44">
        <v>1667</v>
      </c>
      <c r="G24" s="37" t="s">
        <v>70</v>
      </c>
      <c r="H24" s="45">
        <v>1667</v>
      </c>
      <c r="I24" s="36"/>
    </row>
    <row r="25" spans="1:9" ht="16.05" customHeight="1" x14ac:dyDescent="0.3">
      <c r="A25" s="44">
        <v>0</v>
      </c>
      <c r="B25" s="37" t="s">
        <v>69</v>
      </c>
      <c r="C25" s="53">
        <v>69</v>
      </c>
      <c r="D25" s="48"/>
      <c r="E25" s="37"/>
      <c r="F25" s="58">
        <v>2167</v>
      </c>
      <c r="G25" s="37" t="s">
        <v>72</v>
      </c>
      <c r="H25" s="45">
        <v>2172.6</v>
      </c>
      <c r="I25" s="36"/>
    </row>
    <row r="26" spans="1:9" ht="16.05" customHeight="1" x14ac:dyDescent="0.3">
      <c r="A26" s="44">
        <v>12024</v>
      </c>
      <c r="B26" s="37" t="s">
        <v>71</v>
      </c>
      <c r="C26" s="57">
        <f>199406-179600</f>
        <v>19806</v>
      </c>
      <c r="D26" s="37"/>
      <c r="E26" s="36"/>
      <c r="F26" s="59">
        <v>12825</v>
      </c>
      <c r="G26" s="37" t="s">
        <v>74</v>
      </c>
      <c r="H26" s="49">
        <v>12824.2</v>
      </c>
      <c r="I26" s="36">
        <f>SUM(H24:H26)</f>
        <v>16663.8</v>
      </c>
    </row>
    <row r="27" spans="1:9" ht="16.05" customHeight="1" x14ac:dyDescent="0.3">
      <c r="A27" s="44">
        <v>0</v>
      </c>
      <c r="B27" s="37" t="s">
        <v>73</v>
      </c>
      <c r="C27" s="57">
        <v>2000</v>
      </c>
      <c r="D27" s="37"/>
      <c r="E27" s="36"/>
      <c r="F27" s="44"/>
      <c r="G27" s="37"/>
      <c r="H27" s="61"/>
      <c r="I27" s="36"/>
    </row>
    <row r="28" spans="1:9" ht="16.05" customHeight="1" x14ac:dyDescent="0.35">
      <c r="A28" s="44">
        <v>80000</v>
      </c>
      <c r="B28" s="37" t="s">
        <v>75</v>
      </c>
      <c r="C28" s="60">
        <v>16500</v>
      </c>
      <c r="D28" s="37">
        <f>SUM(C25:C28)</f>
        <v>38375</v>
      </c>
      <c r="E28" s="36"/>
      <c r="G28" s="62" t="s">
        <v>76</v>
      </c>
      <c r="H28" s="40"/>
      <c r="I28" s="102"/>
    </row>
    <row r="29" spans="1:9" ht="16.05" customHeight="1" x14ac:dyDescent="0.3">
      <c r="A29" s="65"/>
      <c r="B29" s="46" t="s">
        <v>77</v>
      </c>
      <c r="C29" s="39"/>
      <c r="D29" s="7"/>
      <c r="E29" s="36"/>
      <c r="F29" s="44"/>
      <c r="G29" s="46" t="s">
        <v>78</v>
      </c>
      <c r="H29" s="63"/>
      <c r="I29" s="37"/>
    </row>
    <row r="30" spans="1:9" ht="16.05" customHeight="1" x14ac:dyDescent="0.3">
      <c r="A30" s="44">
        <v>29000</v>
      </c>
      <c r="B30" s="37" t="s">
        <v>5</v>
      </c>
      <c r="C30" s="47">
        <v>6270</v>
      </c>
      <c r="D30" s="7"/>
      <c r="E30" s="48"/>
      <c r="F30" s="44">
        <v>6200</v>
      </c>
      <c r="G30" s="37" t="s">
        <v>57</v>
      </c>
      <c r="H30" s="45">
        <f>F30+F31</f>
        <v>5580</v>
      </c>
      <c r="I30" s="36"/>
    </row>
    <row r="31" spans="1:9" ht="16.05" customHeight="1" x14ac:dyDescent="0.3">
      <c r="A31" s="58">
        <v>3600</v>
      </c>
      <c r="B31" s="37" t="s">
        <v>79</v>
      </c>
      <c r="C31" s="47">
        <v>3600</v>
      </c>
      <c r="D31" s="48"/>
      <c r="E31" s="48"/>
      <c r="F31" s="44">
        <v>-620</v>
      </c>
      <c r="G31" s="37" t="s">
        <v>80</v>
      </c>
      <c r="H31" s="64">
        <f>H30*10%</f>
        <v>558</v>
      </c>
      <c r="I31" s="37">
        <f>H30-H31</f>
        <v>5022</v>
      </c>
    </row>
    <row r="32" spans="1:9" ht="16.05" customHeight="1" x14ac:dyDescent="0.3">
      <c r="A32" s="44">
        <v>5000</v>
      </c>
      <c r="B32" s="37" t="s">
        <v>20</v>
      </c>
      <c r="C32" s="53">
        <v>5000</v>
      </c>
      <c r="D32" s="48"/>
      <c r="E32" s="48"/>
      <c r="F32" s="44"/>
      <c r="G32" s="46" t="s">
        <v>81</v>
      </c>
      <c r="H32" s="63"/>
      <c r="I32" s="36"/>
    </row>
    <row r="33" spans="1:9" ht="16.05" customHeight="1" x14ac:dyDescent="0.3">
      <c r="A33" s="44">
        <v>4130</v>
      </c>
      <c r="B33" s="37" t="s">
        <v>34</v>
      </c>
      <c r="C33" s="53">
        <v>4130</v>
      </c>
      <c r="D33" s="36"/>
      <c r="E33" s="48"/>
      <c r="F33" s="44">
        <v>35980</v>
      </c>
      <c r="G33" s="37" t="s">
        <v>57</v>
      </c>
      <c r="H33" s="50">
        <f>F33+F34+F36</f>
        <v>31858</v>
      </c>
      <c r="I33" s="37"/>
    </row>
    <row r="34" spans="1:9" ht="16.05" customHeight="1" x14ac:dyDescent="0.3">
      <c r="A34" s="44">
        <v>9000</v>
      </c>
      <c r="B34" s="37" t="s">
        <v>82</v>
      </c>
      <c r="C34" s="54">
        <v>0</v>
      </c>
      <c r="D34" s="36">
        <f>SUM(C30:C34)</f>
        <v>19000</v>
      </c>
      <c r="E34" s="36"/>
      <c r="F34" s="44">
        <v>1500</v>
      </c>
      <c r="G34" s="37" t="s">
        <v>83</v>
      </c>
      <c r="H34" s="66">
        <v>13850</v>
      </c>
      <c r="I34" s="37"/>
    </row>
    <row r="35" spans="1:9" ht="16.05" customHeight="1" x14ac:dyDescent="0.3">
      <c r="A35" s="65"/>
      <c r="B35" s="7"/>
      <c r="C35" s="39"/>
      <c r="D35" s="36"/>
      <c r="E35" s="36"/>
      <c r="F35" s="39"/>
      <c r="G35" s="7"/>
      <c r="H35" s="50">
        <f>H34+H33</f>
        <v>45708</v>
      </c>
      <c r="I35" s="61"/>
    </row>
    <row r="36" spans="1:9" ht="16.05" customHeight="1" x14ac:dyDescent="0.3">
      <c r="A36" s="44"/>
      <c r="B36" s="46" t="s">
        <v>84</v>
      </c>
      <c r="C36" s="53"/>
      <c r="D36" s="36"/>
      <c r="E36" s="36"/>
      <c r="F36" s="44">
        <v>-5622</v>
      </c>
      <c r="G36" s="37" t="s">
        <v>85</v>
      </c>
      <c r="H36" s="64">
        <f>H35*15%</f>
        <v>6856.2</v>
      </c>
      <c r="I36" s="37">
        <f>H35-H36</f>
        <v>38851.800000000003</v>
      </c>
    </row>
    <row r="37" spans="1:9" ht="16.05" customHeight="1" x14ac:dyDescent="0.3">
      <c r="A37" s="44">
        <v>473742.02</v>
      </c>
      <c r="B37" s="37" t="s">
        <v>57</v>
      </c>
      <c r="C37" s="53">
        <f>A37+A38+A40</f>
        <v>437422.02</v>
      </c>
      <c r="D37" s="37"/>
      <c r="E37" s="36"/>
      <c r="F37" s="44"/>
      <c r="G37" s="46" t="s">
        <v>87</v>
      </c>
      <c r="H37" s="63"/>
      <c r="I37" s="36"/>
    </row>
    <row r="38" spans="1:9" ht="16.05" customHeight="1" x14ac:dyDescent="0.3">
      <c r="A38" s="44">
        <v>205895</v>
      </c>
      <c r="B38" s="37" t="s">
        <v>86</v>
      </c>
      <c r="C38" s="54">
        <f>+'I&amp;E 25-26'!C29</f>
        <v>58610.099999999977</v>
      </c>
      <c r="D38" s="7"/>
      <c r="E38" s="48"/>
      <c r="F38" s="44">
        <v>7800</v>
      </c>
      <c r="G38" s="37" t="s">
        <v>89</v>
      </c>
      <c r="H38" s="50">
        <f>F38+F39</f>
        <v>6630</v>
      </c>
      <c r="I38" s="37"/>
    </row>
    <row r="39" spans="1:9" ht="16.05" customHeight="1" x14ac:dyDescent="0.3">
      <c r="A39" s="44"/>
      <c r="B39" s="37"/>
      <c r="C39" s="146">
        <f>C38+C37</f>
        <v>496032.12</v>
      </c>
      <c r="D39" s="48"/>
      <c r="E39" s="48"/>
      <c r="F39" s="44">
        <v>-1170</v>
      </c>
      <c r="G39" s="37" t="s">
        <v>85</v>
      </c>
      <c r="H39" s="64">
        <f>H38*15%</f>
        <v>994.5</v>
      </c>
      <c r="I39" s="37">
        <f>H38-H39</f>
        <v>5635.5</v>
      </c>
    </row>
    <row r="40" spans="1:9" ht="16.05" customHeight="1" x14ac:dyDescent="0.3">
      <c r="A40" s="44">
        <v>-242215</v>
      </c>
      <c r="B40" s="37" t="s">
        <v>88</v>
      </c>
      <c r="C40" s="53">
        <v>0</v>
      </c>
      <c r="D40" s="48"/>
      <c r="E40" s="48"/>
      <c r="F40" s="44"/>
      <c r="G40" s="7"/>
      <c r="H40" s="61"/>
      <c r="I40" s="7"/>
    </row>
    <row r="41" spans="1:9" ht="16.05" customHeight="1" x14ac:dyDescent="0.3">
      <c r="A41" s="44"/>
      <c r="B41" s="37" t="s">
        <v>169</v>
      </c>
      <c r="C41" s="60">
        <v>5785</v>
      </c>
      <c r="D41" s="48">
        <f>+C39-C40-C41</f>
        <v>490247.12</v>
      </c>
      <c r="E41" s="48"/>
      <c r="F41" s="59"/>
      <c r="G41" s="46" t="s">
        <v>90</v>
      </c>
      <c r="H41" s="56"/>
      <c r="I41" s="37"/>
    </row>
    <row r="42" spans="1:9" ht="16.05" customHeight="1" x14ac:dyDescent="0.3">
      <c r="A42" s="44"/>
      <c r="B42" s="37"/>
      <c r="C42" s="47"/>
      <c r="D42" s="48"/>
      <c r="E42" s="48"/>
      <c r="F42" s="59">
        <v>4160</v>
      </c>
      <c r="G42" s="37" t="s">
        <v>91</v>
      </c>
      <c r="H42" s="50">
        <v>4160</v>
      </c>
      <c r="I42" s="37"/>
    </row>
    <row r="43" spans="1:9" ht="16.05" customHeight="1" x14ac:dyDescent="0.3">
      <c r="A43" s="65"/>
      <c r="B43" s="7"/>
      <c r="C43" s="39"/>
      <c r="D43" s="7"/>
      <c r="E43" s="48"/>
      <c r="F43" s="95">
        <v>9161</v>
      </c>
      <c r="G43" s="37" t="s">
        <v>92</v>
      </c>
      <c r="H43" s="96">
        <v>9161</v>
      </c>
      <c r="I43" s="37">
        <f>SUM(H42:H43)</f>
        <v>13321</v>
      </c>
    </row>
    <row r="44" spans="1:9" ht="6" customHeight="1" x14ac:dyDescent="0.3">
      <c r="A44" s="44"/>
      <c r="B44" s="43"/>
      <c r="C44" s="47"/>
      <c r="D44" s="48"/>
      <c r="E44" s="37"/>
      <c r="F44" s="40"/>
      <c r="H44" s="36"/>
      <c r="I44" s="40"/>
    </row>
    <row r="45" spans="1:9" ht="16.05" customHeight="1" thickBot="1" x14ac:dyDescent="0.35">
      <c r="A45" s="103">
        <f>SUM(A10:A44)</f>
        <v>1939118.02</v>
      </c>
      <c r="B45" s="230" t="s">
        <v>93</v>
      </c>
      <c r="C45" s="230"/>
      <c r="D45" s="67">
        <f>SUM(D9:D44)</f>
        <v>1947714.12</v>
      </c>
      <c r="E45" s="68"/>
      <c r="F45" s="67">
        <f>SUM(F7:F43)</f>
        <v>1939118.0200000003</v>
      </c>
      <c r="G45" s="231" t="s">
        <v>93</v>
      </c>
      <c r="H45" s="232"/>
      <c r="I45" s="67">
        <f>SUM(I6:I43)</f>
        <v>1947714.12</v>
      </c>
    </row>
    <row r="46" spans="1:9" ht="16.05" customHeight="1" thickTop="1" x14ac:dyDescent="0.3">
      <c r="A46" s="85"/>
      <c r="B46" s="86"/>
      <c r="C46" s="86"/>
      <c r="D46" s="86"/>
      <c r="E46" s="86"/>
      <c r="F46" s="86"/>
      <c r="G46" s="86"/>
      <c r="H46" s="86"/>
      <c r="I46" s="87"/>
    </row>
    <row r="47" spans="1:9" x14ac:dyDescent="0.3">
      <c r="A47" s="88" t="s">
        <v>142</v>
      </c>
      <c r="B47" s="149"/>
      <c r="C47" s="149"/>
      <c r="D47" s="149"/>
      <c r="E47" s="86"/>
      <c r="F47" s="86"/>
      <c r="G47" s="207" t="s">
        <v>148</v>
      </c>
      <c r="H47" s="207"/>
      <c r="I47" s="208"/>
    </row>
    <row r="48" spans="1:9" ht="7.95" customHeight="1" x14ac:dyDescent="0.3">
      <c r="A48" s="89"/>
      <c r="B48" s="213"/>
      <c r="C48" s="213"/>
      <c r="D48" s="213"/>
      <c r="E48" s="86"/>
      <c r="F48" s="86"/>
      <c r="G48" s="207"/>
      <c r="H48" s="207"/>
      <c r="I48" s="208"/>
    </row>
    <row r="49" spans="1:9" x14ac:dyDescent="0.3">
      <c r="A49" s="89"/>
      <c r="B49" s="214"/>
      <c r="C49" s="214"/>
      <c r="D49" s="214"/>
      <c r="E49" s="86"/>
      <c r="F49" s="86"/>
      <c r="G49" s="207"/>
      <c r="H49" s="207"/>
      <c r="I49" s="208"/>
    </row>
    <row r="50" spans="1:9" s="86" customFormat="1" ht="8.1" customHeight="1" x14ac:dyDescent="0.3">
      <c r="A50" s="89"/>
      <c r="B50" s="153"/>
      <c r="C50" s="153"/>
      <c r="D50" s="152"/>
      <c r="F50" s="156"/>
      <c r="G50" s="149"/>
      <c r="H50" s="149"/>
      <c r="I50" s="90"/>
    </row>
    <row r="51" spans="1:9" s="86" customFormat="1" ht="14.4" customHeight="1" x14ac:dyDescent="0.3">
      <c r="A51" s="89"/>
      <c r="B51" s="153"/>
      <c r="C51" s="157" t="s">
        <v>143</v>
      </c>
      <c r="D51" s="152"/>
      <c r="G51" s="149"/>
      <c r="H51" s="149"/>
      <c r="I51" s="90"/>
    </row>
    <row r="52" spans="1:9" s="86" customFormat="1" ht="15.75" customHeight="1" x14ac:dyDescent="0.3">
      <c r="A52" s="91" t="s">
        <v>144</v>
      </c>
      <c r="B52" s="153"/>
      <c r="C52" s="158" t="s">
        <v>145</v>
      </c>
      <c r="D52" s="153"/>
      <c r="G52" s="149"/>
      <c r="H52" s="149"/>
      <c r="I52" s="90"/>
    </row>
    <row r="53" spans="1:9" s="86" customFormat="1" x14ac:dyDescent="0.3">
      <c r="A53" s="226">
        <v>46233</v>
      </c>
      <c r="B53" s="227"/>
      <c r="C53" s="158" t="s">
        <v>146</v>
      </c>
      <c r="D53" s="159"/>
      <c r="G53" s="228" t="s">
        <v>147</v>
      </c>
      <c r="H53" s="228"/>
      <c r="I53" s="229"/>
    </row>
    <row r="54" spans="1:9" s="86" customFormat="1" ht="13.2" x14ac:dyDescent="0.3">
      <c r="A54" s="92"/>
      <c r="B54" s="93"/>
      <c r="C54" s="93"/>
      <c r="D54" s="93"/>
      <c r="E54" s="93"/>
      <c r="F54" s="93"/>
      <c r="G54" s="93"/>
      <c r="H54" s="93"/>
      <c r="I54" s="94"/>
    </row>
  </sheetData>
  <mergeCells count="13">
    <mergeCell ref="B45:C45"/>
    <mergeCell ref="G45:H45"/>
    <mergeCell ref="A1:I1"/>
    <mergeCell ref="A2:I2"/>
    <mergeCell ref="A3:I3"/>
    <mergeCell ref="A4:I4"/>
    <mergeCell ref="B5:C5"/>
    <mergeCell ref="G5:H5"/>
    <mergeCell ref="B48:D48"/>
    <mergeCell ref="B49:D49"/>
    <mergeCell ref="A53:B53"/>
    <mergeCell ref="G53:I53"/>
    <mergeCell ref="G47:I49"/>
  </mergeCells>
  <printOptions horizontalCentered="1"/>
  <pageMargins left="0.59055118110236227" right="0.19685039370078741" top="0.39370078740157483" bottom="0.19685039370078741" header="0.31496062992125984" footer="0.31496062992125984"/>
  <pageSetup paperSize="9" scale="65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B959C-475E-4606-B5ED-1DEE14CA8983}">
  <dimension ref="A1:K82"/>
  <sheetViews>
    <sheetView view="pageBreakPreview" zoomScaleNormal="100" zoomScaleSheetLayoutView="100" workbookViewId="0">
      <selection activeCell="K27" sqref="K27"/>
    </sheetView>
  </sheetViews>
  <sheetFormatPr defaultColWidth="14.44140625" defaultRowHeight="18" x14ac:dyDescent="0.3"/>
  <cols>
    <col min="1" max="1" width="3.6640625" style="160" customWidth="1"/>
    <col min="2" max="2" width="18.88671875" style="160" customWidth="1"/>
    <col min="3" max="8" width="14.77734375" style="160" customWidth="1"/>
    <col min="9" max="9" width="15.88671875" style="160" hidden="1" customWidth="1"/>
    <col min="10" max="11" width="10.6640625" style="160" hidden="1" customWidth="1"/>
    <col min="12" max="12" width="0" style="160" hidden="1" customWidth="1"/>
    <col min="13" max="16384" width="14.44140625" style="160"/>
  </cols>
  <sheetData>
    <row r="1" spans="1:10" ht="25.05" customHeight="1" x14ac:dyDescent="0.3">
      <c r="A1" s="237" t="s">
        <v>140</v>
      </c>
      <c r="B1" s="238"/>
      <c r="C1" s="238"/>
      <c r="D1" s="238"/>
      <c r="E1" s="238"/>
      <c r="F1" s="238"/>
      <c r="G1" s="238"/>
      <c r="H1" s="239"/>
    </row>
    <row r="2" spans="1:10" ht="25.05" customHeight="1" x14ac:dyDescent="0.3">
      <c r="A2" s="240" t="s">
        <v>108</v>
      </c>
      <c r="B2" s="241"/>
      <c r="C2" s="241"/>
      <c r="D2" s="241"/>
      <c r="E2" s="241"/>
      <c r="F2" s="241"/>
      <c r="G2" s="241"/>
      <c r="H2" s="242"/>
    </row>
    <row r="3" spans="1:10" s="162" customFormat="1" ht="19.95" customHeight="1" x14ac:dyDescent="0.3">
      <c r="A3" s="243" t="s">
        <v>109</v>
      </c>
      <c r="B3" s="243" t="s">
        <v>110</v>
      </c>
      <c r="C3" s="245" t="s">
        <v>111</v>
      </c>
      <c r="D3" s="246" t="s">
        <v>112</v>
      </c>
      <c r="E3" s="248" t="s">
        <v>167</v>
      </c>
      <c r="F3" s="249"/>
      <c r="G3" s="250"/>
      <c r="H3" s="251" t="s">
        <v>118</v>
      </c>
    </row>
    <row r="4" spans="1:10" s="162" customFormat="1" ht="19.95" customHeight="1" thickBot="1" x14ac:dyDescent="0.35">
      <c r="A4" s="244"/>
      <c r="B4" s="244"/>
      <c r="C4" s="244"/>
      <c r="D4" s="247"/>
      <c r="E4" s="163" t="s">
        <v>123</v>
      </c>
      <c r="F4" s="164" t="s">
        <v>152</v>
      </c>
      <c r="G4" s="165" t="s">
        <v>124</v>
      </c>
      <c r="H4" s="252"/>
      <c r="I4" s="166" t="s">
        <v>153</v>
      </c>
      <c r="J4" s="162" t="s">
        <v>154</v>
      </c>
    </row>
    <row r="5" spans="1:10" s="162" customFormat="1" ht="4.95" customHeight="1" thickTop="1" x14ac:dyDescent="0.3">
      <c r="A5" s="167"/>
      <c r="C5" s="168"/>
      <c r="D5" s="169"/>
      <c r="E5" s="170"/>
      <c r="F5" s="171"/>
      <c r="G5" s="170"/>
      <c r="H5" s="172"/>
      <c r="I5" s="166"/>
    </row>
    <row r="6" spans="1:10" s="162" customFormat="1" ht="19.95" customHeight="1" x14ac:dyDescent="0.3">
      <c r="A6" s="173">
        <v>1</v>
      </c>
      <c r="B6" s="174" t="s">
        <v>128</v>
      </c>
      <c r="C6" s="175">
        <v>262785</v>
      </c>
      <c r="D6" s="176">
        <v>45967</v>
      </c>
      <c r="E6" s="177">
        <v>336903</v>
      </c>
      <c r="F6" s="177">
        <v>37259</v>
      </c>
      <c r="G6" s="178">
        <f>+E6+F6</f>
        <v>374162</v>
      </c>
      <c r="H6" s="176">
        <v>46424</v>
      </c>
      <c r="I6" s="162">
        <v>472096</v>
      </c>
      <c r="J6" s="179">
        <v>-97934</v>
      </c>
    </row>
    <row r="7" spans="1:10" s="162" customFormat="1" ht="19.95" customHeight="1" x14ac:dyDescent="0.3">
      <c r="A7" s="173">
        <v>2</v>
      </c>
      <c r="B7" s="174" t="s">
        <v>133</v>
      </c>
      <c r="C7" s="175" t="s">
        <v>134</v>
      </c>
      <c r="D7" s="180">
        <v>45957</v>
      </c>
      <c r="E7" s="177">
        <v>50000</v>
      </c>
      <c r="F7" s="177">
        <v>1472</v>
      </c>
      <c r="G7" s="178">
        <f t="shared" ref="G7:G9" si="0">+E7+F7</f>
        <v>51472</v>
      </c>
      <c r="H7" s="176">
        <v>46322</v>
      </c>
      <c r="J7" s="179"/>
    </row>
    <row r="8" spans="1:10" s="162" customFormat="1" ht="19.95" customHeight="1" x14ac:dyDescent="0.3">
      <c r="A8" s="173">
        <v>3</v>
      </c>
      <c r="B8" s="174" t="s">
        <v>133</v>
      </c>
      <c r="C8" s="175" t="s">
        <v>136</v>
      </c>
      <c r="D8" s="176">
        <v>45755</v>
      </c>
      <c r="E8" s="186">
        <v>50000</v>
      </c>
      <c r="F8" s="177">
        <v>3877</v>
      </c>
      <c r="G8" s="178">
        <f t="shared" si="0"/>
        <v>53877</v>
      </c>
      <c r="H8" s="176">
        <v>46120</v>
      </c>
      <c r="J8" s="179"/>
    </row>
    <row r="9" spans="1:10" s="162" customFormat="1" ht="19.95" customHeight="1" x14ac:dyDescent="0.3">
      <c r="A9" s="173">
        <v>4</v>
      </c>
      <c r="B9" s="174" t="s">
        <v>133</v>
      </c>
      <c r="C9" s="175" t="s">
        <v>137</v>
      </c>
      <c r="D9" s="180">
        <v>46028</v>
      </c>
      <c r="E9" s="188">
        <v>640000</v>
      </c>
      <c r="F9" s="181">
        <v>0</v>
      </c>
      <c r="G9" s="178">
        <f t="shared" si="0"/>
        <v>640000</v>
      </c>
      <c r="H9" s="176">
        <v>46393</v>
      </c>
      <c r="I9" s="162">
        <v>200000</v>
      </c>
      <c r="J9" s="179">
        <v>-200000</v>
      </c>
    </row>
    <row r="10" spans="1:10" s="162" customFormat="1" ht="19.95" customHeight="1" thickBot="1" x14ac:dyDescent="0.35">
      <c r="A10" s="182"/>
      <c r="B10" s="183" t="s">
        <v>124</v>
      </c>
      <c r="C10" s="184"/>
      <c r="D10" s="184"/>
      <c r="E10" s="187">
        <f>SUBTOTAL(9,E6:E9)</f>
        <v>1076903</v>
      </c>
      <c r="F10" s="183">
        <f>SUBTOTAL(9,F6:F9)</f>
        <v>42608</v>
      </c>
      <c r="G10" s="183">
        <f>SUBTOTAL(9,G6:G9)</f>
        <v>1119511</v>
      </c>
      <c r="H10" s="183"/>
      <c r="J10" s="179"/>
    </row>
    <row r="11" spans="1:10" s="162" customFormat="1" ht="12.75" customHeight="1" thickTop="1" x14ac:dyDescent="0.3">
      <c r="C11" s="185"/>
      <c r="D11" s="185"/>
    </row>
    <row r="12" spans="1:10" ht="12.75" customHeight="1" x14ac:dyDescent="0.3">
      <c r="C12" s="161"/>
      <c r="D12" s="161"/>
    </row>
    <row r="13" spans="1:10" ht="12.75" customHeight="1" x14ac:dyDescent="0.3">
      <c r="C13" s="161"/>
      <c r="D13" s="161"/>
    </row>
    <row r="14" spans="1:10" ht="12.75" customHeight="1" x14ac:dyDescent="0.3">
      <c r="C14" s="161"/>
      <c r="D14" s="161"/>
    </row>
    <row r="15" spans="1:10" ht="12.75" customHeight="1" x14ac:dyDescent="0.3">
      <c r="C15" s="161"/>
      <c r="D15" s="161"/>
    </row>
    <row r="16" spans="1:10" ht="12.75" customHeight="1" x14ac:dyDescent="0.3">
      <c r="C16" s="161"/>
      <c r="D16" s="161"/>
    </row>
    <row r="17" spans="3:4" ht="12.75" customHeight="1" x14ac:dyDescent="0.3">
      <c r="C17" s="161"/>
      <c r="D17" s="161"/>
    </row>
    <row r="18" spans="3:4" ht="12.75" customHeight="1" x14ac:dyDescent="0.3">
      <c r="C18" s="161"/>
      <c r="D18" s="161"/>
    </row>
    <row r="19" spans="3:4" ht="12.75" customHeight="1" x14ac:dyDescent="0.3">
      <c r="C19" s="161"/>
      <c r="D19" s="161"/>
    </row>
    <row r="20" spans="3:4" ht="12.75" customHeight="1" x14ac:dyDescent="0.3">
      <c r="C20" s="161"/>
      <c r="D20" s="161"/>
    </row>
    <row r="21" spans="3:4" ht="12.75" customHeight="1" x14ac:dyDescent="0.3">
      <c r="C21" s="161"/>
      <c r="D21" s="161"/>
    </row>
    <row r="22" spans="3:4" ht="12.75" customHeight="1" x14ac:dyDescent="0.3">
      <c r="C22" s="161"/>
      <c r="D22" s="161"/>
    </row>
    <row r="23" spans="3:4" ht="12.75" customHeight="1" x14ac:dyDescent="0.3">
      <c r="C23" s="161"/>
      <c r="D23" s="161"/>
    </row>
    <row r="24" spans="3:4" ht="12.75" customHeight="1" x14ac:dyDescent="0.3">
      <c r="C24" s="161"/>
      <c r="D24" s="161"/>
    </row>
    <row r="25" spans="3:4" ht="12.75" customHeight="1" x14ac:dyDescent="0.3">
      <c r="C25" s="161"/>
      <c r="D25" s="161"/>
    </row>
    <row r="26" spans="3:4" ht="12.75" customHeight="1" x14ac:dyDescent="0.3">
      <c r="C26" s="161"/>
      <c r="D26" s="161"/>
    </row>
    <row r="27" spans="3:4" ht="12.75" customHeight="1" x14ac:dyDescent="0.3">
      <c r="C27" s="161"/>
      <c r="D27" s="161"/>
    </row>
    <row r="28" spans="3:4" ht="12.75" customHeight="1" x14ac:dyDescent="0.3">
      <c r="C28" s="161"/>
      <c r="D28" s="161"/>
    </row>
    <row r="29" spans="3:4" ht="12.75" customHeight="1" x14ac:dyDescent="0.3">
      <c r="C29" s="161"/>
      <c r="D29" s="161"/>
    </row>
    <row r="30" spans="3:4" ht="12.75" customHeight="1" x14ac:dyDescent="0.3">
      <c r="C30" s="161"/>
      <c r="D30" s="161"/>
    </row>
    <row r="31" spans="3:4" ht="12.75" customHeight="1" x14ac:dyDescent="0.3">
      <c r="C31" s="161"/>
      <c r="D31" s="161"/>
    </row>
    <row r="32" spans="3:4" ht="12.75" customHeight="1" x14ac:dyDescent="0.3">
      <c r="C32" s="161"/>
      <c r="D32" s="161"/>
    </row>
    <row r="33" spans="3:4" ht="12.75" customHeight="1" x14ac:dyDescent="0.3">
      <c r="C33" s="161"/>
      <c r="D33" s="161"/>
    </row>
    <row r="34" spans="3:4" ht="12.75" customHeight="1" x14ac:dyDescent="0.3">
      <c r="C34" s="161"/>
      <c r="D34" s="161"/>
    </row>
    <row r="35" spans="3:4" ht="12.75" customHeight="1" x14ac:dyDescent="0.3">
      <c r="C35" s="161"/>
      <c r="D35" s="161"/>
    </row>
    <row r="36" spans="3:4" ht="12.75" customHeight="1" x14ac:dyDescent="0.3">
      <c r="C36" s="161"/>
      <c r="D36" s="161"/>
    </row>
    <row r="37" spans="3:4" ht="12.75" customHeight="1" x14ac:dyDescent="0.3">
      <c r="C37" s="161"/>
      <c r="D37" s="161"/>
    </row>
    <row r="38" spans="3:4" ht="12.75" customHeight="1" x14ac:dyDescent="0.3">
      <c r="C38" s="161"/>
      <c r="D38" s="161"/>
    </row>
    <row r="39" spans="3:4" ht="12.75" customHeight="1" x14ac:dyDescent="0.3">
      <c r="C39" s="161"/>
      <c r="D39" s="161"/>
    </row>
    <row r="40" spans="3:4" ht="12.75" customHeight="1" x14ac:dyDescent="0.3">
      <c r="C40" s="161"/>
      <c r="D40" s="161"/>
    </row>
    <row r="41" spans="3:4" ht="12.75" customHeight="1" x14ac:dyDescent="0.3">
      <c r="C41" s="161"/>
      <c r="D41" s="161"/>
    </row>
    <row r="42" spans="3:4" ht="12.75" customHeight="1" x14ac:dyDescent="0.3">
      <c r="C42" s="161"/>
      <c r="D42" s="161"/>
    </row>
    <row r="43" spans="3:4" ht="12.75" customHeight="1" x14ac:dyDescent="0.3">
      <c r="C43" s="161"/>
      <c r="D43" s="161"/>
    </row>
    <row r="44" spans="3:4" ht="12.75" customHeight="1" x14ac:dyDescent="0.3">
      <c r="C44" s="161"/>
      <c r="D44" s="161"/>
    </row>
    <row r="45" spans="3:4" ht="12.75" customHeight="1" x14ac:dyDescent="0.3">
      <c r="C45" s="161"/>
      <c r="D45" s="161"/>
    </row>
    <row r="46" spans="3:4" ht="12.75" customHeight="1" x14ac:dyDescent="0.3">
      <c r="C46" s="161"/>
      <c r="D46" s="161"/>
    </row>
    <row r="47" spans="3:4" ht="12.75" customHeight="1" x14ac:dyDescent="0.3">
      <c r="C47" s="161"/>
      <c r="D47" s="161"/>
    </row>
    <row r="48" spans="3:4" ht="12.75" customHeight="1" x14ac:dyDescent="0.3">
      <c r="C48" s="161"/>
      <c r="D48" s="161"/>
    </row>
    <row r="49" spans="3:4" ht="12.75" customHeight="1" x14ac:dyDescent="0.3">
      <c r="C49" s="161"/>
      <c r="D49" s="161"/>
    </row>
    <row r="50" spans="3:4" ht="12.75" customHeight="1" x14ac:dyDescent="0.3">
      <c r="C50" s="161"/>
      <c r="D50" s="161"/>
    </row>
    <row r="51" spans="3:4" ht="12.75" customHeight="1" x14ac:dyDescent="0.3">
      <c r="C51" s="161"/>
      <c r="D51" s="161"/>
    </row>
    <row r="52" spans="3:4" ht="12.75" customHeight="1" x14ac:dyDescent="0.3">
      <c r="C52" s="161"/>
      <c r="D52" s="161"/>
    </row>
    <row r="53" spans="3:4" ht="12.75" customHeight="1" x14ac:dyDescent="0.3">
      <c r="C53" s="161"/>
      <c r="D53" s="161"/>
    </row>
    <row r="54" spans="3:4" ht="12.75" customHeight="1" x14ac:dyDescent="0.3">
      <c r="C54" s="161"/>
      <c r="D54" s="161"/>
    </row>
    <row r="55" spans="3:4" ht="12.75" customHeight="1" x14ac:dyDescent="0.3">
      <c r="C55" s="161"/>
      <c r="D55" s="161"/>
    </row>
    <row r="56" spans="3:4" ht="12.75" customHeight="1" x14ac:dyDescent="0.3">
      <c r="C56" s="161"/>
      <c r="D56" s="161"/>
    </row>
    <row r="57" spans="3:4" ht="12.75" customHeight="1" x14ac:dyDescent="0.3">
      <c r="C57" s="161"/>
      <c r="D57" s="161"/>
    </row>
    <row r="58" spans="3:4" ht="12.75" customHeight="1" x14ac:dyDescent="0.3">
      <c r="C58" s="161"/>
      <c r="D58" s="161"/>
    </row>
    <row r="59" spans="3:4" ht="12.75" customHeight="1" x14ac:dyDescent="0.3">
      <c r="C59" s="161"/>
      <c r="D59" s="161"/>
    </row>
    <row r="60" spans="3:4" ht="12.75" customHeight="1" x14ac:dyDescent="0.3">
      <c r="C60" s="161"/>
      <c r="D60" s="161"/>
    </row>
    <row r="61" spans="3:4" ht="12.75" customHeight="1" x14ac:dyDescent="0.3">
      <c r="C61" s="161"/>
      <c r="D61" s="161"/>
    </row>
    <row r="62" spans="3:4" ht="12.75" customHeight="1" x14ac:dyDescent="0.3">
      <c r="C62" s="161"/>
      <c r="D62" s="161"/>
    </row>
    <row r="63" spans="3:4" ht="12.75" customHeight="1" x14ac:dyDescent="0.3">
      <c r="C63" s="161"/>
      <c r="D63" s="161"/>
    </row>
    <row r="64" spans="3:4" ht="12.75" customHeight="1" x14ac:dyDescent="0.3">
      <c r="C64" s="161"/>
      <c r="D64" s="161"/>
    </row>
    <row r="65" spans="3:4" ht="12.75" customHeight="1" x14ac:dyDescent="0.3">
      <c r="C65" s="161"/>
      <c r="D65" s="161"/>
    </row>
    <row r="66" spans="3:4" ht="12.75" customHeight="1" x14ac:dyDescent="0.3">
      <c r="C66" s="161"/>
      <c r="D66" s="161"/>
    </row>
    <row r="67" spans="3:4" ht="12.75" customHeight="1" x14ac:dyDescent="0.3">
      <c r="C67" s="161"/>
      <c r="D67" s="161"/>
    </row>
    <row r="68" spans="3:4" ht="12.75" customHeight="1" x14ac:dyDescent="0.3">
      <c r="C68" s="161"/>
      <c r="D68" s="161"/>
    </row>
    <row r="69" spans="3:4" ht="12.75" customHeight="1" x14ac:dyDescent="0.3">
      <c r="C69" s="161"/>
      <c r="D69" s="161"/>
    </row>
    <row r="70" spans="3:4" ht="12.75" customHeight="1" x14ac:dyDescent="0.3">
      <c r="C70" s="161"/>
      <c r="D70" s="161"/>
    </row>
    <row r="71" spans="3:4" ht="12.75" customHeight="1" x14ac:dyDescent="0.3">
      <c r="C71" s="161"/>
      <c r="D71" s="161"/>
    </row>
    <row r="72" spans="3:4" ht="12.75" customHeight="1" x14ac:dyDescent="0.3">
      <c r="C72" s="161"/>
      <c r="D72" s="161"/>
    </row>
    <row r="73" spans="3:4" ht="12.75" customHeight="1" x14ac:dyDescent="0.3">
      <c r="C73" s="161"/>
      <c r="D73" s="161"/>
    </row>
    <row r="74" spans="3:4" ht="12.75" customHeight="1" x14ac:dyDescent="0.3">
      <c r="C74" s="161"/>
      <c r="D74" s="161"/>
    </row>
    <row r="75" spans="3:4" ht="12.75" customHeight="1" x14ac:dyDescent="0.3">
      <c r="C75" s="161"/>
      <c r="D75" s="161"/>
    </row>
    <row r="76" spans="3:4" ht="12.75" customHeight="1" x14ac:dyDescent="0.3">
      <c r="C76" s="161"/>
      <c r="D76" s="161"/>
    </row>
    <row r="77" spans="3:4" ht="12.75" customHeight="1" x14ac:dyDescent="0.3">
      <c r="C77" s="161"/>
      <c r="D77" s="161"/>
    </row>
    <row r="78" spans="3:4" ht="12.75" customHeight="1" x14ac:dyDescent="0.3">
      <c r="C78" s="161"/>
      <c r="D78" s="161"/>
    </row>
    <row r="79" spans="3:4" ht="12.75" customHeight="1" x14ac:dyDescent="0.3">
      <c r="C79" s="161"/>
      <c r="D79" s="161"/>
    </row>
    <row r="80" spans="3:4" ht="12.75" customHeight="1" x14ac:dyDescent="0.3">
      <c r="C80" s="161"/>
      <c r="D80" s="161"/>
    </row>
    <row r="81" spans="3:4" ht="12.75" customHeight="1" x14ac:dyDescent="0.3">
      <c r="C81" s="161"/>
      <c r="D81" s="161"/>
    </row>
    <row r="82" spans="3:4" ht="12.75" customHeight="1" x14ac:dyDescent="0.3">
      <c r="C82" s="161"/>
      <c r="D82" s="161"/>
    </row>
  </sheetData>
  <mergeCells count="8">
    <mergeCell ref="A1:H1"/>
    <mergeCell ref="A2:H2"/>
    <mergeCell ref="A3:A4"/>
    <mergeCell ref="B3:B4"/>
    <mergeCell ref="C3:C4"/>
    <mergeCell ref="D3:D4"/>
    <mergeCell ref="E3:G3"/>
    <mergeCell ref="H3:H4"/>
  </mergeCells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94"/>
  <sheetViews>
    <sheetView tabSelected="1" topLeftCell="D1" workbookViewId="0">
      <selection activeCell="L16" sqref="L16"/>
    </sheetView>
  </sheetViews>
  <sheetFormatPr defaultColWidth="14.44140625" defaultRowHeight="14.4" x14ac:dyDescent="0.3"/>
  <cols>
    <col min="1" max="1" width="3.6640625" style="17" customWidth="1"/>
    <col min="2" max="2" width="12.33203125" style="17" bestFit="1" customWidth="1"/>
    <col min="3" max="3" width="14.44140625" style="17" customWidth="1"/>
    <col min="4" max="4" width="12.88671875" style="17" customWidth="1"/>
    <col min="5" max="5" width="10.5546875" style="17" customWidth="1"/>
    <col min="6" max="6" width="9.44140625" style="17" customWidth="1"/>
    <col min="7" max="7" width="10.33203125" style="17" customWidth="1"/>
    <col min="8" max="8" width="12.6640625" style="17" customWidth="1"/>
    <col min="9" max="9" width="14.5546875" style="17" customWidth="1"/>
    <col min="10" max="10" width="9.33203125" style="17" customWidth="1"/>
    <col min="11" max="11" width="7.5546875" style="17" customWidth="1"/>
    <col min="12" max="12" width="10.109375" style="17" bestFit="1" customWidth="1"/>
    <col min="13" max="13" width="10.5546875" style="17" customWidth="1"/>
    <col min="14" max="14" width="10.88671875" style="17" bestFit="1" customWidth="1"/>
    <col min="15" max="15" width="10" style="17" bestFit="1" customWidth="1"/>
    <col min="16" max="16" width="10.5546875" style="17" customWidth="1"/>
    <col min="17" max="17" width="9.44140625" style="17" customWidth="1"/>
    <col min="18" max="19" width="10" style="17" customWidth="1"/>
    <col min="20" max="21" width="23.88671875" style="17" customWidth="1"/>
    <col min="22" max="22" width="15.88671875" style="17" hidden="1" customWidth="1"/>
    <col min="23" max="24" width="10.6640625" style="17" hidden="1" customWidth="1"/>
    <col min="25" max="25" width="0" style="17" hidden="1" customWidth="1"/>
    <col min="26" max="16384" width="14.44140625" style="17"/>
  </cols>
  <sheetData>
    <row r="1" spans="1:24" ht="12.75" customHeight="1" x14ac:dyDescent="0.3">
      <c r="A1" s="16" t="s">
        <v>150</v>
      </c>
      <c r="V1" s="104"/>
      <c r="W1" s="104"/>
      <c r="X1" s="104"/>
    </row>
    <row r="2" spans="1:24" ht="12.75" customHeight="1" x14ac:dyDescent="0.3">
      <c r="A2" s="16" t="s">
        <v>107</v>
      </c>
      <c r="T2" s="18"/>
      <c r="U2" s="18"/>
      <c r="V2" s="104"/>
      <c r="W2" s="104"/>
      <c r="X2" s="104"/>
    </row>
    <row r="3" spans="1:24" ht="12.75" customHeight="1" x14ac:dyDescent="0.3">
      <c r="A3" s="197" t="s">
        <v>108</v>
      </c>
      <c r="B3" s="198"/>
      <c r="C3" s="198"/>
      <c r="D3" s="198"/>
      <c r="E3" s="198"/>
      <c r="F3" s="198"/>
      <c r="G3" s="198"/>
      <c r="H3" s="198"/>
      <c r="I3" s="198"/>
      <c r="J3" s="198"/>
      <c r="K3" s="198"/>
      <c r="L3" s="198"/>
      <c r="M3" s="198"/>
      <c r="N3" s="198"/>
      <c r="O3" s="198"/>
      <c r="P3" s="198"/>
      <c r="Q3" s="198"/>
      <c r="R3" s="198"/>
      <c r="S3" s="198"/>
      <c r="T3" s="198"/>
      <c r="U3" s="28"/>
      <c r="V3" s="104"/>
      <c r="W3" s="104"/>
      <c r="X3" s="104"/>
    </row>
    <row r="4" spans="1:24" ht="12.75" customHeight="1" x14ac:dyDescent="0.3">
      <c r="A4" s="199" t="s">
        <v>109</v>
      </c>
      <c r="B4" s="199" t="s">
        <v>110</v>
      </c>
      <c r="C4" s="200" t="s">
        <v>111</v>
      </c>
      <c r="D4" s="201" t="s">
        <v>112</v>
      </c>
      <c r="E4" s="190" t="s">
        <v>113</v>
      </c>
      <c r="F4" s="191"/>
      <c r="G4" s="192"/>
      <c r="H4" s="19" t="s">
        <v>114</v>
      </c>
      <c r="I4" s="19" t="s">
        <v>115</v>
      </c>
      <c r="J4" s="195" t="s">
        <v>116</v>
      </c>
      <c r="K4" s="195" t="s">
        <v>117</v>
      </c>
      <c r="L4" s="203" t="s">
        <v>118</v>
      </c>
      <c r="M4" s="190" t="s">
        <v>119</v>
      </c>
      <c r="N4" s="191"/>
      <c r="O4" s="192"/>
      <c r="P4" s="190" t="s">
        <v>120</v>
      </c>
      <c r="Q4" s="191"/>
      <c r="R4" s="192"/>
      <c r="S4" s="193" t="s">
        <v>121</v>
      </c>
      <c r="T4" s="195" t="s">
        <v>122</v>
      </c>
      <c r="U4" s="189" t="s">
        <v>151</v>
      </c>
      <c r="V4" s="104"/>
      <c r="W4" s="104"/>
      <c r="X4" s="104"/>
    </row>
    <row r="5" spans="1:24" ht="12.75" customHeight="1" x14ac:dyDescent="0.3">
      <c r="A5" s="196"/>
      <c r="B5" s="196"/>
      <c r="C5" s="196"/>
      <c r="D5" s="202"/>
      <c r="E5" s="23" t="s">
        <v>123</v>
      </c>
      <c r="F5" s="24" t="s">
        <v>152</v>
      </c>
      <c r="G5" s="25" t="s">
        <v>124</v>
      </c>
      <c r="H5" s="25" t="s">
        <v>125</v>
      </c>
      <c r="I5" s="20" t="s">
        <v>126</v>
      </c>
      <c r="J5" s="196"/>
      <c r="K5" s="196"/>
      <c r="L5" s="204"/>
      <c r="M5" s="25" t="s">
        <v>123</v>
      </c>
      <c r="N5" s="25" t="s">
        <v>127</v>
      </c>
      <c r="O5" s="25" t="s">
        <v>124</v>
      </c>
      <c r="P5" s="25" t="s">
        <v>123</v>
      </c>
      <c r="Q5" s="26" t="s">
        <v>60</v>
      </c>
      <c r="R5" s="25" t="s">
        <v>124</v>
      </c>
      <c r="S5" s="194"/>
      <c r="T5" s="196"/>
      <c r="U5" s="189"/>
      <c r="V5" s="105" t="s">
        <v>153</v>
      </c>
      <c r="W5" s="104" t="s">
        <v>154</v>
      </c>
      <c r="X5" s="104"/>
    </row>
    <row r="6" spans="1:24" ht="12.75" customHeight="1" x14ac:dyDescent="0.3">
      <c r="A6" s="27"/>
      <c r="B6" s="28"/>
      <c r="C6" s="21"/>
      <c r="D6" s="22"/>
      <c r="E6" s="23"/>
      <c r="F6" s="29"/>
      <c r="G6" s="25"/>
      <c r="H6" s="29"/>
      <c r="I6" s="20"/>
      <c r="J6" s="21"/>
      <c r="K6" s="27"/>
      <c r="L6" s="26"/>
      <c r="M6" s="30"/>
      <c r="N6" s="30"/>
      <c r="O6" s="30"/>
      <c r="P6" s="30"/>
      <c r="Q6" s="31"/>
      <c r="R6" s="30"/>
      <c r="S6" s="32"/>
      <c r="T6" s="21"/>
      <c r="U6" s="106"/>
      <c r="V6" s="105"/>
      <c r="W6" s="104"/>
      <c r="X6" s="104"/>
    </row>
    <row r="7" spans="1:24" ht="21.75" customHeight="1" x14ac:dyDescent="0.3">
      <c r="A7" s="107">
        <f>ROW()-6</f>
        <v>1</v>
      </c>
      <c r="B7" s="108" t="s">
        <v>128</v>
      </c>
      <c r="C7" s="109">
        <v>262785</v>
      </c>
      <c r="D7" s="110">
        <v>45510</v>
      </c>
      <c r="E7" s="111">
        <v>336903</v>
      </c>
      <c r="F7" s="112">
        <v>12453</v>
      </c>
      <c r="G7" s="113">
        <f t="shared" ref="G7:G12" si="0">E7+F7</f>
        <v>349356</v>
      </c>
      <c r="H7" s="114"/>
      <c r="I7" s="115">
        <v>14758</v>
      </c>
      <c r="J7" s="115"/>
      <c r="K7" s="116"/>
      <c r="L7" s="110">
        <v>45967</v>
      </c>
      <c r="M7" s="116">
        <f>E7</f>
        <v>336903</v>
      </c>
      <c r="N7" s="116">
        <f>F7+I7</f>
        <v>27211</v>
      </c>
      <c r="O7" s="117">
        <f>SUM(M7:N7)</f>
        <v>364114</v>
      </c>
      <c r="P7" s="117"/>
      <c r="Q7" s="117"/>
      <c r="R7" s="117"/>
      <c r="S7" s="117" t="s">
        <v>129</v>
      </c>
      <c r="T7" s="118" t="s">
        <v>130</v>
      </c>
      <c r="U7" s="119"/>
      <c r="V7" s="104">
        <v>472096</v>
      </c>
      <c r="W7" s="120">
        <f t="shared" ref="W7:W12" si="1">R7-V7</f>
        <v>-472096</v>
      </c>
      <c r="X7" s="104"/>
    </row>
    <row r="8" spans="1:24" ht="21.75" customHeight="1" x14ac:dyDescent="0.3">
      <c r="A8" s="107">
        <f t="shared" ref="A8:A20" si="2">ROW()-6</f>
        <v>2</v>
      </c>
      <c r="B8" s="108" t="s">
        <v>128</v>
      </c>
      <c r="C8" s="109">
        <v>262785</v>
      </c>
      <c r="D8" s="110">
        <v>45967</v>
      </c>
      <c r="E8" s="111"/>
      <c r="F8" s="112"/>
      <c r="G8" s="113">
        <f t="shared" si="0"/>
        <v>0</v>
      </c>
      <c r="H8" s="114">
        <f>M7</f>
        <v>336903</v>
      </c>
      <c r="I8" s="115">
        <v>10048</v>
      </c>
      <c r="J8" s="115"/>
      <c r="K8" s="116"/>
      <c r="L8" s="110">
        <v>46424</v>
      </c>
      <c r="M8" s="116">
        <f>G8</f>
        <v>0</v>
      </c>
      <c r="N8" s="116">
        <v>0</v>
      </c>
      <c r="O8" s="117">
        <f>SUM(M8:N8)</f>
        <v>0</v>
      </c>
      <c r="P8" s="117">
        <f t="shared" ref="P8:P12" si="3">E8+H8-M8+K8</f>
        <v>336903</v>
      </c>
      <c r="Q8" s="117">
        <f>F8+I8-J8-N8+N7</f>
        <v>37259</v>
      </c>
      <c r="R8" s="117">
        <f t="shared" ref="R8:R12" si="4">Q8+P8</f>
        <v>374162</v>
      </c>
      <c r="S8" s="117" t="s">
        <v>131</v>
      </c>
      <c r="T8" s="118" t="s">
        <v>130</v>
      </c>
      <c r="U8" s="119"/>
      <c r="V8" s="104">
        <v>472096</v>
      </c>
      <c r="W8" s="120">
        <f t="shared" si="1"/>
        <v>-97934</v>
      </c>
      <c r="X8" s="104"/>
    </row>
    <row r="9" spans="1:24" ht="41.4" x14ac:dyDescent="0.3">
      <c r="A9" s="107">
        <f t="shared" si="2"/>
        <v>3</v>
      </c>
      <c r="B9" s="108" t="s">
        <v>128</v>
      </c>
      <c r="C9" s="109">
        <v>262786</v>
      </c>
      <c r="D9" s="110">
        <v>45580</v>
      </c>
      <c r="E9" s="121">
        <v>193055</v>
      </c>
      <c r="F9" s="122"/>
      <c r="G9" s="113">
        <f t="shared" si="0"/>
        <v>193055</v>
      </c>
      <c r="H9" s="114"/>
      <c r="I9" s="115">
        <v>2884</v>
      </c>
      <c r="J9" s="115"/>
      <c r="K9" s="116"/>
      <c r="L9" s="110">
        <v>45945</v>
      </c>
      <c r="M9" s="116">
        <f>E9</f>
        <v>193055</v>
      </c>
      <c r="N9" s="123">
        <v>2884</v>
      </c>
      <c r="O9" s="117">
        <f>SUM(M9:N9)</f>
        <v>195939</v>
      </c>
      <c r="P9" s="117">
        <f t="shared" si="3"/>
        <v>0</v>
      </c>
      <c r="Q9" s="117">
        <f t="shared" ref="Q9:Q12" si="5">F9+I9-J9-N9</f>
        <v>0</v>
      </c>
      <c r="R9" s="117">
        <f t="shared" si="4"/>
        <v>0</v>
      </c>
      <c r="S9" s="117" t="s">
        <v>132</v>
      </c>
      <c r="T9" s="118" t="s">
        <v>130</v>
      </c>
      <c r="U9" s="124" t="s">
        <v>155</v>
      </c>
      <c r="V9" s="104">
        <v>472096</v>
      </c>
      <c r="W9" s="120">
        <f t="shared" si="1"/>
        <v>-472096</v>
      </c>
      <c r="X9" s="104"/>
    </row>
    <row r="10" spans="1:24" x14ac:dyDescent="0.3">
      <c r="A10" s="107">
        <f t="shared" si="2"/>
        <v>4</v>
      </c>
      <c r="B10" s="108" t="s">
        <v>133</v>
      </c>
      <c r="C10" s="109" t="s">
        <v>134</v>
      </c>
      <c r="D10" s="125">
        <v>45957</v>
      </c>
      <c r="E10" s="126">
        <v>0</v>
      </c>
      <c r="F10" s="126">
        <v>0</v>
      </c>
      <c r="G10" s="113">
        <f t="shared" si="0"/>
        <v>0</v>
      </c>
      <c r="H10" s="114">
        <v>50000</v>
      </c>
      <c r="I10" s="115">
        <v>1472</v>
      </c>
      <c r="J10" s="115"/>
      <c r="K10" s="116"/>
      <c r="L10" s="110">
        <v>46322</v>
      </c>
      <c r="M10" s="116">
        <v>0</v>
      </c>
      <c r="N10" s="116"/>
      <c r="O10" s="117">
        <f t="shared" ref="O10:O12" si="6">SUM(M10:N10)</f>
        <v>0</v>
      </c>
      <c r="P10" s="117">
        <f t="shared" si="3"/>
        <v>50000</v>
      </c>
      <c r="Q10" s="117">
        <f t="shared" si="5"/>
        <v>1472</v>
      </c>
      <c r="R10" s="117">
        <f t="shared" si="4"/>
        <v>51472</v>
      </c>
      <c r="S10" s="117" t="s">
        <v>135</v>
      </c>
      <c r="T10" s="118" t="s">
        <v>130</v>
      </c>
      <c r="U10" s="124"/>
      <c r="V10" s="104"/>
      <c r="W10" s="120"/>
      <c r="X10" s="104"/>
    </row>
    <row r="11" spans="1:24" x14ac:dyDescent="0.3">
      <c r="A11" s="107">
        <f t="shared" si="2"/>
        <v>5</v>
      </c>
      <c r="B11" s="108" t="s">
        <v>133</v>
      </c>
      <c r="C11" s="109" t="s">
        <v>136</v>
      </c>
      <c r="D11" s="110">
        <v>45755</v>
      </c>
      <c r="E11" s="126">
        <v>0</v>
      </c>
      <c r="F11" s="127">
        <v>0</v>
      </c>
      <c r="G11" s="113">
        <f t="shared" si="0"/>
        <v>0</v>
      </c>
      <c r="H11" s="114">
        <v>50000</v>
      </c>
      <c r="I11" s="115">
        <v>3877</v>
      </c>
      <c r="J11" s="115"/>
      <c r="K11" s="116"/>
      <c r="L11" s="110">
        <v>46120</v>
      </c>
      <c r="M11" s="116">
        <v>0</v>
      </c>
      <c r="N11" s="116"/>
      <c r="O11" s="117">
        <f t="shared" si="6"/>
        <v>0</v>
      </c>
      <c r="P11" s="117">
        <f t="shared" si="3"/>
        <v>50000</v>
      </c>
      <c r="Q11" s="117">
        <f t="shared" si="5"/>
        <v>3877</v>
      </c>
      <c r="R11" s="117">
        <f t="shared" si="4"/>
        <v>53877</v>
      </c>
      <c r="S11" s="117" t="s">
        <v>135</v>
      </c>
      <c r="T11" s="118" t="s">
        <v>130</v>
      </c>
      <c r="U11" s="124"/>
      <c r="V11" s="104"/>
      <c r="W11" s="120"/>
      <c r="X11" s="104"/>
    </row>
    <row r="12" spans="1:24" ht="21.75" customHeight="1" x14ac:dyDescent="0.3">
      <c r="A12" s="107">
        <f t="shared" si="2"/>
        <v>6</v>
      </c>
      <c r="B12" s="108"/>
      <c r="C12" s="109"/>
      <c r="D12" s="110"/>
      <c r="E12" s="111"/>
      <c r="F12" s="112">
        <v>0</v>
      </c>
      <c r="G12" s="113">
        <f t="shared" si="0"/>
        <v>0</v>
      </c>
      <c r="H12" s="114"/>
      <c r="I12" s="115"/>
      <c r="J12" s="115"/>
      <c r="K12" s="116"/>
      <c r="L12" s="110"/>
      <c r="M12" s="116">
        <f t="shared" ref="M12" si="7">G12</f>
        <v>0</v>
      </c>
      <c r="N12" s="116"/>
      <c r="O12" s="117">
        <f t="shared" si="6"/>
        <v>0</v>
      </c>
      <c r="P12" s="117">
        <f t="shared" si="3"/>
        <v>0</v>
      </c>
      <c r="Q12" s="117">
        <f t="shared" si="5"/>
        <v>0</v>
      </c>
      <c r="R12" s="117">
        <f t="shared" si="4"/>
        <v>0</v>
      </c>
      <c r="S12" s="117"/>
      <c r="T12" s="118"/>
      <c r="U12" s="128"/>
      <c r="V12" s="104">
        <v>200000</v>
      </c>
      <c r="W12" s="120">
        <f t="shared" si="1"/>
        <v>-200000</v>
      </c>
      <c r="X12" s="104"/>
    </row>
    <row r="13" spans="1:24" ht="21.75" customHeight="1" thickBot="1" x14ac:dyDescent="0.35">
      <c r="A13" s="129"/>
      <c r="B13" s="130" t="s">
        <v>124</v>
      </c>
      <c r="C13" s="131"/>
      <c r="D13" s="131"/>
      <c r="E13" s="130">
        <f t="shared" ref="E13:R13" si="8">SUBTOTAL(9,E7:E12)</f>
        <v>529958</v>
      </c>
      <c r="F13" s="130">
        <f t="shared" si="8"/>
        <v>12453</v>
      </c>
      <c r="G13" s="132">
        <f t="shared" si="8"/>
        <v>542411</v>
      </c>
      <c r="H13" s="130">
        <f t="shared" si="8"/>
        <v>436903</v>
      </c>
      <c r="I13" s="130">
        <f t="shared" si="8"/>
        <v>33039</v>
      </c>
      <c r="J13" s="130">
        <f t="shared" si="8"/>
        <v>0</v>
      </c>
      <c r="K13" s="130">
        <f t="shared" si="8"/>
        <v>0</v>
      </c>
      <c r="L13" s="130">
        <f t="shared" si="8"/>
        <v>230778</v>
      </c>
      <c r="M13" s="130">
        <f t="shared" si="8"/>
        <v>529958</v>
      </c>
      <c r="N13" s="130">
        <f t="shared" si="8"/>
        <v>30095</v>
      </c>
      <c r="O13" s="132">
        <f t="shared" si="8"/>
        <v>560053</v>
      </c>
      <c r="P13" s="132">
        <f t="shared" si="8"/>
        <v>436903</v>
      </c>
      <c r="Q13" s="132">
        <f t="shared" si="8"/>
        <v>42608</v>
      </c>
      <c r="R13" s="132">
        <f t="shared" si="8"/>
        <v>479511</v>
      </c>
      <c r="S13" s="132"/>
      <c r="T13" s="133"/>
      <c r="U13" s="134"/>
      <c r="V13" s="104"/>
      <c r="W13" s="120"/>
      <c r="X13" s="104"/>
    </row>
    <row r="14" spans="1:24" ht="12.75" customHeight="1" thickTop="1" x14ac:dyDescent="0.3">
      <c r="A14" s="104"/>
      <c r="B14" s="104"/>
      <c r="C14" s="135"/>
      <c r="D14" s="135"/>
      <c r="E14" s="104"/>
      <c r="F14" s="104"/>
      <c r="G14" s="104"/>
      <c r="H14" s="104"/>
      <c r="I14" s="120"/>
      <c r="J14" s="120"/>
      <c r="K14" s="104"/>
      <c r="L14" s="104"/>
      <c r="M14" s="104"/>
      <c r="N14" s="104"/>
      <c r="O14" s="104"/>
      <c r="P14" s="104"/>
      <c r="Q14" s="104"/>
      <c r="R14" s="104"/>
      <c r="S14" s="104"/>
      <c r="T14" s="104"/>
      <c r="U14" s="104"/>
      <c r="V14" s="104"/>
      <c r="W14" s="104"/>
      <c r="X14" s="104"/>
    </row>
    <row r="15" spans="1:24" ht="12.75" customHeight="1" x14ac:dyDescent="0.3">
      <c r="A15" s="104"/>
      <c r="B15" s="104"/>
      <c r="C15" s="135"/>
      <c r="D15" s="135"/>
      <c r="E15" s="104"/>
      <c r="F15" s="104"/>
      <c r="G15" s="104"/>
      <c r="H15" s="104" t="s">
        <v>156</v>
      </c>
      <c r="I15" s="120">
        <f>I13</f>
        <v>33039</v>
      </c>
      <c r="J15" s="120"/>
      <c r="K15" s="104"/>
      <c r="L15" s="104"/>
      <c r="M15" s="104"/>
      <c r="N15" s="104"/>
      <c r="O15" s="104"/>
      <c r="P15" s="104"/>
      <c r="Q15" s="104"/>
      <c r="R15" s="104"/>
      <c r="S15" s="104"/>
      <c r="T15" s="104"/>
      <c r="U15" s="104"/>
      <c r="V15" s="104"/>
      <c r="W15" s="104"/>
      <c r="X15" s="104"/>
    </row>
    <row r="16" spans="1:24" ht="12.75" customHeight="1" x14ac:dyDescent="0.3">
      <c r="A16" s="104"/>
      <c r="B16" s="104"/>
      <c r="C16" s="135"/>
      <c r="D16" s="135"/>
      <c r="E16" s="104"/>
      <c r="F16" s="104"/>
      <c r="G16" s="104"/>
      <c r="H16" s="104" t="s">
        <v>157</v>
      </c>
      <c r="I16" s="120">
        <f>I15-N9</f>
        <v>30155</v>
      </c>
      <c r="J16" s="120"/>
      <c r="K16" s="104"/>
      <c r="L16" s="104"/>
      <c r="M16" s="104"/>
      <c r="N16" s="104"/>
      <c r="O16" s="104"/>
      <c r="P16" s="104"/>
      <c r="Q16" s="104"/>
      <c r="R16" s="104"/>
      <c r="S16" s="104"/>
      <c r="T16" s="104"/>
      <c r="U16" s="104"/>
      <c r="V16" s="104"/>
      <c r="W16" s="104"/>
      <c r="X16" s="104"/>
    </row>
    <row r="17" spans="1:24" x14ac:dyDescent="0.3">
      <c r="A17" s="104"/>
      <c r="B17" s="104"/>
      <c r="C17" s="135"/>
      <c r="D17" s="135"/>
      <c r="E17" s="104"/>
      <c r="F17" s="104"/>
      <c r="G17" s="104"/>
      <c r="H17" s="104"/>
      <c r="I17" s="120"/>
      <c r="J17" s="104"/>
      <c r="K17" s="104"/>
      <c r="L17" s="104"/>
      <c r="M17" s="104"/>
      <c r="N17" s="104"/>
      <c r="O17" s="104"/>
      <c r="P17" s="104"/>
      <c r="Q17" s="104"/>
      <c r="R17" s="104"/>
      <c r="S17" s="104"/>
      <c r="T17" s="104"/>
      <c r="U17" s="104"/>
      <c r="V17" s="104"/>
      <c r="W17" s="104"/>
      <c r="X17" s="104"/>
    </row>
    <row r="18" spans="1:24" ht="12.75" customHeight="1" x14ac:dyDescent="0.3">
      <c r="A18" s="104"/>
      <c r="G18" s="104"/>
      <c r="H18" s="104"/>
      <c r="I18" s="120"/>
      <c r="J18" s="120"/>
      <c r="K18" s="104"/>
      <c r="L18" s="104"/>
      <c r="M18" s="104"/>
      <c r="N18" s="104"/>
      <c r="O18" s="104"/>
      <c r="P18" s="104"/>
      <c r="Q18" s="120"/>
      <c r="R18" s="104"/>
      <c r="S18" s="104"/>
      <c r="T18" s="104"/>
      <c r="U18" s="104"/>
      <c r="V18" s="104"/>
      <c r="W18" s="104"/>
      <c r="X18" s="104"/>
    </row>
    <row r="19" spans="1:24" x14ac:dyDescent="0.3">
      <c r="A19" s="107">
        <f t="shared" si="2"/>
        <v>13</v>
      </c>
      <c r="B19" s="108" t="s">
        <v>133</v>
      </c>
      <c r="C19" s="109" t="s">
        <v>137</v>
      </c>
      <c r="D19" s="110">
        <v>46028</v>
      </c>
      <c r="E19" s="126">
        <v>0</v>
      </c>
      <c r="F19" s="126">
        <v>0</v>
      </c>
      <c r="G19" s="136">
        <f>E19+F19</f>
        <v>0</v>
      </c>
      <c r="H19" s="114">
        <v>640000</v>
      </c>
      <c r="I19" s="115">
        <v>9911</v>
      </c>
      <c r="J19" s="115"/>
      <c r="K19" s="116"/>
      <c r="L19" s="110">
        <v>46393</v>
      </c>
      <c r="M19" s="116">
        <v>0</v>
      </c>
      <c r="N19" s="116">
        <v>9911</v>
      </c>
      <c r="O19" s="117">
        <f>SUM(M19:N19)</f>
        <v>9911</v>
      </c>
      <c r="P19" s="117">
        <f>E19+H19-M19+K19</f>
        <v>640000</v>
      </c>
      <c r="Q19" s="117">
        <f>F19+I19-J19-N19</f>
        <v>0</v>
      </c>
      <c r="R19" s="117">
        <f>Q19+P19</f>
        <v>640000</v>
      </c>
      <c r="S19" s="117" t="s">
        <v>135</v>
      </c>
      <c r="T19" s="118" t="s">
        <v>158</v>
      </c>
      <c r="U19" s="124"/>
      <c r="V19" s="104"/>
      <c r="W19" s="120"/>
      <c r="X19" s="104"/>
    </row>
    <row r="20" spans="1:24" ht="41.4" x14ac:dyDescent="0.3">
      <c r="A20" s="107">
        <f t="shared" si="2"/>
        <v>14</v>
      </c>
      <c r="B20" s="137" t="s">
        <v>133</v>
      </c>
      <c r="C20" s="138" t="s">
        <v>138</v>
      </c>
      <c r="D20" s="139">
        <v>42842</v>
      </c>
      <c r="E20" s="140">
        <v>640000</v>
      </c>
      <c r="F20" s="141">
        <v>31239</v>
      </c>
      <c r="G20" s="113">
        <f>E20+F20</f>
        <v>671239</v>
      </c>
      <c r="H20" s="114"/>
      <c r="I20" s="115">
        <f>F20</f>
        <v>31239</v>
      </c>
      <c r="J20" s="115"/>
      <c r="K20" s="116"/>
      <c r="L20" s="110">
        <v>46012</v>
      </c>
      <c r="M20" s="116">
        <f>E20</f>
        <v>640000</v>
      </c>
      <c r="N20" s="116">
        <f>I20-J20</f>
        <v>31239</v>
      </c>
      <c r="O20" s="117">
        <f>SUM(M20:N20)</f>
        <v>671239</v>
      </c>
      <c r="P20" s="117"/>
      <c r="Q20" s="117"/>
      <c r="R20" s="117"/>
      <c r="S20" s="117" t="s">
        <v>132</v>
      </c>
      <c r="T20" s="142" t="s">
        <v>139</v>
      </c>
      <c r="U20" s="119"/>
      <c r="V20" s="104">
        <v>248174</v>
      </c>
      <c r="W20" s="120">
        <f>R20-V20</f>
        <v>-248174</v>
      </c>
      <c r="X20" s="104"/>
    </row>
    <row r="21" spans="1:24" ht="12.75" customHeight="1" x14ac:dyDescent="0.3">
      <c r="A21" s="104"/>
      <c r="B21" s="104"/>
      <c r="C21" s="135"/>
      <c r="D21" s="135"/>
      <c r="E21" s="104"/>
      <c r="F21" s="104"/>
      <c r="G21" s="104"/>
      <c r="H21" s="104"/>
      <c r="I21" s="104"/>
      <c r="J21" s="104"/>
      <c r="K21" s="104"/>
      <c r="L21" s="104" t="s">
        <v>159</v>
      </c>
      <c r="M21" s="143"/>
      <c r="N21" s="144">
        <f>SUM(N19:N20)</f>
        <v>41150</v>
      </c>
      <c r="O21" s="104" t="s">
        <v>160</v>
      </c>
      <c r="P21" s="104"/>
      <c r="Q21" s="104"/>
      <c r="R21" s="104"/>
      <c r="S21" s="104"/>
      <c r="T21" s="104"/>
      <c r="U21" s="104"/>
      <c r="V21" s="104"/>
      <c r="W21" s="104"/>
      <c r="X21" s="104"/>
    </row>
    <row r="22" spans="1:24" ht="12.75" customHeight="1" x14ac:dyDescent="0.3">
      <c r="A22" s="104"/>
      <c r="B22" s="104"/>
      <c r="C22" s="135"/>
      <c r="D22" s="135"/>
      <c r="E22" s="104"/>
      <c r="F22" s="104"/>
      <c r="G22" s="104"/>
      <c r="H22" s="104"/>
      <c r="I22" s="104"/>
      <c r="J22" s="104"/>
      <c r="K22" s="104"/>
      <c r="L22" s="104"/>
      <c r="M22" s="104"/>
      <c r="N22" s="145"/>
      <c r="O22" s="104"/>
      <c r="P22" s="104"/>
      <c r="Q22" s="104"/>
      <c r="R22" s="104"/>
      <c r="S22" s="104"/>
      <c r="T22" s="104"/>
      <c r="U22" s="104"/>
      <c r="V22" s="104"/>
      <c r="W22" s="104"/>
      <c r="X22" s="104"/>
    </row>
    <row r="23" spans="1:24" ht="12.75" customHeight="1" x14ac:dyDescent="0.3">
      <c r="A23" s="104"/>
      <c r="B23" s="104"/>
      <c r="C23" s="135"/>
      <c r="D23" s="135"/>
      <c r="E23" s="104"/>
      <c r="F23" s="104"/>
      <c r="G23" s="104"/>
      <c r="H23" s="104"/>
      <c r="I23" s="104"/>
      <c r="J23" s="104"/>
      <c r="K23" s="104"/>
      <c r="L23" s="104"/>
      <c r="M23" s="104"/>
      <c r="N23" s="143"/>
      <c r="O23" s="104"/>
      <c r="P23" s="104"/>
      <c r="Q23" s="104"/>
      <c r="R23" s="104"/>
      <c r="S23" s="104"/>
      <c r="T23" s="104"/>
      <c r="U23" s="104"/>
      <c r="V23" s="104"/>
      <c r="W23" s="104"/>
      <c r="X23" s="104"/>
    </row>
    <row r="24" spans="1:24" ht="12.75" customHeight="1" x14ac:dyDescent="0.3">
      <c r="A24" s="104"/>
      <c r="B24" s="104"/>
      <c r="C24" s="135"/>
      <c r="D24" s="135"/>
      <c r="E24" s="104"/>
      <c r="F24" s="104"/>
      <c r="G24" s="104"/>
      <c r="H24" s="104"/>
      <c r="I24" s="104"/>
      <c r="J24" s="104"/>
      <c r="K24" s="104"/>
      <c r="L24" s="104"/>
      <c r="M24" s="104"/>
      <c r="N24" s="104"/>
      <c r="O24" s="104"/>
      <c r="P24" s="104"/>
      <c r="Q24" s="104"/>
      <c r="R24" s="104"/>
      <c r="S24" s="104"/>
      <c r="T24" s="104"/>
      <c r="U24" s="104"/>
      <c r="V24" s="104"/>
      <c r="W24" s="104"/>
      <c r="X24" s="104"/>
    </row>
    <row r="25" spans="1:24" ht="12.75" customHeight="1" x14ac:dyDescent="0.3">
      <c r="A25" s="104"/>
      <c r="B25" s="104"/>
      <c r="C25" s="135"/>
      <c r="D25" s="135"/>
      <c r="E25" s="104"/>
      <c r="F25" s="104"/>
      <c r="G25" s="104"/>
      <c r="H25" s="104"/>
      <c r="I25" s="104"/>
      <c r="J25" s="104"/>
      <c r="K25" s="104"/>
      <c r="L25" s="104"/>
      <c r="M25" s="104"/>
      <c r="N25" s="104"/>
      <c r="O25" s="104"/>
      <c r="P25" s="104"/>
      <c r="Q25" s="104"/>
      <c r="R25" s="104"/>
      <c r="S25" s="104"/>
      <c r="T25" s="104"/>
      <c r="U25" s="104"/>
      <c r="V25" s="104"/>
      <c r="W25" s="104"/>
      <c r="X25" s="104"/>
    </row>
    <row r="26" spans="1:24" ht="12.75" customHeight="1" x14ac:dyDescent="0.3">
      <c r="A26" s="104"/>
      <c r="B26" s="104"/>
      <c r="C26" s="135"/>
      <c r="D26" s="135"/>
      <c r="E26" s="104"/>
      <c r="F26" s="104"/>
      <c r="G26" s="104"/>
      <c r="H26" s="104"/>
      <c r="I26" s="104"/>
      <c r="J26" s="104"/>
      <c r="K26" s="104"/>
      <c r="L26" s="104"/>
      <c r="M26" s="104"/>
      <c r="N26" s="104"/>
      <c r="O26" s="104"/>
      <c r="P26" s="104"/>
      <c r="Q26" s="104"/>
      <c r="R26" s="104"/>
      <c r="S26" s="104"/>
      <c r="T26" s="104"/>
      <c r="U26" s="104"/>
      <c r="V26" s="104"/>
      <c r="W26" s="104"/>
      <c r="X26" s="104"/>
    </row>
    <row r="27" spans="1:24" ht="12.75" customHeight="1" x14ac:dyDescent="0.3">
      <c r="A27" s="104"/>
      <c r="B27" s="104"/>
      <c r="C27" s="135"/>
      <c r="D27" s="135"/>
      <c r="E27" s="104"/>
      <c r="F27" s="104"/>
      <c r="G27" s="104"/>
      <c r="H27" s="104"/>
      <c r="I27" s="104"/>
      <c r="J27" s="104"/>
      <c r="K27" s="104"/>
      <c r="L27" s="104"/>
      <c r="M27" s="104"/>
      <c r="N27" s="104"/>
      <c r="O27" s="104"/>
      <c r="P27" s="104"/>
      <c r="Q27" s="104"/>
      <c r="R27" s="104"/>
      <c r="S27" s="104"/>
      <c r="T27" s="104"/>
      <c r="U27" s="104"/>
      <c r="V27" s="104"/>
      <c r="W27" s="104"/>
      <c r="X27" s="104"/>
    </row>
    <row r="28" spans="1:24" ht="12.75" customHeight="1" x14ac:dyDescent="0.3">
      <c r="A28" s="104"/>
      <c r="B28" s="104"/>
      <c r="C28" s="135"/>
      <c r="D28" s="135"/>
      <c r="E28" s="104"/>
      <c r="F28" s="104"/>
      <c r="G28" s="104"/>
      <c r="H28" s="104"/>
      <c r="I28" s="104"/>
      <c r="J28" s="104"/>
      <c r="K28" s="104"/>
      <c r="L28" s="104"/>
      <c r="M28" s="104"/>
      <c r="N28" s="104"/>
      <c r="O28" s="104"/>
      <c r="P28" s="104"/>
      <c r="Q28" s="104"/>
      <c r="R28" s="104"/>
      <c r="S28" s="104"/>
      <c r="T28" s="104"/>
      <c r="U28" s="104"/>
      <c r="V28" s="104"/>
      <c r="W28" s="104"/>
      <c r="X28" s="104"/>
    </row>
    <row r="29" spans="1:24" ht="12.75" customHeight="1" x14ac:dyDescent="0.3">
      <c r="A29" s="104"/>
      <c r="B29" s="104"/>
      <c r="C29" s="135"/>
      <c r="D29" s="135"/>
      <c r="E29" s="104"/>
      <c r="F29" s="104"/>
      <c r="G29" s="104"/>
      <c r="H29" s="104"/>
      <c r="I29" s="104"/>
      <c r="J29" s="104"/>
      <c r="K29" s="104"/>
      <c r="L29" s="104"/>
      <c r="M29" s="104"/>
      <c r="N29" s="104"/>
      <c r="O29" s="104"/>
      <c r="P29" s="104"/>
      <c r="Q29" s="104"/>
      <c r="R29" s="104"/>
      <c r="S29" s="104"/>
      <c r="T29" s="104"/>
      <c r="U29" s="104"/>
      <c r="V29" s="104"/>
      <c r="W29" s="104"/>
      <c r="X29" s="104"/>
    </row>
    <row r="30" spans="1:24" ht="12.75" customHeight="1" x14ac:dyDescent="0.3">
      <c r="A30" s="104"/>
      <c r="B30" s="104"/>
      <c r="C30" s="135"/>
      <c r="D30" s="135"/>
      <c r="E30" s="104"/>
      <c r="F30" s="104"/>
      <c r="G30" s="104"/>
      <c r="H30" s="104"/>
      <c r="I30" s="104"/>
      <c r="J30" s="104"/>
      <c r="K30" s="104"/>
      <c r="L30" s="104"/>
      <c r="M30" s="104"/>
      <c r="N30" s="104"/>
      <c r="O30" s="104"/>
      <c r="P30" s="104"/>
      <c r="Q30" s="104"/>
      <c r="R30" s="104"/>
      <c r="S30" s="104"/>
      <c r="T30" s="104"/>
      <c r="U30" s="104"/>
      <c r="V30" s="104"/>
      <c r="W30" s="104"/>
      <c r="X30" s="104"/>
    </row>
    <row r="31" spans="1:24" ht="12.75" customHeight="1" x14ac:dyDescent="0.3">
      <c r="A31" s="104"/>
      <c r="B31" s="104"/>
      <c r="C31" s="135"/>
      <c r="D31" s="135"/>
      <c r="E31" s="104"/>
      <c r="F31" s="104"/>
      <c r="G31" s="104"/>
      <c r="H31" s="104"/>
      <c r="I31" s="104"/>
      <c r="J31" s="104"/>
      <c r="K31" s="104"/>
      <c r="L31" s="104"/>
      <c r="M31" s="104"/>
      <c r="N31" s="104"/>
      <c r="O31" s="104"/>
      <c r="P31" s="104"/>
      <c r="Q31" s="104"/>
      <c r="R31" s="104"/>
      <c r="S31" s="104"/>
      <c r="T31" s="104"/>
      <c r="U31" s="104"/>
      <c r="V31" s="104"/>
      <c r="W31" s="104"/>
      <c r="X31" s="104"/>
    </row>
    <row r="32" spans="1:24" ht="12.75" customHeight="1" x14ac:dyDescent="0.3">
      <c r="A32" s="104"/>
      <c r="B32" s="104"/>
      <c r="C32" s="135"/>
      <c r="D32" s="135"/>
      <c r="E32" s="104"/>
      <c r="F32" s="104"/>
      <c r="G32" s="104"/>
      <c r="H32" s="104"/>
      <c r="I32" s="104" t="s">
        <v>161</v>
      </c>
      <c r="J32" s="104"/>
      <c r="K32" s="104"/>
      <c r="L32" s="104"/>
      <c r="M32" s="104"/>
      <c r="N32" s="104"/>
      <c r="O32" s="104"/>
      <c r="P32" s="104"/>
      <c r="Q32" s="104"/>
      <c r="R32" s="104"/>
      <c r="S32" s="104"/>
      <c r="T32" s="104"/>
      <c r="U32" s="104"/>
      <c r="V32" s="104"/>
      <c r="W32" s="104"/>
      <c r="X32" s="104"/>
    </row>
    <row r="33" spans="1:24" ht="12.75" customHeight="1" x14ac:dyDescent="0.3">
      <c r="A33" s="104"/>
      <c r="B33" s="104"/>
      <c r="C33" s="135"/>
      <c r="D33" s="135"/>
      <c r="E33" s="104"/>
      <c r="F33" s="104"/>
      <c r="G33" s="104"/>
      <c r="H33" s="104"/>
      <c r="I33" s="104" t="s">
        <v>162</v>
      </c>
      <c r="J33" s="120">
        <f>I16</f>
        <v>30155</v>
      </c>
      <c r="K33" s="104" t="s">
        <v>163</v>
      </c>
      <c r="L33" s="104"/>
      <c r="M33" s="104"/>
      <c r="N33" s="104"/>
      <c r="O33" s="104"/>
      <c r="P33" s="104"/>
      <c r="Q33" s="104"/>
      <c r="R33" s="104"/>
      <c r="S33" s="104"/>
      <c r="T33" s="104"/>
      <c r="U33" s="104"/>
      <c r="V33" s="104"/>
      <c r="W33" s="104"/>
      <c r="X33" s="104"/>
    </row>
    <row r="34" spans="1:24" ht="12.75" customHeight="1" x14ac:dyDescent="0.3">
      <c r="A34" s="104"/>
      <c r="B34" s="104"/>
      <c r="C34" s="135"/>
      <c r="D34" s="135"/>
      <c r="E34" s="104"/>
      <c r="F34" s="104"/>
      <c r="G34" s="104"/>
      <c r="H34" s="104"/>
      <c r="I34" s="104" t="s">
        <v>164</v>
      </c>
      <c r="J34" s="120">
        <f>I16</f>
        <v>30155</v>
      </c>
      <c r="K34" s="104" t="s">
        <v>165</v>
      </c>
      <c r="L34" s="104"/>
      <c r="M34" s="104"/>
      <c r="N34" s="104"/>
      <c r="O34" s="104"/>
      <c r="P34" s="104"/>
      <c r="Q34" s="104"/>
      <c r="R34" s="104"/>
      <c r="S34" s="104"/>
      <c r="T34" s="104"/>
      <c r="U34" s="104"/>
      <c r="V34" s="104"/>
      <c r="W34" s="104"/>
      <c r="X34" s="104"/>
    </row>
    <row r="35" spans="1:24" ht="12.75" customHeight="1" x14ac:dyDescent="0.3">
      <c r="A35" s="104"/>
      <c r="B35" s="104"/>
      <c r="C35" s="135"/>
      <c r="D35" s="135"/>
      <c r="E35" s="104"/>
      <c r="F35" s="104"/>
      <c r="G35" s="104"/>
      <c r="H35" s="104"/>
      <c r="I35" s="104"/>
      <c r="J35" s="104"/>
      <c r="K35" s="104"/>
      <c r="L35" s="104"/>
      <c r="M35" s="104"/>
      <c r="N35" s="104"/>
      <c r="O35" s="104"/>
      <c r="P35" s="104"/>
      <c r="Q35" s="104"/>
      <c r="R35" s="104"/>
      <c r="S35" s="104"/>
      <c r="T35" s="104"/>
      <c r="U35" s="104"/>
      <c r="V35" s="104"/>
      <c r="W35" s="104"/>
      <c r="X35" s="104"/>
    </row>
    <row r="36" spans="1:24" ht="12.75" customHeight="1" x14ac:dyDescent="0.3">
      <c r="A36" s="104"/>
      <c r="B36" s="104"/>
      <c r="C36" s="135"/>
      <c r="D36" s="135"/>
      <c r="E36" s="104"/>
      <c r="F36" s="104"/>
      <c r="G36" s="104"/>
      <c r="H36" s="104"/>
      <c r="I36" s="104" t="s">
        <v>166</v>
      </c>
      <c r="J36" s="120">
        <f>N9</f>
        <v>2884</v>
      </c>
      <c r="K36" s="104"/>
      <c r="L36" s="104"/>
      <c r="M36" s="104"/>
      <c r="N36" s="104"/>
      <c r="O36" s="104"/>
      <c r="P36" s="104"/>
      <c r="Q36" s="104"/>
      <c r="R36" s="104"/>
      <c r="S36" s="104"/>
      <c r="T36" s="104"/>
      <c r="U36" s="104"/>
      <c r="V36" s="104"/>
      <c r="W36" s="104"/>
      <c r="X36" s="104"/>
    </row>
    <row r="37" spans="1:24" ht="12.75" customHeight="1" x14ac:dyDescent="0.3">
      <c r="A37" s="104"/>
      <c r="B37" s="104"/>
      <c r="C37" s="135"/>
      <c r="D37" s="135"/>
      <c r="E37" s="104"/>
      <c r="F37" s="104"/>
      <c r="G37" s="104"/>
      <c r="H37" s="104"/>
      <c r="I37" s="104"/>
      <c r="J37" s="104"/>
      <c r="K37" s="104"/>
      <c r="L37" s="104"/>
      <c r="M37" s="104"/>
      <c r="N37" s="104"/>
      <c r="O37" s="104"/>
      <c r="P37" s="104"/>
      <c r="Q37" s="104"/>
      <c r="R37" s="104"/>
      <c r="S37" s="104"/>
      <c r="T37" s="104"/>
      <c r="U37" s="104"/>
      <c r="V37" s="104"/>
      <c r="W37" s="104"/>
      <c r="X37" s="104"/>
    </row>
    <row r="38" spans="1:24" ht="12.75" customHeight="1" x14ac:dyDescent="0.3">
      <c r="A38" s="104"/>
      <c r="B38" s="104"/>
      <c r="C38" s="135"/>
      <c r="D38" s="135"/>
      <c r="E38" s="104"/>
      <c r="F38" s="104"/>
      <c r="G38" s="104"/>
      <c r="H38" s="104"/>
      <c r="I38" s="104"/>
      <c r="J38" s="104"/>
      <c r="K38" s="104"/>
      <c r="L38" s="104"/>
      <c r="M38" s="104"/>
      <c r="N38" s="104"/>
      <c r="O38" s="104"/>
      <c r="P38" s="104"/>
      <c r="Q38" s="104"/>
      <c r="R38" s="104"/>
      <c r="S38" s="104"/>
      <c r="T38" s="104"/>
      <c r="U38" s="104"/>
      <c r="V38" s="104"/>
      <c r="W38" s="104"/>
      <c r="X38" s="104"/>
    </row>
    <row r="39" spans="1:24" ht="12.75" customHeight="1" x14ac:dyDescent="0.3">
      <c r="A39" s="104"/>
      <c r="B39" s="104"/>
      <c r="C39" s="135"/>
      <c r="D39" s="135"/>
      <c r="E39" s="104"/>
      <c r="F39" s="104"/>
      <c r="G39" s="104"/>
      <c r="H39" s="104"/>
      <c r="I39" s="104"/>
      <c r="J39" s="104"/>
      <c r="K39" s="104"/>
      <c r="L39" s="104"/>
      <c r="M39" s="104"/>
      <c r="N39" s="104"/>
      <c r="O39" s="104"/>
      <c r="P39" s="104"/>
      <c r="Q39" s="104"/>
      <c r="R39" s="104"/>
      <c r="S39" s="104"/>
      <c r="T39" s="104"/>
      <c r="U39" s="104"/>
      <c r="V39" s="104"/>
      <c r="W39" s="104"/>
      <c r="X39" s="104"/>
    </row>
    <row r="40" spans="1:24" ht="12.75" customHeight="1" x14ac:dyDescent="0.3">
      <c r="A40" s="104"/>
      <c r="B40" s="104"/>
      <c r="C40" s="135"/>
      <c r="D40" s="135"/>
      <c r="E40" s="104"/>
      <c r="F40" s="104"/>
      <c r="G40" s="104"/>
      <c r="H40" s="104"/>
      <c r="I40" s="104"/>
      <c r="J40" s="104"/>
      <c r="K40" s="104"/>
      <c r="L40" s="104"/>
      <c r="M40" s="104"/>
      <c r="N40" s="104"/>
      <c r="O40" s="104"/>
      <c r="P40" s="104"/>
      <c r="Q40" s="104"/>
      <c r="R40" s="104"/>
      <c r="S40" s="104"/>
      <c r="T40" s="104"/>
      <c r="U40" s="104"/>
      <c r="V40" s="104"/>
      <c r="W40" s="104"/>
      <c r="X40" s="104"/>
    </row>
    <row r="41" spans="1:24" ht="12.75" customHeight="1" x14ac:dyDescent="0.3">
      <c r="A41" s="104"/>
      <c r="B41" s="104"/>
      <c r="C41" s="135"/>
      <c r="D41" s="135"/>
      <c r="E41" s="104"/>
      <c r="F41" s="104"/>
      <c r="G41" s="104"/>
      <c r="H41" s="104"/>
      <c r="I41" s="104"/>
      <c r="J41" s="104"/>
      <c r="K41" s="104"/>
      <c r="L41" s="104"/>
      <c r="M41" s="104"/>
      <c r="N41" s="104"/>
      <c r="O41" s="104"/>
      <c r="P41" s="104"/>
      <c r="Q41" s="104"/>
      <c r="R41" s="104"/>
      <c r="S41" s="104"/>
      <c r="T41" s="104"/>
      <c r="U41" s="104"/>
      <c r="V41" s="104"/>
      <c r="W41" s="104"/>
      <c r="X41" s="104"/>
    </row>
    <row r="42" spans="1:24" ht="12.75" customHeight="1" x14ac:dyDescent="0.3">
      <c r="A42" s="104"/>
      <c r="B42" s="104"/>
      <c r="C42" s="135"/>
      <c r="D42" s="135"/>
      <c r="E42" s="104"/>
      <c r="F42" s="104"/>
      <c r="G42" s="104"/>
      <c r="H42" s="104"/>
      <c r="I42" s="104"/>
      <c r="J42" s="104"/>
      <c r="K42" s="104"/>
      <c r="L42" s="104"/>
      <c r="M42" s="104"/>
      <c r="N42" s="104"/>
      <c r="O42" s="104"/>
      <c r="P42" s="104"/>
      <c r="Q42" s="104"/>
      <c r="R42" s="104"/>
      <c r="S42" s="104"/>
      <c r="T42" s="104"/>
      <c r="U42" s="104"/>
      <c r="V42" s="104"/>
      <c r="W42" s="104"/>
      <c r="X42" s="104"/>
    </row>
    <row r="43" spans="1:24" ht="12.75" customHeight="1" x14ac:dyDescent="0.3">
      <c r="A43" s="104"/>
      <c r="B43" s="104"/>
      <c r="C43" s="135"/>
      <c r="D43" s="135"/>
      <c r="E43" s="104"/>
      <c r="F43" s="104"/>
      <c r="G43" s="104"/>
      <c r="H43" s="104"/>
      <c r="I43" s="104"/>
      <c r="J43" s="104"/>
      <c r="K43" s="104"/>
      <c r="L43" s="104"/>
      <c r="M43" s="104"/>
      <c r="N43" s="104"/>
      <c r="O43" s="104"/>
      <c r="P43" s="104"/>
      <c r="Q43" s="104"/>
      <c r="R43" s="104"/>
      <c r="S43" s="104"/>
      <c r="T43" s="104"/>
      <c r="U43" s="104"/>
      <c r="V43" s="104"/>
      <c r="W43" s="104"/>
      <c r="X43" s="104"/>
    </row>
    <row r="44" spans="1:24" ht="12.75" customHeight="1" x14ac:dyDescent="0.3">
      <c r="A44" s="104"/>
      <c r="B44" s="104"/>
      <c r="C44" s="135"/>
      <c r="D44" s="135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</row>
    <row r="45" spans="1:24" ht="12.75" customHeight="1" x14ac:dyDescent="0.3">
      <c r="A45" s="104"/>
      <c r="B45" s="104"/>
      <c r="C45" s="135"/>
      <c r="D45" s="135"/>
      <c r="E45" s="104"/>
      <c r="F45" s="104"/>
      <c r="G45" s="104"/>
      <c r="H45" s="104"/>
      <c r="I45" s="104"/>
      <c r="J45" s="104"/>
      <c r="K45" s="104"/>
      <c r="L45" s="104"/>
      <c r="M45" s="104"/>
      <c r="N45" s="104"/>
      <c r="O45" s="104"/>
      <c r="P45" s="104"/>
      <c r="Q45" s="104"/>
      <c r="R45" s="104"/>
      <c r="S45" s="104"/>
      <c r="T45" s="104"/>
      <c r="U45" s="104"/>
      <c r="V45" s="104"/>
      <c r="W45" s="104"/>
      <c r="X45" s="104"/>
    </row>
    <row r="46" spans="1:24" ht="12.75" customHeight="1" x14ac:dyDescent="0.3">
      <c r="A46" s="104"/>
      <c r="B46" s="104"/>
      <c r="C46" s="135"/>
      <c r="D46" s="135"/>
      <c r="E46" s="104"/>
      <c r="F46" s="104"/>
      <c r="G46" s="104"/>
      <c r="H46" s="104"/>
      <c r="I46" s="104"/>
      <c r="J46" s="104"/>
      <c r="K46" s="104"/>
      <c r="L46" s="104"/>
      <c r="M46" s="104"/>
      <c r="N46" s="104"/>
      <c r="O46" s="104"/>
      <c r="P46" s="104"/>
      <c r="Q46" s="104"/>
      <c r="R46" s="104"/>
      <c r="S46" s="104"/>
      <c r="T46" s="104"/>
      <c r="U46" s="104"/>
      <c r="V46" s="104"/>
      <c r="W46" s="104"/>
      <c r="X46" s="104"/>
    </row>
    <row r="47" spans="1:24" ht="12.75" customHeight="1" x14ac:dyDescent="0.3">
      <c r="A47" s="104"/>
      <c r="B47" s="104"/>
      <c r="C47" s="135"/>
      <c r="D47" s="135"/>
      <c r="E47" s="104"/>
      <c r="F47" s="104"/>
      <c r="G47" s="104"/>
      <c r="H47" s="104"/>
      <c r="I47" s="104"/>
      <c r="J47" s="104"/>
      <c r="K47" s="104"/>
      <c r="L47" s="104"/>
      <c r="M47" s="104"/>
      <c r="N47" s="104"/>
      <c r="O47" s="104"/>
      <c r="P47" s="104"/>
      <c r="Q47" s="104"/>
      <c r="R47" s="104"/>
      <c r="S47" s="104"/>
      <c r="T47" s="104"/>
      <c r="U47" s="104"/>
      <c r="V47" s="104"/>
      <c r="W47" s="104"/>
      <c r="X47" s="104"/>
    </row>
    <row r="48" spans="1:24" ht="12.75" customHeight="1" x14ac:dyDescent="0.3">
      <c r="A48" s="104"/>
      <c r="B48" s="104"/>
      <c r="C48" s="135"/>
      <c r="D48" s="135"/>
      <c r="E48" s="104"/>
      <c r="F48" s="104"/>
      <c r="G48" s="104"/>
      <c r="H48" s="104"/>
      <c r="I48" s="104"/>
      <c r="J48" s="104"/>
      <c r="K48" s="104"/>
      <c r="L48" s="104"/>
      <c r="M48" s="104"/>
      <c r="N48" s="104"/>
      <c r="O48" s="104"/>
      <c r="P48" s="104"/>
      <c r="Q48" s="104"/>
      <c r="R48" s="104"/>
      <c r="S48" s="104"/>
      <c r="T48" s="104"/>
      <c r="U48" s="104"/>
      <c r="V48" s="104"/>
      <c r="W48" s="104"/>
      <c r="X48" s="104"/>
    </row>
    <row r="49" spans="1:24" ht="12.75" customHeight="1" x14ac:dyDescent="0.3">
      <c r="A49" s="104"/>
      <c r="B49" s="104"/>
      <c r="C49" s="135"/>
      <c r="D49" s="135"/>
      <c r="E49" s="104"/>
      <c r="F49" s="104"/>
      <c r="G49" s="104"/>
      <c r="H49" s="104"/>
      <c r="I49" s="104"/>
      <c r="J49" s="104"/>
      <c r="K49" s="104"/>
      <c r="L49" s="104"/>
      <c r="M49" s="104"/>
      <c r="N49" s="104"/>
      <c r="O49" s="104"/>
      <c r="P49" s="104"/>
      <c r="Q49" s="104"/>
      <c r="R49" s="104"/>
      <c r="S49" s="104"/>
      <c r="T49" s="104"/>
      <c r="U49" s="104"/>
      <c r="V49" s="104"/>
      <c r="W49" s="104"/>
      <c r="X49" s="104"/>
    </row>
    <row r="50" spans="1:24" ht="12.75" customHeight="1" x14ac:dyDescent="0.3">
      <c r="A50" s="104"/>
      <c r="B50" s="104"/>
      <c r="C50" s="135"/>
      <c r="D50" s="135"/>
      <c r="E50" s="104"/>
      <c r="F50" s="104"/>
      <c r="G50" s="104"/>
      <c r="H50" s="104"/>
      <c r="I50" s="104"/>
      <c r="J50" s="104"/>
      <c r="K50" s="104"/>
      <c r="L50" s="104"/>
      <c r="M50" s="104"/>
      <c r="N50" s="104"/>
      <c r="O50" s="104"/>
      <c r="P50" s="104"/>
      <c r="Q50" s="104"/>
      <c r="R50" s="104"/>
      <c r="S50" s="104"/>
      <c r="T50" s="104"/>
      <c r="U50" s="104"/>
      <c r="V50" s="104"/>
      <c r="W50" s="104"/>
      <c r="X50" s="104"/>
    </row>
    <row r="51" spans="1:24" ht="12.75" customHeight="1" x14ac:dyDescent="0.3">
      <c r="A51" s="104"/>
      <c r="B51" s="104"/>
      <c r="C51" s="135"/>
      <c r="D51" s="135"/>
      <c r="E51" s="104"/>
      <c r="F51" s="104"/>
      <c r="G51" s="104"/>
      <c r="H51" s="104"/>
      <c r="I51" s="104"/>
      <c r="J51" s="104"/>
      <c r="K51" s="104"/>
      <c r="L51" s="104"/>
      <c r="M51" s="104"/>
      <c r="N51" s="104"/>
      <c r="O51" s="104"/>
      <c r="P51" s="104"/>
      <c r="Q51" s="104"/>
      <c r="R51" s="104"/>
      <c r="S51" s="104"/>
      <c r="T51" s="104"/>
      <c r="U51" s="104"/>
      <c r="V51" s="104"/>
      <c r="W51" s="104"/>
      <c r="X51" s="104"/>
    </row>
    <row r="52" spans="1:24" ht="12.75" customHeight="1" x14ac:dyDescent="0.3">
      <c r="A52" s="104"/>
      <c r="B52" s="104"/>
      <c r="C52" s="135"/>
      <c r="D52" s="135"/>
      <c r="E52" s="104"/>
      <c r="F52" s="104"/>
      <c r="G52" s="104"/>
      <c r="H52" s="104"/>
      <c r="I52" s="104"/>
      <c r="J52" s="104"/>
      <c r="K52" s="104"/>
      <c r="L52" s="104"/>
      <c r="M52" s="104"/>
      <c r="N52" s="104"/>
      <c r="O52" s="104"/>
      <c r="P52" s="104"/>
      <c r="Q52" s="104"/>
      <c r="R52" s="104"/>
      <c r="S52" s="104"/>
      <c r="T52" s="104"/>
      <c r="U52" s="104"/>
      <c r="V52" s="104"/>
      <c r="W52" s="104"/>
      <c r="X52" s="104"/>
    </row>
    <row r="53" spans="1:24" ht="12.75" customHeight="1" x14ac:dyDescent="0.3">
      <c r="A53" s="104"/>
      <c r="B53" s="104"/>
      <c r="C53" s="135"/>
      <c r="D53" s="135"/>
      <c r="E53" s="104"/>
      <c r="F53" s="104"/>
      <c r="G53" s="104"/>
      <c r="H53" s="104"/>
      <c r="I53" s="104"/>
      <c r="J53" s="104"/>
      <c r="K53" s="104"/>
      <c r="L53" s="104"/>
      <c r="M53" s="104"/>
      <c r="N53" s="104"/>
      <c r="O53" s="104"/>
      <c r="P53" s="104"/>
      <c r="Q53" s="104"/>
      <c r="R53" s="104"/>
      <c r="S53" s="104"/>
      <c r="T53" s="104"/>
      <c r="U53" s="104"/>
      <c r="V53" s="104"/>
      <c r="W53" s="104"/>
      <c r="X53" s="104"/>
    </row>
    <row r="54" spans="1:24" ht="12.75" customHeight="1" x14ac:dyDescent="0.3">
      <c r="A54" s="104"/>
      <c r="B54" s="104"/>
      <c r="C54" s="135"/>
      <c r="D54" s="135"/>
      <c r="E54" s="104"/>
      <c r="F54" s="104"/>
      <c r="G54" s="104"/>
      <c r="H54" s="104"/>
      <c r="I54" s="104"/>
      <c r="J54" s="104"/>
      <c r="K54" s="104"/>
      <c r="L54" s="104"/>
      <c r="M54" s="104"/>
      <c r="N54" s="104"/>
      <c r="O54" s="104"/>
      <c r="P54" s="104"/>
      <c r="Q54" s="104"/>
      <c r="R54" s="104"/>
      <c r="S54" s="104"/>
      <c r="T54" s="104"/>
      <c r="U54" s="104"/>
      <c r="V54" s="104"/>
      <c r="W54" s="104"/>
      <c r="X54" s="104"/>
    </row>
    <row r="55" spans="1:24" ht="12.75" customHeight="1" x14ac:dyDescent="0.3">
      <c r="A55" s="104"/>
      <c r="B55" s="104"/>
      <c r="C55" s="135"/>
      <c r="D55" s="135"/>
      <c r="E55" s="104"/>
      <c r="F55" s="104"/>
      <c r="G55" s="104"/>
      <c r="H55" s="104"/>
      <c r="I55" s="104"/>
      <c r="J55" s="104"/>
      <c r="K55" s="104"/>
      <c r="L55" s="104"/>
      <c r="M55" s="104"/>
      <c r="N55" s="104"/>
      <c r="O55" s="104"/>
      <c r="P55" s="104"/>
      <c r="Q55" s="104"/>
      <c r="R55" s="104"/>
      <c r="S55" s="104"/>
      <c r="T55" s="104"/>
      <c r="U55" s="104"/>
      <c r="V55" s="104"/>
      <c r="W55" s="104"/>
      <c r="X55" s="104"/>
    </row>
    <row r="56" spans="1:24" ht="12.75" customHeight="1" x14ac:dyDescent="0.3">
      <c r="A56" s="104"/>
      <c r="B56" s="104"/>
      <c r="C56" s="135"/>
      <c r="D56" s="135"/>
      <c r="E56" s="104"/>
      <c r="F56" s="104"/>
      <c r="G56" s="104"/>
      <c r="H56" s="104"/>
      <c r="I56" s="104"/>
      <c r="J56" s="104"/>
      <c r="K56" s="104"/>
      <c r="L56" s="104"/>
      <c r="M56" s="104"/>
      <c r="N56" s="104"/>
      <c r="O56" s="104"/>
      <c r="P56" s="104"/>
      <c r="Q56" s="104"/>
      <c r="R56" s="104"/>
      <c r="S56" s="104"/>
      <c r="T56" s="104"/>
      <c r="U56" s="104"/>
      <c r="V56" s="104"/>
      <c r="W56" s="104"/>
      <c r="X56" s="104"/>
    </row>
    <row r="57" spans="1:24" ht="12.75" customHeight="1" x14ac:dyDescent="0.3">
      <c r="A57" s="104"/>
      <c r="B57" s="104"/>
      <c r="C57" s="135"/>
      <c r="D57" s="135"/>
      <c r="E57" s="104"/>
      <c r="F57" s="104"/>
      <c r="G57" s="104"/>
      <c r="H57" s="104"/>
      <c r="I57" s="104"/>
      <c r="J57" s="104"/>
      <c r="K57" s="104"/>
      <c r="L57" s="104"/>
      <c r="M57" s="104"/>
      <c r="N57" s="104"/>
      <c r="O57" s="104"/>
      <c r="P57" s="104"/>
      <c r="Q57" s="104"/>
      <c r="R57" s="104"/>
      <c r="S57" s="104"/>
      <c r="T57" s="104"/>
      <c r="U57" s="104"/>
      <c r="V57" s="104"/>
      <c r="W57" s="104"/>
      <c r="X57" s="104"/>
    </row>
    <row r="58" spans="1:24" ht="12.75" customHeight="1" x14ac:dyDescent="0.3">
      <c r="A58" s="104"/>
      <c r="B58" s="104"/>
      <c r="C58" s="135"/>
      <c r="D58" s="135"/>
      <c r="E58" s="104"/>
      <c r="F58" s="104"/>
      <c r="G58" s="104"/>
      <c r="H58" s="104"/>
      <c r="I58" s="104"/>
      <c r="J58" s="104"/>
      <c r="K58" s="104"/>
      <c r="L58" s="104"/>
      <c r="M58" s="104"/>
      <c r="N58" s="104"/>
      <c r="O58" s="104"/>
      <c r="P58" s="104"/>
      <c r="Q58" s="104"/>
      <c r="R58" s="104"/>
      <c r="S58" s="104"/>
      <c r="T58" s="104"/>
      <c r="U58" s="104"/>
      <c r="V58" s="104"/>
      <c r="W58" s="104"/>
      <c r="X58" s="104"/>
    </row>
    <row r="59" spans="1:24" ht="12.75" customHeight="1" x14ac:dyDescent="0.3">
      <c r="A59" s="104"/>
      <c r="B59" s="104"/>
      <c r="C59" s="135"/>
      <c r="D59" s="135"/>
      <c r="E59" s="104"/>
      <c r="F59" s="104"/>
      <c r="G59" s="104"/>
      <c r="H59" s="104"/>
      <c r="I59" s="104"/>
      <c r="J59" s="104"/>
      <c r="K59" s="104"/>
      <c r="L59" s="104"/>
      <c r="M59" s="104"/>
      <c r="N59" s="104"/>
      <c r="O59" s="104"/>
      <c r="P59" s="104"/>
      <c r="Q59" s="104"/>
      <c r="R59" s="104"/>
      <c r="S59" s="104"/>
      <c r="T59" s="104"/>
      <c r="U59" s="104"/>
      <c r="V59" s="104"/>
      <c r="W59" s="104"/>
      <c r="X59" s="104"/>
    </row>
    <row r="60" spans="1:24" ht="12.75" customHeight="1" x14ac:dyDescent="0.3">
      <c r="A60" s="104"/>
      <c r="B60" s="104"/>
      <c r="C60" s="135"/>
      <c r="D60" s="135"/>
      <c r="E60" s="104"/>
      <c r="F60" s="104"/>
      <c r="G60" s="104"/>
      <c r="H60" s="104"/>
      <c r="I60" s="104"/>
      <c r="J60" s="104"/>
      <c r="K60" s="104"/>
      <c r="L60" s="104"/>
      <c r="M60" s="104"/>
      <c r="N60" s="104"/>
      <c r="O60" s="104"/>
      <c r="P60" s="104"/>
      <c r="Q60" s="104"/>
      <c r="R60" s="104"/>
      <c r="S60" s="104"/>
      <c r="T60" s="104"/>
      <c r="U60" s="104"/>
      <c r="V60" s="104"/>
      <c r="W60" s="104"/>
      <c r="X60" s="104"/>
    </row>
    <row r="61" spans="1:24" ht="12.75" customHeight="1" x14ac:dyDescent="0.3">
      <c r="A61" s="104"/>
      <c r="B61" s="104"/>
      <c r="C61" s="135"/>
      <c r="D61" s="135"/>
      <c r="E61" s="104"/>
      <c r="F61" s="104"/>
      <c r="G61" s="104"/>
      <c r="H61" s="104"/>
      <c r="I61" s="104"/>
      <c r="J61" s="104"/>
      <c r="K61" s="104"/>
      <c r="L61" s="104"/>
      <c r="M61" s="104"/>
      <c r="N61" s="104"/>
      <c r="O61" s="104"/>
      <c r="P61" s="104"/>
      <c r="Q61" s="104"/>
      <c r="R61" s="104"/>
      <c r="S61" s="104"/>
      <c r="T61" s="104"/>
      <c r="U61" s="104"/>
      <c r="V61" s="104"/>
      <c r="W61" s="104"/>
      <c r="X61" s="104"/>
    </row>
    <row r="62" spans="1:24" ht="12.75" customHeight="1" x14ac:dyDescent="0.3">
      <c r="A62" s="104"/>
      <c r="B62" s="104"/>
      <c r="C62" s="135"/>
      <c r="D62" s="135"/>
      <c r="E62" s="104"/>
      <c r="F62" s="104"/>
      <c r="G62" s="104"/>
      <c r="H62" s="104"/>
      <c r="I62" s="104"/>
      <c r="J62" s="104"/>
      <c r="K62" s="104"/>
      <c r="L62" s="104"/>
      <c r="M62" s="104"/>
      <c r="N62" s="104"/>
      <c r="O62" s="104"/>
      <c r="P62" s="104"/>
      <c r="Q62" s="104"/>
      <c r="R62" s="104"/>
      <c r="S62" s="104"/>
      <c r="T62" s="104"/>
      <c r="U62" s="104"/>
      <c r="V62" s="104"/>
      <c r="W62" s="104"/>
      <c r="X62" s="104"/>
    </row>
    <row r="63" spans="1:24" ht="12.75" customHeight="1" x14ac:dyDescent="0.3">
      <c r="A63" s="104"/>
      <c r="B63" s="104"/>
      <c r="C63" s="135"/>
      <c r="D63" s="135"/>
      <c r="E63" s="104"/>
      <c r="F63" s="104"/>
      <c r="G63" s="104"/>
      <c r="H63" s="104"/>
      <c r="I63" s="104"/>
      <c r="J63" s="104"/>
      <c r="K63" s="104"/>
      <c r="L63" s="104"/>
      <c r="M63" s="104"/>
      <c r="N63" s="104"/>
      <c r="O63" s="104"/>
      <c r="P63" s="104"/>
      <c r="Q63" s="104"/>
      <c r="R63" s="104"/>
      <c r="S63" s="104"/>
      <c r="T63" s="104"/>
      <c r="U63" s="104"/>
      <c r="V63" s="104"/>
      <c r="W63" s="104"/>
      <c r="X63" s="104"/>
    </row>
    <row r="64" spans="1:24" ht="12.75" customHeight="1" x14ac:dyDescent="0.3">
      <c r="A64" s="104"/>
      <c r="B64" s="104"/>
      <c r="C64" s="135"/>
      <c r="D64" s="135"/>
      <c r="E64" s="104"/>
      <c r="F64" s="104"/>
      <c r="G64" s="104"/>
      <c r="H64" s="104"/>
      <c r="I64" s="104"/>
      <c r="J64" s="104"/>
      <c r="K64" s="104"/>
      <c r="L64" s="104"/>
      <c r="M64" s="104"/>
      <c r="N64" s="104"/>
      <c r="O64" s="104"/>
      <c r="P64" s="104"/>
      <c r="Q64" s="104"/>
      <c r="R64" s="104"/>
      <c r="S64" s="104"/>
      <c r="T64" s="104"/>
      <c r="U64" s="104"/>
      <c r="V64" s="104"/>
      <c r="W64" s="104"/>
      <c r="X64" s="104"/>
    </row>
    <row r="65" spans="1:24" ht="12.75" customHeight="1" x14ac:dyDescent="0.3">
      <c r="A65" s="104"/>
      <c r="B65" s="104"/>
      <c r="C65" s="135"/>
      <c r="D65" s="135"/>
      <c r="E65" s="104"/>
      <c r="F65" s="104"/>
      <c r="G65" s="104"/>
      <c r="H65" s="104"/>
      <c r="I65" s="104"/>
      <c r="J65" s="104"/>
      <c r="K65" s="104"/>
      <c r="L65" s="104"/>
      <c r="M65" s="104"/>
      <c r="N65" s="104"/>
      <c r="O65" s="104"/>
      <c r="P65" s="104"/>
      <c r="Q65" s="104"/>
      <c r="R65" s="104"/>
      <c r="S65" s="104"/>
      <c r="T65" s="104"/>
      <c r="U65" s="104"/>
      <c r="V65" s="104"/>
      <c r="W65" s="104"/>
      <c r="X65" s="104"/>
    </row>
    <row r="66" spans="1:24" ht="12.75" customHeight="1" x14ac:dyDescent="0.3">
      <c r="A66" s="104"/>
      <c r="B66" s="104"/>
      <c r="C66" s="135"/>
      <c r="D66" s="135"/>
      <c r="E66" s="104"/>
      <c r="F66" s="104"/>
      <c r="G66" s="104"/>
      <c r="H66" s="104"/>
      <c r="I66" s="104"/>
      <c r="J66" s="104"/>
      <c r="K66" s="104"/>
      <c r="L66" s="104"/>
      <c r="M66" s="104"/>
      <c r="N66" s="104"/>
      <c r="O66" s="104"/>
      <c r="P66" s="104"/>
      <c r="Q66" s="104"/>
      <c r="R66" s="104"/>
      <c r="S66" s="104"/>
      <c r="T66" s="104"/>
      <c r="U66" s="104"/>
      <c r="V66" s="104"/>
      <c r="W66" s="104"/>
      <c r="X66" s="104"/>
    </row>
    <row r="67" spans="1:24" ht="12.75" customHeight="1" x14ac:dyDescent="0.3">
      <c r="A67" s="104"/>
      <c r="B67" s="104"/>
      <c r="C67" s="135"/>
      <c r="D67" s="135"/>
      <c r="E67" s="104"/>
      <c r="F67" s="104"/>
      <c r="G67" s="104"/>
      <c r="H67" s="104"/>
      <c r="I67" s="104"/>
      <c r="J67" s="104"/>
      <c r="K67" s="104"/>
      <c r="L67" s="104"/>
      <c r="M67" s="104"/>
      <c r="N67" s="104"/>
      <c r="O67" s="104"/>
      <c r="P67" s="104"/>
      <c r="Q67" s="104"/>
      <c r="R67" s="104"/>
      <c r="S67" s="104"/>
      <c r="T67" s="104"/>
      <c r="U67" s="104"/>
      <c r="V67" s="104"/>
      <c r="W67" s="104"/>
      <c r="X67" s="104"/>
    </row>
    <row r="68" spans="1:24" ht="12.75" customHeight="1" x14ac:dyDescent="0.3">
      <c r="A68" s="104"/>
      <c r="B68" s="104"/>
      <c r="C68" s="135"/>
      <c r="D68" s="135"/>
      <c r="E68" s="104"/>
      <c r="F68" s="104"/>
      <c r="G68" s="104"/>
      <c r="H68" s="104"/>
      <c r="I68" s="104"/>
      <c r="J68" s="104"/>
      <c r="K68" s="104"/>
      <c r="L68" s="104"/>
      <c r="M68" s="104"/>
      <c r="N68" s="104"/>
      <c r="O68" s="104"/>
      <c r="P68" s="104"/>
      <c r="Q68" s="104"/>
      <c r="R68" s="104"/>
      <c r="S68" s="104"/>
      <c r="T68" s="104"/>
      <c r="U68" s="104"/>
      <c r="V68" s="104"/>
      <c r="W68" s="104"/>
      <c r="X68" s="104"/>
    </row>
    <row r="69" spans="1:24" ht="12.75" customHeight="1" x14ac:dyDescent="0.3">
      <c r="A69" s="104"/>
      <c r="B69" s="104"/>
      <c r="C69" s="135"/>
      <c r="D69" s="135"/>
      <c r="E69" s="104"/>
      <c r="F69" s="104"/>
      <c r="G69" s="104"/>
      <c r="H69" s="104"/>
      <c r="I69" s="104"/>
      <c r="J69" s="104"/>
      <c r="K69" s="104"/>
      <c r="L69" s="104"/>
      <c r="M69" s="104"/>
      <c r="N69" s="104"/>
      <c r="O69" s="104"/>
      <c r="P69" s="104"/>
      <c r="Q69" s="104"/>
      <c r="R69" s="104"/>
      <c r="S69" s="104"/>
      <c r="T69" s="104"/>
      <c r="U69" s="104"/>
      <c r="V69" s="104"/>
      <c r="W69" s="104"/>
      <c r="X69" s="104"/>
    </row>
    <row r="70" spans="1:24" ht="12.75" customHeight="1" x14ac:dyDescent="0.3">
      <c r="A70" s="104"/>
      <c r="B70" s="104"/>
      <c r="C70" s="135"/>
      <c r="D70" s="135"/>
      <c r="E70" s="104"/>
      <c r="F70" s="104"/>
      <c r="G70" s="104"/>
      <c r="H70" s="104"/>
      <c r="I70" s="104"/>
      <c r="J70" s="104"/>
      <c r="K70" s="104"/>
      <c r="L70" s="104"/>
      <c r="M70" s="104"/>
      <c r="N70" s="104"/>
      <c r="O70" s="104"/>
      <c r="P70" s="104"/>
      <c r="Q70" s="104"/>
      <c r="R70" s="104"/>
      <c r="S70" s="104"/>
      <c r="T70" s="104"/>
      <c r="U70" s="104"/>
      <c r="V70" s="104"/>
      <c r="W70" s="104"/>
      <c r="X70" s="104"/>
    </row>
    <row r="71" spans="1:24" ht="12.75" customHeight="1" x14ac:dyDescent="0.3">
      <c r="A71" s="104"/>
      <c r="B71" s="104"/>
      <c r="C71" s="135"/>
      <c r="D71" s="135"/>
      <c r="E71" s="104"/>
      <c r="F71" s="104"/>
      <c r="G71" s="104"/>
      <c r="H71" s="104"/>
      <c r="I71" s="104"/>
      <c r="J71" s="104"/>
      <c r="K71" s="104"/>
      <c r="L71" s="104"/>
      <c r="M71" s="104"/>
      <c r="N71" s="104"/>
      <c r="O71" s="104"/>
      <c r="P71" s="104"/>
      <c r="Q71" s="104"/>
      <c r="R71" s="104"/>
      <c r="S71" s="104"/>
      <c r="T71" s="104"/>
      <c r="U71" s="104"/>
      <c r="V71" s="104"/>
      <c r="W71" s="104"/>
      <c r="X71" s="104"/>
    </row>
    <row r="72" spans="1:24" ht="12.75" customHeight="1" x14ac:dyDescent="0.3">
      <c r="A72" s="104"/>
      <c r="B72" s="104"/>
      <c r="C72" s="135"/>
      <c r="D72" s="135"/>
      <c r="E72" s="104"/>
      <c r="F72" s="104"/>
      <c r="G72" s="104"/>
      <c r="H72" s="104"/>
      <c r="I72" s="104"/>
      <c r="J72" s="104"/>
      <c r="K72" s="104"/>
      <c r="L72" s="104"/>
      <c r="M72" s="104"/>
      <c r="N72" s="104"/>
      <c r="O72" s="104"/>
      <c r="P72" s="104"/>
      <c r="Q72" s="104"/>
      <c r="R72" s="104"/>
      <c r="S72" s="104"/>
      <c r="T72" s="104"/>
      <c r="U72" s="104"/>
      <c r="V72" s="104"/>
      <c r="W72" s="104"/>
      <c r="X72" s="104"/>
    </row>
    <row r="73" spans="1:24" ht="12.75" customHeight="1" x14ac:dyDescent="0.3">
      <c r="A73" s="104"/>
      <c r="B73" s="104"/>
      <c r="C73" s="135"/>
      <c r="D73" s="135"/>
      <c r="E73" s="104"/>
      <c r="F73" s="104"/>
      <c r="G73" s="104"/>
      <c r="H73" s="104"/>
      <c r="I73" s="104"/>
      <c r="J73" s="104"/>
      <c r="K73" s="104"/>
      <c r="L73" s="104"/>
      <c r="M73" s="104"/>
      <c r="N73" s="104"/>
      <c r="O73" s="104"/>
      <c r="P73" s="104"/>
      <c r="Q73" s="104"/>
      <c r="R73" s="104"/>
      <c r="S73" s="104"/>
      <c r="T73" s="104"/>
      <c r="U73" s="104"/>
      <c r="V73" s="104"/>
      <c r="W73" s="104"/>
      <c r="X73" s="104"/>
    </row>
    <row r="74" spans="1:24" ht="12.75" customHeight="1" x14ac:dyDescent="0.3">
      <c r="A74" s="104"/>
      <c r="B74" s="104"/>
      <c r="C74" s="135"/>
      <c r="D74" s="135"/>
      <c r="E74" s="104"/>
      <c r="F74" s="104"/>
      <c r="G74" s="104"/>
      <c r="H74" s="104"/>
      <c r="I74" s="104"/>
      <c r="J74" s="104"/>
      <c r="K74" s="104"/>
      <c r="L74" s="104"/>
      <c r="M74" s="104"/>
      <c r="N74" s="104"/>
      <c r="O74" s="104"/>
      <c r="P74" s="104"/>
      <c r="Q74" s="104"/>
      <c r="R74" s="104"/>
      <c r="S74" s="104"/>
      <c r="T74" s="104"/>
      <c r="U74" s="104"/>
      <c r="V74" s="104"/>
      <c r="W74" s="104"/>
      <c r="X74" s="104"/>
    </row>
    <row r="75" spans="1:24" ht="12.75" customHeight="1" x14ac:dyDescent="0.3">
      <c r="A75" s="104"/>
      <c r="B75" s="104"/>
      <c r="C75" s="135"/>
      <c r="D75" s="135"/>
      <c r="E75" s="104"/>
      <c r="F75" s="104"/>
      <c r="G75" s="104"/>
      <c r="H75" s="104"/>
      <c r="I75" s="104"/>
      <c r="J75" s="104"/>
      <c r="K75" s="104"/>
      <c r="L75" s="104"/>
      <c r="M75" s="104"/>
      <c r="N75" s="104"/>
      <c r="O75" s="104"/>
      <c r="P75" s="104"/>
      <c r="Q75" s="104"/>
      <c r="R75" s="104"/>
      <c r="S75" s="104"/>
      <c r="T75" s="104"/>
      <c r="U75" s="104"/>
      <c r="V75" s="104"/>
      <c r="W75" s="104"/>
      <c r="X75" s="104"/>
    </row>
    <row r="76" spans="1:24" ht="12.75" customHeight="1" x14ac:dyDescent="0.3">
      <c r="A76" s="104"/>
      <c r="B76" s="104"/>
      <c r="C76" s="135"/>
      <c r="D76" s="135"/>
      <c r="E76" s="104"/>
      <c r="F76" s="104"/>
      <c r="G76" s="104"/>
      <c r="H76" s="104"/>
      <c r="I76" s="104"/>
      <c r="J76" s="104"/>
      <c r="K76" s="104"/>
      <c r="L76" s="104"/>
      <c r="M76" s="104"/>
      <c r="N76" s="104"/>
      <c r="O76" s="104"/>
      <c r="P76" s="104"/>
      <c r="Q76" s="104"/>
      <c r="R76" s="104"/>
      <c r="S76" s="104"/>
      <c r="T76" s="104"/>
      <c r="U76" s="104"/>
      <c r="V76" s="104"/>
      <c r="W76" s="104"/>
      <c r="X76" s="104"/>
    </row>
    <row r="77" spans="1:24" ht="12.75" customHeight="1" x14ac:dyDescent="0.3">
      <c r="A77" s="104"/>
      <c r="B77" s="104"/>
      <c r="C77" s="135"/>
      <c r="D77" s="135"/>
      <c r="E77" s="104"/>
      <c r="F77" s="104"/>
      <c r="G77" s="104"/>
      <c r="H77" s="104"/>
      <c r="I77" s="104"/>
      <c r="J77" s="104"/>
      <c r="K77" s="104"/>
      <c r="L77" s="104"/>
      <c r="M77" s="104"/>
      <c r="N77" s="104"/>
      <c r="O77" s="104"/>
      <c r="P77" s="104"/>
      <c r="Q77" s="104"/>
      <c r="R77" s="104"/>
      <c r="S77" s="104"/>
      <c r="T77" s="104"/>
      <c r="U77" s="104"/>
      <c r="V77" s="104"/>
      <c r="W77" s="104"/>
      <c r="X77" s="104"/>
    </row>
    <row r="78" spans="1:24" ht="12.75" customHeight="1" x14ac:dyDescent="0.3">
      <c r="A78" s="104"/>
      <c r="B78" s="104"/>
      <c r="C78" s="135"/>
      <c r="D78" s="135"/>
      <c r="E78" s="104"/>
      <c r="F78" s="104"/>
      <c r="G78" s="104"/>
      <c r="H78" s="104"/>
      <c r="I78" s="104"/>
      <c r="J78" s="104"/>
      <c r="K78" s="104"/>
      <c r="L78" s="104"/>
      <c r="M78" s="104"/>
      <c r="N78" s="104"/>
      <c r="O78" s="104"/>
      <c r="P78" s="104"/>
      <c r="Q78" s="104"/>
      <c r="R78" s="104"/>
      <c r="S78" s="104"/>
      <c r="T78" s="104"/>
      <c r="U78" s="104"/>
      <c r="V78" s="104"/>
      <c r="W78" s="104"/>
      <c r="X78" s="104"/>
    </row>
    <row r="79" spans="1:24" ht="12.75" customHeight="1" x14ac:dyDescent="0.3">
      <c r="A79" s="104"/>
      <c r="B79" s="104"/>
      <c r="C79" s="135"/>
      <c r="D79" s="135"/>
      <c r="E79" s="104"/>
      <c r="F79" s="104"/>
      <c r="G79" s="104"/>
      <c r="H79" s="104"/>
      <c r="I79" s="104"/>
      <c r="J79" s="104"/>
      <c r="K79" s="104"/>
      <c r="L79" s="104"/>
      <c r="M79" s="104"/>
      <c r="N79" s="104"/>
      <c r="O79" s="104"/>
      <c r="P79" s="104"/>
      <c r="Q79" s="104"/>
      <c r="R79" s="104"/>
      <c r="S79" s="104"/>
      <c r="T79" s="104"/>
      <c r="U79" s="104"/>
      <c r="V79" s="104"/>
      <c r="W79" s="104"/>
      <c r="X79" s="104"/>
    </row>
    <row r="80" spans="1:24" ht="12.75" customHeight="1" x14ac:dyDescent="0.3">
      <c r="A80" s="104"/>
      <c r="B80" s="104"/>
      <c r="C80" s="135"/>
      <c r="D80" s="135"/>
      <c r="E80" s="104"/>
      <c r="F80" s="104"/>
      <c r="G80" s="104"/>
      <c r="H80" s="104"/>
      <c r="I80" s="104"/>
      <c r="J80" s="104"/>
      <c r="K80" s="104"/>
      <c r="L80" s="104"/>
      <c r="M80" s="104"/>
      <c r="N80" s="104"/>
      <c r="O80" s="104"/>
      <c r="P80" s="104"/>
      <c r="Q80" s="104"/>
      <c r="R80" s="104"/>
      <c r="S80" s="104"/>
      <c r="T80" s="104"/>
      <c r="U80" s="104"/>
      <c r="V80" s="104"/>
      <c r="W80" s="104"/>
      <c r="X80" s="104"/>
    </row>
    <row r="81" spans="1:24" ht="12.75" customHeight="1" x14ac:dyDescent="0.3">
      <c r="A81" s="104"/>
      <c r="B81" s="104"/>
      <c r="C81" s="135"/>
      <c r="D81" s="135"/>
      <c r="E81" s="104"/>
      <c r="F81" s="104"/>
      <c r="G81" s="104"/>
      <c r="H81" s="104"/>
      <c r="I81" s="104"/>
      <c r="J81" s="104"/>
      <c r="K81" s="104"/>
      <c r="L81" s="104"/>
      <c r="M81" s="104"/>
      <c r="N81" s="104"/>
      <c r="O81" s="104"/>
      <c r="P81" s="104"/>
      <c r="Q81" s="104"/>
      <c r="R81" s="104"/>
      <c r="S81" s="104"/>
      <c r="T81" s="104"/>
      <c r="U81" s="104"/>
      <c r="V81" s="104"/>
      <c r="W81" s="104"/>
      <c r="X81" s="104"/>
    </row>
    <row r="82" spans="1:24" ht="12.75" customHeight="1" x14ac:dyDescent="0.3">
      <c r="A82" s="104"/>
      <c r="B82" s="104"/>
      <c r="C82" s="135"/>
      <c r="D82" s="135"/>
      <c r="E82" s="104"/>
      <c r="F82" s="104"/>
      <c r="G82" s="104"/>
      <c r="H82" s="104"/>
      <c r="I82" s="104"/>
      <c r="J82" s="104"/>
      <c r="K82" s="104"/>
      <c r="L82" s="104"/>
      <c r="M82" s="104"/>
      <c r="N82" s="104"/>
      <c r="O82" s="104"/>
      <c r="P82" s="104"/>
      <c r="Q82" s="104"/>
      <c r="R82" s="104"/>
      <c r="S82" s="104"/>
      <c r="T82" s="104"/>
      <c r="U82" s="104"/>
      <c r="V82" s="104"/>
      <c r="W82" s="104"/>
      <c r="X82" s="104"/>
    </row>
    <row r="83" spans="1:24" ht="12.75" customHeight="1" x14ac:dyDescent="0.3">
      <c r="A83" s="104"/>
      <c r="B83" s="104"/>
      <c r="C83" s="135"/>
      <c r="D83" s="135"/>
      <c r="E83" s="104"/>
      <c r="F83" s="104"/>
      <c r="G83" s="104"/>
      <c r="H83" s="104"/>
      <c r="I83" s="104"/>
      <c r="J83" s="104"/>
      <c r="K83" s="104"/>
      <c r="L83" s="104"/>
      <c r="M83" s="104"/>
      <c r="N83" s="104"/>
      <c r="O83" s="104"/>
      <c r="P83" s="104"/>
      <c r="Q83" s="104"/>
      <c r="R83" s="104"/>
      <c r="S83" s="104"/>
      <c r="T83" s="104"/>
      <c r="U83" s="104"/>
      <c r="V83" s="104"/>
      <c r="W83" s="104"/>
      <c r="X83" s="104"/>
    </row>
    <row r="84" spans="1:24" ht="12.75" customHeight="1" x14ac:dyDescent="0.3">
      <c r="A84" s="104"/>
      <c r="B84" s="104"/>
      <c r="C84" s="135"/>
      <c r="D84" s="135"/>
      <c r="E84" s="104"/>
      <c r="F84" s="104"/>
      <c r="G84" s="104"/>
      <c r="H84" s="104"/>
      <c r="I84" s="104"/>
      <c r="J84" s="104"/>
      <c r="K84" s="104"/>
      <c r="L84" s="104"/>
      <c r="M84" s="104"/>
      <c r="N84" s="104"/>
      <c r="O84" s="104"/>
      <c r="P84" s="104"/>
      <c r="Q84" s="104"/>
      <c r="R84" s="104"/>
      <c r="S84" s="104"/>
      <c r="T84" s="104"/>
      <c r="U84" s="104"/>
      <c r="V84" s="104"/>
      <c r="W84" s="104"/>
      <c r="X84" s="104"/>
    </row>
    <row r="85" spans="1:24" ht="12.75" customHeight="1" x14ac:dyDescent="0.3">
      <c r="A85" s="104"/>
      <c r="B85" s="104"/>
      <c r="C85" s="135"/>
      <c r="D85" s="135"/>
      <c r="E85" s="104"/>
      <c r="F85" s="104"/>
      <c r="G85" s="104"/>
      <c r="H85" s="104"/>
      <c r="I85" s="104"/>
      <c r="J85" s="104"/>
      <c r="K85" s="104"/>
      <c r="L85" s="104"/>
      <c r="M85" s="104"/>
      <c r="N85" s="104"/>
      <c r="O85" s="104"/>
      <c r="P85" s="104"/>
      <c r="Q85" s="104"/>
      <c r="R85" s="104"/>
      <c r="S85" s="104"/>
      <c r="T85" s="104"/>
      <c r="U85" s="104"/>
      <c r="V85" s="104"/>
      <c r="W85" s="104"/>
      <c r="X85" s="104"/>
    </row>
    <row r="86" spans="1:24" ht="12.75" customHeight="1" x14ac:dyDescent="0.3">
      <c r="A86" s="104"/>
      <c r="B86" s="104"/>
      <c r="C86" s="135"/>
      <c r="D86" s="135"/>
      <c r="E86" s="104"/>
      <c r="F86" s="104"/>
      <c r="G86" s="104"/>
      <c r="H86" s="104"/>
      <c r="I86" s="104"/>
      <c r="J86" s="104"/>
      <c r="K86" s="104"/>
      <c r="L86" s="104"/>
      <c r="M86" s="104"/>
      <c r="N86" s="104"/>
      <c r="O86" s="104"/>
      <c r="P86" s="104"/>
      <c r="Q86" s="104"/>
      <c r="R86" s="104"/>
      <c r="S86" s="104"/>
      <c r="T86" s="104"/>
      <c r="U86" s="104"/>
      <c r="V86" s="104"/>
      <c r="W86" s="104"/>
      <c r="X86" s="104"/>
    </row>
    <row r="87" spans="1:24" ht="12.75" customHeight="1" x14ac:dyDescent="0.3">
      <c r="A87" s="104"/>
      <c r="B87" s="104"/>
      <c r="C87" s="135"/>
      <c r="D87" s="135"/>
      <c r="E87" s="104"/>
      <c r="F87" s="104"/>
      <c r="G87" s="104"/>
      <c r="H87" s="104"/>
      <c r="I87" s="104"/>
      <c r="J87" s="104"/>
      <c r="K87" s="104"/>
      <c r="L87" s="104"/>
      <c r="M87" s="104"/>
      <c r="N87" s="104"/>
      <c r="O87" s="104"/>
      <c r="P87" s="104"/>
      <c r="Q87" s="104"/>
      <c r="R87" s="104"/>
      <c r="S87" s="104"/>
      <c r="T87" s="104"/>
      <c r="U87" s="104"/>
      <c r="V87" s="104"/>
      <c r="W87" s="104"/>
      <c r="X87" s="104"/>
    </row>
    <row r="88" spans="1:24" ht="12.75" customHeight="1" x14ac:dyDescent="0.3">
      <c r="A88" s="104"/>
      <c r="B88" s="104"/>
      <c r="C88" s="135"/>
      <c r="D88" s="135"/>
      <c r="E88" s="104"/>
      <c r="F88" s="104"/>
      <c r="G88" s="104"/>
      <c r="H88" s="104"/>
      <c r="I88" s="104"/>
      <c r="J88" s="104"/>
      <c r="K88" s="104"/>
      <c r="L88" s="104"/>
      <c r="M88" s="104"/>
      <c r="N88" s="104"/>
      <c r="O88" s="104"/>
      <c r="P88" s="104"/>
      <c r="Q88" s="104"/>
      <c r="R88" s="104"/>
      <c r="S88" s="104"/>
      <c r="T88" s="104"/>
      <c r="U88" s="104"/>
      <c r="V88" s="104"/>
      <c r="W88" s="104"/>
      <c r="X88" s="104"/>
    </row>
    <row r="89" spans="1:24" ht="12.75" customHeight="1" x14ac:dyDescent="0.3">
      <c r="A89" s="104"/>
      <c r="B89" s="104"/>
      <c r="C89" s="135"/>
      <c r="D89" s="135"/>
      <c r="E89" s="104"/>
      <c r="F89" s="104"/>
      <c r="G89" s="104"/>
      <c r="H89" s="104"/>
      <c r="I89" s="104"/>
      <c r="J89" s="104"/>
      <c r="K89" s="104"/>
      <c r="L89" s="104"/>
      <c r="M89" s="104"/>
      <c r="N89" s="104"/>
      <c r="O89" s="104"/>
      <c r="P89" s="104"/>
      <c r="Q89" s="104"/>
      <c r="R89" s="104"/>
      <c r="S89" s="104"/>
      <c r="T89" s="104"/>
      <c r="U89" s="104"/>
      <c r="V89" s="104"/>
      <c r="W89" s="104"/>
      <c r="X89" s="104"/>
    </row>
    <row r="90" spans="1:24" ht="12.75" customHeight="1" x14ac:dyDescent="0.3">
      <c r="A90" s="104"/>
      <c r="B90" s="104"/>
      <c r="C90" s="135"/>
      <c r="D90" s="135"/>
      <c r="E90" s="104"/>
      <c r="F90" s="104"/>
      <c r="G90" s="104"/>
      <c r="H90" s="104"/>
      <c r="I90" s="104"/>
      <c r="J90" s="104"/>
      <c r="K90" s="104"/>
      <c r="L90" s="104"/>
      <c r="M90" s="104"/>
      <c r="N90" s="104"/>
      <c r="O90" s="104"/>
      <c r="P90" s="104"/>
      <c r="Q90" s="104"/>
      <c r="R90" s="104"/>
      <c r="S90" s="104"/>
      <c r="T90" s="104"/>
      <c r="U90" s="104"/>
      <c r="V90" s="104"/>
      <c r="W90" s="104"/>
      <c r="X90" s="104"/>
    </row>
    <row r="91" spans="1:24" ht="12.75" customHeight="1" x14ac:dyDescent="0.3">
      <c r="A91" s="104"/>
      <c r="B91" s="104"/>
      <c r="C91" s="135"/>
      <c r="D91" s="135"/>
      <c r="E91" s="104"/>
      <c r="F91" s="104"/>
      <c r="G91" s="104"/>
      <c r="H91" s="104"/>
      <c r="I91" s="104"/>
      <c r="J91" s="104"/>
      <c r="K91" s="104"/>
      <c r="L91" s="104"/>
      <c r="M91" s="104"/>
      <c r="N91" s="104"/>
      <c r="O91" s="104"/>
      <c r="P91" s="104"/>
      <c r="Q91" s="104"/>
      <c r="R91" s="104"/>
      <c r="S91" s="104"/>
      <c r="T91" s="104"/>
      <c r="U91" s="104"/>
      <c r="V91" s="104"/>
      <c r="W91" s="104"/>
      <c r="X91" s="104"/>
    </row>
    <row r="92" spans="1:24" ht="12.75" customHeight="1" x14ac:dyDescent="0.3">
      <c r="A92" s="104"/>
      <c r="B92" s="104"/>
      <c r="C92" s="135"/>
      <c r="D92" s="135"/>
      <c r="E92" s="104"/>
      <c r="F92" s="104"/>
      <c r="G92" s="104"/>
      <c r="H92" s="104"/>
      <c r="I92" s="104"/>
      <c r="J92" s="104"/>
      <c r="K92" s="104"/>
      <c r="L92" s="104"/>
      <c r="M92" s="104"/>
      <c r="N92" s="104"/>
      <c r="O92" s="104"/>
      <c r="P92" s="104"/>
      <c r="Q92" s="104"/>
      <c r="R92" s="104"/>
      <c r="S92" s="104"/>
      <c r="T92" s="104"/>
      <c r="U92" s="104"/>
      <c r="V92" s="104"/>
      <c r="W92" s="104"/>
      <c r="X92" s="104"/>
    </row>
    <row r="93" spans="1:24" ht="12.75" customHeight="1" x14ac:dyDescent="0.3">
      <c r="A93" s="104"/>
      <c r="B93" s="104"/>
      <c r="C93" s="135"/>
      <c r="D93" s="135"/>
      <c r="E93" s="104"/>
      <c r="F93" s="104"/>
      <c r="G93" s="104"/>
      <c r="H93" s="104"/>
      <c r="I93" s="104"/>
      <c r="J93" s="104"/>
      <c r="K93" s="104"/>
      <c r="L93" s="104"/>
      <c r="M93" s="104"/>
      <c r="N93" s="104"/>
      <c r="O93" s="104"/>
      <c r="P93" s="104"/>
      <c r="Q93" s="104"/>
      <c r="R93" s="104"/>
      <c r="S93" s="104"/>
      <c r="T93" s="104"/>
      <c r="U93" s="104"/>
      <c r="V93" s="104"/>
      <c r="W93" s="104"/>
      <c r="X93" s="104"/>
    </row>
    <row r="94" spans="1:24" ht="12.75" customHeight="1" x14ac:dyDescent="0.3">
      <c r="A94" s="104"/>
      <c r="B94" s="104"/>
      <c r="C94" s="135"/>
      <c r="D94" s="135"/>
      <c r="E94" s="104"/>
      <c r="F94" s="104"/>
      <c r="G94" s="104"/>
      <c r="H94" s="104"/>
      <c r="I94" s="104"/>
      <c r="J94" s="104"/>
      <c r="K94" s="104"/>
      <c r="L94" s="104"/>
      <c r="M94" s="104"/>
      <c r="N94" s="104"/>
      <c r="O94" s="104"/>
      <c r="P94" s="104"/>
      <c r="Q94" s="104"/>
      <c r="R94" s="104"/>
      <c r="S94" s="104"/>
      <c r="T94" s="104"/>
      <c r="U94" s="104"/>
      <c r="V94" s="104"/>
      <c r="W94" s="104"/>
      <c r="X94" s="104"/>
    </row>
  </sheetData>
  <mergeCells count="14">
    <mergeCell ref="U4:U5"/>
    <mergeCell ref="P4:R4"/>
    <mergeCell ref="S4:S5"/>
    <mergeCell ref="T4:T5"/>
    <mergeCell ref="A3:T3"/>
    <mergeCell ref="A4:A5"/>
    <mergeCell ref="B4:B5"/>
    <mergeCell ref="C4:C5"/>
    <mergeCell ref="D4:D5"/>
    <mergeCell ref="E4:G4"/>
    <mergeCell ref="J4:J5"/>
    <mergeCell ref="K4:K5"/>
    <mergeCell ref="L4:L5"/>
    <mergeCell ref="M4:O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7"/>
  <sheetViews>
    <sheetView workbookViewId="0">
      <selection activeCell="F12" sqref="F12"/>
    </sheetView>
  </sheetViews>
  <sheetFormatPr defaultRowHeight="14.4" x14ac:dyDescent="0.3"/>
  <cols>
    <col min="1" max="1" width="10.6640625" bestFit="1" customWidth="1"/>
    <col min="2" max="2" width="38" customWidth="1"/>
    <col min="3" max="3" width="11.21875" customWidth="1"/>
    <col min="4" max="4" width="12.109375" customWidth="1"/>
    <col min="6" max="6" width="16.6640625" customWidth="1"/>
  </cols>
  <sheetData>
    <row r="1" spans="1:6" x14ac:dyDescent="0.3">
      <c r="A1" s="253" t="s">
        <v>94</v>
      </c>
      <c r="B1" s="253"/>
      <c r="C1" s="253"/>
      <c r="D1" s="253"/>
    </row>
    <row r="2" spans="1:6" x14ac:dyDescent="0.3">
      <c r="A2" s="1" t="s">
        <v>95</v>
      </c>
      <c r="B2" s="1" t="s">
        <v>96</v>
      </c>
      <c r="C2" s="1" t="s">
        <v>97</v>
      </c>
      <c r="D2" s="1" t="s">
        <v>97</v>
      </c>
    </row>
    <row r="3" spans="1:6" x14ac:dyDescent="0.3">
      <c r="A3" s="2"/>
      <c r="B3" s="3" t="s">
        <v>98</v>
      </c>
      <c r="C3" s="4"/>
      <c r="D3" s="5"/>
    </row>
    <row r="4" spans="1:6" x14ac:dyDescent="0.3">
      <c r="A4" s="6"/>
      <c r="C4" s="7"/>
      <c r="D4" s="8"/>
    </row>
    <row r="5" spans="1:6" x14ac:dyDescent="0.3">
      <c r="A5" s="6"/>
      <c r="C5" s="7"/>
      <c r="D5" s="8"/>
    </row>
    <row r="6" spans="1:6" ht="15.6" x14ac:dyDescent="0.3">
      <c r="A6" s="6"/>
      <c r="B6" s="9" t="s">
        <v>99</v>
      </c>
      <c r="C6" s="7">
        <v>64146.43</v>
      </c>
      <c r="D6" s="8"/>
      <c r="F6" s="45">
        <v>243746.43</v>
      </c>
    </row>
    <row r="7" spans="1:6" x14ac:dyDescent="0.3">
      <c r="A7" s="6"/>
      <c r="C7" s="7"/>
      <c r="D7" s="8"/>
    </row>
    <row r="8" spans="1:6" x14ac:dyDescent="0.3">
      <c r="A8" s="6"/>
      <c r="B8" t="s">
        <v>100</v>
      </c>
      <c r="C8" s="7"/>
      <c r="D8" s="8"/>
      <c r="F8" s="39">
        <f>+F6-C6</f>
        <v>179600</v>
      </c>
    </row>
    <row r="9" spans="1:6" x14ac:dyDescent="0.3">
      <c r="A9" s="10">
        <v>46112</v>
      </c>
      <c r="B9" t="s">
        <v>101</v>
      </c>
      <c r="C9" s="7">
        <v>18000</v>
      </c>
      <c r="D9" s="8"/>
    </row>
    <row r="10" spans="1:6" x14ac:dyDescent="0.3">
      <c r="A10" s="10">
        <v>46112</v>
      </c>
      <c r="B10" t="s">
        <v>102</v>
      </c>
      <c r="C10" s="7">
        <v>18809</v>
      </c>
      <c r="D10" s="8"/>
    </row>
    <row r="11" spans="1:6" x14ac:dyDescent="0.3">
      <c r="A11" s="10">
        <v>46112</v>
      </c>
      <c r="B11" t="s">
        <v>103</v>
      </c>
      <c r="C11" s="11">
        <v>7000</v>
      </c>
      <c r="D11" s="8">
        <f>SUM(C6:C11)</f>
        <v>107955.43</v>
      </c>
    </row>
    <row r="12" spans="1:6" x14ac:dyDescent="0.3">
      <c r="A12" s="6"/>
      <c r="C12" s="7"/>
      <c r="D12" s="8"/>
    </row>
    <row r="13" spans="1:6" x14ac:dyDescent="0.3">
      <c r="A13" s="6"/>
      <c r="B13" s="9" t="s">
        <v>104</v>
      </c>
      <c r="C13" s="7"/>
      <c r="D13" s="8"/>
    </row>
    <row r="14" spans="1:6" x14ac:dyDescent="0.3">
      <c r="A14" s="10">
        <v>45900</v>
      </c>
      <c r="B14" t="s">
        <v>105</v>
      </c>
      <c r="C14" s="7"/>
      <c r="D14" s="8">
        <v>1200</v>
      </c>
    </row>
    <row r="15" spans="1:6" x14ac:dyDescent="0.3">
      <c r="A15" s="6"/>
      <c r="C15" s="7"/>
      <c r="D15" s="8"/>
    </row>
    <row r="16" spans="1:6" x14ac:dyDescent="0.3">
      <c r="A16" s="12"/>
      <c r="C16" s="11"/>
      <c r="D16" s="13"/>
    </row>
    <row r="17" spans="1:4" ht="15" thickBot="1" x14ac:dyDescent="0.35">
      <c r="A17" s="14"/>
      <c r="B17" s="254" t="s">
        <v>106</v>
      </c>
      <c r="C17" s="255"/>
      <c r="D17" s="15">
        <f>D11-D14</f>
        <v>106755.43</v>
      </c>
    </row>
  </sheetData>
  <mergeCells count="2">
    <mergeCell ref="A1:D1"/>
    <mergeCell ref="B17:C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</vt:i4>
      </vt:variant>
    </vt:vector>
  </HeadingPairs>
  <TitlesOfParts>
    <vt:vector size="8" baseType="lpstr">
      <vt:lpstr>I&amp;E 25-26</vt:lpstr>
      <vt:lpstr>BS 25-26</vt:lpstr>
      <vt:lpstr>FD 25-26 (2)</vt:lpstr>
      <vt:lpstr>FD 25-26</vt:lpstr>
      <vt:lpstr>BRS 25-26</vt:lpstr>
      <vt:lpstr>'BS 25-26'!Print_Area</vt:lpstr>
      <vt:lpstr>'FD 25-26 (2)'!Print_Area</vt:lpstr>
      <vt:lpstr>'I&amp;E 25-26'!Print_Area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bharatboridkar@gmail.com</cp:lastModifiedBy>
  <cp:lastPrinted>2026-07-30T12:56:59Z</cp:lastPrinted>
  <dcterms:created xsi:type="dcterms:W3CDTF">2026-07-23T06:57:26Z</dcterms:created>
  <dcterms:modified xsi:type="dcterms:W3CDTF">2026-08-01T18:55:12Z</dcterms:modified>
</cp:coreProperties>
</file>