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Bharat\Nikolaswadi\"/>
    </mc:Choice>
  </mc:AlternateContent>
  <xr:revisionPtr revIDLastSave="0" documentId="13_ncr:1_{1C00CD79-7F44-4ECB-970A-C9BD63455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&amp;E 25-26" sheetId="1" r:id="rId1"/>
    <sheet name="BS 25-26" sheetId="2" r:id="rId2"/>
    <sheet name="FD 25-26" sheetId="4" r:id="rId3"/>
    <sheet name="BRS 25-26" sheetId="3" r:id="rId4"/>
  </sheets>
  <externalReferences>
    <externalReference r:id="rId5"/>
  </externalReferences>
  <definedNames>
    <definedName name="_xlnm.Print_Area" localSheetId="1">'BS 25-26'!$A$1:$I$56</definedName>
    <definedName name="_xlnm.Print_Area" localSheetId="0">'I&amp;E 25-26'!$A$1:$H$40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N9" i="4"/>
  <c r="L15" i="4"/>
  <c r="J15" i="4"/>
  <c r="F15" i="4"/>
  <c r="E15" i="4"/>
  <c r="Q14" i="4"/>
  <c r="G14" i="4"/>
  <c r="M14" i="4" s="1"/>
  <c r="A14" i="4"/>
  <c r="M13" i="4"/>
  <c r="I13" i="4"/>
  <c r="N13" i="4" s="1"/>
  <c r="G13" i="4"/>
  <c r="A13" i="4"/>
  <c r="Q12" i="4"/>
  <c r="P12" i="4"/>
  <c r="O12" i="4"/>
  <c r="G12" i="4"/>
  <c r="A12" i="4"/>
  <c r="Q11" i="4"/>
  <c r="P11" i="4"/>
  <c r="R11" i="4" s="1"/>
  <c r="O11" i="4"/>
  <c r="G11" i="4"/>
  <c r="A11" i="4"/>
  <c r="Q10" i="4"/>
  <c r="P10" i="4"/>
  <c r="O10" i="4"/>
  <c r="G10" i="4"/>
  <c r="A10" i="4"/>
  <c r="N15" i="4"/>
  <c r="M9" i="4"/>
  <c r="O9" i="4" s="1"/>
  <c r="K9" i="4"/>
  <c r="K15" i="4" s="1"/>
  <c r="G9" i="4"/>
  <c r="A9" i="4"/>
  <c r="Q8" i="4"/>
  <c r="G8" i="4"/>
  <c r="M8" i="4" s="1"/>
  <c r="O8" i="4" s="1"/>
  <c r="A8" i="4"/>
  <c r="M7" i="4"/>
  <c r="O7" i="4" s="1"/>
  <c r="G7" i="4"/>
  <c r="A7" i="4"/>
  <c r="D11" i="3"/>
  <c r="D17" i="3" s="1"/>
  <c r="F47" i="2"/>
  <c r="A47" i="2"/>
  <c r="H40" i="2"/>
  <c r="C40" i="2"/>
  <c r="C39" i="2"/>
  <c r="H35" i="2"/>
  <c r="H37" i="2" s="1"/>
  <c r="D36" i="2"/>
  <c r="H32" i="2"/>
  <c r="D29" i="2"/>
  <c r="I28" i="2"/>
  <c r="C17" i="2"/>
  <c r="D18" i="2" s="1"/>
  <c r="H15" i="2"/>
  <c r="H13" i="2"/>
  <c r="I9" i="2"/>
  <c r="E31" i="1"/>
  <c r="A29" i="1"/>
  <c r="A24" i="1"/>
  <c r="H22" i="1"/>
  <c r="H31" i="1" s="1"/>
  <c r="C29" i="1" s="1"/>
  <c r="C31" i="1" s="1"/>
  <c r="C41" i="2" l="1"/>
  <c r="D42" i="2" s="1"/>
  <c r="D47" i="2" s="1"/>
  <c r="R12" i="4"/>
  <c r="A31" i="1"/>
  <c r="G15" i="4"/>
  <c r="R10" i="4"/>
  <c r="H41" i="2"/>
  <c r="I41" i="2" s="1"/>
  <c r="H33" i="2"/>
  <c r="I33" i="2" s="1"/>
  <c r="I15" i="2"/>
  <c r="O13" i="4"/>
  <c r="P14" i="4"/>
  <c r="O14" i="4"/>
  <c r="O15" i="4"/>
  <c r="H8" i="4"/>
  <c r="R14" i="4"/>
  <c r="P9" i="4"/>
  <c r="I15" i="4"/>
  <c r="M15" i="4"/>
  <c r="Q15" i="4"/>
  <c r="Q9" i="4"/>
  <c r="H38" i="2"/>
  <c r="I38" i="2" s="1"/>
  <c r="R9" i="4" l="1"/>
  <c r="I47" i="2"/>
  <c r="H15" i="4"/>
  <c r="P8" i="4"/>
  <c r="P15" i="4" l="1"/>
  <c r="R8" i="4"/>
  <c r="R15" i="4" s="1"/>
</calcChain>
</file>

<file path=xl/sharedStrings.xml><?xml version="1.0" encoding="utf-8"?>
<sst xmlns="http://schemas.openxmlformats.org/spreadsheetml/2006/main" count="201" uniqueCount="154">
  <si>
    <t>(REGD NO. MUM/SRA/HSG/(TC)/12021/2011)</t>
  </si>
  <si>
    <t xml:space="preserve"> INCOME &amp;  EXPENDITURE  ACCOUNT  FOR  THE YEAR AS ON 31ST MARCH 2026</t>
  </si>
  <si>
    <t>Previous year</t>
  </si>
  <si>
    <t>Particular</t>
  </si>
  <si>
    <t>Current Year</t>
  </si>
  <si>
    <t>Water Charges</t>
  </si>
  <si>
    <t>Maintenance Charges</t>
  </si>
  <si>
    <t>Electricity Charges</t>
  </si>
  <si>
    <t>Repair &amp; Maintenance</t>
  </si>
  <si>
    <t>NOC Charegs</t>
  </si>
  <si>
    <t>Electrical &amp; Maintenance</t>
  </si>
  <si>
    <t>Lift Maintenance Charges</t>
  </si>
  <si>
    <t>Insurance Charges</t>
  </si>
  <si>
    <t>Salary</t>
  </si>
  <si>
    <t>Building Insurance Charges</t>
  </si>
  <si>
    <t>Security Charges</t>
  </si>
  <si>
    <t>Interest from Members</t>
  </si>
  <si>
    <t>Bank Interest</t>
  </si>
  <si>
    <t>Pest Control Charges</t>
  </si>
  <si>
    <t>Fixed Deposits Interest</t>
  </si>
  <si>
    <t>Audit Fees</t>
  </si>
  <si>
    <t>Fixed Deposits Interest (Builder)</t>
  </si>
  <si>
    <t>Accounting Charges</t>
  </si>
  <si>
    <t>Misc. Charges</t>
  </si>
  <si>
    <t>Depriciation</t>
  </si>
  <si>
    <t>Misc. Income</t>
  </si>
  <si>
    <t>Function Expenses</t>
  </si>
  <si>
    <t xml:space="preserve">Interest on IT Refund </t>
  </si>
  <si>
    <t>Printing &amp; Stationery</t>
  </si>
  <si>
    <t>Rent From (G2 And G6)</t>
  </si>
  <si>
    <t>Conveyance Charges</t>
  </si>
  <si>
    <t>Misc. Expenses</t>
  </si>
  <si>
    <t>Postage &amp; Telephone</t>
  </si>
  <si>
    <t>Recd. encashment of FD</t>
  </si>
  <si>
    <t>Membership &amp; Subscription</t>
  </si>
  <si>
    <t>Legal &amp; Professional Fees</t>
  </si>
  <si>
    <t>CCTV Maint. Charges</t>
  </si>
  <si>
    <t>Bank Charges</t>
  </si>
  <si>
    <t>Major Repair Expenses</t>
  </si>
  <si>
    <t>Excess of Income Over Expenditure</t>
  </si>
  <si>
    <t xml:space="preserve">                                          TOTAL  RS.</t>
  </si>
  <si>
    <t xml:space="preserve">                             TOTAL  RS.</t>
  </si>
  <si>
    <t>Nicolas Apt. Flat no.001, Yashwantrao Tawade Road,Dahisar (West) Mumbai 400068.</t>
  </si>
  <si>
    <t>B A L A N C E   S H E E T   AS  ON    31 ST  M A R C H   2026</t>
  </si>
  <si>
    <t xml:space="preserve">LIABILITY </t>
  </si>
  <si>
    <t>ASSESTS</t>
  </si>
  <si>
    <t>AUTHORISED SHARE CAPITAL</t>
  </si>
  <si>
    <t>Cash &amp; Bank Balance</t>
  </si>
  <si>
    <t>2000 Shares of Rs.50/- Each</t>
  </si>
  <si>
    <t>Cash On Hand</t>
  </si>
  <si>
    <t>MDCC Bank Ltd.</t>
  </si>
  <si>
    <t>Issued, Subscribed &amp; Paid Up</t>
  </si>
  <si>
    <t>Saraswat Co-op.Bank Ltd.</t>
  </si>
  <si>
    <t>110 Shares of Rs.50/- each</t>
  </si>
  <si>
    <t>Investments</t>
  </si>
  <si>
    <t>Reserve Fund</t>
  </si>
  <si>
    <t xml:space="preserve">Share with MDCC </t>
  </si>
  <si>
    <t>As per last Balance Sheet</t>
  </si>
  <si>
    <t>Fixed Deposits (Saraswat)</t>
  </si>
  <si>
    <t>Fixed Deposits (MDCC)</t>
  </si>
  <si>
    <t>Accrued Interest</t>
  </si>
  <si>
    <t>C.A. &amp; Devp.Fund</t>
  </si>
  <si>
    <t>Members Contribution (Buidlder A/c.)</t>
  </si>
  <si>
    <t>Add: Interest on FD</t>
  </si>
  <si>
    <t xml:space="preserve">Security Deposits </t>
  </si>
  <si>
    <t>Members Contribution (Deposits)</t>
  </si>
  <si>
    <t>Deposits of Adani Electricity</t>
  </si>
  <si>
    <t>Property Tax (2016-2019)</t>
  </si>
  <si>
    <t>Sundry Debtors</t>
  </si>
  <si>
    <t>Dues from Members</t>
  </si>
  <si>
    <t xml:space="preserve">Current Liabilites </t>
  </si>
  <si>
    <t>Prepaid Expenses</t>
  </si>
  <si>
    <t>Advance From Office Bearer</t>
  </si>
  <si>
    <t>CCTV Maint. (April-July 2025)</t>
  </si>
  <si>
    <t>Advance from Members</t>
  </si>
  <si>
    <t>Lift Maint. (April-May 2026)</t>
  </si>
  <si>
    <t xml:space="preserve">Payble TDS </t>
  </si>
  <si>
    <t>Insurance Charges (01.04.2025-25.07.2025)</t>
  </si>
  <si>
    <t>Rent Deposits (G2 And G6)</t>
  </si>
  <si>
    <t>FIXED ASSESTS</t>
  </si>
  <si>
    <t>Provisions</t>
  </si>
  <si>
    <t>Furniture &amp; Fixture</t>
  </si>
  <si>
    <t>Accounting charges</t>
  </si>
  <si>
    <t>Less: Depriciation @ 10%</t>
  </si>
  <si>
    <t>CCTV Systems</t>
  </si>
  <si>
    <t>Salary Account</t>
  </si>
  <si>
    <t>Add:Additional during the year</t>
  </si>
  <si>
    <t>Income &amp; Expenditure Account</t>
  </si>
  <si>
    <t>Less: Depriciation @ 15%</t>
  </si>
  <si>
    <t>Add: Excess of Income Over Expenditure</t>
  </si>
  <si>
    <t>Water Pump</t>
  </si>
  <si>
    <t>Less: Encashment on FD adj. agst. I&amp;E capital account</t>
  </si>
  <si>
    <t>Additional during the year</t>
  </si>
  <si>
    <t xml:space="preserve">TDS on FD Interest </t>
  </si>
  <si>
    <t>F.Y. 2021-22</t>
  </si>
  <si>
    <t>F.Y. 2024-25</t>
  </si>
  <si>
    <t>TOTAL</t>
  </si>
  <si>
    <t>Bank Reconciliation Of 2025-26</t>
  </si>
  <si>
    <t xml:space="preserve">Date </t>
  </si>
  <si>
    <t>Perticular</t>
  </si>
  <si>
    <t xml:space="preserve">Amount </t>
  </si>
  <si>
    <t>MDCC Bank</t>
  </si>
  <si>
    <t xml:space="preserve">Balance As Per Our Bank Book </t>
  </si>
  <si>
    <t xml:space="preserve">Add: Cheque Isssued But Not Present </t>
  </si>
  <si>
    <t>GP.113, Chq No.42306</t>
  </si>
  <si>
    <t>GP.114 , Chq No.42307</t>
  </si>
  <si>
    <t>GP.115, Chq No.42308</t>
  </si>
  <si>
    <t>Less: Cheque Deposited But Not Clear</t>
  </si>
  <si>
    <t xml:space="preserve">MR.127 Flat No.106 Cheque </t>
  </si>
  <si>
    <t>Balance As Per Pass Book</t>
  </si>
  <si>
    <t>FY 25-26</t>
  </si>
  <si>
    <t>Scheldule B: LIST OF FIXED DEPOSITS AS ON 31.03.2026</t>
  </si>
  <si>
    <t>Sr.</t>
  </si>
  <si>
    <t>Bank</t>
  </si>
  <si>
    <t>Rec No/FD no.</t>
  </si>
  <si>
    <t>Date of Creation</t>
  </si>
  <si>
    <t>Balance As on 01.04.25</t>
  </si>
  <si>
    <t>Addition</t>
  </si>
  <si>
    <t xml:space="preserve">Total </t>
  </si>
  <si>
    <t>T.D.S.</t>
  </si>
  <si>
    <t>Diff.</t>
  </si>
  <si>
    <t>Date of Maturity</t>
  </si>
  <si>
    <t>F. D. Matured/Renewed</t>
  </si>
  <si>
    <t>Balance. As on 31.03.26</t>
  </si>
  <si>
    <t>FD Status</t>
  </si>
  <si>
    <t>Ear Marking</t>
  </si>
  <si>
    <t>Principal</t>
  </si>
  <si>
    <t>Interest</t>
  </si>
  <si>
    <t>Total</t>
  </si>
  <si>
    <t>during year</t>
  </si>
  <si>
    <t>Interest    (Recd.+Accrued)</t>
  </si>
  <si>
    <t>Int.</t>
  </si>
  <si>
    <t>Saraswat Bank</t>
  </si>
  <si>
    <t>Renew</t>
  </si>
  <si>
    <t>fund name not available</t>
  </si>
  <si>
    <t>Active</t>
  </si>
  <si>
    <t>closed</t>
  </si>
  <si>
    <t>MDCC</t>
  </si>
  <si>
    <t>3801/6825</t>
  </si>
  <si>
    <t>New FD</t>
  </si>
  <si>
    <t>3750/8584</t>
  </si>
  <si>
    <t>1824/1056</t>
  </si>
  <si>
    <t>1464/5553</t>
  </si>
  <si>
    <t>FD shown as per FD certificate but not shown in BS</t>
  </si>
  <si>
    <t xml:space="preserve">Nicols wadi </t>
  </si>
  <si>
    <t>NICOLAS WADI S.R.A CO-OPERATIVE HOUSING SOCIETY LTD</t>
  </si>
  <si>
    <t>NICOLAS WADI S.R.A. CO-OPERATIVE HOUSING SOCIETY LTD</t>
  </si>
  <si>
    <t xml:space="preserve">AS PER MY REPORT ON EVEN DATE </t>
  </si>
  <si>
    <t>Shri. Bharat C. Boridkar</t>
  </si>
  <si>
    <t>PLACE : MUMBAI</t>
  </si>
  <si>
    <t>[Panel No.: Mumbai-4/C1/1011404]</t>
  </si>
  <si>
    <t>Govt. Certified Panel Auditor</t>
  </si>
  <si>
    <t>Chairman                        Hon. Secretary                   Hon. Treasurer</t>
  </si>
  <si>
    <t>For NICOLAS WADI S.R.A CO-OPERATIVE HOUSING SOCIETY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</si>
</sst>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_)"/>
    <numFmt numFmtId="167" formatCode="&quot;Mumbai: &quot;dd&quot;th&quot;\ mmmm\,\ 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24" fillId="0" borderId="0"/>
    <xf numFmtId="0" fontId="4" fillId="0" borderId="0"/>
    <xf numFmtId="0" fontId="24" fillId="0" borderId="0"/>
  </cellStyleXfs>
  <cellXfs count="196">
    <xf numFmtId="0" fontId="0" fillId="0" borderId="0" xfId="0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5" fillId="0" borderId="0" xfId="0" applyFont="1"/>
    <xf numFmtId="2" fontId="0" fillId="0" borderId="2" xfId="0" applyNumberFormat="1" applyBorder="1"/>
    <xf numFmtId="2" fontId="0" fillId="0" borderId="14" xfId="0" applyNumberFormat="1" applyBorder="1"/>
    <xf numFmtId="0" fontId="0" fillId="0" borderId="10" xfId="0" applyBorder="1"/>
    <xf numFmtId="2" fontId="0" fillId="0" borderId="7" xfId="0" applyNumberFormat="1" applyBorder="1"/>
    <xf numFmtId="2" fontId="0" fillId="0" borderId="9" xfId="0" applyNumberFormat="1" applyBorder="1"/>
    <xf numFmtId="0" fontId="2" fillId="0" borderId="0" xfId="0" applyFont="1"/>
    <xf numFmtId="14" fontId="0" fillId="0" borderId="10" xfId="0" applyNumberFormat="1" applyBorder="1"/>
    <xf numFmtId="2" fontId="0" fillId="0" borderId="13" xfId="0" applyNumberFormat="1" applyBorder="1"/>
    <xf numFmtId="0" fontId="0" fillId="0" borderId="17" xfId="0" applyBorder="1"/>
    <xf numFmtId="2" fontId="0" fillId="0" borderId="18" xfId="0" applyNumberFormat="1" applyBorder="1"/>
    <xf numFmtId="0" fontId="0" fillId="0" borderId="19" xfId="0" applyBorder="1"/>
    <xf numFmtId="2" fontId="0" fillId="0" borderId="22" xfId="0" applyNumberFormat="1" applyBorder="1"/>
    <xf numFmtId="164" fontId="3" fillId="0" borderId="0" xfId="2" applyNumberFormat="1" applyFont="1" applyAlignment="1">
      <alignment vertical="center"/>
    </xf>
    <xf numFmtId="0" fontId="6" fillId="0" borderId="0" xfId="2"/>
    <xf numFmtId="0" fontId="7" fillId="0" borderId="0" xfId="2" applyFont="1" applyAlignment="1">
      <alignment vertical="center"/>
    </xf>
    <xf numFmtId="165" fontId="3" fillId="0" borderId="24" xfId="2" applyNumberFormat="1" applyFont="1" applyBorder="1" applyAlignment="1">
      <alignment horizontal="center" vertical="center"/>
    </xf>
    <xf numFmtId="165" fontId="3" fillId="0" borderId="24" xfId="2" applyNumberFormat="1" applyFont="1" applyBorder="1" applyAlignment="1">
      <alignment horizontal="center" vertical="center" wrapText="1"/>
    </xf>
    <xf numFmtId="0" fontId="8" fillId="0" borderId="28" xfId="2" applyFont="1" applyBorder="1"/>
    <xf numFmtId="1" fontId="3" fillId="0" borderId="28" xfId="2" applyNumberFormat="1" applyFont="1" applyBorder="1" applyAlignment="1">
      <alignment horizontal="center" vertical="center" wrapText="1"/>
    </xf>
    <xf numFmtId="165" fontId="3" fillId="0" borderId="29" xfId="2" applyNumberFormat="1" applyFont="1" applyBorder="1" applyAlignment="1">
      <alignment horizontal="center" vertical="center"/>
    </xf>
    <xf numFmtId="165" fontId="3" fillId="0" borderId="30" xfId="2" applyNumberFormat="1" applyFont="1" applyBorder="1" applyAlignment="1">
      <alignment horizontal="center" vertical="center"/>
    </xf>
    <xf numFmtId="165" fontId="3" fillId="0" borderId="28" xfId="2" applyNumberFormat="1" applyFont="1" applyBorder="1" applyAlignment="1">
      <alignment horizontal="center" vertical="center"/>
    </xf>
    <xf numFmtId="165" fontId="3" fillId="0" borderId="28" xfId="2" applyNumberFormat="1" applyFont="1" applyBorder="1" applyAlignment="1">
      <alignment horizontal="center" vertical="center" wrapText="1"/>
    </xf>
    <xf numFmtId="0" fontId="8" fillId="0" borderId="31" xfId="2" applyFont="1" applyBorder="1"/>
    <xf numFmtId="0" fontId="8" fillId="0" borderId="0" xfId="2" applyFont="1"/>
    <xf numFmtId="165" fontId="3" fillId="0" borderId="23" xfId="2" applyNumberFormat="1" applyFont="1" applyBorder="1" applyAlignment="1">
      <alignment horizontal="center" vertical="center"/>
    </xf>
    <xf numFmtId="165" fontId="3" fillId="0" borderId="31" xfId="2" applyNumberFormat="1" applyFont="1" applyBorder="1" applyAlignment="1">
      <alignment horizontal="center" vertical="center"/>
    </xf>
    <xf numFmtId="165" fontId="3" fillId="0" borderId="31" xfId="2" applyNumberFormat="1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/>
    </xf>
    <xf numFmtId="0" fontId="7" fillId="2" borderId="25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vertical="center"/>
    </xf>
    <xf numFmtId="0" fontId="7" fillId="2" borderId="29" xfId="2" applyFont="1" applyFill="1" applyBorder="1"/>
    <xf numFmtId="14" fontId="7" fillId="2" borderId="29" xfId="2" applyNumberFormat="1" applyFont="1" applyFill="1" applyBorder="1"/>
    <xf numFmtId="3" fontId="7" fillId="2" borderId="29" xfId="2" applyNumberFormat="1" applyFont="1" applyFill="1" applyBorder="1"/>
    <xf numFmtId="165" fontId="7" fillId="2" borderId="26" xfId="2" applyNumberFormat="1" applyFont="1" applyFill="1" applyBorder="1" applyAlignment="1">
      <alignment vertical="center"/>
    </xf>
    <xf numFmtId="165" fontId="7" fillId="2" borderId="29" xfId="2" applyNumberFormat="1" applyFont="1" applyFill="1" applyBorder="1" applyAlignment="1">
      <alignment vertical="center"/>
    </xf>
    <xf numFmtId="164" fontId="7" fillId="2" borderId="26" xfId="2" applyNumberFormat="1" applyFont="1" applyFill="1" applyBorder="1" applyAlignment="1">
      <alignment horizontal="center" vertical="center"/>
    </xf>
    <xf numFmtId="3" fontId="8" fillId="2" borderId="29" xfId="2" applyNumberFormat="1" applyFont="1" applyFill="1" applyBorder="1"/>
    <xf numFmtId="165" fontId="7" fillId="2" borderId="25" xfId="2" applyNumberFormat="1" applyFont="1" applyFill="1" applyBorder="1" applyAlignment="1">
      <alignment vertical="center"/>
    </xf>
    <xf numFmtId="0" fontId="7" fillId="2" borderId="29" xfId="2" applyFont="1" applyFill="1" applyBorder="1" applyAlignment="1">
      <alignment vertical="center"/>
    </xf>
    <xf numFmtId="3" fontId="7" fillId="2" borderId="24" xfId="2" applyNumberFormat="1" applyFont="1" applyFill="1" applyBorder="1"/>
    <xf numFmtId="165" fontId="7" fillId="2" borderId="32" xfId="2" applyNumberFormat="1" applyFont="1" applyFill="1" applyBorder="1" applyAlignment="1">
      <alignment vertical="center"/>
    </xf>
    <xf numFmtId="14" fontId="7" fillId="2" borderId="25" xfId="2" applyNumberFormat="1" applyFont="1" applyFill="1" applyBorder="1"/>
    <xf numFmtId="165" fontId="7" fillId="2" borderId="4" xfId="2" applyNumberFormat="1" applyFont="1" applyFill="1" applyBorder="1" applyAlignment="1">
      <alignment vertical="center"/>
    </xf>
    <xf numFmtId="165" fontId="7" fillId="2" borderId="23" xfId="2" applyNumberFormat="1" applyFont="1" applyFill="1" applyBorder="1" applyAlignment="1">
      <alignment vertical="center"/>
    </xf>
    <xf numFmtId="0" fontId="7" fillId="2" borderId="29" xfId="2" applyFont="1" applyFill="1" applyBorder="1" applyAlignment="1">
      <alignment vertical="center" wrapText="1"/>
    </xf>
    <xf numFmtId="0" fontId="9" fillId="2" borderId="33" xfId="2" applyFont="1" applyFill="1" applyBorder="1" applyAlignment="1">
      <alignment horizontal="center" vertical="center"/>
    </xf>
    <xf numFmtId="165" fontId="9" fillId="2" borderId="33" xfId="2" applyNumberFormat="1" applyFont="1" applyFill="1" applyBorder="1" applyAlignment="1">
      <alignment vertical="center"/>
    </xf>
    <xf numFmtId="1" fontId="9" fillId="2" borderId="33" xfId="2" applyNumberFormat="1" applyFont="1" applyFill="1" applyBorder="1" applyAlignment="1">
      <alignment vertical="center"/>
    </xf>
    <xf numFmtId="0" fontId="9" fillId="2" borderId="33" xfId="2" applyFont="1" applyFill="1" applyBorder="1" applyAlignment="1">
      <alignment vertical="center"/>
    </xf>
    <xf numFmtId="0" fontId="7" fillId="2" borderId="29" xfId="2" applyFont="1" applyFill="1" applyBorder="1" applyAlignment="1">
      <alignment horizontal="right"/>
    </xf>
    <xf numFmtId="43" fontId="11" fillId="0" borderId="7" xfId="1" applyFont="1" applyBorder="1"/>
    <xf numFmtId="43" fontId="11" fillId="0" borderId="0" xfId="1" applyFont="1" applyBorder="1"/>
    <xf numFmtId="0" fontId="11" fillId="0" borderId="11" xfId="0" applyFont="1" applyBorder="1"/>
    <xf numFmtId="2" fontId="11" fillId="0" borderId="7" xfId="1" applyNumberFormat="1" applyFont="1" applyBorder="1"/>
    <xf numFmtId="2" fontId="11" fillId="0" borderId="7" xfId="0" applyNumberFormat="1" applyFont="1" applyBorder="1"/>
    <xf numFmtId="0" fontId="11" fillId="0" borderId="7" xfId="0" applyFont="1" applyBorder="1"/>
    <xf numFmtId="2" fontId="0" fillId="0" borderId="0" xfId="0" applyNumberFormat="1"/>
    <xf numFmtId="0" fontId="0" fillId="0" borderId="7" xfId="0" applyBorder="1"/>
    <xf numFmtId="43" fontId="11" fillId="0" borderId="11" xfId="1" applyFont="1" applyBorder="1"/>
    <xf numFmtId="0" fontId="16" fillId="0" borderId="7" xfId="0" applyFont="1" applyBorder="1" applyAlignment="1">
      <alignment horizontal="left" vertical="center"/>
    </xf>
    <xf numFmtId="2" fontId="16" fillId="0" borderId="7" xfId="0" applyNumberFormat="1" applyFont="1" applyBorder="1" applyAlignment="1">
      <alignment vertical="center"/>
    </xf>
    <xf numFmtId="2" fontId="11" fillId="0" borderId="11" xfId="1" applyNumberFormat="1" applyFont="1" applyBorder="1"/>
    <xf numFmtId="2" fontId="11" fillId="0" borderId="15" xfId="1" applyNumberFormat="1" applyFont="1" applyBorder="1"/>
    <xf numFmtId="2" fontId="13" fillId="0" borderId="7" xfId="0" applyNumberFormat="1" applyFont="1" applyBorder="1"/>
    <xf numFmtId="2" fontId="16" fillId="0" borderId="0" xfId="1" applyNumberFormat="1" applyFont="1" applyBorder="1" applyAlignment="1">
      <alignment vertical="center"/>
    </xf>
    <xf numFmtId="2" fontId="16" fillId="0" borderId="7" xfId="1" applyNumberFormat="1" applyFont="1" applyBorder="1" applyAlignment="1">
      <alignment vertical="center"/>
    </xf>
    <xf numFmtId="2" fontId="11" fillId="0" borderId="16" xfId="1" applyNumberFormat="1" applyFont="1" applyBorder="1"/>
    <xf numFmtId="2" fontId="11" fillId="0" borderId="15" xfId="0" applyNumberFormat="1" applyFont="1" applyBorder="1"/>
    <xf numFmtId="2" fontId="16" fillId="0" borderId="15" xfId="1" applyNumberFormat="1" applyFont="1" applyBorder="1" applyAlignment="1">
      <alignment vertical="center"/>
    </xf>
    <xf numFmtId="2" fontId="16" fillId="0" borderId="7" xfId="1" applyNumberFormat="1" applyFont="1" applyFill="1" applyBorder="1" applyAlignment="1">
      <alignment vertical="center"/>
    </xf>
    <xf numFmtId="2" fontId="11" fillId="0" borderId="0" xfId="1" applyNumberFormat="1" applyFont="1" applyBorder="1"/>
    <xf numFmtId="2" fontId="11" fillId="0" borderId="1" xfId="1" applyNumberFormat="1" applyFont="1" applyBorder="1"/>
    <xf numFmtId="2" fontId="11" fillId="0" borderId="7" xfId="1" applyNumberFormat="1" applyFont="1" applyFill="1" applyBorder="1"/>
    <xf numFmtId="2" fontId="11" fillId="0" borderId="15" xfId="1" applyNumberFormat="1" applyFont="1" applyFill="1" applyBorder="1"/>
    <xf numFmtId="2" fontId="11" fillId="0" borderId="0" xfId="1" applyNumberFormat="1" applyFont="1" applyFill="1" applyBorder="1"/>
    <xf numFmtId="2" fontId="11" fillId="0" borderId="11" xfId="1" quotePrefix="1" applyNumberFormat="1" applyFont="1" applyBorder="1" applyAlignment="1">
      <alignment horizontal="right"/>
    </xf>
    <xf numFmtId="2" fontId="11" fillId="0" borderId="11" xfId="1" applyNumberFormat="1" applyFont="1" applyFill="1" applyBorder="1"/>
    <xf numFmtId="2" fontId="16" fillId="0" borderId="13" xfId="1" applyNumberFormat="1" applyFont="1" applyBorder="1" applyAlignment="1">
      <alignment vertical="center"/>
    </xf>
    <xf numFmtId="2" fontId="0" fillId="0" borderId="15" xfId="0" applyNumberFormat="1" applyBorder="1"/>
    <xf numFmtId="2" fontId="21" fillId="0" borderId="7" xfId="0" applyNumberFormat="1" applyFont="1" applyBorder="1"/>
    <xf numFmtId="2" fontId="11" fillId="0" borderId="15" xfId="1" applyNumberFormat="1" applyFont="1" applyBorder="1" applyAlignment="1">
      <alignment horizontal="right"/>
    </xf>
    <xf numFmtId="2" fontId="11" fillId="0" borderId="1" xfId="0" applyNumberFormat="1" applyFont="1" applyBorder="1"/>
    <xf numFmtId="2" fontId="0" fillId="0" borderId="11" xfId="0" applyNumberFormat="1" applyBorder="1"/>
    <xf numFmtId="2" fontId="11" fillId="0" borderId="16" xfId="0" applyNumberFormat="1" applyFont="1" applyBorder="1"/>
    <xf numFmtId="2" fontId="16" fillId="0" borderId="1" xfId="1" applyNumberFormat="1" applyFont="1" applyBorder="1" applyAlignment="1">
      <alignment vertical="center"/>
    </xf>
    <xf numFmtId="2" fontId="14" fillId="0" borderId="34" xfId="1" applyNumberFormat="1" applyFont="1" applyBorder="1" applyAlignment="1">
      <alignment vertical="center"/>
    </xf>
    <xf numFmtId="2" fontId="16" fillId="0" borderId="34" xfId="1" applyNumberFormat="1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34" xfId="0" applyFont="1" applyBorder="1" applyAlignment="1">
      <alignment horizontal="right" vertical="center"/>
    </xf>
    <xf numFmtId="43" fontId="17" fillId="0" borderId="34" xfId="1" applyFont="1" applyBorder="1"/>
    <xf numFmtId="2" fontId="11" fillId="0" borderId="34" xfId="0" applyNumberFormat="1" applyFont="1" applyBorder="1"/>
    <xf numFmtId="0" fontId="14" fillId="0" borderId="34" xfId="0" applyFont="1" applyBorder="1" applyAlignment="1">
      <alignment horizontal="center" vertical="center"/>
    </xf>
    <xf numFmtId="2" fontId="11" fillId="0" borderId="0" xfId="0" applyNumberFormat="1" applyFont="1"/>
    <xf numFmtId="0" fontId="13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5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/>
    </xf>
    <xf numFmtId="0" fontId="12" fillId="0" borderId="7" xfId="0" applyFont="1" applyBorder="1" applyAlignment="1">
      <alignment vertical="center"/>
    </xf>
    <xf numFmtId="0" fontId="20" fillId="0" borderId="0" xfId="0" applyFont="1" applyAlignment="1">
      <alignment vertical="center"/>
    </xf>
    <xf numFmtId="43" fontId="20" fillId="0" borderId="7" xfId="1" applyFont="1" applyBorder="1" applyAlignment="1">
      <alignment horizontal="center" vertical="center"/>
    </xf>
    <xf numFmtId="43" fontId="20" fillId="0" borderId="11" xfId="1" applyFont="1" applyBorder="1" applyAlignment="1">
      <alignment vertical="center"/>
    </xf>
    <xf numFmtId="0" fontId="13" fillId="0" borderId="7" xfId="0" applyFont="1" applyBorder="1"/>
    <xf numFmtId="0" fontId="11" fillId="0" borderId="15" xfId="0" applyFont="1" applyBorder="1"/>
    <xf numFmtId="0" fontId="19" fillId="0" borderId="3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/>
    </xf>
    <xf numFmtId="2" fontId="11" fillId="3" borderId="15" xfId="1" applyNumberFormat="1" applyFont="1" applyFill="1" applyBorder="1"/>
    <xf numFmtId="2" fontId="11" fillId="3" borderId="16" xfId="1" applyNumberFormat="1" applyFont="1" applyFill="1" applyBorder="1"/>
    <xf numFmtId="0" fontId="23" fillId="0" borderId="1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vertical="center"/>
    </xf>
    <xf numFmtId="2" fontId="6" fillId="0" borderId="11" xfId="3" applyNumberFormat="1" applyFont="1" applyBorder="1" applyAlignment="1">
      <alignment vertical="center"/>
    </xf>
    <xf numFmtId="0" fontId="6" fillId="0" borderId="11" xfId="3" applyFont="1" applyBorder="1" applyAlignment="1">
      <alignment vertical="center"/>
    </xf>
    <xf numFmtId="166" fontId="6" fillId="0" borderId="15" xfId="3" applyNumberFormat="1" applyFont="1" applyBorder="1" applyAlignment="1">
      <alignment vertical="center"/>
    </xf>
    <xf numFmtId="166" fontId="6" fillId="0" borderId="11" xfId="3" applyNumberFormat="1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2" fontId="11" fillId="0" borderId="11" xfId="1" quotePrefix="1" applyNumberFormat="1" applyFont="1" applyFill="1" applyBorder="1" applyAlignment="1">
      <alignment horizontal="right"/>
    </xf>
    <xf numFmtId="2" fontId="11" fillId="0" borderId="16" xfId="1" applyNumberFormat="1" applyFont="1" applyFill="1" applyBorder="1"/>
    <xf numFmtId="4" fontId="14" fillId="0" borderId="34" xfId="0" applyNumberFormat="1" applyFont="1" applyBorder="1" applyAlignment="1">
      <alignment horizontal="right"/>
    </xf>
    <xf numFmtId="43" fontId="14" fillId="0" borderId="34" xfId="1" applyFont="1" applyBorder="1" applyAlignment="1">
      <alignment vertical="center"/>
    </xf>
    <xf numFmtId="166" fontId="6" fillId="0" borderId="0" xfId="3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2" fontId="6" fillId="0" borderId="0" xfId="3" applyNumberFormat="1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vertical="center"/>
    </xf>
    <xf numFmtId="43" fontId="11" fillId="2" borderId="7" xfId="1" applyFont="1" applyFill="1" applyBorder="1"/>
    <xf numFmtId="0" fontId="11" fillId="0" borderId="0" xfId="0" applyFont="1"/>
    <xf numFmtId="43" fontId="16" fillId="0" borderId="7" xfId="1" applyFont="1" applyBorder="1" applyAlignment="1">
      <alignment horizontal="right" vertical="center"/>
    </xf>
    <xf numFmtId="43" fontId="16" fillId="0" borderId="15" xfId="1" applyFont="1" applyBorder="1" applyAlignment="1">
      <alignment horizontal="right" vertical="center"/>
    </xf>
    <xf numFmtId="43" fontId="16" fillId="0" borderId="15" xfId="1" applyFont="1" applyFill="1" applyBorder="1" applyAlignment="1">
      <alignment horizontal="right" vertical="center"/>
    </xf>
    <xf numFmtId="0" fontId="6" fillId="0" borderId="1" xfId="3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0" fillId="0" borderId="11" xfId="0" applyBorder="1"/>
    <xf numFmtId="0" fontId="0" fillId="0" borderId="15" xfId="0" applyBorder="1"/>
    <xf numFmtId="2" fontId="14" fillId="0" borderId="34" xfId="0" applyNumberFormat="1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1" fontId="18" fillId="0" borderId="0" xfId="4" applyNumberFormat="1" applyFont="1" applyAlignment="1">
      <alignment vertical="center"/>
    </xf>
    <xf numFmtId="1" fontId="6" fillId="0" borderId="0" xfId="4" applyNumberFormat="1" applyFont="1" applyAlignment="1">
      <alignment vertical="center"/>
    </xf>
    <xf numFmtId="2" fontId="14" fillId="0" borderId="34" xfId="0" applyNumberFormat="1" applyFont="1" applyBorder="1" applyAlignment="1">
      <alignment horizontal="center" vertical="center"/>
    </xf>
    <xf numFmtId="2" fontId="14" fillId="0" borderId="35" xfId="0" applyNumberFormat="1" applyFont="1" applyBorder="1" applyAlignment="1">
      <alignment horizontal="center"/>
    </xf>
    <xf numFmtId="2" fontId="14" fillId="0" borderId="3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167" fontId="6" fillId="0" borderId="11" xfId="5" applyNumberFormat="1" applyFont="1" applyBorder="1" applyAlignment="1">
      <alignment horizontal="left" vertical="center"/>
    </xf>
    <xf numFmtId="167" fontId="6" fillId="0" borderId="0" xfId="5" applyNumberFormat="1" applyFont="1" applyAlignment="1">
      <alignment horizontal="left" vertical="center"/>
    </xf>
    <xf numFmtId="166" fontId="6" fillId="0" borderId="0" xfId="3" applyNumberFormat="1" applyFont="1" applyAlignment="1">
      <alignment horizontal="center" vertical="center"/>
    </xf>
    <xf numFmtId="166" fontId="6" fillId="0" borderId="15" xfId="3" applyNumberFormat="1" applyFont="1" applyBorder="1" applyAlignment="1">
      <alignment horizontal="center" vertical="center"/>
    </xf>
    <xf numFmtId="166" fontId="14" fillId="0" borderId="0" xfId="3" applyNumberFormat="1" applyFont="1" applyAlignment="1">
      <alignment horizontal="center" vertical="top" wrapText="1"/>
    </xf>
    <xf numFmtId="166" fontId="14" fillId="0" borderId="15" xfId="3" applyNumberFormat="1" applyFont="1" applyBorder="1" applyAlignment="1">
      <alignment horizontal="center" vertical="top" wrapText="1"/>
    </xf>
    <xf numFmtId="1" fontId="6" fillId="0" borderId="0" xfId="4" applyNumberFormat="1" applyFont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67" fontId="6" fillId="0" borderId="12" xfId="5" applyNumberFormat="1" applyFont="1" applyBorder="1" applyAlignment="1">
      <alignment horizontal="left" vertical="center"/>
    </xf>
    <xf numFmtId="167" fontId="6" fillId="0" borderId="1" xfId="5" applyNumberFormat="1" applyFont="1" applyBorder="1" applyAlignment="1">
      <alignment horizontal="left" vertical="center"/>
    </xf>
    <xf numFmtId="166" fontId="6" fillId="0" borderId="1" xfId="3" applyNumberFormat="1" applyFont="1" applyBorder="1" applyAlignment="1">
      <alignment horizontal="center" vertical="center"/>
    </xf>
    <xf numFmtId="166" fontId="6" fillId="0" borderId="16" xfId="3" applyNumberFormat="1" applyFont="1" applyBorder="1" applyAlignment="1">
      <alignment horizontal="center" vertical="center"/>
    </xf>
    <xf numFmtId="1" fontId="18" fillId="0" borderId="0" xfId="4" applyNumberFormat="1" applyFont="1" applyAlignment="1">
      <alignment horizontal="center" vertical="center"/>
    </xf>
    <xf numFmtId="165" fontId="3" fillId="0" borderId="25" xfId="2" applyNumberFormat="1" applyFont="1" applyBorder="1" applyAlignment="1">
      <alignment horizontal="center" vertical="center"/>
    </xf>
    <xf numFmtId="0" fontId="8" fillId="0" borderId="26" xfId="2" applyFont="1" applyBorder="1"/>
    <xf numFmtId="0" fontId="8" fillId="0" borderId="27" xfId="2" applyFont="1" applyBorder="1"/>
    <xf numFmtId="0" fontId="8" fillId="0" borderId="24" xfId="2" applyFont="1" applyBorder="1" applyAlignment="1">
      <alignment horizontal="center"/>
    </xf>
    <xf numFmtId="0" fontId="8" fillId="0" borderId="28" xfId="2" applyFont="1" applyBorder="1" applyAlignment="1">
      <alignment horizontal="center"/>
    </xf>
    <xf numFmtId="165" fontId="3" fillId="0" borderId="24" xfId="2" applyNumberFormat="1" applyFont="1" applyBorder="1" applyAlignment="1">
      <alignment horizontal="center" vertical="center"/>
    </xf>
    <xf numFmtId="0" fontId="8" fillId="0" borderId="28" xfId="2" applyFont="1" applyBorder="1"/>
    <xf numFmtId="0" fontId="3" fillId="0" borderId="23" xfId="2" applyFont="1" applyBorder="1" applyAlignment="1">
      <alignment horizontal="center" vertical="center"/>
    </xf>
    <xf numFmtId="0" fontId="8" fillId="0" borderId="23" xfId="2" applyFont="1" applyBorder="1"/>
    <xf numFmtId="0" fontId="3" fillId="0" borderId="24" xfId="2" applyFont="1" applyBorder="1" applyAlignment="1">
      <alignment horizontal="center" vertical="center"/>
    </xf>
    <xf numFmtId="1" fontId="3" fillId="0" borderId="24" xfId="2" applyNumberFormat="1" applyFont="1" applyBorder="1" applyAlignment="1">
      <alignment horizontal="center" vertical="center"/>
    </xf>
    <xf numFmtId="1" fontId="3" fillId="0" borderId="24" xfId="2" applyNumberFormat="1" applyFont="1" applyBorder="1" applyAlignment="1">
      <alignment horizontal="center" vertical="center" wrapText="1"/>
    </xf>
    <xf numFmtId="1" fontId="3" fillId="0" borderId="28" xfId="2" applyNumberFormat="1" applyFont="1" applyBorder="1" applyAlignment="1">
      <alignment horizontal="center" vertical="center" wrapText="1"/>
    </xf>
    <xf numFmtId="165" fontId="3" fillId="0" borderId="24" xfId="2" applyNumberFormat="1" applyFont="1" applyBorder="1" applyAlignment="1">
      <alignment horizontal="center" vertical="center" wrapText="1"/>
    </xf>
    <xf numFmtId="165" fontId="3" fillId="0" borderId="28" xfId="2" applyNumberFormat="1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6">
    <cellStyle name="Comma" xfId="1" builtinId="3"/>
    <cellStyle name="Normal" xfId="0" builtinId="0"/>
    <cellStyle name="Normal 3" xfId="2" xr:uid="{00000000-0005-0000-0000-000002000000}"/>
    <cellStyle name="Normal 5 2" xfId="3" xr:uid="{52E3FA64-090E-433C-82B7-4117D86F15ED}"/>
    <cellStyle name="Normal_BSPL 2004 NS" xfId="5" xr:uid="{A95E7EC5-D713-4B01-BCD9-C8F9E7EF44A3}"/>
    <cellStyle name="Normal_FY 2003-2004  2 2" xfId="4" xr:uid="{943D66A7-F85B-441C-BA29-211486FD3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min/Downloads/Nicolas%20Wadi.xlsx" TargetMode="External"/><Relationship Id="rId1" Type="http://schemas.openxmlformats.org/officeDocument/2006/relationships/externalLinkPath" Target="/Users/admin/Downloads/Nicolas%20Wa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 16-17"/>
      <sheetName val="FD 17-18"/>
      <sheetName val="BS 17-18"/>
      <sheetName val="BRS 17-18"/>
      <sheetName val="CHCK LIST"/>
      <sheetName val="O FORM 17-18"/>
      <sheetName val="BRS 18-19"/>
      <sheetName val="FD 18-19"/>
      <sheetName val="BS 18-19"/>
      <sheetName val="O Form 2018-19"/>
      <sheetName val="BRS 19-20"/>
      <sheetName val="FD 19-20"/>
      <sheetName val="BS 19-20"/>
      <sheetName val="FD 20-21"/>
      <sheetName val="BS -21-22"/>
      <sheetName val="FD 21-22"/>
      <sheetName val="Sheet3"/>
      <sheetName val="BS 20-21"/>
      <sheetName val="BS 21-22"/>
      <sheetName val="BS 22-23"/>
      <sheetName val="FD 22-23"/>
      <sheetName val="BRS 20-23"/>
      <sheetName val="I &amp; E 23-24"/>
      <sheetName val="BS 23-24"/>
      <sheetName val="FD 23-24"/>
      <sheetName val="I &amp; E 24-25"/>
      <sheetName val="BS 24-25"/>
      <sheetName val="FD 24-25"/>
      <sheetName val="I&amp;E 25-26"/>
      <sheetName val="BS 25-26"/>
      <sheetName val="BRS 25-26"/>
      <sheetName val="FD 25-26"/>
      <sheetName val="ledg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7">
          <cell r="D27">
            <v>205895</v>
          </cell>
        </row>
      </sheetData>
      <sheetData sheetId="26"/>
      <sheetData sheetId="27"/>
      <sheetData sheetId="28">
        <row r="29">
          <cell r="C29">
            <v>59837.099999999977</v>
          </cell>
        </row>
      </sheetData>
      <sheetData sheetId="29"/>
      <sheetData sheetId="30"/>
      <sheetData sheetId="31">
        <row r="9">
          <cell r="I9">
            <v>2884</v>
          </cell>
        </row>
        <row r="17">
          <cell r="I17">
            <v>33039</v>
          </cell>
        </row>
        <row r="18">
          <cell r="I18">
            <v>33039</v>
          </cell>
        </row>
      </sheetData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view="pageBreakPreview" zoomScaleNormal="100" zoomScaleSheetLayoutView="100" workbookViewId="0">
      <selection activeCell="O10" sqref="O10"/>
    </sheetView>
  </sheetViews>
  <sheetFormatPr defaultRowHeight="14.4" x14ac:dyDescent="0.3"/>
  <cols>
    <col min="1" max="1" width="20.109375" customWidth="1"/>
    <col min="2" max="2" width="38.33203125" bestFit="1" customWidth="1"/>
    <col min="3" max="3" width="15.5546875" bestFit="1" customWidth="1"/>
    <col min="4" max="4" width="0.6640625" customWidth="1"/>
    <col min="5" max="5" width="15.44140625" customWidth="1"/>
    <col min="6" max="6" width="30.6640625" customWidth="1"/>
    <col min="7" max="7" width="10.6640625" bestFit="1" customWidth="1"/>
    <col min="8" max="8" width="15.5546875" bestFit="1" customWidth="1"/>
    <col min="9" max="9" width="10.5546875" bestFit="1" customWidth="1"/>
  </cols>
  <sheetData>
    <row r="1" spans="1:8" ht="25.8" x14ac:dyDescent="0.5">
      <c r="A1" s="149" t="s">
        <v>146</v>
      </c>
      <c r="B1" s="150"/>
      <c r="C1" s="150"/>
      <c r="D1" s="150"/>
      <c r="E1" s="150"/>
      <c r="F1" s="150"/>
      <c r="G1" s="150"/>
      <c r="H1" s="151"/>
    </row>
    <row r="2" spans="1:8" ht="15.6" x14ac:dyDescent="0.3">
      <c r="A2" s="152" t="s">
        <v>0</v>
      </c>
      <c r="B2" s="153"/>
      <c r="C2" s="153"/>
      <c r="D2" s="153"/>
      <c r="E2" s="153"/>
      <c r="F2" s="153"/>
      <c r="G2" s="153"/>
      <c r="H2" s="154"/>
    </row>
    <row r="3" spans="1:8" ht="15.6" x14ac:dyDescent="0.3">
      <c r="A3" s="152" t="s">
        <v>42</v>
      </c>
      <c r="B3" s="153"/>
      <c r="C3" s="153"/>
      <c r="D3" s="153"/>
      <c r="E3" s="153"/>
      <c r="F3" s="153"/>
      <c r="G3" s="153"/>
      <c r="H3" s="154"/>
    </row>
    <row r="4" spans="1:8" ht="15.6" x14ac:dyDescent="0.3">
      <c r="A4" s="168" t="s">
        <v>1</v>
      </c>
      <c r="B4" s="169"/>
      <c r="C4" s="169"/>
      <c r="D4" s="169"/>
      <c r="E4" s="169"/>
      <c r="F4" s="169"/>
      <c r="G4" s="169"/>
      <c r="H4" s="170"/>
    </row>
    <row r="5" spans="1:8" ht="16.2" thickBot="1" x14ac:dyDescent="0.35">
      <c r="A5" s="102" t="s">
        <v>2</v>
      </c>
      <c r="B5" s="99" t="s">
        <v>3</v>
      </c>
      <c r="C5" s="100" t="s">
        <v>4</v>
      </c>
      <c r="D5" s="101"/>
      <c r="E5" s="98" t="s">
        <v>2</v>
      </c>
      <c r="F5" s="99" t="s">
        <v>3</v>
      </c>
      <c r="G5" s="171" t="s">
        <v>4</v>
      </c>
      <c r="H5" s="172"/>
    </row>
    <row r="6" spans="1:8" ht="15.6" x14ac:dyDescent="0.3">
      <c r="A6" s="55">
        <v>77836</v>
      </c>
      <c r="B6" s="57" t="s">
        <v>5</v>
      </c>
      <c r="C6" s="55">
        <v>81499</v>
      </c>
      <c r="D6" s="56"/>
      <c r="E6" s="58">
        <v>390000</v>
      </c>
      <c r="F6" s="97" t="s">
        <v>6</v>
      </c>
      <c r="G6" s="59"/>
      <c r="H6" s="55">
        <v>390000</v>
      </c>
    </row>
    <row r="7" spans="1:8" ht="15.6" x14ac:dyDescent="0.3">
      <c r="A7" s="55">
        <v>189700</v>
      </c>
      <c r="B7" s="57" t="s">
        <v>7</v>
      </c>
      <c r="C7" s="55">
        <v>200270</v>
      </c>
      <c r="D7" s="56"/>
      <c r="E7" s="58">
        <v>187200</v>
      </c>
      <c r="F7" s="97" t="s">
        <v>7</v>
      </c>
      <c r="G7" s="59"/>
      <c r="H7" s="55">
        <v>187200</v>
      </c>
    </row>
    <row r="8" spans="1:8" ht="15.6" x14ac:dyDescent="0.3">
      <c r="A8" s="55">
        <v>19059</v>
      </c>
      <c r="B8" s="57" t="s">
        <v>8</v>
      </c>
      <c r="C8" s="55">
        <v>86714</v>
      </c>
      <c r="D8" s="56"/>
      <c r="E8" s="58">
        <v>13080</v>
      </c>
      <c r="F8" s="97" t="s">
        <v>9</v>
      </c>
      <c r="G8" s="59"/>
      <c r="H8" s="55">
        <v>12856</v>
      </c>
    </row>
    <row r="9" spans="1:8" ht="15.6" x14ac:dyDescent="0.3">
      <c r="A9" s="55">
        <v>2850</v>
      </c>
      <c r="B9" s="57" t="s">
        <v>10</v>
      </c>
      <c r="C9" s="55">
        <v>5250</v>
      </c>
      <c r="D9" s="56"/>
      <c r="E9" s="58">
        <v>24480</v>
      </c>
      <c r="F9" s="97" t="s">
        <v>11</v>
      </c>
      <c r="G9" s="59"/>
      <c r="H9" s="55">
        <v>24480</v>
      </c>
    </row>
    <row r="10" spans="1:8" ht="15.6" x14ac:dyDescent="0.3">
      <c r="A10" s="55">
        <v>27531</v>
      </c>
      <c r="B10" s="57" t="s">
        <v>12</v>
      </c>
      <c r="C10" s="55">
        <v>40356.800000000003</v>
      </c>
      <c r="D10" s="56"/>
      <c r="E10" s="58">
        <v>99840</v>
      </c>
      <c r="F10" s="97" t="s">
        <v>5</v>
      </c>
      <c r="G10" s="59"/>
      <c r="H10" s="55">
        <v>99840</v>
      </c>
    </row>
    <row r="11" spans="1:8" ht="15.6" x14ac:dyDescent="0.3">
      <c r="A11" s="55">
        <v>117000</v>
      </c>
      <c r="B11" s="57" t="s">
        <v>13</v>
      </c>
      <c r="C11" s="55">
        <v>130000</v>
      </c>
      <c r="D11" s="56"/>
      <c r="E11" s="58">
        <v>45900</v>
      </c>
      <c r="F11" s="97" t="s">
        <v>14</v>
      </c>
      <c r="G11" s="59"/>
      <c r="H11" s="55">
        <v>45900</v>
      </c>
    </row>
    <row r="12" spans="1:8" ht="15.6" x14ac:dyDescent="0.3">
      <c r="A12" s="55">
        <v>204000</v>
      </c>
      <c r="B12" s="57" t="s">
        <v>15</v>
      </c>
      <c r="C12" s="55">
        <v>216000</v>
      </c>
      <c r="D12" s="56"/>
      <c r="E12" s="58">
        <v>97886</v>
      </c>
      <c r="F12" s="97" t="s">
        <v>16</v>
      </c>
      <c r="G12" s="59"/>
      <c r="H12" s="55">
        <v>146214</v>
      </c>
    </row>
    <row r="13" spans="1:8" ht="15.6" x14ac:dyDescent="0.3">
      <c r="A13" s="55">
        <v>27833</v>
      </c>
      <c r="B13" s="57" t="s">
        <v>11</v>
      </c>
      <c r="C13" s="55">
        <v>47994.400000000001</v>
      </c>
      <c r="D13" s="56"/>
      <c r="E13" s="58">
        <v>3428</v>
      </c>
      <c r="F13" s="97" t="s">
        <v>17</v>
      </c>
      <c r="G13" s="59"/>
      <c r="H13" s="55">
        <v>4163</v>
      </c>
    </row>
    <row r="14" spans="1:8" ht="15.6" x14ac:dyDescent="0.3">
      <c r="A14" s="55">
        <v>22510</v>
      </c>
      <c r="B14" s="57" t="s">
        <v>18</v>
      </c>
      <c r="C14" s="55">
        <v>29000</v>
      </c>
      <c r="D14" s="56"/>
      <c r="E14" s="58">
        <v>0</v>
      </c>
      <c r="F14" s="97" t="s">
        <v>19</v>
      </c>
      <c r="G14" s="58"/>
      <c r="H14" s="55">
        <v>1227</v>
      </c>
    </row>
    <row r="15" spans="1:8" ht="15.6" x14ac:dyDescent="0.3">
      <c r="A15" s="55">
        <v>5000</v>
      </c>
      <c r="B15" s="57" t="s">
        <v>20</v>
      </c>
      <c r="C15" s="55">
        <v>5500</v>
      </c>
      <c r="D15" s="56"/>
      <c r="E15" s="58">
        <v>41600</v>
      </c>
      <c r="F15" s="97" t="s">
        <v>21</v>
      </c>
      <c r="G15" s="59"/>
      <c r="H15" s="55">
        <v>0</v>
      </c>
    </row>
    <row r="16" spans="1:8" ht="15.6" x14ac:dyDescent="0.3">
      <c r="A16" s="55">
        <v>14400</v>
      </c>
      <c r="B16" s="57" t="s">
        <v>22</v>
      </c>
      <c r="C16" s="55">
        <v>14400</v>
      </c>
      <c r="D16" s="97"/>
      <c r="E16" s="58">
        <v>0</v>
      </c>
      <c r="F16" s="97" t="s">
        <v>23</v>
      </c>
      <c r="G16" s="59"/>
      <c r="H16" s="55">
        <v>530</v>
      </c>
    </row>
    <row r="17" spans="1:9" ht="15.6" x14ac:dyDescent="0.3">
      <c r="A17" s="133">
        <v>7412</v>
      </c>
      <c r="B17" s="57" t="s">
        <v>24</v>
      </c>
      <c r="C17" s="55">
        <v>8408.7000000000007</v>
      </c>
      <c r="D17" s="56"/>
      <c r="E17" s="58">
        <v>0</v>
      </c>
      <c r="F17" s="97" t="s">
        <v>25</v>
      </c>
      <c r="G17" s="59"/>
      <c r="H17" s="55">
        <v>13000</v>
      </c>
    </row>
    <row r="18" spans="1:9" ht="15.6" x14ac:dyDescent="0.3">
      <c r="A18" s="55">
        <v>2150</v>
      </c>
      <c r="B18" s="57" t="s">
        <v>26</v>
      </c>
      <c r="C18" s="55">
        <v>2675</v>
      </c>
      <c r="D18" s="56"/>
      <c r="E18" s="59">
        <v>361</v>
      </c>
      <c r="F18" s="97" t="s">
        <v>27</v>
      </c>
      <c r="G18" s="59"/>
      <c r="H18" s="55">
        <v>9570</v>
      </c>
    </row>
    <row r="19" spans="1:9" ht="15.6" x14ac:dyDescent="0.3">
      <c r="A19" s="55">
        <v>1764</v>
      </c>
      <c r="B19" s="57" t="s">
        <v>28</v>
      </c>
      <c r="C19" s="55">
        <v>1726</v>
      </c>
      <c r="D19" s="56"/>
      <c r="E19" s="60">
        <v>20000</v>
      </c>
      <c r="F19" s="97" t="s">
        <v>29</v>
      </c>
      <c r="G19" s="60"/>
      <c r="H19" s="55">
        <v>131000</v>
      </c>
    </row>
    <row r="20" spans="1:9" ht="15.6" x14ac:dyDescent="0.3">
      <c r="A20" s="55">
        <v>4655</v>
      </c>
      <c r="B20" s="57" t="s">
        <v>30</v>
      </c>
      <c r="C20" s="55">
        <v>4199</v>
      </c>
      <c r="D20" s="56"/>
      <c r="E20" s="60"/>
      <c r="F20" s="97"/>
      <c r="G20" s="60"/>
      <c r="H20" s="60"/>
    </row>
    <row r="21" spans="1:9" ht="15.6" x14ac:dyDescent="0.3">
      <c r="A21" s="55">
        <v>2955</v>
      </c>
      <c r="B21" s="57" t="s">
        <v>31</v>
      </c>
      <c r="C21" s="55">
        <v>1900</v>
      </c>
      <c r="D21" s="56"/>
      <c r="E21" s="60"/>
      <c r="F21" s="134"/>
      <c r="G21" s="60"/>
      <c r="H21" s="60"/>
      <c r="I21" s="61"/>
    </row>
    <row r="22" spans="1:9" ht="15.6" x14ac:dyDescent="0.3">
      <c r="A22" s="55">
        <v>0</v>
      </c>
      <c r="B22" s="57" t="s">
        <v>32</v>
      </c>
      <c r="C22" s="55">
        <v>23</v>
      </c>
      <c r="D22" s="56"/>
      <c r="E22" s="60">
        <v>242215</v>
      </c>
      <c r="F22" s="97" t="s">
        <v>33</v>
      </c>
      <c r="G22" s="60"/>
      <c r="H22" s="60">
        <f>'[1]FD 25-26'!I17</f>
        <v>33039</v>
      </c>
      <c r="I22" s="61"/>
    </row>
    <row r="23" spans="1:9" ht="15.6" x14ac:dyDescent="0.3">
      <c r="A23" s="55">
        <v>826</v>
      </c>
      <c r="B23" s="57" t="s">
        <v>34</v>
      </c>
      <c r="C23" s="55">
        <v>826</v>
      </c>
      <c r="D23" s="56"/>
      <c r="E23" s="62"/>
      <c r="F23" s="62"/>
      <c r="G23" s="62"/>
      <c r="H23" s="62"/>
    </row>
    <row r="24" spans="1:9" ht="15.6" x14ac:dyDescent="0.3">
      <c r="A24" s="133">
        <f>6550+19231</f>
        <v>25781</v>
      </c>
      <c r="B24" s="57" t="s">
        <v>35</v>
      </c>
      <c r="C24" s="55">
        <v>3500</v>
      </c>
      <c r="D24" s="56"/>
      <c r="E24" s="62"/>
      <c r="G24" s="62"/>
      <c r="H24" s="62"/>
      <c r="I24" s="61"/>
    </row>
    <row r="25" spans="1:9" ht="15.6" x14ac:dyDescent="0.3">
      <c r="A25" s="55">
        <v>4833</v>
      </c>
      <c r="B25" s="57" t="s">
        <v>36</v>
      </c>
      <c r="C25" s="55">
        <v>6850</v>
      </c>
      <c r="D25" s="56"/>
      <c r="E25" s="55"/>
      <c r="F25" s="134"/>
      <c r="G25" s="60"/>
      <c r="H25" s="135"/>
    </row>
    <row r="26" spans="1:9" ht="15.6" x14ac:dyDescent="0.3">
      <c r="A26" s="55">
        <v>0</v>
      </c>
      <c r="B26" s="57" t="s">
        <v>37</v>
      </c>
      <c r="C26" s="55">
        <v>590</v>
      </c>
      <c r="D26" s="56"/>
      <c r="E26" s="55"/>
      <c r="F26" s="134"/>
      <c r="G26" s="60"/>
      <c r="H26" s="135"/>
    </row>
    <row r="27" spans="1:9" ht="15.6" x14ac:dyDescent="0.3">
      <c r="A27" s="55">
        <v>202000</v>
      </c>
      <c r="B27" s="57" t="s">
        <v>38</v>
      </c>
      <c r="C27" s="55">
        <v>151500</v>
      </c>
      <c r="D27" s="56"/>
      <c r="E27" s="55"/>
      <c r="F27" s="134"/>
      <c r="G27" s="60"/>
      <c r="H27" s="135"/>
    </row>
    <row r="28" spans="1:9" ht="7.95" customHeight="1" x14ac:dyDescent="0.3">
      <c r="A28" s="63"/>
      <c r="B28" s="57"/>
      <c r="C28" s="57"/>
      <c r="D28" s="63"/>
      <c r="E28" s="55"/>
      <c r="F28" s="134"/>
      <c r="G28" s="60"/>
      <c r="H28" s="136"/>
    </row>
    <row r="29" spans="1:9" ht="15.6" x14ac:dyDescent="0.3">
      <c r="A29" s="63">
        <f>'[1]I &amp; E 24-25'!D27</f>
        <v>205895</v>
      </c>
      <c r="B29" s="57" t="s">
        <v>39</v>
      </c>
      <c r="C29" s="55">
        <f>H31-SUM(C6:C27)</f>
        <v>59837.099999999977</v>
      </c>
      <c r="D29" s="56"/>
      <c r="E29" s="55"/>
      <c r="F29" s="92"/>
      <c r="G29" s="64"/>
      <c r="H29" s="137"/>
    </row>
    <row r="30" spans="1:9" ht="7.95" customHeight="1" x14ac:dyDescent="0.3">
      <c r="A30" s="63"/>
      <c r="B30" s="57"/>
      <c r="C30" s="55"/>
      <c r="D30" s="56"/>
      <c r="E30" s="55"/>
      <c r="F30" s="92"/>
      <c r="G30" s="64"/>
      <c r="H30" s="137"/>
    </row>
    <row r="31" spans="1:9" ht="16.2" thickBot="1" x14ac:dyDescent="0.35">
      <c r="A31" s="125">
        <f>SUM(A6:A29)</f>
        <v>1165990</v>
      </c>
      <c r="B31" s="93" t="s">
        <v>40</v>
      </c>
      <c r="C31" s="94">
        <f>SUM(C6:C29)</f>
        <v>1099019</v>
      </c>
      <c r="D31" s="95"/>
      <c r="E31" s="94">
        <f>SUM(E5:E26)</f>
        <v>1165990</v>
      </c>
      <c r="F31" s="96" t="s">
        <v>41</v>
      </c>
      <c r="G31" s="96"/>
      <c r="H31" s="126">
        <f>SUM(H6:H29)</f>
        <v>1099019</v>
      </c>
    </row>
    <row r="32" spans="1:9" s="114" customFormat="1" ht="8.1" customHeight="1" thickTop="1" x14ac:dyDescent="0.3">
      <c r="A32" s="113"/>
      <c r="H32" s="115"/>
      <c r="I32" s="115"/>
    </row>
    <row r="33" spans="1:9" s="114" customFormat="1" x14ac:dyDescent="0.3">
      <c r="A33" s="116" t="s">
        <v>147</v>
      </c>
      <c r="B33" s="127"/>
      <c r="C33" s="127"/>
      <c r="D33" s="127"/>
      <c r="G33" s="128"/>
      <c r="H33" s="115"/>
      <c r="I33" s="115"/>
    </row>
    <row r="34" spans="1:9" s="114" customFormat="1" ht="15.75" customHeight="1" x14ac:dyDescent="0.3">
      <c r="A34" s="117"/>
      <c r="B34" s="159"/>
      <c r="C34" s="159"/>
      <c r="D34" s="159"/>
      <c r="E34" s="165" t="s">
        <v>153</v>
      </c>
      <c r="F34" s="165"/>
      <c r="G34" s="165"/>
      <c r="H34" s="166"/>
    </row>
    <row r="35" spans="1:9" s="114" customFormat="1" ht="15.75" customHeight="1" x14ac:dyDescent="0.3">
      <c r="A35" s="117"/>
      <c r="B35" s="129"/>
      <c r="C35" s="129"/>
      <c r="D35" s="129"/>
      <c r="E35" s="165"/>
      <c r="F35" s="165"/>
      <c r="G35" s="165"/>
      <c r="H35" s="166"/>
    </row>
    <row r="36" spans="1:9" s="114" customFormat="1" ht="14.4" customHeight="1" x14ac:dyDescent="0.3">
      <c r="A36" s="117"/>
      <c r="B36" s="160"/>
      <c r="C36" s="160"/>
      <c r="D36" s="160"/>
      <c r="E36" s="165"/>
      <c r="F36" s="165"/>
      <c r="G36" s="165"/>
      <c r="H36" s="166"/>
    </row>
    <row r="37" spans="1:9" s="114" customFormat="1" x14ac:dyDescent="0.3">
      <c r="A37" s="117"/>
      <c r="B37" s="177" t="s">
        <v>148</v>
      </c>
      <c r="C37" s="177"/>
      <c r="D37" s="130"/>
      <c r="F37" s="127"/>
      <c r="G37" s="127"/>
      <c r="H37" s="118"/>
    </row>
    <row r="38" spans="1:9" s="114" customFormat="1" x14ac:dyDescent="0.3">
      <c r="A38" s="117"/>
      <c r="B38" s="167" t="s">
        <v>150</v>
      </c>
      <c r="C38" s="167"/>
      <c r="D38" s="130"/>
      <c r="F38" s="127"/>
      <c r="G38" s="127"/>
      <c r="H38" s="118"/>
    </row>
    <row r="39" spans="1:9" s="114" customFormat="1" x14ac:dyDescent="0.3">
      <c r="A39" s="119" t="s">
        <v>149</v>
      </c>
      <c r="B39" s="167" t="s">
        <v>151</v>
      </c>
      <c r="C39" s="167"/>
      <c r="D39" s="131"/>
      <c r="F39" s="127"/>
      <c r="G39" s="127"/>
      <c r="H39" s="118"/>
    </row>
    <row r="40" spans="1:9" s="114" customFormat="1" x14ac:dyDescent="0.3">
      <c r="A40" s="173">
        <v>46233</v>
      </c>
      <c r="B40" s="174"/>
      <c r="C40" s="121"/>
      <c r="D40" s="138"/>
      <c r="E40" s="175" t="s">
        <v>152</v>
      </c>
      <c r="F40" s="175"/>
      <c r="G40" s="175"/>
      <c r="H40" s="176"/>
    </row>
  </sheetData>
  <mergeCells count="13">
    <mergeCell ref="A40:B40"/>
    <mergeCell ref="E34:H36"/>
    <mergeCell ref="E40:H40"/>
    <mergeCell ref="B37:C37"/>
    <mergeCell ref="B38:C38"/>
    <mergeCell ref="B39:C39"/>
    <mergeCell ref="A1:H1"/>
    <mergeCell ref="A2:H2"/>
    <mergeCell ref="A3:H3"/>
    <mergeCell ref="A4:H4"/>
    <mergeCell ref="G5:H5"/>
    <mergeCell ref="B34:D34"/>
    <mergeCell ref="B36:D36"/>
  </mergeCells>
  <printOptions horizontalCentered="1"/>
  <pageMargins left="0.59055118110236227" right="0.70866141732283472" top="0.59055118110236227" bottom="0.19685039370078741" header="0.31496062992125984" footer="0.31496062992125984"/>
  <pageSetup paperSize="9" scale="8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6"/>
  <sheetViews>
    <sheetView view="pageBreakPreview" topLeftCell="A11" zoomScaleNormal="100" zoomScaleSheetLayoutView="100" workbookViewId="0">
      <selection activeCell="B14" sqref="B14"/>
    </sheetView>
  </sheetViews>
  <sheetFormatPr defaultRowHeight="14.4" x14ac:dyDescent="0.3"/>
  <cols>
    <col min="1" max="1" width="15.33203125" customWidth="1"/>
    <col min="2" max="2" width="54.44140625" customWidth="1"/>
    <col min="3" max="3" width="18.109375" customWidth="1"/>
    <col min="4" max="4" width="15.88671875" bestFit="1" customWidth="1"/>
    <col min="5" max="5" width="1" customWidth="1"/>
    <col min="6" max="6" width="16.5546875" bestFit="1" customWidth="1"/>
    <col min="7" max="7" width="46.6640625" customWidth="1"/>
    <col min="8" max="8" width="16.109375" customWidth="1"/>
    <col min="9" max="9" width="16" customWidth="1"/>
  </cols>
  <sheetData>
    <row r="1" spans="1:9" ht="25.8" x14ac:dyDescent="0.5">
      <c r="A1" s="149" t="s">
        <v>145</v>
      </c>
      <c r="B1" s="150"/>
      <c r="C1" s="150"/>
      <c r="D1" s="150"/>
      <c r="E1" s="150"/>
      <c r="F1" s="150"/>
      <c r="G1" s="150"/>
      <c r="H1" s="150"/>
      <c r="I1" s="151"/>
    </row>
    <row r="2" spans="1:9" ht="15.6" x14ac:dyDescent="0.3">
      <c r="A2" s="152" t="s">
        <v>0</v>
      </c>
      <c r="B2" s="153"/>
      <c r="C2" s="153"/>
      <c r="D2" s="153"/>
      <c r="E2" s="153"/>
      <c r="F2" s="153"/>
      <c r="G2" s="153"/>
      <c r="H2" s="153"/>
      <c r="I2" s="154"/>
    </row>
    <row r="3" spans="1:9" ht="15.6" x14ac:dyDescent="0.3">
      <c r="A3" s="152" t="s">
        <v>42</v>
      </c>
      <c r="B3" s="153"/>
      <c r="C3" s="153"/>
      <c r="D3" s="153"/>
      <c r="E3" s="153"/>
      <c r="F3" s="153"/>
      <c r="G3" s="153"/>
      <c r="H3" s="153"/>
      <c r="I3" s="154"/>
    </row>
    <row r="4" spans="1:9" ht="15.6" x14ac:dyDescent="0.3">
      <c r="A4" s="155" t="s">
        <v>43</v>
      </c>
      <c r="B4" s="156"/>
      <c r="C4" s="156"/>
      <c r="D4" s="156"/>
      <c r="E4" s="156"/>
      <c r="F4" s="156"/>
      <c r="G4" s="156"/>
      <c r="H4" s="156"/>
      <c r="I4" s="157"/>
    </row>
    <row r="5" spans="1:9" ht="16.2" thickBot="1" x14ac:dyDescent="0.35">
      <c r="A5" s="102" t="s">
        <v>2</v>
      </c>
      <c r="B5" s="158" t="s">
        <v>44</v>
      </c>
      <c r="C5" s="158"/>
      <c r="D5" s="100" t="s">
        <v>4</v>
      </c>
      <c r="E5" s="109"/>
      <c r="F5" s="110" t="s">
        <v>2</v>
      </c>
      <c r="G5" s="158" t="s">
        <v>45</v>
      </c>
      <c r="H5" s="158"/>
      <c r="I5" s="100" t="s">
        <v>4</v>
      </c>
    </row>
    <row r="6" spans="1:9" ht="15.6" x14ac:dyDescent="0.3">
      <c r="A6" s="106"/>
      <c r="B6" s="103" t="s">
        <v>46</v>
      </c>
      <c r="C6" s="104"/>
      <c r="D6" s="105"/>
      <c r="E6" s="105"/>
      <c r="F6" s="106"/>
      <c r="G6" s="107" t="s">
        <v>47</v>
      </c>
      <c r="H6" s="108"/>
      <c r="I6" s="60"/>
    </row>
    <row r="7" spans="1:9" ht="15.6" x14ac:dyDescent="0.3">
      <c r="A7" s="66">
        <v>100000</v>
      </c>
      <c r="B7" s="65" t="s">
        <v>48</v>
      </c>
      <c r="C7" s="139"/>
      <c r="D7" s="58">
        <v>100000</v>
      </c>
      <c r="E7" s="58"/>
      <c r="F7" s="66">
        <v>28</v>
      </c>
      <c r="G7" s="59" t="s">
        <v>49</v>
      </c>
      <c r="H7" s="67">
        <v>0</v>
      </c>
      <c r="I7" s="59"/>
    </row>
    <row r="8" spans="1:9" ht="15.6" x14ac:dyDescent="0.3">
      <c r="A8" s="66"/>
      <c r="B8" s="65"/>
      <c r="C8" s="139"/>
      <c r="D8" s="65"/>
      <c r="E8" s="65"/>
      <c r="F8" s="66">
        <v>116289.43</v>
      </c>
      <c r="G8" s="59" t="s">
        <v>50</v>
      </c>
      <c r="H8" s="67">
        <v>243746.43</v>
      </c>
      <c r="I8" s="59"/>
    </row>
    <row r="9" spans="1:9" ht="15.6" x14ac:dyDescent="0.3">
      <c r="A9" s="66"/>
      <c r="B9" s="68" t="s">
        <v>51</v>
      </c>
      <c r="C9" s="69"/>
      <c r="D9" s="70"/>
      <c r="E9" s="70"/>
      <c r="F9" s="66">
        <v>50839.23</v>
      </c>
      <c r="G9" s="59" t="s">
        <v>52</v>
      </c>
      <c r="H9" s="71">
        <v>20502.23</v>
      </c>
      <c r="I9" s="58">
        <f>SUM(H7:H9)</f>
        <v>264248.65999999997</v>
      </c>
    </row>
    <row r="10" spans="1:9" ht="15.6" x14ac:dyDescent="0.3">
      <c r="A10" s="66">
        <v>5500</v>
      </c>
      <c r="B10" s="59" t="s">
        <v>53</v>
      </c>
      <c r="C10" s="69"/>
      <c r="D10" s="58">
        <v>5500</v>
      </c>
      <c r="E10" s="58"/>
      <c r="F10" s="66"/>
      <c r="G10" s="59"/>
      <c r="H10" s="72"/>
      <c r="I10" s="59"/>
    </row>
    <row r="11" spans="1:9" ht="15.6" x14ac:dyDescent="0.3">
      <c r="A11" s="66"/>
      <c r="B11" s="65"/>
      <c r="C11" s="69"/>
      <c r="D11" s="70"/>
      <c r="E11" s="70"/>
      <c r="F11" s="66"/>
      <c r="G11" s="68" t="s">
        <v>54</v>
      </c>
      <c r="H11" s="73"/>
      <c r="I11" s="70"/>
    </row>
    <row r="12" spans="1:9" ht="15.6" x14ac:dyDescent="0.3">
      <c r="A12" s="66"/>
      <c r="B12" s="68" t="s">
        <v>55</v>
      </c>
      <c r="C12" s="69"/>
      <c r="D12" s="74"/>
      <c r="E12" s="74"/>
      <c r="F12" s="66">
        <v>1000</v>
      </c>
      <c r="G12" s="59" t="s">
        <v>56</v>
      </c>
      <c r="H12" s="67">
        <v>1000</v>
      </c>
      <c r="I12" s="59"/>
    </row>
    <row r="13" spans="1:9" ht="15.6" x14ac:dyDescent="0.3">
      <c r="A13" s="66">
        <v>19800</v>
      </c>
      <c r="B13" s="59" t="s">
        <v>57</v>
      </c>
      <c r="C13" s="61"/>
      <c r="D13" s="58">
        <v>19800</v>
      </c>
      <c r="E13" s="58"/>
      <c r="F13" s="66">
        <v>529958</v>
      </c>
      <c r="G13" s="59" t="s">
        <v>58</v>
      </c>
      <c r="H13" s="111">
        <f>434019-H14-'[1]FD 25-26'!I9</f>
        <v>331135</v>
      </c>
      <c r="I13" s="58"/>
    </row>
    <row r="14" spans="1:9" ht="15.6" x14ac:dyDescent="0.3">
      <c r="A14" s="66"/>
      <c r="B14" s="59"/>
      <c r="C14" s="61"/>
      <c r="D14" s="58"/>
      <c r="E14" s="58"/>
      <c r="F14" s="66"/>
      <c r="G14" s="59" t="s">
        <v>59</v>
      </c>
      <c r="H14" s="111">
        <v>100000</v>
      </c>
      <c r="I14" s="58"/>
    </row>
    <row r="15" spans="1:9" ht="15.6" x14ac:dyDescent="0.3">
      <c r="A15" s="66"/>
      <c r="B15" s="59"/>
      <c r="C15" s="75"/>
      <c r="D15" s="59"/>
      <c r="E15" s="59"/>
      <c r="F15" s="66">
        <v>18238</v>
      </c>
      <c r="G15" s="59" t="s">
        <v>60</v>
      </c>
      <c r="H15" s="112">
        <f>18238+'[1]FD 25-26'!I18+'[1]FD 25-26'!I9</f>
        <v>54161</v>
      </c>
      <c r="I15" s="58">
        <f>SUM(H12:H15)</f>
        <v>486296</v>
      </c>
    </row>
    <row r="16" spans="1:9" ht="15.6" x14ac:dyDescent="0.3">
      <c r="A16" s="66"/>
      <c r="B16" s="68" t="s">
        <v>61</v>
      </c>
      <c r="C16" s="69"/>
      <c r="D16" s="70"/>
      <c r="E16" s="58"/>
      <c r="F16" s="66"/>
      <c r="G16" s="59"/>
      <c r="H16" s="72"/>
      <c r="I16" s="59"/>
    </row>
    <row r="17" spans="1:9" ht="15.6" x14ac:dyDescent="0.3">
      <c r="A17" s="66">
        <v>433462</v>
      </c>
      <c r="B17" s="59" t="s">
        <v>57</v>
      </c>
      <c r="C17" s="75">
        <f>A17+A18</f>
        <v>483464</v>
      </c>
      <c r="D17" s="58"/>
      <c r="E17" s="59"/>
      <c r="F17" s="66">
        <v>640000</v>
      </c>
      <c r="G17" s="68" t="s">
        <v>62</v>
      </c>
      <c r="H17" s="72"/>
      <c r="I17" s="58">
        <v>640000</v>
      </c>
    </row>
    <row r="18" spans="1:9" ht="15.6" x14ac:dyDescent="0.3">
      <c r="A18" s="66">
        <v>50002</v>
      </c>
      <c r="B18" s="59" t="s">
        <v>63</v>
      </c>
      <c r="C18" s="76">
        <v>39923</v>
      </c>
      <c r="D18" s="58">
        <f>SUM(C17:C18)</f>
        <v>523387</v>
      </c>
      <c r="E18" s="70"/>
      <c r="F18" s="66"/>
      <c r="G18" s="59"/>
      <c r="H18" s="67"/>
      <c r="I18" s="58"/>
    </row>
    <row r="19" spans="1:9" ht="15.6" x14ac:dyDescent="0.3">
      <c r="A19" s="87"/>
      <c r="B19" s="7"/>
      <c r="C19" s="61"/>
      <c r="D19" s="7"/>
      <c r="E19" s="58"/>
      <c r="F19" s="66"/>
      <c r="G19" s="68" t="s">
        <v>64</v>
      </c>
      <c r="H19" s="72"/>
      <c r="I19" s="59"/>
    </row>
    <row r="20" spans="1:9" ht="15.6" x14ac:dyDescent="0.3">
      <c r="A20" s="66">
        <v>640000</v>
      </c>
      <c r="B20" s="68" t="s">
        <v>65</v>
      </c>
      <c r="C20" s="69"/>
      <c r="D20" s="70">
        <v>640000</v>
      </c>
      <c r="E20" s="58"/>
      <c r="F20" s="66">
        <v>1852.36</v>
      </c>
      <c r="G20" s="59" t="s">
        <v>66</v>
      </c>
      <c r="H20" s="72"/>
      <c r="I20" s="58">
        <v>1852.36</v>
      </c>
    </row>
    <row r="21" spans="1:9" ht="15.6" x14ac:dyDescent="0.3">
      <c r="A21" s="66"/>
      <c r="B21" s="59"/>
      <c r="C21" s="97"/>
      <c r="D21" s="59"/>
      <c r="E21" s="58"/>
      <c r="F21" s="66"/>
      <c r="G21" s="59"/>
      <c r="H21" s="67"/>
      <c r="I21" s="58"/>
    </row>
    <row r="22" spans="1:9" ht="15.6" x14ac:dyDescent="0.3">
      <c r="A22" s="66"/>
      <c r="B22" s="68" t="s">
        <v>67</v>
      </c>
      <c r="C22" s="97"/>
      <c r="D22" s="59"/>
      <c r="E22" s="70"/>
      <c r="F22" s="66"/>
      <c r="G22" s="68" t="s">
        <v>68</v>
      </c>
      <c r="H22" s="73"/>
      <c r="I22" s="59"/>
    </row>
    <row r="23" spans="1:9" ht="15.6" x14ac:dyDescent="0.3">
      <c r="A23" s="66">
        <v>210178</v>
      </c>
      <c r="B23" s="59" t="s">
        <v>57</v>
      </c>
      <c r="C23" s="97"/>
      <c r="D23" s="77">
        <v>210178</v>
      </c>
      <c r="E23" s="70"/>
      <c r="F23" s="66">
        <v>506865</v>
      </c>
      <c r="G23" s="59" t="s">
        <v>69</v>
      </c>
      <c r="H23" s="67"/>
      <c r="I23" s="70">
        <v>661208</v>
      </c>
    </row>
    <row r="24" spans="1:9" ht="15.6" x14ac:dyDescent="0.3">
      <c r="A24" s="87"/>
      <c r="B24" s="7"/>
      <c r="C24" s="61"/>
      <c r="D24" s="7"/>
      <c r="E24" s="59"/>
      <c r="F24" s="66"/>
      <c r="G24" s="58"/>
      <c r="H24" s="78"/>
      <c r="I24" s="59"/>
    </row>
    <row r="25" spans="1:9" ht="15.6" x14ac:dyDescent="0.3">
      <c r="A25" s="66"/>
      <c r="B25" s="68" t="s">
        <v>70</v>
      </c>
      <c r="C25" s="75"/>
      <c r="D25" s="70"/>
      <c r="E25" s="59"/>
      <c r="F25" s="66"/>
      <c r="G25" s="68" t="s">
        <v>71</v>
      </c>
      <c r="H25" s="78"/>
      <c r="I25" s="59"/>
    </row>
    <row r="26" spans="1:9" ht="15.6" x14ac:dyDescent="0.3">
      <c r="A26" s="66">
        <v>0</v>
      </c>
      <c r="B26" s="59" t="s">
        <v>72</v>
      </c>
      <c r="C26" s="75">
        <v>69</v>
      </c>
      <c r="D26" s="70"/>
      <c r="E26" s="59"/>
      <c r="F26" s="66">
        <v>1667</v>
      </c>
      <c r="G26" s="59" t="s">
        <v>73</v>
      </c>
      <c r="H26" s="67">
        <v>1667</v>
      </c>
      <c r="I26" s="58"/>
    </row>
    <row r="27" spans="1:9" ht="15.6" x14ac:dyDescent="0.3">
      <c r="A27" s="66">
        <v>12024</v>
      </c>
      <c r="B27" s="59" t="s">
        <v>74</v>
      </c>
      <c r="C27" s="79">
        <v>199406</v>
      </c>
      <c r="D27" s="59"/>
      <c r="E27" s="58"/>
      <c r="F27" s="80">
        <v>2167</v>
      </c>
      <c r="G27" s="59" t="s">
        <v>75</v>
      </c>
      <c r="H27" s="67">
        <v>2172.6</v>
      </c>
      <c r="I27" s="58"/>
    </row>
    <row r="28" spans="1:9" ht="15.6" x14ac:dyDescent="0.3">
      <c r="A28" s="66">
        <v>0</v>
      </c>
      <c r="B28" s="59" t="s">
        <v>76</v>
      </c>
      <c r="C28" s="79">
        <v>2000</v>
      </c>
      <c r="D28" s="59"/>
      <c r="E28" s="58"/>
      <c r="F28" s="81">
        <v>12825</v>
      </c>
      <c r="G28" s="59" t="s">
        <v>77</v>
      </c>
      <c r="H28" s="71">
        <v>12824.2</v>
      </c>
      <c r="I28" s="58">
        <f>SUM(H26:H28)</f>
        <v>16663.8</v>
      </c>
    </row>
    <row r="29" spans="1:9" ht="15.6" x14ac:dyDescent="0.3">
      <c r="A29" s="66">
        <v>80000</v>
      </c>
      <c r="B29" s="59" t="s">
        <v>78</v>
      </c>
      <c r="C29" s="82">
        <v>16500</v>
      </c>
      <c r="D29" s="59">
        <f>SUM(C26:C29)</f>
        <v>217975</v>
      </c>
      <c r="E29" s="58"/>
      <c r="F29" s="66"/>
      <c r="G29" s="59"/>
      <c r="H29" s="83"/>
      <c r="I29" s="58"/>
    </row>
    <row r="30" spans="1:9" ht="18" x14ac:dyDescent="0.35">
      <c r="A30" s="140"/>
      <c r="B30" s="62"/>
      <c r="C30" s="62"/>
      <c r="E30" s="58"/>
      <c r="G30" s="84" t="s">
        <v>79</v>
      </c>
      <c r="H30" s="62"/>
      <c r="I30" s="141"/>
    </row>
    <row r="31" spans="1:9" ht="15.6" x14ac:dyDescent="0.3">
      <c r="A31" s="87"/>
      <c r="B31" s="68" t="s">
        <v>80</v>
      </c>
      <c r="C31" s="61"/>
      <c r="D31" s="7"/>
      <c r="E31" s="58"/>
      <c r="F31" s="66"/>
      <c r="G31" s="68" t="s">
        <v>81</v>
      </c>
      <c r="H31" s="85"/>
      <c r="I31" s="59"/>
    </row>
    <row r="32" spans="1:9" ht="15.6" x14ac:dyDescent="0.3">
      <c r="A32" s="66">
        <v>29000</v>
      </c>
      <c r="B32" s="59" t="s">
        <v>5</v>
      </c>
      <c r="C32" s="69">
        <v>6270</v>
      </c>
      <c r="D32" s="7"/>
      <c r="E32" s="70"/>
      <c r="F32" s="66">
        <v>6200</v>
      </c>
      <c r="G32" s="59" t="s">
        <v>57</v>
      </c>
      <c r="H32" s="67">
        <f>F32+F33</f>
        <v>5580</v>
      </c>
      <c r="I32" s="58"/>
    </row>
    <row r="33" spans="1:9" ht="15.6" x14ac:dyDescent="0.3">
      <c r="A33" s="80">
        <v>3600</v>
      </c>
      <c r="B33" s="59" t="s">
        <v>82</v>
      </c>
      <c r="C33" s="69">
        <v>3600</v>
      </c>
      <c r="D33" s="70"/>
      <c r="E33" s="70"/>
      <c r="F33" s="66">
        <v>-620</v>
      </c>
      <c r="G33" s="59" t="s">
        <v>83</v>
      </c>
      <c r="H33" s="86">
        <f>H32*10%</f>
        <v>558</v>
      </c>
      <c r="I33" s="59">
        <f>H32-H33</f>
        <v>5022</v>
      </c>
    </row>
    <row r="34" spans="1:9" ht="15.6" x14ac:dyDescent="0.3">
      <c r="A34" s="66">
        <v>5000</v>
      </c>
      <c r="B34" s="59" t="s">
        <v>20</v>
      </c>
      <c r="C34" s="75">
        <v>5000</v>
      </c>
      <c r="D34" s="70"/>
      <c r="E34" s="70"/>
      <c r="F34" s="66"/>
      <c r="G34" s="68" t="s">
        <v>84</v>
      </c>
      <c r="H34" s="85"/>
      <c r="I34" s="58"/>
    </row>
    <row r="35" spans="1:9" ht="15.6" x14ac:dyDescent="0.3">
      <c r="A35" s="66">
        <v>4130</v>
      </c>
      <c r="B35" s="59" t="s">
        <v>34</v>
      </c>
      <c r="C35" s="75">
        <v>4130</v>
      </c>
      <c r="D35" s="58"/>
      <c r="E35" s="70"/>
      <c r="F35" s="66">
        <v>35980</v>
      </c>
      <c r="G35" s="59" t="s">
        <v>57</v>
      </c>
      <c r="H35" s="72">
        <f>F35+F36+F38</f>
        <v>31858</v>
      </c>
      <c r="I35" s="59"/>
    </row>
    <row r="36" spans="1:9" ht="15.6" x14ac:dyDescent="0.3">
      <c r="A36" s="66">
        <v>9000</v>
      </c>
      <c r="B36" s="59" t="s">
        <v>85</v>
      </c>
      <c r="C36" s="76">
        <v>0</v>
      </c>
      <c r="D36" s="58">
        <f>SUM(C32:C36)</f>
        <v>19000</v>
      </c>
      <c r="E36" s="58"/>
      <c r="F36" s="66">
        <v>1500</v>
      </c>
      <c r="G36" s="59" t="s">
        <v>86</v>
      </c>
      <c r="H36" s="88">
        <v>13850</v>
      </c>
      <c r="I36" s="59"/>
    </row>
    <row r="37" spans="1:9" ht="15.6" x14ac:dyDescent="0.3">
      <c r="A37" s="87"/>
      <c r="B37" s="7"/>
      <c r="C37" s="61"/>
      <c r="D37" s="58"/>
      <c r="E37" s="58"/>
      <c r="F37" s="61"/>
      <c r="G37" s="7"/>
      <c r="H37" s="72">
        <f>H36+H35</f>
        <v>45708</v>
      </c>
      <c r="I37" s="83"/>
    </row>
    <row r="38" spans="1:9" ht="15.6" x14ac:dyDescent="0.3">
      <c r="A38" s="66"/>
      <c r="B38" s="68" t="s">
        <v>87</v>
      </c>
      <c r="C38" s="75"/>
      <c r="D38" s="58"/>
      <c r="E38" s="58"/>
      <c r="F38" s="66">
        <v>-5622</v>
      </c>
      <c r="G38" s="59" t="s">
        <v>88</v>
      </c>
      <c r="H38" s="86">
        <f>H37*15%</f>
        <v>6856.2</v>
      </c>
      <c r="I38" s="59">
        <f>H37-H38</f>
        <v>38851.800000000003</v>
      </c>
    </row>
    <row r="39" spans="1:9" ht="15.6" x14ac:dyDescent="0.3">
      <c r="A39" s="66">
        <v>473742.02</v>
      </c>
      <c r="B39" s="59" t="s">
        <v>57</v>
      </c>
      <c r="C39" s="75">
        <f>A39+A40+A42</f>
        <v>437422.02</v>
      </c>
      <c r="D39" s="59"/>
      <c r="E39" s="58"/>
      <c r="F39" s="66"/>
      <c r="G39" s="68" t="s">
        <v>90</v>
      </c>
      <c r="H39" s="85"/>
      <c r="I39" s="58"/>
    </row>
    <row r="40" spans="1:9" ht="15.6" x14ac:dyDescent="0.3">
      <c r="A40" s="66">
        <v>205895</v>
      </c>
      <c r="B40" s="59" t="s">
        <v>89</v>
      </c>
      <c r="C40" s="76">
        <f>'[1]I&amp;E 25-26'!C29</f>
        <v>59837.099999999977</v>
      </c>
      <c r="D40" s="7"/>
      <c r="E40" s="70"/>
      <c r="F40" s="66">
        <v>7800</v>
      </c>
      <c r="G40" s="59" t="s">
        <v>92</v>
      </c>
      <c r="H40" s="72">
        <f>F40+F41</f>
        <v>6630</v>
      </c>
      <c r="I40" s="59"/>
    </row>
    <row r="41" spans="1:9" ht="15.6" x14ac:dyDescent="0.3">
      <c r="A41" s="66"/>
      <c r="B41" s="59"/>
      <c r="C41" s="97">
        <f>C40+C39</f>
        <v>497259.12</v>
      </c>
      <c r="D41" s="70"/>
      <c r="E41" s="70"/>
      <c r="F41" s="66">
        <v>-1170</v>
      </c>
      <c r="G41" s="59" t="s">
        <v>88</v>
      </c>
      <c r="H41" s="86">
        <f>H40*15%</f>
        <v>994.5</v>
      </c>
      <c r="I41" s="59">
        <f>H40-H41</f>
        <v>5635.5</v>
      </c>
    </row>
    <row r="42" spans="1:9" ht="15.6" x14ac:dyDescent="0.3">
      <c r="A42" s="66">
        <v>-242215</v>
      </c>
      <c r="B42" s="59" t="s">
        <v>91</v>
      </c>
      <c r="C42" s="89">
        <v>0</v>
      </c>
      <c r="D42" s="70">
        <f>C41-C42</f>
        <v>497259.12</v>
      </c>
      <c r="E42" s="70"/>
      <c r="F42" s="66"/>
      <c r="G42" s="7"/>
      <c r="H42" s="83"/>
      <c r="I42" s="7"/>
    </row>
    <row r="43" spans="1:9" ht="15.6" x14ac:dyDescent="0.3">
      <c r="A43" s="66"/>
      <c r="B43" s="59"/>
      <c r="C43" s="69"/>
      <c r="D43" s="70"/>
      <c r="E43" s="70"/>
      <c r="F43" s="81"/>
      <c r="G43" s="68" t="s">
        <v>93</v>
      </c>
      <c r="H43" s="78"/>
      <c r="I43" s="59"/>
    </row>
    <row r="44" spans="1:9" ht="15.6" x14ac:dyDescent="0.3">
      <c r="A44" s="66"/>
      <c r="B44" s="59"/>
      <c r="C44" s="69"/>
      <c r="D44" s="70"/>
      <c r="E44" s="70"/>
      <c r="F44" s="81">
        <v>4160</v>
      </c>
      <c r="G44" s="59" t="s">
        <v>94</v>
      </c>
      <c r="H44" s="72">
        <v>4160</v>
      </c>
      <c r="I44" s="59"/>
    </row>
    <row r="45" spans="1:9" ht="15.6" x14ac:dyDescent="0.3">
      <c r="A45" s="87"/>
      <c r="B45" s="7"/>
      <c r="C45" s="61"/>
      <c r="D45" s="7"/>
      <c r="E45" s="70"/>
      <c r="F45" s="123">
        <v>9161</v>
      </c>
      <c r="G45" s="59" t="s">
        <v>95</v>
      </c>
      <c r="H45" s="124">
        <v>9161</v>
      </c>
      <c r="I45" s="59">
        <f>SUM(H44:H45)</f>
        <v>13321</v>
      </c>
    </row>
    <row r="46" spans="1:9" ht="7.95" customHeight="1" x14ac:dyDescent="0.3">
      <c r="A46" s="66"/>
      <c r="B46" s="65"/>
      <c r="C46" s="69"/>
      <c r="D46" s="70"/>
      <c r="E46" s="59"/>
      <c r="F46" s="62"/>
      <c r="H46" s="58"/>
      <c r="I46" s="62"/>
    </row>
    <row r="47" spans="1:9" ht="16.2" thickBot="1" x14ac:dyDescent="0.35">
      <c r="A47" s="142">
        <f>SUM(A10:A46)</f>
        <v>1939118.02</v>
      </c>
      <c r="B47" s="146" t="s">
        <v>96</v>
      </c>
      <c r="C47" s="146"/>
      <c r="D47" s="90">
        <f>SUM(D9:D46)</f>
        <v>2133099.12</v>
      </c>
      <c r="E47" s="91"/>
      <c r="F47" s="90">
        <f>SUM(F7:F45)</f>
        <v>1939118.0200000003</v>
      </c>
      <c r="G47" s="147" t="s">
        <v>96</v>
      </c>
      <c r="H47" s="148"/>
      <c r="I47" s="90">
        <f>SUM(I6:I45)</f>
        <v>2133099.12</v>
      </c>
    </row>
    <row r="48" spans="1:9" ht="7.95" customHeight="1" thickTop="1" x14ac:dyDescent="0.3">
      <c r="A48" s="113"/>
      <c r="B48" s="114"/>
      <c r="C48" s="114"/>
      <c r="D48" s="114"/>
      <c r="E48" s="114"/>
      <c r="F48" s="114"/>
      <c r="G48" s="114"/>
      <c r="H48" s="114"/>
      <c r="I48" s="115"/>
    </row>
    <row r="49" spans="1:9" x14ac:dyDescent="0.3">
      <c r="A49" s="116" t="s">
        <v>147</v>
      </c>
      <c r="B49" s="127"/>
      <c r="C49" s="127"/>
      <c r="D49" s="127"/>
      <c r="E49" s="114"/>
      <c r="F49" s="114"/>
      <c r="G49" s="165" t="s">
        <v>153</v>
      </c>
      <c r="H49" s="165"/>
      <c r="I49" s="166"/>
    </row>
    <row r="50" spans="1:9" s="114" customFormat="1" ht="8.1" customHeight="1" x14ac:dyDescent="0.3">
      <c r="A50" s="117"/>
      <c r="B50" s="159"/>
      <c r="C50" s="159"/>
      <c r="D50" s="159"/>
      <c r="G50" s="165"/>
      <c r="H50" s="165"/>
      <c r="I50" s="166"/>
    </row>
    <row r="51" spans="1:9" s="114" customFormat="1" ht="14.4" customHeight="1" x14ac:dyDescent="0.3">
      <c r="A51" s="117"/>
      <c r="B51" s="160"/>
      <c r="C51" s="160"/>
      <c r="D51" s="160"/>
      <c r="G51" s="165"/>
      <c r="H51" s="165"/>
      <c r="I51" s="166"/>
    </row>
    <row r="52" spans="1:9" s="114" customFormat="1" ht="15.75" customHeight="1" x14ac:dyDescent="0.3">
      <c r="A52" s="117"/>
      <c r="B52" s="131"/>
      <c r="C52" s="131"/>
      <c r="D52" s="130"/>
      <c r="F52" s="143"/>
      <c r="G52" s="127"/>
      <c r="H52" s="127"/>
      <c r="I52" s="118"/>
    </row>
    <row r="53" spans="1:9" s="114" customFormat="1" x14ac:dyDescent="0.3">
      <c r="A53" s="117"/>
      <c r="B53" s="131"/>
      <c r="C53" s="144" t="s">
        <v>148</v>
      </c>
      <c r="D53" s="130"/>
      <c r="G53" s="127"/>
      <c r="H53" s="127"/>
      <c r="I53" s="118"/>
    </row>
    <row r="54" spans="1:9" s="114" customFormat="1" x14ac:dyDescent="0.3">
      <c r="A54" s="119" t="s">
        <v>149</v>
      </c>
      <c r="B54" s="131"/>
      <c r="C54" s="145" t="s">
        <v>150</v>
      </c>
      <c r="D54" s="131"/>
      <c r="G54" s="127"/>
      <c r="H54" s="127"/>
      <c r="I54" s="118"/>
    </row>
    <row r="55" spans="1:9" s="114" customFormat="1" x14ac:dyDescent="0.3">
      <c r="A55" s="161">
        <v>46233</v>
      </c>
      <c r="B55" s="162"/>
      <c r="C55" s="145" t="s">
        <v>151</v>
      </c>
      <c r="D55" s="132"/>
      <c r="G55" s="163" t="s">
        <v>152</v>
      </c>
      <c r="H55" s="163"/>
      <c r="I55" s="164"/>
    </row>
    <row r="56" spans="1:9" s="114" customFormat="1" ht="13.2" x14ac:dyDescent="0.3">
      <c r="A56" s="120"/>
      <c r="B56" s="121"/>
      <c r="C56" s="121"/>
      <c r="D56" s="121"/>
      <c r="E56" s="121"/>
      <c r="F56" s="121"/>
      <c r="G56" s="121"/>
      <c r="H56" s="121"/>
      <c r="I56" s="122"/>
    </row>
  </sheetData>
  <mergeCells count="13">
    <mergeCell ref="B50:D50"/>
    <mergeCell ref="B51:D51"/>
    <mergeCell ref="A55:B55"/>
    <mergeCell ref="G55:I55"/>
    <mergeCell ref="G49:I51"/>
    <mergeCell ref="B47:C47"/>
    <mergeCell ref="G47:H47"/>
    <mergeCell ref="A1:I1"/>
    <mergeCell ref="A2:I2"/>
    <mergeCell ref="A3:I3"/>
    <mergeCell ref="A4:I4"/>
    <mergeCell ref="B5:C5"/>
    <mergeCell ref="G5:H5"/>
  </mergeCells>
  <printOptions horizontalCentered="1"/>
  <pageMargins left="0.59055118110236227" right="0.19685039370078741" top="0.39370078740157483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"/>
  <sheetViews>
    <sheetView topLeftCell="D1" workbookViewId="0">
      <selection activeCell="P8" sqref="P8"/>
    </sheetView>
  </sheetViews>
  <sheetFormatPr defaultRowHeight="14.4" x14ac:dyDescent="0.3"/>
  <cols>
    <col min="1" max="1" width="3.6640625" customWidth="1"/>
    <col min="2" max="2" width="12.33203125" bestFit="1" customWidth="1"/>
    <col min="3" max="3" width="14.44140625" customWidth="1"/>
    <col min="4" max="4" width="12.88671875" customWidth="1"/>
    <col min="5" max="5" width="10.5546875" customWidth="1"/>
    <col min="6" max="6" width="9.44140625" customWidth="1"/>
    <col min="7" max="7" width="10.33203125" customWidth="1"/>
    <col min="8" max="8" width="12.6640625" customWidth="1"/>
    <col min="9" max="9" width="14.5546875" customWidth="1"/>
    <col min="10" max="11" width="7.5546875" customWidth="1"/>
    <col min="12" max="12" width="10.109375" bestFit="1" customWidth="1"/>
    <col min="13" max="13" width="10.5546875" customWidth="1"/>
    <col min="14" max="14" width="7.6640625" customWidth="1"/>
    <col min="15" max="15" width="10" bestFit="1" customWidth="1"/>
    <col min="16" max="16" width="10.5546875" customWidth="1"/>
    <col min="17" max="17" width="9.44140625" customWidth="1"/>
    <col min="18" max="19" width="10" customWidth="1"/>
    <col min="20" max="20" width="23.88671875" customWidth="1"/>
  </cols>
  <sheetData>
    <row r="1" spans="1:20" x14ac:dyDescent="0.3">
      <c r="A1" s="16" t="s">
        <v>144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3">
      <c r="A2" s="16" t="s">
        <v>110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</row>
    <row r="3" spans="1:20" x14ac:dyDescent="0.3">
      <c r="A3" s="185" t="s">
        <v>111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</row>
    <row r="4" spans="1:20" x14ac:dyDescent="0.3">
      <c r="A4" s="187" t="s">
        <v>112</v>
      </c>
      <c r="B4" s="187" t="s">
        <v>113</v>
      </c>
      <c r="C4" s="188" t="s">
        <v>114</v>
      </c>
      <c r="D4" s="189" t="s">
        <v>115</v>
      </c>
      <c r="E4" s="178" t="s">
        <v>116</v>
      </c>
      <c r="F4" s="179"/>
      <c r="G4" s="180"/>
      <c r="H4" s="19" t="s">
        <v>117</v>
      </c>
      <c r="I4" s="19" t="s">
        <v>118</v>
      </c>
      <c r="J4" s="183" t="s">
        <v>119</v>
      </c>
      <c r="K4" s="183" t="s">
        <v>120</v>
      </c>
      <c r="L4" s="191" t="s">
        <v>121</v>
      </c>
      <c r="M4" s="178" t="s">
        <v>122</v>
      </c>
      <c r="N4" s="179"/>
      <c r="O4" s="180"/>
      <c r="P4" s="178" t="s">
        <v>123</v>
      </c>
      <c r="Q4" s="179"/>
      <c r="R4" s="180"/>
      <c r="S4" s="181" t="s">
        <v>124</v>
      </c>
      <c r="T4" s="183" t="s">
        <v>125</v>
      </c>
    </row>
    <row r="5" spans="1:20" ht="39.6" x14ac:dyDescent="0.3">
      <c r="A5" s="184"/>
      <c r="B5" s="184"/>
      <c r="C5" s="184"/>
      <c r="D5" s="190"/>
      <c r="E5" s="23" t="s">
        <v>126</v>
      </c>
      <c r="F5" s="24" t="s">
        <v>127</v>
      </c>
      <c r="G5" s="25" t="s">
        <v>128</v>
      </c>
      <c r="H5" s="25" t="s">
        <v>129</v>
      </c>
      <c r="I5" s="20" t="s">
        <v>130</v>
      </c>
      <c r="J5" s="184"/>
      <c r="K5" s="184"/>
      <c r="L5" s="192"/>
      <c r="M5" s="25" t="s">
        <v>126</v>
      </c>
      <c r="N5" s="25" t="s">
        <v>131</v>
      </c>
      <c r="O5" s="25" t="s">
        <v>128</v>
      </c>
      <c r="P5" s="25" t="s">
        <v>126</v>
      </c>
      <c r="Q5" s="26" t="s">
        <v>60</v>
      </c>
      <c r="R5" s="25" t="s">
        <v>128</v>
      </c>
      <c r="S5" s="182"/>
      <c r="T5" s="184"/>
    </row>
    <row r="6" spans="1:20" x14ac:dyDescent="0.3">
      <c r="A6" s="27"/>
      <c r="B6" s="28"/>
      <c r="C6" s="21"/>
      <c r="D6" s="22"/>
      <c r="E6" s="23"/>
      <c r="F6" s="29"/>
      <c r="G6" s="25"/>
      <c r="H6" s="29"/>
      <c r="I6" s="20"/>
      <c r="J6" s="21"/>
      <c r="K6" s="27"/>
      <c r="L6" s="26"/>
      <c r="M6" s="30"/>
      <c r="N6" s="30"/>
      <c r="O6" s="30"/>
      <c r="P6" s="30"/>
      <c r="Q6" s="31"/>
      <c r="R6" s="30"/>
      <c r="S6" s="32"/>
      <c r="T6" s="21"/>
    </row>
    <row r="7" spans="1:20" x14ac:dyDescent="0.3">
      <c r="A7" s="33">
        <f>ROW()-6</f>
        <v>1</v>
      </c>
      <c r="B7" s="34" t="s">
        <v>132</v>
      </c>
      <c r="C7" s="54">
        <v>262785</v>
      </c>
      <c r="D7" s="36">
        <v>45510</v>
      </c>
      <c r="E7" s="37">
        <v>336903</v>
      </c>
      <c r="F7" s="38">
        <v>12453</v>
      </c>
      <c r="G7" s="39">
        <f t="shared" ref="G7:G14" si="0">E7+F7</f>
        <v>349356</v>
      </c>
      <c r="H7" s="40"/>
      <c r="I7" s="41">
        <v>14758</v>
      </c>
      <c r="J7" s="41"/>
      <c r="K7" s="42"/>
      <c r="L7" s="36">
        <v>45967</v>
      </c>
      <c r="M7" s="42">
        <f>G7</f>
        <v>349356</v>
      </c>
      <c r="N7" s="42">
        <v>14758</v>
      </c>
      <c r="O7" s="42">
        <f>SUM(M7:N7)</f>
        <v>364114</v>
      </c>
      <c r="P7" s="42"/>
      <c r="Q7" s="42"/>
      <c r="R7" s="42"/>
      <c r="S7" s="42" t="s">
        <v>133</v>
      </c>
      <c r="T7" s="43" t="s">
        <v>134</v>
      </c>
    </row>
    <row r="8" spans="1:20" x14ac:dyDescent="0.3">
      <c r="A8" s="33">
        <f t="shared" ref="A8:A14" si="1">ROW()-6</f>
        <v>2</v>
      </c>
      <c r="B8" s="34" t="s">
        <v>132</v>
      </c>
      <c r="C8" s="54">
        <v>262785</v>
      </c>
      <c r="D8" s="36">
        <v>45967</v>
      </c>
      <c r="E8" s="37"/>
      <c r="F8" s="38"/>
      <c r="G8" s="39">
        <f t="shared" si="0"/>
        <v>0</v>
      </c>
      <c r="H8" s="40">
        <f>O7</f>
        <v>364114</v>
      </c>
      <c r="I8" s="41">
        <v>10048</v>
      </c>
      <c r="J8" s="41"/>
      <c r="K8" s="42"/>
      <c r="L8" s="36">
        <v>46424</v>
      </c>
      <c r="M8" s="42">
        <f>G8</f>
        <v>0</v>
      </c>
      <c r="N8" s="42">
        <v>0</v>
      </c>
      <c r="O8" s="42">
        <f>SUM(M8:N8)</f>
        <v>0</v>
      </c>
      <c r="P8" s="42">
        <f t="shared" ref="P8:P12" si="2">E8+H8-M8+K8</f>
        <v>364114</v>
      </c>
      <c r="Q8" s="42">
        <f t="shared" ref="Q8:Q12" si="3">F8+I8-J8-N8</f>
        <v>10048</v>
      </c>
      <c r="R8" s="42">
        <f t="shared" ref="R8:R12" si="4">Q8+P8</f>
        <v>374162</v>
      </c>
      <c r="S8" s="42" t="s">
        <v>135</v>
      </c>
      <c r="T8" s="43" t="s">
        <v>134</v>
      </c>
    </row>
    <row r="9" spans="1:20" x14ac:dyDescent="0.3">
      <c r="A9" s="33">
        <f t="shared" si="1"/>
        <v>3</v>
      </c>
      <c r="B9" s="34" t="s">
        <v>132</v>
      </c>
      <c r="C9" s="54">
        <v>262786</v>
      </c>
      <c r="D9" s="36">
        <v>45580</v>
      </c>
      <c r="E9" s="44">
        <v>193055</v>
      </c>
      <c r="F9" s="45">
        <v>5785</v>
      </c>
      <c r="G9" s="39">
        <f t="shared" si="0"/>
        <v>198840</v>
      </c>
      <c r="H9" s="40"/>
      <c r="I9" s="41">
        <v>2884</v>
      </c>
      <c r="J9" s="41"/>
      <c r="K9" s="42">
        <f>I9-F9</f>
        <v>-2901</v>
      </c>
      <c r="L9" s="36">
        <v>45945</v>
      </c>
      <c r="M9" s="42">
        <f>E9</f>
        <v>193055</v>
      </c>
      <c r="N9" s="42">
        <f>F9</f>
        <v>5785</v>
      </c>
      <c r="O9" s="42">
        <f>SUM(M9:N9)</f>
        <v>198840</v>
      </c>
      <c r="P9" s="42">
        <f t="shared" si="2"/>
        <v>-2901</v>
      </c>
      <c r="Q9" s="42">
        <f t="shared" si="3"/>
        <v>2884</v>
      </c>
      <c r="R9" s="42">
        <f t="shared" si="4"/>
        <v>-17</v>
      </c>
      <c r="S9" s="42" t="s">
        <v>136</v>
      </c>
      <c r="T9" s="43" t="s">
        <v>134</v>
      </c>
    </row>
    <row r="10" spans="1:20" x14ac:dyDescent="0.3">
      <c r="A10" s="33">
        <f t="shared" si="1"/>
        <v>4</v>
      </c>
      <c r="B10" s="34" t="s">
        <v>137</v>
      </c>
      <c r="C10" s="54" t="s">
        <v>138</v>
      </c>
      <c r="D10" s="46">
        <v>45957</v>
      </c>
      <c r="E10" s="47">
        <v>0</v>
      </c>
      <c r="F10" s="47">
        <v>0</v>
      </c>
      <c r="G10" s="39">
        <f t="shared" si="0"/>
        <v>0</v>
      </c>
      <c r="H10" s="40">
        <v>50000</v>
      </c>
      <c r="I10" s="41">
        <v>1472</v>
      </c>
      <c r="J10" s="41"/>
      <c r="K10" s="42"/>
      <c r="L10" s="36">
        <v>46322</v>
      </c>
      <c r="M10" s="42">
        <v>0</v>
      </c>
      <c r="N10" s="42">
        <v>0</v>
      </c>
      <c r="O10" s="42">
        <f t="shared" ref="O10:O14" si="5">SUM(M10:N10)</f>
        <v>0</v>
      </c>
      <c r="P10" s="42">
        <f t="shared" si="2"/>
        <v>50000</v>
      </c>
      <c r="Q10" s="42">
        <f t="shared" si="3"/>
        <v>1472</v>
      </c>
      <c r="R10" s="42">
        <f t="shared" si="4"/>
        <v>51472</v>
      </c>
      <c r="S10" s="42" t="s">
        <v>139</v>
      </c>
      <c r="T10" s="43" t="s">
        <v>134</v>
      </c>
    </row>
    <row r="11" spans="1:20" x14ac:dyDescent="0.3">
      <c r="A11" s="33">
        <f t="shared" si="1"/>
        <v>5</v>
      </c>
      <c r="B11" s="34" t="s">
        <v>137</v>
      </c>
      <c r="C11" s="54" t="s">
        <v>140</v>
      </c>
      <c r="D11" s="36">
        <v>45755</v>
      </c>
      <c r="E11" s="47">
        <v>0</v>
      </c>
      <c r="F11" s="48">
        <v>0</v>
      </c>
      <c r="G11" s="39">
        <f t="shared" si="0"/>
        <v>0</v>
      </c>
      <c r="H11" s="40">
        <v>50000</v>
      </c>
      <c r="I11" s="41">
        <v>3877</v>
      </c>
      <c r="J11" s="41"/>
      <c r="K11" s="42"/>
      <c r="L11" s="36">
        <v>46120</v>
      </c>
      <c r="M11" s="42"/>
      <c r="N11" s="42"/>
      <c r="O11" s="42">
        <f t="shared" si="5"/>
        <v>0</v>
      </c>
      <c r="P11" s="42">
        <f t="shared" si="2"/>
        <v>50000</v>
      </c>
      <c r="Q11" s="42">
        <f t="shared" si="3"/>
        <v>3877</v>
      </c>
      <c r="R11" s="42">
        <f t="shared" si="4"/>
        <v>53877</v>
      </c>
      <c r="S11" s="42" t="s">
        <v>139</v>
      </c>
      <c r="T11" s="43"/>
    </row>
    <row r="12" spans="1:20" x14ac:dyDescent="0.3">
      <c r="A12" s="33">
        <f t="shared" si="1"/>
        <v>6</v>
      </c>
      <c r="B12" s="34" t="s">
        <v>137</v>
      </c>
      <c r="C12" s="54" t="s">
        <v>141</v>
      </c>
      <c r="D12" s="36">
        <v>46028</v>
      </c>
      <c r="E12" s="47">
        <v>0</v>
      </c>
      <c r="F12" s="48">
        <v>0</v>
      </c>
      <c r="G12" s="39">
        <f t="shared" si="0"/>
        <v>0</v>
      </c>
      <c r="H12" s="40">
        <v>640000</v>
      </c>
      <c r="I12" s="41">
        <v>9911</v>
      </c>
      <c r="J12" s="41"/>
      <c r="K12" s="42"/>
      <c r="L12" s="36">
        <v>46393</v>
      </c>
      <c r="M12" s="42">
        <v>0</v>
      </c>
      <c r="N12" s="42">
        <v>9911</v>
      </c>
      <c r="O12" s="42">
        <f t="shared" si="5"/>
        <v>9911</v>
      </c>
      <c r="P12" s="42">
        <f t="shared" si="2"/>
        <v>640000</v>
      </c>
      <c r="Q12" s="42">
        <f t="shared" si="3"/>
        <v>0</v>
      </c>
      <c r="R12" s="42">
        <f t="shared" si="4"/>
        <v>640000</v>
      </c>
      <c r="S12" s="42" t="s">
        <v>139</v>
      </c>
      <c r="T12" s="43"/>
    </row>
    <row r="13" spans="1:20" ht="41.4" x14ac:dyDescent="0.3">
      <c r="A13" s="33">
        <f t="shared" si="1"/>
        <v>7</v>
      </c>
      <c r="B13" s="34" t="s">
        <v>137</v>
      </c>
      <c r="C13" s="54" t="s">
        <v>142</v>
      </c>
      <c r="D13" s="36">
        <v>42842</v>
      </c>
      <c r="E13" s="47">
        <v>640000</v>
      </c>
      <c r="F13" s="48">
        <v>31239</v>
      </c>
      <c r="G13" s="39">
        <f t="shared" si="0"/>
        <v>671239</v>
      </c>
      <c r="H13" s="40"/>
      <c r="I13" s="41">
        <f>F13</f>
        <v>31239</v>
      </c>
      <c r="J13" s="41"/>
      <c r="K13" s="42"/>
      <c r="L13" s="36">
        <v>46012</v>
      </c>
      <c r="M13" s="42">
        <f>E13</f>
        <v>640000</v>
      </c>
      <c r="N13" s="42">
        <f>I13-J13</f>
        <v>31239</v>
      </c>
      <c r="O13" s="42">
        <f t="shared" si="5"/>
        <v>671239</v>
      </c>
      <c r="P13" s="42"/>
      <c r="Q13" s="42"/>
      <c r="R13" s="42"/>
      <c r="S13" s="42" t="s">
        <v>136</v>
      </c>
      <c r="T13" s="49" t="s">
        <v>143</v>
      </c>
    </row>
    <row r="14" spans="1:20" x14ac:dyDescent="0.3">
      <c r="A14" s="33">
        <f t="shared" si="1"/>
        <v>8</v>
      </c>
      <c r="B14" s="34"/>
      <c r="C14" s="35"/>
      <c r="D14" s="36"/>
      <c r="E14" s="37"/>
      <c r="F14" s="38">
        <v>0</v>
      </c>
      <c r="G14" s="39">
        <f t="shared" si="0"/>
        <v>0</v>
      </c>
      <c r="H14" s="40"/>
      <c r="I14" s="41"/>
      <c r="J14" s="41"/>
      <c r="K14" s="42"/>
      <c r="L14" s="36"/>
      <c r="M14" s="42">
        <f t="shared" ref="M14" si="6">G14</f>
        <v>0</v>
      </c>
      <c r="N14" s="42"/>
      <c r="O14" s="42">
        <f t="shared" si="5"/>
        <v>0</v>
      </c>
      <c r="P14" s="42">
        <f t="shared" ref="P14" si="7">E14+H14-M14+K14</f>
        <v>0</v>
      </c>
      <c r="Q14" s="42">
        <f t="shared" ref="Q14" si="8">F14+I14-J14-N14</f>
        <v>0</v>
      </c>
      <c r="R14" s="42">
        <f t="shared" ref="R14" si="9">Q14+P14</f>
        <v>0</v>
      </c>
      <c r="S14" s="42"/>
      <c r="T14" s="43"/>
    </row>
    <row r="15" spans="1:20" ht="15" thickBot="1" x14ac:dyDescent="0.35">
      <c r="A15" s="50"/>
      <c r="B15" s="51" t="s">
        <v>128</v>
      </c>
      <c r="C15" s="52"/>
      <c r="D15" s="52"/>
      <c r="E15" s="51">
        <f t="shared" ref="E15:R15" si="10">SUBTOTAL(9,E7:E14)</f>
        <v>1169958</v>
      </c>
      <c r="F15" s="51">
        <f t="shared" si="10"/>
        <v>49477</v>
      </c>
      <c r="G15" s="51">
        <f t="shared" si="10"/>
        <v>1219435</v>
      </c>
      <c r="H15" s="51">
        <f t="shared" si="10"/>
        <v>1104114</v>
      </c>
      <c r="I15" s="51">
        <f t="shared" si="10"/>
        <v>74189</v>
      </c>
      <c r="J15" s="51">
        <f t="shared" si="10"/>
        <v>0</v>
      </c>
      <c r="K15" s="51">
        <f t="shared" si="10"/>
        <v>-2901</v>
      </c>
      <c r="L15" s="51">
        <f t="shared" si="10"/>
        <v>323183</v>
      </c>
      <c r="M15" s="51">
        <f t="shared" si="10"/>
        <v>1182411</v>
      </c>
      <c r="N15" s="51">
        <f t="shared" si="10"/>
        <v>61693</v>
      </c>
      <c r="O15" s="51">
        <f t="shared" si="10"/>
        <v>1244104</v>
      </c>
      <c r="P15" s="51">
        <f t="shared" si="10"/>
        <v>1101213</v>
      </c>
      <c r="Q15" s="51">
        <f t="shared" si="10"/>
        <v>18281</v>
      </c>
      <c r="R15" s="51">
        <f t="shared" si="10"/>
        <v>1119494</v>
      </c>
      <c r="S15" s="51"/>
      <c r="T15" s="53"/>
    </row>
    <row r="16" spans="1:20" ht="15" thickTop="1" x14ac:dyDescent="0.3"/>
  </sheetData>
  <mergeCells count="13">
    <mergeCell ref="P4:R4"/>
    <mergeCell ref="S4:S5"/>
    <mergeCell ref="T4:T5"/>
    <mergeCell ref="A3:T3"/>
    <mergeCell ref="A4:A5"/>
    <mergeCell ref="B4:B5"/>
    <mergeCell ref="C4:C5"/>
    <mergeCell ref="D4:D5"/>
    <mergeCell ref="E4:G4"/>
    <mergeCell ref="J4:J5"/>
    <mergeCell ref="K4:K5"/>
    <mergeCell ref="L4:L5"/>
    <mergeCell ref="M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opLeftCell="A7" workbookViewId="0">
      <selection activeCell="C20" sqref="C20"/>
    </sheetView>
  </sheetViews>
  <sheetFormatPr defaultRowHeight="14.4" x14ac:dyDescent="0.3"/>
  <cols>
    <col min="1" max="1" width="10.6640625" bestFit="1" customWidth="1"/>
    <col min="2" max="2" width="38" customWidth="1"/>
    <col min="3" max="3" width="8.5546875" bestFit="1" customWidth="1"/>
    <col min="4" max="4" width="9.5546875" bestFit="1" customWidth="1"/>
  </cols>
  <sheetData>
    <row r="1" spans="1:4" x14ac:dyDescent="0.3">
      <c r="A1" s="193" t="s">
        <v>97</v>
      </c>
      <c r="B1" s="193"/>
      <c r="C1" s="193"/>
      <c r="D1" s="193"/>
    </row>
    <row r="2" spans="1:4" x14ac:dyDescent="0.3">
      <c r="A2" s="1" t="s">
        <v>98</v>
      </c>
      <c r="B2" s="1" t="s">
        <v>99</v>
      </c>
      <c r="C2" s="1" t="s">
        <v>100</v>
      </c>
      <c r="D2" s="1" t="s">
        <v>100</v>
      </c>
    </row>
    <row r="3" spans="1:4" x14ac:dyDescent="0.3">
      <c r="A3" s="2"/>
      <c r="B3" s="3" t="s">
        <v>101</v>
      </c>
      <c r="C3" s="4"/>
      <c r="D3" s="5"/>
    </row>
    <row r="4" spans="1:4" x14ac:dyDescent="0.3">
      <c r="A4" s="6"/>
      <c r="C4" s="7"/>
      <c r="D4" s="8"/>
    </row>
    <row r="5" spans="1:4" x14ac:dyDescent="0.3">
      <c r="A5" s="6"/>
      <c r="C5" s="7"/>
      <c r="D5" s="8"/>
    </row>
    <row r="6" spans="1:4" x14ac:dyDescent="0.3">
      <c r="A6" s="6"/>
      <c r="B6" s="9" t="s">
        <v>102</v>
      </c>
      <c r="C6" s="7">
        <v>64146.43</v>
      </c>
      <c r="D6" s="8"/>
    </row>
    <row r="7" spans="1:4" x14ac:dyDescent="0.3">
      <c r="A7" s="6"/>
      <c r="C7" s="7"/>
      <c r="D7" s="8"/>
    </row>
    <row r="8" spans="1:4" x14ac:dyDescent="0.3">
      <c r="A8" s="6"/>
      <c r="B8" t="s">
        <v>103</v>
      </c>
      <c r="C8" s="7"/>
      <c r="D8" s="8"/>
    </row>
    <row r="9" spans="1:4" x14ac:dyDescent="0.3">
      <c r="A9" s="10">
        <v>46112</v>
      </c>
      <c r="B9" t="s">
        <v>104</v>
      </c>
      <c r="C9" s="7">
        <v>18000</v>
      </c>
      <c r="D9" s="8"/>
    </row>
    <row r="10" spans="1:4" x14ac:dyDescent="0.3">
      <c r="A10" s="10">
        <v>46112</v>
      </c>
      <c r="B10" t="s">
        <v>105</v>
      </c>
      <c r="C10" s="7">
        <v>18809</v>
      </c>
      <c r="D10" s="8"/>
    </row>
    <row r="11" spans="1:4" x14ac:dyDescent="0.3">
      <c r="A11" s="10">
        <v>46112</v>
      </c>
      <c r="B11" t="s">
        <v>106</v>
      </c>
      <c r="C11" s="11">
        <v>7000</v>
      </c>
      <c r="D11" s="8">
        <f>SUM(C6:C11)</f>
        <v>107955.43</v>
      </c>
    </row>
    <row r="12" spans="1:4" x14ac:dyDescent="0.3">
      <c r="A12" s="6"/>
      <c r="C12" s="7"/>
      <c r="D12" s="8"/>
    </row>
    <row r="13" spans="1:4" x14ac:dyDescent="0.3">
      <c r="A13" s="6"/>
      <c r="B13" s="9" t="s">
        <v>107</v>
      </c>
      <c r="C13" s="7"/>
      <c r="D13" s="8"/>
    </row>
    <row r="14" spans="1:4" x14ac:dyDescent="0.3">
      <c r="A14" s="10">
        <v>45900</v>
      </c>
      <c r="B14" t="s">
        <v>108</v>
      </c>
      <c r="C14" s="7"/>
      <c r="D14" s="8">
        <v>1200</v>
      </c>
    </row>
    <row r="15" spans="1:4" x14ac:dyDescent="0.3">
      <c r="A15" s="6"/>
      <c r="C15" s="7"/>
      <c r="D15" s="8"/>
    </row>
    <row r="16" spans="1:4" x14ac:dyDescent="0.3">
      <c r="A16" s="12"/>
      <c r="C16" s="11"/>
      <c r="D16" s="13"/>
    </row>
    <row r="17" spans="1:4" ht="15" thickBot="1" x14ac:dyDescent="0.35">
      <c r="A17" s="14"/>
      <c r="B17" s="194" t="s">
        <v>109</v>
      </c>
      <c r="C17" s="195"/>
      <c r="D17" s="15">
        <f>D11-D14</f>
        <v>106755.43</v>
      </c>
    </row>
  </sheetData>
  <mergeCells count="2">
    <mergeCell ref="A1:D1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I&amp;E 25-26</vt:lpstr>
      <vt:lpstr>BS 25-26</vt:lpstr>
      <vt:lpstr>FD 25-26</vt:lpstr>
      <vt:lpstr>BRS 25-26</vt:lpstr>
      <vt:lpstr>'BS 25-26'!Print_Area</vt:lpstr>
      <vt:lpstr>'I&amp;E 25-26'!Print_Area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bharatboridkar@gmail.com</cp:lastModifiedBy>
  <cp:lastPrinted>2026-07-27T19:08:21Z</cp:lastPrinted>
  <dcterms:created xsi:type="dcterms:W3CDTF">2026-07-23T06:57:26Z</dcterms:created>
  <dcterms:modified xsi:type="dcterms:W3CDTF">2026-07-28T17:26:59Z</dcterms:modified>
</cp:coreProperties>
</file>