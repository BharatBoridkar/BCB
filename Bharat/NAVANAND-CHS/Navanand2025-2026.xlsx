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BHARAT\2025-2026\BCB\Bharat\NAVANAND-CHS\"/>
    </mc:Choice>
  </mc:AlternateContent>
  <xr:revisionPtr revIDLastSave="0" documentId="13_ncr:1_{D6F55135-8653-4B76-80AB-6AEDB5E4EECC}" xr6:coauthVersionLast="47" xr6:coauthVersionMax="47" xr10:uidLastSave="{00000000-0000-0000-0000-000000000000}"/>
  <bookViews>
    <workbookView xWindow="-108" yWindow="-108" windowWidth="23256" windowHeight="12456" firstSheet="7" activeTab="8" xr2:uid="{00000000-000D-0000-FFFF-FFFF00000000}"/>
  </bookViews>
  <sheets>
    <sheet name="TIT" sheetId="5" r:id="rId1"/>
    <sheet name="First Page" sheetId="11" r:id="rId2"/>
    <sheet name="Ltr to Soct." sheetId="31" r:id="rId3"/>
    <sheet name="AR" sheetId="25" r:id="rId4"/>
    <sheet name="F-1" sheetId="10" r:id="rId5"/>
    <sheet name="F-28" sheetId="12" r:id="rId6"/>
    <sheet name="SCHAR (2)" sheetId="26" r:id="rId7"/>
    <sheet name="GR" sheetId="28" r:id="rId8"/>
    <sheet name="SCH (2)" sheetId="27" r:id="rId9"/>
    <sheet name="I&amp;E" sheetId="1" r:id="rId10"/>
    <sheet name="Bal-Sheet" sheetId="2" r:id="rId11"/>
    <sheet name="FD-2025-2026" sheetId="48" r:id="rId12"/>
    <sheet name="Debtor" sheetId="3" r:id="rId13"/>
    <sheet name="FD-2024-2025" sheetId="47" r:id="rId14"/>
    <sheet name="First Page (2)" sheetId="36" r:id="rId15"/>
    <sheet name="mEETING" sheetId="41" r:id="rId16"/>
    <sheet name="PETTY-CASH" sheetId="38" r:id="rId17"/>
    <sheet name="Sheet1" sheetId="44" r:id="rId18"/>
  </sheets>
  <definedNames>
    <definedName name="__sch2" localSheetId="3">#REF!</definedName>
    <definedName name="__sch2" localSheetId="13">#REF!</definedName>
    <definedName name="__sch2" localSheetId="11">#REF!</definedName>
    <definedName name="__sch2" localSheetId="14">#REF!</definedName>
    <definedName name="__sch2" localSheetId="2">#REF!</definedName>
    <definedName name="__sch2">#REF!</definedName>
    <definedName name="_123" localSheetId="13">#REF!</definedName>
    <definedName name="_123" localSheetId="11">#REF!</definedName>
    <definedName name="_123" localSheetId="14">#REF!</definedName>
    <definedName name="_123">#REF!</definedName>
    <definedName name="_4" localSheetId="13">#REF!</definedName>
    <definedName name="_4" localSheetId="11">#REF!</definedName>
    <definedName name="_4" localSheetId="14">#REF!</definedName>
    <definedName name="_4" localSheetId="2">#REF!</definedName>
    <definedName name="_4">#REF!</definedName>
    <definedName name="_jG1" localSheetId="3">#REF!</definedName>
    <definedName name="_jG1" localSheetId="13">#REF!</definedName>
    <definedName name="_jG1" localSheetId="11">#REF!</definedName>
    <definedName name="_jG1" localSheetId="14">#REF!</definedName>
    <definedName name="_jG1" localSheetId="2">#REF!</definedName>
    <definedName name="_jG1">#REF!</definedName>
    <definedName name="_sch2" localSheetId="3">#REF!</definedName>
    <definedName name="_sch2" localSheetId="13">#REF!</definedName>
    <definedName name="_sch2" localSheetId="11">#REF!</definedName>
    <definedName name="_sch2" localSheetId="14">#REF!</definedName>
    <definedName name="_sch2" localSheetId="2">#REF!</definedName>
    <definedName name="_sch2">#REF!</definedName>
    <definedName name="a" localSheetId="3">#REF!</definedName>
    <definedName name="a" localSheetId="13">#REF!</definedName>
    <definedName name="a" localSheetId="11">#REF!</definedName>
    <definedName name="a" localSheetId="14">#REF!</definedName>
    <definedName name="a" localSheetId="2">#REF!</definedName>
    <definedName name="a">#REF!</definedName>
    <definedName name="DATA1" localSheetId="3">#REF!</definedName>
    <definedName name="DATA1" localSheetId="13">#REF!</definedName>
    <definedName name="DATA1" localSheetId="11">#REF!</definedName>
    <definedName name="DATA1" localSheetId="14">#REF!</definedName>
    <definedName name="DATA1" localSheetId="2">#REF!</definedName>
    <definedName name="DATA1">#REF!</definedName>
    <definedName name="DATA10" localSheetId="3">#REF!</definedName>
    <definedName name="DATA10" localSheetId="13">#REF!</definedName>
    <definedName name="DATA10" localSheetId="11">#REF!</definedName>
    <definedName name="DATA10" localSheetId="14">#REF!</definedName>
    <definedName name="DATA10" localSheetId="2">#REF!</definedName>
    <definedName name="DATA10">#REF!</definedName>
    <definedName name="DATA11" localSheetId="3">#REF!</definedName>
    <definedName name="DATA11" localSheetId="13">#REF!</definedName>
    <definedName name="DATA11" localSheetId="11">#REF!</definedName>
    <definedName name="DATA11" localSheetId="14">#REF!</definedName>
    <definedName name="DATA11" localSheetId="2">#REF!</definedName>
    <definedName name="DATA11">#REF!</definedName>
    <definedName name="DATA12" localSheetId="3">#REF!</definedName>
    <definedName name="DATA12" localSheetId="13">#REF!</definedName>
    <definedName name="DATA12" localSheetId="11">#REF!</definedName>
    <definedName name="DATA12" localSheetId="14">#REF!</definedName>
    <definedName name="DATA12" localSheetId="2">#REF!</definedName>
    <definedName name="DATA12">#REF!</definedName>
    <definedName name="DATA13" localSheetId="3">#REF!</definedName>
    <definedName name="DATA13" localSheetId="13">#REF!</definedName>
    <definedName name="DATA13" localSheetId="11">#REF!</definedName>
    <definedName name="DATA13" localSheetId="14">#REF!</definedName>
    <definedName name="DATA13" localSheetId="2">#REF!</definedName>
    <definedName name="DATA13">#REF!</definedName>
    <definedName name="DATA14" localSheetId="3">#REF!</definedName>
    <definedName name="DATA14" localSheetId="13">#REF!</definedName>
    <definedName name="DATA14" localSheetId="11">#REF!</definedName>
    <definedName name="DATA14" localSheetId="14">#REF!</definedName>
    <definedName name="DATA14" localSheetId="2">#REF!</definedName>
    <definedName name="DATA14">#REF!</definedName>
    <definedName name="DATA15" localSheetId="3">#REF!</definedName>
    <definedName name="DATA15" localSheetId="13">#REF!</definedName>
    <definedName name="DATA15" localSheetId="11">#REF!</definedName>
    <definedName name="DATA15" localSheetId="14">#REF!</definedName>
    <definedName name="DATA15" localSheetId="2">#REF!</definedName>
    <definedName name="DATA15">#REF!</definedName>
    <definedName name="DATA16" localSheetId="3">#REF!</definedName>
    <definedName name="DATA16" localSheetId="13">#REF!</definedName>
    <definedName name="DATA16" localSheetId="11">#REF!</definedName>
    <definedName name="DATA16" localSheetId="14">#REF!</definedName>
    <definedName name="DATA16" localSheetId="2">#REF!</definedName>
    <definedName name="DATA16">#REF!</definedName>
    <definedName name="DATA17" localSheetId="3">#REF!</definedName>
    <definedName name="DATA17" localSheetId="13">#REF!</definedName>
    <definedName name="DATA17" localSheetId="11">#REF!</definedName>
    <definedName name="DATA17" localSheetId="14">#REF!</definedName>
    <definedName name="DATA17" localSheetId="2">#REF!</definedName>
    <definedName name="DATA17">#REF!</definedName>
    <definedName name="DATA2" localSheetId="3">#REF!</definedName>
    <definedName name="DATA2" localSheetId="13">#REF!</definedName>
    <definedName name="DATA2" localSheetId="11">#REF!</definedName>
    <definedName name="DATA2" localSheetId="14">#REF!</definedName>
    <definedName name="DATA2" localSheetId="2">#REF!</definedName>
    <definedName name="DATA2">#REF!</definedName>
    <definedName name="DATA3" localSheetId="3">#REF!</definedName>
    <definedName name="DATA3" localSheetId="13">#REF!</definedName>
    <definedName name="DATA3" localSheetId="11">#REF!</definedName>
    <definedName name="DATA3" localSheetId="14">#REF!</definedName>
    <definedName name="DATA3" localSheetId="2">#REF!</definedName>
    <definedName name="DATA3">#REF!</definedName>
    <definedName name="DATA4" localSheetId="3">#REF!</definedName>
    <definedName name="DATA4" localSheetId="13">#REF!</definedName>
    <definedName name="DATA4" localSheetId="11">#REF!</definedName>
    <definedName name="DATA4" localSheetId="14">#REF!</definedName>
    <definedName name="DATA4" localSheetId="2">#REF!</definedName>
    <definedName name="DATA4">#REF!</definedName>
    <definedName name="DATA5" localSheetId="3">#REF!</definedName>
    <definedName name="DATA5" localSheetId="13">#REF!</definedName>
    <definedName name="DATA5" localSheetId="11">#REF!</definedName>
    <definedName name="DATA5" localSheetId="14">#REF!</definedName>
    <definedName name="DATA5" localSheetId="2">#REF!</definedName>
    <definedName name="DATA5">#REF!</definedName>
    <definedName name="DATA6" localSheetId="3">#REF!</definedName>
    <definedName name="DATA6" localSheetId="13">#REF!</definedName>
    <definedName name="DATA6" localSheetId="11">#REF!</definedName>
    <definedName name="DATA6" localSheetId="14">#REF!</definedName>
    <definedName name="DATA6" localSheetId="2">#REF!</definedName>
    <definedName name="DATA6">#REF!</definedName>
    <definedName name="DATA7" localSheetId="3">#REF!</definedName>
    <definedName name="DATA7" localSheetId="13">#REF!</definedName>
    <definedName name="DATA7" localSheetId="11">#REF!</definedName>
    <definedName name="DATA7" localSheetId="14">#REF!</definedName>
    <definedName name="DATA7" localSheetId="2">#REF!</definedName>
    <definedName name="DATA7">#REF!</definedName>
    <definedName name="DATA8" localSheetId="3">#REF!</definedName>
    <definedName name="DATA8" localSheetId="13">#REF!</definedName>
    <definedName name="DATA8" localSheetId="11">#REF!</definedName>
    <definedName name="DATA8" localSheetId="14">#REF!</definedName>
    <definedName name="DATA8" localSheetId="2">#REF!</definedName>
    <definedName name="DATA8">#REF!</definedName>
    <definedName name="DATA9" localSheetId="3">#REF!</definedName>
    <definedName name="DATA9" localSheetId="13">#REF!</definedName>
    <definedName name="DATA9" localSheetId="11">#REF!</definedName>
    <definedName name="DATA9" localSheetId="14">#REF!</definedName>
    <definedName name="DATA9" localSheetId="2">#REF!</definedName>
    <definedName name="DATA9">#REF!</definedName>
    <definedName name="_xlnm.Database" localSheetId="3">#REF!</definedName>
    <definedName name="_xlnm.Database" localSheetId="13">#REF!</definedName>
    <definedName name="_xlnm.Database" localSheetId="11">#REF!</definedName>
    <definedName name="_xlnm.Database" localSheetId="14">#REF!</definedName>
    <definedName name="_xlnm.Database" localSheetId="2">#REF!</definedName>
    <definedName name="_xlnm.Database">#REF!</definedName>
    <definedName name="delete" localSheetId="13">#REF!</definedName>
    <definedName name="delete" localSheetId="11">#REF!</definedName>
    <definedName name="delete" localSheetId="14">#REF!</definedName>
    <definedName name="delete" localSheetId="2">#REF!</definedName>
    <definedName name="delete">#REF!</definedName>
    <definedName name="djdjdj" localSheetId="3">#REF!</definedName>
    <definedName name="djdjdj" localSheetId="13">#REF!</definedName>
    <definedName name="djdjdj" localSheetId="11">#REF!</definedName>
    <definedName name="djdjdj" localSheetId="14">#REF!</definedName>
    <definedName name="djdjdj" localSheetId="2">#REF!</definedName>
    <definedName name="djdjdj">#REF!</definedName>
    <definedName name="dtleapl" localSheetId="3">#REF!</definedName>
    <definedName name="dtleapl" localSheetId="13">#REF!</definedName>
    <definedName name="dtleapl" localSheetId="11">#REF!</definedName>
    <definedName name="dtleapl" localSheetId="14">#REF!</definedName>
    <definedName name="dtleapl" localSheetId="2">#REF!</definedName>
    <definedName name="dtleapl">#REF!</definedName>
    <definedName name="FOUR" localSheetId="13">#REF!</definedName>
    <definedName name="FOUR" localSheetId="11">#REF!</definedName>
    <definedName name="FOUR" localSheetId="14">#REF!</definedName>
    <definedName name="FOUR" localSheetId="2">#REF!</definedName>
    <definedName name="FOUR">#REF!</definedName>
    <definedName name="hdilcf311206" localSheetId="3">#REF!</definedName>
    <definedName name="hdilcf311206" localSheetId="13">#REF!</definedName>
    <definedName name="hdilcf311206" localSheetId="11">#REF!</definedName>
    <definedName name="hdilcf311206" localSheetId="14">#REF!</definedName>
    <definedName name="hdilcf311206" localSheetId="2">#REF!</definedName>
    <definedName name="hdilcf311206">#REF!</definedName>
    <definedName name="jjjj" localSheetId="3">#REF!</definedName>
    <definedName name="jjjj" localSheetId="13">#REF!</definedName>
    <definedName name="jjjj" localSheetId="11">#REF!</definedName>
    <definedName name="jjjj" localSheetId="14">#REF!</definedName>
    <definedName name="jjjj" localSheetId="2">#REF!</definedName>
    <definedName name="jjjj">#REF!</definedName>
    <definedName name="JJJS" localSheetId="3">#REF!</definedName>
    <definedName name="JJJS" localSheetId="13">#REF!</definedName>
    <definedName name="JJJS" localSheetId="11">#REF!</definedName>
    <definedName name="JJJS" localSheetId="14">#REF!</definedName>
    <definedName name="JJJS" localSheetId="2">#REF!</definedName>
    <definedName name="JJJS">#REF!</definedName>
    <definedName name="model">#REF!</definedName>
    <definedName name="oldconst" localSheetId="3">#REF!</definedName>
    <definedName name="oldconst" localSheetId="13">#REF!</definedName>
    <definedName name="oldconst" localSheetId="11">#REF!</definedName>
    <definedName name="oldconst" localSheetId="14">#REF!</definedName>
    <definedName name="oldconst" localSheetId="2">#REF!</definedName>
    <definedName name="oldconst" localSheetId="6">#REF!</definedName>
    <definedName name="oldconst">#REF!</definedName>
    <definedName name="ppil" localSheetId="3">#REF!</definedName>
    <definedName name="ppil" localSheetId="13">#REF!</definedName>
    <definedName name="ppil" localSheetId="11">#REF!</definedName>
    <definedName name="ppil" localSheetId="14">#REF!</definedName>
    <definedName name="ppil" localSheetId="2">#REF!</definedName>
    <definedName name="ppil">#REF!</definedName>
    <definedName name="_xlnm.Print_Area" localSheetId="3">AR!$A$2:$L$72</definedName>
    <definedName name="_xlnm.Print_Area" localSheetId="10">'Bal-Sheet'!$A$1:$H$63</definedName>
    <definedName name="_xlnm.Print_Area" localSheetId="12">Debtor!$A$1:$D$43</definedName>
    <definedName name="_xlnm.Print_Area" localSheetId="4">'F-1'!$A$1:$N$187</definedName>
    <definedName name="_xlnm.Print_Area" localSheetId="13">'FD-2024-2025'!$A$1:$J$44</definedName>
    <definedName name="_xlnm.Print_Area" localSheetId="11">'FD-2025-2026'!$A$1:$J$31</definedName>
    <definedName name="_xlnm.Print_Area" localSheetId="1">'First Page'!$A$1:$J$44</definedName>
    <definedName name="_xlnm.Print_Area" localSheetId="14">'First Page (2)'!$A$1:$J$42</definedName>
    <definedName name="_xlnm.Print_Area" localSheetId="7">GR!$A$1:$R$298</definedName>
    <definedName name="_xlnm.Print_Area" localSheetId="9">'I&amp;E'!$A$1:$H$47</definedName>
    <definedName name="_xlnm.Print_Area" localSheetId="2">'Ltr to Soct.'!$A$2:$L$34</definedName>
    <definedName name="_xlnm.Print_Area" localSheetId="8">'SCH (2)'!$A$1:$N$47</definedName>
    <definedName name="_xlnm.Print_Area" localSheetId="6">'SCHAR (2)'!$A$1:$M$48</definedName>
    <definedName name="_xlnm.Print_Area" localSheetId="0">TIT!$A$1:$J$32</definedName>
    <definedName name="_xlnm.Print_Area">#REF!</definedName>
    <definedName name="_xlnm.Print_Titles" localSheetId="3">AR!$2:$4</definedName>
    <definedName name="_xlnm.Print_Titles" localSheetId="10">'Bal-Sheet'!$1:$5</definedName>
    <definedName name="_xlnm.Print_Titles" localSheetId="4">'F-1'!$5:$6</definedName>
    <definedName name="_xlnm.Print_Titles" localSheetId="5">'F-28'!$1:$2</definedName>
    <definedName name="_xlnm.Print_Titles" localSheetId="7">GR!$2:$2</definedName>
    <definedName name="_xlnm.Print_Titles" localSheetId="2">'Ltr to Soct.'!$2:$5</definedName>
    <definedName name="printa" localSheetId="13">#REF!</definedName>
    <definedName name="printa" localSheetId="11">#REF!</definedName>
    <definedName name="printa" localSheetId="14">#REF!</definedName>
    <definedName name="printa" localSheetId="2">#REF!</definedName>
    <definedName name="printa">#REF!</definedName>
    <definedName name="related" localSheetId="3">#REF!</definedName>
    <definedName name="related" localSheetId="13">#REF!</definedName>
    <definedName name="related" localSheetId="11">#REF!</definedName>
    <definedName name="related" localSheetId="14">#REF!</definedName>
    <definedName name="related" localSheetId="2">#REF!</definedName>
    <definedName name="related">#REF!</definedName>
    <definedName name="row" localSheetId="13">#REF!</definedName>
    <definedName name="row" localSheetId="11">#REF!</definedName>
    <definedName name="row" localSheetId="14">#REF!</definedName>
    <definedName name="row" localSheetId="2">#REF!</definedName>
    <definedName name="row">#REF!</definedName>
    <definedName name="RPLY" localSheetId="3">#REF!</definedName>
    <definedName name="RPLY" localSheetId="2">#REF!</definedName>
    <definedName name="RPLY">#REF!</definedName>
    <definedName name="rpy" localSheetId="3">#REF!</definedName>
    <definedName name="rpy" localSheetId="2">#REF!</definedName>
    <definedName name="rpy">#REF!</definedName>
    <definedName name="Salary_Payment_Register" localSheetId="3">#REF!</definedName>
    <definedName name="Salary_Payment_Register" localSheetId="13">#REF!</definedName>
    <definedName name="Salary_Payment_Register" localSheetId="11">#REF!</definedName>
    <definedName name="Salary_Payment_Register" localSheetId="14">#REF!</definedName>
    <definedName name="Salary_Payment_Register" localSheetId="2">#REF!</definedName>
    <definedName name="Salary_Payment_Register">#REF!</definedName>
    <definedName name="SCHEDULE2" localSheetId="3">#REF!</definedName>
    <definedName name="SCHEDULE2" localSheetId="13">#REF!</definedName>
    <definedName name="SCHEDULE2" localSheetId="11">#REF!</definedName>
    <definedName name="SCHEDULE2" localSheetId="2">#REF!</definedName>
    <definedName name="SCHEDULE2" localSheetId="6">#REF!</definedName>
    <definedName name="SCHEDULE2">#REF!</definedName>
    <definedName name="schgt" localSheetId="3">#REF!</definedName>
    <definedName name="schgt" localSheetId="13">#REF!</definedName>
    <definedName name="schgt" localSheetId="11">#REF!</definedName>
    <definedName name="schgt" localSheetId="14">#REF!</definedName>
    <definedName name="schgt" localSheetId="2">#REF!</definedName>
    <definedName name="schgt">#REF!</definedName>
    <definedName name="sdsdskdksd" localSheetId="3">#REF!</definedName>
    <definedName name="sdsdskdksd" localSheetId="13">#REF!</definedName>
    <definedName name="sdsdskdksd" localSheetId="11">#REF!</definedName>
    <definedName name="sdsdskdksd" localSheetId="14">#REF!</definedName>
    <definedName name="sdsdskdksd" localSheetId="2">#REF!</definedName>
    <definedName name="sdsdskdksd">#REF!</definedName>
    <definedName name="socmst">#REF!</definedName>
    <definedName name="sti" localSheetId="3">#REF!</definedName>
    <definedName name="sti" localSheetId="13">#REF!</definedName>
    <definedName name="sti" localSheetId="11">#REF!</definedName>
    <definedName name="sti" localSheetId="14">#REF!</definedName>
    <definedName name="sti" localSheetId="2">#REF!</definedName>
    <definedName name="sti">#REF!</definedName>
    <definedName name="tdr" localSheetId="3">#REF!</definedName>
    <definedName name="tdr" localSheetId="13">#REF!</definedName>
    <definedName name="tdr" localSheetId="11">#REF!</definedName>
    <definedName name="tdr" localSheetId="14">#REF!</definedName>
    <definedName name="tdr" localSheetId="2">#REF!</definedName>
    <definedName name="tdr" localSheetId="6">#REF!</definedName>
    <definedName name="tdr">#REF!</definedName>
    <definedName name="TEST1" localSheetId="3">#REF!</definedName>
    <definedName name="TEST1" localSheetId="13">#REF!</definedName>
    <definedName name="TEST1" localSheetId="11">#REF!</definedName>
    <definedName name="TEST1" localSheetId="14">#REF!</definedName>
    <definedName name="TEST1" localSheetId="2">#REF!</definedName>
    <definedName name="TEST1">#REF!</definedName>
    <definedName name="TESTHKEY" localSheetId="3">#REF!</definedName>
    <definedName name="TESTHKEY" localSheetId="13">#REF!</definedName>
    <definedName name="TESTHKEY" localSheetId="11">#REF!</definedName>
    <definedName name="TESTHKEY" localSheetId="14">#REF!</definedName>
    <definedName name="TESTHKEY" localSheetId="2">#REF!</definedName>
    <definedName name="TESTHKEY">#REF!</definedName>
    <definedName name="TESTKEYS" localSheetId="3">#REF!</definedName>
    <definedName name="TESTKEYS" localSheetId="13">#REF!</definedName>
    <definedName name="TESTKEYS" localSheetId="11">#REF!</definedName>
    <definedName name="TESTKEYS" localSheetId="14">#REF!</definedName>
    <definedName name="TESTKEYS" localSheetId="2">#REF!</definedName>
    <definedName name="TESTKEYS">#REF!</definedName>
    <definedName name="TESTVKEY" localSheetId="3">#REF!</definedName>
    <definedName name="TESTVKEY" localSheetId="13">#REF!</definedName>
    <definedName name="TESTVKEY" localSheetId="11">#REF!</definedName>
    <definedName name="TESTVKEY" localSheetId="14">#REF!</definedName>
    <definedName name="TESTVKEY" localSheetId="2">#REF!</definedName>
    <definedName name="TESTVKEY">#REF!</definedName>
  </definedNames>
  <calcPr calcId="191029"/>
  <pivotCaches>
    <pivotCache cacheId="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2" l="1"/>
  <c r="C30" i="2"/>
  <c r="G30" i="1"/>
  <c r="B35" i="41"/>
  <c r="B34" i="41"/>
  <c r="H29" i="41"/>
  <c r="G29" i="41"/>
  <c r="H32" i="41"/>
  <c r="G32" i="41"/>
  <c r="G28" i="41"/>
  <c r="O19" i="48" l="1"/>
  <c r="O18" i="48"/>
  <c r="O17" i="48"/>
  <c r="O16" i="48"/>
  <c r="O15" i="48"/>
  <c r="O14" i="48"/>
  <c r="O13" i="48"/>
  <c r="O12" i="48"/>
  <c r="O11" i="48"/>
  <c r="O10" i="48"/>
  <c r="O9" i="48"/>
  <c r="O8" i="48"/>
  <c r="O7" i="48"/>
  <c r="O6" i="48"/>
  <c r="L23" i="48"/>
  <c r="N20" i="48"/>
  <c r="M20" i="48"/>
  <c r="L20" i="48"/>
  <c r="O33" i="47"/>
  <c r="N33" i="47"/>
  <c r="M33" i="47"/>
  <c r="L33" i="47"/>
  <c r="K33" i="47"/>
  <c r="F20" i="48"/>
  <c r="F26" i="48"/>
  <c r="K6" i="48"/>
  <c r="L5" i="48"/>
  <c r="F5" i="48"/>
  <c r="O4" i="48"/>
  <c r="O5" i="48" s="1"/>
  <c r="P29" i="47"/>
  <c r="P30" i="47"/>
  <c r="P27" i="47"/>
  <c r="F33" i="47"/>
  <c r="O16" i="47"/>
  <c r="O31" i="47"/>
  <c r="P31" i="47" s="1"/>
  <c r="O30" i="47"/>
  <c r="O29" i="47"/>
  <c r="O27" i="47"/>
  <c r="O23" i="47"/>
  <c r="P23" i="47" s="1"/>
  <c r="O21" i="47"/>
  <c r="P21" i="47" s="1"/>
  <c r="O19" i="47"/>
  <c r="P19" i="47" s="1"/>
  <c r="O17" i="47"/>
  <c r="P17" i="47" s="1"/>
  <c r="O15" i="47"/>
  <c r="P15" i="47" s="1"/>
  <c r="O13" i="47"/>
  <c r="P13" i="47" s="1"/>
  <c r="O11" i="47"/>
  <c r="P11" i="47" s="1"/>
  <c r="O9" i="47"/>
  <c r="P9" i="47" s="1"/>
  <c r="O8" i="47"/>
  <c r="O7" i="47"/>
  <c r="P7" i="47" s="1"/>
  <c r="O4" i="47"/>
  <c r="O20" i="48" l="1"/>
  <c r="F23" i="48"/>
  <c r="K20" i="48"/>
  <c r="K25" i="47"/>
  <c r="O25" i="47" s="1"/>
  <c r="P25" i="47" s="1"/>
  <c r="K6" i="47"/>
  <c r="B25" i="41"/>
  <c r="K7" i="1"/>
  <c r="O6" i="47" l="1"/>
  <c r="K36" i="1"/>
  <c r="D28" i="1"/>
  <c r="H19" i="1"/>
  <c r="D39" i="2"/>
  <c r="G28" i="2"/>
  <c r="B61" i="28"/>
  <c r="I73" i="10"/>
  <c r="D54" i="44" l="1"/>
  <c r="E54" i="44" s="1"/>
  <c r="E55" i="44" s="1"/>
  <c r="D49" i="44"/>
  <c r="E49" i="44" s="1"/>
  <c r="E50" i="44" s="1"/>
  <c r="D44" i="44"/>
  <c r="D43" i="44"/>
  <c r="E43" i="44"/>
  <c r="E44" i="44" s="1"/>
  <c r="E37" i="44"/>
  <c r="E38" i="44" s="1"/>
  <c r="D38" i="44"/>
  <c r="D37" i="44"/>
  <c r="E30" i="44"/>
  <c r="L86" i="38"/>
  <c r="L85" i="38"/>
  <c r="L84" i="38"/>
  <c r="L83" i="38"/>
  <c r="L82" i="38"/>
  <c r="L81" i="38"/>
  <c r="L80" i="38"/>
  <c r="L79" i="38"/>
  <c r="L78" i="38"/>
  <c r="L77" i="38"/>
  <c r="L76" i="38"/>
  <c r="L75" i="38"/>
  <c r="L74" i="38"/>
  <c r="L73" i="38"/>
  <c r="L72" i="38"/>
  <c r="L71" i="38"/>
  <c r="L70" i="38"/>
  <c r="L69" i="38"/>
  <c r="L68" i="38"/>
  <c r="L67" i="38"/>
  <c r="L66" i="38"/>
  <c r="L65" i="38"/>
  <c r="L63" i="38"/>
  <c r="L62" i="38"/>
  <c r="L61" i="38"/>
  <c r="L60" i="38"/>
  <c r="L59" i="38"/>
  <c r="L58" i="38"/>
  <c r="L57" i="38"/>
  <c r="L56" i="38"/>
  <c r="L55" i="38"/>
  <c r="L54" i="38"/>
  <c r="L53" i="38"/>
  <c r="L52" i="38"/>
  <c r="L51" i="38"/>
  <c r="L50" i="38"/>
  <c r="L49" i="38"/>
  <c r="L48" i="38"/>
  <c r="L47" i="38"/>
  <c r="L46" i="38"/>
  <c r="L45" i="38"/>
  <c r="L44" i="38"/>
  <c r="L43" i="38"/>
  <c r="L42" i="38"/>
  <c r="L41" i="38"/>
  <c r="L40" i="38"/>
  <c r="L39" i="38"/>
  <c r="L38" i="38"/>
  <c r="L37" i="38"/>
  <c r="L36" i="38"/>
  <c r="L35" i="38"/>
  <c r="L34" i="38"/>
  <c r="L33" i="38"/>
  <c r="L32" i="38"/>
  <c r="L31" i="38"/>
  <c r="L30" i="38"/>
  <c r="L29" i="38"/>
  <c r="L28" i="38"/>
  <c r="L27" i="38"/>
  <c r="L26" i="38"/>
  <c r="L25" i="38"/>
  <c r="L24" i="38"/>
  <c r="L23" i="38"/>
  <c r="L22" i="38"/>
  <c r="L21" i="38"/>
  <c r="L20" i="38"/>
  <c r="L19" i="38"/>
  <c r="L18" i="38"/>
  <c r="L17" i="38"/>
  <c r="L16" i="38"/>
  <c r="L15" i="38"/>
  <c r="L14" i="38"/>
  <c r="L13" i="38"/>
  <c r="L12" i="38"/>
  <c r="L11" i="38"/>
  <c r="L10" i="38"/>
  <c r="L9" i="38"/>
  <c r="L8" i="38"/>
  <c r="L7" i="38"/>
  <c r="L6" i="38"/>
  <c r="L5" i="38"/>
  <c r="L4" i="38"/>
  <c r="L3" i="38"/>
  <c r="K87" i="38"/>
  <c r="J87" i="38"/>
  <c r="I87" i="38"/>
  <c r="H87" i="38"/>
  <c r="G87" i="38"/>
  <c r="F87" i="38"/>
  <c r="I30" i="44"/>
  <c r="H30" i="44"/>
  <c r="G30" i="44"/>
  <c r="F30" i="44"/>
  <c r="D30" i="44"/>
  <c r="C30" i="44"/>
  <c r="L64" i="38"/>
  <c r="D55" i="44" l="1"/>
  <c r="D50" i="44"/>
  <c r="L87" i="38"/>
  <c r="E87" i="38"/>
  <c r="L5" i="47"/>
  <c r="F5" i="47"/>
  <c r="F36" i="47" l="1"/>
  <c r="K36" i="3" l="1"/>
  <c r="I38" i="3"/>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J223" i="28" l="1"/>
  <c r="P223" i="28" s="1"/>
  <c r="J221" i="28"/>
  <c r="J239" i="28"/>
  <c r="P239" i="28" s="1"/>
  <c r="J238" i="28"/>
  <c r="P238" i="28" s="1"/>
  <c r="J222" i="28"/>
  <c r="M221" i="28"/>
  <c r="J220" i="28"/>
  <c r="M220" i="28"/>
  <c r="M214" i="28"/>
  <c r="J175" i="28"/>
  <c r="M174" i="28"/>
  <c r="J174" i="28"/>
  <c r="M166" i="28"/>
  <c r="M167" i="28"/>
  <c r="U161" i="28"/>
  <c r="U160" i="28"/>
  <c r="J156" i="28"/>
  <c r="J155" i="28"/>
  <c r="J154" i="28"/>
  <c r="J153" i="28"/>
  <c r="J152" i="28"/>
  <c r="M136" i="28"/>
  <c r="M109" i="28"/>
  <c r="H47" i="2"/>
  <c r="J121" i="28" l="1"/>
  <c r="D10" i="1"/>
  <c r="D71" i="1" l="1"/>
  <c r="D70" i="1"/>
  <c r="D66" i="1"/>
  <c r="D65" i="1"/>
  <c r="D55" i="1"/>
  <c r="E55" i="1" s="1"/>
  <c r="D51" i="1"/>
  <c r="D50" i="1"/>
  <c r="D72" i="1" l="1"/>
  <c r="E70" i="1"/>
  <c r="E71" i="1" s="1"/>
  <c r="D56" i="1"/>
  <c r="D57" i="1" s="1"/>
  <c r="E61" i="1" l="1"/>
  <c r="E60" i="1"/>
  <c r="C60" i="1"/>
  <c r="K261" i="28" l="1"/>
  <c r="M243" i="28" l="1"/>
  <c r="M242" i="28"/>
  <c r="J242" i="28"/>
  <c r="M241" i="28"/>
  <c r="J241" i="28"/>
  <c r="M240" i="28"/>
  <c r="M237" i="28"/>
  <c r="J237" i="28"/>
  <c r="M236" i="28"/>
  <c r="J236" i="28"/>
  <c r="M235" i="28"/>
  <c r="J235" i="28"/>
  <c r="M234" i="28"/>
  <c r="J234" i="28"/>
  <c r="M233" i="28"/>
  <c r="J233" i="28"/>
  <c r="M232" i="28"/>
  <c r="J232" i="28"/>
  <c r="P232" i="28" s="1"/>
  <c r="R232" i="28" s="1"/>
  <c r="M231" i="28"/>
  <c r="J231" i="28"/>
  <c r="M230" i="28"/>
  <c r="M229" i="28"/>
  <c r="J229" i="28"/>
  <c r="M228" i="28"/>
  <c r="J228" i="28"/>
  <c r="M227" i="28"/>
  <c r="J227" i="28"/>
  <c r="M226" i="28"/>
  <c r="J226" i="28"/>
  <c r="M225" i="28"/>
  <c r="J225" i="28"/>
  <c r="M224" i="28"/>
  <c r="J224" i="28"/>
  <c r="M222" i="28"/>
  <c r="M216" i="28"/>
  <c r="M215" i="28"/>
  <c r="M217" i="28"/>
  <c r="J216" i="28"/>
  <c r="J217" i="28"/>
  <c r="M110" i="28"/>
  <c r="M111" i="28"/>
  <c r="M112" i="28"/>
  <c r="M113" i="28"/>
  <c r="M114" i="28"/>
  <c r="B80" i="28"/>
  <c r="J230" i="28"/>
  <c r="J214" i="28"/>
  <c r="H27" i="1"/>
  <c r="M121" i="28"/>
  <c r="I103" i="10"/>
  <c r="D29" i="5"/>
  <c r="D67" i="1"/>
  <c r="E53" i="2"/>
  <c r="K53" i="28"/>
  <c r="K259" i="28" s="1"/>
  <c r="D35" i="3"/>
  <c r="C35" i="3"/>
  <c r="A43" i="1"/>
  <c r="A59" i="2" s="1"/>
  <c r="B65" i="25"/>
  <c r="D12" i="5"/>
  <c r="J111" i="28"/>
  <c r="E50" i="1"/>
  <c r="E51" i="1" s="1"/>
  <c r="E65" i="1"/>
  <c r="E66" i="1" s="1"/>
  <c r="C44" i="26"/>
  <c r="M177" i="28"/>
  <c r="J177" i="28"/>
  <c r="M176" i="28"/>
  <c r="J176" i="28"/>
  <c r="M175" i="28"/>
  <c r="P175" i="28" s="1"/>
  <c r="J113" i="28"/>
  <c r="J112" i="28"/>
  <c r="U34" i="28"/>
  <c r="V34" i="28" s="1"/>
  <c r="B79" i="28"/>
  <c r="C15" i="2"/>
  <c r="A4" i="25"/>
  <c r="A2" i="25"/>
  <c r="A27" i="31"/>
  <c r="A4" i="31"/>
  <c r="A2" i="31"/>
  <c r="A16" i="36"/>
  <c r="A15" i="36"/>
  <c r="A13" i="36"/>
  <c r="G51" i="1"/>
  <c r="C28" i="2"/>
  <c r="D29" i="2" s="1"/>
  <c r="J139" i="28" s="1"/>
  <c r="P139" i="28" s="1"/>
  <c r="M119" i="28"/>
  <c r="S81" i="28"/>
  <c r="D43" i="27"/>
  <c r="H16" i="2"/>
  <c r="D52" i="1"/>
  <c r="G39" i="2"/>
  <c r="G40" i="2" s="1"/>
  <c r="H40" i="2" s="1"/>
  <c r="M190" i="28" s="1"/>
  <c r="H30" i="1"/>
  <c r="A10" i="31"/>
  <c r="A9" i="31"/>
  <c r="P10" i="31"/>
  <c r="P9" i="31"/>
  <c r="A36" i="11"/>
  <c r="A34" i="11"/>
  <c r="J122" i="28"/>
  <c r="G37" i="2"/>
  <c r="G38" i="2" s="1"/>
  <c r="H38" i="2" s="1"/>
  <c r="M189" i="28" s="1"/>
  <c r="M120" i="28"/>
  <c r="M122" i="28"/>
  <c r="M118" i="28"/>
  <c r="M117" i="28"/>
  <c r="I134" i="12"/>
  <c r="I133" i="12"/>
  <c r="I183" i="10"/>
  <c r="I182" i="10"/>
  <c r="I185" i="10"/>
  <c r="K296" i="28"/>
  <c r="K294" i="28"/>
  <c r="G9" i="28"/>
  <c r="G7" i="28"/>
  <c r="G5" i="28"/>
  <c r="A1" i="28"/>
  <c r="H37" i="27"/>
  <c r="A2" i="27"/>
  <c r="A1" i="27"/>
  <c r="A3" i="26"/>
  <c r="A2" i="26"/>
  <c r="A1" i="26"/>
  <c r="C37" i="25"/>
  <c r="S17" i="25"/>
  <c r="A12" i="25"/>
  <c r="A11" i="25"/>
  <c r="I38" i="12"/>
  <c r="E61" i="2"/>
  <c r="B42" i="3" s="1"/>
  <c r="E40" i="1"/>
  <c r="I136" i="12"/>
  <c r="I5" i="10"/>
  <c r="A1" i="12"/>
  <c r="I8" i="10"/>
  <c r="I11" i="10"/>
  <c r="I12" i="10"/>
  <c r="I13" i="10"/>
  <c r="I19" i="10"/>
  <c r="K19" i="10"/>
  <c r="I20" i="10"/>
  <c r="I22" i="10"/>
  <c r="I23" i="10"/>
  <c r="K23" i="10"/>
  <c r="I24" i="10"/>
  <c r="J33" i="10"/>
  <c r="I48" i="10"/>
  <c r="I72" i="10"/>
  <c r="I76" i="10"/>
  <c r="I88" i="10"/>
  <c r="I89" i="10"/>
  <c r="K89" i="10"/>
  <c r="A13" i="11"/>
  <c r="A15" i="11"/>
  <c r="A16" i="11"/>
  <c r="A1" i="3"/>
  <c r="A2" i="3"/>
  <c r="B38" i="3"/>
  <c r="A1" i="2"/>
  <c r="A2" i="2"/>
  <c r="A3" i="2"/>
  <c r="C7" i="2"/>
  <c r="D9" i="2"/>
  <c r="J109" i="28" s="1"/>
  <c r="H9" i="2"/>
  <c r="J117" i="28" s="1"/>
  <c r="C13" i="2"/>
  <c r="C17" i="2"/>
  <c r="D18" i="2" s="1"/>
  <c r="C20" i="2"/>
  <c r="D22" i="2" s="1"/>
  <c r="H22" i="2"/>
  <c r="J120" i="28" s="1"/>
  <c r="H19" i="2"/>
  <c r="C24" i="2"/>
  <c r="D26" i="2" s="1"/>
  <c r="J138" i="28" s="1"/>
  <c r="P138" i="28" s="1"/>
  <c r="G31" i="2"/>
  <c r="G32" i="2" s="1"/>
  <c r="H32" i="2" s="1"/>
  <c r="M186" i="28" s="1"/>
  <c r="G33" i="2"/>
  <c r="G34" i="2" s="1"/>
  <c r="H34" i="2" s="1"/>
  <c r="M187" i="28" s="1"/>
  <c r="G35" i="2"/>
  <c r="G36" i="2" s="1"/>
  <c r="H36" i="2" s="1"/>
  <c r="M188" i="28" s="1"/>
  <c r="C50" i="2"/>
  <c r="A53" i="2"/>
  <c r="E56" i="2"/>
  <c r="F39" i="47" s="1"/>
  <c r="A1" i="1"/>
  <c r="A2" i="1"/>
  <c r="A3" i="1"/>
  <c r="A38" i="1"/>
  <c r="E56" i="1"/>
  <c r="J157" i="28"/>
  <c r="E38" i="1"/>
  <c r="D19" i="1"/>
  <c r="P111" i="28" l="1"/>
  <c r="I25" i="10"/>
  <c r="P230" i="28"/>
  <c r="R230" i="28" s="1"/>
  <c r="P231" i="28"/>
  <c r="R231" i="28" s="1"/>
  <c r="P216" i="28"/>
  <c r="R216" i="28" s="1"/>
  <c r="P225" i="28"/>
  <c r="R225" i="28" s="1"/>
  <c r="M115" i="28"/>
  <c r="P112" i="28"/>
  <c r="P242" i="28"/>
  <c r="R242" i="28" s="1"/>
  <c r="P117" i="28"/>
  <c r="P120" i="28"/>
  <c r="P122" i="28"/>
  <c r="M168" i="28"/>
  <c r="J178" i="28"/>
  <c r="M178" i="28"/>
  <c r="P176" i="28"/>
  <c r="P177" i="28"/>
  <c r="T81" i="28"/>
  <c r="B87" i="28" s="1"/>
  <c r="P217" i="28"/>
  <c r="P121" i="28"/>
  <c r="P109" i="28"/>
  <c r="P241" i="28"/>
  <c r="R241" i="28" s="1"/>
  <c r="M218" i="28"/>
  <c r="J40" i="1"/>
  <c r="D15" i="2"/>
  <c r="J136" i="28" s="1"/>
  <c r="P136" i="28" s="1"/>
  <c r="P227" i="28"/>
  <c r="R227" i="28" s="1"/>
  <c r="P229" i="28"/>
  <c r="R229" i="28" s="1"/>
  <c r="P228" i="28"/>
  <c r="R228" i="28" s="1"/>
  <c r="P226" i="28"/>
  <c r="R226" i="28" s="1"/>
  <c r="P224" i="28"/>
  <c r="R224" i="28" s="1"/>
  <c r="P221" i="28"/>
  <c r="R221" i="28" s="1"/>
  <c r="P222" i="28"/>
  <c r="R222" i="28" s="1"/>
  <c r="P220" i="28"/>
  <c r="R220" i="28" s="1"/>
  <c r="J215" i="28"/>
  <c r="P215" i="28" s="1"/>
  <c r="R215" i="28" s="1"/>
  <c r="P113" i="28"/>
  <c r="M123" i="28"/>
  <c r="K54" i="2"/>
  <c r="P174" i="28"/>
  <c r="M244" i="28"/>
  <c r="A62" i="2"/>
  <c r="A261" i="28"/>
  <c r="J7" i="26"/>
  <c r="C47" i="26"/>
  <c r="A136" i="12"/>
  <c r="A46" i="1"/>
  <c r="P233" i="28"/>
  <c r="R233" i="28" s="1"/>
  <c r="P234" i="28"/>
  <c r="R234" i="28" s="1"/>
  <c r="P235" i="28"/>
  <c r="R235" i="28" s="1"/>
  <c r="P236" i="28"/>
  <c r="R236" i="28" s="1"/>
  <c r="P237" i="28"/>
  <c r="R237" i="28" s="1"/>
  <c r="G30" i="2"/>
  <c r="J29" i="2" s="1"/>
  <c r="J23" i="2"/>
  <c r="M137" i="28"/>
  <c r="J118" i="28"/>
  <c r="J22" i="2"/>
  <c r="J137" i="28"/>
  <c r="A55" i="28"/>
  <c r="A296" i="28"/>
  <c r="A186" i="10"/>
  <c r="A2" i="28"/>
  <c r="B69" i="25"/>
  <c r="D46" i="27"/>
  <c r="A31" i="31"/>
  <c r="J110" i="28" l="1"/>
  <c r="P110" i="28" s="1"/>
  <c r="P178" i="28"/>
  <c r="J140" i="28"/>
  <c r="P118" i="28"/>
  <c r="D31" i="1"/>
  <c r="P214" i="28"/>
  <c r="J218" i="28"/>
  <c r="J24" i="2"/>
  <c r="K24" i="2" s="1"/>
  <c r="P137" i="28"/>
  <c r="P140" i="28" s="1"/>
  <c r="M140" i="28"/>
  <c r="H30" i="2"/>
  <c r="M185" i="28" s="1"/>
  <c r="J240" i="28" l="1"/>
  <c r="M191" i="28"/>
  <c r="J119" i="28"/>
  <c r="H53" i="2"/>
  <c r="R214" i="28"/>
  <c r="P218" i="28"/>
  <c r="P119" i="28" l="1"/>
  <c r="P123" i="28" s="1"/>
  <c r="J123" i="28"/>
  <c r="P240" i="28"/>
  <c r="L132" i="10" l="1"/>
  <c r="J243" i="28"/>
  <c r="P243" i="28" s="1"/>
  <c r="R243" i="28" s="1"/>
  <c r="H38" i="1"/>
  <c r="J244" i="28" l="1"/>
  <c r="P244" i="28"/>
  <c r="C51" i="2" l="1"/>
  <c r="D51" i="2" s="1"/>
  <c r="D38" i="1"/>
  <c r="I40" i="1" s="1"/>
  <c r="B103" i="28"/>
  <c r="D53" i="2" l="1"/>
  <c r="J54" i="2" s="1"/>
  <c r="J114" i="28"/>
  <c r="J115" i="28" l="1"/>
  <c r="P114" i="28"/>
  <c r="P115"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 R Desai</author>
  </authors>
  <commentList>
    <comment ref="A1" authorId="0" shapeId="0" xr:uid="{00000000-0006-0000-0400-000001000000}">
      <text>
        <r>
          <rPr>
            <b/>
            <sz val="8"/>
            <color indexed="81"/>
            <rFont val="Tahoma"/>
            <family val="2"/>
          </rPr>
          <t>Numchar © Ashwini Software
This Function is Shareware. If you find this useful, I would appreciate a cheque of Rs.500/- in the name of Ashwini Software payable at Mumbai.
I will then send you the registered version which does not popup this comment.
Email: support@ashwinisoftware.com
Mail your cheque to:
13 Sahavas,
Off Kashinath Dhuru Road,
Near Kirti College,
Mumbai 400 028, INDIA</t>
        </r>
      </text>
    </comment>
  </commentList>
</comments>
</file>

<file path=xl/sharedStrings.xml><?xml version="1.0" encoding="utf-8"?>
<sst xmlns="http://schemas.openxmlformats.org/spreadsheetml/2006/main" count="1534" uniqueCount="1022">
  <si>
    <t>Previous Year</t>
  </si>
  <si>
    <t>Expenditure</t>
  </si>
  <si>
    <t>Current Year</t>
  </si>
  <si>
    <t>Income</t>
  </si>
  <si>
    <t xml:space="preserve"> "   Water Charges</t>
  </si>
  <si>
    <t xml:space="preserve"> "   Electricity Charges</t>
  </si>
  <si>
    <t xml:space="preserve"> "   Printing &amp; Stationary</t>
  </si>
  <si>
    <t xml:space="preserve"> "   Miscellaneous Expenses</t>
  </si>
  <si>
    <t xml:space="preserve"> "   Account Writting Charges</t>
  </si>
  <si>
    <t xml:space="preserve"> "   Statutory Audit Fees</t>
  </si>
  <si>
    <t xml:space="preserve"> "   Bank Charges</t>
  </si>
  <si>
    <t>By Collection From Members</t>
  </si>
  <si>
    <t xml:space="preserve"> "    Property Tax</t>
  </si>
  <si>
    <t xml:space="preserve"> "    Water Charges</t>
  </si>
  <si>
    <t xml:space="preserve"> "    Maintenance Charges</t>
  </si>
  <si>
    <t xml:space="preserve">             a) Saving Account</t>
  </si>
  <si>
    <t xml:space="preserve">             b) Fixed Deposit</t>
  </si>
  <si>
    <t>SHARE CAPITAL</t>
  </si>
  <si>
    <t>RESERVE &amp; OTHER FUNDS</t>
  </si>
  <si>
    <t>Balance as per Last Year Balance Sheet</t>
  </si>
  <si>
    <t>Add : Member's Contribution for the Year</t>
  </si>
  <si>
    <t>Water Charges</t>
  </si>
  <si>
    <t>Account Writting Charges</t>
  </si>
  <si>
    <t>Statutory Audit Fees</t>
  </si>
  <si>
    <t>CASH &amp; BANK BALANCES</t>
  </si>
  <si>
    <t>Cash on hand</t>
  </si>
  <si>
    <t>INVESTMENT</t>
  </si>
  <si>
    <t>SINKING FUND INVESTMENT</t>
  </si>
  <si>
    <t>Interest Accrued on Fixed Deposit</t>
  </si>
  <si>
    <t>FIXED ASSETS</t>
  </si>
  <si>
    <t xml:space="preserve">Balance as per Last Year Balance Sheet  </t>
  </si>
  <si>
    <t>L I A B I L I T I E S</t>
  </si>
  <si>
    <t>A S S E T S</t>
  </si>
  <si>
    <t>CURRENT LIABILITIES &amp; PROVISIONS</t>
  </si>
  <si>
    <t>Flat No.</t>
  </si>
  <si>
    <t>Name</t>
  </si>
  <si>
    <t>Debit</t>
  </si>
  <si>
    <t>Credit</t>
  </si>
  <si>
    <t>Sr. No.</t>
  </si>
  <si>
    <t>Name of the Bank</t>
  </si>
  <si>
    <t>FD. No.</t>
  </si>
  <si>
    <t>Date</t>
  </si>
  <si>
    <t>Amount</t>
  </si>
  <si>
    <t>Period (Months)</t>
  </si>
  <si>
    <t>Rate of Interest</t>
  </si>
  <si>
    <t>Maturity Date</t>
  </si>
  <si>
    <t>Maturity Value</t>
  </si>
  <si>
    <t>MDCC Bank-Dahisar</t>
  </si>
  <si>
    <t>Add : Additions During the year</t>
  </si>
  <si>
    <t xml:space="preserve"> "   Subscriptions</t>
  </si>
  <si>
    <t>Fixed Deposit with M.D.C.C. Bank at Dahisar</t>
  </si>
  <si>
    <t>a) Reseve Fund</t>
  </si>
  <si>
    <t>Add : Received During the Year</t>
  </si>
  <si>
    <t>A</t>
  </si>
  <si>
    <t>Accounting Conventions:</t>
  </si>
  <si>
    <t>Fixed Assets:</t>
  </si>
  <si>
    <t>Depreciation:</t>
  </si>
  <si>
    <t>Investments:</t>
  </si>
  <si>
    <t>Investments are stated at cost.</t>
  </si>
  <si>
    <t>Previous year figures:</t>
  </si>
  <si>
    <t>Chairman</t>
  </si>
  <si>
    <t>Secretary</t>
  </si>
  <si>
    <t>Treasurer</t>
  </si>
  <si>
    <t>SCHEDULE - I</t>
  </si>
  <si>
    <t>Transactions involving infringment of the provisions of the Act, the Rules &amp; the Bye-laws</t>
  </si>
  <si>
    <t>- Refer to Audit Memo 1 &amp; General Remarks.</t>
  </si>
  <si>
    <t>SCHEDULE - II</t>
  </si>
  <si>
    <t>Particulars of sums which ought to have been but have not been brought into account.</t>
  </si>
  <si>
    <t>- NIL</t>
  </si>
  <si>
    <t>SCHEDULE - III</t>
  </si>
  <si>
    <t>Improper &amp; Irregular payments.</t>
  </si>
  <si>
    <t>SCHEDULE - III-A</t>
  </si>
  <si>
    <t>Irregularities in the realisation of money</t>
  </si>
  <si>
    <t>SCHEDULE - IV</t>
  </si>
  <si>
    <t>List of doubtful &amp; bad debts</t>
  </si>
  <si>
    <t>List of the movable &amp; immovable properties &amp; other assets considered doubtful of realisation</t>
  </si>
  <si>
    <t>Act</t>
  </si>
  <si>
    <t>Rules</t>
  </si>
  <si>
    <t>Descriptions</t>
  </si>
  <si>
    <t>FORM NO. 1</t>
  </si>
  <si>
    <t>Audit Memo (For all types of Co-op.Societies)</t>
  </si>
  <si>
    <t>Part-I</t>
  </si>
  <si>
    <t xml:space="preserve">Name of the Society </t>
  </si>
  <si>
    <t>Sr.No. of the audit memo as per audit register</t>
  </si>
  <si>
    <t xml:space="preserve">Full registered address </t>
  </si>
  <si>
    <t xml:space="preserve">Taluka or Block </t>
  </si>
  <si>
    <t xml:space="preserve">District </t>
  </si>
  <si>
    <t xml:space="preserve">Registration No.    </t>
  </si>
  <si>
    <t xml:space="preserve">Date of Registration </t>
  </si>
  <si>
    <t xml:space="preserve">Area of operation </t>
  </si>
  <si>
    <t xml:space="preserve">No. of branches, depots and shops </t>
  </si>
  <si>
    <t>Nil</t>
  </si>
  <si>
    <t>(Give separate figures)</t>
  </si>
  <si>
    <t xml:space="preserve"> (i) </t>
  </si>
  <si>
    <t xml:space="preserve">Audit classification </t>
  </si>
  <si>
    <t xml:space="preserve"> ‘B’</t>
  </si>
  <si>
    <t xml:space="preserve">(ii) </t>
  </si>
  <si>
    <t xml:space="preserve">Audit classification given during the last three audits </t>
  </si>
  <si>
    <t xml:space="preserve"> Audit information:</t>
  </si>
  <si>
    <t>(1)</t>
  </si>
  <si>
    <t>Full name, designation and head Quarters of auditing officer.</t>
  </si>
  <si>
    <t>(2)</t>
  </si>
  <si>
    <t>Period covered during the present audit.</t>
  </si>
  <si>
    <t xml:space="preserve">(3) Dates on which </t>
  </si>
  <si>
    <t>(1)Audit was commenced and continued.</t>
  </si>
  <si>
    <t>to</t>
  </si>
  <si>
    <t>(2) Audit was completed</t>
  </si>
  <si>
    <t>(3) Audit memo was submitted.</t>
  </si>
  <si>
    <t xml:space="preserve"> Membership:</t>
  </si>
  <si>
    <t>(i)</t>
  </si>
  <si>
    <t xml:space="preserve"> No.of Members:</t>
  </si>
  <si>
    <t>(a) Individual:</t>
  </si>
  <si>
    <t xml:space="preserve">(I) Ordinary </t>
  </si>
  <si>
    <t xml:space="preserve">(ii) Nominal </t>
  </si>
  <si>
    <t>(iii) Sympathiser</t>
  </si>
  <si>
    <t>(b) Societies.</t>
  </si>
  <si>
    <t>(c) Others</t>
  </si>
  <si>
    <t>Give details of the other members, if any</t>
  </si>
  <si>
    <t>Total</t>
  </si>
  <si>
    <t xml:space="preserve">Have new members been duly admitted? </t>
  </si>
  <si>
    <t xml:space="preserve">Have they paid entrance fees? </t>
  </si>
  <si>
    <t>Not applicable</t>
  </si>
  <si>
    <t>(iii)</t>
  </si>
  <si>
    <t>Are their written applications in order and are they filed properly?</t>
  </si>
  <si>
    <t xml:space="preserve">(iv) </t>
  </si>
  <si>
    <t>Is the members’ register kept in  Form `I’ prescribed under Rules 32  and 65(I) of the M. C. S.Rules 1961?</t>
  </si>
  <si>
    <t xml:space="preserve"> </t>
  </si>
  <si>
    <t xml:space="preserve">(v) </t>
  </si>
  <si>
    <t xml:space="preserve">Is a list of members’ kept in Form `J’ under Rule 33 of the M. C. S.Rules 1961? </t>
  </si>
  <si>
    <t>Yes</t>
  </si>
  <si>
    <t>(vi)</t>
  </si>
  <si>
    <t>Have due remarks been passed against names of the deceased, dismissed, or resigned members in the members’ register?</t>
  </si>
  <si>
    <t>(vii)</t>
  </si>
  <si>
    <t>Are resignations in order and are they duly  accepted?</t>
  </si>
  <si>
    <t xml:space="preserve">(viii) </t>
  </si>
  <si>
    <t>Have nominations made under rule 25 of  the M. C. S. Rules 1961 been duly entered  in the member's register under rule 26?</t>
  </si>
  <si>
    <t>Shares:</t>
  </si>
  <si>
    <t>Are applications for shares in order?</t>
  </si>
  <si>
    <t>(ii)</t>
  </si>
  <si>
    <t>Is share register written up-to-date?</t>
  </si>
  <si>
    <t>Do the entries in share register tally with the Entries in the cash book?</t>
  </si>
  <si>
    <t xml:space="preserve">(iv)        </t>
  </si>
  <si>
    <t>Is share ledger written up-to-date?</t>
  </si>
  <si>
    <t>No</t>
  </si>
  <si>
    <t xml:space="preserve">(v)        </t>
  </si>
  <si>
    <t>Do the total of share ledger balances tally with the figures of share capital in the balance sheet?</t>
  </si>
  <si>
    <t xml:space="preserve">(vi)       </t>
  </si>
  <si>
    <t>Have share certificates been issued to the share holders for all the shares subscribed?</t>
  </si>
  <si>
    <t xml:space="preserve">(vii)     </t>
  </si>
  <si>
    <t xml:space="preserve">Are share transfers and refunds in accordance with the provisions of the Bye-laws, Act  and Rules? </t>
  </si>
  <si>
    <t>Outside Borrowings:</t>
  </si>
  <si>
    <t>What is the limit fixed in the Bye-laws for borrowings of the society?</t>
  </si>
  <si>
    <t>As per Rule 35 of MSC Rules, 1961.</t>
  </si>
  <si>
    <t>Has it been exceeded?</t>
  </si>
  <si>
    <t xml:space="preserve">(iii) </t>
  </si>
  <si>
    <t>If so, state whether necessary permission has been obtained from the competent authority?</t>
  </si>
  <si>
    <t>Meetings:</t>
  </si>
  <si>
    <t>Give dates of:-</t>
  </si>
  <si>
    <t>(a) Annual General Meeting</t>
  </si>
  <si>
    <t>(b) Special General Meeting</t>
  </si>
  <si>
    <t xml:space="preserve">(ii)  </t>
  </si>
  <si>
    <t>State the No. of meetings held during the period as follows: -</t>
  </si>
  <si>
    <t xml:space="preserve">(a) Board or Managing Committee Meetings </t>
  </si>
  <si>
    <t>(b) Executive or Sub-Committee meetings.</t>
  </si>
  <si>
    <t>(c) Other Meetings</t>
  </si>
  <si>
    <t>Rectification of Reports:</t>
  </si>
  <si>
    <t xml:space="preserve">(i) </t>
  </si>
  <si>
    <t>Has the society submitted audit rectification reports of the previous audit memos? If so, give dates of submission. If not, state the reason for non-submission.</t>
  </si>
  <si>
    <t>Have any important points mentioned in the previous audit memos been neglected by the society?  If so, state them in general remarks.</t>
  </si>
  <si>
    <t>Refer to General Remarks</t>
  </si>
  <si>
    <t xml:space="preserve"> Audit Fees</t>
  </si>
  <si>
    <t>Give amount of audit fees last assessed-</t>
  </si>
  <si>
    <t>State period for which assessed:</t>
  </si>
  <si>
    <t>State the date of recovery of audit fees, name of Treasury and amount credited (Give No. and date of Treasury Challan.)</t>
  </si>
  <si>
    <t>If audit fees have not been paid by the society, give details about outstanding audit fees and reasons for non-payment.</t>
  </si>
  <si>
    <t>Not Applicable</t>
  </si>
  <si>
    <t>Internal or Local Audit:</t>
  </si>
  <si>
    <t xml:space="preserve">If there is internal or local audit, state by whom done, period covered and whether memo is on the record of the society.  </t>
  </si>
  <si>
    <t>No Internal Audit</t>
  </si>
  <si>
    <t>State whether there is a proper co-ordination between Statutory Auditor and Internal Auditor.</t>
  </si>
  <si>
    <t xml:space="preserve">(A) </t>
  </si>
  <si>
    <t>Name of the Officer</t>
  </si>
  <si>
    <t xml:space="preserve"> (ii) </t>
  </si>
  <si>
    <t>Pay drawn:</t>
  </si>
  <si>
    <t>Grade:</t>
  </si>
  <si>
    <t xml:space="preserve"> (iii) </t>
  </si>
  <si>
    <t>State other allowances, if any, any facilities given such as rent free quarters etc:</t>
  </si>
  <si>
    <t xml:space="preserve">  </t>
  </si>
  <si>
    <t xml:space="preserve"> (iv) </t>
  </si>
  <si>
    <t>State whether he is a member.</t>
  </si>
  <si>
    <t xml:space="preserve"> (v) </t>
  </si>
  <si>
    <t>If so, whether he has borrowed or has been given any credit facilities? State the amount borrowed and the amounts of overdue, if any.</t>
  </si>
  <si>
    <t xml:space="preserve"> (vi) </t>
  </si>
  <si>
    <t>If other amounts are due from him, give details.</t>
  </si>
  <si>
    <t xml:space="preserve">(B) </t>
  </si>
  <si>
    <t>Obtain a list of staff showing names, designations, qualifications, scales, present pay and allowances given, dates from which employed, security furnished etc.</t>
  </si>
  <si>
    <t>Breaches:</t>
  </si>
  <si>
    <t>Does the Society posses a copy of the Act, Rules and its registered Bye-laws?</t>
  </si>
  <si>
    <t>a) Act &amp; Rules</t>
  </si>
  <si>
    <t>b) Bye-laws</t>
  </si>
  <si>
    <t>Give only numbers of breaches of the Act, Rules and Bye-laws?</t>
  </si>
  <si>
    <t>1. Section Nos.</t>
  </si>
  <si>
    <t>As per General Remarks</t>
  </si>
  <si>
    <t>2. Rules Nos.</t>
  </si>
  <si>
    <t>3. Bye-laws Nos.</t>
  </si>
  <si>
    <t>Have any rules been framed under the Bye-laws? Are they approved by appropriate authority? Are they properly followed?</t>
  </si>
  <si>
    <t>(These breaches should be discussed in brief in general remarks)</t>
  </si>
  <si>
    <t>Profit and Loss:</t>
  </si>
  <si>
    <t>1.</t>
  </si>
  <si>
    <t>What is the amount of profit earned or loss incurred during the last co-operative year?</t>
  </si>
  <si>
    <t>2.</t>
  </si>
  <si>
    <t>State how the net profits are distributed? (In case of non-business societies, figures of surplus or deficit may be given against querry No. 11(1) above).</t>
  </si>
  <si>
    <t>Cash, Bank Balances and securities:</t>
  </si>
  <si>
    <t>(a)</t>
  </si>
  <si>
    <t>Cash:</t>
  </si>
  <si>
    <t>1. Count cash and sign the cash Book stating the amount so counted and date on which counted.</t>
  </si>
  <si>
    <t>Who produced the cash for counting?</t>
  </si>
  <si>
    <t>Give his name and designation. Is he authorised to keep cash?</t>
  </si>
  <si>
    <t xml:space="preserve">Is it correct according to the Cash Book? </t>
  </si>
  <si>
    <t xml:space="preserve">Are arrangement for safety of cash in safe and cash in-transit adequate?                </t>
  </si>
  <si>
    <t>Generally, yes</t>
  </si>
  <si>
    <t xml:space="preserve">(b) </t>
  </si>
  <si>
    <t>Bank Balance:</t>
  </si>
  <si>
    <t>Do the bank balance shown in Bank pass books or Bank statements and Bank balance certificates tally with such balances shown in books of accounts? If not, check reconciliation statements.</t>
  </si>
  <si>
    <t>(c)</t>
  </si>
  <si>
    <t>Securities:</t>
  </si>
  <si>
    <t>Verify securities physically and see whether they are in the name of Society</t>
  </si>
  <si>
    <t>Are dividends and interest being duly collected?</t>
  </si>
  <si>
    <t>If securities are lodged with the Bank, are relevant certificates obtained?</t>
  </si>
  <si>
    <t>Is investment register kept and written up-to-date?</t>
  </si>
  <si>
    <t>Moveable and Immovable Property:</t>
  </si>
  <si>
    <t>Are relevant registers maintained and written up-to-date?</t>
  </si>
  <si>
    <t>Verify property physically and obtain its list.</t>
  </si>
  <si>
    <t>Do the balance tally with balance sheet figures?</t>
  </si>
  <si>
    <t>In case of immovable property including lands, verify title deeds and see whether they are in the name of the society.</t>
  </si>
  <si>
    <t>Is the property duly insured where necessary?</t>
  </si>
  <si>
    <t>If so, give details in general remarks.</t>
  </si>
  <si>
    <t>(i) Is due depreciation charged?</t>
  </si>
  <si>
    <t>(ii) State the rate of depreciation charged on various assets.</t>
  </si>
  <si>
    <t>Have you discussed the draft audit memo in the Board or Managing Committee Meeting? If not, state reasons for the same.</t>
  </si>
  <si>
    <t>FORM NO.28</t>
  </si>
  <si>
    <t>Audit Memo (Co-opertive Housing societies)</t>
  </si>
  <si>
    <t>Part - II</t>
  </si>
  <si>
    <t>Borrowings :-</t>
  </si>
  <si>
    <t>State the loans obtained by the Society for various purposes from Government and other agencies</t>
  </si>
  <si>
    <t>Agency Sanctioning loan</t>
  </si>
  <si>
    <t>Purpose for which the loan is sanctioned</t>
  </si>
  <si>
    <t>Amount of loan sanctioned</t>
  </si>
  <si>
    <t>Maximum amount drawn</t>
  </si>
  <si>
    <t>Repayment made</t>
  </si>
  <si>
    <t>Outstanding</t>
  </si>
  <si>
    <t>Amount overdue, if any</t>
  </si>
  <si>
    <t>Remarks</t>
  </si>
  <si>
    <t>Are repayments of loans punctual?</t>
  </si>
  <si>
    <t>Are all conditions laid down for grant of  various loans and credits observed ? Note breaches, if any.</t>
  </si>
  <si>
    <t>(iv)</t>
  </si>
  <si>
    <t>Are necessary documents executed in favour of the authority sanctioning the loan?</t>
  </si>
  <si>
    <t xml:space="preserve"> Government Financial Assistance :-</t>
  </si>
  <si>
    <t xml:space="preserve"> What is the amount of Government subsidy santioned and received by the society?</t>
  </si>
  <si>
    <t xml:space="preserve"> Has Government sanctioned any amount for land development ? If so, state the amount. Have development expenses exceeded the said amount?</t>
  </si>
  <si>
    <t>3.</t>
  </si>
  <si>
    <t>Membership :-</t>
  </si>
  <si>
    <t xml:space="preserve"> (i)</t>
  </si>
  <si>
    <t>State whether in case of backward class co-operative housing societies, certificates from the social werlfare officers are obtained for their eligibility to membership and obtaining of financial asitance?</t>
  </si>
  <si>
    <t>State whether certificates are obtained from officers of the concerned industry in case of the subsidised industrial housing scheme.</t>
  </si>
  <si>
    <t>Have declarations been obtained from members that they and their family members do not own lands or houses in the area of operation of the society as per provisions in the bye-laws?</t>
  </si>
  <si>
    <t>4.</t>
  </si>
  <si>
    <t>Lands and their developments :-</t>
  </si>
  <si>
    <t>State whether lands for constructions of houses have been secured, purchased or obtained on lease. Give details of the lands, stating total area, survey Nos. and C.R.S. Nos. if any, price for which purchased, lease rent etc.</t>
  </si>
  <si>
    <t>See the title deeds and ascertain whether they are properly executed in favour of the Society?</t>
  </si>
  <si>
    <t>State how the lands has been utilised for:-</t>
  </si>
  <si>
    <t xml:space="preserve"> Construction of houses.</t>
  </si>
  <si>
    <t>(b)</t>
  </si>
  <si>
    <t xml:space="preserve"> Construction of roads.</t>
  </si>
  <si>
    <t xml:space="preserve"> Open spaces.</t>
  </si>
  <si>
    <t>(d)</t>
  </si>
  <si>
    <t xml:space="preserve"> Other purposes. (give details)</t>
  </si>
  <si>
    <t>Have the layouts and plans for development been approved by the Municipal authorities before actual commencement of the work?</t>
  </si>
  <si>
    <t>(v)</t>
  </si>
  <si>
    <t>Have completion certificates been obtained from appropriate authorities for drainage, water supply, roads, etc. before construction work of buildings is commenced?</t>
  </si>
  <si>
    <t>5.</t>
  </si>
  <si>
    <t>Construction  of  Buildings :-</t>
  </si>
  <si>
    <t>{i)</t>
  </si>
  <si>
    <t>(a) Have building constructions commenced?</t>
  </si>
  <si>
    <t>(b) State the No. of houses or flats constructed and under construction.</t>
  </si>
  <si>
    <t>(c) Have the completed houses and flats allotted to members?</t>
  </si>
  <si>
    <t>Are building constructed on contract basis? See the terms and conditions of contracts and state whether they have been properly observed. Note breaches, if any.</t>
  </si>
  <si>
    <t>Are these contracts properly sanctioned by the competent authority as per bye-laws of the society?</t>
  </si>
  <si>
    <t>Have tenders or quotations been called after giving due advertisements in local newspapers? If the work are not given to the contractors quoting the lowest figures, see whether reasons for the same are recorded.</t>
  </si>
  <si>
    <t>Are contractors paid after necessary work progress certificates are obtained from the Architects ? Are running and final bills obtained before payments are made to the contractors?</t>
  </si>
  <si>
    <t>See the terms on which the architects are employed. Are there any breaches?</t>
  </si>
  <si>
    <t>See whether completion certificates have been obtained from the qualified engineers and architects, stating that the constructions have been completed according to approved plans, specifications and other terms of contracts.</t>
  </si>
  <si>
    <t>(viii)</t>
  </si>
  <si>
    <t>Is a property register kept in proper form?</t>
  </si>
  <si>
    <t>Is it written up-to-date?</t>
  </si>
  <si>
    <t>(ix)</t>
  </si>
  <si>
    <t>When buildings are built departmentally, state whether the following books are kept and written up-to-date:-</t>
  </si>
  <si>
    <t>(a) Job registers &amp; measurement books.</t>
  </si>
  <si>
    <t>(b) Stock registers.</t>
  </si>
  <si>
    <t>(c) Are valuation certificates from qualified engineers and/ or architects obtained?</t>
  </si>
  <si>
    <t>(d) Is expenditure allocated properly between items of capital and revenue nature?</t>
  </si>
  <si>
    <t>(x)</t>
  </si>
  <si>
    <t>(xi)</t>
  </si>
  <si>
    <t>In case of flat-owners societies, see whether titles to the land have been transferred in the name of the society.</t>
  </si>
  <si>
    <t>(xii)</t>
  </si>
  <si>
    <t>Are buildings and other constructions got insured?</t>
  </si>
  <si>
    <t>(xiii)</t>
  </si>
  <si>
    <t>In case of flat-owners societies, have the promoters fulfilled their obligations as per agreements entered with them by the members prior to the registration of the society?</t>
  </si>
  <si>
    <t>(xiv)</t>
  </si>
  <si>
    <t>Examine the agreements entered into with the promoters and see whether they are in the interest of the society.</t>
  </si>
  <si>
    <t>(xv)</t>
  </si>
  <si>
    <t>Has the society executed lease deeds in favour of members for giving plots and/ or buildings on lease to them?</t>
  </si>
  <si>
    <t>(xvi)</t>
  </si>
  <si>
    <t xml:space="preserve"> Has the society created sinking fund as per provisions of the bye-laws?</t>
  </si>
  <si>
    <t>(xvii)</t>
  </si>
  <si>
    <t>Examine the basis on which monthly rents or contributions are fixed in case of tenant co-partnership societies or flat owners societies and see that the following items are adequately covered -</t>
  </si>
  <si>
    <t>(i) Amounts required for repayment of loan instalments.</t>
  </si>
  <si>
    <t>(ii) Municipal and other taxes.</t>
  </si>
  <si>
    <t>(iii) Lease rent.</t>
  </si>
  <si>
    <t>(iv) Service charges and common expenses.</t>
  </si>
  <si>
    <t>(v) Contribution to the sinking fund.</t>
  </si>
  <si>
    <t>6.</t>
  </si>
  <si>
    <t>Loans to Members :-</t>
  </si>
  <si>
    <t>Are recoveries of loans punctual?</t>
  </si>
  <si>
    <t>State the amounts of overdues.</t>
  </si>
  <si>
    <t>State what steps are being taken to recover  overdues.</t>
  </si>
  <si>
    <t>7.</t>
  </si>
  <si>
    <t>Expenditure :-</t>
  </si>
  <si>
    <t>Has the expenditure been approved by the Managing Committee from time to time?</t>
  </si>
  <si>
    <t>Signature and Designation of Auditing Staff</t>
  </si>
  <si>
    <t>Registration No.</t>
  </si>
  <si>
    <t>Address</t>
  </si>
  <si>
    <t>Accounting Year</t>
  </si>
  <si>
    <t>from</t>
  </si>
  <si>
    <t>Auditor</t>
  </si>
  <si>
    <t>Place &amp; Date of Report</t>
  </si>
  <si>
    <t>Sr.No. of the audit memo</t>
  </si>
  <si>
    <t>Date of commencment</t>
  </si>
  <si>
    <t>Date of completion</t>
  </si>
  <si>
    <t>Audit memo submitted.</t>
  </si>
  <si>
    <t>Annual General Meeting</t>
  </si>
  <si>
    <t>Special General Meeting</t>
  </si>
  <si>
    <t xml:space="preserve">M C Meetings </t>
  </si>
  <si>
    <t>Not submitted</t>
  </si>
  <si>
    <t>Date of submission</t>
  </si>
  <si>
    <t>Amt</t>
  </si>
  <si>
    <t>Period</t>
  </si>
  <si>
    <t>Paid on</t>
  </si>
  <si>
    <t>Cash verification</t>
  </si>
  <si>
    <t>Designation</t>
  </si>
  <si>
    <t xml:space="preserve">Less : Depreciation for the year           </t>
  </si>
  <si>
    <t>PY</t>
  </si>
  <si>
    <t>CY</t>
  </si>
  <si>
    <t>NAVANAND CO-OP. HOUSING SOCT. LTD.</t>
  </si>
  <si>
    <t xml:space="preserve"> BOM/WR/HSG/TC/11905 DT. 06/01/2003</t>
  </si>
  <si>
    <t>Dahisar  (East), Mumbai</t>
  </si>
  <si>
    <t>Maratha Colony Road, Dahisar - East, Mumbai - 400 068</t>
  </si>
  <si>
    <t xml:space="preserve"> "   Lift Maintenance Expenses</t>
  </si>
  <si>
    <t xml:space="preserve">     Mumbai Dist. Co-Op. Bank - # 87</t>
  </si>
  <si>
    <t xml:space="preserve"> "    Non-Occupancy Charges</t>
  </si>
  <si>
    <t xml:space="preserve"> "    Parking Charges</t>
  </si>
  <si>
    <t xml:space="preserve"> "    Additional Maintenance Charges</t>
  </si>
  <si>
    <t xml:space="preserve"> "    Interest on Arrears</t>
  </si>
  <si>
    <t>Authorised 2000 Shares of Rs.50 Each</t>
  </si>
  <si>
    <t>Issued, Subscribed &amp; Paid-Up Capital</t>
  </si>
  <si>
    <t>150 shares of Rs.50/- each</t>
  </si>
  <si>
    <t>Mumbai Dist. Co-Op. Bank  # 87</t>
  </si>
  <si>
    <t>One share of M.D.C.H.F. Ltd</t>
  </si>
  <si>
    <t>One share of M.D.C.C. Ltd.</t>
  </si>
  <si>
    <t>Security Deposit with BMC Water Department</t>
  </si>
  <si>
    <t>Interest Accrued on FD</t>
  </si>
  <si>
    <t>Dues From Members</t>
  </si>
  <si>
    <t xml:space="preserve"> "   Security Expenses</t>
  </si>
  <si>
    <t>Prepaid Expenses</t>
  </si>
  <si>
    <t>Creation Elevators - Lift Maintenance</t>
  </si>
  <si>
    <t xml:space="preserve">INCOME &amp; EXPENDITURE A/C   </t>
  </si>
  <si>
    <t>2) Office Room</t>
  </si>
  <si>
    <t>3) Vehicle Parking Shed</t>
  </si>
  <si>
    <t>4) Watchmen Cabin</t>
  </si>
  <si>
    <t>1) Furniture &amp; Fixtures</t>
  </si>
  <si>
    <t xml:space="preserve">@10% pa on Furniture &amp; Fixtures, </t>
  </si>
  <si>
    <t xml:space="preserve">Yes, </t>
  </si>
  <si>
    <t>(Ten times of Share Capital + Reserve &amp; Surplus - Accumulated losses)</t>
  </si>
  <si>
    <t>Yes                                      As per approved plan.</t>
  </si>
  <si>
    <t>Already Constructed</t>
  </si>
  <si>
    <t>===============================================================================</t>
  </si>
  <si>
    <t>NA</t>
  </si>
  <si>
    <t>Mumbai,  Subarban District.</t>
  </si>
  <si>
    <t>INTRODUCTION</t>
  </si>
  <si>
    <t>-</t>
  </si>
  <si>
    <t>Reserve Fund</t>
  </si>
  <si>
    <t>Sinking Fund</t>
  </si>
  <si>
    <t>Chairman       Secretary       Treasurer</t>
  </si>
  <si>
    <t>a</t>
  </si>
  <si>
    <t>b</t>
  </si>
  <si>
    <t>Total Dep</t>
  </si>
  <si>
    <t>Advances From Members</t>
  </si>
  <si>
    <t>Fixed Deposits with M.D.C.C. Bank at Dahisar</t>
  </si>
  <si>
    <t>Saraswat Co-op Bank # 981452</t>
  </si>
  <si>
    <t>Saraswat Co-op Bank #981452</t>
  </si>
  <si>
    <t xml:space="preserve">MDCC Bank-Dahisar </t>
  </si>
  <si>
    <t>SINKING FUND INVESTMENT (A)</t>
  </si>
  <si>
    <t>OTHER INVESTMENT  : - (B)</t>
  </si>
  <si>
    <t>State whether buildings have been constructed according to the original plans and estimates submitted with the loan applications and which are approved by the competent authority. Are there any deviations? If so, are they got approved from the competent authority</t>
  </si>
  <si>
    <r>
      <t>Managing Director/Manager/</t>
    </r>
    <r>
      <rPr>
        <b/>
        <sz val="10"/>
        <rFont val="Calibri"/>
        <family val="2"/>
      </rPr>
      <t>Secretary</t>
    </r>
  </si>
  <si>
    <t xml:space="preserve">30 Flats </t>
  </si>
  <si>
    <t xml:space="preserve"> "   Sweepar Labour Charges</t>
  </si>
  <si>
    <t xml:space="preserve">                                          </t>
  </si>
  <si>
    <t>The Society has to take necessary action as per Bye-Laws of the Society to ensure prompt recovery from Defaulting Members.</t>
  </si>
  <si>
    <t>b) Entrance Fees</t>
  </si>
  <si>
    <t xml:space="preserve">Add : Interest on Investment </t>
  </si>
  <si>
    <t>As per my report on even date.</t>
  </si>
  <si>
    <t>Govt. Certified Panel Auditor</t>
  </si>
  <si>
    <t>Building Insurance</t>
  </si>
  <si>
    <t>The Society has not paid  the Non Agricultural Tax Payment &amp; the liability towards the same has been not accounted for in these account.</t>
  </si>
  <si>
    <t>Found to have remained unconfirmed as on the Balance Sheet date.</t>
  </si>
  <si>
    <t>Deposits with BMC  Rs. 23200/-</t>
  </si>
  <si>
    <t>Building Repair Fund</t>
  </si>
  <si>
    <t>Electricity Charges</t>
  </si>
  <si>
    <t>Income &amp; Expenditure Account</t>
  </si>
  <si>
    <t>Meetings</t>
  </si>
  <si>
    <t>Discussed with the Secretary &amp; Managing Committee Member</t>
  </si>
  <si>
    <t>Total Investment (A + B )   Rs.:-</t>
  </si>
  <si>
    <t>These are subject to confirmation by the respective member.</t>
  </si>
  <si>
    <t>TOTAL :-</t>
  </si>
  <si>
    <t>Panel No.</t>
  </si>
  <si>
    <t>Opinion</t>
  </si>
  <si>
    <t>Cash was not counted</t>
  </si>
  <si>
    <t>Bank reconciliation, wherever applicable, checked</t>
  </si>
  <si>
    <t>Physical verification of property not done by me.</t>
  </si>
  <si>
    <t>(Chairman)                    (Secretary)                       (Treasurer)</t>
  </si>
  <si>
    <t>On the date of verification cash book was written upto date</t>
  </si>
  <si>
    <t>:-</t>
  </si>
  <si>
    <t>B</t>
  </si>
  <si>
    <t>MEETINGS</t>
  </si>
  <si>
    <t>RECORDS</t>
  </si>
  <si>
    <t>The Audit Rectification Registered in "O" Form</t>
  </si>
  <si>
    <t>MEMBERS</t>
  </si>
  <si>
    <t>Society is  advice to adopt new Model Bye-Laws of 2014 as early as possible.</t>
  </si>
  <si>
    <t>Conveyance of the property is executed</t>
  </si>
  <si>
    <t>NAVANAND CO-OP. HOUSING SOCIETY LTD.</t>
  </si>
  <si>
    <t>INDEPENDENT AUDITOR'S REPORT</t>
  </si>
  <si>
    <t>[As prescribed under section 81 of the Maharashtra Co-operative Societies Act, 1960 and rule 69 (3) of the  Maharashtra Co op Societies Rules.]</t>
  </si>
  <si>
    <t>To,</t>
  </si>
  <si>
    <t>Report on the Financial Statements as a Statutory Auditor</t>
  </si>
  <si>
    <t xml:space="preserve">1. </t>
  </si>
  <si>
    <t>Income and Expenditure</t>
  </si>
  <si>
    <t>Management’s Responsibility for the Financial Statements</t>
  </si>
  <si>
    <t>Management is responsible for the preparation of these financial statements in accordance with Maharashtra Co-operative Societies Act, 1960 &amp; Rules there under. This responsibility includes the design, implementation and maintenance of internal control relevant to the preparation of the financial statements that are free from material misstatement, whether due to fraud or error.</t>
  </si>
  <si>
    <t>Auditor’s Responsibility</t>
  </si>
  <si>
    <t>My responsibility is to express an opinion on these financial statements based on my audit. I conducted my audit in accordance with the applicable Standards issued by The Institute of Chartered Accountants of India and under the Maharashtra Co-operative Societies Act, 1960. Those Standards require that I comply with ethical requirements and plan and perform the audit to obtain reasonable assurance about whether the financial statements are free from material misstatement.</t>
  </si>
  <si>
    <t>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Society’s preparation and fair presentation of the financial statements in order to design audit procedures that are appropriate in the circumstances. An audit also includes evaluating the appropriateness of accounting policies used and the reasonableness of the accounting estimates made by management, as well as evaluating the overall presentation of the financial statements.</t>
  </si>
  <si>
    <t xml:space="preserve">5. </t>
  </si>
  <si>
    <t>I believe that the audit evidence I have obtained is sufficient and appropriate to provide a basis for my audit opinion.</t>
  </si>
  <si>
    <t xml:space="preserve">6. </t>
  </si>
  <si>
    <t>In my opinion and to the best of my information and according to the explanations given to me, the said accounts together with the notes thereon and remarks incorporated in the Audit Memorandum No. 1 and No. 28 and general remarks, give the information required as per the Maharashtra Co-operative Societies Act, 1960 and the Maharashtra Co-operative Societies Rules, 1961, and any other applicable Acts, and or circulars issued by the Registrar, in the manner so required for the society gives a true and fair view in conformity with the accounting principles generally accepted in India:</t>
  </si>
  <si>
    <t xml:space="preserve">i. </t>
  </si>
  <si>
    <t xml:space="preserve">ii. </t>
  </si>
  <si>
    <t>Surplus / Deficit see F1 I132</t>
  </si>
  <si>
    <t>Report on Other Legal and Regulatory Matters</t>
  </si>
  <si>
    <t xml:space="preserve">7. </t>
  </si>
  <si>
    <t>The Balance Sheet and the Income and Expenditure Account have been drawn up in accordance with the provisions of the Maharashtra State Co-operative Act, 1960.</t>
  </si>
  <si>
    <t xml:space="preserve">8. </t>
  </si>
  <si>
    <t xml:space="preserve">I report that : </t>
  </si>
  <si>
    <t>I have obtained all the information and explanations which, to the best of my knowledge and belief, were necessary for the purpose of my audit and have found them to be satisfactory.</t>
  </si>
  <si>
    <t>The transactions of the Society, which have come to my notice, have been within the powers of the Society.</t>
  </si>
  <si>
    <t>The Society does not have any branch.</t>
  </si>
  <si>
    <t>The returns received from the offices and branches of the Society have been found adequate for the purposes of our audit.</t>
  </si>
  <si>
    <t xml:space="preserve">9. </t>
  </si>
  <si>
    <t>In my opinion, the Balance Sheet and Income and Expenditure Account comply with applicable Accounting Standards.</t>
  </si>
  <si>
    <t xml:space="preserve">10. </t>
  </si>
  <si>
    <t xml:space="preserve">We further report that : </t>
  </si>
  <si>
    <t>Mandatory rtns filed?</t>
  </si>
  <si>
    <t>The Balance Sheet and Income and Expenditure Account dealt with by this report, are in agreement with the books of account.</t>
  </si>
  <si>
    <t>N</t>
  </si>
  <si>
    <t>The Balance Sheet and Income and Expenditure Account dealt with by this report, are in agreement with the books of account and the returns.</t>
  </si>
  <si>
    <t>In my opinion, proper books of account as required by law have been kept by the Society so far as appears from my examination of these books.</t>
  </si>
  <si>
    <t>iii</t>
  </si>
  <si>
    <t>The reports on the accounts of the branches audited by branch auditors have been dealt with in preparing my report in the manner considered necessary by me.</t>
  </si>
  <si>
    <t>iv</t>
  </si>
  <si>
    <t>For the year under audit, the society has been awarded B classification.</t>
  </si>
  <si>
    <t>The Chairman, Members</t>
  </si>
  <si>
    <t>Navanand Co-Op. Housing Society Ltd.</t>
  </si>
  <si>
    <t>Schedules attached to and forming part of the Audit Report dated  :-</t>
  </si>
  <si>
    <t>Statutory Report as required  u/s 81 (2)</t>
  </si>
  <si>
    <t>See General Remarks</t>
  </si>
  <si>
    <t>SCHEDULE - V</t>
  </si>
  <si>
    <t>SCHEDULE - VI</t>
  </si>
  <si>
    <t>Personal Expenditure debited to revenue</t>
  </si>
  <si>
    <t>The financial statements have been prepared under the historical cost convention, in accordance with the generally accepted accounting policies and according to the provisions of the Maharashtra Co op Societies Act, 1960 and Rules framed there under and registered Bye-laws of the society and the same, unless specifically referred otherwise, are adopted consistently by the society.</t>
  </si>
  <si>
    <t>Recognition of Income and Expenditure:</t>
  </si>
  <si>
    <t>The society generally follows accrual system of accounting and recognises significant items of income and expenditure on accrual basis except contributions by members towards Non-Agricultural Tax and its payment, annual contribution towards the education and training fund of the State federal society and ex-gratia to watchmen and sweeper.</t>
  </si>
  <si>
    <t>Fixed assets are stated at cost less depreciation. Cost comprises of cost of acquisition and any attributable cost of bringing the asset to condition for its intended use.</t>
  </si>
  <si>
    <t>Depreciation is provided for number of days fixed assets put to use during the year, on written down value (WDV) at the rates prescribed under the Income Tax Act, 1961.</t>
  </si>
  <si>
    <t>Contingent Liabilities:</t>
  </si>
  <si>
    <t>Contingent liabilities are not provided for and, if any, the same is disclosed by way of note.</t>
  </si>
  <si>
    <t>Notes on Accounts:</t>
  </si>
  <si>
    <t>Previous year figures have been re-worked, re-grouped, re-arranged and re-classified wherever necessary to facilitate comparison with the current year figure.</t>
  </si>
  <si>
    <t xml:space="preserve">In the opinion of the Managing Committee, the value of other assets is as stated in the financial statement, if realised in the ordinary course of operations of the Society. </t>
  </si>
  <si>
    <t>Contingent Liabilities</t>
  </si>
  <si>
    <t>Chairman        Secretary        Tresurer</t>
  </si>
  <si>
    <t>Department of Cooperation, Marketing and Textile</t>
  </si>
  <si>
    <t xml:space="preserve">Name of the society </t>
  </si>
  <si>
    <t>Date : 18/07/2016 19:17:58</t>
  </si>
  <si>
    <t>Dear BHARAT CHANDRAKANT BORIDKAR,</t>
  </si>
  <si>
    <t>Register Address</t>
  </si>
  <si>
    <t>Audit Order is generated by following users:</t>
  </si>
  <si>
    <t>Auditor Name:BHARAT CHANDRAKANT</t>
  </si>
  <si>
    <t>Reg. No &amp; date</t>
  </si>
  <si>
    <t>BORIDKAR</t>
  </si>
  <si>
    <t xml:space="preserve">Period of audit </t>
  </si>
  <si>
    <t>Society Name :JATIN CO OP HSG SOC LTD</t>
  </si>
  <si>
    <t>Audit classification</t>
  </si>
  <si>
    <t>"B"</t>
  </si>
  <si>
    <t>Auditor Type :Certified Auditor Individual</t>
  </si>
  <si>
    <t>Society Type :Housing societies having less than</t>
  </si>
  <si>
    <t>GENERAL REMARKS  (PART-A)</t>
  </si>
  <si>
    <t>100 members</t>
  </si>
  <si>
    <t>The following are the major discrepancies found during the audit.</t>
  </si>
  <si>
    <t>Auditor Empanelment Number :1011404 Society District :Mumbai 4</t>
  </si>
  <si>
    <t>Sr no</t>
  </si>
  <si>
    <t>Particulars</t>
  </si>
  <si>
    <t>Instances / Examples which requires reporting</t>
  </si>
  <si>
    <t>Auditor’s remarks</t>
  </si>
  <si>
    <t>Society Taluka:Ward R North</t>
  </si>
  <si>
    <t>Fraud</t>
  </si>
  <si>
    <t>1) Debiting excess amount than the voucher amount / bill amount.</t>
  </si>
  <si>
    <t>During the year under audit, I have not found any such instance.</t>
  </si>
  <si>
    <t>Society Village:Borivali</t>
  </si>
  <si>
    <t>2) Withdrawing the amount from bank but not crediting in cash book</t>
  </si>
  <si>
    <t>During the year under audit, I have not found any such instance. However, on a few occasions, cash withdrawals had been recorded in petty cash book on a day(s) prior to actual day(s) of withdrawal of cash from bank.</t>
  </si>
  <si>
    <t>Regards,</t>
  </si>
  <si>
    <t>3) Debiting the bank account without depositing the amount in bank</t>
  </si>
  <si>
    <t xml:space="preserve">During the year under audit, I have not found any such instance. </t>
  </si>
  <si>
    <t>eSahakar</t>
  </si>
  <si>
    <t>4) Disbursing loans without sanction / without security / without loan documents / using forge documents</t>
  </si>
  <si>
    <t>During the year under audit, I have not found any such instance. The society is Housing Society.</t>
  </si>
  <si>
    <t>Online Audit Management System</t>
  </si>
  <si>
    <t>5) Any other transaction with the intention to defraud the society by any person.</t>
  </si>
  <si>
    <t>On the basis of verification of record made available to me, during the year under audit, I have not found any such instance.</t>
  </si>
  <si>
    <t>Misutilisation of funds and properties</t>
  </si>
  <si>
    <t>1) purchasing / constructing building without inviting the tenders</t>
  </si>
  <si>
    <t>2) purchasing the computers / fixed assets without inviting the tenders.</t>
  </si>
  <si>
    <t>3) selling the movable / immovable properties without inviting bids</t>
  </si>
  <si>
    <t>4) selling the movable / immovable properties below Reserve Price (Upset price)</t>
  </si>
  <si>
    <t>Misapplication of funds</t>
  </si>
  <si>
    <t>1) Use of sinking fund for day to day maintenance without passing required resolution in General Body.</t>
  </si>
  <si>
    <t>2) Use of revenue reserve / general reserve for creating Reserve for Bad and Doubtful Debts.</t>
  </si>
  <si>
    <t>Manipulation of accounts</t>
  </si>
  <si>
    <t>I have not found any manipulation of accounts during the year under audit.</t>
  </si>
  <si>
    <t>Falsification of accounts</t>
  </si>
  <si>
    <t>I have not found any Falsification of accounts during the year under audit.</t>
  </si>
  <si>
    <t>Shortfall in various provisions</t>
  </si>
  <si>
    <t>There is no material shortfall in recognition of liability for outstanding expenses/provisions</t>
  </si>
  <si>
    <t>Infringement of the M C S Act, 1960, Rules, 1961 and the Bye-Laws of the Society</t>
  </si>
  <si>
    <t>Srn</t>
  </si>
  <si>
    <t>Bye-laws @</t>
  </si>
  <si>
    <t>26(1)</t>
  </si>
  <si>
    <t>22 (b)</t>
  </si>
  <si>
    <t>Increase in minimum contribution of member in share capital to exercise right of membership. [Minimum number of shares 10 per member]</t>
  </si>
  <si>
    <t>24A</t>
  </si>
  <si>
    <t>Not organising co-operative education and training for members and committee members</t>
  </si>
  <si>
    <t>Strength, composition and quorum of the managing committee.</t>
  </si>
  <si>
    <t>153 (a)</t>
  </si>
  <si>
    <t>Audit rectification report in “O” form not placed in managing committee meeting and submission to Registering Authority and auditor for her comments.</t>
  </si>
  <si>
    <t>Personal expenses debited to Income and expenditure account.</t>
  </si>
  <si>
    <t>Transactions with relatives of members of managing committee, companies, firms in which members of managing committee are interested, which are not at the reasonable rates.</t>
  </si>
  <si>
    <t>No action against overdue in excess of one year</t>
  </si>
  <si>
    <t>GENERAL REMARKS  (PART-B)</t>
  </si>
  <si>
    <t>Management:</t>
  </si>
  <si>
    <t>Committee Member</t>
  </si>
  <si>
    <t>The attendance of members at the meeting is recorded in the minute book by way of member signing against the flat number serially written. Name of member is not written. Remark "ABSENT" is not recorded against the flat number of member who did not attend the meeting.</t>
  </si>
  <si>
    <t>The resolutions passed are not serially numbered as well as name of person who proposed and seconded the resolution is not mentioned.</t>
  </si>
  <si>
    <t>Managing Committee</t>
  </si>
  <si>
    <t>The place and date of signing the minutes by the chairman are not recorded in the minutes.</t>
  </si>
  <si>
    <t>UNRECTIFIED AUDIT OBJECTIONS OF PREVIOUS AUDIT REPORT</t>
  </si>
  <si>
    <t>Not obtaining balance confirmation from the members for the balances as on year end.</t>
  </si>
  <si>
    <t>Non payment of contribution toward education fund.</t>
  </si>
  <si>
    <t>CONTRAVENTION OF PROVISIONS OF OTHER ALLIED ACT</t>
  </si>
  <si>
    <t>Income tax return is not filed.</t>
  </si>
  <si>
    <t>FINANCIAL PERFORMANCE:</t>
  </si>
  <si>
    <t>Increase/Decrease</t>
  </si>
  <si>
    <t>LIABILITIES</t>
  </si>
  <si>
    <t>Issued,Subscribed &amp; Paid Up Share Capital</t>
  </si>
  <si>
    <t>Reserve Fund and Other Reserves</t>
  </si>
  <si>
    <t>Current Liabilities &amp; Provisions</t>
  </si>
  <si>
    <t>Advances from Members</t>
  </si>
  <si>
    <t>ASSETS</t>
  </si>
  <si>
    <t>Cash &amp; Bank Balances</t>
  </si>
  <si>
    <t>Investments</t>
  </si>
  <si>
    <t>Fixed Assets (At Cost)</t>
  </si>
  <si>
    <t>Dues from Members</t>
  </si>
  <si>
    <t>ANALYSIS OF BALANCE SHEET</t>
  </si>
  <si>
    <t>SECTION I: CAPITAL AND LIABILITIES</t>
  </si>
  <si>
    <t xml:space="preserve"> AUTHORISED SHARE CAPITAL:</t>
  </si>
  <si>
    <t xml:space="preserve">Authorised Share Capital was Rs.1,00,000 divided into 2000 shares of Rs.50/- each. </t>
  </si>
  <si>
    <t>PAID-UP SHARE CAPITAL:</t>
  </si>
  <si>
    <t>RESERVES AND SURPLUS:</t>
  </si>
  <si>
    <t>Balance    (Rs.)</t>
  </si>
  <si>
    <t>Investment (Rs.)</t>
  </si>
  <si>
    <t>Deficit/  (Surplus)     (Rs.)</t>
  </si>
  <si>
    <t>SECTION II: ASSETS</t>
  </si>
  <si>
    <t xml:space="preserve">The balance confirmation certificates at the year end are not submitted for our audit. However the bank passbook submitted by the society from the aforesaid banks were verified and the balances were found to be in agreement with the balance as per the books of account by way of reconciliation of unadjusted entries, if any. </t>
  </si>
  <si>
    <t>INVESTMENTS:</t>
  </si>
  <si>
    <t>Deposits with BMC  Rs. 500/-</t>
  </si>
  <si>
    <t>INCOME</t>
  </si>
  <si>
    <t>Contribution from Members towards outgoings</t>
  </si>
  <si>
    <t>The Society is advised to charge maintenance and other charges under various applicable heads strictly as per BYE-LAWS, Act, Rules and Notifications issued by Govt. from time to time.</t>
  </si>
  <si>
    <t>EXPENDITURE</t>
  </si>
  <si>
    <t>ANALYSIS OF PROFIT &amp; LOSS ACCOUNT</t>
  </si>
  <si>
    <t>Increase / Decrease</t>
  </si>
  <si>
    <t>%</t>
  </si>
  <si>
    <t>Income :-</t>
  </si>
  <si>
    <t>Expenses:-</t>
  </si>
  <si>
    <t>Miscellaneous Expenses</t>
  </si>
  <si>
    <t>From the examination of books of account and other records maintained and produced by the the society, I would like to appreciate the co-operation received from time to from the office bearers of the Society.</t>
  </si>
  <si>
    <t>GENERAL REMARKS  (PART-C)</t>
  </si>
  <si>
    <t>AUDIT OBJECTIONS &amp; GENERAL REMARKS</t>
  </si>
  <si>
    <t>SUGGESTIONS :-</t>
  </si>
  <si>
    <t>TO ADMINISTRATIVE EXPENSES</t>
  </si>
  <si>
    <t xml:space="preserve"> "   Building Insurance </t>
  </si>
  <si>
    <t xml:space="preserve"> "   Diwali Bonus to Security/Sweepar</t>
  </si>
  <si>
    <t>To Depreciation - Fixed Assets</t>
  </si>
  <si>
    <t>TO RENT RATES TAXES</t>
  </si>
  <si>
    <t>TO BUILDING MAINTENANCE EXP</t>
  </si>
  <si>
    <t xml:space="preserve"> "   Repairs &amp; Maintenance Expenses</t>
  </si>
  <si>
    <t>5) CCTV System</t>
  </si>
  <si>
    <t>Attendance:-</t>
  </si>
  <si>
    <t>@10 %  on Office Room, Vehicle Parking Shed &amp; Watchmen Cabin  &amp; CCTV 15%</t>
  </si>
  <si>
    <t>TDS return were not filled.</t>
  </si>
  <si>
    <t>Current Assets</t>
  </si>
  <si>
    <t>Security Deposits</t>
  </si>
  <si>
    <t>The amount of Paid Share capital was Rs. 7,500/- comprising of 150 Shares of Rs.50/- each.</t>
  </si>
  <si>
    <t xml:space="preserve">54,55 </t>
  </si>
  <si>
    <t>FDR - Reserve Fund with MDCC Bank</t>
  </si>
  <si>
    <t>FDR - Sinking Fund with MDCC Bank</t>
  </si>
  <si>
    <t>ii</t>
  </si>
  <si>
    <t>i</t>
  </si>
  <si>
    <t>Property Tax</t>
  </si>
  <si>
    <t>Repairs &amp; Maintenance Expenses</t>
  </si>
  <si>
    <t>Lift Maintenance Expenses</t>
  </si>
  <si>
    <t>Sweepar Labour Charges</t>
  </si>
  <si>
    <t>Security Expenses</t>
  </si>
  <si>
    <t>Diwali Bonus to Security/Sweepar</t>
  </si>
  <si>
    <t xml:space="preserve">Building Insurance </t>
  </si>
  <si>
    <t>Printing &amp; Stationary</t>
  </si>
  <si>
    <t>Subscriptions</t>
  </si>
  <si>
    <t>Bank Charges</t>
  </si>
  <si>
    <t>Depreciation - Fixed Assets</t>
  </si>
  <si>
    <t>6) Water Pump</t>
  </si>
  <si>
    <t>ZZZ</t>
  </si>
  <si>
    <t>Add : Transfer Premium Received  during  the Year</t>
  </si>
  <si>
    <t>c) Sinking Fund</t>
  </si>
  <si>
    <t>d) Repairs &amp; Maintenance Fund</t>
  </si>
  <si>
    <t>[Panel No.: Mumbai-4/B3/1011404]</t>
  </si>
  <si>
    <t>Name :</t>
  </si>
  <si>
    <t>Reg.No</t>
  </si>
  <si>
    <t>DDR Order</t>
  </si>
  <si>
    <t>It is advised that one set to be submitted to the Deputy Registrar of Co operative Societies,R  Ward, 2nd floor, C wing, Municipal Godown Bldg, Nr St Lwarence School, 90 feet Road, Sanskruiti Complex,, Kandivali East,, Mumbai- 400101 under the Societies covering letter at your earliest.</t>
  </si>
  <si>
    <t>It is advised that one set to be submitted to the Deputy Registrar of Co operative Societies, Ward P, 2nd floor, C wing, Municipal Godown Bldg, Nr St Lwarence School, 90 feet Road, Sanskruiti Complex,, Kandivali East,, Mumbai- 400101 under the Societies covering letter at your earliest.</t>
  </si>
  <si>
    <t>I am also enclosing Invoice for audit fees with a request to settle the same at your earliest.</t>
  </si>
  <si>
    <t>Please Note that the Audit rectification report in Form O duly approved by the managing committee to be submitted to the Registering Authorities within the time permitted i.e. 3 months from the date of audit report under section 82 of the MCS Act. Please make sure that authenticated copy of the same along with soft copy to be provided to me for my comments thereon and uploading thereafter on "www.mahasahakar.maharashtra.gov.in".</t>
  </si>
  <si>
    <t>In any case, any further information is required, feel free to contact me at your convenience.</t>
  </si>
  <si>
    <t>Inconvenience, if any, is regretted.</t>
  </si>
  <si>
    <t>Thanks a lot.</t>
  </si>
  <si>
    <t>Yours faithfully,</t>
  </si>
  <si>
    <t>Co-op Soc Empanelment Number : A-2 / 13395</t>
  </si>
  <si>
    <t>Encl:</t>
  </si>
  <si>
    <t>1] 3 [three only] sets as above</t>
  </si>
  <si>
    <t>2] Original Invoice of Audit Fees</t>
  </si>
  <si>
    <t>24/11/2016  8:50:34 PM</t>
  </si>
  <si>
    <t xml:space="preserve">I have been appointed as the Statutory auditors of VIVEK ENCLAVE CO-OPERATIVE HOUSING SOCIETY LIMITED  Mandapeshwar Road, Borivali (W), Mumbai - 400103  by  e-Sahakar, Online Audit Management System, Department of Cooperation, Marketing and Textile e-audit order generated Dt. 18/07/2016. Accordingly I have completed the Audit work.  </t>
  </si>
  <si>
    <t>Amount (Rs.)</t>
  </si>
  <si>
    <t>Total :-</t>
  </si>
  <si>
    <t>Saraswat Bank - Dahisar</t>
  </si>
  <si>
    <t>Change Year</t>
  </si>
  <si>
    <t>By   Interest Received</t>
  </si>
  <si>
    <t>Fixed Deposits with Saraswat Bank at Dahisar</t>
  </si>
  <si>
    <t>Minutes are either written by hand or printouts are pasted.</t>
  </si>
  <si>
    <t>In the case of minutes by pasting of printout, it is advised to affix societies seal on each page with authentication by the chairman of the managing committee meeting in which the minutes are confirmed.</t>
  </si>
  <si>
    <t>The folios of the minute book are not serially numbered.</t>
  </si>
  <si>
    <t>Share Capital, Sinking Fund, Repair Fund, Reserve Fund amount should be invested separately.  It has been suggested to keep investment amount to the extent of fund value.</t>
  </si>
  <si>
    <t>FDR - Reserve Fund with Saraswat Bank</t>
  </si>
  <si>
    <t>Paid only to Sweeper &amp; Watchmen</t>
  </si>
  <si>
    <t>30/10/2018  20:34:57</t>
  </si>
  <si>
    <t>To Transfer to Education &amp; Training Fund</t>
  </si>
  <si>
    <t xml:space="preserve"> "   Fire Extinguisher Expenses</t>
  </si>
  <si>
    <t>e) Education &amp; Training Fund</t>
  </si>
  <si>
    <t>Water Chgs</t>
  </si>
  <si>
    <t>Insurance</t>
  </si>
  <si>
    <t>Lift Maint</t>
  </si>
  <si>
    <t>DDR Order generated on 30/10/2018  20:34:57  for Statutory audit of NAVANAND CO-OP. HOUSING SOCIETY LTD.  -  Society Registration No:  BOM/WR/HSG/TC/11905 DT. 06/01/2003  for the Financial Year ending on 31-Mar-2019</t>
  </si>
  <si>
    <t>Education &amp; Training Fund</t>
  </si>
  <si>
    <t>Transfer to Education &amp; Training Fund</t>
  </si>
  <si>
    <t>The dues from members and credit balances of members security deposits with MCGM &amp; Adani Electricity  are subject to confirmation.</t>
  </si>
  <si>
    <t>Adani Electricity - Security Deposits</t>
  </si>
  <si>
    <t>Subscription Payable</t>
  </si>
  <si>
    <t>Shri.S. Vasamsetti</t>
  </si>
  <si>
    <t>TRIAL BALANCE</t>
  </si>
  <si>
    <t>CASH - BANK BOOK</t>
  </si>
  <si>
    <t>GENERAL LEDGER</t>
  </si>
  <si>
    <t>MEMBER ACCOUNT</t>
  </si>
  <si>
    <t>MEMBER CONTROL ACCOUNT</t>
  </si>
  <si>
    <t xml:space="preserve"> "    MDCC Bank Dividened </t>
  </si>
  <si>
    <t xml:space="preserve"> "   CCTV Maintenance Expenses</t>
  </si>
  <si>
    <t>[Panel No.: C1-15145]</t>
  </si>
  <si>
    <t>Property Tax Payable</t>
  </si>
  <si>
    <t>25% of Surplus Transferred to Reserve Fund</t>
  </si>
  <si>
    <t xml:space="preserve">Add : 25% Surplus Transferred </t>
  </si>
  <si>
    <t xml:space="preserve"> "   Excess of Income Over Expenditure</t>
  </si>
  <si>
    <t>A Sublette / licensee not applied for Nominal Membership of the Society.</t>
  </si>
  <si>
    <t>73b</t>
  </si>
  <si>
    <t>Interest Accrued on Fixed Deposits</t>
  </si>
  <si>
    <t>The Society is advised to reconcile the same with the record of the Electricity Supply Company.</t>
  </si>
  <si>
    <t>Deposits with Adani Electricity Co.  Rs. 9,135/-</t>
  </si>
  <si>
    <t>LAND &amp; BUILDING, FURNITURE ETC:</t>
  </si>
  <si>
    <t>Furniture &amp; Fixtures             Less Depreciation</t>
  </si>
  <si>
    <t>Office Room                           Less Depreciation</t>
  </si>
  <si>
    <t>Vehicle Parking Shed           Less Depreciation</t>
  </si>
  <si>
    <t>CCTV Camera                         Less Depreciation</t>
  </si>
  <si>
    <t>Submercible Water Pump   Less Depreciation</t>
  </si>
  <si>
    <t>Watchman Cabin                 Less Depreciation</t>
  </si>
  <si>
    <t>It is observed that some members of the Society have still not submitted the nominations. It is in the interest of the members to do the nominations at the earliest as per the provision in the Byelaw of the Society.</t>
  </si>
  <si>
    <t>Sinking Fund, Repair Fund and Reserve Fund should be fully invested as required u/s 70 of the MCS Act 1960 on long term basis.</t>
  </si>
  <si>
    <t>No provision for the taxation is made but, actual payment of Income Tax, if any will be, debited in the year of payment to the Income &amp; Expenditure Acoount. The Society has not paid any advance income tax for the year.</t>
  </si>
  <si>
    <t>Society has maintained the following  statutory registers, which are required as per Bye Laws No.142 should be  updated.</t>
  </si>
  <si>
    <t>Form I, Form J,  &amp; Share  Register. Nomination register, Property Register</t>
  </si>
  <si>
    <t>According to the information and explanations given to us and based on our examination of the records of the society, the Following flats have amount outstandings which includes ovedue for a period exceeding one year.</t>
  </si>
  <si>
    <t>JOURNAL REGISTER</t>
  </si>
  <si>
    <t>Pest Control</t>
  </si>
  <si>
    <t>Pest Control Expenses</t>
  </si>
  <si>
    <t>STATUTORY AUDIT REPORT</t>
  </si>
  <si>
    <t>[Empanelment No.:  Mumbai-4/B2/1011404</t>
  </si>
  <si>
    <t>001</t>
  </si>
  <si>
    <t>SHREE VAGADVISHA OSWAL MURTIPUJAK JAIN</t>
  </si>
  <si>
    <t>002</t>
  </si>
  <si>
    <t>SHRE VAGADVISHA OSWAL MURTIPUJAK JAIN</t>
  </si>
  <si>
    <t>003</t>
  </si>
  <si>
    <t>SMT. SHEELA P. JOSHI &amp;</t>
  </si>
  <si>
    <t>004</t>
  </si>
  <si>
    <t>SHRI. NEELKANTH N. PATHARE &amp;</t>
  </si>
  <si>
    <t>005</t>
  </si>
  <si>
    <t>SHRI. DNYANESHWAR K. MOHOLKAR</t>
  </si>
  <si>
    <t>101</t>
  </si>
  <si>
    <t>SHRI. PRADEEPKUMAR RAJARAM JAISWAL</t>
  </si>
  <si>
    <t>102</t>
  </si>
  <si>
    <t>SHRI. MADHUKAR R. PEDNEKAR &amp;</t>
  </si>
  <si>
    <t>103</t>
  </si>
  <si>
    <t>SHRI. NARAYAN HARI KADAM</t>
  </si>
  <si>
    <t>104</t>
  </si>
  <si>
    <t>SHRI. SATYANARAYANA VASAMSETTI &amp;</t>
  </si>
  <si>
    <t>105</t>
  </si>
  <si>
    <t>SHRI. JAGSHI KARSAN GALA &amp;</t>
  </si>
  <si>
    <t>201</t>
  </si>
  <si>
    <t>SMT. JYOTSANABEN P. DOSHI</t>
  </si>
  <si>
    <t>202</t>
  </si>
  <si>
    <t>SMT. SARLA GANESH JOSHI</t>
  </si>
  <si>
    <t>203</t>
  </si>
  <si>
    <t>SMT. PRADNYA P. PATWARDHAN &amp;</t>
  </si>
  <si>
    <t>204</t>
  </si>
  <si>
    <t>SHRI. MADHUKAR RAMCHANDRA ALWE</t>
  </si>
  <si>
    <t>205</t>
  </si>
  <si>
    <t>SHRI. PRAKASH P. PATWARDHAN</t>
  </si>
  <si>
    <t>301</t>
  </si>
  <si>
    <t>SMT. ARUNDHATI JAYRAM RANE</t>
  </si>
  <si>
    <t>302</t>
  </si>
  <si>
    <t>SMT. SMITA VINOD SAVE</t>
  </si>
  <si>
    <t>303</t>
  </si>
  <si>
    <t>SHRI. SURENDRA GOPAL RAHATE</t>
  </si>
  <si>
    <t>304</t>
  </si>
  <si>
    <t>SHRI. P. DEVENDRA  RAO</t>
  </si>
  <si>
    <t>305</t>
  </si>
  <si>
    <t>SHRI. MILIND D. MOHOLKAR</t>
  </si>
  <si>
    <t>401</t>
  </si>
  <si>
    <t>SHRI. DILIP G. KALGUTKAR</t>
  </si>
  <si>
    <t>402</t>
  </si>
  <si>
    <t>SHRI. TEJAS BATAVIA</t>
  </si>
  <si>
    <t>403</t>
  </si>
  <si>
    <t>SHRI. RAJESH MURJI NISHAR</t>
  </si>
  <si>
    <t>404</t>
  </si>
  <si>
    <t>SHRI. ACHYUT NAVANAND BAGWE</t>
  </si>
  <si>
    <t>405</t>
  </si>
  <si>
    <t>SHRI. UNMESH NAVANAND BAGWE</t>
  </si>
  <si>
    <t>501</t>
  </si>
  <si>
    <t>SHRI. PRAVINKUMAR K. GAJERA &amp;</t>
  </si>
  <si>
    <t>502</t>
  </si>
  <si>
    <t>CAPT. NAKKIRAN WELUSWAMU MUDLIAR &amp;</t>
  </si>
  <si>
    <t>503</t>
  </si>
  <si>
    <t>SHRI NEERAV P. DOSHI &amp;</t>
  </si>
  <si>
    <t>504</t>
  </si>
  <si>
    <t>SHRI. PRAKASH C. GOGARI &amp;</t>
  </si>
  <si>
    <t>505</t>
  </si>
  <si>
    <t>SMT. KOKILA H. SHAH &amp;</t>
  </si>
  <si>
    <t>UNKNOWN MEMBERS</t>
  </si>
  <si>
    <t>TOTAL</t>
  </si>
  <si>
    <t>CCTV Maintenance Expenses</t>
  </si>
  <si>
    <t>Fire Extinguisher Expenses</t>
  </si>
  <si>
    <t xml:space="preserve"> Excess of Income Over Expenditure</t>
  </si>
  <si>
    <t>Account No.</t>
  </si>
  <si>
    <t>TD0000565754</t>
  </si>
  <si>
    <t>TD0000565755</t>
  </si>
  <si>
    <t>TD0000565753</t>
  </si>
  <si>
    <t>TD0000565756</t>
  </si>
  <si>
    <t xml:space="preserve">Property Tax Payable </t>
  </si>
  <si>
    <t>Shri. Dilip Kalgutkar</t>
  </si>
  <si>
    <t>During the audit, I have informed that , society has  taken legal action for recovery in respect of   members having arrears for more than one year.</t>
  </si>
  <si>
    <t>Shri. Prakash Gogari</t>
  </si>
  <si>
    <t>Shri. Harshad Shah</t>
  </si>
  <si>
    <t>Shri. Pravinkumar Gajera</t>
  </si>
  <si>
    <t>Shri. Santosh Pathare</t>
  </si>
  <si>
    <t>Smt. Pradnya Patwardhan</t>
  </si>
  <si>
    <t>Shri. Dilip G. Kalgutkar</t>
  </si>
  <si>
    <t>`</t>
  </si>
  <si>
    <t>CONCLUSION</t>
  </si>
  <si>
    <t>No personal expenses recorded in income &amp; expenditure a/c.</t>
  </si>
  <si>
    <t>All the expenses incurred for fulfilling the objectives of the society.</t>
  </si>
  <si>
    <t>There are no such transaction which hurts the interest of the society.</t>
  </si>
  <si>
    <t>Society is fulfilling its liability towards the members</t>
  </si>
  <si>
    <t xml:space="preserve"> There is not any loan kept overdue by the society.</t>
  </si>
  <si>
    <t>Amount to be spent for fulfilling the objectives: Yes but not other than routine management expenses.</t>
  </si>
  <si>
    <t>Society has not received any financial assistance from any authority for fulfillment of its objectives.</t>
  </si>
  <si>
    <t>Meeting-1</t>
  </si>
  <si>
    <t>Meeting-2</t>
  </si>
  <si>
    <t>Meeting-3</t>
  </si>
  <si>
    <t>Meeting-4</t>
  </si>
  <si>
    <t>Meeting-5</t>
  </si>
  <si>
    <t>Meeting-6</t>
  </si>
  <si>
    <t>Meeting-7</t>
  </si>
  <si>
    <t>Meeting-8</t>
  </si>
  <si>
    <t>Meeting-9</t>
  </si>
  <si>
    <t>Meeting-10</t>
  </si>
  <si>
    <t>Meeting-11</t>
  </si>
  <si>
    <t>Meeting-12</t>
  </si>
  <si>
    <t>Name of the Trustee</t>
  </si>
  <si>
    <t>AGM</t>
  </si>
  <si>
    <t>SGM-1</t>
  </si>
  <si>
    <t xml:space="preserve">Meeting conducted to discuss redevelopment project </t>
  </si>
  <si>
    <t>MC meeting</t>
  </si>
  <si>
    <t>Meeting-13</t>
  </si>
  <si>
    <t>TD1000792703</t>
  </si>
  <si>
    <t xml:space="preserve"> "   Insurance Charges</t>
  </si>
  <si>
    <t xml:space="preserve"> "   Lift Maintenance</t>
  </si>
  <si>
    <t xml:space="preserve"> "   Audit &amp; Accounts</t>
  </si>
  <si>
    <t>Less : Prior Period Adjustments</t>
  </si>
  <si>
    <t xml:space="preserve"> "  Education &amp; Training </t>
  </si>
  <si>
    <t>Property Tax Payable to Members</t>
  </si>
  <si>
    <t>Flat No. 003</t>
  </si>
  <si>
    <t>Contribution from members</t>
  </si>
  <si>
    <t>Interest on SB &amp; FD</t>
  </si>
  <si>
    <t>Other Income</t>
  </si>
  <si>
    <t>Dividened</t>
  </si>
  <si>
    <t>ACCOUNT BOOKS FOR THE YEAR 2022-2023</t>
  </si>
  <si>
    <t>NAVANAND CO-OPERATIVE. HOUSING SOCIETY LTD.</t>
  </si>
  <si>
    <t>2023-2024/</t>
  </si>
  <si>
    <t>[Panel No.: Mumbai-4/C1/15145]</t>
  </si>
  <si>
    <t>Particular</t>
  </si>
  <si>
    <t>Printing &amp; Stn</t>
  </si>
  <si>
    <t>Repairs &amp; Maint</t>
  </si>
  <si>
    <t>Miscellaneous Exp</t>
  </si>
  <si>
    <t>Diwali Bonus</t>
  </si>
  <si>
    <t>Month</t>
  </si>
  <si>
    <t>Row Labels</t>
  </si>
  <si>
    <t>Grand Total</t>
  </si>
  <si>
    <t>Sum of Printing &amp; Stn</t>
  </si>
  <si>
    <t>Sum of Miscellaneous Exp</t>
  </si>
  <si>
    <t>Sum of Repairs &amp; Maint</t>
  </si>
  <si>
    <t>Sum of Diwali Bonus</t>
  </si>
  <si>
    <t>25-01-2024 to 31-03-2024</t>
  </si>
  <si>
    <t>01-04-2024 To 23-04-2023</t>
  </si>
  <si>
    <t>TD1000756060</t>
  </si>
  <si>
    <t>TD1001162595</t>
  </si>
  <si>
    <t>TD1001162608</t>
  </si>
  <si>
    <t>TD1001162619</t>
  </si>
  <si>
    <t>TD1001162632</t>
  </si>
  <si>
    <t>Net</t>
  </si>
  <si>
    <t>Previous Accrued Int</t>
  </si>
  <si>
    <t>24/11/2023 to 31/03/2024</t>
  </si>
  <si>
    <t>01/04/2024 to 23/11/2024</t>
  </si>
  <si>
    <t>01/10/2023 to 31/03/2024</t>
  </si>
  <si>
    <t>01/04/2024 to 30/09/2024</t>
  </si>
  <si>
    <t>01/01/2024 To 31/03/2024</t>
  </si>
  <si>
    <t>01/04/2024 to 31/12/2024</t>
  </si>
  <si>
    <t>CCTV</t>
  </si>
  <si>
    <t xml:space="preserve"> "   Non-Agricultural Tax</t>
  </si>
  <si>
    <t xml:space="preserve"> " Professional Fees</t>
  </si>
  <si>
    <t>Prepaid CCTV Expenses</t>
  </si>
  <si>
    <t>Minutes not written</t>
  </si>
  <si>
    <t>Signatures of Members were not taken</t>
  </si>
  <si>
    <t xml:space="preserve">Sign </t>
  </si>
  <si>
    <t>Investment of Sinking Fund is short by about Rs. 1.41 lakhs</t>
  </si>
  <si>
    <t>Rs. 87,285/-</t>
  </si>
  <si>
    <t>The list of management committee as on 31st March 2024 is provided by the Society. The Office bearers for the audit period are as under:</t>
  </si>
  <si>
    <t>There are 30 members in the Society. As informed by the management, during the year, there is no case of transfer or transmission .</t>
  </si>
  <si>
    <t>OBSERVATION ON THE BALANCE SHEET AS ON  31-03-2024</t>
  </si>
  <si>
    <t xml:space="preserve">As on 31.03.2024 there is deficit in investment of following funds, details of which are given below: </t>
  </si>
  <si>
    <t>ADVANCES FROM MEMBERS  Rs. 27878/-</t>
  </si>
  <si>
    <t xml:space="preserve">Details of Sundry Creditors &amp; Provisions made by Society as on 31st March, 2024  are as under: </t>
  </si>
  <si>
    <r>
      <t>Cash on hand</t>
    </r>
    <r>
      <rPr>
        <b/>
        <i/>
        <u/>
        <sz val="10"/>
        <rFont val="Calibri"/>
        <family val="2"/>
      </rPr>
      <t xml:space="preserve"> Rs. </t>
    </r>
    <r>
      <rPr>
        <b/>
        <u/>
        <sz val="10"/>
        <rFont val="Calibri"/>
        <family val="2"/>
      </rPr>
      <t xml:space="preserve"> 3482/-</t>
    </r>
  </si>
  <si>
    <t xml:space="preserve">Cash Balance as on 31st March ‘2024 was Rs. 3482/- The Hon. Treasurer is of the opinion that operation with a low cash balance is practically difficult. </t>
  </si>
  <si>
    <t>Bank Balance as on 31/03/2024 Rs. 2,34,839/-</t>
  </si>
  <si>
    <t>Investment portfolio mainly consists of Fixed Deposits. The details of the same as at 31/03/2024 are as under:</t>
  </si>
  <si>
    <t>Fixed Assets have been stated at value at the beginning of the year inclusive of incidental expenses incurred on acquisition less depreciation for the year and the same are depreciated on the Basis and the rates determined by the management. The details of the Fixed Assets as on 31/03/2024 are as under:</t>
  </si>
  <si>
    <t>Dues from members  Rs.1,22,443/-</t>
  </si>
  <si>
    <t xml:space="preserve"> Surplus / (Deficit) for the year </t>
  </si>
  <si>
    <t>Professional Fees</t>
  </si>
  <si>
    <t>Income Tax Paid</t>
  </si>
  <si>
    <t>Non-Agricultural Tax</t>
  </si>
  <si>
    <t>TD0000565751</t>
  </si>
  <si>
    <t>TD1001305000</t>
  </si>
  <si>
    <t>TD1001514946</t>
  </si>
  <si>
    <t>TD1001514956</t>
  </si>
  <si>
    <t>INVESTMENT DETAILS FOR THE YEAR 2024-2025</t>
  </si>
  <si>
    <t>Nilkanth Stationery</t>
  </si>
  <si>
    <t>Mahavir Collection</t>
  </si>
  <si>
    <t>Selection Centre</t>
  </si>
  <si>
    <t>Ollwyn Xerox</t>
  </si>
  <si>
    <t>Nomination Form</t>
  </si>
  <si>
    <t>Shree Ganesh Stores</t>
  </si>
  <si>
    <t>Shrinath Plastics - Water Bottles</t>
  </si>
  <si>
    <t>Shree Chamunda Dairy</t>
  </si>
  <si>
    <t>Om Sai Medical &amp; General Stores</t>
  </si>
  <si>
    <t>The Mumbai District Co-op Housing  Federation Ltd.</t>
  </si>
  <si>
    <t>Water</t>
  </si>
  <si>
    <t xml:space="preserve">Diwali Bonus to Watchman </t>
  </si>
  <si>
    <t>Diwali Bonus to Sweepar</t>
  </si>
  <si>
    <t>Diwali Toran</t>
  </si>
  <si>
    <t>Function &amp; Festival</t>
  </si>
  <si>
    <t>Diwali Bonus to Postman</t>
  </si>
  <si>
    <t>Diwali Bonus to BMC Labour</t>
  </si>
  <si>
    <t>Diwali Bonus to BMC - Pest Control</t>
  </si>
  <si>
    <t>Conveyance to visit Builder Office</t>
  </si>
  <si>
    <t>Conveyance</t>
  </si>
  <si>
    <t>Tea &amp; Snacks</t>
  </si>
  <si>
    <t>Tea &amp; Snacks to labours - cleaning water tank</t>
  </si>
  <si>
    <t>Conveyance to visit Advocate Office</t>
  </si>
  <si>
    <t>Colddrinks during meeting</t>
  </si>
  <si>
    <t>Conveyance to visit Architect's Office</t>
  </si>
  <si>
    <t>Paid to watchman for electrical repairs</t>
  </si>
  <si>
    <t>Repairing watch at watchman cabin</t>
  </si>
  <si>
    <t>Cleaning Society premises</t>
  </si>
  <si>
    <t>Repairing Tap of overhead water tank</t>
  </si>
  <si>
    <t>Tea &amp; Snacks during meeting</t>
  </si>
  <si>
    <t>Repairing parking shade</t>
  </si>
  <si>
    <t>Toran during Gudhi Padwa</t>
  </si>
  <si>
    <t>Sr.</t>
  </si>
  <si>
    <t>Apr</t>
  </si>
  <si>
    <t>May</t>
  </si>
  <si>
    <t>Jun</t>
  </si>
  <si>
    <t>Jul</t>
  </si>
  <si>
    <t>Aug</t>
  </si>
  <si>
    <t>Sep</t>
  </si>
  <si>
    <t>Oct</t>
  </si>
  <si>
    <t>Nov</t>
  </si>
  <si>
    <t>Dec</t>
  </si>
  <si>
    <t>Feb</t>
  </si>
  <si>
    <t>Mar</t>
  </si>
  <si>
    <t>Sum of Total</t>
  </si>
  <si>
    <t>Sum of Function &amp; Festival</t>
  </si>
  <si>
    <t>Sum of Conveyance</t>
  </si>
  <si>
    <t>Diff</t>
  </si>
  <si>
    <t>Lift Maintenance</t>
  </si>
  <si>
    <t>Pest-Control</t>
  </si>
  <si>
    <t>Shri. Bharat C. Boridkar</t>
  </si>
  <si>
    <t>Mumbai-4/C1/1011404</t>
  </si>
  <si>
    <t>Boridkar House, Pandurang Bhoir Road, Dahisar - West, Mumbai, Mumbai - 400 068</t>
  </si>
  <si>
    <t>16-11-2024 &amp; 16-02-2025</t>
  </si>
  <si>
    <t>01-04-202</t>
  </si>
  <si>
    <t>Co-op Soc Empanelment Number : Mumbai-4/C1/1011404</t>
  </si>
  <si>
    <t xml:space="preserve">Excess of Income Over Expenditure </t>
  </si>
  <si>
    <t>Period:-  01.04.2024 To 31.03.2025</t>
  </si>
  <si>
    <t>01-Apr-2024 To 31-Mar-2025</t>
  </si>
  <si>
    <t>The audit has been conducted for the period 1st April 2024 to 31st March 2025. This statutory audit is based on the books of accounts, records, financial statements, annexures, and other relevant documents maintained in the computer system, and has been verified accordingly. Both written and oral information provided by the management at the time of the audit has been relied upon during the course of this work. It is assumed that all transactions have been carried out in compliance with the Maharashtra State Co-operative Societies Act, 1960, the Rules of 1961, and the Bye-Laws of the Society.</t>
  </si>
  <si>
    <t>It is presumed that the computer-generated entries and transactions are strictly accurate, in proper working order as per standard software/programming requirements, and free from internal defects. The Society shall be solely responsible for any subsequent changes made to the records.</t>
  </si>
  <si>
    <t xml:space="preserve">Information obtained and irregularities observed during the audit are presented in Parts A, B, and C of this report. Upon compliance with the irregularities noted, an Audit Compliance Report is to be submitted.
</t>
  </si>
  <si>
    <t>The five-yearly election of the Managing Committee of the Society for the period 2024 to 2029 was conducted on 08th June-2025, under the supervision of the Election Officer, Mr. Gautam B. Jadhav (Panel No. 247/2025). Pursuant to the said election, a new Managing Committee has been duly constituted. From among the elected members, the following members have been selected as the Office Bearers of the Managing Committee of the Society.</t>
  </si>
  <si>
    <t>The Society should charge maintenance and other applicable charges strictly in accordance with the Bye-Laws, relevant Acts, Rules, and Government Notifications issued from time to time.</t>
  </si>
  <si>
    <t>Statutory registers should be updated regularly.</t>
  </si>
  <si>
    <t>All single payments above ₹1,500/- should be made only by crossed account payee cheque.</t>
  </si>
  <si>
    <t>Maintain closing cash on hand within the limits prescribed by the Rules and Bye-Laws.</t>
  </si>
  <si>
    <t>Utilise the Education and Training Fund to provide education and training to at least 20% of members every year, in accordance with Section 24A and Section 155-B(6) of the Maharashtra Co-operative Societies Act, 1960.</t>
  </si>
  <si>
    <t>Upload all mandatory returns prescribed under Section 79 of the MSC Act on or before 30th September every year.</t>
  </si>
  <si>
    <t>Deduct Income Tax at Source (TDS) in accordance with the relevant provisions of the Income Tax Act, 1961 — for example, when engaging contractors for repair and maintenance work — and file the quarterly TDS statements, issuing TDS certificates to deductees as required.</t>
  </si>
  <si>
    <t>Implement a more robust financial management system, including budget monitoring, variance analysis, and other related MIS reporting.</t>
  </si>
  <si>
    <t>Ensure that minutes of Managing Committee meetings as well as General Body meetings are clear, complete, and unambiguous. All resolutions should be serially numbered.</t>
  </si>
  <si>
    <t>Note that the Maharashtra Co-operative Societies Act, 1960 was amended on 13th August 2013. As per the amended provisions of Section 73CB(1), the State Co-operative Election Authority has been constituted. Elections of all Co-operative Societies must be conducted in accordance with the Maharashtra Co-operative Societies (Elections to Committee) Rules, 2014.</t>
  </si>
  <si>
    <t>Prepare the Audit Rectification Report within three months as required under Section 82 of the Maharashtra Co-operative Societies Act, 1960, using Form “O” prescribed under Rule 73. This report should be placed before the Managing Committee for approval, then submitted to the registering authorities along with a copy of the Managing Committee resolution. The same should also be forwarded to the auditor for comments.</t>
  </si>
  <si>
    <t>Sweepar Labour Chgs Payable</t>
  </si>
  <si>
    <t xml:space="preserve">f) Common Ammenities Fund </t>
  </si>
  <si>
    <t>Tender Money</t>
  </si>
  <si>
    <t>Miscellaneous Income</t>
  </si>
  <si>
    <t xml:space="preserve"> "   Pest Control Expenses</t>
  </si>
  <si>
    <t xml:space="preserve"> "   Conveyance expenses</t>
  </si>
  <si>
    <t xml:space="preserve"> "   Election Expenses</t>
  </si>
  <si>
    <t>Add  : Surplus during the year</t>
  </si>
  <si>
    <t>To Income Tax paid</t>
  </si>
  <si>
    <t>To Redevelopment Expenses</t>
  </si>
  <si>
    <t>Empanelment No.:  Mumbai-4/C1/1011404</t>
  </si>
  <si>
    <t>25-04-2025 - 25-07-2025</t>
  </si>
  <si>
    <t>25-07-2025 - 25-10-2025</t>
  </si>
  <si>
    <t xml:space="preserve">Excess of Income over Expenditure </t>
  </si>
  <si>
    <t>Interest Accrued 2025-26</t>
  </si>
  <si>
    <t>Interest Recd 2025-26</t>
  </si>
  <si>
    <t>TDS - 2025-2026</t>
  </si>
  <si>
    <t>Creation Elevators</t>
  </si>
  <si>
    <t>Yogita Bavdhankar - CCTV</t>
  </si>
  <si>
    <t>Clean Tek</t>
  </si>
  <si>
    <t>Sub :-Statutory audit of your society for Financial Year ending on31-Mar-2026</t>
  </si>
  <si>
    <t>Enclosed please find 3 [Three only] sets of duly audited, signed and sealed comprising Audit Report in Form-N2, Form -1 along with Sch 1 to 6, Form - 28, General Remarks, Balance Sheet, Income and Expendire Account along with Schedules forming integral part of the same, Audit Report [Executive Summary] for the Financial Year ended on 31-Mar-2026 for record of the Society.</t>
  </si>
  <si>
    <t>You are requested to upload mandory returns as prescribed u/s 79 of the MCS Act i.e. 1] Annual Report of Activities, 2] Abridged Audit Report, 3] Balance Sheet, 4] Income and Expenditure Account, 5] Plan for Surplus Distribution, 6] List of Amendment to ByLaws, if any, 7] Date of holding AGBM and Election and  8] Name of Auditor for year ended 31-03-2026 and Return Consent on "www.mahasahakar.maharashtra.gov.in" within the time prescribed.</t>
  </si>
  <si>
    <t>In the case of the Balance Sheet, of the state of affairs of the Society as at 31st MARCH, 2026;</t>
  </si>
  <si>
    <r>
      <t xml:space="preserve">I have audited the accompanying financial statements of </t>
    </r>
    <r>
      <rPr>
        <b/>
        <sz val="11"/>
        <rFont val="Calibri"/>
        <family val="2"/>
        <scheme val="minor"/>
      </rPr>
      <t>Navanand Co-Operative Housing Society Ltd</t>
    </r>
    <r>
      <rPr>
        <sz val="11"/>
        <rFont val="Calibri"/>
        <family val="2"/>
        <scheme val="minor"/>
      </rPr>
      <t>., which comprise the Balance Sheet as at 31st MARCH, 2026 and the Statement of Income and Expenditure for the year ended on that date, and a summary of significant accounting policies and other explanatory information incorporated in these financial statements of the Society.</t>
    </r>
  </si>
  <si>
    <t>INCOME &amp; EXPENDITURE ACCOUNT FOR THE YEAR ENDED 31/03/2026</t>
  </si>
  <si>
    <t>BALANCE SHEET AS AT 31/03/2026</t>
  </si>
  <si>
    <t>10-12-2025 - 31-03-2026</t>
  </si>
  <si>
    <t xml:space="preserve">TDS on Fixed Deposits </t>
  </si>
  <si>
    <t xml:space="preserve"> "    Additional Property Tax</t>
  </si>
  <si>
    <t>Refund to Shanti Home Builder</t>
  </si>
  <si>
    <t>Unidentified Credit</t>
  </si>
  <si>
    <r>
      <t>1</t>
    </r>
    <r>
      <rPr>
        <vertAlign val="superscript"/>
        <sz val="10"/>
        <rFont val="Arial"/>
        <family val="2"/>
      </rPr>
      <t>st</t>
    </r>
    <r>
      <rPr>
        <sz val="10"/>
        <rFont val="Arial"/>
        <family val="2"/>
      </rPr>
      <t xml:space="preserve"> April, 2025</t>
    </r>
  </si>
  <si>
    <r>
      <t>31</t>
    </r>
    <r>
      <rPr>
        <vertAlign val="superscript"/>
        <sz val="10"/>
        <rFont val="Arial"/>
        <family val="2"/>
      </rPr>
      <t>st</t>
    </r>
    <r>
      <rPr>
        <sz val="10"/>
        <rFont val="Arial"/>
        <family val="2"/>
      </rPr>
      <t xml:space="preserve"> March, 2026</t>
    </r>
  </si>
  <si>
    <t>STATEMENT OF AUDIT REPORTS &amp; ACCOUNTS STATEMENTS FOR THE YEAR ENDED 31ST MARCH,2026</t>
  </si>
  <si>
    <t>INVESTMENT DETAILS FOR THE YEAR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</si>
</sst>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quot;£&quot;#,##0;\-&quot;£&quot;#,##0"/>
    <numFmt numFmtId="166" formatCode="0.00_);\(0.00\)"/>
    <numFmt numFmtId="167" formatCode="d\-mmm\-yyyy"/>
    <numFmt numFmtId="168" formatCode="_(* #,##0_);_(* \(#,##0\);_(* &quot;-&quot;??_);_(@_)"/>
    <numFmt numFmtId="169" formatCode="0_);\(0\)"/>
    <numFmt numFmtId="170" formatCode="dd&quot;th&quot;\ mmmm\,\ yyyy"/>
    <numFmt numFmtId="171" formatCode="&quot;Mumbai: &quot;dd&quot;th&quot;\ mmmm\,\ yyyy"/>
    <numFmt numFmtId="172" formatCode="0.00_)"/>
    <numFmt numFmtId="173" formatCode="_([$€-2]* #,##0.00_);_([$€-2]* \(#,##0.00\);_([$€-2]* &quot;-&quot;??_)"/>
    <numFmt numFmtId="174" formatCode="&quot;Mumbai: &quot;dd/mm/yyyy"/>
  </numFmts>
  <fonts count="104" x14ac:knownFonts="1">
    <font>
      <sz val="12"/>
      <name val="Times New Roman"/>
    </font>
    <font>
      <b/>
      <sz val="10"/>
      <name val="Arial"/>
      <family val="2"/>
    </font>
    <font>
      <b/>
      <sz val="10"/>
      <name val="Times New Roman"/>
      <family val="1"/>
    </font>
    <font>
      <sz val="10"/>
      <name val="Arial"/>
      <family val="2"/>
    </font>
    <font>
      <b/>
      <sz val="11"/>
      <name val="Times New Roman"/>
      <family val="1"/>
    </font>
    <font>
      <sz val="11"/>
      <name val="Times New Roman"/>
      <family val="1"/>
    </font>
    <font>
      <sz val="11"/>
      <name val="Times New Roman"/>
      <family val="1"/>
    </font>
    <font>
      <b/>
      <sz val="12"/>
      <name val="Arial"/>
      <family val="2"/>
    </font>
    <font>
      <vertAlign val="superscript"/>
      <sz val="10"/>
      <name val="Arial"/>
      <family val="2"/>
    </font>
    <font>
      <sz val="10"/>
      <name val="Times New Roman"/>
      <family val="1"/>
    </font>
    <font>
      <sz val="9"/>
      <name val="Times New Roman"/>
      <family val="1"/>
    </font>
    <font>
      <b/>
      <sz val="8"/>
      <color indexed="81"/>
      <name val="Tahoma"/>
      <family val="2"/>
    </font>
    <font>
      <sz val="18"/>
      <name val="Arial Black"/>
      <family val="2"/>
    </font>
    <font>
      <sz val="12"/>
      <name val="Arial"/>
      <family val="2"/>
    </font>
    <font>
      <b/>
      <sz val="36"/>
      <name val="Algerian"/>
      <family val="5"/>
    </font>
    <font>
      <sz val="12"/>
      <name val="Times New Roman"/>
      <family val="1"/>
    </font>
    <font>
      <sz val="11"/>
      <name val="Calibri"/>
      <family val="2"/>
    </font>
    <font>
      <b/>
      <sz val="10"/>
      <name val="Calibri"/>
      <family val="2"/>
    </font>
    <font>
      <sz val="9"/>
      <name val="Arial"/>
      <family val="2"/>
    </font>
    <font>
      <sz val="16"/>
      <name val="Arial Black"/>
      <family val="2"/>
    </font>
    <font>
      <b/>
      <sz val="14"/>
      <name val="Arial"/>
      <family val="2"/>
    </font>
    <font>
      <sz val="24"/>
      <name val="Cooper Black"/>
      <family val="1"/>
    </font>
    <font>
      <sz val="22"/>
      <name val="Cooper Black"/>
      <family val="1"/>
    </font>
    <font>
      <sz val="20"/>
      <name val="Franklin Gothic Demi Cond"/>
      <family val="2"/>
    </font>
    <font>
      <sz val="12"/>
      <name val="Calibri"/>
      <family val="2"/>
    </font>
    <font>
      <sz val="10"/>
      <name val="Calibri"/>
      <family val="2"/>
    </font>
    <font>
      <b/>
      <sz val="12"/>
      <name val="Calibri"/>
      <family val="2"/>
    </font>
    <font>
      <sz val="8"/>
      <name val="Times New Roman"/>
      <family val="1"/>
    </font>
    <font>
      <b/>
      <sz val="9"/>
      <name val="Times New Roman"/>
      <family val="1"/>
    </font>
    <font>
      <sz val="10"/>
      <name val="Arial"/>
      <family val="2"/>
    </font>
    <font>
      <b/>
      <sz val="12"/>
      <name val="Verdana"/>
      <family val="2"/>
    </font>
    <font>
      <sz val="8"/>
      <name val="Arial"/>
      <family val="2"/>
    </font>
    <font>
      <sz val="11"/>
      <name val="Verdana"/>
      <family val="2"/>
    </font>
    <font>
      <sz val="10"/>
      <name val="Verdana"/>
      <family val="2"/>
    </font>
    <font>
      <sz val="11"/>
      <color indexed="10"/>
      <name val="Times New Roman"/>
      <family val="1"/>
    </font>
    <font>
      <sz val="10"/>
      <name val="Impact"/>
      <family val="2"/>
    </font>
    <font>
      <sz val="11"/>
      <name val="Book Antiqua"/>
      <family val="1"/>
    </font>
    <font>
      <u/>
      <sz val="11"/>
      <color indexed="12"/>
      <name val="Calibri"/>
      <family val="2"/>
    </font>
    <font>
      <b/>
      <sz val="11"/>
      <name val="Bookman Old Style"/>
      <family val="1"/>
    </font>
    <font>
      <b/>
      <u/>
      <sz val="11"/>
      <name val="Arial"/>
      <family val="2"/>
    </font>
    <font>
      <b/>
      <u/>
      <sz val="12"/>
      <name val="Calibri"/>
      <family val="2"/>
    </font>
    <font>
      <b/>
      <i/>
      <u/>
      <sz val="10"/>
      <name val="Calibri"/>
      <family val="2"/>
    </font>
    <font>
      <b/>
      <u/>
      <sz val="10"/>
      <name val="Calibri"/>
      <family val="2"/>
    </font>
    <font>
      <sz val="12"/>
      <name val="Cooper Black"/>
      <family val="1"/>
    </font>
    <font>
      <b/>
      <sz val="18"/>
      <name val="Britannic Bold"/>
      <family val="2"/>
    </font>
    <font>
      <sz val="12"/>
      <name val="Britannic Bold"/>
      <family val="2"/>
    </font>
    <font>
      <sz val="18"/>
      <name val="Britannic Bold"/>
      <family val="2"/>
    </font>
    <font>
      <b/>
      <sz val="11"/>
      <name val="Calibri"/>
      <family val="2"/>
    </font>
    <font>
      <sz val="22"/>
      <name val="Arial Black"/>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2"/>
      <name val="Calibri"/>
      <family val="2"/>
      <scheme val="minor"/>
    </font>
    <font>
      <b/>
      <sz val="11"/>
      <name val="Calibri"/>
      <family val="2"/>
      <scheme val="minor"/>
    </font>
    <font>
      <sz val="11"/>
      <name val="Calibri"/>
      <family val="2"/>
      <scheme val="minor"/>
    </font>
    <font>
      <sz val="12"/>
      <name val="Calibri"/>
      <family val="2"/>
      <scheme val="minor"/>
    </font>
    <font>
      <sz val="10"/>
      <name val="Calibri"/>
      <family val="2"/>
      <scheme val="minor"/>
    </font>
    <font>
      <b/>
      <u/>
      <sz val="11"/>
      <name val="Calibri"/>
      <family val="2"/>
      <scheme val="minor"/>
    </font>
    <font>
      <b/>
      <sz val="10"/>
      <name val="Calibri"/>
      <family val="2"/>
      <scheme val="minor"/>
    </font>
    <font>
      <u/>
      <sz val="11"/>
      <name val="Calibri"/>
      <family val="2"/>
      <scheme val="minor"/>
    </font>
    <font>
      <sz val="8"/>
      <name val="Calibri"/>
      <family val="2"/>
      <scheme val="minor"/>
    </font>
    <font>
      <b/>
      <strike/>
      <sz val="10"/>
      <name val="Calibri"/>
      <family val="2"/>
      <scheme val="minor"/>
    </font>
    <font>
      <i/>
      <sz val="10"/>
      <name val="Calibri"/>
      <family val="2"/>
      <scheme val="minor"/>
    </font>
    <font>
      <i/>
      <sz val="11"/>
      <name val="Calibri"/>
      <family val="2"/>
      <scheme val="minor"/>
    </font>
    <font>
      <b/>
      <sz val="14"/>
      <name val="Calibri"/>
      <family val="2"/>
      <scheme val="minor"/>
    </font>
    <font>
      <b/>
      <sz val="11"/>
      <color indexed="12"/>
      <name val="Calibri"/>
      <family val="2"/>
      <scheme val="minor"/>
    </font>
    <font>
      <shadow/>
      <sz val="10"/>
      <name val="Calibri"/>
      <family val="2"/>
      <scheme val="minor"/>
    </font>
    <font>
      <b/>
      <u/>
      <sz val="12"/>
      <name val="Calibri"/>
      <family val="2"/>
      <scheme val="minor"/>
    </font>
    <font>
      <b/>
      <sz val="12"/>
      <color rgb="FF000000"/>
      <name val="Calibri"/>
      <family val="2"/>
    </font>
    <font>
      <sz val="12"/>
      <color rgb="FF000000"/>
      <name val="Calibri"/>
      <family val="2"/>
    </font>
    <font>
      <sz val="11"/>
      <color rgb="FF000000"/>
      <name val="Calibri"/>
      <family val="2"/>
    </font>
    <font>
      <b/>
      <sz val="11"/>
      <color rgb="FF000000"/>
      <name val="Calibri"/>
      <family val="2"/>
    </font>
    <font>
      <b/>
      <u/>
      <sz val="12"/>
      <color rgb="FF000000"/>
      <name val="Calibri"/>
      <family val="2"/>
    </font>
    <font>
      <b/>
      <u/>
      <sz val="10"/>
      <name val="Calibri"/>
      <family val="2"/>
      <scheme val="minor"/>
    </font>
    <font>
      <u/>
      <sz val="10"/>
      <name val="Calibri"/>
      <family val="2"/>
      <scheme val="minor"/>
    </font>
    <font>
      <sz val="9"/>
      <name val="Calibri"/>
      <family val="2"/>
      <scheme val="minor"/>
    </font>
    <font>
      <i/>
      <u/>
      <sz val="11"/>
      <name val="Calibri"/>
      <family val="2"/>
      <scheme val="minor"/>
    </font>
    <font>
      <sz val="10"/>
      <color rgb="FF000000"/>
      <name val="Calibri"/>
      <family val="2"/>
      <scheme val="minor"/>
    </font>
    <font>
      <b/>
      <i/>
      <sz val="11"/>
      <name val="Calibri"/>
      <family val="2"/>
      <scheme val="minor"/>
    </font>
    <font>
      <b/>
      <sz val="10"/>
      <color rgb="FF000000"/>
      <name val="Calibri"/>
      <family val="2"/>
      <scheme val="minor"/>
    </font>
    <font>
      <b/>
      <sz val="16"/>
      <name val="Calibri"/>
      <family val="2"/>
      <scheme val="minor"/>
    </font>
    <font>
      <sz val="11"/>
      <color rgb="FFFF0000"/>
      <name val="Times New Roman"/>
      <family val="1"/>
    </font>
    <font>
      <b/>
      <sz val="11"/>
      <color rgb="FFFF0000"/>
      <name val="Calibri"/>
      <family val="2"/>
      <scheme val="minor"/>
    </font>
    <font>
      <b/>
      <sz val="10"/>
      <color rgb="FFFF0000"/>
      <name val="Calibri"/>
      <family val="2"/>
      <scheme val="minor"/>
    </font>
    <font>
      <sz val="11"/>
      <color rgb="FFFF0000"/>
      <name val="Verdana"/>
      <family val="2"/>
    </font>
    <font>
      <b/>
      <sz val="9"/>
      <name val="Calibri"/>
      <family val="2"/>
      <scheme val="minor"/>
    </font>
    <font>
      <b/>
      <sz val="10"/>
      <color rgb="FF000000"/>
      <name val="Calibri"/>
      <family val="2"/>
    </font>
    <font>
      <b/>
      <sz val="18"/>
      <name val="Calibri"/>
      <family val="2"/>
      <scheme val="minor"/>
    </font>
    <font>
      <b/>
      <sz val="12"/>
      <name val="Times New Roman"/>
      <family val="1"/>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s>
  <borders count="68">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double">
        <color indexed="64"/>
      </bottom>
      <diagonal/>
    </border>
    <border>
      <left style="thin">
        <color indexed="64"/>
      </left>
      <right style="double">
        <color indexed="64"/>
      </right>
      <top/>
      <bottom/>
      <diagonal/>
    </border>
    <border>
      <left style="thin">
        <color indexed="64"/>
      </left>
      <right style="double">
        <color indexed="64"/>
      </right>
      <top style="thin">
        <color indexed="64"/>
      </top>
      <bottom style="double">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diagonal/>
    </border>
    <border>
      <left/>
      <right style="double">
        <color indexed="64"/>
      </right>
      <top style="thin">
        <color indexed="64"/>
      </top>
      <bottom style="double">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double">
        <color indexed="64"/>
      </right>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77">
    <xf numFmtId="0" fontId="0" fillId="0" borderId="0"/>
    <xf numFmtId="0" fontId="50" fillId="2" borderId="0" applyNumberFormat="0" applyBorder="0" applyAlignment="0" applyProtection="0"/>
    <xf numFmtId="0" fontId="50" fillId="3" borderId="0" applyNumberFormat="0" applyBorder="0" applyAlignment="0" applyProtection="0"/>
    <xf numFmtId="0" fontId="50" fillId="4" borderId="0" applyNumberFormat="0" applyBorder="0" applyAlignment="0" applyProtection="0"/>
    <xf numFmtId="0" fontId="50" fillId="5" borderId="0" applyNumberFormat="0" applyBorder="0" applyAlignment="0" applyProtection="0"/>
    <xf numFmtId="0" fontId="50" fillId="6" borderId="0" applyNumberFormat="0" applyBorder="0" applyAlignment="0" applyProtection="0"/>
    <xf numFmtId="0" fontId="50" fillId="7" borderId="0" applyNumberFormat="0" applyBorder="0" applyAlignment="0" applyProtection="0"/>
    <xf numFmtId="0" fontId="50" fillId="8" borderId="0" applyNumberFormat="0" applyBorder="0" applyAlignment="0" applyProtection="0"/>
    <xf numFmtId="0" fontId="50" fillId="9" borderId="0" applyNumberFormat="0" applyBorder="0" applyAlignment="0" applyProtection="0"/>
    <xf numFmtId="0" fontId="50" fillId="10" borderId="0" applyNumberFormat="0" applyBorder="0" applyAlignment="0" applyProtection="0"/>
    <xf numFmtId="0" fontId="50" fillId="11" borderId="0" applyNumberFormat="0" applyBorder="0" applyAlignment="0" applyProtection="0"/>
    <xf numFmtId="0" fontId="50" fillId="12" borderId="0" applyNumberFormat="0" applyBorder="0" applyAlignment="0" applyProtection="0"/>
    <xf numFmtId="0" fontId="50" fillId="13" borderId="0" applyNumberFormat="0" applyBorder="0" applyAlignment="0" applyProtection="0"/>
    <xf numFmtId="0" fontId="51" fillId="14" borderId="0" applyNumberFormat="0" applyBorder="0" applyAlignment="0" applyProtection="0"/>
    <xf numFmtId="0" fontId="51" fillId="15" borderId="0" applyNumberFormat="0" applyBorder="0" applyAlignment="0" applyProtection="0"/>
    <xf numFmtId="0" fontId="51" fillId="16" borderId="0" applyNumberFormat="0" applyBorder="0" applyAlignment="0" applyProtection="0"/>
    <xf numFmtId="0" fontId="51" fillId="17" borderId="0" applyNumberFormat="0" applyBorder="0" applyAlignment="0" applyProtection="0"/>
    <xf numFmtId="0" fontId="51" fillId="18" borderId="0" applyNumberFormat="0" applyBorder="0" applyAlignment="0" applyProtection="0"/>
    <xf numFmtId="0" fontId="51" fillId="19" borderId="0" applyNumberFormat="0" applyBorder="0" applyAlignment="0" applyProtection="0"/>
    <xf numFmtId="0" fontId="51" fillId="20" borderId="0" applyNumberFormat="0" applyBorder="0" applyAlignment="0" applyProtection="0"/>
    <xf numFmtId="0" fontId="51" fillId="21" borderId="0" applyNumberFormat="0" applyBorder="0" applyAlignment="0" applyProtection="0"/>
    <xf numFmtId="0" fontId="51" fillId="22" borderId="0" applyNumberFormat="0" applyBorder="0" applyAlignment="0" applyProtection="0"/>
    <xf numFmtId="0" fontId="51" fillId="23" borderId="0" applyNumberFormat="0" applyBorder="0" applyAlignment="0" applyProtection="0"/>
    <xf numFmtId="0" fontId="51" fillId="24" borderId="0" applyNumberFormat="0" applyBorder="0" applyAlignment="0" applyProtection="0"/>
    <xf numFmtId="0" fontId="51" fillId="25" borderId="0" applyNumberFormat="0" applyBorder="0" applyAlignment="0" applyProtection="0"/>
    <xf numFmtId="0" fontId="52" fillId="26" borderId="0" applyNumberFormat="0" applyBorder="0" applyAlignment="0" applyProtection="0"/>
    <xf numFmtId="0" fontId="53" fillId="27" borderId="59" applyNumberFormat="0" applyAlignment="0" applyProtection="0"/>
    <xf numFmtId="0" fontId="54" fillId="28" borderId="60" applyNumberFormat="0" applyAlignment="0" applyProtection="0"/>
    <xf numFmtId="165" fontId="50" fillId="0" borderId="0" applyFont="0" applyFill="0" applyBorder="0" applyAlignment="0" applyProtection="0"/>
    <xf numFmtId="172" fontId="36" fillId="0" borderId="0" applyFont="0" applyFill="0" applyBorder="0" applyAlignment="0" applyProtection="0"/>
    <xf numFmtId="172" fontId="36"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3" fontId="15" fillId="0" borderId="0" applyFont="0" applyFill="0" applyBorder="0" applyAlignment="0" applyProtection="0"/>
    <xf numFmtId="0" fontId="55" fillId="0" borderId="0" applyNumberFormat="0" applyFill="0" applyBorder="0" applyAlignment="0" applyProtection="0"/>
    <xf numFmtId="0" fontId="56" fillId="29" borderId="0" applyNumberFormat="0" applyBorder="0" applyAlignment="0" applyProtection="0"/>
    <xf numFmtId="0" fontId="57" fillId="0" borderId="61" applyNumberFormat="0" applyFill="0" applyAlignment="0" applyProtection="0"/>
    <xf numFmtId="0" fontId="58" fillId="0" borderId="62" applyNumberFormat="0" applyFill="0" applyAlignment="0" applyProtection="0"/>
    <xf numFmtId="0" fontId="59" fillId="0" borderId="63" applyNumberFormat="0" applyFill="0" applyAlignment="0" applyProtection="0"/>
    <xf numFmtId="0" fontId="59" fillId="0" borderId="0" applyNumberFormat="0" applyFill="0" applyBorder="0" applyAlignment="0" applyProtection="0"/>
    <xf numFmtId="0" fontId="37" fillId="0" borderId="0" applyNumberFormat="0" applyFill="0" applyBorder="0" applyAlignment="0" applyProtection="0">
      <alignment vertical="top"/>
      <protection locked="0"/>
    </xf>
    <xf numFmtId="0" fontId="60" fillId="30" borderId="59" applyNumberFormat="0" applyAlignment="0" applyProtection="0"/>
    <xf numFmtId="0" fontId="61" fillId="0" borderId="64" applyNumberFormat="0" applyFill="0" applyAlignment="0" applyProtection="0"/>
    <xf numFmtId="0" fontId="62" fillId="31" borderId="0" applyNumberFormat="0" applyBorder="0" applyAlignment="0" applyProtection="0"/>
    <xf numFmtId="0" fontId="15" fillId="0" borderId="0"/>
    <xf numFmtId="0" fontId="50" fillId="0" borderId="0"/>
    <xf numFmtId="0" fontId="15" fillId="0" borderId="0"/>
    <xf numFmtId="0" fontId="3" fillId="0" borderId="0"/>
    <xf numFmtId="0" fontId="15" fillId="0" borderId="0"/>
    <xf numFmtId="0" fontId="29" fillId="0" borderId="0"/>
    <xf numFmtId="0" fontId="3" fillId="0" borderId="0"/>
    <xf numFmtId="0" fontId="3" fillId="0" borderId="0"/>
    <xf numFmtId="0" fontId="5" fillId="0" borderId="0"/>
    <xf numFmtId="0" fontId="3" fillId="0" borderId="0"/>
    <xf numFmtId="0" fontId="3" fillId="0" borderId="0"/>
    <xf numFmtId="0" fontId="4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5" fillId="0" borderId="0"/>
    <xf numFmtId="0" fontId="5" fillId="0" borderId="0"/>
    <xf numFmtId="0" fontId="3" fillId="0" borderId="0"/>
    <xf numFmtId="0" fontId="3" fillId="0" borderId="0"/>
    <xf numFmtId="0" fontId="3" fillId="0" borderId="0"/>
    <xf numFmtId="0" fontId="3" fillId="0" borderId="0"/>
    <xf numFmtId="0" fontId="50" fillId="32" borderId="65" applyNumberFormat="0" applyFont="0" applyAlignment="0" applyProtection="0"/>
    <xf numFmtId="0" fontId="50" fillId="32" borderId="65" applyNumberFormat="0" applyFont="0" applyAlignment="0" applyProtection="0"/>
    <xf numFmtId="0" fontId="63" fillId="27" borderId="66" applyNumberFormat="0" applyAlignment="0" applyProtection="0"/>
    <xf numFmtId="0" fontId="3" fillId="0" borderId="0" applyNumberFormat="0" applyFill="0" applyBorder="0" applyAlignment="0" applyProtection="0"/>
    <xf numFmtId="0" fontId="64" fillId="0" borderId="0" applyNumberFormat="0" applyFill="0" applyBorder="0" applyAlignment="0" applyProtection="0"/>
    <xf numFmtId="0" fontId="65" fillId="0" borderId="67" applyNumberFormat="0" applyFill="0" applyAlignment="0" applyProtection="0"/>
    <xf numFmtId="0" fontId="66" fillId="0" borderId="0" applyNumberFormat="0" applyFill="0" applyBorder="0" applyAlignment="0" applyProtection="0"/>
  </cellStyleXfs>
  <cellXfs count="935">
    <xf numFmtId="0" fontId="0" fillId="0" borderId="0" xfId="0"/>
    <xf numFmtId="0" fontId="0" fillId="0" borderId="0" xfId="0" applyAlignment="1">
      <alignment vertical="center"/>
    </xf>
    <xf numFmtId="0" fontId="0" fillId="0" borderId="0" xfId="0" applyAlignment="1">
      <alignment horizontal="center" vertical="center"/>
    </xf>
    <xf numFmtId="2" fontId="0" fillId="0" borderId="0" xfId="0" applyNumberFormat="1" applyAlignment="1">
      <alignment vertical="center"/>
    </xf>
    <xf numFmtId="0" fontId="10" fillId="0" borderId="0" xfId="56" applyFont="1" applyAlignment="1">
      <alignment vertical="center"/>
    </xf>
    <xf numFmtId="0" fontId="3" fillId="0" borderId="0" xfId="56" applyAlignment="1">
      <alignment vertical="center"/>
    </xf>
    <xf numFmtId="0" fontId="67" fillId="0" borderId="1" xfId="0" applyFont="1" applyBorder="1" applyAlignment="1">
      <alignment horizontal="center" vertical="center"/>
    </xf>
    <xf numFmtId="0" fontId="68" fillId="0" borderId="1" xfId="0" applyFont="1" applyBorder="1" applyAlignment="1">
      <alignment horizontal="center" vertical="center"/>
    </xf>
    <xf numFmtId="49" fontId="68" fillId="0" borderId="1" xfId="0" applyNumberFormat="1" applyFont="1" applyBorder="1" applyAlignment="1">
      <alignment horizontal="center" vertical="center" wrapText="1"/>
    </xf>
    <xf numFmtId="0" fontId="68" fillId="0" borderId="1" xfId="0" applyFont="1" applyBorder="1" applyAlignment="1">
      <alignment horizontal="center" vertical="center" wrapText="1"/>
    </xf>
    <xf numFmtId="0" fontId="69" fillId="0" borderId="0" xfId="0" applyFont="1" applyAlignment="1">
      <alignment vertical="center"/>
    </xf>
    <xf numFmtId="0" fontId="69" fillId="0" borderId="2" xfId="0" applyFont="1" applyBorder="1" applyAlignment="1">
      <alignment horizontal="center" vertical="center"/>
    </xf>
    <xf numFmtId="49" fontId="70" fillId="0" borderId="1" xfId="0" applyNumberFormat="1" applyFont="1" applyBorder="1" applyAlignment="1">
      <alignment horizontal="center" vertical="center"/>
    </xf>
    <xf numFmtId="0" fontId="67" fillId="0" borderId="1" xfId="62" applyFont="1" applyBorder="1" applyAlignment="1">
      <alignment horizontal="center" vertical="center"/>
    </xf>
    <xf numFmtId="0" fontId="70" fillId="0" borderId="0" xfId="0" applyFont="1" applyAlignment="1">
      <alignment vertical="center"/>
    </xf>
    <xf numFmtId="2" fontId="71" fillId="0" borderId="3" xfId="0" applyNumberFormat="1" applyFont="1" applyBorder="1" applyAlignment="1">
      <alignment vertical="center"/>
    </xf>
    <xf numFmtId="0" fontId="72" fillId="0" borderId="3" xfId="0" applyFont="1" applyBorder="1" applyAlignment="1">
      <alignment vertical="center"/>
    </xf>
    <xf numFmtId="2" fontId="69" fillId="0" borderId="3" xfId="0" applyNumberFormat="1" applyFont="1" applyBorder="1" applyAlignment="1">
      <alignment vertical="center"/>
    </xf>
    <xf numFmtId="0" fontId="69" fillId="0" borderId="3" xfId="0" applyFont="1" applyBorder="1" applyAlignment="1">
      <alignment vertical="center"/>
    </xf>
    <xf numFmtId="0" fontId="71" fillId="0" borderId="3" xfId="0" applyFont="1" applyBorder="1" applyAlignment="1">
      <alignment vertical="center"/>
    </xf>
    <xf numFmtId="2" fontId="69" fillId="0" borderId="0" xfId="0" applyNumberFormat="1" applyFont="1" applyAlignment="1">
      <alignment vertical="center"/>
    </xf>
    <xf numFmtId="166" fontId="71" fillId="0" borderId="3" xfId="0" applyNumberFormat="1" applyFont="1" applyBorder="1" applyAlignment="1">
      <alignment vertical="center"/>
    </xf>
    <xf numFmtId="2" fontId="71" fillId="0" borderId="4" xfId="0" applyNumberFormat="1" applyFont="1" applyBorder="1" applyAlignment="1">
      <alignment vertical="center"/>
    </xf>
    <xf numFmtId="2" fontId="73" fillId="0" borderId="1" xfId="0" applyNumberFormat="1" applyFont="1" applyBorder="1" applyAlignment="1">
      <alignment vertical="center"/>
    </xf>
    <xf numFmtId="2" fontId="69" fillId="0" borderId="5" xfId="0" applyNumberFormat="1" applyFont="1" applyBorder="1" applyAlignment="1">
      <alignment vertical="center"/>
    </xf>
    <xf numFmtId="2" fontId="69" fillId="0" borderId="6" xfId="0" applyNumberFormat="1" applyFont="1" applyBorder="1" applyAlignment="1">
      <alignment vertical="center"/>
    </xf>
    <xf numFmtId="2" fontId="74" fillId="0" borderId="5" xfId="0" applyNumberFormat="1" applyFont="1" applyBorder="1" applyAlignment="1">
      <alignment vertical="center"/>
    </xf>
    <xf numFmtId="0" fontId="69" fillId="0" borderId="5" xfId="0" applyFont="1" applyBorder="1" applyAlignment="1">
      <alignment vertical="center"/>
    </xf>
    <xf numFmtId="2" fontId="68" fillId="0" borderId="0" xfId="0" applyNumberFormat="1" applyFont="1" applyAlignment="1">
      <alignment horizontal="center" vertical="center"/>
    </xf>
    <xf numFmtId="0" fontId="69" fillId="0" borderId="6" xfId="0" applyFont="1" applyBorder="1" applyAlignment="1">
      <alignment vertical="center"/>
    </xf>
    <xf numFmtId="2" fontId="69" fillId="0" borderId="0" xfId="0" applyNumberFormat="1" applyFont="1" applyAlignment="1">
      <alignment horizontal="center" vertical="center"/>
    </xf>
    <xf numFmtId="0" fontId="69" fillId="0" borderId="7" xfId="0" applyFont="1" applyBorder="1" applyAlignment="1">
      <alignment vertical="center"/>
    </xf>
    <xf numFmtId="2" fontId="69" fillId="0" borderId="7" xfId="0" applyNumberFormat="1" applyFont="1" applyBorder="1" applyAlignment="1">
      <alignment vertical="center"/>
    </xf>
    <xf numFmtId="2" fontId="69" fillId="0" borderId="8" xfId="0" applyNumberFormat="1" applyFont="1" applyBorder="1" applyAlignment="1">
      <alignment vertical="center"/>
    </xf>
    <xf numFmtId="2" fontId="70" fillId="0" borderId="0" xfId="0" applyNumberFormat="1" applyFont="1" applyAlignment="1">
      <alignment vertical="center"/>
    </xf>
    <xf numFmtId="0" fontId="69" fillId="0" borderId="0" xfId="63" applyFont="1"/>
    <xf numFmtId="0" fontId="71" fillId="0" borderId="0" xfId="56" applyFont="1" applyAlignment="1">
      <alignment vertical="center"/>
    </xf>
    <xf numFmtId="0" fontId="71" fillId="0" borderId="0" xfId="56" applyFont="1" applyAlignment="1">
      <alignment horizontal="left" vertical="center"/>
    </xf>
    <xf numFmtId="0" fontId="68" fillId="0" borderId="0" xfId="63" quotePrefix="1" applyFont="1"/>
    <xf numFmtId="0" fontId="68" fillId="0" borderId="0" xfId="63" applyFont="1"/>
    <xf numFmtId="0" fontId="71" fillId="0" borderId="0" xfId="63" applyFont="1"/>
    <xf numFmtId="0" fontId="71" fillId="0" borderId="9" xfId="63" applyFont="1" applyBorder="1" applyAlignment="1">
      <alignment horizontal="center" vertical="top" wrapText="1"/>
    </xf>
    <xf numFmtId="0" fontId="71" fillId="0" borderId="2" xfId="63" applyFont="1" applyBorder="1" applyAlignment="1">
      <alignment horizontal="center" vertical="top" wrapText="1"/>
    </xf>
    <xf numFmtId="0" fontId="71" fillId="0" borderId="7" xfId="63" applyFont="1" applyBorder="1"/>
    <xf numFmtId="0" fontId="73" fillId="0" borderId="0" xfId="63" quotePrefix="1" applyFont="1"/>
    <xf numFmtId="0" fontId="73" fillId="0" borderId="0" xfId="63" applyFont="1"/>
    <xf numFmtId="0" fontId="71" fillId="0" borderId="0" xfId="63" applyFont="1" applyAlignment="1">
      <alignment horizontal="center" vertical="center"/>
    </xf>
    <xf numFmtId="0" fontId="69" fillId="0" borderId="0" xfId="63" applyFont="1" applyAlignment="1">
      <alignment horizontal="left" vertical="center"/>
    </xf>
    <xf numFmtId="0" fontId="73" fillId="0" borderId="0" xfId="63" applyFont="1" applyAlignment="1">
      <alignment horizontal="left" vertical="top"/>
    </xf>
    <xf numFmtId="0" fontId="71" fillId="0" borderId="0" xfId="63" quotePrefix="1" applyFont="1" applyAlignment="1">
      <alignment horizontal="left"/>
    </xf>
    <xf numFmtId="0" fontId="71" fillId="0" borderId="0" xfId="63" applyFont="1" applyAlignment="1">
      <alignment horizontal="left" vertical="center"/>
    </xf>
    <xf numFmtId="0" fontId="71" fillId="0" borderId="7" xfId="63" applyFont="1" applyBorder="1" applyAlignment="1">
      <alignment horizontal="right"/>
    </xf>
    <xf numFmtId="0" fontId="73" fillId="0" borderId="7" xfId="63" applyFont="1" applyBorder="1"/>
    <xf numFmtId="0" fontId="71" fillId="0" borderId="0" xfId="63" quotePrefix="1" applyFont="1"/>
    <xf numFmtId="0" fontId="71" fillId="0" borderId="0" xfId="63" applyFont="1" applyAlignment="1">
      <alignment horizontal="left" vertical="top" wrapText="1"/>
    </xf>
    <xf numFmtId="15" fontId="71" fillId="0" borderId="0" xfId="63" applyNumberFormat="1" applyFont="1"/>
    <xf numFmtId="167" fontId="71" fillId="0" borderId="0" xfId="63" applyNumberFormat="1" applyFont="1"/>
    <xf numFmtId="0" fontId="75" fillId="0" borderId="0" xfId="63" applyFont="1"/>
    <xf numFmtId="0" fontId="71" fillId="0" borderId="10" xfId="63" applyFont="1" applyBorder="1"/>
    <xf numFmtId="0" fontId="71" fillId="0" borderId="0" xfId="63" applyFont="1" applyAlignment="1">
      <alignment horizontal="left"/>
    </xf>
    <xf numFmtId="0" fontId="73" fillId="0" borderId="0" xfId="63" quotePrefix="1" applyFont="1" applyAlignment="1">
      <alignment horizontal="left"/>
    </xf>
    <xf numFmtId="167" fontId="71" fillId="0" borderId="0" xfId="63" applyNumberFormat="1" applyFont="1" applyAlignment="1">
      <alignment horizontal="left"/>
    </xf>
    <xf numFmtId="0" fontId="71" fillId="0" borderId="0" xfId="63" applyFont="1" applyAlignment="1">
      <alignment horizontal="right"/>
    </xf>
    <xf numFmtId="0" fontId="76" fillId="0" borderId="0" xfId="63" quotePrefix="1" applyFont="1" applyAlignment="1">
      <alignment horizontal="left"/>
    </xf>
    <xf numFmtId="169" fontId="71" fillId="0" borderId="0" xfId="63" applyNumberFormat="1" applyFont="1"/>
    <xf numFmtId="0" fontId="77" fillId="0" borderId="0" xfId="63" applyFont="1"/>
    <xf numFmtId="0" fontId="77" fillId="0" borderId="0" xfId="63" quotePrefix="1" applyFont="1" applyAlignment="1">
      <alignment horizontal="left"/>
    </xf>
    <xf numFmtId="0" fontId="70" fillId="0" borderId="0" xfId="0" applyFont="1" applyAlignment="1">
      <alignment horizontal="center" vertical="center"/>
    </xf>
    <xf numFmtId="0" fontId="68" fillId="0" borderId="11" xfId="0" applyFont="1" applyBorder="1" applyAlignment="1">
      <alignment horizontal="center" vertical="center"/>
    </xf>
    <xf numFmtId="0" fontId="72" fillId="0" borderId="5" xfId="0" applyFont="1" applyBorder="1" applyAlignment="1">
      <alignment vertical="center"/>
    </xf>
    <xf numFmtId="2" fontId="71" fillId="0" borderId="1" xfId="0" applyNumberFormat="1" applyFont="1" applyBorder="1" applyAlignment="1">
      <alignment vertical="center"/>
    </xf>
    <xf numFmtId="2" fontId="71" fillId="0" borderId="6" xfId="0" applyNumberFormat="1" applyFont="1" applyBorder="1" applyAlignment="1">
      <alignment vertical="center"/>
    </xf>
    <xf numFmtId="0" fontId="68" fillId="0" borderId="3" xfId="0" applyFont="1" applyBorder="1" applyAlignment="1">
      <alignment vertical="center"/>
    </xf>
    <xf numFmtId="0" fontId="72" fillId="0" borderId="6" xfId="0" applyFont="1" applyBorder="1" applyAlignment="1">
      <alignment vertical="center"/>
    </xf>
    <xf numFmtId="0" fontId="68" fillId="0" borderId="5" xfId="0" applyFont="1" applyBorder="1" applyAlignment="1">
      <alignment vertical="center"/>
    </xf>
    <xf numFmtId="0" fontId="68" fillId="0" borderId="6" xfId="0" applyFont="1" applyBorder="1" applyAlignment="1">
      <alignment vertical="center"/>
    </xf>
    <xf numFmtId="0" fontId="68" fillId="0" borderId="0" xfId="0" applyFont="1" applyAlignment="1">
      <alignment vertical="center"/>
    </xf>
    <xf numFmtId="2" fontId="69" fillId="0" borderId="2" xfId="0" applyNumberFormat="1" applyFont="1" applyBorder="1" applyAlignment="1">
      <alignment vertical="center"/>
    </xf>
    <xf numFmtId="2" fontId="78" fillId="0" borderId="0" xfId="0" applyNumberFormat="1" applyFont="1" applyAlignment="1">
      <alignment vertical="center"/>
    </xf>
    <xf numFmtId="0" fontId="69" fillId="0" borderId="2" xfId="0" applyFont="1" applyBorder="1" applyAlignment="1">
      <alignment vertical="center"/>
    </xf>
    <xf numFmtId="167" fontId="70" fillId="0" borderId="0" xfId="0" applyNumberFormat="1" applyFont="1" applyAlignment="1">
      <alignment horizontal="center" vertical="center"/>
    </xf>
    <xf numFmtId="167" fontId="68" fillId="0" borderId="1" xfId="0" applyNumberFormat="1" applyFont="1" applyBorder="1" applyAlignment="1">
      <alignment horizontal="center" vertical="center" wrapText="1"/>
    </xf>
    <xf numFmtId="0" fontId="68" fillId="0" borderId="1" xfId="0" applyFont="1" applyBorder="1" applyAlignment="1">
      <alignment vertical="center"/>
    </xf>
    <xf numFmtId="0" fontId="69" fillId="0" borderId="4" xfId="0" applyFont="1" applyBorder="1" applyAlignment="1">
      <alignment horizontal="center" vertical="center"/>
    </xf>
    <xf numFmtId="0" fontId="69" fillId="0" borderId="12" xfId="0" applyFont="1" applyBorder="1" applyAlignment="1">
      <alignment horizontal="center" vertical="center"/>
    </xf>
    <xf numFmtId="10" fontId="69" fillId="0" borderId="12" xfId="0" applyNumberFormat="1" applyFont="1" applyBorder="1" applyAlignment="1">
      <alignment horizontal="center" vertical="center"/>
    </xf>
    <xf numFmtId="167" fontId="69" fillId="0" borderId="12" xfId="0" applyNumberFormat="1" applyFont="1" applyBorder="1" applyAlignment="1">
      <alignment horizontal="center" vertical="center"/>
    </xf>
    <xf numFmtId="0" fontId="67" fillId="0" borderId="0" xfId="0" applyFont="1" applyAlignment="1">
      <alignment horizontal="center" vertical="center"/>
    </xf>
    <xf numFmtId="0" fontId="67" fillId="0" borderId="0" xfId="0" applyFont="1" applyAlignment="1">
      <alignment vertical="center"/>
    </xf>
    <xf numFmtId="0" fontId="68" fillId="0" borderId="0" xfId="56" applyFont="1" applyAlignment="1">
      <alignment horizontal="left" vertical="center"/>
    </xf>
    <xf numFmtId="0" fontId="68" fillId="0" borderId="0" xfId="56" applyFont="1" applyAlignment="1">
      <alignment horizontal="center" vertical="center"/>
    </xf>
    <xf numFmtId="0" fontId="79" fillId="0" borderId="0" xfId="0" applyFont="1" applyAlignment="1">
      <alignment horizontal="center" vertical="center"/>
    </xf>
    <xf numFmtId="0" fontId="69" fillId="0" borderId="3" xfId="0" applyFont="1" applyBorder="1" applyAlignment="1">
      <alignment vertical="top" wrapText="1"/>
    </xf>
    <xf numFmtId="2" fontId="78" fillId="0" borderId="0" xfId="0" applyNumberFormat="1" applyFont="1" applyAlignment="1">
      <alignment horizontal="center" vertical="top"/>
    </xf>
    <xf numFmtId="0" fontId="71" fillId="0" borderId="0" xfId="63" applyFont="1" applyAlignment="1">
      <alignment horizontal="justify" vertical="top" wrapText="1"/>
    </xf>
    <xf numFmtId="0" fontId="69" fillId="0" borderId="0" xfId="63" applyFont="1" applyAlignment="1">
      <alignment horizontal="justify" vertical="top" wrapText="1"/>
    </xf>
    <xf numFmtId="2" fontId="67" fillId="0" borderId="0" xfId="0" applyNumberFormat="1" applyFont="1" applyAlignment="1">
      <alignment vertical="center"/>
    </xf>
    <xf numFmtId="0" fontId="69" fillId="0" borderId="4" xfId="0" applyFont="1" applyBorder="1" applyAlignment="1">
      <alignment vertical="center"/>
    </xf>
    <xf numFmtId="0" fontId="71" fillId="0" borderId="0" xfId="56" applyFont="1" applyAlignment="1">
      <alignment horizontal="center" vertical="center"/>
    </xf>
    <xf numFmtId="0" fontId="70" fillId="0" borderId="2" xfId="0" applyFont="1" applyBorder="1"/>
    <xf numFmtId="0" fontId="70" fillId="0" borderId="2" xfId="0" applyFont="1" applyBorder="1" applyAlignment="1">
      <alignment horizontal="center"/>
    </xf>
    <xf numFmtId="0" fontId="70" fillId="0" borderId="4" xfId="0" quotePrefix="1" applyFont="1" applyBorder="1" applyAlignment="1">
      <alignment horizontal="center"/>
    </xf>
    <xf numFmtId="0" fontId="70" fillId="0" borderId="4" xfId="0" applyFont="1" applyBorder="1"/>
    <xf numFmtId="0" fontId="13" fillId="0" borderId="0" xfId="66" applyFont="1" applyAlignment="1">
      <alignment vertical="center" wrapText="1"/>
    </xf>
    <xf numFmtId="0" fontId="69" fillId="0" borderId="0" xfId="56" applyFont="1"/>
    <xf numFmtId="0" fontId="69" fillId="0" borderId="15" xfId="0" applyFont="1" applyBorder="1" applyAlignment="1">
      <alignment horizontal="center" vertical="center"/>
    </xf>
    <xf numFmtId="0" fontId="70" fillId="0" borderId="12" xfId="0" applyFont="1" applyBorder="1" applyAlignment="1">
      <alignment horizontal="center"/>
    </xf>
    <xf numFmtId="0" fontId="70" fillId="0" borderId="12" xfId="0" applyFont="1" applyBorder="1"/>
    <xf numFmtId="2" fontId="70" fillId="0" borderId="4" xfId="0" applyNumberFormat="1" applyFont="1" applyBorder="1"/>
    <xf numFmtId="2" fontId="70" fillId="0" borderId="2" xfId="0" applyNumberFormat="1" applyFont="1" applyBorder="1"/>
    <xf numFmtId="2" fontId="70" fillId="0" borderId="12" xfId="0" applyNumberFormat="1" applyFont="1" applyBorder="1"/>
    <xf numFmtId="1" fontId="0" fillId="0" borderId="0" xfId="0" applyNumberFormat="1" applyAlignment="1">
      <alignment vertical="center"/>
    </xf>
    <xf numFmtId="2" fontId="67" fillId="0" borderId="1" xfId="0" applyNumberFormat="1" applyFont="1" applyBorder="1" applyAlignment="1">
      <alignment vertical="center"/>
    </xf>
    <xf numFmtId="166" fontId="71" fillId="0" borderId="4" xfId="0" applyNumberFormat="1" applyFont="1" applyBorder="1" applyAlignment="1">
      <alignment vertical="center"/>
    </xf>
    <xf numFmtId="0" fontId="71" fillId="0" borderId="6" xfId="0" applyFont="1" applyBorder="1" applyAlignment="1">
      <alignment vertical="center"/>
    </xf>
    <xf numFmtId="2" fontId="73" fillId="0" borderId="16" xfId="0" applyNumberFormat="1" applyFont="1" applyBorder="1" applyAlignment="1">
      <alignment vertical="center"/>
    </xf>
    <xf numFmtId="2" fontId="71" fillId="0" borderId="17" xfId="0" applyNumberFormat="1" applyFont="1" applyBorder="1" applyAlignment="1">
      <alignment vertical="center"/>
    </xf>
    <xf numFmtId="2" fontId="73" fillId="0" borderId="18" xfId="0" applyNumberFormat="1" applyFont="1" applyBorder="1" applyAlignment="1">
      <alignment vertical="center"/>
    </xf>
    <xf numFmtId="0" fontId="68" fillId="0" borderId="16" xfId="0" applyFont="1" applyBorder="1" applyAlignment="1">
      <alignment horizontal="center" vertical="center" wrapText="1"/>
    </xf>
    <xf numFmtId="0" fontId="69" fillId="0" borderId="17" xfId="0" applyFont="1" applyBorder="1" applyAlignment="1">
      <alignment vertical="center"/>
    </xf>
    <xf numFmtId="0" fontId="3" fillId="0" borderId="15" xfId="56" applyBorder="1" applyAlignment="1">
      <alignment vertical="center"/>
    </xf>
    <xf numFmtId="0" fontId="3" fillId="0" borderId="19" xfId="56" applyBorder="1" applyAlignment="1">
      <alignment vertical="center"/>
    </xf>
    <xf numFmtId="0" fontId="3" fillId="0" borderId="20" xfId="56" applyBorder="1" applyAlignment="1">
      <alignment vertical="center"/>
    </xf>
    <xf numFmtId="0" fontId="3" fillId="0" borderId="5" xfId="56" applyBorder="1" applyAlignment="1">
      <alignment vertical="center"/>
    </xf>
    <xf numFmtId="0" fontId="1" fillId="0" borderId="0" xfId="56" applyFont="1" applyAlignment="1">
      <alignment vertical="center"/>
    </xf>
    <xf numFmtId="0" fontId="3" fillId="0" borderId="6" xfId="56" applyBorder="1" applyAlignment="1">
      <alignment vertical="center"/>
    </xf>
    <xf numFmtId="0" fontId="9" fillId="0" borderId="5" xfId="63" applyFont="1" applyBorder="1" applyAlignment="1">
      <alignment vertical="center"/>
    </xf>
    <xf numFmtId="167" fontId="3" fillId="0" borderId="0" xfId="56" applyNumberFormat="1" applyAlignment="1">
      <alignment vertical="center"/>
    </xf>
    <xf numFmtId="0" fontId="9" fillId="0" borderId="0" xfId="63" quotePrefix="1" applyFont="1" applyAlignment="1">
      <alignment horizontal="left" vertical="center"/>
    </xf>
    <xf numFmtId="14" fontId="3" fillId="0" borderId="0" xfId="56" applyNumberFormat="1" applyAlignment="1">
      <alignment vertical="center"/>
    </xf>
    <xf numFmtId="0" fontId="3" fillId="0" borderId="0" xfId="56" applyAlignment="1">
      <alignment horizontal="center" vertical="center"/>
    </xf>
    <xf numFmtId="0" fontId="3" fillId="0" borderId="21" xfId="56" applyBorder="1" applyAlignment="1">
      <alignment vertical="center"/>
    </xf>
    <xf numFmtId="0" fontId="3" fillId="0" borderId="7" xfId="56" applyBorder="1" applyAlignment="1">
      <alignment vertical="center"/>
    </xf>
    <xf numFmtId="0" fontId="3" fillId="0" borderId="8" xfId="56" applyBorder="1" applyAlignment="1">
      <alignment vertical="center"/>
    </xf>
    <xf numFmtId="0" fontId="69" fillId="0" borderId="0" xfId="57" applyFont="1" applyAlignment="1">
      <alignment vertical="center"/>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3" fillId="0" borderId="25" xfId="66" applyFont="1" applyBorder="1" applyAlignment="1">
      <alignment vertical="center" wrapText="1"/>
    </xf>
    <xf numFmtId="0" fontId="13" fillId="0" borderId="26" xfId="66" applyFont="1" applyBorder="1" applyAlignment="1">
      <alignment vertical="center" wrapText="1"/>
    </xf>
    <xf numFmtId="0" fontId="0" fillId="0" borderId="27" xfId="0" applyBorder="1"/>
    <xf numFmtId="0" fontId="0" fillId="0" borderId="28" xfId="0" applyBorder="1"/>
    <xf numFmtId="0" fontId="0" fillId="0" borderId="29" xfId="0" applyBorder="1"/>
    <xf numFmtId="0" fontId="5" fillId="0" borderId="0" xfId="65"/>
    <xf numFmtId="0" fontId="69" fillId="0" borderId="0" xfId="65" applyFont="1"/>
    <xf numFmtId="0" fontId="71" fillId="0" borderId="0" xfId="63" applyFont="1" applyAlignment="1">
      <alignment vertical="center" wrapText="1"/>
    </xf>
    <xf numFmtId="0" fontId="71" fillId="0" borderId="0" xfId="64" applyFont="1"/>
    <xf numFmtId="1" fontId="68" fillId="0" borderId="0" xfId="65" applyNumberFormat="1" applyFont="1"/>
    <xf numFmtId="0" fontId="71" fillId="0" borderId="0" xfId="58" applyFont="1" applyAlignment="1">
      <alignment vertical="center"/>
    </xf>
    <xf numFmtId="0" fontId="68" fillId="0" borderId="0" xfId="59" applyFont="1" applyAlignment="1">
      <alignment vertical="center"/>
    </xf>
    <xf numFmtId="0" fontId="16" fillId="0" borderId="0" xfId="56" applyFont="1" applyAlignment="1">
      <alignment vertical="center"/>
    </xf>
    <xf numFmtId="0" fontId="71" fillId="0" borderId="0" xfId="59" applyFont="1" applyAlignment="1">
      <alignment vertical="center"/>
    </xf>
    <xf numFmtId="0" fontId="16" fillId="0" borderId="0" xfId="0" applyFont="1"/>
    <xf numFmtId="0" fontId="69" fillId="0" borderId="0" xfId="58" applyFont="1" applyAlignment="1">
      <alignment vertical="center"/>
    </xf>
    <xf numFmtId="0" fontId="25" fillId="0" borderId="0" xfId="58" applyFont="1" applyAlignment="1">
      <alignment vertical="center"/>
    </xf>
    <xf numFmtId="171" fontId="69" fillId="0" borderId="0" xfId="69" applyNumberFormat="1" applyFont="1" applyAlignment="1">
      <alignment horizontal="left" vertical="center"/>
    </xf>
    <xf numFmtId="0" fontId="69" fillId="0" borderId="0" xfId="57" applyFont="1" applyAlignment="1">
      <alignment horizontal="justify" vertical="top" wrapText="1"/>
    </xf>
    <xf numFmtId="0" fontId="28" fillId="0" borderId="0" xfId="65" applyFont="1" applyAlignment="1">
      <alignment horizontal="center" vertical="center"/>
    </xf>
    <xf numFmtId="0" fontId="29" fillId="0" borderId="0" xfId="49" applyAlignment="1">
      <alignment horizontal="center"/>
    </xf>
    <xf numFmtId="0" fontId="27" fillId="0" borderId="0" xfId="49" applyFont="1" applyAlignment="1">
      <alignment horizontal="center"/>
    </xf>
    <xf numFmtId="0" fontId="69" fillId="0" borderId="0" xfId="49" applyFont="1" applyAlignment="1">
      <alignment horizontal="left"/>
    </xf>
    <xf numFmtId="0" fontId="69" fillId="0" borderId="0" xfId="49" applyFont="1" applyAlignment="1">
      <alignment horizontal="center"/>
    </xf>
    <xf numFmtId="0" fontId="78" fillId="0" borderId="0" xfId="49" applyFont="1"/>
    <xf numFmtId="0" fontId="69" fillId="0" borderId="0" xfId="49" applyFont="1"/>
    <xf numFmtId="0" fontId="68" fillId="0" borderId="0" xfId="49" applyFont="1" applyAlignment="1">
      <alignment horizontal="center" vertical="center"/>
    </xf>
    <xf numFmtId="0" fontId="68" fillId="0" borderId="0" xfId="49" applyFont="1" applyAlignment="1">
      <alignment horizontal="left" vertical="center"/>
    </xf>
    <xf numFmtId="0" fontId="69" fillId="0" borderId="0" xfId="49" applyFont="1" applyAlignment="1">
      <alignment horizontal="center" vertical="center"/>
    </xf>
    <xf numFmtId="49" fontId="69" fillId="0" borderId="0" xfId="65" applyNumberFormat="1" applyFont="1" applyAlignment="1">
      <alignment horizontal="right" vertical="top" wrapText="1"/>
    </xf>
    <xf numFmtId="0" fontId="69" fillId="0" borderId="0" xfId="49" applyFont="1" applyAlignment="1">
      <alignment horizontal="right"/>
    </xf>
    <xf numFmtId="0" fontId="68" fillId="0" borderId="0" xfId="49" applyFont="1"/>
    <xf numFmtId="0" fontId="69" fillId="0" borderId="0" xfId="65" applyFont="1" applyAlignment="1">
      <alignment horizontal="right" vertical="top" wrapText="1"/>
    </xf>
    <xf numFmtId="0" fontId="69" fillId="0" borderId="0" xfId="49" applyFont="1" applyAlignment="1">
      <alignment horizontal="justify" vertical="top" wrapText="1"/>
    </xf>
    <xf numFmtId="0" fontId="69" fillId="0" borderId="0" xfId="65" applyFont="1" applyAlignment="1">
      <alignment horizontal="center" vertical="top" wrapText="1"/>
    </xf>
    <xf numFmtId="49" fontId="69" fillId="0" borderId="0" xfId="49" applyNumberFormat="1" applyFont="1" applyAlignment="1">
      <alignment horizontal="right" vertical="center"/>
    </xf>
    <xf numFmtId="49" fontId="69" fillId="0" borderId="0" xfId="49" applyNumberFormat="1" applyFont="1" applyAlignment="1">
      <alignment horizontal="right"/>
    </xf>
    <xf numFmtId="0" fontId="69" fillId="0" borderId="0" xfId="49" applyFont="1" applyAlignment="1">
      <alignment horizontal="center" vertical="justify" wrapText="1"/>
    </xf>
    <xf numFmtId="0" fontId="69" fillId="0" borderId="0" xfId="49" applyFont="1" applyAlignment="1">
      <alignment horizontal="justify" vertical="justify" wrapText="1"/>
    </xf>
    <xf numFmtId="0" fontId="69" fillId="0" borderId="0" xfId="49" applyFont="1" applyAlignment="1">
      <alignment horizontal="right" vertical="justify" wrapText="1"/>
    </xf>
    <xf numFmtId="49" fontId="69" fillId="0" borderId="0" xfId="49" applyNumberFormat="1" applyFont="1" applyAlignment="1">
      <alignment horizontal="right" vertical="top"/>
    </xf>
    <xf numFmtId="0" fontId="34" fillId="0" borderId="0" xfId="65" applyFont="1"/>
    <xf numFmtId="0" fontId="32" fillId="0" borderId="0" xfId="49" applyFont="1" applyAlignment="1">
      <alignment vertical="top"/>
    </xf>
    <xf numFmtId="0" fontId="29" fillId="0" borderId="0" xfId="49"/>
    <xf numFmtId="0" fontId="5" fillId="0" borderId="0" xfId="49" applyFont="1"/>
    <xf numFmtId="171" fontId="69" fillId="0" borderId="0" xfId="49" applyNumberFormat="1" applyFont="1" applyAlignment="1">
      <alignment horizontal="left" vertical="center"/>
    </xf>
    <xf numFmtId="0" fontId="70" fillId="0" borderId="0" xfId="65" applyFont="1"/>
    <xf numFmtId="171" fontId="70" fillId="0" borderId="0" xfId="49" applyNumberFormat="1" applyFont="1" applyAlignment="1">
      <alignment horizontal="left" vertical="center"/>
    </xf>
    <xf numFmtId="0" fontId="16" fillId="0" borderId="0" xfId="65" applyFont="1"/>
    <xf numFmtId="171" fontId="16" fillId="0" borderId="0" xfId="49" applyNumberFormat="1" applyFont="1" applyAlignment="1">
      <alignment horizontal="left" vertical="center"/>
    </xf>
    <xf numFmtId="171" fontId="5" fillId="0" borderId="0" xfId="49" applyNumberFormat="1" applyFont="1" applyAlignment="1">
      <alignment horizontal="left" vertical="center"/>
    </xf>
    <xf numFmtId="0" fontId="4" fillId="0" borderId="0" xfId="65" applyFont="1"/>
    <xf numFmtId="0" fontId="69" fillId="0" borderId="0" xfId="68" applyFont="1"/>
    <xf numFmtId="0" fontId="68" fillId="0" borderId="5" xfId="68" applyFont="1" applyBorder="1" applyAlignment="1">
      <alignment horizontal="center"/>
    </xf>
    <xf numFmtId="0" fontId="68" fillId="0" borderId="0" xfId="68" applyFont="1" applyAlignment="1">
      <alignment horizontal="center"/>
    </xf>
    <xf numFmtId="0" fontId="68" fillId="0" borderId="6" xfId="68" applyFont="1" applyBorder="1" applyAlignment="1">
      <alignment horizontal="center"/>
    </xf>
    <xf numFmtId="0" fontId="68" fillId="0" borderId="5" xfId="57" applyFont="1" applyBorder="1"/>
    <xf numFmtId="0" fontId="68" fillId="0" borderId="0" xfId="57" applyFont="1"/>
    <xf numFmtId="167" fontId="69" fillId="0" borderId="0" xfId="57" applyNumberFormat="1" applyFont="1" applyAlignment="1">
      <alignment vertical="center"/>
    </xf>
    <xf numFmtId="0" fontId="69" fillId="0" borderId="6" xfId="57" applyFont="1" applyBorder="1"/>
    <xf numFmtId="0" fontId="69" fillId="0" borderId="0" xfId="57" applyFont="1"/>
    <xf numFmtId="0" fontId="69" fillId="0" borderId="5" xfId="68" applyFont="1" applyBorder="1"/>
    <xf numFmtId="0" fontId="69" fillId="0" borderId="6" xfId="68" applyFont="1" applyBorder="1"/>
    <xf numFmtId="0" fontId="38" fillId="0" borderId="0" xfId="44" applyFont="1"/>
    <xf numFmtId="0" fontId="15" fillId="0" borderId="0" xfId="44"/>
    <xf numFmtId="0" fontId="39" fillId="0" borderId="0" xfId="44" applyFont="1" applyAlignment="1">
      <alignment horizontal="justify"/>
    </xf>
    <xf numFmtId="0" fontId="69" fillId="0" borderId="0" xfId="68" quotePrefix="1" applyFont="1"/>
    <xf numFmtId="0" fontId="69" fillId="0" borderId="21" xfId="68" applyFont="1" applyBorder="1"/>
    <xf numFmtId="0" fontId="69" fillId="0" borderId="7" xfId="68" applyFont="1" applyBorder="1"/>
    <xf numFmtId="0" fontId="69" fillId="0" borderId="7" xfId="68" quotePrefix="1" applyFont="1" applyBorder="1"/>
    <xf numFmtId="0" fontId="69" fillId="0" borderId="8" xfId="68" applyFont="1" applyBorder="1"/>
    <xf numFmtId="0" fontId="69" fillId="0" borderId="15" xfId="68" applyFont="1" applyBorder="1"/>
    <xf numFmtId="0" fontId="69" fillId="0" borderId="19" xfId="68" applyFont="1" applyBorder="1"/>
    <xf numFmtId="0" fontId="69" fillId="0" borderId="20" xfId="68" applyFont="1" applyBorder="1"/>
    <xf numFmtId="1" fontId="68" fillId="0" borderId="0" xfId="68" applyNumberFormat="1" applyFont="1"/>
    <xf numFmtId="0" fontId="69" fillId="0" borderId="5" xfId="56" applyFont="1" applyBorder="1"/>
    <xf numFmtId="1" fontId="69" fillId="0" borderId="0" xfId="56" applyNumberFormat="1" applyFont="1"/>
    <xf numFmtId="0" fontId="69" fillId="0" borderId="6" xfId="56" applyFont="1" applyBorder="1"/>
    <xf numFmtId="0" fontId="69" fillId="0" borderId="0" xfId="56" applyFont="1" applyAlignment="1">
      <alignment vertical="top"/>
    </xf>
    <xf numFmtId="0" fontId="68" fillId="0" borderId="0" xfId="56" applyFont="1" applyAlignment="1">
      <alignment vertical="top"/>
    </xf>
    <xf numFmtId="0" fontId="69" fillId="0" borderId="0" xfId="51" applyFont="1"/>
    <xf numFmtId="0" fontId="68" fillId="0" borderId="0" xfId="51" applyFont="1"/>
    <xf numFmtId="0" fontId="69" fillId="0" borderId="0" xfId="51" applyFont="1" applyAlignment="1">
      <alignment horizontal="justify" vertical="center" wrapText="1"/>
    </xf>
    <xf numFmtId="0" fontId="69" fillId="0" borderId="0" xfId="51" applyFont="1" applyAlignment="1">
      <alignment horizontal="left" vertical="center"/>
    </xf>
    <xf numFmtId="0" fontId="72" fillId="0" borderId="0" xfId="51" applyFont="1"/>
    <xf numFmtId="0" fontId="80" fillId="0" borderId="0" xfId="51" applyFont="1"/>
    <xf numFmtId="0" fontId="68" fillId="0" borderId="0" xfId="51" applyFont="1" applyAlignment="1">
      <alignment horizontal="center" vertical="center" wrapText="1"/>
    </xf>
    <xf numFmtId="1" fontId="69" fillId="0" borderId="0" xfId="56" applyNumberFormat="1" applyFont="1" applyAlignment="1">
      <alignment vertical="top"/>
    </xf>
    <xf numFmtId="0" fontId="68" fillId="0" borderId="0" xfId="56" applyFont="1" applyAlignment="1">
      <alignment horizontal="center" vertical="top"/>
    </xf>
    <xf numFmtId="0" fontId="67" fillId="0" borderId="0" xfId="51" applyFont="1"/>
    <xf numFmtId="0" fontId="71" fillId="0" borderId="0" xfId="51" applyFont="1"/>
    <xf numFmtId="167" fontId="68" fillId="0" borderId="0" xfId="51" applyNumberFormat="1" applyFont="1" applyAlignment="1">
      <alignment horizontal="center"/>
    </xf>
    <xf numFmtId="0" fontId="69" fillId="0" borderId="0" xfId="51" applyFont="1" applyAlignment="1">
      <alignment horizontal="justify" vertical="top"/>
    </xf>
    <xf numFmtId="0" fontId="68" fillId="0" borderId="0" xfId="51" applyFont="1" applyAlignment="1">
      <alignment horizontal="left" vertical="top"/>
    </xf>
    <xf numFmtId="0" fontId="69" fillId="0" borderId="0" xfId="51" applyFont="1" applyAlignment="1">
      <alignment horizontal="center" vertical="top"/>
    </xf>
    <xf numFmtId="0" fontId="71" fillId="0" borderId="0" xfId="51" applyFont="1" applyAlignment="1">
      <alignment vertical="top"/>
    </xf>
    <xf numFmtId="0" fontId="71" fillId="0" borderId="0" xfId="51" applyFont="1" applyAlignment="1">
      <alignment horizontal="center" vertical="top"/>
    </xf>
    <xf numFmtId="0" fontId="71" fillId="0" borderId="0" xfId="51" applyFont="1" applyAlignment="1">
      <alignment horizontal="left" vertical="top"/>
    </xf>
    <xf numFmtId="0" fontId="81" fillId="0" borderId="0" xfId="51" applyFont="1"/>
    <xf numFmtId="0" fontId="69" fillId="0" borderId="0" xfId="51" applyFont="1" applyAlignment="1">
      <alignment horizontal="left" vertical="top"/>
    </xf>
    <xf numFmtId="0" fontId="73" fillId="0" borderId="2" xfId="51" applyFont="1" applyBorder="1" applyAlignment="1">
      <alignment horizontal="center" vertical="top" wrapText="1"/>
    </xf>
    <xf numFmtId="0" fontId="71" fillId="0" borderId="2" xfId="51" applyFont="1" applyBorder="1" applyAlignment="1">
      <alignment horizontal="center" vertical="top" wrapText="1"/>
    </xf>
    <xf numFmtId="0" fontId="71" fillId="0" borderId="0" xfId="51" applyFont="1" applyAlignment="1">
      <alignment horizontal="center" vertical="top" wrapText="1"/>
    </xf>
    <xf numFmtId="0" fontId="71" fillId="0" borderId="0" xfId="51" applyFont="1" applyAlignment="1">
      <alignment horizontal="justify" vertical="top" wrapText="1"/>
    </xf>
    <xf numFmtId="0" fontId="82" fillId="0" borderId="0" xfId="51" applyFont="1" applyAlignment="1">
      <alignment horizontal="left" vertical="top"/>
    </xf>
    <xf numFmtId="0" fontId="73" fillId="0" borderId="30" xfId="51" applyFont="1" applyBorder="1" applyAlignment="1">
      <alignment horizontal="center" vertical="top" wrapText="1"/>
    </xf>
    <xf numFmtId="0" fontId="73" fillId="0" borderId="5" xfId="51" applyFont="1" applyBorder="1" applyAlignment="1">
      <alignment horizontal="center" vertical="top" wrapText="1"/>
    </xf>
    <xf numFmtId="0" fontId="73" fillId="0" borderId="21" xfId="51" applyFont="1" applyBorder="1" applyAlignment="1">
      <alignment horizontal="center" vertical="top" wrapText="1"/>
    </xf>
    <xf numFmtId="0" fontId="73" fillId="0" borderId="0" xfId="51" applyFont="1" applyAlignment="1">
      <alignment horizontal="center" vertical="top" wrapText="1"/>
    </xf>
    <xf numFmtId="0" fontId="73" fillId="0" borderId="7" xfId="51" quotePrefix="1" applyFont="1" applyBorder="1" applyAlignment="1">
      <alignment horizontal="justify" vertical="top" wrapText="1"/>
    </xf>
    <xf numFmtId="0" fontId="71" fillId="0" borderId="7" xfId="51" applyFont="1" applyBorder="1" applyAlignment="1">
      <alignment horizontal="justify" vertical="top" wrapText="1"/>
    </xf>
    <xf numFmtId="0" fontId="73" fillId="0" borderId="0" xfId="57" applyFont="1" applyAlignment="1">
      <alignment vertical="top"/>
    </xf>
    <xf numFmtId="0" fontId="71" fillId="0" borderId="0" xfId="57" applyFont="1" applyAlignment="1">
      <alignment vertical="center"/>
    </xf>
    <xf numFmtId="0" fontId="73" fillId="0" borderId="0" xfId="58" applyFont="1" applyAlignment="1">
      <alignment horizontal="center" vertical="top"/>
    </xf>
    <xf numFmtId="0" fontId="71" fillId="0" borderId="0" xfId="58" applyFont="1" applyAlignment="1">
      <alignment vertical="top" wrapText="1"/>
    </xf>
    <xf numFmtId="0" fontId="73" fillId="0" borderId="0" xfId="51" applyFont="1" applyAlignment="1">
      <alignment vertical="top"/>
    </xf>
    <xf numFmtId="0" fontId="26" fillId="0" borderId="0" xfId="51" applyFont="1" applyAlignment="1">
      <alignment horizontal="justify" vertical="top" wrapText="1"/>
    </xf>
    <xf numFmtId="0" fontId="24" fillId="0" borderId="0" xfId="51" applyFont="1" applyAlignment="1">
      <alignment horizontal="center" vertical="top" wrapText="1"/>
    </xf>
    <xf numFmtId="0" fontId="24" fillId="0" borderId="0" xfId="51" applyFont="1" applyAlignment="1">
      <alignment horizontal="justify" vertical="top" wrapText="1"/>
    </xf>
    <xf numFmtId="0" fontId="73" fillId="0" borderId="0" xfId="59" applyFont="1" applyAlignment="1">
      <alignment horizontal="left" vertical="top"/>
    </xf>
    <xf numFmtId="0" fontId="71" fillId="0" borderId="0" xfId="59" applyFont="1" applyAlignment="1">
      <alignment vertical="center" wrapText="1"/>
    </xf>
    <xf numFmtId="0" fontId="73" fillId="0" borderId="0" xfId="58" applyFont="1" applyAlignment="1">
      <alignment horizontal="left" vertical="top"/>
    </xf>
    <xf numFmtId="0" fontId="40" fillId="0" borderId="0" xfId="51" applyFont="1" applyAlignment="1">
      <alignment horizontal="left" indent="4"/>
    </xf>
    <xf numFmtId="0" fontId="3" fillId="0" borderId="0" xfId="51"/>
    <xf numFmtId="0" fontId="24" fillId="0" borderId="0" xfId="51" applyFont="1" applyAlignment="1">
      <alignment horizontal="justify"/>
    </xf>
    <xf numFmtId="0" fontId="73" fillId="0" borderId="0" xfId="59" applyFont="1" applyAlignment="1">
      <alignment vertical="center"/>
    </xf>
    <xf numFmtId="2" fontId="71" fillId="0" borderId="0" xfId="51" applyNumberFormat="1" applyFont="1"/>
    <xf numFmtId="0" fontId="83" fillId="0" borderId="0" xfId="51" applyFont="1" applyAlignment="1">
      <alignment horizontal="center" wrapText="1"/>
    </xf>
    <xf numFmtId="0" fontId="84" fillId="0" borderId="0" xfId="51" applyFont="1" applyAlignment="1">
      <alignment horizontal="center" wrapText="1"/>
    </xf>
    <xf numFmtId="0" fontId="84" fillId="0" borderId="0" xfId="51" applyFont="1" applyAlignment="1">
      <alignment horizontal="right" wrapText="1"/>
    </xf>
    <xf numFmtId="0" fontId="84" fillId="0" borderId="0" xfId="51" applyFont="1" applyAlignment="1">
      <alignment horizontal="center" vertical="top" wrapText="1"/>
    </xf>
    <xf numFmtId="0" fontId="85" fillId="0" borderId="0" xfId="51" applyFont="1" applyAlignment="1">
      <alignment vertical="top" wrapText="1"/>
    </xf>
    <xf numFmtId="3" fontId="84" fillId="0" borderId="0" xfId="51" applyNumberFormat="1" applyFont="1" applyAlignment="1">
      <alignment horizontal="right" wrapText="1"/>
    </xf>
    <xf numFmtId="0" fontId="85" fillId="0" borderId="0" xfId="51" applyFont="1" applyAlignment="1">
      <alignment wrapText="1"/>
    </xf>
    <xf numFmtId="0" fontId="69" fillId="0" borderId="0" xfId="61" applyFont="1" applyAlignment="1">
      <alignment vertical="center"/>
    </xf>
    <xf numFmtId="0" fontId="86" fillId="0" borderId="0" xfId="51" applyFont="1" applyAlignment="1">
      <alignment vertical="top" wrapText="1"/>
    </xf>
    <xf numFmtId="3" fontId="83" fillId="0" borderId="0" xfId="51" applyNumberFormat="1" applyFont="1" applyAlignment="1">
      <alignment horizontal="right" wrapText="1"/>
    </xf>
    <xf numFmtId="0" fontId="83" fillId="0" borderId="0" xfId="51" applyFont="1" applyAlignment="1">
      <alignment horizontal="center" vertical="top" wrapText="1"/>
    </xf>
    <xf numFmtId="0" fontId="84" fillId="0" borderId="0" xfId="51" applyFont="1"/>
    <xf numFmtId="0" fontId="87" fillId="0" borderId="0" xfId="51" applyFont="1"/>
    <xf numFmtId="0" fontId="83" fillId="0" borderId="0" xfId="51" applyFont="1" applyAlignment="1">
      <alignment horizontal="justify"/>
    </xf>
    <xf numFmtId="0" fontId="87" fillId="0" borderId="0" xfId="51" applyFont="1" applyAlignment="1">
      <alignment horizontal="justify"/>
    </xf>
    <xf numFmtId="0" fontId="9" fillId="0" borderId="0" xfId="51" applyFont="1" applyAlignment="1">
      <alignment wrapText="1"/>
    </xf>
    <xf numFmtId="0" fontId="84" fillId="0" borderId="0" xfId="51" applyFont="1" applyAlignment="1">
      <alignment vertical="top" wrapText="1"/>
    </xf>
    <xf numFmtId="3" fontId="84" fillId="0" borderId="0" xfId="51" applyNumberFormat="1" applyFont="1" applyAlignment="1">
      <alignment horizontal="right" vertical="top" wrapText="1"/>
    </xf>
    <xf numFmtId="0" fontId="84" fillId="0" borderId="0" xfId="51" applyFont="1" applyAlignment="1">
      <alignment horizontal="right" vertical="top" wrapText="1"/>
    </xf>
    <xf numFmtId="0" fontId="26" fillId="0" borderId="0" xfId="51" applyFont="1" applyAlignment="1">
      <alignment horizontal="justify"/>
    </xf>
    <xf numFmtId="0" fontId="84" fillId="0" borderId="0" xfId="51" applyFont="1" applyAlignment="1">
      <alignment horizontal="justify" vertical="top" wrapText="1"/>
    </xf>
    <xf numFmtId="3" fontId="84" fillId="0" borderId="0" xfId="51" applyNumberFormat="1" applyFont="1" applyAlignment="1">
      <alignment horizontal="center" vertical="top" wrapText="1"/>
    </xf>
    <xf numFmtId="0" fontId="88" fillId="0" borderId="0" xfId="57" applyFont="1" applyAlignment="1">
      <alignment vertical="top"/>
    </xf>
    <xf numFmtId="0" fontId="71" fillId="0" borderId="0" xfId="57" applyFont="1" applyAlignment="1">
      <alignment vertical="top"/>
    </xf>
    <xf numFmtId="0" fontId="89" fillId="0" borderId="0" xfId="57" applyFont="1" applyAlignment="1">
      <alignment vertical="top"/>
    </xf>
    <xf numFmtId="0" fontId="25" fillId="0" borderId="0" xfId="51" applyFont="1" applyAlignment="1">
      <alignment vertical="top"/>
    </xf>
    <xf numFmtId="0" fontId="25" fillId="0" borderId="0" xfId="51" applyFont="1" applyAlignment="1">
      <alignment vertical="top" wrapText="1"/>
    </xf>
    <xf numFmtId="0" fontId="68" fillId="0" borderId="0" xfId="57" applyFont="1" applyAlignment="1">
      <alignment horizontal="center" vertical="top"/>
    </xf>
    <xf numFmtId="0" fontId="90" fillId="0" borderId="0" xfId="51" applyFont="1"/>
    <xf numFmtId="0" fontId="18" fillId="0" borderId="0" xfId="51" applyFont="1"/>
    <xf numFmtId="0" fontId="69" fillId="0" borderId="0" xfId="51" applyFont="1" applyAlignment="1">
      <alignment vertical="top" wrapText="1"/>
    </xf>
    <xf numFmtId="0" fontId="88" fillId="0" borderId="0" xfId="51" applyFont="1" applyAlignment="1">
      <alignment vertical="top"/>
    </xf>
    <xf numFmtId="0" fontId="40" fillId="0" borderId="0" xfId="51" applyFont="1"/>
    <xf numFmtId="0" fontId="88" fillId="0" borderId="0" xfId="57" applyFont="1" applyAlignment="1">
      <alignment horizontal="left" vertical="top"/>
    </xf>
    <xf numFmtId="0" fontId="73" fillId="0" borderId="14" xfId="51" applyFont="1" applyBorder="1" applyAlignment="1">
      <alignment horizontal="center" vertical="center"/>
    </xf>
    <xf numFmtId="0" fontId="71" fillId="0" borderId="4" xfId="51" applyFont="1" applyBorder="1" applyAlignment="1">
      <alignment vertical="top"/>
    </xf>
    <xf numFmtId="39" fontId="71" fillId="0" borderId="0" xfId="51" applyNumberFormat="1" applyFont="1"/>
    <xf numFmtId="164" fontId="71" fillId="0" borderId="0" xfId="51" applyNumberFormat="1" applyFont="1"/>
    <xf numFmtId="0" fontId="73" fillId="0" borderId="14" xfId="51" applyFont="1" applyBorder="1" applyAlignment="1">
      <alignment vertical="top"/>
    </xf>
    <xf numFmtId="0" fontId="73" fillId="0" borderId="4" xfId="51" applyFont="1" applyBorder="1" applyAlignment="1">
      <alignment vertical="top"/>
    </xf>
    <xf numFmtId="2" fontId="69" fillId="0" borderId="0" xfId="51" applyNumberFormat="1" applyFont="1"/>
    <xf numFmtId="0" fontId="89" fillId="0" borderId="0" xfId="57" applyFont="1" applyAlignment="1">
      <alignment horizontal="left" vertical="top"/>
    </xf>
    <xf numFmtId="1" fontId="71" fillId="0" borderId="0" xfId="51" applyNumberFormat="1" applyFont="1" applyAlignment="1">
      <alignment horizontal="right" vertical="top"/>
    </xf>
    <xf numFmtId="0" fontId="71" fillId="0" borderId="0" xfId="57" applyFont="1" applyAlignment="1">
      <alignment horizontal="center" vertical="top"/>
    </xf>
    <xf numFmtId="0" fontId="71" fillId="0" borderId="0" xfId="57" applyFont="1" applyAlignment="1">
      <alignment horizontal="right" vertical="top"/>
    </xf>
    <xf numFmtId="0" fontId="71" fillId="0" borderId="0" xfId="58" applyFont="1" applyAlignment="1">
      <alignment vertical="center" wrapText="1"/>
    </xf>
    <xf numFmtId="0" fontId="71" fillId="0" borderId="0" xfId="58" applyFont="1" applyAlignment="1">
      <alignment horizontal="justify" vertical="center" wrapText="1"/>
    </xf>
    <xf numFmtId="0" fontId="71" fillId="0" borderId="0" xfId="58" applyFont="1" applyAlignment="1">
      <alignment horizontal="center" vertical="center"/>
    </xf>
    <xf numFmtId="0" fontId="71" fillId="0" borderId="0" xfId="46" applyFont="1" applyAlignment="1">
      <alignment vertical="center" wrapText="1"/>
    </xf>
    <xf numFmtId="1" fontId="71" fillId="0" borderId="0" xfId="51" applyNumberFormat="1" applyFont="1"/>
    <xf numFmtId="1" fontId="68" fillId="0" borderId="5" xfId="65" applyNumberFormat="1" applyFont="1" applyBorder="1"/>
    <xf numFmtId="167" fontId="3" fillId="0" borderId="0" xfId="56" quotePrefix="1" applyNumberFormat="1" applyAlignment="1">
      <alignment vertical="center"/>
    </xf>
    <xf numFmtId="0" fontId="3" fillId="0" borderId="0" xfId="56" applyAlignment="1">
      <alignment horizontal="left" vertical="center"/>
    </xf>
    <xf numFmtId="2" fontId="71" fillId="0" borderId="26" xfId="0" applyNumberFormat="1" applyFont="1" applyBorder="1" applyAlignment="1">
      <alignment vertical="center"/>
    </xf>
    <xf numFmtId="1" fontId="69" fillId="0" borderId="0" xfId="65" applyNumberFormat="1" applyFont="1"/>
    <xf numFmtId="49" fontId="67" fillId="0" borderId="1" xfId="0" applyNumberFormat="1" applyFont="1" applyBorder="1" applyAlignment="1">
      <alignment horizontal="center" vertical="center" wrapText="1"/>
    </xf>
    <xf numFmtId="49" fontId="67" fillId="0" borderId="16" xfId="0" applyNumberFormat="1" applyFont="1" applyBorder="1" applyAlignment="1">
      <alignment horizontal="center" vertical="center" wrapText="1"/>
    </xf>
    <xf numFmtId="49" fontId="67" fillId="0" borderId="3" xfId="0" applyNumberFormat="1" applyFont="1" applyBorder="1" applyAlignment="1">
      <alignment horizontal="center" vertical="center" wrapText="1"/>
    </xf>
    <xf numFmtId="0" fontId="67" fillId="0" borderId="3" xfId="0" applyFont="1" applyBorder="1" applyAlignment="1">
      <alignment horizontal="left" vertical="top"/>
    </xf>
    <xf numFmtId="2" fontId="71" fillId="0" borderId="31" xfId="0" applyNumberFormat="1" applyFont="1" applyBorder="1" applyAlignment="1">
      <alignment vertical="center"/>
    </xf>
    <xf numFmtId="49" fontId="67" fillId="0" borderId="26" xfId="0" applyNumberFormat="1" applyFont="1" applyBorder="1" applyAlignment="1">
      <alignment horizontal="center" vertical="center" wrapText="1"/>
    </xf>
    <xf numFmtId="0" fontId="91" fillId="0" borderId="3" xfId="0" applyFont="1" applyBorder="1" applyAlignment="1">
      <alignment vertical="center"/>
    </xf>
    <xf numFmtId="2" fontId="73" fillId="0" borderId="32" xfId="0" applyNumberFormat="1" applyFont="1" applyBorder="1" applyAlignment="1">
      <alignment vertical="center"/>
    </xf>
    <xf numFmtId="2" fontId="78" fillId="0" borderId="0" xfId="0" applyNumberFormat="1" applyFont="1" applyAlignment="1">
      <alignment horizontal="center" vertical="center"/>
    </xf>
    <xf numFmtId="1" fontId="71" fillId="0" borderId="0" xfId="65" applyNumberFormat="1" applyFont="1"/>
    <xf numFmtId="2" fontId="69" fillId="0" borderId="0" xfId="0" applyNumberFormat="1" applyFont="1" applyAlignment="1">
      <alignment horizontal="left" vertical="center"/>
    </xf>
    <xf numFmtId="0" fontId="70" fillId="0" borderId="0" xfId="0" applyFont="1" applyAlignment="1">
      <alignment horizontal="left" vertical="center"/>
    </xf>
    <xf numFmtId="0" fontId="69" fillId="0" borderId="0" xfId="0" applyFont="1" applyAlignment="1">
      <alignment horizontal="left" vertical="center"/>
    </xf>
    <xf numFmtId="0" fontId="69" fillId="0" borderId="6" xfId="0" applyFont="1" applyBorder="1" applyAlignment="1">
      <alignment horizontal="left" vertical="center"/>
    </xf>
    <xf numFmtId="171" fontId="5" fillId="0" borderId="7" xfId="56" applyNumberFormat="1" applyFont="1" applyBorder="1" applyAlignment="1">
      <alignment horizontal="left" vertical="center"/>
    </xf>
    <xf numFmtId="2" fontId="68" fillId="0" borderId="0" xfId="0" applyNumberFormat="1" applyFont="1" applyAlignment="1">
      <alignment vertical="center"/>
    </xf>
    <xf numFmtId="14" fontId="69" fillId="0" borderId="0" xfId="0" applyNumberFormat="1" applyFont="1" applyAlignment="1">
      <alignment vertical="center"/>
    </xf>
    <xf numFmtId="1" fontId="69" fillId="0" borderId="0" xfId="0" applyNumberFormat="1" applyFont="1" applyAlignment="1">
      <alignment vertical="center"/>
    </xf>
    <xf numFmtId="1" fontId="69" fillId="0" borderId="5" xfId="65" applyNumberFormat="1" applyFont="1" applyBorder="1"/>
    <xf numFmtId="2" fontId="71" fillId="0" borderId="33" xfId="0" applyNumberFormat="1" applyFont="1" applyBorder="1" applyAlignment="1">
      <alignment vertical="center"/>
    </xf>
    <xf numFmtId="2" fontId="71" fillId="0" borderId="34" xfId="0" applyNumberFormat="1" applyFont="1" applyBorder="1" applyAlignment="1">
      <alignment vertical="center"/>
    </xf>
    <xf numFmtId="0" fontId="69" fillId="0" borderId="35" xfId="0" applyFont="1" applyBorder="1" applyAlignment="1">
      <alignment vertical="center"/>
    </xf>
    <xf numFmtId="0" fontId="71" fillId="0" borderId="0" xfId="58" applyFont="1" applyAlignment="1">
      <alignment horizontal="justify" vertical="top" wrapText="1"/>
    </xf>
    <xf numFmtId="0" fontId="0" fillId="0" borderId="0" xfId="0" applyAlignment="1">
      <alignment horizontal="justify" vertical="top" wrapText="1"/>
    </xf>
    <xf numFmtId="0" fontId="73" fillId="0" borderId="0" xfId="49" applyFont="1" applyAlignment="1">
      <alignment vertical="top"/>
    </xf>
    <xf numFmtId="0" fontId="71" fillId="0" borderId="0" xfId="49" applyFont="1" applyAlignment="1">
      <alignment vertical="top"/>
    </xf>
    <xf numFmtId="0" fontId="71" fillId="0" borderId="0" xfId="61" applyFont="1" applyAlignment="1">
      <alignment vertical="center"/>
    </xf>
    <xf numFmtId="0" fontId="92" fillId="0" borderId="0" xfId="49" applyFont="1" applyAlignment="1">
      <alignment horizontal="center" vertical="top" wrapText="1"/>
    </xf>
    <xf numFmtId="3" fontId="92" fillId="0" borderId="0" xfId="49" applyNumberFormat="1" applyFont="1" applyAlignment="1">
      <alignment horizontal="right" vertical="top" wrapText="1"/>
    </xf>
    <xf numFmtId="3" fontId="92" fillId="0" borderId="0" xfId="49" applyNumberFormat="1" applyFont="1" applyAlignment="1">
      <alignment horizontal="right" wrapText="1"/>
    </xf>
    <xf numFmtId="0" fontId="71" fillId="0" borderId="0" xfId="49" applyFont="1" applyAlignment="1">
      <alignment wrapText="1"/>
    </xf>
    <xf numFmtId="2" fontId="67" fillId="0" borderId="2" xfId="0" applyNumberFormat="1" applyFont="1" applyBorder="1"/>
    <xf numFmtId="0" fontId="73" fillId="0" borderId="0" xfId="56" applyFont="1" applyAlignment="1">
      <alignment horizontal="center" vertical="center"/>
    </xf>
    <xf numFmtId="0" fontId="73" fillId="0" borderId="0" xfId="0" applyFont="1" applyAlignment="1">
      <alignment horizontal="left"/>
    </xf>
    <xf numFmtId="0" fontId="3" fillId="0" borderId="0" xfId="0" applyFont="1"/>
    <xf numFmtId="0" fontId="71" fillId="0" borderId="0" xfId="0" applyFont="1"/>
    <xf numFmtId="0" fontId="71" fillId="0" borderId="0" xfId="57" applyFont="1" applyAlignment="1">
      <alignment horizontal="justify" vertical="top" wrapText="1"/>
    </xf>
    <xf numFmtId="0" fontId="9" fillId="0" borderId="0" xfId="0" applyFont="1" applyAlignment="1">
      <alignment vertical="top" wrapText="1"/>
    </xf>
    <xf numFmtId="0" fontId="71" fillId="0" borderId="0" xfId="50" applyFont="1" applyAlignment="1">
      <alignment horizontal="right" vertical="top"/>
    </xf>
    <xf numFmtId="0" fontId="3" fillId="0" borderId="0" xfId="52" applyFont="1" applyAlignment="1">
      <alignment vertical="top"/>
    </xf>
    <xf numFmtId="0" fontId="73" fillId="0" borderId="0" xfId="58" applyFont="1" applyAlignment="1">
      <alignment horizontal="right" vertical="top"/>
    </xf>
    <xf numFmtId="0" fontId="88" fillId="0" borderId="0" xfId="58" applyFont="1" applyAlignment="1">
      <alignment vertical="top"/>
    </xf>
    <xf numFmtId="0" fontId="71" fillId="0" borderId="0" xfId="50" applyFont="1" applyAlignment="1">
      <alignment horizontal="left" vertical="top" wrapText="1"/>
    </xf>
    <xf numFmtId="0" fontId="71" fillId="0" borderId="0" xfId="50" applyFont="1"/>
    <xf numFmtId="39" fontId="71" fillId="0" borderId="0" xfId="50" applyNumberFormat="1" applyFont="1"/>
    <xf numFmtId="164" fontId="71" fillId="0" borderId="0" xfId="50" applyNumberFormat="1" applyFont="1"/>
    <xf numFmtId="0" fontId="71" fillId="0" borderId="0" xfId="58" applyFont="1" applyAlignment="1">
      <alignment horizontal="right" vertical="top"/>
    </xf>
    <xf numFmtId="164" fontId="71" fillId="0" borderId="2" xfId="51" applyNumberFormat="1" applyFont="1" applyBorder="1" applyAlignment="1">
      <alignment vertical="top"/>
    </xf>
    <xf numFmtId="2" fontId="71" fillId="0" borderId="0" xfId="51" applyNumberFormat="1" applyFont="1" applyAlignment="1">
      <alignment vertical="top"/>
    </xf>
    <xf numFmtId="2" fontId="71" fillId="0" borderId="0" xfId="0" applyNumberFormat="1" applyFont="1" applyAlignment="1">
      <alignment vertical="center"/>
    </xf>
    <xf numFmtId="0" fontId="72" fillId="0" borderId="0" xfId="57" applyFont="1" applyAlignment="1">
      <alignment horizontal="left" vertical="top"/>
    </xf>
    <xf numFmtId="0" fontId="73" fillId="0" borderId="0" xfId="54" applyFont="1" applyAlignment="1">
      <alignment vertical="top"/>
    </xf>
    <xf numFmtId="0" fontId="17" fillId="0" borderId="0" xfId="58" applyFont="1" applyAlignment="1">
      <alignment horizontal="center" vertical="top"/>
    </xf>
    <xf numFmtId="0" fontId="69" fillId="0" borderId="3" xfId="0" applyFont="1" applyBorder="1" applyAlignment="1">
      <alignment vertical="center" wrapText="1"/>
    </xf>
    <xf numFmtId="1" fontId="70" fillId="0" borderId="5" xfId="65" applyNumberFormat="1" applyFont="1" applyBorder="1"/>
    <xf numFmtId="1" fontId="70" fillId="0" borderId="0" xfId="65" applyNumberFormat="1" applyFont="1"/>
    <xf numFmtId="22" fontId="5" fillId="0" borderId="0" xfId="65" quotePrefix="1" applyNumberFormat="1"/>
    <xf numFmtId="0" fontId="3" fillId="0" borderId="0" xfId="53" applyAlignment="1">
      <alignment horizontal="center"/>
    </xf>
    <xf numFmtId="0" fontId="27" fillId="0" borderId="0" xfId="53" applyFont="1" applyAlignment="1">
      <alignment horizontal="center"/>
    </xf>
    <xf numFmtId="0" fontId="69" fillId="0" borderId="0" xfId="53" applyFont="1" applyAlignment="1">
      <alignment horizontal="left"/>
    </xf>
    <xf numFmtId="0" fontId="69" fillId="0" borderId="0" xfId="53" applyFont="1" applyAlignment="1">
      <alignment horizontal="center"/>
    </xf>
    <xf numFmtId="0" fontId="78" fillId="0" borderId="0" xfId="53" applyFont="1"/>
    <xf numFmtId="0" fontId="69" fillId="0" borderId="0" xfId="53" applyFont="1"/>
    <xf numFmtId="0" fontId="1" fillId="0" borderId="0" xfId="58" applyFont="1" applyAlignment="1">
      <alignment vertical="center"/>
    </xf>
    <xf numFmtId="0" fontId="93" fillId="0" borderId="0" xfId="53" applyFont="1" applyAlignment="1">
      <alignment horizontal="justify" vertical="top" wrapText="1"/>
    </xf>
    <xf numFmtId="0" fontId="68" fillId="0" borderId="0" xfId="53" applyFont="1" applyAlignment="1">
      <alignment horizontal="justify" vertical="top" wrapText="1"/>
    </xf>
    <xf numFmtId="0" fontId="69" fillId="0" borderId="0" xfId="53" applyFont="1" applyAlignment="1">
      <alignment vertical="center"/>
    </xf>
    <xf numFmtId="171" fontId="69" fillId="0" borderId="0" xfId="53" applyNumberFormat="1" applyFont="1" applyAlignment="1">
      <alignment horizontal="left" vertical="center"/>
    </xf>
    <xf numFmtId="174" fontId="3" fillId="0" borderId="0" xfId="53" applyNumberFormat="1" applyAlignment="1">
      <alignment horizontal="left"/>
    </xf>
    <xf numFmtId="171" fontId="16" fillId="0" borderId="0" xfId="53" applyNumberFormat="1" applyFont="1" applyAlignment="1">
      <alignment horizontal="left" vertical="center"/>
    </xf>
    <xf numFmtId="171" fontId="5" fillId="0" borderId="0" xfId="53" applyNumberFormat="1" applyFont="1" applyAlignment="1">
      <alignment horizontal="left" vertical="center"/>
    </xf>
    <xf numFmtId="0" fontId="71" fillId="33" borderId="0" xfId="59" applyFont="1" applyFill="1" applyAlignment="1">
      <alignment vertical="center"/>
    </xf>
    <xf numFmtId="14" fontId="71" fillId="33" borderId="0" xfId="59" applyNumberFormat="1" applyFont="1" applyFill="1" applyAlignment="1">
      <alignment vertical="center"/>
    </xf>
    <xf numFmtId="0" fontId="71" fillId="33" borderId="0" xfId="58" applyFont="1" applyFill="1" applyAlignment="1">
      <alignment vertical="center"/>
    </xf>
    <xf numFmtId="0" fontId="25" fillId="33" borderId="0" xfId="58" applyFont="1" applyFill="1" applyAlignment="1">
      <alignment vertical="center"/>
    </xf>
    <xf numFmtId="0" fontId="71" fillId="33" borderId="0" xfId="51" applyFont="1" applyFill="1"/>
    <xf numFmtId="1" fontId="71" fillId="0" borderId="0" xfId="51" applyNumberFormat="1" applyFont="1" applyAlignment="1">
      <alignment vertical="top"/>
    </xf>
    <xf numFmtId="0" fontId="73" fillId="0" borderId="0" xfId="57" applyFont="1" applyAlignment="1">
      <alignment horizontal="center" vertical="top"/>
    </xf>
    <xf numFmtId="0" fontId="71" fillId="0" borderId="0" xfId="57" applyFont="1" applyAlignment="1">
      <alignment horizontal="left" vertical="top" wrapText="1"/>
    </xf>
    <xf numFmtId="0" fontId="73" fillId="0" borderId="0" xfId="53" applyFont="1" applyAlignment="1">
      <alignment vertical="top"/>
    </xf>
    <xf numFmtId="0" fontId="89" fillId="0" borderId="0" xfId="58" applyFont="1" applyAlignment="1">
      <alignment vertical="top"/>
    </xf>
    <xf numFmtId="0" fontId="94" fillId="0" borderId="36" xfId="53" applyFont="1" applyBorder="1" applyAlignment="1">
      <alignment horizontal="center" wrapText="1"/>
    </xf>
    <xf numFmtId="0" fontId="71" fillId="0" borderId="0" xfId="53" applyFont="1" applyAlignment="1">
      <alignment vertical="top"/>
    </xf>
    <xf numFmtId="0" fontId="71" fillId="0" borderId="0" xfId="53" applyFont="1"/>
    <xf numFmtId="3" fontId="71" fillId="0" borderId="0" xfId="53" applyNumberFormat="1" applyFont="1" applyAlignment="1">
      <alignment horizontal="right" wrapText="1"/>
    </xf>
    <xf numFmtId="39" fontId="71" fillId="0" borderId="0" xfId="53" applyNumberFormat="1" applyFont="1"/>
    <xf numFmtId="164" fontId="71" fillId="0" borderId="0" xfId="53" applyNumberFormat="1" applyFont="1"/>
    <xf numFmtId="0" fontId="92" fillId="0" borderId="4" xfId="53" applyFont="1" applyBorder="1" applyAlignment="1">
      <alignment horizontal="center" wrapText="1"/>
    </xf>
    <xf numFmtId="0" fontId="92" fillId="0" borderId="36" xfId="53" applyFont="1" applyBorder="1" applyAlignment="1">
      <alignment horizontal="center" wrapText="1"/>
    </xf>
    <xf numFmtId="2" fontId="71" fillId="0" borderId="0" xfId="53" applyNumberFormat="1" applyFont="1"/>
    <xf numFmtId="0" fontId="73" fillId="0" borderId="0" xfId="51" applyFont="1"/>
    <xf numFmtId="0" fontId="90" fillId="0" borderId="0" xfId="53" applyFont="1" applyAlignment="1">
      <alignment vertical="top"/>
    </xf>
    <xf numFmtId="0" fontId="90" fillId="0" borderId="0" xfId="53" applyFont="1" applyAlignment="1">
      <alignment horizontal="center" vertical="top"/>
    </xf>
    <xf numFmtId="0" fontId="90" fillId="0" borderId="0" xfId="53" applyFont="1"/>
    <xf numFmtId="2" fontId="73" fillId="0" borderId="5" xfId="0" applyNumberFormat="1" applyFont="1" applyBorder="1" applyAlignment="1">
      <alignment vertical="center"/>
    </xf>
    <xf numFmtId="0" fontId="68" fillId="0" borderId="0" xfId="0" applyFont="1" applyAlignment="1">
      <alignment horizontal="center" vertical="center"/>
    </xf>
    <xf numFmtId="2" fontId="73" fillId="0" borderId="0" xfId="0" applyNumberFormat="1" applyFont="1" applyAlignment="1">
      <alignment vertical="center"/>
    </xf>
    <xf numFmtId="2" fontId="73" fillId="0" borderId="6" xfId="0" applyNumberFormat="1" applyFont="1" applyBorder="1" applyAlignment="1">
      <alignment vertical="center"/>
    </xf>
    <xf numFmtId="0" fontId="3" fillId="0" borderId="0" xfId="56" applyAlignment="1">
      <alignment horizontal="right" vertical="center"/>
    </xf>
    <xf numFmtId="0" fontId="71" fillId="0" borderId="0" xfId="59" applyFont="1" applyAlignment="1">
      <alignment horizontal="left" vertical="top"/>
    </xf>
    <xf numFmtId="0" fontId="73" fillId="0" borderId="0" xfId="59" applyFont="1" applyAlignment="1">
      <alignment vertical="top"/>
    </xf>
    <xf numFmtId="0" fontId="71" fillId="0" borderId="0" xfId="59" applyFont="1" applyAlignment="1">
      <alignment horizontal="center" vertical="top"/>
    </xf>
    <xf numFmtId="0" fontId="88" fillId="0" borderId="0" xfId="59" applyFont="1" applyAlignment="1">
      <alignment vertical="top"/>
    </xf>
    <xf numFmtId="0" fontId="71" fillId="0" borderId="0" xfId="59" applyFont="1" applyAlignment="1">
      <alignment vertical="top"/>
    </xf>
    <xf numFmtId="0" fontId="73" fillId="0" borderId="0" xfId="51" applyFont="1" applyAlignment="1">
      <alignment horizontal="left" vertical="top"/>
    </xf>
    <xf numFmtId="0" fontId="71" fillId="0" borderId="0" xfId="51" applyFont="1" applyAlignment="1">
      <alignment horizontal="left"/>
    </xf>
    <xf numFmtId="0" fontId="95" fillId="0" borderId="0" xfId="0" applyFont="1" applyAlignment="1">
      <alignment horizontal="center" vertical="center"/>
    </xf>
    <xf numFmtId="167" fontId="3" fillId="0" borderId="0" xfId="56" quotePrefix="1" applyNumberFormat="1" applyAlignment="1">
      <alignment horizontal="center" vertical="center"/>
    </xf>
    <xf numFmtId="0" fontId="33" fillId="0" borderId="0" xfId="49" applyFont="1" applyAlignment="1">
      <alignment vertical="center" wrapText="1"/>
    </xf>
    <xf numFmtId="0" fontId="96" fillId="0" borderId="0" xfId="65" applyFont="1" applyAlignment="1">
      <alignment vertical="top"/>
    </xf>
    <xf numFmtId="0" fontId="97" fillId="0" borderId="0" xfId="0" applyFont="1" applyAlignment="1">
      <alignment horizontal="center" vertical="center"/>
    </xf>
    <xf numFmtId="2" fontId="97" fillId="0" borderId="0" xfId="0" applyNumberFormat="1" applyFont="1" applyAlignment="1">
      <alignment horizontal="center" vertical="center"/>
    </xf>
    <xf numFmtId="1" fontId="67" fillId="0" borderId="5" xfId="65" applyNumberFormat="1" applyFont="1" applyBorder="1"/>
    <xf numFmtId="1" fontId="67" fillId="0" borderId="0" xfId="56" applyNumberFormat="1" applyFont="1" applyAlignment="1">
      <alignment vertical="top"/>
    </xf>
    <xf numFmtId="0" fontId="71" fillId="0" borderId="0" xfId="58" applyFont="1" applyAlignment="1">
      <alignment horizontal="left" vertical="top"/>
    </xf>
    <xf numFmtId="0" fontId="71" fillId="0" borderId="0" xfId="60" applyFont="1" applyAlignment="1">
      <alignment horizontal="center" vertical="top"/>
    </xf>
    <xf numFmtId="0" fontId="1" fillId="0" borderId="0" xfId="59" applyFont="1" applyAlignment="1">
      <alignment vertical="top"/>
    </xf>
    <xf numFmtId="0" fontId="92" fillId="0" borderId="0" xfId="0" applyFont="1" applyAlignment="1">
      <alignment vertical="top" wrapText="1"/>
    </xf>
    <xf numFmtId="0" fontId="25" fillId="0" borderId="0" xfId="59" applyFont="1" applyAlignment="1">
      <alignment vertical="center"/>
    </xf>
    <xf numFmtId="0" fontId="69" fillId="0" borderId="0" xfId="58" applyFont="1" applyAlignment="1">
      <alignment horizontal="center" vertical="top"/>
    </xf>
    <xf numFmtId="15" fontId="71" fillId="0" borderId="0" xfId="63" applyNumberFormat="1" applyFont="1" applyAlignment="1">
      <alignment horizontal="center"/>
    </xf>
    <xf numFmtId="0" fontId="71" fillId="0" borderId="0" xfId="63" applyFont="1" applyAlignment="1">
      <alignment horizontal="center"/>
    </xf>
    <xf numFmtId="167" fontId="3" fillId="33" borderId="0" xfId="56" quotePrefix="1" applyNumberFormat="1" applyFill="1" applyAlignment="1">
      <alignment vertical="center"/>
    </xf>
    <xf numFmtId="0" fontId="71" fillId="0" borderId="0" xfId="64" applyFont="1" applyAlignment="1">
      <alignment horizontal="left"/>
    </xf>
    <xf numFmtId="2" fontId="71" fillId="0" borderId="0" xfId="64" applyNumberFormat="1" applyFont="1"/>
    <xf numFmtId="167" fontId="71" fillId="0" borderId="0" xfId="64" applyNumberFormat="1" applyFont="1"/>
    <xf numFmtId="0" fontId="69" fillId="0" borderId="37" xfId="0" applyFont="1" applyBorder="1" applyAlignment="1">
      <alignment vertical="center"/>
    </xf>
    <xf numFmtId="0" fontId="71" fillId="0" borderId="0" xfId="58" applyFont="1" applyAlignment="1">
      <alignment horizontal="center" vertical="top"/>
    </xf>
    <xf numFmtId="0" fontId="73" fillId="0" borderId="0" xfId="50" applyFont="1" applyAlignment="1">
      <alignment vertical="top"/>
    </xf>
    <xf numFmtId="0" fontId="71" fillId="0" borderId="0" xfId="50" applyFont="1" applyAlignment="1">
      <alignment horizontal="center" vertical="top"/>
    </xf>
    <xf numFmtId="0" fontId="71" fillId="0" borderId="0" xfId="50" applyFont="1" applyAlignment="1">
      <alignment vertical="top"/>
    </xf>
    <xf numFmtId="0" fontId="71" fillId="0" borderId="0" xfId="0" applyFont="1" applyAlignment="1">
      <alignment horizontal="center" vertical="top"/>
    </xf>
    <xf numFmtId="0" fontId="73" fillId="0" borderId="0" xfId="50" applyFont="1" applyAlignment="1">
      <alignment horizontal="justify"/>
    </xf>
    <xf numFmtId="0" fontId="43" fillId="0" borderId="0" xfId="0" applyFont="1"/>
    <xf numFmtId="0" fontId="45" fillId="0" borderId="0" xfId="0" applyFont="1"/>
    <xf numFmtId="0" fontId="45" fillId="0" borderId="0" xfId="0" applyFont="1" applyAlignment="1">
      <alignment vertical="center"/>
    </xf>
    <xf numFmtId="0" fontId="46" fillId="0" borderId="0" xfId="0" applyFont="1" applyAlignment="1">
      <alignment horizontal="center" vertical="center"/>
    </xf>
    <xf numFmtId="0" fontId="46" fillId="0" borderId="0" xfId="0" applyFont="1" applyAlignment="1">
      <alignment vertical="center"/>
    </xf>
    <xf numFmtId="0" fontId="3" fillId="0" borderId="0" xfId="56"/>
    <xf numFmtId="0" fontId="3" fillId="0" borderId="6" xfId="56" applyBorder="1"/>
    <xf numFmtId="49" fontId="69" fillId="0" borderId="18" xfId="0" applyNumberFormat="1" applyFont="1" applyBorder="1" applyAlignment="1">
      <alignment horizontal="center" vertical="center" wrapText="1"/>
    </xf>
    <xf numFmtId="2" fontId="73" fillId="0" borderId="17" xfId="0" applyNumberFormat="1" applyFont="1" applyBorder="1" applyAlignment="1">
      <alignment vertical="center"/>
    </xf>
    <xf numFmtId="0" fontId="73" fillId="0" borderId="17" xfId="0" applyFont="1" applyBorder="1" applyAlignment="1">
      <alignment vertical="center"/>
    </xf>
    <xf numFmtId="2" fontId="73" fillId="0" borderId="26" xfId="0" applyNumberFormat="1" applyFont="1" applyBorder="1" applyAlignment="1">
      <alignment vertical="center"/>
    </xf>
    <xf numFmtId="2" fontId="73" fillId="0" borderId="38" xfId="0" applyNumberFormat="1" applyFont="1" applyBorder="1" applyAlignment="1">
      <alignment vertical="center"/>
    </xf>
    <xf numFmtId="2" fontId="73" fillId="0" borderId="3" xfId="0" applyNumberFormat="1" applyFont="1" applyBorder="1" applyAlignment="1">
      <alignment vertical="center"/>
    </xf>
    <xf numFmtId="0" fontId="73" fillId="0" borderId="3" xfId="0" applyFont="1" applyBorder="1" applyAlignment="1">
      <alignment vertical="center"/>
    </xf>
    <xf numFmtId="2" fontId="73" fillId="0" borderId="33" xfId="0" applyNumberFormat="1" applyFont="1" applyBorder="1" applyAlignment="1">
      <alignment vertical="center"/>
    </xf>
    <xf numFmtId="169" fontId="73" fillId="0" borderId="0" xfId="63" applyNumberFormat="1" applyFont="1"/>
    <xf numFmtId="0" fontId="9" fillId="0" borderId="0" xfId="64" applyFont="1"/>
    <xf numFmtId="0" fontId="2" fillId="0" borderId="0" xfId="64" applyFont="1"/>
    <xf numFmtId="0" fontId="73" fillId="0" borderId="5" xfId="50" applyFont="1" applyBorder="1" applyAlignment="1">
      <alignment horizontal="center" vertical="top" wrapText="1"/>
    </xf>
    <xf numFmtId="0" fontId="71" fillId="0" borderId="2" xfId="50" applyFont="1" applyBorder="1" applyAlignment="1">
      <alignment horizontal="center" vertical="top" wrapText="1"/>
    </xf>
    <xf numFmtId="0" fontId="71" fillId="0" borderId="2" xfId="46" applyFont="1" applyBorder="1" applyAlignment="1">
      <alignment horizontal="center" vertical="top"/>
    </xf>
    <xf numFmtId="0" fontId="71" fillId="0" borderId="0" xfId="48" applyFont="1" applyAlignment="1">
      <alignment vertical="top"/>
    </xf>
    <xf numFmtId="0" fontId="71" fillId="0" borderId="0" xfId="0" applyFont="1" applyAlignment="1">
      <alignment vertical="top" wrapText="1"/>
    </xf>
    <xf numFmtId="0" fontId="73" fillId="0" borderId="0" xfId="53" applyFont="1" applyAlignment="1">
      <alignment horizontal="center"/>
    </xf>
    <xf numFmtId="0" fontId="73" fillId="0" borderId="0" xfId="53" applyFont="1" applyAlignment="1">
      <alignment horizontal="center" wrapText="1"/>
    </xf>
    <xf numFmtId="0" fontId="71" fillId="0" borderId="0" xfId="53" applyFont="1" applyAlignment="1">
      <alignment horizontal="center" wrapText="1"/>
    </xf>
    <xf numFmtId="0" fontId="71" fillId="0" borderId="0" xfId="53" applyFont="1" applyAlignment="1">
      <alignment wrapText="1"/>
    </xf>
    <xf numFmtId="0" fontId="71" fillId="0" borderId="0" xfId="53" applyFont="1" applyAlignment="1">
      <alignment horizontal="center"/>
    </xf>
    <xf numFmtId="164" fontId="71" fillId="0" borderId="4" xfId="28" applyNumberFormat="1" applyFont="1" applyFill="1" applyBorder="1" applyAlignment="1">
      <alignment vertical="center"/>
    </xf>
    <xf numFmtId="0" fontId="92" fillId="0" borderId="0" xfId="53" applyFont="1" applyAlignment="1">
      <alignment horizontal="center" wrapText="1"/>
    </xf>
    <xf numFmtId="0" fontId="94" fillId="0" borderId="0" xfId="53" applyFont="1" applyAlignment="1">
      <alignment horizontal="center" wrapText="1"/>
    </xf>
    <xf numFmtId="3" fontId="73" fillId="0" borderId="0" xfId="53" applyNumberFormat="1" applyFont="1" applyAlignment="1">
      <alignment horizontal="right" vertical="top" wrapText="1"/>
    </xf>
    <xf numFmtId="0" fontId="73" fillId="0" borderId="0" xfId="53" applyFont="1" applyAlignment="1">
      <alignment horizontal="right" vertical="top" wrapText="1"/>
    </xf>
    <xf numFmtId="0" fontId="88" fillId="0" borderId="0" xfId="51" applyFont="1"/>
    <xf numFmtId="0" fontId="73" fillId="0" borderId="0" xfId="0" applyFont="1" applyAlignment="1">
      <alignment vertical="top"/>
    </xf>
    <xf numFmtId="0" fontId="71" fillId="0" borderId="0" xfId="0" applyFont="1" applyAlignment="1">
      <alignment vertical="top"/>
    </xf>
    <xf numFmtId="0" fontId="16" fillId="0" borderId="0" xfId="0" applyFont="1" applyAlignment="1">
      <alignment horizontal="justify"/>
    </xf>
    <xf numFmtId="0" fontId="90" fillId="0" borderId="0" xfId="52" applyFont="1" applyAlignment="1">
      <alignment horizontal="justify"/>
    </xf>
    <xf numFmtId="0" fontId="71" fillId="0" borderId="0" xfId="0" applyFont="1" applyAlignment="1">
      <alignment horizontal="justify" vertical="top" wrapText="1"/>
    </xf>
    <xf numFmtId="0" fontId="47" fillId="0" borderId="0" xfId="0" applyFont="1" applyAlignment="1">
      <alignment horizontal="justify"/>
    </xf>
    <xf numFmtId="0" fontId="73" fillId="0" borderId="0" xfId="58" applyFont="1" applyAlignment="1">
      <alignment horizontal="center" vertical="center"/>
    </xf>
    <xf numFmtId="0" fontId="71" fillId="0" borderId="0" xfId="44" applyFont="1" applyAlignment="1">
      <alignment horizontal="center" vertical="center" wrapText="1"/>
    </xf>
    <xf numFmtId="0" fontId="71" fillId="0" borderId="0" xfId="58" applyFont="1" applyAlignment="1">
      <alignment horizontal="justify" vertical="center"/>
    </xf>
    <xf numFmtId="0" fontId="24" fillId="0" borderId="0" xfId="0" applyFont="1" applyAlignment="1">
      <alignment vertical="top"/>
    </xf>
    <xf numFmtId="0" fontId="71" fillId="0" borderId="0" xfId="44" applyFont="1" applyAlignment="1">
      <alignment horizontal="left" vertical="center" wrapText="1"/>
    </xf>
    <xf numFmtId="0" fontId="67" fillId="0" borderId="2" xfId="0" applyFont="1" applyBorder="1" applyAlignment="1">
      <alignment horizontal="center"/>
    </xf>
    <xf numFmtId="0" fontId="67" fillId="0" borderId="2" xfId="0" applyFont="1" applyBorder="1"/>
    <xf numFmtId="0" fontId="71" fillId="0" borderId="12" xfId="50" applyFont="1" applyBorder="1" applyAlignment="1">
      <alignment horizontal="center" vertical="top" wrapText="1"/>
    </xf>
    <xf numFmtId="0" fontId="71" fillId="0" borderId="3" xfId="50" applyFont="1" applyBorder="1" applyAlignment="1">
      <alignment horizontal="center" vertical="top" wrapText="1"/>
    </xf>
    <xf numFmtId="0" fontId="71" fillId="0" borderId="0" xfId="50" applyFont="1" applyAlignment="1">
      <alignment horizontal="left" vertical="top"/>
    </xf>
    <xf numFmtId="0" fontId="71" fillId="0" borderId="6" xfId="50" applyFont="1" applyBorder="1" applyAlignment="1">
      <alignment horizontal="left" vertical="top"/>
    </xf>
    <xf numFmtId="0" fontId="71" fillId="0" borderId="6" xfId="50" applyFont="1" applyBorder="1" applyAlignment="1">
      <alignment horizontal="justify" vertical="top" wrapText="1"/>
    </xf>
    <xf numFmtId="0" fontId="69" fillId="0" borderId="4" xfId="52" applyFont="1" applyBorder="1" applyAlignment="1">
      <alignment horizontal="center" vertical="top" wrapText="1"/>
    </xf>
    <xf numFmtId="0" fontId="69" fillId="0" borderId="7" xfId="52" applyFont="1" applyBorder="1" applyAlignment="1">
      <alignment horizontal="left" vertical="top"/>
    </xf>
    <xf numFmtId="0" fontId="69" fillId="0" borderId="8" xfId="52" applyFont="1" applyBorder="1" applyAlignment="1">
      <alignment horizontal="left" vertical="top"/>
    </xf>
    <xf numFmtId="0" fontId="69" fillId="0" borderId="0" xfId="52" applyFont="1"/>
    <xf numFmtId="0" fontId="15" fillId="0" borderId="0" xfId="46"/>
    <xf numFmtId="0" fontId="15" fillId="0" borderId="25" xfId="46" applyBorder="1"/>
    <xf numFmtId="0" fontId="15" fillId="0" borderId="26" xfId="46" applyBorder="1"/>
    <xf numFmtId="0" fontId="69" fillId="0" borderId="0" xfId="0" applyFont="1"/>
    <xf numFmtId="0" fontId="69" fillId="0" borderId="0" xfId="0" applyFont="1" applyAlignment="1">
      <alignment horizontal="center" vertical="center"/>
    </xf>
    <xf numFmtId="0" fontId="69" fillId="0" borderId="0" xfId="0" applyFont="1" applyAlignment="1">
      <alignment horizontal="center"/>
    </xf>
    <xf numFmtId="0" fontId="73" fillId="0" borderId="0" xfId="58" applyFont="1" applyAlignment="1">
      <alignment horizontal="left" vertical="center"/>
    </xf>
    <xf numFmtId="0" fontId="71" fillId="0" borderId="0" xfId="58" applyFont="1" applyAlignment="1">
      <alignment horizontal="left" vertical="center"/>
    </xf>
    <xf numFmtId="0" fontId="16" fillId="0" borderId="0" xfId="58" applyFont="1" applyAlignment="1">
      <alignment vertical="center"/>
    </xf>
    <xf numFmtId="0" fontId="90" fillId="0" borderId="0" xfId="52" applyFont="1"/>
    <xf numFmtId="1" fontId="68" fillId="0" borderId="0" xfId="50" applyNumberFormat="1" applyFont="1" applyAlignment="1">
      <alignment horizontal="left" vertical="top"/>
    </xf>
    <xf numFmtId="1" fontId="71" fillId="0" borderId="0" xfId="50" applyNumberFormat="1" applyFont="1" applyAlignment="1">
      <alignment horizontal="left" vertical="top"/>
    </xf>
    <xf numFmtId="0" fontId="70" fillId="0" borderId="0" xfId="55" applyFont="1"/>
    <xf numFmtId="0" fontId="70" fillId="0" borderId="0" xfId="55" applyFont="1" applyAlignment="1">
      <alignment horizontal="center"/>
    </xf>
    <xf numFmtId="0" fontId="73" fillId="0" borderId="0" xfId="55" applyFont="1"/>
    <xf numFmtId="0" fontId="67" fillId="0" borderId="2" xfId="55" applyFont="1" applyBorder="1" applyAlignment="1">
      <alignment horizontal="center" vertical="center"/>
    </xf>
    <xf numFmtId="15" fontId="68" fillId="0" borderId="2" xfId="55" applyNumberFormat="1" applyFont="1" applyBorder="1" applyAlignment="1">
      <alignment horizontal="center" vertical="center"/>
    </xf>
    <xf numFmtId="0" fontId="67" fillId="0" borderId="0" xfId="55" applyFont="1" applyAlignment="1">
      <alignment horizontal="center" vertical="center"/>
    </xf>
    <xf numFmtId="0" fontId="71" fillId="0" borderId="2" xfId="55" applyFont="1" applyBorder="1" applyAlignment="1">
      <alignment vertical="center" wrapText="1"/>
    </xf>
    <xf numFmtId="0" fontId="71" fillId="0" borderId="2" xfId="55" applyFont="1" applyBorder="1" applyAlignment="1">
      <alignment horizontal="center" vertical="top" wrapText="1"/>
    </xf>
    <xf numFmtId="0" fontId="73" fillId="0" borderId="2" xfId="55" applyFont="1" applyBorder="1" applyAlignment="1">
      <alignment horizontal="center" vertical="center" wrapText="1"/>
    </xf>
    <xf numFmtId="0" fontId="98" fillId="0" borderId="2" xfId="55" applyFont="1" applyBorder="1" applyAlignment="1">
      <alignment horizontal="center" vertical="center" wrapText="1"/>
    </xf>
    <xf numFmtId="0" fontId="71" fillId="0" borderId="0" xfId="55" applyFont="1" applyAlignment="1">
      <alignment vertical="top" wrapText="1"/>
    </xf>
    <xf numFmtId="0" fontId="71" fillId="0" borderId="0" xfId="55" applyFont="1" applyAlignment="1">
      <alignment horizontal="center" vertical="top" wrapText="1"/>
    </xf>
    <xf numFmtId="0" fontId="73" fillId="0" borderId="0" xfId="55" applyFont="1" applyAlignment="1">
      <alignment vertical="top" wrapText="1"/>
    </xf>
    <xf numFmtId="14" fontId="71" fillId="0" borderId="0" xfId="55" applyNumberFormat="1" applyFont="1" applyAlignment="1">
      <alignment horizontal="center" vertical="top" wrapText="1"/>
    </xf>
    <xf numFmtId="0" fontId="67" fillId="0" borderId="0" xfId="55" applyFont="1"/>
    <xf numFmtId="14" fontId="70" fillId="0" borderId="0" xfId="55" applyNumberFormat="1" applyFont="1" applyAlignment="1">
      <alignment horizontal="center"/>
    </xf>
    <xf numFmtId="0" fontId="71" fillId="0" borderId="0" xfId="55" applyFont="1" applyAlignment="1">
      <alignment horizontal="left" vertical="center" wrapText="1"/>
    </xf>
    <xf numFmtId="0" fontId="70" fillId="0" borderId="0" xfId="55" applyFont="1" applyAlignment="1">
      <alignment horizontal="left" vertical="center"/>
    </xf>
    <xf numFmtId="0" fontId="73" fillId="0" borderId="0" xfId="55" applyFont="1" applyAlignment="1">
      <alignment wrapText="1"/>
    </xf>
    <xf numFmtId="14" fontId="71" fillId="0" borderId="0" xfId="55" applyNumberFormat="1" applyFont="1" applyAlignment="1">
      <alignment horizontal="center" wrapText="1"/>
    </xf>
    <xf numFmtId="0" fontId="73" fillId="33" borderId="0" xfId="55" applyFont="1" applyFill="1"/>
    <xf numFmtId="15" fontId="68" fillId="33" borderId="2" xfId="55" applyNumberFormat="1" applyFont="1" applyFill="1" applyBorder="1" applyAlignment="1">
      <alignment horizontal="center" vertical="center"/>
    </xf>
    <xf numFmtId="0" fontId="73" fillId="33" borderId="2" xfId="55" applyFont="1" applyFill="1" applyBorder="1" applyAlignment="1">
      <alignment horizontal="center" vertical="center" wrapText="1"/>
    </xf>
    <xf numFmtId="0" fontId="69" fillId="0" borderId="5" xfId="0" applyFont="1" applyBorder="1" applyAlignment="1">
      <alignment horizontal="center" vertical="center"/>
    </xf>
    <xf numFmtId="167" fontId="69" fillId="0" borderId="3" xfId="0" applyNumberFormat="1" applyFont="1" applyBorder="1" applyAlignment="1">
      <alignment horizontal="center" vertical="center"/>
    </xf>
    <xf numFmtId="0" fontId="69" fillId="0" borderId="3" xfId="0" applyFont="1" applyBorder="1" applyAlignment="1">
      <alignment horizontal="center" vertical="center"/>
    </xf>
    <xf numFmtId="10" fontId="69" fillId="0" borderId="3" xfId="0" applyNumberFormat="1" applyFont="1" applyBorder="1" applyAlignment="1">
      <alignment horizontal="center" vertical="center"/>
    </xf>
    <xf numFmtId="0" fontId="68" fillId="0" borderId="36" xfId="0" applyFont="1" applyBorder="1" applyAlignment="1">
      <alignment vertical="center"/>
    </xf>
    <xf numFmtId="0" fontId="69" fillId="0" borderId="36" xfId="0" applyFont="1" applyBorder="1" applyAlignment="1">
      <alignment horizontal="center" vertical="center"/>
    </xf>
    <xf numFmtId="10" fontId="69" fillId="0" borderId="36" xfId="0" applyNumberFormat="1" applyFont="1" applyBorder="1" applyAlignment="1">
      <alignment horizontal="center" vertical="center"/>
    </xf>
    <xf numFmtId="167" fontId="69" fillId="0" borderId="36" xfId="0" applyNumberFormat="1" applyFont="1" applyBorder="1" applyAlignment="1">
      <alignment horizontal="center" vertical="center"/>
    </xf>
    <xf numFmtId="0" fontId="69" fillId="0" borderId="36" xfId="0" applyFont="1" applyBorder="1" applyAlignment="1">
      <alignment vertical="center"/>
    </xf>
    <xf numFmtId="0" fontId="67" fillId="0" borderId="36" xfId="0" applyFont="1" applyBorder="1" applyAlignment="1">
      <alignment vertical="center"/>
    </xf>
    <xf numFmtId="0" fontId="70" fillId="0" borderId="36" xfId="0" applyFont="1" applyBorder="1" applyAlignment="1">
      <alignment horizontal="center" vertical="center"/>
    </xf>
    <xf numFmtId="167" fontId="70" fillId="0" borderId="36" xfId="0" applyNumberFormat="1" applyFont="1" applyBorder="1" applyAlignment="1">
      <alignment horizontal="center" vertical="center"/>
    </xf>
    <xf numFmtId="0" fontId="67" fillId="0" borderId="39" xfId="0" applyFont="1" applyBorder="1" applyAlignment="1">
      <alignment vertical="center"/>
    </xf>
    <xf numFmtId="0" fontId="70" fillId="0" borderId="39" xfId="0" applyFont="1" applyBorder="1" applyAlignment="1">
      <alignment horizontal="center" vertical="center"/>
    </xf>
    <xf numFmtId="167" fontId="70" fillId="0" borderId="39" xfId="0" applyNumberFormat="1" applyFont="1" applyBorder="1" applyAlignment="1">
      <alignment horizontal="center" vertical="center"/>
    </xf>
    <xf numFmtId="0" fontId="67" fillId="0" borderId="40" xfId="0" applyFont="1" applyBorder="1" applyAlignment="1">
      <alignment vertical="center"/>
    </xf>
    <xf numFmtId="167" fontId="3" fillId="33" borderId="0" xfId="56" applyNumberFormat="1" applyFill="1" applyAlignment="1">
      <alignment vertical="center"/>
    </xf>
    <xf numFmtId="0" fontId="3" fillId="33" borderId="0" xfId="56" applyFill="1" applyAlignment="1">
      <alignment vertical="center"/>
    </xf>
    <xf numFmtId="0" fontId="5" fillId="0" borderId="0" xfId="60" applyFont="1" applyAlignment="1">
      <alignment vertical="center"/>
    </xf>
    <xf numFmtId="0" fontId="3" fillId="0" borderId="0" xfId="60" applyAlignment="1">
      <alignment vertical="center"/>
    </xf>
    <xf numFmtId="0" fontId="9" fillId="0" borderId="0" xfId="60" applyFont="1" applyAlignment="1">
      <alignment vertical="center"/>
    </xf>
    <xf numFmtId="0" fontId="3" fillId="0" borderId="0" xfId="59"/>
    <xf numFmtId="0" fontId="5" fillId="0" borderId="0" xfId="59" applyFont="1" applyAlignment="1">
      <alignment vertical="center"/>
    </xf>
    <xf numFmtId="0" fontId="67" fillId="0" borderId="0" xfId="0" applyFont="1" applyAlignment="1">
      <alignment horizontal="center" vertical="center" wrapText="1"/>
    </xf>
    <xf numFmtId="167" fontId="69" fillId="0" borderId="2" xfId="0" applyNumberFormat="1" applyFont="1" applyBorder="1" applyAlignment="1">
      <alignment horizontal="center" vertical="center"/>
    </xf>
    <xf numFmtId="10" fontId="69" fillId="0" borderId="2" xfId="0" applyNumberFormat="1" applyFont="1" applyBorder="1" applyAlignment="1">
      <alignment horizontal="center" vertical="center"/>
    </xf>
    <xf numFmtId="0" fontId="69" fillId="33" borderId="4" xfId="0" applyFont="1" applyFill="1" applyBorder="1" applyAlignment="1">
      <alignment horizontal="center" vertical="center"/>
    </xf>
    <xf numFmtId="0" fontId="69" fillId="33" borderId="4" xfId="0" applyFont="1" applyFill="1" applyBorder="1" applyAlignment="1">
      <alignment vertical="center"/>
    </xf>
    <xf numFmtId="0" fontId="69" fillId="33" borderId="15" xfId="0" applyFont="1" applyFill="1" applyBorder="1" applyAlignment="1">
      <alignment horizontal="center" vertical="center"/>
    </xf>
    <xf numFmtId="0" fontId="69" fillId="33" borderId="2" xfId="0" applyFont="1" applyFill="1" applyBorder="1" applyAlignment="1">
      <alignment vertical="center"/>
    </xf>
    <xf numFmtId="167" fontId="69" fillId="33" borderId="12" xfId="0" applyNumberFormat="1" applyFont="1" applyFill="1" applyBorder="1" applyAlignment="1">
      <alignment horizontal="center" vertical="center"/>
    </xf>
    <xf numFmtId="0" fontId="69" fillId="33" borderId="12" xfId="0" applyFont="1" applyFill="1" applyBorder="1" applyAlignment="1">
      <alignment horizontal="center" vertical="center"/>
    </xf>
    <xf numFmtId="10" fontId="69" fillId="33" borderId="12" xfId="0" applyNumberFormat="1" applyFont="1" applyFill="1" applyBorder="1" applyAlignment="1">
      <alignment horizontal="center" vertical="center"/>
    </xf>
    <xf numFmtId="0" fontId="69" fillId="0" borderId="12" xfId="0" applyFont="1" applyBorder="1" applyAlignment="1">
      <alignment vertical="center"/>
    </xf>
    <xf numFmtId="0" fontId="71" fillId="0" borderId="0" xfId="55" applyFont="1" applyAlignment="1">
      <alignment vertical="center" wrapText="1"/>
    </xf>
    <xf numFmtId="14" fontId="71" fillId="0" borderId="0" xfId="55" applyNumberFormat="1" applyFont="1" applyAlignment="1">
      <alignment horizontal="center" vertical="center" wrapText="1"/>
    </xf>
    <xf numFmtId="2" fontId="71" fillId="0" borderId="0" xfId="58" applyNumberFormat="1" applyFont="1" applyAlignment="1">
      <alignment vertical="center"/>
    </xf>
    <xf numFmtId="0" fontId="71" fillId="0" borderId="0" xfId="46" applyFont="1" applyAlignment="1">
      <alignment horizontal="center" vertical="top"/>
    </xf>
    <xf numFmtId="0" fontId="71" fillId="0" borderId="0" xfId="46" applyFont="1"/>
    <xf numFmtId="0" fontId="71" fillId="0" borderId="0" xfId="46" applyFont="1" applyAlignment="1">
      <alignment horizontal="right"/>
    </xf>
    <xf numFmtId="0" fontId="71" fillId="0" borderId="0" xfId="50" applyFont="1" applyAlignment="1">
      <alignment horizontal="justify" vertical="top" wrapText="1"/>
    </xf>
    <xf numFmtId="0" fontId="67" fillId="0" borderId="12" xfId="0" applyFont="1" applyBorder="1" applyAlignment="1">
      <alignment vertical="center"/>
    </xf>
    <xf numFmtId="0" fontId="69" fillId="33" borderId="2" xfId="0" applyFont="1" applyFill="1" applyBorder="1" applyAlignment="1">
      <alignment horizontal="center" vertical="center"/>
    </xf>
    <xf numFmtId="167" fontId="69" fillId="33" borderId="2" xfId="0" applyNumberFormat="1" applyFont="1" applyFill="1" applyBorder="1" applyAlignment="1">
      <alignment horizontal="center" vertical="center"/>
    </xf>
    <xf numFmtId="10" fontId="69" fillId="33" borderId="2" xfId="0" applyNumberFormat="1" applyFont="1" applyFill="1" applyBorder="1" applyAlignment="1">
      <alignment horizontal="center" vertical="center"/>
    </xf>
    <xf numFmtId="0" fontId="66" fillId="33" borderId="2" xfId="0" applyFont="1" applyFill="1" applyBorder="1" applyAlignment="1">
      <alignment vertical="center"/>
    </xf>
    <xf numFmtId="0" fontId="66" fillId="33" borderId="4" xfId="0" applyFont="1" applyFill="1" applyBorder="1" applyAlignment="1">
      <alignment vertical="center"/>
    </xf>
    <xf numFmtId="0" fontId="68" fillId="0" borderId="12" xfId="0" applyFont="1" applyBorder="1" applyAlignment="1">
      <alignment vertical="center"/>
    </xf>
    <xf numFmtId="0" fontId="97" fillId="0" borderId="2" xfId="0" applyFont="1" applyBorder="1" applyAlignment="1">
      <alignment vertical="center"/>
    </xf>
    <xf numFmtId="0" fontId="66" fillId="0" borderId="4" xfId="0" applyFont="1" applyBorder="1" applyAlignment="1">
      <alignment vertical="center"/>
    </xf>
    <xf numFmtId="14" fontId="0" fillId="0" borderId="0" xfId="0" applyNumberFormat="1" applyAlignment="1">
      <alignment horizontal="center"/>
    </xf>
    <xf numFmtId="0" fontId="15" fillId="0" borderId="0" xfId="0" applyFont="1"/>
    <xf numFmtId="14" fontId="70" fillId="0" borderId="0" xfId="0" applyNumberFormat="1" applyFont="1" applyAlignment="1">
      <alignment horizontal="center" vertical="center"/>
    </xf>
    <xf numFmtId="17" fontId="70" fillId="0" borderId="0" xfId="0" applyNumberFormat="1" applyFont="1" applyAlignment="1">
      <alignment horizontal="center" vertical="center"/>
    </xf>
    <xf numFmtId="0" fontId="0" fillId="0" borderId="0" xfId="0" pivotButton="1"/>
    <xf numFmtId="17" fontId="0" fillId="0" borderId="0" xfId="0" applyNumberFormat="1" applyAlignment="1">
      <alignment horizontal="left"/>
    </xf>
    <xf numFmtId="0" fontId="15" fillId="0" borderId="2" xfId="0" applyFont="1" applyBorder="1"/>
    <xf numFmtId="0" fontId="0" fillId="0" borderId="2" xfId="0" applyBorder="1"/>
    <xf numFmtId="17" fontId="0" fillId="0" borderId="2" xfId="0" applyNumberFormat="1" applyBorder="1"/>
    <xf numFmtId="0" fontId="103" fillId="0" borderId="2" xfId="0" applyFont="1" applyBorder="1"/>
    <xf numFmtId="14" fontId="0" fillId="0" borderId="0" xfId="0" applyNumberFormat="1"/>
    <xf numFmtId="0" fontId="3" fillId="0" borderId="0" xfId="58" applyAlignment="1">
      <alignment horizontal="left" vertical="center"/>
    </xf>
    <xf numFmtId="15" fontId="71" fillId="0" borderId="0" xfId="63" applyNumberFormat="1" applyFont="1" applyAlignment="1">
      <alignment horizontal="left"/>
    </xf>
    <xf numFmtId="0" fontId="73" fillId="0" borderId="0" xfId="59" applyFont="1" applyAlignment="1">
      <alignment horizontal="center" vertical="top"/>
    </xf>
    <xf numFmtId="0" fontId="71" fillId="0" borderId="0" xfId="59" applyFont="1" applyAlignment="1">
      <alignment horizontal="left" vertical="top" wrapText="1"/>
    </xf>
    <xf numFmtId="0" fontId="69" fillId="33" borderId="3" xfId="0" applyFont="1" applyFill="1" applyBorder="1" applyAlignment="1">
      <alignment vertical="center"/>
    </xf>
    <xf numFmtId="0" fontId="69" fillId="33" borderId="0" xfId="0" applyFont="1" applyFill="1"/>
    <xf numFmtId="0" fontId="69" fillId="0" borderId="19" xfId="0" applyFont="1" applyBorder="1" applyAlignment="1">
      <alignment horizontal="center" vertical="center"/>
    </xf>
    <xf numFmtId="167" fontId="69" fillId="0" borderId="20" xfId="0" applyNumberFormat="1" applyFont="1" applyBorder="1" applyAlignment="1">
      <alignment horizontal="center" vertical="center"/>
    </xf>
    <xf numFmtId="0" fontId="66" fillId="0" borderId="3" xfId="0" applyFont="1" applyBorder="1" applyAlignment="1">
      <alignment vertical="center"/>
    </xf>
    <xf numFmtId="0" fontId="66" fillId="33" borderId="2" xfId="0" applyFont="1" applyFill="1" applyBorder="1" applyAlignment="1">
      <alignment horizontal="center" vertical="center"/>
    </xf>
    <xf numFmtId="167" fontId="66" fillId="33" borderId="2" xfId="0" applyNumberFormat="1" applyFont="1" applyFill="1" applyBorder="1" applyAlignment="1">
      <alignment horizontal="center" vertical="center"/>
    </xf>
    <xf numFmtId="14" fontId="71" fillId="0" borderId="0" xfId="55" applyNumberFormat="1" applyFont="1" applyAlignment="1">
      <alignment vertical="center" wrapText="1"/>
    </xf>
    <xf numFmtId="2" fontId="71" fillId="0" borderId="0" xfId="55" applyNumberFormat="1" applyFont="1" applyAlignment="1">
      <alignment vertical="center" wrapText="1"/>
    </xf>
    <xf numFmtId="14" fontId="71" fillId="0" borderId="0" xfId="55" applyNumberFormat="1" applyFont="1" applyAlignment="1">
      <alignment horizontal="left" vertical="center" wrapText="1"/>
    </xf>
    <xf numFmtId="0" fontId="95" fillId="0" borderId="15" xfId="0" applyFont="1" applyBorder="1" applyAlignment="1">
      <alignment horizontal="center" vertical="center"/>
    </xf>
    <xf numFmtId="0" fontId="95" fillId="0" borderId="19" xfId="0" applyFont="1" applyBorder="1" applyAlignment="1">
      <alignment horizontal="center" vertical="center"/>
    </xf>
    <xf numFmtId="0" fontId="95" fillId="0" borderId="20" xfId="0" applyFont="1" applyBorder="1" applyAlignment="1">
      <alignment horizontal="center" vertical="center"/>
    </xf>
    <xf numFmtId="0" fontId="79" fillId="0" borderId="21" xfId="0" applyFont="1" applyBorder="1" applyAlignment="1">
      <alignment horizontal="center" vertical="center"/>
    </xf>
    <xf numFmtId="0" fontId="79" fillId="0" borderId="7" xfId="0" applyFont="1" applyBorder="1" applyAlignment="1">
      <alignment horizontal="center" vertical="center"/>
    </xf>
    <xf numFmtId="0" fontId="79" fillId="0" borderId="8" xfId="0" applyFont="1" applyBorder="1" applyAlignment="1">
      <alignment horizontal="center" vertical="center"/>
    </xf>
    <xf numFmtId="2" fontId="67" fillId="0" borderId="0" xfId="0" applyNumberFormat="1" applyFont="1" applyAlignment="1">
      <alignment horizontal="center" vertical="center"/>
    </xf>
    <xf numFmtId="2" fontId="70" fillId="0" borderId="0" xfId="0" applyNumberFormat="1" applyFont="1" applyAlignment="1">
      <alignment horizontal="center" vertical="center"/>
    </xf>
    <xf numFmtId="0" fontId="70" fillId="0" borderId="0" xfId="0" applyFont="1" applyAlignment="1">
      <alignment horizontal="center" vertical="center"/>
    </xf>
    <xf numFmtId="0" fontId="9" fillId="0" borderId="5" xfId="63" applyFont="1" applyBorder="1" applyAlignment="1">
      <alignment horizontal="left" vertical="center" wrapText="1"/>
    </xf>
    <xf numFmtId="0" fontId="9" fillId="0" borderId="5" xfId="63" applyFont="1" applyBorder="1" applyAlignment="1">
      <alignment horizontal="center" vertical="center"/>
    </xf>
    <xf numFmtId="0" fontId="3" fillId="0" borderId="5" xfId="56" applyBorder="1" applyAlignment="1">
      <alignment horizontal="center" vertical="center" wrapText="1"/>
    </xf>
    <xf numFmtId="171" fontId="5" fillId="0" borderId="0" xfId="56" applyNumberFormat="1" applyFont="1" applyAlignment="1">
      <alignment horizontal="left" vertical="center"/>
    </xf>
    <xf numFmtId="0" fontId="9" fillId="0" borderId="0" xfId="59" applyFont="1" applyAlignment="1">
      <alignment horizontal="left" vertical="center" wrapText="1"/>
    </xf>
    <xf numFmtId="0" fontId="48" fillId="0" borderId="25" xfId="67" applyFont="1" applyBorder="1" applyAlignment="1">
      <alignment horizontal="center" wrapText="1"/>
    </xf>
    <xf numFmtId="0" fontId="48" fillId="0" borderId="0" xfId="67" applyFont="1" applyAlignment="1">
      <alignment horizontal="center" wrapText="1"/>
    </xf>
    <xf numFmtId="0" fontId="48" fillId="0" borderId="26" xfId="67" applyFont="1" applyBorder="1" applyAlignment="1">
      <alignment horizontal="center" wrapText="1"/>
    </xf>
    <xf numFmtId="0" fontId="0" fillId="0" borderId="25" xfId="0" quotePrefix="1" applyBorder="1" applyAlignment="1">
      <alignment horizontal="center"/>
    </xf>
    <xf numFmtId="0" fontId="0" fillId="0" borderId="0" xfId="0" quotePrefix="1" applyAlignment="1">
      <alignment horizontal="center"/>
    </xf>
    <xf numFmtId="0" fontId="0" fillId="0" borderId="26" xfId="0" quotePrefix="1" applyBorder="1" applyAlignment="1">
      <alignment horizontal="center"/>
    </xf>
    <xf numFmtId="0" fontId="12" fillId="0" borderId="25" xfId="67" applyFont="1" applyBorder="1" applyAlignment="1">
      <alignment horizontal="center"/>
    </xf>
    <xf numFmtId="0" fontId="12" fillId="0" borderId="0" xfId="67" applyFont="1" applyAlignment="1">
      <alignment horizontal="center"/>
    </xf>
    <xf numFmtId="0" fontId="12" fillId="0" borderId="26" xfId="67" applyFont="1" applyBorder="1" applyAlignment="1">
      <alignment horizontal="center"/>
    </xf>
    <xf numFmtId="0" fontId="14" fillId="0" borderId="25" xfId="66" applyFont="1" applyBorder="1" applyAlignment="1">
      <alignment horizontal="center" vertical="center" wrapText="1"/>
    </xf>
    <xf numFmtId="0" fontId="14" fillId="0" borderId="0" xfId="66" applyFont="1" applyAlignment="1">
      <alignment horizontal="center" vertical="center" wrapText="1"/>
    </xf>
    <xf numFmtId="0" fontId="14" fillId="0" borderId="26" xfId="66" applyFont="1" applyBorder="1" applyAlignment="1">
      <alignment horizontal="center" vertical="center" wrapText="1"/>
    </xf>
    <xf numFmtId="0" fontId="19" fillId="0" borderId="25" xfId="66" applyFont="1" applyBorder="1" applyAlignment="1">
      <alignment horizontal="center"/>
    </xf>
    <xf numFmtId="0" fontId="19" fillId="0" borderId="0" xfId="66" applyFont="1" applyAlignment="1">
      <alignment horizontal="center"/>
    </xf>
    <xf numFmtId="0" fontId="19" fillId="0" borderId="26" xfId="66" applyFont="1" applyBorder="1" applyAlignment="1">
      <alignment horizontal="center"/>
    </xf>
    <xf numFmtId="0" fontId="19" fillId="0" borderId="25" xfId="66" applyFont="1" applyBorder="1" applyAlignment="1">
      <alignment horizontal="center" vertical="center" wrapText="1"/>
    </xf>
    <xf numFmtId="0" fontId="19" fillId="0" borderId="0" xfId="66" applyFont="1" applyAlignment="1">
      <alignment horizontal="center" vertical="center" wrapText="1"/>
    </xf>
    <xf numFmtId="0" fontId="19" fillId="0" borderId="26" xfId="66" applyFont="1" applyBorder="1" applyAlignment="1">
      <alignment horizontal="center" vertical="center" wrapText="1"/>
    </xf>
    <xf numFmtId="0" fontId="20" fillId="0" borderId="25" xfId="0" applyFont="1" applyBorder="1" applyAlignment="1">
      <alignment horizontal="center" vertical="center" wrapText="1"/>
    </xf>
    <xf numFmtId="0" fontId="20" fillId="0" borderId="0" xfId="0" applyFont="1" applyAlignment="1">
      <alignment horizontal="center" vertical="center" wrapText="1"/>
    </xf>
    <xf numFmtId="0" fontId="20" fillId="0" borderId="26" xfId="0" applyFont="1" applyBorder="1" applyAlignment="1">
      <alignment horizontal="center" vertical="center" wrapText="1"/>
    </xf>
    <xf numFmtId="0" fontId="7" fillId="0" borderId="25" xfId="67" applyFont="1" applyBorder="1" applyAlignment="1">
      <alignment horizontal="center" vertical="center" wrapText="1"/>
    </xf>
    <xf numFmtId="0" fontId="13" fillId="0" borderId="0" xfId="67" applyFont="1" applyAlignment="1">
      <alignment horizontal="center" vertical="center" wrapText="1"/>
    </xf>
    <xf numFmtId="0" fontId="13" fillId="0" borderId="26" xfId="67" applyFont="1" applyBorder="1" applyAlignment="1">
      <alignment horizontal="center" vertical="center" wrapText="1"/>
    </xf>
    <xf numFmtId="0" fontId="13" fillId="0" borderId="25" xfId="67" applyFont="1" applyBorder="1" applyAlignment="1">
      <alignment horizontal="center" vertical="center" wrapText="1"/>
    </xf>
    <xf numFmtId="0" fontId="21" fillId="0" borderId="25" xfId="45" applyFont="1" applyBorder="1" applyAlignment="1">
      <alignment horizontal="center"/>
    </xf>
    <xf numFmtId="0" fontId="21" fillId="0" borderId="0" xfId="45" applyFont="1" applyAlignment="1">
      <alignment horizontal="center"/>
    </xf>
    <xf numFmtId="0" fontId="21" fillId="0" borderId="26" xfId="45" applyFont="1" applyBorder="1" applyAlignment="1">
      <alignment horizontal="center"/>
    </xf>
    <xf numFmtId="0" fontId="35" fillId="0" borderId="0" xfId="65" applyFont="1" applyAlignment="1">
      <alignment horizontal="center"/>
    </xf>
    <xf numFmtId="0" fontId="69" fillId="0" borderId="0" xfId="53" applyFont="1" applyAlignment="1">
      <alignment horizontal="justify" vertical="top" wrapText="1"/>
    </xf>
    <xf numFmtId="0" fontId="3" fillId="0" borderId="0" xfId="53" applyAlignment="1">
      <alignment horizontal="justify" vertical="top" wrapText="1"/>
    </xf>
    <xf numFmtId="171" fontId="69" fillId="0" borderId="0" xfId="53" applyNumberFormat="1" applyFont="1" applyAlignment="1">
      <alignment horizontal="left" vertical="top"/>
    </xf>
    <xf numFmtId="0" fontId="5" fillId="0" borderId="0" xfId="65" applyAlignment="1">
      <alignment horizontal="center"/>
    </xf>
    <xf numFmtId="0" fontId="22" fillId="0" borderId="0" xfId="65" applyFont="1" applyAlignment="1">
      <alignment horizontal="center" vertical="top" wrapText="1"/>
    </xf>
    <xf numFmtId="0" fontId="23" fillId="0" borderId="0" xfId="65" applyFont="1" applyAlignment="1">
      <alignment horizontal="center" vertical="center"/>
    </xf>
    <xf numFmtId="0" fontId="73" fillId="0" borderId="7" xfId="65" applyFont="1" applyBorder="1" applyAlignment="1">
      <alignment horizontal="center"/>
    </xf>
    <xf numFmtId="22" fontId="5" fillId="0" borderId="0" xfId="65" quotePrefix="1" applyNumberFormat="1" applyAlignment="1">
      <alignment horizontal="left" vertical="top"/>
    </xf>
    <xf numFmtId="22" fontId="5" fillId="0" borderId="0" xfId="65" applyNumberFormat="1" applyAlignment="1">
      <alignment horizontal="left" vertical="top"/>
    </xf>
    <xf numFmtId="0" fontId="93" fillId="0" borderId="0" xfId="53" applyFont="1" applyAlignment="1">
      <alignment horizontal="justify" vertical="top" wrapText="1"/>
    </xf>
    <xf numFmtId="0" fontId="68" fillId="0" borderId="0" xfId="53" applyFont="1" applyAlignment="1">
      <alignment horizontal="justify" vertical="top" wrapText="1"/>
    </xf>
    <xf numFmtId="22" fontId="5" fillId="0" borderId="0" xfId="65" quotePrefix="1" applyNumberFormat="1" applyAlignment="1">
      <alignment horizontal="left"/>
    </xf>
    <xf numFmtId="22" fontId="5" fillId="0" borderId="0" xfId="65" applyNumberFormat="1" applyAlignment="1">
      <alignment horizontal="left"/>
    </xf>
    <xf numFmtId="0" fontId="69" fillId="0" borderId="0" xfId="49" applyFont="1" applyAlignment="1">
      <alignment horizontal="justify" vertical="top" wrapText="1"/>
    </xf>
    <xf numFmtId="0" fontId="78" fillId="0" borderId="0" xfId="49" applyFont="1" applyAlignment="1">
      <alignment horizontal="justify" vertical="top" wrapText="1"/>
    </xf>
    <xf numFmtId="0" fontId="69" fillId="0" borderId="0" xfId="49" applyFont="1" applyAlignment="1">
      <alignment horizontal="justify" vertical="center" wrapText="1"/>
    </xf>
    <xf numFmtId="0" fontId="30" fillId="0" borderId="0" xfId="49" applyFont="1" applyAlignment="1">
      <alignment horizontal="center"/>
    </xf>
    <xf numFmtId="0" fontId="31" fillId="0" borderId="0" xfId="49" applyFont="1" applyAlignment="1">
      <alignment horizontal="center"/>
    </xf>
    <xf numFmtId="0" fontId="99" fillId="0" borderId="0" xfId="49" applyFont="1" applyAlignment="1">
      <alignment horizontal="left" vertical="center" wrapText="1"/>
    </xf>
    <xf numFmtId="171" fontId="69" fillId="0" borderId="0" xfId="49" applyNumberFormat="1" applyFont="1" applyAlignment="1">
      <alignment horizontal="left" vertical="center"/>
    </xf>
    <xf numFmtId="0" fontId="71" fillId="0" borderId="0" xfId="63" applyFont="1" applyAlignment="1">
      <alignment horizontal="left" vertical="top" wrapText="1"/>
    </xf>
    <xf numFmtId="0" fontId="71" fillId="0" borderId="15" xfId="63" applyFont="1" applyBorder="1" applyAlignment="1">
      <alignment horizontal="center" vertical="center" wrapText="1"/>
    </xf>
    <xf numFmtId="0" fontId="71" fillId="0" borderId="19" xfId="63" applyFont="1" applyBorder="1" applyAlignment="1">
      <alignment horizontal="center" vertical="center" wrapText="1"/>
    </xf>
    <xf numFmtId="0" fontId="71" fillId="0" borderId="20" xfId="63" applyFont="1" applyBorder="1" applyAlignment="1">
      <alignment horizontal="center" vertical="center" wrapText="1"/>
    </xf>
    <xf numFmtId="0" fontId="71" fillId="0" borderId="5" xfId="63" applyFont="1" applyBorder="1" applyAlignment="1">
      <alignment horizontal="center" vertical="center" wrapText="1"/>
    </xf>
    <xf numFmtId="0" fontId="71" fillId="0" borderId="0" xfId="63" applyFont="1" applyAlignment="1">
      <alignment horizontal="center" vertical="center" wrapText="1"/>
    </xf>
    <xf numFmtId="0" fontId="71" fillId="0" borderId="6" xfId="63" applyFont="1" applyBorder="1" applyAlignment="1">
      <alignment horizontal="center" vertical="center" wrapText="1"/>
    </xf>
    <xf numFmtId="0" fontId="71" fillId="0" borderId="21" xfId="63" applyFont="1" applyBorder="1" applyAlignment="1">
      <alignment horizontal="center" vertical="center" wrapText="1"/>
    </xf>
    <xf numFmtId="0" fontId="71" fillId="0" borderId="7" xfId="63" applyFont="1" applyBorder="1" applyAlignment="1">
      <alignment horizontal="center" vertical="center" wrapText="1"/>
    </xf>
    <xf numFmtId="0" fontId="71" fillId="0" borderId="8" xfId="63" applyFont="1" applyBorder="1" applyAlignment="1">
      <alignment horizontal="center" vertical="center" wrapText="1"/>
    </xf>
    <xf numFmtId="0" fontId="71" fillId="0" borderId="0" xfId="63" applyFont="1" applyAlignment="1">
      <alignment horizontal="left" vertical="top"/>
    </xf>
    <xf numFmtId="0" fontId="71" fillId="0" borderId="0" xfId="63" applyFont="1" applyAlignment="1">
      <alignment horizontal="left" vertical="center" wrapText="1"/>
    </xf>
    <xf numFmtId="0" fontId="71" fillId="0" borderId="0" xfId="63" quotePrefix="1" applyFont="1" applyAlignment="1">
      <alignment vertical="top" wrapText="1"/>
    </xf>
    <xf numFmtId="0" fontId="71" fillId="0" borderId="0" xfId="0" applyFont="1" applyAlignment="1">
      <alignment vertical="top" wrapText="1"/>
    </xf>
    <xf numFmtId="0" fontId="73" fillId="0" borderId="0" xfId="63" applyFont="1" applyAlignment="1">
      <alignment horizontal="left" vertical="top"/>
    </xf>
    <xf numFmtId="0" fontId="71" fillId="0" borderId="0" xfId="63" applyFont="1" applyAlignment="1">
      <alignment vertical="top" wrapText="1"/>
    </xf>
    <xf numFmtId="0" fontId="71" fillId="0" borderId="0" xfId="63" applyFont="1" applyAlignment="1">
      <alignment horizontal="justify" vertical="top" wrapText="1"/>
    </xf>
    <xf numFmtId="0" fontId="71" fillId="0" borderId="0" xfId="63" quotePrefix="1" applyFont="1" applyAlignment="1">
      <alignment horizontal="justify" vertical="top" wrapText="1"/>
    </xf>
    <xf numFmtId="0" fontId="69" fillId="0" borderId="0" xfId="63" applyFont="1" applyAlignment="1">
      <alignment horizontal="justify" vertical="top" wrapText="1"/>
    </xf>
    <xf numFmtId="171" fontId="71" fillId="0" borderId="0" xfId="63" applyNumberFormat="1" applyFont="1" applyAlignment="1">
      <alignment horizontal="left"/>
    </xf>
    <xf numFmtId="0" fontId="90" fillId="0" borderId="0" xfId="63" applyFont="1" applyAlignment="1">
      <alignment horizontal="left" vertical="top" wrapText="1"/>
    </xf>
    <xf numFmtId="0" fontId="69" fillId="0" borderId="0" xfId="63" applyFont="1" applyAlignment="1">
      <alignment horizontal="left" vertical="top" wrapText="1"/>
    </xf>
    <xf numFmtId="0" fontId="67" fillId="0" borderId="0" xfId="63" applyFont="1" applyAlignment="1">
      <alignment horizontal="center"/>
    </xf>
    <xf numFmtId="0" fontId="71" fillId="0" borderId="0" xfId="63" applyFont="1" applyAlignment="1">
      <alignment horizontal="center"/>
    </xf>
    <xf numFmtId="170" fontId="71" fillId="0" borderId="0" xfId="63" applyNumberFormat="1" applyFont="1" applyAlignment="1">
      <alignment horizontal="left"/>
    </xf>
    <xf numFmtId="0" fontId="9" fillId="0" borderId="0" xfId="63" applyFont="1" applyAlignment="1">
      <alignment horizontal="left" vertical="top"/>
    </xf>
    <xf numFmtId="0" fontId="10" fillId="0" borderId="0" xfId="63" applyFont="1" applyAlignment="1">
      <alignment horizontal="left" vertical="top" wrapText="1"/>
    </xf>
    <xf numFmtId="0" fontId="71" fillId="0" borderId="2" xfId="63" applyFont="1" applyBorder="1" applyAlignment="1">
      <alignment horizontal="center" vertical="top" wrapText="1"/>
    </xf>
    <xf numFmtId="0" fontId="71" fillId="0" borderId="15" xfId="63" applyFont="1" applyBorder="1" applyAlignment="1">
      <alignment horizontal="center" vertical="top" wrapText="1"/>
    </xf>
    <xf numFmtId="0" fontId="71" fillId="0" borderId="20" xfId="63" applyFont="1" applyBorder="1" applyAlignment="1">
      <alignment horizontal="center" vertical="top" wrapText="1"/>
    </xf>
    <xf numFmtId="0" fontId="71" fillId="0" borderId="5" xfId="63" applyFont="1" applyBorder="1" applyAlignment="1">
      <alignment horizontal="center" vertical="top" wrapText="1"/>
    </xf>
    <xf numFmtId="0" fontId="71" fillId="0" borderId="6" xfId="63" applyFont="1" applyBorder="1" applyAlignment="1">
      <alignment horizontal="center" vertical="top" wrapText="1"/>
    </xf>
    <xf numFmtId="0" fontId="71" fillId="0" borderId="21" xfId="63" applyFont="1" applyBorder="1" applyAlignment="1">
      <alignment horizontal="center" vertical="top" wrapText="1"/>
    </xf>
    <xf numFmtId="0" fontId="71" fillId="0" borderId="8" xfId="63" applyFont="1" applyBorder="1" applyAlignment="1">
      <alignment horizontal="center" vertical="top" wrapText="1"/>
    </xf>
    <xf numFmtId="0" fontId="71" fillId="0" borderId="30" xfId="63" applyFont="1" applyBorder="1" applyAlignment="1">
      <alignment horizontal="center"/>
    </xf>
    <xf numFmtId="0" fontId="71" fillId="0" borderId="9" xfId="63" applyFont="1" applyBorder="1" applyAlignment="1">
      <alignment horizontal="center"/>
    </xf>
    <xf numFmtId="0" fontId="0" fillId="0" borderId="0" xfId="0" applyAlignment="1">
      <alignment horizontal="justify" vertical="top" wrapText="1"/>
    </xf>
    <xf numFmtId="0" fontId="100" fillId="0" borderId="0" xfId="63" applyFont="1" applyAlignment="1">
      <alignment horizontal="center"/>
    </xf>
    <xf numFmtId="0" fontId="69" fillId="0" borderId="0" xfId="63" applyFont="1" applyAlignment="1">
      <alignment horizontal="center"/>
    </xf>
    <xf numFmtId="0" fontId="71" fillId="0" borderId="10" xfId="63" applyFont="1" applyBorder="1" applyAlignment="1">
      <alignment horizontal="center"/>
    </xf>
    <xf numFmtId="0" fontId="71" fillId="0" borderId="2" xfId="63" applyFont="1" applyBorder="1" applyAlignment="1">
      <alignment horizontal="center"/>
    </xf>
    <xf numFmtId="0" fontId="71" fillId="0" borderId="30" xfId="63" applyFont="1" applyBorder="1" applyAlignment="1">
      <alignment horizontal="center" wrapText="1"/>
    </xf>
    <xf numFmtId="0" fontId="71" fillId="0" borderId="10" xfId="63" applyFont="1" applyBorder="1" applyAlignment="1">
      <alignment horizontal="center" wrapText="1"/>
    </xf>
    <xf numFmtId="0" fontId="71" fillId="0" borderId="9" xfId="63" applyFont="1" applyBorder="1" applyAlignment="1">
      <alignment horizontal="center" wrapText="1"/>
    </xf>
    <xf numFmtId="0" fontId="71" fillId="0" borderId="0" xfId="63" applyFont="1" applyAlignment="1">
      <alignment horizontal="justify" vertical="center" wrapText="1"/>
    </xf>
    <xf numFmtId="0" fontId="71" fillId="0" borderId="0" xfId="63" applyFont="1" applyAlignment="1">
      <alignment horizontal="center" vertical="top" wrapText="1"/>
    </xf>
    <xf numFmtId="0" fontId="2" fillId="0" borderId="0" xfId="63" applyFont="1" applyAlignment="1">
      <alignment horizontal="left" vertical="top"/>
    </xf>
    <xf numFmtId="0" fontId="67" fillId="0" borderId="15" xfId="65" applyFont="1" applyBorder="1" applyAlignment="1">
      <alignment horizontal="center" vertical="top" wrapText="1"/>
    </xf>
    <xf numFmtId="0" fontId="67" fillId="0" borderId="19" xfId="65" applyFont="1" applyBorder="1" applyAlignment="1">
      <alignment horizontal="center" vertical="top" wrapText="1"/>
    </xf>
    <xf numFmtId="0" fontId="67" fillId="0" borderId="20" xfId="65" applyFont="1" applyBorder="1" applyAlignment="1">
      <alignment horizontal="center" vertical="top" wrapText="1"/>
    </xf>
    <xf numFmtId="0" fontId="69" fillId="0" borderId="5" xfId="65" applyFont="1" applyBorder="1" applyAlignment="1">
      <alignment horizontal="center" vertical="top"/>
    </xf>
    <xf numFmtId="0" fontId="69" fillId="0" borderId="0" xfId="65" applyFont="1" applyAlignment="1">
      <alignment horizontal="center" vertical="top"/>
    </xf>
    <xf numFmtId="0" fontId="69" fillId="0" borderId="6" xfId="65" applyFont="1" applyBorder="1" applyAlignment="1">
      <alignment horizontal="center" vertical="top"/>
    </xf>
    <xf numFmtId="0" fontId="69" fillId="0" borderId="21" xfId="65" applyFont="1" applyBorder="1" applyAlignment="1">
      <alignment horizontal="center" vertical="top"/>
    </xf>
    <xf numFmtId="0" fontId="69" fillId="0" borderId="7" xfId="65" applyFont="1" applyBorder="1" applyAlignment="1">
      <alignment horizontal="center" vertical="top"/>
    </xf>
    <xf numFmtId="0" fontId="69" fillId="0" borderId="8" xfId="65" applyFont="1" applyBorder="1" applyAlignment="1">
      <alignment horizontal="center" vertical="top"/>
    </xf>
    <xf numFmtId="0" fontId="68" fillId="0" borderId="15" xfId="68" applyFont="1" applyBorder="1" applyAlignment="1">
      <alignment horizontal="center" vertical="center"/>
    </xf>
    <xf numFmtId="0" fontId="68" fillId="0" borderId="19" xfId="68" applyFont="1" applyBorder="1" applyAlignment="1">
      <alignment horizontal="center" vertical="center"/>
    </xf>
    <xf numFmtId="0" fontId="68" fillId="0" borderId="20" xfId="68" applyFont="1" applyBorder="1" applyAlignment="1">
      <alignment horizontal="center" vertical="center"/>
    </xf>
    <xf numFmtId="0" fontId="68" fillId="0" borderId="21" xfId="68" applyFont="1" applyBorder="1" applyAlignment="1">
      <alignment horizontal="center" vertical="center"/>
    </xf>
    <xf numFmtId="0" fontId="68" fillId="0" borderId="7" xfId="68" applyFont="1" applyBorder="1" applyAlignment="1">
      <alignment horizontal="center" vertical="center"/>
    </xf>
    <xf numFmtId="0" fontId="68" fillId="0" borderId="8" xfId="68" applyFont="1" applyBorder="1" applyAlignment="1">
      <alignment horizontal="center" vertical="center"/>
    </xf>
    <xf numFmtId="167" fontId="68" fillId="0" borderId="0" xfId="57" applyNumberFormat="1" applyFont="1" applyAlignment="1">
      <alignment horizontal="left" vertical="center"/>
    </xf>
    <xf numFmtId="0" fontId="67" fillId="0" borderId="5" xfId="68" applyFont="1" applyBorder="1" applyAlignment="1">
      <alignment horizontal="center"/>
    </xf>
    <xf numFmtId="0" fontId="67" fillId="0" borderId="0" xfId="68" applyFont="1" applyAlignment="1">
      <alignment horizontal="center"/>
    </xf>
    <xf numFmtId="0" fontId="67" fillId="0" borderId="6" xfId="68" applyFont="1" applyBorder="1" applyAlignment="1">
      <alignment horizontal="center"/>
    </xf>
    <xf numFmtId="0" fontId="68" fillId="0" borderId="15" xfId="68" applyFont="1" applyBorder="1" applyAlignment="1">
      <alignment horizontal="center"/>
    </xf>
    <xf numFmtId="0" fontId="68" fillId="0" borderId="19" xfId="68" applyFont="1" applyBorder="1" applyAlignment="1">
      <alignment horizontal="center"/>
    </xf>
    <xf numFmtId="0" fontId="68" fillId="0" borderId="20" xfId="68" applyFont="1" applyBorder="1" applyAlignment="1">
      <alignment horizontal="center"/>
    </xf>
    <xf numFmtId="171" fontId="69" fillId="0" borderId="0" xfId="68" applyNumberFormat="1" applyFont="1" applyAlignment="1">
      <alignment horizontal="left" vertical="center"/>
    </xf>
    <xf numFmtId="0" fontId="71" fillId="0" borderId="0" xfId="50" applyFont="1" applyAlignment="1">
      <alignment horizontal="justify" vertical="top" wrapText="1"/>
    </xf>
    <xf numFmtId="0" fontId="71" fillId="0" borderId="0" xfId="58" applyFont="1" applyAlignment="1">
      <alignment horizontal="justify" vertical="top" wrapText="1"/>
    </xf>
    <xf numFmtId="0" fontId="71" fillId="0" borderId="0" xfId="59" applyFont="1" applyAlignment="1">
      <alignment horizontal="justify" vertical="top" wrapText="1"/>
    </xf>
    <xf numFmtId="0" fontId="71" fillId="0" borderId="0" xfId="59" applyFont="1" applyAlignment="1">
      <alignment horizontal="left" vertical="top" wrapText="1"/>
    </xf>
    <xf numFmtId="0" fontId="71" fillId="33" borderId="0" xfId="0" applyFont="1" applyFill="1" applyAlignment="1">
      <alignment horizontal="left" vertical="top" wrapText="1"/>
    </xf>
    <xf numFmtId="0" fontId="71" fillId="0" borderId="2" xfId="59" applyFont="1" applyBorder="1" applyAlignment="1">
      <alignment horizontal="center" vertical="center"/>
    </xf>
    <xf numFmtId="2" fontId="71" fillId="0" borderId="15" xfId="51" applyNumberFormat="1" applyFont="1" applyBorder="1" applyAlignment="1">
      <alignment horizontal="left"/>
    </xf>
    <xf numFmtId="2" fontId="71" fillId="0" borderId="19" xfId="51" applyNumberFormat="1" applyFont="1" applyBorder="1" applyAlignment="1">
      <alignment horizontal="left"/>
    </xf>
    <xf numFmtId="2" fontId="71" fillId="0" borderId="20" xfId="51" applyNumberFormat="1" applyFont="1" applyBorder="1" applyAlignment="1">
      <alignment horizontal="left"/>
    </xf>
    <xf numFmtId="168" fontId="71" fillId="0" borderId="2" xfId="51" applyNumberFormat="1" applyFont="1" applyBorder="1" applyAlignment="1">
      <alignment horizontal="right" vertical="top"/>
    </xf>
    <xf numFmtId="168" fontId="71" fillId="0" borderId="2" xfId="51" applyNumberFormat="1" applyFont="1" applyBorder="1" applyAlignment="1">
      <alignment horizontal="center" vertical="top"/>
    </xf>
    <xf numFmtId="1" fontId="71" fillId="0" borderId="2" xfId="51" applyNumberFormat="1" applyFont="1" applyBorder="1" applyAlignment="1">
      <alignment horizontal="right" vertical="top"/>
    </xf>
    <xf numFmtId="0" fontId="71" fillId="0" borderId="0" xfId="60" applyFont="1" applyAlignment="1">
      <alignment horizontal="justify" vertical="top" wrapText="1"/>
    </xf>
    <xf numFmtId="0" fontId="71" fillId="0" borderId="2" xfId="51" applyFont="1" applyBorder="1" applyAlignment="1">
      <alignment horizontal="center" vertical="top"/>
    </xf>
    <xf numFmtId="0" fontId="71" fillId="0" borderId="0" xfId="58" applyFont="1" applyAlignment="1">
      <alignment horizontal="left" vertical="top" wrapText="1"/>
    </xf>
    <xf numFmtId="0" fontId="71" fillId="0" borderId="0" xfId="51" applyFont="1" applyAlignment="1">
      <alignment horizontal="justify" vertical="top" wrapText="1"/>
    </xf>
    <xf numFmtId="0" fontId="73" fillId="0" borderId="41" xfId="53" applyFont="1" applyBorder="1" applyAlignment="1">
      <alignment horizontal="center" vertical="top" wrapText="1"/>
    </xf>
    <xf numFmtId="0" fontId="73" fillId="0" borderId="42" xfId="53" applyFont="1" applyBorder="1" applyAlignment="1">
      <alignment horizontal="center" vertical="top" wrapText="1"/>
    </xf>
    <xf numFmtId="0" fontId="73" fillId="0" borderId="43" xfId="53" applyFont="1" applyBorder="1" applyAlignment="1">
      <alignment horizontal="center" vertical="top" wrapText="1"/>
    </xf>
    <xf numFmtId="0" fontId="71" fillId="0" borderId="19" xfId="50" applyFont="1" applyBorder="1" applyAlignment="1">
      <alignment horizontal="left" vertical="top"/>
    </xf>
    <xf numFmtId="0" fontId="71" fillId="0" borderId="20" xfId="50" applyFont="1" applyBorder="1" applyAlignment="1">
      <alignment horizontal="left" vertical="top"/>
    </xf>
    <xf numFmtId="0" fontId="71" fillId="0" borderId="19" xfId="50" applyFont="1" applyBorder="1" applyAlignment="1">
      <alignment horizontal="justify" vertical="top" wrapText="1"/>
    </xf>
    <xf numFmtId="0" fontId="71" fillId="0" borderId="20" xfId="50" applyFont="1" applyBorder="1" applyAlignment="1">
      <alignment horizontal="justify" vertical="top" wrapText="1"/>
    </xf>
    <xf numFmtId="0" fontId="71" fillId="0" borderId="0" xfId="50" applyFont="1" applyAlignment="1">
      <alignment horizontal="center" vertical="top" wrapText="1"/>
    </xf>
    <xf numFmtId="0" fontId="71" fillId="0" borderId="2" xfId="51" applyFont="1" applyBorder="1" applyAlignment="1">
      <alignment horizontal="justify" vertical="top" wrapText="1"/>
    </xf>
    <xf numFmtId="0" fontId="92" fillId="0" borderId="4" xfId="53" applyFont="1" applyBorder="1" applyAlignment="1">
      <alignment horizontal="left" vertical="top" wrapText="1"/>
    </xf>
    <xf numFmtId="3" fontId="71" fillId="0" borderId="4" xfId="53" applyNumberFormat="1" applyFont="1" applyBorder="1" applyAlignment="1">
      <alignment horizontal="right" vertical="top" wrapText="1"/>
    </xf>
    <xf numFmtId="0" fontId="71" fillId="0" borderId="4" xfId="53" applyFont="1" applyBorder="1" applyAlignment="1">
      <alignment horizontal="right" vertical="top" wrapText="1"/>
    </xf>
    <xf numFmtId="14" fontId="73" fillId="0" borderId="13" xfId="51" applyNumberFormat="1" applyFont="1" applyBorder="1" applyAlignment="1">
      <alignment horizontal="right" vertical="top"/>
    </xf>
    <xf numFmtId="0" fontId="73" fillId="0" borderId="13" xfId="51" applyFont="1" applyBorder="1" applyAlignment="1">
      <alignment horizontal="right" vertical="top"/>
    </xf>
    <xf numFmtId="0" fontId="73" fillId="0" borderId="44" xfId="51" applyFont="1" applyBorder="1" applyAlignment="1">
      <alignment horizontal="center" vertical="top"/>
    </xf>
    <xf numFmtId="0" fontId="73" fillId="0" borderId="45" xfId="51" applyFont="1" applyBorder="1" applyAlignment="1">
      <alignment horizontal="center" vertical="top"/>
    </xf>
    <xf numFmtId="0" fontId="73" fillId="0" borderId="51" xfId="51" applyFont="1" applyBorder="1" applyAlignment="1">
      <alignment horizontal="center" vertical="top"/>
    </xf>
    <xf numFmtId="0" fontId="73" fillId="0" borderId="2" xfId="59" applyFont="1" applyBorder="1" applyAlignment="1">
      <alignment horizontal="center" vertical="center"/>
    </xf>
    <xf numFmtId="0" fontId="71" fillId="0" borderId="2" xfId="51" applyFont="1" applyBorder="1" applyAlignment="1">
      <alignment horizontal="left" vertical="top"/>
    </xf>
    <xf numFmtId="169" fontId="71" fillId="0" borderId="2" xfId="51" applyNumberFormat="1" applyFont="1" applyBorder="1" applyAlignment="1">
      <alignment horizontal="right" vertical="top"/>
    </xf>
    <xf numFmtId="0" fontId="73" fillId="0" borderId="4" xfId="59" applyFont="1" applyBorder="1" applyAlignment="1">
      <alignment horizontal="center" vertical="center"/>
    </xf>
    <xf numFmtId="0" fontId="71" fillId="0" borderId="21" xfId="51" applyFont="1" applyBorder="1" applyAlignment="1">
      <alignment horizontal="left" vertical="top"/>
    </xf>
    <xf numFmtId="0" fontId="71" fillId="0" borderId="7" xfId="51" applyFont="1" applyBorder="1" applyAlignment="1">
      <alignment horizontal="left" vertical="top"/>
    </xf>
    <xf numFmtId="0" fontId="71" fillId="0" borderId="8" xfId="51" applyFont="1" applyBorder="1" applyAlignment="1">
      <alignment horizontal="left" vertical="top"/>
    </xf>
    <xf numFmtId="1" fontId="71" fillId="0" borderId="4" xfId="51" applyNumberFormat="1" applyFont="1" applyBorder="1" applyAlignment="1">
      <alignment horizontal="right" vertical="top"/>
    </xf>
    <xf numFmtId="0" fontId="71" fillId="0" borderId="30" xfId="51" applyFont="1" applyBorder="1" applyAlignment="1">
      <alignment horizontal="left" vertical="top"/>
    </xf>
    <xf numFmtId="0" fontId="71" fillId="0" borderId="10" xfId="51" applyFont="1" applyBorder="1" applyAlignment="1">
      <alignment horizontal="left" vertical="top"/>
    </xf>
    <xf numFmtId="0" fontId="71" fillId="0" borderId="9" xfId="51" applyFont="1" applyBorder="1" applyAlignment="1">
      <alignment horizontal="left" vertical="top"/>
    </xf>
    <xf numFmtId="0" fontId="82" fillId="0" borderId="0" xfId="51" applyFont="1" applyAlignment="1">
      <alignment horizontal="center" vertical="top"/>
    </xf>
    <xf numFmtId="0" fontId="71" fillId="0" borderId="0" xfId="53" applyFont="1"/>
    <xf numFmtId="169" fontId="71" fillId="0" borderId="4" xfId="51" applyNumberFormat="1" applyFont="1" applyBorder="1" applyAlignment="1">
      <alignment horizontal="right" vertical="top"/>
    </xf>
    <xf numFmtId="168" fontId="73" fillId="0" borderId="13" xfId="51" applyNumberFormat="1" applyFont="1" applyBorder="1" applyAlignment="1">
      <alignment horizontal="center" vertical="top"/>
    </xf>
    <xf numFmtId="0" fontId="73" fillId="0" borderId="13" xfId="51" applyFont="1" applyBorder="1" applyAlignment="1">
      <alignment horizontal="center" vertical="top"/>
    </xf>
    <xf numFmtId="168" fontId="73" fillId="0" borderId="13" xfId="51" applyNumberFormat="1" applyFont="1" applyBorder="1" applyAlignment="1">
      <alignment horizontal="right" vertical="top"/>
    </xf>
    <xf numFmtId="0" fontId="73" fillId="0" borderId="4" xfId="51" applyFont="1" applyBorder="1" applyAlignment="1">
      <alignment horizontal="center" vertical="top"/>
    </xf>
    <xf numFmtId="1" fontId="71" fillId="0" borderId="0" xfId="51" applyNumberFormat="1" applyFont="1" applyAlignment="1">
      <alignment horizontal="center" vertical="top"/>
    </xf>
    <xf numFmtId="0" fontId="73" fillId="0" borderId="44" xfId="51" applyFont="1" applyBorder="1" applyAlignment="1">
      <alignment horizontal="right" vertical="top"/>
    </xf>
    <xf numFmtId="0" fontId="73" fillId="0" borderId="45" xfId="51" applyFont="1" applyBorder="1" applyAlignment="1">
      <alignment horizontal="right" vertical="top"/>
    </xf>
    <xf numFmtId="0" fontId="73" fillId="0" borderId="46" xfId="51" applyFont="1" applyBorder="1" applyAlignment="1">
      <alignment horizontal="right" vertical="top"/>
    </xf>
    <xf numFmtId="0" fontId="71" fillId="0" borderId="2" xfId="51" applyFont="1" applyBorder="1" applyAlignment="1">
      <alignment horizontal="center" vertical="top" wrapText="1"/>
    </xf>
    <xf numFmtId="0" fontId="71" fillId="0" borderId="2" xfId="51" applyFont="1" applyBorder="1" applyAlignment="1">
      <alignment horizontal="center"/>
    </xf>
    <xf numFmtId="0" fontId="71" fillId="0" borderId="2" xfId="51" applyFont="1" applyBorder="1" applyAlignment="1">
      <alignment horizontal="left" vertical="top" wrapText="1"/>
    </xf>
    <xf numFmtId="0" fontId="94" fillId="0" borderId="36" xfId="53" applyFont="1" applyBorder="1" applyAlignment="1">
      <alignment horizontal="center" wrapText="1"/>
    </xf>
    <xf numFmtId="0" fontId="73" fillId="0" borderId="2" xfId="51" applyFont="1" applyBorder="1" applyAlignment="1">
      <alignment horizontal="center" vertical="top"/>
    </xf>
    <xf numFmtId="3" fontId="73" fillId="0" borderId="41" xfId="53" applyNumberFormat="1" applyFont="1" applyBorder="1" applyAlignment="1">
      <alignment horizontal="right" vertical="top" wrapText="1"/>
    </xf>
    <xf numFmtId="0" fontId="73" fillId="0" borderId="42" xfId="53" applyFont="1" applyBorder="1" applyAlignment="1">
      <alignment horizontal="right" vertical="top" wrapText="1"/>
    </xf>
    <xf numFmtId="0" fontId="73" fillId="0" borderId="43" xfId="53" applyFont="1" applyBorder="1" applyAlignment="1">
      <alignment horizontal="right" vertical="top" wrapText="1"/>
    </xf>
    <xf numFmtId="171" fontId="71" fillId="0" borderId="0" xfId="50" applyNumberFormat="1" applyFont="1" applyAlignment="1">
      <alignment horizontal="center" vertical="center"/>
    </xf>
    <xf numFmtId="0" fontId="73" fillId="0" borderId="50" xfId="59" applyFont="1" applyBorder="1" applyAlignment="1">
      <alignment horizontal="center" vertical="center"/>
    </xf>
    <xf numFmtId="0" fontId="73" fillId="0" borderId="13" xfId="59" applyFont="1" applyBorder="1" applyAlignment="1">
      <alignment horizontal="center" vertical="center"/>
    </xf>
    <xf numFmtId="0" fontId="68" fillId="0" borderId="47" xfId="51" applyFont="1" applyBorder="1" applyAlignment="1">
      <alignment horizontal="center" vertical="top"/>
    </xf>
    <xf numFmtId="0" fontId="68" fillId="0" borderId="48" xfId="51" applyFont="1" applyBorder="1" applyAlignment="1">
      <alignment horizontal="center" vertical="top"/>
    </xf>
    <xf numFmtId="0" fontId="68" fillId="0" borderId="49" xfId="51" applyFont="1" applyBorder="1" applyAlignment="1">
      <alignment horizontal="center" vertical="top"/>
    </xf>
    <xf numFmtId="0" fontId="73" fillId="0" borderId="52" xfId="59" applyFont="1" applyBorder="1" applyAlignment="1">
      <alignment horizontal="center" vertical="center"/>
    </xf>
    <xf numFmtId="171" fontId="71" fillId="0" borderId="0" xfId="51" applyNumberFormat="1" applyFont="1" applyAlignment="1">
      <alignment horizontal="center" vertical="center"/>
    </xf>
    <xf numFmtId="0" fontId="90" fillId="0" borderId="0" xfId="53" applyFont="1" applyAlignment="1">
      <alignment horizontal="justify" vertical="top" wrapText="1"/>
    </xf>
    <xf numFmtId="0" fontId="71" fillId="0" borderId="0" xfId="44" applyFont="1" applyAlignment="1">
      <alignment horizontal="left" vertical="center" wrapText="1"/>
    </xf>
    <xf numFmtId="168" fontId="73" fillId="0" borderId="44" xfId="51" applyNumberFormat="1" applyFont="1" applyBorder="1" applyAlignment="1">
      <alignment horizontal="right" vertical="top"/>
    </xf>
    <xf numFmtId="0" fontId="82" fillId="0" borderId="0" xfId="51" applyFont="1" applyAlignment="1">
      <alignment horizontal="center"/>
    </xf>
    <xf numFmtId="14" fontId="71" fillId="0" borderId="4" xfId="51" applyNumberFormat="1" applyFont="1" applyBorder="1" applyAlignment="1">
      <alignment horizontal="right" vertical="top"/>
    </xf>
    <xf numFmtId="0" fontId="71" fillId="0" borderId="4" xfId="51" applyFont="1" applyBorder="1" applyAlignment="1">
      <alignment horizontal="center" vertical="top"/>
    </xf>
    <xf numFmtId="0" fontId="71" fillId="0" borderId="0" xfId="50" applyFont="1" applyAlignment="1">
      <alignment horizontal="left" vertical="top" wrapText="1"/>
    </xf>
    <xf numFmtId="0" fontId="92" fillId="0" borderId="2" xfId="53" applyFont="1" applyBorder="1" applyAlignment="1">
      <alignment horizontal="left" vertical="top" wrapText="1"/>
    </xf>
    <xf numFmtId="3" fontId="71" fillId="0" borderId="2" xfId="53" applyNumberFormat="1" applyFont="1" applyBorder="1" applyAlignment="1">
      <alignment horizontal="right" vertical="top" wrapText="1"/>
    </xf>
    <xf numFmtId="0" fontId="71" fillId="0" borderId="2" xfId="53" applyFont="1" applyBorder="1" applyAlignment="1">
      <alignment horizontal="right" vertical="top" wrapText="1"/>
    </xf>
    <xf numFmtId="1" fontId="73" fillId="0" borderId="13" xfId="51" applyNumberFormat="1" applyFont="1" applyBorder="1" applyAlignment="1">
      <alignment horizontal="right" vertical="top"/>
    </xf>
    <xf numFmtId="0" fontId="73" fillId="0" borderId="0" xfId="51" applyFont="1" applyAlignment="1">
      <alignment horizontal="left" vertical="top" wrapText="1"/>
    </xf>
    <xf numFmtId="0" fontId="71" fillId="0" borderId="0" xfId="51" applyFont="1" applyAlignment="1">
      <alignment horizontal="left" vertical="top" wrapText="1"/>
    </xf>
    <xf numFmtId="0" fontId="71" fillId="0" borderId="0" xfId="51" applyFont="1" applyAlignment="1">
      <alignment horizontal="left" vertical="top"/>
    </xf>
    <xf numFmtId="0" fontId="72" fillId="0" borderId="0" xfId="51" applyFont="1" applyAlignment="1">
      <alignment horizontal="center" vertical="top"/>
    </xf>
    <xf numFmtId="0" fontId="73" fillId="0" borderId="2" xfId="51" applyFont="1" applyBorder="1" applyAlignment="1">
      <alignment horizontal="center" vertical="top" wrapText="1"/>
    </xf>
    <xf numFmtId="0" fontId="71" fillId="0" borderId="2" xfId="51" applyFont="1" applyBorder="1"/>
    <xf numFmtId="0" fontId="71" fillId="0" borderId="2" xfId="51" applyFont="1" applyBorder="1" applyAlignment="1">
      <alignment vertical="top"/>
    </xf>
    <xf numFmtId="0" fontId="71" fillId="0" borderId="2" xfId="51" applyFont="1" applyBorder="1" applyAlignment="1">
      <alignment vertical="top" wrapText="1"/>
    </xf>
    <xf numFmtId="0" fontId="71" fillId="0" borderId="2" xfId="50" applyFont="1" applyBorder="1" applyAlignment="1">
      <alignment horizontal="center" vertical="top" wrapText="1"/>
    </xf>
    <xf numFmtId="0" fontId="71" fillId="0" borderId="2" xfId="50" applyFont="1" applyBorder="1" applyAlignment="1">
      <alignment horizontal="justify" vertical="top" wrapText="1"/>
    </xf>
    <xf numFmtId="0" fontId="71" fillId="0" borderId="30" xfId="50" applyFont="1" applyBorder="1" applyAlignment="1">
      <alignment horizontal="left" vertical="top" wrapText="1"/>
    </xf>
    <xf numFmtId="0" fontId="71" fillId="0" borderId="10" xfId="50" applyFont="1" applyBorder="1" applyAlignment="1">
      <alignment horizontal="left" vertical="top" wrapText="1"/>
    </xf>
    <xf numFmtId="0" fontId="71" fillId="0" borderId="9" xfId="50" applyFont="1" applyBorder="1" applyAlignment="1">
      <alignment horizontal="left" vertical="top" wrapText="1"/>
    </xf>
    <xf numFmtId="169" fontId="71" fillId="0" borderId="53" xfId="51" applyNumberFormat="1" applyFont="1" applyBorder="1" applyAlignment="1">
      <alignment horizontal="right" vertical="top"/>
    </xf>
    <xf numFmtId="0" fontId="73" fillId="0" borderId="54" xfId="59" applyFont="1" applyBorder="1" applyAlignment="1">
      <alignment horizontal="center" vertical="center"/>
    </xf>
    <xf numFmtId="0" fontId="73" fillId="0" borderId="36" xfId="59" applyFont="1" applyBorder="1" applyAlignment="1">
      <alignment horizontal="center" vertical="center"/>
    </xf>
    <xf numFmtId="0" fontId="73" fillId="0" borderId="41" xfId="51" applyFont="1" applyBorder="1" applyAlignment="1">
      <alignment horizontal="right" vertical="top"/>
    </xf>
    <xf numFmtId="0" fontId="73" fillId="0" borderId="42" xfId="51" applyFont="1" applyBorder="1" applyAlignment="1">
      <alignment horizontal="right" vertical="top"/>
    </xf>
    <xf numFmtId="0" fontId="73" fillId="0" borderId="43" xfId="51" applyFont="1" applyBorder="1" applyAlignment="1">
      <alignment horizontal="right" vertical="top"/>
    </xf>
    <xf numFmtId="1" fontId="73" fillId="0" borderId="36" xfId="51" applyNumberFormat="1" applyFont="1" applyBorder="1" applyAlignment="1">
      <alignment horizontal="right" vertical="top"/>
    </xf>
    <xf numFmtId="169" fontId="73" fillId="0" borderId="36" xfId="51" applyNumberFormat="1" applyFont="1" applyBorder="1" applyAlignment="1">
      <alignment horizontal="right" vertical="top"/>
    </xf>
    <xf numFmtId="169" fontId="73" fillId="0" borderId="55" xfId="51" applyNumberFormat="1" applyFont="1" applyBorder="1" applyAlignment="1">
      <alignment horizontal="right" vertical="top"/>
    </xf>
    <xf numFmtId="0" fontId="68" fillId="0" borderId="21" xfId="51" applyFont="1" applyBorder="1" applyAlignment="1">
      <alignment horizontal="center" vertical="top"/>
    </xf>
    <xf numFmtId="0" fontId="68" fillId="0" borderId="7" xfId="51" applyFont="1" applyBorder="1" applyAlignment="1">
      <alignment horizontal="center" vertical="top"/>
    </xf>
    <xf numFmtId="0" fontId="68" fillId="0" borderId="8" xfId="51" applyFont="1" applyBorder="1" applyAlignment="1">
      <alignment horizontal="center" vertical="top"/>
    </xf>
    <xf numFmtId="0" fontId="73" fillId="0" borderId="12" xfId="59" applyFont="1" applyBorder="1" applyAlignment="1">
      <alignment horizontal="center" vertical="center"/>
    </xf>
    <xf numFmtId="0" fontId="71" fillId="0" borderId="15" xfId="51" applyFont="1" applyBorder="1" applyAlignment="1">
      <alignment horizontal="left" vertical="top"/>
    </xf>
    <xf numFmtId="0" fontId="71" fillId="0" borderId="19" xfId="51" applyFont="1" applyBorder="1" applyAlignment="1">
      <alignment horizontal="left" vertical="top"/>
    </xf>
    <xf numFmtId="0" fontId="71" fillId="0" borderId="20" xfId="51" applyFont="1" applyBorder="1" applyAlignment="1">
      <alignment horizontal="left" vertical="top"/>
    </xf>
    <xf numFmtId="1" fontId="71" fillId="0" borderId="12" xfId="51" applyNumberFormat="1" applyFont="1" applyBorder="1" applyAlignment="1">
      <alignment horizontal="right" vertical="top"/>
    </xf>
    <xf numFmtId="0" fontId="101" fillId="0" borderId="0" xfId="51" applyFont="1" applyAlignment="1">
      <alignment horizontal="center" wrapText="1"/>
    </xf>
    <xf numFmtId="0" fontId="73" fillId="0" borderId="13" xfId="51" applyFont="1" applyBorder="1" applyAlignment="1">
      <alignment horizontal="center" vertical="center"/>
    </xf>
    <xf numFmtId="14" fontId="73" fillId="0" borderId="13" xfId="51" applyNumberFormat="1" applyFont="1" applyBorder="1" applyAlignment="1">
      <alignment horizontal="center" vertical="center"/>
    </xf>
    <xf numFmtId="0" fontId="73" fillId="0" borderId="44" xfId="51" applyFont="1" applyBorder="1" applyAlignment="1">
      <alignment horizontal="center" vertical="center" wrapText="1"/>
    </xf>
    <xf numFmtId="0" fontId="73" fillId="0" borderId="45" xfId="51" applyFont="1" applyBorder="1" applyAlignment="1">
      <alignment horizontal="center" vertical="center" wrapText="1"/>
    </xf>
    <xf numFmtId="0" fontId="73" fillId="0" borderId="51" xfId="51" applyFont="1" applyBorder="1" applyAlignment="1">
      <alignment horizontal="center" vertical="center" wrapText="1"/>
    </xf>
    <xf numFmtId="0" fontId="71" fillId="0" borderId="36" xfId="59" applyFont="1" applyBorder="1" applyAlignment="1">
      <alignment horizontal="center" vertical="center"/>
    </xf>
    <xf numFmtId="0" fontId="69" fillId="0" borderId="0" xfId="58" applyFont="1" applyAlignment="1">
      <alignment vertical="justify" wrapText="1"/>
    </xf>
    <xf numFmtId="0" fontId="69" fillId="0" borderId="0" xfId="0" applyFont="1" applyAlignment="1">
      <alignment vertical="justify" wrapText="1"/>
    </xf>
    <xf numFmtId="0" fontId="0" fillId="0" borderId="0" xfId="0" applyAlignment="1">
      <alignment vertical="justify" wrapText="1"/>
    </xf>
    <xf numFmtId="0" fontId="71" fillId="0" borderId="12" xfId="59" applyFont="1" applyBorder="1" applyAlignment="1">
      <alignment horizontal="center" vertical="center"/>
    </xf>
    <xf numFmtId="0" fontId="94" fillId="0" borderId="41" xfId="53" applyFont="1" applyBorder="1" applyAlignment="1">
      <alignment horizontal="center" vertical="center" wrapText="1"/>
    </xf>
    <xf numFmtId="0" fontId="94" fillId="0" borderId="42" xfId="53" applyFont="1" applyBorder="1" applyAlignment="1">
      <alignment horizontal="center" vertical="center" wrapText="1"/>
    </xf>
    <xf numFmtId="0" fontId="94" fillId="0" borderId="43" xfId="53" applyFont="1" applyBorder="1" applyAlignment="1">
      <alignment horizontal="center" vertical="center" wrapText="1"/>
    </xf>
    <xf numFmtId="0" fontId="71" fillId="0" borderId="0" xfId="57" applyFont="1" applyAlignment="1">
      <alignment horizontal="justify" vertical="top" wrapText="1"/>
    </xf>
    <xf numFmtId="0" fontId="73" fillId="0" borderId="14" xfId="51" applyFont="1" applyBorder="1" applyAlignment="1">
      <alignment horizontal="center" vertical="top"/>
    </xf>
    <xf numFmtId="0" fontId="71" fillId="0" borderId="0" xfId="59" applyFont="1" applyAlignment="1">
      <alignment horizontal="center" vertical="center"/>
    </xf>
    <xf numFmtId="0" fontId="71" fillId="0" borderId="4" xfId="51" applyFont="1" applyBorder="1" applyAlignment="1">
      <alignment horizontal="left" vertical="top"/>
    </xf>
    <xf numFmtId="0" fontId="73" fillId="0" borderId="50" xfId="51" applyFont="1" applyBorder="1" applyAlignment="1">
      <alignment horizontal="center" vertical="center"/>
    </xf>
    <xf numFmtId="14" fontId="73" fillId="0" borderId="13" xfId="51" applyNumberFormat="1" applyFont="1" applyBorder="1" applyAlignment="1">
      <alignment horizontal="right" vertical="center"/>
    </xf>
    <xf numFmtId="0" fontId="73" fillId="0" borderId="13" xfId="51" applyFont="1" applyBorder="1" applyAlignment="1">
      <alignment horizontal="right" vertical="center"/>
    </xf>
    <xf numFmtId="0" fontId="73" fillId="0" borderId="46" xfId="51" applyFont="1" applyBorder="1" applyAlignment="1">
      <alignment horizontal="center" vertical="center" wrapText="1"/>
    </xf>
    <xf numFmtId="0" fontId="71" fillId="0" borderId="0" xfId="53" applyFont="1" applyAlignment="1">
      <alignment horizontal="justify" vertical="top" wrapText="1"/>
    </xf>
    <xf numFmtId="0" fontId="71" fillId="0" borderId="4" xfId="59" applyFont="1" applyBorder="1" applyAlignment="1">
      <alignment horizontal="center" vertical="center"/>
    </xf>
    <xf numFmtId="0" fontId="68" fillId="0" borderId="21" xfId="51" applyFont="1" applyBorder="1" applyAlignment="1">
      <alignment horizontal="left" vertical="top"/>
    </xf>
    <xf numFmtId="0" fontId="68" fillId="0" borderId="7" xfId="51" applyFont="1" applyBorder="1" applyAlignment="1">
      <alignment horizontal="left" vertical="top"/>
    </xf>
    <xf numFmtId="0" fontId="68" fillId="0" borderId="8" xfId="51" applyFont="1" applyBorder="1" applyAlignment="1">
      <alignment horizontal="left" vertical="top"/>
    </xf>
    <xf numFmtId="14" fontId="73" fillId="0" borderId="4" xfId="51" applyNumberFormat="1" applyFont="1" applyBorder="1" applyAlignment="1">
      <alignment horizontal="right" vertical="top"/>
    </xf>
    <xf numFmtId="0" fontId="73" fillId="0" borderId="4" xfId="51" applyFont="1" applyBorder="1" applyAlignment="1">
      <alignment horizontal="right" vertical="top"/>
    </xf>
    <xf numFmtId="0" fontId="71" fillId="0" borderId="50" xfId="59" applyFont="1" applyBorder="1" applyAlignment="1">
      <alignment horizontal="center" vertical="center"/>
    </xf>
    <xf numFmtId="0" fontId="71" fillId="0" borderId="13" xfId="59" applyFont="1" applyBorder="1" applyAlignment="1">
      <alignment horizontal="center" vertical="center"/>
    </xf>
    <xf numFmtId="0" fontId="71" fillId="0" borderId="4" xfId="51" applyFont="1" applyBorder="1" applyAlignment="1">
      <alignment horizontal="right" vertical="top"/>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169" fontId="71" fillId="0" borderId="12" xfId="51" applyNumberFormat="1" applyFont="1" applyBorder="1" applyAlignment="1">
      <alignment horizontal="right" vertical="top"/>
    </xf>
    <xf numFmtId="1" fontId="71" fillId="0" borderId="53" xfId="51" applyNumberFormat="1" applyFont="1" applyBorder="1" applyAlignment="1">
      <alignment horizontal="right" vertical="top"/>
    </xf>
    <xf numFmtId="0" fontId="79" fillId="0" borderId="0" xfId="56" applyFont="1" applyAlignment="1">
      <alignment horizontal="center" vertical="top"/>
    </xf>
    <xf numFmtId="0" fontId="68" fillId="0" borderId="0" xfId="56" applyFont="1" applyAlignment="1">
      <alignment horizontal="center" vertical="top"/>
    </xf>
    <xf numFmtId="0" fontId="69" fillId="0" borderId="0" xfId="51" applyFont="1" applyAlignment="1">
      <alignment horizontal="justify" vertical="top" wrapText="1"/>
    </xf>
    <xf numFmtId="171" fontId="69" fillId="0" borderId="0" xfId="56" applyNumberFormat="1" applyFont="1" applyAlignment="1">
      <alignment horizontal="left" vertical="top"/>
    </xf>
    <xf numFmtId="0" fontId="68" fillId="0" borderId="0" xfId="56" applyFont="1" applyAlignment="1">
      <alignment horizontal="center" vertical="top" wrapText="1"/>
    </xf>
    <xf numFmtId="0" fontId="102" fillId="0" borderId="15" xfId="0" applyFont="1" applyBorder="1" applyAlignment="1">
      <alignment horizontal="center" vertical="center"/>
    </xf>
    <xf numFmtId="0" fontId="102" fillId="0" borderId="19" xfId="0" applyFont="1" applyBorder="1" applyAlignment="1">
      <alignment horizontal="center" vertical="center"/>
    </xf>
    <xf numFmtId="0" fontId="102" fillId="0" borderId="20" xfId="0" applyFont="1" applyBorder="1" applyAlignment="1">
      <alignment horizontal="center" vertical="center"/>
    </xf>
    <xf numFmtId="0" fontId="68" fillId="0" borderId="5" xfId="0" applyFont="1" applyBorder="1" applyAlignment="1">
      <alignment horizontal="center" vertical="center"/>
    </xf>
    <xf numFmtId="0" fontId="68" fillId="0" borderId="0" xfId="0" applyFont="1" applyAlignment="1">
      <alignment horizontal="center" vertical="center"/>
    </xf>
    <xf numFmtId="0" fontId="68" fillId="0" borderId="6" xfId="0" applyFont="1" applyBorder="1" applyAlignment="1">
      <alignment horizontal="center" vertical="center"/>
    </xf>
    <xf numFmtId="171" fontId="69" fillId="0" borderId="21" xfId="56" applyNumberFormat="1" applyFont="1" applyBorder="1" applyAlignment="1">
      <alignment horizontal="left" vertical="center"/>
    </xf>
    <xf numFmtId="171" fontId="69" fillId="0" borderId="7" xfId="56" applyNumberFormat="1" applyFont="1" applyBorder="1" applyAlignment="1">
      <alignment horizontal="left" vertical="center"/>
    </xf>
    <xf numFmtId="49" fontId="67" fillId="0" borderId="11" xfId="0" applyNumberFormat="1" applyFont="1" applyBorder="1" applyAlignment="1">
      <alignment horizontal="center" vertical="center" wrapText="1"/>
    </xf>
    <xf numFmtId="49" fontId="67" fillId="0" borderId="32" xfId="0" applyNumberFormat="1" applyFont="1" applyBorder="1" applyAlignment="1">
      <alignment horizontal="center" vertical="center" wrapText="1"/>
    </xf>
    <xf numFmtId="0" fontId="67" fillId="0" borderId="11" xfId="0" applyFont="1" applyBorder="1" applyAlignment="1">
      <alignment horizontal="center" vertical="center" wrapText="1"/>
    </xf>
    <xf numFmtId="0" fontId="67" fillId="0" borderId="16" xfId="0" applyFont="1" applyBorder="1" applyAlignment="1">
      <alignment horizontal="center" vertical="center" wrapText="1"/>
    </xf>
    <xf numFmtId="2" fontId="67" fillId="0" borderId="0" xfId="0" applyNumberFormat="1" applyFont="1" applyAlignment="1">
      <alignment horizontal="left" vertical="center"/>
    </xf>
    <xf numFmtId="0" fontId="79" fillId="0" borderId="56" xfId="0" applyFont="1" applyBorder="1" applyAlignment="1">
      <alignment horizontal="center" vertical="center"/>
    </xf>
    <xf numFmtId="0" fontId="79" fillId="0" borderId="57" xfId="0" applyFont="1" applyBorder="1" applyAlignment="1">
      <alignment horizontal="center" vertical="center"/>
    </xf>
    <xf numFmtId="0" fontId="79" fillId="0" borderId="58" xfId="0" applyFont="1" applyBorder="1" applyAlignment="1">
      <alignment horizontal="center" vertical="center"/>
    </xf>
    <xf numFmtId="0" fontId="67" fillId="0" borderId="12" xfId="0" applyFont="1" applyBorder="1" applyAlignment="1">
      <alignment horizontal="center" vertical="center"/>
    </xf>
    <xf numFmtId="0" fontId="67" fillId="0" borderId="36" xfId="0" applyFont="1" applyBorder="1" applyAlignment="1">
      <alignment horizontal="center" vertical="center"/>
    </xf>
    <xf numFmtId="0" fontId="67" fillId="0" borderId="41" xfId="0" applyFont="1" applyBorder="1" applyAlignment="1">
      <alignment horizontal="center" vertical="center"/>
    </xf>
    <xf numFmtId="0" fontId="67" fillId="0" borderId="42" xfId="0" applyFont="1" applyBorder="1" applyAlignment="1">
      <alignment horizontal="center" vertical="center"/>
    </xf>
    <xf numFmtId="0" fontId="67" fillId="0" borderId="43" xfId="0" applyFont="1" applyBorder="1" applyAlignment="1">
      <alignment horizontal="center" vertical="center"/>
    </xf>
    <xf numFmtId="0" fontId="67" fillId="0" borderId="37" xfId="0" applyFont="1" applyBorder="1" applyAlignment="1">
      <alignment horizontal="center" vertical="center"/>
    </xf>
    <xf numFmtId="0" fontId="44" fillId="0" borderId="25" xfId="0" applyFont="1" applyBorder="1" applyAlignment="1">
      <alignment horizontal="center" vertical="center" wrapText="1"/>
    </xf>
    <xf numFmtId="0" fontId="44" fillId="0" borderId="0" xfId="0" applyFont="1" applyAlignment="1">
      <alignment horizontal="center" vertical="center" wrapText="1"/>
    </xf>
    <xf numFmtId="0" fontId="44" fillId="0" borderId="26" xfId="0" applyFont="1" applyBorder="1" applyAlignment="1">
      <alignment horizontal="center" vertical="center" wrapText="1"/>
    </xf>
    <xf numFmtId="0" fontId="71" fillId="0" borderId="0" xfId="55" applyFont="1" applyAlignment="1">
      <alignment horizontal="left" vertical="center" wrapText="1"/>
    </xf>
    <xf numFmtId="0" fontId="71" fillId="0" borderId="0" xfId="55" applyFont="1" applyAlignment="1">
      <alignment horizontal="left" wrapText="1"/>
    </xf>
  </cellXfs>
  <cellStyles count="7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B000000}"/>
    <cellStyle name="Comma 3" xfId="29" xr:uid="{00000000-0005-0000-0000-00001C000000}"/>
    <cellStyle name="Comma 4" xfId="30" xr:uid="{00000000-0005-0000-0000-00001D000000}"/>
    <cellStyle name="Comma 5" xfId="31" xr:uid="{00000000-0005-0000-0000-00001E000000}"/>
    <cellStyle name="Comma 6" xfId="32" xr:uid="{00000000-0005-0000-0000-00001F000000}"/>
    <cellStyle name="Euro" xfId="33" xr:uid="{00000000-0005-0000-0000-000020000000}"/>
    <cellStyle name="Explanatory Text" xfId="34" builtinId="53" customBuiltin="1"/>
    <cellStyle name="Good" xfId="35" builtinId="26" customBuiltin="1"/>
    <cellStyle name="Heading 1" xfId="36" builtinId="16" customBuiltin="1"/>
    <cellStyle name="Heading 2" xfId="37" builtinId="17" customBuiltin="1"/>
    <cellStyle name="Heading 3" xfId="38" builtinId="18" customBuiltin="1"/>
    <cellStyle name="Heading 4" xfId="39" builtinId="19" customBuiltin="1"/>
    <cellStyle name="Hyperlink 2" xfId="40" xr:uid="{00000000-0005-0000-0000-000027000000}"/>
    <cellStyle name="Input" xfId="41" builtinId="20" customBuiltin="1"/>
    <cellStyle name="Linked Cell" xfId="42" builtinId="24" customBuiltin="1"/>
    <cellStyle name="Neutral" xfId="43" builtinId="28" customBuiltin="1"/>
    <cellStyle name="Normal" xfId="0" builtinId="0"/>
    <cellStyle name="Normal 2 2" xfId="44" xr:uid="{00000000-0005-0000-0000-00002C000000}"/>
    <cellStyle name="Normal 3" xfId="45" xr:uid="{00000000-0005-0000-0000-00002D000000}"/>
    <cellStyle name="Normal 3 2" xfId="46" xr:uid="{00000000-0005-0000-0000-00002E000000}"/>
    <cellStyle name="Normal 3 3" xfId="47" xr:uid="{00000000-0005-0000-0000-00002F000000}"/>
    <cellStyle name="Normal 4" xfId="48" xr:uid="{00000000-0005-0000-0000-000030000000}"/>
    <cellStyle name="Normal 5" xfId="49" xr:uid="{00000000-0005-0000-0000-000031000000}"/>
    <cellStyle name="Normal 5 2" xfId="50" xr:uid="{00000000-0005-0000-0000-000032000000}"/>
    <cellStyle name="Normal 6" xfId="51" xr:uid="{00000000-0005-0000-0000-000033000000}"/>
    <cellStyle name="Normal 7" xfId="52" xr:uid="{00000000-0005-0000-0000-000034000000}"/>
    <cellStyle name="Normal 7 2" xfId="53" xr:uid="{00000000-0005-0000-0000-000035000000}"/>
    <cellStyle name="Normal 8" xfId="54" xr:uid="{00000000-0005-0000-0000-000036000000}"/>
    <cellStyle name="Normal 9" xfId="55" xr:uid="{00000000-0005-0000-0000-000037000000}"/>
    <cellStyle name="Normal_BSPL 2004 NS" xfId="56" xr:uid="{00000000-0005-0000-0000-000038000000}"/>
    <cellStyle name="Normal_BSPL 2004 NS 2" xfId="57" xr:uid="{00000000-0005-0000-0000-000039000000}"/>
    <cellStyle name="Normal_BSPL 2004 NS 2 2" xfId="58" xr:uid="{00000000-0005-0000-0000-00003A000000}"/>
    <cellStyle name="Normal_BSPL 2004 NS 3" xfId="59" xr:uid="{00000000-0005-0000-0000-00003B000000}"/>
    <cellStyle name="Normal_BSPL 2004 NS 3 2" xfId="60" xr:uid="{00000000-0005-0000-0000-00003C000000}"/>
    <cellStyle name="Normal_BSPL 2004 NS 4" xfId="61" xr:uid="{00000000-0005-0000-0000-00003D000000}"/>
    <cellStyle name="Normal_Debtor" xfId="62" xr:uid="{00000000-0005-0000-0000-00003E000000}"/>
    <cellStyle name="Normal_FY 2003-2004 " xfId="63" xr:uid="{00000000-0005-0000-0000-00003F000000}"/>
    <cellStyle name="Normal_FY 2003-2004  2" xfId="64" xr:uid="{00000000-0005-0000-0000-000040000000}"/>
    <cellStyle name="Normal_FY 2003-2004  2 2" xfId="65" xr:uid="{00000000-0005-0000-0000-000041000000}"/>
    <cellStyle name="Normal_Muktangan0506" xfId="66" xr:uid="{00000000-0005-0000-0000-000042000000}"/>
    <cellStyle name="Normal_Muktangan0506 2" xfId="67" xr:uid="{00000000-0005-0000-0000-000043000000}"/>
    <cellStyle name="Normal_Yogi2004" xfId="68" xr:uid="{00000000-0005-0000-0000-000044000000}"/>
    <cellStyle name="Normal_YogiAshish09 2" xfId="69" xr:uid="{00000000-0005-0000-0000-000045000000}"/>
    <cellStyle name="Note 2" xfId="70" xr:uid="{00000000-0005-0000-0000-000046000000}"/>
    <cellStyle name="Note 3" xfId="71" xr:uid="{00000000-0005-0000-0000-000047000000}"/>
    <cellStyle name="Output" xfId="72" builtinId="21" customBuiltin="1"/>
    <cellStyle name="Style 1" xfId="73" xr:uid="{00000000-0005-0000-0000-000049000000}"/>
    <cellStyle name="Title" xfId="74" builtinId="15" customBuiltin="1"/>
    <cellStyle name="Total" xfId="75" builtinId="25" customBuiltin="1"/>
    <cellStyle name="Warning Text" xfId="7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352425</xdr:colOff>
      <xdr:row>4</xdr:row>
      <xdr:rowOff>171450</xdr:rowOff>
    </xdr:from>
    <xdr:to>
      <xdr:col>8</xdr:col>
      <xdr:colOff>333375</xdr:colOff>
      <xdr:row>8</xdr:row>
      <xdr:rowOff>47625</xdr:rowOff>
    </xdr:to>
    <xdr:sp macro="" textlink="">
      <xdr:nvSpPr>
        <xdr:cNvPr id="2" name="AutoShape 2">
          <a:extLst>
            <a:ext uri="{FF2B5EF4-FFF2-40B4-BE49-F238E27FC236}">
              <a16:creationId xmlns:a16="http://schemas.microsoft.com/office/drawing/2014/main" id="{00000000-0008-0000-0100-000002000000}"/>
            </a:ext>
          </a:extLst>
        </xdr:cNvPr>
        <xdr:cNvSpPr>
          <a:spLocks noChangeArrowheads="1"/>
        </xdr:cNvSpPr>
      </xdr:nvSpPr>
      <xdr:spPr bwMode="auto">
        <a:xfrm>
          <a:off x="1009650" y="1409700"/>
          <a:ext cx="4581525" cy="676275"/>
        </a:xfrm>
        <a:prstGeom prst="ribbon2">
          <a:avLst>
            <a:gd name="adj1" fmla="val 12500"/>
            <a:gd name="adj2" fmla="val 50000"/>
          </a:avLst>
        </a:prstGeom>
        <a:solidFill>
          <a:srgbClr val="FFFFFF"/>
        </a:solidFill>
        <a:ln w="9525">
          <a:solidFill>
            <a:srgbClr val="000000"/>
          </a:solidFill>
          <a:round/>
          <a:headEnd/>
          <a:tailEnd/>
        </a:ln>
      </xdr:spPr>
      <xdr:txBody>
        <a:bodyPr vertOverflow="clip" wrap="square" lIns="91440" tIns="45720" rIns="91440" bIns="45720" anchor="ctr" upright="1"/>
        <a:lstStyle/>
        <a:p>
          <a:pPr algn="ctr" rtl="1">
            <a:defRPr sz="1000"/>
          </a:pPr>
          <a:r>
            <a:rPr lang="en-IN" sz="2900" b="1" i="0" strike="noStrike">
              <a:solidFill>
                <a:srgbClr val="000000"/>
              </a:solidFill>
              <a:latin typeface="Calibri"/>
              <a:cs typeface="Calibri"/>
            </a:rPr>
            <a:t>2025 - 2026</a:t>
          </a:r>
          <a:endParaRPr lang="en-IN" sz="2900" b="1" i="0" strike="noStrike">
            <a:solidFill>
              <a:srgbClr val="000000"/>
            </a:solidFill>
            <a:latin typeface="Times New Roman"/>
            <a:cs typeface="Times New Roman"/>
          </a:endParaRPr>
        </a:p>
        <a:p>
          <a:pPr algn="l" rtl="1">
            <a:defRPr sz="1000"/>
          </a:pPr>
          <a:endParaRPr lang="en-IN" sz="2900" b="1" i="0" strike="noStrike">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371475</xdr:colOff>
      <xdr:row>292</xdr:row>
      <xdr:rowOff>0</xdr:rowOff>
    </xdr:from>
    <xdr:to>
      <xdr:col>6</xdr:col>
      <xdr:colOff>66675</xdr:colOff>
      <xdr:row>293</xdr:row>
      <xdr:rowOff>38100</xdr:rowOff>
    </xdr:to>
    <xdr:sp macro="" textlink="">
      <xdr:nvSpPr>
        <xdr:cNvPr id="39353" name="Text Box 15">
          <a:extLst>
            <a:ext uri="{FF2B5EF4-FFF2-40B4-BE49-F238E27FC236}">
              <a16:creationId xmlns:a16="http://schemas.microsoft.com/office/drawing/2014/main" id="{00000000-0008-0000-0700-0000B9990000}"/>
            </a:ext>
          </a:extLst>
        </xdr:cNvPr>
        <xdr:cNvSpPr txBox="1">
          <a:spLocks noChangeArrowheads="1"/>
        </xdr:cNvSpPr>
      </xdr:nvSpPr>
      <xdr:spPr bwMode="auto">
        <a:xfrm>
          <a:off x="2009775" y="679132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371475</xdr:colOff>
      <xdr:row>290</xdr:row>
      <xdr:rowOff>0</xdr:rowOff>
    </xdr:from>
    <xdr:to>
      <xdr:col>6</xdr:col>
      <xdr:colOff>66675</xdr:colOff>
      <xdr:row>291</xdr:row>
      <xdr:rowOff>38100</xdr:rowOff>
    </xdr:to>
    <xdr:sp macro="" textlink="">
      <xdr:nvSpPr>
        <xdr:cNvPr id="39354" name="Text Box 15">
          <a:extLst>
            <a:ext uri="{FF2B5EF4-FFF2-40B4-BE49-F238E27FC236}">
              <a16:creationId xmlns:a16="http://schemas.microsoft.com/office/drawing/2014/main" id="{00000000-0008-0000-0700-0000BA990000}"/>
            </a:ext>
          </a:extLst>
        </xdr:cNvPr>
        <xdr:cNvSpPr txBox="1">
          <a:spLocks noChangeArrowheads="1"/>
        </xdr:cNvSpPr>
      </xdr:nvSpPr>
      <xdr:spPr bwMode="auto">
        <a:xfrm>
          <a:off x="2009775" y="675894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371475</xdr:colOff>
      <xdr:row>290</xdr:row>
      <xdr:rowOff>0</xdr:rowOff>
    </xdr:from>
    <xdr:to>
      <xdr:col>6</xdr:col>
      <xdr:colOff>66675</xdr:colOff>
      <xdr:row>291</xdr:row>
      <xdr:rowOff>38100</xdr:rowOff>
    </xdr:to>
    <xdr:sp macro="" textlink="">
      <xdr:nvSpPr>
        <xdr:cNvPr id="39355" name="Text Box 15">
          <a:extLst>
            <a:ext uri="{FF2B5EF4-FFF2-40B4-BE49-F238E27FC236}">
              <a16:creationId xmlns:a16="http://schemas.microsoft.com/office/drawing/2014/main" id="{00000000-0008-0000-0700-0000BB990000}"/>
            </a:ext>
          </a:extLst>
        </xdr:cNvPr>
        <xdr:cNvSpPr txBox="1">
          <a:spLocks noChangeArrowheads="1"/>
        </xdr:cNvSpPr>
      </xdr:nvSpPr>
      <xdr:spPr bwMode="auto">
        <a:xfrm>
          <a:off x="2009775" y="675894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371475</xdr:colOff>
      <xdr:row>51</xdr:row>
      <xdr:rowOff>0</xdr:rowOff>
    </xdr:from>
    <xdr:to>
      <xdr:col>6</xdr:col>
      <xdr:colOff>66675</xdr:colOff>
      <xdr:row>52</xdr:row>
      <xdr:rowOff>76200</xdr:rowOff>
    </xdr:to>
    <xdr:sp macro="" textlink="">
      <xdr:nvSpPr>
        <xdr:cNvPr id="39356" name="Text Box 15">
          <a:extLst>
            <a:ext uri="{FF2B5EF4-FFF2-40B4-BE49-F238E27FC236}">
              <a16:creationId xmlns:a16="http://schemas.microsoft.com/office/drawing/2014/main" id="{00000000-0008-0000-0700-0000BC990000}"/>
            </a:ext>
          </a:extLst>
        </xdr:cNvPr>
        <xdr:cNvSpPr txBox="1">
          <a:spLocks noChangeArrowheads="1"/>
        </xdr:cNvSpPr>
      </xdr:nvSpPr>
      <xdr:spPr bwMode="auto">
        <a:xfrm>
          <a:off x="2009775" y="15440025"/>
          <a:ext cx="762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371475</xdr:colOff>
      <xdr:row>254</xdr:row>
      <xdr:rowOff>0</xdr:rowOff>
    </xdr:from>
    <xdr:to>
      <xdr:col>6</xdr:col>
      <xdr:colOff>66675</xdr:colOff>
      <xdr:row>255</xdr:row>
      <xdr:rowOff>76200</xdr:rowOff>
    </xdr:to>
    <xdr:sp macro="" textlink="">
      <xdr:nvSpPr>
        <xdr:cNvPr id="39357" name="Text Box 15">
          <a:extLst>
            <a:ext uri="{FF2B5EF4-FFF2-40B4-BE49-F238E27FC236}">
              <a16:creationId xmlns:a16="http://schemas.microsoft.com/office/drawing/2014/main" id="{00000000-0008-0000-0700-0000BD990000}"/>
            </a:ext>
          </a:extLst>
        </xdr:cNvPr>
        <xdr:cNvSpPr txBox="1">
          <a:spLocks noChangeArrowheads="1"/>
        </xdr:cNvSpPr>
      </xdr:nvSpPr>
      <xdr:spPr bwMode="auto">
        <a:xfrm>
          <a:off x="2009775" y="57597675"/>
          <a:ext cx="762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371475</xdr:colOff>
      <xdr:row>290</xdr:row>
      <xdr:rowOff>0</xdr:rowOff>
    </xdr:from>
    <xdr:to>
      <xdr:col>6</xdr:col>
      <xdr:colOff>66675</xdr:colOff>
      <xdr:row>291</xdr:row>
      <xdr:rowOff>38100</xdr:rowOff>
    </xdr:to>
    <xdr:sp macro="" textlink="">
      <xdr:nvSpPr>
        <xdr:cNvPr id="39358" name="Text Box 15">
          <a:extLst>
            <a:ext uri="{FF2B5EF4-FFF2-40B4-BE49-F238E27FC236}">
              <a16:creationId xmlns:a16="http://schemas.microsoft.com/office/drawing/2014/main" id="{00000000-0008-0000-0700-0000BE990000}"/>
            </a:ext>
          </a:extLst>
        </xdr:cNvPr>
        <xdr:cNvSpPr txBox="1">
          <a:spLocks noChangeArrowheads="1"/>
        </xdr:cNvSpPr>
      </xdr:nvSpPr>
      <xdr:spPr bwMode="auto">
        <a:xfrm>
          <a:off x="2009775" y="6758940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371475</xdr:colOff>
      <xdr:row>278</xdr:row>
      <xdr:rowOff>0</xdr:rowOff>
    </xdr:from>
    <xdr:to>
      <xdr:col>6</xdr:col>
      <xdr:colOff>66675</xdr:colOff>
      <xdr:row>279</xdr:row>
      <xdr:rowOff>38100</xdr:rowOff>
    </xdr:to>
    <xdr:sp macro="" textlink="">
      <xdr:nvSpPr>
        <xdr:cNvPr id="39359" name="Text Box 15">
          <a:extLst>
            <a:ext uri="{FF2B5EF4-FFF2-40B4-BE49-F238E27FC236}">
              <a16:creationId xmlns:a16="http://schemas.microsoft.com/office/drawing/2014/main" id="{00000000-0008-0000-0700-0000BF990000}"/>
            </a:ext>
          </a:extLst>
        </xdr:cNvPr>
        <xdr:cNvSpPr txBox="1">
          <a:spLocks noChangeArrowheads="1"/>
        </xdr:cNvSpPr>
      </xdr:nvSpPr>
      <xdr:spPr bwMode="auto">
        <a:xfrm>
          <a:off x="2009775" y="653891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371475</xdr:colOff>
      <xdr:row>284</xdr:row>
      <xdr:rowOff>47625</xdr:rowOff>
    </xdr:from>
    <xdr:to>
      <xdr:col>6</xdr:col>
      <xdr:colOff>66675</xdr:colOff>
      <xdr:row>285</xdr:row>
      <xdr:rowOff>85725</xdr:rowOff>
    </xdr:to>
    <xdr:sp macro="" textlink="">
      <xdr:nvSpPr>
        <xdr:cNvPr id="9" name="Text Box 15">
          <a:extLst>
            <a:ext uri="{FF2B5EF4-FFF2-40B4-BE49-F238E27FC236}">
              <a16:creationId xmlns:a16="http://schemas.microsoft.com/office/drawing/2014/main" id="{00000000-0008-0000-0700-000009000000}"/>
            </a:ext>
          </a:extLst>
        </xdr:cNvPr>
        <xdr:cNvSpPr txBox="1">
          <a:spLocks noChangeArrowheads="1"/>
        </xdr:cNvSpPr>
      </xdr:nvSpPr>
      <xdr:spPr bwMode="auto">
        <a:xfrm>
          <a:off x="2286000" y="736377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2181225</xdr:colOff>
      <xdr:row>46</xdr:row>
      <xdr:rowOff>0</xdr:rowOff>
    </xdr:from>
    <xdr:to>
      <xdr:col>17</xdr:col>
      <xdr:colOff>2867025</xdr:colOff>
      <xdr:row>46</xdr:row>
      <xdr:rowOff>0</xdr:rowOff>
    </xdr:to>
    <xdr:sp macro="" textlink="">
      <xdr:nvSpPr>
        <xdr:cNvPr id="1842" name="Line 4">
          <a:extLst>
            <a:ext uri="{FF2B5EF4-FFF2-40B4-BE49-F238E27FC236}">
              <a16:creationId xmlns:a16="http://schemas.microsoft.com/office/drawing/2014/main" id="{00000000-0008-0000-0900-000032070000}"/>
            </a:ext>
          </a:extLst>
        </xdr:cNvPr>
        <xdr:cNvSpPr>
          <a:spLocks noChangeShapeType="1"/>
        </xdr:cNvSpPr>
      </xdr:nvSpPr>
      <xdr:spPr bwMode="auto">
        <a:xfrm>
          <a:off x="22040850" y="8963025"/>
          <a:ext cx="685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9525</xdr:rowOff>
    </xdr:from>
    <xdr:to>
      <xdr:col>0</xdr:col>
      <xdr:colOff>0</xdr:colOff>
      <xdr:row>4</xdr:row>
      <xdr:rowOff>0</xdr:rowOff>
    </xdr:to>
    <xdr:sp macro="" textlink="">
      <xdr:nvSpPr>
        <xdr:cNvPr id="3073" name="Text Box 1">
          <a:extLst>
            <a:ext uri="{FF2B5EF4-FFF2-40B4-BE49-F238E27FC236}">
              <a16:creationId xmlns:a16="http://schemas.microsoft.com/office/drawing/2014/main" id="{00000000-0008-0000-0A00-0000010C0000}"/>
            </a:ext>
          </a:extLst>
        </xdr:cNvPr>
        <xdr:cNvSpPr txBox="1">
          <a:spLocks noChangeArrowheads="1"/>
        </xdr:cNvSpPr>
      </xdr:nvSpPr>
      <xdr:spPr bwMode="auto">
        <a:xfrm>
          <a:off x="0" y="9525"/>
          <a:ext cx="0" cy="942975"/>
        </a:xfrm>
        <a:prstGeom prst="rect">
          <a:avLst/>
        </a:prstGeom>
        <a:solidFill>
          <a:srgbClr val="FFFFFF"/>
        </a:solidFill>
        <a:ln w="9525">
          <a:solidFill>
            <a:srgbClr val="000000"/>
          </a:solidFill>
          <a:miter lim="800000"/>
          <a:headEnd/>
          <a:tailEnd/>
        </a:ln>
      </xdr:spPr>
      <xdr:txBody>
        <a:bodyPr vertOverflow="clip" wrap="square" lIns="36576" tIns="32004" rIns="36576" bIns="0" anchor="t" upright="1"/>
        <a:lstStyle/>
        <a:p>
          <a:pPr algn="ctr" rtl="0">
            <a:defRPr sz="1000"/>
          </a:pPr>
          <a:r>
            <a:rPr lang="en-US" sz="1400" b="1" i="0" strike="noStrike">
              <a:solidFill>
                <a:srgbClr val="000000"/>
              </a:solidFill>
              <a:latin typeface="Times New Roman"/>
              <a:cs typeface="Times New Roman"/>
            </a:rPr>
            <a:t>MUNICIPAL STAFF "DEVDATTA" CO-OP. HSG. SOCT. LTD.</a:t>
          </a:r>
        </a:p>
        <a:p>
          <a:pPr algn="ctr" rtl="0">
            <a:defRPr sz="1000"/>
          </a:pPr>
          <a:r>
            <a:rPr lang="en-US" sz="1400" b="1" i="0" strike="noStrike">
              <a:solidFill>
                <a:srgbClr val="000000"/>
              </a:solidFill>
              <a:latin typeface="Times New Roman"/>
              <a:cs typeface="Times New Roman"/>
            </a:rPr>
            <a:t>INCOME &amp; EXPENDITURE ACCOUNT FOR THE YEAR ENDED 31/03/2001</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1838325</xdr:colOff>
      <xdr:row>0</xdr:row>
      <xdr:rowOff>0</xdr:rowOff>
    </xdr:from>
    <xdr:to>
      <xdr:col>2</xdr:col>
      <xdr:colOff>9525</xdr:colOff>
      <xdr:row>0</xdr:row>
      <xdr:rowOff>200025</xdr:rowOff>
    </xdr:to>
    <xdr:sp macro="" textlink="">
      <xdr:nvSpPr>
        <xdr:cNvPr id="2" name="Text Box 1">
          <a:extLst>
            <a:ext uri="{FF2B5EF4-FFF2-40B4-BE49-F238E27FC236}">
              <a16:creationId xmlns:a16="http://schemas.microsoft.com/office/drawing/2014/main" id="{AA30A7FC-71FA-4091-B5CD-3479F3C45554}"/>
            </a:ext>
          </a:extLst>
        </xdr:cNvPr>
        <xdr:cNvSpPr txBox="1">
          <a:spLocks noChangeArrowheads="1"/>
        </xdr:cNvSpPr>
      </xdr:nvSpPr>
      <xdr:spPr bwMode="auto">
        <a:xfrm>
          <a:off x="1975485" y="0"/>
          <a:ext cx="762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1838325</xdr:colOff>
      <xdr:row>0</xdr:row>
      <xdr:rowOff>0</xdr:rowOff>
    </xdr:from>
    <xdr:to>
      <xdr:col>1</xdr:col>
      <xdr:colOff>1914525</xdr:colOff>
      <xdr:row>0</xdr:row>
      <xdr:rowOff>238125</xdr:rowOff>
    </xdr:to>
    <xdr:sp macro="" textlink="">
      <xdr:nvSpPr>
        <xdr:cNvPr id="36216" name="Text Box 1">
          <a:extLst>
            <a:ext uri="{FF2B5EF4-FFF2-40B4-BE49-F238E27FC236}">
              <a16:creationId xmlns:a16="http://schemas.microsoft.com/office/drawing/2014/main" id="{00000000-0008-0000-0B00-0000788D0000}"/>
            </a:ext>
          </a:extLst>
        </xdr:cNvPr>
        <xdr:cNvSpPr txBox="1">
          <a:spLocks noChangeArrowheads="1"/>
        </xdr:cNvSpPr>
      </xdr:nvSpPr>
      <xdr:spPr bwMode="auto">
        <a:xfrm>
          <a:off x="2533650" y="0"/>
          <a:ext cx="762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0</xdr:colOff>
      <xdr:row>0</xdr:row>
      <xdr:rowOff>0</xdr:rowOff>
    </xdr:from>
    <xdr:to>
      <xdr:col>3</xdr:col>
      <xdr:colOff>952500</xdr:colOff>
      <xdr:row>0</xdr:row>
      <xdr:rowOff>0</xdr:rowOff>
    </xdr:to>
    <xdr:sp macro="" textlink="">
      <xdr:nvSpPr>
        <xdr:cNvPr id="2050" name="Text Box 2">
          <a:extLst>
            <a:ext uri="{FF2B5EF4-FFF2-40B4-BE49-F238E27FC236}">
              <a16:creationId xmlns:a16="http://schemas.microsoft.com/office/drawing/2014/main" id="{00000000-0008-0000-0B00-000002080000}"/>
            </a:ext>
          </a:extLst>
        </xdr:cNvPr>
        <xdr:cNvSpPr txBox="1">
          <a:spLocks noChangeArrowheads="1"/>
        </xdr:cNvSpPr>
      </xdr:nvSpPr>
      <xdr:spPr bwMode="auto">
        <a:xfrm>
          <a:off x="0" y="0"/>
          <a:ext cx="6057900" cy="0"/>
        </a:xfrm>
        <a:prstGeom prst="rect">
          <a:avLst/>
        </a:prstGeom>
        <a:solidFill>
          <a:srgbClr val="FFFFFF"/>
        </a:solidFill>
        <a:ln w="9525">
          <a:solidFill>
            <a:srgbClr val="000000"/>
          </a:solidFill>
          <a:miter lim="800000"/>
          <a:headEnd/>
          <a:tailEnd/>
        </a:ln>
      </xdr:spPr>
      <xdr:txBody>
        <a:bodyPr vertOverflow="clip" wrap="square" lIns="36576" tIns="32004" rIns="36576" bIns="0" anchor="t" upright="1"/>
        <a:lstStyle/>
        <a:p>
          <a:pPr algn="ctr" rtl="0">
            <a:defRPr sz="1000"/>
          </a:pPr>
          <a:r>
            <a:rPr lang="en-US" sz="1400" b="1" i="0" strike="noStrike">
              <a:solidFill>
                <a:srgbClr val="000000"/>
              </a:solidFill>
              <a:latin typeface="Times New Roman"/>
              <a:cs typeface="Times New Roman"/>
            </a:rPr>
            <a:t>MUNICIPAL STAFF "DEVDATTA" CO-OP. HSG. SOCT. LTD.</a:t>
          </a:r>
        </a:p>
        <a:p>
          <a:pPr algn="ctr" rtl="0">
            <a:defRPr sz="1000"/>
          </a:pPr>
          <a:r>
            <a:rPr lang="en-US" sz="1400" b="1" i="0" strike="noStrike">
              <a:solidFill>
                <a:srgbClr val="000000"/>
              </a:solidFill>
              <a:latin typeface="Times New Roman"/>
              <a:cs typeface="Times New Roman"/>
            </a:rPr>
            <a:t>MEMBER'S ARREARS LIST AS ON 31/03/2001</a:t>
          </a:r>
        </a:p>
      </xdr:txBody>
    </xdr:sp>
    <xdr:clientData/>
  </xdr:twoCellAnchor>
  <xdr:twoCellAnchor>
    <xdr:from>
      <xdr:col>1</xdr:col>
      <xdr:colOff>2476500</xdr:colOff>
      <xdr:row>34</xdr:row>
      <xdr:rowOff>180975</xdr:rowOff>
    </xdr:from>
    <xdr:to>
      <xdr:col>1</xdr:col>
      <xdr:colOff>2943225</xdr:colOff>
      <xdr:row>34</xdr:row>
      <xdr:rowOff>180975</xdr:rowOff>
    </xdr:to>
    <xdr:sp macro="" textlink="">
      <xdr:nvSpPr>
        <xdr:cNvPr id="36218" name="Line 4">
          <a:extLst>
            <a:ext uri="{FF2B5EF4-FFF2-40B4-BE49-F238E27FC236}">
              <a16:creationId xmlns:a16="http://schemas.microsoft.com/office/drawing/2014/main" id="{00000000-0008-0000-0B00-00007A8D0000}"/>
            </a:ext>
          </a:extLst>
        </xdr:cNvPr>
        <xdr:cNvSpPr>
          <a:spLocks noChangeShapeType="1"/>
        </xdr:cNvSpPr>
      </xdr:nvSpPr>
      <xdr:spPr bwMode="auto">
        <a:xfrm>
          <a:off x="3171825" y="9239250"/>
          <a:ext cx="466725" cy="0"/>
        </a:xfrm>
        <a:prstGeom prst="line">
          <a:avLst/>
        </a:prstGeom>
        <a:noFill/>
        <a:ln w="25400">
          <a:solidFill>
            <a:srgbClr val="000000"/>
          </a:solidFill>
          <a:round/>
          <a:headEnd/>
          <a:tailEnd type="arrow" w="med" len="me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1838325</xdr:colOff>
      <xdr:row>0</xdr:row>
      <xdr:rowOff>0</xdr:rowOff>
    </xdr:from>
    <xdr:to>
      <xdr:col>2</xdr:col>
      <xdr:colOff>9525</xdr:colOff>
      <xdr:row>0</xdr:row>
      <xdr:rowOff>200025</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981200" y="0"/>
          <a:ext cx="95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 refreshedDate="45921.03089814815" createdVersion="6" refreshedVersion="6" minRefreshableVersion="3" recordCount="84" xr:uid="{00000000-000A-0000-FFFF-FFFF02000000}">
  <cacheSource type="worksheet">
    <worksheetSource ref="B2:K86" sheet="PETTY-CASH"/>
  </cacheSource>
  <cacheFields count="12">
    <cacheField name="Date" numFmtId="14">
      <sharedItems containsSemiMixedTypes="0" containsNonDate="0" containsDate="1" containsString="0" minDate="2024-04-08T00:00:00" maxDate="2025-04-23T00:00:00"/>
    </cacheField>
    <cacheField name="Month" numFmtId="17">
      <sharedItems containsSemiMixedTypes="0" containsNonDate="0" containsDate="1" containsString="0" minDate="2024-04-01T00:00:00" maxDate="2025-03-02T00:00:00" count="11">
        <d v="2024-04-01T00:00:00"/>
        <d v="2024-05-01T00:00:00"/>
        <d v="2024-06-01T00:00:00"/>
        <d v="2024-07-01T00:00:00"/>
        <d v="2025-03-01T00:00:00"/>
        <d v="2024-08-01T00:00:00"/>
        <d v="2024-09-01T00:00:00"/>
        <d v="2024-10-01T00:00:00"/>
        <d v="2024-11-01T00:00:00"/>
        <d v="2024-12-01T00:00:00"/>
        <d v="2025-02-01T00:00:00"/>
      </sharedItems>
      <fieldGroup par="11" base="1">
        <rangePr groupBy="months" startDate="2024-04-01T00:00:00" endDate="2025-03-02T00:00:00"/>
        <groupItems count="14">
          <s v="&lt;01-04-2024"/>
          <s v="Jan"/>
          <s v="Feb"/>
          <s v="Mar"/>
          <s v="Apr"/>
          <s v="May"/>
          <s v="Jun"/>
          <s v="Jul"/>
          <s v="Aug"/>
          <s v="Sep"/>
          <s v="Oct"/>
          <s v="Nov"/>
          <s v="Dec"/>
          <s v="&gt;02-03-2025"/>
        </groupItems>
      </fieldGroup>
    </cacheField>
    <cacheField name="Particular" numFmtId="0">
      <sharedItems/>
    </cacheField>
    <cacheField name="Total" numFmtId="0">
      <sharedItems containsSemiMixedTypes="0" containsString="0" containsNumber="1" containsInteger="1" minValue="12" maxValue="1500"/>
    </cacheField>
    <cacheField name="Printing &amp; Stn" numFmtId="0">
      <sharedItems containsString="0" containsBlank="1" containsNumber="1" containsInteger="1" minValue="12" maxValue="336"/>
    </cacheField>
    <cacheField name="Miscellaneous Exp" numFmtId="0">
      <sharedItems containsString="0" containsBlank="1" containsNumber="1" containsInteger="1" minValue="100" maxValue="1320"/>
    </cacheField>
    <cacheField name="Repairs &amp; Maint" numFmtId="0">
      <sharedItems containsString="0" containsBlank="1" containsNumber="1" containsInteger="1" minValue="36" maxValue="700"/>
    </cacheField>
    <cacheField name="Diwali Bonus" numFmtId="0">
      <sharedItems containsString="0" containsBlank="1" containsNumber="1" containsInteger="1" minValue="100" maxValue="1500"/>
    </cacheField>
    <cacheField name="Function &amp; Festival" numFmtId="0">
      <sharedItems containsString="0" containsBlank="1" containsNumber="1" containsInteger="1" minValue="100" maxValue="200"/>
    </cacheField>
    <cacheField name="Conveyance" numFmtId="0">
      <sharedItems containsString="0" containsBlank="1" containsNumber="1" containsInteger="1" minValue="80" maxValue="175"/>
    </cacheField>
    <cacheField name="Quarters" numFmtId="0" databaseField="0">
      <fieldGroup base="1">
        <rangePr groupBy="quarters" startDate="2024-04-01T00:00:00" endDate="2025-03-02T00:00:00"/>
        <groupItems count="6">
          <s v="&lt;01-04-2024"/>
          <s v="Qtr1"/>
          <s v="Qtr2"/>
          <s v="Qtr3"/>
          <s v="Qtr4"/>
          <s v="&gt;02-03-2025"/>
        </groupItems>
      </fieldGroup>
    </cacheField>
    <cacheField name="Years" numFmtId="0" databaseField="0">
      <fieldGroup base="1">
        <rangePr groupBy="years" startDate="2024-04-01T00:00:00" endDate="2025-03-02T00:00:00"/>
        <groupItems count="4">
          <s v="&lt;01-04-2024"/>
          <s v="2024"/>
          <s v="2025"/>
          <s v="&gt;02-03-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4">
  <r>
    <d v="2024-04-08T00:00:00"/>
    <x v="0"/>
    <s v="Nilkanth Stationery"/>
    <n v="49"/>
    <n v="49"/>
    <m/>
    <m/>
    <m/>
    <m/>
    <m/>
  </r>
  <r>
    <d v="2024-04-10T00:00:00"/>
    <x v="0"/>
    <s v="Ollwyn Xerox"/>
    <n v="94"/>
    <n v="94"/>
    <m/>
    <m/>
    <m/>
    <m/>
    <m/>
  </r>
  <r>
    <d v="2024-04-15T00:00:00"/>
    <x v="0"/>
    <s v="Conveyance to visit Builder Office"/>
    <n v="150"/>
    <m/>
    <m/>
    <m/>
    <m/>
    <m/>
    <n v="150"/>
  </r>
  <r>
    <d v="2024-04-22T00:00:00"/>
    <x v="0"/>
    <s v="Ollwyn Xerox"/>
    <n v="130"/>
    <n v="130"/>
    <m/>
    <m/>
    <m/>
    <m/>
    <m/>
  </r>
  <r>
    <d v="2024-05-05T00:00:00"/>
    <x v="1"/>
    <s v="Conveyance to visit Builder Office"/>
    <n v="80"/>
    <m/>
    <m/>
    <m/>
    <m/>
    <m/>
    <n v="80"/>
  </r>
  <r>
    <d v="2024-05-05T00:00:00"/>
    <x v="1"/>
    <s v="Tea &amp; Snacks"/>
    <n v="125"/>
    <m/>
    <n v="125"/>
    <m/>
    <m/>
    <m/>
    <m/>
  </r>
  <r>
    <d v="2024-05-28T00:00:00"/>
    <x v="1"/>
    <s v="Nilkanth Stationery"/>
    <n v="50"/>
    <n v="50"/>
    <m/>
    <m/>
    <m/>
    <m/>
    <m/>
  </r>
  <r>
    <d v="2024-05-30T00:00:00"/>
    <x v="1"/>
    <s v="Nilkanth Stationery"/>
    <n v="30"/>
    <n v="30"/>
    <m/>
    <m/>
    <m/>
    <m/>
    <m/>
  </r>
  <r>
    <d v="2024-06-03T00:00:00"/>
    <x v="2"/>
    <s v="Nilkanth Stationery"/>
    <n v="99"/>
    <n v="99"/>
    <m/>
    <m/>
    <m/>
    <m/>
    <m/>
  </r>
  <r>
    <d v="2024-06-09T00:00:00"/>
    <x v="2"/>
    <s v="Nilkanth Stationery"/>
    <n v="26"/>
    <n v="26"/>
    <m/>
    <m/>
    <m/>
    <m/>
    <m/>
  </r>
  <r>
    <d v="2024-06-09T00:00:00"/>
    <x v="2"/>
    <s v="Shree Ganesh Stores"/>
    <n v="250"/>
    <n v="250"/>
    <m/>
    <m/>
    <m/>
    <m/>
    <m/>
  </r>
  <r>
    <d v="2024-06-15T00:00:00"/>
    <x v="2"/>
    <s v="Nomination Form"/>
    <n v="60"/>
    <n v="60"/>
    <m/>
    <m/>
    <m/>
    <m/>
    <m/>
  </r>
  <r>
    <d v="2024-06-15T00:00:00"/>
    <x v="2"/>
    <s v="Conveyance to visit Builder Office"/>
    <n v="125"/>
    <m/>
    <m/>
    <m/>
    <m/>
    <m/>
    <n v="125"/>
  </r>
  <r>
    <d v="2024-06-20T00:00:00"/>
    <x v="2"/>
    <s v="Tea &amp; Snacks to labours - cleaning water tank"/>
    <n v="100"/>
    <m/>
    <n v="100"/>
    <m/>
    <m/>
    <m/>
    <m/>
  </r>
  <r>
    <d v="2024-06-21T00:00:00"/>
    <x v="2"/>
    <s v="Repairing watch at watchman cabin"/>
    <n v="210"/>
    <m/>
    <m/>
    <n v="210"/>
    <m/>
    <m/>
    <m/>
  </r>
  <r>
    <d v="2024-06-22T00:00:00"/>
    <x v="2"/>
    <s v="Nilkanth Stationery"/>
    <n v="25"/>
    <n v="25"/>
    <m/>
    <m/>
    <m/>
    <m/>
    <m/>
  </r>
  <r>
    <d v="2024-06-22T00:00:00"/>
    <x v="2"/>
    <s v="Ollwyn Xerox"/>
    <n v="336"/>
    <n v="336"/>
    <m/>
    <m/>
    <m/>
    <m/>
    <m/>
  </r>
  <r>
    <d v="2024-07-15T00:00:00"/>
    <x v="3"/>
    <s v="Ollwyn Xerox"/>
    <n v="216"/>
    <n v="216"/>
    <m/>
    <m/>
    <m/>
    <m/>
    <m/>
  </r>
  <r>
    <d v="2024-07-15T00:00:00"/>
    <x v="3"/>
    <s v="Conveyance to visit Advocate Office"/>
    <n v="175"/>
    <m/>
    <m/>
    <m/>
    <m/>
    <m/>
    <n v="175"/>
  </r>
  <r>
    <d v="2024-07-16T00:00:00"/>
    <x v="3"/>
    <s v="Nilkanth Stationery"/>
    <n v="18"/>
    <n v="18"/>
    <m/>
    <m/>
    <m/>
    <m/>
    <m/>
  </r>
  <r>
    <d v="2024-07-23T00:00:00"/>
    <x v="3"/>
    <s v="Nilkanth Stationery"/>
    <n v="42"/>
    <n v="42"/>
    <m/>
    <m/>
    <m/>
    <m/>
    <m/>
  </r>
  <r>
    <d v="2024-07-23T00:00:00"/>
    <x v="3"/>
    <s v="Nilkanth Stationery"/>
    <n v="40"/>
    <n v="40"/>
    <m/>
    <m/>
    <m/>
    <m/>
    <m/>
  </r>
  <r>
    <d v="2024-07-25T00:00:00"/>
    <x v="3"/>
    <s v="Paid to watchman for electrical repairs"/>
    <n v="200"/>
    <m/>
    <m/>
    <n v="200"/>
    <m/>
    <m/>
    <m/>
  </r>
  <r>
    <d v="2024-07-26T00:00:00"/>
    <x v="3"/>
    <s v="Nilkanth Stationery"/>
    <n v="18"/>
    <n v="18"/>
    <m/>
    <m/>
    <m/>
    <m/>
    <m/>
  </r>
  <r>
    <d v="2024-07-26T00:00:00"/>
    <x v="3"/>
    <s v="Selection Centre"/>
    <n v="80"/>
    <n v="80"/>
    <m/>
    <m/>
    <m/>
    <m/>
    <m/>
  </r>
  <r>
    <d v="2024-07-27T00:00:00"/>
    <x v="3"/>
    <s v="Cleaning Society premises"/>
    <n v="150"/>
    <m/>
    <m/>
    <n v="150"/>
    <m/>
    <m/>
    <m/>
  </r>
  <r>
    <d v="2024-07-30T00:00:00"/>
    <x v="3"/>
    <s v="Nilkanth Stationery"/>
    <n v="215"/>
    <n v="215"/>
    <m/>
    <m/>
    <m/>
    <m/>
    <m/>
  </r>
  <r>
    <d v="2024-07-31T00:00:00"/>
    <x v="4"/>
    <s v="Nilkanth Stationery"/>
    <n v="66"/>
    <n v="66"/>
    <m/>
    <m/>
    <m/>
    <m/>
    <m/>
  </r>
  <r>
    <d v="2024-08-18T00:00:00"/>
    <x v="5"/>
    <s v="Water"/>
    <n v="160"/>
    <m/>
    <n v="160"/>
    <m/>
    <m/>
    <m/>
    <m/>
  </r>
  <r>
    <d v="2024-08-20T00:00:00"/>
    <x v="5"/>
    <s v="Nilkanth Stationery"/>
    <n v="103"/>
    <n v="103"/>
    <m/>
    <m/>
    <m/>
    <m/>
    <m/>
  </r>
  <r>
    <d v="2024-08-25T00:00:00"/>
    <x v="5"/>
    <s v="Repairing Tap of overhead water tank"/>
    <n v="500"/>
    <m/>
    <m/>
    <n v="500"/>
    <m/>
    <m/>
    <m/>
  </r>
  <r>
    <d v="2024-08-28T00:00:00"/>
    <x v="5"/>
    <s v="Nilkanth Stationery"/>
    <n v="135"/>
    <n v="135"/>
    <m/>
    <m/>
    <m/>
    <m/>
    <m/>
  </r>
  <r>
    <d v="2024-09-01T00:00:00"/>
    <x v="6"/>
    <s v="Nilkanth Stationery"/>
    <n v="61"/>
    <n v="61"/>
    <m/>
    <m/>
    <m/>
    <m/>
    <m/>
  </r>
  <r>
    <d v="2024-09-12T00:00:00"/>
    <x v="6"/>
    <s v="Nilkanth Stationery"/>
    <n v="36"/>
    <n v="36"/>
    <m/>
    <m/>
    <m/>
    <m/>
    <m/>
  </r>
  <r>
    <d v="2024-09-13T00:00:00"/>
    <x v="6"/>
    <s v="The Mumbai District Co-op Housing  Federation Ltd."/>
    <n v="230"/>
    <n v="230"/>
    <m/>
    <m/>
    <m/>
    <m/>
    <m/>
  </r>
  <r>
    <d v="2024-09-13T00:00:00"/>
    <x v="6"/>
    <s v="Nilkanth Stationery"/>
    <n v="35"/>
    <n v="35"/>
    <m/>
    <m/>
    <m/>
    <m/>
    <m/>
  </r>
  <r>
    <d v="2024-09-15T00:00:00"/>
    <x v="6"/>
    <s v="Nilkanth Stationery"/>
    <n v="300"/>
    <n v="300"/>
    <m/>
    <m/>
    <m/>
    <m/>
    <m/>
  </r>
  <r>
    <d v="2024-09-24T00:00:00"/>
    <x v="6"/>
    <s v="Nilkanth Stationery"/>
    <n v="325"/>
    <n v="325"/>
    <m/>
    <m/>
    <m/>
    <m/>
    <m/>
  </r>
  <r>
    <d v="2024-09-27T00:00:00"/>
    <x v="6"/>
    <s v="Selection Centre"/>
    <n v="80"/>
    <n v="80"/>
    <m/>
    <m/>
    <m/>
    <m/>
    <m/>
  </r>
  <r>
    <d v="2024-09-28T00:00:00"/>
    <x v="6"/>
    <s v="Shree Ganesh Stores"/>
    <n v="200"/>
    <m/>
    <n v="200"/>
    <m/>
    <m/>
    <m/>
    <m/>
  </r>
  <r>
    <d v="2024-09-28T00:00:00"/>
    <x v="6"/>
    <s v="Cleaning Society premises"/>
    <n v="150"/>
    <m/>
    <m/>
    <n v="150"/>
    <m/>
    <m/>
    <m/>
  </r>
  <r>
    <d v="2024-10-04T00:00:00"/>
    <x v="7"/>
    <s v="Nilkanth Stationery"/>
    <n v="85"/>
    <n v="85"/>
    <m/>
    <m/>
    <m/>
    <m/>
    <m/>
  </r>
  <r>
    <d v="2024-10-15T00:00:00"/>
    <x v="7"/>
    <s v="Nilkanth Stationery"/>
    <n v="40"/>
    <n v="40"/>
    <m/>
    <m/>
    <m/>
    <m/>
    <m/>
  </r>
  <r>
    <d v="2024-10-15T00:00:00"/>
    <x v="7"/>
    <s v="Nilkanth Stationery"/>
    <n v="40"/>
    <n v="40"/>
    <m/>
    <m/>
    <m/>
    <m/>
    <m/>
  </r>
  <r>
    <d v="2024-10-16T00:00:00"/>
    <x v="7"/>
    <s v="Nilkanth Stationery"/>
    <n v="34"/>
    <n v="34"/>
    <m/>
    <m/>
    <m/>
    <m/>
    <m/>
  </r>
  <r>
    <d v="2024-10-18T00:00:00"/>
    <x v="7"/>
    <s v="Nilkanth Stationery"/>
    <n v="190"/>
    <n v="190"/>
    <m/>
    <m/>
    <m/>
    <m/>
    <m/>
  </r>
  <r>
    <d v="2024-10-23T00:00:00"/>
    <x v="7"/>
    <s v="Diwali Bonus to Watchman "/>
    <n v="1500"/>
    <m/>
    <m/>
    <m/>
    <n v="1500"/>
    <m/>
    <m/>
  </r>
  <r>
    <d v="2024-10-23T00:00:00"/>
    <x v="7"/>
    <s v="Diwali Bonus to Watchman "/>
    <n v="100"/>
    <m/>
    <m/>
    <m/>
    <n v="100"/>
    <m/>
    <m/>
  </r>
  <r>
    <d v="2024-10-23T00:00:00"/>
    <x v="7"/>
    <s v="Diwali Bonus to Sweepar"/>
    <n v="1500"/>
    <m/>
    <m/>
    <m/>
    <n v="1500"/>
    <m/>
    <m/>
  </r>
  <r>
    <d v="2024-10-23T00:00:00"/>
    <x v="7"/>
    <s v="Diwali Toran"/>
    <n v="200"/>
    <m/>
    <m/>
    <m/>
    <m/>
    <n v="200"/>
    <m/>
  </r>
  <r>
    <d v="2024-10-23T00:00:00"/>
    <x v="7"/>
    <s v="Diwali Bonus to Postman"/>
    <n v="200"/>
    <m/>
    <m/>
    <m/>
    <n v="200"/>
    <m/>
    <m/>
  </r>
  <r>
    <d v="2024-10-23T00:00:00"/>
    <x v="7"/>
    <s v="Diwali Bonus to BMC Labour"/>
    <n v="400"/>
    <m/>
    <m/>
    <m/>
    <n v="400"/>
    <m/>
    <m/>
  </r>
  <r>
    <d v="2024-10-23T00:00:00"/>
    <x v="7"/>
    <s v="Diwali Bonus to BMC - Pest Control"/>
    <n v="400"/>
    <m/>
    <m/>
    <m/>
    <n v="400"/>
    <m/>
    <m/>
  </r>
  <r>
    <d v="2024-10-24T00:00:00"/>
    <x v="7"/>
    <s v="Shree Chamunda Dairy"/>
    <n v="1320"/>
    <m/>
    <n v="1320"/>
    <m/>
    <m/>
    <m/>
    <m/>
  </r>
  <r>
    <d v="2024-10-28T00:00:00"/>
    <x v="7"/>
    <s v="Om Sai Medical &amp; General Stores"/>
    <n v="36"/>
    <m/>
    <m/>
    <n v="36"/>
    <m/>
    <m/>
    <m/>
  </r>
  <r>
    <d v="2024-11-06T00:00:00"/>
    <x v="8"/>
    <s v="Ollwyn Xerox"/>
    <n v="86"/>
    <n v="86"/>
    <m/>
    <m/>
    <m/>
    <m/>
    <m/>
  </r>
  <r>
    <d v="2024-11-16T00:00:00"/>
    <x v="8"/>
    <s v="Colddrinks during meeting"/>
    <n v="175"/>
    <m/>
    <n v="175"/>
    <m/>
    <m/>
    <m/>
    <m/>
  </r>
  <r>
    <d v="2024-12-05T00:00:00"/>
    <x v="9"/>
    <s v="Mahavir Collection"/>
    <n v="80"/>
    <n v="80"/>
    <m/>
    <m/>
    <m/>
    <m/>
    <m/>
  </r>
  <r>
    <d v="2024-12-10T00:00:00"/>
    <x v="9"/>
    <s v="Conveyance to visit Architect's Office"/>
    <n v="150"/>
    <m/>
    <m/>
    <m/>
    <m/>
    <m/>
    <n v="150"/>
  </r>
  <r>
    <d v="2024-12-15T00:00:00"/>
    <x v="9"/>
    <s v="Repairing parking shade"/>
    <n v="700"/>
    <m/>
    <m/>
    <n v="700"/>
    <m/>
    <m/>
    <m/>
  </r>
  <r>
    <d v="2025-02-04T00:00:00"/>
    <x v="10"/>
    <s v="Nilkanth Stationery"/>
    <n v="30"/>
    <n v="30"/>
    <m/>
    <m/>
    <m/>
    <m/>
    <m/>
  </r>
  <r>
    <d v="2025-02-16T00:00:00"/>
    <x v="10"/>
    <s v="Tea &amp; Snacks during meeting"/>
    <n v="150"/>
    <m/>
    <n v="150"/>
    <m/>
    <m/>
    <m/>
    <m/>
  </r>
  <r>
    <d v="2025-02-17T00:00:00"/>
    <x v="10"/>
    <s v="Nilkanth Stationery"/>
    <n v="40"/>
    <n v="40"/>
    <m/>
    <m/>
    <m/>
    <m/>
    <m/>
  </r>
  <r>
    <d v="2025-02-18T00:00:00"/>
    <x v="10"/>
    <s v="Nilkanth Stationery"/>
    <n v="68"/>
    <n v="68"/>
    <m/>
    <m/>
    <m/>
    <m/>
    <m/>
  </r>
  <r>
    <d v="2025-02-19T00:00:00"/>
    <x v="10"/>
    <s v="Shrinath Plastics - Water Bottles"/>
    <n v="160"/>
    <m/>
    <n v="160"/>
    <m/>
    <m/>
    <m/>
    <m/>
  </r>
  <r>
    <d v="2025-02-20T00:00:00"/>
    <x v="10"/>
    <s v="Mahavir Collection"/>
    <n v="20"/>
    <n v="20"/>
    <m/>
    <m/>
    <m/>
    <m/>
    <m/>
  </r>
  <r>
    <d v="2025-02-22T00:00:00"/>
    <x v="10"/>
    <s v="Nilkanth Stationery"/>
    <n v="98"/>
    <n v="98"/>
    <m/>
    <m/>
    <m/>
    <m/>
    <m/>
  </r>
  <r>
    <d v="2025-02-28T00:00:00"/>
    <x v="10"/>
    <s v="Mahavir Collection"/>
    <n v="29"/>
    <n v="29"/>
    <m/>
    <m/>
    <m/>
    <m/>
    <m/>
  </r>
  <r>
    <d v="2025-03-04T00:00:00"/>
    <x v="4"/>
    <s v="Nilkanth Stationery"/>
    <n v="26"/>
    <n v="26"/>
    <m/>
    <m/>
    <m/>
    <m/>
    <m/>
  </r>
  <r>
    <d v="2025-03-06T00:00:00"/>
    <x v="4"/>
    <s v="Mahavir Collection"/>
    <n v="200"/>
    <n v="200"/>
    <m/>
    <m/>
    <m/>
    <m/>
    <m/>
  </r>
  <r>
    <d v="2025-03-06T00:00:00"/>
    <x v="4"/>
    <s v="Nilkanth Stationery"/>
    <n v="306"/>
    <n v="306"/>
    <m/>
    <m/>
    <m/>
    <m/>
    <m/>
  </r>
  <r>
    <d v="2025-03-10T00:00:00"/>
    <x v="4"/>
    <s v="Nilkanth Stationery"/>
    <n v="24"/>
    <n v="24"/>
    <m/>
    <m/>
    <m/>
    <m/>
    <m/>
  </r>
  <r>
    <d v="2025-03-10T00:00:00"/>
    <x v="4"/>
    <s v="Nilkanth Stationery"/>
    <n v="40"/>
    <n v="40"/>
    <m/>
    <m/>
    <m/>
    <m/>
    <m/>
  </r>
  <r>
    <d v="2025-03-11T00:00:00"/>
    <x v="4"/>
    <s v="Nilkanth Stationery"/>
    <n v="63"/>
    <n v="63"/>
    <m/>
    <m/>
    <m/>
    <m/>
    <m/>
  </r>
  <r>
    <d v="2025-03-12T00:00:00"/>
    <x v="4"/>
    <s v="Nilkanth Stationery"/>
    <n v="30"/>
    <n v="30"/>
    <m/>
    <m/>
    <m/>
    <m/>
    <m/>
  </r>
  <r>
    <d v="2025-03-12T00:00:00"/>
    <x v="4"/>
    <s v="Mahavir Collection"/>
    <n v="100"/>
    <n v="100"/>
    <m/>
    <m/>
    <m/>
    <m/>
    <m/>
  </r>
  <r>
    <d v="2025-03-12T00:00:00"/>
    <x v="4"/>
    <s v="Nilkanth Stationery"/>
    <n v="13"/>
    <n v="13"/>
    <m/>
    <m/>
    <m/>
    <m/>
    <m/>
  </r>
  <r>
    <d v="2025-03-15T00:00:00"/>
    <x v="4"/>
    <s v="Nilkanth Stationery"/>
    <n v="12"/>
    <n v="12"/>
    <m/>
    <m/>
    <m/>
    <m/>
    <m/>
  </r>
  <r>
    <d v="2025-03-19T00:00:00"/>
    <x v="4"/>
    <s v="Nilkanth Stationery"/>
    <n v="165"/>
    <n v="165"/>
    <m/>
    <m/>
    <m/>
    <m/>
    <m/>
  </r>
  <r>
    <d v="2025-03-20T00:00:00"/>
    <x v="4"/>
    <s v="Mahavir Collection"/>
    <n v="18"/>
    <n v="18"/>
    <m/>
    <m/>
    <m/>
    <m/>
    <m/>
  </r>
  <r>
    <d v="2025-03-25T00:00:00"/>
    <x v="4"/>
    <s v="Nilkanth Stationery"/>
    <n v="16"/>
    <n v="16"/>
    <m/>
    <m/>
    <m/>
    <m/>
    <m/>
  </r>
  <r>
    <d v="2025-03-25T00:00:00"/>
    <x v="4"/>
    <s v="Nilkanth Stationery"/>
    <n v="12"/>
    <n v="12"/>
    <m/>
    <m/>
    <m/>
    <m/>
    <m/>
  </r>
  <r>
    <d v="2025-03-30T00:00:00"/>
    <x v="4"/>
    <s v="Toran during Gudhi Padwa"/>
    <n v="100"/>
    <m/>
    <m/>
    <m/>
    <m/>
    <n v="100"/>
    <m/>
  </r>
  <r>
    <d v="2025-04-22T00:00:00"/>
    <x v="4"/>
    <s v="Nilkanth Stationery"/>
    <n v="39"/>
    <n v="39"/>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I14" firstHeaderRow="0" firstDataRow="1" firstDataCol="1"/>
  <pivotFields count="12">
    <pivotField numFmtId="14" showAll="0"/>
    <pivotField axis="axisRow" numFmtId="17" showAll="0">
      <items count="15">
        <item x="0"/>
        <item x="1"/>
        <item x="2"/>
        <item x="3"/>
        <item x="4"/>
        <item x="5"/>
        <item x="6"/>
        <item x="7"/>
        <item x="8"/>
        <item x="9"/>
        <item x="10"/>
        <item x="11"/>
        <item x="12"/>
        <item x="13"/>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2">
    <i>
      <x v="2"/>
    </i>
    <i>
      <x v="3"/>
    </i>
    <i>
      <x v="4"/>
    </i>
    <i>
      <x v="5"/>
    </i>
    <i>
      <x v="6"/>
    </i>
    <i>
      <x v="7"/>
    </i>
    <i>
      <x v="8"/>
    </i>
    <i>
      <x v="9"/>
    </i>
    <i>
      <x v="10"/>
    </i>
    <i>
      <x v="11"/>
    </i>
    <i>
      <x v="12"/>
    </i>
    <i t="grand">
      <x/>
    </i>
  </rowItems>
  <colFields count="1">
    <field x="-2"/>
  </colFields>
  <colItems count="7">
    <i>
      <x/>
    </i>
    <i i="1">
      <x v="1"/>
    </i>
    <i i="2">
      <x v="2"/>
    </i>
    <i i="3">
      <x v="3"/>
    </i>
    <i i="4">
      <x v="4"/>
    </i>
    <i i="5">
      <x v="5"/>
    </i>
    <i i="6">
      <x v="6"/>
    </i>
  </colItems>
  <dataFields count="7">
    <dataField name="Sum of Total" fld="3" baseField="0" baseItem="0"/>
    <dataField name="Sum of Printing &amp; Stn" fld="4" baseField="1" baseItem="2"/>
    <dataField name="Sum of Miscellaneous Exp" fld="5" baseField="1" baseItem="2"/>
    <dataField name="Sum of Diwali Bonus" fld="7" baseField="1" baseItem="2"/>
    <dataField name="Sum of Repairs &amp; Maint" fld="6" baseField="1" baseItem="2"/>
    <dataField name="Sum of Function &amp; Festival" fld="8" baseField="1" baseItem="2"/>
    <dataField name="Sum of Conveyance" fld="9"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5"/>
  <sheetViews>
    <sheetView view="pageBreakPreview" zoomScaleNormal="100" workbookViewId="0">
      <selection activeCell="D18" sqref="D18"/>
    </sheetView>
  </sheetViews>
  <sheetFormatPr defaultColWidth="8" defaultRowHeight="13.2" x14ac:dyDescent="0.3"/>
  <cols>
    <col min="1" max="1" width="10.19921875" style="5" customWidth="1"/>
    <col min="2" max="2" width="8.59765625" style="5" customWidth="1"/>
    <col min="3" max="3" width="1" style="5" customWidth="1"/>
    <col min="4" max="4" width="11.69921875" style="5" bestFit="1" customWidth="1"/>
    <col min="5" max="5" width="11.19921875" style="5" customWidth="1"/>
    <col min="6" max="9" width="8" style="5"/>
    <col min="10" max="10" width="5.59765625" style="5" customWidth="1"/>
    <col min="11" max="16384" width="8" style="5"/>
  </cols>
  <sheetData>
    <row r="1" spans="1:12" x14ac:dyDescent="0.3">
      <c r="A1" s="120"/>
      <c r="B1" s="121"/>
      <c r="C1" s="121"/>
      <c r="D1" s="121"/>
      <c r="E1" s="121"/>
      <c r="F1" s="121"/>
      <c r="G1" s="121"/>
      <c r="H1" s="121"/>
      <c r="I1" s="121"/>
      <c r="J1" s="122"/>
    </row>
    <row r="2" spans="1:12" ht="18" customHeight="1" x14ac:dyDescent="0.3">
      <c r="A2" s="123" t="s">
        <v>35</v>
      </c>
      <c r="D2" s="124" t="s">
        <v>852</v>
      </c>
      <c r="J2" s="125"/>
      <c r="L2" s="5" t="s">
        <v>482</v>
      </c>
    </row>
    <row r="3" spans="1:12" ht="18" customHeight="1" x14ac:dyDescent="0.3">
      <c r="A3" s="123" t="s">
        <v>330</v>
      </c>
      <c r="D3" s="5" t="s">
        <v>354</v>
      </c>
      <c r="J3" s="125"/>
    </row>
    <row r="4" spans="1:12" ht="18" customHeight="1" x14ac:dyDescent="0.3">
      <c r="A4" s="126" t="s">
        <v>88</v>
      </c>
      <c r="D4" s="127">
        <v>37627</v>
      </c>
      <c r="J4" s="125"/>
    </row>
    <row r="5" spans="1:12" ht="18" customHeight="1" x14ac:dyDescent="0.3">
      <c r="A5" s="126" t="s">
        <v>89</v>
      </c>
      <c r="D5" s="5" t="s">
        <v>355</v>
      </c>
      <c r="J5" s="125"/>
    </row>
    <row r="6" spans="1:12" ht="18" customHeight="1" x14ac:dyDescent="0.3">
      <c r="A6" s="123" t="s">
        <v>331</v>
      </c>
      <c r="D6" s="5" t="s">
        <v>356</v>
      </c>
      <c r="J6" s="125"/>
    </row>
    <row r="7" spans="1:12" ht="18" customHeight="1" x14ac:dyDescent="0.3">
      <c r="A7" s="632" t="s">
        <v>332</v>
      </c>
      <c r="B7" s="5" t="s">
        <v>333</v>
      </c>
      <c r="D7" s="5" t="s">
        <v>1018</v>
      </c>
      <c r="J7" s="125"/>
    </row>
    <row r="8" spans="1:12" ht="18" customHeight="1" x14ac:dyDescent="0.3">
      <c r="A8" s="632"/>
      <c r="B8" s="5" t="s">
        <v>105</v>
      </c>
      <c r="D8" s="5" t="s">
        <v>1019</v>
      </c>
    </row>
    <row r="9" spans="1:12" s="460" customFormat="1" ht="20.100000000000001" customHeight="1" x14ac:dyDescent="0.25">
      <c r="A9" s="460" t="s">
        <v>334</v>
      </c>
      <c r="B9" s="460" t="s">
        <v>35</v>
      </c>
      <c r="D9" s="5" t="s">
        <v>962</v>
      </c>
      <c r="E9" s="564"/>
      <c r="F9" s="565" t="s">
        <v>412</v>
      </c>
      <c r="G9" s="566"/>
      <c r="H9" s="567"/>
      <c r="I9" s="567"/>
      <c r="J9" s="567"/>
      <c r="K9" s="461"/>
    </row>
    <row r="10" spans="1:12" s="460" customFormat="1" ht="20.100000000000001" customHeight="1" x14ac:dyDescent="0.25">
      <c r="A10" s="460" t="s">
        <v>425</v>
      </c>
      <c r="D10" s="607" t="s">
        <v>963</v>
      </c>
      <c r="E10" s="564"/>
      <c r="F10" s="564"/>
      <c r="G10" s="564"/>
      <c r="H10" s="568"/>
      <c r="I10" s="568"/>
      <c r="J10" s="568"/>
      <c r="K10" s="461"/>
    </row>
    <row r="11" spans="1:12" s="460" customFormat="1" ht="27" customHeight="1" x14ac:dyDescent="0.25">
      <c r="B11" s="460" t="s">
        <v>331</v>
      </c>
      <c r="D11" s="634" t="s">
        <v>964</v>
      </c>
      <c r="E11" s="634"/>
      <c r="F11" s="634"/>
      <c r="G11" s="634"/>
      <c r="H11" s="634"/>
      <c r="I11" s="634"/>
      <c r="J11" s="634"/>
      <c r="K11" s="461"/>
    </row>
    <row r="12" spans="1:12" ht="18" customHeight="1" x14ac:dyDescent="0.3">
      <c r="A12" s="123" t="s">
        <v>335</v>
      </c>
      <c r="D12" s="633">
        <f>+D16</f>
        <v>46275</v>
      </c>
      <c r="E12" s="633"/>
      <c r="F12" s="633"/>
      <c r="G12" s="4"/>
      <c r="J12" s="125"/>
    </row>
    <row r="13" spans="1:12" ht="18" customHeight="1" x14ac:dyDescent="0.3">
      <c r="A13" s="126" t="s">
        <v>336</v>
      </c>
      <c r="D13" s="128"/>
      <c r="H13" s="130"/>
      <c r="J13" s="125"/>
    </row>
    <row r="14" spans="1:12" ht="18" customHeight="1" x14ac:dyDescent="0.3">
      <c r="A14" s="123" t="s">
        <v>337</v>
      </c>
      <c r="D14" s="127">
        <v>46266</v>
      </c>
      <c r="G14" s="4"/>
      <c r="J14" s="125"/>
    </row>
    <row r="15" spans="1:12" ht="18" customHeight="1" x14ac:dyDescent="0.3">
      <c r="A15" s="123" t="s">
        <v>338</v>
      </c>
      <c r="D15" s="127">
        <v>45909</v>
      </c>
      <c r="G15" s="4"/>
      <c r="J15" s="125"/>
    </row>
    <row r="16" spans="1:12" ht="18" customHeight="1" x14ac:dyDescent="0.3">
      <c r="A16" s="126" t="s">
        <v>339</v>
      </c>
      <c r="D16" s="127">
        <v>46275</v>
      </c>
      <c r="J16" s="125"/>
    </row>
    <row r="17" spans="1:10" ht="18" customHeight="1" x14ac:dyDescent="0.3">
      <c r="A17" s="126" t="s">
        <v>340</v>
      </c>
      <c r="D17" s="444">
        <v>45928</v>
      </c>
      <c r="E17" s="420" t="s">
        <v>627</v>
      </c>
      <c r="F17" s="319"/>
      <c r="J17" s="125"/>
    </row>
    <row r="18" spans="1:10" ht="18" customHeight="1" x14ac:dyDescent="0.3">
      <c r="A18" s="126" t="s">
        <v>341</v>
      </c>
      <c r="D18" s="562" t="s">
        <v>965</v>
      </c>
      <c r="J18" s="125"/>
    </row>
    <row r="19" spans="1:10" ht="18" customHeight="1" x14ac:dyDescent="0.3">
      <c r="A19" s="123" t="s">
        <v>342</v>
      </c>
      <c r="D19" s="563">
        <v>10</v>
      </c>
      <c r="J19" s="125"/>
    </row>
    <row r="20" spans="1:10" ht="18" customHeight="1" x14ac:dyDescent="0.3">
      <c r="A20" s="126" t="s">
        <v>165</v>
      </c>
      <c r="D20" s="5" t="s">
        <v>343</v>
      </c>
      <c r="J20" s="125"/>
    </row>
    <row r="21" spans="1:10" ht="18" customHeight="1" x14ac:dyDescent="0.3">
      <c r="A21" s="126" t="s">
        <v>344</v>
      </c>
      <c r="D21" s="129" t="s">
        <v>121</v>
      </c>
      <c r="J21" s="125"/>
    </row>
    <row r="22" spans="1:10" ht="18" customHeight="1" x14ac:dyDescent="0.3">
      <c r="A22" s="631" t="s">
        <v>170</v>
      </c>
      <c r="B22" s="5" t="s">
        <v>345</v>
      </c>
      <c r="D22" s="5">
        <v>3000</v>
      </c>
      <c r="J22" s="125"/>
    </row>
    <row r="23" spans="1:10" ht="18" customHeight="1" x14ac:dyDescent="0.3">
      <c r="A23" s="631"/>
      <c r="B23" s="5" t="s">
        <v>346</v>
      </c>
      <c r="D23" s="127" t="s">
        <v>966</v>
      </c>
      <c r="E23" s="127">
        <v>45382</v>
      </c>
      <c r="J23" s="125"/>
    </row>
    <row r="24" spans="1:10" ht="18" customHeight="1" x14ac:dyDescent="0.3">
      <c r="A24" s="631"/>
      <c r="B24" s="5" t="s">
        <v>347</v>
      </c>
      <c r="D24" s="127"/>
      <c r="J24" s="125"/>
    </row>
    <row r="25" spans="1:10" ht="18" customHeight="1" x14ac:dyDescent="0.3">
      <c r="A25" s="123" t="s">
        <v>61</v>
      </c>
      <c r="B25" s="5" t="s">
        <v>35</v>
      </c>
      <c r="D25" s="5" t="s">
        <v>804</v>
      </c>
      <c r="J25" s="125"/>
    </row>
    <row r="26" spans="1:10" ht="18" customHeight="1" x14ac:dyDescent="0.3">
      <c r="A26" s="126" t="s">
        <v>183</v>
      </c>
      <c r="J26" s="125"/>
    </row>
    <row r="27" spans="1:10" ht="18" customHeight="1" x14ac:dyDescent="0.3">
      <c r="A27" s="630" t="s">
        <v>348</v>
      </c>
      <c r="B27" s="5" t="s">
        <v>345</v>
      </c>
      <c r="D27" s="130" t="s">
        <v>91</v>
      </c>
      <c r="J27" s="125"/>
    </row>
    <row r="28" spans="1:10" ht="18" customHeight="1" x14ac:dyDescent="0.3">
      <c r="A28" s="630"/>
      <c r="B28" s="5" t="s">
        <v>41</v>
      </c>
      <c r="D28" s="127"/>
      <c r="J28" s="125"/>
    </row>
    <row r="29" spans="1:10" ht="18" customHeight="1" x14ac:dyDescent="0.3">
      <c r="A29" s="630"/>
      <c r="B29" s="5" t="s">
        <v>35</v>
      </c>
      <c r="D29" s="5" t="str">
        <f>+D25</f>
        <v>Shri. Dilip Kalgutkar</v>
      </c>
      <c r="J29" s="125"/>
    </row>
    <row r="30" spans="1:10" ht="18" customHeight="1" x14ac:dyDescent="0.3">
      <c r="A30" s="630"/>
      <c r="B30" s="5" t="s">
        <v>349</v>
      </c>
      <c r="D30" s="5" t="s">
        <v>61</v>
      </c>
      <c r="J30" s="125"/>
    </row>
    <row r="31" spans="1:10" x14ac:dyDescent="0.3">
      <c r="A31" s="123"/>
      <c r="J31" s="125"/>
    </row>
    <row r="32" spans="1:10" x14ac:dyDescent="0.3">
      <c r="A32" s="131"/>
      <c r="B32" s="132"/>
      <c r="C32" s="132"/>
      <c r="D32" s="132"/>
      <c r="E32" s="132"/>
      <c r="F32" s="132"/>
      <c r="G32" s="132"/>
      <c r="H32" s="132"/>
      <c r="I32" s="132"/>
      <c r="J32" s="133"/>
    </row>
    <row r="37" spans="2:4" ht="18" customHeight="1" x14ac:dyDescent="0.3">
      <c r="B37" s="5">
        <v>1</v>
      </c>
      <c r="D37" s="429">
        <v>42848</v>
      </c>
    </row>
    <row r="38" spans="2:4" ht="18" customHeight="1" x14ac:dyDescent="0.3">
      <c r="B38" s="5">
        <v>2</v>
      </c>
      <c r="D38" s="429">
        <v>42883</v>
      </c>
    </row>
    <row r="39" spans="2:4" ht="18" customHeight="1" x14ac:dyDescent="0.3">
      <c r="B39" s="5">
        <v>3</v>
      </c>
      <c r="D39" s="429">
        <v>42912</v>
      </c>
    </row>
    <row r="40" spans="2:4" ht="18" customHeight="1" x14ac:dyDescent="0.3">
      <c r="B40" s="5">
        <v>4</v>
      </c>
      <c r="D40" s="429">
        <v>42939</v>
      </c>
    </row>
    <row r="41" spans="2:4" ht="18" customHeight="1" x14ac:dyDescent="0.3">
      <c r="B41" s="5">
        <v>5</v>
      </c>
      <c r="D41" s="429">
        <v>42967</v>
      </c>
    </row>
    <row r="42" spans="2:4" ht="18" customHeight="1" x14ac:dyDescent="0.3">
      <c r="B42" s="5">
        <v>6</v>
      </c>
      <c r="D42" s="429">
        <v>43037</v>
      </c>
    </row>
    <row r="43" spans="2:4" ht="18" customHeight="1" x14ac:dyDescent="0.3">
      <c r="B43" s="5">
        <v>7</v>
      </c>
      <c r="D43" s="429">
        <v>43065</v>
      </c>
    </row>
    <row r="44" spans="2:4" ht="18" customHeight="1" x14ac:dyDescent="0.3">
      <c r="B44" s="5">
        <v>8</v>
      </c>
      <c r="D44" s="429">
        <v>43094</v>
      </c>
    </row>
    <row r="45" spans="2:4" ht="18" customHeight="1" x14ac:dyDescent="0.3">
      <c r="B45" s="5">
        <v>9</v>
      </c>
      <c r="D45" s="429">
        <v>43128</v>
      </c>
    </row>
    <row r="46" spans="2:4" ht="18" customHeight="1" x14ac:dyDescent="0.3">
      <c r="B46" s="5">
        <v>10</v>
      </c>
      <c r="D46" s="429">
        <v>43156</v>
      </c>
    </row>
    <row r="47" spans="2:4" ht="18" customHeight="1" x14ac:dyDescent="0.3">
      <c r="B47" s="5">
        <v>11</v>
      </c>
      <c r="D47" s="429">
        <v>43189</v>
      </c>
    </row>
    <row r="48" spans="2:4" ht="18" customHeight="1" x14ac:dyDescent="0.3">
      <c r="B48" s="5">
        <v>12</v>
      </c>
      <c r="D48" s="429"/>
    </row>
    <row r="49" spans="2:4" ht="18" customHeight="1" x14ac:dyDescent="0.3">
      <c r="B49" s="5">
        <v>13</v>
      </c>
      <c r="D49" s="429"/>
    </row>
    <row r="50" spans="2:4" ht="18" customHeight="1" x14ac:dyDescent="0.3">
      <c r="D50" s="429"/>
    </row>
    <row r="51" spans="2:4" ht="18" customHeight="1" x14ac:dyDescent="0.3">
      <c r="D51" s="429"/>
    </row>
    <row r="52" spans="2:4" ht="18" customHeight="1" x14ac:dyDescent="0.3">
      <c r="D52" s="429"/>
    </row>
    <row r="53" spans="2:4" ht="18" customHeight="1" x14ac:dyDescent="0.3">
      <c r="D53" s="429"/>
    </row>
    <row r="54" spans="2:4" ht="18" customHeight="1" x14ac:dyDescent="0.3">
      <c r="D54" s="429"/>
    </row>
    <row r="55" spans="2:4" ht="18" customHeight="1" x14ac:dyDescent="0.3">
      <c r="D55" s="429"/>
    </row>
    <row r="56" spans="2:4" ht="18" customHeight="1" x14ac:dyDescent="0.3">
      <c r="D56" s="429"/>
    </row>
    <row r="57" spans="2:4" ht="18" customHeight="1" x14ac:dyDescent="0.3">
      <c r="D57" s="429"/>
    </row>
    <row r="58" spans="2:4" ht="18" customHeight="1" x14ac:dyDescent="0.3">
      <c r="D58" s="429"/>
    </row>
    <row r="59" spans="2:4" ht="18" customHeight="1" x14ac:dyDescent="0.3">
      <c r="D59" s="429"/>
    </row>
    <row r="60" spans="2:4" ht="18" customHeight="1" x14ac:dyDescent="0.3">
      <c r="D60" s="429"/>
    </row>
    <row r="61" spans="2:4" ht="18" customHeight="1" x14ac:dyDescent="0.3">
      <c r="D61" s="429"/>
    </row>
    <row r="62" spans="2:4" ht="18" customHeight="1" x14ac:dyDescent="0.3">
      <c r="D62" s="429"/>
    </row>
    <row r="63" spans="2:4" ht="18" customHeight="1" x14ac:dyDescent="0.3">
      <c r="D63" s="429"/>
    </row>
    <row r="64" spans="2:4" x14ac:dyDescent="0.3">
      <c r="D64" s="318"/>
    </row>
    <row r="65" spans="4:4" x14ac:dyDescent="0.3">
      <c r="D65" s="318"/>
    </row>
  </sheetData>
  <mergeCells count="5">
    <mergeCell ref="A27:A30"/>
    <mergeCell ref="A22:A24"/>
    <mergeCell ref="A7:A8"/>
    <mergeCell ref="D12:F12"/>
    <mergeCell ref="D11:J11"/>
  </mergeCells>
  <phoneticPr fontId="3" type="noConversion"/>
  <pageMargins left="0.75" right="0.75" top="0.61" bottom="1" header="0.5" footer="0.5"/>
  <pageSetup paperSize="40" orientation="portrait" horizontalDpi="120" verticalDpi="14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45"/>
  <sheetViews>
    <sheetView view="pageBreakPreview" topLeftCell="A11" zoomScaleNormal="100" workbookViewId="0">
      <selection activeCell="A21" sqref="A21"/>
    </sheetView>
  </sheetViews>
  <sheetFormatPr defaultRowHeight="15.6" x14ac:dyDescent="0.3"/>
  <sheetData>
    <row r="1" spans="1:10" ht="16.2" thickTop="1" x14ac:dyDescent="0.3">
      <c r="A1" s="135"/>
      <c r="B1" s="136"/>
      <c r="C1" s="136"/>
      <c r="D1" s="136"/>
      <c r="E1" s="136"/>
      <c r="F1" s="136"/>
      <c r="G1" s="136"/>
      <c r="H1" s="136"/>
      <c r="I1" s="136"/>
      <c r="J1" s="137"/>
    </row>
    <row r="2" spans="1:10" x14ac:dyDescent="0.3">
      <c r="A2" s="138"/>
      <c r="J2" s="139"/>
    </row>
    <row r="3" spans="1:10" s="511" customFormat="1" ht="34.200000000000003" x14ac:dyDescent="0.8">
      <c r="A3" s="635" t="s">
        <v>731</v>
      </c>
      <c r="B3" s="636"/>
      <c r="C3" s="636"/>
      <c r="D3" s="636"/>
      <c r="E3" s="636"/>
      <c r="F3" s="636"/>
      <c r="G3" s="636"/>
      <c r="H3" s="636"/>
      <c r="I3" s="636"/>
      <c r="J3" s="637"/>
    </row>
    <row r="4" spans="1:10" s="511" customFormat="1" x14ac:dyDescent="0.3">
      <c r="A4" s="512"/>
      <c r="J4" s="513"/>
    </row>
    <row r="5" spans="1:10" s="511" customFormat="1" x14ac:dyDescent="0.3">
      <c r="A5" s="512"/>
      <c r="J5" s="513"/>
    </row>
    <row r="6" spans="1:10" s="511" customFormat="1" x14ac:dyDescent="0.3">
      <c r="A6" s="512"/>
      <c r="J6" s="513"/>
    </row>
    <row r="7" spans="1:10" s="511" customFormat="1" x14ac:dyDescent="0.3">
      <c r="A7" s="512"/>
      <c r="J7" s="513"/>
    </row>
    <row r="8" spans="1:10" s="511" customFormat="1" x14ac:dyDescent="0.3">
      <c r="A8" s="512"/>
      <c r="J8" s="513"/>
    </row>
    <row r="9" spans="1:10" s="511" customFormat="1" x14ac:dyDescent="0.3">
      <c r="A9" s="512"/>
      <c r="J9" s="513"/>
    </row>
    <row r="10" spans="1:10" x14ac:dyDescent="0.3">
      <c r="A10" s="138"/>
      <c r="J10" s="139"/>
    </row>
    <row r="11" spans="1:10" x14ac:dyDescent="0.3">
      <c r="A11" s="138"/>
      <c r="J11" s="139"/>
    </row>
    <row r="12" spans="1:10" x14ac:dyDescent="0.3">
      <c r="A12" s="138"/>
      <c r="J12" s="139"/>
    </row>
    <row r="13" spans="1:10" ht="50.1" customHeight="1" x14ac:dyDescent="0.3">
      <c r="A13" s="644" t="str">
        <f>+TIT!D2</f>
        <v>NAVANAND CO-OPERATIVE. HOUSING SOCIETY LTD.</v>
      </c>
      <c r="B13" s="645"/>
      <c r="C13" s="645"/>
      <c r="D13" s="645"/>
      <c r="E13" s="645"/>
      <c r="F13" s="645"/>
      <c r="G13" s="645"/>
      <c r="H13" s="645"/>
      <c r="I13" s="645"/>
      <c r="J13" s="646"/>
    </row>
    <row r="14" spans="1:10" ht="50.1" customHeight="1" x14ac:dyDescent="0.3">
      <c r="A14" s="644"/>
      <c r="B14" s="645"/>
      <c r="C14" s="645"/>
      <c r="D14" s="645"/>
      <c r="E14" s="645"/>
      <c r="F14" s="645"/>
      <c r="G14" s="645"/>
      <c r="H14" s="645"/>
      <c r="I14" s="645"/>
      <c r="J14" s="646"/>
    </row>
    <row r="15" spans="1:10" ht="33" customHeight="1" x14ac:dyDescent="0.6">
      <c r="A15" s="647" t="str">
        <f>+TIT!D3</f>
        <v xml:space="preserve"> BOM/WR/HSG/TC/11905 DT. 06/01/2003</v>
      </c>
      <c r="B15" s="648"/>
      <c r="C15" s="648"/>
      <c r="D15" s="648"/>
      <c r="E15" s="648"/>
      <c r="F15" s="648"/>
      <c r="G15" s="648"/>
      <c r="H15" s="648"/>
      <c r="I15" s="648"/>
      <c r="J15" s="649"/>
    </row>
    <row r="16" spans="1:10" ht="27" customHeight="1" x14ac:dyDescent="0.3">
      <c r="A16" s="650" t="str">
        <f>+TIT!D6</f>
        <v>Maratha Colony Road, Dahisar - East, Mumbai - 400 068</v>
      </c>
      <c r="B16" s="651"/>
      <c r="C16" s="651"/>
      <c r="D16" s="651"/>
      <c r="E16" s="651"/>
      <c r="F16" s="651"/>
      <c r="G16" s="651"/>
      <c r="H16" s="651"/>
      <c r="I16" s="651"/>
      <c r="J16" s="652"/>
    </row>
    <row r="17" spans="1:10" ht="21.9" customHeight="1" x14ac:dyDescent="0.3">
      <c r="A17" s="650"/>
      <c r="B17" s="651"/>
      <c r="C17" s="651"/>
      <c r="D17" s="651"/>
      <c r="E17" s="651"/>
      <c r="F17" s="651"/>
      <c r="G17" s="651"/>
      <c r="H17" s="651"/>
      <c r="I17" s="651"/>
      <c r="J17" s="652"/>
    </row>
    <row r="18" spans="1:10" ht="21.9" customHeight="1" x14ac:dyDescent="0.3">
      <c r="A18" s="140"/>
      <c r="B18" s="103"/>
      <c r="C18" s="103"/>
      <c r="D18" s="103"/>
      <c r="E18" s="103"/>
      <c r="F18" s="103"/>
      <c r="G18" s="103"/>
      <c r="H18" s="103"/>
      <c r="I18" s="103"/>
      <c r="J18" s="141"/>
    </row>
    <row r="19" spans="1:10" ht="21.9" customHeight="1" x14ac:dyDescent="0.3">
      <c r="A19" s="653" t="s">
        <v>1020</v>
      </c>
      <c r="B19" s="654"/>
      <c r="C19" s="654"/>
      <c r="D19" s="654"/>
      <c r="E19" s="654"/>
      <c r="F19" s="654"/>
      <c r="G19" s="654"/>
      <c r="H19" s="654"/>
      <c r="I19" s="654"/>
      <c r="J19" s="655"/>
    </row>
    <row r="20" spans="1:10" ht="21.9" customHeight="1" x14ac:dyDescent="0.3">
      <c r="A20" s="653"/>
      <c r="B20" s="654"/>
      <c r="C20" s="654"/>
      <c r="D20" s="654"/>
      <c r="E20" s="654"/>
      <c r="F20" s="654"/>
      <c r="G20" s="654"/>
      <c r="H20" s="654"/>
      <c r="I20" s="654"/>
      <c r="J20" s="655"/>
    </row>
    <row r="21" spans="1:10" x14ac:dyDescent="0.3">
      <c r="A21" s="138"/>
      <c r="J21" s="139"/>
    </row>
    <row r="22" spans="1:10" x14ac:dyDescent="0.3">
      <c r="A22" s="138"/>
      <c r="J22" s="139"/>
    </row>
    <row r="23" spans="1:10" x14ac:dyDescent="0.3">
      <c r="A23" s="138"/>
      <c r="J23" s="139"/>
    </row>
    <row r="24" spans="1:10" x14ac:dyDescent="0.3">
      <c r="A24" s="138"/>
      <c r="J24" s="139"/>
    </row>
    <row r="25" spans="1:10" x14ac:dyDescent="0.3">
      <c r="A25" s="138"/>
      <c r="J25" s="139"/>
    </row>
    <row r="26" spans="1:10" x14ac:dyDescent="0.3">
      <c r="A26" s="138"/>
      <c r="J26" s="139"/>
    </row>
    <row r="27" spans="1:10" x14ac:dyDescent="0.3">
      <c r="A27" s="138"/>
      <c r="J27" s="139"/>
    </row>
    <row r="28" spans="1:10" x14ac:dyDescent="0.3">
      <c r="A28" s="138"/>
      <c r="J28" s="139"/>
    </row>
    <row r="29" spans="1:10" x14ac:dyDescent="0.3">
      <c r="A29" s="138"/>
      <c r="J29" s="139"/>
    </row>
    <row r="30" spans="1:10" x14ac:dyDescent="0.3">
      <c r="A30" s="138"/>
      <c r="J30" s="139"/>
    </row>
    <row r="31" spans="1:10" x14ac:dyDescent="0.3">
      <c r="A31" s="138"/>
      <c r="J31" s="139"/>
    </row>
    <row r="32" spans="1:10" x14ac:dyDescent="0.3">
      <c r="A32" s="138"/>
      <c r="J32" s="139"/>
    </row>
    <row r="33" spans="1:10" x14ac:dyDescent="0.3">
      <c r="A33" s="638" t="s">
        <v>385</v>
      </c>
      <c r="B33" s="639"/>
      <c r="C33" s="639"/>
      <c r="D33" s="639"/>
      <c r="E33" s="639"/>
      <c r="F33" s="639"/>
      <c r="G33" s="639"/>
      <c r="H33" s="639"/>
      <c r="I33" s="639"/>
      <c r="J33" s="640"/>
    </row>
    <row r="34" spans="1:10" ht="30" x14ac:dyDescent="0.5">
      <c r="A34" s="660" t="str">
        <f>+TIT!D9</f>
        <v>Shri. Bharat C. Boridkar</v>
      </c>
      <c r="B34" s="661"/>
      <c r="C34" s="661"/>
      <c r="D34" s="661"/>
      <c r="E34" s="661"/>
      <c r="F34" s="661"/>
      <c r="G34" s="661"/>
      <c r="H34" s="661"/>
      <c r="I34" s="661"/>
      <c r="J34" s="662"/>
    </row>
    <row r="35" spans="1:10" ht="27.6" x14ac:dyDescent="0.65">
      <c r="A35" s="641" t="s">
        <v>412</v>
      </c>
      <c r="B35" s="642"/>
      <c r="C35" s="642"/>
      <c r="D35" s="642"/>
      <c r="E35" s="642"/>
      <c r="F35" s="642"/>
      <c r="G35" s="642"/>
      <c r="H35" s="642"/>
      <c r="I35" s="642"/>
      <c r="J35" s="643"/>
    </row>
    <row r="36" spans="1:10" ht="21.9" customHeight="1" x14ac:dyDescent="0.3">
      <c r="A36" s="656" t="str">
        <f>+TIT!D11</f>
        <v>Boridkar House, Pandurang Bhoir Road, Dahisar - West, Mumbai, Mumbai - 400 068</v>
      </c>
      <c r="B36" s="657"/>
      <c r="C36" s="657"/>
      <c r="D36" s="657"/>
      <c r="E36" s="657"/>
      <c r="F36" s="657"/>
      <c r="G36" s="657"/>
      <c r="H36" s="657"/>
      <c r="I36" s="657"/>
      <c r="J36" s="658"/>
    </row>
    <row r="37" spans="1:10" ht="21.9" customHeight="1" x14ac:dyDescent="0.3">
      <c r="A37" s="659"/>
      <c r="B37" s="657"/>
      <c r="C37" s="657"/>
      <c r="D37" s="657"/>
      <c r="E37" s="657"/>
      <c r="F37" s="657"/>
      <c r="G37" s="657"/>
      <c r="H37" s="657"/>
      <c r="I37" s="657"/>
      <c r="J37" s="658"/>
    </row>
    <row r="38" spans="1:10" x14ac:dyDescent="0.3">
      <c r="A38" s="638" t="s">
        <v>385</v>
      </c>
      <c r="B38" s="639"/>
      <c r="C38" s="639"/>
      <c r="D38" s="639"/>
      <c r="E38" s="639"/>
      <c r="F38" s="639"/>
      <c r="G38" s="639"/>
      <c r="H38" s="639"/>
      <c r="I38" s="639"/>
      <c r="J38" s="640"/>
    </row>
    <row r="39" spans="1:10" x14ac:dyDescent="0.3">
      <c r="A39" s="138"/>
      <c r="J39" s="139"/>
    </row>
    <row r="40" spans="1:10" x14ac:dyDescent="0.3">
      <c r="A40" s="138"/>
      <c r="J40" s="139"/>
    </row>
    <row r="41" spans="1:10" x14ac:dyDescent="0.3">
      <c r="A41" s="138"/>
      <c r="J41" s="139"/>
    </row>
    <row r="42" spans="1:10" x14ac:dyDescent="0.3">
      <c r="A42" s="138"/>
      <c r="J42" s="139"/>
    </row>
    <row r="43" spans="1:10" x14ac:dyDescent="0.3">
      <c r="A43" s="138"/>
      <c r="J43" s="139"/>
    </row>
    <row r="44" spans="1:10" ht="16.2" thickBot="1" x14ac:dyDescent="0.35">
      <c r="A44" s="142"/>
      <c r="B44" s="143"/>
      <c r="C44" s="143"/>
      <c r="D44" s="143"/>
      <c r="E44" s="143"/>
      <c r="F44" s="143"/>
      <c r="G44" s="143"/>
      <c r="H44" s="143"/>
      <c r="I44" s="143"/>
      <c r="J44" s="144"/>
    </row>
    <row r="45" spans="1:10" ht="16.2" thickTop="1" x14ac:dyDescent="0.3"/>
  </sheetData>
  <mergeCells count="10">
    <mergeCell ref="A3:J3"/>
    <mergeCell ref="A38:J38"/>
    <mergeCell ref="A35:J35"/>
    <mergeCell ref="A13:J14"/>
    <mergeCell ref="A15:J15"/>
    <mergeCell ref="A16:J17"/>
    <mergeCell ref="A19:J20"/>
    <mergeCell ref="A36:J37"/>
    <mergeCell ref="A33:J33"/>
    <mergeCell ref="A34:J34"/>
  </mergeCells>
  <phoneticPr fontId="3" type="noConversion"/>
  <printOptions horizontalCentered="1" verticalCentered="1"/>
  <pageMargins left="0.25" right="0.25" top="0.5" bottom="0.5" header="0.5" footer="0.5"/>
  <pageSetup paperSize="9" scale="91" orientation="portrait" verticalDpi="18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9"/>
  <sheetViews>
    <sheetView view="pageBreakPreview" topLeftCell="A8" zoomScaleNormal="100" zoomScaleSheetLayoutView="100" workbookViewId="0">
      <selection activeCell="A15" sqref="A15:L15"/>
    </sheetView>
  </sheetViews>
  <sheetFormatPr defaultColWidth="9" defaultRowHeight="13.8" x14ac:dyDescent="0.25"/>
  <cols>
    <col min="1" max="1" width="4.09765625" style="145" customWidth="1"/>
    <col min="2" max="2" width="4.19921875" style="145" customWidth="1"/>
    <col min="3" max="3" width="7.8984375" style="145" customWidth="1"/>
    <col min="4" max="6" width="9" style="145"/>
    <col min="7" max="7" width="8.69921875" style="145" customWidth="1"/>
    <col min="8" max="8" width="8.3984375" style="145" customWidth="1"/>
    <col min="9" max="9" width="8.8984375" style="145" customWidth="1"/>
    <col min="10" max="10" width="8.5" style="145" customWidth="1"/>
    <col min="11" max="11" width="8.19921875" style="145" customWidth="1"/>
    <col min="12" max="12" width="7.09765625" style="145" customWidth="1"/>
    <col min="13" max="14" width="9" style="145"/>
    <col min="15" max="15" width="10.19921875" style="145" customWidth="1"/>
    <col min="16" max="16" width="9" style="145"/>
    <col min="17" max="17" width="13.3984375" style="145" bestFit="1" customWidth="1"/>
    <col min="18" max="16384" width="9" style="145"/>
  </cols>
  <sheetData>
    <row r="1" spans="1:27" ht="3" customHeight="1" x14ac:dyDescent="0.25">
      <c r="A1" s="667"/>
      <c r="B1" s="667"/>
      <c r="C1" s="667"/>
      <c r="D1" s="667"/>
      <c r="E1" s="667"/>
      <c r="F1" s="667"/>
      <c r="G1" s="667"/>
      <c r="H1" s="667"/>
      <c r="I1" s="667"/>
      <c r="J1" s="667"/>
      <c r="K1" s="667"/>
      <c r="L1" s="667"/>
      <c r="M1" s="667"/>
      <c r="N1" s="667"/>
    </row>
    <row r="2" spans="1:27" ht="27" customHeight="1" x14ac:dyDescent="0.25">
      <c r="A2" s="668" t="str">
        <f>+TIT!D9</f>
        <v>Shri. Bharat C. Boridkar</v>
      </c>
      <c r="B2" s="668"/>
      <c r="C2" s="668"/>
      <c r="D2" s="668"/>
      <c r="E2" s="668"/>
      <c r="F2" s="668"/>
      <c r="G2" s="668"/>
      <c r="H2" s="668"/>
      <c r="I2" s="668"/>
      <c r="J2" s="668"/>
      <c r="K2" s="668"/>
      <c r="L2" s="668"/>
    </row>
    <row r="3" spans="1:27" ht="24.6" x14ac:dyDescent="0.25">
      <c r="A3" s="669" t="s">
        <v>412</v>
      </c>
      <c r="B3" s="669"/>
      <c r="C3" s="669"/>
      <c r="D3" s="669"/>
      <c r="E3" s="669"/>
      <c r="F3" s="669"/>
      <c r="G3" s="669"/>
      <c r="H3" s="669"/>
      <c r="I3" s="669"/>
      <c r="J3" s="669"/>
      <c r="K3" s="669"/>
      <c r="L3" s="669"/>
      <c r="Q3" s="378"/>
    </row>
    <row r="4" spans="1:27" ht="14.4" x14ac:dyDescent="0.3">
      <c r="A4" s="670" t="str">
        <f>+TIT!D11</f>
        <v>Boridkar House, Pandurang Bhoir Road, Dahisar - West, Mumbai, Mumbai - 400 068</v>
      </c>
      <c r="B4" s="670"/>
      <c r="C4" s="670"/>
      <c r="D4" s="670"/>
      <c r="E4" s="670"/>
      <c r="F4" s="670"/>
      <c r="G4" s="670"/>
      <c r="H4" s="670"/>
      <c r="I4" s="670"/>
      <c r="J4" s="670"/>
      <c r="K4" s="670"/>
      <c r="L4" s="670"/>
      <c r="Q4" s="671"/>
      <c r="R4" s="672"/>
    </row>
    <row r="5" spans="1:27" x14ac:dyDescent="0.25">
      <c r="A5" s="159"/>
      <c r="B5" s="379"/>
      <c r="C5" s="379"/>
      <c r="D5" s="379"/>
      <c r="E5" s="379"/>
      <c r="F5" s="379"/>
      <c r="G5" s="379"/>
      <c r="H5" s="379"/>
      <c r="I5" s="379"/>
      <c r="J5" s="379"/>
      <c r="K5" s="379"/>
      <c r="L5" s="379"/>
    </row>
    <row r="6" spans="1:27" x14ac:dyDescent="0.25">
      <c r="A6" s="380"/>
      <c r="B6" s="380"/>
      <c r="C6" s="380"/>
      <c r="D6" s="380"/>
      <c r="E6" s="380"/>
      <c r="F6" s="380"/>
      <c r="G6" s="380"/>
      <c r="H6" s="380"/>
      <c r="I6" s="380"/>
      <c r="J6" s="380"/>
      <c r="K6" s="380"/>
      <c r="L6" s="380"/>
    </row>
    <row r="7" spans="1:27" ht="18" customHeight="1" x14ac:dyDescent="0.3">
      <c r="A7" s="381" t="s">
        <v>443</v>
      </c>
      <c r="B7" s="382"/>
      <c r="C7" s="382"/>
      <c r="D7" s="382"/>
      <c r="E7" s="382"/>
      <c r="F7" s="382"/>
      <c r="G7" s="382"/>
      <c r="H7" s="382"/>
      <c r="I7" s="382"/>
      <c r="J7" s="382"/>
      <c r="K7" s="382"/>
      <c r="L7" s="382"/>
    </row>
    <row r="8" spans="1:27" ht="18" customHeight="1" x14ac:dyDescent="0.3">
      <c r="A8" s="381" t="s">
        <v>481</v>
      </c>
      <c r="B8" s="382"/>
      <c r="C8" s="382"/>
      <c r="D8" s="382"/>
      <c r="E8" s="382"/>
      <c r="F8" s="382"/>
      <c r="G8" s="382"/>
      <c r="H8" s="382"/>
      <c r="I8" s="382"/>
      <c r="J8" s="382"/>
      <c r="K8" s="382"/>
      <c r="L8" s="382"/>
    </row>
    <row r="9" spans="1:27" ht="18" customHeight="1" x14ac:dyDescent="0.3">
      <c r="A9" s="381" t="str">
        <f>+TIT!D2</f>
        <v>NAVANAND CO-OPERATIVE. HOUSING SOCIETY LTD.</v>
      </c>
      <c r="B9" s="382"/>
      <c r="C9" s="382"/>
      <c r="D9" s="382"/>
      <c r="E9" s="382"/>
      <c r="F9" s="382"/>
      <c r="G9" s="382"/>
      <c r="H9" s="382"/>
      <c r="I9" s="382"/>
      <c r="J9" s="382"/>
      <c r="K9" s="382"/>
      <c r="L9" s="382"/>
      <c r="O9" s="145" t="s">
        <v>655</v>
      </c>
      <c r="P9" s="145" t="str">
        <f>+TIT!D2</f>
        <v>NAVANAND CO-OPERATIVE. HOUSING SOCIETY LTD.</v>
      </c>
    </row>
    <row r="10" spans="1:27" ht="18" customHeight="1" x14ac:dyDescent="0.3">
      <c r="A10" s="381" t="str">
        <f>+TIT!D6</f>
        <v>Maratha Colony Road, Dahisar - East, Mumbai - 400 068</v>
      </c>
      <c r="B10" s="382"/>
      <c r="C10" s="382"/>
      <c r="D10" s="382"/>
      <c r="E10" s="382"/>
      <c r="F10" s="382"/>
      <c r="G10" s="382"/>
      <c r="H10" s="382"/>
      <c r="I10" s="382"/>
      <c r="J10" s="382"/>
      <c r="K10" s="382"/>
      <c r="L10" s="382"/>
      <c r="O10" s="145" t="s">
        <v>656</v>
      </c>
      <c r="P10" s="145" t="str">
        <f>+TIT!D3</f>
        <v xml:space="preserve"> BOM/WR/HSG/TC/11905 DT. 06/01/2003</v>
      </c>
    </row>
    <row r="11" spans="1:27" ht="14.4" x14ac:dyDescent="0.3">
      <c r="A11" s="383"/>
      <c r="B11" s="384"/>
      <c r="C11" s="384"/>
      <c r="D11" s="384"/>
      <c r="E11" s="384"/>
      <c r="F11" s="384"/>
      <c r="G11" s="384"/>
      <c r="H11" s="384"/>
      <c r="I11" s="384"/>
      <c r="J11" s="384"/>
      <c r="K11" s="384"/>
      <c r="L11" s="384"/>
      <c r="O11" s="145" t="s">
        <v>657</v>
      </c>
      <c r="P11" s="675" t="s">
        <v>684</v>
      </c>
      <c r="Q11" s="676"/>
    </row>
    <row r="12" spans="1:27" ht="20.100000000000001" customHeight="1" x14ac:dyDescent="0.25">
      <c r="A12" s="673" t="s">
        <v>1006</v>
      </c>
      <c r="B12" s="674"/>
      <c r="C12" s="674"/>
      <c r="D12" s="674"/>
      <c r="E12" s="674"/>
      <c r="F12" s="674"/>
      <c r="G12" s="674"/>
      <c r="H12" s="674"/>
      <c r="I12" s="674"/>
      <c r="J12" s="674"/>
      <c r="K12" s="674"/>
      <c r="L12" s="674"/>
      <c r="P12" s="385"/>
    </row>
    <row r="13" spans="1:27" ht="9.9" customHeight="1" x14ac:dyDescent="0.25">
      <c r="A13" s="386"/>
      <c r="B13" s="387"/>
      <c r="C13" s="387"/>
      <c r="D13" s="387"/>
      <c r="E13" s="387"/>
      <c r="F13" s="387"/>
      <c r="G13" s="387"/>
      <c r="H13" s="387"/>
      <c r="I13" s="387"/>
      <c r="J13" s="387"/>
      <c r="K13" s="387"/>
      <c r="L13" s="387"/>
      <c r="P13" s="385"/>
    </row>
    <row r="14" spans="1:27" x14ac:dyDescent="0.25">
      <c r="A14" s="380"/>
      <c r="B14" s="380"/>
      <c r="C14" s="380"/>
      <c r="D14" s="380"/>
      <c r="E14" s="380"/>
      <c r="F14" s="380"/>
      <c r="G14" s="380"/>
      <c r="H14" s="380"/>
      <c r="I14" s="380"/>
      <c r="J14" s="380"/>
      <c r="K14" s="380"/>
      <c r="L14" s="380"/>
    </row>
    <row r="15" spans="1:27" ht="65.099999999999994" customHeight="1" x14ac:dyDescent="0.25">
      <c r="A15" s="664" t="s">
        <v>1007</v>
      </c>
      <c r="B15" s="665"/>
      <c r="C15" s="665"/>
      <c r="D15" s="665"/>
      <c r="E15" s="665"/>
      <c r="F15" s="665"/>
      <c r="G15" s="665"/>
      <c r="H15" s="665"/>
      <c r="I15" s="665"/>
      <c r="J15" s="665"/>
      <c r="K15" s="665"/>
      <c r="L15" s="665"/>
    </row>
    <row r="16" spans="1:27" ht="50.1" customHeight="1" x14ac:dyDescent="0.25">
      <c r="A16" s="664" t="s">
        <v>658</v>
      </c>
      <c r="B16" s="665"/>
      <c r="C16" s="665"/>
      <c r="D16" s="665"/>
      <c r="E16" s="665"/>
      <c r="F16" s="665"/>
      <c r="G16" s="665"/>
      <c r="H16" s="665"/>
      <c r="I16" s="665"/>
      <c r="J16" s="665"/>
      <c r="K16" s="665"/>
      <c r="L16" s="665"/>
      <c r="P16" s="664" t="s">
        <v>659</v>
      </c>
      <c r="Q16" s="665"/>
      <c r="R16" s="665"/>
      <c r="S16" s="665"/>
      <c r="T16" s="665"/>
      <c r="U16" s="665"/>
      <c r="V16" s="665"/>
      <c r="W16" s="665"/>
      <c r="X16" s="665"/>
      <c r="Y16" s="665"/>
      <c r="Z16" s="665"/>
      <c r="AA16" s="665"/>
    </row>
    <row r="17" spans="1:12" ht="65.099999999999994" customHeight="1" x14ac:dyDescent="0.25">
      <c r="A17" s="664" t="s">
        <v>1008</v>
      </c>
      <c r="B17" s="665"/>
      <c r="C17" s="665"/>
      <c r="D17" s="665"/>
      <c r="E17" s="665"/>
      <c r="F17" s="665"/>
      <c r="G17" s="665"/>
      <c r="H17" s="665"/>
      <c r="I17" s="665"/>
      <c r="J17" s="665"/>
      <c r="K17" s="665"/>
      <c r="L17" s="665"/>
    </row>
    <row r="18" spans="1:12" ht="24" customHeight="1" x14ac:dyDescent="0.25">
      <c r="A18" s="664" t="s">
        <v>660</v>
      </c>
      <c r="B18" s="665"/>
      <c r="C18" s="665"/>
      <c r="D18" s="665"/>
      <c r="E18" s="665"/>
      <c r="F18" s="665"/>
      <c r="G18" s="665"/>
      <c r="H18" s="665"/>
      <c r="I18" s="665"/>
      <c r="J18" s="665"/>
      <c r="K18" s="665"/>
      <c r="L18" s="665"/>
    </row>
    <row r="19" spans="1:12" ht="68.099999999999994" customHeight="1" x14ac:dyDescent="0.25">
      <c r="A19" s="664" t="s">
        <v>661</v>
      </c>
      <c r="B19" s="665"/>
      <c r="C19" s="665"/>
      <c r="D19" s="665"/>
      <c r="E19" s="665"/>
      <c r="F19" s="665"/>
      <c r="G19" s="665"/>
      <c r="H19" s="665"/>
      <c r="I19" s="665"/>
      <c r="J19" s="665"/>
      <c r="K19" s="665"/>
      <c r="L19" s="665"/>
    </row>
    <row r="20" spans="1:12" ht="22.5" customHeight="1" x14ac:dyDescent="0.25">
      <c r="A20" s="664" t="s">
        <v>662</v>
      </c>
      <c r="B20" s="665"/>
      <c r="C20" s="665"/>
      <c r="D20" s="665"/>
      <c r="E20" s="665"/>
      <c r="F20" s="665"/>
      <c r="G20" s="665"/>
      <c r="H20" s="665"/>
      <c r="I20" s="665"/>
      <c r="J20" s="665"/>
      <c r="K20" s="665"/>
      <c r="L20" s="665"/>
    </row>
    <row r="21" spans="1:12" ht="18" customHeight="1" x14ac:dyDescent="0.25">
      <c r="A21" s="664" t="s">
        <v>663</v>
      </c>
      <c r="B21" s="665"/>
      <c r="C21" s="665"/>
      <c r="D21" s="665"/>
      <c r="E21" s="665"/>
      <c r="F21" s="665"/>
      <c r="G21" s="665"/>
      <c r="H21" s="665"/>
      <c r="I21" s="665"/>
      <c r="J21" s="665"/>
      <c r="K21" s="665"/>
      <c r="L21" s="665"/>
    </row>
    <row r="22" spans="1:12" ht="18" customHeight="1" x14ac:dyDescent="0.25">
      <c r="A22" s="664" t="s">
        <v>664</v>
      </c>
      <c r="B22" s="665"/>
      <c r="C22" s="665"/>
      <c r="D22" s="665"/>
      <c r="E22" s="665"/>
      <c r="F22" s="665"/>
      <c r="G22" s="665"/>
      <c r="H22" s="665"/>
      <c r="I22" s="665"/>
      <c r="J22" s="665"/>
      <c r="K22" s="665"/>
      <c r="L22" s="665"/>
    </row>
    <row r="23" spans="1:12" ht="18" customHeight="1" x14ac:dyDescent="0.25">
      <c r="A23" s="664" t="s">
        <v>665</v>
      </c>
      <c r="B23" s="665"/>
      <c r="C23" s="665"/>
      <c r="D23" s="665"/>
      <c r="E23" s="665"/>
      <c r="F23" s="665"/>
      <c r="G23" s="665"/>
      <c r="H23" s="665"/>
      <c r="I23" s="665"/>
      <c r="J23" s="665"/>
      <c r="K23" s="665"/>
      <c r="L23" s="665"/>
    </row>
    <row r="24" spans="1:12" x14ac:dyDescent="0.25">
      <c r="A24" s="380"/>
      <c r="B24" s="380"/>
      <c r="C24" s="380"/>
      <c r="D24" s="380"/>
      <c r="E24" s="380"/>
      <c r="F24" s="380"/>
      <c r="G24" s="380"/>
      <c r="H24" s="380"/>
      <c r="I24" s="380"/>
      <c r="J24" s="380"/>
      <c r="K24" s="380"/>
      <c r="L24" s="380"/>
    </row>
    <row r="25" spans="1:12" x14ac:dyDescent="0.25">
      <c r="A25" s="380"/>
      <c r="B25" s="380"/>
      <c r="C25" s="380"/>
      <c r="D25" s="380"/>
      <c r="E25" s="380"/>
      <c r="F25" s="380"/>
      <c r="G25" s="380"/>
      <c r="H25" s="380"/>
      <c r="I25" s="380"/>
      <c r="J25" s="380"/>
      <c r="K25" s="380"/>
      <c r="L25" s="380"/>
    </row>
    <row r="26" spans="1:12" ht="14.4" x14ac:dyDescent="0.3">
      <c r="A26" s="146"/>
      <c r="B26" s="146"/>
      <c r="C26" s="146"/>
      <c r="D26" s="146"/>
      <c r="E26" s="146"/>
      <c r="F26" s="146"/>
      <c r="G26" s="146"/>
      <c r="H26" s="146"/>
      <c r="I26" s="146"/>
      <c r="J26" s="146"/>
      <c r="K26" s="146"/>
      <c r="L26" s="146"/>
    </row>
    <row r="27" spans="1:12" ht="15" customHeight="1" x14ac:dyDescent="0.3">
      <c r="A27" s="149" t="str">
        <f>+TIT!D9</f>
        <v>Shri. Bharat C. Boridkar</v>
      </c>
      <c r="C27" s="146"/>
      <c r="D27" s="146"/>
      <c r="E27" s="146"/>
      <c r="F27" s="146"/>
      <c r="G27" s="146"/>
      <c r="H27" s="146"/>
      <c r="I27" s="146"/>
      <c r="J27" s="146"/>
      <c r="K27" s="146"/>
      <c r="L27" s="146"/>
    </row>
    <row r="28" spans="1:12" ht="15.75" customHeight="1" x14ac:dyDescent="0.3">
      <c r="A28" s="321" t="s">
        <v>412</v>
      </c>
      <c r="C28" s="146"/>
      <c r="D28" s="146"/>
      <c r="E28" s="146"/>
      <c r="F28" s="146"/>
      <c r="G28" s="146"/>
      <c r="H28" s="146"/>
      <c r="I28" s="146"/>
      <c r="J28" s="146"/>
      <c r="K28" s="146"/>
      <c r="L28" s="146"/>
    </row>
    <row r="29" spans="1:12" ht="15" hidden="1" customHeight="1" x14ac:dyDescent="0.3">
      <c r="A29" s="321" t="s">
        <v>666</v>
      </c>
      <c r="C29" s="146"/>
      <c r="D29" s="146"/>
      <c r="E29" s="146"/>
      <c r="F29" s="146"/>
      <c r="G29" s="146"/>
      <c r="H29" s="146"/>
      <c r="I29" s="146"/>
      <c r="J29" s="146"/>
      <c r="K29" s="146"/>
      <c r="L29" s="146"/>
    </row>
    <row r="30" spans="1:12" ht="15" customHeight="1" x14ac:dyDescent="0.3">
      <c r="A30" s="384" t="s">
        <v>967</v>
      </c>
      <c r="C30" s="146"/>
      <c r="D30" s="146"/>
      <c r="E30" s="146"/>
      <c r="F30" s="146"/>
      <c r="G30" s="146"/>
      <c r="H30" s="146"/>
      <c r="I30" s="146"/>
      <c r="J30" s="146"/>
      <c r="K30" s="146"/>
      <c r="L30" s="146"/>
    </row>
    <row r="31" spans="1:12" ht="15.75" customHeight="1" x14ac:dyDescent="0.3">
      <c r="A31" s="666">
        <f>+TIT!D12</f>
        <v>46275</v>
      </c>
      <c r="B31" s="666"/>
      <c r="C31" s="666"/>
      <c r="D31" s="666"/>
      <c r="E31" s="388"/>
      <c r="F31" s="384"/>
      <c r="G31" s="146"/>
      <c r="H31" s="146"/>
      <c r="I31" s="146"/>
      <c r="J31" s="146"/>
      <c r="K31" s="146"/>
      <c r="L31" s="146"/>
    </row>
    <row r="32" spans="1:12" ht="15.75" customHeight="1" x14ac:dyDescent="0.3">
      <c r="A32" s="146"/>
      <c r="B32" s="146"/>
      <c r="C32" s="389"/>
      <c r="D32" s="389"/>
      <c r="E32" s="389"/>
      <c r="F32" s="146"/>
      <c r="G32" s="146"/>
      <c r="H32" s="146"/>
      <c r="I32" s="146"/>
      <c r="J32" s="146"/>
      <c r="K32" s="146"/>
      <c r="L32" s="146"/>
    </row>
    <row r="33" spans="1:12" ht="15.75" customHeight="1" x14ac:dyDescent="0.3">
      <c r="A33" s="390" t="s">
        <v>667</v>
      </c>
      <c r="B33" s="390" t="s">
        <v>668</v>
      </c>
      <c r="C33" s="390"/>
      <c r="D33" s="391"/>
      <c r="E33" s="391"/>
      <c r="F33" s="188"/>
      <c r="G33" s="188"/>
      <c r="H33" s="188"/>
      <c r="I33" s="188"/>
      <c r="J33" s="188"/>
      <c r="K33" s="188"/>
      <c r="L33" s="188"/>
    </row>
    <row r="34" spans="1:12" ht="15.75" customHeight="1" x14ac:dyDescent="0.3">
      <c r="A34" s="390"/>
      <c r="B34" s="390" t="s">
        <v>669</v>
      </c>
      <c r="C34" s="390"/>
      <c r="D34" s="391"/>
      <c r="E34" s="391"/>
      <c r="F34" s="188"/>
      <c r="G34" s="188"/>
      <c r="H34" s="188"/>
      <c r="I34" s="188"/>
      <c r="J34" s="188"/>
      <c r="K34" s="188"/>
      <c r="L34" s="188"/>
    </row>
    <row r="35" spans="1:12" ht="15.75" customHeight="1" x14ac:dyDescent="0.3">
      <c r="A35" s="188"/>
      <c r="B35" s="188"/>
      <c r="C35" s="391"/>
      <c r="D35" s="391"/>
      <c r="E35" s="391"/>
      <c r="F35" s="188"/>
      <c r="G35" s="188"/>
      <c r="H35" s="188"/>
      <c r="I35" s="188"/>
      <c r="J35" s="188"/>
      <c r="K35" s="188"/>
      <c r="L35" s="188"/>
    </row>
    <row r="36" spans="1:12" ht="15.75" customHeight="1" x14ac:dyDescent="0.25">
      <c r="C36" s="392"/>
      <c r="D36" s="392"/>
      <c r="E36" s="392"/>
    </row>
    <row r="37" spans="1:12" ht="15.75" customHeight="1" x14ac:dyDescent="0.25">
      <c r="C37" s="392"/>
      <c r="D37" s="392"/>
      <c r="E37" s="392"/>
    </row>
    <row r="38" spans="1:12" ht="15.75" customHeight="1" x14ac:dyDescent="0.25">
      <c r="C38" s="392"/>
      <c r="D38" s="392"/>
      <c r="E38" s="392"/>
    </row>
    <row r="39" spans="1:12" ht="15.75" customHeight="1" x14ac:dyDescent="0.25">
      <c r="A39" s="663"/>
      <c r="B39" s="663"/>
      <c r="C39" s="663"/>
      <c r="D39" s="663"/>
      <c r="E39" s="663"/>
      <c r="F39" s="663"/>
      <c r="G39" s="663"/>
      <c r="H39" s="663"/>
      <c r="I39" s="663"/>
      <c r="J39" s="663"/>
      <c r="K39" s="663"/>
      <c r="L39" s="663"/>
    </row>
  </sheetData>
  <mergeCells count="19">
    <mergeCell ref="P16:AA16"/>
    <mergeCell ref="A17:L17"/>
    <mergeCell ref="A18:L18"/>
    <mergeCell ref="A1:N1"/>
    <mergeCell ref="A2:L2"/>
    <mergeCell ref="A3:L3"/>
    <mergeCell ref="A4:L4"/>
    <mergeCell ref="Q4:R4"/>
    <mergeCell ref="A12:L12"/>
    <mergeCell ref="P11:Q11"/>
    <mergeCell ref="A15:L15"/>
    <mergeCell ref="A16:L16"/>
    <mergeCell ref="A39:L39"/>
    <mergeCell ref="A19:L19"/>
    <mergeCell ref="A20:L20"/>
    <mergeCell ref="A21:L21"/>
    <mergeCell ref="A22:L22"/>
    <mergeCell ref="A23:L23"/>
    <mergeCell ref="A31:D31"/>
  </mergeCells>
  <dataValidations disablePrompts="1" count="2">
    <dataValidation type="list" allowBlank="1" showInputMessage="1" showErrorMessage="1" sqref="N8" xr:uid="{00000000-0002-0000-0200-000000000000}">
      <formula1>"Chairman, Secretary, Chief Executive Officer"</formula1>
    </dataValidation>
    <dataValidation allowBlank="1" showInputMessage="1" showErrorMessage="1" sqref="N10" xr:uid="{00000000-0002-0000-0200-000001000000}"/>
  </dataValidations>
  <pageMargins left="0.5" right="0" top="0.25" bottom="0.25" header="0" footer="0"/>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79"/>
  <sheetViews>
    <sheetView view="pageBreakPreview" topLeftCell="A43" zoomScaleNormal="100" zoomScaleSheetLayoutView="100" workbookViewId="0">
      <selection activeCell="P22" sqref="P22"/>
    </sheetView>
  </sheetViews>
  <sheetFormatPr defaultColWidth="9" defaultRowHeight="13.8" x14ac:dyDescent="0.25"/>
  <cols>
    <col min="1" max="1" width="4.09765625" style="145" customWidth="1"/>
    <col min="2" max="2" width="4.19921875" style="145" customWidth="1"/>
    <col min="3" max="3" width="7.8984375" style="145" customWidth="1"/>
    <col min="4" max="6" width="9" style="145"/>
    <col min="7" max="7" width="8.69921875" style="145" customWidth="1"/>
    <col min="8" max="8" width="8.3984375" style="145" customWidth="1"/>
    <col min="9" max="9" width="8.8984375" style="145" customWidth="1"/>
    <col min="10" max="10" width="8.5" style="145" customWidth="1"/>
    <col min="11" max="11" width="8.19921875" style="145" customWidth="1"/>
    <col min="12" max="12" width="7.09765625" style="145" customWidth="1"/>
    <col min="13" max="16384" width="9" style="145"/>
  </cols>
  <sheetData>
    <row r="1" spans="1:18" ht="3" customHeight="1" x14ac:dyDescent="0.25">
      <c r="A1" s="667"/>
      <c r="B1" s="667"/>
      <c r="C1" s="667"/>
      <c r="D1" s="667"/>
      <c r="E1" s="667"/>
      <c r="F1" s="667"/>
      <c r="G1" s="667"/>
      <c r="H1" s="667"/>
      <c r="I1" s="667"/>
      <c r="J1" s="667"/>
      <c r="K1" s="667"/>
      <c r="L1" s="667"/>
      <c r="M1" s="667"/>
      <c r="N1" s="667"/>
    </row>
    <row r="2" spans="1:18" ht="27" customHeight="1" x14ac:dyDescent="0.25">
      <c r="A2" s="668" t="str">
        <f>+TIT!D9</f>
        <v>Shri. Bharat C. Boridkar</v>
      </c>
      <c r="B2" s="668"/>
      <c r="C2" s="668"/>
      <c r="D2" s="668"/>
      <c r="E2" s="668"/>
      <c r="F2" s="668"/>
      <c r="G2" s="668"/>
      <c r="H2" s="668"/>
      <c r="I2" s="668"/>
      <c r="J2" s="668"/>
      <c r="K2" s="668"/>
      <c r="L2" s="668"/>
    </row>
    <row r="3" spans="1:18" ht="24.6" x14ac:dyDescent="0.25">
      <c r="A3" s="669" t="s">
        <v>412</v>
      </c>
      <c r="B3" s="669"/>
      <c r="C3" s="669"/>
      <c r="D3" s="669"/>
      <c r="E3" s="669"/>
      <c r="F3" s="669"/>
      <c r="G3" s="669"/>
      <c r="H3" s="669"/>
      <c r="I3" s="669"/>
      <c r="J3" s="669"/>
      <c r="K3" s="669"/>
      <c r="L3" s="669"/>
      <c r="Q3" s="378"/>
    </row>
    <row r="4" spans="1:18" ht="14.4" x14ac:dyDescent="0.3">
      <c r="A4" s="670" t="str">
        <f>+TIT!D11</f>
        <v>Boridkar House, Pandurang Bhoir Road, Dahisar - West, Mumbai, Mumbai - 400 068</v>
      </c>
      <c r="B4" s="670"/>
      <c r="C4" s="670"/>
      <c r="D4" s="670"/>
      <c r="E4" s="670"/>
      <c r="F4" s="670"/>
      <c r="G4" s="670"/>
      <c r="H4" s="670"/>
      <c r="I4" s="670"/>
      <c r="J4" s="670"/>
      <c r="K4" s="670"/>
      <c r="L4" s="670"/>
      <c r="Q4" s="671"/>
      <c r="R4" s="672"/>
    </row>
    <row r="5" spans="1:18" x14ac:dyDescent="0.25">
      <c r="A5" s="159"/>
      <c r="B5" s="160"/>
      <c r="C5" s="160"/>
      <c r="D5" s="160"/>
      <c r="E5" s="160"/>
      <c r="F5" s="160"/>
      <c r="G5" s="160"/>
      <c r="H5" s="160"/>
      <c r="I5" s="160"/>
      <c r="J5" s="160"/>
      <c r="K5" s="160"/>
      <c r="L5" s="160"/>
    </row>
    <row r="6" spans="1:18" ht="16.2" x14ac:dyDescent="0.3">
      <c r="A6" s="680" t="s">
        <v>441</v>
      </c>
      <c r="B6" s="680"/>
      <c r="C6" s="680"/>
      <c r="D6" s="680"/>
      <c r="E6" s="680"/>
      <c r="F6" s="680"/>
      <c r="G6" s="680"/>
      <c r="H6" s="680"/>
      <c r="I6" s="680"/>
      <c r="J6" s="680"/>
      <c r="K6" s="680"/>
      <c r="L6" s="680"/>
    </row>
    <row r="7" spans="1:18" x14ac:dyDescent="0.25">
      <c r="A7" s="681" t="s">
        <v>442</v>
      </c>
      <c r="B7" s="681"/>
      <c r="C7" s="681"/>
      <c r="D7" s="681"/>
      <c r="E7" s="681"/>
      <c r="F7" s="681"/>
      <c r="G7" s="681"/>
      <c r="H7" s="681"/>
      <c r="I7" s="681"/>
      <c r="J7" s="681"/>
      <c r="K7" s="681"/>
      <c r="L7" s="681"/>
    </row>
    <row r="8" spans="1:18" x14ac:dyDescent="0.25">
      <c r="A8" s="161"/>
      <c r="B8" s="161"/>
      <c r="C8" s="161"/>
      <c r="D8" s="161"/>
      <c r="E8" s="161"/>
      <c r="F8" s="161"/>
      <c r="G8" s="161"/>
      <c r="H8" s="161"/>
      <c r="I8" s="161"/>
      <c r="J8" s="161"/>
      <c r="K8" s="161"/>
      <c r="L8" s="161"/>
    </row>
    <row r="9" spans="1:18" ht="14.4" x14ac:dyDescent="0.3">
      <c r="A9" s="162" t="s">
        <v>443</v>
      </c>
      <c r="B9" s="163"/>
      <c r="C9" s="163"/>
      <c r="D9" s="163"/>
      <c r="E9" s="163"/>
      <c r="F9" s="163"/>
      <c r="G9" s="163"/>
      <c r="H9" s="163"/>
      <c r="I9" s="163"/>
      <c r="J9" s="163"/>
      <c r="K9" s="163"/>
      <c r="L9" s="163"/>
    </row>
    <row r="10" spans="1:18" ht="14.4" x14ac:dyDescent="0.3">
      <c r="A10" s="162" t="s">
        <v>481</v>
      </c>
      <c r="B10" s="163"/>
      <c r="C10" s="163"/>
      <c r="D10" s="163"/>
      <c r="E10" s="163"/>
      <c r="F10" s="163"/>
      <c r="G10" s="163"/>
      <c r="H10" s="163"/>
      <c r="I10" s="163"/>
      <c r="J10" s="163"/>
      <c r="K10" s="163"/>
      <c r="L10" s="163"/>
      <c r="N10" s="145" t="s">
        <v>60</v>
      </c>
    </row>
    <row r="11" spans="1:18" ht="14.4" x14ac:dyDescent="0.3">
      <c r="A11" s="162" t="str">
        <f>+TIT!D2</f>
        <v>NAVANAND CO-OPERATIVE. HOUSING SOCIETY LTD.</v>
      </c>
      <c r="B11" s="163"/>
      <c r="C11" s="163"/>
      <c r="D11" s="163"/>
      <c r="E11" s="163"/>
      <c r="F11" s="163"/>
      <c r="G11" s="163"/>
      <c r="H11" s="163"/>
      <c r="I11" s="163"/>
      <c r="J11" s="163"/>
      <c r="K11" s="163"/>
      <c r="L11" s="163"/>
    </row>
    <row r="12" spans="1:18" ht="14.4" x14ac:dyDescent="0.3">
      <c r="A12" s="162" t="str">
        <f>+TIT!D6</f>
        <v>Maratha Colony Road, Dahisar - East, Mumbai - 400 068</v>
      </c>
      <c r="B12" s="163"/>
      <c r="C12" s="163"/>
      <c r="D12" s="163"/>
      <c r="E12" s="163"/>
      <c r="F12" s="163"/>
      <c r="G12" s="163"/>
      <c r="H12" s="163"/>
      <c r="I12" s="163"/>
      <c r="J12" s="163"/>
      <c r="K12" s="163"/>
      <c r="L12" s="163"/>
    </row>
    <row r="13" spans="1:18" ht="14.4" x14ac:dyDescent="0.3">
      <c r="A13" s="164"/>
      <c r="B13" s="165"/>
      <c r="C13" s="165"/>
      <c r="D13" s="165"/>
      <c r="E13" s="165"/>
      <c r="F13" s="165"/>
      <c r="G13" s="165"/>
      <c r="H13" s="165"/>
      <c r="I13" s="165"/>
      <c r="J13" s="165"/>
      <c r="K13" s="165"/>
      <c r="L13" s="165"/>
    </row>
    <row r="14" spans="1:18" ht="20.100000000000001" customHeight="1" x14ac:dyDescent="0.25">
      <c r="A14" s="673" t="s">
        <v>1006</v>
      </c>
      <c r="B14" s="674"/>
      <c r="C14" s="674"/>
      <c r="D14" s="674"/>
      <c r="E14" s="674"/>
      <c r="F14" s="674"/>
      <c r="G14" s="674"/>
      <c r="H14" s="674"/>
      <c r="I14" s="674"/>
      <c r="J14" s="674"/>
      <c r="K14" s="674"/>
      <c r="L14" s="674"/>
      <c r="P14" s="385"/>
    </row>
    <row r="15" spans="1:18" ht="12" customHeight="1" x14ac:dyDescent="0.25">
      <c r="A15" s="678"/>
      <c r="B15" s="677"/>
      <c r="C15" s="677"/>
      <c r="D15" s="677"/>
      <c r="E15" s="677"/>
      <c r="F15" s="677"/>
      <c r="G15" s="677"/>
      <c r="H15" s="677"/>
      <c r="I15" s="677"/>
      <c r="J15" s="677"/>
      <c r="K15" s="677"/>
      <c r="L15" s="677"/>
      <c r="N15" s="145" t="s">
        <v>482</v>
      </c>
    </row>
    <row r="16" spans="1:18" ht="8.1" customHeight="1" x14ac:dyDescent="0.3">
      <c r="A16" s="164"/>
      <c r="B16" s="165"/>
      <c r="C16" s="165"/>
      <c r="D16" s="165"/>
      <c r="E16" s="165"/>
      <c r="F16" s="165"/>
      <c r="G16" s="165"/>
      <c r="H16" s="165"/>
      <c r="I16" s="165"/>
      <c r="J16" s="165"/>
      <c r="K16" s="165"/>
      <c r="L16" s="165"/>
    </row>
    <row r="17" spans="1:22" ht="14.4" x14ac:dyDescent="0.25">
      <c r="A17" s="166"/>
      <c r="B17" s="167" t="s">
        <v>444</v>
      </c>
      <c r="C17" s="168"/>
      <c r="D17" s="168"/>
      <c r="E17" s="168"/>
      <c r="F17" s="168"/>
      <c r="G17" s="168"/>
      <c r="H17" s="168"/>
      <c r="I17" s="168"/>
      <c r="J17" s="168"/>
      <c r="K17" s="168"/>
      <c r="L17" s="168"/>
      <c r="N17" s="145" t="s">
        <v>440</v>
      </c>
      <c r="S17" s="191" t="str">
        <f>PROPER(N17)</f>
        <v>Navanand Co-Op. Housing Society Ltd.</v>
      </c>
    </row>
    <row r="18" spans="1:22" ht="8.1" customHeight="1" x14ac:dyDescent="0.3">
      <c r="A18" s="167"/>
      <c r="B18" s="165"/>
      <c r="C18" s="165"/>
      <c r="D18" s="165"/>
      <c r="E18" s="165"/>
      <c r="F18" s="165"/>
      <c r="G18" s="165"/>
      <c r="H18" s="165"/>
      <c r="I18" s="165"/>
      <c r="J18" s="165"/>
      <c r="K18" s="165"/>
      <c r="L18" s="165"/>
    </row>
    <row r="19" spans="1:22" ht="66" customHeight="1" x14ac:dyDescent="0.25">
      <c r="A19" s="169" t="s">
        <v>445</v>
      </c>
      <c r="B19" s="677" t="s">
        <v>1010</v>
      </c>
      <c r="C19" s="677"/>
      <c r="D19" s="677"/>
      <c r="E19" s="677"/>
      <c r="F19" s="677"/>
      <c r="G19" s="677"/>
      <c r="H19" s="677"/>
      <c r="I19" s="677"/>
      <c r="J19" s="677"/>
      <c r="K19" s="677"/>
      <c r="L19" s="677"/>
      <c r="N19" s="431" t="s">
        <v>446</v>
      </c>
      <c r="S19" s="675" t="s">
        <v>670</v>
      </c>
      <c r="T19" s="676"/>
      <c r="U19" s="676"/>
      <c r="V19" s="676"/>
    </row>
    <row r="20" spans="1:22" ht="6.75" customHeight="1" x14ac:dyDescent="0.3">
      <c r="A20" s="170"/>
      <c r="B20" s="165"/>
      <c r="C20" s="165"/>
      <c r="D20" s="165"/>
      <c r="E20" s="165"/>
      <c r="F20" s="165"/>
      <c r="G20" s="165"/>
      <c r="H20" s="165"/>
      <c r="I20" s="165"/>
      <c r="J20" s="165"/>
      <c r="K20" s="165"/>
      <c r="L20" s="165"/>
    </row>
    <row r="21" spans="1:22" ht="15" customHeight="1" x14ac:dyDescent="0.3">
      <c r="A21" s="170"/>
      <c r="B21" s="171" t="s">
        <v>447</v>
      </c>
      <c r="C21" s="165"/>
      <c r="D21" s="165"/>
      <c r="E21" s="165"/>
      <c r="F21" s="165"/>
      <c r="G21" s="165"/>
      <c r="H21" s="165"/>
      <c r="I21" s="165"/>
      <c r="J21" s="165"/>
      <c r="K21" s="165"/>
      <c r="L21" s="165"/>
    </row>
    <row r="22" spans="1:22" ht="68.25" customHeight="1" x14ac:dyDescent="0.25">
      <c r="A22" s="172">
        <v>2</v>
      </c>
      <c r="B22" s="677" t="s">
        <v>448</v>
      </c>
      <c r="C22" s="677"/>
      <c r="D22" s="677"/>
      <c r="E22" s="677"/>
      <c r="F22" s="677"/>
      <c r="G22" s="677"/>
      <c r="H22" s="677"/>
      <c r="I22" s="677"/>
      <c r="J22" s="677"/>
      <c r="K22" s="677"/>
      <c r="L22" s="677"/>
    </row>
    <row r="23" spans="1:22" ht="7.5" customHeight="1" x14ac:dyDescent="0.3">
      <c r="A23" s="170"/>
      <c r="B23" s="173"/>
      <c r="C23" s="173"/>
      <c r="D23" s="173"/>
      <c r="E23" s="173"/>
      <c r="F23" s="173"/>
      <c r="G23" s="173"/>
      <c r="H23" s="173"/>
      <c r="I23" s="173"/>
      <c r="J23" s="173"/>
      <c r="K23" s="173"/>
      <c r="L23" s="173"/>
    </row>
    <row r="24" spans="1:22" ht="15" customHeight="1" x14ac:dyDescent="0.3">
      <c r="A24" s="170"/>
      <c r="B24" s="171" t="s">
        <v>449</v>
      </c>
      <c r="C24" s="173"/>
      <c r="D24" s="173"/>
      <c r="E24" s="173"/>
      <c r="F24" s="173"/>
      <c r="G24" s="173"/>
      <c r="H24" s="173"/>
      <c r="I24" s="173"/>
      <c r="J24" s="173"/>
      <c r="K24" s="173"/>
      <c r="L24" s="173"/>
    </row>
    <row r="25" spans="1:22" ht="80.25" customHeight="1" x14ac:dyDescent="0.25">
      <c r="A25" s="172">
        <v>3</v>
      </c>
      <c r="B25" s="677" t="s">
        <v>450</v>
      </c>
      <c r="C25" s="677"/>
      <c r="D25" s="677"/>
      <c r="E25" s="677"/>
      <c r="F25" s="677"/>
      <c r="G25" s="677"/>
      <c r="H25" s="677"/>
      <c r="I25" s="677"/>
      <c r="J25" s="677"/>
      <c r="K25" s="677"/>
      <c r="L25" s="677"/>
    </row>
    <row r="26" spans="1:22" ht="6.75" customHeight="1" x14ac:dyDescent="0.3">
      <c r="A26" s="170"/>
      <c r="B26" s="165"/>
      <c r="C26" s="165"/>
      <c r="D26" s="165"/>
      <c r="E26" s="165"/>
      <c r="F26" s="165"/>
      <c r="G26" s="165"/>
      <c r="H26" s="165"/>
      <c r="I26" s="165"/>
      <c r="J26" s="165"/>
      <c r="K26" s="165"/>
      <c r="L26" s="165"/>
    </row>
    <row r="27" spans="1:22" ht="126" customHeight="1" x14ac:dyDescent="0.25">
      <c r="A27" s="172">
        <v>4</v>
      </c>
      <c r="B27" s="677" t="s">
        <v>451</v>
      </c>
      <c r="C27" s="677"/>
      <c r="D27" s="677"/>
      <c r="E27" s="677"/>
      <c r="F27" s="677"/>
      <c r="G27" s="677"/>
      <c r="H27" s="677"/>
      <c r="I27" s="677"/>
      <c r="J27" s="677"/>
      <c r="K27" s="677"/>
      <c r="L27" s="677"/>
    </row>
    <row r="28" spans="1:22" ht="6.75" customHeight="1" x14ac:dyDescent="0.3">
      <c r="A28" s="170"/>
      <c r="B28" s="165"/>
      <c r="C28" s="165"/>
      <c r="D28" s="165"/>
      <c r="E28" s="165"/>
      <c r="F28" s="165"/>
      <c r="G28" s="165"/>
      <c r="H28" s="165"/>
      <c r="I28" s="165"/>
      <c r="J28" s="165"/>
      <c r="K28" s="165"/>
      <c r="L28" s="165"/>
    </row>
    <row r="29" spans="1:22" ht="32.25" customHeight="1" x14ac:dyDescent="0.25">
      <c r="A29" s="169" t="s">
        <v>452</v>
      </c>
      <c r="B29" s="677" t="s">
        <v>453</v>
      </c>
      <c r="C29" s="677"/>
      <c r="D29" s="677"/>
      <c r="E29" s="677"/>
      <c r="F29" s="677"/>
      <c r="G29" s="677"/>
      <c r="H29" s="677"/>
      <c r="I29" s="677"/>
      <c r="J29" s="677"/>
      <c r="K29" s="677"/>
      <c r="L29" s="677"/>
    </row>
    <row r="30" spans="1:22" ht="6.75" customHeight="1" x14ac:dyDescent="0.3">
      <c r="A30" s="170"/>
      <c r="B30" s="165"/>
      <c r="C30" s="165"/>
      <c r="D30" s="165"/>
      <c r="E30" s="165"/>
      <c r="F30" s="165"/>
      <c r="G30" s="165"/>
      <c r="H30" s="165"/>
      <c r="I30" s="165"/>
      <c r="J30" s="165"/>
      <c r="K30" s="165"/>
      <c r="L30" s="165"/>
    </row>
    <row r="31" spans="1:22" ht="15" customHeight="1" x14ac:dyDescent="0.3">
      <c r="A31" s="170"/>
      <c r="B31" s="165"/>
      <c r="C31" s="165"/>
      <c r="D31" s="165"/>
      <c r="E31" s="165"/>
      <c r="F31" s="165"/>
      <c r="G31" s="165"/>
      <c r="H31" s="165"/>
      <c r="I31" s="165"/>
      <c r="J31" s="165"/>
      <c r="K31" s="165"/>
      <c r="L31" s="165"/>
    </row>
    <row r="32" spans="1:22" ht="15" customHeight="1" x14ac:dyDescent="0.3">
      <c r="A32" s="174"/>
      <c r="B32" s="171" t="s">
        <v>426</v>
      </c>
      <c r="C32" s="173"/>
      <c r="D32" s="173"/>
      <c r="E32" s="173"/>
      <c r="F32" s="173"/>
      <c r="G32" s="173"/>
      <c r="H32" s="173"/>
      <c r="I32" s="173"/>
      <c r="J32" s="173"/>
      <c r="K32" s="173"/>
      <c r="L32" s="173"/>
    </row>
    <row r="33" spans="1:22" ht="96.75" customHeight="1" x14ac:dyDescent="0.25">
      <c r="A33" s="169" t="s">
        <v>454</v>
      </c>
      <c r="B33" s="677" t="s">
        <v>455</v>
      </c>
      <c r="C33" s="677"/>
      <c r="D33" s="677"/>
      <c r="E33" s="677"/>
      <c r="F33" s="677"/>
      <c r="G33" s="677"/>
      <c r="H33" s="677"/>
      <c r="I33" s="677"/>
      <c r="J33" s="677"/>
      <c r="K33" s="677"/>
      <c r="L33" s="677"/>
    </row>
    <row r="34" spans="1:22" ht="7.5" customHeight="1" x14ac:dyDescent="0.3">
      <c r="A34" s="165"/>
      <c r="B34" s="165"/>
      <c r="C34" s="165"/>
      <c r="D34" s="165"/>
      <c r="E34" s="165"/>
      <c r="F34" s="165"/>
      <c r="G34" s="165"/>
      <c r="H34" s="165"/>
      <c r="I34" s="165"/>
      <c r="J34" s="165"/>
      <c r="K34" s="165"/>
      <c r="L34" s="165"/>
    </row>
    <row r="35" spans="1:22" ht="21" customHeight="1" x14ac:dyDescent="0.3">
      <c r="A35" s="165"/>
      <c r="B35" s="175" t="s">
        <v>456</v>
      </c>
      <c r="C35" s="679" t="s">
        <v>1009</v>
      </c>
      <c r="D35" s="679"/>
      <c r="E35" s="679"/>
      <c r="F35" s="679"/>
      <c r="G35" s="679"/>
      <c r="H35" s="679"/>
      <c r="I35" s="679"/>
      <c r="J35" s="679"/>
      <c r="K35" s="679"/>
      <c r="L35" s="679"/>
      <c r="N35" s="682" t="s">
        <v>675</v>
      </c>
      <c r="O35" s="682"/>
      <c r="P35" s="682"/>
      <c r="Q35" s="682"/>
      <c r="R35" s="682"/>
    </row>
    <row r="36" spans="1:22" ht="7.5" customHeight="1" x14ac:dyDescent="0.3">
      <c r="A36" s="146"/>
      <c r="B36" s="165"/>
      <c r="C36" s="165"/>
      <c r="D36" s="165"/>
      <c r="E36" s="165"/>
      <c r="F36" s="165"/>
      <c r="G36" s="165"/>
      <c r="H36" s="165"/>
      <c r="I36" s="165"/>
      <c r="J36" s="165"/>
      <c r="K36" s="165"/>
      <c r="L36" s="165"/>
    </row>
    <row r="37" spans="1:22" ht="15" customHeight="1" x14ac:dyDescent="0.3">
      <c r="A37" s="165"/>
      <c r="B37" s="176" t="s">
        <v>457</v>
      </c>
      <c r="C37" s="679" t="str">
        <f>"In the case of the Statement of "&amp;N19&amp;", of the "&amp;'F-1'!I132&amp;" of the Society for the year ended on that date; and"</f>
        <v>In the case of the Statement of Income and Expenditure, of the Excess of Income Over Expenditure  of the Society for the year ended on that date; and</v>
      </c>
      <c r="D37" s="679"/>
      <c r="E37" s="679"/>
      <c r="F37" s="679"/>
      <c r="G37" s="679"/>
      <c r="H37" s="679"/>
      <c r="I37" s="679"/>
      <c r="J37" s="679"/>
      <c r="K37" s="679"/>
      <c r="L37" s="679"/>
      <c r="N37" s="682" t="s">
        <v>458</v>
      </c>
      <c r="O37" s="682"/>
      <c r="P37" s="682"/>
      <c r="Q37" s="682"/>
      <c r="R37" s="430"/>
      <c r="S37" s="430"/>
      <c r="T37" s="430"/>
      <c r="U37" s="430"/>
      <c r="V37" s="430"/>
    </row>
    <row r="38" spans="1:22" ht="14.4" x14ac:dyDescent="0.3">
      <c r="A38" s="146"/>
      <c r="B38" s="146"/>
      <c r="C38" s="679"/>
      <c r="D38" s="679"/>
      <c r="E38" s="679"/>
      <c r="F38" s="679"/>
      <c r="G38" s="679"/>
      <c r="H38" s="679"/>
      <c r="I38" s="679"/>
      <c r="J38" s="679"/>
      <c r="K38" s="679"/>
      <c r="L38" s="679"/>
      <c r="M38" s="430"/>
      <c r="N38" s="430"/>
      <c r="O38" s="430"/>
      <c r="P38" s="430"/>
      <c r="Q38" s="430"/>
      <c r="R38" s="430"/>
      <c r="S38" s="430"/>
      <c r="T38" s="430"/>
      <c r="U38" s="430"/>
      <c r="V38" s="430"/>
    </row>
    <row r="39" spans="1:22" ht="7.5" customHeight="1" x14ac:dyDescent="0.3">
      <c r="A39" s="146"/>
      <c r="B39" s="165"/>
      <c r="C39" s="165"/>
      <c r="D39" s="165"/>
      <c r="E39" s="165"/>
      <c r="F39" s="165"/>
      <c r="G39" s="165"/>
      <c r="H39" s="165"/>
      <c r="I39" s="165"/>
      <c r="J39" s="165"/>
      <c r="K39" s="165"/>
      <c r="L39" s="165"/>
    </row>
    <row r="40" spans="1:22" ht="15" customHeight="1" x14ac:dyDescent="0.3">
      <c r="A40" s="146"/>
      <c r="B40" s="171" t="s">
        <v>459</v>
      </c>
      <c r="C40" s="165"/>
      <c r="D40" s="165"/>
      <c r="E40" s="165"/>
      <c r="F40" s="165"/>
      <c r="G40" s="165"/>
      <c r="H40" s="165"/>
      <c r="I40" s="165"/>
      <c r="J40" s="165"/>
      <c r="K40" s="165"/>
      <c r="L40" s="165"/>
    </row>
    <row r="41" spans="1:22" ht="34.5" customHeight="1" x14ac:dyDescent="0.25">
      <c r="A41" s="169" t="s">
        <v>460</v>
      </c>
      <c r="B41" s="677" t="s">
        <v>461</v>
      </c>
      <c r="C41" s="677"/>
      <c r="D41" s="677"/>
      <c r="E41" s="677"/>
      <c r="F41" s="677"/>
      <c r="G41" s="677"/>
      <c r="H41" s="677"/>
      <c r="I41" s="677"/>
      <c r="J41" s="677"/>
      <c r="K41" s="677"/>
      <c r="L41" s="677"/>
    </row>
    <row r="42" spans="1:22" ht="7.5" customHeight="1" x14ac:dyDescent="0.3">
      <c r="A42" s="146"/>
      <c r="B42" s="165"/>
      <c r="C42" s="165"/>
      <c r="D42" s="165"/>
      <c r="E42" s="165"/>
      <c r="F42" s="165"/>
      <c r="G42" s="165"/>
      <c r="H42" s="165"/>
      <c r="I42" s="165"/>
      <c r="J42" s="165"/>
      <c r="K42" s="165"/>
      <c r="L42" s="165"/>
    </row>
    <row r="43" spans="1:22" ht="15" customHeight="1" x14ac:dyDescent="0.3">
      <c r="A43" s="169" t="s">
        <v>462</v>
      </c>
      <c r="B43" s="171" t="s">
        <v>463</v>
      </c>
      <c r="C43" s="165"/>
      <c r="D43" s="165"/>
      <c r="E43" s="165"/>
      <c r="F43" s="165"/>
      <c r="G43" s="165"/>
      <c r="H43" s="165"/>
      <c r="I43" s="165"/>
      <c r="J43" s="165"/>
      <c r="K43" s="165"/>
      <c r="L43" s="165"/>
    </row>
    <row r="44" spans="1:22" ht="36" customHeight="1" x14ac:dyDescent="0.3">
      <c r="A44" s="146"/>
      <c r="B44" s="177" t="s">
        <v>213</v>
      </c>
      <c r="C44" s="677" t="s">
        <v>464</v>
      </c>
      <c r="D44" s="677"/>
      <c r="E44" s="677"/>
      <c r="F44" s="677"/>
      <c r="G44" s="677"/>
      <c r="H44" s="677"/>
      <c r="I44" s="677"/>
      <c r="J44" s="677"/>
      <c r="K44" s="677"/>
      <c r="L44" s="677"/>
    </row>
    <row r="45" spans="1:22" ht="7.5" customHeight="1" x14ac:dyDescent="0.25">
      <c r="A45" s="178"/>
      <c r="B45" s="177"/>
      <c r="C45" s="178"/>
      <c r="D45" s="178"/>
      <c r="E45" s="178"/>
      <c r="F45" s="178"/>
      <c r="G45" s="178"/>
      <c r="H45" s="178"/>
      <c r="I45" s="178"/>
      <c r="J45" s="178"/>
      <c r="K45" s="178"/>
      <c r="L45" s="178"/>
    </row>
    <row r="46" spans="1:22" ht="30.75" customHeight="1" x14ac:dyDescent="0.25">
      <c r="A46" s="179"/>
      <c r="B46" s="177" t="s">
        <v>272</v>
      </c>
      <c r="C46" s="679" t="s">
        <v>465</v>
      </c>
      <c r="D46" s="679"/>
      <c r="E46" s="679"/>
      <c r="F46" s="679"/>
      <c r="G46" s="679"/>
      <c r="H46" s="679"/>
      <c r="I46" s="679"/>
      <c r="J46" s="679"/>
      <c r="K46" s="679"/>
      <c r="L46" s="679"/>
    </row>
    <row r="47" spans="1:22" ht="7.5" customHeight="1" x14ac:dyDescent="0.25">
      <c r="A47" s="178"/>
      <c r="B47" s="177"/>
      <c r="C47" s="178"/>
      <c r="D47" s="178"/>
      <c r="E47" s="178"/>
      <c r="F47" s="178"/>
      <c r="G47" s="178"/>
      <c r="H47" s="178"/>
      <c r="I47" s="178"/>
      <c r="J47" s="178"/>
      <c r="K47" s="178"/>
      <c r="L47" s="178"/>
    </row>
    <row r="48" spans="1:22" ht="22.5" customHeight="1" x14ac:dyDescent="0.25">
      <c r="A48" s="179"/>
      <c r="B48" s="177" t="s">
        <v>224</v>
      </c>
      <c r="C48" s="677" t="s">
        <v>466</v>
      </c>
      <c r="D48" s="677"/>
      <c r="E48" s="677"/>
      <c r="F48" s="677"/>
      <c r="G48" s="677"/>
      <c r="H48" s="677"/>
      <c r="I48" s="677"/>
      <c r="J48" s="677"/>
      <c r="K48" s="677"/>
      <c r="L48" s="677"/>
      <c r="M48" s="145">
        <v>0</v>
      </c>
      <c r="N48" s="145" t="s">
        <v>466</v>
      </c>
      <c r="O48" s="145" t="s">
        <v>467</v>
      </c>
    </row>
    <row r="49" spans="1:24" ht="7.5" customHeight="1" x14ac:dyDescent="0.25">
      <c r="A49" s="178"/>
      <c r="B49" s="177"/>
      <c r="C49" s="178"/>
      <c r="D49" s="178"/>
      <c r="E49" s="178"/>
      <c r="F49" s="178"/>
      <c r="G49" s="178"/>
      <c r="H49" s="178"/>
      <c r="I49" s="178"/>
      <c r="J49" s="178"/>
      <c r="K49" s="178"/>
      <c r="L49" s="178"/>
    </row>
    <row r="50" spans="1:24" ht="32.25" customHeight="1" x14ac:dyDescent="0.25">
      <c r="A50" s="169" t="s">
        <v>468</v>
      </c>
      <c r="B50" s="677" t="s">
        <v>469</v>
      </c>
      <c r="C50" s="677"/>
      <c r="D50" s="677"/>
      <c r="E50" s="677"/>
      <c r="F50" s="677"/>
      <c r="G50" s="677"/>
      <c r="H50" s="677"/>
      <c r="I50" s="677"/>
      <c r="J50" s="677"/>
      <c r="K50" s="677"/>
      <c r="L50" s="677"/>
    </row>
    <row r="51" spans="1:24" ht="7.5" customHeight="1" x14ac:dyDescent="0.25">
      <c r="A51" s="178"/>
      <c r="B51" s="177"/>
      <c r="C51" s="178"/>
      <c r="D51" s="178"/>
      <c r="E51" s="178"/>
      <c r="F51" s="178"/>
      <c r="G51" s="178"/>
      <c r="H51" s="178"/>
      <c r="I51" s="178"/>
      <c r="J51" s="178"/>
      <c r="K51" s="178"/>
      <c r="L51" s="178"/>
    </row>
    <row r="52" spans="1:24" ht="15" customHeight="1" x14ac:dyDescent="0.3">
      <c r="A52" s="169" t="s">
        <v>470</v>
      </c>
      <c r="B52" s="171" t="s">
        <v>471</v>
      </c>
      <c r="C52" s="178"/>
      <c r="D52" s="178"/>
      <c r="E52" s="178"/>
      <c r="F52" s="178"/>
      <c r="G52" s="178"/>
      <c r="H52" s="178"/>
      <c r="I52" s="178"/>
      <c r="J52" s="178"/>
      <c r="K52" s="178"/>
      <c r="L52" s="178"/>
      <c r="N52" s="145" t="s">
        <v>472</v>
      </c>
    </row>
    <row r="53" spans="1:24" ht="32.25" customHeight="1" x14ac:dyDescent="0.25">
      <c r="A53" s="178"/>
      <c r="B53" s="180" t="s">
        <v>456</v>
      </c>
      <c r="C53" s="677" t="s">
        <v>473</v>
      </c>
      <c r="D53" s="677"/>
      <c r="E53" s="677"/>
      <c r="F53" s="677"/>
      <c r="G53" s="677"/>
      <c r="H53" s="677"/>
      <c r="I53" s="677"/>
      <c r="J53" s="677"/>
      <c r="K53" s="677"/>
      <c r="L53" s="677"/>
      <c r="N53" s="181" t="s">
        <v>474</v>
      </c>
      <c r="O53" s="145" t="s">
        <v>475</v>
      </c>
      <c r="P53" s="145" t="s">
        <v>473</v>
      </c>
    </row>
    <row r="54" spans="1:24" ht="7.5" customHeight="1" x14ac:dyDescent="0.25">
      <c r="A54" s="178"/>
      <c r="B54" s="177"/>
      <c r="C54" s="178"/>
      <c r="D54" s="178"/>
      <c r="E54" s="178"/>
      <c r="F54" s="178"/>
      <c r="G54" s="178"/>
      <c r="H54" s="178"/>
      <c r="I54" s="178"/>
      <c r="J54" s="178"/>
      <c r="K54" s="178"/>
      <c r="L54" s="178"/>
    </row>
    <row r="55" spans="1:24" ht="33" customHeight="1" x14ac:dyDescent="0.25">
      <c r="A55" s="178"/>
      <c r="B55" s="180" t="s">
        <v>457</v>
      </c>
      <c r="C55" s="677" t="s">
        <v>476</v>
      </c>
      <c r="D55" s="677"/>
      <c r="E55" s="677"/>
      <c r="F55" s="677"/>
      <c r="G55" s="677"/>
      <c r="H55" s="677"/>
      <c r="I55" s="677"/>
      <c r="J55" s="677"/>
      <c r="K55" s="677"/>
      <c r="L55" s="677"/>
    </row>
    <row r="56" spans="1:24" ht="7.5" customHeight="1" x14ac:dyDescent="0.25">
      <c r="A56" s="178"/>
      <c r="B56" s="177"/>
      <c r="C56" s="178"/>
      <c r="D56" s="178"/>
      <c r="E56" s="178"/>
      <c r="F56" s="178"/>
      <c r="G56" s="178"/>
      <c r="H56" s="178"/>
      <c r="I56" s="178"/>
      <c r="J56" s="178"/>
      <c r="K56" s="178"/>
      <c r="L56" s="178"/>
    </row>
    <row r="57" spans="1:24" ht="15" customHeight="1" x14ac:dyDescent="0.3">
      <c r="A57" s="146"/>
      <c r="B57" s="177" t="s">
        <v>477</v>
      </c>
      <c r="C57" s="677" t="s">
        <v>466</v>
      </c>
      <c r="D57" s="677"/>
      <c r="E57" s="677"/>
      <c r="F57" s="677"/>
      <c r="G57" s="677"/>
      <c r="H57" s="677"/>
      <c r="I57" s="677"/>
      <c r="J57" s="677"/>
      <c r="K57" s="677"/>
      <c r="L57" s="677"/>
      <c r="M57" s="145">
        <v>0</v>
      </c>
      <c r="N57" s="145" t="s">
        <v>466</v>
      </c>
      <c r="O57" s="182" t="s">
        <v>478</v>
      </c>
      <c r="P57" s="183"/>
      <c r="Q57" s="183"/>
      <c r="R57" s="183"/>
      <c r="S57" s="183"/>
      <c r="T57" s="183"/>
      <c r="U57" s="183"/>
      <c r="V57" s="183"/>
      <c r="W57" s="183"/>
      <c r="X57" s="183"/>
    </row>
    <row r="58" spans="1:24" ht="6.75" customHeight="1" x14ac:dyDescent="0.3">
      <c r="A58" s="146"/>
      <c r="B58" s="163"/>
      <c r="C58" s="165"/>
      <c r="D58" s="165"/>
      <c r="E58" s="165"/>
      <c r="F58" s="165"/>
      <c r="G58" s="165"/>
      <c r="H58" s="165"/>
      <c r="I58" s="165"/>
      <c r="J58" s="165"/>
      <c r="K58" s="165"/>
      <c r="L58" s="165"/>
    </row>
    <row r="59" spans="1:24" ht="15" customHeight="1" x14ac:dyDescent="0.3">
      <c r="A59" s="165"/>
      <c r="B59" s="163" t="s">
        <v>479</v>
      </c>
      <c r="C59" s="679" t="s">
        <v>480</v>
      </c>
      <c r="D59" s="679"/>
      <c r="E59" s="679"/>
      <c r="F59" s="679"/>
      <c r="G59" s="679"/>
      <c r="H59" s="679"/>
      <c r="I59" s="679"/>
      <c r="J59" s="679"/>
      <c r="K59" s="679"/>
      <c r="L59" s="679"/>
      <c r="N59" s="145" t="s">
        <v>433</v>
      </c>
    </row>
    <row r="60" spans="1:24" ht="15" customHeight="1" x14ac:dyDescent="0.3">
      <c r="A60" s="146"/>
      <c r="B60" s="146"/>
      <c r="C60" s="165"/>
      <c r="D60" s="165"/>
      <c r="E60" s="165"/>
      <c r="F60" s="165"/>
      <c r="G60" s="165"/>
      <c r="H60" s="165"/>
      <c r="I60" s="165"/>
      <c r="J60" s="165"/>
      <c r="K60" s="165"/>
      <c r="L60" s="165"/>
      <c r="M60" s="184"/>
    </row>
    <row r="61" spans="1:24" ht="15.9" customHeight="1" x14ac:dyDescent="0.3">
      <c r="A61" s="146"/>
      <c r="B61" s="146"/>
      <c r="C61" s="165"/>
      <c r="D61" s="165"/>
      <c r="E61" s="165"/>
      <c r="F61" s="165"/>
      <c r="G61" s="165"/>
      <c r="H61" s="165"/>
      <c r="I61" s="165"/>
      <c r="J61" s="165"/>
      <c r="K61" s="165"/>
      <c r="L61" s="165"/>
      <c r="M61" s="184"/>
    </row>
    <row r="62" spans="1:24" ht="15.9" customHeight="1" x14ac:dyDescent="0.3">
      <c r="A62" s="146"/>
      <c r="B62" s="146"/>
      <c r="C62" s="165"/>
      <c r="D62" s="165"/>
      <c r="E62" s="165"/>
      <c r="F62" s="165"/>
      <c r="G62" s="165"/>
      <c r="H62" s="165"/>
      <c r="I62" s="165"/>
      <c r="J62" s="165"/>
      <c r="K62" s="165"/>
      <c r="L62" s="165"/>
      <c r="M62" s="184"/>
    </row>
    <row r="63" spans="1:24" ht="14.4" x14ac:dyDescent="0.3">
      <c r="A63" s="146"/>
      <c r="B63" s="146"/>
      <c r="C63" s="165"/>
      <c r="D63" s="165"/>
      <c r="E63" s="165"/>
      <c r="F63" s="165"/>
      <c r="G63" s="165"/>
      <c r="H63" s="165"/>
      <c r="I63" s="165"/>
      <c r="J63" s="165"/>
      <c r="K63" s="165"/>
      <c r="L63" s="165"/>
      <c r="M63" s="184"/>
    </row>
    <row r="64" spans="1:24" ht="14.4" x14ac:dyDescent="0.3">
      <c r="A64" s="146"/>
      <c r="B64" s="146"/>
      <c r="C64" s="146"/>
      <c r="D64" s="146"/>
      <c r="E64" s="146"/>
      <c r="F64" s="146"/>
      <c r="G64" s="146"/>
      <c r="H64" s="146"/>
      <c r="I64" s="146"/>
      <c r="J64" s="146"/>
      <c r="K64" s="146"/>
      <c r="L64" s="146"/>
    </row>
    <row r="65" spans="1:12" ht="15" customHeight="1" x14ac:dyDescent="0.3">
      <c r="A65" s="146"/>
      <c r="B65" s="149" t="str">
        <f>+TIT!D9</f>
        <v>Shri. Bharat C. Boridkar</v>
      </c>
      <c r="C65" s="146"/>
      <c r="D65" s="146"/>
      <c r="E65" s="146"/>
      <c r="F65" s="146"/>
      <c r="G65" s="146"/>
      <c r="H65" s="146"/>
      <c r="I65" s="146"/>
      <c r="J65" s="146"/>
      <c r="K65" s="146"/>
      <c r="L65" s="146"/>
    </row>
    <row r="66" spans="1:12" ht="15.75" customHeight="1" x14ac:dyDescent="0.3">
      <c r="A66" s="146"/>
      <c r="B66" s="377" t="s">
        <v>412</v>
      </c>
      <c r="C66" s="146"/>
      <c r="D66" s="146"/>
      <c r="E66" s="146"/>
      <c r="F66" s="146"/>
      <c r="G66" s="146"/>
      <c r="H66" s="146"/>
      <c r="I66" s="146"/>
      <c r="J66" s="146"/>
      <c r="K66" s="146"/>
      <c r="L66" s="146"/>
    </row>
    <row r="67" spans="1:12" ht="15" hidden="1" customHeight="1" x14ac:dyDescent="0.3">
      <c r="A67" s="146"/>
      <c r="B67" s="376" t="s">
        <v>654</v>
      </c>
      <c r="C67" s="146"/>
      <c r="D67" s="146"/>
      <c r="E67" s="146"/>
      <c r="F67" s="146"/>
      <c r="G67" s="146"/>
      <c r="H67" s="146"/>
      <c r="I67" s="146"/>
      <c r="J67" s="146"/>
      <c r="K67" s="146"/>
      <c r="L67" s="146"/>
    </row>
    <row r="68" spans="1:12" ht="15" customHeight="1" x14ac:dyDescent="0.3">
      <c r="A68" s="146"/>
      <c r="B68" s="384" t="s">
        <v>967</v>
      </c>
      <c r="C68" s="146"/>
      <c r="D68" s="146"/>
      <c r="E68" s="146"/>
      <c r="F68" s="146"/>
      <c r="G68" s="146"/>
      <c r="H68" s="146"/>
      <c r="I68" s="146"/>
      <c r="J68" s="146"/>
      <c r="K68" s="146"/>
      <c r="L68" s="146"/>
    </row>
    <row r="69" spans="1:12" ht="15.75" customHeight="1" x14ac:dyDescent="0.3">
      <c r="A69" s="146"/>
      <c r="B69" s="683">
        <f>+TIT!D12</f>
        <v>46275</v>
      </c>
      <c r="C69" s="683"/>
      <c r="D69" s="683"/>
      <c r="E69" s="683"/>
      <c r="F69" s="683"/>
      <c r="G69" s="146"/>
      <c r="H69" s="146"/>
      <c r="I69" s="146"/>
      <c r="J69" s="146"/>
      <c r="K69" s="146"/>
      <c r="L69" s="146"/>
    </row>
    <row r="70" spans="1:12" ht="15.75" customHeight="1" x14ac:dyDescent="0.3">
      <c r="A70" s="146"/>
      <c r="B70" s="146"/>
      <c r="C70" s="185"/>
      <c r="D70" s="185"/>
      <c r="E70" s="185"/>
      <c r="F70" s="146"/>
      <c r="G70" s="146"/>
      <c r="H70" s="146"/>
      <c r="I70" s="146"/>
      <c r="J70" s="146"/>
      <c r="K70" s="146"/>
      <c r="L70" s="146"/>
    </row>
    <row r="71" spans="1:12" ht="15.75" customHeight="1" x14ac:dyDescent="0.3">
      <c r="A71" s="186"/>
      <c r="B71" s="186"/>
      <c r="C71" s="187"/>
      <c r="D71" s="187"/>
      <c r="E71" s="187"/>
      <c r="F71" s="186"/>
      <c r="G71" s="186"/>
      <c r="H71" s="186"/>
      <c r="I71" s="186"/>
      <c r="J71" s="186"/>
      <c r="K71" s="186"/>
      <c r="L71" s="186"/>
    </row>
    <row r="72" spans="1:12" ht="15.75" customHeight="1" x14ac:dyDescent="0.3">
      <c r="A72" s="188"/>
      <c r="B72" s="188"/>
      <c r="C72" s="189"/>
      <c r="D72" s="189"/>
      <c r="E72" s="189"/>
      <c r="F72" s="188"/>
      <c r="G72" s="188"/>
      <c r="H72" s="188"/>
      <c r="I72" s="188"/>
      <c r="J72" s="188"/>
      <c r="K72" s="188"/>
      <c r="L72" s="188"/>
    </row>
    <row r="73" spans="1:12" ht="15.75" customHeight="1" x14ac:dyDescent="0.3">
      <c r="A73" s="188" t="s">
        <v>126</v>
      </c>
      <c r="B73" s="188"/>
      <c r="C73" s="189"/>
      <c r="D73" s="189"/>
      <c r="E73" s="189"/>
      <c r="F73" s="188"/>
      <c r="G73" s="188"/>
      <c r="H73" s="188"/>
      <c r="I73" s="188"/>
      <c r="J73" s="188"/>
      <c r="K73" s="188"/>
      <c r="L73" s="188"/>
    </row>
    <row r="74" spans="1:12" ht="15.75" customHeight="1" x14ac:dyDescent="0.3">
      <c r="A74" s="188"/>
      <c r="B74" s="188"/>
      <c r="C74" s="189"/>
      <c r="D74" s="189"/>
      <c r="E74" s="189"/>
      <c r="F74" s="188"/>
      <c r="G74" s="188"/>
      <c r="H74" s="188"/>
      <c r="I74" s="188"/>
      <c r="J74" s="188"/>
      <c r="K74" s="188"/>
      <c r="L74" s="188"/>
    </row>
    <row r="75" spans="1:12" ht="15.75" customHeight="1" x14ac:dyDescent="0.3">
      <c r="A75" s="188"/>
      <c r="B75" s="188"/>
      <c r="C75" s="189"/>
      <c r="D75" s="189"/>
      <c r="E75" s="189"/>
      <c r="F75" s="188"/>
      <c r="G75" s="188"/>
      <c r="H75" s="188"/>
      <c r="I75" s="188"/>
      <c r="J75" s="188"/>
      <c r="K75" s="188"/>
      <c r="L75" s="188"/>
    </row>
    <row r="76" spans="1:12" ht="15.75" customHeight="1" x14ac:dyDescent="0.25">
      <c r="C76" s="190"/>
      <c r="D76" s="190"/>
      <c r="E76" s="190"/>
    </row>
    <row r="77" spans="1:12" ht="15.75" customHeight="1" x14ac:dyDescent="0.25">
      <c r="C77" s="190"/>
      <c r="D77" s="190"/>
      <c r="E77" s="190"/>
    </row>
    <row r="78" spans="1:12" ht="15.75" customHeight="1" x14ac:dyDescent="0.25">
      <c r="C78" s="190"/>
      <c r="D78" s="190"/>
      <c r="E78" s="190"/>
    </row>
    <row r="79" spans="1:12" ht="15.75" customHeight="1" x14ac:dyDescent="0.25">
      <c r="A79" s="663"/>
      <c r="B79" s="663"/>
      <c r="C79" s="663"/>
      <c r="D79" s="663"/>
      <c r="E79" s="663"/>
      <c r="F79" s="663"/>
      <c r="G79" s="663"/>
      <c r="H79" s="663"/>
      <c r="I79" s="663"/>
      <c r="J79" s="663"/>
      <c r="K79" s="663"/>
      <c r="L79" s="663"/>
    </row>
  </sheetData>
  <mergeCells count="31">
    <mergeCell ref="C59:L59"/>
    <mergeCell ref="N35:R35"/>
    <mergeCell ref="N37:Q37"/>
    <mergeCell ref="B69:F69"/>
    <mergeCell ref="A79:L79"/>
    <mergeCell ref="C46:L46"/>
    <mergeCell ref="C48:L48"/>
    <mergeCell ref="B50:L50"/>
    <mergeCell ref="C53:L53"/>
    <mergeCell ref="C57:L57"/>
    <mergeCell ref="B41:L41"/>
    <mergeCell ref="C44:L44"/>
    <mergeCell ref="C55:L55"/>
    <mergeCell ref="B33:L33"/>
    <mergeCell ref="C35:L35"/>
    <mergeCell ref="C37:L38"/>
    <mergeCell ref="A1:N1"/>
    <mergeCell ref="A6:L6"/>
    <mergeCell ref="A7:L7"/>
    <mergeCell ref="A2:L2"/>
    <mergeCell ref="A3:L3"/>
    <mergeCell ref="A4:L4"/>
    <mergeCell ref="Q4:R4"/>
    <mergeCell ref="B19:L19"/>
    <mergeCell ref="B29:L29"/>
    <mergeCell ref="B27:L27"/>
    <mergeCell ref="S19:V19"/>
    <mergeCell ref="A14:L14"/>
    <mergeCell ref="B22:L22"/>
    <mergeCell ref="B25:L25"/>
    <mergeCell ref="A15:L15"/>
  </mergeCells>
  <dataValidations count="4">
    <dataValidation type="list" allowBlank="1" showInputMessage="1" showErrorMessage="1" sqref="N19" xr:uid="{00000000-0002-0000-0300-000000000000}">
      <formula1>"Income and Expenditure, Profit and Loss"</formula1>
    </dataValidation>
    <dataValidation type="list" allowBlank="1" showInputMessage="1" showErrorMessage="1" sqref="N10" xr:uid="{00000000-0002-0000-0300-000001000000}">
      <formula1>"Chairman, Secretary, Chief Executive Officer"</formula1>
    </dataValidation>
    <dataValidation allowBlank="1" showInputMessage="1" showErrorMessage="1" sqref="N12" xr:uid="{00000000-0002-0000-0300-000002000000}"/>
    <dataValidation type="list" allowBlank="1" showInputMessage="1" showErrorMessage="1" sqref="N53" xr:uid="{00000000-0002-0000-0300-000003000000}">
      <formula1>"Y, N"</formula1>
    </dataValidation>
  </dataValidations>
  <pageMargins left="0.51181102362204722" right="0" top="0.23622047244094491" bottom="0.23622047244094491" header="0" footer="0"/>
  <pageSetup paperSize="9" scale="95" orientation="portrait" r:id="rId1"/>
  <headerFooter alignWithMargins="0"/>
  <rowBreaks count="1" manualBreakCount="1">
    <brk id="30" max="11"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86"/>
  <sheetViews>
    <sheetView view="pageBreakPreview" topLeftCell="A157" zoomScaleNormal="100" workbookViewId="0">
      <selection activeCell="J177" sqref="J177"/>
    </sheetView>
  </sheetViews>
  <sheetFormatPr defaultColWidth="8" defaultRowHeight="14.4" x14ac:dyDescent="0.3"/>
  <cols>
    <col min="1" max="3" width="3.19921875" style="35" customWidth="1"/>
    <col min="4" max="5" width="8" style="35" customWidth="1"/>
    <col min="6" max="6" width="8.19921875" style="35" customWidth="1"/>
    <col min="7" max="7" width="6.69921875" style="35" customWidth="1"/>
    <col min="8" max="8" width="1.69921875" style="35" customWidth="1"/>
    <col min="9" max="9" width="9.69921875" style="40" customWidth="1"/>
    <col min="10" max="10" width="9" style="40" customWidth="1"/>
    <col min="11" max="11" width="10.19921875" style="40" customWidth="1"/>
    <col min="12" max="12" width="10.5" style="40" customWidth="1"/>
    <col min="13" max="13" width="7" style="40" customWidth="1"/>
    <col min="14" max="14" width="1.59765625" style="35" customWidth="1"/>
    <col min="15" max="16384" width="8" style="35"/>
  </cols>
  <sheetData>
    <row r="1" spans="1:13" ht="15.6" x14ac:dyDescent="0.3">
      <c r="A1" s="706" t="s">
        <v>79</v>
      </c>
      <c r="B1" s="706"/>
      <c r="C1" s="706"/>
      <c r="D1" s="706"/>
      <c r="E1" s="706"/>
      <c r="F1" s="706"/>
      <c r="G1" s="706"/>
      <c r="H1" s="706"/>
      <c r="I1" s="706"/>
      <c r="J1" s="706"/>
      <c r="K1" s="706"/>
      <c r="L1" s="706"/>
      <c r="M1" s="706"/>
    </row>
    <row r="2" spans="1:13" x14ac:dyDescent="0.3">
      <c r="A2" s="707" t="s">
        <v>80</v>
      </c>
      <c r="B2" s="707"/>
      <c r="C2" s="707"/>
      <c r="D2" s="707"/>
      <c r="E2" s="707"/>
      <c r="F2" s="707"/>
      <c r="G2" s="707"/>
      <c r="H2" s="707"/>
      <c r="I2" s="707"/>
      <c r="J2" s="707"/>
      <c r="K2" s="707"/>
      <c r="L2" s="707"/>
      <c r="M2" s="707"/>
    </row>
    <row r="3" spans="1:13" x14ac:dyDescent="0.3">
      <c r="A3" s="707" t="s">
        <v>81</v>
      </c>
      <c r="B3" s="707"/>
      <c r="C3" s="707"/>
      <c r="D3" s="707"/>
      <c r="E3" s="707"/>
      <c r="F3" s="707"/>
      <c r="G3" s="707"/>
      <c r="H3" s="707"/>
      <c r="I3" s="707"/>
      <c r="J3" s="707"/>
      <c r="K3" s="707"/>
      <c r="L3" s="707"/>
      <c r="M3" s="707"/>
    </row>
    <row r="4" spans="1:13" ht="9" customHeight="1" x14ac:dyDescent="0.3">
      <c r="A4" s="40"/>
      <c r="B4" s="40"/>
      <c r="C4" s="40"/>
      <c r="D4" s="40"/>
      <c r="E4" s="40"/>
      <c r="F4" s="40"/>
      <c r="G4" s="40"/>
      <c r="H4" s="40"/>
    </row>
    <row r="5" spans="1:13" x14ac:dyDescent="0.3">
      <c r="A5" s="40" t="s">
        <v>82</v>
      </c>
      <c r="B5" s="40"/>
      <c r="C5" s="40"/>
      <c r="D5" s="40"/>
      <c r="E5" s="40"/>
      <c r="F5" s="40"/>
      <c r="G5" s="40"/>
      <c r="H5" s="40"/>
      <c r="I5" s="48" t="str">
        <f>+TIT!D2</f>
        <v>NAVANAND CO-OPERATIVE. HOUSING SOCIETY LTD.</v>
      </c>
      <c r="J5" s="48"/>
      <c r="K5" s="48"/>
      <c r="L5" s="48"/>
      <c r="M5" s="48"/>
    </row>
    <row r="6" spans="1:13" x14ac:dyDescent="0.3">
      <c r="A6" s="40"/>
      <c r="B6" s="40"/>
      <c r="C6" s="40"/>
      <c r="D6" s="40"/>
      <c r="E6" s="40"/>
      <c r="F6" s="40"/>
      <c r="G6" s="40"/>
      <c r="H6" s="40"/>
      <c r="I6" s="48"/>
      <c r="J6" s="48"/>
      <c r="K6" s="48"/>
      <c r="L6" s="48"/>
      <c r="M6" s="48"/>
    </row>
    <row r="7" spans="1:13" x14ac:dyDescent="0.3">
      <c r="A7" s="40" t="s">
        <v>83</v>
      </c>
      <c r="B7" s="40"/>
      <c r="C7" s="40"/>
      <c r="D7" s="40"/>
      <c r="E7" s="40"/>
      <c r="F7" s="40"/>
      <c r="G7" s="40"/>
      <c r="H7" s="40"/>
      <c r="I7" s="59" t="s">
        <v>853</v>
      </c>
    </row>
    <row r="8" spans="1:13" x14ac:dyDescent="0.3">
      <c r="A8" s="40" t="s">
        <v>84</v>
      </c>
      <c r="B8" s="40"/>
      <c r="C8" s="40"/>
      <c r="D8" s="40"/>
      <c r="E8" s="40"/>
      <c r="F8" s="40"/>
      <c r="G8" s="40"/>
      <c r="H8" s="40"/>
      <c r="I8" s="50" t="str">
        <f>+TIT!D6</f>
        <v>Maratha Colony Road, Dahisar - East, Mumbai - 400 068</v>
      </c>
      <c r="J8" s="37"/>
      <c r="K8" s="37"/>
      <c r="L8" s="37"/>
      <c r="M8" s="37"/>
    </row>
    <row r="9" spans="1:13" x14ac:dyDescent="0.3">
      <c r="A9" s="40" t="s">
        <v>85</v>
      </c>
      <c r="B9" s="40"/>
      <c r="C9" s="40"/>
      <c r="D9" s="40"/>
      <c r="E9" s="40"/>
      <c r="F9" s="40"/>
      <c r="G9" s="40"/>
      <c r="H9" s="40"/>
      <c r="I9" s="37"/>
      <c r="J9" s="37"/>
      <c r="K9" s="37"/>
      <c r="L9" s="37"/>
      <c r="M9" s="37"/>
    </row>
    <row r="10" spans="1:13" x14ac:dyDescent="0.3">
      <c r="A10" s="40" t="s">
        <v>86</v>
      </c>
      <c r="B10" s="40"/>
      <c r="C10" s="40"/>
      <c r="D10" s="40"/>
      <c r="E10" s="40"/>
      <c r="F10" s="40"/>
      <c r="G10" s="40"/>
      <c r="H10" s="40"/>
      <c r="I10" s="40" t="s">
        <v>387</v>
      </c>
    </row>
    <row r="11" spans="1:13" x14ac:dyDescent="0.3">
      <c r="A11" s="40" t="s">
        <v>87</v>
      </c>
      <c r="B11" s="40"/>
      <c r="C11" s="40"/>
      <c r="D11" s="40"/>
      <c r="E11" s="40"/>
      <c r="F11" s="40"/>
      <c r="G11" s="40"/>
      <c r="H11" s="40"/>
      <c r="I11" s="40" t="str">
        <f>+TIT!D3</f>
        <v xml:space="preserve"> BOM/WR/HSG/TC/11905 DT. 06/01/2003</v>
      </c>
    </row>
    <row r="12" spans="1:13" x14ac:dyDescent="0.3">
      <c r="A12" s="40" t="s">
        <v>88</v>
      </c>
      <c r="B12" s="40"/>
      <c r="C12" s="40"/>
      <c r="D12" s="40"/>
      <c r="E12" s="40"/>
      <c r="F12" s="40"/>
      <c r="G12" s="40"/>
      <c r="H12" s="40"/>
      <c r="I12" s="708">
        <f>+TIT!D4</f>
        <v>37627</v>
      </c>
      <c r="J12" s="708"/>
    </row>
    <row r="13" spans="1:13" x14ac:dyDescent="0.3">
      <c r="A13" s="40" t="s">
        <v>89</v>
      </c>
      <c r="B13" s="40"/>
      <c r="C13" s="40"/>
      <c r="D13" s="40"/>
      <c r="E13" s="40"/>
      <c r="F13" s="40"/>
      <c r="G13" s="40"/>
      <c r="H13" s="40"/>
      <c r="I13" s="708" t="str">
        <f>+TIT!D5</f>
        <v>Dahisar  (East), Mumbai</v>
      </c>
      <c r="J13" s="708"/>
    </row>
    <row r="14" spans="1:13" x14ac:dyDescent="0.3">
      <c r="A14" s="40" t="s">
        <v>90</v>
      </c>
      <c r="B14" s="40"/>
      <c r="C14" s="40"/>
      <c r="D14" s="40"/>
      <c r="E14" s="40"/>
      <c r="F14" s="40"/>
      <c r="G14" s="40"/>
      <c r="H14" s="40"/>
      <c r="I14" s="40" t="s">
        <v>91</v>
      </c>
    </row>
    <row r="15" spans="1:13" x14ac:dyDescent="0.3">
      <c r="A15" s="40" t="s">
        <v>92</v>
      </c>
      <c r="B15" s="40"/>
      <c r="C15" s="40"/>
      <c r="D15" s="40"/>
      <c r="E15" s="40"/>
      <c r="F15" s="40"/>
      <c r="G15" s="40"/>
      <c r="H15" s="40"/>
    </row>
    <row r="16" spans="1:13" x14ac:dyDescent="0.3">
      <c r="A16" s="40" t="s">
        <v>93</v>
      </c>
      <c r="B16" s="40" t="s">
        <v>94</v>
      </c>
      <c r="C16" s="40"/>
      <c r="D16" s="40"/>
      <c r="E16" s="40"/>
      <c r="F16" s="40"/>
      <c r="G16" s="40"/>
      <c r="H16" s="40"/>
      <c r="I16" s="45" t="s">
        <v>95</v>
      </c>
    </row>
    <row r="17" spans="1:13" ht="15" customHeight="1" x14ac:dyDescent="0.3">
      <c r="A17" s="51" t="s">
        <v>96</v>
      </c>
      <c r="B17" s="43" t="s">
        <v>97</v>
      </c>
      <c r="C17" s="43"/>
      <c r="D17" s="43"/>
      <c r="E17" s="43"/>
      <c r="F17" s="43"/>
      <c r="G17" s="43"/>
      <c r="H17" s="43"/>
      <c r="I17" s="52" t="s">
        <v>95</v>
      </c>
      <c r="J17" s="43"/>
      <c r="K17" s="43"/>
      <c r="L17" s="43"/>
      <c r="M17" s="43"/>
    </row>
    <row r="18" spans="1:13" x14ac:dyDescent="0.3">
      <c r="A18" s="45">
        <v>1</v>
      </c>
      <c r="B18" s="45" t="s">
        <v>98</v>
      </c>
      <c r="C18" s="40"/>
      <c r="D18" s="40"/>
      <c r="E18" s="40"/>
      <c r="F18" s="40"/>
      <c r="G18" s="40"/>
      <c r="H18" s="40"/>
    </row>
    <row r="19" spans="1:13" ht="15" customHeight="1" x14ac:dyDescent="0.3">
      <c r="B19" s="53" t="s">
        <v>99</v>
      </c>
      <c r="C19" s="700" t="s">
        <v>100</v>
      </c>
      <c r="D19" s="700"/>
      <c r="E19" s="700"/>
      <c r="F19" s="700"/>
      <c r="G19" s="700"/>
      <c r="H19" s="40"/>
      <c r="I19" s="40" t="str">
        <f>+TIT!D9</f>
        <v>Shri. Bharat C. Boridkar</v>
      </c>
      <c r="K19" s="40" t="str">
        <f>+TIT!F9</f>
        <v>Govt. Certified Panel Auditor</v>
      </c>
    </row>
    <row r="20" spans="1:13" x14ac:dyDescent="0.3">
      <c r="A20" s="40"/>
      <c r="B20" s="40"/>
      <c r="C20" s="700"/>
      <c r="D20" s="700"/>
      <c r="E20" s="700"/>
      <c r="F20" s="700"/>
      <c r="G20" s="700"/>
      <c r="H20" s="40"/>
      <c r="I20" s="700" t="str">
        <f>+TIT!D11</f>
        <v>Boridkar House, Pandurang Bhoir Road, Dahisar - West, Mumbai, Mumbai - 400 068</v>
      </c>
      <c r="J20" s="700"/>
      <c r="K20" s="700"/>
      <c r="L20" s="700"/>
      <c r="M20" s="700"/>
    </row>
    <row r="21" spans="1:13" x14ac:dyDescent="0.3">
      <c r="A21" s="40"/>
      <c r="B21" s="40"/>
      <c r="C21" s="54"/>
      <c r="D21" s="54"/>
      <c r="E21" s="54"/>
      <c r="F21" s="54"/>
      <c r="G21" s="54"/>
      <c r="H21" s="40"/>
      <c r="I21" s="700"/>
      <c r="J21" s="700"/>
      <c r="K21" s="700"/>
      <c r="L21" s="700"/>
      <c r="M21" s="700"/>
    </row>
    <row r="22" spans="1:13" x14ac:dyDescent="0.3">
      <c r="B22" s="53" t="s">
        <v>101</v>
      </c>
      <c r="C22" s="40" t="s">
        <v>102</v>
      </c>
      <c r="D22" s="40"/>
      <c r="E22" s="40"/>
      <c r="F22" s="40"/>
      <c r="G22" s="40"/>
      <c r="H22" s="40"/>
      <c r="I22" s="55" t="str">
        <f>+TIT!D7&amp;+" to "&amp;TIT!D8</f>
        <v>1st April, 2025 to 31st March, 2026</v>
      </c>
      <c r="J22" s="443"/>
      <c r="K22" s="55"/>
    </row>
    <row r="23" spans="1:13" x14ac:dyDescent="0.3">
      <c r="A23" s="53"/>
      <c r="B23" s="704" t="s">
        <v>103</v>
      </c>
      <c r="C23" s="704"/>
      <c r="D23" s="40" t="s">
        <v>104</v>
      </c>
      <c r="F23" s="40"/>
      <c r="G23" s="40"/>
      <c r="H23" s="40"/>
      <c r="I23" s="56">
        <f>+TIT!D14</f>
        <v>46266</v>
      </c>
      <c r="J23" s="443" t="s">
        <v>105</v>
      </c>
      <c r="K23" s="56">
        <f>+TIT!D15</f>
        <v>45909</v>
      </c>
    </row>
    <row r="24" spans="1:13" x14ac:dyDescent="0.3">
      <c r="B24" s="704"/>
      <c r="C24" s="704"/>
      <c r="D24" s="40" t="s">
        <v>106</v>
      </c>
      <c r="F24" s="40"/>
      <c r="G24" s="40"/>
      <c r="H24" s="40"/>
      <c r="I24" s="56">
        <f>+TIT!D15</f>
        <v>45909</v>
      </c>
    </row>
    <row r="25" spans="1:13" x14ac:dyDescent="0.3">
      <c r="B25" s="704"/>
      <c r="C25" s="704"/>
      <c r="D25" s="40" t="s">
        <v>107</v>
      </c>
      <c r="F25" s="40"/>
      <c r="G25" s="40"/>
      <c r="H25" s="40"/>
      <c r="I25" s="56">
        <f>+TIT!D16</f>
        <v>46275</v>
      </c>
      <c r="J25" s="56"/>
    </row>
    <row r="26" spans="1:13" x14ac:dyDescent="0.3">
      <c r="A26" s="45">
        <v>2</v>
      </c>
      <c r="B26" s="45" t="s">
        <v>108</v>
      </c>
      <c r="C26" s="40"/>
      <c r="D26" s="40"/>
      <c r="E26" s="40"/>
      <c r="F26" s="40"/>
      <c r="G26" s="40"/>
      <c r="H26" s="40"/>
    </row>
    <row r="27" spans="1:13" x14ac:dyDescent="0.3">
      <c r="B27" s="40" t="s">
        <v>109</v>
      </c>
      <c r="C27" s="57" t="s">
        <v>110</v>
      </c>
      <c r="D27" s="40"/>
      <c r="E27" s="704" t="s">
        <v>111</v>
      </c>
      <c r="F27" s="40" t="s">
        <v>112</v>
      </c>
      <c r="G27" s="40"/>
      <c r="H27" s="40"/>
      <c r="J27" s="40">
        <v>30</v>
      </c>
    </row>
    <row r="28" spans="1:13" x14ac:dyDescent="0.3">
      <c r="A28" s="40"/>
      <c r="B28" s="40"/>
      <c r="C28" s="40"/>
      <c r="D28" s="40"/>
      <c r="E28" s="705"/>
      <c r="F28" s="40" t="s">
        <v>113</v>
      </c>
      <c r="G28" s="40"/>
      <c r="H28" s="40"/>
    </row>
    <row r="29" spans="1:13" x14ac:dyDescent="0.3">
      <c r="A29" s="40"/>
      <c r="B29" s="40"/>
      <c r="C29" s="40"/>
      <c r="D29" s="40"/>
      <c r="E29" s="705"/>
      <c r="F29" s="40" t="s">
        <v>114</v>
      </c>
      <c r="G29" s="40"/>
      <c r="H29" s="40"/>
      <c r="J29" s="40">
        <v>0</v>
      </c>
    </row>
    <row r="30" spans="1:13" x14ac:dyDescent="0.3">
      <c r="A30" s="40"/>
      <c r="B30" s="40"/>
      <c r="C30" s="40"/>
      <c r="D30" s="40"/>
      <c r="E30" s="40" t="s">
        <v>115</v>
      </c>
      <c r="F30" s="40"/>
      <c r="G30" s="40"/>
      <c r="H30" s="40"/>
      <c r="J30" s="40">
        <v>0</v>
      </c>
    </row>
    <row r="31" spans="1:13" x14ac:dyDescent="0.3">
      <c r="A31" s="40"/>
      <c r="B31" s="40"/>
      <c r="C31" s="40"/>
      <c r="D31" s="40"/>
      <c r="E31" s="40" t="s">
        <v>116</v>
      </c>
      <c r="F31" s="40"/>
      <c r="G31" s="40"/>
      <c r="H31" s="40"/>
      <c r="J31" s="40">
        <v>0</v>
      </c>
    </row>
    <row r="32" spans="1:13" x14ac:dyDescent="0.3">
      <c r="A32" s="40"/>
      <c r="B32" s="40"/>
      <c r="C32" s="40"/>
      <c r="E32" s="57" t="s">
        <v>117</v>
      </c>
      <c r="F32" s="40"/>
      <c r="G32" s="40"/>
      <c r="H32" s="40"/>
    </row>
    <row r="33" spans="1:13" x14ac:dyDescent="0.3">
      <c r="A33" s="40"/>
      <c r="B33" s="40"/>
      <c r="C33" s="40"/>
      <c r="D33" s="40"/>
      <c r="E33" s="58" t="s">
        <v>118</v>
      </c>
      <c r="F33" s="58"/>
      <c r="G33" s="58"/>
      <c r="H33" s="58"/>
      <c r="I33" s="58"/>
      <c r="J33" s="58">
        <f>SUM(J27:J32)</f>
        <v>30</v>
      </c>
      <c r="K33" s="58"/>
      <c r="L33" s="58"/>
      <c r="M33" s="58"/>
    </row>
    <row r="34" spans="1:13" x14ac:dyDescent="0.3">
      <c r="B34" s="40" t="s">
        <v>96</v>
      </c>
      <c r="C34" s="40" t="s">
        <v>119</v>
      </c>
      <c r="D34" s="40"/>
      <c r="E34" s="40"/>
      <c r="F34" s="40"/>
      <c r="G34" s="40"/>
      <c r="H34" s="40"/>
      <c r="I34" s="40" t="s">
        <v>381</v>
      </c>
    </row>
    <row r="35" spans="1:13" x14ac:dyDescent="0.3">
      <c r="A35" s="40"/>
      <c r="B35" s="40"/>
      <c r="C35" s="40" t="s">
        <v>120</v>
      </c>
      <c r="D35" s="40"/>
      <c r="E35" s="40"/>
      <c r="F35" s="40"/>
      <c r="G35" s="40"/>
      <c r="H35" s="40"/>
      <c r="I35" s="40" t="s">
        <v>381</v>
      </c>
    </row>
    <row r="36" spans="1:13" x14ac:dyDescent="0.3">
      <c r="B36" s="40" t="s">
        <v>122</v>
      </c>
      <c r="C36" s="700" t="s">
        <v>123</v>
      </c>
      <c r="D36" s="700"/>
      <c r="E36" s="700"/>
      <c r="F36" s="700"/>
      <c r="G36" s="700"/>
      <c r="H36" s="40"/>
      <c r="I36" s="40" t="s">
        <v>381</v>
      </c>
    </row>
    <row r="37" spans="1:13" x14ac:dyDescent="0.3">
      <c r="A37" s="40"/>
      <c r="B37" s="40"/>
      <c r="C37" s="700"/>
      <c r="D37" s="700"/>
      <c r="E37" s="700"/>
      <c r="F37" s="700"/>
      <c r="G37" s="700"/>
      <c r="H37" s="40"/>
    </row>
    <row r="38" spans="1:13" x14ac:dyDescent="0.3">
      <c r="B38" s="40" t="s">
        <v>124</v>
      </c>
      <c r="C38" s="700" t="s">
        <v>125</v>
      </c>
      <c r="D38" s="700"/>
      <c r="E38" s="700"/>
      <c r="F38" s="700"/>
      <c r="G38" s="700"/>
      <c r="H38" s="40"/>
      <c r="I38" s="40" t="s">
        <v>129</v>
      </c>
    </row>
    <row r="39" spans="1:13" x14ac:dyDescent="0.3">
      <c r="A39" s="40"/>
      <c r="B39" s="40"/>
      <c r="C39" s="700"/>
      <c r="D39" s="700"/>
      <c r="E39" s="700"/>
      <c r="F39" s="700"/>
      <c r="G39" s="700"/>
      <c r="H39" s="40"/>
    </row>
    <row r="40" spans="1:13" x14ac:dyDescent="0.3">
      <c r="A40" s="40"/>
      <c r="B40" s="40" t="s">
        <v>126</v>
      </c>
      <c r="C40" s="702"/>
      <c r="D40" s="702"/>
      <c r="E40" s="702"/>
      <c r="F40" s="702"/>
      <c r="G40" s="702"/>
      <c r="H40" s="40"/>
    </row>
    <row r="41" spans="1:13" x14ac:dyDescent="0.3">
      <c r="B41" s="40" t="s">
        <v>127</v>
      </c>
      <c r="C41" s="700" t="s">
        <v>128</v>
      </c>
      <c r="D41" s="700"/>
      <c r="E41" s="700"/>
      <c r="F41" s="700"/>
      <c r="G41" s="700"/>
      <c r="H41" s="40"/>
      <c r="I41" s="40" t="s">
        <v>129</v>
      </c>
    </row>
    <row r="42" spans="1:13" x14ac:dyDescent="0.3">
      <c r="A42" s="40"/>
      <c r="B42" s="40"/>
      <c r="C42" s="700"/>
      <c r="D42" s="700"/>
      <c r="E42" s="700"/>
      <c r="F42" s="700"/>
      <c r="G42" s="700"/>
      <c r="H42" s="40"/>
    </row>
    <row r="43" spans="1:13" x14ac:dyDescent="0.3">
      <c r="B43" s="40" t="s">
        <v>130</v>
      </c>
      <c r="C43" s="700" t="s">
        <v>131</v>
      </c>
      <c r="D43" s="700"/>
      <c r="E43" s="700"/>
      <c r="F43" s="700"/>
      <c r="G43" s="700"/>
      <c r="H43" s="40"/>
      <c r="I43" s="40" t="s">
        <v>129</v>
      </c>
    </row>
    <row r="44" spans="1:13" x14ac:dyDescent="0.3">
      <c r="A44" s="40"/>
      <c r="B44" s="40"/>
      <c r="C44" s="700"/>
      <c r="D44" s="700"/>
      <c r="E44" s="700"/>
      <c r="F44" s="700"/>
      <c r="G44" s="700"/>
      <c r="H44" s="40"/>
    </row>
    <row r="45" spans="1:13" x14ac:dyDescent="0.3">
      <c r="A45" s="40"/>
      <c r="B45" s="40" t="s">
        <v>126</v>
      </c>
      <c r="C45" s="702"/>
      <c r="D45" s="702"/>
      <c r="E45" s="702"/>
      <c r="F45" s="702"/>
      <c r="G45" s="702"/>
      <c r="H45" s="40"/>
    </row>
    <row r="46" spans="1:13" x14ac:dyDescent="0.3">
      <c r="A46" s="40"/>
      <c r="B46" s="59" t="s">
        <v>132</v>
      </c>
      <c r="C46" s="700" t="s">
        <v>133</v>
      </c>
      <c r="D46" s="700"/>
      <c r="E46" s="700"/>
      <c r="F46" s="700"/>
      <c r="G46" s="700"/>
      <c r="H46" s="40"/>
      <c r="I46" s="40" t="s">
        <v>129</v>
      </c>
    </row>
    <row r="47" spans="1:13" x14ac:dyDescent="0.3">
      <c r="C47" s="700"/>
      <c r="D47" s="700"/>
      <c r="E47" s="700"/>
      <c r="F47" s="700"/>
      <c r="G47" s="700"/>
      <c r="H47" s="40"/>
    </row>
    <row r="48" spans="1:13" ht="15" customHeight="1" x14ac:dyDescent="0.3">
      <c r="A48" s="40"/>
      <c r="B48" s="59" t="s">
        <v>134</v>
      </c>
      <c r="C48" s="700" t="s">
        <v>135</v>
      </c>
      <c r="D48" s="700"/>
      <c r="E48" s="700"/>
      <c r="F48" s="700"/>
      <c r="G48" s="700"/>
      <c r="H48" s="40"/>
      <c r="I48" s="684" t="str">
        <f>+I43</f>
        <v>Yes</v>
      </c>
      <c r="J48" s="684"/>
      <c r="K48" s="684"/>
      <c r="L48" s="684"/>
      <c r="M48" s="684"/>
    </row>
    <row r="49" spans="1:13" x14ac:dyDescent="0.3">
      <c r="B49" s="49" t="s">
        <v>126</v>
      </c>
      <c r="C49" s="700"/>
      <c r="D49" s="700"/>
      <c r="E49" s="700"/>
      <c r="F49" s="700"/>
      <c r="G49" s="700"/>
      <c r="H49" s="40"/>
      <c r="I49" s="684"/>
      <c r="J49" s="684"/>
      <c r="K49" s="684"/>
      <c r="L49" s="684"/>
      <c r="M49" s="684"/>
    </row>
    <row r="50" spans="1:13" x14ac:dyDescent="0.3">
      <c r="A50" s="40"/>
      <c r="B50" s="40"/>
      <c r="C50" s="700"/>
      <c r="D50" s="700"/>
      <c r="E50" s="700"/>
      <c r="F50" s="700"/>
      <c r="G50" s="700"/>
      <c r="H50" s="40"/>
    </row>
    <row r="51" spans="1:13" x14ac:dyDescent="0.3">
      <c r="A51" s="45">
        <v>3</v>
      </c>
      <c r="B51" s="60" t="s">
        <v>136</v>
      </c>
      <c r="C51" s="40"/>
      <c r="D51" s="40"/>
      <c r="E51" s="40"/>
      <c r="F51" s="40"/>
      <c r="G51" s="40"/>
      <c r="H51" s="40"/>
    </row>
    <row r="52" spans="1:13" x14ac:dyDescent="0.3">
      <c r="A52" s="49"/>
      <c r="B52" s="49" t="s">
        <v>109</v>
      </c>
      <c r="C52" s="40" t="s">
        <v>137</v>
      </c>
      <c r="D52" s="40"/>
      <c r="E52" s="40"/>
      <c r="F52" s="40"/>
      <c r="G52" s="40"/>
      <c r="H52" s="40"/>
      <c r="I52" s="40" t="s">
        <v>129</v>
      </c>
    </row>
    <row r="53" spans="1:13" x14ac:dyDescent="0.3">
      <c r="A53" s="40"/>
      <c r="B53" s="49" t="s">
        <v>138</v>
      </c>
      <c r="C53" s="40" t="s">
        <v>139</v>
      </c>
      <c r="D53" s="40"/>
      <c r="E53" s="40"/>
      <c r="F53" s="40"/>
      <c r="G53" s="40"/>
      <c r="H53" s="40"/>
      <c r="I53" s="40" t="s">
        <v>129</v>
      </c>
    </row>
    <row r="54" spans="1:13" x14ac:dyDescent="0.3">
      <c r="A54" s="49"/>
      <c r="B54" s="49" t="s">
        <v>122</v>
      </c>
      <c r="C54" s="700" t="s">
        <v>140</v>
      </c>
      <c r="D54" s="700"/>
      <c r="E54" s="700"/>
      <c r="F54" s="700"/>
      <c r="G54" s="700"/>
      <c r="H54" s="40"/>
      <c r="I54" s="40" t="s">
        <v>129</v>
      </c>
    </row>
    <row r="55" spans="1:13" x14ac:dyDescent="0.3">
      <c r="A55" s="49"/>
      <c r="B55" s="49"/>
      <c r="C55" s="700"/>
      <c r="D55" s="700"/>
      <c r="E55" s="700"/>
      <c r="F55" s="700"/>
      <c r="G55" s="700"/>
      <c r="H55" s="40"/>
    </row>
    <row r="56" spans="1:13" x14ac:dyDescent="0.3">
      <c r="A56" s="49"/>
      <c r="B56" s="40" t="s">
        <v>141</v>
      </c>
      <c r="C56" s="40" t="s">
        <v>142</v>
      </c>
      <c r="D56" s="40"/>
      <c r="E56" s="40"/>
      <c r="F56" s="40"/>
      <c r="G56" s="40"/>
      <c r="H56" s="40"/>
      <c r="I56" s="40" t="s">
        <v>129</v>
      </c>
    </row>
    <row r="57" spans="1:13" x14ac:dyDescent="0.3">
      <c r="A57" s="49"/>
      <c r="B57" s="49" t="s">
        <v>144</v>
      </c>
      <c r="C57" s="700" t="s">
        <v>145</v>
      </c>
      <c r="D57" s="700"/>
      <c r="E57" s="700"/>
      <c r="F57" s="700"/>
      <c r="G57" s="700"/>
      <c r="H57" s="40"/>
      <c r="I57" s="40" t="s">
        <v>129</v>
      </c>
    </row>
    <row r="58" spans="1:13" x14ac:dyDescent="0.3">
      <c r="A58" s="49"/>
      <c r="C58" s="700"/>
      <c r="D58" s="700"/>
      <c r="E58" s="700"/>
      <c r="F58" s="700"/>
      <c r="G58" s="700"/>
      <c r="H58" s="40"/>
    </row>
    <row r="59" spans="1:13" x14ac:dyDescent="0.3">
      <c r="A59" s="49"/>
      <c r="B59" s="40" t="s">
        <v>146</v>
      </c>
      <c r="C59" s="700" t="s">
        <v>147</v>
      </c>
      <c r="D59" s="700"/>
      <c r="E59" s="700"/>
      <c r="F59" s="700"/>
      <c r="G59" s="700"/>
      <c r="H59" s="40"/>
      <c r="I59" s="40" t="s">
        <v>129</v>
      </c>
    </row>
    <row r="60" spans="1:13" x14ac:dyDescent="0.3">
      <c r="A60" s="40"/>
      <c r="B60" s="40"/>
      <c r="C60" s="700"/>
      <c r="D60" s="700"/>
      <c r="E60" s="700"/>
      <c r="F60" s="700"/>
      <c r="G60" s="700"/>
      <c r="H60" s="40"/>
    </row>
    <row r="61" spans="1:13" ht="15" customHeight="1" x14ac:dyDescent="0.3">
      <c r="A61" s="49"/>
      <c r="B61" s="49" t="s">
        <v>148</v>
      </c>
      <c r="C61" s="700" t="s">
        <v>149</v>
      </c>
      <c r="D61" s="700"/>
      <c r="E61" s="700"/>
      <c r="F61" s="700"/>
      <c r="G61" s="700"/>
      <c r="H61" s="40"/>
      <c r="I61" s="40" t="s">
        <v>129</v>
      </c>
    </row>
    <row r="62" spans="1:13" ht="15" customHeight="1" x14ac:dyDescent="0.3">
      <c r="A62" s="49"/>
      <c r="B62" s="49"/>
      <c r="C62" s="700"/>
      <c r="D62" s="700"/>
      <c r="E62" s="700"/>
      <c r="F62" s="700"/>
      <c r="G62" s="700"/>
      <c r="H62" s="40"/>
    </row>
    <row r="63" spans="1:13" x14ac:dyDescent="0.3">
      <c r="A63" s="49"/>
      <c r="B63" s="49"/>
      <c r="C63" s="702"/>
      <c r="D63" s="702"/>
      <c r="E63" s="702"/>
      <c r="F63" s="702"/>
      <c r="G63" s="702"/>
      <c r="H63" s="40"/>
    </row>
    <row r="64" spans="1:13" x14ac:dyDescent="0.3">
      <c r="A64" s="45">
        <v>4</v>
      </c>
      <c r="B64" s="45" t="s">
        <v>150</v>
      </c>
      <c r="C64" s="40"/>
      <c r="D64" s="40"/>
      <c r="E64" s="40"/>
      <c r="F64" s="40"/>
      <c r="G64" s="40"/>
      <c r="H64" s="40"/>
    </row>
    <row r="65" spans="1:11" x14ac:dyDescent="0.3">
      <c r="A65" s="40"/>
      <c r="B65" s="49" t="s">
        <v>109</v>
      </c>
      <c r="C65" s="700" t="s">
        <v>151</v>
      </c>
      <c r="D65" s="700"/>
      <c r="E65" s="700"/>
      <c r="F65" s="700"/>
      <c r="G65" s="700"/>
      <c r="H65" s="40"/>
      <c r="I65" s="40" t="s">
        <v>152</v>
      </c>
    </row>
    <row r="66" spans="1:11" x14ac:dyDescent="0.3">
      <c r="A66" s="49"/>
      <c r="B66" s="40"/>
      <c r="C66" s="700"/>
      <c r="D66" s="700"/>
      <c r="E66" s="700"/>
      <c r="F66" s="700"/>
      <c r="G66" s="700"/>
      <c r="H66" s="40"/>
      <c r="I66" s="57" t="s">
        <v>382</v>
      </c>
    </row>
    <row r="67" spans="1:11" x14ac:dyDescent="0.3">
      <c r="A67" s="40"/>
      <c r="B67" s="40" t="s">
        <v>96</v>
      </c>
      <c r="C67" s="40" t="s">
        <v>153</v>
      </c>
      <c r="D67" s="40"/>
      <c r="E67" s="40"/>
      <c r="F67" s="40"/>
      <c r="G67" s="40"/>
      <c r="H67" s="40"/>
      <c r="I67" s="40" t="s">
        <v>143</v>
      </c>
    </row>
    <row r="68" spans="1:11" x14ac:dyDescent="0.3">
      <c r="A68" s="40"/>
      <c r="B68" s="49" t="s">
        <v>154</v>
      </c>
      <c r="C68" s="700" t="s">
        <v>155</v>
      </c>
      <c r="D68" s="700"/>
      <c r="E68" s="700"/>
      <c r="F68" s="700"/>
      <c r="G68" s="700"/>
      <c r="H68" s="40"/>
      <c r="I68" s="40" t="s">
        <v>121</v>
      </c>
    </row>
    <row r="69" spans="1:11" x14ac:dyDescent="0.3">
      <c r="A69" s="49"/>
      <c r="B69" s="40"/>
      <c r="C69" s="700"/>
      <c r="D69" s="700"/>
      <c r="E69" s="700"/>
      <c r="F69" s="700"/>
      <c r="G69" s="700"/>
      <c r="H69" s="40"/>
    </row>
    <row r="70" spans="1:11" x14ac:dyDescent="0.3">
      <c r="A70" s="45">
        <v>5</v>
      </c>
      <c r="B70" s="45" t="s">
        <v>156</v>
      </c>
      <c r="C70" s="40"/>
      <c r="D70" s="40"/>
      <c r="E70" s="40"/>
      <c r="F70" s="40"/>
      <c r="G70" s="40"/>
      <c r="H70" s="40"/>
    </row>
    <row r="71" spans="1:11" x14ac:dyDescent="0.3">
      <c r="A71" s="40"/>
      <c r="B71" s="49" t="s">
        <v>109</v>
      </c>
      <c r="C71" s="40" t="s">
        <v>157</v>
      </c>
      <c r="D71" s="40"/>
      <c r="E71" s="40"/>
      <c r="F71" s="40"/>
      <c r="G71" s="40"/>
      <c r="H71" s="40"/>
    </row>
    <row r="72" spans="1:11" x14ac:dyDescent="0.3">
      <c r="B72" s="40"/>
      <c r="C72" s="40" t="s">
        <v>158</v>
      </c>
      <c r="D72" s="40"/>
      <c r="E72" s="40"/>
      <c r="F72" s="40"/>
      <c r="G72" s="40"/>
      <c r="H72" s="40"/>
      <c r="I72" s="442">
        <f>+TIT!D17</f>
        <v>45928</v>
      </c>
    </row>
    <row r="73" spans="1:11" x14ac:dyDescent="0.3">
      <c r="B73" s="40"/>
      <c r="C73" s="40" t="s">
        <v>159</v>
      </c>
      <c r="D73" s="40"/>
      <c r="E73" s="40"/>
      <c r="F73" s="40"/>
      <c r="G73" s="40"/>
      <c r="H73" s="40"/>
      <c r="I73" s="608" t="str">
        <f>+TIT!D18</f>
        <v>16-11-2024 &amp; 16-02-2025</v>
      </c>
      <c r="J73" s="443"/>
    </row>
    <row r="74" spans="1:11" x14ac:dyDescent="0.3">
      <c r="A74" s="49"/>
      <c r="B74" s="49" t="s">
        <v>160</v>
      </c>
      <c r="C74" s="700" t="s">
        <v>161</v>
      </c>
      <c r="D74" s="700"/>
      <c r="E74" s="700"/>
      <c r="F74" s="700"/>
      <c r="G74" s="700"/>
      <c r="H74" s="40"/>
    </row>
    <row r="75" spans="1:11" x14ac:dyDescent="0.3">
      <c r="A75" s="49"/>
      <c r="B75" s="40"/>
      <c r="C75" s="700"/>
      <c r="D75" s="700"/>
      <c r="E75" s="700"/>
      <c r="F75" s="700"/>
      <c r="G75" s="700"/>
      <c r="H75" s="40"/>
    </row>
    <row r="76" spans="1:11" x14ac:dyDescent="0.3">
      <c r="A76" s="49"/>
      <c r="B76" s="40"/>
      <c r="C76" s="40" t="s">
        <v>162</v>
      </c>
      <c r="D76" s="40"/>
      <c r="E76" s="40"/>
      <c r="F76" s="40"/>
      <c r="G76" s="40"/>
      <c r="H76" s="40"/>
      <c r="I76" s="443">
        <f>+TIT!D19</f>
        <v>10</v>
      </c>
      <c r="J76" s="40" t="s">
        <v>420</v>
      </c>
    </row>
    <row r="77" spans="1:11" x14ac:dyDescent="0.3">
      <c r="A77" s="49"/>
      <c r="B77" s="40"/>
      <c r="C77" s="40" t="s">
        <v>163</v>
      </c>
      <c r="D77" s="40"/>
      <c r="E77" s="40"/>
      <c r="F77" s="40"/>
      <c r="G77" s="40"/>
      <c r="H77" s="40"/>
      <c r="I77" s="443" t="s">
        <v>91</v>
      </c>
    </row>
    <row r="78" spans="1:11" x14ac:dyDescent="0.3">
      <c r="A78" s="49"/>
      <c r="B78" s="40"/>
      <c r="C78" s="40" t="s">
        <v>164</v>
      </c>
      <c r="D78" s="40"/>
      <c r="E78" s="40"/>
      <c r="F78" s="40"/>
      <c r="G78" s="40"/>
      <c r="H78" s="40"/>
      <c r="I78" s="443" t="s">
        <v>91</v>
      </c>
    </row>
    <row r="79" spans="1:11" x14ac:dyDescent="0.3">
      <c r="A79" s="39">
        <v>6</v>
      </c>
      <c r="B79" s="45" t="s">
        <v>165</v>
      </c>
      <c r="C79" s="40"/>
      <c r="D79" s="40"/>
      <c r="E79" s="40"/>
      <c r="F79" s="40"/>
      <c r="G79" s="40"/>
      <c r="H79" s="40"/>
    </row>
    <row r="80" spans="1:11" x14ac:dyDescent="0.3">
      <c r="A80" s="40"/>
      <c r="B80" s="40" t="s">
        <v>166</v>
      </c>
      <c r="C80" s="700" t="s">
        <v>167</v>
      </c>
      <c r="D80" s="700"/>
      <c r="E80" s="700"/>
      <c r="F80" s="700"/>
      <c r="G80" s="700"/>
      <c r="H80" s="40"/>
      <c r="I80" s="59" t="s">
        <v>343</v>
      </c>
      <c r="K80" s="55"/>
    </row>
    <row r="81" spans="1:11" x14ac:dyDescent="0.3">
      <c r="A81" s="40"/>
      <c r="B81" s="40"/>
      <c r="C81" s="700"/>
      <c r="D81" s="700"/>
      <c r="E81" s="700"/>
      <c r="F81" s="700"/>
      <c r="G81" s="700"/>
      <c r="H81" s="40"/>
      <c r="I81" s="61" t="s">
        <v>121</v>
      </c>
    </row>
    <row r="82" spans="1:11" x14ac:dyDescent="0.3">
      <c r="A82" s="40"/>
      <c r="B82" s="40"/>
      <c r="C82" s="702"/>
      <c r="D82" s="702"/>
      <c r="E82" s="702"/>
      <c r="F82" s="702"/>
      <c r="G82" s="702"/>
      <c r="H82" s="40"/>
    </row>
    <row r="83" spans="1:11" x14ac:dyDescent="0.3">
      <c r="A83" s="49"/>
      <c r="B83" s="40"/>
      <c r="C83" s="702"/>
      <c r="D83" s="702"/>
      <c r="E83" s="702"/>
      <c r="F83" s="702"/>
      <c r="G83" s="702"/>
      <c r="H83" s="40"/>
    </row>
    <row r="84" spans="1:11" x14ac:dyDescent="0.3">
      <c r="A84" s="49"/>
      <c r="B84" s="40" t="s">
        <v>96</v>
      </c>
      <c r="C84" s="700" t="s">
        <v>168</v>
      </c>
      <c r="D84" s="700"/>
      <c r="E84" s="700"/>
      <c r="F84" s="700"/>
      <c r="G84" s="700"/>
      <c r="H84" s="40"/>
      <c r="I84" s="49" t="s">
        <v>169</v>
      </c>
    </row>
    <row r="85" spans="1:11" x14ac:dyDescent="0.3">
      <c r="A85" s="40"/>
      <c r="B85" s="40"/>
      <c r="C85" s="700"/>
      <c r="D85" s="700"/>
      <c r="E85" s="700"/>
      <c r="F85" s="700"/>
      <c r="G85" s="700"/>
      <c r="H85" s="40"/>
    </row>
    <row r="86" spans="1:11" x14ac:dyDescent="0.3">
      <c r="A86" s="40"/>
      <c r="B86" s="40"/>
      <c r="C86" s="702"/>
      <c r="D86" s="702"/>
      <c r="E86" s="702"/>
      <c r="F86" s="702"/>
      <c r="G86" s="702"/>
      <c r="H86" s="40"/>
    </row>
    <row r="87" spans="1:11" x14ac:dyDescent="0.3">
      <c r="A87" s="39">
        <v>7</v>
      </c>
      <c r="B87" s="45" t="s">
        <v>170</v>
      </c>
      <c r="C87" s="40"/>
      <c r="D87" s="40"/>
      <c r="E87" s="40"/>
      <c r="F87" s="40"/>
      <c r="G87" s="40"/>
      <c r="H87" s="40"/>
    </row>
    <row r="88" spans="1:11" x14ac:dyDescent="0.3">
      <c r="A88" s="49"/>
      <c r="B88" s="40" t="s">
        <v>166</v>
      </c>
      <c r="C88" s="40" t="s">
        <v>171</v>
      </c>
      <c r="D88" s="40"/>
      <c r="E88" s="40"/>
      <c r="F88" s="40"/>
      <c r="G88" s="40"/>
      <c r="H88" s="40"/>
      <c r="I88" s="62" t="str">
        <f>"Rs. "&amp;+TIT!D22&amp;"/-"</f>
        <v>Rs. 3000/-</v>
      </c>
      <c r="J88" s="59"/>
    </row>
    <row r="89" spans="1:11" x14ac:dyDescent="0.3">
      <c r="B89" s="40"/>
      <c r="C89" s="40" t="s">
        <v>172</v>
      </c>
      <c r="D89" s="40"/>
      <c r="E89" s="40"/>
      <c r="F89" s="40"/>
      <c r="G89" s="40"/>
      <c r="H89" s="40"/>
      <c r="I89" s="56" t="str">
        <f>+TIT!D23</f>
        <v>01-04-202</v>
      </c>
      <c r="J89" s="443" t="s">
        <v>105</v>
      </c>
      <c r="K89" s="56">
        <f>+TIT!E23</f>
        <v>45382</v>
      </c>
    </row>
    <row r="90" spans="1:11" x14ac:dyDescent="0.3">
      <c r="B90" s="40"/>
      <c r="C90" s="700" t="s">
        <v>173</v>
      </c>
      <c r="D90" s="700"/>
      <c r="E90" s="700"/>
      <c r="F90" s="700"/>
      <c r="G90" s="700"/>
      <c r="H90" s="40"/>
      <c r="I90" s="56"/>
    </row>
    <row r="91" spans="1:11" x14ac:dyDescent="0.3">
      <c r="A91" s="40"/>
      <c r="C91" s="700"/>
      <c r="D91" s="700"/>
      <c r="E91" s="700"/>
      <c r="F91" s="700"/>
      <c r="G91" s="700"/>
      <c r="H91" s="40"/>
    </row>
    <row r="92" spans="1:11" x14ac:dyDescent="0.3">
      <c r="A92" s="40"/>
      <c r="B92" s="40"/>
      <c r="C92" s="702"/>
      <c r="D92" s="702"/>
      <c r="E92" s="702"/>
      <c r="F92" s="702"/>
      <c r="G92" s="702"/>
      <c r="H92" s="40"/>
    </row>
    <row r="93" spans="1:11" x14ac:dyDescent="0.3">
      <c r="A93" s="49"/>
      <c r="B93" s="40" t="s">
        <v>138</v>
      </c>
      <c r="C93" s="700" t="s">
        <v>174</v>
      </c>
      <c r="D93" s="700"/>
      <c r="E93" s="700"/>
      <c r="F93" s="700"/>
      <c r="G93" s="700"/>
      <c r="H93" s="40"/>
      <c r="I93" s="40" t="s">
        <v>175</v>
      </c>
    </row>
    <row r="94" spans="1:11" x14ac:dyDescent="0.3">
      <c r="A94" s="49"/>
      <c r="B94" s="40"/>
      <c r="C94" s="700"/>
      <c r="D94" s="700"/>
      <c r="E94" s="700"/>
      <c r="F94" s="700"/>
      <c r="G94" s="700"/>
      <c r="H94" s="40"/>
    </row>
    <row r="95" spans="1:11" x14ac:dyDescent="0.3">
      <c r="A95" s="49"/>
      <c r="B95" s="40"/>
      <c r="C95" s="702"/>
      <c r="D95" s="702"/>
      <c r="E95" s="702"/>
      <c r="F95" s="702"/>
      <c r="G95" s="702"/>
      <c r="H95" s="40"/>
    </row>
    <row r="96" spans="1:11" x14ac:dyDescent="0.3">
      <c r="A96" s="39">
        <v>8</v>
      </c>
      <c r="B96" s="45" t="s">
        <v>176</v>
      </c>
      <c r="C96" s="49"/>
      <c r="D96" s="40"/>
      <c r="E96" s="40"/>
      <c r="F96" s="40"/>
      <c r="G96" s="40"/>
      <c r="H96" s="40"/>
    </row>
    <row r="97" spans="1:13" x14ac:dyDescent="0.3">
      <c r="A97" s="49"/>
      <c r="B97" s="40" t="s">
        <v>166</v>
      </c>
      <c r="C97" s="700" t="s">
        <v>177</v>
      </c>
      <c r="D97" s="700"/>
      <c r="E97" s="700"/>
      <c r="F97" s="700"/>
      <c r="G97" s="700"/>
      <c r="H97" s="40"/>
      <c r="I97" s="40" t="s">
        <v>178</v>
      </c>
    </row>
    <row r="98" spans="1:13" x14ac:dyDescent="0.3">
      <c r="B98" s="40"/>
      <c r="C98" s="700"/>
      <c r="D98" s="700"/>
      <c r="E98" s="700"/>
      <c r="F98" s="700"/>
      <c r="G98" s="700"/>
      <c r="H98" s="40"/>
    </row>
    <row r="99" spans="1:13" x14ac:dyDescent="0.3">
      <c r="A99" s="49"/>
      <c r="B99" s="40"/>
      <c r="C99" s="702"/>
      <c r="D99" s="702"/>
      <c r="E99" s="702"/>
      <c r="F99" s="702"/>
      <c r="G99" s="702"/>
      <c r="H99" s="40"/>
    </row>
    <row r="100" spans="1:13" x14ac:dyDescent="0.3">
      <c r="A100" s="40"/>
      <c r="B100" s="40" t="s">
        <v>96</v>
      </c>
      <c r="C100" s="700" t="s">
        <v>179</v>
      </c>
      <c r="D100" s="700"/>
      <c r="E100" s="700"/>
      <c r="F100" s="700"/>
      <c r="G100" s="700"/>
      <c r="H100" s="40"/>
      <c r="I100" s="40" t="s">
        <v>175</v>
      </c>
    </row>
    <row r="101" spans="1:13" x14ac:dyDescent="0.3">
      <c r="A101" s="49"/>
      <c r="B101" s="40"/>
      <c r="C101" s="700"/>
      <c r="D101" s="700"/>
      <c r="E101" s="700"/>
      <c r="F101" s="700"/>
      <c r="G101" s="700"/>
      <c r="H101" s="40"/>
    </row>
    <row r="102" spans="1:13" x14ac:dyDescent="0.3">
      <c r="A102" s="45">
        <v>9</v>
      </c>
      <c r="B102" s="60" t="s">
        <v>180</v>
      </c>
      <c r="C102" s="63" t="s">
        <v>404</v>
      </c>
      <c r="D102" s="40"/>
      <c r="E102" s="40"/>
      <c r="F102" s="40"/>
      <c r="G102" s="40"/>
      <c r="H102" s="40"/>
    </row>
    <row r="103" spans="1:13" x14ac:dyDescent="0.3">
      <c r="A103" s="40"/>
      <c r="B103" s="40" t="s">
        <v>93</v>
      </c>
      <c r="C103" s="40" t="s">
        <v>181</v>
      </c>
      <c r="D103" s="40"/>
      <c r="E103" s="40"/>
      <c r="F103" s="40"/>
      <c r="G103" s="40"/>
      <c r="H103" s="40"/>
      <c r="I103" s="699" t="str">
        <f>+TIT!D25</f>
        <v>Shri. Dilip Kalgutkar</v>
      </c>
      <c r="J103" s="699"/>
      <c r="K103" s="699"/>
      <c r="L103" s="699"/>
      <c r="M103" s="699"/>
    </row>
    <row r="104" spans="1:13" x14ac:dyDescent="0.3">
      <c r="A104" s="49"/>
      <c r="B104" s="49" t="s">
        <v>182</v>
      </c>
      <c r="C104" s="40" t="s">
        <v>183</v>
      </c>
      <c r="D104" s="40"/>
      <c r="E104" s="40"/>
      <c r="F104" s="40"/>
      <c r="G104" s="40"/>
      <c r="H104" s="40"/>
      <c r="I104" s="699"/>
      <c r="J104" s="699"/>
      <c r="K104" s="699"/>
      <c r="L104" s="699"/>
      <c r="M104" s="699"/>
    </row>
    <row r="105" spans="1:13" x14ac:dyDescent="0.3">
      <c r="B105" s="40"/>
      <c r="C105" s="40" t="s">
        <v>184</v>
      </c>
      <c r="D105" s="40"/>
      <c r="E105" s="40"/>
      <c r="F105" s="40"/>
      <c r="G105" s="40"/>
      <c r="H105" s="40"/>
      <c r="I105" s="40" t="s">
        <v>175</v>
      </c>
    </row>
    <row r="106" spans="1:13" x14ac:dyDescent="0.3">
      <c r="A106" s="40"/>
      <c r="B106" s="49" t="s">
        <v>185</v>
      </c>
      <c r="C106" s="700" t="s">
        <v>186</v>
      </c>
      <c r="D106" s="700"/>
      <c r="E106" s="700"/>
      <c r="F106" s="700"/>
      <c r="G106" s="700"/>
      <c r="H106" s="40"/>
      <c r="I106" s="40" t="s">
        <v>91</v>
      </c>
    </row>
    <row r="107" spans="1:13" x14ac:dyDescent="0.3">
      <c r="A107" s="40"/>
      <c r="B107" s="40"/>
      <c r="C107" s="700" t="s">
        <v>187</v>
      </c>
      <c r="D107" s="700"/>
      <c r="E107" s="700"/>
      <c r="F107" s="700"/>
      <c r="G107" s="700"/>
      <c r="H107" s="40"/>
    </row>
    <row r="108" spans="1:13" x14ac:dyDescent="0.3">
      <c r="A108" s="40"/>
      <c r="B108" s="49" t="s">
        <v>188</v>
      </c>
      <c r="C108" s="40" t="s">
        <v>189</v>
      </c>
      <c r="D108" s="40"/>
      <c r="E108" s="40"/>
      <c r="F108" s="40"/>
      <c r="G108" s="40"/>
      <c r="H108" s="40"/>
      <c r="I108" s="40" t="s">
        <v>129</v>
      </c>
    </row>
    <row r="109" spans="1:13" x14ac:dyDescent="0.3">
      <c r="B109" s="49" t="s">
        <v>190</v>
      </c>
      <c r="C109" s="700" t="s">
        <v>191</v>
      </c>
      <c r="D109" s="700"/>
      <c r="E109" s="700"/>
      <c r="F109" s="700"/>
      <c r="G109" s="700"/>
      <c r="H109" s="40"/>
      <c r="I109" s="40" t="s">
        <v>175</v>
      </c>
    </row>
    <row r="110" spans="1:13" x14ac:dyDescent="0.3">
      <c r="A110" s="40"/>
      <c r="B110" s="40"/>
      <c r="C110" s="700"/>
      <c r="D110" s="700"/>
      <c r="E110" s="700"/>
      <c r="F110" s="700"/>
      <c r="G110" s="700"/>
      <c r="H110" s="40"/>
    </row>
    <row r="111" spans="1:13" x14ac:dyDescent="0.3">
      <c r="A111" s="40"/>
      <c r="B111" s="40"/>
      <c r="C111" s="702"/>
      <c r="D111" s="702"/>
      <c r="E111" s="702"/>
      <c r="F111" s="702"/>
      <c r="G111" s="702"/>
      <c r="H111" s="40"/>
    </row>
    <row r="112" spans="1:13" x14ac:dyDescent="0.3">
      <c r="A112" s="40"/>
      <c r="B112" s="49" t="s">
        <v>192</v>
      </c>
      <c r="C112" s="49" t="s">
        <v>193</v>
      </c>
      <c r="D112" s="40"/>
      <c r="F112" s="40"/>
      <c r="G112" s="40"/>
      <c r="H112" s="40"/>
      <c r="I112" s="40" t="s">
        <v>91</v>
      </c>
      <c r="K112" s="40" t="s">
        <v>175</v>
      </c>
    </row>
    <row r="113" spans="1:13" x14ac:dyDescent="0.3">
      <c r="A113" s="40"/>
      <c r="B113" s="49"/>
      <c r="C113" s="49"/>
      <c r="D113" s="40"/>
      <c r="F113" s="40"/>
      <c r="G113" s="40"/>
      <c r="H113" s="40"/>
    </row>
    <row r="114" spans="1:13" x14ac:dyDescent="0.3">
      <c r="A114" s="40"/>
      <c r="B114" s="60" t="s">
        <v>194</v>
      </c>
      <c r="C114" s="700" t="s">
        <v>195</v>
      </c>
      <c r="D114" s="700"/>
      <c r="E114" s="700"/>
      <c r="F114" s="700"/>
      <c r="G114" s="700"/>
      <c r="H114" s="40"/>
      <c r="I114" s="40" t="s">
        <v>129</v>
      </c>
    </row>
    <row r="115" spans="1:13" x14ac:dyDescent="0.3">
      <c r="A115" s="40"/>
      <c r="C115" s="700"/>
      <c r="D115" s="700"/>
      <c r="E115" s="700"/>
      <c r="F115" s="700"/>
      <c r="G115" s="700"/>
      <c r="H115" s="40"/>
      <c r="I115" s="40" t="s">
        <v>683</v>
      </c>
    </row>
    <row r="116" spans="1:13" x14ac:dyDescent="0.3">
      <c r="A116" s="40"/>
      <c r="B116" s="40"/>
      <c r="C116" s="702"/>
      <c r="D116" s="702"/>
      <c r="E116" s="702"/>
      <c r="F116" s="702"/>
      <c r="G116" s="702"/>
      <c r="H116" s="40"/>
    </row>
    <row r="117" spans="1:13" x14ac:dyDescent="0.3">
      <c r="A117" s="40"/>
      <c r="B117" s="40"/>
      <c r="C117" s="702"/>
      <c r="D117" s="702"/>
      <c r="E117" s="702"/>
      <c r="F117" s="702"/>
      <c r="G117" s="702"/>
      <c r="H117" s="40"/>
    </row>
    <row r="118" spans="1:13" x14ac:dyDescent="0.3">
      <c r="A118" s="45">
        <v>10</v>
      </c>
      <c r="B118" s="45" t="s">
        <v>196</v>
      </c>
      <c r="C118" s="40"/>
      <c r="D118" s="40"/>
      <c r="E118" s="40"/>
      <c r="F118" s="40"/>
      <c r="G118" s="40"/>
      <c r="H118" s="40"/>
    </row>
    <row r="119" spans="1:13" x14ac:dyDescent="0.3">
      <c r="A119" s="49"/>
      <c r="B119" s="40" t="s">
        <v>93</v>
      </c>
      <c r="C119" s="700" t="s">
        <v>197</v>
      </c>
      <c r="D119" s="700"/>
      <c r="E119" s="700"/>
      <c r="F119" s="700"/>
      <c r="G119" s="700"/>
      <c r="H119" s="40"/>
      <c r="I119" s="40" t="s">
        <v>198</v>
      </c>
      <c r="K119" s="40" t="s">
        <v>129</v>
      </c>
    </row>
    <row r="120" spans="1:13" x14ac:dyDescent="0.3">
      <c r="B120" s="40"/>
      <c r="C120" s="700"/>
      <c r="D120" s="700"/>
      <c r="E120" s="700"/>
      <c r="F120" s="700"/>
      <c r="G120" s="700"/>
      <c r="H120" s="40"/>
      <c r="I120" s="40" t="s">
        <v>199</v>
      </c>
      <c r="K120" s="40" t="s">
        <v>129</v>
      </c>
    </row>
    <row r="121" spans="1:13" x14ac:dyDescent="0.3">
      <c r="A121" s="40"/>
      <c r="B121" s="49" t="s">
        <v>182</v>
      </c>
      <c r="C121" s="700" t="s">
        <v>200</v>
      </c>
      <c r="D121" s="700"/>
      <c r="E121" s="700"/>
      <c r="F121" s="700"/>
      <c r="G121" s="700"/>
      <c r="H121" s="40"/>
    </row>
    <row r="122" spans="1:13" x14ac:dyDescent="0.3">
      <c r="A122" s="40"/>
      <c r="B122" s="40"/>
      <c r="C122" s="700"/>
      <c r="D122" s="700"/>
      <c r="E122" s="700"/>
      <c r="F122" s="700"/>
      <c r="G122" s="700"/>
      <c r="H122" s="40"/>
    </row>
    <row r="123" spans="1:13" x14ac:dyDescent="0.3">
      <c r="A123" s="40"/>
      <c r="B123" s="40"/>
      <c r="C123" s="40" t="s">
        <v>201</v>
      </c>
      <c r="D123" s="40"/>
      <c r="E123" s="40"/>
      <c r="F123" s="40"/>
      <c r="G123" s="40"/>
      <c r="H123" s="40"/>
      <c r="I123" s="685" t="s">
        <v>202</v>
      </c>
      <c r="J123" s="686"/>
      <c r="K123" s="686"/>
      <c r="L123" s="686"/>
      <c r="M123" s="687"/>
    </row>
    <row r="124" spans="1:13" x14ac:dyDescent="0.3">
      <c r="B124" s="40"/>
      <c r="C124" s="40" t="s">
        <v>203</v>
      </c>
      <c r="D124" s="40"/>
      <c r="E124" s="40"/>
      <c r="F124" s="40"/>
      <c r="G124" s="40"/>
      <c r="H124" s="40"/>
      <c r="I124" s="688"/>
      <c r="J124" s="689"/>
      <c r="K124" s="689"/>
      <c r="L124" s="689"/>
      <c r="M124" s="690"/>
    </row>
    <row r="125" spans="1:13" x14ac:dyDescent="0.3">
      <c r="B125" s="40"/>
      <c r="C125" s="40" t="s">
        <v>204</v>
      </c>
      <c r="D125" s="40"/>
      <c r="E125" s="40"/>
      <c r="F125" s="40"/>
      <c r="G125" s="40"/>
      <c r="H125" s="40"/>
      <c r="I125" s="691"/>
      <c r="J125" s="692"/>
      <c r="K125" s="692"/>
      <c r="L125" s="692"/>
      <c r="M125" s="693"/>
    </row>
    <row r="126" spans="1:13" x14ac:dyDescent="0.3">
      <c r="B126" s="49" t="s">
        <v>185</v>
      </c>
      <c r="C126" s="700" t="s">
        <v>205</v>
      </c>
      <c r="D126" s="700"/>
      <c r="E126" s="700"/>
      <c r="F126" s="700"/>
      <c r="G126" s="700"/>
      <c r="H126" s="40"/>
    </row>
    <row r="127" spans="1:13" x14ac:dyDescent="0.3">
      <c r="A127" s="40"/>
      <c r="B127" s="40"/>
      <c r="C127" s="700"/>
      <c r="D127" s="700"/>
      <c r="E127" s="700"/>
      <c r="F127" s="700"/>
      <c r="G127" s="700"/>
      <c r="H127" s="40"/>
      <c r="I127" s="40" t="s">
        <v>129</v>
      </c>
    </row>
    <row r="128" spans="1:13" x14ac:dyDescent="0.3">
      <c r="A128" s="40"/>
      <c r="B128" s="40"/>
      <c r="C128" s="702"/>
      <c r="D128" s="702"/>
      <c r="E128" s="702"/>
      <c r="F128" s="702"/>
      <c r="G128" s="702"/>
      <c r="H128" s="40"/>
      <c r="I128" s="695"/>
      <c r="J128" s="695"/>
      <c r="K128" s="695"/>
      <c r="L128" s="695"/>
      <c r="M128" s="695"/>
    </row>
    <row r="129" spans="1:18" x14ac:dyDescent="0.3">
      <c r="B129" s="40"/>
      <c r="C129" s="700" t="s">
        <v>206</v>
      </c>
      <c r="D129" s="700"/>
      <c r="E129" s="700"/>
      <c r="F129" s="700"/>
      <c r="G129" s="700"/>
      <c r="H129" s="40"/>
      <c r="I129" s="695"/>
      <c r="J129" s="695"/>
      <c r="K129" s="695"/>
      <c r="L129" s="695"/>
      <c r="M129" s="695"/>
    </row>
    <row r="130" spans="1:18" x14ac:dyDescent="0.3">
      <c r="A130" s="40"/>
      <c r="B130" s="40"/>
      <c r="C130" s="700"/>
      <c r="D130" s="700"/>
      <c r="E130" s="700"/>
      <c r="F130" s="700"/>
      <c r="G130" s="700"/>
      <c r="H130" s="40"/>
    </row>
    <row r="131" spans="1:18" x14ac:dyDescent="0.3">
      <c r="A131" s="39">
        <v>11</v>
      </c>
      <c r="B131" s="45" t="s">
        <v>207</v>
      </c>
      <c r="C131" s="40"/>
      <c r="D131" s="40"/>
      <c r="E131" s="40"/>
      <c r="F131" s="40"/>
      <c r="G131" s="40"/>
      <c r="H131" s="40"/>
    </row>
    <row r="132" spans="1:18" ht="15" customHeight="1" x14ac:dyDescent="0.3">
      <c r="B132" s="49" t="s">
        <v>208</v>
      </c>
      <c r="C132" s="700" t="s">
        <v>209</v>
      </c>
      <c r="D132" s="700"/>
      <c r="E132" s="700"/>
      <c r="F132" s="700"/>
      <c r="G132" s="700"/>
      <c r="H132" s="40"/>
      <c r="I132" s="60" t="s">
        <v>968</v>
      </c>
      <c r="J132" s="45"/>
      <c r="K132" s="45"/>
      <c r="L132" s="470" t="str">
        <f>"Rs. "&amp;+ROUND('I&amp;E'!H36,0)</f>
        <v>Rs. 0</v>
      </c>
      <c r="R132" s="49"/>
    </row>
    <row r="133" spans="1:18" x14ac:dyDescent="0.3">
      <c r="A133" s="40"/>
      <c r="B133" s="40"/>
      <c r="C133" s="700"/>
      <c r="D133" s="700"/>
      <c r="E133" s="700"/>
      <c r="F133" s="700"/>
      <c r="G133" s="700"/>
      <c r="H133" s="40"/>
    </row>
    <row r="134" spans="1:18" x14ac:dyDescent="0.3">
      <c r="A134" s="40"/>
      <c r="B134" s="49" t="s">
        <v>210</v>
      </c>
      <c r="C134" s="700" t="s">
        <v>211</v>
      </c>
      <c r="D134" s="700"/>
      <c r="E134" s="700"/>
      <c r="F134" s="700"/>
      <c r="G134" s="700"/>
      <c r="H134" s="40"/>
      <c r="I134" s="472"/>
      <c r="J134" s="471"/>
      <c r="K134" s="471"/>
      <c r="L134" s="470"/>
    </row>
    <row r="135" spans="1:18" x14ac:dyDescent="0.3">
      <c r="A135" s="40"/>
      <c r="B135" s="40"/>
      <c r="C135" s="700"/>
      <c r="D135" s="700"/>
      <c r="E135" s="700"/>
      <c r="F135" s="700"/>
      <c r="G135" s="700"/>
      <c r="H135" s="40"/>
      <c r="L135" s="64"/>
    </row>
    <row r="136" spans="1:18" x14ac:dyDescent="0.3">
      <c r="A136" s="40"/>
      <c r="B136" s="40"/>
      <c r="C136" s="702"/>
      <c r="D136" s="702"/>
      <c r="E136" s="702"/>
      <c r="F136" s="702"/>
      <c r="G136" s="702"/>
      <c r="H136" s="40"/>
    </row>
    <row r="137" spans="1:18" x14ac:dyDescent="0.3">
      <c r="A137" s="40"/>
      <c r="B137" s="40"/>
      <c r="C137" s="702"/>
      <c r="D137" s="702"/>
      <c r="E137" s="702"/>
      <c r="F137" s="702"/>
      <c r="G137" s="702"/>
      <c r="H137" s="40"/>
    </row>
    <row r="138" spans="1:18" x14ac:dyDescent="0.3">
      <c r="A138" s="45">
        <v>12</v>
      </c>
      <c r="B138" s="45" t="s">
        <v>212</v>
      </c>
      <c r="C138" s="40"/>
      <c r="D138" s="40"/>
      <c r="E138" s="40"/>
      <c r="F138" s="40"/>
      <c r="G138" s="40"/>
      <c r="H138" s="40"/>
    </row>
    <row r="139" spans="1:18" x14ac:dyDescent="0.3">
      <c r="B139" s="65" t="s">
        <v>213</v>
      </c>
      <c r="C139" s="65" t="s">
        <v>214</v>
      </c>
      <c r="D139" s="40"/>
      <c r="E139" s="40"/>
      <c r="F139" s="40"/>
      <c r="G139" s="40"/>
      <c r="H139" s="40"/>
    </row>
    <row r="140" spans="1:18" x14ac:dyDescent="0.3">
      <c r="B140" s="40">
        <v>1</v>
      </c>
      <c r="C140" s="700" t="s">
        <v>215</v>
      </c>
      <c r="D140" s="700"/>
      <c r="E140" s="700"/>
      <c r="F140" s="700"/>
      <c r="G140" s="700"/>
      <c r="H140" s="40"/>
      <c r="I140" s="445" t="s">
        <v>427</v>
      </c>
      <c r="J140" s="446"/>
      <c r="K140" s="148"/>
      <c r="L140" s="148"/>
    </row>
    <row r="141" spans="1:18" x14ac:dyDescent="0.3">
      <c r="A141" s="40"/>
      <c r="B141" s="40"/>
      <c r="C141" s="700"/>
      <c r="D141" s="700"/>
      <c r="E141" s="700"/>
      <c r="F141" s="700"/>
      <c r="G141" s="700"/>
      <c r="H141" s="40"/>
      <c r="I141" s="445"/>
      <c r="J141" s="447" t="s">
        <v>389</v>
      </c>
      <c r="K141" s="148"/>
      <c r="L141" s="148"/>
    </row>
    <row r="142" spans="1:18" x14ac:dyDescent="0.3">
      <c r="B142" s="40">
        <v>2</v>
      </c>
      <c r="C142" s="40" t="s">
        <v>216</v>
      </c>
      <c r="D142" s="40"/>
      <c r="E142" s="40"/>
      <c r="F142" s="40"/>
      <c r="G142" s="40"/>
      <c r="H142" s="40"/>
      <c r="I142" s="148" t="s">
        <v>386</v>
      </c>
      <c r="J142" s="148"/>
      <c r="K142" s="148"/>
      <c r="L142" s="148"/>
    </row>
    <row r="143" spans="1:18" x14ac:dyDescent="0.3">
      <c r="B143" s="40"/>
      <c r="C143" s="700" t="s">
        <v>217</v>
      </c>
      <c r="D143" s="700"/>
      <c r="E143" s="700"/>
      <c r="F143" s="700"/>
      <c r="G143" s="700"/>
      <c r="H143" s="40"/>
      <c r="I143" s="148"/>
      <c r="J143" s="148"/>
      <c r="K143" s="148"/>
      <c r="L143" s="148"/>
    </row>
    <row r="144" spans="1:18" x14ac:dyDescent="0.3">
      <c r="A144" s="40"/>
      <c r="B144" s="40"/>
      <c r="C144" s="700"/>
      <c r="D144" s="700"/>
      <c r="E144" s="700"/>
      <c r="F144" s="700"/>
      <c r="G144" s="700"/>
      <c r="H144" s="40"/>
      <c r="I144" s="148"/>
      <c r="J144" s="148"/>
      <c r="K144" s="148"/>
      <c r="L144" s="148"/>
    </row>
    <row r="145" spans="1:12" x14ac:dyDescent="0.3">
      <c r="B145" s="40">
        <v>3</v>
      </c>
      <c r="C145" s="40" t="s">
        <v>218</v>
      </c>
      <c r="D145" s="40"/>
      <c r="E145" s="40"/>
      <c r="F145" s="40"/>
      <c r="G145" s="40"/>
      <c r="H145" s="40"/>
      <c r="I145" s="148" t="s">
        <v>431</v>
      </c>
      <c r="J145" s="148"/>
      <c r="K145" s="148"/>
      <c r="L145" s="148"/>
    </row>
    <row r="146" spans="1:12" x14ac:dyDescent="0.3">
      <c r="B146" s="40">
        <v>4</v>
      </c>
      <c r="C146" s="700" t="s">
        <v>219</v>
      </c>
      <c r="D146" s="700"/>
      <c r="E146" s="700"/>
      <c r="F146" s="700"/>
      <c r="G146" s="700"/>
      <c r="H146" s="40"/>
      <c r="I146" s="148" t="s">
        <v>220</v>
      </c>
      <c r="J146" s="148"/>
      <c r="K146" s="148"/>
      <c r="L146" s="148"/>
    </row>
    <row r="147" spans="1:12" x14ac:dyDescent="0.3">
      <c r="B147" s="40"/>
      <c r="C147" s="700"/>
      <c r="D147" s="700"/>
      <c r="E147" s="700"/>
      <c r="F147" s="700"/>
      <c r="G147" s="700"/>
      <c r="H147" s="40"/>
      <c r="I147" s="148"/>
      <c r="J147" s="148"/>
      <c r="K147" s="148"/>
      <c r="L147" s="148"/>
    </row>
    <row r="148" spans="1:12" x14ac:dyDescent="0.3">
      <c r="A148" s="40"/>
      <c r="B148" s="66" t="s">
        <v>221</v>
      </c>
      <c r="C148" s="65" t="s">
        <v>222</v>
      </c>
      <c r="D148" s="40"/>
      <c r="E148" s="40"/>
      <c r="F148" s="40"/>
      <c r="G148" s="40"/>
      <c r="H148" s="40"/>
      <c r="I148" s="148"/>
      <c r="J148" s="148"/>
      <c r="K148" s="148"/>
      <c r="L148" s="148"/>
    </row>
    <row r="149" spans="1:12" x14ac:dyDescent="0.3">
      <c r="B149" s="40"/>
      <c r="C149" s="700" t="s">
        <v>223</v>
      </c>
      <c r="D149" s="700"/>
      <c r="E149" s="700"/>
      <c r="F149" s="700"/>
      <c r="G149" s="700"/>
      <c r="H149" s="40"/>
      <c r="I149" s="148" t="s">
        <v>129</v>
      </c>
      <c r="J149" s="148"/>
      <c r="K149" s="148"/>
      <c r="L149" s="148"/>
    </row>
    <row r="150" spans="1:12" ht="21" customHeight="1" x14ac:dyDescent="0.3">
      <c r="B150" s="40"/>
      <c r="C150" s="700"/>
      <c r="D150" s="700"/>
      <c r="E150" s="700"/>
      <c r="F150" s="700"/>
      <c r="G150" s="700"/>
      <c r="H150" s="40"/>
      <c r="I150" s="148" t="s">
        <v>428</v>
      </c>
      <c r="J150" s="148"/>
      <c r="K150" s="148"/>
      <c r="L150" s="148"/>
    </row>
    <row r="151" spans="1:12" ht="20.25" customHeight="1" x14ac:dyDescent="0.3">
      <c r="A151" s="40"/>
      <c r="B151" s="40"/>
      <c r="C151" s="702"/>
      <c r="D151" s="702"/>
      <c r="E151" s="702"/>
      <c r="F151" s="702"/>
      <c r="G151" s="702"/>
      <c r="H151" s="40"/>
      <c r="I151" s="148"/>
      <c r="J151" s="148"/>
      <c r="K151" s="148"/>
      <c r="L151" s="148"/>
    </row>
    <row r="152" spans="1:12" x14ac:dyDescent="0.3">
      <c r="A152" s="40"/>
      <c r="B152" s="40"/>
      <c r="C152" s="702"/>
      <c r="D152" s="702"/>
      <c r="E152" s="702"/>
      <c r="F152" s="702"/>
      <c r="G152" s="702"/>
      <c r="H152" s="40"/>
      <c r="I152" s="148"/>
      <c r="J152" s="148"/>
      <c r="K152" s="148"/>
      <c r="L152" s="148"/>
    </row>
    <row r="153" spans="1:12" x14ac:dyDescent="0.3">
      <c r="A153" s="40"/>
      <c r="B153" s="65" t="s">
        <v>224</v>
      </c>
      <c r="C153" s="65" t="s">
        <v>225</v>
      </c>
      <c r="D153" s="40"/>
      <c r="E153" s="40"/>
      <c r="F153" s="40"/>
      <c r="G153" s="40"/>
      <c r="H153" s="40"/>
      <c r="I153" s="148"/>
      <c r="J153" s="148"/>
      <c r="K153" s="148"/>
      <c r="L153" s="148"/>
    </row>
    <row r="154" spans="1:12" x14ac:dyDescent="0.3">
      <c r="B154" s="40">
        <v>1</v>
      </c>
      <c r="C154" s="700" t="s">
        <v>226</v>
      </c>
      <c r="D154" s="700"/>
      <c r="E154" s="700"/>
      <c r="F154" s="700"/>
      <c r="G154" s="700"/>
      <c r="H154" s="40"/>
      <c r="I154" s="148" t="s">
        <v>129</v>
      </c>
      <c r="J154" s="148"/>
      <c r="K154" s="148"/>
      <c r="L154" s="148"/>
    </row>
    <row r="155" spans="1:12" x14ac:dyDescent="0.3">
      <c r="B155" s="40"/>
      <c r="C155" s="700"/>
      <c r="D155" s="700"/>
      <c r="E155" s="700"/>
      <c r="F155" s="700"/>
      <c r="G155" s="700"/>
      <c r="H155" s="40"/>
      <c r="I155" s="148"/>
      <c r="J155" s="148"/>
      <c r="K155" s="148"/>
      <c r="L155" s="148"/>
    </row>
    <row r="156" spans="1:12" x14ac:dyDescent="0.3">
      <c r="A156" s="40"/>
      <c r="B156" s="40">
        <v>2</v>
      </c>
      <c r="C156" s="49" t="s">
        <v>227</v>
      </c>
      <c r="D156" s="40"/>
      <c r="E156" s="40"/>
      <c r="F156" s="40"/>
      <c r="G156" s="40"/>
      <c r="H156" s="40"/>
      <c r="I156" s="148" t="s">
        <v>129</v>
      </c>
      <c r="J156" s="148"/>
      <c r="K156" s="148"/>
      <c r="L156" s="148"/>
    </row>
    <row r="157" spans="1:12" x14ac:dyDescent="0.3">
      <c r="B157" s="40">
        <v>3</v>
      </c>
      <c r="C157" s="700" t="s">
        <v>228</v>
      </c>
      <c r="D157" s="700"/>
      <c r="E157" s="700"/>
      <c r="F157" s="700"/>
      <c r="G157" s="700"/>
      <c r="H157" s="40"/>
      <c r="I157" s="148" t="s">
        <v>175</v>
      </c>
      <c r="J157" s="148"/>
      <c r="K157" s="148"/>
      <c r="L157" s="148"/>
    </row>
    <row r="158" spans="1:12" x14ac:dyDescent="0.3">
      <c r="A158" s="40"/>
      <c r="B158" s="40"/>
      <c r="C158" s="700"/>
      <c r="D158" s="700"/>
      <c r="E158" s="700"/>
      <c r="F158" s="700"/>
      <c r="G158" s="700"/>
      <c r="H158" s="40"/>
      <c r="I158" s="148"/>
      <c r="J158" s="148"/>
      <c r="K158" s="148"/>
      <c r="L158" s="148"/>
    </row>
    <row r="159" spans="1:12" ht="20.25" customHeight="1" x14ac:dyDescent="0.3">
      <c r="B159" s="40">
        <v>4</v>
      </c>
      <c r="C159" s="40" t="s">
        <v>229</v>
      </c>
      <c r="D159" s="40"/>
      <c r="E159" s="40"/>
      <c r="F159" s="40"/>
      <c r="G159" s="40"/>
      <c r="H159" s="40"/>
      <c r="I159" s="148" t="s">
        <v>129</v>
      </c>
      <c r="J159" s="148"/>
      <c r="K159" s="148"/>
      <c r="L159" s="148"/>
    </row>
    <row r="160" spans="1:12" x14ac:dyDescent="0.3">
      <c r="A160" s="39">
        <v>13</v>
      </c>
      <c r="B160" s="45" t="s">
        <v>230</v>
      </c>
      <c r="C160" s="40"/>
      <c r="D160" s="40"/>
      <c r="E160" s="40"/>
      <c r="F160" s="40"/>
      <c r="G160" s="40"/>
      <c r="H160" s="40"/>
      <c r="I160" s="148"/>
      <c r="J160" s="148"/>
      <c r="K160" s="148"/>
      <c r="L160" s="148"/>
    </row>
    <row r="161" spans="1:13" x14ac:dyDescent="0.3">
      <c r="B161" s="40">
        <v>1</v>
      </c>
      <c r="C161" s="700" t="s">
        <v>231</v>
      </c>
      <c r="D161" s="700"/>
      <c r="E161" s="700"/>
      <c r="F161" s="700"/>
      <c r="G161" s="700"/>
      <c r="H161" s="40"/>
      <c r="I161" s="148"/>
      <c r="J161" s="148"/>
      <c r="K161" s="148"/>
      <c r="L161" s="148"/>
    </row>
    <row r="162" spans="1:13" x14ac:dyDescent="0.3">
      <c r="A162" s="40"/>
      <c r="B162" s="40"/>
      <c r="C162" s="700"/>
      <c r="D162" s="700"/>
      <c r="E162" s="700"/>
      <c r="F162" s="700"/>
      <c r="G162" s="700"/>
      <c r="H162" s="40"/>
      <c r="I162" s="148" t="s">
        <v>129</v>
      </c>
      <c r="J162" s="148"/>
      <c r="K162" s="148"/>
      <c r="L162" s="148"/>
    </row>
    <row r="163" spans="1:13" x14ac:dyDescent="0.3">
      <c r="B163" s="40">
        <v>2</v>
      </c>
      <c r="C163" s="49" t="s">
        <v>232</v>
      </c>
      <c r="D163" s="40"/>
      <c r="E163" s="40"/>
      <c r="F163" s="40"/>
      <c r="G163" s="40"/>
      <c r="H163" s="40"/>
      <c r="I163" s="148"/>
      <c r="J163" s="148"/>
      <c r="K163" s="148"/>
      <c r="L163" s="148"/>
    </row>
    <row r="164" spans="1:13" x14ac:dyDescent="0.3">
      <c r="B164" s="40"/>
      <c r="C164" s="40" t="s">
        <v>233</v>
      </c>
      <c r="D164" s="40"/>
      <c r="E164" s="40"/>
      <c r="F164" s="40"/>
      <c r="G164" s="40"/>
      <c r="H164" s="40"/>
      <c r="I164" s="148" t="s">
        <v>429</v>
      </c>
      <c r="J164" s="148"/>
      <c r="K164" s="148"/>
      <c r="L164" s="148"/>
    </row>
    <row r="165" spans="1:13" x14ac:dyDescent="0.3">
      <c r="B165" s="40">
        <v>3</v>
      </c>
      <c r="C165" s="700" t="s">
        <v>234</v>
      </c>
      <c r="D165" s="700"/>
      <c r="E165" s="700"/>
      <c r="F165" s="700"/>
      <c r="G165" s="700"/>
      <c r="H165" s="40"/>
      <c r="I165" s="148" t="s">
        <v>129</v>
      </c>
      <c r="J165" s="148"/>
      <c r="K165" s="148"/>
      <c r="L165" s="148"/>
      <c r="M165" s="147"/>
    </row>
    <row r="166" spans="1:13" x14ac:dyDescent="0.3">
      <c r="A166" s="40"/>
      <c r="B166" s="40"/>
      <c r="C166" s="700"/>
      <c r="D166" s="700"/>
      <c r="E166" s="700"/>
      <c r="F166" s="700"/>
      <c r="G166" s="700"/>
      <c r="H166" s="40"/>
      <c r="I166" s="147"/>
      <c r="J166" s="147"/>
      <c r="K166" s="147"/>
      <c r="L166" s="147"/>
      <c r="M166" s="147"/>
    </row>
    <row r="167" spans="1:13" x14ac:dyDescent="0.3">
      <c r="A167" s="40"/>
      <c r="B167" s="40"/>
      <c r="C167" s="702"/>
      <c r="D167" s="702"/>
      <c r="E167" s="702"/>
      <c r="F167" s="702"/>
      <c r="G167" s="702"/>
      <c r="H167" s="40"/>
    </row>
    <row r="168" spans="1:13" x14ac:dyDescent="0.3">
      <c r="B168" s="40">
        <v>4</v>
      </c>
      <c r="C168" s="40" t="s">
        <v>235</v>
      </c>
      <c r="D168" s="40"/>
      <c r="E168" s="40"/>
      <c r="F168" s="40"/>
      <c r="G168" s="40"/>
      <c r="H168" s="40"/>
      <c r="I168" s="40" t="s">
        <v>129</v>
      </c>
    </row>
    <row r="169" spans="1:13" x14ac:dyDescent="0.3">
      <c r="B169" s="40"/>
      <c r="C169" s="49" t="s">
        <v>236</v>
      </c>
      <c r="D169" s="40"/>
      <c r="E169" s="40"/>
      <c r="F169" s="40"/>
      <c r="G169" s="40"/>
      <c r="H169" s="40"/>
    </row>
    <row r="170" spans="1:13" x14ac:dyDescent="0.3">
      <c r="A170" s="39"/>
      <c r="B170" s="35">
        <v>5</v>
      </c>
      <c r="C170" s="45" t="s">
        <v>56</v>
      </c>
      <c r="E170" s="40"/>
      <c r="F170" s="40"/>
      <c r="G170" s="40"/>
      <c r="H170" s="40"/>
    </row>
    <row r="171" spans="1:13" x14ac:dyDescent="0.3">
      <c r="B171" s="40"/>
      <c r="C171" s="40" t="s">
        <v>237</v>
      </c>
      <c r="D171" s="40"/>
      <c r="E171" s="40"/>
      <c r="F171" s="40"/>
      <c r="G171" s="40"/>
      <c r="H171" s="40"/>
      <c r="I171" s="40" t="s">
        <v>129</v>
      </c>
    </row>
    <row r="172" spans="1:13" x14ac:dyDescent="0.3">
      <c r="B172" s="49"/>
      <c r="C172" s="700" t="s">
        <v>238</v>
      </c>
      <c r="D172" s="700"/>
      <c r="E172" s="700"/>
      <c r="F172" s="700"/>
      <c r="G172" s="700"/>
      <c r="H172" s="40"/>
      <c r="I172" s="53" t="s">
        <v>380</v>
      </c>
      <c r="K172" s="49"/>
    </row>
    <row r="173" spans="1:13" x14ac:dyDescent="0.3">
      <c r="B173" s="49"/>
      <c r="C173" s="700"/>
      <c r="D173" s="700"/>
      <c r="E173" s="700"/>
      <c r="F173" s="700"/>
      <c r="G173" s="700"/>
      <c r="H173" s="40"/>
      <c r="I173" s="696" t="s">
        <v>628</v>
      </c>
      <c r="J173" s="697"/>
      <c r="K173" s="697"/>
      <c r="L173" s="697"/>
      <c r="M173" s="697"/>
    </row>
    <row r="174" spans="1:13" x14ac:dyDescent="0.3">
      <c r="A174" s="49"/>
      <c r="B174" s="40"/>
      <c r="C174" s="700"/>
      <c r="D174" s="700"/>
      <c r="E174" s="700"/>
      <c r="F174" s="700"/>
      <c r="G174" s="700"/>
      <c r="H174" s="40"/>
      <c r="I174" s="697"/>
      <c r="J174" s="697"/>
      <c r="K174" s="697"/>
      <c r="L174" s="697"/>
      <c r="M174" s="697"/>
    </row>
    <row r="175" spans="1:13" ht="15" customHeight="1" x14ac:dyDescent="0.3">
      <c r="A175" s="39">
        <v>14</v>
      </c>
      <c r="B175" s="701" t="s">
        <v>239</v>
      </c>
      <c r="C175" s="702"/>
      <c r="D175" s="702"/>
      <c r="E175" s="702"/>
      <c r="F175" s="702"/>
      <c r="G175" s="702"/>
      <c r="H175" s="40"/>
      <c r="I175" s="40" t="s">
        <v>421</v>
      </c>
    </row>
    <row r="176" spans="1:13" ht="15" customHeight="1" x14ac:dyDescent="0.3">
      <c r="A176" s="40"/>
      <c r="B176" s="702"/>
      <c r="C176" s="702"/>
      <c r="D176" s="702"/>
      <c r="E176" s="702"/>
      <c r="F176" s="702"/>
      <c r="G176" s="702"/>
      <c r="H176" s="40"/>
    </row>
    <row r="177" spans="1:17" x14ac:dyDescent="0.3">
      <c r="A177" s="40"/>
      <c r="B177" s="702"/>
      <c r="C177" s="702"/>
      <c r="D177" s="702"/>
      <c r="E177" s="702"/>
      <c r="F177" s="702"/>
      <c r="G177" s="702"/>
      <c r="H177" s="40"/>
    </row>
    <row r="178" spans="1:17" x14ac:dyDescent="0.3">
      <c r="A178" s="40"/>
      <c r="B178" s="95"/>
      <c r="C178" s="95"/>
      <c r="D178" s="95"/>
      <c r="E178" s="95"/>
      <c r="F178" s="95"/>
      <c r="G178" s="95"/>
      <c r="H178" s="40"/>
    </row>
    <row r="179" spans="1:17" x14ac:dyDescent="0.3">
      <c r="A179" s="40"/>
      <c r="B179" s="95"/>
      <c r="C179" s="95"/>
      <c r="D179" s="95"/>
      <c r="E179" s="95"/>
      <c r="F179" s="95"/>
      <c r="G179" s="95"/>
      <c r="H179" s="40"/>
    </row>
    <row r="180" spans="1:17" x14ac:dyDescent="0.3">
      <c r="A180" s="40"/>
      <c r="B180" s="40"/>
      <c r="C180" s="40"/>
      <c r="D180" s="40"/>
      <c r="E180" s="40"/>
      <c r="F180" s="40"/>
      <c r="G180" s="40"/>
      <c r="H180" s="40"/>
    </row>
    <row r="181" spans="1:17" x14ac:dyDescent="0.3">
      <c r="A181" s="40"/>
      <c r="B181" s="40"/>
      <c r="C181" s="40"/>
      <c r="D181" s="40"/>
      <c r="E181" s="40"/>
      <c r="F181" s="40"/>
      <c r="G181" s="40"/>
      <c r="H181" s="40"/>
      <c r="I181" s="698" t="s">
        <v>329</v>
      </c>
      <c r="J181" s="698"/>
      <c r="K181" s="698"/>
      <c r="L181" s="698"/>
      <c r="M181" s="698"/>
    </row>
    <row r="182" spans="1:17" x14ac:dyDescent="0.3">
      <c r="B182" s="40"/>
      <c r="C182" s="40"/>
      <c r="D182" s="40"/>
      <c r="E182" s="40"/>
      <c r="F182" s="40"/>
      <c r="G182" s="40"/>
      <c r="H182" s="40"/>
      <c r="I182" s="694" t="str">
        <f>+TIT!D9</f>
        <v>Shri. Bharat C. Boridkar</v>
      </c>
      <c r="J182" s="694"/>
      <c r="K182" s="694"/>
      <c r="L182" s="694"/>
      <c r="M182" s="694"/>
    </row>
    <row r="183" spans="1:17" x14ac:dyDescent="0.3">
      <c r="A183" s="40"/>
      <c r="B183" s="40"/>
      <c r="C183" s="40"/>
      <c r="D183" s="40"/>
      <c r="E183" s="40"/>
      <c r="F183" s="40"/>
      <c r="G183" s="40"/>
      <c r="H183" s="40"/>
      <c r="I183" s="694" t="str">
        <f>"[Empanelment No.:  "&amp;TIT!D10&amp;""</f>
        <v>[Empanelment No.:  Mumbai-4/C1/1011404</v>
      </c>
      <c r="J183" s="694"/>
      <c r="K183" s="694"/>
      <c r="L183" s="694"/>
      <c r="M183" s="694"/>
      <c r="Q183" s="35" t="s">
        <v>732</v>
      </c>
    </row>
    <row r="184" spans="1:17" x14ac:dyDescent="0.3">
      <c r="A184" s="40"/>
      <c r="B184" s="40"/>
      <c r="C184" s="40"/>
      <c r="D184" s="40"/>
      <c r="E184" s="40"/>
      <c r="F184" s="40"/>
      <c r="G184" s="40"/>
      <c r="H184" s="40"/>
      <c r="I184" s="694" t="s">
        <v>412</v>
      </c>
      <c r="J184" s="694"/>
      <c r="K184" s="694"/>
      <c r="L184" s="694"/>
      <c r="M184" s="694"/>
    </row>
    <row r="185" spans="1:17" ht="15" customHeight="1" x14ac:dyDescent="0.3">
      <c r="A185" s="40"/>
      <c r="B185" s="40"/>
      <c r="C185" s="40"/>
      <c r="D185" s="40"/>
      <c r="E185" s="40"/>
      <c r="F185" s="40"/>
      <c r="G185" s="40"/>
      <c r="H185" s="40"/>
      <c r="I185" s="684" t="str">
        <f>TIT!B11&amp;": "&amp;TIT!D11</f>
        <v>Address: Boridkar House, Pandurang Bhoir Road, Dahisar - West, Mumbai, Mumbai - 400 068</v>
      </c>
      <c r="J185" s="684"/>
      <c r="K185" s="684"/>
      <c r="L185" s="684"/>
      <c r="M185" s="684"/>
    </row>
    <row r="186" spans="1:17" ht="15" customHeight="1" x14ac:dyDescent="0.3">
      <c r="A186" s="703">
        <f>+TIT!D12</f>
        <v>46275</v>
      </c>
      <c r="B186" s="703"/>
      <c r="C186" s="703"/>
      <c r="D186" s="703"/>
      <c r="E186" s="703"/>
      <c r="I186" s="684"/>
      <c r="J186" s="684"/>
      <c r="K186" s="684"/>
      <c r="L186" s="684"/>
      <c r="M186" s="684"/>
    </row>
  </sheetData>
  <mergeCells count="58">
    <mergeCell ref="A1:M1"/>
    <mergeCell ref="A2:M2"/>
    <mergeCell ref="A3:M3"/>
    <mergeCell ref="I20:M21"/>
    <mergeCell ref="C19:G20"/>
    <mergeCell ref="I12:J12"/>
    <mergeCell ref="I13:J13"/>
    <mergeCell ref="C121:G122"/>
    <mergeCell ref="C172:G174"/>
    <mergeCell ref="C129:G130"/>
    <mergeCell ref="C126:G128"/>
    <mergeCell ref="C140:G141"/>
    <mergeCell ref="C143:G144"/>
    <mergeCell ref="C161:G162"/>
    <mergeCell ref="C134:G137"/>
    <mergeCell ref="B23:C25"/>
    <mergeCell ref="E27:E29"/>
    <mergeCell ref="C36:G37"/>
    <mergeCell ref="C46:G47"/>
    <mergeCell ref="C59:G60"/>
    <mergeCell ref="C54:G55"/>
    <mergeCell ref="C48:G50"/>
    <mergeCell ref="C61:G63"/>
    <mergeCell ref="C65:G66"/>
    <mergeCell ref="C68:G69"/>
    <mergeCell ref="C57:G58"/>
    <mergeCell ref="C38:G40"/>
    <mergeCell ref="C41:G42"/>
    <mergeCell ref="C43:G45"/>
    <mergeCell ref="C119:G120"/>
    <mergeCell ref="C74:G75"/>
    <mergeCell ref="C114:G117"/>
    <mergeCell ref="C100:G101"/>
    <mergeCell ref="C106:G107"/>
    <mergeCell ref="C109:G111"/>
    <mergeCell ref="C93:G95"/>
    <mergeCell ref="C97:G99"/>
    <mergeCell ref="C80:G83"/>
    <mergeCell ref="C84:G86"/>
    <mergeCell ref="C90:G92"/>
    <mergeCell ref="I185:M186"/>
    <mergeCell ref="C132:G133"/>
    <mergeCell ref="C157:G158"/>
    <mergeCell ref="B175:G177"/>
    <mergeCell ref="C149:G152"/>
    <mergeCell ref="C146:G147"/>
    <mergeCell ref="C165:G167"/>
    <mergeCell ref="C154:G155"/>
    <mergeCell ref="A186:E186"/>
    <mergeCell ref="I48:M49"/>
    <mergeCell ref="I123:M125"/>
    <mergeCell ref="I184:M184"/>
    <mergeCell ref="I128:M129"/>
    <mergeCell ref="I173:M174"/>
    <mergeCell ref="I181:M181"/>
    <mergeCell ref="I182:M182"/>
    <mergeCell ref="I183:M183"/>
    <mergeCell ref="I103:M104"/>
  </mergeCells>
  <phoneticPr fontId="6" type="noConversion"/>
  <printOptions horizontalCentered="1"/>
  <pageMargins left="0.51181102362204722" right="0" top="0.51181102362204722" bottom="0.23622047244094491" header="0" footer="0"/>
  <pageSetup paperSize="9" scale="95" orientation="portrait" r:id="rId1"/>
  <headerFooter alignWithMargins="0"/>
  <rowBreaks count="3" manualBreakCount="3">
    <brk id="50" max="13" man="1"/>
    <brk id="101" max="13" man="1"/>
    <brk id="152" max="1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40"/>
  <sheetViews>
    <sheetView view="pageBreakPreview" topLeftCell="A114" zoomScaleNormal="100" workbookViewId="0">
      <selection activeCell="I134" sqref="I134:M134"/>
    </sheetView>
  </sheetViews>
  <sheetFormatPr defaultColWidth="8" defaultRowHeight="14.4" x14ac:dyDescent="0.3"/>
  <cols>
    <col min="1" max="1" width="3.19921875" style="35" customWidth="1"/>
    <col min="2" max="2" width="3.5" style="35" customWidth="1"/>
    <col min="3" max="3" width="5.69921875" style="35" customWidth="1"/>
    <col min="4" max="7" width="8" style="35" customWidth="1"/>
    <col min="8" max="8" width="1.59765625" style="35" customWidth="1"/>
    <col min="9" max="9" width="8.19921875" style="35" customWidth="1"/>
    <col min="10" max="16384" width="8" style="35"/>
  </cols>
  <sheetData>
    <row r="1" spans="1:13" ht="15" customHeight="1" x14ac:dyDescent="0.3">
      <c r="A1" s="721" t="str">
        <f>+'F-1'!I5</f>
        <v>NAVANAND CO-OPERATIVE. HOUSING SOCIETY LTD.</v>
      </c>
      <c r="B1" s="721"/>
      <c r="C1" s="721"/>
      <c r="D1" s="721"/>
      <c r="E1" s="721"/>
      <c r="F1" s="721"/>
      <c r="G1" s="721"/>
      <c r="H1" s="721"/>
      <c r="I1" s="721"/>
      <c r="J1" s="721"/>
      <c r="K1" s="721"/>
      <c r="L1" s="721"/>
      <c r="M1" s="721"/>
    </row>
    <row r="2" spans="1:13" ht="15" customHeight="1" x14ac:dyDescent="0.3">
      <c r="A2" s="706" t="s">
        <v>240</v>
      </c>
      <c r="B2" s="706"/>
      <c r="C2" s="706"/>
      <c r="D2" s="706"/>
      <c r="E2" s="706"/>
      <c r="F2" s="706"/>
      <c r="G2" s="706"/>
      <c r="H2" s="706"/>
      <c r="I2" s="706"/>
      <c r="J2" s="706"/>
      <c r="K2" s="706"/>
      <c r="L2" s="706"/>
      <c r="M2" s="706"/>
    </row>
    <row r="3" spans="1:13" ht="15" customHeight="1" x14ac:dyDescent="0.3">
      <c r="A3" s="722" t="s">
        <v>241</v>
      </c>
      <c r="B3" s="722"/>
      <c r="C3" s="722"/>
      <c r="D3" s="722"/>
      <c r="E3" s="722"/>
      <c r="F3" s="722"/>
      <c r="G3" s="722"/>
      <c r="H3" s="722"/>
      <c r="I3" s="722"/>
      <c r="J3" s="722"/>
      <c r="K3" s="722"/>
      <c r="L3" s="722"/>
      <c r="M3" s="722"/>
    </row>
    <row r="4" spans="1:13" x14ac:dyDescent="0.3">
      <c r="A4" s="722" t="s">
        <v>242</v>
      </c>
      <c r="B4" s="722"/>
      <c r="C4" s="722"/>
      <c r="D4" s="722"/>
      <c r="E4" s="722"/>
      <c r="F4" s="722"/>
      <c r="G4" s="722"/>
      <c r="H4" s="722"/>
      <c r="I4" s="722"/>
      <c r="J4" s="722"/>
      <c r="K4" s="722"/>
      <c r="L4" s="722"/>
      <c r="M4" s="722"/>
    </row>
    <row r="5" spans="1:13" x14ac:dyDescent="0.3">
      <c r="A5" s="38" t="s">
        <v>208</v>
      </c>
      <c r="B5" s="39" t="s">
        <v>243</v>
      </c>
      <c r="C5" s="39"/>
    </row>
    <row r="6" spans="1:13" x14ac:dyDescent="0.3">
      <c r="A6" s="40"/>
      <c r="B6" s="40" t="s">
        <v>109</v>
      </c>
      <c r="C6" s="40" t="s">
        <v>244</v>
      </c>
      <c r="D6" s="40"/>
      <c r="E6" s="40"/>
      <c r="F6" s="40"/>
      <c r="G6" s="40"/>
      <c r="H6" s="40"/>
      <c r="I6" s="40"/>
      <c r="J6" s="40"/>
      <c r="K6" s="40"/>
      <c r="L6" s="40"/>
      <c r="M6" s="40"/>
    </row>
    <row r="7" spans="1:13" ht="15" customHeight="1" x14ac:dyDescent="0.3">
      <c r="A7" s="685" t="s">
        <v>245</v>
      </c>
      <c r="B7" s="686"/>
      <c r="C7" s="686"/>
      <c r="D7" s="687"/>
      <c r="E7" s="711" t="s">
        <v>246</v>
      </c>
      <c r="F7" s="711"/>
      <c r="G7" s="712" t="s">
        <v>247</v>
      </c>
      <c r="H7" s="713"/>
      <c r="I7" s="711" t="s">
        <v>248</v>
      </c>
      <c r="J7" s="711" t="s">
        <v>249</v>
      </c>
      <c r="K7" s="711" t="s">
        <v>250</v>
      </c>
      <c r="L7" s="711" t="s">
        <v>251</v>
      </c>
      <c r="M7" s="711" t="s">
        <v>252</v>
      </c>
    </row>
    <row r="8" spans="1:13" x14ac:dyDescent="0.3">
      <c r="A8" s="688"/>
      <c r="B8" s="689"/>
      <c r="C8" s="689"/>
      <c r="D8" s="690"/>
      <c r="E8" s="711"/>
      <c r="F8" s="711"/>
      <c r="G8" s="714"/>
      <c r="H8" s="715"/>
      <c r="I8" s="711"/>
      <c r="J8" s="711"/>
      <c r="K8" s="711"/>
      <c r="L8" s="711"/>
      <c r="M8" s="711"/>
    </row>
    <row r="9" spans="1:13" x14ac:dyDescent="0.3">
      <c r="A9" s="691"/>
      <c r="B9" s="692"/>
      <c r="C9" s="692"/>
      <c r="D9" s="693"/>
      <c r="E9" s="711"/>
      <c r="F9" s="711"/>
      <c r="G9" s="716"/>
      <c r="H9" s="717"/>
      <c r="I9" s="711"/>
      <c r="J9" s="711"/>
      <c r="K9" s="711"/>
      <c r="L9" s="711"/>
      <c r="M9" s="711"/>
    </row>
    <row r="10" spans="1:13" x14ac:dyDescent="0.3">
      <c r="A10" s="725">
        <v>1</v>
      </c>
      <c r="B10" s="726"/>
      <c r="C10" s="726"/>
      <c r="D10" s="727"/>
      <c r="E10" s="724">
        <v>2</v>
      </c>
      <c r="F10" s="724"/>
      <c r="G10" s="718">
        <v>3</v>
      </c>
      <c r="H10" s="719"/>
      <c r="I10" s="41">
        <v>4</v>
      </c>
      <c r="J10" s="42">
        <v>5</v>
      </c>
      <c r="K10" s="42">
        <v>6</v>
      </c>
      <c r="L10" s="42">
        <v>7</v>
      </c>
      <c r="M10" s="42">
        <v>8</v>
      </c>
    </row>
    <row r="11" spans="1:13" x14ac:dyDescent="0.3">
      <c r="A11" s="40"/>
      <c r="B11" s="40"/>
      <c r="C11" s="40"/>
      <c r="D11" s="40"/>
      <c r="E11" s="40"/>
      <c r="F11" s="40"/>
      <c r="G11" s="40"/>
      <c r="H11" s="40"/>
      <c r="I11" s="40"/>
      <c r="J11" s="40"/>
      <c r="K11" s="40"/>
      <c r="L11" s="40"/>
      <c r="M11" s="40"/>
    </row>
    <row r="12" spans="1:13" x14ac:dyDescent="0.3">
      <c r="A12" s="718" t="s">
        <v>175</v>
      </c>
      <c r="B12" s="723"/>
      <c r="C12" s="723"/>
      <c r="D12" s="723"/>
      <c r="E12" s="723"/>
      <c r="F12" s="723"/>
      <c r="G12" s="723"/>
      <c r="H12" s="723"/>
      <c r="I12" s="723"/>
      <c r="J12" s="723"/>
      <c r="K12" s="723"/>
      <c r="L12" s="723"/>
      <c r="M12" s="719"/>
    </row>
    <row r="13" spans="1:13" x14ac:dyDescent="0.3">
      <c r="A13" s="43"/>
      <c r="B13" s="43"/>
      <c r="C13" s="43"/>
      <c r="D13" s="43"/>
      <c r="E13" s="43"/>
      <c r="F13" s="43"/>
      <c r="G13" s="43"/>
      <c r="H13" s="43"/>
      <c r="I13" s="43"/>
      <c r="J13" s="43"/>
      <c r="K13" s="43"/>
      <c r="L13" s="43"/>
      <c r="M13" s="43"/>
    </row>
    <row r="14" spans="1:13" x14ac:dyDescent="0.3">
      <c r="A14" s="40"/>
      <c r="B14" s="40" t="s">
        <v>138</v>
      </c>
      <c r="C14" s="40" t="s">
        <v>253</v>
      </c>
      <c r="D14" s="40"/>
      <c r="E14" s="40"/>
      <c r="F14" s="40"/>
      <c r="G14" s="40"/>
      <c r="H14" s="40"/>
      <c r="I14" s="40" t="s">
        <v>175</v>
      </c>
      <c r="J14" s="40"/>
      <c r="K14" s="40"/>
      <c r="L14" s="40"/>
      <c r="M14" s="40"/>
    </row>
    <row r="15" spans="1:13" x14ac:dyDescent="0.3">
      <c r="A15" s="40"/>
      <c r="B15" s="40" t="s">
        <v>122</v>
      </c>
      <c r="C15" s="700" t="s">
        <v>254</v>
      </c>
      <c r="D15" s="700"/>
      <c r="E15" s="700"/>
      <c r="F15" s="700"/>
      <c r="G15" s="700"/>
      <c r="H15" s="40"/>
      <c r="I15" s="40" t="s">
        <v>175</v>
      </c>
      <c r="J15" s="40"/>
      <c r="K15" s="40"/>
      <c r="L15" s="40"/>
      <c r="M15" s="40"/>
    </row>
    <row r="16" spans="1:13" x14ac:dyDescent="0.3">
      <c r="A16" s="40"/>
      <c r="B16" s="40"/>
      <c r="C16" s="700"/>
      <c r="D16" s="700"/>
      <c r="E16" s="700"/>
      <c r="F16" s="700"/>
      <c r="G16" s="700"/>
      <c r="H16" s="40"/>
      <c r="I16" s="40"/>
      <c r="J16" s="40"/>
      <c r="K16" s="40"/>
      <c r="L16" s="40"/>
      <c r="M16" s="40"/>
    </row>
    <row r="17" spans="1:13" x14ac:dyDescent="0.3">
      <c r="A17" s="40"/>
      <c r="B17" s="40" t="s">
        <v>255</v>
      </c>
      <c r="C17" s="700" t="s">
        <v>256</v>
      </c>
      <c r="D17" s="700"/>
      <c r="E17" s="700"/>
      <c r="F17" s="700"/>
      <c r="G17" s="700"/>
      <c r="H17" s="40"/>
      <c r="I17" s="40" t="s">
        <v>175</v>
      </c>
      <c r="J17" s="40"/>
      <c r="K17" s="40"/>
      <c r="L17" s="40"/>
      <c r="M17" s="40"/>
    </row>
    <row r="18" spans="1:13" x14ac:dyDescent="0.3">
      <c r="A18" s="40"/>
      <c r="B18" s="40"/>
      <c r="C18" s="700"/>
      <c r="D18" s="700"/>
      <c r="E18" s="700"/>
      <c r="F18" s="700"/>
      <c r="G18" s="700"/>
      <c r="H18" s="40"/>
      <c r="I18" s="40"/>
      <c r="J18" s="40"/>
      <c r="K18" s="40"/>
      <c r="L18" s="40"/>
      <c r="M18" s="40"/>
    </row>
    <row r="19" spans="1:13" x14ac:dyDescent="0.3">
      <c r="A19" s="44" t="s">
        <v>210</v>
      </c>
      <c r="B19" s="45" t="s">
        <v>257</v>
      </c>
      <c r="C19" s="40"/>
      <c r="E19" s="40"/>
      <c r="F19" s="40"/>
      <c r="G19" s="40"/>
      <c r="H19" s="40"/>
      <c r="I19" s="40"/>
      <c r="J19" s="40"/>
      <c r="K19" s="40"/>
      <c r="L19" s="40"/>
      <c r="M19" s="40"/>
    </row>
    <row r="20" spans="1:13" x14ac:dyDescent="0.3">
      <c r="B20" s="40" t="s">
        <v>166</v>
      </c>
      <c r="C20" s="700" t="s">
        <v>258</v>
      </c>
      <c r="D20" s="700"/>
      <c r="E20" s="700"/>
      <c r="F20" s="700"/>
      <c r="G20" s="700"/>
      <c r="H20" s="40"/>
      <c r="I20" s="40" t="s">
        <v>175</v>
      </c>
      <c r="J20" s="40"/>
      <c r="K20" s="40"/>
      <c r="L20" s="40"/>
      <c r="M20" s="40"/>
    </row>
    <row r="21" spans="1:13" x14ac:dyDescent="0.3">
      <c r="A21" s="40"/>
      <c r="B21" s="40"/>
      <c r="C21" s="700"/>
      <c r="D21" s="700"/>
      <c r="E21" s="700"/>
      <c r="F21" s="700"/>
      <c r="G21" s="700"/>
      <c r="H21" s="40"/>
      <c r="I21" s="40"/>
      <c r="J21" s="40"/>
      <c r="K21" s="40"/>
      <c r="L21" s="40"/>
      <c r="M21" s="40"/>
    </row>
    <row r="22" spans="1:13" x14ac:dyDescent="0.3">
      <c r="B22" s="40" t="s">
        <v>138</v>
      </c>
      <c r="C22" s="700" t="s">
        <v>259</v>
      </c>
      <c r="D22" s="702"/>
      <c r="E22" s="702"/>
      <c r="F22" s="702"/>
      <c r="G22" s="702"/>
      <c r="H22" s="40"/>
      <c r="I22" s="40" t="s">
        <v>175</v>
      </c>
      <c r="J22" s="40"/>
      <c r="K22" s="40"/>
      <c r="L22" s="40"/>
      <c r="M22" s="40"/>
    </row>
    <row r="23" spans="1:13" x14ac:dyDescent="0.3">
      <c r="B23" s="40"/>
      <c r="C23" s="702"/>
      <c r="D23" s="702"/>
      <c r="E23" s="702"/>
      <c r="F23" s="702"/>
      <c r="G23" s="702"/>
      <c r="H23" s="40"/>
      <c r="I23" s="40"/>
      <c r="J23" s="40"/>
      <c r="K23" s="40"/>
      <c r="L23" s="40"/>
      <c r="M23" s="40"/>
    </row>
    <row r="24" spans="1:13" x14ac:dyDescent="0.3">
      <c r="A24" s="40"/>
      <c r="B24" s="40"/>
      <c r="C24" s="702"/>
      <c r="D24" s="702"/>
      <c r="E24" s="702"/>
      <c r="F24" s="702"/>
      <c r="G24" s="702"/>
      <c r="H24" s="40"/>
      <c r="I24" s="40"/>
      <c r="J24" s="40"/>
      <c r="K24" s="40"/>
      <c r="L24" s="40"/>
      <c r="M24" s="40"/>
    </row>
    <row r="25" spans="1:13" x14ac:dyDescent="0.3">
      <c r="A25" s="44" t="s">
        <v>260</v>
      </c>
      <c r="B25" s="45" t="s">
        <v>261</v>
      </c>
      <c r="C25" s="40"/>
      <c r="E25" s="40"/>
      <c r="F25" s="40"/>
      <c r="G25" s="40"/>
      <c r="H25" s="40"/>
      <c r="I25" s="40"/>
      <c r="J25" s="40"/>
      <c r="K25" s="40"/>
      <c r="L25" s="40"/>
      <c r="M25" s="40"/>
    </row>
    <row r="26" spans="1:13" ht="15" customHeight="1" x14ac:dyDescent="0.3">
      <c r="B26" s="40" t="s">
        <v>262</v>
      </c>
      <c r="C26" s="700" t="s">
        <v>263</v>
      </c>
      <c r="D26" s="702"/>
      <c r="E26" s="702"/>
      <c r="F26" s="702"/>
      <c r="G26" s="702"/>
      <c r="H26" s="40"/>
      <c r="I26" s="40" t="s">
        <v>175</v>
      </c>
      <c r="J26" s="40"/>
      <c r="K26" s="40"/>
      <c r="L26" s="40"/>
      <c r="M26" s="40"/>
    </row>
    <row r="27" spans="1:13" x14ac:dyDescent="0.3">
      <c r="A27" s="40"/>
      <c r="B27" s="40"/>
      <c r="C27" s="702"/>
      <c r="D27" s="702"/>
      <c r="E27" s="702"/>
      <c r="F27" s="702"/>
      <c r="G27" s="702"/>
      <c r="H27" s="40"/>
      <c r="I27" s="40"/>
      <c r="J27" s="40"/>
      <c r="K27" s="40"/>
      <c r="L27" s="40"/>
      <c r="M27" s="40"/>
    </row>
    <row r="28" spans="1:13" x14ac:dyDescent="0.3">
      <c r="A28" s="40"/>
      <c r="B28" s="40"/>
      <c r="C28" s="702"/>
      <c r="D28" s="702"/>
      <c r="E28" s="702"/>
      <c r="F28" s="702"/>
      <c r="G28" s="702"/>
      <c r="H28" s="40"/>
      <c r="I28" s="40"/>
      <c r="J28" s="40"/>
      <c r="K28" s="40"/>
      <c r="L28" s="40"/>
      <c r="M28" s="40"/>
    </row>
    <row r="29" spans="1:13" x14ac:dyDescent="0.3">
      <c r="A29" s="40"/>
      <c r="B29" s="40"/>
      <c r="C29" s="702"/>
      <c r="D29" s="702"/>
      <c r="E29" s="702"/>
      <c r="F29" s="702"/>
      <c r="G29" s="702"/>
      <c r="H29" s="40"/>
      <c r="I29" s="40"/>
      <c r="J29" s="40"/>
      <c r="K29" s="40"/>
      <c r="L29" s="40"/>
      <c r="M29" s="40"/>
    </row>
    <row r="30" spans="1:13" ht="15" customHeight="1" x14ac:dyDescent="0.3">
      <c r="B30" s="40" t="s">
        <v>138</v>
      </c>
      <c r="C30" s="700" t="s">
        <v>264</v>
      </c>
      <c r="D30" s="702"/>
      <c r="E30" s="702"/>
      <c r="F30" s="702"/>
      <c r="G30" s="702"/>
      <c r="H30" s="40"/>
      <c r="I30" s="40" t="s">
        <v>175</v>
      </c>
      <c r="J30" s="40"/>
      <c r="K30" s="40"/>
      <c r="L30" s="40"/>
      <c r="M30" s="40"/>
    </row>
    <row r="31" spans="1:13" x14ac:dyDescent="0.3">
      <c r="A31" s="40"/>
      <c r="B31" s="40"/>
      <c r="C31" s="702"/>
      <c r="D31" s="702"/>
      <c r="E31" s="702"/>
      <c r="F31" s="702"/>
      <c r="G31" s="702"/>
      <c r="H31" s="40"/>
      <c r="I31" s="40"/>
      <c r="J31" s="40"/>
      <c r="K31" s="40"/>
      <c r="L31" s="40"/>
      <c r="M31" s="40"/>
    </row>
    <row r="32" spans="1:13" x14ac:dyDescent="0.3">
      <c r="A32" s="40"/>
      <c r="B32" s="40"/>
      <c r="C32" s="702"/>
      <c r="D32" s="702"/>
      <c r="E32" s="702"/>
      <c r="F32" s="702"/>
      <c r="G32" s="702"/>
      <c r="H32" s="40"/>
      <c r="I32" s="40"/>
      <c r="J32" s="40"/>
      <c r="K32" s="40"/>
      <c r="L32" s="40"/>
      <c r="M32" s="40"/>
    </row>
    <row r="33" spans="1:13" ht="15" customHeight="1" x14ac:dyDescent="0.3">
      <c r="B33" s="40" t="s">
        <v>122</v>
      </c>
      <c r="C33" s="700" t="s">
        <v>265</v>
      </c>
      <c r="D33" s="702"/>
      <c r="E33" s="702"/>
      <c r="F33" s="702"/>
      <c r="G33" s="702"/>
      <c r="H33" s="40"/>
      <c r="I33" s="40" t="s">
        <v>175</v>
      </c>
      <c r="J33" s="40"/>
      <c r="K33" s="40"/>
      <c r="L33" s="40"/>
      <c r="M33" s="40"/>
    </row>
    <row r="34" spans="1:13" x14ac:dyDescent="0.3">
      <c r="B34" s="40"/>
      <c r="C34" s="702"/>
      <c r="D34" s="702"/>
      <c r="E34" s="702"/>
      <c r="F34" s="702"/>
      <c r="G34" s="702"/>
      <c r="H34" s="40"/>
      <c r="I34" s="40"/>
      <c r="J34" s="40"/>
      <c r="K34" s="40"/>
      <c r="L34" s="40"/>
      <c r="M34" s="40"/>
    </row>
    <row r="35" spans="1:13" x14ac:dyDescent="0.3">
      <c r="B35" s="40"/>
      <c r="C35" s="702"/>
      <c r="D35" s="702"/>
      <c r="E35" s="702"/>
      <c r="F35" s="702"/>
      <c r="G35" s="702"/>
      <c r="H35" s="40"/>
      <c r="I35" s="40"/>
      <c r="J35" s="40"/>
      <c r="K35" s="40"/>
      <c r="L35" s="40"/>
      <c r="M35" s="40"/>
    </row>
    <row r="36" spans="1:13" x14ac:dyDescent="0.3">
      <c r="B36" s="40"/>
      <c r="C36" s="702"/>
      <c r="D36" s="702"/>
      <c r="E36" s="702"/>
      <c r="F36" s="702"/>
      <c r="G36" s="702"/>
      <c r="H36" s="40"/>
      <c r="I36" s="40"/>
      <c r="J36" s="40"/>
      <c r="K36" s="40"/>
      <c r="L36" s="40"/>
      <c r="M36" s="40"/>
    </row>
    <row r="37" spans="1:13" x14ac:dyDescent="0.3">
      <c r="A37" s="44" t="s">
        <v>266</v>
      </c>
      <c r="B37" s="45" t="s">
        <v>267</v>
      </c>
      <c r="C37" s="40"/>
      <c r="D37" s="40"/>
      <c r="E37" s="40"/>
      <c r="F37" s="40"/>
      <c r="G37" s="40"/>
      <c r="H37" s="40"/>
      <c r="I37" s="40"/>
      <c r="J37" s="40"/>
      <c r="K37" s="40"/>
      <c r="L37" s="40"/>
      <c r="M37" s="40"/>
    </row>
    <row r="38" spans="1:13" ht="15" customHeight="1" x14ac:dyDescent="0.3">
      <c r="B38" s="40" t="s">
        <v>166</v>
      </c>
      <c r="C38" s="700" t="s">
        <v>268</v>
      </c>
      <c r="D38" s="702"/>
      <c r="E38" s="702"/>
      <c r="F38" s="702"/>
      <c r="G38" s="702"/>
      <c r="H38" s="40"/>
      <c r="I38" s="700" t="str">
        <f>+TIT!D6</f>
        <v>Maratha Colony Road, Dahisar - East, Mumbai - 400 068</v>
      </c>
      <c r="J38" s="720"/>
      <c r="K38" s="720"/>
      <c r="L38" s="720"/>
      <c r="M38" s="720"/>
    </row>
    <row r="39" spans="1:13" x14ac:dyDescent="0.3">
      <c r="B39" s="40"/>
      <c r="C39" s="702"/>
      <c r="D39" s="702"/>
      <c r="E39" s="702"/>
      <c r="F39" s="702"/>
      <c r="G39" s="702"/>
      <c r="H39" s="40"/>
      <c r="I39" s="720"/>
      <c r="J39" s="720"/>
      <c r="K39" s="720"/>
      <c r="L39" s="720"/>
      <c r="M39" s="720"/>
    </row>
    <row r="40" spans="1:13" x14ac:dyDescent="0.3">
      <c r="A40" s="40"/>
      <c r="B40" s="40"/>
      <c r="C40" s="702"/>
      <c r="D40" s="702"/>
      <c r="E40" s="702"/>
      <c r="F40" s="702"/>
      <c r="G40" s="702"/>
      <c r="H40" s="40"/>
      <c r="I40" s="40" t="s">
        <v>439</v>
      </c>
      <c r="J40" s="40"/>
      <c r="K40" s="40"/>
      <c r="L40" s="40"/>
      <c r="M40" s="40"/>
    </row>
    <row r="41" spans="1:13" x14ac:dyDescent="0.3">
      <c r="A41" s="40"/>
      <c r="B41" s="40"/>
      <c r="C41" s="702"/>
      <c r="D41" s="702"/>
      <c r="E41" s="702"/>
      <c r="F41" s="702"/>
      <c r="G41" s="702"/>
      <c r="H41" s="40"/>
      <c r="I41" s="40"/>
      <c r="J41" s="40"/>
      <c r="K41" s="40"/>
      <c r="L41" s="40"/>
      <c r="M41" s="40"/>
    </row>
    <row r="42" spans="1:13" x14ac:dyDescent="0.3">
      <c r="A42" s="40"/>
      <c r="B42" s="40"/>
      <c r="C42" s="702"/>
      <c r="D42" s="702"/>
      <c r="E42" s="702"/>
      <c r="F42" s="702"/>
      <c r="G42" s="702"/>
      <c r="H42" s="40"/>
      <c r="I42" s="40"/>
      <c r="J42" s="40"/>
      <c r="K42" s="40"/>
      <c r="L42" s="40"/>
      <c r="M42" s="40"/>
    </row>
    <row r="43" spans="1:13" ht="15" customHeight="1" x14ac:dyDescent="0.3">
      <c r="B43" s="40" t="s">
        <v>138</v>
      </c>
      <c r="C43" s="700" t="s">
        <v>269</v>
      </c>
      <c r="D43" s="700"/>
      <c r="E43" s="700"/>
      <c r="F43" s="700"/>
      <c r="G43" s="700"/>
      <c r="H43" s="40"/>
      <c r="I43" s="40" t="s">
        <v>129</v>
      </c>
      <c r="J43" s="40"/>
      <c r="K43" s="40"/>
      <c r="L43" s="40"/>
      <c r="M43" s="40"/>
    </row>
    <row r="44" spans="1:13" x14ac:dyDescent="0.3">
      <c r="A44" s="40"/>
      <c r="B44" s="40"/>
      <c r="C44" s="700"/>
      <c r="D44" s="700"/>
      <c r="E44" s="700"/>
      <c r="F44" s="700"/>
      <c r="G44" s="700"/>
      <c r="H44" s="40"/>
      <c r="I44" s="40"/>
      <c r="J44" s="40"/>
      <c r="K44" s="40"/>
      <c r="L44" s="40"/>
      <c r="M44" s="40"/>
    </row>
    <row r="45" spans="1:13" x14ac:dyDescent="0.3">
      <c r="B45" s="40" t="s">
        <v>122</v>
      </c>
      <c r="C45" s="40" t="s">
        <v>270</v>
      </c>
      <c r="E45" s="40"/>
      <c r="F45" s="40"/>
      <c r="G45" s="40"/>
      <c r="H45" s="40"/>
      <c r="I45" s="40"/>
      <c r="J45" s="40"/>
      <c r="K45" s="40"/>
      <c r="L45" s="40"/>
      <c r="M45" s="40"/>
    </row>
    <row r="46" spans="1:13" x14ac:dyDescent="0.3">
      <c r="B46" s="40" t="s">
        <v>213</v>
      </c>
      <c r="C46" s="40" t="s">
        <v>271</v>
      </c>
      <c r="E46" s="40"/>
      <c r="F46" s="40"/>
      <c r="G46" s="40"/>
      <c r="H46" s="40"/>
      <c r="I46" s="729" t="s">
        <v>383</v>
      </c>
      <c r="J46" s="729"/>
      <c r="K46" s="40"/>
      <c r="L46" s="40"/>
      <c r="M46" s="40"/>
    </row>
    <row r="47" spans="1:13" x14ac:dyDescent="0.3">
      <c r="B47" s="40" t="s">
        <v>272</v>
      </c>
      <c r="C47" s="40" t="s">
        <v>273</v>
      </c>
      <c r="E47" s="40"/>
      <c r="F47" s="40"/>
      <c r="G47" s="40"/>
      <c r="H47" s="40"/>
      <c r="I47" s="729"/>
      <c r="J47" s="729"/>
      <c r="K47" s="40"/>
      <c r="L47" s="40"/>
      <c r="M47" s="40"/>
    </row>
    <row r="48" spans="1:13" x14ac:dyDescent="0.3">
      <c r="B48" s="40" t="s">
        <v>224</v>
      </c>
      <c r="C48" s="40" t="s">
        <v>274</v>
      </c>
      <c r="E48" s="40"/>
      <c r="F48" s="40"/>
      <c r="G48" s="40"/>
      <c r="H48" s="40"/>
      <c r="I48" s="729"/>
      <c r="J48" s="729"/>
      <c r="K48" s="40"/>
      <c r="L48" s="40"/>
      <c r="M48" s="40"/>
    </row>
    <row r="49" spans="1:13" x14ac:dyDescent="0.3">
      <c r="B49" s="40" t="s">
        <v>275</v>
      </c>
      <c r="C49" s="40" t="s">
        <v>276</v>
      </c>
      <c r="E49" s="40"/>
      <c r="F49" s="40"/>
      <c r="G49" s="40"/>
      <c r="H49" s="40"/>
      <c r="I49" s="729"/>
      <c r="J49" s="729"/>
      <c r="K49" s="40"/>
      <c r="L49" s="40"/>
      <c r="M49" s="40"/>
    </row>
    <row r="50" spans="1:13" ht="15" customHeight="1" x14ac:dyDescent="0.3">
      <c r="A50" s="40"/>
      <c r="B50" s="40" t="s">
        <v>255</v>
      </c>
      <c r="C50" s="700" t="s">
        <v>277</v>
      </c>
      <c r="D50" s="702"/>
      <c r="E50" s="702"/>
      <c r="F50" s="702"/>
      <c r="G50" s="702"/>
      <c r="H50" s="40"/>
      <c r="I50" s="40" t="s">
        <v>384</v>
      </c>
      <c r="J50" s="40"/>
      <c r="K50" s="40"/>
      <c r="L50" s="40"/>
      <c r="M50" s="40"/>
    </row>
    <row r="51" spans="1:13" x14ac:dyDescent="0.3">
      <c r="C51" s="702"/>
      <c r="D51" s="702"/>
      <c r="E51" s="702"/>
      <c r="F51" s="702"/>
      <c r="G51" s="702"/>
      <c r="H51" s="40"/>
      <c r="I51" s="40"/>
      <c r="J51" s="40"/>
      <c r="K51" s="40"/>
      <c r="L51" s="40"/>
      <c r="M51" s="40"/>
    </row>
    <row r="52" spans="1:13" x14ac:dyDescent="0.3">
      <c r="A52" s="40"/>
      <c r="B52" s="40"/>
      <c r="C52" s="702"/>
      <c r="D52" s="702"/>
      <c r="E52" s="702"/>
      <c r="F52" s="702"/>
      <c r="G52" s="702"/>
      <c r="H52" s="40"/>
      <c r="I52" s="40"/>
      <c r="J52" s="40"/>
      <c r="K52" s="40"/>
      <c r="L52" s="40"/>
      <c r="M52" s="40"/>
    </row>
    <row r="53" spans="1:13" ht="15" customHeight="1" x14ac:dyDescent="0.3">
      <c r="B53" s="40" t="s">
        <v>278</v>
      </c>
      <c r="C53" s="700" t="s">
        <v>279</v>
      </c>
      <c r="D53" s="702"/>
      <c r="E53" s="702"/>
      <c r="F53" s="702"/>
      <c r="G53" s="702"/>
      <c r="H53" s="40"/>
      <c r="I53" s="40" t="s">
        <v>384</v>
      </c>
      <c r="J53" s="40"/>
      <c r="K53" s="40"/>
      <c r="L53" s="40"/>
      <c r="M53" s="40"/>
    </row>
    <row r="54" spans="1:13" x14ac:dyDescent="0.3">
      <c r="B54" s="40"/>
      <c r="C54" s="702"/>
      <c r="D54" s="702"/>
      <c r="E54" s="702"/>
      <c r="F54" s="702"/>
      <c r="G54" s="702"/>
      <c r="H54" s="40"/>
      <c r="I54" s="40"/>
      <c r="J54" s="40"/>
      <c r="K54" s="40"/>
      <c r="L54" s="40"/>
      <c r="M54" s="40"/>
    </row>
    <row r="55" spans="1:13" x14ac:dyDescent="0.3">
      <c r="B55" s="40"/>
      <c r="C55" s="702"/>
      <c r="D55" s="702"/>
      <c r="E55" s="702"/>
      <c r="F55" s="702"/>
      <c r="G55" s="702"/>
      <c r="H55" s="40"/>
      <c r="I55" s="40"/>
      <c r="J55" s="40"/>
      <c r="K55" s="40"/>
      <c r="L55" s="40"/>
      <c r="M55" s="40"/>
    </row>
    <row r="56" spans="1:13" x14ac:dyDescent="0.3">
      <c r="A56" s="40"/>
      <c r="B56" s="40"/>
      <c r="C56" s="702"/>
      <c r="D56" s="702"/>
      <c r="E56" s="702"/>
      <c r="F56" s="702"/>
      <c r="G56" s="702"/>
      <c r="H56" s="40"/>
      <c r="I56" s="40"/>
      <c r="J56" s="40"/>
      <c r="K56" s="40"/>
      <c r="L56" s="40"/>
      <c r="M56" s="40"/>
    </row>
    <row r="57" spans="1:13" x14ac:dyDescent="0.3">
      <c r="A57" s="44" t="s">
        <v>280</v>
      </c>
      <c r="B57" s="45" t="s">
        <v>281</v>
      </c>
      <c r="C57" s="40"/>
      <c r="E57" s="40"/>
      <c r="F57" s="40"/>
      <c r="G57" s="40"/>
      <c r="H57" s="40"/>
      <c r="I57" s="40"/>
      <c r="J57" s="40"/>
      <c r="K57" s="40"/>
      <c r="L57" s="40"/>
      <c r="M57" s="40"/>
    </row>
    <row r="58" spans="1:13" x14ac:dyDescent="0.3">
      <c r="B58" s="40" t="s">
        <v>282</v>
      </c>
      <c r="C58" s="40" t="s">
        <v>283</v>
      </c>
      <c r="E58" s="40"/>
      <c r="F58" s="40"/>
      <c r="G58" s="40"/>
      <c r="H58" s="40"/>
      <c r="I58" s="40" t="s">
        <v>384</v>
      </c>
      <c r="J58" s="40"/>
      <c r="K58" s="40"/>
      <c r="L58" s="40"/>
      <c r="M58" s="40"/>
    </row>
    <row r="59" spans="1:13" ht="15" customHeight="1" x14ac:dyDescent="0.3">
      <c r="B59" s="40"/>
      <c r="C59" s="700" t="s">
        <v>284</v>
      </c>
      <c r="D59" s="700"/>
      <c r="E59" s="700"/>
      <c r="F59" s="700"/>
      <c r="G59" s="700"/>
      <c r="H59" s="40"/>
      <c r="I59" s="40" t="s">
        <v>384</v>
      </c>
      <c r="J59" s="40"/>
      <c r="K59" s="40" t="s">
        <v>405</v>
      </c>
      <c r="L59" s="40"/>
      <c r="M59" s="40"/>
    </row>
    <row r="60" spans="1:13" x14ac:dyDescent="0.3">
      <c r="B60" s="40"/>
      <c r="C60" s="700"/>
      <c r="D60" s="700"/>
      <c r="E60" s="700"/>
      <c r="F60" s="700"/>
      <c r="G60" s="700"/>
      <c r="H60" s="40"/>
      <c r="J60" s="40"/>
      <c r="K60" s="40"/>
      <c r="L60" s="40"/>
      <c r="M60" s="40"/>
    </row>
    <row r="61" spans="1:13" ht="15" customHeight="1" x14ac:dyDescent="0.3">
      <c r="B61" s="40"/>
      <c r="C61" s="700" t="s">
        <v>285</v>
      </c>
      <c r="D61" s="700"/>
      <c r="E61" s="700"/>
      <c r="F61" s="700"/>
      <c r="G61" s="700"/>
      <c r="H61" s="40"/>
      <c r="I61" s="40" t="s">
        <v>384</v>
      </c>
      <c r="J61" s="40"/>
      <c r="K61" s="40"/>
      <c r="L61" s="40"/>
      <c r="M61" s="40"/>
    </row>
    <row r="62" spans="1:13" x14ac:dyDescent="0.3">
      <c r="B62" s="40"/>
      <c r="C62" s="700"/>
      <c r="D62" s="700"/>
      <c r="E62" s="700"/>
      <c r="F62" s="700"/>
      <c r="G62" s="700"/>
      <c r="H62" s="40"/>
      <c r="I62" s="40"/>
      <c r="J62" s="40"/>
      <c r="K62" s="40"/>
      <c r="L62" s="40"/>
      <c r="M62" s="40"/>
    </row>
    <row r="63" spans="1:13" ht="15" customHeight="1" x14ac:dyDescent="0.3">
      <c r="A63" s="40"/>
      <c r="B63" s="40" t="s">
        <v>138</v>
      </c>
      <c r="C63" s="700" t="s">
        <v>286</v>
      </c>
      <c r="D63" s="702"/>
      <c r="E63" s="702"/>
      <c r="F63" s="702"/>
      <c r="G63" s="702"/>
      <c r="H63" s="40"/>
      <c r="I63" s="40" t="s">
        <v>384</v>
      </c>
      <c r="J63" s="46"/>
      <c r="K63" s="46"/>
      <c r="L63" s="46"/>
      <c r="M63" s="46"/>
    </row>
    <row r="64" spans="1:13" x14ac:dyDescent="0.3">
      <c r="A64" s="40"/>
      <c r="B64" s="40"/>
      <c r="C64" s="702"/>
      <c r="D64" s="702"/>
      <c r="E64" s="702"/>
      <c r="F64" s="702"/>
      <c r="G64" s="702"/>
      <c r="H64" s="40"/>
      <c r="I64" s="46"/>
      <c r="J64" s="46"/>
      <c r="K64" s="46"/>
      <c r="L64" s="46"/>
      <c r="M64" s="46"/>
    </row>
    <row r="65" spans="1:13" x14ac:dyDescent="0.3">
      <c r="A65" s="40"/>
      <c r="B65" s="40"/>
      <c r="C65" s="702"/>
      <c r="D65" s="702"/>
      <c r="E65" s="702"/>
      <c r="F65" s="702"/>
      <c r="G65" s="702"/>
      <c r="H65" s="40"/>
      <c r="I65" s="46"/>
      <c r="J65" s="46"/>
      <c r="K65" s="46"/>
      <c r="L65" s="46"/>
      <c r="M65" s="46"/>
    </row>
    <row r="66" spans="1:13" x14ac:dyDescent="0.3">
      <c r="C66" s="702"/>
      <c r="D66" s="702"/>
      <c r="E66" s="702"/>
      <c r="F66" s="702"/>
      <c r="G66" s="702"/>
      <c r="H66" s="40"/>
      <c r="I66" s="46"/>
      <c r="J66" s="46"/>
      <c r="K66" s="46"/>
      <c r="L66" s="46"/>
      <c r="M66" s="46"/>
    </row>
    <row r="67" spans="1:13" ht="15" customHeight="1" x14ac:dyDescent="0.3">
      <c r="A67" s="40"/>
      <c r="B67" s="40" t="s">
        <v>122</v>
      </c>
      <c r="C67" s="700" t="s">
        <v>287</v>
      </c>
      <c r="D67" s="700"/>
      <c r="E67" s="700"/>
      <c r="F67" s="700"/>
      <c r="G67" s="700"/>
      <c r="H67" s="40"/>
      <c r="I67" s="40" t="s">
        <v>384</v>
      </c>
      <c r="J67" s="46"/>
      <c r="K67" s="46"/>
      <c r="L67" s="46"/>
      <c r="M67" s="46"/>
    </row>
    <row r="68" spans="1:13" x14ac:dyDescent="0.3">
      <c r="A68" s="40"/>
      <c r="B68" s="40"/>
      <c r="C68" s="700"/>
      <c r="D68" s="700"/>
      <c r="E68" s="700"/>
      <c r="F68" s="700"/>
      <c r="G68" s="700"/>
      <c r="H68" s="40"/>
      <c r="I68" s="46"/>
      <c r="J68" s="46"/>
      <c r="K68" s="46"/>
      <c r="L68" s="46"/>
      <c r="M68" s="46"/>
    </row>
    <row r="69" spans="1:13" ht="15" customHeight="1" x14ac:dyDescent="0.3">
      <c r="B69" s="40" t="s">
        <v>255</v>
      </c>
      <c r="C69" s="700" t="s">
        <v>288</v>
      </c>
      <c r="D69" s="702"/>
      <c r="E69" s="702"/>
      <c r="F69" s="702"/>
      <c r="G69" s="702"/>
      <c r="H69" s="40"/>
      <c r="I69" s="40" t="s">
        <v>384</v>
      </c>
      <c r="J69" s="46"/>
      <c r="K69" s="46"/>
      <c r="L69" s="46"/>
      <c r="M69" s="46"/>
    </row>
    <row r="70" spans="1:13" x14ac:dyDescent="0.3">
      <c r="A70" s="40"/>
      <c r="B70" s="40"/>
      <c r="C70" s="702"/>
      <c r="D70" s="702"/>
      <c r="E70" s="702"/>
      <c r="F70" s="702"/>
      <c r="G70" s="702"/>
      <c r="H70" s="40"/>
      <c r="I70" s="46"/>
      <c r="J70" s="46"/>
      <c r="K70" s="46"/>
      <c r="L70" s="46"/>
      <c r="M70" s="46"/>
    </row>
    <row r="71" spans="1:13" ht="22.5" customHeight="1" x14ac:dyDescent="0.3">
      <c r="B71" s="40"/>
      <c r="C71" s="702"/>
      <c r="D71" s="702"/>
      <c r="E71" s="702"/>
      <c r="F71" s="702"/>
      <c r="G71" s="702"/>
      <c r="H71" s="40"/>
      <c r="I71" s="46"/>
      <c r="J71" s="46"/>
      <c r="K71" s="46"/>
      <c r="L71" s="46"/>
      <c r="M71" s="46"/>
    </row>
    <row r="72" spans="1:13" ht="18.75" customHeight="1" x14ac:dyDescent="0.3">
      <c r="A72" s="40"/>
      <c r="B72" s="40"/>
      <c r="C72" s="702"/>
      <c r="D72" s="702"/>
      <c r="E72" s="702"/>
      <c r="F72" s="702"/>
      <c r="G72" s="702"/>
      <c r="H72" s="40"/>
      <c r="I72" s="46"/>
      <c r="J72" s="46"/>
      <c r="K72" s="46"/>
      <c r="L72" s="46"/>
      <c r="M72" s="46"/>
    </row>
    <row r="73" spans="1:13" ht="15" customHeight="1" x14ac:dyDescent="0.3">
      <c r="B73" s="40" t="s">
        <v>278</v>
      </c>
      <c r="C73" s="700" t="s">
        <v>289</v>
      </c>
      <c r="D73" s="702"/>
      <c r="E73" s="702"/>
      <c r="F73" s="702"/>
      <c r="G73" s="702"/>
      <c r="H73" s="40"/>
      <c r="I73" s="40" t="s">
        <v>384</v>
      </c>
      <c r="J73" s="46"/>
      <c r="K73" s="46"/>
      <c r="L73" s="46"/>
      <c r="M73" s="46"/>
    </row>
    <row r="74" spans="1:13" x14ac:dyDescent="0.3">
      <c r="B74" s="40"/>
      <c r="C74" s="702"/>
      <c r="D74" s="702"/>
      <c r="E74" s="702"/>
      <c r="F74" s="702"/>
      <c r="G74" s="702"/>
      <c r="H74" s="40"/>
    </row>
    <row r="75" spans="1:13" x14ac:dyDescent="0.3">
      <c r="B75" s="40"/>
      <c r="C75" s="702"/>
      <c r="D75" s="702"/>
      <c r="E75" s="702"/>
      <c r="F75" s="702"/>
      <c r="G75" s="702"/>
      <c r="H75" s="40"/>
    </row>
    <row r="76" spans="1:13" x14ac:dyDescent="0.3">
      <c r="A76" s="40"/>
      <c r="B76" s="40"/>
      <c r="C76" s="702"/>
      <c r="D76" s="702"/>
      <c r="E76" s="702"/>
      <c r="F76" s="702"/>
      <c r="G76" s="702"/>
      <c r="H76" s="40"/>
    </row>
    <row r="77" spans="1:13" ht="15" customHeight="1" x14ac:dyDescent="0.3">
      <c r="B77" s="40" t="s">
        <v>130</v>
      </c>
      <c r="C77" s="700" t="s">
        <v>290</v>
      </c>
      <c r="D77" s="700"/>
      <c r="E77" s="700"/>
      <c r="F77" s="700"/>
      <c r="G77" s="700"/>
      <c r="H77" s="40"/>
      <c r="I77" s="40" t="s">
        <v>384</v>
      </c>
    </row>
    <row r="78" spans="1:13" x14ac:dyDescent="0.3">
      <c r="A78" s="40"/>
      <c r="B78" s="40"/>
      <c r="C78" s="700"/>
      <c r="D78" s="700"/>
      <c r="E78" s="700"/>
      <c r="F78" s="700"/>
      <c r="G78" s="700"/>
      <c r="H78" s="40"/>
    </row>
    <row r="79" spans="1:13" ht="15" customHeight="1" x14ac:dyDescent="0.3">
      <c r="B79" s="40" t="s">
        <v>132</v>
      </c>
      <c r="C79" s="700" t="s">
        <v>291</v>
      </c>
      <c r="D79" s="702"/>
      <c r="E79" s="702"/>
      <c r="F79" s="702"/>
      <c r="G79" s="702"/>
      <c r="H79" s="40"/>
      <c r="I79" s="40" t="s">
        <v>384</v>
      </c>
    </row>
    <row r="80" spans="1:13" x14ac:dyDescent="0.3">
      <c r="B80" s="40"/>
      <c r="C80" s="702"/>
      <c r="D80" s="702"/>
      <c r="E80" s="702"/>
      <c r="F80" s="702"/>
      <c r="G80" s="702"/>
      <c r="H80" s="40"/>
    </row>
    <row r="81" spans="1:13" x14ac:dyDescent="0.3">
      <c r="B81" s="40"/>
      <c r="C81" s="702"/>
      <c r="D81" s="702"/>
      <c r="E81" s="702"/>
      <c r="F81" s="702"/>
      <c r="G81" s="702"/>
      <c r="H81" s="40"/>
    </row>
    <row r="82" spans="1:13" x14ac:dyDescent="0.3">
      <c r="A82" s="40"/>
      <c r="B82" s="40"/>
      <c r="C82" s="702"/>
      <c r="D82" s="702"/>
      <c r="E82" s="702"/>
      <c r="F82" s="702"/>
      <c r="G82" s="702"/>
      <c r="H82" s="40"/>
    </row>
    <row r="83" spans="1:13" x14ac:dyDescent="0.3">
      <c r="A83" s="40"/>
      <c r="B83" s="40"/>
      <c r="C83" s="702"/>
      <c r="D83" s="702"/>
      <c r="E83" s="702"/>
      <c r="F83" s="702"/>
      <c r="G83" s="702"/>
      <c r="H83" s="40"/>
    </row>
    <row r="84" spans="1:13" x14ac:dyDescent="0.3">
      <c r="B84" s="40" t="s">
        <v>292</v>
      </c>
      <c r="C84" s="40" t="s">
        <v>293</v>
      </c>
      <c r="E84" s="40"/>
      <c r="F84" s="40"/>
      <c r="G84" s="40"/>
      <c r="H84" s="40"/>
      <c r="I84" s="40" t="s">
        <v>129</v>
      </c>
      <c r="J84" s="40"/>
      <c r="K84" s="40"/>
      <c r="L84" s="40"/>
      <c r="M84" s="40"/>
    </row>
    <row r="85" spans="1:13" ht="18.75" customHeight="1" x14ac:dyDescent="0.3">
      <c r="A85" s="40"/>
      <c r="B85" s="40"/>
      <c r="C85" s="40" t="s">
        <v>294</v>
      </c>
      <c r="E85" s="40"/>
      <c r="F85" s="40"/>
      <c r="G85" s="40"/>
      <c r="H85" s="40"/>
      <c r="I85" s="40"/>
      <c r="J85" s="40"/>
      <c r="K85" s="40"/>
      <c r="L85" s="40"/>
      <c r="M85" s="40"/>
    </row>
    <row r="86" spans="1:13" ht="15" customHeight="1" x14ac:dyDescent="0.3">
      <c r="A86" s="40"/>
      <c r="B86" s="40" t="s">
        <v>295</v>
      </c>
      <c r="C86" s="700" t="s">
        <v>296</v>
      </c>
      <c r="D86" s="700"/>
      <c r="E86" s="700"/>
      <c r="F86" s="700"/>
      <c r="G86" s="700"/>
      <c r="H86" s="40"/>
      <c r="I86" s="40" t="s">
        <v>384</v>
      </c>
      <c r="J86" s="46"/>
      <c r="K86" s="46"/>
      <c r="L86" s="46"/>
      <c r="M86" s="46"/>
    </row>
    <row r="87" spans="1:13" ht="29.25" customHeight="1" x14ac:dyDescent="0.3">
      <c r="C87" s="700"/>
      <c r="D87" s="700"/>
      <c r="E87" s="700"/>
      <c r="F87" s="700"/>
      <c r="G87" s="700"/>
      <c r="H87" s="40"/>
      <c r="I87" s="46"/>
      <c r="J87" s="46"/>
      <c r="K87" s="46"/>
      <c r="L87" s="46"/>
      <c r="M87" s="46"/>
    </row>
    <row r="88" spans="1:13" x14ac:dyDescent="0.3">
      <c r="A88" s="40"/>
      <c r="B88" s="40"/>
      <c r="C88" s="40" t="s">
        <v>297</v>
      </c>
      <c r="E88" s="40"/>
      <c r="F88" s="40"/>
      <c r="G88" s="40"/>
      <c r="H88" s="40"/>
      <c r="I88" s="40" t="s">
        <v>384</v>
      </c>
      <c r="J88" s="46"/>
      <c r="K88" s="46"/>
      <c r="L88" s="46"/>
      <c r="M88" s="46"/>
    </row>
    <row r="89" spans="1:13" x14ac:dyDescent="0.3">
      <c r="A89" s="40"/>
      <c r="B89" s="40"/>
      <c r="C89" s="40" t="s">
        <v>298</v>
      </c>
      <c r="E89" s="40"/>
      <c r="F89" s="40"/>
      <c r="G89" s="40"/>
      <c r="H89" s="40"/>
      <c r="I89" s="40" t="s">
        <v>384</v>
      </c>
      <c r="J89" s="46"/>
      <c r="K89" s="46"/>
      <c r="L89" s="46"/>
      <c r="M89" s="46"/>
    </row>
    <row r="90" spans="1:13" ht="15" customHeight="1" x14ac:dyDescent="0.3">
      <c r="A90" s="40"/>
      <c r="B90" s="40"/>
      <c r="C90" s="700" t="s">
        <v>299</v>
      </c>
      <c r="D90" s="700"/>
      <c r="E90" s="700"/>
      <c r="F90" s="700"/>
      <c r="G90" s="700"/>
      <c r="H90" s="40"/>
      <c r="I90" s="40" t="s">
        <v>384</v>
      </c>
      <c r="J90" s="46"/>
      <c r="K90" s="46"/>
      <c r="L90" s="46"/>
      <c r="M90" s="46"/>
    </row>
    <row r="91" spans="1:13" x14ac:dyDescent="0.3">
      <c r="A91" s="40"/>
      <c r="B91" s="40"/>
      <c r="C91" s="700"/>
      <c r="D91" s="700"/>
      <c r="E91" s="700"/>
      <c r="F91" s="700"/>
      <c r="G91" s="700"/>
      <c r="H91" s="40"/>
      <c r="I91" s="46"/>
      <c r="J91" s="46"/>
      <c r="K91" s="46"/>
      <c r="L91" s="46"/>
      <c r="M91" s="46"/>
    </row>
    <row r="92" spans="1:13" ht="15" customHeight="1" x14ac:dyDescent="0.3">
      <c r="A92" s="40"/>
      <c r="B92" s="40"/>
      <c r="C92" s="700" t="s">
        <v>300</v>
      </c>
      <c r="D92" s="700"/>
      <c r="E92" s="700"/>
      <c r="F92" s="700"/>
      <c r="G92" s="700"/>
      <c r="H92" s="40"/>
      <c r="I92" s="40" t="s">
        <v>384</v>
      </c>
      <c r="J92" s="46"/>
      <c r="K92" s="46"/>
      <c r="L92" s="46"/>
      <c r="M92" s="46"/>
    </row>
    <row r="93" spans="1:13" x14ac:dyDescent="0.3">
      <c r="A93" s="40"/>
      <c r="B93" s="40"/>
      <c r="C93" s="700"/>
      <c r="D93" s="700"/>
      <c r="E93" s="700"/>
      <c r="F93" s="700"/>
      <c r="G93" s="700"/>
      <c r="H93" s="40"/>
      <c r="I93" s="46"/>
      <c r="J93" s="46"/>
      <c r="K93" s="46"/>
      <c r="L93" s="46"/>
      <c r="M93" s="46"/>
    </row>
    <row r="94" spans="1:13" ht="15" customHeight="1" x14ac:dyDescent="0.3">
      <c r="A94" s="40"/>
      <c r="B94" s="40" t="s">
        <v>301</v>
      </c>
      <c r="C94" s="728" t="s">
        <v>403</v>
      </c>
      <c r="D94" s="728"/>
      <c r="E94" s="728"/>
      <c r="F94" s="728"/>
      <c r="G94" s="728"/>
      <c r="H94" s="40"/>
      <c r="I94" s="40" t="s">
        <v>384</v>
      </c>
      <c r="J94" s="46"/>
      <c r="K94" s="46"/>
      <c r="L94" s="46"/>
      <c r="M94" s="46"/>
    </row>
    <row r="95" spans="1:13" x14ac:dyDescent="0.3">
      <c r="A95" s="40"/>
      <c r="B95" s="40"/>
      <c r="C95" s="728"/>
      <c r="D95" s="728"/>
      <c r="E95" s="728"/>
      <c r="F95" s="728"/>
      <c r="G95" s="728"/>
      <c r="H95" s="40"/>
      <c r="I95" s="46"/>
      <c r="J95" s="46"/>
      <c r="K95" s="46"/>
      <c r="L95" s="46"/>
      <c r="M95" s="46"/>
    </row>
    <row r="96" spans="1:13" x14ac:dyDescent="0.3">
      <c r="A96" s="40"/>
      <c r="B96" s="40"/>
      <c r="C96" s="728"/>
      <c r="D96" s="728"/>
      <c r="E96" s="728"/>
      <c r="F96" s="728"/>
      <c r="G96" s="728"/>
      <c r="H96" s="40"/>
      <c r="I96" s="46"/>
      <c r="J96" s="46"/>
      <c r="K96" s="46"/>
      <c r="L96" s="46"/>
      <c r="M96" s="46"/>
    </row>
    <row r="97" spans="1:13" x14ac:dyDescent="0.3">
      <c r="A97" s="40"/>
      <c r="B97" s="40"/>
      <c r="C97" s="728"/>
      <c r="D97" s="728"/>
      <c r="E97" s="728"/>
      <c r="F97" s="728"/>
      <c r="G97" s="728"/>
      <c r="H97" s="40"/>
    </row>
    <row r="98" spans="1:13" ht="18" customHeight="1" x14ac:dyDescent="0.3">
      <c r="A98" s="40"/>
      <c r="B98" s="40"/>
      <c r="C98" s="728"/>
      <c r="D98" s="728"/>
      <c r="E98" s="728"/>
      <c r="F98" s="728"/>
      <c r="G98" s="728"/>
      <c r="H98" s="40"/>
    </row>
    <row r="99" spans="1:13" ht="15" customHeight="1" x14ac:dyDescent="0.3">
      <c r="B99" s="40" t="s">
        <v>302</v>
      </c>
      <c r="C99" s="700" t="s">
        <v>303</v>
      </c>
      <c r="D99" s="700"/>
      <c r="E99" s="700"/>
      <c r="F99" s="700"/>
      <c r="G99" s="700"/>
      <c r="H99" s="40"/>
      <c r="I99" s="684" t="s">
        <v>129</v>
      </c>
      <c r="J99" s="684"/>
      <c r="K99" s="684"/>
      <c r="L99" s="684"/>
      <c r="M99" s="684"/>
    </row>
    <row r="100" spans="1:13" x14ac:dyDescent="0.3">
      <c r="A100" s="40"/>
      <c r="B100" s="40"/>
      <c r="C100" s="700"/>
      <c r="D100" s="700"/>
      <c r="E100" s="700"/>
      <c r="F100" s="700"/>
      <c r="G100" s="700"/>
      <c r="H100" s="40"/>
      <c r="I100" s="684"/>
      <c r="J100" s="684"/>
      <c r="K100" s="684"/>
      <c r="L100" s="684"/>
      <c r="M100" s="684"/>
    </row>
    <row r="101" spans="1:13" x14ac:dyDescent="0.3">
      <c r="A101" s="40"/>
      <c r="B101" s="40"/>
      <c r="C101" s="702"/>
      <c r="D101" s="702"/>
      <c r="E101" s="702"/>
      <c r="F101" s="702"/>
      <c r="G101" s="702"/>
      <c r="H101" s="40"/>
      <c r="J101" s="40"/>
      <c r="K101" s="40"/>
      <c r="L101" s="40"/>
      <c r="M101" s="40"/>
    </row>
    <row r="102" spans="1:13" x14ac:dyDescent="0.3">
      <c r="B102" s="40" t="s">
        <v>304</v>
      </c>
      <c r="C102" s="40" t="s">
        <v>305</v>
      </c>
      <c r="E102" s="40"/>
      <c r="F102" s="40"/>
      <c r="G102" s="40"/>
      <c r="H102" s="40"/>
      <c r="I102" s="40" t="s">
        <v>129</v>
      </c>
      <c r="J102" s="40"/>
      <c r="K102" s="40"/>
      <c r="L102" s="40"/>
      <c r="M102" s="40"/>
    </row>
    <row r="103" spans="1:13" ht="15" customHeight="1" x14ac:dyDescent="0.3">
      <c r="A103" s="40"/>
      <c r="B103" s="40" t="s">
        <v>306</v>
      </c>
      <c r="C103" s="700" t="s">
        <v>307</v>
      </c>
      <c r="D103" s="700"/>
      <c r="E103" s="700"/>
      <c r="F103" s="700"/>
      <c r="G103" s="700"/>
      <c r="H103" s="40"/>
      <c r="I103" s="40" t="s">
        <v>121</v>
      </c>
    </row>
    <row r="104" spans="1:13" x14ac:dyDescent="0.3">
      <c r="C104" s="700"/>
      <c r="D104" s="700"/>
      <c r="E104" s="700"/>
      <c r="F104" s="700"/>
      <c r="G104" s="700"/>
      <c r="H104" s="40"/>
    </row>
    <row r="105" spans="1:13" x14ac:dyDescent="0.3">
      <c r="A105" s="40"/>
      <c r="B105" s="40"/>
      <c r="C105" s="702"/>
      <c r="D105" s="702"/>
      <c r="E105" s="702"/>
      <c r="F105" s="702"/>
      <c r="G105" s="702"/>
      <c r="H105" s="40"/>
    </row>
    <row r="106" spans="1:13" x14ac:dyDescent="0.3">
      <c r="A106" s="40"/>
      <c r="B106" s="40"/>
      <c r="C106" s="702"/>
      <c r="D106" s="702"/>
      <c r="E106" s="702"/>
      <c r="F106" s="702"/>
      <c r="G106" s="702"/>
      <c r="H106" s="40"/>
    </row>
    <row r="107" spans="1:13" ht="16.5" customHeight="1" x14ac:dyDescent="0.3">
      <c r="B107" s="40" t="s">
        <v>308</v>
      </c>
      <c r="C107" s="700" t="s">
        <v>309</v>
      </c>
      <c r="D107" s="700"/>
      <c r="E107" s="700"/>
      <c r="F107" s="700"/>
      <c r="G107" s="700"/>
      <c r="H107" s="40"/>
      <c r="I107" s="40" t="s">
        <v>121</v>
      </c>
    </row>
    <row r="108" spans="1:13" ht="25.5" customHeight="1" x14ac:dyDescent="0.3">
      <c r="A108" s="40"/>
      <c r="B108" s="40"/>
      <c r="C108" s="700"/>
      <c r="D108" s="700"/>
      <c r="E108" s="700"/>
      <c r="F108" s="700"/>
      <c r="G108" s="700"/>
      <c r="H108" s="40"/>
    </row>
    <row r="109" spans="1:13" ht="15" customHeight="1" x14ac:dyDescent="0.3">
      <c r="B109" s="40" t="s">
        <v>310</v>
      </c>
      <c r="C109" s="700" t="s">
        <v>311</v>
      </c>
      <c r="D109" s="700"/>
      <c r="E109" s="700"/>
      <c r="F109" s="700"/>
      <c r="G109" s="700"/>
      <c r="H109" s="40"/>
      <c r="I109" s="40" t="s">
        <v>175</v>
      </c>
    </row>
    <row r="110" spans="1:13" x14ac:dyDescent="0.3">
      <c r="B110" s="40"/>
      <c r="C110" s="700"/>
      <c r="D110" s="700"/>
      <c r="E110" s="700"/>
      <c r="F110" s="700"/>
      <c r="G110" s="700"/>
      <c r="H110" s="40"/>
    </row>
    <row r="111" spans="1:13" x14ac:dyDescent="0.3">
      <c r="A111" s="40"/>
      <c r="B111" s="40"/>
      <c r="C111" s="702"/>
      <c r="D111" s="702"/>
      <c r="E111" s="702"/>
      <c r="F111" s="702"/>
      <c r="G111" s="702"/>
      <c r="H111" s="40"/>
    </row>
    <row r="112" spans="1:13" ht="15" customHeight="1" x14ac:dyDescent="0.3">
      <c r="B112" s="40" t="s">
        <v>312</v>
      </c>
      <c r="C112" s="700" t="s">
        <v>313</v>
      </c>
      <c r="D112" s="700"/>
      <c r="E112" s="700"/>
      <c r="F112" s="700"/>
      <c r="G112" s="700"/>
      <c r="H112" s="40"/>
      <c r="I112" s="35" t="s">
        <v>129</v>
      </c>
    </row>
    <row r="113" spans="1:13" x14ac:dyDescent="0.3">
      <c r="A113" s="40"/>
      <c r="B113" s="40"/>
      <c r="C113" s="700"/>
      <c r="D113" s="700"/>
      <c r="E113" s="700"/>
      <c r="F113" s="700"/>
      <c r="G113" s="700"/>
      <c r="H113" s="40"/>
    </row>
    <row r="114" spans="1:13" ht="15" customHeight="1" x14ac:dyDescent="0.3">
      <c r="B114" s="40" t="s">
        <v>314</v>
      </c>
      <c r="C114" s="700" t="s">
        <v>315</v>
      </c>
      <c r="D114" s="700"/>
      <c r="E114" s="700"/>
      <c r="F114" s="700"/>
      <c r="G114" s="700"/>
      <c r="H114" s="40"/>
      <c r="I114" s="47"/>
      <c r="J114" s="37"/>
      <c r="K114" s="37"/>
      <c r="L114" s="37"/>
      <c r="M114" s="37"/>
    </row>
    <row r="115" spans="1:13" x14ac:dyDescent="0.3">
      <c r="B115" s="40"/>
      <c r="C115" s="700"/>
      <c r="D115" s="700"/>
      <c r="E115" s="700"/>
      <c r="F115" s="700"/>
      <c r="G115" s="700"/>
      <c r="H115" s="40"/>
      <c r="I115" s="37"/>
      <c r="J115" s="37"/>
      <c r="K115" s="37"/>
      <c r="L115" s="37"/>
      <c r="M115" s="37"/>
    </row>
    <row r="116" spans="1:13" x14ac:dyDescent="0.3">
      <c r="B116" s="40"/>
      <c r="C116" s="702"/>
      <c r="D116" s="702"/>
      <c r="E116" s="702"/>
      <c r="F116" s="702"/>
      <c r="G116" s="702"/>
      <c r="H116" s="40"/>
      <c r="I116" s="40"/>
      <c r="J116" s="40"/>
      <c r="K116" s="40"/>
      <c r="L116" s="40"/>
      <c r="M116" s="40"/>
    </row>
    <row r="117" spans="1:13" x14ac:dyDescent="0.3">
      <c r="B117" s="40"/>
      <c r="C117" s="702"/>
      <c r="D117" s="702"/>
      <c r="E117" s="702"/>
      <c r="F117" s="702"/>
      <c r="G117" s="702"/>
      <c r="H117" s="40"/>
      <c r="I117" s="40"/>
      <c r="J117" s="40"/>
      <c r="K117" s="40"/>
      <c r="L117" s="40"/>
      <c r="M117" s="40"/>
    </row>
    <row r="118" spans="1:13" x14ac:dyDescent="0.3">
      <c r="A118" s="40"/>
      <c r="B118" s="40"/>
      <c r="C118" s="40" t="s">
        <v>316</v>
      </c>
      <c r="E118" s="40"/>
      <c r="F118" s="40"/>
      <c r="G118" s="40"/>
      <c r="H118" s="40"/>
      <c r="I118" s="40" t="s">
        <v>175</v>
      </c>
      <c r="J118" s="40"/>
      <c r="K118" s="40"/>
      <c r="L118" s="40"/>
      <c r="M118" s="40"/>
    </row>
    <row r="119" spans="1:13" x14ac:dyDescent="0.3">
      <c r="A119" s="40"/>
      <c r="B119" s="40"/>
      <c r="C119" s="40" t="s">
        <v>317</v>
      </c>
      <c r="E119" s="40"/>
      <c r="F119" s="40"/>
      <c r="G119" s="40"/>
      <c r="H119" s="40"/>
      <c r="I119" s="40" t="s">
        <v>129</v>
      </c>
      <c r="J119" s="40"/>
      <c r="K119" s="40"/>
      <c r="L119" s="40"/>
      <c r="M119" s="40"/>
    </row>
    <row r="120" spans="1:13" x14ac:dyDescent="0.3">
      <c r="A120" s="40"/>
      <c r="B120" s="40"/>
      <c r="C120" s="40" t="s">
        <v>318</v>
      </c>
      <c r="E120" s="40"/>
      <c r="F120" s="40"/>
      <c r="G120" s="40"/>
      <c r="H120" s="40"/>
      <c r="I120" s="40" t="s">
        <v>143</v>
      </c>
      <c r="J120" s="40"/>
      <c r="K120" s="40"/>
      <c r="L120" s="40"/>
      <c r="M120" s="40"/>
    </row>
    <row r="121" spans="1:13" x14ac:dyDescent="0.3">
      <c r="A121" s="40"/>
      <c r="B121" s="40"/>
      <c r="C121" s="40" t="s">
        <v>319</v>
      </c>
      <c r="E121" s="40"/>
      <c r="F121" s="40"/>
      <c r="G121" s="40"/>
      <c r="H121" s="40"/>
      <c r="I121" s="40" t="s">
        <v>129</v>
      </c>
      <c r="J121" s="40"/>
      <c r="K121" s="40"/>
      <c r="L121" s="40"/>
      <c r="M121" s="40"/>
    </row>
    <row r="122" spans="1:13" x14ac:dyDescent="0.3">
      <c r="A122" s="40"/>
      <c r="B122" s="40"/>
      <c r="C122" s="40" t="s">
        <v>320</v>
      </c>
      <c r="E122" s="40"/>
      <c r="F122" s="40"/>
      <c r="G122" s="40"/>
      <c r="H122" s="40"/>
      <c r="I122" s="40" t="s">
        <v>129</v>
      </c>
      <c r="J122" s="40"/>
      <c r="K122" s="40"/>
      <c r="L122" s="40"/>
      <c r="M122" s="40"/>
    </row>
    <row r="123" spans="1:13" x14ac:dyDescent="0.3">
      <c r="A123" s="44" t="s">
        <v>321</v>
      </c>
      <c r="B123" s="45" t="s">
        <v>322</v>
      </c>
      <c r="C123" s="40"/>
      <c r="E123" s="40"/>
      <c r="F123" s="40"/>
      <c r="G123" s="40"/>
      <c r="H123" s="40"/>
      <c r="I123" s="40"/>
      <c r="J123" s="40"/>
      <c r="K123" s="40"/>
      <c r="L123" s="40"/>
      <c r="M123" s="40"/>
    </row>
    <row r="124" spans="1:13" x14ac:dyDescent="0.3">
      <c r="B124" s="40" t="s">
        <v>109</v>
      </c>
      <c r="C124" s="40" t="s">
        <v>323</v>
      </c>
      <c r="E124" s="40"/>
      <c r="F124" s="40"/>
      <c r="G124" s="40"/>
      <c r="H124" s="40"/>
      <c r="I124" s="40" t="s">
        <v>175</v>
      </c>
      <c r="J124" s="40"/>
      <c r="K124" s="40"/>
      <c r="L124" s="40"/>
      <c r="M124" s="40"/>
    </row>
    <row r="125" spans="1:13" x14ac:dyDescent="0.3">
      <c r="B125" s="40" t="s">
        <v>138</v>
      </c>
      <c r="C125" s="40" t="s">
        <v>324</v>
      </c>
      <c r="E125" s="40"/>
      <c r="F125" s="40"/>
      <c r="G125" s="40"/>
      <c r="H125" s="40"/>
      <c r="I125" s="40" t="s">
        <v>175</v>
      </c>
      <c r="J125" s="40"/>
      <c r="K125" s="40"/>
      <c r="L125" s="40"/>
      <c r="M125" s="40"/>
    </row>
    <row r="126" spans="1:13" x14ac:dyDescent="0.3">
      <c r="B126" s="40" t="s">
        <v>122</v>
      </c>
      <c r="C126" s="40" t="s">
        <v>325</v>
      </c>
      <c r="E126" s="40"/>
      <c r="F126" s="40"/>
      <c r="G126" s="40"/>
      <c r="H126" s="40"/>
      <c r="I126" s="40" t="s">
        <v>175</v>
      </c>
      <c r="J126" s="40"/>
      <c r="K126" s="40"/>
      <c r="L126" s="40"/>
      <c r="M126" s="40"/>
    </row>
    <row r="127" spans="1:13" x14ac:dyDescent="0.3">
      <c r="A127" s="44" t="s">
        <v>326</v>
      </c>
      <c r="B127" s="45" t="s">
        <v>327</v>
      </c>
      <c r="C127" s="40"/>
      <c r="E127" s="40"/>
      <c r="F127" s="40"/>
      <c r="G127" s="40"/>
      <c r="H127" s="40"/>
      <c r="I127" s="40"/>
      <c r="J127" s="40"/>
      <c r="K127" s="40"/>
      <c r="L127" s="40"/>
      <c r="M127" s="40"/>
    </row>
    <row r="128" spans="1:13" ht="15" customHeight="1" x14ac:dyDescent="0.3">
      <c r="A128" s="40"/>
      <c r="B128" s="40"/>
      <c r="C128" s="700" t="s">
        <v>328</v>
      </c>
      <c r="D128" s="700"/>
      <c r="E128" s="700"/>
      <c r="F128" s="700"/>
      <c r="G128" s="700"/>
      <c r="H128" s="40"/>
      <c r="I128" s="40" t="s">
        <v>143</v>
      </c>
      <c r="J128" s="40"/>
      <c r="K128" s="40"/>
      <c r="L128" s="40"/>
      <c r="M128" s="40"/>
    </row>
    <row r="129" spans="1:13" x14ac:dyDescent="0.3">
      <c r="A129" s="40"/>
      <c r="B129" s="40"/>
      <c r="C129" s="700"/>
      <c r="D129" s="700"/>
      <c r="E129" s="700"/>
      <c r="F129" s="700"/>
      <c r="G129" s="700"/>
      <c r="H129" s="40"/>
      <c r="I129" s="40"/>
      <c r="J129" s="40"/>
      <c r="K129" s="40"/>
      <c r="L129" s="40"/>
      <c r="M129" s="40"/>
    </row>
    <row r="130" spans="1:13" x14ac:dyDescent="0.3">
      <c r="A130" s="40"/>
      <c r="B130" s="40"/>
      <c r="C130" s="94"/>
      <c r="D130" s="94"/>
      <c r="E130" s="94"/>
      <c r="F130" s="94"/>
      <c r="G130" s="94"/>
      <c r="H130" s="40"/>
      <c r="I130" s="40"/>
      <c r="J130" s="40"/>
      <c r="K130" s="40"/>
      <c r="L130" s="40"/>
      <c r="M130" s="40"/>
    </row>
    <row r="131" spans="1:13" x14ac:dyDescent="0.3">
      <c r="A131" s="40"/>
      <c r="B131" s="40"/>
      <c r="C131" s="40"/>
      <c r="D131" s="40"/>
      <c r="E131" s="40"/>
      <c r="F131" s="40"/>
      <c r="G131" s="40"/>
      <c r="H131" s="40"/>
      <c r="I131" s="40"/>
      <c r="J131" s="40"/>
      <c r="K131" s="40"/>
      <c r="L131" s="40"/>
      <c r="M131" s="40"/>
    </row>
    <row r="132" spans="1:13" x14ac:dyDescent="0.3">
      <c r="A132" s="40"/>
      <c r="B132" s="40"/>
      <c r="C132" s="40"/>
      <c r="D132" s="40"/>
      <c r="E132" s="40"/>
      <c r="F132" s="40"/>
      <c r="G132" s="40"/>
      <c r="H132" s="40"/>
      <c r="I132" s="730" t="s">
        <v>329</v>
      </c>
      <c r="J132" s="730"/>
      <c r="K132" s="730"/>
      <c r="L132" s="730"/>
      <c r="M132" s="730"/>
    </row>
    <row r="133" spans="1:13" x14ac:dyDescent="0.3">
      <c r="A133" s="40"/>
      <c r="B133" s="40"/>
      <c r="C133" s="40"/>
      <c r="D133" s="40"/>
      <c r="E133" s="40"/>
      <c r="F133" s="40"/>
      <c r="G133" s="40"/>
      <c r="H133" s="40"/>
      <c r="I133" s="709" t="str">
        <f>+TIT!D9</f>
        <v>Shri. Bharat C. Boridkar</v>
      </c>
      <c r="J133" s="709"/>
      <c r="K133" s="709"/>
      <c r="L133" s="709"/>
      <c r="M133" s="709"/>
    </row>
    <row r="134" spans="1:13" x14ac:dyDescent="0.3">
      <c r="A134" s="40"/>
      <c r="B134" s="40"/>
      <c r="C134" s="40"/>
      <c r="D134" s="40"/>
      <c r="E134" s="40"/>
      <c r="F134" s="40"/>
      <c r="G134" s="40"/>
      <c r="H134" s="40"/>
      <c r="I134" s="709" t="str">
        <f>"[Empanelment No.:  "&amp;TIT!D10&amp;""</f>
        <v>[Empanelment No.:  Mumbai-4/C1/1011404</v>
      </c>
      <c r="J134" s="709"/>
      <c r="K134" s="709"/>
      <c r="L134" s="709"/>
      <c r="M134" s="709"/>
    </row>
    <row r="135" spans="1:13" x14ac:dyDescent="0.3">
      <c r="A135" s="40"/>
      <c r="B135" s="40"/>
      <c r="C135" s="40"/>
      <c r="D135" s="40"/>
      <c r="E135" s="40"/>
      <c r="G135" s="40"/>
      <c r="H135" s="40"/>
      <c r="I135" s="709" t="s">
        <v>412</v>
      </c>
      <c r="J135" s="709"/>
      <c r="K135" s="709"/>
      <c r="L135" s="709"/>
      <c r="M135" s="709"/>
    </row>
    <row r="136" spans="1:13" x14ac:dyDescent="0.3">
      <c r="A136" s="703">
        <f>+TIT!D12</f>
        <v>46275</v>
      </c>
      <c r="B136" s="703"/>
      <c r="C136" s="703"/>
      <c r="D136" s="703"/>
      <c r="E136" s="703"/>
      <c r="F136" s="40"/>
      <c r="G136" s="40"/>
      <c r="H136" s="40"/>
      <c r="I136" s="710" t="str">
        <f>TIT!B11&amp;": "&amp;TIT!D11</f>
        <v>Address: Boridkar House, Pandurang Bhoir Road, Dahisar - West, Mumbai, Mumbai - 400 068</v>
      </c>
      <c r="J136" s="710"/>
      <c r="K136" s="710"/>
      <c r="L136" s="710"/>
      <c r="M136" s="710"/>
    </row>
    <row r="137" spans="1:13" ht="15" customHeight="1" x14ac:dyDescent="0.3">
      <c r="A137" s="40"/>
      <c r="B137" s="40"/>
      <c r="C137" s="40"/>
      <c r="D137" s="40"/>
      <c r="E137" s="40"/>
      <c r="F137" s="40"/>
      <c r="G137" s="40"/>
      <c r="H137" s="40"/>
      <c r="I137" s="710"/>
      <c r="J137" s="710"/>
      <c r="K137" s="710"/>
      <c r="L137" s="710"/>
      <c r="M137" s="710"/>
    </row>
    <row r="138" spans="1:13" x14ac:dyDescent="0.3">
      <c r="A138" s="40"/>
      <c r="B138" s="40"/>
      <c r="C138" s="40"/>
      <c r="D138" s="40"/>
      <c r="E138" s="40"/>
      <c r="F138" s="40"/>
      <c r="G138" s="40"/>
      <c r="H138" s="40"/>
      <c r="J138" s="40"/>
      <c r="K138" s="40"/>
      <c r="L138" s="40"/>
      <c r="M138" s="40"/>
    </row>
    <row r="139" spans="1:13" x14ac:dyDescent="0.3">
      <c r="A139" s="40"/>
      <c r="B139" s="40"/>
      <c r="C139" s="40"/>
      <c r="D139" s="40"/>
      <c r="E139" s="40"/>
      <c r="F139" s="40"/>
      <c r="G139" s="40"/>
      <c r="H139" s="40"/>
      <c r="I139" s="40"/>
      <c r="J139" s="40"/>
      <c r="K139" s="40"/>
      <c r="L139" s="40"/>
      <c r="M139" s="40"/>
    </row>
    <row r="140" spans="1:13" x14ac:dyDescent="0.3">
      <c r="A140" s="40"/>
      <c r="B140" s="40"/>
      <c r="C140" s="40"/>
      <c r="D140" s="40"/>
      <c r="E140" s="40"/>
      <c r="F140" s="40"/>
      <c r="G140" s="40"/>
      <c r="H140" s="40"/>
      <c r="I140" s="40"/>
      <c r="J140" s="40"/>
      <c r="K140" s="40"/>
      <c r="L140" s="40"/>
      <c r="M140" s="40"/>
    </row>
  </sheetData>
  <mergeCells count="55">
    <mergeCell ref="I134:M134"/>
    <mergeCell ref="C107:G108"/>
    <mergeCell ref="C109:G111"/>
    <mergeCell ref="C112:G113"/>
    <mergeCell ref="C114:G117"/>
    <mergeCell ref="I133:M133"/>
    <mergeCell ref="I132:M132"/>
    <mergeCell ref="C128:G129"/>
    <mergeCell ref="C86:G87"/>
    <mergeCell ref="C38:G42"/>
    <mergeCell ref="C30:G32"/>
    <mergeCell ref="C20:G21"/>
    <mergeCell ref="C15:G16"/>
    <mergeCell ref="I99:M100"/>
    <mergeCell ref="C99:G101"/>
    <mergeCell ref="C103:G106"/>
    <mergeCell ref="C43:G44"/>
    <mergeCell ref="C50:G52"/>
    <mergeCell ref="C67:G68"/>
    <mergeCell ref="C69:G72"/>
    <mergeCell ref="C73:G76"/>
    <mergeCell ref="C63:G66"/>
    <mergeCell ref="C77:G78"/>
    <mergeCell ref="C90:G91"/>
    <mergeCell ref="C53:G56"/>
    <mergeCell ref="C59:G60"/>
    <mergeCell ref="C92:G93"/>
    <mergeCell ref="C94:G98"/>
    <mergeCell ref="I46:J49"/>
    <mergeCell ref="A1:M1"/>
    <mergeCell ref="A2:M2"/>
    <mergeCell ref="A3:M3"/>
    <mergeCell ref="A4:M4"/>
    <mergeCell ref="A12:M12"/>
    <mergeCell ref="E7:F9"/>
    <mergeCell ref="E10:F10"/>
    <mergeCell ref="M7:M9"/>
    <mergeCell ref="A7:D9"/>
    <mergeCell ref="A10:D10"/>
    <mergeCell ref="A136:E136"/>
    <mergeCell ref="I135:M135"/>
    <mergeCell ref="I136:M137"/>
    <mergeCell ref="C17:G18"/>
    <mergeCell ref="L7:L9"/>
    <mergeCell ref="G7:H9"/>
    <mergeCell ref="G10:H10"/>
    <mergeCell ref="J7:J9"/>
    <mergeCell ref="K7:K9"/>
    <mergeCell ref="I7:I9"/>
    <mergeCell ref="I38:M39"/>
    <mergeCell ref="C79:G83"/>
    <mergeCell ref="C22:G24"/>
    <mergeCell ref="C26:G29"/>
    <mergeCell ref="C33:G36"/>
    <mergeCell ref="C61:G62"/>
  </mergeCells>
  <phoneticPr fontId="6" type="noConversion"/>
  <printOptions horizontalCentered="1"/>
  <pageMargins left="0.51181102362204722" right="0.23622047244094491" top="0.19685039370078741" bottom="0.51181102362204722" header="0" footer="0.23622047244094491"/>
  <pageSetup paperSize="9" orientation="portrait" r:id="rId1"/>
  <headerFooter alignWithMargins="0"/>
  <rowBreaks count="2" manualBreakCount="2">
    <brk id="52" max="16383" man="1"/>
    <brk id="10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29"/>
  <sheetViews>
    <sheetView view="pageBreakPreview" zoomScaleNormal="100" workbookViewId="0">
      <selection activeCell="A6" sqref="A6"/>
    </sheetView>
  </sheetViews>
  <sheetFormatPr defaultColWidth="9" defaultRowHeight="14.4" x14ac:dyDescent="0.3"/>
  <cols>
    <col min="1" max="1" width="3" style="192" customWidth="1"/>
    <col min="2" max="3" width="2.5" style="192" customWidth="1"/>
    <col min="4" max="7" width="8" style="192" customWidth="1"/>
    <col min="8" max="8" width="8.5" style="192" customWidth="1"/>
    <col min="9" max="9" width="8" style="192" customWidth="1"/>
    <col min="10" max="10" width="5.59765625" style="192" customWidth="1"/>
    <col min="11" max="11" width="8" style="192" customWidth="1"/>
    <col min="12" max="12" width="6.3984375" style="192" customWidth="1"/>
    <col min="13" max="13" width="9.3984375" style="192" customWidth="1"/>
    <col min="14" max="16384" width="9" style="192"/>
  </cols>
  <sheetData>
    <row r="1" spans="1:21" s="145" customFormat="1" ht="15.6" x14ac:dyDescent="0.25">
      <c r="A1" s="731" t="str">
        <f>TIT!D2</f>
        <v>NAVANAND CO-OPERATIVE. HOUSING SOCIETY LTD.</v>
      </c>
      <c r="B1" s="732"/>
      <c r="C1" s="732"/>
      <c r="D1" s="732"/>
      <c r="E1" s="732"/>
      <c r="F1" s="732"/>
      <c r="G1" s="732"/>
      <c r="H1" s="732"/>
      <c r="I1" s="732"/>
      <c r="J1" s="732"/>
      <c r="K1" s="732"/>
      <c r="L1" s="732"/>
      <c r="M1" s="733"/>
    </row>
    <row r="2" spans="1:21" s="145" customFormat="1" x14ac:dyDescent="0.25">
      <c r="A2" s="734" t="str">
        <f>TIT!D3</f>
        <v xml:space="preserve"> BOM/WR/HSG/TC/11905 DT. 06/01/2003</v>
      </c>
      <c r="B2" s="735"/>
      <c r="C2" s="735"/>
      <c r="D2" s="735"/>
      <c r="E2" s="735"/>
      <c r="F2" s="735"/>
      <c r="G2" s="735"/>
      <c r="H2" s="735"/>
      <c r="I2" s="735"/>
      <c r="J2" s="735"/>
      <c r="K2" s="735"/>
      <c r="L2" s="735"/>
      <c r="M2" s="736"/>
    </row>
    <row r="3" spans="1:21" s="145" customFormat="1" x14ac:dyDescent="0.25">
      <c r="A3" s="737" t="str">
        <f>+TIT!D6</f>
        <v>Maratha Colony Road, Dahisar - East, Mumbai - 400 068</v>
      </c>
      <c r="B3" s="738"/>
      <c r="C3" s="738"/>
      <c r="D3" s="738"/>
      <c r="E3" s="738"/>
      <c r="F3" s="738"/>
      <c r="G3" s="738"/>
      <c r="H3" s="738"/>
      <c r="I3" s="738"/>
      <c r="J3" s="738"/>
      <c r="K3" s="738"/>
      <c r="L3" s="738"/>
      <c r="M3" s="739"/>
    </row>
    <row r="4" spans="1:21" ht="15.75" customHeight="1" x14ac:dyDescent="0.3">
      <c r="A4" s="740" t="s">
        <v>969</v>
      </c>
      <c r="B4" s="741"/>
      <c r="C4" s="741"/>
      <c r="D4" s="741"/>
      <c r="E4" s="741"/>
      <c r="F4" s="741"/>
      <c r="G4" s="741"/>
      <c r="H4" s="741"/>
      <c r="I4" s="741"/>
      <c r="J4" s="741"/>
      <c r="K4" s="741"/>
      <c r="L4" s="741"/>
      <c r="M4" s="742"/>
    </row>
    <row r="5" spans="1:21" x14ac:dyDescent="0.3">
      <c r="A5" s="743"/>
      <c r="B5" s="744"/>
      <c r="C5" s="744"/>
      <c r="D5" s="744"/>
      <c r="E5" s="744"/>
      <c r="F5" s="744"/>
      <c r="G5" s="744"/>
      <c r="H5" s="744"/>
      <c r="I5" s="744"/>
      <c r="J5" s="744"/>
      <c r="K5" s="744"/>
      <c r="L5" s="744"/>
      <c r="M5" s="745"/>
    </row>
    <row r="6" spans="1:21" x14ac:dyDescent="0.3">
      <c r="A6" s="193"/>
      <c r="B6" s="194"/>
      <c r="C6" s="194"/>
      <c r="D6" s="194"/>
      <c r="E6" s="194"/>
      <c r="F6" s="194"/>
      <c r="G6" s="194"/>
      <c r="H6" s="194"/>
      <c r="I6" s="194"/>
      <c r="J6" s="194"/>
      <c r="K6" s="194"/>
      <c r="L6" s="194"/>
      <c r="M6" s="195"/>
    </row>
    <row r="7" spans="1:21" s="200" customFormat="1" x14ac:dyDescent="0.3">
      <c r="A7" s="196" t="s">
        <v>483</v>
      </c>
      <c r="B7" s="197"/>
      <c r="C7" s="197"/>
      <c r="D7" s="197"/>
      <c r="E7" s="197"/>
      <c r="F7" s="197"/>
      <c r="G7" s="197"/>
      <c r="H7" s="197"/>
      <c r="I7" s="197"/>
      <c r="J7" s="746">
        <f>+TIT!D12</f>
        <v>46275</v>
      </c>
      <c r="K7" s="746"/>
      <c r="L7" s="198"/>
      <c r="M7" s="199"/>
    </row>
    <row r="8" spans="1:21" ht="15.6" x14ac:dyDescent="0.3">
      <c r="A8" s="747" t="s">
        <v>484</v>
      </c>
      <c r="B8" s="748"/>
      <c r="C8" s="748"/>
      <c r="D8" s="748"/>
      <c r="E8" s="748"/>
      <c r="F8" s="748"/>
      <c r="G8" s="748"/>
      <c r="H8" s="748"/>
      <c r="I8" s="748"/>
      <c r="J8" s="748"/>
      <c r="K8" s="748"/>
      <c r="L8" s="748"/>
      <c r="M8" s="749"/>
    </row>
    <row r="9" spans="1:21" ht="15.6" x14ac:dyDescent="0.3">
      <c r="A9" s="201"/>
      <c r="M9" s="202"/>
      <c r="S9" s="203"/>
      <c r="T9" s="204"/>
      <c r="U9" s="203"/>
    </row>
    <row r="10" spans="1:21" ht="15.9" customHeight="1" x14ac:dyDescent="0.3">
      <c r="A10" s="750" t="s">
        <v>63</v>
      </c>
      <c r="B10" s="751"/>
      <c r="C10" s="751"/>
      <c r="D10" s="751"/>
      <c r="E10" s="751"/>
      <c r="F10" s="751"/>
      <c r="G10" s="751"/>
      <c r="H10" s="751"/>
      <c r="I10" s="751"/>
      <c r="J10" s="751"/>
      <c r="K10" s="751"/>
      <c r="L10" s="751"/>
      <c r="M10" s="752"/>
    </row>
    <row r="11" spans="1:21" ht="15.9" customHeight="1" x14ac:dyDescent="0.3">
      <c r="A11" s="201"/>
      <c r="C11" s="192" t="s">
        <v>64</v>
      </c>
      <c r="M11" s="202"/>
      <c r="P11" s="205"/>
    </row>
    <row r="12" spans="1:21" ht="15.9" customHeight="1" x14ac:dyDescent="0.3">
      <c r="A12" s="201"/>
      <c r="D12" s="206" t="s">
        <v>65</v>
      </c>
      <c r="M12" s="202"/>
    </row>
    <row r="13" spans="1:21" ht="15.9" customHeight="1" x14ac:dyDescent="0.3">
      <c r="A13" s="207"/>
      <c r="B13" s="208"/>
      <c r="C13" s="208"/>
      <c r="D13" s="209"/>
      <c r="E13" s="208"/>
      <c r="F13" s="208"/>
      <c r="G13" s="208"/>
      <c r="H13" s="208"/>
      <c r="I13" s="208"/>
      <c r="J13" s="208"/>
      <c r="K13" s="208"/>
      <c r="L13" s="208"/>
      <c r="M13" s="210"/>
    </row>
    <row r="14" spans="1:21" ht="15.9" customHeight="1" x14ac:dyDescent="0.3">
      <c r="A14" s="750" t="s">
        <v>66</v>
      </c>
      <c r="B14" s="751"/>
      <c r="C14" s="751"/>
      <c r="D14" s="751"/>
      <c r="E14" s="751"/>
      <c r="F14" s="751"/>
      <c r="G14" s="751"/>
      <c r="H14" s="751"/>
      <c r="I14" s="751"/>
      <c r="J14" s="751"/>
      <c r="K14" s="751"/>
      <c r="L14" s="751"/>
      <c r="M14" s="752"/>
    </row>
    <row r="15" spans="1:21" ht="15.9" customHeight="1" x14ac:dyDescent="0.3">
      <c r="A15" s="201"/>
      <c r="C15" s="192" t="s">
        <v>67</v>
      </c>
      <c r="M15" s="202"/>
    </row>
    <row r="16" spans="1:21" ht="15.9" customHeight="1" x14ac:dyDescent="0.3">
      <c r="A16" s="201"/>
      <c r="D16" s="206" t="s">
        <v>68</v>
      </c>
      <c r="M16" s="202"/>
    </row>
    <row r="17" spans="1:13" ht="15.9" customHeight="1" x14ac:dyDescent="0.3">
      <c r="A17" s="207"/>
      <c r="B17" s="208"/>
      <c r="C17" s="208"/>
      <c r="D17" s="209"/>
      <c r="E17" s="208"/>
      <c r="F17" s="208"/>
      <c r="G17" s="208"/>
      <c r="H17" s="208"/>
      <c r="I17" s="208"/>
      <c r="J17" s="208"/>
      <c r="K17" s="208"/>
      <c r="L17" s="208"/>
      <c r="M17" s="210"/>
    </row>
    <row r="18" spans="1:13" ht="15.9" customHeight="1" x14ac:dyDescent="0.3">
      <c r="A18" s="750" t="s">
        <v>69</v>
      </c>
      <c r="B18" s="751"/>
      <c r="C18" s="751"/>
      <c r="D18" s="751"/>
      <c r="E18" s="751"/>
      <c r="F18" s="751"/>
      <c r="G18" s="751"/>
      <c r="H18" s="751"/>
      <c r="I18" s="751"/>
      <c r="J18" s="751"/>
      <c r="K18" s="751"/>
      <c r="L18" s="751"/>
      <c r="M18" s="752"/>
    </row>
    <row r="19" spans="1:13" ht="15.9" customHeight="1" x14ac:dyDescent="0.3">
      <c r="A19" s="201"/>
      <c r="C19" s="192" t="s">
        <v>70</v>
      </c>
      <c r="M19" s="202"/>
    </row>
    <row r="20" spans="1:13" ht="15.9" customHeight="1" x14ac:dyDescent="0.3">
      <c r="A20" s="201"/>
      <c r="D20" s="192" t="s">
        <v>485</v>
      </c>
      <c r="M20" s="202"/>
    </row>
    <row r="21" spans="1:13" ht="15.9" customHeight="1" x14ac:dyDescent="0.3">
      <c r="A21" s="207"/>
      <c r="B21" s="208"/>
      <c r="C21" s="208"/>
      <c r="D21" s="209"/>
      <c r="E21" s="208"/>
      <c r="F21" s="208"/>
      <c r="G21" s="208"/>
      <c r="H21" s="208"/>
      <c r="I21" s="208"/>
      <c r="J21" s="208"/>
      <c r="K21" s="208"/>
      <c r="L21" s="208"/>
      <c r="M21" s="210"/>
    </row>
    <row r="22" spans="1:13" ht="15.9" customHeight="1" x14ac:dyDescent="0.3">
      <c r="A22" s="750" t="s">
        <v>71</v>
      </c>
      <c r="B22" s="751"/>
      <c r="C22" s="751"/>
      <c r="D22" s="751"/>
      <c r="E22" s="751"/>
      <c r="F22" s="751"/>
      <c r="G22" s="751"/>
      <c r="H22" s="751"/>
      <c r="I22" s="751"/>
      <c r="J22" s="751"/>
      <c r="K22" s="751"/>
      <c r="L22" s="751"/>
      <c r="M22" s="752"/>
    </row>
    <row r="23" spans="1:13" ht="15.9" customHeight="1" x14ac:dyDescent="0.3">
      <c r="A23" s="201"/>
      <c r="C23" s="192" t="s">
        <v>72</v>
      </c>
      <c r="M23" s="202"/>
    </row>
    <row r="24" spans="1:13" ht="15.9" customHeight="1" x14ac:dyDescent="0.3">
      <c r="A24" s="201"/>
      <c r="D24" s="206" t="s">
        <v>68</v>
      </c>
      <c r="M24" s="202"/>
    </row>
    <row r="25" spans="1:13" ht="15.9" customHeight="1" x14ac:dyDescent="0.3">
      <c r="A25" s="207"/>
      <c r="B25" s="208"/>
      <c r="C25" s="208"/>
      <c r="D25" s="209"/>
      <c r="E25" s="208"/>
      <c r="F25" s="208"/>
      <c r="G25" s="208"/>
      <c r="H25" s="208"/>
      <c r="I25" s="208"/>
      <c r="J25" s="208"/>
      <c r="K25" s="208"/>
      <c r="L25" s="208"/>
      <c r="M25" s="210"/>
    </row>
    <row r="26" spans="1:13" ht="15.9" customHeight="1" x14ac:dyDescent="0.3">
      <c r="A26" s="750" t="s">
        <v>73</v>
      </c>
      <c r="B26" s="751"/>
      <c r="C26" s="751"/>
      <c r="D26" s="751"/>
      <c r="E26" s="751"/>
      <c r="F26" s="751"/>
      <c r="G26" s="751"/>
      <c r="H26" s="751"/>
      <c r="I26" s="751"/>
      <c r="J26" s="751"/>
      <c r="K26" s="751"/>
      <c r="L26" s="751"/>
      <c r="M26" s="752"/>
    </row>
    <row r="27" spans="1:13" ht="15.9" customHeight="1" x14ac:dyDescent="0.3">
      <c r="A27" s="201"/>
      <c r="C27" s="192" t="s">
        <v>74</v>
      </c>
      <c r="M27" s="202"/>
    </row>
    <row r="28" spans="1:13" ht="15.9" customHeight="1" x14ac:dyDescent="0.3">
      <c r="A28" s="201"/>
      <c r="D28" s="206" t="s">
        <v>68</v>
      </c>
      <c r="M28" s="202"/>
    </row>
    <row r="29" spans="1:13" ht="15.9" customHeight="1" x14ac:dyDescent="0.3">
      <c r="A29" s="207"/>
      <c r="B29" s="208"/>
      <c r="C29" s="208"/>
      <c r="D29" s="209"/>
      <c r="E29" s="208"/>
      <c r="F29" s="208"/>
      <c r="G29" s="208"/>
      <c r="H29" s="208"/>
      <c r="I29" s="208"/>
      <c r="J29" s="208"/>
      <c r="K29" s="208"/>
      <c r="L29" s="208"/>
      <c r="M29" s="210"/>
    </row>
    <row r="30" spans="1:13" ht="15.9" customHeight="1" x14ac:dyDescent="0.3">
      <c r="A30" s="750" t="s">
        <v>486</v>
      </c>
      <c r="B30" s="751"/>
      <c r="C30" s="751"/>
      <c r="D30" s="751"/>
      <c r="E30" s="751"/>
      <c r="F30" s="751"/>
      <c r="G30" s="751"/>
      <c r="H30" s="751"/>
      <c r="I30" s="751"/>
      <c r="J30" s="751"/>
      <c r="K30" s="751"/>
      <c r="L30" s="751"/>
      <c r="M30" s="752"/>
    </row>
    <row r="31" spans="1:13" ht="15.9" customHeight="1" x14ac:dyDescent="0.3">
      <c r="A31" s="201"/>
      <c r="C31" s="192" t="s">
        <v>75</v>
      </c>
      <c r="M31" s="202"/>
    </row>
    <row r="32" spans="1:13" ht="15.9" customHeight="1" x14ac:dyDescent="0.3">
      <c r="A32" s="201"/>
      <c r="D32" s="206" t="s">
        <v>68</v>
      </c>
      <c r="M32" s="202"/>
    </row>
    <row r="33" spans="1:13" ht="15.9" customHeight="1" x14ac:dyDescent="0.3">
      <c r="A33" s="207"/>
      <c r="B33" s="208"/>
      <c r="C33" s="208"/>
      <c r="D33" s="208"/>
      <c r="E33" s="208"/>
      <c r="F33" s="208"/>
      <c r="G33" s="208"/>
      <c r="H33" s="208"/>
      <c r="I33" s="208"/>
      <c r="J33" s="208"/>
      <c r="K33" s="208"/>
      <c r="L33" s="208"/>
      <c r="M33" s="210"/>
    </row>
    <row r="34" spans="1:13" ht="15.9" customHeight="1" x14ac:dyDescent="0.3">
      <c r="A34" s="750" t="s">
        <v>487</v>
      </c>
      <c r="B34" s="751"/>
      <c r="C34" s="751"/>
      <c r="D34" s="751"/>
      <c r="E34" s="751"/>
      <c r="F34" s="751"/>
      <c r="G34" s="751"/>
      <c r="H34" s="751"/>
      <c r="I34" s="751"/>
      <c r="J34" s="751"/>
      <c r="K34" s="751"/>
      <c r="L34" s="751"/>
      <c r="M34" s="752"/>
    </row>
    <row r="35" spans="1:13" ht="15.9" customHeight="1" x14ac:dyDescent="0.3">
      <c r="A35" s="201"/>
      <c r="C35" s="192" t="s">
        <v>488</v>
      </c>
      <c r="M35" s="202"/>
    </row>
    <row r="36" spans="1:13" ht="15.9" customHeight="1" x14ac:dyDescent="0.3">
      <c r="A36" s="201"/>
      <c r="D36" s="206" t="s">
        <v>68</v>
      </c>
      <c r="M36" s="202"/>
    </row>
    <row r="37" spans="1:13" ht="15.9" customHeight="1" x14ac:dyDescent="0.3">
      <c r="A37" s="207"/>
      <c r="B37" s="208"/>
      <c r="C37" s="208"/>
      <c r="D37" s="208"/>
      <c r="E37" s="208"/>
      <c r="F37" s="208"/>
      <c r="G37" s="208"/>
      <c r="H37" s="208"/>
      <c r="I37" s="208"/>
      <c r="J37" s="208"/>
      <c r="K37" s="208"/>
      <c r="L37" s="208"/>
      <c r="M37" s="210"/>
    </row>
    <row r="38" spans="1:13" ht="15.9" customHeight="1" x14ac:dyDescent="0.3">
      <c r="A38" s="211"/>
      <c r="B38" s="212"/>
      <c r="C38" s="212"/>
      <c r="D38" s="212"/>
      <c r="E38" s="212"/>
      <c r="F38" s="212"/>
      <c r="G38" s="212"/>
      <c r="H38" s="212"/>
      <c r="I38" s="212"/>
      <c r="J38" s="212"/>
      <c r="K38" s="212"/>
      <c r="L38" s="212"/>
      <c r="M38" s="213"/>
    </row>
    <row r="39" spans="1:13" ht="15.9" customHeight="1" x14ac:dyDescent="0.3">
      <c r="A39" s="201"/>
      <c r="M39" s="202"/>
    </row>
    <row r="40" spans="1:13" ht="15.9" customHeight="1" x14ac:dyDescent="0.3">
      <c r="A40" s="201"/>
      <c r="M40" s="202"/>
    </row>
    <row r="41" spans="1:13" ht="15.9" customHeight="1" x14ac:dyDescent="0.3">
      <c r="A41" s="201"/>
      <c r="M41" s="202"/>
    </row>
    <row r="42" spans="1:13" ht="15.9" customHeight="1" x14ac:dyDescent="0.3">
      <c r="A42" s="201"/>
      <c r="M42" s="202"/>
    </row>
    <row r="43" spans="1:13" ht="15.9" customHeight="1" x14ac:dyDescent="0.3">
      <c r="A43" s="201"/>
      <c r="M43" s="202"/>
    </row>
    <row r="44" spans="1:13" ht="15.9" customHeight="1" x14ac:dyDescent="0.3">
      <c r="A44" s="201"/>
      <c r="C44" s="214" t="str">
        <f>+TIT!D9</f>
        <v>Shri. Bharat C. Boridkar</v>
      </c>
      <c r="M44" s="202"/>
    </row>
    <row r="45" spans="1:13" s="104" customFormat="1" ht="15.9" customHeight="1" x14ac:dyDescent="0.3">
      <c r="A45" s="215"/>
      <c r="C45" s="216" t="s">
        <v>412</v>
      </c>
      <c r="M45" s="217"/>
    </row>
    <row r="46" spans="1:13" s="104" customFormat="1" ht="15.9" customHeight="1" x14ac:dyDescent="0.3">
      <c r="A46" s="215"/>
      <c r="C46" s="216" t="s">
        <v>705</v>
      </c>
      <c r="D46" s="216"/>
      <c r="E46" s="216"/>
      <c r="F46" s="216"/>
      <c r="M46" s="217"/>
    </row>
    <row r="47" spans="1:13" x14ac:dyDescent="0.3">
      <c r="A47" s="201"/>
      <c r="C47" s="753">
        <f>+TIT!D12</f>
        <v>46275</v>
      </c>
      <c r="D47" s="753"/>
      <c r="E47" s="753"/>
      <c r="F47" s="753"/>
      <c r="M47" s="202"/>
    </row>
    <row r="48" spans="1:13" x14ac:dyDescent="0.3">
      <c r="A48" s="207"/>
      <c r="B48" s="208"/>
      <c r="C48" s="208"/>
      <c r="D48" s="208"/>
      <c r="E48" s="208"/>
      <c r="F48" s="208"/>
      <c r="G48" s="208"/>
      <c r="H48" s="208"/>
      <c r="I48" s="208"/>
      <c r="J48" s="208"/>
      <c r="K48" s="208"/>
      <c r="L48" s="208"/>
      <c r="M48" s="210"/>
    </row>
    <row r="83" ht="9.9" customHeight="1" x14ac:dyDescent="0.3"/>
    <row r="123" ht="42.75" customHeight="1" x14ac:dyDescent="0.3"/>
    <row r="129" ht="9.9" customHeight="1" x14ac:dyDescent="0.3"/>
  </sheetData>
  <mergeCells count="14">
    <mergeCell ref="A8:M8"/>
    <mergeCell ref="A34:M34"/>
    <mergeCell ref="C47:F47"/>
    <mergeCell ref="A10:M10"/>
    <mergeCell ref="A14:M14"/>
    <mergeCell ref="A18:M18"/>
    <mergeCell ref="A22:M22"/>
    <mergeCell ref="A26:M26"/>
    <mergeCell ref="A30:M30"/>
    <mergeCell ref="A1:M1"/>
    <mergeCell ref="A2:M2"/>
    <mergeCell ref="A3:M3"/>
    <mergeCell ref="A4:M5"/>
    <mergeCell ref="J7:K7"/>
  </mergeCells>
  <printOptions horizontalCentered="1"/>
  <pageMargins left="0.75" right="0.16" top="0.5" bottom="1" header="0.5" footer="0.5"/>
  <pageSetup paperSize="9" scale="95" orientation="portrait" r:id="rId1"/>
  <headerFooter alignWithMargins="0"/>
  <rowBreaks count="2" manualBreakCount="2">
    <brk id="82" max="16383" man="1"/>
    <brk id="128"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10"/>
  </sheetPr>
  <dimension ref="A1:AI296"/>
  <sheetViews>
    <sheetView view="pageBreakPreview" topLeftCell="A249" zoomScaleNormal="100" zoomScaleSheetLayoutView="100" workbookViewId="0">
      <selection activeCell="M255" sqref="M255"/>
    </sheetView>
  </sheetViews>
  <sheetFormatPr defaultColWidth="9" defaultRowHeight="13.8" x14ac:dyDescent="0.3"/>
  <cols>
    <col min="1" max="1" width="3.09765625" style="230" customWidth="1"/>
    <col min="2" max="2" width="3.3984375" style="230" customWidth="1"/>
    <col min="3" max="16" width="5" style="230" customWidth="1"/>
    <col min="17" max="17" width="3.59765625" style="230" customWidth="1"/>
    <col min="18" max="18" width="9.19921875" style="230" customWidth="1"/>
    <col min="19" max="19" width="17.19921875" style="230" customWidth="1"/>
    <col min="20" max="20" width="31.8984375" style="230" customWidth="1"/>
    <col min="21" max="24" width="13.69921875" style="230" customWidth="1"/>
    <col min="25" max="25" width="9.5" style="230" customWidth="1"/>
    <col min="26" max="38" width="9.3984375" style="230" customWidth="1"/>
    <col min="39" max="16384" width="9" style="230"/>
  </cols>
  <sheetData>
    <row r="1" spans="1:23" ht="15.6" x14ac:dyDescent="0.3">
      <c r="A1" s="229" t="str">
        <f>+TIT!D2</f>
        <v>NAVANAND CO-OPERATIVE. HOUSING SOCIETY LTD.</v>
      </c>
      <c r="B1" s="220"/>
      <c r="C1" s="220"/>
      <c r="D1" s="220"/>
      <c r="E1" s="220"/>
      <c r="F1" s="220"/>
      <c r="G1" s="220"/>
      <c r="H1" s="220"/>
      <c r="I1" s="220"/>
      <c r="J1" s="220"/>
      <c r="K1" s="220"/>
      <c r="L1" s="220"/>
      <c r="M1" s="220"/>
      <c r="N1" s="220"/>
      <c r="O1" s="220"/>
      <c r="P1" s="220"/>
      <c r="Q1" s="220"/>
      <c r="R1" s="220"/>
    </row>
    <row r="2" spans="1:23" ht="14.4" x14ac:dyDescent="0.3">
      <c r="A2" s="221" t="str">
        <f>"General Remarks and Observations attached to and forming part of the audit report dated "&amp;TEXT(TIT!D12,"dd-mmm-yyyy")</f>
        <v>General Remarks and Observations attached to and forming part of the audit report dated 10-Sep-2026</v>
      </c>
      <c r="B2" s="220"/>
      <c r="C2" s="220"/>
      <c r="D2" s="220"/>
      <c r="E2" s="220"/>
      <c r="F2" s="220"/>
      <c r="G2" s="220"/>
      <c r="H2" s="220"/>
      <c r="I2" s="220"/>
      <c r="J2" s="220"/>
      <c r="K2" s="220"/>
      <c r="L2" s="220"/>
      <c r="M2" s="220"/>
      <c r="N2" s="220"/>
      <c r="O2" s="231"/>
      <c r="P2" s="231"/>
      <c r="Q2" s="231"/>
      <c r="R2" s="220"/>
    </row>
    <row r="3" spans="1:23" ht="9.75" customHeight="1" x14ac:dyDescent="0.3">
      <c r="A3" s="220"/>
      <c r="B3" s="232"/>
      <c r="C3" s="232"/>
      <c r="D3" s="232"/>
      <c r="E3" s="232"/>
      <c r="F3" s="232"/>
      <c r="G3" s="232"/>
      <c r="H3" s="232"/>
      <c r="I3" s="232"/>
      <c r="J3" s="232"/>
      <c r="K3" s="232"/>
      <c r="L3" s="232"/>
      <c r="M3" s="232"/>
      <c r="N3" s="232"/>
      <c r="O3" s="232"/>
      <c r="P3" s="232"/>
      <c r="Q3" s="232"/>
      <c r="R3" s="232"/>
    </row>
    <row r="4" spans="1:23" s="235" customFormat="1" ht="17.100000000000001" customHeight="1" x14ac:dyDescent="0.3">
      <c r="A4" s="233" t="s">
        <v>388</v>
      </c>
      <c r="B4" s="234"/>
      <c r="C4" s="234"/>
      <c r="D4" s="234"/>
      <c r="E4" s="234"/>
      <c r="F4" s="234"/>
      <c r="G4" s="234"/>
      <c r="H4" s="234"/>
      <c r="I4" s="234"/>
      <c r="J4" s="234"/>
      <c r="K4" s="234"/>
      <c r="L4" s="234"/>
      <c r="M4" s="234"/>
      <c r="N4" s="234"/>
      <c r="O4" s="234"/>
      <c r="P4" s="234"/>
      <c r="Q4" s="234"/>
      <c r="R4" s="234"/>
      <c r="V4" s="235" t="s">
        <v>501</v>
      </c>
    </row>
    <row r="5" spans="1:23" s="235" customFormat="1" ht="17.100000000000001" customHeight="1" x14ac:dyDescent="0.3">
      <c r="A5" s="236">
        <v>1</v>
      </c>
      <c r="B5" s="237" t="s">
        <v>502</v>
      </c>
      <c r="C5" s="236"/>
      <c r="D5" s="236"/>
      <c r="E5" s="236"/>
      <c r="F5" s="236" t="s">
        <v>432</v>
      </c>
      <c r="G5" s="836" t="str">
        <f>+TIT!D2</f>
        <v>NAVANAND CO-OPERATIVE. HOUSING SOCIETY LTD.</v>
      </c>
      <c r="H5" s="836"/>
      <c r="I5" s="836"/>
      <c r="J5" s="836"/>
      <c r="K5" s="836"/>
      <c r="L5" s="836"/>
      <c r="M5" s="836"/>
      <c r="N5" s="836"/>
      <c r="O5" s="836"/>
      <c r="P5" s="836"/>
      <c r="Q5" s="836"/>
      <c r="R5" s="836"/>
      <c r="V5" s="235" t="s">
        <v>503</v>
      </c>
    </row>
    <row r="6" spans="1:23" s="235" customFormat="1" ht="9.9" customHeight="1" x14ac:dyDescent="0.3">
      <c r="A6" s="236"/>
      <c r="B6" s="237"/>
      <c r="C6" s="236"/>
      <c r="D6" s="236"/>
      <c r="E6" s="236"/>
      <c r="F6" s="236"/>
      <c r="G6" s="836"/>
      <c r="H6" s="836"/>
      <c r="I6" s="836"/>
      <c r="J6" s="836"/>
      <c r="K6" s="836"/>
      <c r="L6" s="836"/>
      <c r="M6" s="836"/>
      <c r="N6" s="836"/>
      <c r="O6" s="836"/>
      <c r="P6" s="836"/>
      <c r="Q6" s="836"/>
      <c r="R6" s="836"/>
      <c r="V6" s="235" t="s">
        <v>504</v>
      </c>
    </row>
    <row r="7" spans="1:23" s="235" customFormat="1" ht="17.100000000000001" customHeight="1" x14ac:dyDescent="0.3">
      <c r="A7" s="236">
        <v>2</v>
      </c>
      <c r="B7" s="237" t="s">
        <v>505</v>
      </c>
      <c r="C7" s="236"/>
      <c r="D7" s="236"/>
      <c r="E7" s="236"/>
      <c r="F7" s="236" t="s">
        <v>432</v>
      </c>
      <c r="G7" s="837" t="str">
        <f>+TIT!D6</f>
        <v>Maratha Colony Road, Dahisar - East, Mumbai - 400 068</v>
      </c>
      <c r="H7" s="837"/>
      <c r="I7" s="837"/>
      <c r="J7" s="837"/>
      <c r="K7" s="837"/>
      <c r="L7" s="837"/>
      <c r="M7" s="837"/>
      <c r="N7" s="837"/>
      <c r="O7" s="837"/>
      <c r="P7" s="837"/>
      <c r="Q7" s="837"/>
      <c r="R7" s="837"/>
      <c r="V7" s="235" t="s">
        <v>506</v>
      </c>
      <c r="W7" s="238"/>
    </row>
    <row r="8" spans="1:23" s="235" customFormat="1" ht="9.9" customHeight="1" x14ac:dyDescent="0.3">
      <c r="A8" s="236"/>
      <c r="B8" s="237"/>
      <c r="C8" s="236"/>
      <c r="D8" s="236"/>
      <c r="E8" s="236"/>
      <c r="F8" s="236" t="s">
        <v>432</v>
      </c>
      <c r="G8" s="837"/>
      <c r="H8" s="837"/>
      <c r="I8" s="837"/>
      <c r="J8" s="837"/>
      <c r="K8" s="837"/>
      <c r="L8" s="837"/>
      <c r="M8" s="837"/>
      <c r="N8" s="837"/>
      <c r="O8" s="837"/>
      <c r="P8" s="837"/>
      <c r="Q8" s="837"/>
      <c r="R8" s="837"/>
      <c r="V8" s="235" t="s">
        <v>507</v>
      </c>
      <c r="W8" s="238"/>
    </row>
    <row r="9" spans="1:23" s="235" customFormat="1" ht="17.100000000000001" customHeight="1" x14ac:dyDescent="0.3">
      <c r="A9" s="236">
        <v>3</v>
      </c>
      <c r="B9" s="237" t="s">
        <v>508</v>
      </c>
      <c r="C9" s="236"/>
      <c r="D9" s="236"/>
      <c r="E9" s="236"/>
      <c r="F9" s="236" t="s">
        <v>432</v>
      </c>
      <c r="G9" s="838" t="str">
        <f>+TIT!D3</f>
        <v xml:space="preserve"> BOM/WR/HSG/TC/11905 DT. 06/01/2003</v>
      </c>
      <c r="H9" s="838"/>
      <c r="I9" s="838"/>
      <c r="J9" s="838"/>
      <c r="K9" s="838"/>
      <c r="L9" s="838"/>
      <c r="M9" s="838"/>
      <c r="N9" s="838"/>
      <c r="O9" s="838"/>
      <c r="P9" s="838"/>
      <c r="Q9" s="838"/>
      <c r="R9" s="838"/>
      <c r="V9" s="235" t="s">
        <v>509</v>
      </c>
    </row>
    <row r="10" spans="1:23" s="235" customFormat="1" ht="17.100000000000001" customHeight="1" x14ac:dyDescent="0.3">
      <c r="A10" s="236">
        <v>4</v>
      </c>
      <c r="B10" s="237" t="s">
        <v>510</v>
      </c>
      <c r="C10" s="236"/>
      <c r="D10" s="236"/>
      <c r="E10" s="236"/>
      <c r="F10" s="236" t="s">
        <v>432</v>
      </c>
      <c r="G10" s="838" t="s">
        <v>970</v>
      </c>
      <c r="H10" s="838"/>
      <c r="I10" s="838"/>
      <c r="J10" s="838"/>
      <c r="K10" s="838"/>
      <c r="L10" s="838"/>
      <c r="M10" s="838"/>
      <c r="N10" s="838"/>
      <c r="O10" s="838"/>
      <c r="P10" s="838"/>
      <c r="Q10" s="838"/>
      <c r="R10" s="838"/>
      <c r="V10" s="235" t="s">
        <v>511</v>
      </c>
    </row>
    <row r="11" spans="1:23" s="235" customFormat="1" ht="17.100000000000001" customHeight="1" x14ac:dyDescent="0.3">
      <c r="A11" s="236">
        <v>5</v>
      </c>
      <c r="B11" s="237" t="s">
        <v>512</v>
      </c>
      <c r="C11" s="236"/>
      <c r="D11" s="236"/>
      <c r="E11" s="236"/>
      <c r="F11" s="236" t="s">
        <v>432</v>
      </c>
      <c r="G11" s="838" t="s">
        <v>513</v>
      </c>
      <c r="H11" s="838"/>
      <c r="I11" s="838"/>
      <c r="J11" s="838"/>
      <c r="K11" s="838"/>
      <c r="L11" s="838"/>
      <c r="M11" s="838"/>
      <c r="N11" s="838"/>
      <c r="O11" s="838"/>
      <c r="P11" s="838"/>
      <c r="Q11" s="838"/>
      <c r="R11" s="838"/>
      <c r="V11" s="235" t="s">
        <v>514</v>
      </c>
    </row>
    <row r="12" spans="1:23" s="235" customFormat="1" ht="9.9" customHeight="1" x14ac:dyDescent="0.3">
      <c r="A12" s="234"/>
      <c r="B12" s="239"/>
      <c r="C12" s="234"/>
      <c r="D12" s="234"/>
      <c r="E12" s="234"/>
      <c r="F12" s="234"/>
      <c r="G12" s="234"/>
      <c r="H12" s="234"/>
      <c r="I12" s="234"/>
      <c r="J12" s="234"/>
      <c r="K12" s="234"/>
      <c r="L12" s="234"/>
      <c r="M12" s="234"/>
      <c r="N12" s="234"/>
      <c r="O12" s="234"/>
      <c r="P12" s="234"/>
      <c r="Q12" s="234"/>
      <c r="R12" s="234"/>
      <c r="V12" s="235" t="s">
        <v>515</v>
      </c>
    </row>
    <row r="13" spans="1:23" s="235" customFormat="1" ht="14.4" x14ac:dyDescent="0.3">
      <c r="A13" s="839" t="s">
        <v>516</v>
      </c>
      <c r="B13" s="839"/>
      <c r="C13" s="839"/>
      <c r="D13" s="839"/>
      <c r="E13" s="839"/>
      <c r="F13" s="839"/>
      <c r="G13" s="839"/>
      <c r="H13" s="839"/>
      <c r="I13" s="839"/>
      <c r="J13" s="839"/>
      <c r="K13" s="839"/>
      <c r="L13" s="839"/>
      <c r="M13" s="839"/>
      <c r="N13" s="839"/>
      <c r="O13" s="839"/>
      <c r="P13" s="839"/>
      <c r="Q13" s="839"/>
      <c r="R13" s="839"/>
      <c r="V13" s="235" t="s">
        <v>517</v>
      </c>
    </row>
    <row r="14" spans="1:23" ht="14.4" x14ac:dyDescent="0.3">
      <c r="A14" s="220" t="s">
        <v>518</v>
      </c>
      <c r="B14" s="220"/>
      <c r="C14" s="220"/>
      <c r="D14" s="220"/>
      <c r="E14" s="220"/>
      <c r="F14" s="220"/>
      <c r="G14" s="220"/>
      <c r="H14" s="220"/>
      <c r="I14" s="220"/>
      <c r="J14" s="220"/>
      <c r="K14" s="220"/>
      <c r="L14" s="220"/>
      <c r="M14" s="220"/>
      <c r="N14" s="220"/>
      <c r="O14" s="220"/>
      <c r="P14" s="220"/>
      <c r="Q14" s="220"/>
      <c r="R14" s="220"/>
      <c r="V14" s="230" t="s">
        <v>519</v>
      </c>
    </row>
    <row r="15" spans="1:23" ht="27.6" x14ac:dyDescent="0.3">
      <c r="A15" s="240" t="s">
        <v>520</v>
      </c>
      <c r="B15" s="813" t="s">
        <v>521</v>
      </c>
      <c r="C15" s="767"/>
      <c r="D15" s="767"/>
      <c r="E15" s="840" t="s">
        <v>522</v>
      </c>
      <c r="F15" s="809"/>
      <c r="G15" s="809"/>
      <c r="H15" s="809"/>
      <c r="I15" s="809"/>
      <c r="J15" s="841"/>
      <c r="K15" s="841"/>
      <c r="L15" s="813" t="s">
        <v>523</v>
      </c>
      <c r="M15" s="813"/>
      <c r="N15" s="767"/>
      <c r="O15" s="767"/>
      <c r="P15" s="767"/>
      <c r="Q15" s="767"/>
      <c r="R15" s="767"/>
      <c r="V15" s="230" t="s">
        <v>524</v>
      </c>
    </row>
    <row r="16" spans="1:23" ht="33" customHeight="1" x14ac:dyDescent="0.3">
      <c r="A16" s="809">
        <v>1</v>
      </c>
      <c r="B16" s="842" t="s">
        <v>525</v>
      </c>
      <c r="C16" s="842"/>
      <c r="D16" s="842"/>
      <c r="E16" s="778" t="s">
        <v>526</v>
      </c>
      <c r="F16" s="778"/>
      <c r="G16" s="778"/>
      <c r="H16" s="778"/>
      <c r="I16" s="778"/>
      <c r="J16" s="778"/>
      <c r="K16" s="778"/>
      <c r="L16" s="778" t="s">
        <v>527</v>
      </c>
      <c r="M16" s="778"/>
      <c r="N16" s="778"/>
      <c r="O16" s="778"/>
      <c r="P16" s="778"/>
      <c r="Q16" s="778"/>
      <c r="R16" s="778"/>
      <c r="V16" s="230" t="s">
        <v>528</v>
      </c>
    </row>
    <row r="17" spans="1:22" x14ac:dyDescent="0.3">
      <c r="A17" s="809"/>
      <c r="B17" s="842"/>
      <c r="C17" s="842"/>
      <c r="D17" s="842"/>
      <c r="E17" s="778" t="s">
        <v>529</v>
      </c>
      <c r="F17" s="778"/>
      <c r="G17" s="778"/>
      <c r="H17" s="778"/>
      <c r="I17" s="778"/>
      <c r="J17" s="778"/>
      <c r="K17" s="778"/>
      <c r="L17" s="778" t="s">
        <v>530</v>
      </c>
      <c r="M17" s="778"/>
      <c r="N17" s="778"/>
      <c r="O17" s="778"/>
      <c r="P17" s="778"/>
      <c r="Q17" s="778"/>
      <c r="R17" s="778"/>
      <c r="V17" s="230" t="s">
        <v>531</v>
      </c>
    </row>
    <row r="18" spans="1:22" ht="32.25" customHeight="1" x14ac:dyDescent="0.3">
      <c r="A18" s="809"/>
      <c r="B18" s="842"/>
      <c r="C18" s="842"/>
      <c r="D18" s="842"/>
      <c r="E18" s="778" t="s">
        <v>532</v>
      </c>
      <c r="F18" s="778"/>
      <c r="G18" s="778"/>
      <c r="H18" s="778"/>
      <c r="I18" s="778"/>
      <c r="J18" s="778"/>
      <c r="K18" s="778"/>
      <c r="L18" s="778" t="s">
        <v>533</v>
      </c>
      <c r="M18" s="778"/>
      <c r="N18" s="778"/>
      <c r="O18" s="778"/>
      <c r="P18" s="778"/>
      <c r="Q18" s="778"/>
      <c r="R18" s="778"/>
      <c r="V18" s="230" t="s">
        <v>534</v>
      </c>
    </row>
    <row r="19" spans="1:22" ht="42.75" customHeight="1" x14ac:dyDescent="0.3">
      <c r="A19" s="809"/>
      <c r="B19" s="842"/>
      <c r="C19" s="842"/>
      <c r="D19" s="842"/>
      <c r="E19" s="778" t="s">
        <v>535</v>
      </c>
      <c r="F19" s="778"/>
      <c r="G19" s="778"/>
      <c r="H19" s="778"/>
      <c r="I19" s="778"/>
      <c r="J19" s="778"/>
      <c r="K19" s="778"/>
      <c r="L19" s="778" t="s">
        <v>536</v>
      </c>
      <c r="M19" s="778"/>
      <c r="N19" s="778"/>
      <c r="O19" s="778"/>
      <c r="P19" s="778"/>
      <c r="Q19" s="778"/>
      <c r="R19" s="778"/>
      <c r="V19" s="230" t="s">
        <v>537</v>
      </c>
    </row>
    <row r="20" spans="1:22" ht="40.5" customHeight="1" x14ac:dyDescent="0.3">
      <c r="A20" s="809"/>
      <c r="B20" s="842"/>
      <c r="C20" s="842"/>
      <c r="D20" s="842"/>
      <c r="E20" s="778" t="s">
        <v>538</v>
      </c>
      <c r="F20" s="778"/>
      <c r="G20" s="778"/>
      <c r="H20" s="778"/>
      <c r="I20" s="778"/>
      <c r="J20" s="778"/>
      <c r="K20" s="778"/>
      <c r="L20" s="778" t="s">
        <v>539</v>
      </c>
      <c r="M20" s="778"/>
      <c r="N20" s="778"/>
      <c r="O20" s="778"/>
      <c r="P20" s="778"/>
      <c r="Q20" s="778"/>
      <c r="R20" s="778"/>
      <c r="V20" s="230" t="s">
        <v>501</v>
      </c>
    </row>
    <row r="21" spans="1:22" ht="33" customHeight="1" x14ac:dyDescent="0.3">
      <c r="A21" s="809">
        <v>2</v>
      </c>
      <c r="B21" s="843" t="s">
        <v>540</v>
      </c>
      <c r="C21" s="843"/>
      <c r="D21" s="843"/>
      <c r="E21" s="778" t="s">
        <v>541</v>
      </c>
      <c r="F21" s="778"/>
      <c r="G21" s="778"/>
      <c r="H21" s="778"/>
      <c r="I21" s="778"/>
      <c r="J21" s="778"/>
      <c r="K21" s="778"/>
      <c r="L21" s="778" t="s">
        <v>527</v>
      </c>
      <c r="M21" s="778"/>
      <c r="N21" s="778"/>
      <c r="O21" s="778"/>
      <c r="P21" s="778"/>
      <c r="Q21" s="778"/>
      <c r="R21" s="778"/>
    </row>
    <row r="22" spans="1:22" ht="33" customHeight="1" x14ac:dyDescent="0.3">
      <c r="A22" s="809"/>
      <c r="B22" s="843"/>
      <c r="C22" s="843"/>
      <c r="D22" s="843"/>
      <c r="E22" s="778" t="s">
        <v>542</v>
      </c>
      <c r="F22" s="778"/>
      <c r="G22" s="778"/>
      <c r="H22" s="778"/>
      <c r="I22" s="778"/>
      <c r="J22" s="778"/>
      <c r="K22" s="778"/>
      <c r="L22" s="778" t="s">
        <v>527</v>
      </c>
      <c r="M22" s="778"/>
      <c r="N22" s="778"/>
      <c r="O22" s="778"/>
      <c r="P22" s="778"/>
      <c r="Q22" s="778"/>
      <c r="R22" s="778"/>
    </row>
    <row r="23" spans="1:22" ht="33" customHeight="1" x14ac:dyDescent="0.3">
      <c r="A23" s="809"/>
      <c r="B23" s="843"/>
      <c r="C23" s="843"/>
      <c r="D23" s="843"/>
      <c r="E23" s="778" t="s">
        <v>543</v>
      </c>
      <c r="F23" s="778"/>
      <c r="G23" s="778"/>
      <c r="H23" s="778"/>
      <c r="I23" s="778"/>
      <c r="J23" s="778"/>
      <c r="K23" s="778"/>
      <c r="L23" s="778" t="s">
        <v>527</v>
      </c>
      <c r="M23" s="778"/>
      <c r="N23" s="778"/>
      <c r="O23" s="778"/>
      <c r="P23" s="778"/>
      <c r="Q23" s="778"/>
      <c r="R23" s="778"/>
    </row>
    <row r="24" spans="1:22" ht="33" customHeight="1" x14ac:dyDescent="0.3">
      <c r="A24" s="809"/>
      <c r="B24" s="843"/>
      <c r="C24" s="843"/>
      <c r="D24" s="843"/>
      <c r="E24" s="778" t="s">
        <v>544</v>
      </c>
      <c r="F24" s="778"/>
      <c r="G24" s="778"/>
      <c r="H24" s="778"/>
      <c r="I24" s="778"/>
      <c r="J24" s="778"/>
      <c r="K24" s="778"/>
      <c r="L24" s="778" t="s">
        <v>527</v>
      </c>
      <c r="M24" s="778"/>
      <c r="N24" s="778"/>
      <c r="O24" s="778"/>
      <c r="P24" s="778"/>
      <c r="Q24" s="778"/>
      <c r="R24" s="778"/>
    </row>
    <row r="25" spans="1:22" ht="39.75" customHeight="1" x14ac:dyDescent="0.3">
      <c r="A25" s="809">
        <v>3</v>
      </c>
      <c r="B25" s="843" t="s">
        <v>545</v>
      </c>
      <c r="C25" s="843"/>
      <c r="D25" s="843"/>
      <c r="E25" s="778" t="s">
        <v>546</v>
      </c>
      <c r="F25" s="778"/>
      <c r="G25" s="778"/>
      <c r="H25" s="778"/>
      <c r="I25" s="778"/>
      <c r="J25" s="841"/>
      <c r="K25" s="841"/>
      <c r="L25" s="778" t="s">
        <v>527</v>
      </c>
      <c r="M25" s="778"/>
      <c r="N25" s="778"/>
      <c r="O25" s="778"/>
      <c r="P25" s="778"/>
      <c r="Q25" s="778"/>
      <c r="R25" s="778"/>
    </row>
    <row r="26" spans="1:22" ht="33" customHeight="1" x14ac:dyDescent="0.3">
      <c r="A26" s="809"/>
      <c r="B26" s="843"/>
      <c r="C26" s="843"/>
      <c r="D26" s="843"/>
      <c r="E26" s="778" t="s">
        <v>547</v>
      </c>
      <c r="F26" s="778"/>
      <c r="G26" s="778"/>
      <c r="H26" s="778"/>
      <c r="I26" s="778"/>
      <c r="J26" s="841"/>
      <c r="K26" s="841"/>
      <c r="L26" s="778" t="s">
        <v>527</v>
      </c>
      <c r="M26" s="778"/>
      <c r="N26" s="778"/>
      <c r="O26" s="778"/>
      <c r="P26" s="778"/>
      <c r="Q26" s="778"/>
      <c r="R26" s="778"/>
    </row>
    <row r="27" spans="1:22" ht="33" customHeight="1" x14ac:dyDescent="0.3">
      <c r="A27" s="241">
        <v>4</v>
      </c>
      <c r="B27" s="795" t="s">
        <v>548</v>
      </c>
      <c r="C27" s="796"/>
      <c r="D27" s="796"/>
      <c r="E27" s="796"/>
      <c r="F27" s="796"/>
      <c r="G27" s="796"/>
      <c r="H27" s="796"/>
      <c r="I27" s="796"/>
      <c r="J27" s="796"/>
      <c r="K27" s="797"/>
      <c r="L27" s="778" t="s">
        <v>549</v>
      </c>
      <c r="M27" s="778"/>
      <c r="N27" s="778"/>
      <c r="O27" s="778"/>
      <c r="P27" s="778"/>
      <c r="Q27" s="778"/>
      <c r="R27" s="778"/>
    </row>
    <row r="28" spans="1:22" ht="33" customHeight="1" x14ac:dyDescent="0.3">
      <c r="A28" s="241">
        <v>5</v>
      </c>
      <c r="B28" s="795" t="s">
        <v>550</v>
      </c>
      <c r="C28" s="796"/>
      <c r="D28" s="796"/>
      <c r="E28" s="796"/>
      <c r="F28" s="796"/>
      <c r="G28" s="796"/>
      <c r="H28" s="796"/>
      <c r="I28" s="796"/>
      <c r="J28" s="796"/>
      <c r="K28" s="797"/>
      <c r="L28" s="778" t="s">
        <v>551</v>
      </c>
      <c r="M28" s="778"/>
      <c r="N28" s="778"/>
      <c r="O28" s="778"/>
      <c r="P28" s="778"/>
      <c r="Q28" s="778"/>
      <c r="R28" s="778"/>
    </row>
    <row r="29" spans="1:22" ht="33" customHeight="1" x14ac:dyDescent="0.3">
      <c r="A29" s="241">
        <v>6</v>
      </c>
      <c r="B29" s="795" t="s">
        <v>552</v>
      </c>
      <c r="C29" s="796"/>
      <c r="D29" s="796"/>
      <c r="E29" s="796"/>
      <c r="F29" s="796"/>
      <c r="G29" s="796"/>
      <c r="H29" s="796"/>
      <c r="I29" s="796"/>
      <c r="J29" s="796"/>
      <c r="K29" s="797"/>
      <c r="L29" s="778" t="s">
        <v>553</v>
      </c>
      <c r="M29" s="778"/>
      <c r="N29" s="778"/>
      <c r="O29" s="778"/>
      <c r="P29" s="778"/>
      <c r="Q29" s="778"/>
      <c r="R29" s="778"/>
    </row>
    <row r="30" spans="1:22" ht="9.9" customHeight="1" x14ac:dyDescent="0.3">
      <c r="A30" s="242"/>
      <c r="B30" s="237"/>
      <c r="C30" s="237"/>
      <c r="D30" s="237"/>
      <c r="E30" s="237"/>
      <c r="F30" s="237"/>
      <c r="G30" s="237"/>
      <c r="H30" s="237"/>
      <c r="I30" s="237"/>
      <c r="J30" s="237"/>
      <c r="K30" s="237"/>
      <c r="L30" s="243"/>
      <c r="M30" s="243"/>
      <c r="N30" s="243"/>
      <c r="O30" s="243"/>
      <c r="P30" s="243"/>
      <c r="Q30" s="243"/>
      <c r="R30" s="243"/>
    </row>
    <row r="31" spans="1:22" ht="9.9" customHeight="1" x14ac:dyDescent="0.3">
      <c r="A31" s="242"/>
      <c r="B31" s="237"/>
      <c r="C31" s="237"/>
      <c r="D31" s="237"/>
      <c r="E31" s="237"/>
      <c r="F31" s="237"/>
      <c r="G31" s="237"/>
      <c r="H31" s="237"/>
      <c r="I31" s="237"/>
      <c r="J31" s="237"/>
      <c r="K31" s="237"/>
      <c r="L31" s="243"/>
      <c r="M31" s="243"/>
      <c r="N31" s="243"/>
      <c r="O31" s="243"/>
      <c r="P31" s="243"/>
      <c r="Q31" s="243"/>
      <c r="R31" s="243"/>
    </row>
    <row r="32" spans="1:22" ht="15.75" customHeight="1" x14ac:dyDescent="0.3">
      <c r="A32" s="242">
        <v>7</v>
      </c>
      <c r="B32" s="244" t="s">
        <v>554</v>
      </c>
      <c r="C32" s="236"/>
      <c r="D32" s="236"/>
      <c r="E32" s="242"/>
      <c r="F32" s="242"/>
      <c r="G32" s="242"/>
      <c r="H32" s="242"/>
      <c r="I32" s="242"/>
      <c r="L32" s="236"/>
      <c r="M32" s="236"/>
      <c r="N32" s="236"/>
      <c r="O32" s="236"/>
      <c r="P32" s="236"/>
      <c r="Q32" s="236"/>
      <c r="R32" s="236"/>
    </row>
    <row r="33" spans="1:22" x14ac:dyDescent="0.3">
      <c r="A33" s="245"/>
      <c r="B33" s="240" t="s">
        <v>555</v>
      </c>
      <c r="C33" s="240" t="s">
        <v>76</v>
      </c>
      <c r="D33" s="240" t="s">
        <v>77</v>
      </c>
      <c r="E33" s="840" t="s">
        <v>556</v>
      </c>
      <c r="F33" s="840"/>
      <c r="G33" s="840" t="s">
        <v>78</v>
      </c>
      <c r="H33" s="840"/>
      <c r="I33" s="840"/>
      <c r="J33" s="840"/>
      <c r="K33" s="840"/>
      <c r="L33" s="840"/>
      <c r="M33" s="840"/>
      <c r="N33" s="840"/>
      <c r="O33" s="840"/>
      <c r="P33" s="840"/>
      <c r="Q33" s="840"/>
      <c r="R33" s="840"/>
    </row>
    <row r="34" spans="1:22" s="365" customFormat="1" ht="15.9" customHeight="1" x14ac:dyDescent="0.3">
      <c r="A34" s="473"/>
      <c r="B34" s="474">
        <v>1</v>
      </c>
      <c r="C34" s="475">
        <v>70</v>
      </c>
      <c r="D34" s="475" t="s">
        <v>633</v>
      </c>
      <c r="E34" s="844">
        <v>15</v>
      </c>
      <c r="F34" s="844"/>
      <c r="G34" s="845" t="s">
        <v>889</v>
      </c>
      <c r="H34" s="845"/>
      <c r="I34" s="845"/>
      <c r="J34" s="845"/>
      <c r="K34" s="845"/>
      <c r="L34" s="845"/>
      <c r="M34" s="845"/>
      <c r="N34" s="845"/>
      <c r="O34" s="845"/>
      <c r="P34" s="845"/>
      <c r="Q34" s="845"/>
      <c r="R34" s="845"/>
      <c r="T34" s="365">
        <v>288436</v>
      </c>
      <c r="U34" s="365">
        <f>77368+4761</f>
        <v>82129</v>
      </c>
      <c r="V34" s="365">
        <f>+T34-U34</f>
        <v>206307</v>
      </c>
    </row>
    <row r="35" spans="1:22" s="365" customFormat="1" ht="15.9" customHeight="1" x14ac:dyDescent="0.3">
      <c r="A35" s="473"/>
      <c r="B35" s="474">
        <v>2</v>
      </c>
      <c r="C35" s="475"/>
      <c r="D35" s="475"/>
      <c r="E35" s="844">
        <v>20</v>
      </c>
      <c r="F35" s="844"/>
      <c r="G35" s="845" t="s">
        <v>710</v>
      </c>
      <c r="H35" s="845"/>
      <c r="I35" s="845"/>
      <c r="J35" s="845"/>
      <c r="K35" s="845"/>
      <c r="L35" s="845"/>
      <c r="M35" s="845"/>
      <c r="N35" s="845"/>
      <c r="O35" s="845"/>
      <c r="P35" s="845"/>
      <c r="Q35" s="845"/>
      <c r="R35" s="845"/>
    </row>
    <row r="36" spans="1:22" s="365" customFormat="1" ht="27.75" customHeight="1" x14ac:dyDescent="0.3">
      <c r="A36" s="473"/>
      <c r="B36" s="474">
        <v>3</v>
      </c>
      <c r="C36" s="474" t="s">
        <v>557</v>
      </c>
      <c r="D36" s="474"/>
      <c r="E36" s="844" t="s">
        <v>558</v>
      </c>
      <c r="F36" s="844"/>
      <c r="G36" s="846" t="s">
        <v>559</v>
      </c>
      <c r="H36" s="847"/>
      <c r="I36" s="847"/>
      <c r="J36" s="847"/>
      <c r="K36" s="847"/>
      <c r="L36" s="847"/>
      <c r="M36" s="847"/>
      <c r="N36" s="847"/>
      <c r="O36" s="847"/>
      <c r="P36" s="847"/>
      <c r="Q36" s="847"/>
      <c r="R36" s="848"/>
    </row>
    <row r="37" spans="1:22" ht="17.100000000000001" customHeight="1" x14ac:dyDescent="0.3">
      <c r="A37" s="246"/>
      <c r="B37" s="241">
        <v>4</v>
      </c>
      <c r="C37" s="241" t="s">
        <v>711</v>
      </c>
      <c r="D37" s="241"/>
      <c r="E37" s="809">
        <v>114</v>
      </c>
      <c r="F37" s="809"/>
      <c r="G37" s="795" t="s">
        <v>562</v>
      </c>
      <c r="H37" s="796"/>
      <c r="I37" s="796"/>
      <c r="J37" s="796"/>
      <c r="K37" s="796"/>
      <c r="L37" s="796"/>
      <c r="M37" s="796"/>
      <c r="N37" s="796"/>
      <c r="O37" s="796"/>
      <c r="P37" s="796"/>
      <c r="Q37" s="796"/>
      <c r="R37" s="797"/>
      <c r="T37" s="5"/>
      <c r="U37" s="5"/>
      <c r="V37" s="318"/>
    </row>
    <row r="38" spans="1:22" ht="33" customHeight="1" x14ac:dyDescent="0.3">
      <c r="A38" s="246"/>
      <c r="B38" s="241">
        <v>5</v>
      </c>
      <c r="C38" s="241" t="s">
        <v>560</v>
      </c>
      <c r="D38" s="241"/>
      <c r="E38" s="809"/>
      <c r="F38" s="809"/>
      <c r="G38" s="778" t="s">
        <v>561</v>
      </c>
      <c r="H38" s="778"/>
      <c r="I38" s="778"/>
      <c r="J38" s="778"/>
      <c r="K38" s="778"/>
      <c r="L38" s="778"/>
      <c r="M38" s="778"/>
      <c r="N38" s="778"/>
      <c r="O38" s="778"/>
      <c r="P38" s="778"/>
      <c r="Q38" s="778"/>
      <c r="R38" s="778"/>
    </row>
    <row r="39" spans="1:22" ht="33" customHeight="1" x14ac:dyDescent="0.3">
      <c r="A39" s="247"/>
      <c r="B39" s="241">
        <v>6</v>
      </c>
      <c r="C39" s="241">
        <v>82</v>
      </c>
      <c r="D39" s="241">
        <v>73</v>
      </c>
      <c r="E39" s="809" t="s">
        <v>563</v>
      </c>
      <c r="F39" s="810"/>
      <c r="G39" s="811" t="s">
        <v>564</v>
      </c>
      <c r="H39" s="811"/>
      <c r="I39" s="811"/>
      <c r="J39" s="811"/>
      <c r="K39" s="811"/>
      <c r="L39" s="811"/>
      <c r="M39" s="811"/>
      <c r="N39" s="811"/>
      <c r="O39" s="811"/>
      <c r="P39" s="811"/>
      <c r="Q39" s="811"/>
      <c r="R39" s="811"/>
      <c r="T39" s="5"/>
      <c r="U39" s="5"/>
      <c r="V39" s="318"/>
    </row>
    <row r="40" spans="1:22" ht="7.5" customHeight="1" x14ac:dyDescent="0.3">
      <c r="A40" s="248"/>
      <c r="B40" s="249"/>
      <c r="C40" s="250"/>
      <c r="D40" s="250"/>
      <c r="E40" s="250"/>
      <c r="F40" s="250"/>
      <c r="G40" s="250"/>
      <c r="H40" s="250"/>
      <c r="I40" s="250"/>
      <c r="J40" s="250"/>
      <c r="K40" s="250"/>
      <c r="L40" s="250"/>
      <c r="M40" s="250"/>
      <c r="N40" s="250"/>
      <c r="O40" s="250"/>
      <c r="P40" s="250"/>
      <c r="Q40" s="250"/>
      <c r="R40" s="250"/>
      <c r="T40" s="5"/>
      <c r="U40" s="5"/>
      <c r="V40" s="318"/>
    </row>
    <row r="41" spans="1:22" ht="27.6" x14ac:dyDescent="0.3">
      <c r="A41" s="240" t="s">
        <v>520</v>
      </c>
      <c r="B41" s="813" t="s">
        <v>521</v>
      </c>
      <c r="C41" s="767"/>
      <c r="D41" s="767"/>
      <c r="E41" s="840" t="s">
        <v>522</v>
      </c>
      <c r="F41" s="809"/>
      <c r="G41" s="809"/>
      <c r="H41" s="809"/>
      <c r="I41" s="809"/>
      <c r="J41" s="841"/>
      <c r="K41" s="841"/>
      <c r="L41" s="813" t="s">
        <v>523</v>
      </c>
      <c r="M41" s="813"/>
      <c r="N41" s="767"/>
      <c r="O41" s="767"/>
      <c r="P41" s="767"/>
      <c r="Q41" s="767"/>
      <c r="R41" s="767"/>
      <c r="T41" s="5"/>
      <c r="U41" s="5"/>
      <c r="V41" s="318"/>
    </row>
    <row r="42" spans="1:22" ht="33" customHeight="1" x14ac:dyDescent="0.3">
      <c r="A42" s="241">
        <v>8</v>
      </c>
      <c r="B42" s="795" t="s">
        <v>565</v>
      </c>
      <c r="C42" s="796"/>
      <c r="D42" s="796"/>
      <c r="E42" s="796"/>
      <c r="F42" s="796"/>
      <c r="G42" s="796"/>
      <c r="H42" s="796"/>
      <c r="I42" s="796"/>
      <c r="J42" s="796"/>
      <c r="K42" s="797"/>
      <c r="L42" s="778" t="s">
        <v>527</v>
      </c>
      <c r="M42" s="778"/>
      <c r="N42" s="778"/>
      <c r="O42" s="778"/>
      <c r="P42" s="778"/>
      <c r="Q42" s="778"/>
      <c r="R42" s="778"/>
    </row>
    <row r="43" spans="1:22" ht="50.1" customHeight="1" x14ac:dyDescent="0.3">
      <c r="A43" s="241">
        <v>9</v>
      </c>
      <c r="B43" s="778" t="s">
        <v>566</v>
      </c>
      <c r="C43" s="778"/>
      <c r="D43" s="778"/>
      <c r="E43" s="778"/>
      <c r="F43" s="778"/>
      <c r="G43" s="778"/>
      <c r="H43" s="778"/>
      <c r="I43" s="778"/>
      <c r="J43" s="778"/>
      <c r="K43" s="778"/>
      <c r="L43" s="778" t="s">
        <v>527</v>
      </c>
      <c r="M43" s="778"/>
      <c r="N43" s="778"/>
      <c r="O43" s="778"/>
      <c r="P43" s="778"/>
      <c r="Q43" s="778"/>
      <c r="R43" s="778"/>
    </row>
    <row r="44" spans="1:22" s="365" customFormat="1" ht="70.5" customHeight="1" x14ac:dyDescent="0.3">
      <c r="A44" s="502">
        <v>10</v>
      </c>
      <c r="B44" s="773" t="s">
        <v>567</v>
      </c>
      <c r="C44" s="773"/>
      <c r="D44" s="773"/>
      <c r="E44" s="773"/>
      <c r="F44" s="773"/>
      <c r="G44" s="773"/>
      <c r="H44" s="773"/>
      <c r="I44" s="773"/>
      <c r="J44" s="773"/>
      <c r="K44" s="774"/>
      <c r="L44" s="775" t="s">
        <v>727</v>
      </c>
      <c r="M44" s="775"/>
      <c r="N44" s="775"/>
      <c r="O44" s="775"/>
      <c r="P44" s="775"/>
      <c r="Q44" s="775"/>
      <c r="R44" s="776"/>
      <c r="S44" s="153"/>
      <c r="T44" s="153"/>
      <c r="U44" s="153"/>
    </row>
    <row r="45" spans="1:22" s="365" customFormat="1" ht="15.9" customHeight="1" x14ac:dyDescent="0.3">
      <c r="A45" s="503"/>
      <c r="B45" s="504"/>
      <c r="C45" s="504"/>
      <c r="D45" s="504"/>
      <c r="E45" s="504"/>
      <c r="F45" s="504"/>
      <c r="G45" s="504"/>
      <c r="H45" s="504"/>
      <c r="I45" s="504"/>
      <c r="J45" s="504"/>
      <c r="K45" s="505"/>
      <c r="L45" s="777" t="s">
        <v>846</v>
      </c>
      <c r="M45" s="777"/>
      <c r="N45" s="777"/>
      <c r="O45" s="777" t="s">
        <v>890</v>
      </c>
      <c r="P45" s="777"/>
      <c r="Q45" s="777"/>
      <c r="R45" s="506"/>
      <c r="S45" s="153"/>
      <c r="T45" s="153"/>
      <c r="U45" s="153"/>
    </row>
    <row r="46" spans="1:22" s="365" customFormat="1" ht="20.100000000000001" customHeight="1" x14ac:dyDescent="0.3">
      <c r="A46" s="503"/>
      <c r="B46" s="504"/>
      <c r="C46" s="504"/>
      <c r="D46" s="504"/>
      <c r="E46" s="504"/>
      <c r="F46" s="504"/>
      <c r="G46" s="504"/>
      <c r="H46" s="504"/>
      <c r="I46" s="504"/>
      <c r="J46" s="504"/>
      <c r="K46" s="505"/>
      <c r="L46" s="754" t="s">
        <v>805</v>
      </c>
      <c r="M46" s="720"/>
      <c r="N46" s="720"/>
      <c r="O46" s="720"/>
      <c r="P46" s="720"/>
      <c r="Q46" s="720"/>
      <c r="R46" s="898"/>
      <c r="S46" s="153"/>
      <c r="T46" s="153"/>
      <c r="U46" s="153"/>
    </row>
    <row r="47" spans="1:22" s="365" customFormat="1" ht="20.100000000000001" customHeight="1" x14ac:dyDescent="0.3">
      <c r="A47" s="503"/>
      <c r="B47" s="504"/>
      <c r="C47" s="504"/>
      <c r="D47" s="504"/>
      <c r="E47" s="504"/>
      <c r="F47" s="504"/>
      <c r="G47" s="504"/>
      <c r="H47" s="504"/>
      <c r="I47" s="504"/>
      <c r="J47" s="504"/>
      <c r="K47" s="505"/>
      <c r="L47" s="720"/>
      <c r="M47" s="720"/>
      <c r="N47" s="720"/>
      <c r="O47" s="720"/>
      <c r="P47" s="720"/>
      <c r="Q47" s="720"/>
      <c r="R47" s="898"/>
      <c r="S47" s="153"/>
      <c r="T47" s="153"/>
      <c r="U47" s="153"/>
    </row>
    <row r="48" spans="1:22" s="510" customFormat="1" ht="7.5" customHeight="1" x14ac:dyDescent="0.3">
      <c r="A48" s="507"/>
      <c r="B48" s="508"/>
      <c r="C48" s="508"/>
      <c r="D48" s="508"/>
      <c r="E48" s="508"/>
      <c r="F48" s="508"/>
      <c r="G48" s="508"/>
      <c r="H48" s="508"/>
      <c r="I48" s="508"/>
      <c r="J48" s="508"/>
      <c r="K48" s="509"/>
      <c r="L48" s="899"/>
      <c r="M48" s="899"/>
      <c r="N48" s="899"/>
      <c r="O48" s="899"/>
      <c r="P48" s="899"/>
      <c r="Q48" s="899"/>
      <c r="R48" s="900"/>
    </row>
    <row r="49" spans="1:30" ht="20.100000000000001" customHeight="1" x14ac:dyDescent="0.3">
      <c r="A49" s="242"/>
      <c r="B49" s="237"/>
      <c r="C49" s="237"/>
      <c r="D49" s="237"/>
      <c r="E49" s="237"/>
      <c r="F49" s="237"/>
      <c r="G49" s="237"/>
      <c r="H49" s="237"/>
      <c r="I49" s="237"/>
      <c r="J49" s="237"/>
      <c r="K49" s="237"/>
      <c r="L49" s="243"/>
      <c r="M49" s="243"/>
      <c r="N49" s="243"/>
      <c r="O49" s="243"/>
      <c r="P49" s="243"/>
      <c r="Q49" s="243"/>
      <c r="R49" s="243"/>
    </row>
    <row r="50" spans="1:30" ht="20.100000000000001" customHeight="1" x14ac:dyDescent="0.3">
      <c r="A50" s="242"/>
      <c r="B50" s="237"/>
      <c r="C50" s="237"/>
      <c r="D50" s="237"/>
      <c r="E50" s="237"/>
      <c r="F50" s="237"/>
      <c r="G50" s="237"/>
      <c r="H50" s="237"/>
      <c r="I50" s="237"/>
      <c r="J50" s="237"/>
      <c r="K50" s="237"/>
      <c r="L50" s="243"/>
      <c r="M50" s="243"/>
      <c r="N50" s="243"/>
      <c r="O50" s="243"/>
      <c r="P50" s="243"/>
      <c r="Q50" s="243"/>
      <c r="R50" s="243"/>
    </row>
    <row r="51" spans="1:30" ht="20.100000000000001" customHeight="1" x14ac:dyDescent="0.3">
      <c r="A51" s="242"/>
      <c r="B51" s="237"/>
      <c r="C51" s="237"/>
      <c r="D51" s="237"/>
      <c r="E51" s="237"/>
      <c r="F51" s="237"/>
      <c r="G51" s="237"/>
      <c r="H51" s="237"/>
      <c r="I51" s="237"/>
      <c r="J51" s="237"/>
      <c r="K51" s="237"/>
      <c r="L51" s="243"/>
      <c r="M51" s="243"/>
      <c r="N51" s="243"/>
      <c r="O51" s="243"/>
      <c r="P51" s="243"/>
      <c r="Q51" s="243"/>
      <c r="R51" s="243"/>
    </row>
    <row r="52" spans="1:30" ht="17.100000000000001" customHeight="1" x14ac:dyDescent="0.3">
      <c r="A52" s="242"/>
      <c r="B52" s="237"/>
      <c r="C52" s="237"/>
      <c r="D52" s="237"/>
      <c r="E52" s="237"/>
      <c r="F52" s="237"/>
      <c r="G52" s="237"/>
      <c r="H52" s="237"/>
      <c r="I52" s="237"/>
      <c r="J52" s="237"/>
      <c r="K52" s="237"/>
      <c r="L52" s="243"/>
      <c r="M52" s="243"/>
      <c r="N52" s="243"/>
      <c r="O52" s="243"/>
      <c r="P52" s="243"/>
      <c r="Q52" s="243"/>
      <c r="R52" s="243"/>
    </row>
    <row r="53" spans="1:30" s="365" customFormat="1" ht="15.9" customHeight="1" x14ac:dyDescent="0.3">
      <c r="K53" s="149" t="str">
        <f>+TIT!D9</f>
        <v>Shri. Bharat C. Boridkar</v>
      </c>
    </row>
    <row r="54" spans="1:30" s="365" customFormat="1" ht="14.4" x14ac:dyDescent="0.3">
      <c r="K54" s="321" t="s">
        <v>412</v>
      </c>
    </row>
    <row r="55" spans="1:30" s="365" customFormat="1" ht="14.4" x14ac:dyDescent="0.3">
      <c r="A55" s="817">
        <f>+TIT!D12</f>
        <v>46275</v>
      </c>
      <c r="B55" s="817"/>
      <c r="C55" s="817"/>
      <c r="D55" s="817"/>
      <c r="E55" s="817"/>
      <c r="F55" s="817"/>
      <c r="K55" s="321" t="s">
        <v>854</v>
      </c>
    </row>
    <row r="56" spans="1:30" ht="17.100000000000001" customHeight="1" x14ac:dyDescent="0.3">
      <c r="A56" s="242"/>
      <c r="B56" s="237"/>
      <c r="C56" s="237"/>
      <c r="D56" s="237"/>
      <c r="E56" s="237"/>
      <c r="F56" s="237"/>
      <c r="G56" s="237"/>
      <c r="H56" s="237"/>
      <c r="I56" s="237"/>
      <c r="J56" s="237"/>
      <c r="K56" s="165"/>
      <c r="L56" s="243"/>
      <c r="M56" s="243"/>
      <c r="N56" s="243"/>
      <c r="O56" s="243"/>
      <c r="P56" s="243"/>
      <c r="Q56" s="243"/>
      <c r="R56" s="243"/>
    </row>
    <row r="57" spans="1:30" ht="8.1" customHeight="1" x14ac:dyDescent="0.3">
      <c r="A57" s="242"/>
      <c r="B57" s="243"/>
      <c r="C57" s="243"/>
      <c r="D57" s="243"/>
      <c r="E57" s="243"/>
      <c r="F57" s="243"/>
      <c r="G57" s="243"/>
      <c r="H57" s="243"/>
      <c r="I57" s="243"/>
      <c r="J57" s="243"/>
      <c r="K57" s="243"/>
      <c r="L57" s="243"/>
      <c r="M57" s="243"/>
      <c r="N57" s="243"/>
      <c r="O57" s="243"/>
      <c r="P57" s="243"/>
      <c r="Q57" s="243"/>
      <c r="R57" s="243"/>
    </row>
    <row r="58" spans="1:30" ht="8.1" customHeight="1" x14ac:dyDescent="0.3">
      <c r="A58" s="242"/>
      <c r="B58" s="243"/>
      <c r="C58" s="243"/>
      <c r="D58" s="243"/>
      <c r="E58" s="243"/>
      <c r="F58" s="243"/>
      <c r="G58" s="243"/>
      <c r="H58" s="243"/>
      <c r="I58" s="243"/>
      <c r="J58" s="243"/>
      <c r="K58" s="243"/>
      <c r="L58" s="243"/>
      <c r="M58" s="243"/>
      <c r="N58" s="243"/>
      <c r="O58" s="243"/>
      <c r="P58" s="243"/>
      <c r="Q58" s="243"/>
      <c r="R58" s="243"/>
    </row>
    <row r="59" spans="1:30" s="235" customFormat="1" ht="15.6" x14ac:dyDescent="0.3">
      <c r="A59" s="798" t="s">
        <v>568</v>
      </c>
      <c r="B59" s="798"/>
      <c r="C59" s="798"/>
      <c r="D59" s="798"/>
      <c r="E59" s="798"/>
      <c r="F59" s="798"/>
      <c r="G59" s="798"/>
      <c r="H59" s="798"/>
      <c r="I59" s="798"/>
      <c r="J59" s="798"/>
      <c r="K59" s="798"/>
      <c r="L59" s="798"/>
      <c r="M59" s="798"/>
      <c r="N59" s="798"/>
      <c r="O59" s="798"/>
      <c r="P59" s="798"/>
      <c r="Q59" s="798"/>
      <c r="R59" s="798"/>
    </row>
    <row r="60" spans="1:30" s="252" customFormat="1" ht="18" customHeight="1" x14ac:dyDescent="0.3">
      <c r="A60" s="251" t="s">
        <v>388</v>
      </c>
      <c r="B60" s="251"/>
    </row>
    <row r="61" spans="1:30" s="150" customFormat="1" ht="45" customHeight="1" x14ac:dyDescent="0.3">
      <c r="A61" s="253"/>
      <c r="B61" s="755" t="str">
        <f>"I have been appointed as the Statutory auditors of "&amp;TIT!D2&amp;"  "&amp;TIT!E2&amp;"  by  members of "&amp;TIT!D2&amp;" in their Annual General Body Meeting Dt. 29-Sep-2024 . Accordingly I have completed the Audit work.  "</f>
        <v xml:space="preserve">I have been appointed as the Statutory auditors of NAVANAND CO-OPERATIVE. HOUSING SOCIETY LTD.    by  members of NAVANAND CO-OPERATIVE. HOUSING SOCIETY LTD. in their Annual General Body Meeting Dt. 29-Sep-2024 . Accordingly I have completed the Audit work.  </v>
      </c>
      <c r="C61" s="755"/>
      <c r="D61" s="755"/>
      <c r="E61" s="755"/>
      <c r="F61" s="755"/>
      <c r="G61" s="755"/>
      <c r="H61" s="755"/>
      <c r="I61" s="755"/>
      <c r="J61" s="755"/>
      <c r="K61" s="755"/>
      <c r="L61" s="755"/>
      <c r="M61" s="755"/>
      <c r="N61" s="755"/>
      <c r="O61" s="755"/>
      <c r="P61" s="755"/>
      <c r="Q61" s="755"/>
      <c r="R61" s="799"/>
      <c r="T61" s="150" t="s">
        <v>691</v>
      </c>
      <c r="U61" s="254"/>
      <c r="V61" s="254"/>
      <c r="W61" s="254"/>
      <c r="X61" s="254"/>
      <c r="Y61" s="254"/>
      <c r="Z61" s="254"/>
      <c r="AA61" s="254"/>
      <c r="AB61" s="254"/>
      <c r="AC61" s="254"/>
      <c r="AD61" s="254"/>
    </row>
    <row r="62" spans="1:30" s="153" customFormat="1" ht="67.5" customHeight="1" x14ac:dyDescent="0.3">
      <c r="A62" s="609"/>
      <c r="B62" s="756" t="s">
        <v>971</v>
      </c>
      <c r="C62" s="756"/>
      <c r="D62" s="756"/>
      <c r="E62" s="756"/>
      <c r="F62" s="756"/>
      <c r="G62" s="756"/>
      <c r="H62" s="756"/>
      <c r="I62" s="756"/>
      <c r="J62" s="756"/>
      <c r="K62" s="756"/>
      <c r="L62" s="756"/>
      <c r="M62" s="756"/>
      <c r="N62" s="756"/>
      <c r="O62" s="756"/>
      <c r="P62" s="756"/>
      <c r="Q62" s="756"/>
      <c r="R62" s="756"/>
      <c r="T62" s="153" t="s">
        <v>671</v>
      </c>
      <c r="U62" s="254"/>
      <c r="V62" s="254"/>
      <c r="W62" s="254"/>
      <c r="X62" s="254"/>
      <c r="Y62" s="254"/>
      <c r="Z62" s="254"/>
      <c r="AA62" s="254"/>
      <c r="AB62" s="254"/>
      <c r="AC62" s="254"/>
      <c r="AD62" s="254"/>
    </row>
    <row r="63" spans="1:30" s="150" customFormat="1" ht="43.5" customHeight="1" x14ac:dyDescent="0.3">
      <c r="A63" s="609"/>
      <c r="B63" s="756" t="s">
        <v>972</v>
      </c>
      <c r="C63" s="756"/>
      <c r="D63" s="756"/>
      <c r="E63" s="756"/>
      <c r="F63" s="756"/>
      <c r="G63" s="756"/>
      <c r="H63" s="756"/>
      <c r="I63" s="756"/>
      <c r="J63" s="756"/>
      <c r="K63" s="756"/>
      <c r="L63" s="756"/>
      <c r="M63" s="756"/>
      <c r="N63" s="756"/>
      <c r="O63" s="756"/>
      <c r="P63" s="756"/>
      <c r="Q63" s="756"/>
      <c r="R63" s="756"/>
      <c r="U63" s="254"/>
      <c r="V63" s="254"/>
      <c r="W63" s="254"/>
      <c r="X63" s="254"/>
      <c r="Y63" s="254"/>
      <c r="Z63" s="254"/>
      <c r="AA63" s="254"/>
      <c r="AB63" s="254"/>
      <c r="AC63" s="254"/>
      <c r="AD63" s="254"/>
    </row>
    <row r="64" spans="1:30" s="153" customFormat="1" ht="30.75" customHeight="1" x14ac:dyDescent="0.3">
      <c r="A64" s="609"/>
      <c r="B64" s="757" t="s">
        <v>973</v>
      </c>
      <c r="C64" s="757"/>
      <c r="D64" s="757"/>
      <c r="E64" s="757"/>
      <c r="F64" s="757"/>
      <c r="G64" s="757"/>
      <c r="H64" s="757"/>
      <c r="I64" s="757"/>
      <c r="J64" s="757"/>
      <c r="K64" s="757"/>
      <c r="L64" s="757"/>
      <c r="M64" s="757"/>
      <c r="N64" s="757"/>
      <c r="O64" s="757"/>
      <c r="P64" s="757"/>
      <c r="Q64" s="757"/>
      <c r="R64" s="757"/>
      <c r="U64" s="254"/>
      <c r="V64" s="254"/>
      <c r="W64" s="254"/>
      <c r="X64" s="254"/>
      <c r="Y64" s="254"/>
      <c r="Z64" s="254"/>
      <c r="AA64" s="254"/>
      <c r="AB64" s="254"/>
      <c r="AC64" s="254"/>
      <c r="AD64" s="254"/>
    </row>
    <row r="65" spans="1:30" s="153" customFormat="1" ht="9.9" customHeight="1" x14ac:dyDescent="0.3">
      <c r="A65" s="609"/>
      <c r="B65" s="610"/>
      <c r="C65" s="610"/>
      <c r="D65" s="610"/>
      <c r="E65" s="610"/>
      <c r="F65" s="610"/>
      <c r="G65" s="610"/>
      <c r="H65" s="610"/>
      <c r="I65" s="610"/>
      <c r="J65" s="610"/>
      <c r="K65" s="610"/>
      <c r="L65" s="610"/>
      <c r="M65" s="610"/>
      <c r="N65" s="610"/>
      <c r="O65" s="610"/>
      <c r="P65" s="610"/>
      <c r="Q65" s="610"/>
      <c r="R65" s="610"/>
      <c r="U65" s="254"/>
      <c r="V65" s="254"/>
      <c r="W65" s="254"/>
      <c r="X65" s="254"/>
      <c r="Y65" s="254"/>
      <c r="Z65" s="254"/>
      <c r="AA65" s="254"/>
      <c r="AB65" s="254"/>
      <c r="AC65" s="254"/>
      <c r="AD65" s="254"/>
    </row>
    <row r="66" spans="1:30" ht="18" customHeight="1" x14ac:dyDescent="0.3">
      <c r="A66" s="450" t="s">
        <v>569</v>
      </c>
      <c r="B66" s="586"/>
      <c r="C66" s="586"/>
      <c r="D66" s="586"/>
      <c r="E66" s="586"/>
      <c r="F66" s="586"/>
      <c r="G66" s="586"/>
      <c r="H66" s="586"/>
      <c r="I66" s="586"/>
      <c r="J66" s="586"/>
      <c r="K66" s="586"/>
      <c r="L66" s="586"/>
      <c r="M66" s="586"/>
      <c r="N66" s="586"/>
      <c r="O66" s="586"/>
      <c r="P66" s="586"/>
      <c r="Q66" s="586"/>
      <c r="R66" s="586"/>
      <c r="T66" s="256"/>
      <c r="U66" s="256"/>
      <c r="V66" s="256"/>
    </row>
    <row r="67" spans="1:30" ht="56.25" customHeight="1" x14ac:dyDescent="0.3">
      <c r="A67" s="422"/>
      <c r="B67" s="758" t="s">
        <v>974</v>
      </c>
      <c r="C67" s="758"/>
      <c r="D67" s="758"/>
      <c r="E67" s="758"/>
      <c r="F67" s="758"/>
      <c r="G67" s="758"/>
      <c r="H67" s="758"/>
      <c r="I67" s="758"/>
      <c r="J67" s="758"/>
      <c r="K67" s="758"/>
      <c r="L67" s="758"/>
      <c r="M67" s="758"/>
      <c r="N67" s="758"/>
      <c r="O67" s="758"/>
      <c r="P67" s="758"/>
      <c r="Q67" s="758"/>
      <c r="R67" s="758"/>
      <c r="T67" s="257"/>
      <c r="U67" s="258"/>
      <c r="V67" s="258"/>
    </row>
    <row r="68" spans="1:30" ht="15.9" customHeight="1" x14ac:dyDescent="0.3">
      <c r="A68" s="255" t="s">
        <v>569</v>
      </c>
      <c r="B68" s="243"/>
      <c r="C68" s="243"/>
      <c r="D68" s="243"/>
      <c r="E68" s="243"/>
      <c r="F68" s="243"/>
      <c r="G68" s="243"/>
      <c r="H68" s="243"/>
      <c r="I68" s="243"/>
      <c r="J68" s="243"/>
      <c r="K68" s="243"/>
      <c r="L68" s="243"/>
      <c r="M68" s="243"/>
      <c r="N68" s="243"/>
      <c r="O68" s="243"/>
      <c r="P68" s="243"/>
      <c r="Q68" s="243"/>
      <c r="R68" s="243"/>
      <c r="S68" s="243"/>
      <c r="U68" s="257"/>
      <c r="V68" s="258"/>
      <c r="W68" s="258"/>
    </row>
    <row r="69" spans="1:30" ht="15.9" customHeight="1" x14ac:dyDescent="0.3">
      <c r="A69" s="255"/>
      <c r="B69" s="769" t="s">
        <v>891</v>
      </c>
      <c r="C69" s="769"/>
      <c r="D69" s="769"/>
      <c r="E69" s="769"/>
      <c r="F69" s="769"/>
      <c r="G69" s="769"/>
      <c r="H69" s="769"/>
      <c r="I69" s="769"/>
      <c r="J69" s="769"/>
      <c r="K69" s="769"/>
      <c r="L69" s="769"/>
      <c r="M69" s="769"/>
      <c r="N69" s="769"/>
      <c r="O69" s="769"/>
      <c r="P69" s="769"/>
      <c r="Q69" s="769"/>
      <c r="R69" s="769"/>
      <c r="S69" s="243"/>
      <c r="U69" s="257"/>
      <c r="V69" s="258"/>
      <c r="W69" s="258"/>
    </row>
    <row r="70" spans="1:30" ht="15.9" customHeight="1" x14ac:dyDescent="0.3">
      <c r="A70" s="255"/>
      <c r="B70" s="243"/>
      <c r="C70" s="252" t="s">
        <v>60</v>
      </c>
      <c r="D70" s="252"/>
      <c r="E70" s="252"/>
      <c r="F70" s="252"/>
      <c r="G70" s="252" t="s">
        <v>389</v>
      </c>
      <c r="H70" s="36" t="s">
        <v>806</v>
      </c>
      <c r="I70" s="152"/>
      <c r="J70" s="252"/>
      <c r="K70" s="243"/>
      <c r="L70" s="243"/>
      <c r="M70" s="243"/>
      <c r="N70" s="243"/>
      <c r="O70" s="243"/>
      <c r="P70" s="243"/>
      <c r="Q70" s="243"/>
      <c r="R70" s="243"/>
      <c r="S70" s="243"/>
      <c r="U70" s="257"/>
      <c r="V70" s="258"/>
      <c r="W70" s="258"/>
    </row>
    <row r="71" spans="1:30" ht="9.9" customHeight="1" x14ac:dyDescent="0.3">
      <c r="A71" s="255"/>
      <c r="B71" s="243"/>
      <c r="C71" s="252" t="s">
        <v>61</v>
      </c>
      <c r="D71" s="252"/>
      <c r="E71" s="252"/>
      <c r="F71" s="252"/>
      <c r="G71" s="252" t="s">
        <v>389</v>
      </c>
      <c r="H71" s="36" t="s">
        <v>811</v>
      </c>
      <c r="I71" s="154"/>
      <c r="J71" s="252"/>
      <c r="K71" s="243"/>
      <c r="L71" s="243"/>
      <c r="M71" s="243"/>
      <c r="N71" s="243"/>
      <c r="O71" s="243"/>
      <c r="P71" s="243"/>
      <c r="Q71" s="243"/>
      <c r="R71" s="243"/>
      <c r="T71" s="257"/>
      <c r="U71" s="258"/>
      <c r="V71" s="258"/>
    </row>
    <row r="72" spans="1:30" s="153" customFormat="1" ht="15.9" customHeight="1" x14ac:dyDescent="0.3">
      <c r="A72" s="255"/>
      <c r="B72" s="243"/>
      <c r="C72" s="252" t="s">
        <v>62</v>
      </c>
      <c r="D72" s="252"/>
      <c r="E72" s="252"/>
      <c r="F72" s="252"/>
      <c r="G72" s="252" t="s">
        <v>389</v>
      </c>
      <c r="H72" s="36" t="s">
        <v>807</v>
      </c>
      <c r="I72" s="154"/>
      <c r="J72" s="252"/>
      <c r="K72" s="243"/>
      <c r="L72" s="243"/>
      <c r="M72" s="243"/>
      <c r="N72" s="243"/>
      <c r="O72" s="243"/>
      <c r="P72" s="243"/>
      <c r="Q72" s="243"/>
      <c r="R72" s="243"/>
      <c r="S72" s="230"/>
      <c r="T72" s="257"/>
      <c r="U72" s="258"/>
    </row>
    <row r="73" spans="1:30" s="393" customFormat="1" ht="15.9" customHeight="1" x14ac:dyDescent="0.3">
      <c r="A73" s="255"/>
      <c r="B73" s="243"/>
      <c r="C73" s="252" t="s">
        <v>570</v>
      </c>
      <c r="D73" s="252"/>
      <c r="E73" s="252"/>
      <c r="F73" s="252"/>
      <c r="G73" s="252" t="s">
        <v>389</v>
      </c>
      <c r="H73" s="36" t="s">
        <v>697</v>
      </c>
      <c r="I73" s="154"/>
      <c r="J73" s="252"/>
      <c r="K73" s="243"/>
      <c r="L73" s="243"/>
      <c r="M73" s="243"/>
      <c r="N73" s="243"/>
      <c r="O73" s="243"/>
      <c r="P73" s="243"/>
      <c r="Q73" s="243"/>
      <c r="R73" s="243"/>
      <c r="S73" s="230"/>
      <c r="T73" s="257"/>
      <c r="U73" s="258"/>
    </row>
    <row r="74" spans="1:30" s="393" customFormat="1" ht="15.9" customHeight="1" x14ac:dyDescent="0.3">
      <c r="A74" s="255"/>
      <c r="B74" s="243"/>
      <c r="C74" s="252" t="s">
        <v>570</v>
      </c>
      <c r="D74" s="252"/>
      <c r="E74" s="252"/>
      <c r="F74" s="252"/>
      <c r="G74" s="252" t="s">
        <v>389</v>
      </c>
      <c r="H74" s="36" t="s">
        <v>808</v>
      </c>
      <c r="I74" s="154"/>
      <c r="J74" s="252"/>
      <c r="K74" s="243"/>
      <c r="L74" s="243"/>
      <c r="M74" s="243"/>
      <c r="N74" s="243"/>
      <c r="O74" s="243"/>
      <c r="P74" s="243"/>
      <c r="Q74" s="243"/>
      <c r="R74" s="243"/>
      <c r="S74" s="230"/>
      <c r="T74" s="257"/>
      <c r="U74" s="258"/>
    </row>
    <row r="75" spans="1:30" s="393" customFormat="1" ht="42" customHeight="1" x14ac:dyDescent="0.3">
      <c r="A75" s="255"/>
      <c r="B75" s="243"/>
      <c r="C75" s="252" t="s">
        <v>570</v>
      </c>
      <c r="D75" s="252"/>
      <c r="E75" s="252"/>
      <c r="F75" s="252"/>
      <c r="G75" s="252" t="s">
        <v>389</v>
      </c>
      <c r="H75" s="36" t="s">
        <v>809</v>
      </c>
      <c r="I75" s="154"/>
      <c r="J75" s="252"/>
      <c r="K75" s="243"/>
      <c r="L75" s="36"/>
      <c r="M75" s="243"/>
      <c r="N75" s="243"/>
      <c r="O75" s="243"/>
      <c r="P75" s="243"/>
      <c r="Q75" s="243"/>
      <c r="R75" s="243"/>
      <c r="S75" s="230"/>
      <c r="T75" s="257"/>
      <c r="U75" s="258"/>
    </row>
    <row r="76" spans="1:30" s="150" customFormat="1" ht="15" customHeight="1" x14ac:dyDescent="0.3">
      <c r="A76" s="255"/>
      <c r="B76" s="243"/>
      <c r="C76" s="252" t="s">
        <v>570</v>
      </c>
      <c r="D76" s="252"/>
      <c r="E76" s="252"/>
      <c r="F76" s="252"/>
      <c r="G76" s="252" t="s">
        <v>389</v>
      </c>
      <c r="H76" s="36" t="s">
        <v>810</v>
      </c>
      <c r="I76" s="154"/>
      <c r="J76" s="252"/>
      <c r="K76" s="243"/>
      <c r="L76" s="36"/>
      <c r="M76" s="243"/>
      <c r="N76" s="243"/>
      <c r="O76" s="243"/>
      <c r="P76" s="243"/>
      <c r="Q76" s="243"/>
      <c r="R76" s="243"/>
      <c r="S76" s="230"/>
      <c r="T76" s="257"/>
      <c r="U76" s="258"/>
    </row>
    <row r="77" spans="1:30" s="150" customFormat="1" ht="36.75" customHeight="1" x14ac:dyDescent="0.3">
      <c r="A77" s="255"/>
      <c r="B77" s="243"/>
      <c r="C77" s="243"/>
      <c r="D77" s="243"/>
      <c r="E77" s="243"/>
      <c r="F77" s="243"/>
      <c r="G77" s="243"/>
      <c r="H77" s="243"/>
      <c r="I77" s="243"/>
      <c r="J77" s="243"/>
      <c r="K77" s="243"/>
      <c r="L77" s="243"/>
      <c r="M77" s="243"/>
      <c r="N77" s="243"/>
      <c r="O77" s="243"/>
      <c r="P77" s="243"/>
      <c r="Q77" s="243"/>
      <c r="R77" s="243"/>
      <c r="S77" s="230"/>
      <c r="T77" s="257"/>
      <c r="U77" s="258"/>
    </row>
    <row r="78" spans="1:30" s="440" customFormat="1" ht="15.9" customHeight="1" x14ac:dyDescent="0.3">
      <c r="A78" s="259" t="s">
        <v>434</v>
      </c>
      <c r="B78" s="259"/>
      <c r="C78" s="260"/>
      <c r="D78" s="260"/>
      <c r="E78" s="260"/>
      <c r="F78" s="260"/>
      <c r="G78" s="260"/>
      <c r="H78" s="260"/>
      <c r="I78" s="260"/>
      <c r="J78" s="260"/>
      <c r="K78" s="260"/>
      <c r="L78" s="260"/>
      <c r="M78" s="260"/>
      <c r="N78" s="260"/>
      <c r="O78" s="260"/>
      <c r="P78" s="153"/>
      <c r="Q78" s="153"/>
      <c r="R78" s="153"/>
      <c r="S78" s="230"/>
      <c r="T78" s="257"/>
      <c r="U78" s="258"/>
      <c r="V78" s="439"/>
    </row>
    <row r="79" spans="1:30" s="393" customFormat="1" ht="15.9" customHeight="1" x14ac:dyDescent="0.3">
      <c r="A79" s="259"/>
      <c r="B79" s="421" t="str">
        <f>"During the year the Annual General Meeting of the members of the society was held on "&amp;TEXT(TIT!D17,"dd-mm-yyyy")</f>
        <v>During the year the Annual General Meeting of the members of the society was held on 28-09-2025</v>
      </c>
      <c r="C79" s="260"/>
      <c r="D79" s="260"/>
      <c r="E79" s="260"/>
      <c r="F79" s="260"/>
      <c r="G79" s="260"/>
      <c r="H79" s="260"/>
      <c r="I79" s="260"/>
      <c r="J79" s="260"/>
      <c r="K79" s="260"/>
      <c r="L79" s="260"/>
      <c r="M79" s="260"/>
      <c r="N79" s="260"/>
      <c r="O79" s="260"/>
      <c r="P79" s="153"/>
      <c r="Q79" s="153"/>
      <c r="R79" s="153"/>
      <c r="S79" s="230"/>
      <c r="T79" s="257"/>
      <c r="U79" s="258"/>
    </row>
    <row r="80" spans="1:30" s="393" customFormat="1" ht="15.9" customHeight="1" x14ac:dyDescent="0.3">
      <c r="A80" s="259"/>
      <c r="B80" s="421" t="str">
        <f>"During the year the Special General Meeting of the members of the society was held on "&amp;TEXT(TIT!D18,"dd-mm-yyyy")</f>
        <v>During the year the Special General Meeting of the members of the society was held on 16-11-2024 &amp; 16-02-2025</v>
      </c>
      <c r="C80" s="260"/>
      <c r="D80" s="260"/>
      <c r="E80" s="260"/>
      <c r="F80" s="260"/>
      <c r="G80" s="260"/>
      <c r="H80" s="260"/>
      <c r="I80" s="260"/>
      <c r="J80" s="260"/>
      <c r="K80" s="260"/>
      <c r="L80" s="260"/>
      <c r="M80" s="260"/>
      <c r="N80" s="260"/>
      <c r="O80" s="260"/>
      <c r="P80" s="153"/>
      <c r="Q80" s="153"/>
      <c r="R80" s="153"/>
      <c r="S80" s="153"/>
      <c r="T80" s="153"/>
      <c r="U80" s="153"/>
    </row>
    <row r="81" spans="1:26" s="395" customFormat="1" ht="15.9" customHeight="1" x14ac:dyDescent="0.3">
      <c r="A81" s="422"/>
      <c r="B81" s="423">
        <v>1</v>
      </c>
      <c r="C81" s="756" t="s">
        <v>571</v>
      </c>
      <c r="D81" s="756"/>
      <c r="E81" s="756"/>
      <c r="F81" s="756"/>
      <c r="G81" s="756"/>
      <c r="H81" s="756"/>
      <c r="I81" s="756"/>
      <c r="J81" s="756"/>
      <c r="K81" s="756"/>
      <c r="L81" s="756"/>
      <c r="M81" s="756"/>
      <c r="N81" s="756"/>
      <c r="O81" s="756"/>
      <c r="P81" s="756"/>
      <c r="Q81" s="756"/>
      <c r="R81" s="756"/>
      <c r="S81" s="395">
        <f>+TIT!D19</f>
        <v>10</v>
      </c>
      <c r="T81" s="396" t="e">
        <f>MID(U81,8,(LEN(U81)-6))</f>
        <v>#NAME?</v>
      </c>
      <c r="U81" s="396" t="e">
        <v>#NAME?</v>
      </c>
    </row>
    <row r="82" spans="1:26" s="397" customFormat="1" x14ac:dyDescent="0.3">
      <c r="A82" s="436"/>
      <c r="B82" s="437">
        <v>2</v>
      </c>
      <c r="C82" s="766" t="s">
        <v>678</v>
      </c>
      <c r="D82" s="766"/>
      <c r="E82" s="766"/>
      <c r="F82" s="766"/>
      <c r="G82" s="766"/>
      <c r="H82" s="766"/>
      <c r="I82" s="766"/>
      <c r="J82" s="766"/>
      <c r="K82" s="766"/>
      <c r="L82" s="766"/>
      <c r="M82" s="766"/>
      <c r="N82" s="766"/>
      <c r="O82" s="766"/>
      <c r="P82" s="766"/>
      <c r="Q82" s="766"/>
      <c r="R82" s="766"/>
    </row>
    <row r="83" spans="1:26" s="393" customFormat="1" ht="30" customHeight="1" x14ac:dyDescent="0.3">
      <c r="A83" s="436"/>
      <c r="B83" s="437">
        <v>3</v>
      </c>
      <c r="C83" s="766" t="s">
        <v>679</v>
      </c>
      <c r="D83" s="766"/>
      <c r="E83" s="766"/>
      <c r="F83" s="766"/>
      <c r="G83" s="766"/>
      <c r="H83" s="766"/>
      <c r="I83" s="766"/>
      <c r="J83" s="766"/>
      <c r="K83" s="766"/>
      <c r="L83" s="766"/>
      <c r="M83" s="766"/>
      <c r="N83" s="766"/>
      <c r="O83" s="766"/>
      <c r="P83" s="766"/>
      <c r="Q83" s="766"/>
      <c r="R83" s="766"/>
      <c r="S83" s="394"/>
    </row>
    <row r="84" spans="1:26" s="440" customFormat="1" ht="15.9" customHeight="1" x14ac:dyDescent="0.3">
      <c r="A84" s="438"/>
      <c r="B84" s="423">
        <v>4</v>
      </c>
      <c r="C84" s="425" t="s">
        <v>680</v>
      </c>
      <c r="D84" s="425"/>
      <c r="E84" s="425"/>
      <c r="F84" s="425"/>
      <c r="G84" s="425"/>
      <c r="H84" s="425"/>
      <c r="I84" s="425"/>
      <c r="J84" s="425"/>
      <c r="K84" s="425"/>
      <c r="L84" s="425"/>
      <c r="M84" s="425"/>
      <c r="N84" s="425"/>
      <c r="O84" s="425"/>
      <c r="P84" s="425"/>
      <c r="Q84" s="425"/>
      <c r="R84" s="425"/>
      <c r="S84" s="153"/>
      <c r="T84" s="153"/>
      <c r="U84" s="153"/>
      <c r="V84" s="439"/>
    </row>
    <row r="85" spans="1:26" ht="15" customHeight="1" x14ac:dyDescent="0.3">
      <c r="A85" s="422"/>
      <c r="B85" s="423">
        <v>5</v>
      </c>
      <c r="C85" s="756" t="s">
        <v>572</v>
      </c>
      <c r="D85" s="756"/>
      <c r="E85" s="756"/>
      <c r="F85" s="756"/>
      <c r="G85" s="756"/>
      <c r="H85" s="756"/>
      <c r="I85" s="756"/>
      <c r="J85" s="756"/>
      <c r="K85" s="756"/>
      <c r="L85" s="756"/>
      <c r="M85" s="756"/>
      <c r="N85" s="756"/>
      <c r="O85" s="756"/>
      <c r="P85" s="756"/>
      <c r="Q85" s="756"/>
      <c r="R85" s="756"/>
    </row>
    <row r="86" spans="1:26" ht="15.9" customHeight="1" x14ac:dyDescent="0.3">
      <c r="A86" s="422"/>
      <c r="B86" s="424" t="s">
        <v>573</v>
      </c>
      <c r="C86" s="425"/>
      <c r="D86" s="425"/>
      <c r="E86" s="425"/>
      <c r="F86" s="425"/>
      <c r="G86" s="425"/>
      <c r="H86" s="425"/>
      <c r="I86" s="425"/>
      <c r="J86" s="425"/>
      <c r="K86" s="425"/>
      <c r="L86" s="425"/>
      <c r="M86" s="425"/>
      <c r="N86" s="425"/>
      <c r="O86" s="425"/>
      <c r="P86" s="425"/>
      <c r="Q86" s="425"/>
      <c r="R86" s="425"/>
      <c r="T86" s="262"/>
      <c r="U86" s="263"/>
      <c r="V86" s="263"/>
    </row>
    <row r="87" spans="1:26" ht="15.9" customHeight="1" x14ac:dyDescent="0.3">
      <c r="A87" s="253"/>
      <c r="B87" s="768" t="e">
        <f>S81&amp;" ["&amp;T81&amp;"] meetings of the Managing Committee of the Society were held during the year."</f>
        <v>#NAME?</v>
      </c>
      <c r="C87" s="768"/>
      <c r="D87" s="768"/>
      <c r="E87" s="768"/>
      <c r="F87" s="768"/>
      <c r="G87" s="768"/>
      <c r="H87" s="768"/>
      <c r="I87" s="768"/>
      <c r="J87" s="768"/>
      <c r="K87" s="768"/>
      <c r="L87" s="768"/>
      <c r="M87" s="768"/>
      <c r="N87" s="768"/>
      <c r="O87" s="768"/>
      <c r="P87" s="768"/>
      <c r="Q87" s="768"/>
      <c r="R87" s="150"/>
      <c r="T87" s="264"/>
      <c r="U87" s="263"/>
      <c r="V87" s="263"/>
    </row>
    <row r="88" spans="1:26" ht="16.5" customHeight="1" x14ac:dyDescent="0.3">
      <c r="A88" s="426"/>
      <c r="B88" s="236">
        <v>1</v>
      </c>
      <c r="C88" s="237" t="s">
        <v>574</v>
      </c>
      <c r="D88" s="237"/>
      <c r="E88" s="426"/>
      <c r="F88" s="237"/>
      <c r="G88" s="237"/>
      <c r="H88" s="237"/>
      <c r="I88" s="237"/>
      <c r="J88" s="427"/>
      <c r="K88" s="427"/>
      <c r="L88" s="426"/>
      <c r="M88" s="426"/>
      <c r="N88" s="237"/>
      <c r="O88" s="237"/>
      <c r="P88" s="237"/>
      <c r="Q88" s="237"/>
      <c r="R88" s="237"/>
    </row>
    <row r="89" spans="1:26" ht="14.25" customHeight="1" x14ac:dyDescent="0.3">
      <c r="A89" s="422"/>
      <c r="B89" s="236">
        <v>2</v>
      </c>
      <c r="C89" s="756" t="s">
        <v>572</v>
      </c>
      <c r="D89" s="756"/>
      <c r="E89" s="756"/>
      <c r="F89" s="756"/>
      <c r="G89" s="756"/>
      <c r="H89" s="756"/>
      <c r="I89" s="756"/>
      <c r="J89" s="756"/>
      <c r="K89" s="756"/>
      <c r="L89" s="756"/>
      <c r="M89" s="756"/>
      <c r="N89" s="756"/>
      <c r="O89" s="756"/>
      <c r="P89" s="756"/>
      <c r="Q89" s="756"/>
      <c r="R89" s="756"/>
    </row>
    <row r="90" spans="1:26" ht="13.5" customHeight="1" x14ac:dyDescent="0.3">
      <c r="A90" s="438"/>
      <c r="B90" s="423">
        <v>3</v>
      </c>
      <c r="C90" s="425" t="s">
        <v>680</v>
      </c>
      <c r="D90" s="425"/>
      <c r="E90" s="425"/>
      <c r="F90" s="425"/>
      <c r="G90" s="425"/>
      <c r="H90" s="425"/>
      <c r="I90" s="425"/>
      <c r="J90" s="425"/>
      <c r="K90" s="425"/>
      <c r="L90" s="425"/>
      <c r="M90" s="425"/>
      <c r="N90" s="425"/>
      <c r="O90" s="425"/>
      <c r="P90" s="425"/>
      <c r="Q90" s="425"/>
      <c r="R90" s="425"/>
    </row>
    <row r="91" spans="1:26" ht="13.5" customHeight="1" x14ac:dyDescent="0.3">
      <c r="A91" s="261" t="s">
        <v>437</v>
      </c>
      <c r="B91" s="255"/>
      <c r="C91" s="235"/>
      <c r="D91" s="235"/>
      <c r="E91" s="235"/>
      <c r="F91" s="235"/>
      <c r="G91" s="235"/>
      <c r="H91" s="235"/>
      <c r="I91" s="235"/>
      <c r="J91" s="235"/>
      <c r="K91" s="235"/>
      <c r="L91" s="235"/>
      <c r="M91" s="235"/>
      <c r="N91" s="235"/>
      <c r="O91" s="235"/>
      <c r="P91" s="235"/>
      <c r="Q91" s="235"/>
      <c r="R91" s="235"/>
    </row>
    <row r="92" spans="1:26" ht="13.5" customHeight="1" x14ac:dyDescent="0.3">
      <c r="A92" s="255"/>
      <c r="B92" s="769" t="s">
        <v>892</v>
      </c>
      <c r="C92" s="769"/>
      <c r="D92" s="769"/>
      <c r="E92" s="769"/>
      <c r="F92" s="769"/>
      <c r="G92" s="769"/>
      <c r="H92" s="769"/>
      <c r="I92" s="769"/>
      <c r="J92" s="769"/>
      <c r="K92" s="769"/>
      <c r="L92" s="769"/>
      <c r="M92" s="769"/>
      <c r="N92" s="769"/>
      <c r="O92" s="769"/>
      <c r="P92" s="769"/>
      <c r="Q92" s="769"/>
      <c r="R92" s="769"/>
    </row>
    <row r="93" spans="1:26" s="347" customFormat="1" ht="15" customHeight="1" x14ac:dyDescent="0.3">
      <c r="A93" s="255"/>
      <c r="B93" s="243"/>
      <c r="C93" s="243"/>
      <c r="D93" s="243"/>
      <c r="E93" s="243"/>
      <c r="F93" s="243"/>
      <c r="G93" s="243"/>
      <c r="H93" s="243"/>
      <c r="I93" s="243"/>
      <c r="J93" s="243"/>
      <c r="K93" s="243"/>
      <c r="L93" s="243"/>
      <c r="M93" s="243"/>
      <c r="N93" s="243"/>
      <c r="O93" s="243"/>
      <c r="P93" s="243"/>
      <c r="Q93" s="243"/>
      <c r="R93" s="243"/>
      <c r="S93" s="348"/>
      <c r="T93" s="348"/>
      <c r="U93" s="349"/>
      <c r="W93" s="350"/>
      <c r="X93" s="350"/>
      <c r="Y93" s="351"/>
      <c r="Z93" s="352"/>
    </row>
    <row r="94" spans="1:26" x14ac:dyDescent="0.3">
      <c r="A94" s="261" t="s">
        <v>575</v>
      </c>
      <c r="B94" s="243"/>
      <c r="C94" s="243"/>
      <c r="D94" s="243"/>
      <c r="E94" s="243"/>
      <c r="F94" s="243"/>
      <c r="G94" s="243"/>
      <c r="H94" s="243"/>
      <c r="I94" s="243"/>
      <c r="J94" s="243"/>
      <c r="K94" s="243"/>
      <c r="L94" s="243"/>
      <c r="M94" s="243"/>
      <c r="N94" s="243"/>
      <c r="O94" s="243"/>
      <c r="P94" s="243"/>
      <c r="Q94" s="243"/>
      <c r="R94" s="243"/>
    </row>
    <row r="95" spans="1:26" x14ac:dyDescent="0.3">
      <c r="A95" s="255"/>
      <c r="B95" s="235">
        <v>1</v>
      </c>
      <c r="C95" s="235" t="s">
        <v>576</v>
      </c>
      <c r="D95" s="235"/>
      <c r="E95" s="235"/>
      <c r="F95" s="235"/>
      <c r="G95" s="235"/>
      <c r="H95" s="235"/>
      <c r="I95" s="235"/>
      <c r="J95" s="235"/>
      <c r="K95" s="235"/>
      <c r="L95" s="235"/>
      <c r="M95" s="235"/>
      <c r="N95" s="235"/>
      <c r="O95" s="235"/>
      <c r="P95" s="235"/>
      <c r="Q95" s="235"/>
      <c r="R95" s="235"/>
    </row>
    <row r="96" spans="1:26" x14ac:dyDescent="0.3">
      <c r="A96" s="255"/>
      <c r="B96" s="235">
        <v>2</v>
      </c>
      <c r="C96" s="235" t="s">
        <v>577</v>
      </c>
      <c r="D96" s="235"/>
      <c r="E96" s="235"/>
      <c r="F96" s="235"/>
      <c r="G96" s="235"/>
      <c r="H96" s="235"/>
      <c r="I96" s="235"/>
      <c r="J96" s="235"/>
      <c r="K96" s="235"/>
      <c r="L96" s="235"/>
      <c r="M96" s="235"/>
      <c r="N96" s="235"/>
      <c r="O96" s="235"/>
      <c r="P96" s="235"/>
      <c r="Q96" s="235"/>
      <c r="R96" s="235"/>
    </row>
    <row r="97" spans="1:25" x14ac:dyDescent="0.3">
      <c r="A97" s="255" t="s">
        <v>578</v>
      </c>
      <c r="B97" s="235"/>
      <c r="C97" s="235"/>
      <c r="D97" s="235"/>
      <c r="E97" s="235"/>
      <c r="F97" s="235"/>
      <c r="G97" s="235"/>
      <c r="H97" s="235"/>
      <c r="I97" s="235"/>
      <c r="J97" s="235"/>
      <c r="K97" s="235"/>
      <c r="L97" s="235"/>
      <c r="M97" s="235"/>
      <c r="N97" s="235"/>
      <c r="O97" s="235"/>
      <c r="P97" s="235"/>
      <c r="Q97" s="235"/>
      <c r="R97" s="235"/>
      <c r="S97" s="230" t="s">
        <v>999</v>
      </c>
    </row>
    <row r="98" spans="1:25" x14ac:dyDescent="0.3">
      <c r="A98" s="255"/>
      <c r="B98" s="235">
        <v>1</v>
      </c>
      <c r="C98" s="235" t="s">
        <v>579</v>
      </c>
      <c r="D98" s="235"/>
      <c r="E98" s="235"/>
      <c r="F98" s="235"/>
      <c r="G98" s="235"/>
      <c r="H98" s="235"/>
      <c r="I98" s="235"/>
      <c r="J98" s="235"/>
      <c r="K98" s="235"/>
      <c r="L98" s="235"/>
      <c r="M98" s="235"/>
      <c r="N98" s="235"/>
      <c r="O98" s="235"/>
      <c r="P98" s="235"/>
      <c r="Q98" s="235"/>
      <c r="R98" s="235"/>
      <c r="T98" s="266"/>
    </row>
    <row r="99" spans="1:25" x14ac:dyDescent="0.3">
      <c r="A99" s="346"/>
      <c r="B99" s="347">
        <v>2</v>
      </c>
      <c r="C99" s="347" t="s">
        <v>629</v>
      </c>
      <c r="D99" s="347"/>
      <c r="E99" s="347"/>
      <c r="F99" s="347"/>
      <c r="G99" s="347"/>
      <c r="H99" s="347"/>
      <c r="I99" s="347"/>
      <c r="J99" s="347"/>
      <c r="K99" s="347"/>
      <c r="L99" s="347"/>
      <c r="M99" s="347"/>
      <c r="N99" s="347"/>
      <c r="O99" s="347"/>
      <c r="P99" s="347"/>
      <c r="Q99" s="347"/>
      <c r="R99" s="347"/>
      <c r="T99" s="266"/>
    </row>
    <row r="100" spans="1:25" ht="15.6" x14ac:dyDescent="0.3">
      <c r="A100" s="255"/>
      <c r="B100" s="235"/>
      <c r="C100" s="235"/>
      <c r="D100" s="235"/>
      <c r="E100" s="235"/>
      <c r="F100" s="235"/>
      <c r="G100" s="235"/>
      <c r="H100" s="235"/>
      <c r="I100" s="235"/>
      <c r="J100" s="235"/>
      <c r="K100" s="235"/>
      <c r="L100" s="235"/>
      <c r="M100" s="235"/>
      <c r="N100" s="235"/>
      <c r="O100" s="235"/>
      <c r="P100" s="235"/>
      <c r="Q100" s="235"/>
      <c r="R100" s="235"/>
      <c r="U100" s="267"/>
      <c r="V100" s="267"/>
      <c r="W100" s="267"/>
      <c r="X100" s="267"/>
      <c r="Y100" s="267"/>
    </row>
    <row r="101" spans="1:25" ht="15.6" x14ac:dyDescent="0.3">
      <c r="A101" s="255"/>
      <c r="B101" s="235"/>
      <c r="C101" s="235"/>
      <c r="D101" s="235"/>
      <c r="E101" s="235"/>
      <c r="F101" s="235"/>
      <c r="G101" s="235"/>
      <c r="H101" s="235"/>
      <c r="I101" s="235"/>
      <c r="J101" s="235"/>
      <c r="K101" s="235"/>
      <c r="L101" s="235"/>
      <c r="M101" s="235"/>
      <c r="N101" s="235"/>
      <c r="O101" s="235"/>
      <c r="P101" s="235"/>
      <c r="Q101" s="235"/>
      <c r="R101" s="235"/>
      <c r="U101" s="268"/>
      <c r="V101" s="267"/>
      <c r="W101" s="269"/>
      <c r="X101" s="269"/>
      <c r="Y101" s="269"/>
    </row>
    <row r="102" spans="1:25" s="235" customFormat="1" ht="15.6" x14ac:dyDescent="0.3">
      <c r="A102" s="265" t="s">
        <v>580</v>
      </c>
      <c r="B102" s="255"/>
      <c r="U102" s="270"/>
      <c r="V102" s="271"/>
      <c r="W102" s="272"/>
      <c r="X102" s="272"/>
      <c r="Y102" s="269"/>
    </row>
    <row r="103" spans="1:25" s="235" customFormat="1" ht="15.9" customHeight="1" x14ac:dyDescent="0.3">
      <c r="A103" s="230"/>
      <c r="B103" s="769" t="str">
        <f>"During the year under audit the society has shown SURPLUS  of Rs. "&amp;ROUND(('I&amp;E'!D36+'I&amp;E'!H36),2) &amp;"/- For the year ending 31-Mar-2024."</f>
        <v>During the year under audit the society has shown SURPLUS  of Rs. 58504.82/- For the year ending 31-Mar-2024.</v>
      </c>
      <c r="C103" s="769"/>
      <c r="D103" s="769"/>
      <c r="E103" s="769"/>
      <c r="F103" s="769"/>
      <c r="G103" s="769"/>
      <c r="H103" s="769"/>
      <c r="I103" s="769"/>
      <c r="J103" s="769"/>
      <c r="K103" s="769"/>
      <c r="L103" s="769"/>
      <c r="M103" s="769"/>
      <c r="N103" s="769"/>
      <c r="O103" s="769"/>
      <c r="P103" s="769"/>
      <c r="Q103" s="769"/>
      <c r="R103" s="769"/>
      <c r="U103" s="270"/>
      <c r="V103" s="273"/>
      <c r="W103" s="272"/>
      <c r="X103" s="272"/>
      <c r="Y103" s="272"/>
    </row>
    <row r="104" spans="1:25" s="274" customFormat="1" ht="15.6" x14ac:dyDescent="0.3">
      <c r="A104" s="230"/>
      <c r="B104" s="243"/>
      <c r="C104" s="243"/>
      <c r="D104" s="243"/>
      <c r="E104" s="243"/>
      <c r="F104" s="243"/>
      <c r="G104" s="243"/>
      <c r="H104" s="243"/>
      <c r="I104" s="243"/>
      <c r="J104" s="243"/>
      <c r="K104" s="243"/>
      <c r="L104" s="243"/>
      <c r="M104" s="243"/>
      <c r="N104" s="243"/>
      <c r="O104" s="243"/>
      <c r="P104" s="243"/>
      <c r="Q104" s="243"/>
      <c r="R104" s="243"/>
      <c r="U104" s="270"/>
      <c r="V104" s="271"/>
      <c r="W104" s="272"/>
      <c r="X104" s="272"/>
      <c r="Y104" s="269"/>
    </row>
    <row r="105" spans="1:25" s="274" customFormat="1" ht="15.6" x14ac:dyDescent="0.3">
      <c r="A105" s="265" t="s">
        <v>893</v>
      </c>
      <c r="B105" s="255"/>
      <c r="C105" s="235"/>
      <c r="D105" s="235"/>
      <c r="E105" s="235"/>
      <c r="F105" s="235"/>
      <c r="G105" s="235"/>
      <c r="H105" s="235"/>
      <c r="I105" s="235"/>
      <c r="J105" s="235"/>
      <c r="K105" s="235"/>
      <c r="L105" s="235"/>
      <c r="M105" s="235"/>
      <c r="N105" s="235"/>
      <c r="O105" s="235"/>
      <c r="P105" s="235"/>
      <c r="Q105" s="235"/>
      <c r="R105" s="235"/>
      <c r="U105" s="270"/>
      <c r="V105" s="275"/>
      <c r="W105" s="276"/>
      <c r="X105" s="276"/>
      <c r="Y105" s="276"/>
    </row>
    <row r="106" spans="1:25" s="235" customFormat="1" ht="16.2" thickBot="1" x14ac:dyDescent="0.35">
      <c r="A106" s="265"/>
      <c r="B106" s="255"/>
      <c r="U106" s="270"/>
      <c r="V106" s="277"/>
      <c r="W106" s="269"/>
      <c r="X106" s="269"/>
      <c r="Y106" s="269"/>
    </row>
    <row r="107" spans="1:25" s="235" customFormat="1" ht="16.2" thickBot="1" x14ac:dyDescent="0.35">
      <c r="A107" s="818" t="s">
        <v>38</v>
      </c>
      <c r="B107" s="819"/>
      <c r="C107" s="802" t="s">
        <v>521</v>
      </c>
      <c r="D107" s="802"/>
      <c r="E107" s="802"/>
      <c r="F107" s="802"/>
      <c r="G107" s="802"/>
      <c r="H107" s="802"/>
      <c r="I107" s="802"/>
      <c r="J107" s="782">
        <v>45382</v>
      </c>
      <c r="K107" s="783"/>
      <c r="L107" s="783"/>
      <c r="M107" s="782">
        <v>45016</v>
      </c>
      <c r="N107" s="783"/>
      <c r="O107" s="783"/>
      <c r="P107" s="784" t="s">
        <v>581</v>
      </c>
      <c r="Q107" s="785"/>
      <c r="R107" s="786"/>
      <c r="U107" s="270"/>
      <c r="V107" s="277"/>
      <c r="W107" s="269"/>
      <c r="X107" s="269"/>
      <c r="Y107" s="269"/>
    </row>
    <row r="108" spans="1:25" s="235" customFormat="1" ht="15.6" x14ac:dyDescent="0.3">
      <c r="A108" s="787"/>
      <c r="B108" s="787"/>
      <c r="C108" s="820" t="s">
        <v>582</v>
      </c>
      <c r="D108" s="821"/>
      <c r="E108" s="821"/>
      <c r="F108" s="821"/>
      <c r="G108" s="821"/>
      <c r="H108" s="821"/>
      <c r="I108" s="822"/>
      <c r="J108" s="767"/>
      <c r="K108" s="767"/>
      <c r="L108" s="767"/>
      <c r="M108" s="767"/>
      <c r="N108" s="767"/>
      <c r="O108" s="767"/>
      <c r="P108" s="767"/>
      <c r="Q108" s="767"/>
      <c r="R108" s="767"/>
      <c r="U108" s="270"/>
      <c r="V108" s="271"/>
      <c r="W108" s="272"/>
      <c r="X108" s="272"/>
      <c r="Y108" s="269"/>
    </row>
    <row r="109" spans="1:25" s="235" customFormat="1" ht="15.6" x14ac:dyDescent="0.3">
      <c r="A109" s="790">
        <v>1</v>
      </c>
      <c r="B109" s="790"/>
      <c r="C109" s="791" t="s">
        <v>583</v>
      </c>
      <c r="D109" s="792"/>
      <c r="E109" s="792"/>
      <c r="F109" s="792"/>
      <c r="G109" s="792"/>
      <c r="H109" s="792"/>
      <c r="I109" s="793"/>
      <c r="J109" s="794">
        <f>+'Bal-Sheet'!D9</f>
        <v>7500</v>
      </c>
      <c r="K109" s="794"/>
      <c r="L109" s="794"/>
      <c r="M109" s="794">
        <f>+'Bal-Sheet'!A9</f>
        <v>7500</v>
      </c>
      <c r="N109" s="794"/>
      <c r="O109" s="794"/>
      <c r="P109" s="794">
        <f t="shared" ref="P109:P114" si="0">+J109-M109</f>
        <v>0</v>
      </c>
      <c r="Q109" s="794"/>
      <c r="R109" s="794"/>
      <c r="U109" s="270"/>
      <c r="V109" s="271"/>
      <c r="W109" s="272"/>
      <c r="X109" s="272"/>
      <c r="Y109" s="269"/>
    </row>
    <row r="110" spans="1:25" s="235" customFormat="1" ht="15.6" x14ac:dyDescent="0.3">
      <c r="A110" s="787">
        <v>2</v>
      </c>
      <c r="B110" s="787"/>
      <c r="C110" s="795" t="s">
        <v>584</v>
      </c>
      <c r="D110" s="796"/>
      <c r="E110" s="796"/>
      <c r="F110" s="796"/>
      <c r="G110" s="796"/>
      <c r="H110" s="796"/>
      <c r="I110" s="797"/>
      <c r="J110" s="765">
        <f>+SUM('Bal-Sheet'!D15:D29)</f>
        <v>1197753.54</v>
      </c>
      <c r="K110" s="765"/>
      <c r="L110" s="765"/>
      <c r="M110" s="765">
        <f>+SUM('Bal-Sheet'!A12:A28)</f>
        <v>1109533.54</v>
      </c>
      <c r="N110" s="765"/>
      <c r="O110" s="765"/>
      <c r="P110" s="789">
        <f t="shared" si="0"/>
        <v>88220</v>
      </c>
      <c r="Q110" s="789"/>
      <c r="R110" s="789"/>
      <c r="U110" s="270"/>
      <c r="V110" s="271"/>
      <c r="W110" s="269"/>
      <c r="X110" s="269"/>
      <c r="Y110" s="269"/>
    </row>
    <row r="111" spans="1:25" s="235" customFormat="1" ht="15.6" x14ac:dyDescent="0.3">
      <c r="A111" s="787">
        <v>3</v>
      </c>
      <c r="B111" s="787"/>
      <c r="C111" s="788" t="s">
        <v>585</v>
      </c>
      <c r="D111" s="788"/>
      <c r="E111" s="788"/>
      <c r="F111" s="788"/>
      <c r="G111" s="788"/>
      <c r="H111" s="788"/>
      <c r="I111" s="788"/>
      <c r="J111" s="765">
        <f>+'Bal-Sheet'!D39</f>
        <v>214637</v>
      </c>
      <c r="K111" s="765"/>
      <c r="L111" s="765"/>
      <c r="M111" s="765">
        <f>+SUM('Bal-Sheet'!A34:A39)</f>
        <v>104511</v>
      </c>
      <c r="N111" s="765"/>
      <c r="O111" s="765"/>
      <c r="P111" s="789">
        <f t="shared" si="0"/>
        <v>110126</v>
      </c>
      <c r="Q111" s="789"/>
      <c r="R111" s="789"/>
      <c r="U111" s="270"/>
      <c r="V111" s="271"/>
      <c r="W111" s="272"/>
      <c r="X111" s="272"/>
      <c r="Y111" s="269"/>
    </row>
    <row r="112" spans="1:25" s="235" customFormat="1" ht="15.6" x14ac:dyDescent="0.3">
      <c r="A112" s="787">
        <v>4</v>
      </c>
      <c r="B112" s="787"/>
      <c r="C112" s="788" t="s">
        <v>586</v>
      </c>
      <c r="D112" s="788"/>
      <c r="E112" s="788"/>
      <c r="F112" s="788"/>
      <c r="G112" s="788"/>
      <c r="H112" s="788"/>
      <c r="I112" s="788"/>
      <c r="J112" s="765">
        <f>+'Bal-Sheet'!D43</f>
        <v>13861</v>
      </c>
      <c r="K112" s="765"/>
      <c r="L112" s="765"/>
      <c r="M112" s="765">
        <f>+'Bal-Sheet'!A43</f>
        <v>23563</v>
      </c>
      <c r="N112" s="765"/>
      <c r="O112" s="765"/>
      <c r="P112" s="789">
        <f t="shared" si="0"/>
        <v>-9702</v>
      </c>
      <c r="Q112" s="789"/>
      <c r="R112" s="789"/>
      <c r="U112" s="270"/>
      <c r="V112" s="271"/>
      <c r="W112" s="272"/>
      <c r="X112" s="272"/>
      <c r="Y112" s="272"/>
    </row>
    <row r="113" spans="1:26" s="235" customFormat="1" ht="15.6" x14ac:dyDescent="0.3">
      <c r="A113" s="823">
        <v>5</v>
      </c>
      <c r="B113" s="790"/>
      <c r="C113" s="791" t="s">
        <v>706</v>
      </c>
      <c r="D113" s="792"/>
      <c r="E113" s="792"/>
      <c r="F113" s="792"/>
      <c r="G113" s="792"/>
      <c r="H113" s="792"/>
      <c r="I113" s="793"/>
      <c r="J113" s="794">
        <f>+'Bal-Sheet'!D45</f>
        <v>251296</v>
      </c>
      <c r="K113" s="794"/>
      <c r="L113" s="794"/>
      <c r="M113" s="794">
        <f>+'Bal-Sheet'!A45</f>
        <v>251296</v>
      </c>
      <c r="N113" s="794"/>
      <c r="O113" s="794"/>
      <c r="P113" s="794">
        <f>+J113-M113</f>
        <v>0</v>
      </c>
      <c r="Q113" s="794"/>
      <c r="R113" s="902"/>
      <c r="U113" s="270"/>
      <c r="V113" s="271"/>
      <c r="W113" s="272"/>
      <c r="X113" s="272"/>
      <c r="Y113" s="269"/>
    </row>
    <row r="114" spans="1:26" s="235" customFormat="1" ht="15.6" x14ac:dyDescent="0.3">
      <c r="A114" s="823">
        <v>5</v>
      </c>
      <c r="B114" s="790"/>
      <c r="C114" s="791" t="s">
        <v>419</v>
      </c>
      <c r="D114" s="792"/>
      <c r="E114" s="792"/>
      <c r="F114" s="792"/>
      <c r="G114" s="792"/>
      <c r="H114" s="792"/>
      <c r="I114" s="793"/>
      <c r="J114" s="794">
        <f>+'Bal-Sheet'!D51</f>
        <v>505284.92</v>
      </c>
      <c r="K114" s="794"/>
      <c r="L114" s="794"/>
      <c r="M114" s="794">
        <f>+'Bal-Sheet'!A50</f>
        <v>446780.1</v>
      </c>
      <c r="N114" s="794"/>
      <c r="O114" s="794"/>
      <c r="P114" s="800">
        <f t="shared" si="0"/>
        <v>58504.820000000007</v>
      </c>
      <c r="Q114" s="800"/>
      <c r="R114" s="849"/>
      <c r="U114" s="270"/>
      <c r="V114" s="271"/>
      <c r="W114" s="272"/>
      <c r="X114" s="272"/>
      <c r="Y114" s="269"/>
    </row>
    <row r="115" spans="1:26" s="235" customFormat="1" ht="16.2" thickBot="1" x14ac:dyDescent="0.35">
      <c r="A115" s="850"/>
      <c r="B115" s="851"/>
      <c r="C115" s="852" t="s">
        <v>424</v>
      </c>
      <c r="D115" s="853"/>
      <c r="E115" s="853"/>
      <c r="F115" s="853"/>
      <c r="G115" s="853"/>
      <c r="H115" s="853"/>
      <c r="I115" s="854"/>
      <c r="J115" s="855">
        <f>SUM(J109:L114)</f>
        <v>2190332.46</v>
      </c>
      <c r="K115" s="855"/>
      <c r="L115" s="855"/>
      <c r="M115" s="855">
        <f>SUM(M109:O114)</f>
        <v>1943183.6400000001</v>
      </c>
      <c r="N115" s="855"/>
      <c r="O115" s="855"/>
      <c r="P115" s="856">
        <f>SUM(P109:R114)</f>
        <v>247148.82</v>
      </c>
      <c r="Q115" s="856"/>
      <c r="R115" s="857"/>
      <c r="U115" s="270"/>
      <c r="V115" s="271"/>
      <c r="W115" s="272"/>
      <c r="X115" s="272"/>
      <c r="Y115" s="272"/>
    </row>
    <row r="116" spans="1:26" s="235" customFormat="1" ht="15.6" x14ac:dyDescent="0.3">
      <c r="A116" s="790"/>
      <c r="B116" s="790"/>
      <c r="C116" s="858" t="s">
        <v>587</v>
      </c>
      <c r="D116" s="859"/>
      <c r="E116" s="859"/>
      <c r="F116" s="859"/>
      <c r="G116" s="859"/>
      <c r="H116" s="859"/>
      <c r="I116" s="860"/>
      <c r="J116" s="794"/>
      <c r="K116" s="794"/>
      <c r="L116" s="794"/>
      <c r="M116" s="794"/>
      <c r="N116" s="794"/>
      <c r="O116" s="794"/>
      <c r="P116" s="794"/>
      <c r="Q116" s="794"/>
      <c r="R116" s="794"/>
      <c r="U116" s="270"/>
      <c r="V116" s="271"/>
      <c r="W116" s="272"/>
      <c r="X116" s="272"/>
      <c r="Y116" s="269"/>
    </row>
    <row r="117" spans="1:26" s="235" customFormat="1" ht="15.6" x14ac:dyDescent="0.3">
      <c r="A117" s="787">
        <v>1</v>
      </c>
      <c r="B117" s="787"/>
      <c r="C117" s="795" t="s">
        <v>588</v>
      </c>
      <c r="D117" s="796"/>
      <c r="E117" s="796"/>
      <c r="F117" s="796"/>
      <c r="G117" s="796"/>
      <c r="H117" s="796"/>
      <c r="I117" s="797"/>
      <c r="J117" s="765">
        <f>+'Bal-Sheet'!H9</f>
        <v>637224.46</v>
      </c>
      <c r="K117" s="765"/>
      <c r="L117" s="765"/>
      <c r="M117" s="765">
        <f>+SUM('Bal-Sheet'!E7:E9)</f>
        <v>360685.64</v>
      </c>
      <c r="N117" s="765"/>
      <c r="O117" s="765"/>
      <c r="P117" s="789">
        <f t="shared" ref="P117:P122" si="1">+J117-M117</f>
        <v>276538.81999999995</v>
      </c>
      <c r="Q117" s="789"/>
      <c r="R117" s="789"/>
      <c r="S117" s="398"/>
      <c r="U117" s="270"/>
      <c r="V117" s="278"/>
      <c r="W117" s="272"/>
      <c r="X117" s="269"/>
      <c r="Y117" s="269"/>
    </row>
    <row r="118" spans="1:26" s="235" customFormat="1" x14ac:dyDescent="0.3">
      <c r="A118" s="787">
        <v>2</v>
      </c>
      <c r="B118" s="787"/>
      <c r="C118" s="795" t="s">
        <v>589</v>
      </c>
      <c r="D118" s="796"/>
      <c r="E118" s="796"/>
      <c r="F118" s="796"/>
      <c r="G118" s="796"/>
      <c r="H118" s="796"/>
      <c r="I118" s="797"/>
      <c r="J118" s="765">
        <f>+'Bal-Sheet'!H16+'Bal-Sheet'!H19</f>
        <v>1367504</v>
      </c>
      <c r="K118" s="765"/>
      <c r="L118" s="765"/>
      <c r="M118" s="765">
        <f>+SUM('Bal-Sheet'!E12:E19)</f>
        <v>1515971</v>
      </c>
      <c r="N118" s="765"/>
      <c r="O118" s="765"/>
      <c r="P118" s="789">
        <f t="shared" si="1"/>
        <v>-148467</v>
      </c>
      <c r="Q118" s="789"/>
      <c r="R118" s="789"/>
    </row>
    <row r="119" spans="1:26" s="235" customFormat="1" x14ac:dyDescent="0.3">
      <c r="A119" s="787">
        <v>3</v>
      </c>
      <c r="B119" s="787"/>
      <c r="C119" s="795" t="s">
        <v>590</v>
      </c>
      <c r="D119" s="796"/>
      <c r="E119" s="796"/>
      <c r="F119" s="796"/>
      <c r="G119" s="796"/>
      <c r="H119" s="796"/>
      <c r="I119" s="797"/>
      <c r="J119" s="765">
        <f>+SUM('Bal-Sheet'!H30:H40)</f>
        <v>47431</v>
      </c>
      <c r="K119" s="765"/>
      <c r="L119" s="765"/>
      <c r="M119" s="765">
        <f>+SUM('Bal-Sheet'!E27:E42)</f>
        <v>54747</v>
      </c>
      <c r="N119" s="765"/>
      <c r="O119" s="765"/>
      <c r="P119" s="789">
        <f t="shared" si="1"/>
        <v>-7316</v>
      </c>
      <c r="Q119" s="789"/>
      <c r="R119" s="789"/>
    </row>
    <row r="120" spans="1:26" s="235" customFormat="1" x14ac:dyDescent="0.3">
      <c r="A120" s="787">
        <v>4</v>
      </c>
      <c r="B120" s="787"/>
      <c r="C120" s="795" t="s">
        <v>631</v>
      </c>
      <c r="D120" s="796"/>
      <c r="E120" s="796"/>
      <c r="F120" s="796"/>
      <c r="G120" s="796"/>
      <c r="H120" s="796"/>
      <c r="I120" s="797"/>
      <c r="J120" s="765">
        <f>+'Bal-Sheet'!H22</f>
        <v>32335</v>
      </c>
      <c r="K120" s="765"/>
      <c r="L120" s="765"/>
      <c r="M120" s="765">
        <f>+SUM('Bal-Sheet'!E21:E22)</f>
        <v>32335</v>
      </c>
      <c r="N120" s="765"/>
      <c r="O120" s="765"/>
      <c r="P120" s="789">
        <f t="shared" si="1"/>
        <v>0</v>
      </c>
      <c r="Q120" s="789"/>
      <c r="R120" s="789"/>
    </row>
    <row r="121" spans="1:26" s="235" customFormat="1" ht="15.6" x14ac:dyDescent="0.3">
      <c r="A121" s="787">
        <v>5</v>
      </c>
      <c r="B121" s="787"/>
      <c r="C121" s="795" t="s">
        <v>630</v>
      </c>
      <c r="D121" s="796"/>
      <c r="E121" s="796"/>
      <c r="F121" s="796"/>
      <c r="G121" s="796"/>
      <c r="H121" s="796"/>
      <c r="I121" s="797"/>
      <c r="J121" s="765">
        <f>+'Bal-Sheet'!H50+'Bal-Sheet'!H47</f>
        <v>31914</v>
      </c>
      <c r="K121" s="765"/>
      <c r="L121" s="765"/>
      <c r="M121" s="765">
        <f>+SUM('Bal-Sheet'!E44:E50)</f>
        <v>59381</v>
      </c>
      <c r="N121" s="765"/>
      <c r="O121" s="765"/>
      <c r="P121" s="789">
        <f t="shared" si="1"/>
        <v>-27467</v>
      </c>
      <c r="Q121" s="789"/>
      <c r="R121" s="789"/>
      <c r="U121" s="279"/>
    </row>
    <row r="122" spans="1:26" s="235" customFormat="1" ht="16.2" thickBot="1" x14ac:dyDescent="0.35">
      <c r="A122" s="861">
        <v>6</v>
      </c>
      <c r="B122" s="861"/>
      <c r="C122" s="862" t="s">
        <v>591</v>
      </c>
      <c r="D122" s="863"/>
      <c r="E122" s="863"/>
      <c r="F122" s="863"/>
      <c r="G122" s="863"/>
      <c r="H122" s="863"/>
      <c r="I122" s="864"/>
      <c r="J122" s="865">
        <f>+'Bal-Sheet'!H24</f>
        <v>51735</v>
      </c>
      <c r="K122" s="865"/>
      <c r="L122" s="865"/>
      <c r="M122" s="865">
        <f>+'Bal-Sheet'!E24</f>
        <v>26565</v>
      </c>
      <c r="N122" s="865"/>
      <c r="O122" s="865"/>
      <c r="P122" s="789">
        <f t="shared" si="1"/>
        <v>25170</v>
      </c>
      <c r="Q122" s="789"/>
      <c r="R122" s="789"/>
      <c r="U122" s="280"/>
    </row>
    <row r="123" spans="1:26" s="235" customFormat="1" ht="16.2" thickBot="1" x14ac:dyDescent="0.35">
      <c r="A123" s="818"/>
      <c r="B123" s="819"/>
      <c r="C123" s="806" t="s">
        <v>424</v>
      </c>
      <c r="D123" s="807"/>
      <c r="E123" s="807"/>
      <c r="F123" s="807"/>
      <c r="G123" s="807"/>
      <c r="H123" s="807"/>
      <c r="I123" s="808"/>
      <c r="J123" s="835">
        <f>SUM(J117:L122)</f>
        <v>2168143.46</v>
      </c>
      <c r="K123" s="835"/>
      <c r="L123" s="835"/>
      <c r="M123" s="835">
        <f>SUM(M117:O122)</f>
        <v>2049684.6400000001</v>
      </c>
      <c r="N123" s="835"/>
      <c r="O123" s="835"/>
      <c r="P123" s="856">
        <f>SUM(P117:R122)</f>
        <v>118458.81999999995</v>
      </c>
      <c r="Q123" s="856"/>
      <c r="R123" s="857"/>
      <c r="U123" s="264"/>
    </row>
    <row r="124" spans="1:26" s="235" customFormat="1" ht="15.6" x14ac:dyDescent="0.3">
      <c r="A124" s="265"/>
      <c r="B124" s="255"/>
      <c r="U124" s="264"/>
    </row>
    <row r="125" spans="1:26" s="235" customFormat="1" ht="15.6" x14ac:dyDescent="0.3">
      <c r="A125" s="151" t="s">
        <v>592</v>
      </c>
      <c r="B125" s="255"/>
      <c r="U125" s="281"/>
    </row>
    <row r="126" spans="1:26" s="235" customFormat="1" ht="15.6" x14ac:dyDescent="0.3">
      <c r="A126" s="265"/>
      <c r="B126" s="255"/>
      <c r="U126" s="264"/>
    </row>
    <row r="127" spans="1:26" s="235" customFormat="1" ht="15.6" x14ac:dyDescent="0.3">
      <c r="A127" s="151" t="s">
        <v>593</v>
      </c>
      <c r="B127" s="255"/>
      <c r="U127" s="281"/>
      <c r="V127" s="866"/>
      <c r="W127" s="866"/>
      <c r="X127" s="866"/>
      <c r="Y127" s="866"/>
      <c r="Z127" s="282"/>
    </row>
    <row r="128" spans="1:26" s="235" customFormat="1" ht="15.6" x14ac:dyDescent="0.3">
      <c r="A128" s="265"/>
      <c r="B128" s="255">
        <v>1</v>
      </c>
      <c r="C128" s="255" t="s">
        <v>594</v>
      </c>
      <c r="U128" s="264"/>
      <c r="V128" s="866"/>
      <c r="W128" s="866"/>
      <c r="X128" s="866"/>
      <c r="Y128" s="866"/>
      <c r="Z128" s="282"/>
    </row>
    <row r="129" spans="1:26" s="235" customFormat="1" ht="15.6" x14ac:dyDescent="0.3">
      <c r="A129" s="265"/>
      <c r="B129" s="255"/>
      <c r="C129" s="235" t="s">
        <v>595</v>
      </c>
      <c r="V129" s="283"/>
      <c r="W129" s="284"/>
      <c r="X129" s="284"/>
      <c r="Y129" s="272"/>
      <c r="Z129" s="282"/>
    </row>
    <row r="130" spans="1:26" s="235" customFormat="1" ht="15.6" x14ac:dyDescent="0.3">
      <c r="A130" s="265"/>
      <c r="B130" s="255">
        <v>2</v>
      </c>
      <c r="C130" s="255" t="s">
        <v>596</v>
      </c>
      <c r="V130" s="283"/>
      <c r="W130" s="284"/>
      <c r="X130" s="285"/>
      <c r="Y130" s="272"/>
      <c r="Z130" s="282"/>
    </row>
    <row r="131" spans="1:26" s="235" customFormat="1" ht="15.6" x14ac:dyDescent="0.3">
      <c r="A131" s="265"/>
      <c r="B131" s="255"/>
      <c r="C131" s="235" t="s">
        <v>632</v>
      </c>
      <c r="V131" s="283"/>
      <c r="W131" s="284"/>
      <c r="X131" s="284"/>
      <c r="Y131" s="272"/>
      <c r="Z131" s="282"/>
    </row>
    <row r="132" spans="1:26" s="235" customFormat="1" ht="15.6" x14ac:dyDescent="0.3">
      <c r="A132" s="265"/>
      <c r="B132" s="255"/>
      <c r="V132" s="283"/>
      <c r="W132" s="284"/>
      <c r="X132" s="284"/>
      <c r="Y132" s="272"/>
      <c r="Z132" s="282"/>
    </row>
    <row r="133" spans="1:26" s="235" customFormat="1" ht="15.6" x14ac:dyDescent="0.3">
      <c r="A133" s="265"/>
      <c r="B133" s="255">
        <v>3</v>
      </c>
      <c r="C133" s="255" t="s">
        <v>597</v>
      </c>
      <c r="V133" s="283"/>
      <c r="W133" s="284"/>
      <c r="X133" s="284"/>
      <c r="Y133" s="272"/>
      <c r="Z133" s="282"/>
    </row>
    <row r="134" spans="1:26" s="235" customFormat="1" ht="14.4" thickBot="1" x14ac:dyDescent="0.35">
      <c r="A134" s="265"/>
      <c r="B134" s="255"/>
      <c r="C134" s="235" t="s">
        <v>894</v>
      </c>
    </row>
    <row r="135" spans="1:26" s="235" customFormat="1" ht="14.4" thickBot="1" x14ac:dyDescent="0.35">
      <c r="A135" s="818" t="s">
        <v>38</v>
      </c>
      <c r="B135" s="819"/>
      <c r="C135" s="867" t="s">
        <v>521</v>
      </c>
      <c r="D135" s="867"/>
      <c r="E135" s="867"/>
      <c r="F135" s="867"/>
      <c r="G135" s="867"/>
      <c r="H135" s="867"/>
      <c r="I135" s="867"/>
      <c r="J135" s="868" t="s">
        <v>598</v>
      </c>
      <c r="K135" s="867"/>
      <c r="L135" s="867"/>
      <c r="M135" s="868" t="s">
        <v>599</v>
      </c>
      <c r="N135" s="868"/>
      <c r="O135" s="868"/>
      <c r="P135" s="869" t="s">
        <v>600</v>
      </c>
      <c r="Q135" s="870"/>
      <c r="R135" s="871"/>
    </row>
    <row r="136" spans="1:26" s="155" customFormat="1" ht="14.4" x14ac:dyDescent="0.3">
      <c r="A136" s="759">
        <v>1</v>
      </c>
      <c r="B136" s="759"/>
      <c r="C136" s="795" t="s">
        <v>390</v>
      </c>
      <c r="D136" s="796"/>
      <c r="E136" s="796"/>
      <c r="F136" s="796"/>
      <c r="G136" s="796"/>
      <c r="H136" s="796"/>
      <c r="I136" s="797"/>
      <c r="J136" s="765">
        <f>+'Bal-Sheet'!D15+'Bal-Sheet'!D18</f>
        <v>446088.54</v>
      </c>
      <c r="K136" s="765"/>
      <c r="L136" s="765"/>
      <c r="M136" s="765">
        <f>+SUM('Bal-Sheet'!G14:G16)</f>
        <v>1111714</v>
      </c>
      <c r="N136" s="765"/>
      <c r="O136" s="765"/>
      <c r="P136" s="901">
        <f>+M136-J136</f>
        <v>665625.46</v>
      </c>
      <c r="Q136" s="901"/>
      <c r="R136" s="901"/>
    </row>
    <row r="137" spans="1:26" s="150" customFormat="1" x14ac:dyDescent="0.3">
      <c r="A137" s="759">
        <v>2</v>
      </c>
      <c r="B137" s="759"/>
      <c r="C137" s="795" t="s">
        <v>391</v>
      </c>
      <c r="D137" s="796"/>
      <c r="E137" s="796"/>
      <c r="F137" s="796"/>
      <c r="G137" s="796"/>
      <c r="H137" s="796"/>
      <c r="I137" s="797"/>
      <c r="J137" s="765">
        <f>+'Bal-Sheet'!D22</f>
        <v>417377</v>
      </c>
      <c r="K137" s="765"/>
      <c r="L137" s="765"/>
      <c r="M137" s="765">
        <f>+'Bal-Sheet'!H19</f>
        <v>254690</v>
      </c>
      <c r="N137" s="765"/>
      <c r="O137" s="765"/>
      <c r="P137" s="901">
        <f>+M137-J137</f>
        <v>-162687</v>
      </c>
      <c r="Q137" s="901"/>
      <c r="R137" s="901"/>
    </row>
    <row r="138" spans="1:26" s="150" customFormat="1" x14ac:dyDescent="0.3">
      <c r="A138" s="876">
        <v>3</v>
      </c>
      <c r="B138" s="876"/>
      <c r="C138" s="862" t="s">
        <v>417</v>
      </c>
      <c r="D138" s="863"/>
      <c r="E138" s="863"/>
      <c r="F138" s="863"/>
      <c r="G138" s="863"/>
      <c r="H138" s="863"/>
      <c r="I138" s="864"/>
      <c r="J138" s="865">
        <f>+'Bal-Sheet'!D26</f>
        <v>304198</v>
      </c>
      <c r="K138" s="865"/>
      <c r="L138" s="865"/>
      <c r="M138" s="865">
        <v>0</v>
      </c>
      <c r="N138" s="865"/>
      <c r="O138" s="865"/>
      <c r="P138" s="901">
        <f>+M138-J138</f>
        <v>-304198</v>
      </c>
      <c r="Q138" s="901"/>
      <c r="R138" s="901"/>
    </row>
    <row r="139" spans="1:26" s="365" customFormat="1" x14ac:dyDescent="0.3">
      <c r="A139" s="876">
        <v>3</v>
      </c>
      <c r="B139" s="876"/>
      <c r="C139" s="862" t="s">
        <v>692</v>
      </c>
      <c r="D139" s="863"/>
      <c r="E139" s="863"/>
      <c r="F139" s="863"/>
      <c r="G139" s="863"/>
      <c r="H139" s="863"/>
      <c r="I139" s="864"/>
      <c r="J139" s="865">
        <f>+'Bal-Sheet'!D29</f>
        <v>30090</v>
      </c>
      <c r="K139" s="865"/>
      <c r="L139" s="865"/>
      <c r="M139" s="865">
        <v>0</v>
      </c>
      <c r="N139" s="865"/>
      <c r="O139" s="865"/>
      <c r="P139" s="901">
        <f>+M139-J139</f>
        <v>-30090</v>
      </c>
      <c r="Q139" s="901"/>
      <c r="R139" s="901"/>
      <c r="S139" s="452"/>
      <c r="T139" s="452"/>
      <c r="U139" s="452"/>
      <c r="V139" s="150"/>
      <c r="W139" s="366"/>
      <c r="X139" s="367"/>
    </row>
    <row r="140" spans="1:26" s="365" customFormat="1" ht="14.4" thickBot="1" x14ac:dyDescent="0.35">
      <c r="A140" s="872"/>
      <c r="B140" s="872"/>
      <c r="C140" s="852" t="s">
        <v>424</v>
      </c>
      <c r="D140" s="853"/>
      <c r="E140" s="853"/>
      <c r="F140" s="853"/>
      <c r="G140" s="853"/>
      <c r="H140" s="853"/>
      <c r="I140" s="854"/>
      <c r="J140" s="855">
        <f>SUM(J136:L139)</f>
        <v>1197753.54</v>
      </c>
      <c r="K140" s="855"/>
      <c r="L140" s="855"/>
      <c r="M140" s="855">
        <f>SUM(M136:O139)</f>
        <v>1366404</v>
      </c>
      <c r="N140" s="855"/>
      <c r="O140" s="855"/>
      <c r="P140" s="856">
        <f>SUM(P136:R139)</f>
        <v>168650.45999999996</v>
      </c>
      <c r="Q140" s="856"/>
      <c r="R140" s="856"/>
      <c r="S140" s="452"/>
      <c r="T140" s="452"/>
      <c r="U140" s="452"/>
      <c r="V140" s="150"/>
      <c r="W140" s="366"/>
      <c r="X140" s="367"/>
    </row>
    <row r="141" spans="1:26" s="365" customFormat="1" x14ac:dyDescent="0.3">
      <c r="A141" s="265"/>
      <c r="B141" s="255"/>
      <c r="C141" s="235"/>
      <c r="D141" s="235"/>
      <c r="E141" s="235"/>
      <c r="F141" s="235"/>
      <c r="G141" s="235"/>
      <c r="H141" s="235"/>
      <c r="I141" s="235"/>
      <c r="J141" s="235"/>
      <c r="K141" s="235"/>
      <c r="L141" s="235"/>
      <c r="M141" s="235"/>
      <c r="N141" s="235"/>
      <c r="O141" s="235"/>
      <c r="P141" s="235"/>
      <c r="Q141" s="235"/>
      <c r="R141" s="235"/>
      <c r="S141" s="452"/>
      <c r="T141" s="452"/>
      <c r="U141" s="452"/>
      <c r="V141" s="150"/>
      <c r="W141" s="366"/>
      <c r="X141" s="367"/>
    </row>
    <row r="142" spans="1:26" s="235" customFormat="1" ht="14.4" x14ac:dyDescent="0.3">
      <c r="A142" s="155"/>
      <c r="B142" s="441" t="s">
        <v>393</v>
      </c>
      <c r="C142" s="873" t="s">
        <v>681</v>
      </c>
      <c r="D142" s="873"/>
      <c r="E142" s="873"/>
      <c r="F142" s="873"/>
      <c r="G142" s="873"/>
      <c r="H142" s="873"/>
      <c r="I142" s="873"/>
      <c r="J142" s="873"/>
      <c r="K142" s="873"/>
      <c r="L142" s="873"/>
      <c r="M142" s="873"/>
      <c r="N142" s="873"/>
      <c r="O142" s="873"/>
      <c r="P142" s="873"/>
      <c r="Q142" s="874"/>
      <c r="R142" s="874"/>
    </row>
    <row r="143" spans="1:26" s="235" customFormat="1" x14ac:dyDescent="0.3">
      <c r="A143" s="150"/>
      <c r="B143" s="373"/>
      <c r="C143" s="875"/>
      <c r="D143" s="875"/>
      <c r="E143" s="875"/>
      <c r="F143" s="875"/>
      <c r="G143" s="875"/>
      <c r="H143" s="875"/>
      <c r="I143" s="875"/>
      <c r="J143" s="875"/>
      <c r="K143" s="875"/>
      <c r="L143" s="875"/>
      <c r="M143" s="875"/>
      <c r="N143" s="875"/>
      <c r="O143" s="875"/>
      <c r="P143" s="875"/>
      <c r="Q143" s="875"/>
      <c r="R143" s="875"/>
    </row>
    <row r="144" spans="1:26" s="235" customFormat="1" ht="15.6" x14ac:dyDescent="0.3">
      <c r="A144" s="150"/>
      <c r="B144" s="374"/>
      <c r="C144" s="344"/>
      <c r="D144" s="345"/>
      <c r="E144" s="345"/>
      <c r="F144" s="345"/>
      <c r="G144" s="345"/>
      <c r="H144" s="345"/>
      <c r="I144" s="345"/>
      <c r="J144" s="345"/>
      <c r="K144" s="345"/>
      <c r="L144" s="345"/>
      <c r="M144" s="345"/>
      <c r="N144" s="345"/>
      <c r="O144" s="345"/>
      <c r="P144" s="345"/>
      <c r="Q144" s="345"/>
      <c r="R144" s="345"/>
    </row>
    <row r="145" spans="1:24" s="235" customFormat="1" ht="15.6" x14ac:dyDescent="0.3">
      <c r="A145" s="450"/>
      <c r="B145" s="450">
        <v>5</v>
      </c>
      <c r="C145" s="450" t="s">
        <v>895</v>
      </c>
      <c r="D145" s="452"/>
      <c r="E145" s="452"/>
      <c r="F145" s="452"/>
      <c r="G145" s="452"/>
      <c r="H145" s="452"/>
      <c r="I145" s="452"/>
      <c r="J145" s="452"/>
      <c r="K145" s="452"/>
      <c r="L145" s="452"/>
      <c r="M145" s="452"/>
      <c r="N145" s="452"/>
      <c r="O145" s="452"/>
      <c r="P145" s="452"/>
      <c r="Q145" s="452"/>
      <c r="R145" s="452"/>
      <c r="W145" s="277"/>
    </row>
    <row r="146" spans="1:24" s="235" customFormat="1" ht="15.6" x14ac:dyDescent="0.3">
      <c r="A146" s="450"/>
      <c r="B146" s="454"/>
      <c r="C146" s="452" t="s">
        <v>423</v>
      </c>
      <c r="D146" s="452"/>
      <c r="E146" s="452"/>
      <c r="F146" s="452"/>
      <c r="G146" s="452"/>
      <c r="H146" s="452"/>
      <c r="I146" s="452"/>
      <c r="J146" s="452"/>
      <c r="K146" s="452"/>
      <c r="L146" s="452"/>
      <c r="M146" s="452"/>
      <c r="N146" s="452"/>
      <c r="O146" s="452"/>
      <c r="P146" s="452"/>
      <c r="Q146" s="452"/>
      <c r="R146" s="452"/>
      <c r="T146" s="29" t="s">
        <v>21</v>
      </c>
      <c r="U146" s="15">
        <v>61599</v>
      </c>
      <c r="V146" s="287"/>
      <c r="W146" s="288"/>
    </row>
    <row r="147" spans="1:24" s="235" customFormat="1" ht="15.6" x14ac:dyDescent="0.3">
      <c r="A147" s="450"/>
      <c r="B147" s="454"/>
      <c r="C147" s="452"/>
      <c r="D147" s="452"/>
      <c r="E147" s="452"/>
      <c r="F147" s="452"/>
      <c r="G147" s="452"/>
      <c r="H147" s="452"/>
      <c r="I147" s="452"/>
      <c r="J147" s="452"/>
      <c r="K147" s="452"/>
      <c r="L147" s="452"/>
      <c r="M147" s="452"/>
      <c r="N147" s="452"/>
      <c r="O147" s="452"/>
      <c r="P147" s="452"/>
      <c r="Q147" s="452"/>
      <c r="R147" s="452"/>
      <c r="T147" s="29" t="s">
        <v>22</v>
      </c>
      <c r="U147" s="15">
        <v>12200</v>
      </c>
      <c r="V147" s="287"/>
      <c r="W147" s="288"/>
    </row>
    <row r="148" spans="1:24" s="235" customFormat="1" ht="15.6" x14ac:dyDescent="0.3">
      <c r="A148" s="255"/>
      <c r="B148" s="255">
        <v>4</v>
      </c>
      <c r="C148" s="255" t="s">
        <v>33</v>
      </c>
      <c r="T148" s="29" t="s">
        <v>23</v>
      </c>
      <c r="U148" s="15">
        <v>3000</v>
      </c>
      <c r="V148" s="287"/>
      <c r="W148" s="288"/>
    </row>
    <row r="149" spans="1:24" s="235" customFormat="1" ht="15.6" x14ac:dyDescent="0.3">
      <c r="A149" s="255"/>
      <c r="B149" s="286"/>
      <c r="C149" s="235" t="s">
        <v>896</v>
      </c>
      <c r="T149" s="10" t="s">
        <v>803</v>
      </c>
      <c r="U149" s="15">
        <v>149251</v>
      </c>
      <c r="V149" s="287"/>
      <c r="W149" s="288"/>
    </row>
    <row r="150" spans="1:24" s="235" customFormat="1" ht="16.2" thickBot="1" x14ac:dyDescent="0.35">
      <c r="A150" s="255"/>
      <c r="B150" s="286"/>
      <c r="C150" s="255"/>
      <c r="T150" s="10" t="s">
        <v>696</v>
      </c>
      <c r="U150" s="22">
        <v>1652</v>
      </c>
      <c r="V150" s="287"/>
      <c r="W150" s="288"/>
    </row>
    <row r="151" spans="1:24" s="150" customFormat="1" ht="16.2" thickBot="1" x14ac:dyDescent="0.35">
      <c r="A151" s="255"/>
      <c r="B151" s="286"/>
      <c r="C151" s="867" t="s">
        <v>521</v>
      </c>
      <c r="D151" s="867"/>
      <c r="E151" s="867"/>
      <c r="F151" s="867"/>
      <c r="G151" s="867"/>
      <c r="H151" s="867"/>
      <c r="I151" s="867"/>
      <c r="J151" s="868" t="s">
        <v>598</v>
      </c>
      <c r="K151" s="867"/>
      <c r="L151" s="867"/>
      <c r="M151" s="235"/>
      <c r="N151" s="235"/>
      <c r="O151" s="235"/>
      <c r="P151" s="235"/>
      <c r="Q151" s="235"/>
      <c r="R151" s="235"/>
    </row>
    <row r="152" spans="1:24" s="150" customFormat="1" ht="15.6" x14ac:dyDescent="0.3">
      <c r="A152" s="255"/>
      <c r="B152" s="286"/>
      <c r="C152" s="795" t="s">
        <v>21</v>
      </c>
      <c r="D152" s="796"/>
      <c r="E152" s="796"/>
      <c r="F152" s="796"/>
      <c r="G152" s="796"/>
      <c r="H152" s="796"/>
      <c r="I152" s="797"/>
      <c r="J152" s="765">
        <f>+U146</f>
        <v>61599</v>
      </c>
      <c r="K152" s="765"/>
      <c r="L152" s="765"/>
      <c r="M152" s="235"/>
      <c r="N152" s="235"/>
      <c r="O152" s="235"/>
      <c r="P152" s="235"/>
      <c r="Q152" s="235"/>
      <c r="R152" s="235"/>
      <c r="S152" s="235"/>
    </row>
    <row r="153" spans="1:24" s="150" customFormat="1" ht="15.6" x14ac:dyDescent="0.3">
      <c r="A153" s="255"/>
      <c r="B153" s="286"/>
      <c r="C153" s="795" t="s">
        <v>22</v>
      </c>
      <c r="D153" s="796"/>
      <c r="E153" s="796"/>
      <c r="F153" s="796"/>
      <c r="G153" s="796"/>
      <c r="H153" s="796"/>
      <c r="I153" s="797"/>
      <c r="J153" s="765">
        <f>+U147</f>
        <v>12200</v>
      </c>
      <c r="K153" s="765"/>
      <c r="L153" s="765"/>
      <c r="M153" s="235"/>
      <c r="N153" s="235"/>
      <c r="O153" s="235"/>
      <c r="P153" s="235"/>
      <c r="Q153" s="235"/>
      <c r="R153" s="235"/>
      <c r="S153" s="235"/>
    </row>
    <row r="154" spans="1:24" s="150" customFormat="1" ht="15.6" x14ac:dyDescent="0.3">
      <c r="A154" s="255"/>
      <c r="B154" s="286"/>
      <c r="C154" s="795" t="s">
        <v>23</v>
      </c>
      <c r="D154" s="796"/>
      <c r="E154" s="796"/>
      <c r="F154" s="796"/>
      <c r="G154" s="796"/>
      <c r="H154" s="796"/>
      <c r="I154" s="797"/>
      <c r="J154" s="765">
        <f>+U148</f>
        <v>3000</v>
      </c>
      <c r="K154" s="765"/>
      <c r="L154" s="765"/>
      <c r="M154" s="235"/>
      <c r="N154" s="235"/>
      <c r="O154" s="235"/>
      <c r="P154" s="235"/>
      <c r="Q154" s="235"/>
      <c r="R154" s="235"/>
      <c r="T154" s="361"/>
      <c r="U154" s="361"/>
    </row>
    <row r="155" spans="1:24" s="150" customFormat="1" ht="15.6" x14ac:dyDescent="0.3">
      <c r="A155" s="255"/>
      <c r="B155" s="286"/>
      <c r="C155" s="795" t="s">
        <v>803</v>
      </c>
      <c r="D155" s="796"/>
      <c r="E155" s="796"/>
      <c r="F155" s="796"/>
      <c r="G155" s="796"/>
      <c r="H155" s="796"/>
      <c r="I155" s="797"/>
      <c r="J155" s="765">
        <f>+U149</f>
        <v>149251</v>
      </c>
      <c r="K155" s="765"/>
      <c r="L155" s="765"/>
      <c r="M155" s="235"/>
      <c r="N155" s="235" t="s">
        <v>812</v>
      </c>
      <c r="O155" s="235"/>
      <c r="P155" s="235"/>
      <c r="Q155" s="235"/>
      <c r="R155" s="235"/>
      <c r="T155" s="361"/>
      <c r="U155" s="361"/>
    </row>
    <row r="156" spans="1:24" s="150" customFormat="1" ht="15.6" x14ac:dyDescent="0.3">
      <c r="A156" s="255"/>
      <c r="B156" s="286"/>
      <c r="C156" s="795" t="s">
        <v>696</v>
      </c>
      <c r="D156" s="796"/>
      <c r="E156" s="796"/>
      <c r="F156" s="796"/>
      <c r="G156" s="796"/>
      <c r="H156" s="796"/>
      <c r="I156" s="797"/>
      <c r="J156" s="765">
        <f>+U150</f>
        <v>1652</v>
      </c>
      <c r="K156" s="765"/>
      <c r="L156" s="765"/>
      <c r="M156" s="235"/>
      <c r="N156" s="235"/>
      <c r="O156" s="235"/>
      <c r="P156" s="235"/>
      <c r="Q156" s="235"/>
      <c r="R156" s="235"/>
    </row>
    <row r="157" spans="1:24" s="150" customFormat="1" ht="16.2" thickBot="1" x14ac:dyDescent="0.35">
      <c r="A157" s="255"/>
      <c r="B157" s="286"/>
      <c r="C157" s="852" t="s">
        <v>424</v>
      </c>
      <c r="D157" s="853"/>
      <c r="E157" s="853"/>
      <c r="F157" s="853"/>
      <c r="G157" s="853"/>
      <c r="H157" s="853"/>
      <c r="I157" s="854"/>
      <c r="J157" s="855">
        <f>SUM(J152:L156)</f>
        <v>227702</v>
      </c>
      <c r="K157" s="855"/>
      <c r="L157" s="855"/>
      <c r="M157" s="235"/>
      <c r="N157" s="235"/>
      <c r="O157" s="235"/>
      <c r="P157" s="235"/>
      <c r="Q157" s="235"/>
      <c r="R157" s="235"/>
      <c r="T157" s="10"/>
      <c r="U157" s="15"/>
    </row>
    <row r="158" spans="1:24" s="252" customFormat="1" ht="15.6" x14ac:dyDescent="0.3">
      <c r="A158" s="255"/>
      <c r="B158" s="286"/>
      <c r="C158" s="255"/>
      <c r="D158" s="235"/>
      <c r="E158" s="235"/>
      <c r="F158" s="235"/>
      <c r="G158" s="235"/>
      <c r="H158" s="235"/>
      <c r="I158" s="235"/>
      <c r="J158" s="235"/>
      <c r="K158" s="235"/>
      <c r="L158" s="235"/>
      <c r="M158" s="235"/>
      <c r="N158" s="235"/>
      <c r="O158" s="235"/>
      <c r="P158" s="235"/>
      <c r="Q158" s="235"/>
      <c r="R158" s="235"/>
      <c r="T158" s="10"/>
      <c r="U158" s="22"/>
    </row>
    <row r="159" spans="1:24" s="405" customFormat="1" ht="15.6" x14ac:dyDescent="0.3">
      <c r="A159" s="255"/>
      <c r="B159" s="286"/>
      <c r="C159" s="255"/>
      <c r="D159" s="235"/>
      <c r="E159" s="235"/>
      <c r="F159" s="235"/>
      <c r="G159" s="235"/>
      <c r="H159" s="235"/>
      <c r="I159" s="235"/>
      <c r="J159" s="235"/>
      <c r="K159" s="235"/>
      <c r="L159" s="235"/>
      <c r="M159" s="235"/>
      <c r="N159" s="235"/>
      <c r="O159" s="235"/>
      <c r="P159" s="235"/>
      <c r="Q159" s="235"/>
      <c r="R159" s="235"/>
      <c r="T159" s="411"/>
      <c r="V159" s="406"/>
      <c r="W159" s="407"/>
      <c r="X159" s="408"/>
    </row>
    <row r="160" spans="1:24" s="405" customFormat="1" ht="15.6" x14ac:dyDescent="0.3">
      <c r="A160" s="151" t="s">
        <v>601</v>
      </c>
      <c r="B160" s="286"/>
      <c r="C160" s="255"/>
      <c r="D160" s="235"/>
      <c r="E160" s="235"/>
      <c r="F160" s="235"/>
      <c r="G160" s="235"/>
      <c r="H160" s="235"/>
      <c r="I160" s="235"/>
      <c r="J160" s="235"/>
      <c r="K160" s="235"/>
      <c r="L160" s="235"/>
      <c r="M160" s="235"/>
      <c r="N160" s="235"/>
      <c r="O160" s="235"/>
      <c r="P160" s="235"/>
      <c r="Q160" s="235"/>
      <c r="R160" s="235"/>
      <c r="T160" s="150" t="s">
        <v>366</v>
      </c>
      <c r="U160" s="582">
        <f>+'Bal-Sheet'!G8</f>
        <v>12444</v>
      </c>
      <c r="V160" s="406"/>
      <c r="W160" s="407"/>
      <c r="X160" s="408"/>
    </row>
    <row r="161" spans="1:24" s="405" customFormat="1" x14ac:dyDescent="0.3">
      <c r="A161" s="255"/>
      <c r="B161" s="255">
        <v>1</v>
      </c>
      <c r="C161" s="289" t="s">
        <v>897</v>
      </c>
      <c r="D161" s="235"/>
      <c r="E161" s="235"/>
      <c r="F161" s="235"/>
      <c r="G161" s="235"/>
      <c r="H161" s="235"/>
      <c r="I161" s="235"/>
      <c r="J161" s="235"/>
      <c r="K161" s="235"/>
      <c r="L161" s="235"/>
      <c r="M161" s="235"/>
      <c r="N161" s="235"/>
      <c r="O161" s="235"/>
      <c r="P161" s="235"/>
      <c r="Q161" s="235"/>
      <c r="R161" s="235"/>
      <c r="T161" s="150" t="s">
        <v>398</v>
      </c>
      <c r="U161" s="582">
        <f>+'Bal-Sheet'!G9</f>
        <v>624082.46</v>
      </c>
      <c r="V161" s="406"/>
      <c r="W161" s="407"/>
      <c r="X161" s="408"/>
    </row>
    <row r="162" spans="1:24" s="405" customFormat="1" ht="15.6" x14ac:dyDescent="0.3">
      <c r="A162" s="255"/>
      <c r="B162" s="360" t="s">
        <v>637</v>
      </c>
      <c r="C162" s="880" t="s">
        <v>898</v>
      </c>
      <c r="D162" s="720"/>
      <c r="E162" s="720"/>
      <c r="F162" s="720"/>
      <c r="G162" s="720"/>
      <c r="H162" s="720"/>
      <c r="I162" s="720"/>
      <c r="J162" s="720"/>
      <c r="K162" s="720"/>
      <c r="L162" s="720"/>
      <c r="M162" s="720"/>
      <c r="N162" s="720"/>
      <c r="O162" s="720"/>
      <c r="P162" s="720"/>
      <c r="Q162" s="720"/>
      <c r="R162" s="720"/>
      <c r="T162" s="150"/>
      <c r="U162" s="150"/>
      <c r="W162" s="407"/>
      <c r="X162" s="408"/>
    </row>
    <row r="163" spans="1:24" s="150" customFormat="1" x14ac:dyDescent="0.3">
      <c r="A163" s="255"/>
      <c r="B163" s="290"/>
      <c r="C163" s="235"/>
      <c r="D163" s="235"/>
      <c r="E163" s="235"/>
      <c r="F163" s="235"/>
      <c r="G163" s="235"/>
      <c r="H163" s="235"/>
      <c r="I163" s="235"/>
      <c r="J163" s="235"/>
      <c r="K163" s="235"/>
      <c r="L163" s="235"/>
      <c r="M163" s="235"/>
      <c r="N163" s="235"/>
      <c r="O163" s="235"/>
      <c r="P163" s="235"/>
      <c r="Q163" s="235"/>
      <c r="R163" s="235"/>
    </row>
    <row r="164" spans="1:24" s="150" customFormat="1" x14ac:dyDescent="0.3">
      <c r="A164" s="252"/>
      <c r="B164" s="399">
        <v>2</v>
      </c>
      <c r="C164" s="363" t="s">
        <v>899</v>
      </c>
      <c r="D164" s="400"/>
      <c r="E164" s="400"/>
      <c r="F164" s="400"/>
      <c r="G164" s="400"/>
      <c r="H164" s="400"/>
      <c r="I164" s="400"/>
      <c r="J164" s="400"/>
      <c r="K164" s="400"/>
      <c r="L164" s="400"/>
      <c r="M164" s="400"/>
      <c r="N164" s="400"/>
      <c r="O164" s="400"/>
      <c r="P164" s="252"/>
      <c r="Q164" s="252"/>
      <c r="R164" s="252"/>
    </row>
    <row r="165" spans="1:24" s="150" customFormat="1" ht="28.2" thickBot="1" x14ac:dyDescent="0.35">
      <c r="A165" s="401"/>
      <c r="B165" s="402"/>
      <c r="C165" s="403" t="s">
        <v>38</v>
      </c>
      <c r="D165" s="877" t="s">
        <v>521</v>
      </c>
      <c r="E165" s="878"/>
      <c r="F165" s="878"/>
      <c r="G165" s="878"/>
      <c r="H165" s="878"/>
      <c r="I165" s="878"/>
      <c r="J165" s="878"/>
      <c r="K165" s="878"/>
      <c r="L165" s="879"/>
      <c r="M165" s="770" t="s">
        <v>672</v>
      </c>
      <c r="N165" s="771"/>
      <c r="O165" s="771"/>
      <c r="P165" s="772"/>
      <c r="Q165" s="404"/>
      <c r="R165" s="404"/>
    </row>
    <row r="166" spans="1:24" s="150" customFormat="1" x14ac:dyDescent="0.3">
      <c r="A166" s="401"/>
      <c r="B166" s="402"/>
      <c r="C166" s="409">
        <v>1</v>
      </c>
      <c r="D166" s="779" t="s">
        <v>366</v>
      </c>
      <c r="E166" s="779"/>
      <c r="F166" s="779"/>
      <c r="G166" s="779"/>
      <c r="H166" s="779"/>
      <c r="I166" s="779"/>
      <c r="J166" s="779"/>
      <c r="K166" s="779"/>
      <c r="L166" s="779"/>
      <c r="M166" s="780">
        <f>+'Bal-Sheet'!G8</f>
        <v>12444</v>
      </c>
      <c r="N166" s="781"/>
      <c r="O166" s="781"/>
      <c r="P166" s="781"/>
      <c r="Q166" s="404"/>
      <c r="R166" s="404"/>
    </row>
    <row r="167" spans="1:24" s="150" customFormat="1" x14ac:dyDescent="0.3">
      <c r="A167" s="401"/>
      <c r="B167" s="402"/>
      <c r="C167" s="409">
        <v>2</v>
      </c>
      <c r="D167" s="832" t="s">
        <v>398</v>
      </c>
      <c r="E167" s="832"/>
      <c r="F167" s="832"/>
      <c r="G167" s="832"/>
      <c r="H167" s="832"/>
      <c r="I167" s="832"/>
      <c r="J167" s="832"/>
      <c r="K167" s="832"/>
      <c r="L167" s="832"/>
      <c r="M167" s="833">
        <f>+'Bal-Sheet'!G9</f>
        <v>624082.46</v>
      </c>
      <c r="N167" s="834"/>
      <c r="O167" s="834"/>
      <c r="P167" s="834"/>
      <c r="Q167" s="404"/>
      <c r="R167" s="404"/>
    </row>
    <row r="168" spans="1:24" s="150" customFormat="1" ht="14.4" thickBot="1" x14ac:dyDescent="0.35">
      <c r="A168" s="401"/>
      <c r="B168" s="402"/>
      <c r="C168" s="410"/>
      <c r="D168" s="812" t="s">
        <v>673</v>
      </c>
      <c r="E168" s="812"/>
      <c r="F168" s="812"/>
      <c r="G168" s="812"/>
      <c r="H168" s="812"/>
      <c r="I168" s="812"/>
      <c r="J168" s="812"/>
      <c r="K168" s="812"/>
      <c r="L168" s="812"/>
      <c r="M168" s="814">
        <f>SUM(M166:P167)</f>
        <v>636526.46</v>
      </c>
      <c r="N168" s="815"/>
      <c r="O168" s="815"/>
      <c r="P168" s="816"/>
      <c r="Q168" s="404"/>
      <c r="R168" s="404"/>
      <c r="S168" s="292"/>
    </row>
    <row r="169" spans="1:24" s="150" customFormat="1" ht="14.4" x14ac:dyDescent="0.3">
      <c r="A169" s="255"/>
      <c r="B169" s="290"/>
      <c r="C169" s="769" t="s">
        <v>602</v>
      </c>
      <c r="D169" s="769"/>
      <c r="E169" s="769"/>
      <c r="F169" s="769"/>
      <c r="G169" s="769"/>
      <c r="H169" s="769"/>
      <c r="I169" s="769"/>
      <c r="J169" s="769"/>
      <c r="K169" s="769"/>
      <c r="L169" s="769"/>
      <c r="M169" s="769"/>
      <c r="N169" s="769"/>
      <c r="O169" s="769"/>
      <c r="P169" s="769"/>
      <c r="Q169" s="769"/>
      <c r="R169" s="769"/>
      <c r="S169" s="292"/>
      <c r="T169" s="134"/>
      <c r="U169" s="134"/>
    </row>
    <row r="170" spans="1:24" s="150" customFormat="1" ht="14.4" x14ac:dyDescent="0.3">
      <c r="A170" s="255"/>
      <c r="B170" s="290"/>
      <c r="C170" s="235"/>
      <c r="D170" s="235"/>
      <c r="E170" s="235"/>
      <c r="F170" s="235"/>
      <c r="G170" s="235"/>
      <c r="H170" s="235"/>
      <c r="I170" s="235"/>
      <c r="J170" s="235"/>
      <c r="K170" s="235"/>
      <c r="L170" s="235"/>
      <c r="M170" s="235"/>
      <c r="N170" s="235"/>
      <c r="O170" s="235"/>
      <c r="P170" s="235"/>
      <c r="Q170" s="235"/>
      <c r="R170" s="235"/>
      <c r="S170" s="293"/>
      <c r="T170" s="134"/>
      <c r="U170" s="134"/>
    </row>
    <row r="171" spans="1:24" s="150" customFormat="1" x14ac:dyDescent="0.3">
      <c r="A171" s="255"/>
      <c r="B171" s="255">
        <v>3</v>
      </c>
      <c r="C171" s="289" t="s">
        <v>603</v>
      </c>
      <c r="D171" s="235"/>
      <c r="E171" s="235"/>
      <c r="F171" s="235"/>
      <c r="G171" s="235"/>
      <c r="H171" s="235"/>
      <c r="I171" s="235"/>
      <c r="J171" s="235"/>
      <c r="K171" s="235"/>
      <c r="L171" s="235"/>
      <c r="M171" s="235"/>
      <c r="N171" s="235"/>
      <c r="O171" s="235"/>
      <c r="P171" s="235"/>
      <c r="Q171" s="235"/>
      <c r="R171" s="235"/>
      <c r="S171" s="293"/>
      <c r="T171" s="230"/>
      <c r="U171" s="230"/>
    </row>
    <row r="172" spans="1:24" s="134" customFormat="1" ht="15" thickBot="1" x14ac:dyDescent="0.35">
      <c r="A172" s="255"/>
      <c r="B172" s="290"/>
      <c r="C172" s="235" t="s">
        <v>900</v>
      </c>
      <c r="D172" s="235"/>
      <c r="E172" s="235"/>
      <c r="F172" s="235"/>
      <c r="G172" s="235"/>
      <c r="H172" s="235"/>
      <c r="I172" s="235"/>
      <c r="J172" s="235"/>
      <c r="K172" s="235"/>
      <c r="L172" s="235"/>
      <c r="M172" s="235"/>
      <c r="N172" s="235"/>
      <c r="O172" s="235"/>
      <c r="P172" s="235"/>
      <c r="Q172" s="235"/>
      <c r="R172" s="235"/>
      <c r="T172" s="479"/>
      <c r="U172" s="479"/>
    </row>
    <row r="173" spans="1:24" s="252" customFormat="1" ht="15" thickBot="1" x14ac:dyDescent="0.35">
      <c r="A173" s="882"/>
      <c r="B173" s="882"/>
      <c r="C173" s="884" t="s">
        <v>521</v>
      </c>
      <c r="D173" s="867"/>
      <c r="E173" s="867"/>
      <c r="F173" s="867"/>
      <c r="G173" s="867"/>
      <c r="H173" s="867"/>
      <c r="I173" s="867"/>
      <c r="J173" s="782">
        <v>45382</v>
      </c>
      <c r="K173" s="783"/>
      <c r="L173" s="783"/>
      <c r="M173" s="782">
        <v>45016</v>
      </c>
      <c r="N173" s="783"/>
      <c r="O173" s="783"/>
      <c r="P173" s="802" t="s">
        <v>581</v>
      </c>
      <c r="Q173" s="802"/>
      <c r="R173" s="881"/>
      <c r="T173" s="480"/>
      <c r="U173" s="481"/>
      <c r="V173" s="134"/>
    </row>
    <row r="174" spans="1:24" x14ac:dyDescent="0.3">
      <c r="A174" s="882"/>
      <c r="B174" s="882"/>
      <c r="C174" s="883" t="s">
        <v>634</v>
      </c>
      <c r="D174" s="883"/>
      <c r="E174" s="883"/>
      <c r="F174" s="883"/>
      <c r="G174" s="883"/>
      <c r="H174" s="883"/>
      <c r="I174" s="883"/>
      <c r="J174" s="794">
        <f>+'Bal-Sheet'!G14</f>
        <v>33564</v>
      </c>
      <c r="K174" s="794"/>
      <c r="L174" s="794"/>
      <c r="M174" s="794">
        <f>+'Bal-Sheet'!E14</f>
        <v>33564</v>
      </c>
      <c r="N174" s="794"/>
      <c r="O174" s="794"/>
      <c r="P174" s="800">
        <f>+J174-M174</f>
        <v>0</v>
      </c>
      <c r="Q174" s="800"/>
      <c r="R174" s="800"/>
      <c r="T174" s="483"/>
      <c r="U174" s="481"/>
    </row>
    <row r="175" spans="1:24" s="405" customFormat="1" x14ac:dyDescent="0.3">
      <c r="A175" s="882"/>
      <c r="B175" s="882"/>
      <c r="C175" s="883" t="s">
        <v>682</v>
      </c>
      <c r="D175" s="883"/>
      <c r="E175" s="883"/>
      <c r="F175" s="883"/>
      <c r="G175" s="883"/>
      <c r="H175" s="883"/>
      <c r="I175" s="883"/>
      <c r="J175" s="794">
        <f>+'Bal-Sheet'!G15</f>
        <v>1025316</v>
      </c>
      <c r="K175" s="794"/>
      <c r="L175" s="794"/>
      <c r="M175" s="794">
        <f>+'Bal-Sheet'!E15</f>
        <v>1189112</v>
      </c>
      <c r="N175" s="794"/>
      <c r="O175" s="794"/>
      <c r="P175" s="800">
        <f>+J175-M175</f>
        <v>-163796</v>
      </c>
      <c r="Q175" s="800"/>
      <c r="R175" s="800"/>
      <c r="T175" s="483"/>
      <c r="U175" s="481"/>
      <c r="W175" s="407"/>
      <c r="X175" s="408"/>
    </row>
    <row r="176" spans="1:24" s="405" customFormat="1" x14ac:dyDescent="0.3">
      <c r="A176" s="255"/>
      <c r="B176" s="290"/>
      <c r="C176" s="788" t="s">
        <v>635</v>
      </c>
      <c r="D176" s="788"/>
      <c r="E176" s="788"/>
      <c r="F176" s="788"/>
      <c r="G176" s="788"/>
      <c r="H176" s="788"/>
      <c r="I176" s="788"/>
      <c r="J176" s="765">
        <f>+'Bal-Sheet'!G18</f>
        <v>213458</v>
      </c>
      <c r="K176" s="765"/>
      <c r="L176" s="765"/>
      <c r="M176" s="765">
        <f>+'Bal-Sheet'!E18</f>
        <v>213458</v>
      </c>
      <c r="N176" s="765"/>
      <c r="O176" s="765"/>
      <c r="P176" s="800">
        <f>+J176-M176</f>
        <v>0</v>
      </c>
      <c r="Q176" s="800"/>
      <c r="R176" s="800"/>
      <c r="T176" s="411"/>
      <c r="V176" s="482"/>
      <c r="W176" s="482"/>
      <c r="X176" s="482"/>
    </row>
    <row r="177" spans="1:24" s="405" customFormat="1" ht="14.4" thickBot="1" x14ac:dyDescent="0.35">
      <c r="A177" s="255"/>
      <c r="B177" s="290"/>
      <c r="C177" s="788" t="s">
        <v>712</v>
      </c>
      <c r="D177" s="788"/>
      <c r="E177" s="788"/>
      <c r="F177" s="788"/>
      <c r="G177" s="788"/>
      <c r="H177" s="788"/>
      <c r="I177" s="788"/>
      <c r="J177" s="765">
        <f>+'Bal-Sheet'!G16+'Bal-Sheet'!G19</f>
        <v>94066</v>
      </c>
      <c r="K177" s="765"/>
      <c r="L177" s="765"/>
      <c r="M177" s="765">
        <f>+'Bal-Sheet'!E16+'Bal-Sheet'!E19</f>
        <v>78737</v>
      </c>
      <c r="N177" s="765"/>
      <c r="O177" s="765"/>
      <c r="P177" s="800">
        <f>+J177-M177</f>
        <v>15329</v>
      </c>
      <c r="Q177" s="800"/>
      <c r="R177" s="800"/>
      <c r="T177" s="411"/>
      <c r="V177" s="479"/>
      <c r="W177" s="407"/>
      <c r="X177" s="408"/>
    </row>
    <row r="178" spans="1:24" s="405" customFormat="1" ht="14.4" thickBot="1" x14ac:dyDescent="0.35">
      <c r="A178" s="255"/>
      <c r="B178" s="291"/>
      <c r="C178" s="806" t="s">
        <v>424</v>
      </c>
      <c r="D178" s="807"/>
      <c r="E178" s="807"/>
      <c r="F178" s="807"/>
      <c r="G178" s="807"/>
      <c r="H178" s="807"/>
      <c r="I178" s="808"/>
      <c r="J178" s="835">
        <f>SUM(J174:L177)</f>
        <v>1366404</v>
      </c>
      <c r="K178" s="835"/>
      <c r="L178" s="835"/>
      <c r="M178" s="835">
        <f>SUM(M174:O177)</f>
        <v>1514871</v>
      </c>
      <c r="N178" s="835"/>
      <c r="O178" s="835"/>
      <c r="P178" s="835">
        <f>SUM(P174:R177)</f>
        <v>-148467</v>
      </c>
      <c r="Q178" s="835"/>
      <c r="R178" s="835"/>
      <c r="T178" s="411"/>
      <c r="V178" s="406"/>
      <c r="W178" s="407"/>
      <c r="X178" s="408"/>
    </row>
    <row r="179" spans="1:24" s="405" customFormat="1" x14ac:dyDescent="0.3">
      <c r="A179" s="255"/>
      <c r="B179" s="291"/>
      <c r="C179" s="235"/>
      <c r="D179" s="235"/>
      <c r="E179" s="235"/>
      <c r="F179" s="235"/>
      <c r="G179" s="235"/>
      <c r="H179" s="235"/>
      <c r="I179" s="235"/>
      <c r="J179" s="235"/>
      <c r="K179" s="235"/>
      <c r="L179" s="235"/>
      <c r="M179" s="235"/>
      <c r="N179" s="235"/>
      <c r="O179" s="235"/>
      <c r="P179" s="235"/>
      <c r="Q179" s="235"/>
      <c r="R179" s="235"/>
      <c r="T179" s="411"/>
      <c r="V179" s="406"/>
      <c r="W179" s="407"/>
      <c r="X179" s="408"/>
    </row>
    <row r="180" spans="1:24" s="405" customFormat="1" ht="14.4" x14ac:dyDescent="0.3">
      <c r="A180" s="134"/>
      <c r="B180" s="255">
        <v>5</v>
      </c>
      <c r="C180" s="289" t="s">
        <v>604</v>
      </c>
      <c r="D180" s="220"/>
      <c r="E180" s="295"/>
      <c r="F180" s="296"/>
      <c r="G180" s="296"/>
      <c r="H180" s="296"/>
      <c r="I180" s="296"/>
      <c r="J180" s="296"/>
      <c r="K180" s="296"/>
      <c r="L180" s="296"/>
      <c r="M180" s="296"/>
      <c r="N180" s="158"/>
      <c r="O180" s="158"/>
      <c r="P180" s="134"/>
      <c r="Q180" s="134"/>
      <c r="R180" s="134"/>
      <c r="T180" s="411"/>
      <c r="V180" s="406"/>
      <c r="W180" s="407"/>
      <c r="X180" s="408"/>
    </row>
    <row r="181" spans="1:24" s="405" customFormat="1" x14ac:dyDescent="0.3">
      <c r="A181" s="401"/>
      <c r="B181" s="478">
        <v>4</v>
      </c>
      <c r="C181" s="401" t="s">
        <v>715</v>
      </c>
      <c r="D181" s="404"/>
      <c r="E181" s="404"/>
      <c r="F181" s="404"/>
      <c r="G181" s="404"/>
      <c r="H181" s="404"/>
      <c r="I181" s="404"/>
      <c r="J181" s="404"/>
      <c r="K181" s="404"/>
      <c r="L181" s="404"/>
      <c r="M181" s="404"/>
      <c r="N181" s="404"/>
      <c r="O181" s="404"/>
      <c r="P181" s="404"/>
      <c r="Q181" s="404"/>
      <c r="R181" s="404"/>
      <c r="T181" s="411"/>
      <c r="V181" s="406"/>
      <c r="W181" s="407"/>
      <c r="X181" s="408"/>
    </row>
    <row r="182" spans="1:24" s="405" customFormat="1" x14ac:dyDescent="0.3">
      <c r="A182" s="401"/>
      <c r="B182" s="402"/>
      <c r="C182" s="755" t="s">
        <v>901</v>
      </c>
      <c r="D182" s="888"/>
      <c r="E182" s="888"/>
      <c r="F182" s="888"/>
      <c r="G182" s="888"/>
      <c r="H182" s="888"/>
      <c r="I182" s="888"/>
      <c r="J182" s="888"/>
      <c r="K182" s="888"/>
      <c r="L182" s="888"/>
      <c r="M182" s="888"/>
      <c r="N182" s="888"/>
      <c r="O182" s="888"/>
      <c r="P182" s="888"/>
      <c r="Q182" s="888"/>
      <c r="R182" s="888"/>
      <c r="T182" s="482"/>
      <c r="V182" s="406"/>
      <c r="W182" s="407"/>
      <c r="X182" s="408"/>
    </row>
    <row r="183" spans="1:24" s="405" customFormat="1" x14ac:dyDescent="0.3">
      <c r="A183" s="401"/>
      <c r="B183" s="402"/>
      <c r="C183" s="404"/>
      <c r="D183" s="404"/>
      <c r="E183" s="404"/>
      <c r="F183" s="404"/>
      <c r="G183" s="404"/>
      <c r="H183" s="404"/>
      <c r="I183" s="404"/>
      <c r="J183" s="404"/>
      <c r="K183" s="404"/>
      <c r="L183" s="404"/>
      <c r="M183" s="404"/>
      <c r="N183" s="404"/>
      <c r="O183" s="404"/>
      <c r="P183" s="404"/>
      <c r="Q183" s="404"/>
      <c r="R183" s="404"/>
      <c r="T183" s="482"/>
      <c r="V183" s="406"/>
      <c r="W183" s="407"/>
      <c r="X183" s="408"/>
    </row>
    <row r="184" spans="1:24" s="405" customFormat="1" ht="28.2" thickBot="1" x14ac:dyDescent="0.35">
      <c r="A184" s="401"/>
      <c r="B184" s="402"/>
      <c r="C184" s="403" t="s">
        <v>38</v>
      </c>
      <c r="D184" s="877" t="s">
        <v>521</v>
      </c>
      <c r="E184" s="878"/>
      <c r="F184" s="878"/>
      <c r="G184" s="878"/>
      <c r="H184" s="878"/>
      <c r="I184" s="878"/>
      <c r="J184" s="878"/>
      <c r="K184" s="878"/>
      <c r="L184" s="879"/>
      <c r="M184" s="770" t="s">
        <v>672</v>
      </c>
      <c r="N184" s="771"/>
      <c r="O184" s="771"/>
      <c r="P184" s="772"/>
      <c r="Q184" s="404"/>
      <c r="R184" s="404"/>
      <c r="T184" s="36"/>
      <c r="U184" s="36"/>
      <c r="V184" s="406"/>
      <c r="W184" s="407"/>
      <c r="X184" s="408"/>
    </row>
    <row r="185" spans="1:24" s="405" customFormat="1" x14ac:dyDescent="0.3">
      <c r="A185" s="401"/>
      <c r="B185" s="402"/>
      <c r="C185" s="409">
        <v>1</v>
      </c>
      <c r="D185" s="832" t="s">
        <v>716</v>
      </c>
      <c r="E185" s="832"/>
      <c r="F185" s="832"/>
      <c r="G185" s="832"/>
      <c r="H185" s="832"/>
      <c r="I185" s="832"/>
      <c r="J185" s="832"/>
      <c r="K185" s="832"/>
      <c r="L185" s="832"/>
      <c r="M185" s="833">
        <f>+'Bal-Sheet'!H30</f>
        <v>2032</v>
      </c>
      <c r="N185" s="834"/>
      <c r="O185" s="834"/>
      <c r="P185" s="834"/>
      <c r="Q185" s="404"/>
      <c r="R185" s="404"/>
      <c r="T185" s="36"/>
      <c r="U185" s="36"/>
      <c r="W185" s="407"/>
      <c r="X185" s="408"/>
    </row>
    <row r="186" spans="1:24" s="405" customFormat="1" x14ac:dyDescent="0.3">
      <c r="A186" s="401"/>
      <c r="B186" s="402"/>
      <c r="C186" s="409">
        <v>2</v>
      </c>
      <c r="D186" s="832" t="s">
        <v>717</v>
      </c>
      <c r="E186" s="832"/>
      <c r="F186" s="832"/>
      <c r="G186" s="832"/>
      <c r="H186" s="832"/>
      <c r="I186" s="832"/>
      <c r="J186" s="832"/>
      <c r="K186" s="832"/>
      <c r="L186" s="832"/>
      <c r="M186" s="833">
        <f>+'Bal-Sheet'!H32</f>
        <v>5774</v>
      </c>
      <c r="N186" s="834"/>
      <c r="O186" s="834"/>
      <c r="P186" s="834"/>
      <c r="Q186" s="404"/>
      <c r="R186" s="404"/>
      <c r="T186" s="36"/>
      <c r="U186" s="36"/>
      <c r="W186" s="407"/>
      <c r="X186" s="408"/>
    </row>
    <row r="187" spans="1:24" s="36" customFormat="1" x14ac:dyDescent="0.3">
      <c r="A187" s="401"/>
      <c r="B187" s="402"/>
      <c r="C187" s="409">
        <v>3</v>
      </c>
      <c r="D187" s="832" t="s">
        <v>718</v>
      </c>
      <c r="E187" s="832"/>
      <c r="F187" s="832"/>
      <c r="G187" s="832"/>
      <c r="H187" s="832"/>
      <c r="I187" s="832"/>
      <c r="J187" s="832"/>
      <c r="K187" s="832"/>
      <c r="L187" s="832"/>
      <c r="M187" s="833">
        <f>+'Bal-Sheet'!H34</f>
        <v>5134</v>
      </c>
      <c r="N187" s="834"/>
      <c r="O187" s="834"/>
      <c r="P187" s="834"/>
      <c r="Q187" s="404"/>
      <c r="R187" s="404"/>
      <c r="T187" s="252"/>
      <c r="U187" s="252"/>
    </row>
    <row r="188" spans="1:24" s="36" customFormat="1" x14ac:dyDescent="0.3">
      <c r="A188" s="401"/>
      <c r="B188" s="402"/>
      <c r="C188" s="409">
        <v>4</v>
      </c>
      <c r="D188" s="832" t="s">
        <v>721</v>
      </c>
      <c r="E188" s="832"/>
      <c r="F188" s="832"/>
      <c r="G188" s="832"/>
      <c r="H188" s="832"/>
      <c r="I188" s="832"/>
      <c r="J188" s="832"/>
      <c r="K188" s="832"/>
      <c r="L188" s="832"/>
      <c r="M188" s="833">
        <f>+'Bal-Sheet'!H36</f>
        <v>3209</v>
      </c>
      <c r="N188" s="834"/>
      <c r="O188" s="834"/>
      <c r="P188" s="834"/>
      <c r="Q188" s="404"/>
      <c r="R188" s="404"/>
      <c r="T188" s="252"/>
      <c r="U188" s="252"/>
    </row>
    <row r="189" spans="1:24" s="36" customFormat="1" x14ac:dyDescent="0.3">
      <c r="A189" s="401"/>
      <c r="B189" s="402"/>
      <c r="C189" s="409">
        <v>5</v>
      </c>
      <c r="D189" s="832" t="s">
        <v>719</v>
      </c>
      <c r="E189" s="832"/>
      <c r="F189" s="832"/>
      <c r="G189" s="832"/>
      <c r="H189" s="832"/>
      <c r="I189" s="832"/>
      <c r="J189" s="832"/>
      <c r="K189" s="832"/>
      <c r="L189" s="832"/>
      <c r="M189" s="833">
        <f>+'Bal-Sheet'!H38</f>
        <v>9807</v>
      </c>
      <c r="N189" s="834"/>
      <c r="O189" s="834"/>
      <c r="P189" s="834"/>
      <c r="Q189" s="404"/>
      <c r="R189" s="404"/>
      <c r="T189" s="252"/>
      <c r="U189" s="252"/>
    </row>
    <row r="190" spans="1:24" s="252" customFormat="1" x14ac:dyDescent="0.3">
      <c r="A190" s="401"/>
      <c r="B190" s="402"/>
      <c r="C190" s="409">
        <v>6</v>
      </c>
      <c r="D190" s="832" t="s">
        <v>720</v>
      </c>
      <c r="E190" s="832"/>
      <c r="F190" s="832"/>
      <c r="G190" s="832"/>
      <c r="H190" s="832"/>
      <c r="I190" s="832"/>
      <c r="J190" s="832"/>
      <c r="K190" s="832"/>
      <c r="L190" s="832"/>
      <c r="M190" s="833">
        <f>+'Bal-Sheet'!H40</f>
        <v>21475</v>
      </c>
      <c r="N190" s="834"/>
      <c r="O190" s="834"/>
      <c r="P190" s="834"/>
      <c r="Q190" s="404"/>
      <c r="R190" s="404"/>
      <c r="T190" s="365"/>
      <c r="U190" s="365"/>
    </row>
    <row r="191" spans="1:24" s="252" customFormat="1" ht="14.4" thickBot="1" x14ac:dyDescent="0.35">
      <c r="A191" s="401"/>
      <c r="B191" s="402"/>
      <c r="C191" s="410"/>
      <c r="D191" s="812" t="s">
        <v>673</v>
      </c>
      <c r="E191" s="812"/>
      <c r="F191" s="812"/>
      <c r="G191" s="812"/>
      <c r="H191" s="812"/>
      <c r="I191" s="812"/>
      <c r="J191" s="812"/>
      <c r="K191" s="812"/>
      <c r="L191" s="812"/>
      <c r="M191" s="814">
        <f>SUM(M185:P190)</f>
        <v>47431</v>
      </c>
      <c r="N191" s="815"/>
      <c r="O191" s="815"/>
      <c r="P191" s="816"/>
      <c r="Q191" s="404"/>
      <c r="R191" s="404"/>
      <c r="T191" s="365"/>
      <c r="U191" s="365"/>
    </row>
    <row r="192" spans="1:24" s="252" customFormat="1" x14ac:dyDescent="0.3">
      <c r="A192" s="401"/>
      <c r="B192" s="402"/>
      <c r="C192" s="484"/>
      <c r="D192" s="485"/>
      <c r="E192" s="485"/>
      <c r="F192" s="485"/>
      <c r="G192" s="485"/>
      <c r="H192" s="485"/>
      <c r="I192" s="485"/>
      <c r="J192" s="485"/>
      <c r="K192" s="485"/>
      <c r="L192" s="485"/>
      <c r="M192" s="486"/>
      <c r="N192" s="487"/>
      <c r="O192" s="487"/>
      <c r="P192" s="487"/>
      <c r="Q192" s="404"/>
      <c r="R192" s="404"/>
      <c r="T192" s="365"/>
      <c r="U192" s="365"/>
    </row>
    <row r="193" spans="1:26" s="365" customFormat="1" x14ac:dyDescent="0.3">
      <c r="A193" s="36"/>
      <c r="B193" s="255">
        <v>5</v>
      </c>
      <c r="C193" s="355" t="s">
        <v>416</v>
      </c>
      <c r="D193" s="357"/>
      <c r="E193" s="357"/>
      <c r="F193" s="356"/>
      <c r="G193" s="356"/>
      <c r="H193" s="356"/>
      <c r="I193" s="356"/>
      <c r="J193" s="356"/>
      <c r="K193" s="356"/>
      <c r="L193" s="356"/>
      <c r="M193" s="356"/>
      <c r="N193" s="358"/>
      <c r="O193" s="358"/>
      <c r="P193" s="359"/>
      <c r="Q193" s="359"/>
      <c r="R193" s="359"/>
      <c r="T193" s="230"/>
      <c r="U193" s="230"/>
      <c r="W193" s="366"/>
      <c r="X193" s="367"/>
    </row>
    <row r="194" spans="1:26" s="365" customFormat="1" ht="14.4" x14ac:dyDescent="0.3">
      <c r="A194" s="36"/>
      <c r="B194" s="368"/>
      <c r="C194" s="357" t="s">
        <v>415</v>
      </c>
      <c r="D194" s="357"/>
      <c r="E194" s="357"/>
      <c r="F194" s="356"/>
      <c r="G194" s="356"/>
      <c r="H194" s="356"/>
      <c r="I194" s="356"/>
      <c r="J194" s="356"/>
      <c r="K194" s="356"/>
      <c r="L194" s="356"/>
      <c r="M194" s="356"/>
      <c r="N194" s="358"/>
      <c r="O194" s="358"/>
      <c r="P194" s="359"/>
      <c r="Q194" s="359"/>
      <c r="R194" s="359"/>
      <c r="T194" s="10"/>
      <c r="U194" s="371"/>
      <c r="W194" s="366"/>
      <c r="X194" s="367"/>
    </row>
    <row r="195" spans="1:26" s="365" customFormat="1" ht="14.4" x14ac:dyDescent="0.3">
      <c r="A195" s="36"/>
      <c r="B195" s="354"/>
      <c r="C195" s="357"/>
      <c r="D195" s="357"/>
      <c r="E195" s="357"/>
      <c r="F195" s="356"/>
      <c r="G195" s="356"/>
      <c r="H195" s="356"/>
      <c r="I195" s="356"/>
      <c r="J195" s="356"/>
      <c r="K195" s="356"/>
      <c r="L195" s="356"/>
      <c r="M195" s="356"/>
      <c r="N195" s="358"/>
      <c r="O195" s="358"/>
      <c r="P195" s="359"/>
      <c r="Q195" s="359"/>
      <c r="R195" s="359"/>
      <c r="T195" s="10"/>
      <c r="U195" s="371"/>
    </row>
    <row r="196" spans="1:26" ht="15.6" x14ac:dyDescent="0.3">
      <c r="A196" s="252"/>
      <c r="B196" s="252">
        <v>6</v>
      </c>
      <c r="C196" s="363" t="s">
        <v>714</v>
      </c>
      <c r="D196" s="476"/>
      <c r="E196" s="476"/>
      <c r="F196" s="476"/>
      <c r="G196" s="476"/>
      <c r="H196" s="476"/>
      <c r="I196" s="476"/>
      <c r="J196" s="476"/>
      <c r="K196" s="476"/>
      <c r="L196" s="476"/>
      <c r="M196" s="476"/>
      <c r="N196" s="476"/>
      <c r="O196" s="476"/>
      <c r="P196" s="476"/>
      <c r="Q196" s="252"/>
      <c r="R196" s="252"/>
      <c r="T196" s="10"/>
      <c r="V196" s="299"/>
    </row>
    <row r="197" spans="1:26" ht="14.4" x14ac:dyDescent="0.3">
      <c r="A197" s="252"/>
      <c r="B197" s="368"/>
      <c r="C197" s="697" t="s">
        <v>713</v>
      </c>
      <c r="D197" s="697"/>
      <c r="E197" s="697"/>
      <c r="F197" s="697"/>
      <c r="G197" s="697"/>
      <c r="H197" s="697"/>
      <c r="I197" s="697"/>
      <c r="J197" s="697"/>
      <c r="K197" s="697"/>
      <c r="L197" s="697"/>
      <c r="M197" s="697"/>
      <c r="N197" s="697"/>
      <c r="O197" s="697"/>
      <c r="P197" s="252"/>
      <c r="Q197" s="252"/>
      <c r="R197" s="252"/>
      <c r="T197" s="307"/>
      <c r="U197" s="266"/>
      <c r="V197" s="371"/>
      <c r="W197" s="303"/>
      <c r="X197" s="304"/>
    </row>
    <row r="198" spans="1:26" ht="14.4" x14ac:dyDescent="0.3">
      <c r="A198" s="252"/>
      <c r="B198" s="399"/>
      <c r="C198" s="477"/>
      <c r="D198" s="477"/>
      <c r="E198" s="477"/>
      <c r="F198" s="477"/>
      <c r="G198" s="477"/>
      <c r="H198" s="477"/>
      <c r="I198" s="477"/>
      <c r="J198" s="477"/>
      <c r="K198" s="477"/>
      <c r="L198" s="477"/>
      <c r="M198" s="477"/>
      <c r="N198" s="477"/>
      <c r="O198" s="477"/>
      <c r="P198" s="252"/>
      <c r="Q198" s="252"/>
      <c r="R198" s="252"/>
      <c r="T198" s="307"/>
      <c r="U198" s="370"/>
      <c r="V198" s="371"/>
      <c r="W198" s="303"/>
      <c r="X198" s="304"/>
    </row>
    <row r="199" spans="1:26" ht="14.4" x14ac:dyDescent="0.3">
      <c r="A199" s="150"/>
      <c r="B199" s="362">
        <v>7</v>
      </c>
      <c r="C199" s="363" t="s">
        <v>902</v>
      </c>
      <c r="D199" s="364"/>
      <c r="E199" s="364"/>
      <c r="F199" s="364"/>
      <c r="G199" s="364"/>
      <c r="H199" s="364"/>
      <c r="I199" s="364"/>
      <c r="J199" s="364"/>
      <c r="K199" s="364"/>
      <c r="L199" s="364"/>
      <c r="M199" s="364"/>
      <c r="N199" s="364"/>
      <c r="O199" s="364"/>
      <c r="P199" s="364"/>
      <c r="Q199" s="364"/>
      <c r="R199" s="364"/>
      <c r="T199" s="307"/>
      <c r="W199" s="303"/>
      <c r="X199" s="304"/>
    </row>
    <row r="200" spans="1:26" ht="14.4" x14ac:dyDescent="0.3">
      <c r="A200" s="150"/>
      <c r="B200" s="368" t="s">
        <v>637</v>
      </c>
      <c r="C200" s="831" t="s">
        <v>423</v>
      </c>
      <c r="D200" s="831"/>
      <c r="E200" s="831"/>
      <c r="F200" s="831"/>
      <c r="G200" s="831"/>
      <c r="H200" s="831"/>
      <c r="I200" s="831"/>
      <c r="J200" s="831"/>
      <c r="K200" s="831"/>
      <c r="L200" s="831"/>
      <c r="M200" s="831"/>
      <c r="N200" s="831"/>
      <c r="O200" s="831"/>
      <c r="P200" s="831"/>
      <c r="Q200" s="831"/>
      <c r="R200" s="831"/>
      <c r="T200" s="307"/>
      <c r="V200" s="266"/>
      <c r="W200" s="303"/>
      <c r="X200" s="304"/>
    </row>
    <row r="201" spans="1:26" ht="14.4" x14ac:dyDescent="0.3">
      <c r="A201" s="150"/>
      <c r="B201" s="368" t="s">
        <v>636</v>
      </c>
      <c r="C201" s="831" t="s">
        <v>408</v>
      </c>
      <c r="D201" s="831"/>
      <c r="E201" s="831"/>
      <c r="F201" s="831"/>
      <c r="G201" s="831"/>
      <c r="H201" s="831"/>
      <c r="I201" s="831"/>
      <c r="J201" s="831"/>
      <c r="K201" s="831"/>
      <c r="L201" s="831"/>
      <c r="M201" s="831"/>
      <c r="N201" s="831"/>
      <c r="O201" s="831"/>
      <c r="P201" s="831"/>
      <c r="Q201" s="831"/>
      <c r="R201" s="831"/>
      <c r="T201" s="307"/>
      <c r="V201" s="370"/>
      <c r="W201" s="235"/>
      <c r="X201" s="235"/>
      <c r="Y201" s="235"/>
      <c r="Z201" s="235"/>
    </row>
    <row r="202" spans="1:26" ht="14.4" x14ac:dyDescent="0.3">
      <c r="A202" s="134"/>
      <c r="B202" s="294"/>
      <c r="C202" s="297"/>
      <c r="D202" s="297"/>
      <c r="E202" s="297"/>
      <c r="F202" s="297"/>
      <c r="G202" s="297"/>
      <c r="H202" s="297"/>
      <c r="I202" s="297"/>
      <c r="J202" s="297"/>
      <c r="K202" s="297"/>
      <c r="L202" s="297"/>
      <c r="M202" s="297"/>
      <c r="N202" s="297"/>
      <c r="O202" s="297"/>
      <c r="P202" s="252"/>
      <c r="Q202" s="252"/>
      <c r="R202" s="252"/>
      <c r="T202" s="307"/>
      <c r="W202" s="303"/>
      <c r="X202" s="304"/>
    </row>
    <row r="203" spans="1:26" ht="14.4" x14ac:dyDescent="0.3">
      <c r="A203" s="255"/>
      <c r="B203" s="298" t="s">
        <v>605</v>
      </c>
      <c r="C203" s="235"/>
      <c r="D203" s="235"/>
      <c r="E203" s="235"/>
      <c r="F203" s="235"/>
      <c r="G203" s="235"/>
      <c r="H203" s="235"/>
      <c r="I203" s="235"/>
      <c r="J203" s="235"/>
      <c r="K203" s="235"/>
      <c r="L203" s="235"/>
      <c r="M203" s="235"/>
      <c r="N203" s="235"/>
      <c r="O203" s="235"/>
      <c r="P203" s="235"/>
      <c r="Q203" s="235"/>
      <c r="R203" s="235"/>
      <c r="T203" s="307"/>
      <c r="W203" s="303"/>
      <c r="X203" s="304"/>
    </row>
    <row r="204" spans="1:26" ht="14.4" x14ac:dyDescent="0.3">
      <c r="A204" s="255"/>
      <c r="B204" s="488" t="s">
        <v>606</v>
      </c>
      <c r="C204" s="235"/>
      <c r="D204" s="235"/>
      <c r="E204" s="235"/>
      <c r="F204" s="235"/>
      <c r="G204" s="235"/>
      <c r="H204" s="235"/>
      <c r="I204" s="235"/>
      <c r="J204" s="235"/>
      <c r="K204" s="235"/>
      <c r="L204" s="235"/>
      <c r="M204" s="235"/>
      <c r="N204" s="235"/>
      <c r="O204" s="235"/>
      <c r="P204" s="235"/>
      <c r="Q204" s="235"/>
      <c r="R204" s="235"/>
      <c r="T204" s="307"/>
      <c r="W204" s="303"/>
      <c r="X204" s="304"/>
    </row>
    <row r="205" spans="1:26" ht="14.4" x14ac:dyDescent="0.3">
      <c r="A205" s="255"/>
      <c r="B205" s="235">
        <v>1</v>
      </c>
      <c r="C205" s="769" t="s">
        <v>607</v>
      </c>
      <c r="D205" s="769"/>
      <c r="E205" s="769"/>
      <c r="F205" s="769"/>
      <c r="G205" s="769"/>
      <c r="H205" s="769"/>
      <c r="I205" s="769"/>
      <c r="J205" s="769"/>
      <c r="K205" s="769"/>
      <c r="L205" s="769"/>
      <c r="M205" s="769"/>
      <c r="N205" s="769"/>
      <c r="O205" s="769"/>
      <c r="P205" s="769"/>
      <c r="Q205" s="769"/>
      <c r="R205" s="769"/>
      <c r="T205" s="307"/>
      <c r="W205" s="303"/>
      <c r="X205" s="304"/>
    </row>
    <row r="206" spans="1:26" ht="14.4" x14ac:dyDescent="0.3">
      <c r="A206" s="255"/>
      <c r="B206" s="255"/>
      <c r="C206" s="769"/>
      <c r="D206" s="769"/>
      <c r="E206" s="769"/>
      <c r="F206" s="769"/>
      <c r="G206" s="769"/>
      <c r="H206" s="769"/>
      <c r="I206" s="769"/>
      <c r="J206" s="769"/>
      <c r="K206" s="769"/>
      <c r="L206" s="769"/>
      <c r="M206" s="769"/>
      <c r="N206" s="769"/>
      <c r="O206" s="769"/>
      <c r="P206" s="769"/>
      <c r="Q206" s="769"/>
      <c r="R206" s="769"/>
      <c r="T206" s="307"/>
      <c r="W206" s="303"/>
      <c r="X206" s="304"/>
    </row>
    <row r="207" spans="1:26" ht="14.4" x14ac:dyDescent="0.3">
      <c r="A207" s="255"/>
      <c r="B207" s="300" t="s">
        <v>608</v>
      </c>
      <c r="C207" s="235"/>
      <c r="D207" s="235"/>
      <c r="E207" s="235"/>
      <c r="F207" s="235"/>
      <c r="G207" s="235"/>
      <c r="H207" s="235"/>
      <c r="I207" s="235"/>
      <c r="J207" s="235"/>
      <c r="K207" s="235"/>
      <c r="L207" s="235"/>
      <c r="M207" s="235"/>
      <c r="N207" s="235"/>
      <c r="O207" s="235"/>
      <c r="P207" s="235"/>
      <c r="Q207" s="235"/>
      <c r="R207" s="235"/>
      <c r="T207" s="307"/>
      <c r="U207" s="412">
        <v>2023</v>
      </c>
      <c r="V207" s="230">
        <v>2022</v>
      </c>
      <c r="W207" s="303"/>
      <c r="X207" s="304"/>
    </row>
    <row r="208" spans="1:26" ht="15.6" x14ac:dyDescent="0.3">
      <c r="A208" s="36"/>
      <c r="B208" s="235">
        <v>1</v>
      </c>
      <c r="C208" s="880" t="s">
        <v>414</v>
      </c>
      <c r="D208" s="720"/>
      <c r="E208" s="720"/>
      <c r="F208" s="720"/>
      <c r="G208" s="720"/>
      <c r="H208" s="720"/>
      <c r="I208" s="720"/>
      <c r="J208" s="720"/>
      <c r="K208" s="720"/>
      <c r="L208" s="720"/>
      <c r="M208" s="720"/>
      <c r="N208" s="720"/>
      <c r="O208" s="720"/>
      <c r="P208" s="720"/>
      <c r="Q208" s="720"/>
      <c r="R208" s="720"/>
      <c r="T208" s="18" t="s">
        <v>12</v>
      </c>
      <c r="U208" s="15">
        <v>173328</v>
      </c>
      <c r="V208" s="71">
        <v>81962</v>
      </c>
      <c r="W208" s="303"/>
      <c r="X208" s="304"/>
    </row>
    <row r="209" spans="1:24" ht="14.4" x14ac:dyDescent="0.3">
      <c r="A209" s="255"/>
      <c r="B209" s="300"/>
      <c r="C209" s="243"/>
      <c r="D209" s="243"/>
      <c r="E209" s="243"/>
      <c r="F209" s="243"/>
      <c r="G209" s="243"/>
      <c r="H209" s="243"/>
      <c r="I209" s="243"/>
      <c r="J209" s="243"/>
      <c r="K209" s="243"/>
      <c r="L209" s="243"/>
      <c r="M209" s="243"/>
      <c r="N209" s="243"/>
      <c r="O209" s="243"/>
      <c r="P209" s="243"/>
      <c r="Q209" s="243"/>
      <c r="R209" s="243"/>
      <c r="T209" s="18" t="s">
        <v>13</v>
      </c>
      <c r="U209" s="15">
        <v>5200</v>
      </c>
      <c r="V209" s="71">
        <v>6300</v>
      </c>
      <c r="W209" s="303"/>
    </row>
    <row r="210" spans="1:24" ht="14.4" x14ac:dyDescent="0.3">
      <c r="A210" s="255"/>
      <c r="B210" s="300"/>
      <c r="C210" s="243"/>
      <c r="D210" s="243"/>
      <c r="E210" s="243"/>
      <c r="F210" s="243"/>
      <c r="G210" s="243"/>
      <c r="H210" s="243"/>
      <c r="I210" s="243"/>
      <c r="J210" s="243"/>
      <c r="K210" s="243"/>
      <c r="L210" s="243"/>
      <c r="M210" s="243"/>
      <c r="N210" s="243"/>
      <c r="O210" s="243"/>
      <c r="P210" s="243"/>
      <c r="Q210" s="243"/>
      <c r="R210" s="243"/>
      <c r="T210" s="18" t="s">
        <v>14</v>
      </c>
      <c r="U210" s="15">
        <v>399140</v>
      </c>
      <c r="V210" s="71">
        <v>394140</v>
      </c>
      <c r="W210" s="303"/>
    </row>
    <row r="211" spans="1:24" ht="15" thickBot="1" x14ac:dyDescent="0.35">
      <c r="A211" s="255"/>
      <c r="B211" s="372" t="s">
        <v>609</v>
      </c>
      <c r="C211" s="235"/>
      <c r="D211" s="235"/>
      <c r="E211" s="235"/>
      <c r="F211" s="235"/>
      <c r="G211" s="235"/>
      <c r="H211" s="235"/>
      <c r="I211" s="235"/>
      <c r="J211" s="235"/>
      <c r="K211" s="235"/>
      <c r="L211" s="805"/>
      <c r="M211" s="805"/>
      <c r="N211" s="235"/>
      <c r="O211" s="805"/>
      <c r="P211" s="805"/>
      <c r="Q211" s="235"/>
      <c r="R211" s="235"/>
      <c r="T211" s="18" t="s">
        <v>359</v>
      </c>
      <c r="U211" s="15">
        <v>7800</v>
      </c>
      <c r="V211" s="71">
        <v>7200</v>
      </c>
    </row>
    <row r="212" spans="1:24" ht="14.4" thickBot="1" x14ac:dyDescent="0.35">
      <c r="A212" s="818" t="s">
        <v>38</v>
      </c>
      <c r="B212" s="819"/>
      <c r="C212" s="867" t="s">
        <v>521</v>
      </c>
      <c r="D212" s="867"/>
      <c r="E212" s="867"/>
      <c r="F212" s="867"/>
      <c r="G212" s="867"/>
      <c r="H212" s="867"/>
      <c r="I212" s="867"/>
      <c r="J212" s="885">
        <v>45382</v>
      </c>
      <c r="K212" s="886"/>
      <c r="L212" s="886"/>
      <c r="M212" s="885">
        <v>45016</v>
      </c>
      <c r="N212" s="886"/>
      <c r="O212" s="886"/>
      <c r="P212" s="869" t="s">
        <v>610</v>
      </c>
      <c r="Q212" s="887"/>
      <c r="R212" s="301" t="s">
        <v>611</v>
      </c>
    </row>
    <row r="213" spans="1:24" ht="14.4" x14ac:dyDescent="0.3">
      <c r="A213" s="790"/>
      <c r="B213" s="790"/>
      <c r="C213" s="890" t="s">
        <v>612</v>
      </c>
      <c r="D213" s="891"/>
      <c r="E213" s="891"/>
      <c r="F213" s="891"/>
      <c r="G213" s="891"/>
      <c r="H213" s="891"/>
      <c r="I213" s="892"/>
      <c r="J213" s="829"/>
      <c r="K213" s="897"/>
      <c r="L213" s="897"/>
      <c r="M213" s="829"/>
      <c r="N213" s="829"/>
      <c r="O213" s="829"/>
      <c r="P213" s="830"/>
      <c r="Q213" s="830"/>
      <c r="R213" s="302"/>
    </row>
    <row r="214" spans="1:24" ht="14.4" x14ac:dyDescent="0.3">
      <c r="A214" s="759">
        <v>1</v>
      </c>
      <c r="B214" s="759"/>
      <c r="C214" s="795" t="s">
        <v>847</v>
      </c>
      <c r="D214" s="796"/>
      <c r="E214" s="796"/>
      <c r="F214" s="796"/>
      <c r="G214" s="796"/>
      <c r="H214" s="796"/>
      <c r="I214" s="797"/>
      <c r="J214" s="763">
        <f>+'I&amp;E'!H19</f>
        <v>610364</v>
      </c>
      <c r="K214" s="763"/>
      <c r="L214" s="763"/>
      <c r="M214" s="763">
        <f>+SUM('I&amp;E'!E7:E19)</f>
        <v>639551</v>
      </c>
      <c r="N214" s="763"/>
      <c r="O214" s="763"/>
      <c r="P214" s="764">
        <f>+J214-M214</f>
        <v>-29187</v>
      </c>
      <c r="Q214" s="764"/>
      <c r="R214" s="369">
        <f>P214*100/M214</f>
        <v>-4.5636704500501128</v>
      </c>
      <c r="T214" s="18" t="s">
        <v>638</v>
      </c>
      <c r="U214" s="15">
        <v>137861</v>
      </c>
      <c r="V214" s="15">
        <v>137861</v>
      </c>
    </row>
    <row r="215" spans="1:24" ht="14.4" x14ac:dyDescent="0.3">
      <c r="A215" s="759">
        <v>2</v>
      </c>
      <c r="B215" s="759"/>
      <c r="C215" s="795" t="s">
        <v>848</v>
      </c>
      <c r="D215" s="796"/>
      <c r="E215" s="796"/>
      <c r="F215" s="796"/>
      <c r="G215" s="796"/>
      <c r="H215" s="796"/>
      <c r="I215" s="797"/>
      <c r="J215" s="763">
        <f>+'I&amp;E'!H27+'I&amp;E'!H30</f>
        <v>99938</v>
      </c>
      <c r="K215" s="763"/>
      <c r="L215" s="763"/>
      <c r="M215" s="763">
        <f>+SUM('I&amp;E'!E26:E30)</f>
        <v>97320</v>
      </c>
      <c r="N215" s="763"/>
      <c r="O215" s="763"/>
      <c r="P215" s="764">
        <f>+J215-M215</f>
        <v>2618</v>
      </c>
      <c r="Q215" s="764"/>
      <c r="R215" s="369">
        <f>P215*100/M215</f>
        <v>2.6900945334977395</v>
      </c>
      <c r="T215" s="18" t="s">
        <v>21</v>
      </c>
      <c r="U215" s="15">
        <v>97302</v>
      </c>
      <c r="V215" s="15">
        <v>97302</v>
      </c>
    </row>
    <row r="216" spans="1:24" ht="14.4" x14ac:dyDescent="0.3">
      <c r="A216" s="759">
        <v>3</v>
      </c>
      <c r="B216" s="759"/>
      <c r="C216" s="795" t="s">
        <v>849</v>
      </c>
      <c r="D216" s="796"/>
      <c r="E216" s="796"/>
      <c r="F216" s="796"/>
      <c r="G216" s="796"/>
      <c r="H216" s="796"/>
      <c r="I216" s="797"/>
      <c r="J216" s="763">
        <f>+'I&amp;E'!H33</f>
        <v>0</v>
      </c>
      <c r="K216" s="763"/>
      <c r="L216" s="763"/>
      <c r="M216" s="763">
        <f>+'I&amp;E'!E33</f>
        <v>50000</v>
      </c>
      <c r="N216" s="763"/>
      <c r="O216" s="763"/>
      <c r="P216" s="764">
        <f>+J216-M216</f>
        <v>-50000</v>
      </c>
      <c r="Q216" s="764"/>
      <c r="R216" s="369">
        <f>P216*100/M216</f>
        <v>-100</v>
      </c>
      <c r="T216" s="18" t="s">
        <v>418</v>
      </c>
      <c r="U216" s="15">
        <v>53880</v>
      </c>
      <c r="V216" s="15">
        <v>53880</v>
      </c>
    </row>
    <row r="217" spans="1:24" ht="15" thickBot="1" x14ac:dyDescent="0.35">
      <c r="A217" s="759">
        <v>4</v>
      </c>
      <c r="B217" s="759"/>
      <c r="C217" s="795" t="s">
        <v>850</v>
      </c>
      <c r="D217" s="796"/>
      <c r="E217" s="796"/>
      <c r="F217" s="796"/>
      <c r="G217" s="796"/>
      <c r="H217" s="796"/>
      <c r="I217" s="797"/>
      <c r="J217" s="763">
        <f>+'I&amp;E'!H22</f>
        <v>0</v>
      </c>
      <c r="K217" s="763"/>
      <c r="L217" s="763"/>
      <c r="M217" s="763">
        <f>+'I&amp;E'!E22</f>
        <v>0</v>
      </c>
      <c r="N217" s="763"/>
      <c r="O217" s="763"/>
      <c r="P217" s="764">
        <f>+J217-M217</f>
        <v>0</v>
      </c>
      <c r="Q217" s="764"/>
      <c r="R217" s="369">
        <v>100</v>
      </c>
      <c r="T217" s="18"/>
      <c r="U217" s="15"/>
      <c r="V217" s="15"/>
    </row>
    <row r="218" spans="1:24" ht="15" thickBot="1" x14ac:dyDescent="0.35">
      <c r="A218" s="895"/>
      <c r="B218" s="896"/>
      <c r="C218" s="806" t="s">
        <v>424</v>
      </c>
      <c r="D218" s="807"/>
      <c r="E218" s="807"/>
      <c r="F218" s="807"/>
      <c r="G218" s="807"/>
      <c r="H218" s="807"/>
      <c r="I218" s="808"/>
      <c r="J218" s="803">
        <f>SUM(J214:L217)</f>
        <v>710302</v>
      </c>
      <c r="K218" s="783"/>
      <c r="L218" s="783"/>
      <c r="M218" s="803">
        <f>SUM(M214:O217)</f>
        <v>786871</v>
      </c>
      <c r="N218" s="783"/>
      <c r="O218" s="783"/>
      <c r="P218" s="801">
        <f>SUM(P214:Q217)</f>
        <v>-76569</v>
      </c>
      <c r="Q218" s="802"/>
      <c r="R218" s="305"/>
      <c r="T218" s="18" t="s">
        <v>639</v>
      </c>
      <c r="U218" s="15">
        <v>56056</v>
      </c>
      <c r="V218" s="15">
        <v>56056</v>
      </c>
      <c r="W218" s="230" t="s">
        <v>625</v>
      </c>
      <c r="X218" s="230">
        <v>56056</v>
      </c>
    </row>
    <row r="219" spans="1:24" ht="14.4" x14ac:dyDescent="0.3">
      <c r="A219" s="889"/>
      <c r="B219" s="889"/>
      <c r="C219" s="890" t="s">
        <v>613</v>
      </c>
      <c r="D219" s="891"/>
      <c r="E219" s="891"/>
      <c r="F219" s="891"/>
      <c r="G219" s="891"/>
      <c r="H219" s="891"/>
      <c r="I219" s="892"/>
      <c r="J219" s="893"/>
      <c r="K219" s="894"/>
      <c r="L219" s="894"/>
      <c r="M219" s="893"/>
      <c r="N219" s="893"/>
      <c r="O219" s="893"/>
      <c r="P219" s="804"/>
      <c r="Q219" s="804"/>
      <c r="R219" s="306"/>
      <c r="T219" s="18" t="s">
        <v>640</v>
      </c>
      <c r="U219" s="15">
        <v>13887</v>
      </c>
      <c r="V219" s="15">
        <v>13887</v>
      </c>
      <c r="W219" s="230" t="s">
        <v>357</v>
      </c>
      <c r="X219" s="230">
        <v>13887</v>
      </c>
    </row>
    <row r="220" spans="1:24" ht="14.4" x14ac:dyDescent="0.3">
      <c r="A220" s="759">
        <v>1</v>
      </c>
      <c r="B220" s="759"/>
      <c r="C220" s="760" t="s">
        <v>638</v>
      </c>
      <c r="D220" s="761"/>
      <c r="E220" s="761"/>
      <c r="F220" s="761"/>
      <c r="G220" s="761"/>
      <c r="H220" s="761"/>
      <c r="I220" s="762"/>
      <c r="J220" s="763">
        <f>+'I&amp;E'!C7</f>
        <v>103516</v>
      </c>
      <c r="K220" s="763"/>
      <c r="L220" s="763"/>
      <c r="M220" s="763">
        <f>+'I&amp;E'!A7</f>
        <v>84982</v>
      </c>
      <c r="N220" s="763"/>
      <c r="O220" s="763"/>
      <c r="P220" s="764">
        <f>+J220-M220</f>
        <v>18534</v>
      </c>
      <c r="Q220" s="764"/>
      <c r="R220" s="369">
        <f>+P220*100/M220</f>
        <v>21.809324327504648</v>
      </c>
      <c r="T220" s="18" t="s">
        <v>641</v>
      </c>
      <c r="U220" s="15">
        <v>26400</v>
      </c>
      <c r="V220" s="15">
        <v>26400</v>
      </c>
      <c r="W220" s="230" t="s">
        <v>406</v>
      </c>
      <c r="X220" s="230">
        <v>26400</v>
      </c>
    </row>
    <row r="221" spans="1:24" ht="14.4" x14ac:dyDescent="0.3">
      <c r="A221" s="759">
        <v>2</v>
      </c>
      <c r="B221" s="759"/>
      <c r="C221" s="760" t="s">
        <v>21</v>
      </c>
      <c r="D221" s="761"/>
      <c r="E221" s="761"/>
      <c r="F221" s="761"/>
      <c r="G221" s="761"/>
      <c r="H221" s="761"/>
      <c r="I221" s="762"/>
      <c r="J221" s="763">
        <f>+'I&amp;E'!C8</f>
        <v>105609</v>
      </c>
      <c r="K221" s="763"/>
      <c r="L221" s="763"/>
      <c r="M221" s="763">
        <f>+'I&amp;E'!A8</f>
        <v>94974</v>
      </c>
      <c r="N221" s="763"/>
      <c r="O221" s="763"/>
      <c r="P221" s="764">
        <f>+J221-M221</f>
        <v>10635</v>
      </c>
      <c r="Q221" s="764"/>
      <c r="R221" s="369">
        <f>+P221*100/M221</f>
        <v>11.197801503569398</v>
      </c>
      <c r="T221" s="18" t="s">
        <v>642</v>
      </c>
      <c r="U221" s="15">
        <v>170150</v>
      </c>
      <c r="V221" s="15">
        <v>170150</v>
      </c>
      <c r="W221" s="230" t="s">
        <v>372</v>
      </c>
      <c r="X221" s="230">
        <v>170150</v>
      </c>
    </row>
    <row r="222" spans="1:24" ht="14.4" x14ac:dyDescent="0.3">
      <c r="A222" s="759">
        <v>3</v>
      </c>
      <c r="B222" s="759"/>
      <c r="C222" s="760" t="s">
        <v>418</v>
      </c>
      <c r="D222" s="761"/>
      <c r="E222" s="761"/>
      <c r="F222" s="761"/>
      <c r="G222" s="761"/>
      <c r="H222" s="761"/>
      <c r="I222" s="762"/>
      <c r="J222" s="763">
        <f>+'I&amp;E'!C9</f>
        <v>80940</v>
      </c>
      <c r="K222" s="763"/>
      <c r="L222" s="763"/>
      <c r="M222" s="763">
        <f>+'I&amp;E'!A9</f>
        <v>77790</v>
      </c>
      <c r="N222" s="763"/>
      <c r="O222" s="763"/>
      <c r="P222" s="764">
        <f>+J222-M222</f>
        <v>3150</v>
      </c>
      <c r="Q222" s="764"/>
      <c r="R222" s="369">
        <f>+P222*100/M222</f>
        <v>4.0493636714230625</v>
      </c>
      <c r="T222" s="18" t="s">
        <v>795</v>
      </c>
      <c r="U222" s="15">
        <v>15625</v>
      </c>
      <c r="V222" s="15">
        <v>15625</v>
      </c>
      <c r="W222" s="230" t="s">
        <v>704</v>
      </c>
      <c r="X222" s="230">
        <v>15625</v>
      </c>
    </row>
    <row r="223" spans="1:24" ht="14.4" x14ac:dyDescent="0.3">
      <c r="A223" s="759">
        <v>4</v>
      </c>
      <c r="B223" s="759"/>
      <c r="C223" s="760" t="s">
        <v>906</v>
      </c>
      <c r="D223" s="761"/>
      <c r="E223" s="761"/>
      <c r="F223" s="761"/>
      <c r="G223" s="761"/>
      <c r="H223" s="761"/>
      <c r="I223" s="762"/>
      <c r="J223" s="763">
        <f>+'I&amp;E'!C10</f>
        <v>0</v>
      </c>
      <c r="K223" s="763"/>
      <c r="L223" s="763"/>
      <c r="M223" s="763">
        <v>0</v>
      </c>
      <c r="N223" s="763"/>
      <c r="O223" s="763"/>
      <c r="P223" s="764">
        <f>+J223-M223</f>
        <v>0</v>
      </c>
      <c r="Q223" s="764"/>
      <c r="R223" s="369">
        <v>100</v>
      </c>
      <c r="T223" s="18" t="s">
        <v>643</v>
      </c>
      <c r="U223" s="15">
        <v>3000</v>
      </c>
      <c r="V223" s="15">
        <v>3000</v>
      </c>
      <c r="W223" s="230" t="s">
        <v>621</v>
      </c>
      <c r="X223" s="230">
        <v>3000</v>
      </c>
    </row>
    <row r="224" spans="1:24" ht="14.4" x14ac:dyDescent="0.3">
      <c r="A224" s="759">
        <v>5</v>
      </c>
      <c r="B224" s="759"/>
      <c r="C224" s="760" t="s">
        <v>639</v>
      </c>
      <c r="D224" s="761"/>
      <c r="E224" s="761"/>
      <c r="F224" s="761"/>
      <c r="G224" s="761"/>
      <c r="H224" s="761"/>
      <c r="I224" s="762"/>
      <c r="J224" s="763">
        <f>+'I&amp;E'!C12</f>
        <v>29295</v>
      </c>
      <c r="K224" s="763"/>
      <c r="L224" s="763"/>
      <c r="M224" s="763">
        <f>+'I&amp;E'!A12</f>
        <v>23322</v>
      </c>
      <c r="N224" s="763"/>
      <c r="O224" s="763"/>
      <c r="P224" s="764">
        <f>+J224-M224</f>
        <v>5973</v>
      </c>
      <c r="Q224" s="764"/>
      <c r="R224" s="369">
        <f>+P224*100/M224</f>
        <v>25.611011062516081</v>
      </c>
      <c r="T224" s="18" t="s">
        <v>796</v>
      </c>
      <c r="U224" s="15">
        <v>1770</v>
      </c>
      <c r="V224" s="15">
        <v>1770</v>
      </c>
      <c r="W224" s="230" t="s">
        <v>686</v>
      </c>
      <c r="X224" s="230">
        <v>1770</v>
      </c>
    </row>
    <row r="225" spans="1:24" ht="14.4" x14ac:dyDescent="0.3">
      <c r="A225" s="759">
        <v>6</v>
      </c>
      <c r="B225" s="759"/>
      <c r="C225" s="760" t="s">
        <v>640</v>
      </c>
      <c r="D225" s="761"/>
      <c r="E225" s="761"/>
      <c r="F225" s="761"/>
      <c r="G225" s="761"/>
      <c r="H225" s="761"/>
      <c r="I225" s="762"/>
      <c r="J225" s="763">
        <f>+'I&amp;E'!C13</f>
        <v>37293</v>
      </c>
      <c r="K225" s="763"/>
      <c r="L225" s="763"/>
      <c r="M225" s="763">
        <f>+'I&amp;E'!A13</f>
        <v>33806</v>
      </c>
      <c r="N225" s="763"/>
      <c r="O225" s="763"/>
      <c r="P225" s="764">
        <f t="shared" ref="P225:P231" si="2">+J225-M225</f>
        <v>3487</v>
      </c>
      <c r="Q225" s="764"/>
      <c r="R225" s="369">
        <f t="shared" ref="R225:R231" si="3">+P225*100/M225</f>
        <v>10.314737028929775</v>
      </c>
      <c r="T225" s="18" t="s">
        <v>644</v>
      </c>
      <c r="U225" s="15">
        <v>16704</v>
      </c>
      <c r="V225" s="15">
        <v>16704</v>
      </c>
      <c r="W225" s="230" t="s">
        <v>620</v>
      </c>
      <c r="X225" s="230">
        <v>16704</v>
      </c>
    </row>
    <row r="226" spans="1:24" ht="14.4" x14ac:dyDescent="0.3">
      <c r="A226" s="759">
        <v>7</v>
      </c>
      <c r="B226" s="759"/>
      <c r="C226" s="760" t="s">
        <v>641</v>
      </c>
      <c r="D226" s="761"/>
      <c r="E226" s="761"/>
      <c r="F226" s="761"/>
      <c r="G226" s="761"/>
      <c r="H226" s="761"/>
      <c r="I226" s="762"/>
      <c r="J226" s="763">
        <f>+'I&amp;E'!C14</f>
        <v>41000</v>
      </c>
      <c r="K226" s="763"/>
      <c r="L226" s="763"/>
      <c r="M226" s="763">
        <f>+'I&amp;E'!A14</f>
        <v>30000</v>
      </c>
      <c r="N226" s="763"/>
      <c r="O226" s="763"/>
      <c r="P226" s="764">
        <f t="shared" si="2"/>
        <v>11000</v>
      </c>
      <c r="Q226" s="764"/>
      <c r="R226" s="369">
        <f t="shared" si="3"/>
        <v>36.666666666666664</v>
      </c>
      <c r="T226" s="18" t="s">
        <v>6</v>
      </c>
      <c r="U226" s="15">
        <v>835</v>
      </c>
      <c r="V226" s="15">
        <v>835</v>
      </c>
      <c r="W226" s="230" t="s">
        <v>6</v>
      </c>
      <c r="X226" s="230">
        <v>835</v>
      </c>
    </row>
    <row r="227" spans="1:24" s="150" customFormat="1" ht="14.4" x14ac:dyDescent="0.3">
      <c r="A227" s="759">
        <v>8</v>
      </c>
      <c r="B227" s="759"/>
      <c r="C227" s="760" t="s">
        <v>642</v>
      </c>
      <c r="D227" s="761"/>
      <c r="E227" s="761"/>
      <c r="F227" s="761"/>
      <c r="G227" s="761"/>
      <c r="H227" s="761"/>
      <c r="I227" s="762"/>
      <c r="J227" s="763">
        <f>+'I&amp;E'!C15</f>
        <v>116100</v>
      </c>
      <c r="K227" s="763"/>
      <c r="L227" s="763"/>
      <c r="M227" s="763">
        <f>+'I&amp;E'!A15</f>
        <v>163150</v>
      </c>
      <c r="N227" s="763"/>
      <c r="O227" s="763"/>
      <c r="P227" s="764">
        <f t="shared" si="2"/>
        <v>-47050</v>
      </c>
      <c r="Q227" s="764"/>
      <c r="R227" s="369">
        <f t="shared" si="3"/>
        <v>-28.838492185105732</v>
      </c>
      <c r="T227" s="18" t="s">
        <v>7</v>
      </c>
      <c r="U227" s="15">
        <v>3475</v>
      </c>
      <c r="V227" s="15">
        <v>3475</v>
      </c>
      <c r="W227" s="230" t="s">
        <v>7</v>
      </c>
      <c r="X227" s="150">
        <v>3475</v>
      </c>
    </row>
    <row r="228" spans="1:24" s="155" customFormat="1" ht="14.4" x14ac:dyDescent="0.3">
      <c r="A228" s="759">
        <v>9</v>
      </c>
      <c r="B228" s="759"/>
      <c r="C228" s="760" t="s">
        <v>795</v>
      </c>
      <c r="D228" s="761"/>
      <c r="E228" s="761"/>
      <c r="F228" s="761"/>
      <c r="G228" s="761"/>
      <c r="H228" s="761"/>
      <c r="I228" s="762"/>
      <c r="J228" s="763">
        <f>+'I&amp;E'!C16</f>
        <v>8812</v>
      </c>
      <c r="K228" s="763"/>
      <c r="L228" s="763"/>
      <c r="M228" s="763">
        <f>+'I&amp;E'!A16</f>
        <v>5990</v>
      </c>
      <c r="N228" s="763"/>
      <c r="O228" s="763"/>
      <c r="P228" s="764">
        <f t="shared" si="2"/>
        <v>2822</v>
      </c>
      <c r="Q228" s="764"/>
      <c r="R228" s="369">
        <f t="shared" si="3"/>
        <v>47.1118530884808</v>
      </c>
      <c r="T228" s="18" t="s">
        <v>49</v>
      </c>
      <c r="U228" s="15">
        <v>826</v>
      </c>
      <c r="V228" s="15">
        <v>826</v>
      </c>
      <c r="W228" s="230" t="s">
        <v>49</v>
      </c>
      <c r="X228" s="155">
        <v>826</v>
      </c>
    </row>
    <row r="229" spans="1:24" s="155" customFormat="1" ht="15.6" x14ac:dyDescent="0.3">
      <c r="A229" s="759">
        <v>10</v>
      </c>
      <c r="B229" s="759"/>
      <c r="C229" s="760" t="s">
        <v>643</v>
      </c>
      <c r="D229" s="761"/>
      <c r="E229" s="761"/>
      <c r="F229" s="761"/>
      <c r="G229" s="761"/>
      <c r="H229" s="761"/>
      <c r="I229" s="762"/>
      <c r="J229" s="763">
        <f>+'I&amp;E'!C17</f>
        <v>6500</v>
      </c>
      <c r="K229" s="763"/>
      <c r="L229" s="763"/>
      <c r="M229" s="763">
        <f>+'I&amp;E'!A17</f>
        <v>4100</v>
      </c>
      <c r="N229" s="763"/>
      <c r="O229" s="763"/>
      <c r="P229" s="764">
        <f t="shared" si="2"/>
        <v>2400</v>
      </c>
      <c r="Q229" s="764"/>
      <c r="R229" s="369">
        <f t="shared" si="3"/>
        <v>58.536585365853661</v>
      </c>
      <c r="T229" s="14" t="s">
        <v>10</v>
      </c>
      <c r="U229" s="15">
        <v>283.2</v>
      </c>
      <c r="V229" s="15">
        <v>283.2</v>
      </c>
      <c r="W229" s="155" t="s">
        <v>10</v>
      </c>
      <c r="X229" s="155">
        <v>283.2</v>
      </c>
    </row>
    <row r="230" spans="1:24" ht="14.4" x14ac:dyDescent="0.3">
      <c r="A230" s="759">
        <v>11</v>
      </c>
      <c r="B230" s="759"/>
      <c r="C230" s="760" t="s">
        <v>796</v>
      </c>
      <c r="D230" s="761"/>
      <c r="E230" s="761"/>
      <c r="F230" s="761"/>
      <c r="G230" s="761"/>
      <c r="H230" s="761"/>
      <c r="I230" s="762"/>
      <c r="J230" s="763">
        <f>+'I&amp;E'!C18</f>
        <v>8288</v>
      </c>
      <c r="K230" s="763"/>
      <c r="L230" s="763"/>
      <c r="M230" s="763">
        <f>+'I&amp;E'!A18</f>
        <v>10970</v>
      </c>
      <c r="N230" s="763"/>
      <c r="O230" s="763"/>
      <c r="P230" s="764">
        <f t="shared" si="2"/>
        <v>-2682</v>
      </c>
      <c r="Q230" s="764"/>
      <c r="R230" s="369">
        <f t="shared" si="3"/>
        <v>-24.448495897903374</v>
      </c>
      <c r="T230" s="18" t="s">
        <v>8</v>
      </c>
      <c r="U230" s="266">
        <v>12000</v>
      </c>
      <c r="V230" s="266">
        <v>12000</v>
      </c>
      <c r="W230" s="155" t="s">
        <v>8</v>
      </c>
      <c r="X230" s="230">
        <v>12000</v>
      </c>
    </row>
    <row r="231" spans="1:24" ht="14.4" x14ac:dyDescent="0.3">
      <c r="A231" s="759">
        <v>12</v>
      </c>
      <c r="B231" s="759"/>
      <c r="C231" s="760" t="s">
        <v>644</v>
      </c>
      <c r="D231" s="761"/>
      <c r="E231" s="761"/>
      <c r="F231" s="761"/>
      <c r="G231" s="761"/>
      <c r="H231" s="761"/>
      <c r="I231" s="762"/>
      <c r="J231" s="763">
        <f>+'I&amp;E'!C19</f>
        <v>14487</v>
      </c>
      <c r="K231" s="763"/>
      <c r="L231" s="763"/>
      <c r="M231" s="763">
        <f>+'I&amp;E'!A19</f>
        <v>13891</v>
      </c>
      <c r="N231" s="763"/>
      <c r="O231" s="763"/>
      <c r="P231" s="764">
        <f t="shared" si="2"/>
        <v>596</v>
      </c>
      <c r="Q231" s="764"/>
      <c r="R231" s="369">
        <f t="shared" si="3"/>
        <v>4.290547836728817</v>
      </c>
      <c r="T231" s="10" t="s">
        <v>9</v>
      </c>
      <c r="U231" s="266">
        <v>3000</v>
      </c>
      <c r="V231" s="266">
        <v>3000</v>
      </c>
      <c r="W231" s="155" t="s">
        <v>9</v>
      </c>
      <c r="X231" s="230">
        <v>3000</v>
      </c>
    </row>
    <row r="232" spans="1:24" ht="14.4" x14ac:dyDescent="0.3">
      <c r="A232" s="759">
        <v>13</v>
      </c>
      <c r="B232" s="759"/>
      <c r="C232" s="760" t="s">
        <v>645</v>
      </c>
      <c r="D232" s="761"/>
      <c r="E232" s="761"/>
      <c r="F232" s="761"/>
      <c r="G232" s="761"/>
      <c r="H232" s="761"/>
      <c r="I232" s="762"/>
      <c r="J232" s="763">
        <f>+'I&amp;E'!C22</f>
        <v>1715</v>
      </c>
      <c r="K232" s="763"/>
      <c r="L232" s="763"/>
      <c r="M232" s="763">
        <f>+'I&amp;E'!A22</f>
        <v>6053</v>
      </c>
      <c r="N232" s="763"/>
      <c r="O232" s="763"/>
      <c r="P232" s="764">
        <f>+J232-M232</f>
        <v>-4338</v>
      </c>
      <c r="Q232" s="764"/>
      <c r="R232" s="369">
        <f>+P232*100/M232</f>
        <v>-71.666942012225348</v>
      </c>
      <c r="T232" s="10"/>
      <c r="U232" s="266"/>
      <c r="V232" s="266"/>
      <c r="W232" s="155"/>
    </row>
    <row r="233" spans="1:24" ht="14.4" x14ac:dyDescent="0.3">
      <c r="A233" s="759">
        <v>14</v>
      </c>
      <c r="B233" s="759"/>
      <c r="C233" s="760" t="s">
        <v>614</v>
      </c>
      <c r="D233" s="761"/>
      <c r="E233" s="761"/>
      <c r="F233" s="761"/>
      <c r="G233" s="761"/>
      <c r="H233" s="761"/>
      <c r="I233" s="762"/>
      <c r="J233" s="763">
        <f>+'I&amp;E'!C23</f>
        <v>1875</v>
      </c>
      <c r="K233" s="763"/>
      <c r="L233" s="763"/>
      <c r="M233" s="763">
        <f>+'I&amp;E'!A23</f>
        <v>2690</v>
      </c>
      <c r="N233" s="763"/>
      <c r="O233" s="763"/>
      <c r="P233" s="764">
        <f t="shared" ref="P233:P243" si="4">+J233-M233</f>
        <v>-815</v>
      </c>
      <c r="Q233" s="764"/>
      <c r="R233" s="369">
        <f t="shared" ref="R233:R237" si="5">+P233*100/M233</f>
        <v>-30.297397769516728</v>
      </c>
      <c r="T233" s="10"/>
      <c r="U233" s="266"/>
      <c r="V233" s="266"/>
      <c r="W233" s="155"/>
    </row>
    <row r="234" spans="1:24" x14ac:dyDescent="0.3">
      <c r="A234" s="759">
        <v>15</v>
      </c>
      <c r="B234" s="759"/>
      <c r="C234" s="760" t="s">
        <v>646</v>
      </c>
      <c r="D234" s="761"/>
      <c r="E234" s="761"/>
      <c r="F234" s="761"/>
      <c r="G234" s="761"/>
      <c r="H234" s="761"/>
      <c r="I234" s="762"/>
      <c r="J234" s="763">
        <f>+'I&amp;E'!C24</f>
        <v>0</v>
      </c>
      <c r="K234" s="763"/>
      <c r="L234" s="763"/>
      <c r="M234" s="763">
        <f>+'I&amp;E'!A24</f>
        <v>10000</v>
      </c>
      <c r="N234" s="763"/>
      <c r="O234" s="763"/>
      <c r="P234" s="764">
        <f t="shared" si="4"/>
        <v>-10000</v>
      </c>
      <c r="Q234" s="764"/>
      <c r="R234" s="369">
        <f t="shared" si="5"/>
        <v>-100</v>
      </c>
      <c r="T234" s="230" t="s">
        <v>648</v>
      </c>
      <c r="U234" s="230">
        <v>13310</v>
      </c>
      <c r="V234" s="230">
        <v>13310</v>
      </c>
    </row>
    <row r="235" spans="1:24" x14ac:dyDescent="0.3">
      <c r="A235" s="759">
        <v>16</v>
      </c>
      <c r="B235" s="759"/>
      <c r="C235" s="760" t="s">
        <v>647</v>
      </c>
      <c r="D235" s="761"/>
      <c r="E235" s="761"/>
      <c r="F235" s="761"/>
      <c r="G235" s="761"/>
      <c r="H235" s="761"/>
      <c r="I235" s="762"/>
      <c r="J235" s="763">
        <f>+'I&amp;E'!C25</f>
        <v>25.18</v>
      </c>
      <c r="K235" s="763"/>
      <c r="L235" s="763"/>
      <c r="M235" s="763">
        <f>+'I&amp;E'!A25</f>
        <v>409.67</v>
      </c>
      <c r="N235" s="763"/>
      <c r="O235" s="763"/>
      <c r="P235" s="764">
        <f t="shared" si="4"/>
        <v>-384.49</v>
      </c>
      <c r="Q235" s="764"/>
      <c r="R235" s="369">
        <f t="shared" si="5"/>
        <v>-93.853589474455049</v>
      </c>
      <c r="T235" s="230" t="s">
        <v>693</v>
      </c>
      <c r="U235" s="230">
        <v>3600</v>
      </c>
      <c r="V235" s="230">
        <v>3600</v>
      </c>
    </row>
    <row r="236" spans="1:24" x14ac:dyDescent="0.3">
      <c r="A236" s="759">
        <v>17</v>
      </c>
      <c r="B236" s="759"/>
      <c r="C236" s="760" t="s">
        <v>22</v>
      </c>
      <c r="D236" s="761"/>
      <c r="E236" s="761"/>
      <c r="F236" s="761"/>
      <c r="G236" s="761"/>
      <c r="H236" s="761"/>
      <c r="I236" s="762"/>
      <c r="J236" s="763">
        <f>+'I&amp;E'!C26</f>
        <v>12000</v>
      </c>
      <c r="K236" s="763"/>
      <c r="L236" s="763"/>
      <c r="M236" s="763">
        <f>+'I&amp;E'!A26</f>
        <v>12000</v>
      </c>
      <c r="N236" s="763"/>
      <c r="O236" s="763"/>
      <c r="P236" s="764">
        <f t="shared" si="4"/>
        <v>0</v>
      </c>
      <c r="Q236" s="764"/>
      <c r="R236" s="369">
        <f t="shared" si="5"/>
        <v>0</v>
      </c>
      <c r="T236" s="230" t="s">
        <v>707</v>
      </c>
      <c r="U236" s="230">
        <v>18755</v>
      </c>
      <c r="V236" s="230">
        <v>18755</v>
      </c>
    </row>
    <row r="237" spans="1:24" x14ac:dyDescent="0.3">
      <c r="A237" s="759">
        <v>18</v>
      </c>
      <c r="B237" s="759"/>
      <c r="C237" s="760" t="s">
        <v>23</v>
      </c>
      <c r="D237" s="761"/>
      <c r="E237" s="761"/>
      <c r="F237" s="761"/>
      <c r="G237" s="761"/>
      <c r="H237" s="761"/>
      <c r="I237" s="762"/>
      <c r="J237" s="763">
        <f>+'I&amp;E'!C27</f>
        <v>3500</v>
      </c>
      <c r="K237" s="763"/>
      <c r="L237" s="763"/>
      <c r="M237" s="763">
        <f>+'I&amp;E'!A27</f>
        <v>3000</v>
      </c>
      <c r="N237" s="763"/>
      <c r="O237" s="763"/>
      <c r="P237" s="764">
        <f t="shared" si="4"/>
        <v>500</v>
      </c>
      <c r="Q237" s="764"/>
      <c r="R237" s="369">
        <f t="shared" si="5"/>
        <v>16.666666666666668</v>
      </c>
      <c r="T237" s="230" t="s">
        <v>797</v>
      </c>
      <c r="U237" s="230">
        <v>56263.8</v>
      </c>
      <c r="V237" s="230">
        <v>56263.8</v>
      </c>
    </row>
    <row r="238" spans="1:24" x14ac:dyDescent="0.3">
      <c r="A238" s="759">
        <v>19</v>
      </c>
      <c r="B238" s="759"/>
      <c r="C238" s="760" t="s">
        <v>904</v>
      </c>
      <c r="D238" s="761"/>
      <c r="E238" s="761"/>
      <c r="F238" s="761"/>
      <c r="G238" s="761"/>
      <c r="H238" s="761"/>
      <c r="I238" s="762"/>
      <c r="J238" s="763">
        <f>+'I&amp;E'!C28</f>
        <v>3000</v>
      </c>
      <c r="K238" s="763"/>
      <c r="L238" s="763"/>
      <c r="M238" s="763"/>
      <c r="N238" s="763"/>
      <c r="O238" s="763"/>
      <c r="P238" s="764">
        <f t="shared" ref="P238" si="6">+J238-M238</f>
        <v>3000</v>
      </c>
      <c r="Q238" s="764"/>
      <c r="R238" s="369">
        <v>100</v>
      </c>
      <c r="T238" s="365"/>
      <c r="U238" s="365"/>
      <c r="V238" s="365"/>
    </row>
    <row r="239" spans="1:24" x14ac:dyDescent="0.3">
      <c r="A239" s="759">
        <v>20</v>
      </c>
      <c r="B239" s="759"/>
      <c r="C239" s="760" t="s">
        <v>905</v>
      </c>
      <c r="D239" s="761"/>
      <c r="E239" s="761"/>
      <c r="F239" s="761"/>
      <c r="G239" s="761"/>
      <c r="H239" s="761"/>
      <c r="I239" s="762"/>
      <c r="J239" s="763">
        <f>+'I&amp;E'!D30</f>
        <v>0</v>
      </c>
      <c r="K239" s="763"/>
      <c r="L239" s="763"/>
      <c r="M239" s="763">
        <v>0</v>
      </c>
      <c r="N239" s="763"/>
      <c r="O239" s="763"/>
      <c r="P239" s="764">
        <f t="shared" ref="P239" si="7">+J239-M239</f>
        <v>0</v>
      </c>
      <c r="Q239" s="764"/>
      <c r="R239" s="369">
        <v>100</v>
      </c>
      <c r="T239" s="365"/>
      <c r="V239" s="365"/>
    </row>
    <row r="240" spans="1:24" s="365" customFormat="1" ht="15.6" x14ac:dyDescent="0.3">
      <c r="A240" s="759">
        <v>21</v>
      </c>
      <c r="B240" s="759"/>
      <c r="C240" s="760" t="s">
        <v>648</v>
      </c>
      <c r="D240" s="761"/>
      <c r="E240" s="761"/>
      <c r="F240" s="761"/>
      <c r="G240" s="761"/>
      <c r="H240" s="761"/>
      <c r="I240" s="762"/>
      <c r="J240" s="763">
        <f>+'I&amp;E'!D31</f>
        <v>7316</v>
      </c>
      <c r="K240" s="763"/>
      <c r="L240" s="763"/>
      <c r="M240" s="763">
        <f>+'I&amp;E'!A31</f>
        <v>8489</v>
      </c>
      <c r="N240" s="763"/>
      <c r="O240" s="763"/>
      <c r="P240" s="764">
        <f t="shared" si="4"/>
        <v>-1173</v>
      </c>
      <c r="Q240" s="764"/>
      <c r="R240" s="369">
        <v>100</v>
      </c>
      <c r="V240"/>
    </row>
    <row r="241" spans="1:23" s="365" customFormat="1" ht="15.6" x14ac:dyDescent="0.3">
      <c r="A241" s="759">
        <v>22</v>
      </c>
      <c r="B241" s="759"/>
      <c r="C241" s="760" t="s">
        <v>693</v>
      </c>
      <c r="D241" s="761"/>
      <c r="E241" s="761"/>
      <c r="F241" s="761"/>
      <c r="G241" s="761"/>
      <c r="H241" s="761"/>
      <c r="I241" s="762"/>
      <c r="J241" s="763">
        <f>+'I&amp;E'!D33</f>
        <v>3600</v>
      </c>
      <c r="K241" s="763"/>
      <c r="L241" s="763"/>
      <c r="M241" s="763">
        <f>+'I&amp;E'!A33</f>
        <v>3600</v>
      </c>
      <c r="N241" s="763"/>
      <c r="O241" s="763"/>
      <c r="P241" s="764">
        <f t="shared" si="4"/>
        <v>0</v>
      </c>
      <c r="Q241" s="764"/>
      <c r="R241" s="369">
        <f>+P241*100/M241</f>
        <v>0</v>
      </c>
      <c r="V241"/>
    </row>
    <row r="242" spans="1:23" s="365" customFormat="1" ht="15.6" x14ac:dyDescent="0.3">
      <c r="A242" s="759">
        <v>23</v>
      </c>
      <c r="B242" s="759"/>
      <c r="C242" s="760" t="s">
        <v>707</v>
      </c>
      <c r="D242" s="761"/>
      <c r="E242" s="761"/>
      <c r="F242" s="761"/>
      <c r="G242" s="761"/>
      <c r="H242" s="761"/>
      <c r="I242" s="762"/>
      <c r="J242" s="763">
        <f>+'I&amp;E'!D35</f>
        <v>19501</v>
      </c>
      <c r="K242" s="763"/>
      <c r="L242" s="763"/>
      <c r="M242" s="763">
        <f>+'I&amp;E'!A35</f>
        <v>19493</v>
      </c>
      <c r="N242" s="763"/>
      <c r="O242" s="763"/>
      <c r="P242" s="764">
        <f t="shared" si="4"/>
        <v>8</v>
      </c>
      <c r="Q242" s="764"/>
      <c r="R242" s="369">
        <f>+P242*100/M242</f>
        <v>4.1040373467398555E-2</v>
      </c>
      <c r="V242"/>
    </row>
    <row r="243" spans="1:23" s="365" customFormat="1" ht="16.2" thickBot="1" x14ac:dyDescent="0.35">
      <c r="A243" s="759">
        <v>24</v>
      </c>
      <c r="B243" s="759"/>
      <c r="C243" s="760" t="s">
        <v>903</v>
      </c>
      <c r="D243" s="761"/>
      <c r="E243" s="761"/>
      <c r="F243" s="761"/>
      <c r="G243" s="761"/>
      <c r="H243" s="761"/>
      <c r="I243" s="762"/>
      <c r="J243" s="763">
        <f>-'I&amp;E'!H36</f>
        <v>0</v>
      </c>
      <c r="K243" s="763"/>
      <c r="L243" s="763"/>
      <c r="M243" s="763">
        <f>+'I&amp;E'!A36</f>
        <v>58481.329999999958</v>
      </c>
      <c r="N243" s="763"/>
      <c r="O243" s="763"/>
      <c r="P243" s="764">
        <f t="shared" si="4"/>
        <v>-58481.329999999958</v>
      </c>
      <c r="Q243" s="764"/>
      <c r="R243" s="369">
        <f>+P243*100/M243</f>
        <v>-100.00000000000001</v>
      </c>
      <c r="V243"/>
    </row>
    <row r="244" spans="1:23" s="365" customFormat="1" ht="15" thickBot="1" x14ac:dyDescent="0.35">
      <c r="A244" s="818"/>
      <c r="B244" s="819"/>
      <c r="C244" s="806" t="s">
        <v>424</v>
      </c>
      <c r="D244" s="807"/>
      <c r="E244" s="807"/>
      <c r="F244" s="807"/>
      <c r="G244" s="807"/>
      <c r="H244" s="807"/>
      <c r="I244" s="808"/>
      <c r="J244" s="803">
        <f>SUM(J220:L243)</f>
        <v>604372.18000000005</v>
      </c>
      <c r="K244" s="783"/>
      <c r="L244" s="783"/>
      <c r="M244" s="803">
        <f>SUM(M220:O243)</f>
        <v>667191</v>
      </c>
      <c r="N244" s="783"/>
      <c r="O244" s="783"/>
      <c r="P244" s="827">
        <f>SUM(P220:Q243)</f>
        <v>-62818.819999999956</v>
      </c>
      <c r="Q244" s="808"/>
      <c r="R244" s="305"/>
      <c r="T244" s="519"/>
      <c r="U244" s="519"/>
    </row>
    <row r="245" spans="1:23" s="365" customFormat="1" ht="14.4" x14ac:dyDescent="0.3">
      <c r="A245" s="255"/>
      <c r="B245" s="308"/>
      <c r="C245" s="235"/>
      <c r="D245" s="235"/>
      <c r="E245" s="235"/>
      <c r="F245" s="235"/>
      <c r="G245" s="235"/>
      <c r="H245" s="235"/>
      <c r="I245" s="235"/>
      <c r="J245" s="235"/>
      <c r="K245" s="235"/>
      <c r="L245" s="309"/>
      <c r="M245" s="309"/>
      <c r="N245" s="235"/>
      <c r="O245" s="309"/>
      <c r="P245" s="309"/>
      <c r="Q245" s="235"/>
      <c r="R245" s="235"/>
      <c r="T245" s="519"/>
      <c r="U245" s="519"/>
    </row>
    <row r="246" spans="1:23" s="365" customFormat="1" ht="14.4" x14ac:dyDescent="0.3">
      <c r="A246" s="517" t="s">
        <v>813</v>
      </c>
      <c r="B246" s="150"/>
      <c r="C246" s="150"/>
      <c r="D246" s="518"/>
      <c r="E246" s="518"/>
      <c r="F246" s="518"/>
      <c r="G246" s="518"/>
      <c r="H246" s="518"/>
      <c r="I246" s="518"/>
      <c r="J246" s="518"/>
      <c r="K246" s="518"/>
      <c r="L246" s="518"/>
      <c r="M246" s="518"/>
      <c r="N246" s="518"/>
      <c r="O246" s="518"/>
      <c r="P246" s="150"/>
      <c r="Q246" s="150"/>
      <c r="R246" s="150"/>
      <c r="T246" s="519"/>
      <c r="U246" s="519"/>
    </row>
    <row r="247" spans="1:23" s="365" customFormat="1" ht="14.4" x14ac:dyDescent="0.3">
      <c r="A247" s="449"/>
      <c r="B247" s="449">
        <v>1</v>
      </c>
      <c r="C247" s="754" t="s">
        <v>615</v>
      </c>
      <c r="D247" s="754"/>
      <c r="E247" s="754"/>
      <c r="F247" s="754"/>
      <c r="G247" s="754"/>
      <c r="H247" s="754"/>
      <c r="I247" s="754"/>
      <c r="J247" s="754"/>
      <c r="K247" s="754"/>
      <c r="L247" s="754"/>
      <c r="M247" s="754"/>
      <c r="N247" s="754"/>
      <c r="O247" s="754"/>
      <c r="P247" s="754"/>
      <c r="Q247" s="754"/>
      <c r="R247" s="754"/>
      <c r="T247" s="519"/>
      <c r="U247" s="519"/>
    </row>
    <row r="248" spans="1:23" s="365" customFormat="1" ht="14.4" x14ac:dyDescent="0.3">
      <c r="A248" s="449"/>
      <c r="B248" s="449">
        <v>2</v>
      </c>
      <c r="C248" s="754" t="s">
        <v>814</v>
      </c>
      <c r="D248" s="754"/>
      <c r="E248" s="754"/>
      <c r="F248" s="754"/>
      <c r="G248" s="754"/>
      <c r="H248" s="754"/>
      <c r="I248" s="754"/>
      <c r="J248" s="754"/>
      <c r="K248" s="754"/>
      <c r="L248" s="754"/>
      <c r="M248" s="754"/>
      <c r="N248" s="754"/>
      <c r="O248" s="754"/>
      <c r="P248" s="754"/>
      <c r="Q248" s="754"/>
      <c r="R248" s="754"/>
      <c r="T248" s="491"/>
      <c r="U248" s="520"/>
      <c r="V248" s="520"/>
    </row>
    <row r="249" spans="1:23" x14ac:dyDescent="0.3">
      <c r="A249" s="449"/>
      <c r="B249" s="449">
        <v>3</v>
      </c>
      <c r="C249" s="754" t="s">
        <v>815</v>
      </c>
      <c r="D249" s="754"/>
      <c r="E249" s="754"/>
      <c r="F249" s="754"/>
      <c r="G249" s="754"/>
      <c r="H249" s="754"/>
      <c r="I249" s="754"/>
      <c r="J249" s="754"/>
      <c r="K249" s="754"/>
      <c r="L249" s="754"/>
      <c r="M249" s="754"/>
      <c r="N249" s="754"/>
      <c r="O249" s="754"/>
      <c r="P249" s="754"/>
      <c r="Q249" s="754"/>
      <c r="R249" s="754"/>
      <c r="U249" s="156"/>
    </row>
    <row r="250" spans="1:23" ht="15.6" x14ac:dyDescent="0.3">
      <c r="A250" s="449"/>
      <c r="B250" s="449">
        <v>4</v>
      </c>
      <c r="C250" s="754" t="s">
        <v>816</v>
      </c>
      <c r="D250" s="754"/>
      <c r="E250" s="754"/>
      <c r="F250" s="754"/>
      <c r="G250" s="754"/>
      <c r="H250" s="754"/>
      <c r="I250" s="754"/>
      <c r="J250" s="754"/>
      <c r="K250" s="754"/>
      <c r="L250" s="754"/>
      <c r="M250" s="754"/>
      <c r="N250" s="754"/>
      <c r="O250" s="754"/>
      <c r="P250" s="754"/>
      <c r="Q250" s="754"/>
      <c r="R250" s="754"/>
      <c r="T250" s="491"/>
      <c r="U250" s="156"/>
      <c r="V250"/>
    </row>
    <row r="251" spans="1:23" x14ac:dyDescent="0.3">
      <c r="A251" s="449"/>
      <c r="B251" s="449">
        <v>5</v>
      </c>
      <c r="C251" s="754" t="s">
        <v>817</v>
      </c>
      <c r="D251" s="754"/>
      <c r="E251" s="754"/>
      <c r="F251" s="754"/>
      <c r="G251" s="754"/>
      <c r="H251" s="754"/>
      <c r="I251" s="754"/>
      <c r="J251" s="754"/>
      <c r="K251" s="754"/>
      <c r="L251" s="754"/>
      <c r="M251" s="754"/>
      <c r="N251" s="754"/>
      <c r="O251" s="754"/>
      <c r="P251" s="754"/>
      <c r="Q251" s="754"/>
      <c r="R251" s="754"/>
      <c r="T251" s="156"/>
      <c r="U251" s="156"/>
      <c r="V251" s="156"/>
    </row>
    <row r="252" spans="1:23" ht="15.6" x14ac:dyDescent="0.3">
      <c r="A252" s="449"/>
      <c r="B252" s="449">
        <v>6</v>
      </c>
      <c r="C252" s="754" t="s">
        <v>818</v>
      </c>
      <c r="D252" s="754"/>
      <c r="E252" s="754"/>
      <c r="F252" s="754"/>
      <c r="G252" s="754"/>
      <c r="H252" s="754"/>
      <c r="I252" s="754"/>
      <c r="J252" s="754"/>
      <c r="K252" s="754"/>
      <c r="L252" s="754"/>
      <c r="M252" s="754"/>
      <c r="N252" s="754"/>
      <c r="O252" s="754"/>
      <c r="P252" s="754"/>
      <c r="Q252" s="754"/>
      <c r="R252" s="754"/>
      <c r="T252" s="156"/>
      <c r="U252"/>
      <c r="V252" s="156"/>
    </row>
    <row r="253" spans="1:23" s="365" customFormat="1" x14ac:dyDescent="0.3">
      <c r="A253" s="449"/>
      <c r="B253" s="449">
        <v>7</v>
      </c>
      <c r="C253" s="754" t="s">
        <v>819</v>
      </c>
      <c r="D253" s="754"/>
      <c r="E253" s="754"/>
      <c r="F253" s="754"/>
      <c r="G253" s="754"/>
      <c r="H253" s="754"/>
      <c r="I253" s="754"/>
      <c r="J253" s="754"/>
      <c r="K253" s="754"/>
      <c r="L253" s="754"/>
      <c r="M253" s="754"/>
      <c r="N253" s="754"/>
      <c r="O253" s="754"/>
      <c r="P253" s="754"/>
      <c r="Q253" s="754"/>
      <c r="R253" s="754"/>
      <c r="T253" s="156"/>
      <c r="U253" s="156"/>
      <c r="V253" s="156"/>
      <c r="W253" s="230"/>
    </row>
    <row r="254" spans="1:23" s="365" customFormat="1" ht="15.6" x14ac:dyDescent="0.3">
      <c r="A254" s="449"/>
      <c r="B254" s="449">
        <v>8</v>
      </c>
      <c r="C254" s="754" t="s">
        <v>820</v>
      </c>
      <c r="D254" s="754"/>
      <c r="E254" s="754"/>
      <c r="F254" s="754"/>
      <c r="G254" s="754"/>
      <c r="H254" s="754"/>
      <c r="I254" s="754"/>
      <c r="J254" s="754"/>
      <c r="K254" s="754"/>
      <c r="L254" s="754"/>
      <c r="M254" s="754"/>
      <c r="N254" s="754"/>
      <c r="O254" s="754"/>
      <c r="P254" s="754"/>
      <c r="Q254" s="754"/>
      <c r="R254" s="754"/>
      <c r="T254" s="492"/>
      <c r="U254" s="156"/>
      <c r="V254"/>
      <c r="W254" s="230"/>
    </row>
    <row r="255" spans="1:23" s="365" customFormat="1" x14ac:dyDescent="0.3">
      <c r="A255" s="310"/>
      <c r="B255" s="311"/>
      <c r="C255" s="243"/>
      <c r="D255" s="243"/>
      <c r="E255" s="243"/>
      <c r="F255" s="243"/>
      <c r="G255" s="243"/>
      <c r="H255" s="243"/>
      <c r="I255" s="243"/>
      <c r="J255" s="243"/>
      <c r="K255" s="243"/>
      <c r="L255" s="243"/>
      <c r="M255" s="243"/>
      <c r="N255" s="243"/>
      <c r="O255" s="243"/>
      <c r="P255" s="243"/>
      <c r="Q255" s="243"/>
      <c r="R255" s="243"/>
      <c r="T255" s="156"/>
      <c r="V255" s="156"/>
    </row>
    <row r="256" spans="1:23" x14ac:dyDescent="0.3">
      <c r="A256" s="310"/>
      <c r="B256" s="311"/>
      <c r="C256" s="243"/>
      <c r="D256" s="243"/>
      <c r="E256" s="243"/>
      <c r="F256" s="243"/>
      <c r="G256" s="243"/>
      <c r="H256" s="243"/>
      <c r="I256" s="243"/>
      <c r="J256" s="243"/>
      <c r="K256" s="243"/>
      <c r="L256" s="243"/>
      <c r="M256" s="243"/>
      <c r="N256" s="243"/>
      <c r="O256" s="243"/>
      <c r="P256" s="243"/>
      <c r="Q256" s="243"/>
      <c r="R256" s="243"/>
      <c r="T256" s="156"/>
      <c r="U256" s="365"/>
      <c r="V256" s="156"/>
      <c r="W256" s="365"/>
    </row>
    <row r="257" spans="1:23" x14ac:dyDescent="0.3">
      <c r="A257" s="310"/>
      <c r="B257" s="311"/>
      <c r="C257" s="243"/>
      <c r="D257" s="243"/>
      <c r="E257" s="243"/>
      <c r="F257" s="243"/>
      <c r="G257" s="243"/>
      <c r="H257" s="243"/>
      <c r="I257" s="243"/>
      <c r="J257" s="243"/>
      <c r="K257" s="243"/>
      <c r="L257" s="243"/>
      <c r="M257" s="243"/>
      <c r="N257" s="243"/>
      <c r="O257" s="243"/>
      <c r="P257" s="243"/>
      <c r="Q257" s="243"/>
      <c r="R257" s="243"/>
      <c r="T257" s="365"/>
      <c r="U257" s="357"/>
      <c r="V257" s="365"/>
      <c r="W257" s="365"/>
    </row>
    <row r="258" spans="1:23" ht="14.4" x14ac:dyDescent="0.3">
      <c r="A258" s="310"/>
      <c r="B258" s="311"/>
      <c r="C258" s="243"/>
      <c r="D258" s="243"/>
      <c r="E258" s="243"/>
      <c r="F258" s="243"/>
      <c r="G258" s="243"/>
      <c r="H258" s="243"/>
      <c r="I258" s="243"/>
      <c r="J258" s="243"/>
      <c r="K258" s="243"/>
      <c r="L258" s="243"/>
      <c r="M258" s="243"/>
      <c r="N258" s="243"/>
      <c r="O258" s="243"/>
      <c r="P258" s="243"/>
      <c r="Q258" s="243"/>
      <c r="R258" s="243"/>
      <c r="T258" s="491"/>
      <c r="U258" s="357"/>
      <c r="V258" s="365"/>
    </row>
    <row r="259" spans="1:23" s="357" customFormat="1" ht="14.4" x14ac:dyDescent="0.3">
      <c r="A259" s="365"/>
      <c r="B259" s="365"/>
      <c r="C259" s="365"/>
      <c r="D259" s="365"/>
      <c r="E259" s="365"/>
      <c r="F259" s="365"/>
      <c r="G259" s="365"/>
      <c r="H259" s="365"/>
      <c r="I259" s="365"/>
      <c r="J259" s="365"/>
      <c r="K259" s="521" t="str">
        <f>+K53</f>
        <v>Shri. Bharat C. Boridkar</v>
      </c>
      <c r="L259" s="365"/>
      <c r="M259" s="365"/>
      <c r="N259" s="365"/>
      <c r="O259" s="365"/>
      <c r="P259" s="365"/>
      <c r="Q259" s="365"/>
      <c r="R259" s="365"/>
      <c r="T259" s="494"/>
      <c r="U259" s="252"/>
      <c r="W259" s="230"/>
    </row>
    <row r="260" spans="1:23" s="365" customFormat="1" x14ac:dyDescent="0.3">
      <c r="K260" s="504" t="s">
        <v>412</v>
      </c>
      <c r="T260" s="357"/>
      <c r="U260" s="252"/>
      <c r="V260" s="357"/>
      <c r="W260" s="230"/>
    </row>
    <row r="261" spans="1:23" s="365" customFormat="1" x14ac:dyDescent="0.3">
      <c r="A261" s="817">
        <f>+TIT!D12</f>
        <v>46275</v>
      </c>
      <c r="B261" s="817"/>
      <c r="C261" s="817"/>
      <c r="D261" s="817"/>
      <c r="E261" s="817"/>
      <c r="F261" s="817"/>
      <c r="K261" s="522" t="str">
        <f>+K55</f>
        <v>[Panel No.: Mumbai-4/C1/15145]</v>
      </c>
      <c r="T261" s="357"/>
      <c r="U261" s="252"/>
      <c r="V261" s="252"/>
      <c r="W261" s="357"/>
    </row>
    <row r="262" spans="1:23" s="365" customFormat="1" x14ac:dyDescent="0.3">
      <c r="A262" s="310"/>
      <c r="B262" s="311"/>
      <c r="C262" s="243"/>
      <c r="D262" s="243"/>
      <c r="E262" s="243"/>
      <c r="F262" s="243"/>
      <c r="G262" s="243"/>
      <c r="H262" s="243"/>
      <c r="I262" s="243"/>
      <c r="J262" s="243"/>
      <c r="K262" s="243"/>
      <c r="L262" s="243"/>
      <c r="M262" s="243"/>
      <c r="N262" s="243"/>
      <c r="O262" s="243"/>
      <c r="P262" s="243"/>
      <c r="Q262" s="243"/>
      <c r="R262" s="243"/>
      <c r="T262" s="252"/>
      <c r="V262" s="252"/>
    </row>
    <row r="263" spans="1:23" s="365" customFormat="1" x14ac:dyDescent="0.3">
      <c r="A263" s="310"/>
      <c r="B263" s="311"/>
      <c r="C263" s="243"/>
      <c r="D263" s="243"/>
      <c r="E263" s="243"/>
      <c r="F263" s="243"/>
      <c r="G263" s="243"/>
      <c r="H263" s="243"/>
      <c r="I263" s="243"/>
      <c r="J263" s="243"/>
      <c r="K263" s="243"/>
      <c r="L263" s="243"/>
      <c r="M263" s="243"/>
      <c r="N263" s="243"/>
      <c r="O263" s="243"/>
      <c r="P263" s="243"/>
      <c r="Q263" s="243"/>
      <c r="R263" s="243"/>
      <c r="T263" s="156"/>
      <c r="V263" s="156"/>
      <c r="W263" s="156"/>
    </row>
    <row r="264" spans="1:23" s="357" customFormat="1" ht="15.6" x14ac:dyDescent="0.3">
      <c r="A264" s="828" t="s">
        <v>616</v>
      </c>
      <c r="B264" s="828"/>
      <c r="C264" s="828"/>
      <c r="D264" s="828"/>
      <c r="E264" s="828"/>
      <c r="F264" s="828"/>
      <c r="G264" s="828"/>
      <c r="H264" s="828"/>
      <c r="I264" s="828"/>
      <c r="J264" s="828"/>
      <c r="K264" s="828"/>
      <c r="L264" s="828"/>
      <c r="M264" s="828"/>
      <c r="N264" s="828"/>
      <c r="O264" s="828"/>
      <c r="P264" s="828"/>
      <c r="Q264" s="828"/>
      <c r="R264" s="828"/>
      <c r="T264" s="365"/>
      <c r="U264" s="365"/>
      <c r="V264" s="365"/>
      <c r="W264" s="365"/>
    </row>
    <row r="265" spans="1:23" s="357" customFormat="1" x14ac:dyDescent="0.3">
      <c r="A265" s="489" t="s">
        <v>617</v>
      </c>
      <c r="B265" s="489"/>
      <c r="C265" s="490"/>
      <c r="D265" s="490"/>
      <c r="E265" s="490"/>
      <c r="F265" s="490"/>
      <c r="G265" s="490"/>
      <c r="H265" s="490"/>
      <c r="I265" s="490"/>
      <c r="J265" s="490"/>
      <c r="K265" s="490"/>
      <c r="L265" s="490"/>
      <c r="M265" s="490"/>
      <c r="N265" s="490"/>
      <c r="O265" s="490"/>
      <c r="P265" s="490"/>
      <c r="Q265" s="490"/>
      <c r="R265" s="490"/>
      <c r="T265" s="365"/>
      <c r="U265" s="365"/>
      <c r="V265" s="365"/>
      <c r="W265" s="365"/>
    </row>
    <row r="266" spans="1:23" s="365" customFormat="1" ht="30.75" customHeight="1" x14ac:dyDescent="0.3">
      <c r="A266" s="450"/>
      <c r="B266" s="451">
        <v>1</v>
      </c>
      <c r="C266" s="754" t="s">
        <v>722</v>
      </c>
      <c r="D266" s="754"/>
      <c r="E266" s="754"/>
      <c r="F266" s="754"/>
      <c r="G266" s="754"/>
      <c r="H266" s="754"/>
      <c r="I266" s="754"/>
      <c r="J266" s="754"/>
      <c r="K266" s="754"/>
      <c r="L266" s="754"/>
      <c r="M266" s="754"/>
      <c r="N266" s="754"/>
      <c r="O266" s="754"/>
      <c r="P266" s="754"/>
      <c r="Q266" s="754"/>
      <c r="R266" s="754"/>
    </row>
    <row r="267" spans="1:23" s="357" customFormat="1" ht="27.9" customHeight="1" x14ac:dyDescent="0.3">
      <c r="A267" s="450"/>
      <c r="B267" s="451">
        <v>2</v>
      </c>
      <c r="C267" s="754" t="s">
        <v>722</v>
      </c>
      <c r="D267" s="754"/>
      <c r="E267" s="754"/>
      <c r="F267" s="754"/>
      <c r="G267" s="754"/>
      <c r="H267" s="754"/>
      <c r="I267" s="754"/>
      <c r="J267" s="754"/>
      <c r="K267" s="754"/>
      <c r="L267" s="754"/>
      <c r="M267" s="754"/>
      <c r="N267" s="754"/>
      <c r="O267" s="754"/>
      <c r="P267" s="754"/>
      <c r="Q267" s="754"/>
      <c r="R267" s="754"/>
      <c r="T267" s="365"/>
      <c r="U267" s="365"/>
      <c r="V267" s="365"/>
    </row>
    <row r="268" spans="1:23" s="252" customFormat="1" ht="27.9" customHeight="1" x14ac:dyDescent="0.3">
      <c r="A268" s="452"/>
      <c r="B268" s="451">
        <v>3</v>
      </c>
      <c r="C268" s="754" t="s">
        <v>723</v>
      </c>
      <c r="D268" s="754"/>
      <c r="E268" s="754"/>
      <c r="F268" s="754"/>
      <c r="G268" s="754"/>
      <c r="H268" s="754"/>
      <c r="I268" s="754"/>
      <c r="J268" s="754"/>
      <c r="K268" s="754"/>
      <c r="L268" s="754"/>
      <c r="M268" s="754"/>
      <c r="N268" s="754"/>
      <c r="O268" s="754"/>
      <c r="P268" s="754"/>
      <c r="Q268" s="754"/>
      <c r="R268" s="754"/>
      <c r="S268" s="498"/>
      <c r="T268" s="365"/>
      <c r="V268" s="365"/>
      <c r="W268" s="357"/>
    </row>
    <row r="269" spans="1:23" s="252" customFormat="1" ht="27.9" customHeight="1" x14ac:dyDescent="0.3">
      <c r="A269" s="452"/>
      <c r="B269" s="451">
        <v>4</v>
      </c>
      <c r="C269" s="754" t="s">
        <v>724</v>
      </c>
      <c r="D269" s="754"/>
      <c r="E269" s="754"/>
      <c r="F269" s="754"/>
      <c r="G269" s="754"/>
      <c r="H269" s="754"/>
      <c r="I269" s="754"/>
      <c r="J269" s="754"/>
      <c r="K269" s="754"/>
      <c r="L269" s="754"/>
      <c r="M269" s="754"/>
      <c r="N269" s="754"/>
      <c r="O269" s="754"/>
      <c r="P269" s="754"/>
      <c r="Q269" s="754"/>
      <c r="R269" s="754"/>
      <c r="S269" s="498"/>
      <c r="T269" s="365"/>
      <c r="U269" s="365"/>
      <c r="V269" s="365"/>
      <c r="W269" s="357"/>
    </row>
    <row r="270" spans="1:23" s="252" customFormat="1" ht="15.6" x14ac:dyDescent="0.3">
      <c r="A270" s="490"/>
      <c r="B270" s="453"/>
      <c r="C270" s="493"/>
      <c r="D270" s="493"/>
      <c r="E270" s="493"/>
      <c r="F270" s="493"/>
      <c r="G270" s="493"/>
      <c r="H270" s="493"/>
      <c r="I270" s="493"/>
      <c r="J270" s="493"/>
      <c r="K270" s="493"/>
      <c r="L270" s="493"/>
      <c r="M270" s="493"/>
      <c r="N270" s="493"/>
      <c r="O270" s="493"/>
      <c r="P270" s="493"/>
      <c r="Q270" s="493"/>
      <c r="R270" s="493"/>
      <c r="S270" s="498"/>
      <c r="U270" s="365"/>
      <c r="W270" s="357"/>
    </row>
    <row r="271" spans="1:23" s="156" customFormat="1" x14ac:dyDescent="0.3">
      <c r="A271" s="253"/>
      <c r="B271" s="261" t="s">
        <v>435</v>
      </c>
      <c r="C271" s="312"/>
      <c r="D271" s="312"/>
      <c r="E271" s="312"/>
      <c r="F271" s="312"/>
      <c r="G271" s="312"/>
      <c r="H271" s="312"/>
      <c r="I271" s="312"/>
      <c r="J271" s="312"/>
      <c r="K271" s="312"/>
      <c r="L271" s="312"/>
      <c r="M271" s="312"/>
      <c r="N271" s="312"/>
      <c r="O271" s="312"/>
      <c r="P271" s="150"/>
      <c r="Q271" s="150"/>
      <c r="R271" s="150"/>
      <c r="T271" s="365"/>
      <c r="U271" s="365"/>
      <c r="V271" s="365"/>
      <c r="W271" s="252"/>
    </row>
    <row r="272" spans="1:23" s="365" customFormat="1" ht="15.9" customHeight="1" x14ac:dyDescent="0.3">
      <c r="A272" s="150"/>
      <c r="B272" s="755" t="s">
        <v>725</v>
      </c>
      <c r="C272" s="755"/>
      <c r="D272" s="755"/>
      <c r="E272" s="755"/>
      <c r="F272" s="755"/>
      <c r="G272" s="755"/>
      <c r="H272" s="755"/>
      <c r="I272" s="755"/>
      <c r="J272" s="755"/>
      <c r="K272" s="755"/>
      <c r="L272" s="755"/>
      <c r="M272" s="755"/>
      <c r="N272" s="755"/>
      <c r="O272" s="755"/>
      <c r="P272" s="755"/>
      <c r="Q272" s="755"/>
      <c r="R272" s="755"/>
      <c r="W272" s="252"/>
    </row>
    <row r="273" spans="1:35" s="365" customFormat="1" x14ac:dyDescent="0.3">
      <c r="A273" s="150"/>
      <c r="B273" s="495"/>
      <c r="C273" s="496" t="s">
        <v>393</v>
      </c>
      <c r="D273" s="826" t="s">
        <v>726</v>
      </c>
      <c r="E273" s="826"/>
      <c r="F273" s="826"/>
      <c r="G273" s="826"/>
      <c r="H273" s="826"/>
      <c r="I273" s="826"/>
      <c r="J273" s="826"/>
      <c r="K273" s="826"/>
      <c r="L273" s="826"/>
      <c r="M273" s="826"/>
      <c r="N273" s="826"/>
      <c r="O273" s="826"/>
      <c r="P273" s="150"/>
      <c r="Q273" s="150"/>
      <c r="R273" s="150"/>
      <c r="U273" s="357"/>
      <c r="W273" s="156"/>
    </row>
    <row r="274" spans="1:35" s="365" customFormat="1" x14ac:dyDescent="0.3">
      <c r="A274" s="150"/>
      <c r="B274" s="495"/>
      <c r="C274" s="314" t="s">
        <v>394</v>
      </c>
      <c r="D274" s="826" t="s">
        <v>436</v>
      </c>
      <c r="E274" s="826"/>
      <c r="F274" s="826"/>
      <c r="G274" s="826"/>
      <c r="H274" s="826"/>
      <c r="I274" s="826"/>
      <c r="J274" s="826"/>
      <c r="K274" s="826"/>
      <c r="L274" s="497"/>
      <c r="M274" s="313"/>
      <c r="N274" s="313"/>
      <c r="O274" s="313"/>
      <c r="P274" s="150"/>
      <c r="Q274" s="150"/>
      <c r="R274" s="150"/>
    </row>
    <row r="275" spans="1:35" s="365" customFormat="1" x14ac:dyDescent="0.3">
      <c r="A275" s="150"/>
      <c r="B275" s="495"/>
      <c r="C275" s="314"/>
      <c r="D275" s="499"/>
      <c r="E275" s="499"/>
      <c r="F275" s="499"/>
      <c r="G275" s="499"/>
      <c r="H275" s="499"/>
      <c r="I275" s="499"/>
      <c r="J275" s="499"/>
      <c r="K275" s="499"/>
      <c r="L275" s="497"/>
      <c r="M275" s="313"/>
      <c r="N275" s="313"/>
      <c r="O275" s="313"/>
      <c r="P275" s="150"/>
      <c r="Q275" s="150"/>
      <c r="R275" s="150"/>
      <c r="T275" s="357"/>
      <c r="V275" s="357"/>
    </row>
    <row r="276" spans="1:35" s="365" customFormat="1" x14ac:dyDescent="0.3">
      <c r="A276" s="490"/>
      <c r="B276" s="489" t="s">
        <v>618</v>
      </c>
      <c r="C276" s="490"/>
      <c r="D276" s="490"/>
      <c r="E276" s="490"/>
      <c r="F276" s="490"/>
      <c r="G276" s="490"/>
      <c r="H276" s="490"/>
      <c r="I276" s="490"/>
      <c r="J276" s="490"/>
      <c r="K276" s="490"/>
      <c r="L276" s="490"/>
      <c r="M276" s="490"/>
      <c r="N276" s="490"/>
      <c r="O276" s="490"/>
      <c r="P276" s="490"/>
      <c r="Q276" s="490"/>
      <c r="R276" s="490"/>
      <c r="U276" s="230"/>
    </row>
    <row r="277" spans="1:35" s="156" customFormat="1" ht="30" customHeight="1" x14ac:dyDescent="0.3">
      <c r="A277" s="449"/>
      <c r="B277" s="449">
        <v>1</v>
      </c>
      <c r="C277" s="754" t="s">
        <v>975</v>
      </c>
      <c r="D277" s="754"/>
      <c r="E277" s="754"/>
      <c r="F277" s="754"/>
      <c r="G277" s="754"/>
      <c r="H277" s="754"/>
      <c r="I277" s="754"/>
      <c r="J277" s="754"/>
      <c r="K277" s="754"/>
      <c r="L277" s="754"/>
      <c r="M277" s="754"/>
      <c r="N277" s="754"/>
      <c r="O277" s="754"/>
      <c r="P277" s="754"/>
      <c r="Q277" s="754"/>
      <c r="R277" s="754"/>
      <c r="T277" s="365"/>
      <c r="U277" s="365"/>
      <c r="V277" s="365"/>
      <c r="W277" s="365"/>
    </row>
    <row r="278" spans="1:35" s="365" customFormat="1" ht="18" customHeight="1" x14ac:dyDescent="0.3">
      <c r="A278" s="450"/>
      <c r="B278" s="451">
        <v>2</v>
      </c>
      <c r="C278" s="452" t="s">
        <v>976</v>
      </c>
      <c r="D278" s="452"/>
      <c r="E278" s="452"/>
      <c r="F278" s="452"/>
      <c r="G278" s="452"/>
      <c r="H278" s="452"/>
      <c r="I278" s="452"/>
      <c r="J278" s="452"/>
      <c r="K278" s="452"/>
      <c r="L278" s="452"/>
      <c r="M278" s="452"/>
      <c r="N278" s="452"/>
      <c r="O278" s="452"/>
      <c r="P278" s="452"/>
      <c r="Q278" s="452"/>
      <c r="R278" s="452"/>
    </row>
    <row r="279" spans="1:35" x14ac:dyDescent="0.3">
      <c r="A279" s="150"/>
      <c r="B279" s="453">
        <v>3</v>
      </c>
      <c r="C279" s="150" t="s">
        <v>438</v>
      </c>
      <c r="D279" s="313"/>
      <c r="E279" s="313"/>
      <c r="F279" s="313"/>
      <c r="G279" s="313"/>
      <c r="H279" s="313"/>
      <c r="I279" s="313"/>
      <c r="J279" s="313"/>
      <c r="K279" s="313"/>
      <c r="L279" s="313"/>
      <c r="M279" s="313"/>
      <c r="N279" s="313"/>
      <c r="O279" s="313"/>
      <c r="P279" s="150"/>
      <c r="Q279" s="150"/>
      <c r="R279" s="150"/>
      <c r="W279" s="415"/>
    </row>
    <row r="280" spans="1:35" s="365" customFormat="1" ht="18" customHeight="1" x14ac:dyDescent="0.3">
      <c r="A280" s="450"/>
      <c r="B280" s="451">
        <v>4</v>
      </c>
      <c r="C280" s="452" t="s">
        <v>977</v>
      </c>
      <c r="D280" s="452"/>
      <c r="E280" s="452"/>
      <c r="F280" s="452"/>
      <c r="G280" s="452"/>
      <c r="H280" s="452"/>
      <c r="I280" s="452"/>
      <c r="J280" s="452"/>
      <c r="K280" s="452"/>
      <c r="L280" s="452"/>
      <c r="M280" s="452"/>
      <c r="N280" s="452"/>
      <c r="O280" s="452"/>
      <c r="P280" s="452"/>
      <c r="Q280" s="452"/>
      <c r="R280" s="452"/>
    </row>
    <row r="281" spans="1:35" s="365" customFormat="1" ht="18" customHeight="1" x14ac:dyDescent="0.3">
      <c r="A281" s="450"/>
      <c r="B281" s="451">
        <v>5</v>
      </c>
      <c r="C281" s="452" t="s">
        <v>978</v>
      </c>
      <c r="D281" s="452"/>
      <c r="E281" s="452"/>
      <c r="F281" s="452"/>
      <c r="G281" s="452"/>
      <c r="H281" s="452"/>
      <c r="I281" s="452"/>
      <c r="J281" s="452"/>
      <c r="K281" s="452"/>
      <c r="L281" s="452"/>
      <c r="M281" s="452"/>
      <c r="N281" s="452"/>
      <c r="O281" s="452"/>
      <c r="P281" s="452"/>
      <c r="Q281" s="452"/>
      <c r="R281" s="452"/>
      <c r="T281" s="586"/>
      <c r="V281" s="586"/>
      <c r="W281" s="586"/>
    </row>
    <row r="282" spans="1:35" s="365" customFormat="1" ht="35.1" customHeight="1" x14ac:dyDescent="0.3">
      <c r="A282" s="450"/>
      <c r="B282" s="451">
        <v>6</v>
      </c>
      <c r="C282" s="754" t="s">
        <v>979</v>
      </c>
      <c r="D282" s="754"/>
      <c r="E282" s="754"/>
      <c r="F282" s="754"/>
      <c r="G282" s="754"/>
      <c r="H282" s="754"/>
      <c r="I282" s="754"/>
      <c r="J282" s="754"/>
      <c r="K282" s="754"/>
      <c r="L282" s="754"/>
      <c r="M282" s="754"/>
      <c r="N282" s="754"/>
      <c r="O282" s="754"/>
      <c r="P282" s="754"/>
      <c r="Q282" s="754"/>
      <c r="R282" s="754"/>
      <c r="U282" s="586"/>
      <c r="V282" s="357"/>
      <c r="W282" s="357"/>
    </row>
    <row r="283" spans="1:35" s="365" customFormat="1" ht="18" customHeight="1" x14ac:dyDescent="0.3">
      <c r="A283" s="450"/>
      <c r="B283" s="451">
        <v>7</v>
      </c>
      <c r="C283" s="452" t="s">
        <v>980</v>
      </c>
      <c r="D283" s="452"/>
      <c r="E283" s="452"/>
      <c r="F283" s="452"/>
      <c r="G283" s="452"/>
      <c r="H283" s="452"/>
      <c r="I283" s="452"/>
      <c r="J283" s="452"/>
      <c r="K283" s="452"/>
      <c r="L283" s="452"/>
      <c r="M283" s="452"/>
      <c r="N283" s="452"/>
      <c r="O283" s="452"/>
      <c r="P283" s="452"/>
      <c r="Q283" s="452"/>
      <c r="R283" s="452"/>
    </row>
    <row r="284" spans="1:35" s="365" customFormat="1" ht="45" customHeight="1" x14ac:dyDescent="0.3">
      <c r="A284" s="450"/>
      <c r="B284" s="451">
        <v>8</v>
      </c>
      <c r="C284" s="754" t="s">
        <v>981</v>
      </c>
      <c r="D284" s="754"/>
      <c r="E284" s="754"/>
      <c r="F284" s="754"/>
      <c r="G284" s="754"/>
      <c r="H284" s="754"/>
      <c r="I284" s="754"/>
      <c r="J284" s="754"/>
      <c r="K284" s="754"/>
      <c r="L284" s="754"/>
      <c r="M284" s="754"/>
      <c r="N284" s="754"/>
      <c r="O284" s="754"/>
      <c r="P284" s="754"/>
      <c r="Q284" s="754"/>
      <c r="R284" s="754"/>
    </row>
    <row r="285" spans="1:35" s="365" customFormat="1" ht="35.1" customHeight="1" x14ac:dyDescent="0.3">
      <c r="A285" s="450"/>
      <c r="B285" s="451">
        <v>9</v>
      </c>
      <c r="C285" s="754" t="s">
        <v>982</v>
      </c>
      <c r="D285" s="754"/>
      <c r="E285" s="754"/>
      <c r="F285" s="754"/>
      <c r="G285" s="754"/>
      <c r="H285" s="754"/>
      <c r="I285" s="754"/>
      <c r="J285" s="754"/>
      <c r="K285" s="754"/>
      <c r="L285" s="754"/>
      <c r="M285" s="754"/>
      <c r="N285" s="754"/>
      <c r="O285" s="754"/>
      <c r="P285" s="754"/>
      <c r="Q285" s="754"/>
      <c r="R285" s="754"/>
      <c r="U285"/>
      <c r="V285"/>
    </row>
    <row r="286" spans="1:35" s="365" customFormat="1" ht="35.1" customHeight="1" x14ac:dyDescent="0.3">
      <c r="B286" s="451">
        <v>10</v>
      </c>
      <c r="C286" s="754" t="s">
        <v>983</v>
      </c>
      <c r="D286" s="754"/>
      <c r="E286" s="754"/>
      <c r="F286" s="754"/>
      <c r="G286" s="754"/>
      <c r="H286" s="754"/>
      <c r="I286" s="754"/>
      <c r="J286" s="754"/>
      <c r="K286" s="754"/>
      <c r="L286" s="754"/>
      <c r="M286" s="754"/>
      <c r="N286" s="754"/>
      <c r="O286" s="754"/>
      <c r="P286" s="754"/>
      <c r="Q286" s="754"/>
      <c r="R286" s="754"/>
      <c r="U286"/>
      <c r="V286"/>
      <c r="X286" s="586"/>
      <c r="Y286" s="586"/>
      <c r="Z286" s="586"/>
      <c r="AA286" s="586"/>
      <c r="AB286" s="586"/>
      <c r="AC286" s="586"/>
      <c r="AD286" s="586"/>
      <c r="AE286" s="586"/>
      <c r="AF286" s="586"/>
      <c r="AG286" s="586"/>
      <c r="AH286" s="586"/>
      <c r="AI286" s="586"/>
    </row>
    <row r="287" spans="1:35" s="584" customFormat="1" ht="56.25" customHeight="1" x14ac:dyDescent="0.3">
      <c r="A287" s="155"/>
      <c r="B287" s="583">
        <v>11</v>
      </c>
      <c r="C287" s="755" t="s">
        <v>984</v>
      </c>
      <c r="D287" s="755"/>
      <c r="E287" s="755"/>
      <c r="F287" s="755"/>
      <c r="G287" s="755"/>
      <c r="H287" s="755"/>
      <c r="I287" s="755"/>
      <c r="J287" s="755"/>
      <c r="K287" s="755"/>
      <c r="L287" s="755"/>
      <c r="M287" s="755"/>
      <c r="N287" s="755"/>
      <c r="O287" s="755"/>
      <c r="P287" s="755"/>
      <c r="Q287" s="755"/>
      <c r="R287" s="755"/>
      <c r="U287"/>
    </row>
    <row r="288" spans="1:35" s="365" customFormat="1" ht="60.75" customHeight="1" x14ac:dyDescent="0.3">
      <c r="B288" s="451">
        <v>12</v>
      </c>
      <c r="C288" s="754" t="s">
        <v>985</v>
      </c>
      <c r="D288" s="754"/>
      <c r="E288" s="754"/>
      <c r="F288" s="754"/>
      <c r="G288" s="754"/>
      <c r="H288" s="754"/>
      <c r="I288" s="754"/>
      <c r="J288" s="754"/>
      <c r="K288" s="754"/>
      <c r="L288" s="754"/>
      <c r="M288" s="754"/>
      <c r="N288" s="754"/>
      <c r="O288" s="754"/>
      <c r="P288" s="754"/>
      <c r="Q288" s="754"/>
      <c r="R288" s="754"/>
      <c r="T288" s="491"/>
      <c r="U288" s="585"/>
      <c r="V288" s="520"/>
    </row>
    <row r="289" spans="1:18" x14ac:dyDescent="0.3">
      <c r="A289" s="255"/>
      <c r="B289" s="236"/>
      <c r="C289" s="235"/>
      <c r="D289" s="235"/>
      <c r="E289" s="235"/>
      <c r="F289" s="235"/>
      <c r="G289" s="235"/>
      <c r="H289" s="235"/>
      <c r="I289" s="235"/>
      <c r="J289" s="235"/>
      <c r="K289" s="235"/>
      <c r="L289" s="235"/>
      <c r="M289" s="235"/>
      <c r="N289" s="235"/>
      <c r="O289" s="235"/>
      <c r="P289" s="235"/>
      <c r="Q289" s="235"/>
      <c r="R289" s="235"/>
    </row>
    <row r="290" spans="1:18" x14ac:dyDescent="0.3">
      <c r="A290" s="413"/>
      <c r="B290" s="414"/>
      <c r="C290" s="825"/>
      <c r="D290" s="825"/>
      <c r="E290" s="825"/>
      <c r="F290" s="825"/>
      <c r="G290" s="825"/>
      <c r="H290" s="825"/>
      <c r="I290" s="825"/>
      <c r="J290" s="825"/>
      <c r="K290" s="825"/>
      <c r="L290" s="825"/>
      <c r="M290" s="825"/>
      <c r="N290" s="825"/>
      <c r="O290" s="825"/>
      <c r="P290" s="825"/>
      <c r="Q290" s="825"/>
      <c r="R290" s="825"/>
    </row>
    <row r="291" spans="1:18" x14ac:dyDescent="0.3">
      <c r="A291" s="253"/>
      <c r="B291" s="314"/>
      <c r="C291" s="315"/>
      <c r="D291" s="315"/>
      <c r="E291" s="315"/>
      <c r="F291" s="315"/>
      <c r="G291" s="315"/>
      <c r="H291" s="315"/>
      <c r="I291" s="315"/>
      <c r="J291" s="315"/>
      <c r="K291" s="315"/>
      <c r="L291" s="315"/>
      <c r="M291" s="315"/>
      <c r="N291" s="315"/>
      <c r="O291" s="315"/>
      <c r="P291" s="150"/>
      <c r="Q291" s="150"/>
      <c r="R291" s="150"/>
    </row>
    <row r="292" spans="1:18" x14ac:dyDescent="0.3">
      <c r="A292" s="253"/>
      <c r="B292" s="314"/>
      <c r="C292" s="315"/>
      <c r="D292" s="315"/>
      <c r="E292" s="315"/>
      <c r="F292" s="315"/>
      <c r="G292" s="315"/>
      <c r="H292" s="315"/>
      <c r="I292" s="315"/>
      <c r="J292" s="315"/>
      <c r="K292" s="315"/>
      <c r="L292" s="315"/>
      <c r="M292" s="315"/>
      <c r="N292" s="315"/>
      <c r="O292" s="315"/>
      <c r="P292" s="150"/>
      <c r="Q292" s="150"/>
      <c r="R292" s="150"/>
    </row>
    <row r="293" spans="1:18" x14ac:dyDescent="0.3">
      <c r="C293" s="243"/>
      <c r="D293" s="243"/>
      <c r="E293" s="243"/>
      <c r="F293" s="243"/>
      <c r="G293" s="243"/>
      <c r="H293" s="243"/>
      <c r="I293" s="243"/>
      <c r="J293" s="243"/>
      <c r="K293" s="243"/>
      <c r="L293" s="243"/>
      <c r="M293" s="243"/>
      <c r="N293" s="243"/>
      <c r="O293" s="243"/>
      <c r="P293" s="243"/>
      <c r="Q293" s="243"/>
      <c r="R293" s="243"/>
    </row>
    <row r="294" spans="1:18" ht="14.4" x14ac:dyDescent="0.3">
      <c r="K294" s="221" t="str">
        <f>+TIT!D9</f>
        <v>Shri. Bharat C. Boridkar</v>
      </c>
    </row>
    <row r="295" spans="1:18" x14ac:dyDescent="0.3">
      <c r="K295" s="230" t="s">
        <v>412</v>
      </c>
    </row>
    <row r="296" spans="1:18" x14ac:dyDescent="0.3">
      <c r="A296" s="824">
        <f>+TIT!D12</f>
        <v>46275</v>
      </c>
      <c r="B296" s="824"/>
      <c r="C296" s="824"/>
      <c r="D296" s="824"/>
      <c r="E296" s="824"/>
      <c r="F296" s="824"/>
      <c r="K296" s="316" t="str">
        <f>"["&amp;TIT!A10&amp;": "&amp;TIT!D10&amp;"]"</f>
        <v>[Panel No.: Mumbai-4/C1/1011404]</v>
      </c>
    </row>
  </sheetData>
  <mergeCells count="472">
    <mergeCell ref="B272:R272"/>
    <mergeCell ref="C253:R253"/>
    <mergeCell ref="M244:O244"/>
    <mergeCell ref="C254:R254"/>
    <mergeCell ref="C247:R247"/>
    <mergeCell ref="C248:R248"/>
    <mergeCell ref="C249:R249"/>
    <mergeCell ref="C250:R250"/>
    <mergeCell ref="C252:R252"/>
    <mergeCell ref="A244:B244"/>
    <mergeCell ref="P139:R139"/>
    <mergeCell ref="M218:O218"/>
    <mergeCell ref="M241:O241"/>
    <mergeCell ref="C218:I218"/>
    <mergeCell ref="C235:I235"/>
    <mergeCell ref="J235:L235"/>
    <mergeCell ref="M235:O235"/>
    <mergeCell ref="P225:Q225"/>
    <mergeCell ref="M221:O221"/>
    <mergeCell ref="P221:Q221"/>
    <mergeCell ref="P237:Q237"/>
    <mergeCell ref="C234:I234"/>
    <mergeCell ref="P233:Q233"/>
    <mergeCell ref="P241:Q241"/>
    <mergeCell ref="P230:Q230"/>
    <mergeCell ref="J233:L233"/>
    <mergeCell ref="J232:L232"/>
    <mergeCell ref="M232:O232"/>
    <mergeCell ref="P232:Q232"/>
    <mergeCell ref="P231:Q231"/>
    <mergeCell ref="J231:L231"/>
    <mergeCell ref="C231:I231"/>
    <mergeCell ref="P229:Q229"/>
    <mergeCell ref="M224:O224"/>
    <mergeCell ref="L46:R48"/>
    <mergeCell ref="C206:R206"/>
    <mergeCell ref="P228:Q228"/>
    <mergeCell ref="M137:O137"/>
    <mergeCell ref="P137:R137"/>
    <mergeCell ref="M113:O113"/>
    <mergeCell ref="M120:O120"/>
    <mergeCell ref="M136:O136"/>
    <mergeCell ref="P136:R136"/>
    <mergeCell ref="M138:O138"/>
    <mergeCell ref="C156:I156"/>
    <mergeCell ref="J156:L156"/>
    <mergeCell ref="M227:O227"/>
    <mergeCell ref="M228:O228"/>
    <mergeCell ref="P227:Q227"/>
    <mergeCell ref="P138:R138"/>
    <mergeCell ref="C113:I113"/>
    <mergeCell ref="P113:R113"/>
    <mergeCell ref="C120:I120"/>
    <mergeCell ref="J113:L113"/>
    <mergeCell ref="C155:I155"/>
    <mergeCell ref="J155:L155"/>
    <mergeCell ref="M139:O139"/>
    <mergeCell ref="J225:L225"/>
    <mergeCell ref="A225:B225"/>
    <mergeCell ref="C225:I225"/>
    <mergeCell ref="A224:B224"/>
    <mergeCell ref="C224:I224"/>
    <mergeCell ref="A234:B234"/>
    <mergeCell ref="M233:O233"/>
    <mergeCell ref="M225:O225"/>
    <mergeCell ref="C222:I222"/>
    <mergeCell ref="J222:L222"/>
    <mergeCell ref="M222:O222"/>
    <mergeCell ref="A233:B233"/>
    <mergeCell ref="C233:I233"/>
    <mergeCell ref="A232:B232"/>
    <mergeCell ref="C232:I232"/>
    <mergeCell ref="J230:L230"/>
    <mergeCell ref="M230:O230"/>
    <mergeCell ref="A230:B230"/>
    <mergeCell ref="C230:I230"/>
    <mergeCell ref="M231:O231"/>
    <mergeCell ref="A231:B231"/>
    <mergeCell ref="A227:B227"/>
    <mergeCell ref="C227:I227"/>
    <mergeCell ref="J227:L227"/>
    <mergeCell ref="M229:O229"/>
    <mergeCell ref="A228:B228"/>
    <mergeCell ref="C228:I228"/>
    <mergeCell ref="J228:L228"/>
    <mergeCell ref="A226:B226"/>
    <mergeCell ref="C226:I226"/>
    <mergeCell ref="J226:L226"/>
    <mergeCell ref="M226:O226"/>
    <mergeCell ref="P226:Q226"/>
    <mergeCell ref="A229:B229"/>
    <mergeCell ref="C229:I229"/>
    <mergeCell ref="J229:L229"/>
    <mergeCell ref="P224:Q224"/>
    <mergeCell ref="A222:B222"/>
    <mergeCell ref="P222:Q222"/>
    <mergeCell ref="J220:L220"/>
    <mergeCell ref="M220:O220"/>
    <mergeCell ref="P220:Q220"/>
    <mergeCell ref="A221:B221"/>
    <mergeCell ref="C221:I221"/>
    <mergeCell ref="J221:L221"/>
    <mergeCell ref="C220:I220"/>
    <mergeCell ref="J224:L224"/>
    <mergeCell ref="A223:B223"/>
    <mergeCell ref="C223:I223"/>
    <mergeCell ref="J223:L223"/>
    <mergeCell ref="M223:O223"/>
    <mergeCell ref="P223:Q223"/>
    <mergeCell ref="A219:B219"/>
    <mergeCell ref="C219:I219"/>
    <mergeCell ref="J219:L219"/>
    <mergeCell ref="M219:O219"/>
    <mergeCell ref="A218:B218"/>
    <mergeCell ref="A213:B213"/>
    <mergeCell ref="C213:I213"/>
    <mergeCell ref="J213:L213"/>
    <mergeCell ref="D186:L186"/>
    <mergeCell ref="M186:P186"/>
    <mergeCell ref="A214:B214"/>
    <mergeCell ref="C214:I214"/>
    <mergeCell ref="J214:L214"/>
    <mergeCell ref="M214:O214"/>
    <mergeCell ref="P214:Q214"/>
    <mergeCell ref="P217:Q217"/>
    <mergeCell ref="A215:B215"/>
    <mergeCell ref="C215:I215"/>
    <mergeCell ref="J215:L215"/>
    <mergeCell ref="M215:O215"/>
    <mergeCell ref="P215:Q215"/>
    <mergeCell ref="A216:B216"/>
    <mergeCell ref="C216:I216"/>
    <mergeCell ref="J216:L216"/>
    <mergeCell ref="A174:B174"/>
    <mergeCell ref="C174:I174"/>
    <mergeCell ref="J174:L174"/>
    <mergeCell ref="M174:O174"/>
    <mergeCell ref="P174:R174"/>
    <mergeCell ref="A173:B173"/>
    <mergeCell ref="C173:I173"/>
    <mergeCell ref="C175:I175"/>
    <mergeCell ref="A212:B212"/>
    <mergeCell ref="C212:I212"/>
    <mergeCell ref="J212:L212"/>
    <mergeCell ref="M212:O212"/>
    <mergeCell ref="P212:Q212"/>
    <mergeCell ref="C182:R182"/>
    <mergeCell ref="D184:L184"/>
    <mergeCell ref="A175:B175"/>
    <mergeCell ref="J175:L175"/>
    <mergeCell ref="C208:R208"/>
    <mergeCell ref="J178:L178"/>
    <mergeCell ref="C176:I176"/>
    <mergeCell ref="J176:L176"/>
    <mergeCell ref="M191:P191"/>
    <mergeCell ref="M176:O176"/>
    <mergeCell ref="D187:L187"/>
    <mergeCell ref="D165:L165"/>
    <mergeCell ref="J173:L173"/>
    <mergeCell ref="C169:R169"/>
    <mergeCell ref="C157:I157"/>
    <mergeCell ref="J157:L157"/>
    <mergeCell ref="M173:O173"/>
    <mergeCell ref="C162:R162"/>
    <mergeCell ref="M167:P167"/>
    <mergeCell ref="P173:R173"/>
    <mergeCell ref="D167:L167"/>
    <mergeCell ref="A136:B136"/>
    <mergeCell ref="C136:I136"/>
    <mergeCell ref="J136:L136"/>
    <mergeCell ref="A139:B139"/>
    <mergeCell ref="A137:B137"/>
    <mergeCell ref="C137:I137"/>
    <mergeCell ref="J137:L137"/>
    <mergeCell ref="C139:I139"/>
    <mergeCell ref="J139:L139"/>
    <mergeCell ref="A138:B138"/>
    <mergeCell ref="C138:I138"/>
    <mergeCell ref="J138:L138"/>
    <mergeCell ref="A140:B140"/>
    <mergeCell ref="C140:I140"/>
    <mergeCell ref="J140:L140"/>
    <mergeCell ref="M140:O140"/>
    <mergeCell ref="C154:I154"/>
    <mergeCell ref="J154:L154"/>
    <mergeCell ref="C142:R143"/>
    <mergeCell ref="J152:L152"/>
    <mergeCell ref="C152:I152"/>
    <mergeCell ref="P140:R140"/>
    <mergeCell ref="C151:I151"/>
    <mergeCell ref="J151:L151"/>
    <mergeCell ref="J153:L153"/>
    <mergeCell ref="C153:I153"/>
    <mergeCell ref="V127:V128"/>
    <mergeCell ref="W127:W128"/>
    <mergeCell ref="X127:X128"/>
    <mergeCell ref="Y127:Y128"/>
    <mergeCell ref="A135:B135"/>
    <mergeCell ref="C135:I135"/>
    <mergeCell ref="J135:L135"/>
    <mergeCell ref="M135:O135"/>
    <mergeCell ref="P135:R135"/>
    <mergeCell ref="A122:B122"/>
    <mergeCell ref="C122:I122"/>
    <mergeCell ref="J122:L122"/>
    <mergeCell ref="M122:O122"/>
    <mergeCell ref="P122:R122"/>
    <mergeCell ref="A123:B123"/>
    <mergeCell ref="C123:I123"/>
    <mergeCell ref="J123:L123"/>
    <mergeCell ref="M123:O123"/>
    <mergeCell ref="P123:R123"/>
    <mergeCell ref="A119:B119"/>
    <mergeCell ref="C119:I119"/>
    <mergeCell ref="J119:L119"/>
    <mergeCell ref="M119:O119"/>
    <mergeCell ref="P119:R119"/>
    <mergeCell ref="A121:B121"/>
    <mergeCell ref="C121:I121"/>
    <mergeCell ref="J121:L121"/>
    <mergeCell ref="M121:O121"/>
    <mergeCell ref="P121:R121"/>
    <mergeCell ref="A120:B120"/>
    <mergeCell ref="J120:L120"/>
    <mergeCell ref="P120:R120"/>
    <mergeCell ref="A117:B117"/>
    <mergeCell ref="C117:I117"/>
    <mergeCell ref="J117:L117"/>
    <mergeCell ref="M117:O117"/>
    <mergeCell ref="P117:R117"/>
    <mergeCell ref="A118:B118"/>
    <mergeCell ref="C118:I118"/>
    <mergeCell ref="J118:L118"/>
    <mergeCell ref="M118:O118"/>
    <mergeCell ref="P118:R118"/>
    <mergeCell ref="M114:O114"/>
    <mergeCell ref="P114:R114"/>
    <mergeCell ref="A113:B113"/>
    <mergeCell ref="A115:B115"/>
    <mergeCell ref="C115:I115"/>
    <mergeCell ref="J115:L115"/>
    <mergeCell ref="M115:O115"/>
    <mergeCell ref="P115:R115"/>
    <mergeCell ref="A116:B116"/>
    <mergeCell ref="C116:I116"/>
    <mergeCell ref="J116:L116"/>
    <mergeCell ref="M116:O116"/>
    <mergeCell ref="P116:R116"/>
    <mergeCell ref="E34:F34"/>
    <mergeCell ref="G34:R34"/>
    <mergeCell ref="E38:F38"/>
    <mergeCell ref="G38:R38"/>
    <mergeCell ref="E35:F35"/>
    <mergeCell ref="G35:R35"/>
    <mergeCell ref="E36:F36"/>
    <mergeCell ref="G36:R36"/>
    <mergeCell ref="E37:F37"/>
    <mergeCell ref="G37:R37"/>
    <mergeCell ref="A25:A26"/>
    <mergeCell ref="B25:D26"/>
    <mergeCell ref="E25:K25"/>
    <mergeCell ref="L25:R25"/>
    <mergeCell ref="E26:K26"/>
    <mergeCell ref="L26:R26"/>
    <mergeCell ref="E33:F33"/>
    <mergeCell ref="B27:K27"/>
    <mergeCell ref="L27:R27"/>
    <mergeCell ref="B28:K28"/>
    <mergeCell ref="L28:R28"/>
    <mergeCell ref="B29:K29"/>
    <mergeCell ref="L29:R29"/>
    <mergeCell ref="G33:R33"/>
    <mergeCell ref="B21:D24"/>
    <mergeCell ref="E21:K21"/>
    <mergeCell ref="L21:R21"/>
    <mergeCell ref="E22:K22"/>
    <mergeCell ref="L22:R22"/>
    <mergeCell ref="E23:K23"/>
    <mergeCell ref="L23:R23"/>
    <mergeCell ref="E24:K24"/>
    <mergeCell ref="L24:R24"/>
    <mergeCell ref="G5:R6"/>
    <mergeCell ref="G7:R8"/>
    <mergeCell ref="G9:R9"/>
    <mergeCell ref="G10:R10"/>
    <mergeCell ref="G11:R11"/>
    <mergeCell ref="A13:R13"/>
    <mergeCell ref="B15:D15"/>
    <mergeCell ref="E41:K41"/>
    <mergeCell ref="L41:R41"/>
    <mergeCell ref="E15:K15"/>
    <mergeCell ref="L15:R15"/>
    <mergeCell ref="A16:A20"/>
    <mergeCell ref="B16:D20"/>
    <mergeCell ref="E16:K16"/>
    <mergeCell ref="L16:R16"/>
    <mergeCell ref="E17:K17"/>
    <mergeCell ref="L17:R17"/>
    <mergeCell ref="E18:K18"/>
    <mergeCell ref="L18:R18"/>
    <mergeCell ref="E19:K19"/>
    <mergeCell ref="L19:R19"/>
    <mergeCell ref="E20:K20"/>
    <mergeCell ref="L20:R20"/>
    <mergeCell ref="A21:A24"/>
    <mergeCell ref="M213:O213"/>
    <mergeCell ref="P213:Q213"/>
    <mergeCell ref="M175:O175"/>
    <mergeCell ref="C177:I177"/>
    <mergeCell ref="J177:L177"/>
    <mergeCell ref="M177:O177"/>
    <mergeCell ref="C200:R200"/>
    <mergeCell ref="C205:R205"/>
    <mergeCell ref="D189:L189"/>
    <mergeCell ref="M189:P189"/>
    <mergeCell ref="D190:L190"/>
    <mergeCell ref="M190:P190"/>
    <mergeCell ref="C197:O197"/>
    <mergeCell ref="D191:L191"/>
    <mergeCell ref="P176:R176"/>
    <mergeCell ref="M178:O178"/>
    <mergeCell ref="P178:R178"/>
    <mergeCell ref="C201:R201"/>
    <mergeCell ref="M187:P187"/>
    <mergeCell ref="D188:L188"/>
    <mergeCell ref="M188:P188"/>
    <mergeCell ref="D185:L185"/>
    <mergeCell ref="M185:P185"/>
    <mergeCell ref="A296:F296"/>
    <mergeCell ref="A261:F261"/>
    <mergeCell ref="C290:R290"/>
    <mergeCell ref="J244:L244"/>
    <mergeCell ref="C240:I240"/>
    <mergeCell ref="C241:I241"/>
    <mergeCell ref="C236:I236"/>
    <mergeCell ref="A237:B237"/>
    <mergeCell ref="C237:I237"/>
    <mergeCell ref="J237:L237"/>
    <mergeCell ref="M237:O237"/>
    <mergeCell ref="J236:L236"/>
    <mergeCell ref="C244:I244"/>
    <mergeCell ref="D273:O273"/>
    <mergeCell ref="D274:K274"/>
    <mergeCell ref="C268:R268"/>
    <mergeCell ref="C251:R251"/>
    <mergeCell ref="M242:O242"/>
    <mergeCell ref="P244:Q244"/>
    <mergeCell ref="A264:R264"/>
    <mergeCell ref="P240:Q240"/>
    <mergeCell ref="A240:B240"/>
    <mergeCell ref="M243:O243"/>
    <mergeCell ref="C269:R269"/>
    <mergeCell ref="E39:F39"/>
    <mergeCell ref="G39:R39"/>
    <mergeCell ref="D168:L168"/>
    <mergeCell ref="B41:D41"/>
    <mergeCell ref="B42:K42"/>
    <mergeCell ref="M168:P168"/>
    <mergeCell ref="A55:F55"/>
    <mergeCell ref="P110:R110"/>
    <mergeCell ref="A107:B107"/>
    <mergeCell ref="C107:I107"/>
    <mergeCell ref="J107:L107"/>
    <mergeCell ref="B69:R69"/>
    <mergeCell ref="C81:R81"/>
    <mergeCell ref="B43:K43"/>
    <mergeCell ref="L43:R43"/>
    <mergeCell ref="A108:B108"/>
    <mergeCell ref="C108:I108"/>
    <mergeCell ref="J108:L108"/>
    <mergeCell ref="J112:L112"/>
    <mergeCell ref="M112:O112"/>
    <mergeCell ref="P112:R112"/>
    <mergeCell ref="A114:B114"/>
    <mergeCell ref="C114:I114"/>
    <mergeCell ref="J114:L114"/>
    <mergeCell ref="A59:R59"/>
    <mergeCell ref="B61:R61"/>
    <mergeCell ref="M236:O236"/>
    <mergeCell ref="P236:Q236"/>
    <mergeCell ref="A236:B236"/>
    <mergeCell ref="P175:R175"/>
    <mergeCell ref="P235:Q235"/>
    <mergeCell ref="A220:B220"/>
    <mergeCell ref="P218:Q218"/>
    <mergeCell ref="J218:L218"/>
    <mergeCell ref="P219:Q219"/>
    <mergeCell ref="A235:B235"/>
    <mergeCell ref="J234:L234"/>
    <mergeCell ref="M234:O234"/>
    <mergeCell ref="P234:Q234"/>
    <mergeCell ref="L211:M211"/>
    <mergeCell ref="O211:P211"/>
    <mergeCell ref="P177:R177"/>
    <mergeCell ref="C178:I178"/>
    <mergeCell ref="M216:O216"/>
    <mergeCell ref="A217:B217"/>
    <mergeCell ref="C217:I217"/>
    <mergeCell ref="J217:L217"/>
    <mergeCell ref="M217:O217"/>
    <mergeCell ref="B44:K44"/>
    <mergeCell ref="L44:R44"/>
    <mergeCell ref="L45:N45"/>
    <mergeCell ref="O45:Q45"/>
    <mergeCell ref="L42:R42"/>
    <mergeCell ref="M165:P165"/>
    <mergeCell ref="D166:L166"/>
    <mergeCell ref="M166:P166"/>
    <mergeCell ref="M107:O107"/>
    <mergeCell ref="P107:R107"/>
    <mergeCell ref="A111:B111"/>
    <mergeCell ref="C111:I111"/>
    <mergeCell ref="J111:L111"/>
    <mergeCell ref="M111:O111"/>
    <mergeCell ref="P111:R111"/>
    <mergeCell ref="A109:B109"/>
    <mergeCell ref="C109:I109"/>
    <mergeCell ref="J109:L109"/>
    <mergeCell ref="M109:O109"/>
    <mergeCell ref="P109:R109"/>
    <mergeCell ref="A112:B112"/>
    <mergeCell ref="C112:I112"/>
    <mergeCell ref="A110:B110"/>
    <mergeCell ref="C110:I110"/>
    <mergeCell ref="J110:L110"/>
    <mergeCell ref="M110:O110"/>
    <mergeCell ref="C82:R82"/>
    <mergeCell ref="C83:R83"/>
    <mergeCell ref="A243:B243"/>
    <mergeCell ref="J243:L243"/>
    <mergeCell ref="A242:B242"/>
    <mergeCell ref="C267:R267"/>
    <mergeCell ref="J240:L240"/>
    <mergeCell ref="M240:O240"/>
    <mergeCell ref="C242:I242"/>
    <mergeCell ref="C243:I243"/>
    <mergeCell ref="P243:Q243"/>
    <mergeCell ref="J242:L242"/>
    <mergeCell ref="P242:Q242"/>
    <mergeCell ref="M108:O108"/>
    <mergeCell ref="P108:R108"/>
    <mergeCell ref="C85:R85"/>
    <mergeCell ref="B87:Q87"/>
    <mergeCell ref="C89:R89"/>
    <mergeCell ref="B92:R92"/>
    <mergeCell ref="B103:R103"/>
    <mergeCell ref="P216:Q216"/>
    <mergeCell ref="M184:P184"/>
    <mergeCell ref="C286:R286"/>
    <mergeCell ref="C287:R287"/>
    <mergeCell ref="C288:R288"/>
    <mergeCell ref="B62:R62"/>
    <mergeCell ref="B63:R63"/>
    <mergeCell ref="B64:R64"/>
    <mergeCell ref="B67:R67"/>
    <mergeCell ref="C266:R266"/>
    <mergeCell ref="C277:R277"/>
    <mergeCell ref="C282:R282"/>
    <mergeCell ref="C284:R284"/>
    <mergeCell ref="C285:R285"/>
    <mergeCell ref="A238:B238"/>
    <mergeCell ref="C238:I238"/>
    <mergeCell ref="J238:L238"/>
    <mergeCell ref="M238:O238"/>
    <mergeCell ref="P238:Q238"/>
    <mergeCell ref="A239:B239"/>
    <mergeCell ref="C239:I239"/>
    <mergeCell ref="J239:L239"/>
    <mergeCell ref="M239:O239"/>
    <mergeCell ref="P239:Q239"/>
    <mergeCell ref="A241:B241"/>
    <mergeCell ref="J241:L241"/>
  </mergeCells>
  <printOptions horizontalCentered="1"/>
  <pageMargins left="0.51181102362204722" right="0" top="0.51181102362204722" bottom="0.23622047244094491" header="0" footer="0"/>
  <pageSetup paperSize="9" scale="90" orientation="portrait" r:id="rId1"/>
  <headerFooter alignWithMargins="0">
    <oddHeader xml:space="preserve">&amp;R
</oddHeader>
    <oddFooter>&amp;R[GR] Page &amp;P of &amp;N</oddFooter>
  </headerFooter>
  <rowBreaks count="6" manualBreakCount="6">
    <brk id="30" max="17" man="1"/>
    <brk id="57" max="17" man="1"/>
    <brk id="100" max="17" man="1"/>
    <brk id="158" max="17" man="1"/>
    <brk id="209" max="17" man="1"/>
    <brk id="261" max="17"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7"/>
  <sheetViews>
    <sheetView tabSelected="1" view="pageBreakPreview" zoomScaleNormal="100" workbookViewId="0">
      <selection activeCell="D11" sqref="D11:M14"/>
    </sheetView>
  </sheetViews>
  <sheetFormatPr defaultColWidth="9" defaultRowHeight="14.4" x14ac:dyDescent="0.3"/>
  <cols>
    <col min="1" max="1" width="3" style="218" customWidth="1"/>
    <col min="2" max="3" width="2.5" style="218" customWidth="1"/>
    <col min="4" max="7" width="9" style="218"/>
    <col min="8" max="8" width="8.5" style="218" customWidth="1"/>
    <col min="9" max="9" width="9" style="218"/>
    <col min="10" max="10" width="5.59765625" style="218" customWidth="1"/>
    <col min="11" max="11" width="9" style="218"/>
    <col min="12" max="12" width="6.3984375" style="218" customWidth="1"/>
    <col min="13" max="13" width="9.3984375" style="218" customWidth="1"/>
    <col min="14" max="14" width="1.5" style="218" customWidth="1"/>
    <col min="15" max="16384" width="9" style="218"/>
  </cols>
  <sheetData>
    <row r="1" spans="1:13" ht="20.100000000000001" customHeight="1" x14ac:dyDescent="0.3">
      <c r="A1" s="903" t="str">
        <f>+TIT!D2</f>
        <v>NAVANAND CO-OPERATIVE. HOUSING SOCIETY LTD.</v>
      </c>
      <c r="B1" s="903"/>
      <c r="C1" s="903"/>
      <c r="D1" s="903"/>
      <c r="E1" s="903"/>
      <c r="F1" s="903"/>
      <c r="G1" s="903"/>
      <c r="H1" s="903"/>
      <c r="I1" s="903"/>
      <c r="J1" s="903"/>
      <c r="K1" s="903"/>
      <c r="L1" s="903"/>
      <c r="M1" s="903"/>
    </row>
    <row r="2" spans="1:13" ht="20.100000000000001" customHeight="1" x14ac:dyDescent="0.3">
      <c r="A2" s="904" t="str">
        <f>"Schedules attached to and forming part of the Annual Account for the year ended "&amp; TIT!D8</f>
        <v>Schedules attached to and forming part of the Annual Account for the year ended 31st March, 2026</v>
      </c>
      <c r="B2" s="904"/>
      <c r="C2" s="904"/>
      <c r="D2" s="904"/>
      <c r="E2" s="904"/>
      <c r="F2" s="904"/>
      <c r="G2" s="904"/>
      <c r="H2" s="904"/>
      <c r="I2" s="904"/>
      <c r="J2" s="904"/>
      <c r="K2" s="904"/>
      <c r="L2" s="904"/>
      <c r="M2" s="904"/>
    </row>
    <row r="3" spans="1:13" ht="9.9" customHeight="1" x14ac:dyDescent="0.3">
      <c r="A3" s="219"/>
    </row>
    <row r="4" spans="1:13" s="220" customFormat="1" x14ac:dyDescent="0.3">
      <c r="A4" s="220" t="s">
        <v>53</v>
      </c>
      <c r="B4" s="221" t="s">
        <v>54</v>
      </c>
    </row>
    <row r="5" spans="1:13" s="220" customFormat="1" ht="12.75" customHeight="1" x14ac:dyDescent="0.3">
      <c r="A5" s="221"/>
      <c r="B5" s="221">
        <v>1</v>
      </c>
      <c r="D5" s="905" t="s">
        <v>489</v>
      </c>
      <c r="E5" s="905"/>
      <c r="F5" s="905"/>
      <c r="G5" s="905"/>
      <c r="H5" s="905"/>
      <c r="I5" s="905"/>
      <c r="J5" s="905"/>
      <c r="K5" s="905"/>
      <c r="L5" s="905"/>
      <c r="M5" s="905"/>
    </row>
    <row r="6" spans="1:13" s="220" customFormat="1" x14ac:dyDescent="0.3">
      <c r="A6" s="221"/>
      <c r="D6" s="905"/>
      <c r="E6" s="905"/>
      <c r="F6" s="905"/>
      <c r="G6" s="905"/>
      <c r="H6" s="905"/>
      <c r="I6" s="905"/>
      <c r="J6" s="905"/>
      <c r="K6" s="905"/>
      <c r="L6" s="905"/>
      <c r="M6" s="905"/>
    </row>
    <row r="7" spans="1:13" s="220" customFormat="1" x14ac:dyDescent="0.3">
      <c r="A7" s="221"/>
      <c r="D7" s="905"/>
      <c r="E7" s="905"/>
      <c r="F7" s="905"/>
      <c r="G7" s="905"/>
      <c r="H7" s="905"/>
      <c r="I7" s="905"/>
      <c r="J7" s="905"/>
      <c r="K7" s="905"/>
      <c r="L7" s="905"/>
      <c r="M7" s="905"/>
    </row>
    <row r="8" spans="1:13" s="220" customFormat="1" ht="24" customHeight="1" x14ac:dyDescent="0.3">
      <c r="A8" s="221"/>
      <c r="D8" s="905"/>
      <c r="E8" s="905"/>
      <c r="F8" s="905"/>
      <c r="G8" s="905"/>
      <c r="H8" s="905"/>
      <c r="I8" s="905"/>
      <c r="J8" s="905"/>
      <c r="K8" s="905"/>
      <c r="L8" s="905"/>
      <c r="M8" s="905"/>
    </row>
    <row r="9" spans="1:13" s="220" customFormat="1" ht="9.9" customHeight="1" x14ac:dyDescent="0.3">
      <c r="A9" s="221"/>
      <c r="D9" s="222"/>
      <c r="E9" s="222"/>
      <c r="F9" s="222"/>
      <c r="G9" s="222"/>
      <c r="H9" s="222"/>
      <c r="I9" s="222"/>
      <c r="J9" s="222"/>
      <c r="K9" s="222"/>
      <c r="L9" s="222"/>
    </row>
    <row r="10" spans="1:13" s="220" customFormat="1" x14ac:dyDescent="0.3">
      <c r="A10" s="221"/>
      <c r="B10" s="221">
        <v>2</v>
      </c>
      <c r="C10" s="221" t="s">
        <v>490</v>
      </c>
    </row>
    <row r="11" spans="1:13" s="220" customFormat="1" ht="15" customHeight="1" x14ac:dyDescent="0.3">
      <c r="A11" s="221"/>
      <c r="D11" s="905" t="s">
        <v>491</v>
      </c>
      <c r="E11" s="905"/>
      <c r="F11" s="905"/>
      <c r="G11" s="905"/>
      <c r="H11" s="905"/>
      <c r="I11" s="905"/>
      <c r="J11" s="905"/>
      <c r="K11" s="905"/>
      <c r="L11" s="905"/>
      <c r="M11" s="905"/>
    </row>
    <row r="12" spans="1:13" s="220" customFormat="1" x14ac:dyDescent="0.3">
      <c r="A12" s="221"/>
      <c r="D12" s="905"/>
      <c r="E12" s="905"/>
      <c r="F12" s="905"/>
      <c r="G12" s="905"/>
      <c r="H12" s="905"/>
      <c r="I12" s="905"/>
      <c r="J12" s="905"/>
      <c r="K12" s="905"/>
      <c r="L12" s="905"/>
      <c r="M12" s="905"/>
    </row>
    <row r="13" spans="1:13" s="220" customFormat="1" x14ac:dyDescent="0.3">
      <c r="A13" s="221"/>
      <c r="D13" s="905"/>
      <c r="E13" s="905"/>
      <c r="F13" s="905"/>
      <c r="G13" s="905"/>
      <c r="H13" s="905"/>
      <c r="I13" s="905"/>
      <c r="J13" s="905"/>
      <c r="K13" s="905"/>
      <c r="L13" s="905"/>
      <c r="M13" s="905"/>
    </row>
    <row r="14" spans="1:13" s="220" customFormat="1" ht="18.75" customHeight="1" x14ac:dyDescent="0.3">
      <c r="A14" s="221"/>
      <c r="D14" s="905"/>
      <c r="E14" s="905"/>
      <c r="F14" s="905"/>
      <c r="G14" s="905"/>
      <c r="H14" s="905"/>
      <c r="I14" s="905"/>
      <c r="J14" s="905"/>
      <c r="K14" s="905"/>
      <c r="L14" s="905"/>
      <c r="M14" s="905"/>
    </row>
    <row r="15" spans="1:13" s="220" customFormat="1" x14ac:dyDescent="0.3">
      <c r="A15" s="221"/>
      <c r="B15" s="221">
        <v>3</v>
      </c>
      <c r="C15" s="221" t="s">
        <v>55</v>
      </c>
    </row>
    <row r="16" spans="1:13" s="220" customFormat="1" ht="15" customHeight="1" x14ac:dyDescent="0.3">
      <c r="A16" s="221"/>
      <c r="D16" s="905" t="s">
        <v>492</v>
      </c>
      <c r="E16" s="905"/>
      <c r="F16" s="905"/>
      <c r="G16" s="905"/>
      <c r="H16" s="905"/>
      <c r="I16" s="905"/>
      <c r="J16" s="905"/>
      <c r="K16" s="905"/>
      <c r="L16" s="905"/>
      <c r="M16" s="905"/>
    </row>
    <row r="17" spans="1:13" s="220" customFormat="1" x14ac:dyDescent="0.3">
      <c r="A17" s="221"/>
      <c r="D17" s="905"/>
      <c r="E17" s="905"/>
      <c r="F17" s="905"/>
      <c r="G17" s="905"/>
      <c r="H17" s="905"/>
      <c r="I17" s="905"/>
      <c r="J17" s="905"/>
      <c r="K17" s="905"/>
      <c r="L17" s="905"/>
      <c r="M17" s="905"/>
    </row>
    <row r="18" spans="1:13" s="220" customFormat="1" ht="9.9" customHeight="1" x14ac:dyDescent="0.3">
      <c r="A18" s="221"/>
      <c r="D18" s="222"/>
      <c r="E18" s="222"/>
      <c r="F18" s="222"/>
      <c r="G18" s="222"/>
      <c r="H18" s="222"/>
      <c r="I18" s="222"/>
      <c r="J18" s="222"/>
      <c r="K18" s="222"/>
      <c r="L18" s="222"/>
    </row>
    <row r="19" spans="1:13" s="220" customFormat="1" x14ac:dyDescent="0.3">
      <c r="A19" s="221"/>
      <c r="B19" s="221">
        <v>4</v>
      </c>
      <c r="C19" s="221" t="s">
        <v>56</v>
      </c>
    </row>
    <row r="20" spans="1:13" s="220" customFormat="1" ht="15" customHeight="1" x14ac:dyDescent="0.3">
      <c r="A20" s="221"/>
      <c r="D20" s="905" t="s">
        <v>493</v>
      </c>
      <c r="E20" s="905"/>
      <c r="F20" s="905"/>
      <c r="G20" s="905"/>
      <c r="H20" s="905"/>
      <c r="I20" s="905"/>
      <c r="J20" s="905"/>
      <c r="K20" s="905"/>
      <c r="L20" s="905"/>
      <c r="M20" s="905"/>
    </row>
    <row r="21" spans="1:13" s="220" customFormat="1" x14ac:dyDescent="0.3">
      <c r="A21" s="221"/>
      <c r="D21" s="905"/>
      <c r="E21" s="905"/>
      <c r="F21" s="905"/>
      <c r="G21" s="905"/>
      <c r="H21" s="905"/>
      <c r="I21" s="905"/>
      <c r="J21" s="905"/>
      <c r="K21" s="905"/>
      <c r="L21" s="905"/>
      <c r="M21" s="905"/>
    </row>
    <row r="22" spans="1:13" s="220" customFormat="1" ht="9" customHeight="1" x14ac:dyDescent="0.3">
      <c r="A22" s="221"/>
      <c r="D22" s="905"/>
      <c r="E22" s="905"/>
      <c r="F22" s="905"/>
      <c r="G22" s="905"/>
      <c r="H22" s="905"/>
      <c r="I22" s="905"/>
      <c r="J22" s="905"/>
      <c r="K22" s="905"/>
      <c r="L22" s="905"/>
      <c r="M22" s="905"/>
    </row>
    <row r="23" spans="1:13" s="220" customFormat="1" ht="9.9" customHeight="1" x14ac:dyDescent="0.3">
      <c r="A23" s="221"/>
      <c r="D23" s="222"/>
      <c r="E23" s="222"/>
      <c r="F23" s="222"/>
      <c r="G23" s="222"/>
      <c r="H23" s="222"/>
      <c r="I23" s="222"/>
      <c r="J23" s="222"/>
      <c r="K23" s="222"/>
      <c r="L23" s="222"/>
    </row>
    <row r="24" spans="1:13" s="220" customFormat="1" x14ac:dyDescent="0.3">
      <c r="A24" s="221"/>
      <c r="B24" s="221">
        <v>5</v>
      </c>
      <c r="C24" s="221" t="s">
        <v>57</v>
      </c>
    </row>
    <row r="25" spans="1:13" s="220" customFormat="1" x14ac:dyDescent="0.3">
      <c r="A25" s="221"/>
      <c r="D25" s="220" t="s">
        <v>58</v>
      </c>
    </row>
    <row r="26" spans="1:13" s="220" customFormat="1" x14ac:dyDescent="0.3">
      <c r="A26" s="221"/>
      <c r="B26" s="221">
        <v>6</v>
      </c>
      <c r="C26" s="221" t="s">
        <v>494</v>
      </c>
    </row>
    <row r="27" spans="1:13" s="220" customFormat="1" x14ac:dyDescent="0.3">
      <c r="A27" s="221"/>
      <c r="D27" s="223" t="s">
        <v>495</v>
      </c>
      <c r="E27" s="223"/>
      <c r="F27" s="223"/>
      <c r="G27" s="223"/>
      <c r="H27" s="223"/>
      <c r="I27" s="223"/>
      <c r="J27" s="223"/>
      <c r="K27" s="223"/>
      <c r="L27" s="223"/>
      <c r="M27" s="223"/>
    </row>
    <row r="28" spans="1:13" s="220" customFormat="1" ht="9.9" customHeight="1" x14ac:dyDescent="0.3">
      <c r="A28" s="221"/>
    </row>
    <row r="29" spans="1:13" s="220" customFormat="1" x14ac:dyDescent="0.3">
      <c r="A29" s="221" t="s">
        <v>433</v>
      </c>
      <c r="B29" s="224" t="s">
        <v>496</v>
      </c>
    </row>
    <row r="30" spans="1:13" s="220" customFormat="1" x14ac:dyDescent="0.3">
      <c r="B30" s="225">
        <v>1</v>
      </c>
      <c r="C30" s="221" t="s">
        <v>59</v>
      </c>
    </row>
    <row r="31" spans="1:13" s="220" customFormat="1" ht="15" customHeight="1" x14ac:dyDescent="0.3">
      <c r="A31" s="221"/>
      <c r="D31" s="905" t="s">
        <v>497</v>
      </c>
      <c r="E31" s="905"/>
      <c r="F31" s="905"/>
      <c r="G31" s="905"/>
      <c r="H31" s="905"/>
      <c r="I31" s="905"/>
      <c r="J31" s="905"/>
      <c r="K31" s="905"/>
      <c r="L31" s="905"/>
      <c r="M31" s="905"/>
    </row>
    <row r="32" spans="1:13" s="220" customFormat="1" x14ac:dyDescent="0.3">
      <c r="A32" s="221"/>
      <c r="D32" s="905"/>
      <c r="E32" s="905"/>
      <c r="F32" s="905"/>
      <c r="G32" s="905"/>
      <c r="H32" s="905"/>
      <c r="I32" s="905"/>
      <c r="J32" s="905"/>
      <c r="K32" s="905"/>
      <c r="L32" s="905"/>
      <c r="M32" s="905"/>
    </row>
    <row r="33" spans="1:13" s="220" customFormat="1" ht="34.5" customHeight="1" x14ac:dyDescent="0.3">
      <c r="A33" s="221"/>
      <c r="D33" s="905" t="s">
        <v>694</v>
      </c>
      <c r="E33" s="905"/>
      <c r="F33" s="905"/>
      <c r="G33" s="905"/>
      <c r="H33" s="905"/>
      <c r="I33" s="905"/>
      <c r="J33" s="905"/>
      <c r="K33" s="905"/>
      <c r="L33" s="905"/>
      <c r="M33" s="905"/>
    </row>
    <row r="34" spans="1:13" s="220" customFormat="1" ht="36" customHeight="1" x14ac:dyDescent="0.3">
      <c r="A34" s="221"/>
      <c r="D34" s="905" t="s">
        <v>498</v>
      </c>
      <c r="E34" s="905"/>
      <c r="F34" s="905"/>
      <c r="G34" s="905"/>
      <c r="H34" s="905"/>
      <c r="I34" s="905"/>
      <c r="J34" s="905"/>
      <c r="K34" s="905"/>
      <c r="L34" s="905"/>
      <c r="M34" s="905"/>
    </row>
    <row r="35" spans="1:13" s="220" customFormat="1" x14ac:dyDescent="0.3">
      <c r="A35" s="221"/>
      <c r="B35" s="221">
        <v>2</v>
      </c>
      <c r="C35" s="221" t="s">
        <v>499</v>
      </c>
      <c r="D35" s="222"/>
      <c r="E35" s="222"/>
      <c r="F35" s="222"/>
      <c r="G35" s="222"/>
      <c r="H35" s="222"/>
      <c r="I35" s="222"/>
      <c r="J35" s="222"/>
      <c r="L35" s="226" t="s">
        <v>91</v>
      </c>
    </row>
    <row r="36" spans="1:13" ht="20.100000000000001" customHeight="1" x14ac:dyDescent="0.3"/>
    <row r="37" spans="1:13" ht="20.100000000000001" customHeight="1" x14ac:dyDescent="0.3">
      <c r="D37" s="227"/>
      <c r="H37" s="907" t="str">
        <f>"For "&amp;TIT!$D$2</f>
        <v>For NAVANAND CO-OPERATIVE. HOUSING SOCIETY LTD.</v>
      </c>
      <c r="I37" s="907"/>
      <c r="J37" s="907"/>
      <c r="K37" s="907"/>
      <c r="L37" s="907"/>
      <c r="M37" s="907"/>
    </row>
    <row r="38" spans="1:13" ht="20.100000000000001" customHeight="1" x14ac:dyDescent="0.3">
      <c r="H38" s="907"/>
      <c r="I38" s="907"/>
      <c r="J38" s="907"/>
      <c r="K38" s="907"/>
      <c r="L38" s="907"/>
      <c r="M38" s="907"/>
    </row>
    <row r="39" spans="1:13" x14ac:dyDescent="0.3">
      <c r="K39" s="228"/>
      <c r="L39" s="228"/>
    </row>
    <row r="42" spans="1:13" x14ac:dyDescent="0.3">
      <c r="H42" s="904" t="s">
        <v>500</v>
      </c>
      <c r="I42" s="904"/>
      <c r="J42" s="904"/>
      <c r="K42" s="904"/>
      <c r="L42" s="904"/>
      <c r="M42" s="904"/>
    </row>
    <row r="43" spans="1:13" ht="15.6" x14ac:dyDescent="0.3">
      <c r="D43" s="435" t="str">
        <f>+TIT!D9</f>
        <v>Shri. Bharat C. Boridkar</v>
      </c>
    </row>
    <row r="44" spans="1:13" x14ac:dyDescent="0.3">
      <c r="D44" s="321" t="s">
        <v>412</v>
      </c>
    </row>
    <row r="45" spans="1:13" x14ac:dyDescent="0.3">
      <c r="D45" s="321" t="s">
        <v>705</v>
      </c>
    </row>
    <row r="46" spans="1:13" x14ac:dyDescent="0.3">
      <c r="D46" s="906">
        <f>+TIT!D12</f>
        <v>46275</v>
      </c>
      <c r="E46" s="906"/>
      <c r="F46" s="906"/>
      <c r="G46" s="906"/>
    </row>
    <row r="47" spans="1:13" ht="9.9" customHeight="1" x14ac:dyDescent="0.3"/>
  </sheetData>
  <mergeCells count="12">
    <mergeCell ref="D46:G46"/>
    <mergeCell ref="H42:M42"/>
    <mergeCell ref="D20:M22"/>
    <mergeCell ref="D31:M32"/>
    <mergeCell ref="D33:M33"/>
    <mergeCell ref="D34:M34"/>
    <mergeCell ref="H37:M38"/>
    <mergeCell ref="A1:M1"/>
    <mergeCell ref="A2:M2"/>
    <mergeCell ref="D5:M8"/>
    <mergeCell ref="D11:M14"/>
    <mergeCell ref="D16:M17"/>
  </mergeCells>
  <printOptions horizontalCentered="1"/>
  <pageMargins left="0.18" right="0.25" top="0.19" bottom="0.25" header="0.23" footer="0.25"/>
  <pageSetup paperSize="9" scale="95"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56"/>
  <sheetViews>
    <sheetView view="pageBreakPreview" zoomScaleNormal="100" workbookViewId="0">
      <selection activeCell="D11" sqref="D11:M14"/>
    </sheetView>
  </sheetViews>
  <sheetFormatPr defaultColWidth="9" defaultRowHeight="15.6" x14ac:dyDescent="0.3"/>
  <cols>
    <col min="1" max="1" width="12.59765625" style="14" customWidth="1"/>
    <col min="2" max="2" width="31.59765625" style="14" customWidth="1"/>
    <col min="3" max="5" width="12.59765625" style="14" customWidth="1"/>
    <col min="6" max="6" width="31.59765625" style="14" customWidth="1"/>
    <col min="7" max="8" width="12.59765625" style="14" customWidth="1"/>
    <col min="9" max="12" width="9" style="14"/>
    <col min="13" max="13" width="11.59765625" style="14" customWidth="1"/>
    <col min="14" max="14" width="38.09765625" style="14" bestFit="1" customWidth="1"/>
    <col min="15" max="16" width="12.09765625" style="14" customWidth="1"/>
    <col min="17" max="17" width="11.59765625" style="14" customWidth="1"/>
    <col min="18" max="18" width="37.8984375" style="14" bestFit="1" customWidth="1"/>
    <col min="19" max="20" width="12.09765625" style="14" customWidth="1"/>
    <col min="21" max="16384" width="9" style="14"/>
  </cols>
  <sheetData>
    <row r="1" spans="1:29" ht="21.9" customHeight="1" x14ac:dyDescent="0.3">
      <c r="A1" s="908" t="str">
        <f>+TIT!D2</f>
        <v>NAVANAND CO-OPERATIVE. HOUSING SOCIETY LTD.</v>
      </c>
      <c r="B1" s="909"/>
      <c r="C1" s="909"/>
      <c r="D1" s="909"/>
      <c r="E1" s="909"/>
      <c r="F1" s="909"/>
      <c r="G1" s="909"/>
      <c r="H1" s="910"/>
    </row>
    <row r="2" spans="1:29" s="88" customFormat="1" ht="17.100000000000001" customHeight="1" x14ac:dyDescent="0.3">
      <c r="A2" s="911" t="str">
        <f>" "&amp;TIT!A3&amp;" "&amp;TIT!D3&amp;" "</f>
        <v xml:space="preserve"> Registration No.  BOM/WR/HSG/TC/11905 DT. 06/01/2003 </v>
      </c>
      <c r="B2" s="912"/>
      <c r="C2" s="912"/>
      <c r="D2" s="912"/>
      <c r="E2" s="912"/>
      <c r="F2" s="912"/>
      <c r="G2" s="912"/>
      <c r="H2" s="913"/>
    </row>
    <row r="3" spans="1:29" s="88" customFormat="1" ht="17.100000000000001" customHeight="1" x14ac:dyDescent="0.3">
      <c r="A3" s="911" t="str">
        <f>+TIT!D6</f>
        <v>Maratha Colony Road, Dahisar - East, Mumbai - 400 068</v>
      </c>
      <c r="B3" s="912"/>
      <c r="C3" s="912"/>
      <c r="D3" s="912"/>
      <c r="E3" s="912"/>
      <c r="F3" s="912"/>
      <c r="G3" s="912"/>
      <c r="H3" s="913"/>
    </row>
    <row r="4" spans="1:29" ht="21.9" customHeight="1" x14ac:dyDescent="0.3">
      <c r="A4" s="624" t="s">
        <v>1011</v>
      </c>
      <c r="B4" s="625"/>
      <c r="C4" s="625"/>
      <c r="D4" s="625"/>
      <c r="E4" s="625"/>
      <c r="F4" s="625"/>
      <c r="G4" s="625"/>
      <c r="H4" s="626"/>
    </row>
    <row r="5" spans="1:29" ht="16.2" thickBot="1" x14ac:dyDescent="0.35">
      <c r="A5" s="322" t="s">
        <v>0</v>
      </c>
      <c r="B5" s="6" t="s">
        <v>1</v>
      </c>
      <c r="C5" s="916" t="s">
        <v>2</v>
      </c>
      <c r="D5" s="917"/>
      <c r="E5" s="323" t="s">
        <v>0</v>
      </c>
      <c r="F5" s="6" t="s">
        <v>3</v>
      </c>
      <c r="G5" s="918" t="s">
        <v>2</v>
      </c>
      <c r="H5" s="919"/>
    </row>
    <row r="6" spans="1:29" ht="15.9" customHeight="1" thickTop="1" x14ac:dyDescent="0.3">
      <c r="A6" s="324"/>
      <c r="B6" s="325" t="s">
        <v>623</v>
      </c>
      <c r="C6" s="326"/>
      <c r="D6" s="327"/>
      <c r="E6" s="71"/>
      <c r="F6" s="16" t="s">
        <v>11</v>
      </c>
      <c r="G6" s="16"/>
      <c r="H6" s="17"/>
      <c r="I6" s="10"/>
      <c r="J6" s="10"/>
      <c r="K6" s="10"/>
      <c r="L6" s="10"/>
      <c r="M6" s="10"/>
      <c r="N6" s="10"/>
      <c r="O6" s="10"/>
      <c r="P6" s="10"/>
      <c r="Q6" s="10"/>
      <c r="R6" s="10"/>
      <c r="S6" s="10"/>
      <c r="T6" s="10"/>
      <c r="U6" s="10"/>
      <c r="V6" s="10"/>
      <c r="W6" s="10"/>
      <c r="X6" s="10"/>
      <c r="Y6" s="10"/>
      <c r="Z6" s="10"/>
      <c r="AA6" s="10"/>
      <c r="AB6" s="10"/>
      <c r="AC6" s="10"/>
    </row>
    <row r="7" spans="1:29" ht="15.9" customHeight="1" x14ac:dyDescent="0.3">
      <c r="A7" s="15">
        <v>84982</v>
      </c>
      <c r="B7" s="18" t="s">
        <v>12</v>
      </c>
      <c r="C7" s="15">
        <v>103516</v>
      </c>
      <c r="D7" s="465"/>
      <c r="E7" s="71">
        <v>84982</v>
      </c>
      <c r="F7" s="18" t="s">
        <v>12</v>
      </c>
      <c r="G7" s="15">
        <v>139668</v>
      </c>
      <c r="H7" s="467"/>
      <c r="I7" s="10"/>
      <c r="J7" s="20"/>
      <c r="K7" s="20">
        <f>+G7-C7</f>
        <v>36152</v>
      </c>
      <c r="L7" s="10"/>
      <c r="M7" s="10"/>
      <c r="N7" s="10"/>
      <c r="O7" s="10"/>
      <c r="P7" s="10"/>
      <c r="Q7" s="10"/>
      <c r="R7" s="10"/>
      <c r="S7" s="10"/>
      <c r="T7" s="10"/>
      <c r="U7" s="10"/>
      <c r="V7" s="10"/>
      <c r="W7" s="10"/>
      <c r="X7" s="10"/>
      <c r="Y7" s="10"/>
      <c r="Z7" s="10"/>
      <c r="AA7" s="10"/>
      <c r="AB7" s="10"/>
      <c r="AC7" s="10"/>
    </row>
    <row r="8" spans="1:29" ht="15.9" customHeight="1" x14ac:dyDescent="0.3">
      <c r="A8" s="15">
        <v>94974</v>
      </c>
      <c r="B8" s="18" t="s">
        <v>4</v>
      </c>
      <c r="C8" s="15">
        <v>105609</v>
      </c>
      <c r="D8" s="465"/>
      <c r="E8" s="71">
        <v>69600</v>
      </c>
      <c r="F8" s="18" t="s">
        <v>13</v>
      </c>
      <c r="G8" s="15">
        <v>69600</v>
      </c>
      <c r="H8" s="467"/>
      <c r="I8" s="10"/>
      <c r="J8" s="10"/>
      <c r="K8" s="10"/>
      <c r="L8" s="20"/>
      <c r="M8" s="10"/>
      <c r="N8" s="10"/>
      <c r="O8" s="10"/>
      <c r="P8" s="10"/>
      <c r="Q8" s="10"/>
      <c r="R8" s="10"/>
      <c r="S8" s="10"/>
      <c r="T8" s="10"/>
      <c r="U8" s="10"/>
      <c r="V8" s="10"/>
      <c r="W8" s="10"/>
      <c r="X8" s="10"/>
      <c r="Y8" s="10"/>
      <c r="Z8" s="10"/>
      <c r="AA8" s="10"/>
      <c r="AB8" s="10"/>
      <c r="AC8" s="10"/>
    </row>
    <row r="9" spans="1:29" ht="15.9" customHeight="1" x14ac:dyDescent="0.3">
      <c r="A9" s="15">
        <v>77790</v>
      </c>
      <c r="B9" s="18" t="s">
        <v>5</v>
      </c>
      <c r="C9" s="15">
        <v>80940</v>
      </c>
      <c r="D9" s="465"/>
      <c r="E9" s="71">
        <v>155658</v>
      </c>
      <c r="F9" s="18" t="s">
        <v>14</v>
      </c>
      <c r="G9" s="15">
        <v>162000</v>
      </c>
      <c r="H9" s="467"/>
      <c r="I9" s="10"/>
      <c r="J9" s="20"/>
      <c r="K9" s="10"/>
      <c r="L9" s="10"/>
      <c r="M9" s="10"/>
      <c r="N9" s="10"/>
      <c r="O9" s="10"/>
      <c r="P9" s="10"/>
      <c r="Q9" s="10"/>
      <c r="R9" s="10"/>
      <c r="S9" s="10"/>
      <c r="T9" s="10"/>
      <c r="U9" s="10"/>
      <c r="V9" s="10"/>
      <c r="W9" s="10"/>
      <c r="X9" s="10"/>
      <c r="Y9" s="10"/>
      <c r="Z9" s="10"/>
      <c r="AA9" s="10"/>
      <c r="AB9" s="10"/>
      <c r="AC9" s="10"/>
    </row>
    <row r="10" spans="1:29" ht="15.9" customHeight="1" x14ac:dyDescent="0.3">
      <c r="A10" s="15">
        <v>0</v>
      </c>
      <c r="B10" s="18" t="s">
        <v>883</v>
      </c>
      <c r="C10" s="22">
        <v>0</v>
      </c>
      <c r="D10" s="465">
        <f>SUM(C7:C10)</f>
        <v>290065</v>
      </c>
      <c r="E10" s="71">
        <v>10600</v>
      </c>
      <c r="F10" s="18" t="s">
        <v>359</v>
      </c>
      <c r="G10" s="15">
        <v>8500</v>
      </c>
      <c r="H10" s="467"/>
      <c r="I10" s="10"/>
      <c r="J10" s="10"/>
      <c r="K10" s="10"/>
      <c r="L10" s="10"/>
      <c r="M10" s="10"/>
      <c r="N10" s="10"/>
      <c r="O10" s="10"/>
      <c r="P10" s="10"/>
      <c r="Q10" s="10"/>
      <c r="R10" s="10"/>
      <c r="S10" s="10"/>
      <c r="T10" s="10"/>
      <c r="U10" s="10"/>
      <c r="V10" s="10"/>
      <c r="W10" s="10"/>
      <c r="X10" s="10"/>
      <c r="Y10" s="10"/>
      <c r="Z10" s="10"/>
      <c r="AA10" s="10"/>
      <c r="AB10" s="10"/>
      <c r="AC10" s="10"/>
    </row>
    <row r="11" spans="1:29" ht="15.9" customHeight="1" x14ac:dyDescent="0.3">
      <c r="A11" s="15"/>
      <c r="B11" s="72" t="s">
        <v>624</v>
      </c>
      <c r="C11" s="15"/>
      <c r="D11" s="465"/>
      <c r="E11" s="71">
        <v>22680</v>
      </c>
      <c r="F11" s="18" t="s">
        <v>360</v>
      </c>
      <c r="G11" s="15">
        <v>23200</v>
      </c>
      <c r="H11" s="467"/>
      <c r="I11" s="10"/>
      <c r="J11" s="10"/>
      <c r="K11" s="10"/>
      <c r="L11" s="10"/>
      <c r="M11" s="10"/>
      <c r="N11" s="10"/>
      <c r="O11" s="10"/>
      <c r="P11" s="10"/>
      <c r="Q11" s="10"/>
      <c r="R11" s="10"/>
      <c r="S11" s="10"/>
      <c r="T11" s="10"/>
      <c r="U11" s="10"/>
      <c r="V11" s="10"/>
      <c r="W11" s="10"/>
      <c r="X11" s="10"/>
      <c r="Y11" s="10"/>
      <c r="Z11" s="10"/>
      <c r="AA11" s="10"/>
      <c r="AB11" s="10"/>
      <c r="AC11" s="10"/>
    </row>
    <row r="12" spans="1:29" ht="15.9" customHeight="1" x14ac:dyDescent="0.3">
      <c r="A12" s="15">
        <v>23322</v>
      </c>
      <c r="B12" s="18" t="s">
        <v>625</v>
      </c>
      <c r="C12" s="15">
        <v>29295</v>
      </c>
      <c r="D12" s="465"/>
      <c r="E12" s="71">
        <v>152626</v>
      </c>
      <c r="F12" s="18" t="s">
        <v>361</v>
      </c>
      <c r="G12" s="15">
        <v>51272</v>
      </c>
      <c r="H12" s="467"/>
      <c r="I12" s="10"/>
      <c r="J12" s="20"/>
      <c r="K12" s="10"/>
      <c r="L12" s="10"/>
      <c r="M12" s="10"/>
      <c r="N12" s="10"/>
      <c r="O12" s="10"/>
      <c r="P12" s="10"/>
      <c r="Q12" s="10"/>
      <c r="R12" s="10"/>
      <c r="S12" s="10"/>
      <c r="T12" s="10"/>
      <c r="U12" s="10"/>
      <c r="V12" s="10"/>
      <c r="W12" s="10"/>
      <c r="X12" s="10"/>
      <c r="Y12" s="10"/>
      <c r="Z12" s="10"/>
      <c r="AA12" s="10"/>
      <c r="AB12" s="10"/>
      <c r="AC12" s="10"/>
    </row>
    <row r="13" spans="1:29" ht="15.9" customHeight="1" x14ac:dyDescent="0.3">
      <c r="A13" s="15">
        <v>33806</v>
      </c>
      <c r="B13" s="18" t="s">
        <v>357</v>
      </c>
      <c r="C13" s="15">
        <v>37293</v>
      </c>
      <c r="D13" s="465"/>
      <c r="E13" s="71">
        <v>0</v>
      </c>
      <c r="F13" s="18" t="s">
        <v>1015</v>
      </c>
      <c r="G13" s="15">
        <v>9264</v>
      </c>
      <c r="H13" s="467"/>
      <c r="I13" s="10"/>
      <c r="J13" s="10"/>
      <c r="K13" s="10"/>
      <c r="L13" s="10"/>
      <c r="M13" s="10"/>
      <c r="N13" s="10"/>
      <c r="O13" s="10"/>
      <c r="P13" s="10"/>
      <c r="Q13" s="10"/>
      <c r="R13" s="10"/>
      <c r="S13" s="10"/>
      <c r="T13" s="10"/>
      <c r="U13" s="10"/>
      <c r="V13" s="10"/>
      <c r="W13" s="10"/>
      <c r="X13" s="10"/>
      <c r="Y13" s="10"/>
      <c r="Z13" s="10"/>
      <c r="AA13" s="10"/>
      <c r="AB13" s="10"/>
      <c r="AC13" s="10"/>
    </row>
    <row r="14" spans="1:29" ht="15.9" customHeight="1" x14ac:dyDescent="0.3">
      <c r="A14" s="15">
        <v>30000</v>
      </c>
      <c r="B14" s="18" t="s">
        <v>406</v>
      </c>
      <c r="C14" s="15">
        <v>41000</v>
      </c>
      <c r="D14" s="465"/>
      <c r="E14" s="71">
        <v>14400</v>
      </c>
      <c r="F14" s="18" t="s">
        <v>840</v>
      </c>
      <c r="G14" s="15">
        <v>14400</v>
      </c>
      <c r="H14" s="467"/>
      <c r="I14" s="10"/>
      <c r="J14" s="10"/>
      <c r="K14" s="10"/>
      <c r="L14" s="10"/>
      <c r="M14" s="10"/>
      <c r="N14" s="10"/>
      <c r="O14" s="10"/>
      <c r="P14" s="10"/>
      <c r="Q14" s="10"/>
      <c r="R14" s="10"/>
      <c r="S14" s="10"/>
      <c r="T14" s="10"/>
      <c r="U14" s="10"/>
      <c r="V14" s="10"/>
      <c r="W14" s="10"/>
      <c r="X14" s="10"/>
      <c r="Y14" s="10"/>
      <c r="Z14" s="10"/>
      <c r="AA14" s="10"/>
      <c r="AB14" s="10"/>
      <c r="AC14" s="10"/>
    </row>
    <row r="15" spans="1:29" ht="15.9" customHeight="1" x14ac:dyDescent="0.3">
      <c r="A15" s="15">
        <v>163150</v>
      </c>
      <c r="B15" s="18" t="s">
        <v>372</v>
      </c>
      <c r="C15" s="15">
        <v>116100</v>
      </c>
      <c r="D15" s="465"/>
      <c r="E15" s="71">
        <v>52200</v>
      </c>
      <c r="F15" s="18" t="s">
        <v>5</v>
      </c>
      <c r="G15" s="15">
        <v>52200</v>
      </c>
      <c r="H15" s="467"/>
      <c r="I15" s="10"/>
      <c r="J15" s="10"/>
      <c r="K15" s="10"/>
      <c r="L15" s="10"/>
      <c r="M15" s="10"/>
      <c r="N15" s="10"/>
      <c r="O15" s="10"/>
      <c r="P15" s="10"/>
      <c r="Q15" s="10"/>
      <c r="R15" s="10"/>
      <c r="S15" s="10"/>
      <c r="T15" s="10"/>
      <c r="U15" s="10"/>
      <c r="V15" s="10"/>
      <c r="W15" s="10"/>
      <c r="X15" s="10"/>
      <c r="Y15" s="10"/>
      <c r="Z15" s="10"/>
      <c r="AA15" s="10"/>
      <c r="AB15" s="10"/>
      <c r="AC15" s="10"/>
    </row>
    <row r="16" spans="1:29" ht="15.9" customHeight="1" x14ac:dyDescent="0.3">
      <c r="A16" s="15">
        <v>5990</v>
      </c>
      <c r="B16" s="18" t="s">
        <v>704</v>
      </c>
      <c r="C16" s="15">
        <v>8812</v>
      </c>
      <c r="D16" s="465"/>
      <c r="E16" s="71">
        <v>46800</v>
      </c>
      <c r="F16" s="18" t="s">
        <v>841</v>
      </c>
      <c r="G16" s="15">
        <v>46800</v>
      </c>
      <c r="H16" s="467"/>
      <c r="I16" s="10"/>
      <c r="J16" s="10"/>
      <c r="K16" s="10"/>
      <c r="L16" s="10"/>
      <c r="M16" s="10"/>
      <c r="N16" s="10"/>
      <c r="O16" s="10"/>
      <c r="P16" s="10"/>
      <c r="Q16" s="10"/>
      <c r="R16" s="10"/>
      <c r="S16" s="10"/>
      <c r="T16" s="10"/>
      <c r="U16" s="10"/>
      <c r="V16" s="10"/>
      <c r="W16" s="10"/>
      <c r="X16" s="10"/>
      <c r="Y16" s="10"/>
      <c r="Z16" s="10"/>
      <c r="AA16" s="10"/>
      <c r="AB16" s="10"/>
      <c r="AC16" s="10"/>
    </row>
    <row r="17" spans="1:29" ht="15.9" customHeight="1" x14ac:dyDescent="0.3">
      <c r="A17" s="15">
        <v>4100</v>
      </c>
      <c r="B17" s="18" t="s">
        <v>621</v>
      </c>
      <c r="C17" s="15">
        <v>6500</v>
      </c>
      <c r="D17" s="465"/>
      <c r="E17" s="71">
        <v>16200</v>
      </c>
      <c r="F17" s="18" t="s">
        <v>842</v>
      </c>
      <c r="G17" s="15">
        <v>16200</v>
      </c>
      <c r="H17" s="467"/>
      <c r="I17" s="10"/>
      <c r="J17" s="10"/>
      <c r="K17" s="10"/>
      <c r="L17" s="10"/>
      <c r="M17" s="10"/>
      <c r="N17" s="10"/>
      <c r="O17" s="10"/>
      <c r="P17" s="10"/>
      <c r="Q17" s="10"/>
      <c r="R17" s="10"/>
      <c r="S17" s="10"/>
      <c r="T17" s="10"/>
      <c r="U17" s="10"/>
      <c r="V17" s="10"/>
      <c r="W17" s="10"/>
      <c r="X17" s="10"/>
      <c r="Y17" s="10"/>
      <c r="Z17" s="10"/>
      <c r="AA17" s="10"/>
      <c r="AB17" s="10"/>
      <c r="AC17" s="10"/>
    </row>
    <row r="18" spans="1:29" ht="15.9" customHeight="1" x14ac:dyDescent="0.3">
      <c r="A18" s="15">
        <v>10970</v>
      </c>
      <c r="B18" s="18" t="s">
        <v>990</v>
      </c>
      <c r="C18" s="15">
        <v>8288</v>
      </c>
      <c r="D18" s="465"/>
      <c r="E18" s="71">
        <v>3600</v>
      </c>
      <c r="F18" s="18" t="s">
        <v>844</v>
      </c>
      <c r="G18" s="15">
        <v>3600</v>
      </c>
      <c r="H18" s="467"/>
      <c r="I18" s="10"/>
      <c r="J18" s="10"/>
      <c r="K18" s="10"/>
      <c r="L18" s="10"/>
      <c r="M18" s="10"/>
      <c r="N18" s="10"/>
      <c r="O18" s="10"/>
      <c r="P18" s="10"/>
      <c r="Q18" s="10"/>
      <c r="R18" s="10"/>
      <c r="S18" s="10"/>
      <c r="T18" s="10"/>
      <c r="U18" s="10"/>
      <c r="V18" s="10"/>
      <c r="W18" s="10"/>
      <c r="X18" s="10"/>
      <c r="Y18" s="10"/>
      <c r="Z18" s="10"/>
      <c r="AA18" s="10"/>
      <c r="AB18" s="10"/>
      <c r="AC18" s="10"/>
    </row>
    <row r="19" spans="1:29" ht="15.9" customHeight="1" x14ac:dyDescent="0.3">
      <c r="A19" s="15">
        <v>13891</v>
      </c>
      <c r="B19" s="18" t="s">
        <v>620</v>
      </c>
      <c r="C19" s="22">
        <v>14487</v>
      </c>
      <c r="D19" s="465">
        <f>SUM(C12:C19)</f>
        <v>261775</v>
      </c>
      <c r="E19" s="71">
        <v>10205</v>
      </c>
      <c r="F19" s="18" t="s">
        <v>362</v>
      </c>
      <c r="G19" s="22">
        <v>13660</v>
      </c>
      <c r="H19" s="467">
        <f>SUM(G7:G19)</f>
        <v>610364</v>
      </c>
      <c r="I19" s="10"/>
      <c r="J19" s="10"/>
      <c r="K19" s="10"/>
      <c r="L19" s="10"/>
      <c r="M19" s="10"/>
      <c r="N19" s="10"/>
      <c r="O19" s="10"/>
      <c r="P19" s="10"/>
      <c r="Q19" s="10"/>
      <c r="R19" s="10"/>
      <c r="S19" s="10"/>
      <c r="T19" s="10"/>
      <c r="U19" s="10"/>
      <c r="V19" s="10"/>
      <c r="W19" s="10"/>
      <c r="X19" s="10"/>
      <c r="Y19" s="10"/>
      <c r="Z19" s="10"/>
      <c r="AA19" s="10"/>
      <c r="AB19" s="10"/>
      <c r="AC19" s="10"/>
    </row>
    <row r="20" spans="1:29" ht="15.9" customHeight="1" x14ac:dyDescent="0.3">
      <c r="A20" s="15"/>
      <c r="B20" s="72" t="s">
        <v>619</v>
      </c>
      <c r="C20" s="15"/>
      <c r="D20" s="465"/>
      <c r="E20" s="71"/>
      <c r="F20" s="18"/>
      <c r="G20" s="15"/>
      <c r="H20" s="467"/>
      <c r="I20" s="10"/>
      <c r="J20" s="10"/>
      <c r="K20" s="10"/>
      <c r="L20" s="10"/>
      <c r="M20" s="10"/>
      <c r="N20" s="10"/>
      <c r="O20" s="10"/>
      <c r="P20" s="10"/>
      <c r="Q20" s="10"/>
      <c r="R20" s="10"/>
      <c r="S20" s="10"/>
      <c r="T20" s="10"/>
      <c r="U20" s="10"/>
      <c r="V20" s="10"/>
      <c r="W20" s="10"/>
      <c r="X20" s="10"/>
      <c r="Y20" s="10"/>
      <c r="Z20" s="10"/>
      <c r="AA20" s="10"/>
      <c r="AB20" s="10"/>
      <c r="AC20" s="10"/>
    </row>
    <row r="21" spans="1:29" ht="15.9" customHeight="1" x14ac:dyDescent="0.3">
      <c r="A21" s="15">
        <v>680</v>
      </c>
      <c r="B21" s="18" t="s">
        <v>991</v>
      </c>
      <c r="C21" s="15">
        <v>2425</v>
      </c>
      <c r="D21" s="465"/>
      <c r="E21" s="71"/>
      <c r="F21" s="18"/>
      <c r="G21" s="15"/>
      <c r="H21" s="467"/>
      <c r="I21" s="10"/>
      <c r="J21" s="10"/>
      <c r="K21" s="10"/>
      <c r="L21" s="10"/>
      <c r="M21" s="10"/>
      <c r="N21" s="10"/>
      <c r="O21" s="10"/>
      <c r="P21" s="10"/>
      <c r="Q21" s="10"/>
      <c r="R21" s="10"/>
      <c r="S21" s="10"/>
      <c r="T21" s="10"/>
      <c r="U21" s="10"/>
      <c r="V21" s="10"/>
      <c r="W21" s="10"/>
      <c r="X21" s="10"/>
      <c r="Y21" s="10"/>
      <c r="Z21" s="10"/>
      <c r="AA21" s="10"/>
      <c r="AB21" s="10"/>
      <c r="AC21" s="10"/>
    </row>
    <row r="22" spans="1:29" ht="15.9" customHeight="1" x14ac:dyDescent="0.3">
      <c r="A22" s="15">
        <v>6053</v>
      </c>
      <c r="B22" s="18" t="s">
        <v>6</v>
      </c>
      <c r="C22" s="15">
        <v>1715</v>
      </c>
      <c r="D22" s="465"/>
      <c r="E22" s="71">
        <v>0</v>
      </c>
      <c r="F22" s="18" t="s">
        <v>703</v>
      </c>
      <c r="G22" s="15"/>
      <c r="H22" s="467">
        <v>0</v>
      </c>
      <c r="I22" s="10"/>
      <c r="J22" s="10"/>
      <c r="K22" s="10"/>
      <c r="L22" s="10"/>
      <c r="M22" s="10"/>
      <c r="N22" s="10"/>
      <c r="O22" s="10"/>
      <c r="P22" s="10"/>
      <c r="Q22" s="10"/>
      <c r="R22" s="10"/>
      <c r="S22" s="10"/>
      <c r="T22" s="10"/>
      <c r="U22" s="10"/>
      <c r="V22" s="10"/>
      <c r="W22" s="10"/>
      <c r="X22" s="10"/>
      <c r="Y22" s="10"/>
      <c r="Z22" s="10"/>
      <c r="AA22" s="10"/>
      <c r="AB22" s="10"/>
      <c r="AC22" s="10"/>
    </row>
    <row r="23" spans="1:29" ht="15.9" customHeight="1" x14ac:dyDescent="0.3">
      <c r="A23" s="15">
        <v>2690</v>
      </c>
      <c r="B23" s="18" t="s">
        <v>7</v>
      </c>
      <c r="C23" s="15">
        <v>1875</v>
      </c>
      <c r="D23" s="465"/>
      <c r="E23" s="71"/>
      <c r="F23" s="18"/>
      <c r="G23" s="15"/>
      <c r="H23" s="467"/>
      <c r="I23" s="10"/>
      <c r="J23" s="10"/>
      <c r="K23" s="10"/>
      <c r="L23" s="10"/>
      <c r="M23" s="10"/>
      <c r="N23" s="10"/>
      <c r="O23" s="10"/>
      <c r="P23" s="10"/>
      <c r="Q23" s="10"/>
      <c r="R23" s="10"/>
      <c r="S23" s="10"/>
      <c r="T23" s="10"/>
      <c r="U23" s="10"/>
      <c r="V23" s="10"/>
      <c r="W23" s="10"/>
      <c r="X23" s="10"/>
      <c r="Y23" s="10"/>
      <c r="Z23" s="10"/>
      <c r="AA23" s="10"/>
      <c r="AB23" s="10"/>
      <c r="AC23" s="10"/>
    </row>
    <row r="24" spans="1:29" ht="15.9" customHeight="1" x14ac:dyDescent="0.3">
      <c r="A24" s="15">
        <v>10000</v>
      </c>
      <c r="B24" s="18" t="s">
        <v>992</v>
      </c>
      <c r="C24" s="15">
        <v>0</v>
      </c>
      <c r="D24" s="465"/>
      <c r="E24" s="71"/>
      <c r="F24" s="16" t="s">
        <v>676</v>
      </c>
      <c r="G24" s="15"/>
      <c r="H24" s="467"/>
      <c r="I24" s="10"/>
      <c r="J24" s="10"/>
      <c r="K24" s="10"/>
      <c r="L24" s="10"/>
      <c r="M24" s="10"/>
      <c r="N24" s="10"/>
      <c r="O24" s="10"/>
      <c r="P24" s="10"/>
      <c r="Q24" s="10"/>
      <c r="R24" s="10"/>
      <c r="S24" s="10"/>
      <c r="T24" s="10"/>
      <c r="U24" s="10"/>
      <c r="V24" s="10"/>
      <c r="W24" s="10"/>
      <c r="X24" s="10"/>
      <c r="Y24" s="10"/>
      <c r="Z24" s="10"/>
      <c r="AA24" s="10"/>
      <c r="AB24" s="10"/>
      <c r="AC24" s="10"/>
    </row>
    <row r="25" spans="1:29" ht="15.9" customHeight="1" x14ac:dyDescent="0.3">
      <c r="A25" s="15">
        <v>409.67</v>
      </c>
      <c r="B25" s="18" t="s">
        <v>10</v>
      </c>
      <c r="C25" s="15">
        <v>25.18</v>
      </c>
      <c r="D25" s="465"/>
      <c r="E25" s="114"/>
      <c r="F25" s="328" t="s">
        <v>358</v>
      </c>
      <c r="G25" s="15"/>
      <c r="H25" s="467"/>
      <c r="I25" s="10"/>
      <c r="J25" s="76"/>
      <c r="K25" s="76"/>
      <c r="L25" s="10"/>
      <c r="M25" s="10"/>
      <c r="N25" s="10"/>
      <c r="O25" s="10"/>
      <c r="P25" s="10"/>
      <c r="Q25" s="10"/>
      <c r="R25" s="10"/>
      <c r="S25" s="10"/>
      <c r="T25" s="10"/>
      <c r="U25" s="10"/>
      <c r="V25" s="10"/>
      <c r="W25" s="10"/>
      <c r="X25" s="10"/>
      <c r="Y25" s="10"/>
      <c r="Z25" s="10"/>
      <c r="AA25" s="10"/>
      <c r="AB25" s="10"/>
      <c r="AC25" s="10"/>
    </row>
    <row r="26" spans="1:29" ht="15.9" customHeight="1" x14ac:dyDescent="0.3">
      <c r="A26" s="15">
        <v>12000</v>
      </c>
      <c r="B26" s="18" t="s">
        <v>8</v>
      </c>
      <c r="C26" s="15">
        <v>12000</v>
      </c>
      <c r="D26" s="465"/>
      <c r="E26" s="71">
        <v>0</v>
      </c>
      <c r="F26" s="18" t="s">
        <v>15</v>
      </c>
      <c r="G26" s="15">
        <v>0</v>
      </c>
      <c r="H26" s="467"/>
      <c r="I26" s="20"/>
      <c r="J26" s="10"/>
      <c r="K26" s="10"/>
      <c r="L26" s="10"/>
      <c r="M26" s="10"/>
      <c r="N26" s="10"/>
      <c r="O26" s="10"/>
      <c r="P26" s="10"/>
      <c r="Q26" s="10"/>
      <c r="R26" s="10"/>
      <c r="S26" s="10"/>
      <c r="T26" s="10"/>
      <c r="U26" s="10"/>
      <c r="V26" s="10"/>
      <c r="W26" s="10"/>
      <c r="X26" s="10"/>
      <c r="Y26" s="10"/>
      <c r="Z26" s="10"/>
      <c r="AA26" s="10"/>
      <c r="AB26" s="10"/>
      <c r="AC26" s="10"/>
    </row>
    <row r="27" spans="1:29" ht="15.9" customHeight="1" x14ac:dyDescent="0.3">
      <c r="A27" s="15">
        <v>3000</v>
      </c>
      <c r="B27" s="18" t="s">
        <v>9</v>
      </c>
      <c r="C27" s="15">
        <v>3500</v>
      </c>
      <c r="D27" s="465"/>
      <c r="E27" s="71">
        <v>2673</v>
      </c>
      <c r="F27" s="18" t="s">
        <v>16</v>
      </c>
      <c r="G27" s="22">
        <v>2880</v>
      </c>
      <c r="H27" s="467">
        <f>+G26+G27</f>
        <v>2880</v>
      </c>
      <c r="I27" s="10"/>
      <c r="J27" s="10"/>
      <c r="K27" s="10"/>
      <c r="L27" s="10"/>
      <c r="M27" s="10"/>
      <c r="N27" s="10"/>
      <c r="O27" s="10"/>
      <c r="P27" s="10"/>
      <c r="Q27" s="10"/>
      <c r="R27" s="10"/>
      <c r="S27" s="10"/>
      <c r="T27" s="10"/>
      <c r="U27" s="10"/>
      <c r="V27" s="10"/>
      <c r="W27" s="10"/>
      <c r="X27" s="10"/>
      <c r="Y27" s="10"/>
      <c r="Z27" s="10"/>
      <c r="AA27" s="10"/>
      <c r="AB27" s="10"/>
      <c r="AC27" s="10"/>
    </row>
    <row r="28" spans="1:29" ht="15.9" customHeight="1" x14ac:dyDescent="0.3">
      <c r="A28" s="15">
        <v>73000</v>
      </c>
      <c r="B28" s="10" t="s">
        <v>884</v>
      </c>
      <c r="C28" s="22">
        <v>3000</v>
      </c>
      <c r="D28" s="465">
        <f>SUM(C21:C28)</f>
        <v>24540.18</v>
      </c>
      <c r="E28" s="71"/>
      <c r="F28" s="328" t="s">
        <v>399</v>
      </c>
      <c r="G28" s="15"/>
      <c r="H28" s="467"/>
      <c r="I28" s="10"/>
      <c r="J28" s="10"/>
      <c r="K28" s="10"/>
      <c r="L28" s="10"/>
      <c r="M28" s="10"/>
      <c r="N28" s="10"/>
      <c r="O28" s="10"/>
      <c r="P28" s="10"/>
      <c r="Q28" s="10"/>
      <c r="R28" s="10"/>
      <c r="S28" s="10"/>
      <c r="T28" s="10"/>
      <c r="U28" s="10"/>
      <c r="V28" s="10"/>
      <c r="W28" s="10"/>
      <c r="X28" s="10"/>
      <c r="Y28" s="10"/>
      <c r="Z28" s="10"/>
      <c r="AA28" s="10"/>
      <c r="AB28" s="10"/>
      <c r="AC28" s="10"/>
    </row>
    <row r="29" spans="1:29" ht="15.9" customHeight="1" x14ac:dyDescent="0.3">
      <c r="A29" s="15"/>
      <c r="C29" s="15"/>
      <c r="D29" s="465"/>
      <c r="E29" s="71">
        <v>8517</v>
      </c>
      <c r="F29" s="18" t="s">
        <v>15</v>
      </c>
      <c r="G29" s="15">
        <v>15302</v>
      </c>
      <c r="H29" s="467"/>
      <c r="I29" s="10"/>
      <c r="J29" s="10"/>
      <c r="K29" s="10"/>
      <c r="L29" s="10"/>
      <c r="M29" s="10"/>
      <c r="N29" s="10"/>
      <c r="O29" s="10"/>
      <c r="P29" s="10"/>
      <c r="Q29" s="10"/>
      <c r="R29" s="10"/>
      <c r="S29" s="10"/>
      <c r="T29" s="10"/>
      <c r="U29" s="10"/>
      <c r="V29" s="10"/>
      <c r="W29" s="10"/>
      <c r="X29" s="10"/>
      <c r="Y29" s="10"/>
      <c r="Z29" s="10"/>
      <c r="AA29" s="10"/>
      <c r="AB29" s="10"/>
      <c r="AC29" s="10"/>
    </row>
    <row r="30" spans="1:29" ht="15.9" customHeight="1" x14ac:dyDescent="0.3">
      <c r="A30" s="15">
        <v>0</v>
      </c>
      <c r="B30" s="14" t="s">
        <v>994</v>
      </c>
      <c r="C30" s="15"/>
      <c r="D30" s="465">
        <v>0</v>
      </c>
      <c r="E30" s="71">
        <v>86130</v>
      </c>
      <c r="F30" s="18" t="s">
        <v>16</v>
      </c>
      <c r="G30" s="22">
        <f>84636-2880</f>
        <v>81756</v>
      </c>
      <c r="H30" s="467">
        <f>+G29+G30</f>
        <v>97058</v>
      </c>
      <c r="I30" s="10"/>
      <c r="J30" s="76"/>
      <c r="K30" s="76"/>
      <c r="L30" s="10"/>
      <c r="M30" s="10"/>
      <c r="N30" s="10"/>
      <c r="O30" s="10"/>
      <c r="P30" s="10"/>
      <c r="Q30" s="10"/>
      <c r="R30" s="10"/>
      <c r="S30" s="10"/>
      <c r="T30" s="10"/>
      <c r="U30" s="10"/>
      <c r="V30" s="10"/>
      <c r="W30" s="10"/>
      <c r="X30" s="10"/>
      <c r="Y30" s="10"/>
      <c r="Z30" s="10"/>
      <c r="AA30" s="10"/>
      <c r="AB30" s="10"/>
      <c r="AC30" s="10"/>
    </row>
    <row r="31" spans="1:29" ht="15.9" customHeight="1" x14ac:dyDescent="0.3">
      <c r="A31" s="15">
        <v>8489</v>
      </c>
      <c r="B31" s="72" t="s">
        <v>622</v>
      </c>
      <c r="C31" s="15"/>
      <c r="D31" s="465">
        <f>+'Bal-Sheet'!G30+'Bal-Sheet'!G32+'Bal-Sheet'!G34+'Bal-Sheet'!G36+'Bal-Sheet'!G38+'Bal-Sheet'!G40</f>
        <v>7316</v>
      </c>
      <c r="E31" s="71"/>
      <c r="F31" s="18"/>
      <c r="G31" s="15"/>
      <c r="H31" s="467"/>
      <c r="I31" s="10"/>
      <c r="J31" s="76"/>
      <c r="K31" s="76"/>
      <c r="L31" s="10"/>
      <c r="M31" s="10"/>
      <c r="N31" s="10"/>
      <c r="O31" s="10"/>
      <c r="P31" s="10"/>
      <c r="Q31" s="10"/>
      <c r="R31" s="10"/>
      <c r="S31" s="10"/>
      <c r="T31" s="10"/>
      <c r="U31" s="10"/>
      <c r="V31" s="10"/>
      <c r="W31" s="10"/>
      <c r="X31" s="10"/>
      <c r="Y31" s="10"/>
      <c r="Z31" s="10"/>
      <c r="AA31" s="10"/>
      <c r="AB31" s="10"/>
      <c r="AC31" s="10"/>
    </row>
    <row r="32" spans="1:29" ht="15.9" customHeight="1" x14ac:dyDescent="0.3">
      <c r="A32" s="15">
        <v>50000</v>
      </c>
      <c r="B32" s="72" t="s">
        <v>995</v>
      </c>
      <c r="C32" s="15"/>
      <c r="D32" s="465">
        <v>45000</v>
      </c>
      <c r="E32" s="71"/>
      <c r="F32" s="18"/>
      <c r="G32" s="15"/>
      <c r="H32" s="467"/>
      <c r="I32" s="10"/>
      <c r="J32" s="10"/>
      <c r="K32" s="10"/>
      <c r="L32" s="10"/>
      <c r="M32" s="10"/>
      <c r="N32" s="10"/>
      <c r="O32" s="10"/>
      <c r="P32" s="10"/>
      <c r="Q32" s="10"/>
      <c r="R32" s="10"/>
      <c r="S32" s="10"/>
      <c r="T32" s="10"/>
      <c r="U32" s="10"/>
      <c r="V32" s="10"/>
      <c r="W32" s="10"/>
      <c r="X32" s="10"/>
      <c r="Y32" s="10"/>
      <c r="Z32" s="10"/>
      <c r="AA32" s="10"/>
      <c r="AB32" s="10"/>
      <c r="AC32" s="10"/>
    </row>
    <row r="33" spans="1:29" ht="15.9" customHeight="1" x14ac:dyDescent="0.3">
      <c r="A33" s="15">
        <v>3600</v>
      </c>
      <c r="B33" s="72" t="s">
        <v>685</v>
      </c>
      <c r="C33" s="15"/>
      <c r="D33" s="465">
        <v>3600</v>
      </c>
      <c r="E33" s="71">
        <v>50000</v>
      </c>
      <c r="F33" s="18" t="s">
        <v>988</v>
      </c>
      <c r="G33" s="15"/>
      <c r="H33" s="467">
        <v>0</v>
      </c>
      <c r="I33" s="10"/>
      <c r="J33" s="10"/>
      <c r="K33" s="10"/>
      <c r="L33" s="10"/>
      <c r="M33" s="10"/>
      <c r="N33" s="10"/>
      <c r="O33" s="10"/>
      <c r="P33" s="10"/>
      <c r="Q33" s="10"/>
      <c r="R33" s="10"/>
      <c r="S33" s="10"/>
      <c r="T33" s="10"/>
      <c r="U33" s="10"/>
      <c r="V33" s="10"/>
      <c r="W33" s="10"/>
      <c r="X33" s="10"/>
      <c r="Y33" s="10"/>
      <c r="Z33" s="10"/>
      <c r="AA33" s="10"/>
      <c r="AB33" s="10"/>
      <c r="AC33" s="10"/>
    </row>
    <row r="34" spans="1:29" ht="15.9" customHeight="1" x14ac:dyDescent="0.3">
      <c r="A34" s="15"/>
      <c r="B34" s="72"/>
      <c r="C34" s="15"/>
      <c r="D34" s="465"/>
      <c r="E34" s="71">
        <v>4000</v>
      </c>
      <c r="F34" s="18" t="s">
        <v>989</v>
      </c>
      <c r="G34" s="15"/>
      <c r="H34" s="467">
        <v>0</v>
      </c>
      <c r="I34" s="10"/>
      <c r="J34" s="10"/>
      <c r="K34" s="10"/>
      <c r="L34" s="10"/>
      <c r="M34" s="10"/>
      <c r="N34" s="10"/>
      <c r="O34" s="10"/>
      <c r="P34" s="10"/>
      <c r="Q34" s="10"/>
      <c r="R34" s="10"/>
      <c r="S34" s="10"/>
      <c r="T34" s="10"/>
      <c r="U34" s="10"/>
      <c r="V34" s="10"/>
      <c r="W34" s="10"/>
      <c r="X34" s="10"/>
      <c r="Y34" s="10"/>
      <c r="Z34" s="10"/>
      <c r="AA34" s="10"/>
      <c r="AB34" s="10"/>
      <c r="AC34" s="10"/>
    </row>
    <row r="35" spans="1:29" ht="15.9" customHeight="1" x14ac:dyDescent="0.3">
      <c r="A35" s="15">
        <v>19493</v>
      </c>
      <c r="B35" s="18" t="s">
        <v>707</v>
      </c>
      <c r="C35" s="15"/>
      <c r="D35" s="465">
        <v>19501</v>
      </c>
      <c r="E35" s="71"/>
      <c r="F35" s="18"/>
      <c r="G35" s="15"/>
      <c r="H35" s="467"/>
      <c r="I35" s="10"/>
      <c r="J35" s="10"/>
      <c r="K35" s="10"/>
      <c r="L35" s="10"/>
      <c r="M35" s="10"/>
      <c r="N35" s="10"/>
      <c r="O35" s="10"/>
      <c r="P35" s="10"/>
      <c r="Q35" s="10"/>
      <c r="R35" s="10"/>
      <c r="S35" s="10"/>
      <c r="T35" s="10"/>
      <c r="U35" s="10"/>
      <c r="V35" s="10"/>
      <c r="W35" s="10"/>
      <c r="X35" s="10"/>
      <c r="Y35" s="10"/>
      <c r="Z35" s="10"/>
      <c r="AA35" s="10"/>
      <c r="AB35" s="10"/>
      <c r="AC35" s="10"/>
    </row>
    <row r="36" spans="1:29" ht="15.9" customHeight="1" x14ac:dyDescent="0.3">
      <c r="A36" s="21">
        <v>58481.329999999958</v>
      </c>
      <c r="B36" s="18" t="s">
        <v>709</v>
      </c>
      <c r="C36" s="15"/>
      <c r="D36" s="465">
        <v>58504.82</v>
      </c>
      <c r="E36" s="71"/>
      <c r="F36" s="18"/>
      <c r="G36" s="15"/>
      <c r="H36" s="15"/>
      <c r="I36" s="10"/>
      <c r="J36" s="10">
        <v>77974</v>
      </c>
      <c r="K36" s="10">
        <f>+J36*25%</f>
        <v>19493.5</v>
      </c>
      <c r="L36" s="10"/>
      <c r="M36" s="10"/>
      <c r="N36" s="10"/>
      <c r="O36" s="10"/>
      <c r="P36" s="10"/>
      <c r="Q36" s="10"/>
      <c r="R36" s="10"/>
      <c r="S36" s="10"/>
      <c r="T36" s="10"/>
      <c r="U36" s="10"/>
      <c r="V36" s="10"/>
      <c r="W36" s="10"/>
      <c r="X36" s="10"/>
      <c r="Y36" s="10"/>
      <c r="Z36" s="10"/>
      <c r="AA36" s="10"/>
      <c r="AB36" s="10"/>
      <c r="AC36" s="10"/>
    </row>
    <row r="37" spans="1:29" ht="15.9" customHeight="1" x14ac:dyDescent="0.3">
      <c r="A37" s="15"/>
      <c r="B37" s="18"/>
      <c r="C37" s="18"/>
      <c r="D37" s="320"/>
      <c r="E37" s="71"/>
      <c r="F37" s="18"/>
      <c r="G37" s="22"/>
      <c r="H37" s="22"/>
      <c r="I37" s="10"/>
      <c r="J37" s="20"/>
      <c r="K37" s="10"/>
      <c r="L37" s="10"/>
      <c r="M37" s="10"/>
      <c r="N37" s="10"/>
      <c r="O37" s="10"/>
      <c r="P37" s="10"/>
      <c r="Q37" s="10"/>
      <c r="R37" s="10"/>
      <c r="S37" s="10"/>
      <c r="T37" s="10"/>
      <c r="U37" s="10"/>
      <c r="V37" s="10"/>
      <c r="W37" s="10"/>
      <c r="X37" s="10"/>
      <c r="Y37" s="10"/>
      <c r="Z37" s="10"/>
      <c r="AA37" s="10"/>
      <c r="AB37" s="10"/>
      <c r="AC37" s="10"/>
    </row>
    <row r="38" spans="1:29" ht="15.9" customHeight="1" thickBot="1" x14ac:dyDescent="0.35">
      <c r="A38" s="23">
        <f>SUM(A7:A37)</f>
        <v>790871</v>
      </c>
      <c r="B38" s="7" t="s">
        <v>424</v>
      </c>
      <c r="C38" s="7"/>
      <c r="D38" s="329">
        <f>SUM(D7:D37)</f>
        <v>710302</v>
      </c>
      <c r="E38" s="115">
        <f>SUM(E6:E37)</f>
        <v>790871</v>
      </c>
      <c r="F38" s="7" t="s">
        <v>424</v>
      </c>
      <c r="G38" s="7"/>
      <c r="H38" s="23">
        <f>SUM(H7:H37)</f>
        <v>710302</v>
      </c>
      <c r="I38" s="10"/>
      <c r="J38" s="10"/>
      <c r="K38" s="10"/>
      <c r="L38" s="10"/>
      <c r="M38" s="10"/>
      <c r="N38" s="10"/>
      <c r="O38" s="10"/>
      <c r="P38" s="10"/>
      <c r="Q38" s="10"/>
      <c r="R38" s="10"/>
      <c r="S38" s="10"/>
      <c r="T38" s="10"/>
      <c r="U38" s="10"/>
      <c r="V38" s="10"/>
      <c r="W38" s="10"/>
      <c r="X38" s="10"/>
      <c r="Y38" s="10"/>
      <c r="Z38" s="10"/>
      <c r="AA38" s="10"/>
      <c r="AB38" s="10"/>
      <c r="AC38" s="10"/>
    </row>
    <row r="39" spans="1:29" ht="15.9" customHeight="1" thickTop="1" x14ac:dyDescent="0.3">
      <c r="A39" s="26" t="s">
        <v>411</v>
      </c>
      <c r="B39" s="10"/>
      <c r="C39" s="10"/>
      <c r="D39" s="20"/>
      <c r="E39" s="20"/>
      <c r="F39" s="10" t="s">
        <v>407</v>
      </c>
      <c r="G39" s="10"/>
      <c r="H39" s="25"/>
      <c r="I39" s="432" t="s">
        <v>352</v>
      </c>
      <c r="J39" s="10" t="s">
        <v>351</v>
      </c>
      <c r="K39" s="10"/>
      <c r="L39" s="10"/>
      <c r="M39" s="10"/>
      <c r="N39" s="10"/>
      <c r="O39" s="10"/>
      <c r="P39" s="10"/>
      <c r="Q39" s="10"/>
      <c r="R39" s="10"/>
      <c r="S39" s="10"/>
      <c r="T39" s="10"/>
      <c r="U39" s="10"/>
      <c r="V39" s="10"/>
      <c r="W39" s="10"/>
      <c r="X39" s="10"/>
      <c r="Y39" s="10"/>
      <c r="Z39" s="10"/>
      <c r="AA39" s="10"/>
      <c r="AB39" s="10"/>
      <c r="AC39" s="10"/>
    </row>
    <row r="40" spans="1:29" ht="22.5" customHeight="1" x14ac:dyDescent="0.3">
      <c r="A40" s="24"/>
      <c r="B40" s="28"/>
      <c r="C40" s="28"/>
      <c r="D40" s="96"/>
      <c r="E40" s="96" t="str">
        <f>" For "&amp;TIT!D2&amp;" "</f>
        <v xml:space="preserve"> For NAVANAND CO-OPERATIVE. HOUSING SOCIETY LTD. </v>
      </c>
      <c r="F40" s="96"/>
      <c r="G40" s="96"/>
      <c r="H40" s="25"/>
      <c r="I40" s="433">
        <f>+H38-D38</f>
        <v>0</v>
      </c>
      <c r="J40" s="433">
        <f>+E38-A38</f>
        <v>0</v>
      </c>
      <c r="K40" s="10"/>
      <c r="L40" s="10"/>
      <c r="M40" s="10"/>
      <c r="N40" s="10"/>
      <c r="O40" s="10"/>
      <c r="P40" s="10"/>
      <c r="Q40" s="10"/>
      <c r="R40" s="10"/>
      <c r="S40" s="10"/>
      <c r="T40" s="10"/>
      <c r="U40" s="10"/>
      <c r="V40" s="10"/>
      <c r="W40" s="10"/>
      <c r="X40" s="10"/>
      <c r="Y40" s="10"/>
      <c r="Z40" s="10"/>
      <c r="AA40" s="10"/>
      <c r="AB40" s="10"/>
      <c r="AC40" s="10"/>
    </row>
    <row r="41" spans="1:29" ht="15.9" customHeight="1" x14ac:dyDescent="0.3">
      <c r="A41" s="27"/>
      <c r="B41" s="330"/>
      <c r="C41" s="330"/>
      <c r="D41" s="10"/>
      <c r="E41" s="20"/>
      <c r="F41" s="10"/>
      <c r="G41" s="10"/>
      <c r="H41" s="29"/>
      <c r="I41" s="10"/>
      <c r="J41" s="10"/>
      <c r="K41" s="10"/>
      <c r="L41" s="10"/>
      <c r="M41" s="10"/>
      <c r="N41" s="10"/>
      <c r="O41" s="10"/>
      <c r="P41" s="10"/>
      <c r="Q41" s="10"/>
      <c r="R41" s="10"/>
      <c r="S41" s="10"/>
      <c r="T41" s="10"/>
      <c r="U41" s="10"/>
      <c r="V41" s="10"/>
      <c r="W41" s="10"/>
      <c r="X41" s="10"/>
      <c r="Y41" s="10"/>
      <c r="Z41" s="10"/>
      <c r="AA41" s="10"/>
      <c r="AB41" s="10"/>
      <c r="AC41" s="10"/>
    </row>
    <row r="42" spans="1:29" ht="15.9" customHeight="1" x14ac:dyDescent="0.3">
      <c r="A42" s="27"/>
      <c r="B42" s="30"/>
      <c r="C42" s="30"/>
      <c r="D42" s="10"/>
      <c r="E42" s="20"/>
      <c r="F42" s="10"/>
      <c r="G42" s="10"/>
      <c r="H42" s="29"/>
      <c r="I42" s="10"/>
      <c r="J42" s="20"/>
      <c r="K42" s="10"/>
      <c r="L42" s="10"/>
      <c r="M42" s="10"/>
      <c r="N42" s="10"/>
      <c r="O42" s="10"/>
      <c r="P42" s="10"/>
      <c r="Q42" s="10"/>
      <c r="R42" s="10"/>
      <c r="S42" s="10"/>
      <c r="T42" s="10"/>
      <c r="U42" s="10"/>
      <c r="V42" s="10"/>
      <c r="W42" s="10"/>
      <c r="X42" s="10"/>
      <c r="Y42" s="10"/>
      <c r="Z42" s="10"/>
      <c r="AA42" s="10"/>
      <c r="AB42" s="10"/>
      <c r="AC42" s="10"/>
    </row>
    <row r="43" spans="1:29" ht="15.9" customHeight="1" x14ac:dyDescent="0.3">
      <c r="A43" s="434" t="str">
        <f>+TIT!D9</f>
        <v>Shri. Bharat C. Boridkar</v>
      </c>
      <c r="B43" s="149"/>
      <c r="C43" s="149"/>
      <c r="D43" s="10"/>
      <c r="E43" s="20"/>
      <c r="F43" s="10"/>
      <c r="G43" s="10"/>
      <c r="H43" s="29"/>
      <c r="I43" s="10"/>
      <c r="J43" s="20"/>
      <c r="K43" s="20"/>
      <c r="L43" s="10"/>
      <c r="M43" s="10"/>
      <c r="N43" s="10"/>
      <c r="O43" s="10"/>
      <c r="P43" s="10"/>
      <c r="Q43" s="10"/>
      <c r="R43" s="10"/>
      <c r="S43" s="10"/>
      <c r="T43" s="10"/>
      <c r="U43" s="10"/>
      <c r="V43" s="10"/>
      <c r="W43" s="10"/>
      <c r="X43" s="10"/>
      <c r="Y43" s="10"/>
      <c r="Z43" s="10"/>
      <c r="AA43" s="10"/>
      <c r="AB43" s="10"/>
      <c r="AC43" s="10"/>
    </row>
    <row r="44" spans="1:29" ht="15.9" customHeight="1" x14ac:dyDescent="0.3">
      <c r="A44" s="340" t="s">
        <v>412</v>
      </c>
      <c r="B44" s="331"/>
      <c r="C44" s="331"/>
      <c r="D44" s="10"/>
      <c r="H44" s="29"/>
      <c r="I44" s="10"/>
      <c r="J44" s="20"/>
      <c r="K44" s="10"/>
      <c r="L44" s="10"/>
      <c r="M44" s="10"/>
      <c r="N44" s="10"/>
      <c r="O44" s="10"/>
      <c r="P44" s="10"/>
      <c r="Q44" s="10"/>
      <c r="R44" s="10"/>
      <c r="S44" s="10"/>
      <c r="T44" s="10"/>
      <c r="U44" s="10"/>
      <c r="V44" s="10"/>
      <c r="W44" s="10"/>
      <c r="X44" s="10"/>
      <c r="Y44" s="10"/>
      <c r="Z44" s="10"/>
      <c r="AA44" s="10"/>
      <c r="AB44" s="10"/>
      <c r="AC44" s="10"/>
    </row>
    <row r="45" spans="1:29" ht="15.9" customHeight="1" x14ac:dyDescent="0.3">
      <c r="A45" s="340" t="s">
        <v>996</v>
      </c>
      <c r="B45" s="157"/>
      <c r="C45" s="157"/>
      <c r="D45" s="332"/>
      <c r="E45" s="333" t="s">
        <v>430</v>
      </c>
      <c r="F45" s="334"/>
      <c r="G45" s="334"/>
      <c r="H45" s="335"/>
      <c r="I45" s="10"/>
      <c r="J45" s="20"/>
      <c r="K45" s="10"/>
      <c r="L45" s="10"/>
      <c r="M45" s="10"/>
      <c r="N45" s="10"/>
      <c r="O45" s="10"/>
      <c r="P45" s="10"/>
      <c r="Q45" s="10"/>
      <c r="R45" s="10"/>
      <c r="S45" s="10"/>
      <c r="T45" s="10"/>
      <c r="U45" s="10"/>
      <c r="V45" s="10"/>
      <c r="W45" s="10"/>
      <c r="X45" s="10"/>
      <c r="Y45" s="10"/>
      <c r="Z45" s="10"/>
      <c r="AA45" s="10"/>
      <c r="AB45" s="10"/>
      <c r="AC45" s="10"/>
    </row>
    <row r="46" spans="1:29" ht="15.9" customHeight="1" x14ac:dyDescent="0.3">
      <c r="A46" s="914">
        <f>+TIT!D12</f>
        <v>46275</v>
      </c>
      <c r="B46" s="915"/>
      <c r="C46" s="336"/>
      <c r="D46" s="32"/>
      <c r="E46" s="32"/>
      <c r="F46" s="31"/>
      <c r="G46" s="31"/>
      <c r="H46" s="33"/>
      <c r="I46" s="10"/>
      <c r="J46" s="10"/>
      <c r="K46" s="10"/>
      <c r="L46" s="10"/>
      <c r="M46" s="10"/>
      <c r="N46" s="10"/>
      <c r="O46" s="10"/>
      <c r="P46" s="10"/>
      <c r="Q46" s="10"/>
      <c r="R46" s="10"/>
      <c r="S46" s="10"/>
      <c r="T46" s="10"/>
      <c r="U46" s="10"/>
      <c r="V46" s="10"/>
      <c r="W46" s="10"/>
      <c r="X46" s="10"/>
      <c r="Y46" s="10"/>
      <c r="Z46" s="10"/>
      <c r="AA46" s="10"/>
      <c r="AB46" s="10"/>
      <c r="AC46" s="10"/>
    </row>
    <row r="47" spans="1:29" ht="7.5" customHeight="1" x14ac:dyDescent="0.3">
      <c r="A47" s="20"/>
      <c r="B47" s="10"/>
      <c r="C47" s="10"/>
      <c r="D47" s="20"/>
      <c r="E47" s="20"/>
      <c r="F47" s="10"/>
      <c r="G47" s="10"/>
      <c r="H47" s="20"/>
      <c r="I47" s="10"/>
      <c r="J47" s="10"/>
      <c r="K47" s="10"/>
      <c r="L47" s="10"/>
      <c r="M47" s="10"/>
      <c r="N47" s="10"/>
      <c r="O47" s="10"/>
      <c r="P47" s="10"/>
      <c r="Q47" s="10"/>
      <c r="R47" s="10"/>
      <c r="S47" s="10"/>
      <c r="T47" s="10"/>
      <c r="U47" s="10"/>
      <c r="V47" s="10"/>
      <c r="W47" s="10"/>
      <c r="X47" s="10"/>
      <c r="Y47" s="10"/>
      <c r="Z47" s="10"/>
      <c r="AA47" s="10"/>
      <c r="AB47" s="10"/>
      <c r="AC47" s="10"/>
    </row>
    <row r="48" spans="1:29" x14ac:dyDescent="0.3">
      <c r="A48" s="20"/>
      <c r="B48" s="10"/>
      <c r="C48" s="10"/>
      <c r="D48" s="337"/>
      <c r="E48" s="20"/>
      <c r="F48" s="10"/>
      <c r="G48" s="10"/>
      <c r="H48" s="20"/>
      <c r="I48" s="10"/>
      <c r="J48" s="10"/>
      <c r="K48" s="10"/>
      <c r="L48" s="10"/>
      <c r="M48" s="10"/>
      <c r="N48" s="10"/>
      <c r="O48" s="10"/>
      <c r="P48" s="10"/>
      <c r="Q48" s="10"/>
      <c r="R48" s="10"/>
      <c r="S48" s="10"/>
      <c r="T48" s="10"/>
      <c r="U48" s="10"/>
      <c r="V48" s="10"/>
      <c r="W48" s="10"/>
      <c r="X48" s="10"/>
      <c r="Y48" s="10"/>
      <c r="Z48" s="10"/>
      <c r="AA48" s="10"/>
      <c r="AB48" s="10"/>
      <c r="AC48" s="10"/>
    </row>
    <row r="49" spans="1:29" x14ac:dyDescent="0.3">
      <c r="A49" s="20"/>
      <c r="B49" s="338" t="s">
        <v>689</v>
      </c>
      <c r="C49" s="338"/>
      <c r="D49" s="20">
        <v>14596</v>
      </c>
      <c r="E49" s="20"/>
      <c r="F49" s="10"/>
      <c r="G49" s="10">
        <v>28588.6</v>
      </c>
      <c r="H49" s="20"/>
      <c r="I49" s="10"/>
      <c r="J49" s="10"/>
      <c r="K49" s="10"/>
      <c r="L49" s="10"/>
      <c r="M49" s="10"/>
      <c r="N49" s="10"/>
      <c r="O49" s="10"/>
      <c r="P49" s="10"/>
      <c r="Q49" s="10"/>
      <c r="R49" s="10"/>
      <c r="S49" s="10"/>
      <c r="T49" s="10"/>
      <c r="U49" s="10"/>
      <c r="V49" s="10"/>
      <c r="W49" s="10"/>
      <c r="X49" s="10"/>
      <c r="Y49" s="10"/>
      <c r="Z49" s="10"/>
      <c r="AA49" s="10"/>
      <c r="AB49" s="10"/>
      <c r="AC49" s="10"/>
    </row>
    <row r="50" spans="1:29" x14ac:dyDescent="0.3">
      <c r="A50" s="20"/>
      <c r="B50" s="338" t="s">
        <v>876</v>
      </c>
      <c r="C50" s="338"/>
      <c r="D50" s="20">
        <f>7+31+31+29+31</f>
        <v>129</v>
      </c>
      <c r="E50" s="339">
        <f>+D49/366*D50</f>
        <v>5144.4918032786882</v>
      </c>
      <c r="F50" s="10"/>
      <c r="G50" s="10">
        <v>29088.6</v>
      </c>
      <c r="H50" s="20"/>
      <c r="I50" s="10"/>
      <c r="J50" s="10"/>
      <c r="K50" s="10"/>
      <c r="L50" s="10"/>
      <c r="M50" s="10"/>
      <c r="N50" s="10"/>
      <c r="O50" s="10"/>
      <c r="P50" s="10"/>
      <c r="Q50" s="10"/>
      <c r="R50" s="10"/>
      <c r="S50" s="10"/>
      <c r="T50" s="10"/>
      <c r="U50" s="10"/>
      <c r="V50" s="10"/>
      <c r="W50" s="10"/>
      <c r="X50" s="10"/>
      <c r="Y50" s="10"/>
      <c r="Z50" s="10"/>
      <c r="AA50" s="10"/>
      <c r="AB50" s="10"/>
      <c r="AC50" s="10"/>
    </row>
    <row r="51" spans="1:29" x14ac:dyDescent="0.3">
      <c r="A51" s="20"/>
      <c r="B51" s="10" t="s">
        <v>877</v>
      </c>
      <c r="C51" s="10"/>
      <c r="D51" s="20">
        <f>30+31+30+31+31+30+31+23</f>
        <v>237</v>
      </c>
      <c r="E51" s="339">
        <f>+D49-E50</f>
        <v>9451.5081967213118</v>
      </c>
      <c r="F51" s="10"/>
      <c r="G51" s="10">
        <f>+G49-G50</f>
        <v>-500</v>
      </c>
      <c r="H51" s="20"/>
      <c r="I51" s="10"/>
      <c r="J51" s="10"/>
      <c r="K51" s="10"/>
      <c r="L51" s="10"/>
      <c r="M51" s="10"/>
      <c r="N51" s="10"/>
      <c r="O51" s="10"/>
      <c r="P51" s="10"/>
      <c r="Q51" s="10"/>
      <c r="R51" s="10"/>
      <c r="S51" s="10"/>
      <c r="T51" s="10"/>
      <c r="U51" s="10"/>
      <c r="V51" s="10"/>
      <c r="W51" s="10"/>
      <c r="X51" s="10"/>
      <c r="Y51" s="10"/>
      <c r="Z51" s="10"/>
      <c r="AA51" s="10"/>
      <c r="AB51" s="10"/>
      <c r="AC51" s="10"/>
    </row>
    <row r="52" spans="1:29" x14ac:dyDescent="0.3">
      <c r="A52" s="20"/>
      <c r="B52" s="10"/>
      <c r="C52" s="10"/>
      <c r="D52" s="20">
        <f>+D50+D51</f>
        <v>366</v>
      </c>
      <c r="E52" s="20"/>
      <c r="F52" s="10"/>
      <c r="G52" s="10"/>
      <c r="H52" s="20"/>
      <c r="I52" s="10"/>
      <c r="J52" s="10"/>
      <c r="K52" s="10"/>
      <c r="L52" s="10"/>
      <c r="M52" s="10"/>
      <c r="N52" s="10"/>
      <c r="O52" s="10"/>
      <c r="P52" s="10"/>
      <c r="Q52" s="10"/>
      <c r="R52" s="10"/>
      <c r="S52" s="10"/>
      <c r="T52" s="10"/>
      <c r="U52" s="10"/>
      <c r="V52" s="10"/>
      <c r="W52" s="10"/>
      <c r="X52" s="10"/>
      <c r="Y52" s="10"/>
      <c r="Z52" s="10"/>
      <c r="AA52" s="10"/>
      <c r="AB52" s="10"/>
      <c r="AC52" s="10"/>
    </row>
    <row r="53" spans="1:29" x14ac:dyDescent="0.3">
      <c r="A53" s="20"/>
      <c r="B53" s="10"/>
      <c r="C53" s="10"/>
      <c r="D53" s="20"/>
      <c r="E53" s="20"/>
      <c r="F53" s="10"/>
      <c r="G53" s="10"/>
      <c r="H53" s="20"/>
      <c r="I53" s="10"/>
      <c r="J53" s="10"/>
      <c r="K53" s="10"/>
      <c r="L53" s="10"/>
      <c r="M53" s="10"/>
      <c r="N53" s="10"/>
      <c r="O53" s="10"/>
      <c r="P53" s="10"/>
      <c r="Q53" s="10"/>
      <c r="R53" s="10"/>
      <c r="S53" s="10"/>
      <c r="T53" s="10"/>
      <c r="U53" s="10"/>
      <c r="V53" s="10"/>
      <c r="W53" s="10"/>
      <c r="X53" s="10"/>
      <c r="Y53" s="10"/>
      <c r="Z53" s="10"/>
      <c r="AA53" s="10"/>
      <c r="AB53" s="10"/>
      <c r="AC53" s="10"/>
    </row>
    <row r="54" spans="1:29" x14ac:dyDescent="0.3">
      <c r="A54" s="20"/>
      <c r="B54" s="338" t="s">
        <v>690</v>
      </c>
      <c r="C54" s="338"/>
      <c r="D54" s="20">
        <v>32243</v>
      </c>
      <c r="E54" s="20"/>
      <c r="F54" s="10"/>
      <c r="G54" s="10"/>
      <c r="H54" s="20"/>
      <c r="I54" s="10"/>
      <c r="J54" s="10"/>
      <c r="K54" s="10"/>
      <c r="L54" s="10"/>
      <c r="M54" s="10"/>
      <c r="N54" s="10"/>
      <c r="O54" s="10"/>
      <c r="P54" s="10"/>
      <c r="Q54" s="10"/>
      <c r="R54" s="10"/>
      <c r="S54" s="10"/>
      <c r="T54" s="10"/>
      <c r="U54" s="10"/>
      <c r="V54" s="10"/>
      <c r="W54" s="10"/>
      <c r="X54" s="10"/>
      <c r="Y54" s="10"/>
      <c r="Z54" s="10"/>
      <c r="AA54" s="10"/>
      <c r="AB54" s="10"/>
      <c r="AC54" s="10"/>
    </row>
    <row r="55" spans="1:29" x14ac:dyDescent="0.3">
      <c r="A55" s="20"/>
      <c r="B55" s="338" t="s">
        <v>878</v>
      </c>
      <c r="C55" s="338"/>
      <c r="D55" s="20">
        <f>31+30+31+31+29+31</f>
        <v>183</v>
      </c>
      <c r="E55" s="339">
        <f>+D54/366*D55</f>
        <v>16121.500000000002</v>
      </c>
      <c r="F55" s="10"/>
      <c r="G55" s="10"/>
      <c r="H55" s="20"/>
      <c r="I55" s="10"/>
      <c r="J55" s="10"/>
      <c r="K55" s="10"/>
      <c r="L55" s="10"/>
      <c r="M55" s="10"/>
      <c r="N55" s="10"/>
      <c r="O55" s="10"/>
      <c r="P55" s="10"/>
      <c r="Q55" s="10"/>
      <c r="R55" s="10"/>
      <c r="S55" s="10"/>
      <c r="T55" s="10"/>
      <c r="U55" s="10"/>
      <c r="V55" s="10"/>
      <c r="W55" s="10"/>
      <c r="X55" s="10"/>
      <c r="Y55" s="10"/>
      <c r="Z55" s="10"/>
      <c r="AA55" s="10"/>
      <c r="AB55" s="10"/>
      <c r="AC55" s="10"/>
    </row>
    <row r="56" spans="1:29" x14ac:dyDescent="0.3">
      <c r="A56" s="20"/>
      <c r="B56" s="10" t="s">
        <v>879</v>
      </c>
      <c r="C56" s="10"/>
      <c r="D56" s="20">
        <f>366-D55</f>
        <v>183</v>
      </c>
      <c r="E56" s="339">
        <f>+D54-E55</f>
        <v>16121.499999999998</v>
      </c>
      <c r="F56" s="10"/>
      <c r="G56" s="10"/>
      <c r="H56" s="20"/>
      <c r="I56" s="10"/>
      <c r="J56" s="10"/>
      <c r="K56" s="10"/>
      <c r="L56" s="10"/>
      <c r="M56" s="10"/>
      <c r="N56" s="10"/>
      <c r="O56" s="10"/>
      <c r="P56" s="10"/>
      <c r="Q56" s="10"/>
      <c r="R56" s="10"/>
      <c r="S56" s="10"/>
      <c r="T56" s="10"/>
      <c r="U56" s="10"/>
      <c r="V56" s="10"/>
      <c r="W56" s="10"/>
      <c r="X56" s="10"/>
      <c r="Y56" s="10"/>
      <c r="Z56" s="10"/>
      <c r="AA56" s="10"/>
      <c r="AB56" s="10"/>
      <c r="AC56" s="10"/>
    </row>
    <row r="57" spans="1:29" x14ac:dyDescent="0.3">
      <c r="A57" s="20"/>
      <c r="B57" s="10"/>
      <c r="C57" s="10"/>
      <c r="D57" s="20">
        <f>+D55+D56</f>
        <v>366</v>
      </c>
      <c r="E57" s="20"/>
      <c r="F57" s="10"/>
      <c r="G57" s="10"/>
      <c r="H57" s="20"/>
      <c r="I57" s="10"/>
      <c r="J57" s="10"/>
      <c r="K57" s="10"/>
      <c r="L57" s="10"/>
      <c r="M57" s="10"/>
      <c r="N57" s="10"/>
      <c r="O57" s="10"/>
      <c r="P57" s="10"/>
      <c r="Q57" s="10"/>
      <c r="R57" s="10"/>
      <c r="S57" s="10"/>
      <c r="T57" s="10"/>
      <c r="U57" s="10"/>
      <c r="V57" s="10"/>
      <c r="W57" s="10"/>
      <c r="X57" s="10"/>
      <c r="Y57" s="10"/>
      <c r="Z57" s="10"/>
      <c r="AA57" s="10"/>
      <c r="AB57" s="10"/>
      <c r="AC57" s="10"/>
    </row>
    <row r="58" spans="1:29" x14ac:dyDescent="0.3">
      <c r="A58" s="20"/>
      <c r="B58" s="10"/>
      <c r="C58" s="10"/>
      <c r="D58" s="20"/>
      <c r="E58" s="20"/>
      <c r="F58" s="10"/>
      <c r="G58" s="10"/>
      <c r="H58" s="20"/>
      <c r="I58" s="10"/>
      <c r="J58" s="10"/>
      <c r="K58" s="10"/>
      <c r="L58" s="10"/>
      <c r="M58" s="10"/>
      <c r="N58" s="10"/>
      <c r="O58" s="10"/>
      <c r="P58" s="10"/>
      <c r="Q58" s="10"/>
      <c r="R58" s="10"/>
      <c r="S58" s="10"/>
      <c r="T58" s="10"/>
      <c r="U58" s="10"/>
      <c r="V58" s="10"/>
      <c r="W58" s="10"/>
      <c r="X58" s="10"/>
      <c r="Y58" s="10"/>
      <c r="Z58" s="10"/>
      <c r="AA58" s="10"/>
      <c r="AB58" s="10"/>
      <c r="AC58" s="10"/>
    </row>
    <row r="59" spans="1:29" x14ac:dyDescent="0.3">
      <c r="A59" s="20"/>
      <c r="B59" s="10" t="s">
        <v>688</v>
      </c>
      <c r="C59" s="10"/>
      <c r="D59" s="20">
        <v>20932</v>
      </c>
      <c r="E59" s="20"/>
      <c r="F59" s="10"/>
      <c r="G59" s="10"/>
      <c r="H59" s="20"/>
      <c r="I59" s="10"/>
      <c r="J59" s="10"/>
      <c r="K59" s="10"/>
      <c r="L59" s="10"/>
      <c r="M59" s="10"/>
      <c r="N59" s="10"/>
      <c r="O59" s="10"/>
      <c r="P59" s="10"/>
      <c r="Q59" s="10"/>
      <c r="R59" s="10"/>
      <c r="S59" s="10"/>
      <c r="T59" s="10"/>
      <c r="U59" s="10"/>
      <c r="V59" s="10"/>
      <c r="W59" s="10"/>
      <c r="X59" s="10"/>
      <c r="Y59" s="10"/>
      <c r="Z59" s="10"/>
      <c r="AA59" s="10"/>
      <c r="AB59" s="10"/>
      <c r="AC59" s="10"/>
    </row>
    <row r="60" spans="1:29" x14ac:dyDescent="0.3">
      <c r="A60" s="20"/>
      <c r="B60" s="10" t="s">
        <v>867</v>
      </c>
      <c r="C60" s="10">
        <f>7+29+31</f>
        <v>67</v>
      </c>
      <c r="D60" s="20">
        <v>67</v>
      </c>
      <c r="E60" s="339">
        <f>+D59/90*D60</f>
        <v>15582.711111111112</v>
      </c>
      <c r="F60" s="10"/>
      <c r="G60" s="10"/>
      <c r="H60" s="20"/>
      <c r="I60" s="10"/>
      <c r="J60" s="10"/>
      <c r="K60" s="10"/>
      <c r="L60" s="10"/>
      <c r="M60" s="10"/>
      <c r="N60" s="10"/>
      <c r="O60" s="10"/>
      <c r="P60" s="10"/>
      <c r="Q60" s="10"/>
      <c r="R60" s="10"/>
      <c r="S60" s="10"/>
      <c r="T60" s="10"/>
      <c r="U60" s="10"/>
      <c r="V60" s="10"/>
      <c r="W60" s="10"/>
      <c r="X60" s="10"/>
      <c r="Y60" s="10"/>
      <c r="Z60" s="10"/>
      <c r="AA60" s="10"/>
      <c r="AB60" s="10"/>
      <c r="AC60" s="10"/>
    </row>
    <row r="61" spans="1:29" ht="20.100000000000001" customHeight="1" x14ac:dyDescent="0.3">
      <c r="A61" s="20"/>
      <c r="B61" s="10" t="s">
        <v>868</v>
      </c>
      <c r="C61" s="10">
        <v>23</v>
      </c>
      <c r="D61" s="20">
        <v>23</v>
      </c>
      <c r="E61" s="339">
        <f>+D59/90*D61</f>
        <v>5349.2888888888892</v>
      </c>
      <c r="F61" s="10"/>
      <c r="G61" s="10"/>
      <c r="H61" s="20"/>
      <c r="I61" s="10"/>
      <c r="J61" s="10"/>
      <c r="K61" s="10"/>
      <c r="L61" s="10"/>
      <c r="M61" s="10"/>
      <c r="N61" s="10"/>
      <c r="O61" s="10"/>
      <c r="P61" s="10"/>
      <c r="Q61" s="10"/>
      <c r="R61" s="10"/>
      <c r="S61" s="10"/>
      <c r="T61" s="10"/>
      <c r="U61" s="10"/>
      <c r="V61" s="10"/>
      <c r="W61" s="10"/>
      <c r="X61" s="10"/>
      <c r="Y61" s="10"/>
      <c r="Z61" s="10"/>
      <c r="AA61" s="10"/>
      <c r="AB61" s="10"/>
      <c r="AC61" s="10"/>
    </row>
    <row r="62" spans="1:29" x14ac:dyDescent="0.3">
      <c r="A62" s="20"/>
      <c r="B62" s="10"/>
      <c r="C62" s="10"/>
      <c r="D62" s="20"/>
      <c r="E62" s="20"/>
      <c r="F62" s="10"/>
      <c r="G62" s="10"/>
      <c r="H62" s="20"/>
      <c r="I62" s="10"/>
      <c r="J62" s="10"/>
      <c r="K62" s="10"/>
      <c r="L62" s="10"/>
      <c r="M62" s="10"/>
      <c r="N62" s="10"/>
      <c r="O62" s="10"/>
      <c r="P62" s="10"/>
      <c r="Q62" s="10"/>
      <c r="R62" s="10"/>
      <c r="S62" s="10"/>
      <c r="T62" s="10"/>
      <c r="U62" s="10"/>
      <c r="V62" s="10"/>
      <c r="W62" s="10"/>
      <c r="X62" s="10"/>
      <c r="Y62" s="10"/>
      <c r="Z62" s="10"/>
      <c r="AA62" s="10"/>
      <c r="AB62" s="10"/>
      <c r="AC62" s="10"/>
    </row>
    <row r="63" spans="1:29" x14ac:dyDescent="0.3">
      <c r="A63" s="20"/>
      <c r="B63" s="10"/>
      <c r="C63" s="10"/>
      <c r="D63" s="20"/>
      <c r="E63" s="20"/>
      <c r="F63" s="10"/>
      <c r="G63" s="10"/>
      <c r="H63" s="20"/>
      <c r="I63" s="10"/>
      <c r="J63" s="10"/>
      <c r="K63" s="10"/>
      <c r="L63" s="10"/>
      <c r="M63" s="10"/>
      <c r="N63" s="10"/>
      <c r="O63" s="10"/>
      <c r="P63" s="10"/>
      <c r="Q63" s="10"/>
      <c r="R63" s="10"/>
      <c r="S63" s="10"/>
      <c r="T63" s="10"/>
      <c r="U63" s="10"/>
      <c r="V63" s="10"/>
      <c r="W63" s="10"/>
      <c r="X63" s="10"/>
      <c r="Y63" s="10"/>
      <c r="Z63" s="10"/>
      <c r="AA63" s="10"/>
      <c r="AB63" s="10"/>
      <c r="AC63" s="10"/>
    </row>
    <row r="64" spans="1:29" x14ac:dyDescent="0.3">
      <c r="A64" s="20"/>
      <c r="B64" s="338" t="s">
        <v>729</v>
      </c>
      <c r="C64" s="338"/>
      <c r="D64" s="20">
        <v>11000</v>
      </c>
      <c r="E64" s="20"/>
      <c r="F64" s="10"/>
      <c r="G64" s="10"/>
      <c r="H64" s="20"/>
      <c r="I64" s="10"/>
      <c r="J64" s="10"/>
      <c r="K64" s="10"/>
      <c r="L64" s="10"/>
      <c r="M64" s="10"/>
      <c r="N64" s="10"/>
      <c r="O64" s="10"/>
      <c r="P64" s="10"/>
      <c r="Q64" s="10"/>
      <c r="R64" s="10"/>
      <c r="S64" s="10"/>
      <c r="T64" s="10"/>
      <c r="U64" s="10"/>
      <c r="V64" s="10"/>
      <c r="W64" s="10"/>
      <c r="X64" s="10"/>
      <c r="Y64" s="10"/>
      <c r="Z64" s="10"/>
      <c r="AA64" s="10"/>
      <c r="AB64" s="10"/>
      <c r="AC64" s="10"/>
    </row>
    <row r="65" spans="1:29" x14ac:dyDescent="0.3">
      <c r="A65" s="20"/>
      <c r="B65" s="338" t="s">
        <v>880</v>
      </c>
      <c r="C65" s="338"/>
      <c r="D65" s="20">
        <f>31+29+31</f>
        <v>91</v>
      </c>
      <c r="E65" s="339">
        <f>+D64/365*D65</f>
        <v>2742.4657534246576</v>
      </c>
      <c r="F65" s="10"/>
      <c r="G65" s="10"/>
      <c r="H65" s="20"/>
      <c r="I65" s="10"/>
      <c r="J65" s="10"/>
      <c r="K65" s="10"/>
      <c r="L65" s="10"/>
      <c r="M65" s="10"/>
      <c r="N65" s="10"/>
      <c r="O65" s="10"/>
      <c r="P65" s="10"/>
      <c r="Q65" s="10"/>
      <c r="R65" s="10"/>
      <c r="S65" s="10"/>
      <c r="T65" s="10"/>
      <c r="U65" s="10"/>
      <c r="V65" s="10"/>
      <c r="W65" s="10"/>
      <c r="X65" s="10"/>
      <c r="Y65" s="10"/>
      <c r="Z65" s="10"/>
      <c r="AA65" s="10"/>
      <c r="AB65" s="10"/>
      <c r="AC65" s="10"/>
    </row>
    <row r="66" spans="1:29" x14ac:dyDescent="0.3">
      <c r="A66" s="20"/>
      <c r="B66" s="10" t="s">
        <v>881</v>
      </c>
      <c r="C66" s="10"/>
      <c r="D66" s="20">
        <f>30+31+30+31+31+30+31+30+31</f>
        <v>275</v>
      </c>
      <c r="E66" s="339">
        <f>+D64-E65</f>
        <v>8257.534246575342</v>
      </c>
      <c r="F66" s="10"/>
      <c r="G66" s="10"/>
      <c r="H66" s="20"/>
      <c r="I66" s="10"/>
      <c r="J66" s="10"/>
      <c r="K66" s="10"/>
      <c r="L66" s="10"/>
      <c r="M66" s="10"/>
      <c r="N66" s="10"/>
      <c r="O66" s="10"/>
      <c r="P66" s="10"/>
      <c r="Q66" s="10"/>
      <c r="R66" s="10"/>
      <c r="S66" s="10"/>
      <c r="T66" s="10"/>
      <c r="U66" s="10"/>
      <c r="V66" s="10"/>
      <c r="W66" s="10"/>
      <c r="X66" s="10"/>
      <c r="Y66" s="10"/>
      <c r="Z66" s="10"/>
      <c r="AA66" s="10"/>
      <c r="AB66" s="10"/>
      <c r="AC66" s="10"/>
    </row>
    <row r="67" spans="1:29" x14ac:dyDescent="0.3">
      <c r="A67" s="20"/>
      <c r="B67" s="10"/>
      <c r="C67" s="10"/>
      <c r="D67" s="20">
        <f>+D65+D66</f>
        <v>366</v>
      </c>
      <c r="E67" s="20"/>
      <c r="F67" s="10"/>
      <c r="G67" s="10"/>
      <c r="H67" s="20"/>
      <c r="I67" s="10"/>
      <c r="J67" s="10"/>
      <c r="K67" s="10"/>
      <c r="L67" s="10"/>
      <c r="M67" s="10"/>
      <c r="N67" s="10"/>
      <c r="O67" s="10"/>
      <c r="P67" s="10"/>
      <c r="Q67" s="10"/>
      <c r="R67" s="10"/>
      <c r="S67" s="10"/>
      <c r="T67" s="10"/>
      <c r="U67" s="10"/>
      <c r="V67" s="10"/>
      <c r="W67" s="10"/>
      <c r="X67" s="10"/>
      <c r="Y67" s="10"/>
      <c r="Z67" s="10"/>
      <c r="AA67" s="10"/>
      <c r="AB67" s="10"/>
      <c r="AC67" s="10"/>
    </row>
    <row r="68" spans="1:29" x14ac:dyDescent="0.3">
      <c r="A68" s="20"/>
      <c r="B68" s="10"/>
      <c r="C68" s="10"/>
      <c r="D68" s="20"/>
      <c r="E68" s="20"/>
      <c r="F68" s="10"/>
      <c r="G68" s="10"/>
      <c r="H68" s="20"/>
      <c r="I68" s="10"/>
      <c r="J68" s="10"/>
      <c r="K68" s="10"/>
      <c r="L68" s="10"/>
      <c r="M68" s="10"/>
      <c r="N68" s="10"/>
      <c r="O68" s="10"/>
      <c r="P68" s="10"/>
      <c r="Q68" s="10"/>
      <c r="R68" s="10"/>
      <c r="S68" s="10"/>
      <c r="T68" s="10"/>
      <c r="U68" s="10"/>
      <c r="V68" s="10"/>
      <c r="W68" s="10"/>
      <c r="X68" s="10"/>
      <c r="Y68" s="10"/>
      <c r="Z68" s="10"/>
      <c r="AA68" s="10"/>
      <c r="AB68" s="10"/>
      <c r="AC68" s="10"/>
    </row>
    <row r="69" spans="1:29" x14ac:dyDescent="0.3">
      <c r="A69" s="20"/>
      <c r="B69" s="338" t="s">
        <v>882</v>
      </c>
      <c r="C69" s="338"/>
      <c r="D69" s="20">
        <v>3500</v>
      </c>
      <c r="E69" s="20"/>
      <c r="F69" s="10"/>
      <c r="G69" s="10"/>
      <c r="H69" s="20"/>
      <c r="I69" s="10"/>
      <c r="J69" s="10"/>
      <c r="K69" s="10"/>
      <c r="L69" s="10"/>
      <c r="M69" s="10"/>
      <c r="N69" s="10"/>
      <c r="O69" s="10"/>
      <c r="P69" s="10"/>
      <c r="Q69" s="10"/>
      <c r="R69" s="10"/>
      <c r="S69" s="10"/>
      <c r="T69" s="10"/>
      <c r="U69" s="10"/>
      <c r="V69" s="10"/>
      <c r="W69" s="10"/>
      <c r="X69" s="10"/>
      <c r="Y69" s="10"/>
      <c r="Z69" s="10"/>
      <c r="AA69" s="10"/>
      <c r="AB69" s="10"/>
      <c r="AC69" s="10"/>
    </row>
    <row r="70" spans="1:29" x14ac:dyDescent="0.3">
      <c r="A70" s="20"/>
      <c r="B70" s="338" t="s">
        <v>880</v>
      </c>
      <c r="C70" s="338"/>
      <c r="D70" s="20">
        <f>31+29+31</f>
        <v>91</v>
      </c>
      <c r="E70" s="339">
        <f>+D69/365*D70</f>
        <v>872.60273972602738</v>
      </c>
      <c r="F70" s="10"/>
      <c r="G70" s="10"/>
      <c r="H70" s="20"/>
      <c r="I70" s="10"/>
      <c r="J70" s="10"/>
      <c r="K70" s="10"/>
      <c r="L70" s="10"/>
      <c r="M70" s="10"/>
      <c r="N70" s="10"/>
      <c r="O70" s="10"/>
      <c r="P70" s="10"/>
      <c r="Q70" s="10"/>
      <c r="R70" s="10"/>
      <c r="S70" s="10"/>
      <c r="T70" s="10"/>
      <c r="U70" s="10"/>
      <c r="V70" s="10"/>
      <c r="W70" s="10"/>
      <c r="X70" s="10"/>
      <c r="Y70" s="10"/>
      <c r="Z70" s="10"/>
      <c r="AA70" s="10"/>
      <c r="AB70" s="10"/>
      <c r="AC70" s="10"/>
    </row>
    <row r="71" spans="1:29" x14ac:dyDescent="0.3">
      <c r="A71" s="20"/>
      <c r="B71" s="10" t="s">
        <v>881</v>
      </c>
      <c r="C71" s="10"/>
      <c r="D71" s="20">
        <f>30+31+30+31+31+30+31+30+31</f>
        <v>275</v>
      </c>
      <c r="E71" s="339">
        <f>+D69-E70</f>
        <v>2627.3972602739727</v>
      </c>
      <c r="F71" s="10"/>
      <c r="G71" s="10"/>
      <c r="H71" s="20"/>
      <c r="I71" s="10"/>
      <c r="J71" s="10"/>
      <c r="K71" s="10"/>
      <c r="L71" s="10"/>
      <c r="M71" s="10"/>
      <c r="N71" s="10"/>
      <c r="O71" s="10"/>
      <c r="P71" s="10"/>
      <c r="Q71" s="10"/>
      <c r="R71" s="10"/>
      <c r="S71" s="10"/>
      <c r="T71" s="10"/>
      <c r="U71" s="10"/>
      <c r="V71" s="10"/>
      <c r="W71" s="10"/>
      <c r="X71" s="10"/>
      <c r="Y71" s="10"/>
      <c r="Z71" s="10"/>
      <c r="AA71" s="10"/>
      <c r="AB71" s="10"/>
      <c r="AC71" s="10"/>
    </row>
    <row r="72" spans="1:29" x14ac:dyDescent="0.3">
      <c r="A72" s="20"/>
      <c r="B72" s="10"/>
      <c r="C72" s="10"/>
      <c r="D72" s="20">
        <f>+D70+D71</f>
        <v>366</v>
      </c>
      <c r="E72" s="20"/>
      <c r="F72" s="10"/>
      <c r="G72" s="10"/>
      <c r="H72" s="20"/>
      <c r="I72" s="10"/>
      <c r="J72" s="10"/>
      <c r="K72" s="10"/>
      <c r="L72" s="10"/>
      <c r="M72" s="10"/>
      <c r="N72" s="10"/>
      <c r="O72" s="10"/>
      <c r="P72" s="10"/>
      <c r="Q72" s="10"/>
      <c r="R72" s="10"/>
      <c r="S72" s="10"/>
      <c r="T72" s="10"/>
      <c r="U72" s="10"/>
      <c r="V72" s="10"/>
      <c r="W72" s="10"/>
      <c r="X72" s="10"/>
      <c r="Y72" s="10"/>
      <c r="Z72" s="10"/>
      <c r="AA72" s="10"/>
      <c r="AB72" s="10"/>
      <c r="AC72" s="10"/>
    </row>
    <row r="73" spans="1:29" x14ac:dyDescent="0.3">
      <c r="A73" s="20"/>
      <c r="B73" s="10"/>
      <c r="C73" s="10"/>
      <c r="D73" s="20"/>
      <c r="E73" s="20"/>
      <c r="F73" s="10"/>
      <c r="G73" s="10"/>
      <c r="H73" s="20"/>
      <c r="I73" s="10"/>
      <c r="J73" s="10"/>
      <c r="K73" s="10"/>
      <c r="L73" s="10"/>
      <c r="M73" s="10"/>
      <c r="N73" s="10"/>
      <c r="O73" s="20"/>
      <c r="P73" s="20"/>
      <c r="Q73" s="20"/>
      <c r="R73" s="10"/>
      <c r="S73" s="20"/>
      <c r="T73" s="20"/>
      <c r="U73" s="10"/>
      <c r="V73" s="10"/>
      <c r="W73" s="10"/>
      <c r="X73" s="10"/>
      <c r="Y73" s="10"/>
      <c r="Z73" s="10"/>
      <c r="AA73" s="10"/>
      <c r="AB73" s="10"/>
      <c r="AC73" s="10"/>
    </row>
    <row r="74" spans="1:29" x14ac:dyDescent="0.3">
      <c r="A74" s="20"/>
      <c r="B74" s="10"/>
      <c r="C74" s="10"/>
      <c r="D74" s="20"/>
      <c r="E74" s="20"/>
      <c r="F74" s="10"/>
      <c r="G74" s="10"/>
      <c r="H74" s="20"/>
      <c r="I74" s="10"/>
      <c r="J74" s="10"/>
      <c r="K74" s="10"/>
      <c r="L74" s="10"/>
      <c r="M74" s="10"/>
      <c r="N74" s="10"/>
      <c r="O74" s="20"/>
      <c r="P74" s="20"/>
      <c r="Q74" s="20"/>
      <c r="R74" s="10"/>
      <c r="S74" s="20"/>
      <c r="T74" s="20"/>
      <c r="U74" s="10"/>
      <c r="V74" s="10"/>
      <c r="W74" s="10"/>
      <c r="X74" s="10"/>
      <c r="Y74" s="10"/>
      <c r="Z74" s="10"/>
      <c r="AA74" s="10"/>
      <c r="AB74" s="10"/>
      <c r="AC74" s="10"/>
    </row>
    <row r="75" spans="1:29" x14ac:dyDescent="0.3">
      <c r="A75" s="20"/>
      <c r="B75" s="10"/>
      <c r="C75" s="10"/>
      <c r="D75" s="20"/>
      <c r="E75" s="20"/>
      <c r="F75" s="10"/>
      <c r="G75" s="10"/>
      <c r="H75" s="20"/>
      <c r="I75" s="10"/>
      <c r="J75" s="10"/>
      <c r="K75" s="10"/>
      <c r="L75" s="10"/>
      <c r="M75" s="10"/>
      <c r="N75" s="10"/>
      <c r="O75" s="20"/>
      <c r="P75" s="20"/>
      <c r="Q75" s="20"/>
      <c r="R75" s="10"/>
      <c r="S75" s="20"/>
      <c r="T75" s="20"/>
      <c r="U75" s="10"/>
      <c r="V75" s="10"/>
      <c r="W75" s="10"/>
      <c r="X75" s="10"/>
      <c r="Y75" s="10"/>
      <c r="Z75" s="10"/>
      <c r="AA75" s="10"/>
      <c r="AB75" s="10"/>
      <c r="AC75" s="10"/>
    </row>
    <row r="76" spans="1:29" x14ac:dyDescent="0.3">
      <c r="A76" s="20"/>
      <c r="B76" s="10"/>
      <c r="C76" s="10"/>
      <c r="D76" s="20"/>
      <c r="E76" s="20"/>
      <c r="F76" s="10"/>
      <c r="G76" s="10"/>
      <c r="H76" s="20"/>
      <c r="I76" s="10"/>
      <c r="J76" s="10"/>
      <c r="K76" s="10"/>
      <c r="L76" s="10"/>
      <c r="M76" s="10"/>
      <c r="N76" s="10"/>
      <c r="O76" s="20"/>
      <c r="P76" s="20"/>
      <c r="Q76" s="20"/>
      <c r="R76" s="10"/>
      <c r="S76" s="20"/>
      <c r="T76" s="20"/>
      <c r="U76" s="10"/>
      <c r="V76" s="10"/>
      <c r="W76" s="10"/>
      <c r="X76" s="10"/>
      <c r="Y76" s="10"/>
      <c r="Z76" s="10"/>
      <c r="AA76" s="10"/>
      <c r="AB76" s="10"/>
      <c r="AC76" s="10"/>
    </row>
    <row r="77" spans="1:29" x14ac:dyDescent="0.3">
      <c r="A77" s="20"/>
      <c r="B77" s="10"/>
      <c r="C77" s="10"/>
      <c r="D77" s="20"/>
      <c r="E77" s="20"/>
      <c r="F77" s="10"/>
      <c r="G77" s="10"/>
      <c r="H77" s="20"/>
      <c r="I77" s="10"/>
      <c r="J77" s="10"/>
      <c r="K77" s="10"/>
      <c r="L77" s="10"/>
      <c r="M77" s="10"/>
      <c r="N77" s="10"/>
      <c r="O77" s="20"/>
      <c r="P77" s="20"/>
      <c r="Q77" s="20"/>
      <c r="R77" s="10"/>
      <c r="S77" s="20"/>
      <c r="T77" s="20"/>
      <c r="U77" s="10"/>
      <c r="V77" s="10"/>
      <c r="W77" s="10"/>
      <c r="X77" s="10"/>
      <c r="Y77" s="10"/>
      <c r="Z77" s="10"/>
      <c r="AA77" s="10"/>
      <c r="AB77" s="10"/>
      <c r="AC77" s="10"/>
    </row>
    <row r="78" spans="1:29" x14ac:dyDescent="0.3">
      <c r="A78" s="20"/>
      <c r="B78" s="10"/>
      <c r="C78" s="10"/>
      <c r="D78" s="20"/>
      <c r="E78" s="20"/>
      <c r="F78" s="10"/>
      <c r="G78" s="10"/>
      <c r="H78" s="20"/>
      <c r="I78" s="10"/>
      <c r="J78" s="10"/>
      <c r="K78" s="10"/>
      <c r="L78" s="10"/>
      <c r="M78" s="10"/>
      <c r="N78" s="10"/>
      <c r="O78" s="20"/>
      <c r="P78" s="20"/>
      <c r="Q78" s="20"/>
      <c r="R78" s="10"/>
      <c r="S78" s="20"/>
      <c r="T78" s="20"/>
      <c r="U78" s="10"/>
      <c r="V78" s="10"/>
      <c r="W78" s="10"/>
      <c r="X78" s="10"/>
      <c r="Y78" s="10"/>
      <c r="Z78" s="10"/>
      <c r="AA78" s="10"/>
      <c r="AB78" s="10"/>
      <c r="AC78" s="10"/>
    </row>
    <row r="79" spans="1:29" x14ac:dyDescent="0.3">
      <c r="A79" s="20"/>
      <c r="B79" s="10"/>
      <c r="C79" s="10"/>
      <c r="D79" s="20"/>
      <c r="E79" s="20"/>
      <c r="F79" s="10"/>
      <c r="G79" s="10"/>
      <c r="H79" s="20"/>
      <c r="I79" s="10"/>
      <c r="J79" s="10"/>
      <c r="K79" s="10"/>
      <c r="L79" s="10"/>
      <c r="M79" s="10"/>
      <c r="N79" s="10"/>
      <c r="O79" s="20"/>
      <c r="P79" s="20"/>
      <c r="Q79" s="20"/>
      <c r="R79" s="10"/>
      <c r="S79" s="20"/>
      <c r="T79" s="20"/>
      <c r="U79" s="10"/>
      <c r="V79" s="10"/>
      <c r="W79" s="10"/>
      <c r="X79" s="10"/>
      <c r="Y79" s="10"/>
      <c r="Z79" s="10"/>
      <c r="AA79" s="10"/>
      <c r="AB79" s="10"/>
      <c r="AC79" s="10"/>
    </row>
    <row r="80" spans="1:29" x14ac:dyDescent="0.3">
      <c r="A80" s="20"/>
      <c r="B80" s="10"/>
      <c r="C80" s="10"/>
      <c r="D80" s="20"/>
      <c r="E80" s="20"/>
      <c r="F80" s="10"/>
      <c r="G80" s="10"/>
      <c r="H80" s="20"/>
      <c r="I80" s="10"/>
      <c r="J80" s="10"/>
      <c r="K80" s="10"/>
      <c r="L80" s="10"/>
      <c r="M80" s="10"/>
      <c r="N80" s="10"/>
      <c r="O80" s="20"/>
      <c r="P80" s="20"/>
      <c r="Q80" s="20"/>
      <c r="R80" s="10"/>
      <c r="S80" s="20"/>
      <c r="T80" s="20"/>
      <c r="U80" s="10"/>
      <c r="V80" s="10"/>
      <c r="W80" s="10"/>
      <c r="X80" s="10"/>
      <c r="Y80" s="10"/>
      <c r="Z80" s="10"/>
      <c r="AA80" s="10"/>
      <c r="AB80" s="10"/>
      <c r="AC80" s="10"/>
    </row>
    <row r="81" spans="1:29" x14ac:dyDescent="0.3">
      <c r="A81" s="20"/>
      <c r="B81" s="10"/>
      <c r="C81" s="10"/>
      <c r="D81" s="20"/>
      <c r="E81" s="20"/>
      <c r="F81" s="10"/>
      <c r="G81" s="10"/>
      <c r="H81" s="20"/>
      <c r="I81" s="10"/>
      <c r="J81" s="10"/>
      <c r="K81" s="10"/>
      <c r="L81" s="10"/>
      <c r="M81" s="10"/>
      <c r="N81" s="10"/>
      <c r="O81" s="20"/>
      <c r="P81" s="20"/>
      <c r="Q81" s="20"/>
      <c r="R81" s="10"/>
      <c r="S81" s="20"/>
      <c r="T81" s="20"/>
      <c r="U81" s="10"/>
      <c r="V81" s="10"/>
      <c r="W81" s="10"/>
      <c r="X81" s="10"/>
      <c r="Y81" s="10"/>
      <c r="Z81" s="10"/>
      <c r="AA81" s="10"/>
      <c r="AB81" s="10"/>
      <c r="AC81" s="10"/>
    </row>
    <row r="82" spans="1:29" x14ac:dyDescent="0.3">
      <c r="A82" s="20"/>
      <c r="B82" s="10"/>
      <c r="C82" s="10"/>
      <c r="D82" s="20"/>
      <c r="E82" s="20"/>
      <c r="F82" s="10"/>
      <c r="G82" s="10"/>
      <c r="H82" s="20"/>
      <c r="I82" s="10"/>
      <c r="J82" s="10"/>
      <c r="K82" s="10"/>
      <c r="L82" s="10"/>
      <c r="M82" s="10"/>
      <c r="N82" s="10"/>
      <c r="O82" s="20"/>
      <c r="P82" s="20"/>
      <c r="Q82" s="20"/>
      <c r="R82" s="10"/>
      <c r="S82" s="10"/>
      <c r="T82" s="10"/>
      <c r="U82" s="10"/>
      <c r="V82" s="10"/>
      <c r="W82" s="10"/>
      <c r="X82" s="10"/>
      <c r="Y82" s="10"/>
      <c r="Z82" s="10"/>
      <c r="AA82" s="10"/>
      <c r="AB82" s="10"/>
      <c r="AC82" s="10"/>
    </row>
    <row r="83" spans="1:29" x14ac:dyDescent="0.3">
      <c r="A83" s="20"/>
      <c r="B83" s="10"/>
      <c r="C83" s="10"/>
      <c r="D83" s="20"/>
      <c r="E83" s="20"/>
      <c r="F83" s="10"/>
      <c r="G83" s="10"/>
      <c r="H83" s="20"/>
      <c r="I83" s="10"/>
      <c r="J83" s="10"/>
      <c r="K83" s="10"/>
      <c r="L83" s="10"/>
      <c r="M83" s="10"/>
      <c r="N83" s="10"/>
      <c r="O83" s="10"/>
      <c r="P83" s="10"/>
      <c r="Q83" s="10"/>
      <c r="R83" s="10"/>
      <c r="S83" s="10"/>
      <c r="T83" s="10"/>
      <c r="U83" s="10"/>
      <c r="V83" s="10"/>
      <c r="W83" s="10"/>
      <c r="X83" s="10"/>
      <c r="Y83" s="10"/>
      <c r="Z83" s="10"/>
      <c r="AA83" s="10"/>
      <c r="AB83" s="10"/>
      <c r="AC83" s="10"/>
    </row>
    <row r="84" spans="1:29" x14ac:dyDescent="0.3">
      <c r="A84" s="20"/>
      <c r="B84" s="10"/>
      <c r="C84" s="10"/>
      <c r="D84" s="20"/>
      <c r="E84" s="20"/>
      <c r="F84" s="10"/>
      <c r="G84" s="10"/>
      <c r="H84" s="20"/>
      <c r="I84" s="10"/>
      <c r="J84" s="10"/>
      <c r="K84" s="10"/>
      <c r="L84" s="10"/>
      <c r="M84" s="10"/>
      <c r="N84" s="10"/>
      <c r="O84" s="10"/>
      <c r="P84" s="10"/>
      <c r="Q84" s="10"/>
      <c r="R84" s="10"/>
      <c r="S84" s="10"/>
      <c r="T84" s="10"/>
      <c r="U84" s="10"/>
      <c r="V84" s="10"/>
      <c r="W84" s="10"/>
      <c r="X84" s="10"/>
      <c r="Y84" s="10"/>
      <c r="Z84" s="10"/>
      <c r="AA84" s="10"/>
      <c r="AB84" s="10"/>
      <c r="AC84" s="10"/>
    </row>
    <row r="85" spans="1:29" x14ac:dyDescent="0.3">
      <c r="A85" s="20"/>
      <c r="B85" s="10"/>
      <c r="C85" s="10"/>
      <c r="D85" s="20"/>
      <c r="E85" s="20"/>
      <c r="F85" s="10"/>
      <c r="G85" s="10"/>
      <c r="H85" s="20"/>
      <c r="I85" s="10"/>
      <c r="J85" s="10"/>
      <c r="K85" s="10"/>
      <c r="L85" s="10"/>
      <c r="M85" s="10"/>
      <c r="N85" s="10"/>
      <c r="O85" s="10"/>
      <c r="P85" s="10"/>
      <c r="Q85" s="10"/>
      <c r="R85" s="10"/>
      <c r="S85" s="10"/>
      <c r="T85" s="10"/>
      <c r="U85" s="10"/>
      <c r="V85" s="10"/>
      <c r="W85" s="10"/>
      <c r="X85" s="10"/>
      <c r="Y85" s="10"/>
      <c r="Z85" s="10"/>
      <c r="AA85" s="10"/>
      <c r="AB85" s="10"/>
      <c r="AC85" s="10"/>
    </row>
    <row r="86" spans="1:29" x14ac:dyDescent="0.3">
      <c r="A86" s="20"/>
      <c r="B86" s="10"/>
      <c r="C86" s="10"/>
      <c r="D86" s="20"/>
      <c r="E86" s="20"/>
      <c r="F86" s="10"/>
      <c r="G86" s="10"/>
      <c r="H86" s="20"/>
      <c r="I86" s="10"/>
      <c r="J86" s="10"/>
      <c r="K86" s="10"/>
      <c r="L86" s="10"/>
      <c r="M86" s="10"/>
      <c r="N86" s="10"/>
      <c r="O86" s="10"/>
      <c r="P86" s="10"/>
      <c r="Q86" s="10"/>
      <c r="R86" s="10"/>
      <c r="S86" s="10"/>
      <c r="T86" s="10"/>
      <c r="U86" s="10"/>
      <c r="V86" s="10"/>
      <c r="W86" s="10"/>
      <c r="X86" s="10"/>
      <c r="Y86" s="10"/>
      <c r="Z86" s="10"/>
      <c r="AA86" s="10"/>
      <c r="AB86" s="10"/>
      <c r="AC86" s="10"/>
    </row>
    <row r="87" spans="1:29" x14ac:dyDescent="0.3">
      <c r="A87" s="20"/>
      <c r="B87" s="10"/>
      <c r="C87" s="10"/>
      <c r="D87" s="20"/>
      <c r="E87" s="20"/>
      <c r="F87" s="10"/>
      <c r="G87" s="10"/>
      <c r="H87" s="20"/>
      <c r="I87" s="10"/>
      <c r="J87" s="10"/>
      <c r="K87" s="10"/>
      <c r="L87" s="10"/>
      <c r="M87" s="10"/>
      <c r="N87" s="10"/>
      <c r="O87" s="10"/>
      <c r="P87" s="10"/>
      <c r="Q87" s="10"/>
      <c r="R87" s="10"/>
      <c r="S87" s="10"/>
      <c r="T87" s="10"/>
      <c r="U87" s="10"/>
      <c r="V87" s="10"/>
      <c r="W87" s="10"/>
      <c r="X87" s="10"/>
      <c r="Y87" s="10"/>
      <c r="Z87" s="10"/>
      <c r="AA87" s="10"/>
      <c r="AB87" s="10"/>
      <c r="AC87" s="10"/>
    </row>
    <row r="88" spans="1:29" x14ac:dyDescent="0.3">
      <c r="A88" s="20"/>
      <c r="B88" s="10"/>
      <c r="C88" s="10"/>
      <c r="D88" s="20"/>
      <c r="E88" s="20"/>
      <c r="F88" s="10"/>
      <c r="G88" s="10"/>
      <c r="H88" s="20"/>
      <c r="I88" s="10"/>
      <c r="J88" s="10"/>
      <c r="K88" s="10"/>
      <c r="L88" s="10"/>
      <c r="M88" s="10"/>
      <c r="N88" s="10"/>
      <c r="O88" s="10"/>
      <c r="P88" s="10"/>
      <c r="Q88" s="10"/>
      <c r="R88" s="10"/>
      <c r="S88" s="10"/>
      <c r="T88" s="10"/>
      <c r="U88" s="10"/>
      <c r="V88" s="10"/>
      <c r="W88" s="10"/>
      <c r="X88" s="10"/>
      <c r="Y88" s="10"/>
      <c r="Z88" s="10"/>
      <c r="AA88" s="10"/>
      <c r="AB88" s="10"/>
      <c r="AC88" s="10"/>
    </row>
    <row r="89" spans="1:29" x14ac:dyDescent="0.3">
      <c r="A89" s="20"/>
      <c r="B89" s="10"/>
      <c r="C89" s="10"/>
      <c r="D89" s="20"/>
      <c r="E89" s="20"/>
      <c r="F89" s="10"/>
      <c r="G89" s="10"/>
      <c r="H89" s="20"/>
      <c r="I89" s="10"/>
      <c r="J89" s="10"/>
      <c r="K89" s="10"/>
      <c r="L89" s="10"/>
      <c r="M89" s="10"/>
      <c r="N89" s="10"/>
      <c r="O89" s="10"/>
      <c r="P89" s="10"/>
      <c r="Q89" s="10"/>
      <c r="R89" s="10"/>
      <c r="S89" s="10"/>
      <c r="T89" s="10"/>
      <c r="U89" s="10"/>
      <c r="V89" s="10"/>
      <c r="W89" s="10"/>
      <c r="X89" s="10"/>
      <c r="Y89" s="10"/>
      <c r="Z89" s="10"/>
      <c r="AA89" s="10"/>
      <c r="AB89" s="10"/>
      <c r="AC89" s="10"/>
    </row>
    <row r="90" spans="1:29" x14ac:dyDescent="0.3">
      <c r="A90" s="20"/>
      <c r="B90" s="10"/>
      <c r="C90" s="10"/>
      <c r="D90" s="20"/>
      <c r="E90" s="20"/>
      <c r="F90" s="10"/>
      <c r="G90" s="10"/>
      <c r="H90" s="20"/>
      <c r="I90" s="10"/>
      <c r="J90" s="10"/>
      <c r="K90" s="10"/>
      <c r="L90" s="10"/>
      <c r="M90" s="10"/>
      <c r="N90" s="10"/>
      <c r="O90" s="10"/>
      <c r="P90" s="10"/>
      <c r="Q90" s="10"/>
      <c r="R90" s="10"/>
      <c r="S90" s="10"/>
      <c r="T90" s="10"/>
      <c r="U90" s="10"/>
      <c r="V90" s="10"/>
      <c r="W90" s="10"/>
      <c r="X90" s="10"/>
      <c r="Y90" s="10"/>
      <c r="Z90" s="10"/>
      <c r="AA90" s="10"/>
      <c r="AB90" s="10"/>
      <c r="AC90" s="10"/>
    </row>
    <row r="91" spans="1:29" x14ac:dyDescent="0.3">
      <c r="A91" s="20"/>
      <c r="B91" s="10"/>
      <c r="C91" s="10"/>
      <c r="D91" s="20"/>
      <c r="E91" s="20"/>
      <c r="F91" s="10"/>
      <c r="G91" s="10"/>
      <c r="H91" s="20"/>
      <c r="I91" s="10"/>
      <c r="J91" s="10"/>
      <c r="K91" s="10"/>
      <c r="L91" s="10"/>
      <c r="M91" s="10"/>
      <c r="N91" s="10"/>
      <c r="O91" s="10"/>
      <c r="P91" s="10"/>
      <c r="Q91" s="10"/>
      <c r="R91" s="10"/>
      <c r="S91" s="10"/>
      <c r="T91" s="10"/>
      <c r="U91" s="10"/>
      <c r="V91" s="10"/>
      <c r="W91" s="10"/>
      <c r="X91" s="10"/>
      <c r="Y91" s="10"/>
      <c r="Z91" s="10"/>
      <c r="AA91" s="10"/>
      <c r="AB91" s="10"/>
      <c r="AC91" s="10"/>
    </row>
    <row r="92" spans="1:29" x14ac:dyDescent="0.3">
      <c r="A92" s="20"/>
      <c r="B92" s="10"/>
      <c r="C92" s="10"/>
      <c r="D92" s="20"/>
      <c r="E92" s="20"/>
      <c r="F92" s="10"/>
      <c r="G92" s="10"/>
      <c r="H92" s="20"/>
      <c r="I92" s="10"/>
      <c r="J92" s="10"/>
      <c r="K92" s="10"/>
      <c r="L92" s="10"/>
      <c r="M92" s="10"/>
      <c r="N92" s="10"/>
      <c r="O92" s="10"/>
      <c r="P92" s="10"/>
      <c r="Q92" s="10"/>
      <c r="R92" s="10"/>
      <c r="S92" s="10"/>
      <c r="T92" s="10"/>
      <c r="U92" s="10"/>
      <c r="V92" s="10"/>
      <c r="W92" s="10"/>
      <c r="X92" s="10"/>
      <c r="Y92" s="10"/>
      <c r="Z92" s="10"/>
      <c r="AA92" s="10"/>
      <c r="AB92" s="10"/>
      <c r="AC92" s="10"/>
    </row>
    <row r="93" spans="1:29" x14ac:dyDescent="0.3">
      <c r="A93" s="20"/>
      <c r="B93" s="10"/>
      <c r="C93" s="10"/>
      <c r="D93" s="20"/>
      <c r="E93" s="20"/>
      <c r="F93" s="10"/>
      <c r="G93" s="10"/>
      <c r="H93" s="20"/>
      <c r="I93" s="10"/>
      <c r="J93" s="10"/>
      <c r="K93" s="10"/>
      <c r="L93" s="10"/>
      <c r="M93" s="10"/>
      <c r="N93" s="10"/>
      <c r="O93" s="10"/>
      <c r="P93" s="10"/>
      <c r="Q93" s="10"/>
      <c r="R93" s="10"/>
      <c r="S93" s="10"/>
      <c r="T93" s="10"/>
      <c r="U93" s="10"/>
      <c r="V93" s="10"/>
      <c r="W93" s="10"/>
      <c r="X93" s="10"/>
      <c r="Y93" s="10"/>
      <c r="Z93" s="10"/>
      <c r="AA93" s="10"/>
      <c r="AB93" s="10"/>
      <c r="AC93" s="10"/>
    </row>
    <row r="94" spans="1:29" x14ac:dyDescent="0.3">
      <c r="A94" s="20"/>
      <c r="B94" s="10"/>
      <c r="C94" s="10"/>
      <c r="D94" s="20"/>
      <c r="E94" s="20"/>
      <c r="F94" s="10"/>
      <c r="G94" s="10"/>
      <c r="H94" s="20"/>
      <c r="I94" s="10"/>
      <c r="J94" s="10"/>
      <c r="K94" s="10"/>
      <c r="L94" s="10"/>
      <c r="M94" s="10"/>
      <c r="N94" s="10"/>
      <c r="O94" s="10"/>
      <c r="P94" s="10"/>
      <c r="Q94" s="10"/>
      <c r="R94" s="10"/>
      <c r="S94" s="10"/>
      <c r="T94" s="10"/>
      <c r="U94" s="10"/>
      <c r="V94" s="10"/>
      <c r="W94" s="10"/>
      <c r="X94" s="10"/>
      <c r="Y94" s="10"/>
      <c r="Z94" s="10"/>
      <c r="AA94" s="10"/>
      <c r="AB94" s="10"/>
      <c r="AC94" s="10"/>
    </row>
    <row r="95" spans="1:29" x14ac:dyDescent="0.3">
      <c r="A95" s="20"/>
      <c r="B95" s="10"/>
      <c r="C95" s="10"/>
      <c r="D95" s="20"/>
      <c r="E95" s="20"/>
      <c r="F95" s="10"/>
      <c r="G95" s="10"/>
      <c r="H95" s="20"/>
      <c r="I95" s="10"/>
      <c r="J95" s="10"/>
      <c r="K95" s="10"/>
      <c r="L95" s="10"/>
      <c r="M95" s="10"/>
      <c r="N95" s="10"/>
      <c r="O95" s="10"/>
      <c r="P95" s="10"/>
      <c r="Q95" s="10"/>
      <c r="R95" s="10"/>
      <c r="S95" s="10"/>
      <c r="T95" s="10"/>
      <c r="U95" s="10"/>
      <c r="V95" s="10"/>
      <c r="W95" s="10"/>
      <c r="X95" s="10"/>
      <c r="Y95" s="10"/>
      <c r="Z95" s="10"/>
      <c r="AA95" s="10"/>
      <c r="AB95" s="10"/>
      <c r="AC95" s="10"/>
    </row>
    <row r="96" spans="1:29" x14ac:dyDescent="0.3">
      <c r="A96" s="20"/>
      <c r="B96" s="10"/>
      <c r="C96" s="10"/>
      <c r="D96" s="20"/>
      <c r="E96" s="20"/>
      <c r="F96" s="10"/>
      <c r="G96" s="10"/>
      <c r="H96" s="20"/>
      <c r="I96" s="10"/>
      <c r="J96" s="10"/>
      <c r="K96" s="10"/>
      <c r="L96" s="10"/>
      <c r="M96" s="10"/>
      <c r="N96" s="10"/>
      <c r="O96" s="10"/>
      <c r="P96" s="10"/>
      <c r="Q96" s="10"/>
      <c r="R96" s="10"/>
      <c r="S96" s="10"/>
      <c r="T96" s="10"/>
      <c r="U96" s="10"/>
      <c r="V96" s="10"/>
      <c r="W96" s="10"/>
      <c r="X96" s="10"/>
      <c r="Y96" s="10"/>
      <c r="Z96" s="10"/>
      <c r="AA96" s="10"/>
      <c r="AB96" s="10"/>
      <c r="AC96" s="10"/>
    </row>
    <row r="97" spans="1:29" x14ac:dyDescent="0.3">
      <c r="A97" s="20"/>
      <c r="B97" s="10"/>
      <c r="C97" s="10"/>
      <c r="D97" s="20"/>
      <c r="E97" s="20"/>
      <c r="F97" s="10"/>
      <c r="G97" s="10"/>
      <c r="H97" s="20"/>
      <c r="I97" s="10"/>
      <c r="J97" s="10"/>
      <c r="K97" s="10"/>
      <c r="L97" s="10"/>
      <c r="M97" s="10"/>
      <c r="N97" s="10"/>
      <c r="O97" s="10"/>
      <c r="P97" s="10"/>
      <c r="Q97" s="10"/>
      <c r="R97" s="10"/>
      <c r="S97" s="10"/>
      <c r="T97" s="10"/>
      <c r="U97" s="10"/>
      <c r="V97" s="10"/>
      <c r="W97" s="10"/>
      <c r="X97" s="10"/>
      <c r="Y97" s="10"/>
      <c r="Z97" s="10"/>
      <c r="AA97" s="10"/>
      <c r="AB97" s="10"/>
      <c r="AC97" s="10"/>
    </row>
    <row r="98" spans="1:29" x14ac:dyDescent="0.3">
      <c r="A98" s="20"/>
      <c r="B98" s="10"/>
      <c r="C98" s="10"/>
      <c r="D98" s="20"/>
      <c r="E98" s="20"/>
      <c r="F98" s="10"/>
      <c r="G98" s="10"/>
      <c r="H98" s="20"/>
      <c r="I98" s="10"/>
      <c r="J98" s="10"/>
      <c r="K98" s="10"/>
      <c r="L98" s="10"/>
      <c r="M98" s="10"/>
      <c r="N98" s="10"/>
      <c r="O98" s="10"/>
      <c r="P98" s="10"/>
      <c r="Q98" s="10"/>
      <c r="R98" s="10"/>
      <c r="S98" s="10"/>
      <c r="T98" s="10"/>
      <c r="U98" s="10"/>
      <c r="V98" s="10"/>
      <c r="W98" s="10"/>
      <c r="X98" s="10"/>
      <c r="Y98" s="10"/>
      <c r="Z98" s="10"/>
      <c r="AA98" s="10"/>
      <c r="AB98" s="10"/>
      <c r="AC98" s="10"/>
    </row>
    <row r="99" spans="1:29" x14ac:dyDescent="0.3">
      <c r="A99" s="20"/>
      <c r="B99" s="10"/>
      <c r="C99" s="10"/>
      <c r="D99" s="20"/>
      <c r="E99" s="20"/>
      <c r="F99" s="10"/>
      <c r="G99" s="10"/>
      <c r="H99" s="20"/>
      <c r="I99" s="10"/>
      <c r="J99" s="10"/>
      <c r="K99" s="10"/>
      <c r="L99" s="10"/>
      <c r="M99" s="10"/>
      <c r="N99" s="10"/>
      <c r="O99" s="10"/>
      <c r="P99" s="10"/>
      <c r="Q99" s="10"/>
      <c r="R99" s="10"/>
      <c r="S99" s="10"/>
      <c r="T99" s="10"/>
      <c r="U99" s="10"/>
      <c r="V99" s="10"/>
      <c r="W99" s="10"/>
      <c r="X99" s="10"/>
      <c r="Y99" s="10"/>
      <c r="Z99" s="10"/>
      <c r="AA99" s="10"/>
      <c r="AB99" s="10"/>
      <c r="AC99" s="10"/>
    </row>
    <row r="100" spans="1:29" x14ac:dyDescent="0.3">
      <c r="A100" s="20"/>
      <c r="B100" s="10"/>
      <c r="C100" s="10"/>
      <c r="D100" s="20"/>
      <c r="E100" s="20"/>
      <c r="F100" s="10"/>
      <c r="G100" s="10"/>
      <c r="H100" s="20"/>
      <c r="I100" s="10"/>
      <c r="J100" s="10"/>
      <c r="K100" s="10"/>
      <c r="L100" s="10"/>
      <c r="M100" s="10"/>
      <c r="N100" s="10"/>
      <c r="O100" s="10"/>
      <c r="P100" s="10"/>
      <c r="Q100" s="10"/>
      <c r="R100" s="10"/>
      <c r="S100" s="10"/>
      <c r="T100" s="10"/>
      <c r="U100" s="10"/>
      <c r="V100" s="10"/>
      <c r="W100" s="10"/>
      <c r="X100" s="10"/>
      <c r="Y100" s="10"/>
      <c r="Z100" s="10"/>
      <c r="AA100" s="10"/>
      <c r="AB100" s="10"/>
      <c r="AC100" s="10"/>
    </row>
    <row r="101" spans="1:29" x14ac:dyDescent="0.3">
      <c r="A101" s="20"/>
      <c r="B101" s="10"/>
      <c r="C101" s="10"/>
      <c r="D101" s="20"/>
      <c r="E101" s="20"/>
      <c r="F101" s="10"/>
      <c r="G101" s="10"/>
      <c r="H101" s="20"/>
      <c r="I101" s="10"/>
      <c r="J101" s="10"/>
      <c r="K101" s="10"/>
      <c r="L101" s="10"/>
      <c r="M101" s="10"/>
      <c r="N101" s="10"/>
      <c r="O101" s="10"/>
      <c r="P101" s="10"/>
      <c r="Q101" s="10"/>
      <c r="R101" s="10"/>
      <c r="S101" s="10"/>
      <c r="T101" s="10"/>
      <c r="U101" s="10"/>
      <c r="V101" s="10"/>
      <c r="W101" s="10"/>
      <c r="X101" s="10"/>
      <c r="Y101" s="10"/>
      <c r="Z101" s="10"/>
      <c r="AA101" s="10"/>
      <c r="AB101" s="10"/>
      <c r="AC101" s="10"/>
    </row>
    <row r="102" spans="1:29" x14ac:dyDescent="0.3">
      <c r="A102" s="20"/>
      <c r="B102" s="10"/>
      <c r="C102" s="10"/>
      <c r="D102" s="20"/>
      <c r="E102" s="20"/>
      <c r="F102" s="10"/>
      <c r="G102" s="10"/>
      <c r="H102" s="20"/>
      <c r="I102" s="10"/>
      <c r="J102" s="10"/>
      <c r="K102" s="10"/>
      <c r="L102" s="10"/>
      <c r="M102" s="10"/>
      <c r="N102" s="10"/>
      <c r="O102" s="10"/>
      <c r="P102" s="10"/>
      <c r="Q102" s="10"/>
      <c r="R102" s="10"/>
      <c r="S102" s="10"/>
      <c r="T102" s="10"/>
      <c r="U102" s="10"/>
      <c r="V102" s="10"/>
      <c r="W102" s="10"/>
      <c r="X102" s="10"/>
      <c r="Y102" s="10"/>
      <c r="Z102" s="10"/>
      <c r="AA102" s="10"/>
      <c r="AB102" s="10"/>
      <c r="AC102" s="10"/>
    </row>
    <row r="103" spans="1:29" x14ac:dyDescent="0.3">
      <c r="A103" s="20"/>
      <c r="B103" s="10"/>
      <c r="C103" s="10"/>
      <c r="D103" s="20"/>
      <c r="E103" s="20"/>
      <c r="F103" s="10"/>
      <c r="G103" s="10"/>
      <c r="H103" s="20"/>
      <c r="I103" s="10"/>
      <c r="J103" s="10"/>
      <c r="K103" s="10"/>
      <c r="L103" s="10"/>
      <c r="M103" s="10"/>
      <c r="N103" s="10"/>
      <c r="O103" s="10"/>
      <c r="P103" s="10"/>
      <c r="Q103" s="10"/>
      <c r="R103" s="10"/>
      <c r="S103" s="10"/>
      <c r="T103" s="10"/>
      <c r="U103" s="10"/>
      <c r="V103" s="10"/>
      <c r="W103" s="10"/>
      <c r="X103" s="10"/>
      <c r="Y103" s="10"/>
      <c r="Z103" s="10"/>
      <c r="AA103" s="10"/>
      <c r="AB103" s="10"/>
      <c r="AC103" s="10"/>
    </row>
    <row r="104" spans="1:29" x14ac:dyDescent="0.3">
      <c r="A104" s="20"/>
      <c r="B104" s="10"/>
      <c r="C104" s="10"/>
      <c r="D104" s="20"/>
      <c r="E104" s="20"/>
      <c r="F104" s="10"/>
      <c r="G104" s="10"/>
      <c r="H104" s="20"/>
      <c r="I104" s="10"/>
      <c r="J104" s="10"/>
      <c r="K104" s="10"/>
      <c r="L104" s="10"/>
      <c r="M104" s="10"/>
      <c r="N104" s="10"/>
      <c r="O104" s="10"/>
      <c r="P104" s="10"/>
      <c r="Q104" s="10"/>
      <c r="R104" s="10"/>
      <c r="S104" s="10"/>
      <c r="T104" s="10"/>
      <c r="U104" s="10"/>
      <c r="V104" s="10"/>
      <c r="W104" s="10"/>
      <c r="X104" s="10"/>
      <c r="Y104" s="10"/>
      <c r="Z104" s="10"/>
      <c r="AA104" s="10"/>
      <c r="AB104" s="10"/>
      <c r="AC104" s="10"/>
    </row>
    <row r="105" spans="1:29" x14ac:dyDescent="0.3">
      <c r="A105" s="20"/>
      <c r="B105" s="10"/>
      <c r="C105" s="10"/>
      <c r="D105" s="20"/>
      <c r="E105" s="20"/>
      <c r="F105" s="10"/>
      <c r="G105" s="10"/>
      <c r="H105" s="20"/>
      <c r="I105" s="10"/>
      <c r="J105" s="10"/>
      <c r="K105" s="10"/>
      <c r="L105" s="10"/>
      <c r="M105" s="10"/>
      <c r="N105" s="10"/>
      <c r="O105" s="10"/>
      <c r="P105" s="10"/>
      <c r="Q105" s="10"/>
      <c r="R105" s="10"/>
      <c r="S105" s="10"/>
      <c r="T105" s="10"/>
      <c r="U105" s="10"/>
      <c r="V105" s="10"/>
      <c r="W105" s="10"/>
      <c r="X105" s="10"/>
      <c r="Y105" s="10"/>
      <c r="Z105" s="10"/>
      <c r="AA105" s="10"/>
      <c r="AB105" s="10"/>
      <c r="AC105" s="10"/>
    </row>
    <row r="106" spans="1:29" x14ac:dyDescent="0.3">
      <c r="A106" s="20"/>
      <c r="B106" s="10"/>
      <c r="C106" s="10"/>
      <c r="D106" s="20"/>
      <c r="E106" s="20"/>
      <c r="F106" s="10"/>
      <c r="G106" s="10"/>
      <c r="H106" s="20"/>
      <c r="I106" s="10"/>
      <c r="J106" s="10"/>
      <c r="K106" s="10"/>
      <c r="L106" s="10"/>
      <c r="M106" s="10"/>
      <c r="N106" s="10"/>
      <c r="O106" s="10"/>
      <c r="P106" s="10"/>
      <c r="Q106" s="10"/>
      <c r="R106" s="10"/>
      <c r="S106" s="10"/>
      <c r="T106" s="10"/>
      <c r="U106" s="10"/>
      <c r="V106" s="10"/>
      <c r="W106" s="10"/>
      <c r="X106" s="10"/>
      <c r="Y106" s="10"/>
      <c r="Z106" s="10"/>
      <c r="AA106" s="10"/>
      <c r="AB106" s="10"/>
      <c r="AC106" s="10"/>
    </row>
    <row r="107" spans="1:29" x14ac:dyDescent="0.3">
      <c r="A107" s="34"/>
      <c r="D107" s="34"/>
      <c r="E107" s="34"/>
      <c r="H107" s="34"/>
      <c r="I107" s="10"/>
      <c r="J107" s="10"/>
      <c r="K107" s="10"/>
      <c r="L107" s="10"/>
      <c r="M107" s="10"/>
      <c r="N107" s="10"/>
      <c r="O107" s="10"/>
      <c r="P107" s="10"/>
      <c r="Q107" s="10"/>
      <c r="R107" s="10"/>
      <c r="S107" s="10"/>
      <c r="T107" s="10"/>
      <c r="U107" s="10"/>
      <c r="V107" s="10"/>
      <c r="W107" s="10"/>
      <c r="X107" s="10"/>
      <c r="Y107" s="10"/>
      <c r="Z107" s="10"/>
      <c r="AA107" s="10"/>
      <c r="AB107" s="10"/>
      <c r="AC107" s="10"/>
    </row>
    <row r="108" spans="1:29" x14ac:dyDescent="0.3">
      <c r="A108" s="34"/>
      <c r="D108" s="34"/>
      <c r="E108" s="34"/>
      <c r="H108" s="34"/>
      <c r="I108" s="10"/>
      <c r="J108" s="10"/>
      <c r="K108" s="10"/>
      <c r="L108" s="10"/>
      <c r="M108" s="10"/>
      <c r="N108" s="10"/>
      <c r="O108" s="10"/>
      <c r="P108" s="10"/>
      <c r="Q108" s="10"/>
      <c r="R108" s="10"/>
      <c r="S108" s="10"/>
      <c r="T108" s="10"/>
      <c r="U108" s="10"/>
      <c r="V108" s="10"/>
      <c r="W108" s="10"/>
      <c r="X108" s="10"/>
      <c r="Y108" s="10"/>
      <c r="Z108" s="10"/>
      <c r="AA108" s="10"/>
      <c r="AB108" s="10"/>
      <c r="AC108" s="10"/>
    </row>
    <row r="109" spans="1:29" x14ac:dyDescent="0.3">
      <c r="A109" s="34"/>
      <c r="D109" s="34"/>
      <c r="E109" s="34"/>
      <c r="H109" s="34"/>
      <c r="I109" s="10"/>
      <c r="J109" s="10"/>
      <c r="K109" s="10"/>
      <c r="L109" s="10"/>
      <c r="M109" s="10"/>
      <c r="N109" s="10"/>
      <c r="O109" s="10"/>
      <c r="P109" s="10"/>
      <c r="Q109" s="10"/>
      <c r="R109" s="10"/>
      <c r="S109" s="10"/>
      <c r="T109" s="10"/>
      <c r="U109" s="10"/>
      <c r="V109" s="10"/>
      <c r="W109" s="10"/>
      <c r="X109" s="10"/>
      <c r="Y109" s="10"/>
      <c r="Z109" s="10"/>
      <c r="AA109" s="10"/>
      <c r="AB109" s="10"/>
      <c r="AC109" s="10"/>
    </row>
    <row r="110" spans="1:29" x14ac:dyDescent="0.3">
      <c r="A110" s="34"/>
      <c r="D110" s="34"/>
      <c r="E110" s="34"/>
      <c r="H110" s="34"/>
      <c r="K110" s="10"/>
      <c r="L110" s="10"/>
      <c r="M110" s="10"/>
      <c r="N110" s="10"/>
      <c r="O110" s="10"/>
      <c r="P110" s="10"/>
      <c r="Q110" s="10"/>
      <c r="R110" s="10"/>
      <c r="S110" s="10"/>
      <c r="T110" s="10"/>
      <c r="U110" s="10"/>
      <c r="V110" s="10"/>
      <c r="W110" s="10"/>
      <c r="X110" s="10"/>
      <c r="Y110" s="10"/>
      <c r="Z110" s="10"/>
      <c r="AA110" s="10"/>
      <c r="AB110" s="10"/>
      <c r="AC110" s="10"/>
    </row>
    <row r="111" spans="1:29" x14ac:dyDescent="0.3">
      <c r="A111" s="34"/>
      <c r="D111" s="34"/>
      <c r="E111" s="34"/>
      <c r="H111" s="34"/>
      <c r="K111" s="10"/>
      <c r="L111" s="10"/>
      <c r="M111" s="10"/>
      <c r="N111" s="10"/>
      <c r="O111" s="10"/>
      <c r="P111" s="10"/>
      <c r="Q111" s="10"/>
      <c r="R111" s="10"/>
      <c r="S111" s="10"/>
      <c r="T111" s="10"/>
      <c r="U111" s="10"/>
      <c r="V111" s="10"/>
      <c r="W111" s="10"/>
      <c r="X111" s="10"/>
      <c r="Y111" s="10"/>
      <c r="Z111" s="10"/>
      <c r="AA111" s="10"/>
      <c r="AB111" s="10"/>
      <c r="AC111" s="10"/>
    </row>
    <row r="112" spans="1:29" x14ac:dyDescent="0.3">
      <c r="A112" s="34"/>
      <c r="D112" s="34"/>
      <c r="E112" s="34"/>
      <c r="H112" s="34"/>
    </row>
    <row r="113" spans="1:8" x14ac:dyDescent="0.3">
      <c r="A113" s="34"/>
      <c r="D113" s="34"/>
      <c r="E113" s="34"/>
      <c r="H113" s="34"/>
    </row>
    <row r="114" spans="1:8" x14ac:dyDescent="0.3">
      <c r="A114" s="34"/>
      <c r="D114" s="34"/>
      <c r="E114" s="34"/>
      <c r="H114" s="34"/>
    </row>
    <row r="115" spans="1:8" x14ac:dyDescent="0.3">
      <c r="A115" s="34"/>
      <c r="D115" s="34"/>
      <c r="E115" s="34"/>
      <c r="H115" s="34"/>
    </row>
    <row r="116" spans="1:8" x14ac:dyDescent="0.3">
      <c r="A116" s="34"/>
      <c r="D116" s="34"/>
      <c r="E116" s="34"/>
      <c r="H116" s="34"/>
    </row>
    <row r="117" spans="1:8" x14ac:dyDescent="0.3">
      <c r="A117" s="34"/>
      <c r="D117" s="34"/>
      <c r="E117" s="34"/>
      <c r="H117" s="34"/>
    </row>
    <row r="118" spans="1:8" x14ac:dyDescent="0.3">
      <c r="A118" s="34"/>
      <c r="D118" s="34"/>
      <c r="E118" s="34"/>
      <c r="H118" s="34"/>
    </row>
    <row r="119" spans="1:8" x14ac:dyDescent="0.3">
      <c r="A119" s="34"/>
      <c r="D119" s="34"/>
      <c r="E119" s="34"/>
      <c r="H119" s="34"/>
    </row>
    <row r="120" spans="1:8" x14ac:dyDescent="0.3">
      <c r="A120" s="34"/>
      <c r="D120" s="34"/>
      <c r="E120" s="34"/>
      <c r="H120" s="34"/>
    </row>
    <row r="121" spans="1:8" x14ac:dyDescent="0.3">
      <c r="D121" s="34"/>
      <c r="E121" s="34"/>
    </row>
    <row r="122" spans="1:8" x14ac:dyDescent="0.3">
      <c r="D122" s="34"/>
      <c r="E122" s="34"/>
    </row>
    <row r="123" spans="1:8" x14ac:dyDescent="0.3">
      <c r="D123" s="34"/>
      <c r="E123" s="34"/>
    </row>
    <row r="124" spans="1:8" x14ac:dyDescent="0.3">
      <c r="D124" s="34"/>
      <c r="E124" s="34"/>
    </row>
    <row r="125" spans="1:8" x14ac:dyDescent="0.3">
      <c r="D125" s="34"/>
      <c r="E125" s="34"/>
    </row>
    <row r="126" spans="1:8" x14ac:dyDescent="0.3">
      <c r="D126" s="34"/>
      <c r="E126" s="34"/>
    </row>
    <row r="127" spans="1:8" x14ac:dyDescent="0.3">
      <c r="D127" s="34"/>
      <c r="E127" s="34"/>
    </row>
    <row r="128" spans="1:8" x14ac:dyDescent="0.3">
      <c r="D128" s="34"/>
      <c r="E128" s="34"/>
    </row>
    <row r="129" spans="4:5" x14ac:dyDescent="0.3">
      <c r="D129" s="34"/>
      <c r="E129" s="34"/>
    </row>
    <row r="130" spans="4:5" x14ac:dyDescent="0.3">
      <c r="D130" s="34"/>
      <c r="E130" s="34"/>
    </row>
    <row r="131" spans="4:5" x14ac:dyDescent="0.3">
      <c r="D131" s="34"/>
      <c r="E131" s="34"/>
    </row>
    <row r="132" spans="4:5" x14ac:dyDescent="0.3">
      <c r="D132" s="34"/>
      <c r="E132" s="34"/>
    </row>
    <row r="133" spans="4:5" x14ac:dyDescent="0.3">
      <c r="D133" s="34"/>
      <c r="E133" s="34"/>
    </row>
    <row r="134" spans="4:5" x14ac:dyDescent="0.3">
      <c r="D134" s="34"/>
      <c r="E134" s="34"/>
    </row>
    <row r="135" spans="4:5" x14ac:dyDescent="0.3">
      <c r="D135" s="34"/>
      <c r="E135" s="34"/>
    </row>
    <row r="136" spans="4:5" x14ac:dyDescent="0.3">
      <c r="D136" s="34"/>
      <c r="E136" s="34"/>
    </row>
    <row r="137" spans="4:5" x14ac:dyDescent="0.3">
      <c r="D137" s="34"/>
      <c r="E137" s="34"/>
    </row>
    <row r="138" spans="4:5" x14ac:dyDescent="0.3">
      <c r="D138" s="34"/>
      <c r="E138" s="34"/>
    </row>
    <row r="139" spans="4:5" x14ac:dyDescent="0.3">
      <c r="D139" s="34"/>
      <c r="E139" s="34"/>
    </row>
    <row r="140" spans="4:5" x14ac:dyDescent="0.3">
      <c r="D140" s="34"/>
      <c r="E140" s="34"/>
    </row>
    <row r="141" spans="4:5" x14ac:dyDescent="0.3">
      <c r="D141" s="34"/>
      <c r="E141" s="34"/>
    </row>
    <row r="142" spans="4:5" x14ac:dyDescent="0.3">
      <c r="D142" s="34"/>
      <c r="E142" s="34"/>
    </row>
    <row r="143" spans="4:5" x14ac:dyDescent="0.3">
      <c r="D143" s="34"/>
      <c r="E143" s="34"/>
    </row>
    <row r="144" spans="4:5" x14ac:dyDescent="0.3">
      <c r="D144" s="34"/>
      <c r="E144" s="34"/>
    </row>
    <row r="145" spans="4:5" x14ac:dyDescent="0.3">
      <c r="D145" s="34"/>
      <c r="E145" s="34"/>
    </row>
    <row r="146" spans="4:5" x14ac:dyDescent="0.3">
      <c r="D146" s="34"/>
      <c r="E146" s="34"/>
    </row>
    <row r="147" spans="4:5" x14ac:dyDescent="0.3">
      <c r="D147" s="34"/>
      <c r="E147" s="34"/>
    </row>
    <row r="148" spans="4:5" x14ac:dyDescent="0.3">
      <c r="D148" s="34"/>
      <c r="E148" s="34"/>
    </row>
    <row r="149" spans="4:5" x14ac:dyDescent="0.3">
      <c r="D149" s="34"/>
      <c r="E149" s="34"/>
    </row>
    <row r="150" spans="4:5" x14ac:dyDescent="0.3">
      <c r="D150" s="34"/>
      <c r="E150" s="34"/>
    </row>
    <row r="151" spans="4:5" x14ac:dyDescent="0.3">
      <c r="D151" s="34"/>
      <c r="E151" s="34"/>
    </row>
    <row r="152" spans="4:5" x14ac:dyDescent="0.3">
      <c r="D152" s="34"/>
      <c r="E152" s="34"/>
    </row>
    <row r="153" spans="4:5" x14ac:dyDescent="0.3">
      <c r="D153" s="34"/>
      <c r="E153" s="34"/>
    </row>
    <row r="154" spans="4:5" x14ac:dyDescent="0.3">
      <c r="D154" s="34"/>
      <c r="E154" s="34"/>
    </row>
    <row r="155" spans="4:5" x14ac:dyDescent="0.3">
      <c r="D155" s="34"/>
      <c r="E155" s="34"/>
    </row>
    <row r="156" spans="4:5" x14ac:dyDescent="0.3">
      <c r="D156" s="34"/>
      <c r="E156" s="34"/>
    </row>
  </sheetData>
  <mergeCells count="7">
    <mergeCell ref="A1:H1"/>
    <mergeCell ref="A4:H4"/>
    <mergeCell ref="A2:H2"/>
    <mergeCell ref="A3:H3"/>
    <mergeCell ref="A46:B46"/>
    <mergeCell ref="C5:D5"/>
    <mergeCell ref="G5:H5"/>
  </mergeCells>
  <phoneticPr fontId="0" type="noConversion"/>
  <printOptions horizontalCentered="1"/>
  <pageMargins left="0.19685039370078741" right="0.19685039370078741" top="0.19685039370078741" bottom="0.19685039370078741" header="0.19685039370078741" footer="0.19685039370078741"/>
  <pageSetup paperSize="9" scale="75" orientation="landscape" r:id="rId1"/>
  <headerFooter alignWithMargins="0"/>
  <rowBreaks count="1" manualBreakCount="1">
    <brk id="47" max="16383" man="1"/>
  </rowBreaks>
  <colBreaks count="1" manualBreakCount="1">
    <brk id="12"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36"/>
  <sheetViews>
    <sheetView view="pageBreakPreview" topLeftCell="A11" zoomScaleNormal="100" workbookViewId="0">
      <selection activeCell="D11" sqref="D11:M14"/>
    </sheetView>
  </sheetViews>
  <sheetFormatPr defaultColWidth="9" defaultRowHeight="15.6" x14ac:dyDescent="0.3"/>
  <cols>
    <col min="1" max="1" width="14.69921875" style="14" customWidth="1"/>
    <col min="2" max="2" width="32.59765625" style="14" customWidth="1"/>
    <col min="3" max="5" width="14.69921875" style="14" customWidth="1"/>
    <col min="6" max="6" width="36.3984375" style="14" bestFit="1" customWidth="1"/>
    <col min="7" max="8" width="14.69921875" style="14" customWidth="1"/>
    <col min="9" max="9" width="9" style="14"/>
    <col min="10" max="10" width="9.09765625" style="14" bestFit="1" customWidth="1"/>
    <col min="11" max="16384" width="9" style="14"/>
  </cols>
  <sheetData>
    <row r="1" spans="1:26" ht="21.9" customHeight="1" x14ac:dyDescent="0.3">
      <c r="A1" s="621" t="str">
        <f>+TIT!D2</f>
        <v>NAVANAND CO-OPERATIVE. HOUSING SOCIETY LTD.</v>
      </c>
      <c r="B1" s="622"/>
      <c r="C1" s="622"/>
      <c r="D1" s="622"/>
      <c r="E1" s="622"/>
      <c r="F1" s="622"/>
      <c r="G1" s="622"/>
      <c r="H1" s="623"/>
    </row>
    <row r="2" spans="1:26" s="88" customFormat="1" ht="15.9" customHeight="1" x14ac:dyDescent="0.3">
      <c r="A2" s="911" t="str">
        <f>" "&amp;TIT!A3&amp;" "&amp;TIT!D3&amp;" "</f>
        <v xml:space="preserve"> Registration No.  BOM/WR/HSG/TC/11905 DT. 06/01/2003 </v>
      </c>
      <c r="B2" s="912"/>
      <c r="C2" s="912"/>
      <c r="D2" s="912"/>
      <c r="E2" s="912"/>
      <c r="F2" s="912"/>
      <c r="G2" s="912"/>
      <c r="H2" s="913"/>
    </row>
    <row r="3" spans="1:26" s="88" customFormat="1" ht="15.9" customHeight="1" x14ac:dyDescent="0.3">
      <c r="A3" s="911" t="str">
        <f>+TIT!D6</f>
        <v>Maratha Colony Road, Dahisar - East, Mumbai - 400 068</v>
      </c>
      <c r="B3" s="912"/>
      <c r="C3" s="912"/>
      <c r="D3" s="912"/>
      <c r="E3" s="912"/>
      <c r="F3" s="912"/>
      <c r="G3" s="912"/>
      <c r="H3" s="913"/>
    </row>
    <row r="4" spans="1:26" ht="21.9" customHeight="1" x14ac:dyDescent="0.3">
      <c r="A4" s="624" t="s">
        <v>1012</v>
      </c>
      <c r="B4" s="625"/>
      <c r="C4" s="625"/>
      <c r="D4" s="625"/>
      <c r="E4" s="625"/>
      <c r="F4" s="625"/>
      <c r="G4" s="625"/>
      <c r="H4" s="626"/>
    </row>
    <row r="5" spans="1:26" ht="32.25" customHeight="1" thickBot="1" x14ac:dyDescent="0.35">
      <c r="A5" s="8" t="s">
        <v>0</v>
      </c>
      <c r="B5" s="7" t="s">
        <v>31</v>
      </c>
      <c r="C5" s="8" t="s">
        <v>2</v>
      </c>
      <c r="D5" s="462" t="s">
        <v>2</v>
      </c>
      <c r="E5" s="118" t="s">
        <v>0</v>
      </c>
      <c r="F5" s="68" t="s">
        <v>32</v>
      </c>
      <c r="G5" s="9" t="s">
        <v>2</v>
      </c>
      <c r="H5" s="9" t="s">
        <v>2</v>
      </c>
      <c r="I5" s="10"/>
      <c r="J5" s="10"/>
      <c r="K5" s="10"/>
      <c r="L5" s="10"/>
      <c r="M5" s="10"/>
      <c r="N5" s="10"/>
      <c r="O5" s="10"/>
      <c r="P5" s="10"/>
      <c r="Q5" s="10"/>
      <c r="R5" s="10"/>
      <c r="S5" s="10"/>
      <c r="T5" s="10"/>
      <c r="U5" s="10"/>
      <c r="V5" s="10"/>
      <c r="W5" s="10"/>
      <c r="X5" s="10"/>
      <c r="Y5" s="10"/>
      <c r="Z5" s="10"/>
    </row>
    <row r="6" spans="1:26" ht="15.9" customHeight="1" thickTop="1" x14ac:dyDescent="0.3">
      <c r="A6" s="18"/>
      <c r="B6" s="16" t="s">
        <v>17</v>
      </c>
      <c r="C6" s="18"/>
      <c r="D6" s="119"/>
      <c r="E6" s="25"/>
      <c r="F6" s="69" t="s">
        <v>24</v>
      </c>
      <c r="G6" s="17"/>
      <c r="H6" s="17"/>
      <c r="I6" s="10"/>
      <c r="J6" s="10"/>
      <c r="K6" s="10"/>
      <c r="L6" s="10"/>
      <c r="M6" s="10"/>
      <c r="N6" s="10"/>
      <c r="O6" s="10"/>
      <c r="P6" s="10"/>
      <c r="Q6" s="10"/>
      <c r="R6" s="10"/>
      <c r="S6" s="10"/>
      <c r="T6" s="10"/>
      <c r="U6" s="10"/>
      <c r="V6" s="10"/>
      <c r="W6" s="10"/>
      <c r="X6" s="10"/>
      <c r="Y6" s="10"/>
      <c r="Z6" s="10"/>
    </row>
    <row r="7" spans="1:26" ht="15.9" customHeight="1" thickBot="1" x14ac:dyDescent="0.35">
      <c r="A7" s="70">
        <v>100000</v>
      </c>
      <c r="B7" s="18" t="s">
        <v>363</v>
      </c>
      <c r="C7" s="70">
        <f>2000*50</f>
        <v>100000</v>
      </c>
      <c r="D7" s="116"/>
      <c r="E7" s="71">
        <v>13</v>
      </c>
      <c r="F7" s="27" t="s">
        <v>25</v>
      </c>
      <c r="G7" s="15">
        <v>698</v>
      </c>
      <c r="H7" s="15"/>
      <c r="I7" s="10"/>
      <c r="J7" s="10"/>
      <c r="K7" s="10"/>
      <c r="L7" s="10"/>
      <c r="M7" s="10"/>
      <c r="N7" s="10"/>
      <c r="O7" s="10"/>
      <c r="P7" s="10"/>
      <c r="Q7" s="10"/>
      <c r="R7" s="10"/>
      <c r="S7" s="10"/>
      <c r="T7" s="10"/>
      <c r="U7" s="10"/>
      <c r="V7" s="10"/>
      <c r="W7" s="10"/>
      <c r="X7" s="10"/>
      <c r="Y7" s="10"/>
      <c r="Z7" s="10"/>
    </row>
    <row r="8" spans="1:26" ht="15.9" customHeight="1" thickTop="1" x14ac:dyDescent="0.3">
      <c r="A8" s="15"/>
      <c r="B8" s="18"/>
      <c r="C8" s="15"/>
      <c r="D8" s="116"/>
      <c r="E8" s="71">
        <v>12444</v>
      </c>
      <c r="F8" s="10" t="s">
        <v>366</v>
      </c>
      <c r="G8" s="15">
        <v>12444</v>
      </c>
      <c r="H8" s="71"/>
      <c r="I8" s="10"/>
      <c r="J8" s="71"/>
      <c r="K8" s="10"/>
      <c r="L8" s="10"/>
      <c r="M8" s="10"/>
      <c r="N8" s="10"/>
      <c r="O8" s="10"/>
      <c r="P8" s="10"/>
      <c r="Q8" s="10"/>
      <c r="R8" s="10"/>
      <c r="S8" s="10"/>
      <c r="T8" s="10"/>
      <c r="U8" s="10"/>
      <c r="V8" s="10"/>
      <c r="W8" s="10"/>
      <c r="X8" s="10"/>
      <c r="Y8" s="10"/>
      <c r="Z8" s="10"/>
    </row>
    <row r="9" spans="1:26" ht="15.9" customHeight="1" x14ac:dyDescent="0.3">
      <c r="A9" s="15">
        <v>7500</v>
      </c>
      <c r="B9" s="16" t="s">
        <v>364</v>
      </c>
      <c r="C9" s="15"/>
      <c r="D9" s="463">
        <f>150*50</f>
        <v>7500</v>
      </c>
      <c r="E9" s="71">
        <v>348228.64</v>
      </c>
      <c r="F9" s="10" t="s">
        <v>398</v>
      </c>
      <c r="G9" s="22">
        <v>624082.46</v>
      </c>
      <c r="H9" s="467">
        <f>SUM(G7:G9)</f>
        <v>637224.46</v>
      </c>
      <c r="I9" s="10"/>
      <c r="J9" s="71"/>
      <c r="K9" s="10"/>
      <c r="L9" s="10"/>
      <c r="M9" s="10"/>
      <c r="N9" s="10"/>
      <c r="O9" s="10"/>
      <c r="P9" s="10"/>
      <c r="Q9" s="10"/>
      <c r="R9" s="10"/>
      <c r="S9" s="10"/>
      <c r="T9" s="10"/>
      <c r="U9" s="10"/>
      <c r="V9" s="10"/>
      <c r="W9" s="10"/>
      <c r="X9" s="10"/>
      <c r="Y9" s="10"/>
      <c r="Z9" s="10"/>
    </row>
    <row r="10" spans="1:26" ht="15.9" customHeight="1" x14ac:dyDescent="0.3">
      <c r="A10" s="15"/>
      <c r="B10" s="18" t="s">
        <v>365</v>
      </c>
      <c r="C10" s="15"/>
      <c r="D10" s="463"/>
      <c r="E10" s="71"/>
      <c r="F10" s="27"/>
      <c r="G10" s="15"/>
      <c r="H10" s="467"/>
      <c r="I10" s="10"/>
      <c r="J10" s="10"/>
      <c r="K10" s="10"/>
      <c r="L10" s="10"/>
      <c r="M10" s="10"/>
      <c r="N10" s="10"/>
      <c r="O10" s="10"/>
      <c r="P10" s="10"/>
      <c r="Q10" s="10"/>
      <c r="R10" s="10"/>
      <c r="S10" s="10"/>
      <c r="T10" s="10"/>
      <c r="U10" s="10"/>
      <c r="V10" s="10"/>
      <c r="W10" s="10"/>
      <c r="X10" s="10"/>
      <c r="Y10" s="10"/>
      <c r="Z10" s="10"/>
    </row>
    <row r="11" spans="1:26" ht="15.9" customHeight="1" x14ac:dyDescent="0.3">
      <c r="A11" s="15"/>
      <c r="B11" s="16" t="s">
        <v>18</v>
      </c>
      <c r="C11" s="15"/>
      <c r="D11" s="463"/>
      <c r="E11" s="71"/>
      <c r="F11" s="69" t="s">
        <v>26</v>
      </c>
      <c r="G11" s="15"/>
      <c r="H11" s="467"/>
      <c r="I11" s="10"/>
      <c r="J11" s="10"/>
      <c r="K11" s="10"/>
      <c r="L11" s="10"/>
      <c r="M11" s="10"/>
      <c r="N11" s="10"/>
      <c r="O11" s="10"/>
      <c r="P11" s="10"/>
      <c r="Q11" s="10"/>
      <c r="R11" s="10"/>
      <c r="S11" s="10"/>
      <c r="T11" s="10"/>
      <c r="U11" s="10"/>
      <c r="V11" s="10"/>
      <c r="W11" s="10"/>
      <c r="X11" s="10"/>
      <c r="Y11" s="10"/>
      <c r="Z11" s="10"/>
    </row>
    <row r="12" spans="1:26" ht="15.9" customHeight="1" x14ac:dyDescent="0.3">
      <c r="A12" s="15">
        <v>415647.54</v>
      </c>
      <c r="B12" s="72" t="s">
        <v>51</v>
      </c>
      <c r="C12" s="15"/>
      <c r="D12" s="463"/>
      <c r="E12" s="71">
        <v>100</v>
      </c>
      <c r="F12" s="27" t="s">
        <v>367</v>
      </c>
      <c r="G12" s="15">
        <v>100</v>
      </c>
      <c r="H12" s="467"/>
      <c r="I12" s="10"/>
      <c r="J12" s="10"/>
      <c r="K12" s="10"/>
      <c r="L12" s="10"/>
      <c r="M12" s="10"/>
      <c r="N12" s="10"/>
      <c r="O12" s="10"/>
      <c r="P12" s="10"/>
      <c r="Q12" s="10"/>
      <c r="R12" s="10"/>
      <c r="S12" s="10"/>
      <c r="T12" s="10"/>
      <c r="U12" s="10"/>
      <c r="V12" s="10"/>
      <c r="W12" s="10"/>
      <c r="X12" s="10"/>
      <c r="Y12" s="10"/>
      <c r="Z12" s="10"/>
    </row>
    <row r="13" spans="1:26" ht="15.9" customHeight="1" x14ac:dyDescent="0.3">
      <c r="A13" s="15"/>
      <c r="B13" s="18" t="s">
        <v>19</v>
      </c>
      <c r="C13" s="15">
        <f>+A12</f>
        <v>415647.54</v>
      </c>
      <c r="D13" s="463"/>
      <c r="E13" s="71">
        <v>1000</v>
      </c>
      <c r="F13" s="27" t="s">
        <v>368</v>
      </c>
      <c r="G13" s="15">
        <v>1000</v>
      </c>
      <c r="H13" s="467"/>
      <c r="I13" s="10"/>
      <c r="J13" s="10"/>
      <c r="K13" s="10"/>
      <c r="L13" s="10"/>
      <c r="M13" s="10"/>
      <c r="N13" s="10"/>
      <c r="O13" s="10"/>
      <c r="P13" s="10"/>
      <c r="Q13" s="10"/>
      <c r="R13" s="10"/>
      <c r="S13" s="10"/>
      <c r="T13" s="10"/>
      <c r="U13" s="10"/>
      <c r="V13" s="10"/>
      <c r="W13" s="10"/>
      <c r="X13" s="10"/>
      <c r="Y13" s="10"/>
      <c r="Z13" s="10"/>
    </row>
    <row r="14" spans="1:26" ht="28.8" x14ac:dyDescent="0.3">
      <c r="A14" s="15"/>
      <c r="B14" s="375" t="s">
        <v>651</v>
      </c>
      <c r="C14" s="15">
        <v>0</v>
      </c>
      <c r="D14" s="463"/>
      <c r="E14" s="71">
        <v>33564</v>
      </c>
      <c r="F14" s="27" t="s">
        <v>397</v>
      </c>
      <c r="G14" s="15">
        <v>33564</v>
      </c>
      <c r="H14" s="467"/>
      <c r="I14" s="10"/>
      <c r="J14" s="10"/>
      <c r="K14" s="10"/>
      <c r="L14" s="10"/>
      <c r="M14" s="10"/>
      <c r="N14" s="10"/>
      <c r="O14" s="10"/>
      <c r="P14" s="10"/>
      <c r="Q14" s="10"/>
      <c r="R14" s="10"/>
      <c r="S14" s="10"/>
      <c r="T14" s="10"/>
      <c r="U14" s="10"/>
      <c r="V14" s="10"/>
      <c r="W14" s="10"/>
      <c r="X14" s="10"/>
      <c r="Y14" s="10"/>
      <c r="Z14" s="10"/>
    </row>
    <row r="15" spans="1:26" ht="15.9" customHeight="1" x14ac:dyDescent="0.3">
      <c r="A15" s="15"/>
      <c r="B15" s="375" t="s">
        <v>708</v>
      </c>
      <c r="C15" s="22">
        <f>+'I&amp;E'!D35</f>
        <v>19501</v>
      </c>
      <c r="D15" s="463">
        <f>+C13+C14+C15</f>
        <v>435148.54</v>
      </c>
      <c r="E15" s="71">
        <v>1189112</v>
      </c>
      <c r="F15" s="27" t="s">
        <v>677</v>
      </c>
      <c r="G15" s="15">
        <v>1025316</v>
      </c>
      <c r="H15" s="419"/>
      <c r="I15" s="10"/>
      <c r="J15" s="10"/>
      <c r="K15" s="10"/>
      <c r="L15" s="10"/>
      <c r="M15" s="10"/>
      <c r="N15" s="10"/>
      <c r="O15" s="10"/>
      <c r="P15" s="10"/>
      <c r="Q15" s="10"/>
      <c r="R15" s="10"/>
      <c r="S15" s="10"/>
      <c r="T15" s="10"/>
      <c r="U15" s="10"/>
      <c r="V15" s="10"/>
      <c r="W15" s="10"/>
      <c r="X15" s="10"/>
      <c r="Y15" s="10"/>
      <c r="Z15" s="10"/>
    </row>
    <row r="16" spans="1:26" ht="15.9" customHeight="1" x14ac:dyDescent="0.3">
      <c r="A16" s="15">
        <v>10940</v>
      </c>
      <c r="B16" s="72" t="s">
        <v>409</v>
      </c>
      <c r="C16" s="19"/>
      <c r="D16" s="464"/>
      <c r="E16" s="71">
        <v>55824</v>
      </c>
      <c r="F16" s="27" t="s">
        <v>28</v>
      </c>
      <c r="G16" s="22">
        <v>52834</v>
      </c>
      <c r="H16" s="419">
        <f>SUM(G12:G16)</f>
        <v>1112814</v>
      </c>
      <c r="I16" s="10"/>
      <c r="J16" s="20"/>
      <c r="K16" s="10"/>
      <c r="L16" s="10"/>
      <c r="M16" s="10"/>
      <c r="N16" s="10"/>
      <c r="O16" s="10"/>
      <c r="P16" s="10"/>
      <c r="Q16" s="10"/>
      <c r="R16" s="10"/>
      <c r="S16" s="10"/>
      <c r="T16" s="10"/>
      <c r="U16" s="10"/>
      <c r="V16" s="10"/>
      <c r="W16" s="10"/>
      <c r="X16" s="10"/>
      <c r="Y16" s="10"/>
      <c r="Z16" s="10"/>
    </row>
    <row r="17" spans="1:26" ht="15.9" customHeight="1" x14ac:dyDescent="0.3">
      <c r="A17" s="19"/>
      <c r="B17" s="18" t="s">
        <v>19</v>
      </c>
      <c r="C17" s="15">
        <f>+A16</f>
        <v>10940</v>
      </c>
      <c r="D17" s="463"/>
      <c r="E17" s="71"/>
      <c r="F17" s="69" t="s">
        <v>27</v>
      </c>
      <c r="G17" s="15"/>
      <c r="H17" s="467"/>
      <c r="I17" s="10"/>
      <c r="J17" s="20"/>
      <c r="K17" s="20"/>
      <c r="L17" s="10"/>
      <c r="M17" s="10"/>
      <c r="N17" s="10"/>
      <c r="O17" s="10"/>
      <c r="P17" s="10"/>
      <c r="Q17" s="10"/>
      <c r="R17" s="10"/>
      <c r="S17" s="10"/>
      <c r="T17" s="10"/>
      <c r="U17" s="10"/>
      <c r="V17" s="10"/>
      <c r="W17" s="10"/>
      <c r="X17" s="10"/>
      <c r="Y17" s="10"/>
      <c r="Z17" s="10"/>
    </row>
    <row r="18" spans="1:26" ht="15.9" customHeight="1" x14ac:dyDescent="0.3">
      <c r="A18" s="19"/>
      <c r="B18" s="18" t="s">
        <v>52</v>
      </c>
      <c r="C18" s="22">
        <v>0</v>
      </c>
      <c r="D18" s="463">
        <f>+C17+C18</f>
        <v>10940</v>
      </c>
      <c r="E18" s="71">
        <v>213458</v>
      </c>
      <c r="F18" s="27" t="s">
        <v>50</v>
      </c>
      <c r="G18" s="15">
        <v>213458</v>
      </c>
      <c r="H18" s="467"/>
      <c r="I18" s="10"/>
      <c r="J18" s="10"/>
      <c r="K18" s="10"/>
      <c r="L18" s="10"/>
      <c r="M18" s="10"/>
      <c r="N18" s="10"/>
      <c r="O18" s="10"/>
      <c r="P18" s="10"/>
      <c r="Q18" s="10"/>
      <c r="R18" s="10"/>
      <c r="S18" s="10"/>
      <c r="T18" s="10"/>
      <c r="U18" s="10"/>
      <c r="V18" s="10"/>
      <c r="W18" s="10"/>
      <c r="X18" s="10"/>
      <c r="Y18" s="10"/>
      <c r="Z18" s="10"/>
    </row>
    <row r="19" spans="1:26" ht="15.9" customHeight="1" x14ac:dyDescent="0.3">
      <c r="A19" s="15">
        <v>388258</v>
      </c>
      <c r="B19" s="72" t="s">
        <v>652</v>
      </c>
      <c r="C19" s="15"/>
      <c r="D19" s="463"/>
      <c r="E19" s="71">
        <v>22913</v>
      </c>
      <c r="F19" s="27" t="s">
        <v>370</v>
      </c>
      <c r="G19" s="22">
        <v>41232</v>
      </c>
      <c r="H19" s="467">
        <f>SUM(G18:G19)</f>
        <v>254690</v>
      </c>
      <c r="I19" s="10"/>
      <c r="J19" s="20"/>
      <c r="K19" s="20"/>
      <c r="L19" s="10"/>
      <c r="M19" s="10"/>
      <c r="N19" s="10"/>
      <c r="O19" s="10"/>
      <c r="P19" s="10"/>
      <c r="Q19" s="10"/>
      <c r="R19" s="10"/>
      <c r="S19" s="10"/>
      <c r="T19" s="10"/>
      <c r="U19" s="10"/>
      <c r="V19" s="10"/>
      <c r="W19" s="10"/>
      <c r="X19" s="10"/>
      <c r="Y19" s="10"/>
      <c r="Z19" s="10"/>
    </row>
    <row r="20" spans="1:26" ht="15.9" customHeight="1" x14ac:dyDescent="0.3">
      <c r="A20" s="15"/>
      <c r="B20" s="18" t="s">
        <v>19</v>
      </c>
      <c r="C20" s="15">
        <f>+A19</f>
        <v>388258</v>
      </c>
      <c r="D20" s="463"/>
      <c r="E20" s="71"/>
      <c r="F20" s="27"/>
      <c r="G20" s="15"/>
      <c r="H20" s="467"/>
      <c r="I20" s="10"/>
      <c r="J20" s="10"/>
      <c r="K20" s="10"/>
      <c r="L20" s="10"/>
      <c r="M20" s="10"/>
      <c r="N20" s="10"/>
      <c r="O20" s="10"/>
      <c r="P20" s="10"/>
      <c r="Q20" s="10"/>
      <c r="R20" s="10"/>
      <c r="S20" s="10"/>
      <c r="T20" s="10"/>
      <c r="U20" s="10"/>
      <c r="V20" s="10"/>
      <c r="W20" s="10"/>
      <c r="X20" s="10"/>
      <c r="Y20" s="10"/>
      <c r="Z20" s="10"/>
    </row>
    <row r="21" spans="1:26" ht="15.9" customHeight="1" x14ac:dyDescent="0.3">
      <c r="A21" s="15"/>
      <c r="B21" s="18" t="s">
        <v>20</v>
      </c>
      <c r="C21" s="15">
        <v>10800</v>
      </c>
      <c r="D21" s="463"/>
      <c r="E21" s="71">
        <v>23200</v>
      </c>
      <c r="F21" s="27" t="s">
        <v>369</v>
      </c>
      <c r="G21" s="15">
        <v>23200</v>
      </c>
      <c r="H21" s="467"/>
      <c r="I21" s="10"/>
      <c r="J21" s="10"/>
      <c r="K21" s="10"/>
      <c r="L21" s="10"/>
      <c r="M21" s="10"/>
      <c r="N21" s="10"/>
      <c r="O21" s="10"/>
      <c r="P21" s="10"/>
      <c r="Q21" s="10"/>
      <c r="R21" s="10"/>
      <c r="S21" s="10"/>
      <c r="T21" s="10"/>
      <c r="U21" s="10"/>
      <c r="V21" s="10"/>
      <c r="W21" s="10"/>
      <c r="X21" s="10"/>
      <c r="Y21" s="10"/>
      <c r="Z21" s="10"/>
    </row>
    <row r="22" spans="1:26" ht="15.9" customHeight="1" x14ac:dyDescent="0.3">
      <c r="A22" s="15"/>
      <c r="B22" s="92" t="s">
        <v>410</v>
      </c>
      <c r="C22" s="22">
        <v>18319</v>
      </c>
      <c r="D22" s="463">
        <f>+C20+C21+C22</f>
        <v>417377</v>
      </c>
      <c r="E22" s="71">
        <v>9135</v>
      </c>
      <c r="F22" s="27" t="s">
        <v>695</v>
      </c>
      <c r="G22" s="22">
        <v>9135</v>
      </c>
      <c r="H22" s="467">
        <f>+G21+G22</f>
        <v>32335</v>
      </c>
      <c r="I22" s="10"/>
      <c r="J22" s="20">
        <f>+D22</f>
        <v>417377</v>
      </c>
      <c r="K22" s="10"/>
      <c r="L22" s="20"/>
      <c r="M22" s="20"/>
      <c r="N22" s="10"/>
      <c r="O22" s="10"/>
      <c r="P22" s="10"/>
      <c r="Q22" s="10"/>
      <c r="R22" s="10"/>
      <c r="S22" s="10"/>
      <c r="T22" s="10"/>
      <c r="U22" s="10"/>
      <c r="V22" s="10"/>
      <c r="W22" s="10"/>
      <c r="X22" s="10"/>
      <c r="Y22" s="10"/>
      <c r="Z22" s="10"/>
    </row>
    <row r="23" spans="1:26" ht="15.9" customHeight="1" x14ac:dyDescent="0.3">
      <c r="A23" s="15">
        <v>268198</v>
      </c>
      <c r="B23" s="72" t="s">
        <v>653</v>
      </c>
      <c r="C23" s="15"/>
      <c r="D23" s="463"/>
      <c r="E23" s="114"/>
      <c r="F23" s="27"/>
      <c r="G23" s="19"/>
      <c r="H23" s="468"/>
      <c r="I23" s="10"/>
      <c r="J23" s="20">
        <f>+H19</f>
        <v>254690</v>
      </c>
      <c r="K23" s="10"/>
      <c r="L23" s="10"/>
      <c r="M23" s="10"/>
      <c r="N23" s="10"/>
      <c r="O23" s="10"/>
      <c r="P23" s="10"/>
      <c r="Q23" s="10"/>
      <c r="R23" s="10"/>
      <c r="S23" s="10"/>
      <c r="T23" s="10"/>
      <c r="U23" s="10"/>
      <c r="V23" s="10"/>
      <c r="W23" s="10"/>
      <c r="X23" s="10"/>
      <c r="Y23" s="10"/>
      <c r="Z23" s="10"/>
    </row>
    <row r="24" spans="1:26" ht="15.9" customHeight="1" x14ac:dyDescent="0.3">
      <c r="A24" s="15"/>
      <c r="B24" s="18" t="s">
        <v>19</v>
      </c>
      <c r="C24" s="15">
        <f>+A23</f>
        <v>268198</v>
      </c>
      <c r="D24" s="463"/>
      <c r="E24" s="71">
        <v>26565</v>
      </c>
      <c r="F24" s="27" t="s">
        <v>371</v>
      </c>
      <c r="G24" s="15"/>
      <c r="H24" s="467">
        <v>51735</v>
      </c>
      <c r="I24" s="10"/>
      <c r="J24" s="20">
        <f>+J22-J23</f>
        <v>162687</v>
      </c>
      <c r="K24" s="20">
        <f>+J24/100000</f>
        <v>1.62687</v>
      </c>
      <c r="L24" s="10"/>
      <c r="M24" s="10"/>
      <c r="N24" s="10"/>
      <c r="O24" s="10"/>
      <c r="P24" s="10"/>
      <c r="Q24" s="10"/>
      <c r="R24" s="10"/>
      <c r="S24" s="10"/>
      <c r="T24" s="10"/>
      <c r="U24" s="10"/>
      <c r="V24" s="10"/>
      <c r="W24" s="10"/>
      <c r="X24" s="10"/>
      <c r="Y24" s="10"/>
      <c r="Z24" s="10"/>
    </row>
    <row r="25" spans="1:26" ht="15.9" customHeight="1" x14ac:dyDescent="0.3">
      <c r="A25" s="15"/>
      <c r="B25" s="18" t="s">
        <v>20</v>
      </c>
      <c r="C25" s="15">
        <v>36000</v>
      </c>
      <c r="D25" s="463"/>
      <c r="E25" s="71"/>
      <c r="F25" s="27"/>
      <c r="G25" s="15"/>
      <c r="H25" s="467"/>
      <c r="I25" s="20"/>
      <c r="J25" s="10"/>
      <c r="K25" s="10"/>
      <c r="L25" s="10"/>
      <c r="M25" s="10"/>
      <c r="N25" s="10"/>
      <c r="O25" s="10"/>
      <c r="P25" s="10"/>
      <c r="Q25" s="10"/>
      <c r="R25" s="10"/>
      <c r="S25" s="10"/>
      <c r="T25" s="10"/>
      <c r="U25" s="10"/>
      <c r="V25" s="10"/>
      <c r="W25" s="10"/>
      <c r="X25" s="10"/>
      <c r="Y25" s="10"/>
      <c r="Z25" s="10"/>
    </row>
    <row r="26" spans="1:26" ht="15.9" customHeight="1" x14ac:dyDescent="0.3">
      <c r="A26" s="15"/>
      <c r="B26" s="10" t="s">
        <v>843</v>
      </c>
      <c r="C26" s="22">
        <v>0</v>
      </c>
      <c r="D26" s="463">
        <f>+C24+C25-C26</f>
        <v>304198</v>
      </c>
      <c r="E26" s="71"/>
      <c r="F26" s="69" t="s">
        <v>29</v>
      </c>
      <c r="G26" s="15"/>
      <c r="H26" s="467"/>
      <c r="I26" s="10"/>
      <c r="J26" s="10"/>
      <c r="K26" s="10"/>
      <c r="L26" s="10"/>
      <c r="M26" s="10"/>
      <c r="N26" s="10"/>
      <c r="O26" s="10"/>
      <c r="P26" s="10"/>
      <c r="Q26" s="10"/>
      <c r="R26" s="10"/>
      <c r="S26" s="10"/>
      <c r="T26" s="10"/>
      <c r="U26" s="10"/>
      <c r="V26" s="10"/>
      <c r="W26" s="10"/>
      <c r="X26" s="10"/>
      <c r="Y26" s="10"/>
      <c r="Z26" s="10"/>
    </row>
    <row r="27" spans="1:26" ht="15.9" customHeight="1" x14ac:dyDescent="0.3">
      <c r="A27" s="15">
        <v>26490</v>
      </c>
      <c r="B27" s="76" t="s">
        <v>687</v>
      </c>
      <c r="C27" s="15"/>
      <c r="D27" s="465"/>
      <c r="E27" s="71">
        <v>2258</v>
      </c>
      <c r="F27" s="27" t="s">
        <v>379</v>
      </c>
      <c r="G27" s="15"/>
      <c r="H27" s="467"/>
      <c r="I27" s="10"/>
      <c r="J27" s="10"/>
      <c r="K27" s="10"/>
      <c r="L27" s="10"/>
      <c r="M27" s="10"/>
      <c r="N27" s="10"/>
      <c r="O27" s="10"/>
      <c r="P27" s="10"/>
      <c r="Q27" s="10"/>
      <c r="R27" s="10"/>
      <c r="S27" s="10"/>
      <c r="T27" s="10"/>
      <c r="U27" s="10"/>
      <c r="V27" s="10"/>
      <c r="W27" s="10"/>
      <c r="X27" s="10"/>
      <c r="Y27" s="10"/>
      <c r="Z27" s="10"/>
    </row>
    <row r="28" spans="1:26" ht="15.9" customHeight="1" x14ac:dyDescent="0.3">
      <c r="A28" s="19"/>
      <c r="B28" s="18" t="s">
        <v>19</v>
      </c>
      <c r="C28" s="15">
        <f>+A27</f>
        <v>26490</v>
      </c>
      <c r="D28" s="465"/>
      <c r="E28" s="71"/>
      <c r="F28" s="27" t="s">
        <v>30</v>
      </c>
      <c r="G28" s="15">
        <f>+E27</f>
        <v>2258</v>
      </c>
      <c r="H28" s="467"/>
      <c r="I28" s="10"/>
      <c r="J28" s="10" t="s">
        <v>395</v>
      </c>
      <c r="K28" s="10"/>
      <c r="L28" s="10"/>
      <c r="M28" s="10"/>
      <c r="N28" s="10"/>
      <c r="O28" s="10"/>
      <c r="P28" s="10"/>
      <c r="Q28" s="10"/>
      <c r="R28" s="10"/>
      <c r="S28" s="10"/>
      <c r="T28" s="10"/>
      <c r="U28" s="10"/>
      <c r="V28" s="10"/>
      <c r="W28" s="10"/>
      <c r="X28" s="10"/>
      <c r="Y28" s="10"/>
      <c r="Z28" s="10"/>
    </row>
    <row r="29" spans="1:26" ht="15.9" customHeight="1" x14ac:dyDescent="0.3">
      <c r="A29" s="19"/>
      <c r="B29" s="18" t="s">
        <v>20</v>
      </c>
      <c r="C29" s="22">
        <v>3600</v>
      </c>
      <c r="D29" s="465">
        <f>+C28+C29</f>
        <v>30090</v>
      </c>
      <c r="E29" s="71"/>
      <c r="F29" s="27" t="s">
        <v>48</v>
      </c>
      <c r="G29" s="15">
        <v>0</v>
      </c>
      <c r="H29" s="468"/>
      <c r="I29" s="10"/>
      <c r="J29" s="20">
        <f>+G30+G32+G34+G36+G38+G40</f>
        <v>7316</v>
      </c>
      <c r="K29" s="10"/>
      <c r="L29" s="10"/>
      <c r="M29" s="10"/>
      <c r="N29" s="10"/>
      <c r="O29" s="10"/>
      <c r="P29" s="10"/>
      <c r="Q29" s="10"/>
      <c r="R29" s="10"/>
      <c r="S29" s="10"/>
      <c r="T29" s="10"/>
      <c r="U29" s="10"/>
      <c r="V29" s="10"/>
      <c r="W29" s="10"/>
      <c r="X29" s="10"/>
      <c r="Y29" s="10"/>
      <c r="Z29" s="10"/>
    </row>
    <row r="30" spans="1:26" ht="15.9" customHeight="1" x14ac:dyDescent="0.3">
      <c r="A30" s="15">
        <v>100000</v>
      </c>
      <c r="B30" s="76" t="s">
        <v>987</v>
      </c>
      <c r="C30" s="15">
        <f>+A30</f>
        <v>100000</v>
      </c>
      <c r="D30" s="465"/>
      <c r="E30" s="114"/>
      <c r="F30" s="27" t="s">
        <v>350</v>
      </c>
      <c r="G30" s="22">
        <f>ROUND((G28+G29)*10%,0)</f>
        <v>226</v>
      </c>
      <c r="H30" s="467">
        <f>+G28+G29-G30</f>
        <v>2032</v>
      </c>
      <c r="I30" s="10"/>
      <c r="J30" s="20"/>
      <c r="K30" s="10"/>
      <c r="L30" s="10"/>
      <c r="M30" s="10"/>
      <c r="N30" s="10"/>
      <c r="O30" s="10"/>
      <c r="P30" s="10"/>
      <c r="Q30" s="10"/>
      <c r="R30" s="10"/>
      <c r="S30" s="10"/>
      <c r="T30" s="10"/>
      <c r="U30" s="10"/>
      <c r="V30" s="10"/>
      <c r="W30" s="10"/>
      <c r="X30" s="10"/>
      <c r="Y30" s="10"/>
      <c r="Z30" s="10"/>
    </row>
    <row r="31" spans="1:26" ht="15.9" customHeight="1" x14ac:dyDescent="0.3">
      <c r="A31" s="19"/>
      <c r="B31" s="29" t="s">
        <v>1016</v>
      </c>
      <c r="C31" s="22">
        <v>-100000</v>
      </c>
      <c r="D31" s="465">
        <v>0</v>
      </c>
      <c r="E31" s="71">
        <v>6416</v>
      </c>
      <c r="F31" s="27" t="s">
        <v>376</v>
      </c>
      <c r="G31" s="15">
        <f>+E31</f>
        <v>6416</v>
      </c>
      <c r="H31" s="467"/>
      <c r="I31" s="10"/>
      <c r="J31" s="20"/>
      <c r="K31" s="10"/>
      <c r="L31" s="10"/>
      <c r="M31" s="10"/>
      <c r="N31" s="10"/>
      <c r="O31" s="10"/>
      <c r="P31" s="10"/>
      <c r="Q31" s="10"/>
      <c r="R31" s="10"/>
      <c r="S31" s="10"/>
      <c r="T31" s="10"/>
      <c r="U31" s="10"/>
      <c r="V31" s="10"/>
      <c r="W31" s="10"/>
      <c r="X31" s="10"/>
      <c r="Y31" s="10"/>
      <c r="Z31" s="10"/>
    </row>
    <row r="32" spans="1:26" ht="15.9" customHeight="1" x14ac:dyDescent="0.3">
      <c r="A32" s="19"/>
      <c r="B32" s="29"/>
      <c r="C32" s="15"/>
      <c r="D32" s="465"/>
      <c r="E32" s="71"/>
      <c r="F32" s="27" t="s">
        <v>350</v>
      </c>
      <c r="G32" s="22">
        <f>ROUND(G31*10%,0)</f>
        <v>642</v>
      </c>
      <c r="H32" s="467">
        <f>+G31-G32</f>
        <v>5774</v>
      </c>
      <c r="I32" s="10"/>
      <c r="J32" s="20"/>
      <c r="K32" s="10"/>
      <c r="L32" s="10"/>
      <c r="M32" s="10"/>
      <c r="N32" s="10"/>
      <c r="O32" s="10"/>
      <c r="P32" s="10"/>
      <c r="Q32" s="10"/>
      <c r="R32" s="10"/>
      <c r="S32" s="10"/>
      <c r="T32" s="10"/>
      <c r="U32" s="10"/>
      <c r="V32" s="10"/>
      <c r="W32" s="10"/>
      <c r="X32" s="10"/>
      <c r="Y32" s="10"/>
      <c r="Z32" s="10"/>
    </row>
    <row r="33" spans="1:26" ht="15.9" customHeight="1" x14ac:dyDescent="0.3">
      <c r="A33" s="15"/>
      <c r="B33" s="73" t="s">
        <v>33</v>
      </c>
      <c r="C33" s="15"/>
      <c r="D33" s="463"/>
      <c r="E33" s="71">
        <v>5704</v>
      </c>
      <c r="F33" s="27" t="s">
        <v>377</v>
      </c>
      <c r="G33" s="15">
        <f>+E33</f>
        <v>5704</v>
      </c>
      <c r="H33" s="467"/>
      <c r="I33" s="10"/>
      <c r="J33" s="20"/>
      <c r="K33" s="10"/>
      <c r="L33" s="10"/>
      <c r="M33" s="10"/>
      <c r="N33" s="10"/>
      <c r="O33" s="10"/>
      <c r="P33" s="10"/>
      <c r="Q33" s="10"/>
      <c r="R33" s="10"/>
      <c r="S33" s="10"/>
      <c r="T33" s="10"/>
      <c r="U33" s="10"/>
      <c r="V33" s="10"/>
      <c r="W33" s="10"/>
      <c r="X33" s="10"/>
      <c r="Y33" s="10"/>
      <c r="Z33" s="10"/>
    </row>
    <row r="34" spans="1:26" ht="15.9" customHeight="1" x14ac:dyDescent="0.3">
      <c r="A34" s="15">
        <v>20890</v>
      </c>
      <c r="B34" s="29" t="s">
        <v>21</v>
      </c>
      <c r="C34" s="15">
        <v>30000</v>
      </c>
      <c r="D34" s="463"/>
      <c r="E34" s="71"/>
      <c r="F34" s="27" t="s">
        <v>350</v>
      </c>
      <c r="G34" s="22">
        <f>ROUND(G33*10%,0)</f>
        <v>570</v>
      </c>
      <c r="H34" s="467">
        <f>+G33-G34</f>
        <v>5134</v>
      </c>
      <c r="I34" s="10"/>
      <c r="J34" s="20"/>
      <c r="K34" s="10"/>
      <c r="L34" s="10"/>
      <c r="M34" s="10"/>
      <c r="N34" s="10"/>
      <c r="O34" s="10"/>
      <c r="P34" s="10"/>
      <c r="Q34" s="10"/>
      <c r="R34" s="10"/>
      <c r="S34" s="10"/>
      <c r="T34" s="10"/>
      <c r="U34" s="10"/>
      <c r="V34" s="10"/>
      <c r="W34" s="10"/>
      <c r="X34" s="10"/>
      <c r="Y34" s="10"/>
      <c r="Z34" s="10"/>
    </row>
    <row r="35" spans="1:26" ht="15.9" customHeight="1" x14ac:dyDescent="0.3">
      <c r="A35" s="15">
        <v>12200</v>
      </c>
      <c r="B35" s="29" t="s">
        <v>22</v>
      </c>
      <c r="C35" s="15">
        <v>12200</v>
      </c>
      <c r="D35" s="463"/>
      <c r="E35" s="71">
        <v>3566</v>
      </c>
      <c r="F35" s="27" t="s">
        <v>378</v>
      </c>
      <c r="G35" s="15">
        <f>+E35</f>
        <v>3566</v>
      </c>
      <c r="H35" s="467"/>
      <c r="I35" s="10"/>
      <c r="J35" s="20"/>
      <c r="K35" s="10"/>
      <c r="L35" s="10"/>
      <c r="M35" s="10"/>
      <c r="N35" s="10"/>
      <c r="O35" s="10"/>
      <c r="P35" s="10"/>
      <c r="Q35" s="10"/>
      <c r="R35" s="10"/>
      <c r="S35" s="10"/>
      <c r="T35" s="10"/>
      <c r="U35" s="10"/>
      <c r="V35" s="10"/>
      <c r="W35" s="10"/>
      <c r="X35" s="10"/>
      <c r="Y35" s="10"/>
      <c r="Z35" s="10"/>
    </row>
    <row r="36" spans="1:26" ht="15.9" customHeight="1" x14ac:dyDescent="0.3">
      <c r="A36" s="15">
        <v>3000</v>
      </c>
      <c r="B36" s="29" t="s">
        <v>23</v>
      </c>
      <c r="C36" s="15">
        <v>3000</v>
      </c>
      <c r="D36" s="463"/>
      <c r="E36" s="71"/>
      <c r="F36" s="27" t="s">
        <v>350</v>
      </c>
      <c r="G36" s="22">
        <f>ROUND(G35*10%,0)</f>
        <v>357</v>
      </c>
      <c r="H36" s="467">
        <f>+G35-G36</f>
        <v>3209</v>
      </c>
      <c r="I36" s="10"/>
      <c r="J36" s="20"/>
      <c r="K36" s="10"/>
      <c r="L36" s="10"/>
      <c r="M36" s="10"/>
      <c r="N36" s="10"/>
      <c r="O36" s="10"/>
      <c r="P36" s="10"/>
      <c r="Q36" s="10"/>
      <c r="R36" s="10"/>
      <c r="S36" s="10"/>
      <c r="T36" s="10"/>
      <c r="U36" s="10"/>
      <c r="V36" s="10"/>
      <c r="W36" s="10"/>
      <c r="X36" s="10"/>
      <c r="Y36" s="10"/>
      <c r="Z36" s="10"/>
    </row>
    <row r="37" spans="1:26" ht="15.9" customHeight="1" x14ac:dyDescent="0.3">
      <c r="A37" s="15">
        <v>64269</v>
      </c>
      <c r="B37" s="10" t="s">
        <v>803</v>
      </c>
      <c r="C37" s="15">
        <v>167785</v>
      </c>
      <c r="D37" s="465"/>
      <c r="E37" s="71">
        <v>11538</v>
      </c>
      <c r="F37" s="27" t="s">
        <v>626</v>
      </c>
      <c r="G37" s="15">
        <f>+E37</f>
        <v>11538</v>
      </c>
      <c r="H37" s="467"/>
      <c r="I37" s="10"/>
      <c r="J37" s="20"/>
      <c r="K37" s="10"/>
      <c r="L37" s="10"/>
      <c r="M37" s="10"/>
      <c r="N37" s="10"/>
      <c r="O37" s="10"/>
      <c r="P37" s="10"/>
      <c r="Q37" s="10"/>
      <c r="R37" s="10"/>
      <c r="S37" s="10"/>
      <c r="T37" s="10"/>
      <c r="U37" s="10"/>
      <c r="V37" s="10"/>
      <c r="W37" s="10"/>
      <c r="X37" s="10"/>
      <c r="Y37" s="10"/>
      <c r="Z37" s="10"/>
    </row>
    <row r="38" spans="1:26" ht="15.9" customHeight="1" x14ac:dyDescent="0.3">
      <c r="A38" s="15">
        <v>1652</v>
      </c>
      <c r="B38" s="10" t="s">
        <v>696</v>
      </c>
      <c r="C38" s="15">
        <v>1652</v>
      </c>
      <c r="D38" s="465"/>
      <c r="E38" s="71"/>
      <c r="F38" s="27" t="s">
        <v>350</v>
      </c>
      <c r="G38" s="22">
        <f>ROUND(G37*15%,0)</f>
        <v>1731</v>
      </c>
      <c r="H38" s="467">
        <f>+G37-G38</f>
        <v>9807</v>
      </c>
      <c r="I38" s="10"/>
      <c r="J38" s="20"/>
      <c r="K38" s="10"/>
      <c r="L38" s="10"/>
      <c r="M38" s="10"/>
      <c r="N38" s="10"/>
      <c r="O38" s="10"/>
      <c r="P38" s="10"/>
      <c r="Q38" s="10"/>
      <c r="R38" s="10"/>
      <c r="S38" s="10"/>
      <c r="T38" s="10"/>
      <c r="U38" s="10"/>
      <c r="V38" s="10"/>
      <c r="W38" s="10"/>
      <c r="X38" s="10"/>
      <c r="Y38" s="10"/>
      <c r="Z38" s="10"/>
    </row>
    <row r="39" spans="1:26" ht="15.9" customHeight="1" x14ac:dyDescent="0.3">
      <c r="A39" s="15">
        <v>2500</v>
      </c>
      <c r="B39" s="10" t="s">
        <v>986</v>
      </c>
      <c r="C39" s="22">
        <v>0</v>
      </c>
      <c r="D39" s="465">
        <f>SUM(C34:C39)</f>
        <v>214637</v>
      </c>
      <c r="E39" s="71">
        <v>25265</v>
      </c>
      <c r="F39" s="27" t="s">
        <v>649</v>
      </c>
      <c r="G39" s="15">
        <f>+E39</f>
        <v>25265</v>
      </c>
      <c r="H39" s="467"/>
      <c r="I39" s="10"/>
      <c r="J39" s="20"/>
      <c r="K39" s="10"/>
      <c r="L39" s="10"/>
      <c r="M39" s="10"/>
      <c r="N39" s="10"/>
      <c r="O39" s="10"/>
      <c r="P39" s="10"/>
      <c r="Q39" s="10"/>
      <c r="R39" s="10"/>
      <c r="S39" s="10"/>
      <c r="T39" s="10"/>
      <c r="U39" s="10"/>
      <c r="V39" s="10"/>
      <c r="W39" s="10"/>
      <c r="X39" s="10"/>
      <c r="Y39" s="10"/>
      <c r="Z39" s="10"/>
    </row>
    <row r="40" spans="1:26" ht="15.9" customHeight="1" x14ac:dyDescent="0.3">
      <c r="A40" s="15"/>
      <c r="B40" s="10"/>
      <c r="C40" s="15"/>
      <c r="D40" s="465"/>
      <c r="E40" s="71"/>
      <c r="F40" s="27" t="s">
        <v>350</v>
      </c>
      <c r="G40" s="22">
        <f>ROUND((G39)*15%,0)</f>
        <v>3790</v>
      </c>
      <c r="H40" s="467">
        <f>+G39-G40</f>
        <v>21475</v>
      </c>
      <c r="I40" s="10"/>
      <c r="J40" s="20"/>
      <c r="K40" s="10"/>
      <c r="L40" s="10"/>
      <c r="M40" s="10"/>
      <c r="N40" s="10"/>
      <c r="O40" s="10"/>
      <c r="P40" s="10"/>
      <c r="Q40" s="10"/>
      <c r="R40" s="10"/>
      <c r="S40" s="10"/>
      <c r="T40" s="10"/>
      <c r="U40" s="10"/>
      <c r="V40" s="10"/>
      <c r="W40" s="10"/>
      <c r="X40" s="10"/>
      <c r="Y40" s="10"/>
      <c r="Z40" s="10"/>
    </row>
    <row r="41" spans="1:26" ht="9.9" customHeight="1" thickBot="1" x14ac:dyDescent="0.35">
      <c r="A41" s="341"/>
      <c r="B41" s="448"/>
      <c r="C41" s="341"/>
      <c r="D41" s="466"/>
      <c r="E41" s="342"/>
      <c r="F41" s="343"/>
      <c r="G41" s="341"/>
      <c r="H41" s="469"/>
      <c r="I41" s="10"/>
      <c r="J41" s="20"/>
      <c r="K41" s="10"/>
      <c r="L41" s="10"/>
      <c r="M41" s="10"/>
      <c r="N41" s="10"/>
      <c r="O41" s="10"/>
      <c r="P41" s="10"/>
      <c r="Q41" s="10"/>
      <c r="R41" s="10"/>
      <c r="S41" s="10"/>
      <c r="T41" s="10"/>
      <c r="U41" s="10"/>
      <c r="V41" s="10"/>
      <c r="W41" s="10"/>
      <c r="X41" s="10"/>
      <c r="Y41" s="10"/>
      <c r="Z41" s="10"/>
    </row>
    <row r="42" spans="1:26" ht="9.9" customHeight="1" x14ac:dyDescent="0.3">
      <c r="A42" s="15"/>
      <c r="B42" s="10"/>
      <c r="C42" s="15"/>
      <c r="D42" s="465"/>
      <c r="E42" s="71"/>
      <c r="F42" s="27"/>
      <c r="G42" s="15"/>
      <c r="H42" s="467"/>
      <c r="I42" s="10"/>
      <c r="J42" s="20"/>
      <c r="K42" s="10"/>
      <c r="L42" s="10"/>
      <c r="M42" s="10"/>
      <c r="N42" s="10"/>
      <c r="O42" s="10"/>
      <c r="P42" s="10"/>
      <c r="Q42" s="10"/>
      <c r="R42" s="10"/>
      <c r="S42" s="10"/>
      <c r="T42" s="10"/>
      <c r="U42" s="10"/>
      <c r="V42" s="10"/>
      <c r="W42" s="10"/>
      <c r="X42" s="10"/>
      <c r="Y42" s="10"/>
      <c r="Z42" s="10"/>
    </row>
    <row r="43" spans="1:26" ht="15.9" customHeight="1" x14ac:dyDescent="0.3">
      <c r="A43" s="15">
        <f>30064-6501</f>
        <v>23563</v>
      </c>
      <c r="B43" s="75" t="s">
        <v>396</v>
      </c>
      <c r="C43" s="15"/>
      <c r="D43" s="463">
        <v>13861</v>
      </c>
      <c r="E43" s="71"/>
      <c r="F43" s="74" t="s">
        <v>373</v>
      </c>
      <c r="G43" s="19"/>
      <c r="H43" s="467"/>
      <c r="I43" s="10"/>
      <c r="J43" s="20"/>
      <c r="K43" s="10"/>
      <c r="L43" s="10"/>
      <c r="M43" s="10"/>
      <c r="N43" s="10"/>
      <c r="O43" s="10"/>
      <c r="P43" s="10"/>
      <c r="Q43" s="10"/>
      <c r="R43" s="10"/>
      <c r="S43" s="10"/>
      <c r="T43" s="10"/>
      <c r="U43" s="10"/>
      <c r="V43" s="10"/>
      <c r="W43" s="10"/>
      <c r="X43" s="10"/>
      <c r="Y43" s="10"/>
      <c r="Z43" s="10"/>
    </row>
    <row r="44" spans="1:26" ht="15.9" customHeight="1" x14ac:dyDescent="0.3">
      <c r="A44" s="15"/>
      <c r="B44" s="76"/>
      <c r="C44" s="15"/>
      <c r="D44" s="463"/>
      <c r="E44" s="71">
        <v>17785</v>
      </c>
      <c r="F44" s="27" t="s">
        <v>374</v>
      </c>
      <c r="G44" s="15">
        <v>19507</v>
      </c>
      <c r="H44" s="467"/>
      <c r="I44" s="10"/>
      <c r="J44" s="20"/>
      <c r="K44" s="10"/>
      <c r="L44" s="10"/>
      <c r="M44" s="10"/>
      <c r="N44" s="10"/>
      <c r="O44" s="10"/>
      <c r="P44" s="10"/>
      <c r="Q44" s="10"/>
      <c r="R44" s="10"/>
      <c r="S44" s="10"/>
      <c r="T44" s="10"/>
      <c r="U44" s="10"/>
      <c r="V44" s="10"/>
      <c r="W44" s="10"/>
      <c r="X44" s="10"/>
      <c r="Y44" s="10"/>
      <c r="Z44" s="10"/>
    </row>
    <row r="45" spans="1:26" ht="15.9" customHeight="1" x14ac:dyDescent="0.3">
      <c r="A45" s="15">
        <v>251296</v>
      </c>
      <c r="B45" s="76" t="s">
        <v>845</v>
      </c>
      <c r="C45" s="15"/>
      <c r="D45" s="463">
        <v>251296</v>
      </c>
      <c r="E45" s="71">
        <v>10157</v>
      </c>
      <c r="F45" s="27" t="s">
        <v>413</v>
      </c>
      <c r="G45" s="15">
        <v>9782</v>
      </c>
      <c r="H45" s="467"/>
      <c r="I45" s="10"/>
      <c r="J45" s="20"/>
      <c r="K45" s="10"/>
      <c r="L45" s="10"/>
      <c r="M45" s="10"/>
      <c r="N45" s="10"/>
      <c r="O45" s="10"/>
      <c r="P45" s="10"/>
      <c r="Q45" s="10"/>
      <c r="R45" s="10"/>
      <c r="S45" s="10"/>
      <c r="T45" s="10"/>
      <c r="U45" s="10"/>
      <c r="V45" s="10"/>
      <c r="W45" s="10"/>
      <c r="X45" s="10"/>
      <c r="Y45" s="10"/>
      <c r="Z45" s="10"/>
    </row>
    <row r="46" spans="1:26" ht="15.9" customHeight="1" x14ac:dyDescent="0.3">
      <c r="A46" s="15"/>
      <c r="B46" s="76"/>
      <c r="C46" s="15"/>
      <c r="D46" s="463"/>
      <c r="E46" s="71">
        <v>8288</v>
      </c>
      <c r="F46" s="27" t="s">
        <v>730</v>
      </c>
      <c r="G46" s="15">
        <v>0</v>
      </c>
      <c r="H46" s="467"/>
      <c r="I46" s="10"/>
      <c r="J46" s="20"/>
      <c r="K46" s="10"/>
      <c r="L46" s="10"/>
      <c r="M46" s="10"/>
      <c r="N46" s="10"/>
      <c r="O46" s="10"/>
      <c r="P46" s="10"/>
      <c r="Q46" s="10"/>
      <c r="R46" s="10"/>
      <c r="S46" s="10"/>
      <c r="T46" s="10"/>
      <c r="U46" s="10"/>
      <c r="V46" s="10"/>
      <c r="W46" s="10"/>
      <c r="X46" s="10"/>
      <c r="Y46" s="10"/>
      <c r="Z46" s="10"/>
    </row>
    <row r="47" spans="1:26" ht="15.9" customHeight="1" x14ac:dyDescent="0.3">
      <c r="A47" s="15">
        <v>6501</v>
      </c>
      <c r="B47" s="76" t="s">
        <v>1017</v>
      </c>
      <c r="C47" s="15"/>
      <c r="D47" s="463">
        <v>6501</v>
      </c>
      <c r="E47" s="71">
        <v>2637</v>
      </c>
      <c r="F47" s="27" t="s">
        <v>885</v>
      </c>
      <c r="G47" s="22">
        <v>2625</v>
      </c>
      <c r="H47" s="467">
        <f>SUM(G44:G47)</f>
        <v>31914</v>
      </c>
      <c r="I47" s="10"/>
      <c r="J47" s="20"/>
      <c r="K47" s="10"/>
      <c r="L47" s="10"/>
      <c r="M47" s="10"/>
      <c r="N47" s="10"/>
      <c r="O47" s="10"/>
      <c r="P47" s="10"/>
      <c r="Q47" s="10"/>
      <c r="R47" s="10"/>
      <c r="S47" s="10"/>
      <c r="T47" s="10"/>
      <c r="U47" s="10"/>
      <c r="V47" s="10"/>
      <c r="W47" s="10"/>
      <c r="X47" s="10"/>
      <c r="Y47" s="10"/>
      <c r="Z47" s="10"/>
    </row>
    <row r="48" spans="1:26" ht="15.9" customHeight="1" x14ac:dyDescent="0.3">
      <c r="A48" s="15"/>
      <c r="B48" s="76"/>
      <c r="C48" s="15"/>
      <c r="D48" s="463"/>
      <c r="E48" s="71"/>
      <c r="F48" s="27"/>
      <c r="G48" s="15"/>
      <c r="H48" s="467"/>
      <c r="I48" s="10"/>
      <c r="J48" s="20"/>
      <c r="K48" s="10"/>
      <c r="L48" s="10"/>
      <c r="M48" s="10"/>
      <c r="N48" s="10"/>
      <c r="O48" s="10"/>
      <c r="P48" s="10"/>
      <c r="Q48" s="10"/>
      <c r="R48" s="10"/>
      <c r="S48" s="10"/>
      <c r="T48" s="10"/>
      <c r="U48" s="10"/>
      <c r="V48" s="10"/>
      <c r="W48" s="10"/>
      <c r="X48" s="10"/>
      <c r="Y48" s="10"/>
      <c r="Z48" s="10"/>
    </row>
    <row r="49" spans="1:26" ht="15.9" customHeight="1" x14ac:dyDescent="0.3">
      <c r="A49" s="15"/>
      <c r="B49" s="73" t="s">
        <v>375</v>
      </c>
      <c r="C49" s="15"/>
      <c r="D49" s="463"/>
      <c r="E49" s="71">
        <v>20514</v>
      </c>
      <c r="F49" s="27" t="s">
        <v>1014</v>
      </c>
      <c r="G49" s="15"/>
      <c r="H49" s="467">
        <v>28690</v>
      </c>
      <c r="I49" s="10"/>
      <c r="J49" s="20"/>
      <c r="K49" s="10"/>
      <c r="L49" s="10"/>
      <c r="M49" s="10"/>
      <c r="N49" s="10"/>
      <c r="O49" s="10"/>
      <c r="P49" s="10"/>
      <c r="Q49" s="10"/>
      <c r="R49" s="10"/>
      <c r="S49" s="10"/>
      <c r="T49" s="10"/>
      <c r="U49" s="10"/>
      <c r="V49" s="10"/>
      <c r="W49" s="10"/>
      <c r="X49" s="10"/>
      <c r="Y49" s="10"/>
      <c r="Z49" s="10"/>
    </row>
    <row r="50" spans="1:26" ht="15.9" customHeight="1" x14ac:dyDescent="0.3">
      <c r="A50" s="15">
        <v>446780.1</v>
      </c>
      <c r="B50" s="18" t="s">
        <v>19</v>
      </c>
      <c r="C50" s="15">
        <f>+A50</f>
        <v>446780.1</v>
      </c>
      <c r="D50" s="463"/>
      <c r="E50" s="71"/>
      <c r="F50" s="27"/>
      <c r="G50" s="15"/>
      <c r="H50" s="419"/>
      <c r="I50" s="10"/>
      <c r="J50" s="20"/>
      <c r="K50" s="10"/>
      <c r="L50" s="10"/>
      <c r="M50" s="10"/>
      <c r="N50" s="10"/>
      <c r="O50" s="10"/>
      <c r="P50" s="10"/>
      <c r="Q50" s="10"/>
      <c r="R50" s="10"/>
      <c r="S50" s="10"/>
      <c r="T50" s="10"/>
      <c r="U50" s="10"/>
      <c r="V50" s="10"/>
      <c r="W50" s="10"/>
      <c r="X50" s="10"/>
      <c r="Y50" s="10"/>
      <c r="Z50" s="10"/>
    </row>
    <row r="51" spans="1:26" ht="15.9" customHeight="1" x14ac:dyDescent="0.3">
      <c r="A51" s="15"/>
      <c r="B51" s="27" t="s">
        <v>993</v>
      </c>
      <c r="C51" s="113">
        <f>+'I&amp;E'!D36</f>
        <v>58504.82</v>
      </c>
      <c r="D51" s="463">
        <f>+C50+C51</f>
        <v>505284.92</v>
      </c>
      <c r="E51" s="71"/>
      <c r="F51" s="27"/>
      <c r="G51" s="22"/>
      <c r="H51" s="467"/>
      <c r="I51" s="10"/>
      <c r="J51" s="76"/>
      <c r="K51" s="76"/>
      <c r="L51" s="10"/>
      <c r="M51" s="10"/>
      <c r="N51" s="10"/>
      <c r="O51" s="10"/>
      <c r="P51" s="10"/>
      <c r="Q51" s="10"/>
      <c r="R51" s="10"/>
      <c r="S51" s="10"/>
      <c r="T51" s="10"/>
      <c r="U51" s="10"/>
      <c r="V51" s="10"/>
      <c r="W51" s="10"/>
      <c r="X51" s="10"/>
      <c r="Y51" s="10"/>
      <c r="Z51" s="10"/>
    </row>
    <row r="52" spans="1:26" ht="9.9" customHeight="1" x14ac:dyDescent="0.3">
      <c r="A52" s="15"/>
      <c r="B52" s="27"/>
      <c r="C52" s="21"/>
      <c r="D52" s="463"/>
      <c r="E52" s="71"/>
      <c r="F52" s="27"/>
      <c r="G52" s="15"/>
      <c r="H52" s="15"/>
      <c r="I52" s="10"/>
      <c r="J52" s="10"/>
      <c r="K52" s="10"/>
      <c r="L52" s="10"/>
      <c r="M52" s="10"/>
      <c r="N52" s="10"/>
      <c r="O52" s="10"/>
      <c r="P52" s="10"/>
      <c r="Q52" s="10"/>
      <c r="R52" s="10"/>
      <c r="S52" s="10"/>
      <c r="T52" s="10"/>
      <c r="U52" s="10"/>
      <c r="V52" s="10"/>
      <c r="W52" s="10"/>
      <c r="X52" s="10"/>
      <c r="Y52" s="10"/>
      <c r="Z52" s="10"/>
    </row>
    <row r="53" spans="1:26" ht="20.100000000000001" customHeight="1" thickBot="1" x14ac:dyDescent="0.35">
      <c r="A53" s="23">
        <f>SUM(A9:A51)</f>
        <v>2049684.6400000001</v>
      </c>
      <c r="B53" s="7" t="s">
        <v>424</v>
      </c>
      <c r="C53" s="23"/>
      <c r="D53" s="117">
        <f>SUM(D6:D51)</f>
        <v>2196833.46</v>
      </c>
      <c r="E53" s="115">
        <f>SUM(E6:E52)</f>
        <v>2049684.6400000001</v>
      </c>
      <c r="F53" s="7" t="s">
        <v>424</v>
      </c>
      <c r="G53" s="23"/>
      <c r="H53" s="23">
        <f>SUM(H6:H51)</f>
        <v>2196833.46</v>
      </c>
      <c r="I53" s="10"/>
      <c r="J53" s="11" t="s">
        <v>352</v>
      </c>
      <c r="K53" s="11" t="s">
        <v>351</v>
      </c>
      <c r="L53" s="10"/>
      <c r="M53" s="10"/>
      <c r="N53" s="10"/>
      <c r="O53" s="10"/>
      <c r="P53" s="10"/>
      <c r="Q53" s="10"/>
      <c r="R53" s="10"/>
      <c r="S53" s="10"/>
      <c r="T53" s="10"/>
      <c r="U53" s="10"/>
      <c r="V53" s="10"/>
      <c r="W53" s="10"/>
      <c r="X53" s="10"/>
      <c r="Y53" s="10"/>
      <c r="Z53" s="10"/>
    </row>
    <row r="54" spans="1:26" ht="15.9" customHeight="1" thickTop="1" x14ac:dyDescent="0.3">
      <c r="A54" s="416"/>
      <c r="B54" s="417"/>
      <c r="C54" s="418"/>
      <c r="D54" s="371"/>
      <c r="E54" s="418"/>
      <c r="F54" s="417"/>
      <c r="G54" s="418"/>
      <c r="H54" s="419"/>
      <c r="I54" s="10"/>
      <c r="J54" s="77">
        <f>+H53-D53</f>
        <v>0</v>
      </c>
      <c r="K54" s="77">
        <f>+E53-A53</f>
        <v>0</v>
      </c>
      <c r="L54" s="10"/>
      <c r="M54" s="10"/>
      <c r="N54" s="10"/>
      <c r="O54" s="10"/>
      <c r="P54" s="10"/>
      <c r="Q54" s="10"/>
      <c r="R54" s="10"/>
      <c r="S54" s="10"/>
      <c r="T54" s="10"/>
      <c r="U54" s="10"/>
      <c r="V54" s="10"/>
      <c r="W54" s="10"/>
      <c r="X54" s="10"/>
      <c r="Y54" s="10"/>
      <c r="Z54" s="10"/>
    </row>
    <row r="55" spans="1:26" ht="15.9" customHeight="1" x14ac:dyDescent="0.3">
      <c r="A55" s="26" t="s">
        <v>411</v>
      </c>
      <c r="B55" s="10"/>
      <c r="C55" s="20"/>
      <c r="D55" s="20"/>
      <c r="E55" s="20"/>
      <c r="F55" s="10"/>
      <c r="G55" s="20"/>
      <c r="H55" s="25"/>
      <c r="I55" s="10"/>
      <c r="J55" s="10"/>
      <c r="K55" s="10"/>
      <c r="L55" s="10"/>
      <c r="M55" s="10"/>
      <c r="N55" s="10"/>
      <c r="O55" s="10"/>
      <c r="P55" s="10"/>
      <c r="Q55" s="10"/>
      <c r="R55" s="10"/>
      <c r="S55" s="10"/>
      <c r="T55" s="10"/>
      <c r="U55" s="10"/>
      <c r="V55" s="10"/>
      <c r="W55" s="10"/>
      <c r="X55" s="10"/>
      <c r="Y55" s="10"/>
      <c r="Z55" s="10"/>
    </row>
    <row r="56" spans="1:26" ht="15.9" customHeight="1" x14ac:dyDescent="0.3">
      <c r="A56" s="27"/>
      <c r="B56" s="28"/>
      <c r="C56" s="78"/>
      <c r="D56" s="10"/>
      <c r="E56" s="920" t="str">
        <f>" For "&amp;TIT!D2&amp;" "</f>
        <v xml:space="preserve"> For NAVANAND CO-OPERATIVE. HOUSING SOCIETY LTD. </v>
      </c>
      <c r="F56" s="920"/>
      <c r="G56" s="920"/>
      <c r="H56" s="25"/>
      <c r="I56" s="10"/>
      <c r="J56" s="10"/>
      <c r="K56" s="10"/>
      <c r="L56" s="10"/>
      <c r="M56" s="10"/>
      <c r="N56" s="10"/>
      <c r="O56" s="10"/>
      <c r="P56" s="10"/>
      <c r="Q56" s="10"/>
      <c r="R56" s="10"/>
      <c r="S56" s="10"/>
      <c r="T56" s="10"/>
      <c r="U56" s="10"/>
      <c r="V56" s="10"/>
      <c r="W56" s="10"/>
      <c r="X56" s="10"/>
      <c r="Y56" s="10"/>
      <c r="Z56" s="10"/>
    </row>
    <row r="57" spans="1:26" ht="15.9" customHeight="1" x14ac:dyDescent="0.3">
      <c r="A57" s="24"/>
      <c r="B57" s="93"/>
      <c r="C57" s="20"/>
      <c r="D57" s="10"/>
      <c r="E57" s="10"/>
      <c r="F57" s="20"/>
      <c r="G57" s="10"/>
      <c r="H57" s="25"/>
      <c r="I57" s="10"/>
      <c r="J57" s="20"/>
      <c r="K57" s="10"/>
      <c r="L57" s="10"/>
      <c r="M57" s="10"/>
      <c r="N57" s="10"/>
      <c r="O57" s="10"/>
      <c r="P57" s="10"/>
      <c r="Q57" s="10"/>
      <c r="R57" s="10"/>
      <c r="S57" s="10"/>
      <c r="T57" s="10"/>
      <c r="U57" s="10"/>
      <c r="V57" s="10"/>
      <c r="W57" s="10"/>
      <c r="X57" s="10"/>
      <c r="Y57" s="10"/>
      <c r="Z57" s="10"/>
    </row>
    <row r="58" spans="1:26" ht="15.9" customHeight="1" x14ac:dyDescent="0.3">
      <c r="A58" s="27"/>
      <c r="B58" s="30"/>
      <c r="C58" s="10"/>
      <c r="D58" s="10"/>
      <c r="E58" s="10"/>
      <c r="F58" s="20"/>
      <c r="G58" s="10"/>
      <c r="H58" s="25"/>
      <c r="I58" s="20"/>
      <c r="J58" s="10"/>
      <c r="K58" s="10"/>
      <c r="L58" s="10"/>
      <c r="M58" s="10"/>
      <c r="N58" s="10"/>
      <c r="O58" s="10"/>
      <c r="P58" s="10"/>
      <c r="Q58" s="10"/>
      <c r="R58" s="10"/>
      <c r="S58" s="10"/>
      <c r="T58" s="10"/>
      <c r="U58" s="10"/>
      <c r="V58" s="10"/>
      <c r="W58" s="10"/>
      <c r="X58" s="10"/>
      <c r="Y58" s="10"/>
      <c r="Z58" s="10"/>
    </row>
    <row r="59" spans="1:26" ht="15.9" customHeight="1" x14ac:dyDescent="0.3">
      <c r="A59" s="317" t="str">
        <f>+'I&amp;E'!A43</f>
        <v>Shri. Bharat C. Boridkar</v>
      </c>
      <c r="B59" s="149"/>
      <c r="C59" s="10"/>
      <c r="D59" s="10"/>
      <c r="E59" s="10"/>
      <c r="F59" s="10"/>
      <c r="G59" s="10"/>
      <c r="H59" s="29"/>
      <c r="I59" s="10"/>
      <c r="J59" s="10"/>
      <c r="K59" s="10"/>
      <c r="L59" s="10"/>
      <c r="M59" s="10"/>
      <c r="N59" s="10"/>
      <c r="O59" s="10"/>
      <c r="P59" s="10"/>
      <c r="Q59" s="10"/>
      <c r="R59" s="10"/>
      <c r="S59" s="10"/>
      <c r="T59" s="10"/>
      <c r="U59" s="10"/>
      <c r="V59" s="10"/>
      <c r="W59" s="10"/>
      <c r="X59" s="10"/>
      <c r="Y59" s="10"/>
      <c r="Z59" s="10"/>
    </row>
    <row r="60" spans="1:26" ht="15.9" customHeight="1" x14ac:dyDescent="0.3">
      <c r="A60" s="340" t="s">
        <v>412</v>
      </c>
      <c r="B60" s="321"/>
      <c r="C60" s="10"/>
      <c r="D60" s="10"/>
      <c r="E60" s="10"/>
      <c r="G60" s="10"/>
      <c r="H60" s="29"/>
      <c r="I60" s="10"/>
      <c r="J60" s="20"/>
      <c r="K60" s="10"/>
      <c r="L60" s="10"/>
      <c r="M60" s="10"/>
      <c r="N60" s="10"/>
      <c r="O60" s="10"/>
      <c r="P60" s="10"/>
      <c r="Q60" s="10"/>
      <c r="R60" s="10"/>
      <c r="S60" s="10"/>
      <c r="T60" s="10"/>
      <c r="U60" s="10"/>
      <c r="V60" s="10"/>
      <c r="W60" s="10"/>
      <c r="X60" s="10"/>
      <c r="Y60" s="10"/>
      <c r="Z60" s="10"/>
    </row>
    <row r="61" spans="1:26" ht="15.9" customHeight="1" x14ac:dyDescent="0.3">
      <c r="A61" s="340" t="s">
        <v>996</v>
      </c>
      <c r="B61" s="157"/>
      <c r="C61" s="20"/>
      <c r="D61" s="20"/>
      <c r="E61" s="20" t="str">
        <f>+'I&amp;E'!E45</f>
        <v>(Chairman)                    (Secretary)                       (Treasurer)</v>
      </c>
      <c r="G61" s="10"/>
      <c r="H61" s="25"/>
      <c r="I61" s="10"/>
      <c r="J61" s="10"/>
      <c r="K61" s="10"/>
      <c r="L61" s="10"/>
      <c r="M61" s="10"/>
      <c r="N61" s="10"/>
      <c r="O61" s="10"/>
      <c r="P61" s="10"/>
      <c r="Q61" s="10"/>
      <c r="R61" s="10"/>
      <c r="S61" s="10"/>
      <c r="T61" s="10"/>
      <c r="U61" s="10"/>
      <c r="V61" s="10"/>
      <c r="W61" s="10"/>
      <c r="X61" s="10"/>
      <c r="Y61" s="10"/>
      <c r="Z61" s="10"/>
    </row>
    <row r="62" spans="1:26" ht="15.9" customHeight="1" x14ac:dyDescent="0.3">
      <c r="A62" s="914">
        <f>+TIT!D12</f>
        <v>46275</v>
      </c>
      <c r="B62" s="915"/>
      <c r="C62" s="32"/>
      <c r="D62" s="32"/>
      <c r="E62" s="32"/>
      <c r="F62" s="31"/>
      <c r="G62" s="32"/>
      <c r="H62" s="33"/>
      <c r="I62" s="10"/>
      <c r="J62" s="10"/>
      <c r="K62" s="10"/>
      <c r="L62" s="10"/>
      <c r="M62" s="10"/>
      <c r="N62" s="10"/>
      <c r="O62" s="10"/>
      <c r="P62" s="10"/>
      <c r="Q62" s="10"/>
      <c r="R62" s="10"/>
      <c r="S62" s="10"/>
      <c r="T62" s="10"/>
      <c r="U62" s="10"/>
      <c r="V62" s="10"/>
      <c r="W62" s="10"/>
      <c r="X62" s="10"/>
      <c r="Y62" s="10"/>
      <c r="Z62" s="10"/>
    </row>
    <row r="63" spans="1:2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3">
      <c r="A73" s="10"/>
      <c r="B73" s="10"/>
      <c r="C73" s="76"/>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3">
      <c r="I106" s="10"/>
      <c r="J106" s="10"/>
      <c r="K106" s="10"/>
      <c r="L106" s="10"/>
      <c r="M106" s="10"/>
      <c r="N106" s="10"/>
      <c r="O106" s="10"/>
      <c r="P106" s="10"/>
      <c r="Q106" s="10"/>
      <c r="R106" s="10"/>
      <c r="S106" s="10"/>
      <c r="T106" s="10"/>
      <c r="U106" s="10"/>
      <c r="V106" s="10"/>
      <c r="W106" s="10"/>
      <c r="X106" s="10"/>
      <c r="Y106" s="10"/>
      <c r="Z106" s="10"/>
    </row>
    <row r="107" spans="1:26" x14ac:dyDescent="0.3">
      <c r="I107" s="10"/>
      <c r="J107" s="10"/>
      <c r="K107" s="10"/>
      <c r="L107" s="10"/>
      <c r="M107" s="10"/>
      <c r="N107" s="10"/>
      <c r="O107" s="10"/>
      <c r="P107" s="10"/>
      <c r="Q107" s="10"/>
      <c r="R107" s="10"/>
      <c r="S107" s="10"/>
      <c r="T107" s="10"/>
      <c r="U107" s="10"/>
      <c r="V107" s="10"/>
      <c r="W107" s="10"/>
      <c r="X107" s="10"/>
      <c r="Y107" s="10"/>
      <c r="Z107" s="10"/>
    </row>
    <row r="108" spans="1:26" x14ac:dyDescent="0.3">
      <c r="I108" s="10"/>
      <c r="J108" s="10"/>
      <c r="K108" s="10"/>
      <c r="L108" s="10"/>
      <c r="M108" s="10"/>
      <c r="N108" s="10"/>
      <c r="O108" s="10"/>
      <c r="P108" s="10"/>
      <c r="Q108" s="10"/>
      <c r="R108" s="10"/>
      <c r="S108" s="10"/>
      <c r="T108" s="10"/>
      <c r="U108" s="10"/>
      <c r="V108" s="10"/>
      <c r="W108" s="10"/>
      <c r="X108" s="10"/>
      <c r="Y108" s="10"/>
      <c r="Z108" s="10"/>
    </row>
    <row r="109" spans="1:26" x14ac:dyDescent="0.3">
      <c r="I109" s="10"/>
      <c r="J109" s="10"/>
      <c r="K109" s="10"/>
      <c r="L109" s="10"/>
      <c r="M109" s="10"/>
      <c r="N109" s="10"/>
      <c r="O109" s="10"/>
      <c r="P109" s="10"/>
      <c r="Q109" s="10"/>
      <c r="R109" s="10"/>
      <c r="S109" s="10"/>
      <c r="T109" s="10"/>
      <c r="U109" s="10"/>
      <c r="V109" s="10"/>
      <c r="W109" s="10"/>
      <c r="X109" s="10"/>
      <c r="Y109" s="10"/>
      <c r="Z109" s="10"/>
    </row>
    <row r="110" spans="1:26" x14ac:dyDescent="0.3">
      <c r="I110" s="10"/>
      <c r="J110" s="10"/>
      <c r="K110" s="10"/>
      <c r="L110" s="10"/>
      <c r="M110" s="10"/>
      <c r="N110" s="10"/>
      <c r="O110" s="10"/>
      <c r="P110" s="10"/>
      <c r="Q110" s="10"/>
      <c r="R110" s="10"/>
      <c r="S110" s="10"/>
      <c r="T110" s="10"/>
      <c r="U110" s="10"/>
      <c r="V110" s="10"/>
      <c r="W110" s="10"/>
      <c r="X110" s="10"/>
      <c r="Y110" s="10"/>
      <c r="Z110" s="10"/>
    </row>
    <row r="111" spans="1:26" x14ac:dyDescent="0.3">
      <c r="I111" s="10"/>
      <c r="J111" s="10"/>
      <c r="K111" s="10"/>
      <c r="L111" s="10"/>
      <c r="M111" s="10"/>
      <c r="N111" s="10"/>
      <c r="O111" s="10"/>
      <c r="P111" s="10"/>
      <c r="Q111" s="10"/>
      <c r="R111" s="10"/>
      <c r="S111" s="10"/>
      <c r="T111" s="10"/>
      <c r="U111" s="10"/>
      <c r="V111" s="10"/>
      <c r="W111" s="10"/>
      <c r="X111" s="10"/>
      <c r="Y111" s="10"/>
      <c r="Z111" s="10"/>
    </row>
    <row r="112" spans="1:26" x14ac:dyDescent="0.3">
      <c r="I112" s="10"/>
      <c r="J112" s="10"/>
      <c r="K112" s="10"/>
      <c r="L112" s="10"/>
      <c r="M112" s="10"/>
      <c r="N112" s="10"/>
      <c r="O112" s="10"/>
      <c r="P112" s="10"/>
      <c r="Q112" s="10"/>
      <c r="R112" s="10"/>
      <c r="S112" s="10"/>
      <c r="T112" s="10"/>
      <c r="U112" s="10"/>
      <c r="V112" s="10"/>
      <c r="W112" s="10"/>
      <c r="X112" s="10"/>
      <c r="Y112" s="10"/>
      <c r="Z112" s="10"/>
    </row>
    <row r="113" spans="9:26" x14ac:dyDescent="0.3">
      <c r="I113" s="10"/>
      <c r="J113" s="10"/>
      <c r="K113" s="10"/>
      <c r="L113" s="10"/>
      <c r="M113" s="10"/>
      <c r="N113" s="10"/>
      <c r="O113" s="10"/>
      <c r="P113" s="10"/>
      <c r="Q113" s="10"/>
      <c r="R113" s="10"/>
      <c r="S113" s="10"/>
      <c r="T113" s="10"/>
      <c r="U113" s="10"/>
      <c r="V113" s="10"/>
      <c r="W113" s="10"/>
      <c r="X113" s="10"/>
      <c r="Y113" s="10"/>
      <c r="Z113" s="10"/>
    </row>
    <row r="114" spans="9:26" x14ac:dyDescent="0.3">
      <c r="I114" s="10"/>
      <c r="J114" s="10"/>
      <c r="K114" s="10"/>
      <c r="L114" s="10"/>
      <c r="M114" s="10"/>
      <c r="N114" s="10"/>
      <c r="O114" s="10"/>
      <c r="P114" s="10"/>
      <c r="Q114" s="10"/>
      <c r="R114" s="10"/>
      <c r="S114" s="10"/>
      <c r="T114" s="10"/>
      <c r="U114" s="10"/>
      <c r="V114" s="10"/>
      <c r="W114" s="10"/>
      <c r="X114" s="10"/>
      <c r="Y114" s="10"/>
      <c r="Z114" s="10"/>
    </row>
    <row r="115" spans="9:26" x14ac:dyDescent="0.3">
      <c r="I115" s="10"/>
      <c r="J115" s="10"/>
      <c r="K115" s="10"/>
      <c r="L115" s="10"/>
      <c r="M115" s="10"/>
      <c r="N115" s="10"/>
      <c r="O115" s="10"/>
      <c r="P115" s="10"/>
      <c r="Q115" s="10"/>
      <c r="R115" s="10"/>
      <c r="S115" s="10"/>
      <c r="T115" s="10"/>
      <c r="U115" s="10"/>
      <c r="V115" s="10"/>
      <c r="W115" s="10"/>
      <c r="X115" s="10"/>
      <c r="Y115" s="10"/>
      <c r="Z115" s="10"/>
    </row>
    <row r="116" spans="9:26" x14ac:dyDescent="0.3">
      <c r="I116" s="10"/>
      <c r="J116" s="10"/>
      <c r="K116" s="10"/>
      <c r="L116" s="10"/>
      <c r="M116" s="10"/>
      <c r="N116" s="10"/>
      <c r="O116" s="10"/>
      <c r="P116" s="10"/>
      <c r="Q116" s="10"/>
      <c r="R116" s="10"/>
      <c r="S116" s="10"/>
      <c r="T116" s="10"/>
      <c r="U116" s="10"/>
      <c r="V116" s="10"/>
      <c r="W116" s="10"/>
      <c r="X116" s="10"/>
      <c r="Y116" s="10"/>
      <c r="Z116" s="10"/>
    </row>
    <row r="117" spans="9:26" x14ac:dyDescent="0.3">
      <c r="I117" s="10"/>
      <c r="J117" s="10"/>
      <c r="K117" s="10"/>
      <c r="L117" s="10"/>
      <c r="M117" s="10"/>
      <c r="N117" s="10"/>
      <c r="O117" s="10"/>
      <c r="P117" s="10"/>
      <c r="Q117" s="10"/>
      <c r="R117" s="10"/>
      <c r="S117" s="10"/>
      <c r="T117" s="10"/>
      <c r="U117" s="10"/>
      <c r="V117" s="10"/>
      <c r="W117" s="10"/>
      <c r="X117" s="10"/>
      <c r="Y117" s="10"/>
      <c r="Z117" s="10"/>
    </row>
    <row r="118" spans="9:26" x14ac:dyDescent="0.3">
      <c r="I118" s="10"/>
      <c r="J118" s="10"/>
      <c r="K118" s="10"/>
      <c r="L118" s="10"/>
      <c r="M118" s="10"/>
      <c r="N118" s="10"/>
      <c r="O118" s="10"/>
      <c r="P118" s="10"/>
      <c r="Q118" s="10"/>
      <c r="R118" s="10"/>
      <c r="S118" s="10"/>
      <c r="T118" s="10"/>
      <c r="U118" s="10"/>
      <c r="V118" s="10"/>
      <c r="W118" s="10"/>
      <c r="X118" s="10"/>
      <c r="Y118" s="10"/>
      <c r="Z118" s="10"/>
    </row>
    <row r="119" spans="9:26" x14ac:dyDescent="0.3">
      <c r="I119" s="10"/>
      <c r="J119" s="10"/>
      <c r="K119" s="10"/>
      <c r="L119" s="10"/>
      <c r="M119" s="10"/>
      <c r="N119" s="10"/>
      <c r="O119" s="10"/>
      <c r="P119" s="10"/>
      <c r="Q119" s="10"/>
      <c r="R119" s="10"/>
      <c r="S119" s="10"/>
      <c r="T119" s="10"/>
      <c r="U119" s="10"/>
      <c r="V119" s="10"/>
      <c r="W119" s="10"/>
      <c r="X119" s="10"/>
      <c r="Y119" s="10"/>
      <c r="Z119" s="10"/>
    </row>
    <row r="120" spans="9:26" x14ac:dyDescent="0.3">
      <c r="I120" s="10"/>
      <c r="J120" s="10"/>
      <c r="K120" s="10"/>
      <c r="L120" s="10"/>
      <c r="M120" s="10"/>
      <c r="N120" s="10"/>
      <c r="O120" s="10"/>
      <c r="P120" s="10"/>
      <c r="Q120" s="10"/>
      <c r="R120" s="10"/>
      <c r="S120" s="10"/>
      <c r="T120" s="10"/>
      <c r="U120" s="10"/>
      <c r="V120" s="10"/>
      <c r="W120" s="10"/>
      <c r="X120" s="10"/>
      <c r="Y120" s="10"/>
      <c r="Z120" s="10"/>
    </row>
    <row r="121" spans="9:26" x14ac:dyDescent="0.3">
      <c r="I121" s="10"/>
      <c r="J121" s="10"/>
      <c r="K121" s="10"/>
      <c r="L121" s="10"/>
      <c r="M121" s="10"/>
      <c r="N121" s="10"/>
      <c r="O121" s="10"/>
      <c r="P121" s="10"/>
      <c r="Q121" s="10"/>
      <c r="R121" s="10"/>
      <c r="S121" s="10"/>
      <c r="T121" s="10"/>
      <c r="U121" s="10"/>
      <c r="V121" s="10"/>
      <c r="W121" s="10"/>
      <c r="X121" s="10"/>
      <c r="Y121" s="10"/>
      <c r="Z121" s="10"/>
    </row>
    <row r="122" spans="9:26" x14ac:dyDescent="0.3">
      <c r="I122" s="10"/>
      <c r="J122" s="10"/>
      <c r="K122" s="10"/>
      <c r="L122" s="10"/>
      <c r="M122" s="10"/>
      <c r="N122" s="10"/>
      <c r="O122" s="10"/>
      <c r="P122" s="10"/>
      <c r="Q122" s="10"/>
      <c r="R122" s="10"/>
      <c r="S122" s="10"/>
      <c r="T122" s="10"/>
      <c r="U122" s="10"/>
      <c r="V122" s="10"/>
      <c r="W122" s="10"/>
      <c r="X122" s="10"/>
      <c r="Y122" s="10"/>
      <c r="Z122" s="10"/>
    </row>
    <row r="123" spans="9:26" x14ac:dyDescent="0.3">
      <c r="I123" s="10"/>
      <c r="J123" s="10"/>
      <c r="K123" s="10"/>
      <c r="L123" s="10"/>
      <c r="M123" s="10"/>
      <c r="N123" s="10"/>
      <c r="O123" s="10"/>
      <c r="P123" s="10"/>
      <c r="Q123" s="10"/>
      <c r="R123" s="10"/>
      <c r="S123" s="10"/>
      <c r="T123" s="10"/>
      <c r="U123" s="10"/>
      <c r="V123" s="10"/>
      <c r="W123" s="10"/>
      <c r="X123" s="10"/>
      <c r="Y123" s="10"/>
      <c r="Z123" s="10"/>
    </row>
    <row r="124" spans="9:26" x14ac:dyDescent="0.3">
      <c r="I124" s="10"/>
      <c r="J124" s="10"/>
      <c r="K124" s="10"/>
      <c r="L124" s="10"/>
      <c r="M124" s="10"/>
      <c r="N124" s="10"/>
      <c r="O124" s="10"/>
      <c r="P124" s="10"/>
      <c r="Q124" s="10"/>
      <c r="R124" s="10"/>
      <c r="S124" s="10"/>
      <c r="T124" s="10"/>
      <c r="U124" s="10"/>
      <c r="V124" s="10"/>
      <c r="W124" s="10"/>
      <c r="X124" s="10"/>
      <c r="Y124" s="10"/>
      <c r="Z124" s="10"/>
    </row>
    <row r="125" spans="9:26" x14ac:dyDescent="0.3">
      <c r="I125" s="10"/>
      <c r="J125" s="10"/>
      <c r="K125" s="10"/>
      <c r="L125" s="10"/>
      <c r="M125" s="10"/>
      <c r="N125" s="10"/>
      <c r="O125" s="10"/>
      <c r="P125" s="10"/>
      <c r="Q125" s="10"/>
      <c r="R125" s="10"/>
      <c r="S125" s="10"/>
      <c r="T125" s="10"/>
      <c r="U125" s="10"/>
      <c r="V125" s="10"/>
      <c r="W125" s="10"/>
      <c r="X125" s="10"/>
      <c r="Y125" s="10"/>
      <c r="Z125" s="10"/>
    </row>
    <row r="126" spans="9:26" x14ac:dyDescent="0.3">
      <c r="I126" s="10"/>
      <c r="J126" s="10"/>
      <c r="K126" s="10"/>
      <c r="L126" s="10"/>
      <c r="M126" s="10"/>
      <c r="N126" s="10"/>
      <c r="O126" s="10"/>
      <c r="P126" s="10"/>
      <c r="Q126" s="10"/>
      <c r="R126" s="10"/>
      <c r="S126" s="10"/>
      <c r="T126" s="10"/>
      <c r="U126" s="10"/>
      <c r="V126" s="10"/>
      <c r="W126" s="10"/>
      <c r="X126" s="10"/>
      <c r="Y126" s="10"/>
      <c r="Z126" s="10"/>
    </row>
    <row r="127" spans="9:26" x14ac:dyDescent="0.3">
      <c r="I127" s="10"/>
      <c r="J127" s="10"/>
      <c r="K127" s="10"/>
      <c r="L127" s="10"/>
      <c r="M127" s="10"/>
      <c r="N127" s="10"/>
      <c r="O127" s="10"/>
      <c r="P127" s="10"/>
      <c r="Q127" s="10"/>
      <c r="R127" s="10"/>
      <c r="S127" s="10"/>
      <c r="T127" s="10"/>
      <c r="U127" s="10"/>
      <c r="V127" s="10"/>
      <c r="W127" s="10"/>
      <c r="X127" s="10"/>
      <c r="Y127" s="10"/>
      <c r="Z127" s="10"/>
    </row>
    <row r="128" spans="9:26" x14ac:dyDescent="0.3">
      <c r="I128" s="10"/>
      <c r="J128" s="10"/>
      <c r="K128" s="10"/>
      <c r="L128" s="10"/>
      <c r="M128" s="10"/>
      <c r="N128" s="10"/>
      <c r="O128" s="10"/>
      <c r="P128" s="10"/>
      <c r="Q128" s="10"/>
      <c r="R128" s="10"/>
      <c r="S128" s="10"/>
      <c r="T128" s="10"/>
      <c r="U128" s="10"/>
      <c r="V128" s="10"/>
      <c r="W128" s="10"/>
      <c r="X128" s="10"/>
      <c r="Y128" s="10"/>
      <c r="Z128" s="10"/>
    </row>
    <row r="129" spans="9:26" x14ac:dyDescent="0.3">
      <c r="I129" s="10"/>
      <c r="J129" s="10"/>
      <c r="K129" s="10"/>
      <c r="L129" s="10"/>
      <c r="M129" s="10"/>
      <c r="N129" s="10"/>
      <c r="O129" s="10"/>
      <c r="P129" s="10"/>
      <c r="Q129" s="10"/>
      <c r="R129" s="10"/>
      <c r="S129" s="10"/>
      <c r="T129" s="10"/>
      <c r="U129" s="10"/>
      <c r="V129" s="10"/>
      <c r="W129" s="10"/>
      <c r="X129" s="10"/>
      <c r="Y129" s="10"/>
      <c r="Z129" s="10"/>
    </row>
    <row r="130" spans="9:26" x14ac:dyDescent="0.3">
      <c r="I130" s="10"/>
      <c r="J130" s="10"/>
      <c r="K130" s="10"/>
      <c r="L130" s="10"/>
      <c r="M130" s="10"/>
      <c r="N130" s="10"/>
      <c r="O130" s="10"/>
      <c r="P130" s="10"/>
      <c r="Q130" s="10"/>
      <c r="R130" s="10"/>
      <c r="S130" s="10"/>
      <c r="T130" s="10"/>
      <c r="U130" s="10"/>
      <c r="V130" s="10"/>
      <c r="W130" s="10"/>
      <c r="X130" s="10"/>
      <c r="Y130" s="10"/>
      <c r="Z130" s="10"/>
    </row>
    <row r="131" spans="9:26" x14ac:dyDescent="0.3">
      <c r="I131" s="10"/>
      <c r="J131" s="10"/>
      <c r="K131" s="10"/>
      <c r="L131" s="10"/>
      <c r="M131" s="10"/>
      <c r="N131" s="10"/>
      <c r="O131" s="10"/>
      <c r="P131" s="10"/>
      <c r="Q131" s="10"/>
      <c r="R131" s="10"/>
      <c r="S131" s="10"/>
      <c r="T131" s="10"/>
      <c r="U131" s="10"/>
      <c r="V131" s="10"/>
      <c r="W131" s="10"/>
      <c r="X131" s="10"/>
      <c r="Y131" s="10"/>
      <c r="Z131" s="10"/>
    </row>
    <row r="132" spans="9:26" x14ac:dyDescent="0.3">
      <c r="I132" s="10"/>
      <c r="J132" s="10"/>
      <c r="K132" s="10"/>
      <c r="L132" s="10"/>
      <c r="M132" s="10"/>
      <c r="N132" s="10"/>
      <c r="O132" s="10"/>
      <c r="P132" s="10"/>
      <c r="Q132" s="10"/>
      <c r="R132" s="10"/>
      <c r="S132" s="10"/>
      <c r="T132" s="10"/>
      <c r="U132" s="10"/>
      <c r="V132" s="10"/>
      <c r="W132" s="10"/>
      <c r="X132" s="10"/>
      <c r="Y132" s="10"/>
      <c r="Z132" s="10"/>
    </row>
    <row r="133" spans="9:26" x14ac:dyDescent="0.3">
      <c r="I133" s="10"/>
      <c r="J133" s="10"/>
      <c r="K133" s="10"/>
      <c r="L133" s="10"/>
      <c r="M133" s="10"/>
      <c r="N133" s="10"/>
      <c r="O133" s="10"/>
      <c r="P133" s="10"/>
      <c r="Q133" s="10"/>
      <c r="R133" s="10"/>
      <c r="S133" s="10"/>
      <c r="T133" s="10"/>
      <c r="U133" s="10"/>
      <c r="V133" s="10"/>
      <c r="W133" s="10"/>
      <c r="X133" s="10"/>
      <c r="Y133" s="10"/>
      <c r="Z133" s="10"/>
    </row>
    <row r="134" spans="9:26" x14ac:dyDescent="0.3">
      <c r="I134" s="10"/>
      <c r="J134" s="10"/>
      <c r="K134" s="10"/>
      <c r="L134" s="10"/>
      <c r="M134" s="10"/>
      <c r="N134" s="10"/>
      <c r="O134" s="10"/>
      <c r="P134" s="10"/>
      <c r="Q134" s="10"/>
      <c r="R134" s="10"/>
      <c r="S134" s="10"/>
      <c r="T134" s="10"/>
      <c r="U134" s="10"/>
      <c r="V134" s="10"/>
      <c r="W134" s="10"/>
      <c r="X134" s="10"/>
      <c r="Y134" s="10"/>
      <c r="Z134" s="10"/>
    </row>
    <row r="135" spans="9:26" x14ac:dyDescent="0.3">
      <c r="I135" s="10"/>
      <c r="L135" s="10"/>
      <c r="M135" s="10"/>
      <c r="N135" s="10"/>
      <c r="O135" s="10"/>
      <c r="P135" s="10"/>
      <c r="Q135" s="10"/>
      <c r="R135" s="10"/>
      <c r="S135" s="10"/>
      <c r="T135" s="10"/>
      <c r="U135" s="10"/>
      <c r="V135" s="10"/>
      <c r="W135" s="10"/>
      <c r="X135" s="10"/>
      <c r="Y135" s="10"/>
      <c r="Z135" s="10"/>
    </row>
    <row r="136" spans="9:26" x14ac:dyDescent="0.3">
      <c r="I136" s="10"/>
      <c r="L136" s="10"/>
      <c r="M136" s="10"/>
      <c r="N136" s="10"/>
      <c r="O136" s="10"/>
      <c r="P136" s="10"/>
      <c r="Q136" s="10"/>
      <c r="R136" s="10"/>
      <c r="S136" s="10"/>
      <c r="T136" s="10"/>
      <c r="U136" s="10"/>
      <c r="V136" s="10"/>
      <c r="W136" s="10"/>
      <c r="X136" s="10"/>
      <c r="Y136" s="10"/>
      <c r="Z136" s="10"/>
    </row>
  </sheetData>
  <mergeCells count="6">
    <mergeCell ref="A62:B62"/>
    <mergeCell ref="A1:H1"/>
    <mergeCell ref="A4:H4"/>
    <mergeCell ref="A2:H2"/>
    <mergeCell ref="A3:H3"/>
    <mergeCell ref="E56:G56"/>
  </mergeCells>
  <phoneticPr fontId="0" type="noConversion"/>
  <printOptions horizontalCentered="1"/>
  <pageMargins left="0.35433070866141736" right="0" top="0.43307086614173229" bottom="0.15748031496062992" header="0.43307086614173229" footer="0.11811023622047245"/>
  <pageSetup paperSize="9" scale="80" orientation="landscape" r:id="rId1"/>
  <headerFooter alignWithMargins="0"/>
  <rowBreaks count="1" manualBreakCount="1">
    <brk id="41" max="7"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CD687-D4A1-4C2E-B085-04C0C86E4D5B}">
  <sheetPr>
    <pageSetUpPr fitToPage="1"/>
  </sheetPr>
  <dimension ref="A1:O46"/>
  <sheetViews>
    <sheetView view="pageBreakPreview" zoomScaleNormal="100" zoomScaleSheetLayoutView="100" workbookViewId="0">
      <selection activeCell="J19" sqref="J19"/>
    </sheetView>
  </sheetViews>
  <sheetFormatPr defaultColWidth="9" defaultRowHeight="15.6" x14ac:dyDescent="0.3"/>
  <cols>
    <col min="1" max="1" width="6.69921875" style="515" customWidth="1"/>
    <col min="2" max="2" width="19.19921875" style="515" bestFit="1" customWidth="1"/>
    <col min="3" max="3" width="11.59765625" style="515" bestFit="1" customWidth="1"/>
    <col min="4" max="4" width="10.3984375" style="516" hidden="1" customWidth="1"/>
    <col min="5" max="5" width="12" style="514" customWidth="1"/>
    <col min="6" max="6" width="9.09765625" style="514" bestFit="1" customWidth="1"/>
    <col min="7" max="7" width="8.59765625" customWidth="1"/>
    <col min="8" max="8" width="6.8984375" style="516" customWidth="1"/>
    <col min="9" max="9" width="10.5" style="516" bestFit="1" customWidth="1"/>
    <col min="10" max="15" width="11.3984375" style="514" customWidth="1"/>
    <col min="16" max="16384" width="9" style="514"/>
  </cols>
  <sheetData>
    <row r="1" spans="1:15" ht="21" x14ac:dyDescent="0.3">
      <c r="A1" s="621" t="s">
        <v>353</v>
      </c>
      <c r="B1" s="622"/>
      <c r="C1" s="622"/>
      <c r="D1" s="622"/>
      <c r="E1" s="622"/>
      <c r="F1" s="622"/>
      <c r="G1" s="622"/>
      <c r="H1" s="622"/>
      <c r="I1" s="622"/>
      <c r="J1" s="623"/>
      <c r="K1" s="428"/>
      <c r="L1" s="428"/>
      <c r="M1" s="428"/>
      <c r="N1" s="428"/>
      <c r="O1" s="428"/>
    </row>
    <row r="2" spans="1:15" ht="18" x14ac:dyDescent="0.3">
      <c r="A2" s="624" t="s">
        <v>1021</v>
      </c>
      <c r="B2" s="625"/>
      <c r="C2" s="625"/>
      <c r="D2" s="625"/>
      <c r="E2" s="625"/>
      <c r="F2" s="625"/>
      <c r="G2" s="625"/>
      <c r="H2" s="625"/>
      <c r="I2" s="625"/>
      <c r="J2" s="626"/>
      <c r="K2" s="91"/>
      <c r="L2" s="91"/>
      <c r="M2" s="91"/>
      <c r="N2" s="91"/>
      <c r="O2" s="91"/>
    </row>
    <row r="3" spans="1:15" ht="43.8" thickBot="1" x14ac:dyDescent="0.35">
      <c r="A3" s="7" t="s">
        <v>38</v>
      </c>
      <c r="B3" s="82" t="s">
        <v>39</v>
      </c>
      <c r="C3" s="7" t="s">
        <v>798</v>
      </c>
      <c r="D3" s="7" t="s">
        <v>40</v>
      </c>
      <c r="E3" s="81" t="s">
        <v>41</v>
      </c>
      <c r="F3" s="7" t="s">
        <v>42</v>
      </c>
      <c r="G3" s="8" t="s">
        <v>43</v>
      </c>
      <c r="H3" s="9" t="s">
        <v>44</v>
      </c>
      <c r="I3" s="8" t="s">
        <v>45</v>
      </c>
      <c r="J3" s="9" t="s">
        <v>46</v>
      </c>
      <c r="K3" s="9" t="s">
        <v>875</v>
      </c>
      <c r="L3" s="9" t="s">
        <v>1000</v>
      </c>
      <c r="M3" s="9" t="s">
        <v>1001</v>
      </c>
      <c r="N3" s="9" t="s">
        <v>1002</v>
      </c>
      <c r="O3" s="9" t="s">
        <v>874</v>
      </c>
    </row>
    <row r="4" spans="1:15" ht="30" customHeight="1" thickTop="1" x14ac:dyDescent="0.3">
      <c r="A4" s="548">
        <v>1</v>
      </c>
      <c r="B4" s="97" t="s">
        <v>400</v>
      </c>
      <c r="C4" s="548">
        <v>1202828</v>
      </c>
      <c r="D4" s="548"/>
      <c r="E4" s="547">
        <v>45253</v>
      </c>
      <c r="F4" s="18">
        <v>213458</v>
      </c>
      <c r="G4" s="548">
        <v>24</v>
      </c>
      <c r="H4" s="549">
        <v>7.7499999999999999E-2</v>
      </c>
      <c r="I4" s="547">
        <v>45984</v>
      </c>
      <c r="J4" s="18">
        <v>248877</v>
      </c>
      <c r="K4" s="18">
        <v>22913</v>
      </c>
      <c r="L4" s="18">
        <v>18319</v>
      </c>
      <c r="M4" s="18"/>
      <c r="N4" s="18"/>
      <c r="O4" s="18">
        <f>+K4+L4+M4-N4</f>
        <v>41232</v>
      </c>
    </row>
    <row r="5" spans="1:15" ht="21.9" customHeight="1" thickBot="1" x14ac:dyDescent="0.35">
      <c r="A5" s="924" t="s">
        <v>401</v>
      </c>
      <c r="B5" s="925"/>
      <c r="C5" s="925"/>
      <c r="D5" s="925"/>
      <c r="E5" s="925"/>
      <c r="F5" s="550">
        <f>+F4</f>
        <v>213458</v>
      </c>
      <c r="G5" s="551"/>
      <c r="H5" s="552"/>
      <c r="I5" s="553"/>
      <c r="J5" s="554"/>
      <c r="K5" s="579"/>
      <c r="L5" s="593">
        <f>+L4</f>
        <v>18319</v>
      </c>
      <c r="M5" s="579"/>
      <c r="N5" s="579"/>
      <c r="O5" s="72">
        <f>SUM(O4)</f>
        <v>41232</v>
      </c>
    </row>
    <row r="6" spans="1:15" ht="30" customHeight="1" x14ac:dyDescent="0.3">
      <c r="A6" s="11">
        <v>1</v>
      </c>
      <c r="B6" s="18" t="s">
        <v>47</v>
      </c>
      <c r="C6" s="11">
        <v>1202829</v>
      </c>
      <c r="D6" s="11"/>
      <c r="E6" s="570">
        <v>45253</v>
      </c>
      <c r="F6" s="79">
        <v>33564</v>
      </c>
      <c r="G6" s="11">
        <v>24</v>
      </c>
      <c r="H6" s="571">
        <v>7.7499999999999999E-2</v>
      </c>
      <c r="I6" s="570">
        <v>45984</v>
      </c>
      <c r="J6" s="79">
        <v>39133</v>
      </c>
      <c r="K6" s="594">
        <f>2673+930</f>
        <v>3603</v>
      </c>
      <c r="L6" s="79">
        <v>2880</v>
      </c>
      <c r="M6" s="79"/>
      <c r="N6" s="79"/>
      <c r="O6" s="18">
        <f t="shared" ref="O6:O19" si="0">+K6+L6+M6-N6</f>
        <v>6483</v>
      </c>
    </row>
    <row r="7" spans="1:15" ht="30" customHeight="1" x14ac:dyDescent="0.3">
      <c r="A7" s="11">
        <v>2</v>
      </c>
      <c r="B7" s="79" t="s">
        <v>674</v>
      </c>
      <c r="C7" s="83" t="s">
        <v>907</v>
      </c>
      <c r="D7" s="83"/>
      <c r="E7" s="86"/>
      <c r="F7" s="97">
        <v>84495</v>
      </c>
      <c r="G7" s="84"/>
      <c r="H7" s="85"/>
      <c r="I7" s="86"/>
      <c r="J7" s="97"/>
      <c r="K7" s="595"/>
      <c r="L7" s="97">
        <v>392</v>
      </c>
      <c r="M7" s="97"/>
      <c r="N7" s="97">
        <v>39</v>
      </c>
      <c r="O7" s="18">
        <f t="shared" si="0"/>
        <v>353</v>
      </c>
    </row>
    <row r="8" spans="1:15" ht="30" customHeight="1" x14ac:dyDescent="0.3">
      <c r="A8" s="11">
        <v>3</v>
      </c>
      <c r="B8" s="79" t="s">
        <v>674</v>
      </c>
      <c r="C8" s="83" t="s">
        <v>839</v>
      </c>
      <c r="D8" s="83"/>
      <c r="E8" s="86"/>
      <c r="F8" s="97">
        <v>80528</v>
      </c>
      <c r="G8" s="84"/>
      <c r="H8" s="85"/>
      <c r="I8" s="86"/>
      <c r="J8" s="97"/>
      <c r="K8" s="595"/>
      <c r="L8" s="97">
        <v>4060</v>
      </c>
      <c r="M8" s="97"/>
      <c r="N8" s="97">
        <v>407</v>
      </c>
      <c r="O8" s="18">
        <f t="shared" si="0"/>
        <v>3653</v>
      </c>
    </row>
    <row r="9" spans="1:15" ht="30" customHeight="1" x14ac:dyDescent="0.3">
      <c r="A9" s="11">
        <v>4</v>
      </c>
      <c r="B9" s="79" t="s">
        <v>674</v>
      </c>
      <c r="C9" s="83" t="s">
        <v>799</v>
      </c>
      <c r="D9" s="83"/>
      <c r="E9" s="86"/>
      <c r="F9" s="97">
        <v>68294</v>
      </c>
      <c r="G9" s="84"/>
      <c r="H9" s="85"/>
      <c r="I9" s="86"/>
      <c r="J9" s="97"/>
      <c r="K9" s="595"/>
      <c r="L9" s="97">
        <v>1262</v>
      </c>
      <c r="M9" s="97"/>
      <c r="N9" s="97">
        <v>126</v>
      </c>
      <c r="O9" s="18">
        <f t="shared" si="0"/>
        <v>1136</v>
      </c>
    </row>
    <row r="10" spans="1:15" ht="30" customHeight="1" x14ac:dyDescent="0.3">
      <c r="A10" s="11">
        <v>5</v>
      </c>
      <c r="B10" s="79" t="s">
        <v>674</v>
      </c>
      <c r="C10" s="83" t="s">
        <v>800</v>
      </c>
      <c r="D10" s="83"/>
      <c r="E10" s="86"/>
      <c r="F10" s="97">
        <v>68386</v>
      </c>
      <c r="G10" s="84"/>
      <c r="H10" s="85"/>
      <c r="I10" s="86"/>
      <c r="J10" s="97"/>
      <c r="K10" s="595"/>
      <c r="L10" s="97">
        <v>1264</v>
      </c>
      <c r="M10" s="97"/>
      <c r="N10" s="97">
        <v>127</v>
      </c>
      <c r="O10" s="18">
        <f t="shared" si="0"/>
        <v>1137</v>
      </c>
    </row>
    <row r="11" spans="1:15" ht="30" customHeight="1" x14ac:dyDescent="0.3">
      <c r="A11" s="11">
        <v>6</v>
      </c>
      <c r="B11" s="79" t="s">
        <v>674</v>
      </c>
      <c r="C11" s="83" t="s">
        <v>801</v>
      </c>
      <c r="D11" s="83"/>
      <c r="E11" s="86"/>
      <c r="F11" s="97">
        <v>68159</v>
      </c>
      <c r="G11" s="84"/>
      <c r="H11" s="85"/>
      <c r="I11" s="86"/>
      <c r="J11" s="97"/>
      <c r="K11" s="595"/>
      <c r="L11" s="97">
        <v>1260</v>
      </c>
      <c r="M11" s="97"/>
      <c r="N11" s="97">
        <v>126</v>
      </c>
      <c r="O11" s="18">
        <f t="shared" si="0"/>
        <v>1134</v>
      </c>
    </row>
    <row r="12" spans="1:15" ht="30" customHeight="1" x14ac:dyDescent="0.3">
      <c r="A12" s="11">
        <v>7</v>
      </c>
      <c r="B12" s="79" t="s">
        <v>674</v>
      </c>
      <c r="C12" s="11" t="s">
        <v>802</v>
      </c>
      <c r="D12" s="11"/>
      <c r="E12" s="570"/>
      <c r="F12" s="79">
        <v>68297</v>
      </c>
      <c r="G12" s="11"/>
      <c r="H12" s="571"/>
      <c r="I12" s="570"/>
      <c r="J12" s="79"/>
      <c r="K12" s="595"/>
      <c r="L12" s="97">
        <v>1262</v>
      </c>
      <c r="M12" s="97"/>
      <c r="N12" s="97">
        <v>126</v>
      </c>
      <c r="O12" s="18">
        <f t="shared" si="0"/>
        <v>1136</v>
      </c>
    </row>
    <row r="13" spans="1:15" ht="30" customHeight="1" x14ac:dyDescent="0.3">
      <c r="A13" s="11">
        <v>8</v>
      </c>
      <c r="B13" s="79" t="s">
        <v>674</v>
      </c>
      <c r="C13" s="11" t="s">
        <v>870</v>
      </c>
      <c r="D13" s="11"/>
      <c r="E13" s="570"/>
      <c r="F13" s="79">
        <v>61434</v>
      </c>
      <c r="G13" s="11"/>
      <c r="H13" s="571"/>
      <c r="I13" s="570"/>
      <c r="J13" s="79"/>
      <c r="K13" s="595"/>
      <c r="L13" s="97">
        <v>3157</v>
      </c>
      <c r="M13" s="97"/>
      <c r="N13" s="97">
        <v>315</v>
      </c>
      <c r="O13" s="18">
        <f t="shared" si="0"/>
        <v>2842</v>
      </c>
    </row>
    <row r="14" spans="1:15" ht="30" customHeight="1" x14ac:dyDescent="0.3">
      <c r="A14" s="11">
        <v>9</v>
      </c>
      <c r="B14" s="79" t="s">
        <v>674</v>
      </c>
      <c r="C14" s="11" t="s">
        <v>871</v>
      </c>
      <c r="D14" s="11"/>
      <c r="E14" s="570"/>
      <c r="F14" s="79">
        <v>61433</v>
      </c>
      <c r="G14" s="11"/>
      <c r="H14" s="571"/>
      <c r="I14" s="570"/>
      <c r="J14" s="79"/>
      <c r="K14" s="595"/>
      <c r="L14" s="97">
        <v>3157</v>
      </c>
      <c r="M14" s="97"/>
      <c r="N14" s="97">
        <v>315</v>
      </c>
      <c r="O14" s="18">
        <f t="shared" si="0"/>
        <v>2842</v>
      </c>
    </row>
    <row r="15" spans="1:15" ht="30" customHeight="1" x14ac:dyDescent="0.3">
      <c r="A15" s="11">
        <v>10</v>
      </c>
      <c r="B15" s="79" t="s">
        <v>674</v>
      </c>
      <c r="C15" s="11" t="s">
        <v>872</v>
      </c>
      <c r="D15" s="11"/>
      <c r="E15" s="570"/>
      <c r="F15" s="79">
        <v>61434</v>
      </c>
      <c r="G15" s="11"/>
      <c r="H15" s="571"/>
      <c r="I15" s="570"/>
      <c r="J15" s="79"/>
      <c r="K15" s="595"/>
      <c r="L15" s="97">
        <v>3157</v>
      </c>
      <c r="M15" s="97"/>
      <c r="N15" s="97">
        <v>316</v>
      </c>
      <c r="O15" s="18">
        <f t="shared" si="0"/>
        <v>2841</v>
      </c>
    </row>
    <row r="16" spans="1:15" ht="30" customHeight="1" x14ac:dyDescent="0.3">
      <c r="A16" s="11">
        <v>11</v>
      </c>
      <c r="B16" s="79" t="s">
        <v>674</v>
      </c>
      <c r="C16" s="11" t="s">
        <v>869</v>
      </c>
      <c r="D16" s="11"/>
      <c r="E16" s="570"/>
      <c r="F16" s="79">
        <v>113819</v>
      </c>
      <c r="G16" s="11"/>
      <c r="H16" s="571"/>
      <c r="I16" s="570"/>
      <c r="J16" s="79"/>
      <c r="K16" s="595"/>
      <c r="L16" s="97">
        <v>8083</v>
      </c>
      <c r="M16" s="97"/>
      <c r="N16" s="97">
        <v>809</v>
      </c>
      <c r="O16" s="18">
        <f t="shared" si="0"/>
        <v>7274</v>
      </c>
    </row>
    <row r="17" spans="1:15" ht="30" customHeight="1" x14ac:dyDescent="0.3">
      <c r="A17" s="11">
        <v>15</v>
      </c>
      <c r="B17" s="79" t="s">
        <v>674</v>
      </c>
      <c r="C17" s="11" t="s">
        <v>909</v>
      </c>
      <c r="D17" s="11"/>
      <c r="E17" s="570">
        <v>45681</v>
      </c>
      <c r="F17" s="79">
        <v>113802</v>
      </c>
      <c r="G17" s="11"/>
      <c r="H17" s="571"/>
      <c r="I17" s="570"/>
      <c r="J17" s="79"/>
      <c r="K17" s="595">
        <v>1445</v>
      </c>
      <c r="L17" s="97">
        <v>8865</v>
      </c>
      <c r="M17" s="97"/>
      <c r="N17" s="97">
        <v>886</v>
      </c>
      <c r="O17" s="18">
        <f t="shared" si="0"/>
        <v>9424</v>
      </c>
    </row>
    <row r="18" spans="1:15" ht="30" customHeight="1" x14ac:dyDescent="0.3">
      <c r="A18" s="11">
        <v>17</v>
      </c>
      <c r="B18" s="79" t="s">
        <v>674</v>
      </c>
      <c r="C18" s="11" t="s">
        <v>910</v>
      </c>
      <c r="D18" s="11"/>
      <c r="E18" s="570">
        <v>45681</v>
      </c>
      <c r="F18" s="79">
        <v>113802</v>
      </c>
      <c r="G18" s="11"/>
      <c r="H18" s="571"/>
      <c r="I18" s="570"/>
      <c r="J18" s="79"/>
      <c r="K18" s="595">
        <v>1445</v>
      </c>
      <c r="L18" s="97">
        <v>8865</v>
      </c>
      <c r="M18" s="97"/>
      <c r="N18" s="97">
        <v>886</v>
      </c>
      <c r="O18" s="18">
        <f t="shared" si="0"/>
        <v>9424</v>
      </c>
    </row>
    <row r="19" spans="1:15" ht="30" customHeight="1" x14ac:dyDescent="0.3">
      <c r="A19" s="11">
        <v>13</v>
      </c>
      <c r="B19" s="79" t="s">
        <v>674</v>
      </c>
      <c r="C19" s="11" t="s">
        <v>873</v>
      </c>
      <c r="D19" s="613"/>
      <c r="E19" s="614"/>
      <c r="F19" s="579">
        <v>61433</v>
      </c>
      <c r="G19" s="84"/>
      <c r="H19" s="85"/>
      <c r="I19" s="86"/>
      <c r="J19" s="579"/>
      <c r="K19" s="615"/>
      <c r="L19" s="18">
        <v>3157</v>
      </c>
      <c r="M19" s="18"/>
      <c r="N19" s="18">
        <v>316</v>
      </c>
      <c r="O19" s="18">
        <f t="shared" si="0"/>
        <v>2841</v>
      </c>
    </row>
    <row r="20" spans="1:15" s="14" customFormat="1" ht="21.9" customHeight="1" thickBot="1" x14ac:dyDescent="0.35">
      <c r="A20" s="926" t="s">
        <v>402</v>
      </c>
      <c r="B20" s="927"/>
      <c r="C20" s="927"/>
      <c r="D20" s="927"/>
      <c r="E20" s="928"/>
      <c r="F20" s="555">
        <f>SUM(F6:F19)</f>
        <v>1058880</v>
      </c>
      <c r="G20" s="556"/>
      <c r="H20" s="556"/>
      <c r="I20" s="557"/>
      <c r="J20" s="555"/>
      <c r="K20" s="587">
        <f>SUM(K6:K16)</f>
        <v>3603</v>
      </c>
      <c r="L20" s="587">
        <f>SUM(L6:L19)</f>
        <v>50821</v>
      </c>
      <c r="M20" s="587">
        <f t="shared" ref="M20:O20" si="1">SUM(M6:M19)</f>
        <v>0</v>
      </c>
      <c r="N20" s="587">
        <f t="shared" si="1"/>
        <v>4794</v>
      </c>
      <c r="O20" s="587">
        <f t="shared" si="1"/>
        <v>52520</v>
      </c>
    </row>
    <row r="21" spans="1:15" ht="14.4" x14ac:dyDescent="0.3">
      <c r="G21" s="514"/>
    </row>
    <row r="22" spans="1:15" s="14" customFormat="1" ht="8.25" customHeight="1" thickBot="1" x14ac:dyDescent="0.35">
      <c r="A22" s="929"/>
      <c r="B22" s="929"/>
      <c r="C22" s="929"/>
      <c r="D22" s="929"/>
      <c r="E22" s="929"/>
      <c r="F22" s="929"/>
      <c r="G22" s="929"/>
      <c r="H22" s="929"/>
      <c r="I22" s="929"/>
      <c r="J22" s="929"/>
      <c r="K22" s="87"/>
      <c r="L22" s="87"/>
      <c r="M22" s="87"/>
      <c r="N22" s="87"/>
      <c r="O22" s="87"/>
    </row>
    <row r="23" spans="1:15" s="14" customFormat="1" ht="27.75" customHeight="1" thickBot="1" x14ac:dyDescent="0.35">
      <c r="A23" s="921" t="s">
        <v>422</v>
      </c>
      <c r="B23" s="922"/>
      <c r="C23" s="922"/>
      <c r="D23" s="922"/>
      <c r="E23" s="923"/>
      <c r="F23" s="558">
        <f>+F5+F20</f>
        <v>1272338</v>
      </c>
      <c r="G23" s="559"/>
      <c r="H23" s="559"/>
      <c r="I23" s="560"/>
      <c r="J23" s="561"/>
      <c r="K23" s="88"/>
      <c r="L23" s="88">
        <f>+L20-N20</f>
        <v>46027</v>
      </c>
      <c r="M23" s="88" t="s">
        <v>812</v>
      </c>
      <c r="N23" s="88"/>
      <c r="O23" s="88"/>
    </row>
    <row r="24" spans="1:15" s="14" customFormat="1" ht="27.75" customHeight="1" thickTop="1" x14ac:dyDescent="0.3">
      <c r="A24" s="91"/>
      <c r="B24" s="91"/>
      <c r="C24" s="91"/>
      <c r="D24" s="91"/>
      <c r="E24" s="91"/>
      <c r="F24" s="88"/>
      <c r="G24" s="67"/>
      <c r="H24" s="67"/>
      <c r="I24" s="80"/>
      <c r="J24" s="88"/>
      <c r="K24" s="88"/>
      <c r="L24" s="88"/>
      <c r="M24" s="88"/>
      <c r="N24" s="88"/>
      <c r="O24" s="88"/>
    </row>
    <row r="25" spans="1:15" s="14" customFormat="1" x14ac:dyDescent="0.3">
      <c r="A25" s="87"/>
      <c r="B25" s="87"/>
      <c r="C25" s="87"/>
      <c r="D25" s="87"/>
      <c r="E25" s="87"/>
      <c r="G25" s="67"/>
      <c r="H25" s="67"/>
      <c r="I25" s="80"/>
      <c r="J25" s="88"/>
      <c r="K25" s="88"/>
      <c r="L25" s="88"/>
      <c r="M25" s="88"/>
      <c r="N25" s="88"/>
      <c r="O25" s="88"/>
    </row>
    <row r="26" spans="1:15" s="14" customFormat="1" x14ac:dyDescent="0.3">
      <c r="A26" s="67"/>
      <c r="C26" s="67"/>
      <c r="D26" s="67"/>
      <c r="E26" s="80"/>
      <c r="F26" s="96" t="str">
        <f>+'Bal-Sheet'!E56</f>
        <v xml:space="preserve"> For NAVANAND CO-OPERATIVE. HOUSING SOCIETY LTD. </v>
      </c>
      <c r="G26" s="67"/>
      <c r="H26" s="67"/>
      <c r="I26" s="80"/>
    </row>
    <row r="27" spans="1:15" s="14" customFormat="1" x14ac:dyDescent="0.3">
      <c r="A27" s="67"/>
      <c r="C27" s="67"/>
      <c r="D27" s="67"/>
      <c r="E27" s="80"/>
      <c r="G27" s="67"/>
      <c r="H27" s="67"/>
      <c r="I27" s="80"/>
    </row>
    <row r="28" spans="1:15" s="14" customFormat="1" x14ac:dyDescent="0.3">
      <c r="A28" s="67"/>
      <c r="C28" s="67"/>
      <c r="D28" s="67"/>
      <c r="E28" s="80"/>
      <c r="G28" s="67"/>
      <c r="H28" s="67"/>
      <c r="I28" s="80"/>
    </row>
    <row r="29" spans="1:15" s="14" customFormat="1" x14ac:dyDescent="0.3">
      <c r="A29" s="67"/>
      <c r="C29" s="67"/>
      <c r="D29" s="67"/>
      <c r="E29" s="80"/>
      <c r="G29" s="67"/>
      <c r="H29" s="67"/>
      <c r="I29" s="80"/>
    </row>
    <row r="30" spans="1:15" s="14" customFormat="1" x14ac:dyDescent="0.3">
      <c r="A30" s="67"/>
      <c r="C30" s="67"/>
      <c r="D30" s="67"/>
      <c r="E30" s="80"/>
      <c r="F30" s="89" t="s">
        <v>392</v>
      </c>
      <c r="G30" s="36"/>
      <c r="H30" s="90"/>
      <c r="I30" s="98"/>
      <c r="J30" s="90"/>
      <c r="K30" s="90"/>
      <c r="L30" s="90"/>
      <c r="M30" s="90"/>
      <c r="N30" s="90"/>
      <c r="O30" s="90"/>
    </row>
    <row r="31" spans="1:15" s="14" customFormat="1" x14ac:dyDescent="0.3">
      <c r="A31" s="67"/>
      <c r="C31" s="67"/>
      <c r="D31" s="67"/>
      <c r="E31" s="80"/>
      <c r="G31" s="67"/>
      <c r="H31" s="67"/>
      <c r="I31" s="80"/>
    </row>
    <row r="43" spans="1:15" ht="30" customHeight="1" x14ac:dyDescent="0.3">
      <c r="A43" s="105"/>
      <c r="B43" s="79" t="s">
        <v>674</v>
      </c>
      <c r="C43" s="83" t="s">
        <v>870</v>
      </c>
      <c r="D43" s="83"/>
      <c r="E43" s="86">
        <v>45393</v>
      </c>
      <c r="F43" s="97">
        <v>56503</v>
      </c>
      <c r="G43" s="84">
        <v>15</v>
      </c>
      <c r="H43" s="85">
        <v>7.4999999999999997E-2</v>
      </c>
      <c r="I43" s="86">
        <v>45849</v>
      </c>
      <c r="J43" s="97">
        <v>62003</v>
      </c>
      <c r="K43" s="97"/>
      <c r="L43" s="97"/>
      <c r="M43" s="97"/>
      <c r="N43" s="97"/>
      <c r="O43" s="97"/>
    </row>
    <row r="44" spans="1:15" ht="30" customHeight="1" x14ac:dyDescent="0.3">
      <c r="A44" s="105"/>
      <c r="B44" s="79" t="s">
        <v>674</v>
      </c>
      <c r="C44" s="83" t="s">
        <v>871</v>
      </c>
      <c r="D44" s="83"/>
      <c r="E44" s="86">
        <v>45393</v>
      </c>
      <c r="F44" s="97">
        <v>56502</v>
      </c>
      <c r="G44" s="84">
        <v>15</v>
      </c>
      <c r="H44" s="85">
        <v>7.4999999999999997E-2</v>
      </c>
      <c r="I44" s="86">
        <v>45849</v>
      </c>
      <c r="J44" s="97">
        <v>62001</v>
      </c>
      <c r="K44" s="97"/>
      <c r="L44" s="97"/>
      <c r="M44" s="97"/>
      <c r="N44" s="97"/>
      <c r="O44" s="97"/>
    </row>
    <row r="45" spans="1:15" ht="30" customHeight="1" x14ac:dyDescent="0.3">
      <c r="A45" s="105"/>
      <c r="B45" s="79" t="s">
        <v>674</v>
      </c>
      <c r="C45" s="83" t="s">
        <v>872</v>
      </c>
      <c r="D45" s="83"/>
      <c r="E45" s="86">
        <v>45393</v>
      </c>
      <c r="F45" s="97">
        <v>56502</v>
      </c>
      <c r="G45" s="84">
        <v>15</v>
      </c>
      <c r="H45" s="85">
        <v>7.4999999999999997E-2</v>
      </c>
      <c r="I45" s="86">
        <v>45849</v>
      </c>
      <c r="J45" s="97">
        <v>62001</v>
      </c>
      <c r="K45" s="97"/>
      <c r="L45" s="97"/>
      <c r="M45" s="97"/>
      <c r="N45" s="97"/>
      <c r="O45" s="97"/>
    </row>
    <row r="46" spans="1:15" ht="30" customHeight="1" x14ac:dyDescent="0.3">
      <c r="A46" s="105"/>
      <c r="B46" s="79" t="s">
        <v>674</v>
      </c>
      <c r="C46" s="83" t="s">
        <v>873</v>
      </c>
      <c r="D46" s="83"/>
      <c r="E46" s="86">
        <v>45393</v>
      </c>
      <c r="F46" s="97">
        <v>56502</v>
      </c>
      <c r="G46" s="84">
        <v>15</v>
      </c>
      <c r="H46" s="85">
        <v>7.4999999999999997E-2</v>
      </c>
      <c r="I46" s="86">
        <v>45849</v>
      </c>
      <c r="J46" s="97">
        <v>62001</v>
      </c>
      <c r="K46" s="97"/>
      <c r="L46" s="97"/>
      <c r="M46" s="97"/>
      <c r="N46" s="97"/>
      <c r="O46" s="97"/>
    </row>
  </sheetData>
  <mergeCells count="6">
    <mergeCell ref="A23:E23"/>
    <mergeCell ref="A1:J1"/>
    <mergeCell ref="A2:J2"/>
    <mergeCell ref="A5:E5"/>
    <mergeCell ref="A20:E20"/>
    <mergeCell ref="A22:J22"/>
  </mergeCells>
  <printOptions horizontalCentered="1"/>
  <pageMargins left="0.19685039370078741" right="0.19685039370078741" top="0.19685039370078741" bottom="0.19685039370078741" header="0.19685039370078741" footer="0.19685039370078741"/>
  <pageSetup paperSize="9" scale="76"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2"/>
  <sheetViews>
    <sheetView view="pageBreakPreview" topLeftCell="A21" zoomScaleNormal="100" workbookViewId="0">
      <selection activeCell="C35" sqref="C35"/>
    </sheetView>
  </sheetViews>
  <sheetFormatPr defaultColWidth="9" defaultRowHeight="15.6" x14ac:dyDescent="0.3"/>
  <cols>
    <col min="1" max="1" width="9.09765625" style="2" customWidth="1"/>
    <col min="2" max="2" width="43.19921875" style="1" customWidth="1"/>
    <col min="3" max="4" width="14.59765625" style="1" customWidth="1"/>
    <col min="5" max="16384" width="9" style="1"/>
  </cols>
  <sheetData>
    <row r="1" spans="1:9" ht="22.5" customHeight="1" x14ac:dyDescent="0.3">
      <c r="A1" s="621" t="str">
        <f>+TIT!D2</f>
        <v>NAVANAND CO-OPERATIVE. HOUSING SOCIETY LTD.</v>
      </c>
      <c r="B1" s="622"/>
      <c r="C1" s="622"/>
      <c r="D1" s="623"/>
    </row>
    <row r="2" spans="1:9" ht="18" x14ac:dyDescent="0.3">
      <c r="A2" s="624" t="str">
        <f>"MEMBER'S ARREARS LIST AS ON "&amp;TIT!D8&amp;" "</f>
        <v xml:space="preserve">MEMBER'S ARREARS LIST AS ON 31st March, 2026 </v>
      </c>
      <c r="B2" s="625"/>
      <c r="C2" s="625"/>
      <c r="D2" s="626"/>
    </row>
    <row r="3" spans="1:9" ht="21" customHeight="1" thickBot="1" x14ac:dyDescent="0.35">
      <c r="A3" s="6" t="s">
        <v>34</v>
      </c>
      <c r="B3" s="6" t="s">
        <v>35</v>
      </c>
      <c r="C3" s="6" t="s">
        <v>36</v>
      </c>
      <c r="D3" s="6" t="s">
        <v>37</v>
      </c>
      <c r="H3" s="1">
        <v>281556.64</v>
      </c>
    </row>
    <row r="4" spans="1:9" ht="21" customHeight="1" thickTop="1" x14ac:dyDescent="0.3">
      <c r="A4" s="101" t="s">
        <v>733</v>
      </c>
      <c r="B4" s="102" t="s">
        <v>734</v>
      </c>
      <c r="C4" s="108">
        <v>0</v>
      </c>
      <c r="D4" s="108"/>
      <c r="H4" s="1">
        <v>700</v>
      </c>
      <c r="I4" s="1">
        <f>+H3+G4-H4</f>
        <v>280856.64</v>
      </c>
    </row>
    <row r="5" spans="1:9" ht="21" customHeight="1" x14ac:dyDescent="0.3">
      <c r="A5" s="100" t="s">
        <v>735</v>
      </c>
      <c r="B5" s="102" t="s">
        <v>736</v>
      </c>
      <c r="C5" s="109">
        <v>0</v>
      </c>
      <c r="D5" s="109"/>
      <c r="H5" s="1">
        <v>6300</v>
      </c>
      <c r="I5" s="1">
        <f>+I4+G5-H5</f>
        <v>274556.64</v>
      </c>
    </row>
    <row r="6" spans="1:9" ht="21" customHeight="1" x14ac:dyDescent="0.3">
      <c r="A6" s="500" t="s">
        <v>737</v>
      </c>
      <c r="B6" s="501" t="s">
        <v>738</v>
      </c>
      <c r="C6" s="353">
        <v>87285</v>
      </c>
      <c r="D6" s="109"/>
      <c r="H6" s="1">
        <v>7700</v>
      </c>
      <c r="I6" s="1">
        <f t="shared" ref="I6:I32" si="0">+I5+G6-H6</f>
        <v>266856.64</v>
      </c>
    </row>
    <row r="7" spans="1:9" ht="21" customHeight="1" x14ac:dyDescent="0.3">
      <c r="A7" s="100" t="s">
        <v>739</v>
      </c>
      <c r="B7" s="99" t="s">
        <v>740</v>
      </c>
      <c r="C7" s="109">
        <v>0</v>
      </c>
      <c r="D7" s="109"/>
      <c r="H7" s="1">
        <v>5000</v>
      </c>
      <c r="I7" s="1">
        <f t="shared" si="0"/>
        <v>261856.64000000001</v>
      </c>
    </row>
    <row r="8" spans="1:9" ht="21" customHeight="1" x14ac:dyDescent="0.3">
      <c r="A8" s="100" t="s">
        <v>741</v>
      </c>
      <c r="B8" s="99" t="s">
        <v>742</v>
      </c>
      <c r="C8" s="109"/>
      <c r="D8" s="109">
        <v>2509</v>
      </c>
      <c r="H8" s="1">
        <v>2500</v>
      </c>
      <c r="I8" s="1">
        <f t="shared" si="0"/>
        <v>259356.64</v>
      </c>
    </row>
    <row r="9" spans="1:9" ht="21" customHeight="1" x14ac:dyDescent="0.3">
      <c r="A9" s="100" t="s">
        <v>743</v>
      </c>
      <c r="B9" s="99" t="s">
        <v>744</v>
      </c>
      <c r="C9" s="109">
        <v>0</v>
      </c>
      <c r="D9" s="109"/>
      <c r="H9" s="1">
        <v>118</v>
      </c>
      <c r="I9" s="1">
        <f t="shared" si="0"/>
        <v>259238.64</v>
      </c>
    </row>
    <row r="10" spans="1:9" ht="21" customHeight="1" x14ac:dyDescent="0.3">
      <c r="A10" s="100" t="s">
        <v>745</v>
      </c>
      <c r="B10" s="99" t="s">
        <v>746</v>
      </c>
      <c r="C10" s="109"/>
      <c r="D10" s="109">
        <v>3924</v>
      </c>
      <c r="G10" s="1">
        <v>2383</v>
      </c>
      <c r="I10" s="1">
        <f t="shared" si="0"/>
        <v>261621.64</v>
      </c>
    </row>
    <row r="11" spans="1:9" ht="21" customHeight="1" x14ac:dyDescent="0.3">
      <c r="A11" s="100" t="s">
        <v>747</v>
      </c>
      <c r="B11" s="99" t="s">
        <v>748</v>
      </c>
      <c r="C11" s="109">
        <v>7731</v>
      </c>
      <c r="D11" s="109"/>
      <c r="H11" s="1">
        <v>70000</v>
      </c>
      <c r="I11" s="1">
        <f t="shared" si="0"/>
        <v>191621.64</v>
      </c>
    </row>
    <row r="12" spans="1:9" ht="21" customHeight="1" x14ac:dyDescent="0.3">
      <c r="A12" s="100" t="s">
        <v>749</v>
      </c>
      <c r="B12" s="99" t="s">
        <v>750</v>
      </c>
      <c r="C12" s="109">
        <v>0</v>
      </c>
      <c r="D12" s="109"/>
      <c r="G12" s="1">
        <v>3322</v>
      </c>
      <c r="I12" s="1">
        <f t="shared" si="0"/>
        <v>194943.64</v>
      </c>
    </row>
    <row r="13" spans="1:9" ht="21" customHeight="1" x14ac:dyDescent="0.3">
      <c r="A13" s="100" t="s">
        <v>751</v>
      </c>
      <c r="B13" s="99" t="s">
        <v>752</v>
      </c>
      <c r="C13" s="109">
        <v>0</v>
      </c>
      <c r="D13" s="109"/>
      <c r="G13" s="1">
        <v>1530</v>
      </c>
      <c r="I13" s="1">
        <f t="shared" si="0"/>
        <v>196473.64</v>
      </c>
    </row>
    <row r="14" spans="1:9" ht="21" customHeight="1" x14ac:dyDescent="0.3">
      <c r="A14" s="100" t="s">
        <v>753</v>
      </c>
      <c r="B14" s="99" t="s">
        <v>754</v>
      </c>
      <c r="C14" s="109">
        <v>370</v>
      </c>
      <c r="D14" s="109"/>
      <c r="G14" s="1">
        <v>2130</v>
      </c>
      <c r="I14" s="1">
        <f t="shared" si="0"/>
        <v>198603.64</v>
      </c>
    </row>
    <row r="15" spans="1:9" ht="21" customHeight="1" x14ac:dyDescent="0.3">
      <c r="A15" s="100" t="s">
        <v>755</v>
      </c>
      <c r="B15" s="99" t="s">
        <v>756</v>
      </c>
      <c r="C15" s="109"/>
      <c r="D15" s="109">
        <v>5246</v>
      </c>
      <c r="G15" s="1">
        <v>2483</v>
      </c>
      <c r="I15" s="1">
        <f t="shared" si="0"/>
        <v>201086.64</v>
      </c>
    </row>
    <row r="16" spans="1:9" ht="21" customHeight="1" x14ac:dyDescent="0.3">
      <c r="A16" s="100" t="s">
        <v>757</v>
      </c>
      <c r="B16" s="99" t="s">
        <v>758</v>
      </c>
      <c r="C16" s="109">
        <v>0</v>
      </c>
      <c r="D16" s="109"/>
      <c r="G16" s="1">
        <v>6000</v>
      </c>
      <c r="I16" s="1">
        <f t="shared" si="0"/>
        <v>207086.64</v>
      </c>
    </row>
    <row r="17" spans="1:9" ht="21" customHeight="1" x14ac:dyDescent="0.3">
      <c r="A17" s="100" t="s">
        <v>759</v>
      </c>
      <c r="B17" s="99" t="s">
        <v>760</v>
      </c>
      <c r="C17" s="109"/>
      <c r="D17" s="109">
        <v>1940</v>
      </c>
      <c r="G17" s="1">
        <v>2000</v>
      </c>
      <c r="I17" s="1">
        <f t="shared" si="0"/>
        <v>209086.64</v>
      </c>
    </row>
    <row r="18" spans="1:9" ht="21" customHeight="1" x14ac:dyDescent="0.3">
      <c r="A18" s="100" t="s">
        <v>761</v>
      </c>
      <c r="B18" s="99" t="s">
        <v>762</v>
      </c>
      <c r="C18" s="109">
        <v>0</v>
      </c>
      <c r="D18" s="109"/>
      <c r="G18" s="1">
        <v>2130</v>
      </c>
      <c r="I18" s="1">
        <f t="shared" si="0"/>
        <v>211216.64000000001</v>
      </c>
    </row>
    <row r="19" spans="1:9" ht="21" customHeight="1" x14ac:dyDescent="0.3">
      <c r="A19" s="100" t="s">
        <v>763</v>
      </c>
      <c r="B19" s="99" t="s">
        <v>764</v>
      </c>
      <c r="C19" s="109">
        <v>6489</v>
      </c>
      <c r="D19" s="109"/>
      <c r="G19" s="1">
        <v>1604</v>
      </c>
      <c r="I19" s="1">
        <f t="shared" si="0"/>
        <v>212820.64</v>
      </c>
    </row>
    <row r="20" spans="1:9" ht="21" customHeight="1" x14ac:dyDescent="0.3">
      <c r="A20" s="100" t="s">
        <v>765</v>
      </c>
      <c r="B20" s="99" t="s">
        <v>766</v>
      </c>
      <c r="C20" s="109">
        <v>0</v>
      </c>
      <c r="D20" s="109"/>
      <c r="G20" s="1">
        <v>1764</v>
      </c>
      <c r="I20" s="1">
        <f t="shared" si="0"/>
        <v>214584.64</v>
      </c>
    </row>
    <row r="21" spans="1:9" ht="21" customHeight="1" x14ac:dyDescent="0.3">
      <c r="A21" s="100" t="s">
        <v>767</v>
      </c>
      <c r="B21" s="99" t="s">
        <v>768</v>
      </c>
      <c r="C21" s="109">
        <v>0</v>
      </c>
      <c r="D21" s="109"/>
      <c r="G21" s="1">
        <v>2972</v>
      </c>
      <c r="I21" s="1">
        <f t="shared" si="0"/>
        <v>217556.64</v>
      </c>
    </row>
    <row r="22" spans="1:9" ht="21" customHeight="1" x14ac:dyDescent="0.3">
      <c r="A22" s="106" t="s">
        <v>769</v>
      </c>
      <c r="B22" s="107" t="s">
        <v>770</v>
      </c>
      <c r="C22" s="109">
        <v>0</v>
      </c>
      <c r="D22" s="110"/>
      <c r="G22" s="1">
        <v>1000</v>
      </c>
      <c r="I22" s="1">
        <f t="shared" si="0"/>
        <v>218556.64</v>
      </c>
    </row>
    <row r="23" spans="1:9" ht="21" customHeight="1" x14ac:dyDescent="0.3">
      <c r="A23" s="106" t="s">
        <v>771</v>
      </c>
      <c r="B23" s="107" t="s">
        <v>772</v>
      </c>
      <c r="C23" s="109">
        <v>9476</v>
      </c>
      <c r="D23" s="110"/>
      <c r="G23" s="1">
        <v>2500</v>
      </c>
      <c r="I23" s="1">
        <f t="shared" si="0"/>
        <v>221056.64000000001</v>
      </c>
    </row>
    <row r="24" spans="1:9" ht="21" customHeight="1" x14ac:dyDescent="0.3">
      <c r="A24" s="106" t="s">
        <v>773</v>
      </c>
      <c r="B24" s="107" t="s">
        <v>774</v>
      </c>
      <c r="C24" s="109"/>
      <c r="D24" s="110">
        <v>3169</v>
      </c>
      <c r="G24" s="1">
        <v>1823</v>
      </c>
      <c r="I24" s="1">
        <f t="shared" si="0"/>
        <v>222879.64</v>
      </c>
    </row>
    <row r="25" spans="1:9" ht="21" customHeight="1" x14ac:dyDescent="0.3">
      <c r="A25" s="106" t="s">
        <v>775</v>
      </c>
      <c r="B25" s="107" t="s">
        <v>776</v>
      </c>
      <c r="C25" s="109">
        <v>25</v>
      </c>
      <c r="D25" s="110"/>
      <c r="G25" s="1">
        <v>1543</v>
      </c>
      <c r="I25" s="1">
        <f t="shared" si="0"/>
        <v>224422.64</v>
      </c>
    </row>
    <row r="26" spans="1:9" ht="21" customHeight="1" x14ac:dyDescent="0.3">
      <c r="A26" s="106" t="s">
        <v>777</v>
      </c>
      <c r="B26" s="107" t="s">
        <v>778</v>
      </c>
      <c r="C26" s="109"/>
      <c r="D26" s="110">
        <v>1929</v>
      </c>
      <c r="G26" s="1">
        <v>13314</v>
      </c>
      <c r="I26" s="1">
        <f t="shared" si="0"/>
        <v>237736.64</v>
      </c>
    </row>
    <row r="27" spans="1:9" ht="21" customHeight="1" x14ac:dyDescent="0.3">
      <c r="A27" s="106" t="s">
        <v>779</v>
      </c>
      <c r="B27" s="107" t="s">
        <v>780</v>
      </c>
      <c r="C27" s="109">
        <v>0</v>
      </c>
      <c r="D27" s="110"/>
      <c r="G27" s="1">
        <v>13540</v>
      </c>
      <c r="I27" s="1">
        <f t="shared" si="0"/>
        <v>251276.64</v>
      </c>
    </row>
    <row r="28" spans="1:9" ht="21" customHeight="1" x14ac:dyDescent="0.3">
      <c r="A28" s="106" t="s">
        <v>781</v>
      </c>
      <c r="B28" s="107" t="s">
        <v>782</v>
      </c>
      <c r="C28" s="109"/>
      <c r="D28" s="110">
        <v>706</v>
      </c>
      <c r="G28" s="1">
        <v>2014</v>
      </c>
      <c r="I28" s="1">
        <f t="shared" si="0"/>
        <v>253290.64</v>
      </c>
    </row>
    <row r="29" spans="1:9" ht="21" customHeight="1" x14ac:dyDescent="0.3">
      <c r="A29" s="106" t="s">
        <v>783</v>
      </c>
      <c r="B29" s="107" t="s">
        <v>784</v>
      </c>
      <c r="C29" s="109">
        <v>0</v>
      </c>
      <c r="D29" s="110"/>
      <c r="G29" s="1">
        <v>1560</v>
      </c>
      <c r="I29" s="1">
        <f t="shared" si="0"/>
        <v>254850.64</v>
      </c>
    </row>
    <row r="30" spans="1:9" ht="21" customHeight="1" x14ac:dyDescent="0.3">
      <c r="A30" s="106" t="s">
        <v>785</v>
      </c>
      <c r="B30" s="107" t="s">
        <v>786</v>
      </c>
      <c r="C30" s="109">
        <v>6600</v>
      </c>
      <c r="D30" s="110"/>
      <c r="G30" s="1">
        <v>5258</v>
      </c>
      <c r="I30" s="1">
        <f t="shared" si="0"/>
        <v>260108.64</v>
      </c>
    </row>
    <row r="31" spans="1:9" ht="21" customHeight="1" x14ac:dyDescent="0.3">
      <c r="A31" s="106" t="s">
        <v>787</v>
      </c>
      <c r="B31" s="107" t="s">
        <v>788</v>
      </c>
      <c r="C31" s="109">
        <v>4467</v>
      </c>
      <c r="D31" s="110"/>
      <c r="G31" s="1">
        <v>100000</v>
      </c>
      <c r="I31" s="1">
        <f t="shared" si="0"/>
        <v>360108.64</v>
      </c>
    </row>
    <row r="32" spans="1:9" ht="21" customHeight="1" x14ac:dyDescent="0.3">
      <c r="A32" s="106" t="s">
        <v>789</v>
      </c>
      <c r="B32" s="107" t="s">
        <v>790</v>
      </c>
      <c r="C32" s="109"/>
      <c r="D32" s="110">
        <v>1954</v>
      </c>
      <c r="G32" s="1">
        <v>1763</v>
      </c>
      <c r="H32" s="1">
        <v>431</v>
      </c>
      <c r="I32" s="1">
        <f t="shared" si="0"/>
        <v>361440.64</v>
      </c>
    </row>
    <row r="33" spans="1:11" ht="21" customHeight="1" x14ac:dyDescent="0.3">
      <c r="A33" s="106" t="s">
        <v>791</v>
      </c>
      <c r="B33" s="107" t="s">
        <v>792</v>
      </c>
      <c r="C33" s="109">
        <v>0</v>
      </c>
      <c r="D33" s="110"/>
    </row>
    <row r="34" spans="1:11" ht="21" customHeight="1" x14ac:dyDescent="0.3">
      <c r="A34" s="106" t="s">
        <v>650</v>
      </c>
      <c r="B34" s="107" t="s">
        <v>793</v>
      </c>
      <c r="C34" s="109"/>
      <c r="D34" s="110">
        <v>6501</v>
      </c>
    </row>
    <row r="35" spans="1:11" ht="27.75" customHeight="1" thickBot="1" x14ac:dyDescent="0.35">
      <c r="A35" s="12"/>
      <c r="B35" s="13" t="s">
        <v>794</v>
      </c>
      <c r="C35" s="112">
        <f>SUM(C4:C34)</f>
        <v>122443</v>
      </c>
      <c r="D35" s="112">
        <f>SUM(D4:D34)</f>
        <v>27878</v>
      </c>
      <c r="F35" s="111"/>
    </row>
    <row r="36" spans="1:11" ht="16.2" thickTop="1" x14ac:dyDescent="0.3">
      <c r="A36" s="67"/>
      <c r="B36" s="14"/>
      <c r="C36" s="34"/>
      <c r="D36" s="34"/>
      <c r="I36" s="1">
        <v>341234</v>
      </c>
      <c r="K36" s="1">
        <f>2483*2</f>
        <v>4966</v>
      </c>
    </row>
    <row r="37" spans="1:11" x14ac:dyDescent="0.3">
      <c r="C37" s="3"/>
      <c r="D37" s="3"/>
      <c r="I37" s="1">
        <v>343364</v>
      </c>
    </row>
    <row r="38" spans="1:11" x14ac:dyDescent="0.3">
      <c r="B38" s="627" t="str">
        <f>+TIT!D2</f>
        <v>NAVANAND CO-OPERATIVE. HOUSING SOCIETY LTD.</v>
      </c>
      <c r="C38" s="627"/>
      <c r="D38" s="627"/>
      <c r="I38" s="1">
        <f>+I37-I36</f>
        <v>2130</v>
      </c>
    </row>
    <row r="39" spans="1:11" x14ac:dyDescent="0.3">
      <c r="C39" s="3"/>
      <c r="D39" s="3"/>
    </row>
    <row r="40" spans="1:11" x14ac:dyDescent="0.3">
      <c r="C40" s="3"/>
      <c r="D40" s="3"/>
    </row>
    <row r="41" spans="1:11" x14ac:dyDescent="0.3">
      <c r="B41" s="3"/>
      <c r="C41" s="3"/>
      <c r="D41" s="3"/>
    </row>
    <row r="42" spans="1:11" x14ac:dyDescent="0.3">
      <c r="B42" s="628" t="str">
        <f>+'Bal-Sheet'!E61</f>
        <v>(Chairman)                    (Secretary)                       (Treasurer)</v>
      </c>
      <c r="C42" s="629"/>
      <c r="D42" s="629"/>
    </row>
  </sheetData>
  <mergeCells count="4">
    <mergeCell ref="A1:D1"/>
    <mergeCell ref="A2:D2"/>
    <mergeCell ref="B38:D38"/>
    <mergeCell ref="B42:D42"/>
  </mergeCells>
  <phoneticPr fontId="0" type="noConversion"/>
  <printOptions horizontalCentered="1"/>
  <pageMargins left="0.98" right="0.3" top="0" bottom="0.22" header="0.1" footer="0.17"/>
  <pageSetup paperSize="9" scale="95"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P59"/>
  <sheetViews>
    <sheetView view="pageBreakPreview" topLeftCell="A4" zoomScaleNormal="100" zoomScaleSheetLayoutView="100" workbookViewId="0">
      <selection activeCell="A29" sqref="A29:XFD30"/>
    </sheetView>
  </sheetViews>
  <sheetFormatPr defaultColWidth="9" defaultRowHeight="15.6" x14ac:dyDescent="0.3"/>
  <cols>
    <col min="1" max="1" width="6.69921875" style="515" customWidth="1"/>
    <col min="2" max="2" width="19.19921875" style="515" bestFit="1" customWidth="1"/>
    <col min="3" max="3" width="11.59765625" style="515" bestFit="1" customWidth="1"/>
    <col min="4" max="4" width="10.3984375" style="516" hidden="1" customWidth="1"/>
    <col min="5" max="5" width="12" style="514" customWidth="1"/>
    <col min="6" max="6" width="9.09765625" style="514" bestFit="1" customWidth="1"/>
    <col min="7" max="7" width="8.59765625" customWidth="1"/>
    <col min="8" max="8" width="6.8984375" style="516" customWidth="1"/>
    <col min="9" max="9" width="10.5" style="516" bestFit="1" customWidth="1"/>
    <col min="10" max="15" width="11.3984375" style="514" customWidth="1"/>
    <col min="16" max="16384" width="9" style="514"/>
  </cols>
  <sheetData>
    <row r="1" spans="1:16" ht="21" x14ac:dyDescent="0.3">
      <c r="A1" s="621" t="s">
        <v>353</v>
      </c>
      <c r="B1" s="622"/>
      <c r="C1" s="622"/>
      <c r="D1" s="622"/>
      <c r="E1" s="622"/>
      <c r="F1" s="622"/>
      <c r="G1" s="622"/>
      <c r="H1" s="622"/>
      <c r="I1" s="622"/>
      <c r="J1" s="623"/>
      <c r="K1" s="428"/>
      <c r="L1" s="428"/>
      <c r="M1" s="428"/>
      <c r="N1" s="428"/>
      <c r="O1" s="428"/>
    </row>
    <row r="2" spans="1:16" ht="18" x14ac:dyDescent="0.3">
      <c r="A2" s="624" t="s">
        <v>911</v>
      </c>
      <c r="B2" s="625"/>
      <c r="C2" s="625"/>
      <c r="D2" s="625"/>
      <c r="E2" s="625"/>
      <c r="F2" s="625"/>
      <c r="G2" s="625"/>
      <c r="H2" s="625"/>
      <c r="I2" s="625"/>
      <c r="J2" s="626"/>
      <c r="K2" s="91"/>
      <c r="L2" s="91"/>
      <c r="M2" s="91"/>
      <c r="N2" s="91"/>
      <c r="O2" s="91"/>
    </row>
    <row r="3" spans="1:16" ht="43.8" thickBot="1" x14ac:dyDescent="0.35">
      <c r="A3" s="7" t="s">
        <v>38</v>
      </c>
      <c r="B3" s="82" t="s">
        <v>39</v>
      </c>
      <c r="C3" s="7" t="s">
        <v>798</v>
      </c>
      <c r="D3" s="7" t="s">
        <v>40</v>
      </c>
      <c r="E3" s="81" t="s">
        <v>41</v>
      </c>
      <c r="F3" s="7" t="s">
        <v>42</v>
      </c>
      <c r="G3" s="8" t="s">
        <v>43</v>
      </c>
      <c r="H3" s="9" t="s">
        <v>44</v>
      </c>
      <c r="I3" s="8" t="s">
        <v>45</v>
      </c>
      <c r="J3" s="9" t="s">
        <v>46</v>
      </c>
      <c r="K3" s="9" t="s">
        <v>875</v>
      </c>
      <c r="L3" s="9" t="s">
        <v>1000</v>
      </c>
      <c r="M3" s="9" t="s">
        <v>1001</v>
      </c>
      <c r="N3" s="9" t="s">
        <v>1002</v>
      </c>
      <c r="O3" s="9" t="s">
        <v>874</v>
      </c>
    </row>
    <row r="4" spans="1:16" ht="30" customHeight="1" thickTop="1" x14ac:dyDescent="0.3">
      <c r="A4" s="548">
        <v>1</v>
      </c>
      <c r="B4" s="97" t="s">
        <v>400</v>
      </c>
      <c r="C4" s="548">
        <v>1202828</v>
      </c>
      <c r="D4" s="548"/>
      <c r="E4" s="547">
        <v>45253</v>
      </c>
      <c r="F4" s="18">
        <v>213458</v>
      </c>
      <c r="G4" s="548">
        <v>24</v>
      </c>
      <c r="H4" s="549">
        <v>7.7499999999999999E-2</v>
      </c>
      <c r="I4" s="547">
        <v>45984</v>
      </c>
      <c r="J4" s="18">
        <v>248877</v>
      </c>
      <c r="K4" s="18">
        <v>22913</v>
      </c>
      <c r="L4" s="18"/>
      <c r="M4" s="18"/>
      <c r="N4" s="18"/>
      <c r="O4" s="18">
        <f>+K4+L4+M4-N4</f>
        <v>22913</v>
      </c>
    </row>
    <row r="5" spans="1:16" ht="21.9" customHeight="1" thickBot="1" x14ac:dyDescent="0.35">
      <c r="A5" s="925" t="s">
        <v>401</v>
      </c>
      <c r="B5" s="925"/>
      <c r="C5" s="925"/>
      <c r="D5" s="925"/>
      <c r="E5" s="925"/>
      <c r="F5" s="550">
        <f>+F4</f>
        <v>213458</v>
      </c>
      <c r="G5" s="551"/>
      <c r="H5" s="552"/>
      <c r="I5" s="553"/>
      <c r="J5" s="554"/>
      <c r="K5" s="579"/>
      <c r="L5" s="593">
        <f>+L4</f>
        <v>0</v>
      </c>
      <c r="M5" s="579"/>
      <c r="N5" s="579"/>
      <c r="O5" s="18"/>
    </row>
    <row r="6" spans="1:16" ht="30" customHeight="1" x14ac:dyDescent="0.3">
      <c r="A6" s="546">
        <v>2</v>
      </c>
      <c r="B6" s="18" t="s">
        <v>47</v>
      </c>
      <c r="C6" s="11">
        <v>1202829</v>
      </c>
      <c r="D6" s="11"/>
      <c r="E6" s="570">
        <v>45253</v>
      </c>
      <c r="F6" s="79">
        <v>33564</v>
      </c>
      <c r="G6" s="11">
        <v>24</v>
      </c>
      <c r="H6" s="571">
        <v>7.7499999999999999E-2</v>
      </c>
      <c r="I6" s="570">
        <v>45984</v>
      </c>
      <c r="J6" s="79">
        <v>39133</v>
      </c>
      <c r="K6" s="594">
        <f>2673+930</f>
        <v>3603</v>
      </c>
      <c r="L6" s="79"/>
      <c r="M6" s="79"/>
      <c r="N6" s="79"/>
      <c r="O6" s="18">
        <f t="shared" ref="O6:O31" si="0">+K6+L6+M6-N6</f>
        <v>3603</v>
      </c>
    </row>
    <row r="7" spans="1:16" ht="30" customHeight="1" x14ac:dyDescent="0.3">
      <c r="A7" s="574">
        <v>3</v>
      </c>
      <c r="B7" s="575" t="s">
        <v>674</v>
      </c>
      <c r="C7" s="572" t="s">
        <v>907</v>
      </c>
      <c r="D7" s="572"/>
      <c r="E7" s="576">
        <v>45693</v>
      </c>
      <c r="F7" s="573">
        <v>78881</v>
      </c>
      <c r="G7" s="577">
        <v>13</v>
      </c>
      <c r="H7" s="578"/>
      <c r="I7" s="576"/>
      <c r="J7" s="573"/>
      <c r="K7" s="592">
        <v>791</v>
      </c>
      <c r="L7" s="573"/>
      <c r="M7" s="573">
        <v>5359</v>
      </c>
      <c r="N7" s="573">
        <v>536</v>
      </c>
      <c r="O7" s="18">
        <f t="shared" si="0"/>
        <v>5614</v>
      </c>
      <c r="P7" s="514">
        <f>+O7+F7</f>
        <v>84495</v>
      </c>
    </row>
    <row r="8" spans="1:16" ht="30" customHeight="1" x14ac:dyDescent="0.3">
      <c r="A8" s="105"/>
      <c r="B8" s="79" t="s">
        <v>674</v>
      </c>
      <c r="C8" s="83" t="s">
        <v>907</v>
      </c>
      <c r="D8" s="83"/>
      <c r="E8" s="86"/>
      <c r="F8" s="97">
        <v>84495</v>
      </c>
      <c r="G8" s="84"/>
      <c r="H8" s="85"/>
      <c r="I8" s="86"/>
      <c r="J8" s="97"/>
      <c r="K8" s="595"/>
      <c r="L8" s="97">
        <v>392</v>
      </c>
      <c r="M8" s="97"/>
      <c r="N8" s="97">
        <v>39</v>
      </c>
      <c r="O8" s="18">
        <f t="shared" si="0"/>
        <v>353</v>
      </c>
    </row>
    <row r="9" spans="1:16" s="612" customFormat="1" ht="30" customHeight="1" x14ac:dyDescent="0.3">
      <c r="A9" s="574">
        <v>4</v>
      </c>
      <c r="B9" s="575" t="s">
        <v>674</v>
      </c>
      <c r="C9" s="572" t="s">
        <v>839</v>
      </c>
      <c r="D9" s="572"/>
      <c r="E9" s="576">
        <v>45296</v>
      </c>
      <c r="F9" s="573">
        <v>75259</v>
      </c>
      <c r="G9" s="577"/>
      <c r="H9" s="578"/>
      <c r="I9" s="576"/>
      <c r="J9" s="573"/>
      <c r="K9" s="592">
        <v>3826</v>
      </c>
      <c r="L9" s="573"/>
      <c r="M9" s="573">
        <v>1604</v>
      </c>
      <c r="N9" s="573">
        <v>161</v>
      </c>
      <c r="O9" s="611">
        <f t="shared" si="0"/>
        <v>5269</v>
      </c>
      <c r="P9" s="514">
        <f>+O9+F9</f>
        <v>80528</v>
      </c>
    </row>
    <row r="10" spans="1:16" ht="30" customHeight="1" x14ac:dyDescent="0.3">
      <c r="A10" s="105"/>
      <c r="B10" s="79" t="s">
        <v>674</v>
      </c>
      <c r="C10" s="83" t="s">
        <v>839</v>
      </c>
      <c r="D10" s="83"/>
      <c r="E10" s="86"/>
      <c r="F10" s="97">
        <v>80528</v>
      </c>
      <c r="G10" s="84"/>
      <c r="H10" s="85"/>
      <c r="I10" s="86"/>
      <c r="J10" s="97"/>
      <c r="K10" s="595"/>
      <c r="L10" s="97">
        <v>4060</v>
      </c>
      <c r="M10" s="97"/>
      <c r="N10" s="97">
        <v>407</v>
      </c>
      <c r="O10" s="18"/>
    </row>
    <row r="11" spans="1:16" s="612" customFormat="1" ht="30" customHeight="1" x14ac:dyDescent="0.3">
      <c r="A11" s="574">
        <v>5</v>
      </c>
      <c r="B11" s="575" t="s">
        <v>674</v>
      </c>
      <c r="C11" s="572" t="s">
        <v>799</v>
      </c>
      <c r="D11" s="572"/>
      <c r="E11" s="576">
        <v>45620</v>
      </c>
      <c r="F11" s="573">
        <v>63734</v>
      </c>
      <c r="G11" s="577"/>
      <c r="H11" s="578"/>
      <c r="I11" s="576"/>
      <c r="J11" s="573"/>
      <c r="K11" s="592">
        <v>1463</v>
      </c>
      <c r="L11" s="573"/>
      <c r="M11" s="573">
        <v>3442</v>
      </c>
      <c r="N11" s="573">
        <v>345</v>
      </c>
      <c r="O11" s="611">
        <f t="shared" si="0"/>
        <v>4560</v>
      </c>
      <c r="P11" s="514">
        <f>+O11+F11</f>
        <v>68294</v>
      </c>
    </row>
    <row r="12" spans="1:16" ht="30" customHeight="1" x14ac:dyDescent="0.3">
      <c r="A12" s="105"/>
      <c r="B12" s="79" t="s">
        <v>674</v>
      </c>
      <c r="C12" s="83" t="s">
        <v>799</v>
      </c>
      <c r="D12" s="83"/>
      <c r="E12" s="86"/>
      <c r="F12" s="97">
        <v>68294</v>
      </c>
      <c r="G12" s="84"/>
      <c r="H12" s="85"/>
      <c r="I12" s="86"/>
      <c r="J12" s="97"/>
      <c r="K12" s="595"/>
      <c r="L12" s="97">
        <v>1262</v>
      </c>
      <c r="M12" s="97"/>
      <c r="N12" s="97">
        <v>126</v>
      </c>
      <c r="O12" s="18"/>
    </row>
    <row r="13" spans="1:16" s="612" customFormat="1" ht="30" customHeight="1" x14ac:dyDescent="0.3">
      <c r="A13" s="574">
        <v>6</v>
      </c>
      <c r="B13" s="575" t="s">
        <v>674</v>
      </c>
      <c r="C13" s="572" t="s">
        <v>800</v>
      </c>
      <c r="D13" s="572"/>
      <c r="E13" s="576">
        <v>45620</v>
      </c>
      <c r="F13" s="573">
        <v>63736</v>
      </c>
      <c r="G13" s="577"/>
      <c r="H13" s="578"/>
      <c r="I13" s="576"/>
      <c r="J13" s="573"/>
      <c r="K13" s="592">
        <v>1462</v>
      </c>
      <c r="L13" s="573"/>
      <c r="M13" s="573">
        <v>3442</v>
      </c>
      <c r="N13" s="573">
        <v>254</v>
      </c>
      <c r="O13" s="611">
        <f t="shared" si="0"/>
        <v>4650</v>
      </c>
      <c r="P13" s="514">
        <f>+O13+F13</f>
        <v>68386</v>
      </c>
    </row>
    <row r="14" spans="1:16" ht="30" customHeight="1" x14ac:dyDescent="0.3">
      <c r="A14" s="105"/>
      <c r="B14" s="79" t="s">
        <v>674</v>
      </c>
      <c r="C14" s="83" t="s">
        <v>800</v>
      </c>
      <c r="D14" s="83"/>
      <c r="E14" s="86"/>
      <c r="F14" s="97">
        <v>68386</v>
      </c>
      <c r="G14" s="84"/>
      <c r="H14" s="85"/>
      <c r="I14" s="86"/>
      <c r="J14" s="97"/>
      <c r="K14" s="595"/>
      <c r="L14" s="97">
        <v>1264</v>
      </c>
      <c r="M14" s="97"/>
      <c r="N14" s="97">
        <v>127</v>
      </c>
      <c r="O14" s="18"/>
    </row>
    <row r="15" spans="1:16" s="612" customFormat="1" ht="30" customHeight="1" x14ac:dyDescent="0.3">
      <c r="A15" s="574">
        <v>7</v>
      </c>
      <c r="B15" s="575" t="s">
        <v>674</v>
      </c>
      <c r="C15" s="572" t="s">
        <v>801</v>
      </c>
      <c r="D15" s="572"/>
      <c r="E15" s="576">
        <v>45620</v>
      </c>
      <c r="F15" s="573">
        <v>63607</v>
      </c>
      <c r="G15" s="577"/>
      <c r="H15" s="578"/>
      <c r="I15" s="576"/>
      <c r="J15" s="573"/>
      <c r="K15" s="592">
        <v>1459</v>
      </c>
      <c r="L15" s="573"/>
      <c r="M15" s="573">
        <v>3436</v>
      </c>
      <c r="N15" s="573">
        <v>343</v>
      </c>
      <c r="O15" s="611">
        <f t="shared" si="0"/>
        <v>4552</v>
      </c>
      <c r="P15" s="612">
        <f>+O15+F15</f>
        <v>68159</v>
      </c>
    </row>
    <row r="16" spans="1:16" ht="30" customHeight="1" x14ac:dyDescent="0.3">
      <c r="A16" s="105"/>
      <c r="B16" s="79" t="s">
        <v>674</v>
      </c>
      <c r="C16" s="83" t="s">
        <v>801</v>
      </c>
      <c r="D16" s="83"/>
      <c r="E16" s="86"/>
      <c r="F16" s="97">
        <v>68159</v>
      </c>
      <c r="G16" s="84"/>
      <c r="H16" s="85"/>
      <c r="I16" s="86"/>
      <c r="J16" s="97"/>
      <c r="K16" s="595"/>
      <c r="L16" s="97">
        <v>1260</v>
      </c>
      <c r="M16" s="97"/>
      <c r="N16" s="97">
        <v>126</v>
      </c>
      <c r="O16" s="611">
        <f t="shared" si="0"/>
        <v>1134</v>
      </c>
    </row>
    <row r="17" spans="1:16" s="612" customFormat="1" ht="30" customHeight="1" x14ac:dyDescent="0.3">
      <c r="A17" s="588">
        <v>8</v>
      </c>
      <c r="B17" s="575" t="s">
        <v>674</v>
      </c>
      <c r="C17" s="588" t="s">
        <v>802</v>
      </c>
      <c r="D17" s="588"/>
      <c r="E17" s="589">
        <v>45620</v>
      </c>
      <c r="F17" s="575">
        <v>63737</v>
      </c>
      <c r="G17" s="588"/>
      <c r="H17" s="590"/>
      <c r="I17" s="589"/>
      <c r="J17" s="575"/>
      <c r="K17" s="592">
        <v>1462</v>
      </c>
      <c r="L17" s="573"/>
      <c r="M17" s="573">
        <v>3442</v>
      </c>
      <c r="N17" s="573">
        <v>344</v>
      </c>
      <c r="O17" s="611">
        <f t="shared" si="0"/>
        <v>4560</v>
      </c>
      <c r="P17" s="612">
        <f>+O17+F17</f>
        <v>68297</v>
      </c>
    </row>
    <row r="18" spans="1:16" ht="30" customHeight="1" x14ac:dyDescent="0.3">
      <c r="A18" s="11"/>
      <c r="B18" s="79" t="s">
        <v>674</v>
      </c>
      <c r="C18" s="11" t="s">
        <v>802</v>
      </c>
      <c r="D18" s="11"/>
      <c r="E18" s="570"/>
      <c r="F18" s="79">
        <v>68297</v>
      </c>
      <c r="G18" s="11"/>
      <c r="H18" s="571"/>
      <c r="I18" s="570"/>
      <c r="J18" s="79"/>
      <c r="K18" s="595"/>
      <c r="L18" s="97">
        <v>1262</v>
      </c>
      <c r="M18" s="97"/>
      <c r="N18" s="97">
        <v>126</v>
      </c>
      <c r="O18" s="18"/>
    </row>
    <row r="19" spans="1:16" s="612" customFormat="1" ht="30" customHeight="1" x14ac:dyDescent="0.3">
      <c r="A19" s="588">
        <v>9</v>
      </c>
      <c r="B19" s="575" t="s">
        <v>674</v>
      </c>
      <c r="C19" s="588" t="s">
        <v>870</v>
      </c>
      <c r="D19" s="588"/>
      <c r="E19" s="589">
        <v>45393</v>
      </c>
      <c r="F19" s="575">
        <v>56503</v>
      </c>
      <c r="G19" s="588"/>
      <c r="H19" s="590"/>
      <c r="I19" s="589"/>
      <c r="J19" s="575"/>
      <c r="K19" s="592">
        <v>3803</v>
      </c>
      <c r="L19" s="573"/>
      <c r="M19" s="573">
        <v>1253</v>
      </c>
      <c r="N19" s="573">
        <v>125</v>
      </c>
      <c r="O19" s="611">
        <f t="shared" si="0"/>
        <v>4931</v>
      </c>
      <c r="P19" s="612">
        <f>+O19+F19</f>
        <v>61434</v>
      </c>
    </row>
    <row r="20" spans="1:16" ht="30" customHeight="1" x14ac:dyDescent="0.3">
      <c r="A20" s="11"/>
      <c r="B20" s="79" t="s">
        <v>674</v>
      </c>
      <c r="C20" s="11" t="s">
        <v>870</v>
      </c>
      <c r="D20" s="11"/>
      <c r="E20" s="570"/>
      <c r="F20" s="79">
        <v>61434</v>
      </c>
      <c r="G20" s="11"/>
      <c r="H20" s="571"/>
      <c r="I20" s="570"/>
      <c r="J20" s="79"/>
      <c r="K20" s="595"/>
      <c r="L20" s="97">
        <v>3157</v>
      </c>
      <c r="M20" s="97"/>
      <c r="N20" s="97">
        <v>315</v>
      </c>
      <c r="O20" s="18"/>
    </row>
    <row r="21" spans="1:16" s="612" customFormat="1" ht="30" customHeight="1" x14ac:dyDescent="0.3">
      <c r="A21" s="588">
        <v>10</v>
      </c>
      <c r="B21" s="575" t="s">
        <v>674</v>
      </c>
      <c r="C21" s="588" t="s">
        <v>871</v>
      </c>
      <c r="D21" s="588"/>
      <c r="E21" s="589">
        <v>45393</v>
      </c>
      <c r="F21" s="575">
        <v>56502</v>
      </c>
      <c r="G21" s="588"/>
      <c r="H21" s="590"/>
      <c r="I21" s="589"/>
      <c r="J21" s="575"/>
      <c r="K21" s="592">
        <v>3804</v>
      </c>
      <c r="L21" s="573"/>
      <c r="M21" s="573">
        <v>1253</v>
      </c>
      <c r="N21" s="573">
        <v>126</v>
      </c>
      <c r="O21" s="611">
        <f t="shared" si="0"/>
        <v>4931</v>
      </c>
      <c r="P21" s="612">
        <f>+O21+F21</f>
        <v>61433</v>
      </c>
    </row>
    <row r="22" spans="1:16" ht="30" customHeight="1" x14ac:dyDescent="0.3">
      <c r="A22" s="11"/>
      <c r="B22" s="79" t="s">
        <v>674</v>
      </c>
      <c r="C22" s="11" t="s">
        <v>871</v>
      </c>
      <c r="D22" s="11"/>
      <c r="E22" s="570"/>
      <c r="F22" s="79">
        <v>61433</v>
      </c>
      <c r="G22" s="11"/>
      <c r="H22" s="571"/>
      <c r="I22" s="570"/>
      <c r="J22" s="79"/>
      <c r="K22" s="595"/>
      <c r="L22" s="97">
        <v>3157</v>
      </c>
      <c r="M22" s="97"/>
      <c r="N22" s="97">
        <v>315</v>
      </c>
      <c r="O22" s="18"/>
    </row>
    <row r="23" spans="1:16" s="612" customFormat="1" ht="30" customHeight="1" x14ac:dyDescent="0.3">
      <c r="A23" s="588">
        <v>11</v>
      </c>
      <c r="B23" s="575" t="s">
        <v>674</v>
      </c>
      <c r="C23" s="588" t="s">
        <v>872</v>
      </c>
      <c r="D23" s="588"/>
      <c r="E23" s="589">
        <v>45393</v>
      </c>
      <c r="F23" s="575">
        <v>56502</v>
      </c>
      <c r="G23" s="588"/>
      <c r="H23" s="590"/>
      <c r="I23" s="589"/>
      <c r="J23" s="575"/>
      <c r="K23" s="592">
        <v>3804</v>
      </c>
      <c r="L23" s="573"/>
      <c r="M23" s="573">
        <v>1253</v>
      </c>
      <c r="N23" s="573">
        <v>125</v>
      </c>
      <c r="O23" s="611">
        <f t="shared" si="0"/>
        <v>4932</v>
      </c>
      <c r="P23" s="612">
        <f>+O23+F23</f>
        <v>61434</v>
      </c>
    </row>
    <row r="24" spans="1:16" ht="30" customHeight="1" x14ac:dyDescent="0.3">
      <c r="A24" s="11"/>
      <c r="B24" s="79" t="s">
        <v>674</v>
      </c>
      <c r="C24" s="11" t="s">
        <v>872</v>
      </c>
      <c r="D24" s="11"/>
      <c r="E24" s="570"/>
      <c r="F24" s="79">
        <v>61434</v>
      </c>
      <c r="G24" s="11"/>
      <c r="H24" s="571"/>
      <c r="I24" s="570"/>
      <c r="J24" s="79"/>
      <c r="K24" s="595"/>
      <c r="L24" s="97">
        <v>3157</v>
      </c>
      <c r="M24" s="97"/>
      <c r="N24" s="97">
        <v>316</v>
      </c>
      <c r="O24" s="18"/>
    </row>
    <row r="25" spans="1:16" s="612" customFormat="1" ht="30" customHeight="1" x14ac:dyDescent="0.3">
      <c r="A25" s="588">
        <v>12</v>
      </c>
      <c r="B25" s="575" t="s">
        <v>674</v>
      </c>
      <c r="C25" s="588" t="s">
        <v>869</v>
      </c>
      <c r="D25" s="588"/>
      <c r="E25" s="589">
        <v>45033</v>
      </c>
      <c r="F25" s="575">
        <v>100000</v>
      </c>
      <c r="G25" s="588">
        <v>24</v>
      </c>
      <c r="H25" s="590">
        <v>7.2499999999999995E-2</v>
      </c>
      <c r="I25" s="589">
        <v>45764</v>
      </c>
      <c r="J25" s="575">
        <v>115454</v>
      </c>
      <c r="K25" s="592">
        <f>7114+6391</f>
        <v>13505</v>
      </c>
      <c r="L25" s="573"/>
      <c r="M25" s="573">
        <v>349</v>
      </c>
      <c r="N25" s="573">
        <v>35</v>
      </c>
      <c r="O25" s="611">
        <f t="shared" si="0"/>
        <v>13819</v>
      </c>
      <c r="P25" s="612">
        <f>+O25+F25</f>
        <v>113819</v>
      </c>
    </row>
    <row r="26" spans="1:16" ht="30" customHeight="1" x14ac:dyDescent="0.3">
      <c r="A26" s="11"/>
      <c r="B26" s="79" t="s">
        <v>674</v>
      </c>
      <c r="C26" s="11" t="s">
        <v>869</v>
      </c>
      <c r="D26" s="11"/>
      <c r="E26" s="570"/>
      <c r="F26" s="79">
        <v>113819</v>
      </c>
      <c r="G26" s="11"/>
      <c r="H26" s="571"/>
      <c r="I26" s="570"/>
      <c r="J26" s="79"/>
      <c r="K26" s="595"/>
      <c r="L26" s="97">
        <v>8083</v>
      </c>
      <c r="M26" s="97"/>
      <c r="N26" s="97">
        <v>809</v>
      </c>
      <c r="O26" s="18"/>
    </row>
    <row r="27" spans="1:16" s="612" customFormat="1" ht="30" customHeight="1" x14ac:dyDescent="0.3">
      <c r="A27" s="588">
        <v>13</v>
      </c>
      <c r="B27" s="575" t="s">
        <v>674</v>
      </c>
      <c r="C27" s="588" t="s">
        <v>908</v>
      </c>
      <c r="D27" s="588"/>
      <c r="E27" s="589"/>
      <c r="F27" s="575">
        <v>226545</v>
      </c>
      <c r="G27" s="588"/>
      <c r="H27" s="590"/>
      <c r="I27" s="589"/>
      <c r="J27" s="575"/>
      <c r="K27" s="592">
        <v>9835</v>
      </c>
      <c r="L27" s="573"/>
      <c r="M27" s="573">
        <v>6495</v>
      </c>
      <c r="N27" s="573">
        <v>650</v>
      </c>
      <c r="O27" s="611">
        <f t="shared" si="0"/>
        <v>15680</v>
      </c>
      <c r="P27" s="612">
        <f>+O27+F27</f>
        <v>242225</v>
      </c>
    </row>
    <row r="28" spans="1:16" ht="30" customHeight="1" x14ac:dyDescent="0.3">
      <c r="A28" s="11"/>
      <c r="B28" s="79" t="s">
        <v>674</v>
      </c>
      <c r="C28" s="11" t="s">
        <v>908</v>
      </c>
      <c r="D28" s="11"/>
      <c r="E28" s="570"/>
      <c r="F28" s="79">
        <v>242225</v>
      </c>
      <c r="G28" s="11"/>
      <c r="H28" s="571"/>
      <c r="I28" s="570"/>
      <c r="J28" s="79"/>
      <c r="K28" s="595"/>
      <c r="L28" s="18">
        <v>1234</v>
      </c>
      <c r="M28" s="18"/>
      <c r="N28" s="18">
        <v>213</v>
      </c>
      <c r="O28" s="18"/>
    </row>
    <row r="29" spans="1:16" s="612" customFormat="1" ht="30" customHeight="1" x14ac:dyDescent="0.3">
      <c r="A29" s="616">
        <v>15</v>
      </c>
      <c r="B29" s="591" t="s">
        <v>674</v>
      </c>
      <c r="C29" s="616" t="s">
        <v>909</v>
      </c>
      <c r="D29" s="616"/>
      <c r="E29" s="617">
        <v>45681</v>
      </c>
      <c r="F29" s="591">
        <v>113802</v>
      </c>
      <c r="G29" s="588"/>
      <c r="H29" s="590"/>
      <c r="I29" s="589"/>
      <c r="J29" s="575"/>
      <c r="K29" s="592">
        <v>1445</v>
      </c>
      <c r="L29" s="611"/>
      <c r="M29" s="611">
        <v>8865</v>
      </c>
      <c r="N29" s="611">
        <v>886</v>
      </c>
      <c r="O29" s="611">
        <f t="shared" si="0"/>
        <v>9424</v>
      </c>
      <c r="P29" s="612">
        <f>+O29+F29</f>
        <v>123226</v>
      </c>
    </row>
    <row r="30" spans="1:16" s="612" customFormat="1" ht="30" customHeight="1" x14ac:dyDescent="0.3">
      <c r="A30" s="616">
        <v>17</v>
      </c>
      <c r="B30" s="591" t="s">
        <v>674</v>
      </c>
      <c r="C30" s="616" t="s">
        <v>910</v>
      </c>
      <c r="D30" s="616"/>
      <c r="E30" s="617">
        <v>45681</v>
      </c>
      <c r="F30" s="591">
        <v>113802</v>
      </c>
      <c r="G30" s="588"/>
      <c r="H30" s="590"/>
      <c r="I30" s="589"/>
      <c r="J30" s="575"/>
      <c r="K30" s="592">
        <v>1445</v>
      </c>
      <c r="L30" s="611"/>
      <c r="M30" s="611">
        <v>8865</v>
      </c>
      <c r="N30" s="611">
        <v>886</v>
      </c>
      <c r="O30" s="611">
        <f t="shared" si="0"/>
        <v>9424</v>
      </c>
      <c r="P30" s="612">
        <f>+O30+F30</f>
        <v>123226</v>
      </c>
    </row>
    <row r="31" spans="1:16" s="612" customFormat="1" ht="30" customHeight="1" x14ac:dyDescent="0.3">
      <c r="A31" s="588">
        <v>18</v>
      </c>
      <c r="B31" s="575" t="s">
        <v>674</v>
      </c>
      <c r="C31" s="588" t="s">
        <v>873</v>
      </c>
      <c r="D31" s="588"/>
      <c r="E31" s="589"/>
      <c r="F31" s="575">
        <v>56502</v>
      </c>
      <c r="G31" s="588"/>
      <c r="H31" s="590"/>
      <c r="I31" s="589"/>
      <c r="J31" s="575"/>
      <c r="K31" s="592">
        <v>3803</v>
      </c>
      <c r="L31" s="611"/>
      <c r="M31" s="611">
        <v>1253</v>
      </c>
      <c r="N31" s="611">
        <v>125</v>
      </c>
      <c r="O31" s="611">
        <f t="shared" si="0"/>
        <v>4931</v>
      </c>
      <c r="P31" s="612">
        <f>+O31+F31</f>
        <v>61433</v>
      </c>
    </row>
    <row r="32" spans="1:16" ht="30" customHeight="1" x14ac:dyDescent="0.3">
      <c r="A32" s="11">
        <v>18</v>
      </c>
      <c r="B32" s="79" t="s">
        <v>674</v>
      </c>
      <c r="C32" s="11" t="s">
        <v>873</v>
      </c>
      <c r="D32" s="613"/>
      <c r="E32" s="614"/>
      <c r="F32" s="579">
        <v>61433</v>
      </c>
      <c r="G32" s="84"/>
      <c r="H32" s="85"/>
      <c r="I32" s="86"/>
      <c r="J32" s="579"/>
      <c r="K32" s="615"/>
      <c r="L32" s="18">
        <v>3157</v>
      </c>
      <c r="M32" s="18"/>
      <c r="N32" s="18">
        <v>316</v>
      </c>
      <c r="O32" s="18"/>
    </row>
    <row r="33" spans="1:16" s="14" customFormat="1" ht="21.9" customHeight="1" thickBot="1" x14ac:dyDescent="0.35">
      <c r="A33" s="926" t="s">
        <v>402</v>
      </c>
      <c r="B33" s="927"/>
      <c r="C33" s="927"/>
      <c r="D33" s="927"/>
      <c r="E33" s="928"/>
      <c r="F33" s="555">
        <f>SUM(F6:F32)</f>
        <v>2262613</v>
      </c>
      <c r="G33" s="556"/>
      <c r="H33" s="556"/>
      <c r="I33" s="557"/>
      <c r="J33" s="555"/>
      <c r="K33" s="587">
        <f>SUM(K6:K32)</f>
        <v>55510</v>
      </c>
      <c r="L33" s="587">
        <f t="shared" ref="L33:O33" si="1">SUM(L6:L32)</f>
        <v>31445</v>
      </c>
      <c r="M33" s="587">
        <f t="shared" si="1"/>
        <v>50311</v>
      </c>
      <c r="N33" s="587">
        <f t="shared" si="1"/>
        <v>8176</v>
      </c>
      <c r="O33" s="587">
        <f t="shared" si="1"/>
        <v>102367</v>
      </c>
      <c r="P33" s="587"/>
    </row>
    <row r="34" spans="1:16" ht="14.4" x14ac:dyDescent="0.3">
      <c r="G34" s="514"/>
    </row>
    <row r="35" spans="1:16" s="14" customFormat="1" ht="8.25" customHeight="1" thickBot="1" x14ac:dyDescent="0.35">
      <c r="A35" s="929"/>
      <c r="B35" s="929"/>
      <c r="C35" s="929"/>
      <c r="D35" s="929"/>
      <c r="E35" s="929"/>
      <c r="F35" s="929"/>
      <c r="G35" s="929"/>
      <c r="H35" s="929"/>
      <c r="I35" s="929"/>
      <c r="J35" s="929"/>
      <c r="K35" s="87"/>
      <c r="L35" s="87"/>
      <c r="M35" s="87"/>
      <c r="N35" s="87"/>
      <c r="O35" s="87"/>
    </row>
    <row r="36" spans="1:16" s="14" customFormat="1" ht="27.75" customHeight="1" thickBot="1" x14ac:dyDescent="0.35">
      <c r="A36" s="921" t="s">
        <v>422</v>
      </c>
      <c r="B36" s="922"/>
      <c r="C36" s="922"/>
      <c r="D36" s="922"/>
      <c r="E36" s="923"/>
      <c r="F36" s="558">
        <f>+F5+F33</f>
        <v>2476071</v>
      </c>
      <c r="G36" s="559"/>
      <c r="H36" s="559"/>
      <c r="I36" s="560"/>
      <c r="J36" s="561"/>
      <c r="K36" s="88"/>
      <c r="L36" s="88"/>
      <c r="M36" s="88" t="s">
        <v>812</v>
      </c>
      <c r="N36" s="88"/>
      <c r="O36" s="88"/>
    </row>
    <row r="37" spans="1:16" s="14" customFormat="1" ht="27.75" customHeight="1" thickTop="1" x14ac:dyDescent="0.3">
      <c r="A37" s="91"/>
      <c r="B37" s="91"/>
      <c r="C37" s="91"/>
      <c r="D37" s="91"/>
      <c r="E37" s="91"/>
      <c r="F37" s="88"/>
      <c r="G37" s="67"/>
      <c r="H37" s="67"/>
      <c r="I37" s="80"/>
      <c r="J37" s="88"/>
      <c r="K37" s="88"/>
      <c r="L37" s="88"/>
      <c r="M37" s="88"/>
      <c r="N37" s="88"/>
      <c r="O37" s="88"/>
    </row>
    <row r="38" spans="1:16" s="14" customFormat="1" x14ac:dyDescent="0.3">
      <c r="A38" s="87"/>
      <c r="B38" s="87"/>
      <c r="C38" s="87"/>
      <c r="D38" s="87"/>
      <c r="E38" s="87"/>
      <c r="G38" s="67"/>
      <c r="H38" s="67"/>
      <c r="I38" s="80"/>
      <c r="J38" s="88"/>
      <c r="K38" s="88"/>
      <c r="L38" s="88"/>
      <c r="M38" s="88"/>
      <c r="N38" s="88"/>
      <c r="O38" s="88"/>
    </row>
    <row r="39" spans="1:16" s="14" customFormat="1" x14ac:dyDescent="0.3">
      <c r="A39" s="67"/>
      <c r="C39" s="67"/>
      <c r="D39" s="67"/>
      <c r="E39" s="80"/>
      <c r="F39" s="96" t="str">
        <f>+'Bal-Sheet'!E56</f>
        <v xml:space="preserve"> For NAVANAND CO-OPERATIVE. HOUSING SOCIETY LTD. </v>
      </c>
      <c r="G39" s="67"/>
      <c r="H39" s="67"/>
      <c r="I39" s="80"/>
    </row>
    <row r="40" spans="1:16" s="14" customFormat="1" x14ac:dyDescent="0.3">
      <c r="A40" s="67"/>
      <c r="C40" s="67"/>
      <c r="D40" s="67"/>
      <c r="E40" s="80"/>
      <c r="G40" s="67"/>
      <c r="H40" s="67"/>
      <c r="I40" s="80"/>
    </row>
    <row r="41" spans="1:16" s="14" customFormat="1" x14ac:dyDescent="0.3">
      <c r="A41" s="67"/>
      <c r="C41" s="67"/>
      <c r="D41" s="67"/>
      <c r="E41" s="80"/>
      <c r="G41" s="67"/>
      <c r="H41" s="67"/>
      <c r="I41" s="80"/>
    </row>
    <row r="42" spans="1:16" s="14" customFormat="1" x14ac:dyDescent="0.3">
      <c r="A42" s="67"/>
      <c r="C42" s="67"/>
      <c r="D42" s="67"/>
      <c r="E42" s="80"/>
      <c r="G42" s="67"/>
      <c r="H42" s="67"/>
      <c r="I42" s="80"/>
    </row>
    <row r="43" spans="1:16" s="14" customFormat="1" x14ac:dyDescent="0.3">
      <c r="A43" s="67"/>
      <c r="C43" s="67"/>
      <c r="D43" s="67"/>
      <c r="E43" s="80"/>
      <c r="F43" s="89" t="s">
        <v>392</v>
      </c>
      <c r="G43" s="36"/>
      <c r="H43" s="90"/>
      <c r="I43" s="98"/>
      <c r="J43" s="90"/>
      <c r="K43" s="90"/>
      <c r="L43" s="90"/>
      <c r="M43" s="90"/>
      <c r="N43" s="90"/>
      <c r="O43" s="90"/>
    </row>
    <row r="44" spans="1:16" s="14" customFormat="1" x14ac:dyDescent="0.3">
      <c r="A44" s="67"/>
      <c r="C44" s="67"/>
      <c r="D44" s="67"/>
      <c r="E44" s="80"/>
      <c r="G44" s="67"/>
      <c r="H44" s="67"/>
      <c r="I44" s="80"/>
    </row>
    <row r="56" spans="1:15" ht="30" customHeight="1" x14ac:dyDescent="0.3">
      <c r="A56" s="105"/>
      <c r="B56" s="79" t="s">
        <v>674</v>
      </c>
      <c r="C56" s="83" t="s">
        <v>870</v>
      </c>
      <c r="D56" s="83"/>
      <c r="E56" s="86">
        <v>45393</v>
      </c>
      <c r="F56" s="97">
        <v>56503</v>
      </c>
      <c r="G56" s="84">
        <v>15</v>
      </c>
      <c r="H56" s="85">
        <v>7.4999999999999997E-2</v>
      </c>
      <c r="I56" s="86">
        <v>45849</v>
      </c>
      <c r="J56" s="97">
        <v>62003</v>
      </c>
      <c r="K56" s="97"/>
      <c r="L56" s="97"/>
      <c r="M56" s="97"/>
      <c r="N56" s="97"/>
      <c r="O56" s="97"/>
    </row>
    <row r="57" spans="1:15" ht="30" customHeight="1" x14ac:dyDescent="0.3">
      <c r="A57" s="105"/>
      <c r="B57" s="79" t="s">
        <v>674</v>
      </c>
      <c r="C57" s="83" t="s">
        <v>871</v>
      </c>
      <c r="D57" s="83"/>
      <c r="E57" s="86">
        <v>45393</v>
      </c>
      <c r="F57" s="97">
        <v>56502</v>
      </c>
      <c r="G57" s="84">
        <v>15</v>
      </c>
      <c r="H57" s="85">
        <v>7.4999999999999997E-2</v>
      </c>
      <c r="I57" s="86">
        <v>45849</v>
      </c>
      <c r="J57" s="97">
        <v>62001</v>
      </c>
      <c r="K57" s="97"/>
      <c r="L57" s="97"/>
      <c r="M57" s="97"/>
      <c r="N57" s="97"/>
      <c r="O57" s="97"/>
    </row>
    <row r="58" spans="1:15" ht="30" customHeight="1" x14ac:dyDescent="0.3">
      <c r="A58" s="105"/>
      <c r="B58" s="79" t="s">
        <v>674</v>
      </c>
      <c r="C58" s="83" t="s">
        <v>872</v>
      </c>
      <c r="D58" s="83"/>
      <c r="E58" s="86">
        <v>45393</v>
      </c>
      <c r="F58" s="97">
        <v>56502</v>
      </c>
      <c r="G58" s="84">
        <v>15</v>
      </c>
      <c r="H58" s="85">
        <v>7.4999999999999997E-2</v>
      </c>
      <c r="I58" s="86">
        <v>45849</v>
      </c>
      <c r="J58" s="97">
        <v>62001</v>
      </c>
      <c r="K58" s="97"/>
      <c r="L58" s="97"/>
      <c r="M58" s="97"/>
      <c r="N58" s="97"/>
      <c r="O58" s="97"/>
    </row>
    <row r="59" spans="1:15" ht="30" customHeight="1" x14ac:dyDescent="0.3">
      <c r="A59" s="105"/>
      <c r="B59" s="79" t="s">
        <v>674</v>
      </c>
      <c r="C59" s="83" t="s">
        <v>873</v>
      </c>
      <c r="D59" s="83"/>
      <c r="E59" s="86">
        <v>45393</v>
      </c>
      <c r="F59" s="97">
        <v>56502</v>
      </c>
      <c r="G59" s="84">
        <v>15</v>
      </c>
      <c r="H59" s="85">
        <v>7.4999999999999997E-2</v>
      </c>
      <c r="I59" s="86">
        <v>45849</v>
      </c>
      <c r="J59" s="97">
        <v>62001</v>
      </c>
      <c r="K59" s="97"/>
      <c r="L59" s="97"/>
      <c r="M59" s="97"/>
      <c r="N59" s="97"/>
      <c r="O59" s="97"/>
    </row>
  </sheetData>
  <mergeCells count="6">
    <mergeCell ref="A36:E36"/>
    <mergeCell ref="A1:J1"/>
    <mergeCell ref="A2:J2"/>
    <mergeCell ref="A5:E5"/>
    <mergeCell ref="A33:E33"/>
    <mergeCell ref="A35:J35"/>
  </mergeCells>
  <printOptions horizontalCentered="1"/>
  <pageMargins left="0.19685039370078741" right="0.19685039370078741" top="0.19685039370078741" bottom="0.19685039370078741" header="0.19685039370078741" footer="0.19685039370078741"/>
  <pageSetup paperSize="9" scale="5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43"/>
  <sheetViews>
    <sheetView view="pageBreakPreview" topLeftCell="A22" zoomScaleNormal="100" workbookViewId="0">
      <selection activeCell="H37" sqref="H37"/>
    </sheetView>
  </sheetViews>
  <sheetFormatPr defaultRowHeight="15.6" x14ac:dyDescent="0.3"/>
  <sheetData>
    <row r="1" spans="1:10" ht="16.2" thickTop="1" x14ac:dyDescent="0.3">
      <c r="A1" s="135"/>
      <c r="B1" s="136"/>
      <c r="C1" s="136"/>
      <c r="D1" s="136"/>
      <c r="E1" s="136"/>
      <c r="F1" s="136"/>
      <c r="G1" s="136"/>
      <c r="H1" s="136"/>
      <c r="I1" s="136"/>
      <c r="J1" s="137"/>
    </row>
    <row r="2" spans="1:10" x14ac:dyDescent="0.3">
      <c r="A2" s="138"/>
      <c r="J2" s="139"/>
    </row>
    <row r="3" spans="1:10" x14ac:dyDescent="0.3">
      <c r="A3" s="138"/>
      <c r="J3" s="139"/>
    </row>
    <row r="4" spans="1:10" x14ac:dyDescent="0.3">
      <c r="A4" s="138"/>
      <c r="J4" s="139"/>
    </row>
    <row r="5" spans="1:10" x14ac:dyDescent="0.3">
      <c r="A5" s="138"/>
      <c r="J5" s="139"/>
    </row>
    <row r="6" spans="1:10" x14ac:dyDescent="0.3">
      <c r="A6" s="138"/>
      <c r="J6" s="139"/>
    </row>
    <row r="7" spans="1:10" x14ac:dyDescent="0.3">
      <c r="A7" s="138"/>
      <c r="J7" s="139"/>
    </row>
    <row r="8" spans="1:10" x14ac:dyDescent="0.3">
      <c r="A8" s="138"/>
      <c r="J8" s="139"/>
    </row>
    <row r="9" spans="1:10" x14ac:dyDescent="0.3">
      <c r="A9" s="138"/>
      <c r="J9" s="139"/>
    </row>
    <row r="10" spans="1:10" x14ac:dyDescent="0.3">
      <c r="A10" s="138"/>
      <c r="J10" s="139"/>
    </row>
    <row r="11" spans="1:10" x14ac:dyDescent="0.3">
      <c r="A11" s="138"/>
      <c r="J11" s="139"/>
    </row>
    <row r="12" spans="1:10" x14ac:dyDescent="0.3">
      <c r="A12" s="138"/>
      <c r="J12" s="139"/>
    </row>
    <row r="13" spans="1:10" ht="50.1" customHeight="1" x14ac:dyDescent="0.3">
      <c r="A13" s="644" t="str">
        <f>+TIT!D2</f>
        <v>NAVANAND CO-OPERATIVE. HOUSING SOCIETY LTD.</v>
      </c>
      <c r="B13" s="645"/>
      <c r="C13" s="645"/>
      <c r="D13" s="645"/>
      <c r="E13" s="645"/>
      <c r="F13" s="645"/>
      <c r="G13" s="645"/>
      <c r="H13" s="645"/>
      <c r="I13" s="645"/>
      <c r="J13" s="646"/>
    </row>
    <row r="14" spans="1:10" ht="50.1" customHeight="1" x14ac:dyDescent="0.3">
      <c r="A14" s="644"/>
      <c r="B14" s="645"/>
      <c r="C14" s="645"/>
      <c r="D14" s="645"/>
      <c r="E14" s="645"/>
      <c r="F14" s="645"/>
      <c r="G14" s="645"/>
      <c r="H14" s="645"/>
      <c r="I14" s="645"/>
      <c r="J14" s="646"/>
    </row>
    <row r="15" spans="1:10" ht="33" customHeight="1" x14ac:dyDescent="0.6">
      <c r="A15" s="647" t="str">
        <f>+TIT!D3</f>
        <v xml:space="preserve"> BOM/WR/HSG/TC/11905 DT. 06/01/2003</v>
      </c>
      <c r="B15" s="648"/>
      <c r="C15" s="648"/>
      <c r="D15" s="648"/>
      <c r="E15" s="648"/>
      <c r="F15" s="648"/>
      <c r="G15" s="648"/>
      <c r="H15" s="648"/>
      <c r="I15" s="648"/>
      <c r="J15" s="649"/>
    </row>
    <row r="16" spans="1:10" ht="27" customHeight="1" x14ac:dyDescent="0.3">
      <c r="A16" s="650" t="str">
        <f>+TIT!D6</f>
        <v>Maratha Colony Road, Dahisar - East, Mumbai - 400 068</v>
      </c>
      <c r="B16" s="651"/>
      <c r="C16" s="651"/>
      <c r="D16" s="651"/>
      <c r="E16" s="651"/>
      <c r="F16" s="651"/>
      <c r="G16" s="651"/>
      <c r="H16" s="651"/>
      <c r="I16" s="651"/>
      <c r="J16" s="652"/>
    </row>
    <row r="17" spans="1:10" ht="21.9" customHeight="1" x14ac:dyDescent="0.3">
      <c r="A17" s="650"/>
      <c r="B17" s="651"/>
      <c r="C17" s="651"/>
      <c r="D17" s="651"/>
      <c r="E17" s="651"/>
      <c r="F17" s="651"/>
      <c r="G17" s="651"/>
      <c r="H17" s="651"/>
      <c r="I17" s="651"/>
      <c r="J17" s="652"/>
    </row>
    <row r="18" spans="1:10" ht="21.9" customHeight="1" x14ac:dyDescent="0.3">
      <c r="A18" s="140"/>
      <c r="B18" s="103"/>
      <c r="C18" s="103"/>
      <c r="D18" s="103"/>
      <c r="E18" s="103"/>
      <c r="F18" s="103"/>
      <c r="G18" s="103"/>
      <c r="H18" s="103"/>
      <c r="I18" s="103"/>
      <c r="J18" s="141"/>
    </row>
    <row r="19" spans="1:10" ht="21.9" customHeight="1" x14ac:dyDescent="0.3">
      <c r="A19" s="930" t="s">
        <v>851</v>
      </c>
      <c r="B19" s="931"/>
      <c r="C19" s="931"/>
      <c r="D19" s="931"/>
      <c r="E19" s="931"/>
      <c r="F19" s="931"/>
      <c r="G19" s="931"/>
      <c r="H19" s="931"/>
      <c r="I19" s="931"/>
      <c r="J19" s="932"/>
    </row>
    <row r="20" spans="1:10" ht="21.9" customHeight="1" x14ac:dyDescent="0.3">
      <c r="A20" s="930"/>
      <c r="B20" s="931"/>
      <c r="C20" s="931"/>
      <c r="D20" s="931"/>
      <c r="E20" s="931"/>
      <c r="F20" s="931"/>
      <c r="G20" s="931"/>
      <c r="H20" s="931"/>
      <c r="I20" s="931"/>
      <c r="J20" s="932"/>
    </row>
    <row r="21" spans="1:10" x14ac:dyDescent="0.3">
      <c r="A21" s="138"/>
      <c r="J21" s="139"/>
    </row>
    <row r="22" spans="1:10" x14ac:dyDescent="0.3">
      <c r="A22" s="138"/>
      <c r="J22" s="139"/>
    </row>
    <row r="23" spans="1:10" ht="30" customHeight="1" x14ac:dyDescent="0.3">
      <c r="A23" s="138"/>
      <c r="B23" s="458">
        <v>1</v>
      </c>
      <c r="C23" s="459" t="s">
        <v>698</v>
      </c>
      <c r="D23" s="457"/>
      <c r="E23" s="457"/>
      <c r="F23" s="457"/>
      <c r="G23" s="457"/>
      <c r="H23" s="457"/>
      <c r="I23" s="457"/>
      <c r="J23" s="139"/>
    </row>
    <row r="24" spans="1:10" ht="30" customHeight="1" x14ac:dyDescent="0.3">
      <c r="A24" s="138"/>
      <c r="B24" s="458">
        <v>2</v>
      </c>
      <c r="C24" s="459" t="s">
        <v>699</v>
      </c>
      <c r="D24" s="457"/>
      <c r="E24" s="457"/>
      <c r="F24" s="457"/>
      <c r="G24" s="457"/>
      <c r="H24" s="457"/>
      <c r="I24" s="457"/>
      <c r="J24" s="139"/>
    </row>
    <row r="25" spans="1:10" ht="30" customHeight="1" x14ac:dyDescent="0.3">
      <c r="A25" s="138"/>
      <c r="B25" s="458">
        <v>3</v>
      </c>
      <c r="C25" s="459" t="s">
        <v>700</v>
      </c>
      <c r="D25" s="457"/>
      <c r="E25" s="457"/>
      <c r="F25" s="457"/>
      <c r="G25" s="457"/>
      <c r="H25" s="457"/>
      <c r="I25" s="457"/>
      <c r="J25" s="139"/>
    </row>
    <row r="26" spans="1:10" ht="30" customHeight="1" x14ac:dyDescent="0.3">
      <c r="A26" s="138"/>
      <c r="B26" s="458">
        <v>4</v>
      </c>
      <c r="C26" s="459" t="s">
        <v>728</v>
      </c>
      <c r="D26" s="457"/>
      <c r="E26" s="457"/>
      <c r="F26" s="457"/>
      <c r="G26" s="457"/>
      <c r="H26" s="457"/>
      <c r="I26" s="457"/>
      <c r="J26" s="139"/>
    </row>
    <row r="27" spans="1:10" ht="30" customHeight="1" x14ac:dyDescent="0.3">
      <c r="A27" s="138"/>
      <c r="B27" s="458">
        <v>5</v>
      </c>
      <c r="C27" s="459" t="s">
        <v>701</v>
      </c>
      <c r="D27" s="457"/>
      <c r="E27" s="457"/>
      <c r="F27" s="457"/>
      <c r="G27" s="457"/>
      <c r="H27" s="457"/>
      <c r="I27" s="457"/>
      <c r="J27" s="139"/>
    </row>
    <row r="28" spans="1:10" ht="30" customHeight="1" x14ac:dyDescent="0.3">
      <c r="A28" s="138"/>
      <c r="B28" s="458">
        <v>6</v>
      </c>
      <c r="C28" s="459" t="s">
        <v>702</v>
      </c>
      <c r="D28" s="457"/>
      <c r="E28" s="457"/>
      <c r="F28" s="457"/>
      <c r="G28" s="457"/>
      <c r="H28" s="457"/>
      <c r="I28" s="457"/>
      <c r="J28" s="139"/>
    </row>
    <row r="29" spans="1:10" x14ac:dyDescent="0.3">
      <c r="A29" s="138"/>
      <c r="B29" s="456"/>
      <c r="C29" s="456"/>
      <c r="D29" s="456"/>
      <c r="E29" s="456"/>
      <c r="F29" s="456"/>
      <c r="G29" s="456"/>
      <c r="H29" s="456"/>
      <c r="I29" s="456"/>
      <c r="J29" s="139"/>
    </row>
    <row r="30" spans="1:10" x14ac:dyDescent="0.3">
      <c r="A30" s="138"/>
      <c r="B30" s="455"/>
      <c r="C30" s="455"/>
      <c r="D30" s="455"/>
      <c r="E30" s="455"/>
      <c r="F30" s="455"/>
      <c r="G30" s="455"/>
      <c r="H30" s="455"/>
      <c r="I30" s="455"/>
      <c r="J30" s="139"/>
    </row>
    <row r="31" spans="1:10" x14ac:dyDescent="0.3">
      <c r="A31" s="138"/>
      <c r="J31" s="139"/>
    </row>
    <row r="32" spans="1:10" x14ac:dyDescent="0.3">
      <c r="A32" s="138"/>
      <c r="J32" s="139"/>
    </row>
    <row r="33" spans="1:10" x14ac:dyDescent="0.3">
      <c r="A33" s="638"/>
      <c r="B33" s="639"/>
      <c r="C33" s="639"/>
      <c r="D33" s="639"/>
      <c r="E33" s="639"/>
      <c r="F33" s="639"/>
      <c r="G33" s="639"/>
      <c r="H33" s="639"/>
      <c r="I33" s="639"/>
      <c r="J33" s="640"/>
    </row>
    <row r="34" spans="1:10" ht="30" x14ac:dyDescent="0.5">
      <c r="A34" s="660"/>
      <c r="B34" s="661"/>
      <c r="C34" s="661"/>
      <c r="D34" s="661"/>
      <c r="E34" s="661"/>
      <c r="F34" s="661"/>
      <c r="G34" s="661"/>
      <c r="H34" s="661"/>
      <c r="I34" s="661"/>
      <c r="J34" s="662"/>
    </row>
    <row r="35" spans="1:10" ht="27.6" x14ac:dyDescent="0.65">
      <c r="A35" s="641"/>
      <c r="B35" s="642"/>
      <c r="C35" s="642"/>
      <c r="D35" s="642"/>
      <c r="E35" s="642"/>
      <c r="F35" s="642"/>
      <c r="G35" s="642"/>
      <c r="H35" s="642"/>
      <c r="I35" s="642"/>
      <c r="J35" s="643"/>
    </row>
    <row r="36" spans="1:10" x14ac:dyDescent="0.3">
      <c r="A36" s="638"/>
      <c r="B36" s="639"/>
      <c r="C36" s="639"/>
      <c r="D36" s="639"/>
      <c r="E36" s="639"/>
      <c r="F36" s="639"/>
      <c r="G36" s="639"/>
      <c r="H36" s="639"/>
      <c r="I36" s="639"/>
      <c r="J36" s="640"/>
    </row>
    <row r="37" spans="1:10" x14ac:dyDescent="0.3">
      <c r="A37" s="138"/>
      <c r="J37" s="139"/>
    </row>
    <row r="38" spans="1:10" x14ac:dyDescent="0.3">
      <c r="A38" s="138"/>
      <c r="J38" s="139"/>
    </row>
    <row r="39" spans="1:10" x14ac:dyDescent="0.3">
      <c r="A39" s="138"/>
      <c r="J39" s="139"/>
    </row>
    <row r="40" spans="1:10" x14ac:dyDescent="0.3">
      <c r="A40" s="138"/>
      <c r="J40" s="139"/>
    </row>
    <row r="41" spans="1:10" x14ac:dyDescent="0.3">
      <c r="A41" s="138"/>
      <c r="J41" s="139"/>
    </row>
    <row r="42" spans="1:10" ht="16.2" thickBot="1" x14ac:dyDescent="0.35">
      <c r="A42" s="142"/>
      <c r="B42" s="143"/>
      <c r="C42" s="143"/>
      <c r="D42" s="143"/>
      <c r="E42" s="143"/>
      <c r="F42" s="143"/>
      <c r="G42" s="143"/>
      <c r="H42" s="143"/>
      <c r="I42" s="143"/>
      <c r="J42" s="144"/>
    </row>
    <row r="43" spans="1:10" ht="16.2" thickTop="1" x14ac:dyDescent="0.3"/>
  </sheetData>
  <mergeCells count="8">
    <mergeCell ref="A35:J35"/>
    <mergeCell ref="A36:J36"/>
    <mergeCell ref="A13:J14"/>
    <mergeCell ref="A15:J15"/>
    <mergeCell ref="A16:J17"/>
    <mergeCell ref="A19:J20"/>
    <mergeCell ref="A33:J33"/>
    <mergeCell ref="A34:J34"/>
  </mergeCells>
  <printOptions horizontalCentered="1" verticalCentered="1"/>
  <pageMargins left="0.25" right="0.25" top="0.5" bottom="0.5" header="0.5" footer="0.5"/>
  <pageSetup paperSize="9" scale="88" orientation="portrait" verticalDpi="18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77"/>
  <sheetViews>
    <sheetView topLeftCell="A25" workbookViewId="0">
      <selection activeCell="C36" sqref="C36"/>
    </sheetView>
  </sheetViews>
  <sheetFormatPr defaultColWidth="9" defaultRowHeight="15.6" x14ac:dyDescent="0.3"/>
  <cols>
    <col min="1" max="1" width="27.69921875" style="523" customWidth="1"/>
    <col min="2" max="2" width="16.8984375" style="524" bestFit="1" customWidth="1"/>
    <col min="3" max="3" width="10.09765625" style="523" bestFit="1" customWidth="1"/>
    <col min="4" max="4" width="9" style="523" bestFit="1" customWidth="1"/>
    <col min="5" max="6" width="9" style="523"/>
    <col min="7" max="7" width="10.296875" style="523" bestFit="1" customWidth="1"/>
    <col min="8" max="8" width="8.5" style="523" bestFit="1" customWidth="1"/>
    <col min="9" max="10" width="8.69921875" style="523" bestFit="1" customWidth="1"/>
    <col min="11" max="12" width="8.5" style="523" bestFit="1" customWidth="1"/>
    <col min="13" max="16384" width="9" style="523"/>
  </cols>
  <sheetData>
    <row r="1" spans="1:15" x14ac:dyDescent="0.3">
      <c r="C1" s="525" t="s">
        <v>821</v>
      </c>
      <c r="D1" s="525" t="s">
        <v>822</v>
      </c>
      <c r="E1" s="525" t="s">
        <v>823</v>
      </c>
      <c r="F1" s="525" t="s">
        <v>824</v>
      </c>
      <c r="G1" s="525" t="s">
        <v>825</v>
      </c>
      <c r="H1" s="525" t="s">
        <v>826</v>
      </c>
      <c r="I1" s="525" t="s">
        <v>827</v>
      </c>
      <c r="J1" s="525" t="s">
        <v>828</v>
      </c>
      <c r="K1" s="525" t="s">
        <v>829</v>
      </c>
      <c r="L1" s="525" t="s">
        <v>830</v>
      </c>
      <c r="M1" s="525" t="s">
        <v>831</v>
      </c>
      <c r="N1" s="543" t="s">
        <v>832</v>
      </c>
      <c r="O1" s="543" t="s">
        <v>838</v>
      </c>
    </row>
    <row r="2" spans="1:15" s="528" customFormat="1" ht="22.5" customHeight="1" x14ac:dyDescent="0.3">
      <c r="A2" s="526" t="s">
        <v>833</v>
      </c>
      <c r="B2" s="526" t="s">
        <v>349</v>
      </c>
      <c r="C2" s="527">
        <v>45018</v>
      </c>
      <c r="D2" s="527">
        <v>45039</v>
      </c>
      <c r="E2" s="527">
        <v>45074</v>
      </c>
      <c r="F2" s="527">
        <v>45103</v>
      </c>
      <c r="G2" s="527"/>
      <c r="H2" s="527"/>
      <c r="I2" s="527"/>
      <c r="J2" s="527"/>
      <c r="K2" s="527"/>
      <c r="L2" s="527"/>
      <c r="M2" s="527"/>
      <c r="N2" s="544"/>
      <c r="O2" s="544"/>
    </row>
    <row r="3" spans="1:15" ht="20.100000000000001" customHeight="1" x14ac:dyDescent="0.3">
      <c r="A3" s="529" t="s">
        <v>806</v>
      </c>
      <c r="B3" s="530" t="s">
        <v>60</v>
      </c>
      <c r="C3" s="531"/>
      <c r="D3" s="531"/>
      <c r="E3" s="531"/>
      <c r="F3" s="531"/>
      <c r="G3" s="531"/>
      <c r="H3" s="531"/>
      <c r="I3" s="531"/>
      <c r="J3" s="531"/>
      <c r="K3" s="531"/>
      <c r="L3" s="531"/>
      <c r="M3" s="531"/>
      <c r="N3" s="545"/>
      <c r="O3" s="545"/>
    </row>
    <row r="4" spans="1:15" ht="20.100000000000001" customHeight="1" x14ac:dyDescent="0.3">
      <c r="A4" s="529" t="s">
        <v>811</v>
      </c>
      <c r="B4" s="530" t="s">
        <v>61</v>
      </c>
      <c r="C4" s="531"/>
      <c r="D4" s="531"/>
      <c r="E4" s="531"/>
      <c r="F4" s="531"/>
      <c r="G4" s="531"/>
      <c r="H4" s="531"/>
      <c r="I4" s="531"/>
      <c r="J4" s="531"/>
      <c r="K4" s="531"/>
      <c r="L4" s="531"/>
      <c r="M4" s="531"/>
      <c r="N4" s="545"/>
      <c r="O4" s="545"/>
    </row>
    <row r="5" spans="1:15" ht="20.100000000000001" customHeight="1" x14ac:dyDescent="0.3">
      <c r="A5" s="529" t="s">
        <v>807</v>
      </c>
      <c r="B5" s="530" t="s">
        <v>62</v>
      </c>
      <c r="C5" s="531"/>
      <c r="D5" s="531"/>
      <c r="E5" s="531"/>
      <c r="F5" s="531"/>
      <c r="G5" s="531"/>
      <c r="H5" s="531"/>
      <c r="I5" s="531"/>
      <c r="J5" s="531"/>
      <c r="K5" s="531"/>
      <c r="L5" s="531"/>
      <c r="M5" s="531"/>
      <c r="N5" s="545"/>
      <c r="O5" s="545"/>
    </row>
    <row r="6" spans="1:15" ht="20.100000000000001" customHeight="1" x14ac:dyDescent="0.3">
      <c r="A6" s="529" t="s">
        <v>697</v>
      </c>
      <c r="B6" s="530" t="s">
        <v>570</v>
      </c>
      <c r="C6" s="532"/>
      <c r="D6" s="532"/>
      <c r="E6" s="531"/>
      <c r="F6" s="531"/>
      <c r="G6" s="531"/>
      <c r="H6" s="531"/>
      <c r="I6" s="531"/>
      <c r="J6" s="531"/>
      <c r="K6" s="531"/>
      <c r="L6" s="531"/>
      <c r="M6" s="531"/>
      <c r="N6" s="545"/>
      <c r="O6" s="545"/>
    </row>
    <row r="7" spans="1:15" ht="20.100000000000001" customHeight="1" x14ac:dyDescent="0.3">
      <c r="A7" s="529" t="s">
        <v>808</v>
      </c>
      <c r="B7" s="530" t="s">
        <v>570</v>
      </c>
      <c r="C7" s="532"/>
      <c r="D7" s="531"/>
      <c r="E7" s="531"/>
      <c r="F7" s="531"/>
      <c r="G7" s="531"/>
      <c r="H7" s="531"/>
      <c r="I7" s="531"/>
      <c r="J7" s="531"/>
      <c r="K7" s="531"/>
      <c r="L7" s="531"/>
      <c r="M7" s="531"/>
      <c r="N7" s="545"/>
      <c r="O7" s="545"/>
    </row>
    <row r="8" spans="1:15" ht="20.100000000000001" customHeight="1" x14ac:dyDescent="0.3">
      <c r="A8" s="529" t="s">
        <v>809</v>
      </c>
      <c r="B8" s="530" t="s">
        <v>570</v>
      </c>
      <c r="C8" s="531"/>
      <c r="D8" s="531"/>
      <c r="E8" s="531"/>
      <c r="F8" s="531"/>
      <c r="G8" s="531"/>
      <c r="H8" s="531"/>
      <c r="I8" s="531"/>
      <c r="J8" s="531"/>
      <c r="K8" s="531"/>
      <c r="L8" s="531"/>
      <c r="M8" s="531"/>
      <c r="N8" s="545"/>
      <c r="O8" s="545"/>
    </row>
    <row r="9" spans="1:15" ht="20.100000000000001" customHeight="1" x14ac:dyDescent="0.3">
      <c r="A9" s="529" t="s">
        <v>810</v>
      </c>
      <c r="B9" s="530" t="s">
        <v>570</v>
      </c>
      <c r="C9" s="531"/>
      <c r="D9" s="531"/>
      <c r="E9" s="531"/>
      <c r="F9" s="531"/>
      <c r="G9" s="531"/>
      <c r="H9" s="531"/>
      <c r="I9" s="531"/>
      <c r="J9" s="531"/>
      <c r="K9" s="531"/>
      <c r="L9" s="531"/>
      <c r="M9" s="531"/>
      <c r="N9" s="545"/>
      <c r="O9" s="545"/>
    </row>
    <row r="10" spans="1:15" ht="20.100000000000001" customHeight="1" x14ac:dyDescent="0.3">
      <c r="A10" s="529"/>
      <c r="B10" s="530"/>
      <c r="C10" s="531"/>
      <c r="D10" s="531"/>
      <c r="E10" s="531"/>
      <c r="F10" s="531"/>
      <c r="G10" s="531"/>
      <c r="H10" s="531"/>
      <c r="I10" s="531"/>
      <c r="J10" s="531"/>
      <c r="K10" s="531"/>
      <c r="L10" s="531"/>
      <c r="M10" s="531"/>
      <c r="N10" s="545"/>
      <c r="O10" s="545"/>
    </row>
    <row r="11" spans="1:15" ht="20.100000000000001" customHeight="1" x14ac:dyDescent="0.3">
      <c r="A11" s="529"/>
      <c r="B11" s="530"/>
      <c r="C11" s="531"/>
      <c r="D11" s="531"/>
      <c r="E11" s="531"/>
      <c r="F11" s="531"/>
      <c r="G11" s="531"/>
      <c r="H11" s="531"/>
      <c r="I11" s="531"/>
      <c r="J11" s="531"/>
      <c r="K11" s="531"/>
      <c r="L11" s="531"/>
      <c r="M11" s="531"/>
      <c r="N11" s="545"/>
      <c r="O11" s="545"/>
    </row>
    <row r="12" spans="1:15" ht="20.100000000000001" customHeight="1" x14ac:dyDescent="0.3">
      <c r="A12" s="533"/>
      <c r="B12" s="534"/>
      <c r="C12" s="533"/>
      <c r="D12" s="533"/>
      <c r="E12" s="533"/>
    </row>
    <row r="13" spans="1:15" ht="20.100000000000001" customHeight="1" x14ac:dyDescent="0.3">
      <c r="A13" s="535" t="s">
        <v>834</v>
      </c>
      <c r="B13" s="536">
        <v>45200</v>
      </c>
      <c r="C13" s="533"/>
      <c r="D13" s="533"/>
      <c r="E13" s="533"/>
    </row>
    <row r="14" spans="1:15" x14ac:dyDescent="0.3">
      <c r="A14" s="533"/>
      <c r="B14" s="534"/>
      <c r="C14" s="533"/>
      <c r="D14" s="533"/>
      <c r="E14" s="533"/>
    </row>
    <row r="15" spans="1:15" x14ac:dyDescent="0.3">
      <c r="A15" s="537" t="s">
        <v>835</v>
      </c>
      <c r="B15" s="538">
        <v>44913</v>
      </c>
    </row>
    <row r="16" spans="1:15" x14ac:dyDescent="0.3">
      <c r="A16" s="523" t="s">
        <v>836</v>
      </c>
    </row>
    <row r="18" spans="1:13" ht="26.25" customHeight="1" x14ac:dyDescent="0.3">
      <c r="A18" s="541" t="s">
        <v>837</v>
      </c>
      <c r="B18" s="542">
        <v>45039</v>
      </c>
      <c r="C18" s="934" t="s">
        <v>886</v>
      </c>
      <c r="D18" s="934"/>
      <c r="E18" s="934"/>
      <c r="F18" s="934"/>
      <c r="G18" s="934"/>
      <c r="H18" s="523" t="s">
        <v>888</v>
      </c>
    </row>
    <row r="19" spans="1:13" s="540" customFormat="1" ht="28.5" customHeight="1" x14ac:dyDescent="0.3">
      <c r="A19" s="539"/>
      <c r="B19" s="581">
        <v>45074</v>
      </c>
      <c r="C19" s="933" t="s">
        <v>887</v>
      </c>
      <c r="D19" s="933"/>
      <c r="E19" s="933"/>
      <c r="F19" s="933"/>
      <c r="G19" s="933"/>
      <c r="H19" s="580"/>
      <c r="I19" s="580"/>
      <c r="J19" s="580"/>
      <c r="K19" s="580"/>
      <c r="L19" s="580"/>
      <c r="M19" s="580"/>
    </row>
    <row r="20" spans="1:13" s="540" customFormat="1" ht="28.5" customHeight="1" x14ac:dyDescent="0.3">
      <c r="A20" s="539"/>
      <c r="B20" s="581">
        <v>45103</v>
      </c>
      <c r="C20" s="933" t="s">
        <v>887</v>
      </c>
      <c r="D20" s="933"/>
      <c r="E20" s="933"/>
      <c r="F20" s="933"/>
      <c r="G20" s="933"/>
      <c r="H20" s="580"/>
      <c r="I20" s="580"/>
      <c r="J20" s="580"/>
      <c r="K20" s="580"/>
      <c r="L20" s="580"/>
      <c r="M20" s="580"/>
    </row>
    <row r="21" spans="1:13" s="540" customFormat="1" ht="28.5" customHeight="1" x14ac:dyDescent="0.3">
      <c r="A21" s="539"/>
      <c r="B21" s="581">
        <v>45135</v>
      </c>
      <c r="C21" s="933" t="s">
        <v>887</v>
      </c>
      <c r="D21" s="933"/>
      <c r="E21" s="933"/>
      <c r="F21" s="933"/>
      <c r="G21" s="933"/>
      <c r="H21" s="580"/>
      <c r="I21" s="580"/>
      <c r="J21" s="580"/>
      <c r="K21" s="580"/>
      <c r="L21" s="580"/>
      <c r="M21" s="580"/>
    </row>
    <row r="22" spans="1:13" s="540" customFormat="1" ht="28.5" customHeight="1" x14ac:dyDescent="0.3">
      <c r="A22" s="539"/>
      <c r="B22" s="581"/>
      <c r="C22" s="933"/>
      <c r="D22" s="933"/>
      <c r="E22" s="933"/>
      <c r="F22" s="933"/>
      <c r="G22" s="933"/>
      <c r="H22" s="580"/>
      <c r="I22" s="580"/>
      <c r="J22" s="580"/>
      <c r="K22" s="580"/>
      <c r="L22" s="580"/>
      <c r="M22" s="580"/>
    </row>
    <row r="23" spans="1:13" s="540" customFormat="1" ht="28.5" customHeight="1" x14ac:dyDescent="0.3">
      <c r="A23" s="539" t="s">
        <v>997</v>
      </c>
      <c r="B23" s="581">
        <v>45863</v>
      </c>
      <c r="C23" s="933">
        <v>18554</v>
      </c>
      <c r="D23" s="933"/>
      <c r="E23" s="933"/>
      <c r="F23" s="933"/>
      <c r="G23" s="933"/>
      <c r="H23" s="580"/>
      <c r="I23" s="580"/>
      <c r="J23" s="580"/>
      <c r="K23" s="580"/>
      <c r="L23" s="580"/>
      <c r="M23" s="580"/>
    </row>
    <row r="24" spans="1:13" s="540" customFormat="1" ht="28.5" customHeight="1" x14ac:dyDescent="0.3">
      <c r="A24" s="539" t="s">
        <v>998</v>
      </c>
      <c r="B24" s="581">
        <v>45955</v>
      </c>
      <c r="C24" s="933">
        <v>21267</v>
      </c>
      <c r="D24" s="933"/>
      <c r="E24" s="933"/>
      <c r="F24" s="933"/>
      <c r="G24" s="933"/>
      <c r="H24" s="580"/>
      <c r="I24" s="580"/>
      <c r="J24" s="580"/>
      <c r="K24" s="580"/>
      <c r="L24" s="580"/>
      <c r="M24" s="580"/>
    </row>
    <row r="25" spans="1:13" s="540" customFormat="1" ht="28.5" customHeight="1" x14ac:dyDescent="0.3">
      <c r="A25" s="539"/>
      <c r="B25" s="581">
        <f>+B24+91</f>
        <v>46046</v>
      </c>
      <c r="C25" s="539">
        <v>35788</v>
      </c>
      <c r="D25" s="581"/>
      <c r="E25" s="933"/>
      <c r="F25" s="933"/>
      <c r="G25" s="933"/>
      <c r="H25" s="580"/>
      <c r="I25" s="580"/>
      <c r="J25" s="580"/>
      <c r="K25" s="580"/>
      <c r="L25" s="580"/>
      <c r="M25" s="580"/>
    </row>
    <row r="26" spans="1:13" s="540" customFormat="1" ht="28.5" customHeight="1" x14ac:dyDescent="0.3">
      <c r="A26" s="539"/>
      <c r="B26" s="581"/>
      <c r="C26" s="933"/>
      <c r="D26" s="933"/>
      <c r="E26" s="933"/>
      <c r="F26" s="933"/>
      <c r="G26" s="933"/>
      <c r="H26" s="580"/>
      <c r="I26" s="580"/>
      <c r="J26" s="580"/>
      <c r="K26" s="580"/>
      <c r="L26" s="580"/>
      <c r="M26" s="580"/>
    </row>
    <row r="27" spans="1:13" s="540" customFormat="1" ht="28.5" customHeight="1" x14ac:dyDescent="0.3">
      <c r="A27" s="539" t="s">
        <v>1003</v>
      </c>
      <c r="B27" s="580">
        <v>39015</v>
      </c>
      <c r="C27" s="618">
        <v>45931</v>
      </c>
      <c r="D27" s="618">
        <v>46295</v>
      </c>
      <c r="E27" s="618">
        <v>45931</v>
      </c>
      <c r="F27" s="618">
        <v>46112</v>
      </c>
      <c r="G27" s="580">
        <v>19508</v>
      </c>
      <c r="H27" s="580"/>
      <c r="I27" s="580"/>
      <c r="J27" s="580"/>
      <c r="K27" s="580"/>
      <c r="L27" s="933"/>
      <c r="M27" s="933"/>
    </row>
    <row r="28" spans="1:13" s="540" customFormat="1" ht="28.5" customHeight="1" x14ac:dyDescent="0.3">
      <c r="A28" s="539"/>
      <c r="B28" s="580"/>
      <c r="C28" s="618"/>
      <c r="D28" s="618"/>
      <c r="E28" s="618">
        <v>46113</v>
      </c>
      <c r="F28" s="618">
        <v>46295</v>
      </c>
      <c r="G28" s="580">
        <f>+B27-G27</f>
        <v>19507</v>
      </c>
      <c r="H28" s="580"/>
      <c r="I28" s="580"/>
      <c r="J28" s="580"/>
      <c r="K28" s="580"/>
      <c r="L28" s="539"/>
      <c r="M28" s="539"/>
    </row>
    <row r="29" spans="1:13" s="540" customFormat="1" ht="28.5" customHeight="1" x14ac:dyDescent="0.3">
      <c r="A29" s="539" t="s">
        <v>1004</v>
      </c>
      <c r="B29" s="580">
        <v>3500</v>
      </c>
      <c r="C29" s="618">
        <v>46023</v>
      </c>
      <c r="D29" s="618">
        <v>46387</v>
      </c>
      <c r="E29" s="580"/>
      <c r="F29" s="580"/>
      <c r="G29" s="619">
        <f>3500/12</f>
        <v>291.66666666666669</v>
      </c>
      <c r="H29" s="580">
        <f>+G29*3</f>
        <v>875</v>
      </c>
      <c r="I29" s="580"/>
      <c r="J29" s="580"/>
      <c r="K29" s="580"/>
      <c r="L29" s="933"/>
      <c r="M29" s="933"/>
    </row>
    <row r="30" spans="1:13" s="540" customFormat="1" ht="28.5" customHeight="1" x14ac:dyDescent="0.3">
      <c r="A30" s="539"/>
      <c r="B30" s="580"/>
      <c r="C30" s="618"/>
      <c r="D30" s="618"/>
      <c r="E30" s="580"/>
      <c r="F30" s="580"/>
      <c r="G30" s="580"/>
      <c r="H30" s="580"/>
      <c r="I30" s="580"/>
      <c r="J30" s="580"/>
      <c r="K30" s="580"/>
      <c r="L30" s="539"/>
      <c r="M30" s="539"/>
    </row>
    <row r="31" spans="1:13" s="540" customFormat="1" ht="28.5" customHeight="1" x14ac:dyDescent="0.3">
      <c r="A31" s="539" t="s">
        <v>1005</v>
      </c>
      <c r="B31" s="580">
        <v>11000</v>
      </c>
      <c r="C31" s="618">
        <v>46077</v>
      </c>
      <c r="D31" s="618">
        <v>46441</v>
      </c>
      <c r="E31" s="618">
        <v>46077</v>
      </c>
      <c r="F31" s="618">
        <v>46112</v>
      </c>
      <c r="G31" s="580">
        <v>36</v>
      </c>
      <c r="H31" s="580">
        <v>1085</v>
      </c>
      <c r="I31" s="580"/>
      <c r="J31" s="580"/>
      <c r="K31" s="580"/>
      <c r="L31" s="933"/>
      <c r="M31" s="933"/>
    </row>
    <row r="32" spans="1:13" s="540" customFormat="1" ht="28.5" customHeight="1" x14ac:dyDescent="0.3">
      <c r="A32" s="539"/>
      <c r="B32" s="580"/>
      <c r="C32" s="580"/>
      <c r="D32" s="580"/>
      <c r="E32" s="618">
        <v>46113</v>
      </c>
      <c r="F32" s="618">
        <v>46441</v>
      </c>
      <c r="G32" s="580">
        <f>365-36</f>
        <v>329</v>
      </c>
      <c r="H32" s="580">
        <f>11000-1085</f>
        <v>9915</v>
      </c>
      <c r="I32" s="580"/>
      <c r="J32" s="580"/>
      <c r="K32" s="580"/>
      <c r="L32" s="933"/>
      <c r="M32" s="933"/>
    </row>
    <row r="33" spans="1:13" s="540" customFormat="1" ht="28.5" customHeight="1" x14ac:dyDescent="0.3">
      <c r="A33" s="539"/>
      <c r="B33" s="580"/>
      <c r="C33" s="580"/>
      <c r="D33" s="580"/>
      <c r="E33" s="580"/>
      <c r="F33" s="580"/>
      <c r="G33" s="580"/>
      <c r="H33" s="580"/>
      <c r="I33" s="580"/>
      <c r="J33" s="580"/>
      <c r="K33" s="580"/>
      <c r="L33" s="933"/>
      <c r="M33" s="933"/>
    </row>
    <row r="34" spans="1:13" s="540" customFormat="1" ht="28.5" customHeight="1" x14ac:dyDescent="0.3">
      <c r="A34" s="620" t="s">
        <v>1013</v>
      </c>
      <c r="B34" s="580">
        <f>22+31+28+31</f>
        <v>112</v>
      </c>
      <c r="C34" s="580">
        <v>4330</v>
      </c>
      <c r="D34" s="580"/>
      <c r="E34" s="580"/>
      <c r="F34" s="580">
        <v>14112</v>
      </c>
      <c r="G34" s="580"/>
      <c r="H34" s="580"/>
      <c r="I34" s="580"/>
      <c r="J34" s="580"/>
      <c r="K34" s="580"/>
      <c r="L34" s="933"/>
      <c r="M34" s="933"/>
    </row>
    <row r="35" spans="1:13" s="540" customFormat="1" ht="28.5" customHeight="1" x14ac:dyDescent="0.3">
      <c r="A35" s="620">
        <v>46365</v>
      </c>
      <c r="B35" s="580">
        <f>365-112</f>
        <v>253</v>
      </c>
      <c r="C35" s="580">
        <v>9782</v>
      </c>
      <c r="D35" s="580"/>
      <c r="E35" s="580"/>
      <c r="F35" s="580"/>
      <c r="G35" s="580"/>
      <c r="H35" s="580"/>
      <c r="I35" s="580"/>
      <c r="J35" s="580"/>
      <c r="K35" s="580"/>
      <c r="L35" s="933"/>
      <c r="M35" s="933"/>
    </row>
    <row r="36" spans="1:13" s="540" customFormat="1" ht="28.5" customHeight="1" x14ac:dyDescent="0.3">
      <c r="A36" s="539"/>
      <c r="B36" s="580"/>
      <c r="C36" s="580"/>
      <c r="D36" s="580"/>
      <c r="E36" s="580"/>
      <c r="F36" s="580"/>
      <c r="G36" s="580"/>
      <c r="H36" s="580"/>
      <c r="I36" s="580"/>
      <c r="J36" s="580"/>
      <c r="K36" s="580"/>
      <c r="L36" s="933"/>
      <c r="M36" s="933"/>
    </row>
    <row r="37" spans="1:13" s="540" customFormat="1" ht="28.5" customHeight="1" x14ac:dyDescent="0.3">
      <c r="A37" s="539"/>
      <c r="B37" s="580"/>
      <c r="C37" s="580"/>
      <c r="D37" s="580"/>
      <c r="E37" s="580"/>
      <c r="F37" s="580"/>
      <c r="G37" s="580"/>
      <c r="H37" s="580"/>
      <c r="I37" s="580"/>
      <c r="J37" s="580"/>
      <c r="K37" s="580"/>
      <c r="L37" s="933"/>
      <c r="M37" s="933"/>
    </row>
    <row r="38" spans="1:13" s="540" customFormat="1" ht="28.5" customHeight="1" x14ac:dyDescent="0.3">
      <c r="A38" s="539"/>
      <c r="B38" s="580"/>
      <c r="C38" s="580"/>
      <c r="D38" s="580"/>
      <c r="E38" s="580"/>
      <c r="F38" s="580"/>
      <c r="G38" s="580"/>
      <c r="H38" s="580"/>
      <c r="I38" s="580"/>
      <c r="J38" s="580"/>
      <c r="K38" s="580"/>
      <c r="L38" s="933"/>
      <c r="M38" s="933"/>
    </row>
    <row r="39" spans="1:13" s="540" customFormat="1" ht="28.5" customHeight="1" x14ac:dyDescent="0.3">
      <c r="A39" s="539"/>
      <c r="B39" s="580"/>
      <c r="C39" s="580"/>
      <c r="D39" s="580"/>
      <c r="E39" s="580"/>
      <c r="F39" s="580"/>
      <c r="G39" s="580"/>
      <c r="H39" s="580"/>
      <c r="I39" s="580"/>
      <c r="J39" s="580"/>
      <c r="K39" s="580"/>
      <c r="L39" s="933"/>
      <c r="M39" s="933"/>
    </row>
    <row r="40" spans="1:13" s="540" customFormat="1" ht="28.5" customHeight="1" x14ac:dyDescent="0.3">
      <c r="A40" s="539"/>
      <c r="B40" s="580"/>
      <c r="C40" s="580"/>
      <c r="D40" s="580"/>
      <c r="E40" s="580"/>
      <c r="F40" s="580"/>
      <c r="G40" s="580"/>
      <c r="H40" s="580"/>
      <c r="I40" s="580"/>
      <c r="J40" s="580"/>
      <c r="K40" s="580"/>
      <c r="L40" s="933"/>
      <c r="M40" s="933"/>
    </row>
    <row r="41" spans="1:13" s="540" customFormat="1" ht="28.5" customHeight="1" x14ac:dyDescent="0.3">
      <c r="A41" s="539"/>
      <c r="B41" s="580"/>
      <c r="C41" s="580"/>
      <c r="D41" s="580"/>
      <c r="E41" s="580"/>
      <c r="F41" s="580"/>
      <c r="G41" s="580"/>
      <c r="H41" s="580"/>
      <c r="I41" s="580"/>
      <c r="J41" s="580"/>
      <c r="K41" s="580"/>
      <c r="L41" s="933"/>
      <c r="M41" s="933"/>
    </row>
    <row r="42" spans="1:13" s="540" customFormat="1" ht="28.5" customHeight="1" x14ac:dyDescent="0.3">
      <c r="A42" s="539"/>
      <c r="B42" s="580"/>
      <c r="C42" s="580"/>
      <c r="D42" s="580"/>
      <c r="E42" s="580"/>
      <c r="F42" s="580"/>
      <c r="G42" s="580"/>
      <c r="H42" s="580"/>
      <c r="I42" s="580"/>
      <c r="J42" s="580"/>
      <c r="K42" s="580"/>
      <c r="L42" s="933"/>
      <c r="M42" s="933"/>
    </row>
    <row r="43" spans="1:13" s="540" customFormat="1" ht="28.5" customHeight="1" x14ac:dyDescent="0.3">
      <c r="A43" s="539"/>
      <c r="B43" s="580"/>
      <c r="C43" s="580"/>
      <c r="D43" s="580"/>
      <c r="E43" s="580"/>
      <c r="F43" s="580"/>
      <c r="G43" s="580"/>
      <c r="H43" s="580"/>
      <c r="I43" s="580"/>
      <c r="J43" s="580"/>
      <c r="K43" s="580"/>
      <c r="L43" s="933"/>
      <c r="M43" s="933"/>
    </row>
    <row r="44" spans="1:13" s="540" customFormat="1" ht="28.5" customHeight="1" x14ac:dyDescent="0.3">
      <c r="A44" s="539"/>
      <c r="B44" s="580"/>
      <c r="C44" s="580"/>
      <c r="D44" s="580"/>
      <c r="E44" s="580"/>
      <c r="F44" s="580"/>
      <c r="G44" s="580"/>
      <c r="H44" s="580"/>
      <c r="I44" s="580"/>
      <c r="J44" s="580"/>
      <c r="K44" s="580"/>
      <c r="L44" s="933"/>
      <c r="M44" s="933"/>
    </row>
    <row r="45" spans="1:13" s="540" customFormat="1" ht="28.5" customHeight="1" x14ac:dyDescent="0.3">
      <c r="A45" s="539"/>
      <c r="B45" s="580"/>
      <c r="C45" s="580"/>
      <c r="D45" s="580"/>
      <c r="E45" s="580"/>
      <c r="F45" s="580"/>
      <c r="G45" s="580"/>
      <c r="H45" s="580"/>
      <c r="I45" s="580"/>
      <c r="J45" s="580"/>
      <c r="K45" s="580"/>
      <c r="L45" s="933"/>
      <c r="M45" s="933"/>
    </row>
    <row r="46" spans="1:13" s="540" customFormat="1" ht="28.5" customHeight="1" x14ac:dyDescent="0.3">
      <c r="A46" s="539"/>
      <c r="B46" s="580"/>
      <c r="C46" s="580"/>
      <c r="D46" s="580"/>
      <c r="E46" s="580"/>
      <c r="F46" s="580"/>
      <c r="G46" s="580"/>
      <c r="H46" s="580"/>
      <c r="I46" s="580"/>
      <c r="J46" s="580"/>
      <c r="K46" s="580"/>
      <c r="L46" s="933"/>
      <c r="M46" s="933"/>
    </row>
    <row r="47" spans="1:13" s="540" customFormat="1" ht="28.5" customHeight="1" x14ac:dyDescent="0.3">
      <c r="A47" s="539"/>
      <c r="B47" s="580"/>
      <c r="C47" s="580"/>
      <c r="D47" s="580"/>
      <c r="E47" s="580"/>
      <c r="F47" s="580"/>
      <c r="G47" s="580"/>
      <c r="H47" s="580"/>
      <c r="I47" s="580"/>
      <c r="J47" s="580"/>
      <c r="K47" s="580"/>
      <c r="L47" s="933"/>
      <c r="M47" s="933"/>
    </row>
    <row r="48" spans="1:13" s="540" customFormat="1" ht="28.5" customHeight="1" x14ac:dyDescent="0.3">
      <c r="A48" s="539"/>
      <c r="B48" s="580"/>
      <c r="C48" s="580"/>
      <c r="D48" s="580"/>
      <c r="E48" s="580"/>
      <c r="F48" s="580"/>
      <c r="G48" s="580"/>
      <c r="H48" s="580"/>
      <c r="I48" s="580"/>
      <c r="J48" s="580"/>
      <c r="K48" s="580"/>
      <c r="L48" s="933"/>
      <c r="M48" s="933"/>
    </row>
    <row r="49" spans="1:13" s="540" customFormat="1" ht="28.5" customHeight="1" x14ac:dyDescent="0.3">
      <c r="A49" s="539"/>
      <c r="B49" s="580"/>
      <c r="C49" s="580"/>
      <c r="D49" s="580"/>
      <c r="E49" s="580"/>
      <c r="F49" s="580"/>
      <c r="G49" s="580"/>
      <c r="H49" s="580"/>
      <c r="I49" s="580"/>
      <c r="J49" s="580"/>
      <c r="K49" s="580"/>
      <c r="L49" s="933"/>
      <c r="M49" s="933"/>
    </row>
    <row r="50" spans="1:13" s="540" customFormat="1" ht="28.5" customHeight="1" x14ac:dyDescent="0.3">
      <c r="A50" s="539"/>
      <c r="B50" s="580"/>
      <c r="C50" s="580"/>
      <c r="D50" s="580"/>
      <c r="E50" s="580"/>
      <c r="F50" s="580"/>
      <c r="G50" s="580"/>
      <c r="H50" s="580"/>
      <c r="I50" s="580"/>
      <c r="J50" s="580"/>
      <c r="K50" s="580"/>
      <c r="L50" s="933"/>
      <c r="M50" s="933"/>
    </row>
    <row r="51" spans="1:13" s="540" customFormat="1" ht="28.5" customHeight="1" x14ac:dyDescent="0.3">
      <c r="A51" s="539"/>
      <c r="B51" s="580"/>
      <c r="C51" s="580"/>
      <c r="D51" s="580"/>
      <c r="E51" s="580"/>
      <c r="F51" s="580"/>
      <c r="G51" s="580"/>
      <c r="H51" s="580"/>
      <c r="I51" s="580"/>
      <c r="J51" s="580"/>
      <c r="K51" s="580"/>
      <c r="L51" s="933"/>
      <c r="M51" s="933"/>
    </row>
    <row r="52" spans="1:13" s="540" customFormat="1" ht="28.5" customHeight="1" x14ac:dyDescent="0.3">
      <c r="A52" s="539"/>
      <c r="B52" s="580"/>
      <c r="C52" s="580"/>
      <c r="D52" s="580"/>
      <c r="E52" s="580"/>
      <c r="F52" s="580"/>
      <c r="G52" s="580"/>
      <c r="H52" s="580"/>
      <c r="I52" s="580"/>
      <c r="J52" s="580"/>
      <c r="K52" s="580"/>
      <c r="L52" s="933"/>
      <c r="M52" s="933"/>
    </row>
    <row r="53" spans="1:13" s="540" customFormat="1" ht="28.5" customHeight="1" x14ac:dyDescent="0.3">
      <c r="A53" s="539"/>
      <c r="B53" s="580"/>
      <c r="C53" s="580"/>
      <c r="D53" s="580"/>
      <c r="E53" s="580"/>
      <c r="F53" s="580"/>
      <c r="G53" s="580"/>
      <c r="H53" s="580"/>
      <c r="I53" s="580"/>
      <c r="J53" s="580"/>
      <c r="K53" s="580"/>
      <c r="L53" s="933"/>
      <c r="M53" s="933"/>
    </row>
    <row r="54" spans="1:13" s="540" customFormat="1" ht="28.5" customHeight="1" x14ac:dyDescent="0.3">
      <c r="A54" s="539"/>
      <c r="B54" s="580"/>
      <c r="C54" s="580"/>
      <c r="D54" s="580"/>
      <c r="E54" s="580"/>
      <c r="F54" s="580"/>
      <c r="G54" s="580"/>
      <c r="H54" s="580"/>
      <c r="I54" s="580"/>
      <c r="J54" s="580"/>
      <c r="K54" s="580"/>
      <c r="L54" s="933"/>
      <c r="M54" s="933"/>
    </row>
    <row r="55" spans="1:13" s="540" customFormat="1" ht="28.5" customHeight="1" x14ac:dyDescent="0.3">
      <c r="A55" s="539"/>
      <c r="B55" s="580"/>
      <c r="C55" s="580"/>
      <c r="D55" s="580"/>
      <c r="E55" s="580"/>
      <c r="F55" s="580"/>
      <c r="G55" s="580"/>
      <c r="H55" s="580"/>
      <c r="I55" s="580"/>
      <c r="J55" s="580"/>
      <c r="K55" s="580"/>
      <c r="L55" s="933"/>
      <c r="M55" s="933"/>
    </row>
    <row r="56" spans="1:13" s="540" customFormat="1" ht="28.5" customHeight="1" x14ac:dyDescent="0.3">
      <c r="A56" s="539"/>
      <c r="B56" s="580"/>
      <c r="C56" s="580"/>
      <c r="D56" s="580"/>
      <c r="E56" s="580"/>
      <c r="F56" s="580"/>
      <c r="G56" s="580"/>
      <c r="H56" s="580"/>
      <c r="I56" s="580"/>
      <c r="J56" s="580"/>
      <c r="K56" s="580"/>
      <c r="L56" s="933"/>
      <c r="M56" s="933"/>
    </row>
    <row r="57" spans="1:13" s="540" customFormat="1" ht="28.5" customHeight="1" x14ac:dyDescent="0.3">
      <c r="A57" s="539"/>
      <c r="B57" s="580"/>
      <c r="C57" s="580"/>
      <c r="D57" s="580"/>
      <c r="E57" s="580"/>
      <c r="F57" s="580"/>
      <c r="G57" s="580"/>
      <c r="H57" s="580"/>
      <c r="I57" s="580"/>
      <c r="J57" s="580"/>
      <c r="K57" s="580"/>
      <c r="L57" s="933"/>
      <c r="M57" s="933"/>
    </row>
    <row r="58" spans="1:13" s="540" customFormat="1" ht="28.5" customHeight="1" x14ac:dyDescent="0.3">
      <c r="A58" s="539"/>
      <c r="B58" s="580"/>
      <c r="C58" s="580"/>
      <c r="D58" s="580"/>
      <c r="E58" s="580"/>
      <c r="F58" s="580"/>
      <c r="G58" s="580"/>
      <c r="H58" s="580"/>
      <c r="I58" s="580"/>
      <c r="J58" s="580"/>
      <c r="K58" s="580"/>
      <c r="L58" s="933"/>
      <c r="M58" s="933"/>
    </row>
    <row r="59" spans="1:13" s="540" customFormat="1" ht="28.5" customHeight="1" x14ac:dyDescent="0.3">
      <c r="A59" s="539"/>
      <c r="B59" s="580"/>
      <c r="C59" s="580"/>
      <c r="D59" s="580"/>
      <c r="E59" s="580"/>
      <c r="F59" s="580"/>
      <c r="G59" s="580"/>
      <c r="H59" s="580"/>
      <c r="I59" s="580"/>
      <c r="J59" s="580"/>
      <c r="K59" s="580"/>
      <c r="L59" s="933"/>
      <c r="M59" s="933"/>
    </row>
    <row r="60" spans="1:13" s="540" customFormat="1" ht="28.5" customHeight="1" x14ac:dyDescent="0.3">
      <c r="A60" s="539"/>
      <c r="B60" s="580"/>
      <c r="C60" s="580"/>
      <c r="D60" s="580"/>
      <c r="E60" s="580"/>
      <c r="F60" s="580"/>
      <c r="G60" s="580"/>
      <c r="H60" s="580"/>
      <c r="I60" s="580"/>
      <c r="J60" s="580"/>
      <c r="K60" s="580"/>
      <c r="L60" s="933"/>
      <c r="M60" s="933"/>
    </row>
    <row r="61" spans="1:13" s="540" customFormat="1" ht="28.5" customHeight="1" x14ac:dyDescent="0.3">
      <c r="A61" s="539"/>
      <c r="B61" s="580"/>
      <c r="C61" s="580"/>
      <c r="D61" s="580"/>
      <c r="E61" s="580"/>
      <c r="F61" s="580"/>
      <c r="G61" s="580"/>
      <c r="H61" s="580"/>
      <c r="I61" s="580"/>
      <c r="J61" s="580"/>
      <c r="K61" s="580"/>
      <c r="L61" s="933"/>
      <c r="M61" s="933"/>
    </row>
    <row r="62" spans="1:13" s="540" customFormat="1" ht="28.5" customHeight="1" x14ac:dyDescent="0.3">
      <c r="A62" s="539"/>
      <c r="B62" s="580"/>
      <c r="C62" s="580"/>
      <c r="D62" s="580"/>
      <c r="E62" s="580"/>
      <c r="F62" s="580"/>
      <c r="G62" s="580"/>
      <c r="H62" s="580"/>
      <c r="I62" s="580"/>
      <c r="J62" s="580"/>
      <c r="K62" s="580"/>
      <c r="L62" s="933"/>
      <c r="M62" s="933"/>
    </row>
    <row r="63" spans="1:13" s="540" customFormat="1" ht="28.5" customHeight="1" x14ac:dyDescent="0.3">
      <c r="A63" s="539"/>
      <c r="B63" s="580"/>
      <c r="C63" s="580"/>
      <c r="D63" s="580"/>
      <c r="E63" s="580"/>
      <c r="F63" s="580"/>
      <c r="G63" s="580"/>
      <c r="H63" s="580"/>
      <c r="I63" s="580"/>
      <c r="J63" s="580"/>
      <c r="K63" s="580"/>
      <c r="L63" s="933"/>
      <c r="M63" s="933"/>
    </row>
    <row r="64" spans="1:13" s="540" customFormat="1" ht="28.5" customHeight="1" x14ac:dyDescent="0.3">
      <c r="A64" s="539"/>
      <c r="B64" s="580"/>
      <c r="C64" s="580"/>
      <c r="D64" s="580"/>
      <c r="E64" s="580"/>
      <c r="F64" s="580"/>
      <c r="G64" s="580"/>
      <c r="H64" s="580"/>
      <c r="I64" s="580"/>
      <c r="J64" s="580"/>
      <c r="K64" s="580"/>
      <c r="L64" s="933"/>
      <c r="M64" s="933"/>
    </row>
    <row r="65" spans="1:13" s="540" customFormat="1" ht="28.5" customHeight="1" x14ac:dyDescent="0.3">
      <c r="A65" s="539"/>
      <c r="B65" s="580"/>
      <c r="C65" s="580"/>
      <c r="D65" s="580"/>
      <c r="E65" s="580"/>
      <c r="F65" s="580"/>
      <c r="G65" s="580"/>
      <c r="H65" s="580"/>
      <c r="I65" s="580"/>
      <c r="J65" s="580"/>
      <c r="K65" s="580"/>
      <c r="L65" s="933"/>
      <c r="M65" s="933"/>
    </row>
    <row r="66" spans="1:13" s="540" customFormat="1" ht="28.5" customHeight="1" x14ac:dyDescent="0.3">
      <c r="A66" s="539"/>
      <c r="B66" s="580"/>
      <c r="C66" s="580"/>
      <c r="D66" s="580"/>
      <c r="E66" s="580"/>
      <c r="F66" s="580"/>
      <c r="G66" s="580"/>
      <c r="H66" s="580"/>
      <c r="I66" s="580"/>
      <c r="J66" s="580"/>
      <c r="K66" s="580"/>
      <c r="L66" s="933"/>
      <c r="M66" s="933"/>
    </row>
    <row r="67" spans="1:13" s="540" customFormat="1" ht="28.5" customHeight="1" x14ac:dyDescent="0.3">
      <c r="A67" s="539"/>
      <c r="B67" s="580"/>
      <c r="C67" s="580"/>
      <c r="D67" s="580"/>
      <c r="E67" s="580"/>
      <c r="F67" s="580"/>
      <c r="G67" s="580"/>
      <c r="H67" s="580"/>
      <c r="I67" s="580"/>
      <c r="J67" s="580"/>
      <c r="K67" s="580"/>
      <c r="L67" s="933"/>
      <c r="M67" s="933"/>
    </row>
    <row r="68" spans="1:13" s="540" customFormat="1" ht="28.5" customHeight="1" x14ac:dyDescent="0.3">
      <c r="A68" s="539"/>
      <c r="B68" s="580"/>
      <c r="C68" s="580"/>
      <c r="D68" s="580"/>
      <c r="E68" s="580"/>
      <c r="F68" s="580"/>
      <c r="G68" s="580"/>
      <c r="H68" s="580"/>
      <c r="I68" s="580"/>
      <c r="J68" s="580"/>
      <c r="K68" s="580"/>
      <c r="L68" s="933"/>
      <c r="M68" s="933"/>
    </row>
    <row r="69" spans="1:13" s="540" customFormat="1" ht="28.5" customHeight="1" x14ac:dyDescent="0.3">
      <c r="A69" s="539"/>
      <c r="B69" s="580"/>
      <c r="C69" s="580"/>
      <c r="D69" s="580"/>
      <c r="E69" s="580"/>
      <c r="F69" s="580"/>
      <c r="G69" s="580"/>
      <c r="H69" s="580"/>
      <c r="I69" s="580"/>
      <c r="J69" s="580"/>
      <c r="K69" s="580"/>
      <c r="L69" s="933"/>
      <c r="M69" s="933"/>
    </row>
    <row r="70" spans="1:13" s="540" customFormat="1" ht="28.5" customHeight="1" x14ac:dyDescent="0.3">
      <c r="A70" s="539"/>
      <c r="B70" s="580"/>
      <c r="C70" s="580"/>
      <c r="D70" s="580"/>
      <c r="E70" s="580"/>
      <c r="F70" s="580"/>
      <c r="G70" s="580"/>
      <c r="H70" s="580"/>
      <c r="I70" s="580"/>
      <c r="J70" s="580"/>
      <c r="K70" s="580"/>
      <c r="L70" s="933"/>
      <c r="M70" s="933"/>
    </row>
    <row r="71" spans="1:13" s="540" customFormat="1" ht="28.5" customHeight="1" x14ac:dyDescent="0.3">
      <c r="A71" s="539"/>
      <c r="B71" s="580"/>
      <c r="C71" s="580"/>
      <c r="D71" s="580"/>
      <c r="E71" s="580"/>
      <c r="F71" s="580"/>
      <c r="G71" s="580"/>
      <c r="H71" s="580"/>
      <c r="I71" s="580"/>
      <c r="J71" s="580"/>
      <c r="K71" s="580"/>
      <c r="L71" s="933"/>
      <c r="M71" s="933"/>
    </row>
    <row r="72" spans="1:13" s="540" customFormat="1" ht="28.5" customHeight="1" x14ac:dyDescent="0.3">
      <c r="A72" s="539"/>
      <c r="B72" s="580"/>
      <c r="C72" s="580"/>
      <c r="D72" s="580"/>
      <c r="E72" s="580"/>
      <c r="F72" s="580"/>
      <c r="G72" s="580"/>
      <c r="H72" s="580"/>
      <c r="I72" s="580"/>
      <c r="J72" s="580"/>
      <c r="K72" s="580"/>
      <c r="L72" s="933"/>
      <c r="M72" s="933"/>
    </row>
    <row r="73" spans="1:13" s="540" customFormat="1" ht="28.5" customHeight="1" x14ac:dyDescent="0.3">
      <c r="A73" s="539"/>
      <c r="B73" s="580"/>
      <c r="C73" s="580"/>
      <c r="D73" s="580"/>
      <c r="E73" s="580"/>
      <c r="F73" s="580"/>
      <c r="G73" s="580"/>
      <c r="H73" s="580"/>
      <c r="I73" s="580"/>
      <c r="J73" s="580"/>
      <c r="K73" s="580"/>
      <c r="L73" s="933"/>
      <c r="M73" s="933"/>
    </row>
    <row r="74" spans="1:13" x14ac:dyDescent="0.3">
      <c r="B74" s="539"/>
    </row>
    <row r="75" spans="1:13" x14ac:dyDescent="0.3">
      <c r="B75" s="539"/>
    </row>
    <row r="76" spans="1:13" x14ac:dyDescent="0.3">
      <c r="B76" s="539"/>
    </row>
    <row r="77" spans="1:13" x14ac:dyDescent="0.3">
      <c r="B77" s="539"/>
    </row>
  </sheetData>
  <mergeCells count="54">
    <mergeCell ref="L47:M47"/>
    <mergeCell ref="L48:M48"/>
    <mergeCell ref="L49:M49"/>
    <mergeCell ref="L50:M50"/>
    <mergeCell ref="L51:M51"/>
    <mergeCell ref="L27:M27"/>
    <mergeCell ref="L29:M29"/>
    <mergeCell ref="L31:M31"/>
    <mergeCell ref="C18:G18"/>
    <mergeCell ref="C19:G19"/>
    <mergeCell ref="C20:G20"/>
    <mergeCell ref="C21:G21"/>
    <mergeCell ref="C22:G22"/>
    <mergeCell ref="C23:G23"/>
    <mergeCell ref="C24:G24"/>
    <mergeCell ref="C26:G26"/>
    <mergeCell ref="L35:M35"/>
    <mergeCell ref="L36:M36"/>
    <mergeCell ref="L37:M37"/>
    <mergeCell ref="L32:M32"/>
    <mergeCell ref="L33:M33"/>
    <mergeCell ref="L34:M34"/>
    <mergeCell ref="L44:M44"/>
    <mergeCell ref="L45:M45"/>
    <mergeCell ref="L46:M46"/>
    <mergeCell ref="L38:M38"/>
    <mergeCell ref="L39:M39"/>
    <mergeCell ref="L40:M40"/>
    <mergeCell ref="L41:M41"/>
    <mergeCell ref="L42:M42"/>
    <mergeCell ref="L43:M43"/>
    <mergeCell ref="L57:M57"/>
    <mergeCell ref="L58:M58"/>
    <mergeCell ref="L55:M55"/>
    <mergeCell ref="L56:M56"/>
    <mergeCell ref="L52:M52"/>
    <mergeCell ref="L53:M53"/>
    <mergeCell ref="L54:M54"/>
    <mergeCell ref="L71:M71"/>
    <mergeCell ref="L72:M72"/>
    <mergeCell ref="L73:M73"/>
    <mergeCell ref="L69:M69"/>
    <mergeCell ref="E25:G25"/>
    <mergeCell ref="L70:M70"/>
    <mergeCell ref="L67:M67"/>
    <mergeCell ref="L68:M68"/>
    <mergeCell ref="L65:M65"/>
    <mergeCell ref="L66:M66"/>
    <mergeCell ref="L63:M63"/>
    <mergeCell ref="L64:M64"/>
    <mergeCell ref="L61:M61"/>
    <mergeCell ref="L62:M62"/>
    <mergeCell ref="L59:M59"/>
    <mergeCell ref="L60:M60"/>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M87"/>
  <sheetViews>
    <sheetView topLeftCell="B1" zoomScale="115" zoomScaleNormal="115" workbookViewId="0">
      <selection activeCell="I3" sqref="I3"/>
    </sheetView>
  </sheetViews>
  <sheetFormatPr defaultColWidth="9" defaultRowHeight="15.6" x14ac:dyDescent="0.3"/>
  <cols>
    <col min="1" max="1" width="3.8984375" style="67" customWidth="1"/>
    <col min="2" max="3" width="13.09765625" style="67" customWidth="1"/>
    <col min="4" max="4" width="40.59765625" style="14" customWidth="1"/>
    <col min="5" max="16" width="12.59765625" style="14" customWidth="1"/>
    <col min="17" max="16384" width="9" style="14"/>
  </cols>
  <sheetData>
    <row r="2" spans="1:13" s="87" customFormat="1" ht="31.2" x14ac:dyDescent="0.3">
      <c r="A2" s="87" t="s">
        <v>944</v>
      </c>
      <c r="B2" s="569" t="s">
        <v>41</v>
      </c>
      <c r="C2" s="569" t="s">
        <v>860</v>
      </c>
      <c r="D2" s="569" t="s">
        <v>855</v>
      </c>
      <c r="E2" s="569" t="s">
        <v>118</v>
      </c>
      <c r="F2" s="569" t="s">
        <v>856</v>
      </c>
      <c r="G2" s="569" t="s">
        <v>858</v>
      </c>
      <c r="H2" s="569" t="s">
        <v>857</v>
      </c>
      <c r="I2" s="569" t="s">
        <v>859</v>
      </c>
      <c r="J2" s="569" t="s">
        <v>926</v>
      </c>
      <c r="K2" s="569" t="s">
        <v>931</v>
      </c>
      <c r="L2" s="569" t="s">
        <v>959</v>
      </c>
      <c r="M2" s="569"/>
    </row>
    <row r="3" spans="1:13" x14ac:dyDescent="0.3">
      <c r="A3" s="67">
        <v>37</v>
      </c>
      <c r="B3" s="596">
        <v>45390</v>
      </c>
      <c r="C3" s="599">
        <v>45383</v>
      </c>
      <c r="D3" t="s">
        <v>912</v>
      </c>
      <c r="E3">
        <v>49</v>
      </c>
      <c r="F3">
        <v>49</v>
      </c>
      <c r="L3" s="14">
        <f>+E3-SUM(F3:K3)</f>
        <v>0</v>
      </c>
    </row>
    <row r="4" spans="1:13" x14ac:dyDescent="0.3">
      <c r="A4" s="67">
        <v>38</v>
      </c>
      <c r="B4" s="596">
        <v>45392</v>
      </c>
      <c r="C4" s="599">
        <v>45383</v>
      </c>
      <c r="D4" t="s">
        <v>915</v>
      </c>
      <c r="E4">
        <v>94</v>
      </c>
      <c r="F4">
        <v>94</v>
      </c>
      <c r="L4" s="14">
        <f t="shared" ref="L4:L65" si="0">+E4-SUM(F4:K4)</f>
        <v>0</v>
      </c>
    </row>
    <row r="5" spans="1:13" x14ac:dyDescent="0.3">
      <c r="A5" s="67">
        <v>70</v>
      </c>
      <c r="B5" s="598">
        <v>45397</v>
      </c>
      <c r="C5" s="599">
        <v>45383</v>
      </c>
      <c r="D5" s="14" t="s">
        <v>930</v>
      </c>
      <c r="E5" s="14">
        <v>150</v>
      </c>
      <c r="K5" s="14">
        <v>150</v>
      </c>
      <c r="L5" s="14">
        <f t="shared" si="0"/>
        <v>0</v>
      </c>
    </row>
    <row r="6" spans="1:13" x14ac:dyDescent="0.3">
      <c r="A6" s="67">
        <v>39</v>
      </c>
      <c r="B6" s="596">
        <v>45404</v>
      </c>
      <c r="C6" s="599">
        <v>45383</v>
      </c>
      <c r="D6" t="s">
        <v>915</v>
      </c>
      <c r="E6">
        <v>130</v>
      </c>
      <c r="F6">
        <v>130</v>
      </c>
      <c r="L6" s="14">
        <f t="shared" si="0"/>
        <v>0</v>
      </c>
    </row>
    <row r="7" spans="1:13" x14ac:dyDescent="0.3">
      <c r="A7" s="67">
        <v>71</v>
      </c>
      <c r="B7" s="598">
        <v>45417</v>
      </c>
      <c r="C7" s="599">
        <v>45413</v>
      </c>
      <c r="D7" s="14" t="s">
        <v>930</v>
      </c>
      <c r="E7" s="14">
        <v>80</v>
      </c>
      <c r="K7" s="14">
        <v>80</v>
      </c>
      <c r="L7" s="14">
        <f t="shared" si="0"/>
        <v>0</v>
      </c>
    </row>
    <row r="8" spans="1:13" x14ac:dyDescent="0.3">
      <c r="A8" s="67">
        <v>72</v>
      </c>
      <c r="B8" s="598">
        <v>45417</v>
      </c>
      <c r="C8" s="599">
        <v>45413</v>
      </c>
      <c r="D8" s="14" t="s">
        <v>932</v>
      </c>
      <c r="E8" s="14">
        <v>125</v>
      </c>
      <c r="G8" s="14">
        <v>125</v>
      </c>
      <c r="L8" s="14">
        <f t="shared" si="0"/>
        <v>0</v>
      </c>
    </row>
    <row r="9" spans="1:13" x14ac:dyDescent="0.3">
      <c r="A9" s="67">
        <v>30</v>
      </c>
      <c r="B9" s="596">
        <v>45440</v>
      </c>
      <c r="C9" s="599">
        <v>45413</v>
      </c>
      <c r="D9" t="s">
        <v>912</v>
      </c>
      <c r="E9">
        <v>50</v>
      </c>
      <c r="F9">
        <v>50</v>
      </c>
      <c r="L9" s="14">
        <f t="shared" si="0"/>
        <v>0</v>
      </c>
    </row>
    <row r="10" spans="1:13" x14ac:dyDescent="0.3">
      <c r="A10" s="67">
        <v>36</v>
      </c>
      <c r="B10" s="596">
        <v>45442</v>
      </c>
      <c r="C10" s="599">
        <v>45413</v>
      </c>
      <c r="D10" t="s">
        <v>912</v>
      </c>
      <c r="E10">
        <v>30</v>
      </c>
      <c r="F10">
        <v>30</v>
      </c>
      <c r="L10" s="14">
        <f t="shared" si="0"/>
        <v>0</v>
      </c>
    </row>
    <row r="11" spans="1:13" x14ac:dyDescent="0.3">
      <c r="A11" s="67">
        <v>34</v>
      </c>
      <c r="B11" s="596">
        <v>45446</v>
      </c>
      <c r="C11" s="599">
        <v>45444</v>
      </c>
      <c r="D11" t="s">
        <v>912</v>
      </c>
      <c r="E11">
        <v>99</v>
      </c>
      <c r="F11">
        <v>99</v>
      </c>
      <c r="L11" s="14">
        <f t="shared" si="0"/>
        <v>0</v>
      </c>
    </row>
    <row r="12" spans="1:13" x14ac:dyDescent="0.3">
      <c r="A12" s="67">
        <v>31</v>
      </c>
      <c r="B12" s="596">
        <v>45452</v>
      </c>
      <c r="C12" s="599">
        <v>45444</v>
      </c>
      <c r="D12" t="s">
        <v>912</v>
      </c>
      <c r="E12">
        <v>26</v>
      </c>
      <c r="F12">
        <v>26</v>
      </c>
      <c r="L12" s="14">
        <f t="shared" si="0"/>
        <v>0</v>
      </c>
    </row>
    <row r="13" spans="1:13" x14ac:dyDescent="0.3">
      <c r="A13" s="67">
        <v>33</v>
      </c>
      <c r="B13" s="596">
        <v>45452</v>
      </c>
      <c r="C13" s="599">
        <v>45444</v>
      </c>
      <c r="D13" t="s">
        <v>917</v>
      </c>
      <c r="E13">
        <v>250</v>
      </c>
      <c r="F13">
        <v>250</v>
      </c>
      <c r="L13" s="14">
        <f t="shared" si="0"/>
        <v>0</v>
      </c>
    </row>
    <row r="14" spans="1:13" x14ac:dyDescent="0.3">
      <c r="A14" s="67">
        <v>32</v>
      </c>
      <c r="B14" s="596">
        <v>45458</v>
      </c>
      <c r="C14" s="599">
        <v>45444</v>
      </c>
      <c r="D14" t="s">
        <v>916</v>
      </c>
      <c r="E14">
        <v>60</v>
      </c>
      <c r="F14">
        <v>60</v>
      </c>
      <c r="L14" s="14">
        <f t="shared" si="0"/>
        <v>0</v>
      </c>
    </row>
    <row r="15" spans="1:13" x14ac:dyDescent="0.3">
      <c r="A15" s="67">
        <v>74</v>
      </c>
      <c r="B15" s="598">
        <v>45458</v>
      </c>
      <c r="C15" s="599">
        <v>45444</v>
      </c>
      <c r="D15" s="14" t="s">
        <v>930</v>
      </c>
      <c r="E15" s="14">
        <v>125</v>
      </c>
      <c r="K15" s="14">
        <v>125</v>
      </c>
      <c r="L15" s="14">
        <f t="shared" si="0"/>
        <v>0</v>
      </c>
    </row>
    <row r="16" spans="1:13" x14ac:dyDescent="0.3">
      <c r="A16" s="67">
        <v>73</v>
      </c>
      <c r="B16" s="598">
        <v>45463</v>
      </c>
      <c r="C16" s="599">
        <v>45444</v>
      </c>
      <c r="D16" s="14" t="s">
        <v>933</v>
      </c>
      <c r="E16" s="14">
        <v>100</v>
      </c>
      <c r="G16" s="14">
        <v>100</v>
      </c>
      <c r="L16" s="14">
        <f t="shared" si="0"/>
        <v>0</v>
      </c>
    </row>
    <row r="17" spans="1:12" x14ac:dyDescent="0.3">
      <c r="A17" s="67">
        <v>79</v>
      </c>
      <c r="B17" s="598">
        <v>45464</v>
      </c>
      <c r="C17" s="599">
        <v>45444</v>
      </c>
      <c r="D17" s="14" t="s">
        <v>938</v>
      </c>
      <c r="E17" s="14">
        <v>210</v>
      </c>
      <c r="H17" s="14">
        <v>210</v>
      </c>
      <c r="L17" s="14">
        <f t="shared" si="0"/>
        <v>0</v>
      </c>
    </row>
    <row r="18" spans="1:12" x14ac:dyDescent="0.3">
      <c r="A18" s="67">
        <v>29</v>
      </c>
      <c r="B18" s="596">
        <v>45465</v>
      </c>
      <c r="C18" s="599">
        <v>45444</v>
      </c>
      <c r="D18" t="s">
        <v>912</v>
      </c>
      <c r="E18">
        <v>25</v>
      </c>
      <c r="F18">
        <v>25</v>
      </c>
      <c r="L18" s="14">
        <f t="shared" si="0"/>
        <v>0</v>
      </c>
    </row>
    <row r="19" spans="1:12" x14ac:dyDescent="0.3">
      <c r="A19" s="67">
        <v>35</v>
      </c>
      <c r="B19" s="596">
        <v>45465</v>
      </c>
      <c r="C19" s="599">
        <v>45444</v>
      </c>
      <c r="D19" t="s">
        <v>915</v>
      </c>
      <c r="E19">
        <v>336</v>
      </c>
      <c r="F19">
        <v>336</v>
      </c>
      <c r="G19" s="88"/>
      <c r="H19" s="88"/>
      <c r="I19" s="88"/>
      <c r="J19" s="88"/>
      <c r="L19" s="14">
        <f t="shared" si="0"/>
        <v>0</v>
      </c>
    </row>
    <row r="20" spans="1:12" x14ac:dyDescent="0.3">
      <c r="A20" s="67">
        <v>27</v>
      </c>
      <c r="B20" s="596">
        <v>45488</v>
      </c>
      <c r="C20" s="599">
        <v>45474</v>
      </c>
      <c r="D20" t="s">
        <v>915</v>
      </c>
      <c r="E20">
        <v>216</v>
      </c>
      <c r="F20">
        <v>216</v>
      </c>
      <c r="L20" s="14">
        <f t="shared" si="0"/>
        <v>0</v>
      </c>
    </row>
    <row r="21" spans="1:12" x14ac:dyDescent="0.3">
      <c r="A21" s="67">
        <v>75</v>
      </c>
      <c r="B21" s="598">
        <v>45488</v>
      </c>
      <c r="C21" s="599">
        <v>45474</v>
      </c>
      <c r="D21" s="14" t="s">
        <v>934</v>
      </c>
      <c r="E21" s="14">
        <v>175</v>
      </c>
      <c r="K21" s="14">
        <v>175</v>
      </c>
      <c r="L21" s="14">
        <f t="shared" si="0"/>
        <v>0</v>
      </c>
    </row>
    <row r="22" spans="1:12" x14ac:dyDescent="0.3">
      <c r="A22" s="67">
        <v>28</v>
      </c>
      <c r="B22" s="596">
        <v>45489</v>
      </c>
      <c r="C22" s="599">
        <v>45474</v>
      </c>
      <c r="D22" t="s">
        <v>912</v>
      </c>
      <c r="E22">
        <v>18</v>
      </c>
      <c r="F22">
        <v>18</v>
      </c>
      <c r="L22" s="14">
        <f t="shared" si="0"/>
        <v>0</v>
      </c>
    </row>
    <row r="23" spans="1:12" x14ac:dyDescent="0.3">
      <c r="A23" s="67">
        <v>24</v>
      </c>
      <c r="B23" s="596">
        <v>45496</v>
      </c>
      <c r="C23" s="599">
        <v>45474</v>
      </c>
      <c r="D23" t="s">
        <v>912</v>
      </c>
      <c r="E23">
        <v>42</v>
      </c>
      <c r="F23">
        <v>42</v>
      </c>
      <c r="L23" s="14">
        <f t="shared" si="0"/>
        <v>0</v>
      </c>
    </row>
    <row r="24" spans="1:12" x14ac:dyDescent="0.3">
      <c r="A24" s="67">
        <v>26</v>
      </c>
      <c r="B24" s="596">
        <v>45496</v>
      </c>
      <c r="C24" s="599">
        <v>45474</v>
      </c>
      <c r="D24" t="s">
        <v>912</v>
      </c>
      <c r="E24">
        <v>40</v>
      </c>
      <c r="F24">
        <v>40</v>
      </c>
      <c r="L24" s="14">
        <f t="shared" si="0"/>
        <v>0</v>
      </c>
    </row>
    <row r="25" spans="1:12" x14ac:dyDescent="0.3">
      <c r="A25" s="67">
        <v>78</v>
      </c>
      <c r="B25" s="598">
        <v>45498</v>
      </c>
      <c r="C25" s="599">
        <v>45474</v>
      </c>
      <c r="D25" s="14" t="s">
        <v>937</v>
      </c>
      <c r="E25" s="14">
        <v>200</v>
      </c>
      <c r="H25" s="14">
        <v>200</v>
      </c>
      <c r="L25" s="14">
        <f t="shared" si="0"/>
        <v>0</v>
      </c>
    </row>
    <row r="26" spans="1:12" x14ac:dyDescent="0.3">
      <c r="A26" s="67">
        <v>21</v>
      </c>
      <c r="B26" s="596">
        <v>45499</v>
      </c>
      <c r="C26" s="599">
        <v>45474</v>
      </c>
      <c r="D26" t="s">
        <v>912</v>
      </c>
      <c r="E26">
        <v>18</v>
      </c>
      <c r="F26">
        <v>18</v>
      </c>
      <c r="L26" s="14">
        <f t="shared" si="0"/>
        <v>0</v>
      </c>
    </row>
    <row r="27" spans="1:12" x14ac:dyDescent="0.3">
      <c r="A27" s="67">
        <v>25</v>
      </c>
      <c r="B27" s="596">
        <v>45499</v>
      </c>
      <c r="C27" s="599">
        <v>45474</v>
      </c>
      <c r="D27" t="s">
        <v>914</v>
      </c>
      <c r="E27">
        <v>80</v>
      </c>
      <c r="F27">
        <v>80</v>
      </c>
      <c r="L27" s="14">
        <f t="shared" si="0"/>
        <v>0</v>
      </c>
    </row>
    <row r="28" spans="1:12" x14ac:dyDescent="0.3">
      <c r="A28" s="67">
        <v>80</v>
      </c>
      <c r="B28" s="598">
        <v>45500</v>
      </c>
      <c r="C28" s="599">
        <v>45474</v>
      </c>
      <c r="D28" s="14" t="s">
        <v>939</v>
      </c>
      <c r="E28" s="14">
        <v>150</v>
      </c>
      <c r="H28" s="14">
        <v>150</v>
      </c>
      <c r="L28" s="14">
        <f t="shared" si="0"/>
        <v>0</v>
      </c>
    </row>
    <row r="29" spans="1:12" x14ac:dyDescent="0.3">
      <c r="A29" s="67">
        <v>23</v>
      </c>
      <c r="B29" s="596">
        <v>45503</v>
      </c>
      <c r="C29" s="599">
        <v>45474</v>
      </c>
      <c r="D29" t="s">
        <v>912</v>
      </c>
      <c r="E29">
        <v>215</v>
      </c>
      <c r="F29">
        <v>215</v>
      </c>
      <c r="L29" s="14">
        <f t="shared" si="0"/>
        <v>0</v>
      </c>
    </row>
    <row r="30" spans="1:12" x14ac:dyDescent="0.3">
      <c r="A30" s="67">
        <v>22</v>
      </c>
      <c r="B30" s="596">
        <v>45504</v>
      </c>
      <c r="C30" s="599">
        <v>45717</v>
      </c>
      <c r="D30" t="s">
        <v>912</v>
      </c>
      <c r="E30">
        <v>66</v>
      </c>
      <c r="F30">
        <v>66</v>
      </c>
      <c r="L30" s="14">
        <f t="shared" si="0"/>
        <v>0</v>
      </c>
    </row>
    <row r="31" spans="1:12" x14ac:dyDescent="0.3">
      <c r="A31" s="67">
        <v>55</v>
      </c>
      <c r="B31" s="596">
        <v>45522</v>
      </c>
      <c r="C31" s="599">
        <v>45505</v>
      </c>
      <c r="D31" t="s">
        <v>922</v>
      </c>
      <c r="E31">
        <v>160</v>
      </c>
      <c r="G31" s="14">
        <v>160</v>
      </c>
      <c r="L31" s="14">
        <f t="shared" si="0"/>
        <v>0</v>
      </c>
    </row>
    <row r="32" spans="1:12" x14ac:dyDescent="0.3">
      <c r="A32" s="67">
        <v>54</v>
      </c>
      <c r="B32" s="596">
        <v>45524</v>
      </c>
      <c r="C32" s="599">
        <v>45505</v>
      </c>
      <c r="D32" t="s">
        <v>912</v>
      </c>
      <c r="E32">
        <v>103</v>
      </c>
      <c r="F32" s="14">
        <v>103</v>
      </c>
      <c r="L32" s="14">
        <f t="shared" si="0"/>
        <v>0</v>
      </c>
    </row>
    <row r="33" spans="1:12" x14ac:dyDescent="0.3">
      <c r="A33" s="67">
        <v>82</v>
      </c>
      <c r="B33" s="598">
        <v>45529</v>
      </c>
      <c r="C33" s="599">
        <v>45505</v>
      </c>
      <c r="D33" s="14" t="s">
        <v>940</v>
      </c>
      <c r="E33" s="14">
        <v>500</v>
      </c>
      <c r="H33" s="14">
        <v>500</v>
      </c>
      <c r="L33" s="14">
        <f t="shared" si="0"/>
        <v>0</v>
      </c>
    </row>
    <row r="34" spans="1:12" x14ac:dyDescent="0.3">
      <c r="A34" s="67">
        <v>53</v>
      </c>
      <c r="B34" s="596">
        <v>45532</v>
      </c>
      <c r="C34" s="599">
        <v>45505</v>
      </c>
      <c r="D34" t="s">
        <v>912</v>
      </c>
      <c r="E34">
        <v>135</v>
      </c>
      <c r="F34" s="14">
        <v>135</v>
      </c>
      <c r="L34" s="14">
        <f t="shared" si="0"/>
        <v>0</v>
      </c>
    </row>
    <row r="35" spans="1:12" x14ac:dyDescent="0.3">
      <c r="A35" s="67">
        <v>58</v>
      </c>
      <c r="B35" s="596">
        <v>45536</v>
      </c>
      <c r="C35" s="599">
        <v>45536</v>
      </c>
      <c r="D35" t="s">
        <v>912</v>
      </c>
      <c r="E35">
        <v>61</v>
      </c>
      <c r="F35" s="14">
        <v>61</v>
      </c>
      <c r="L35" s="14">
        <f t="shared" si="0"/>
        <v>0</v>
      </c>
    </row>
    <row r="36" spans="1:12" x14ac:dyDescent="0.3">
      <c r="A36" s="67">
        <v>60</v>
      </c>
      <c r="B36" s="596">
        <v>45547</v>
      </c>
      <c r="C36" s="599">
        <v>45536</v>
      </c>
      <c r="D36" t="s">
        <v>912</v>
      </c>
      <c r="E36">
        <v>36</v>
      </c>
      <c r="F36" s="14">
        <v>36</v>
      </c>
      <c r="L36" s="14">
        <f t="shared" si="0"/>
        <v>0</v>
      </c>
    </row>
    <row r="37" spans="1:12" x14ac:dyDescent="0.3">
      <c r="A37" s="67">
        <v>48</v>
      </c>
      <c r="B37" s="596">
        <v>45548</v>
      </c>
      <c r="C37" s="599">
        <v>45536</v>
      </c>
      <c r="D37" t="s">
        <v>921</v>
      </c>
      <c r="E37">
        <v>230</v>
      </c>
      <c r="F37" s="14">
        <v>230</v>
      </c>
      <c r="L37" s="14">
        <f t="shared" si="0"/>
        <v>0</v>
      </c>
    </row>
    <row r="38" spans="1:12" x14ac:dyDescent="0.3">
      <c r="A38" s="67">
        <v>57</v>
      </c>
      <c r="B38" s="596">
        <v>45548</v>
      </c>
      <c r="C38" s="599">
        <v>45536</v>
      </c>
      <c r="D38" t="s">
        <v>912</v>
      </c>
      <c r="E38">
        <v>35</v>
      </c>
      <c r="F38" s="14">
        <v>35</v>
      </c>
      <c r="L38" s="14">
        <f t="shared" si="0"/>
        <v>0</v>
      </c>
    </row>
    <row r="39" spans="1:12" x14ac:dyDescent="0.3">
      <c r="A39" s="67">
        <v>56</v>
      </c>
      <c r="B39" s="596">
        <v>45550</v>
      </c>
      <c r="C39" s="599">
        <v>45536</v>
      </c>
      <c r="D39" t="s">
        <v>912</v>
      </c>
      <c r="E39">
        <v>300</v>
      </c>
      <c r="F39" s="14">
        <v>300</v>
      </c>
      <c r="L39" s="14">
        <f t="shared" si="0"/>
        <v>0</v>
      </c>
    </row>
    <row r="40" spans="1:12" x14ac:dyDescent="0.3">
      <c r="A40" s="67">
        <v>51</v>
      </c>
      <c r="B40" s="596">
        <v>45559</v>
      </c>
      <c r="C40" s="599">
        <v>45536</v>
      </c>
      <c r="D40" t="s">
        <v>912</v>
      </c>
      <c r="E40">
        <v>325</v>
      </c>
      <c r="F40" s="14">
        <v>325</v>
      </c>
      <c r="L40" s="14">
        <f t="shared" si="0"/>
        <v>0</v>
      </c>
    </row>
    <row r="41" spans="1:12" x14ac:dyDescent="0.3">
      <c r="A41" s="67">
        <v>50</v>
      </c>
      <c r="B41" s="596">
        <v>45562</v>
      </c>
      <c r="C41" s="599">
        <v>45536</v>
      </c>
      <c r="D41" t="s">
        <v>914</v>
      </c>
      <c r="E41">
        <v>80</v>
      </c>
      <c r="F41" s="14">
        <v>80</v>
      </c>
      <c r="L41" s="14">
        <f t="shared" si="0"/>
        <v>0</v>
      </c>
    </row>
    <row r="42" spans="1:12" x14ac:dyDescent="0.3">
      <c r="A42" s="67">
        <v>49</v>
      </c>
      <c r="B42" s="596">
        <v>45563</v>
      </c>
      <c r="C42" s="599">
        <v>45536</v>
      </c>
      <c r="D42" t="s">
        <v>917</v>
      </c>
      <c r="E42">
        <v>200</v>
      </c>
      <c r="G42" s="14">
        <v>200</v>
      </c>
      <c r="L42" s="14">
        <f t="shared" si="0"/>
        <v>0</v>
      </c>
    </row>
    <row r="43" spans="1:12" x14ac:dyDescent="0.3">
      <c r="A43" s="67">
        <v>81</v>
      </c>
      <c r="B43" s="598">
        <v>45563</v>
      </c>
      <c r="C43" s="599">
        <v>45536</v>
      </c>
      <c r="D43" s="14" t="s">
        <v>939</v>
      </c>
      <c r="E43" s="14">
        <v>150</v>
      </c>
      <c r="H43" s="14">
        <v>150</v>
      </c>
      <c r="L43" s="14">
        <f t="shared" si="0"/>
        <v>0</v>
      </c>
    </row>
    <row r="44" spans="1:12" x14ac:dyDescent="0.3">
      <c r="A44" s="67">
        <v>47</v>
      </c>
      <c r="B44" s="596">
        <v>45569</v>
      </c>
      <c r="C44" s="599">
        <v>45566</v>
      </c>
      <c r="D44" t="s">
        <v>912</v>
      </c>
      <c r="E44">
        <v>85</v>
      </c>
      <c r="F44" s="14">
        <v>85</v>
      </c>
      <c r="L44" s="14">
        <f t="shared" si="0"/>
        <v>0</v>
      </c>
    </row>
    <row r="45" spans="1:12" x14ac:dyDescent="0.3">
      <c r="A45" s="67">
        <v>45</v>
      </c>
      <c r="B45" s="596">
        <v>45580</v>
      </c>
      <c r="C45" s="599">
        <v>45566</v>
      </c>
      <c r="D45" t="s">
        <v>912</v>
      </c>
      <c r="E45">
        <v>40</v>
      </c>
      <c r="F45" s="14">
        <v>40</v>
      </c>
      <c r="L45" s="14">
        <f t="shared" si="0"/>
        <v>0</v>
      </c>
    </row>
    <row r="46" spans="1:12" x14ac:dyDescent="0.3">
      <c r="A46" s="67">
        <v>46</v>
      </c>
      <c r="B46" s="596">
        <v>45580</v>
      </c>
      <c r="C46" s="599">
        <v>45566</v>
      </c>
      <c r="D46" t="s">
        <v>912</v>
      </c>
      <c r="E46">
        <v>40</v>
      </c>
      <c r="F46" s="14">
        <v>40</v>
      </c>
      <c r="L46" s="14">
        <f t="shared" si="0"/>
        <v>0</v>
      </c>
    </row>
    <row r="47" spans="1:12" x14ac:dyDescent="0.3">
      <c r="A47" s="67">
        <v>44</v>
      </c>
      <c r="B47" s="596">
        <v>45581</v>
      </c>
      <c r="C47" s="599">
        <v>45566</v>
      </c>
      <c r="D47" t="s">
        <v>912</v>
      </c>
      <c r="E47">
        <v>34</v>
      </c>
      <c r="F47" s="14">
        <v>34</v>
      </c>
      <c r="L47" s="14">
        <f t="shared" si="0"/>
        <v>0</v>
      </c>
    </row>
    <row r="48" spans="1:12" x14ac:dyDescent="0.3">
      <c r="A48" s="67">
        <v>43</v>
      </c>
      <c r="B48" s="596">
        <v>45583</v>
      </c>
      <c r="C48" s="599">
        <v>45566</v>
      </c>
      <c r="D48" t="s">
        <v>912</v>
      </c>
      <c r="E48">
        <v>190</v>
      </c>
      <c r="F48" s="14">
        <v>190</v>
      </c>
      <c r="L48" s="14">
        <f t="shared" si="0"/>
        <v>0</v>
      </c>
    </row>
    <row r="49" spans="1:12" x14ac:dyDescent="0.3">
      <c r="A49" s="67">
        <v>63</v>
      </c>
      <c r="B49" s="598">
        <v>45588</v>
      </c>
      <c r="C49" s="599">
        <v>45566</v>
      </c>
      <c r="D49" s="14" t="s">
        <v>923</v>
      </c>
      <c r="E49" s="14">
        <v>1500</v>
      </c>
      <c r="I49" s="14">
        <v>1500</v>
      </c>
      <c r="L49" s="14">
        <f t="shared" si="0"/>
        <v>0</v>
      </c>
    </row>
    <row r="50" spans="1:12" x14ac:dyDescent="0.3">
      <c r="A50" s="67">
        <v>64</v>
      </c>
      <c r="B50" s="598">
        <v>45588</v>
      </c>
      <c r="C50" s="599">
        <v>45566</v>
      </c>
      <c r="D50" s="14" t="s">
        <v>923</v>
      </c>
      <c r="E50" s="14">
        <v>100</v>
      </c>
      <c r="I50" s="14">
        <v>100</v>
      </c>
      <c r="L50" s="14">
        <f t="shared" si="0"/>
        <v>0</v>
      </c>
    </row>
    <row r="51" spans="1:12" x14ac:dyDescent="0.3">
      <c r="A51" s="67">
        <v>65</v>
      </c>
      <c r="B51" s="598">
        <v>45588</v>
      </c>
      <c r="C51" s="599">
        <v>45566</v>
      </c>
      <c r="D51" s="14" t="s">
        <v>924</v>
      </c>
      <c r="E51" s="14">
        <v>1500</v>
      </c>
      <c r="I51" s="14">
        <v>1500</v>
      </c>
      <c r="L51" s="14">
        <f t="shared" si="0"/>
        <v>0</v>
      </c>
    </row>
    <row r="52" spans="1:12" x14ac:dyDescent="0.3">
      <c r="A52" s="67">
        <v>66</v>
      </c>
      <c r="B52" s="598">
        <v>45588</v>
      </c>
      <c r="C52" s="599">
        <v>45566</v>
      </c>
      <c r="D52" s="14" t="s">
        <v>925</v>
      </c>
      <c r="E52" s="14">
        <v>200</v>
      </c>
      <c r="J52" s="14">
        <v>200</v>
      </c>
      <c r="L52" s="14">
        <f t="shared" si="0"/>
        <v>0</v>
      </c>
    </row>
    <row r="53" spans="1:12" x14ac:dyDescent="0.3">
      <c r="A53" s="67">
        <v>67</v>
      </c>
      <c r="B53" s="598">
        <v>45588</v>
      </c>
      <c r="C53" s="599">
        <v>45566</v>
      </c>
      <c r="D53" s="14" t="s">
        <v>927</v>
      </c>
      <c r="E53" s="14">
        <v>200</v>
      </c>
      <c r="I53" s="14">
        <v>200</v>
      </c>
      <c r="L53" s="14">
        <f t="shared" si="0"/>
        <v>0</v>
      </c>
    </row>
    <row r="54" spans="1:12" x14ac:dyDescent="0.3">
      <c r="A54" s="67">
        <v>68</v>
      </c>
      <c r="B54" s="598">
        <v>45588</v>
      </c>
      <c r="C54" s="599">
        <v>45566</v>
      </c>
      <c r="D54" s="14" t="s">
        <v>928</v>
      </c>
      <c r="E54" s="14">
        <v>400</v>
      </c>
      <c r="I54" s="14">
        <v>400</v>
      </c>
      <c r="L54" s="14">
        <f t="shared" si="0"/>
        <v>0</v>
      </c>
    </row>
    <row r="55" spans="1:12" x14ac:dyDescent="0.3">
      <c r="A55" s="67">
        <v>69</v>
      </c>
      <c r="B55" s="598">
        <v>45588</v>
      </c>
      <c r="C55" s="599">
        <v>45566</v>
      </c>
      <c r="D55" s="14" t="s">
        <v>929</v>
      </c>
      <c r="E55" s="14">
        <v>400</v>
      </c>
      <c r="I55" s="14">
        <v>400</v>
      </c>
      <c r="L55" s="14">
        <f t="shared" si="0"/>
        <v>0</v>
      </c>
    </row>
    <row r="56" spans="1:12" x14ac:dyDescent="0.3">
      <c r="A56" s="67">
        <v>41</v>
      </c>
      <c r="B56" s="596">
        <v>45589</v>
      </c>
      <c r="C56" s="599">
        <v>45566</v>
      </c>
      <c r="D56" t="s">
        <v>919</v>
      </c>
      <c r="E56">
        <v>1320</v>
      </c>
      <c r="G56" s="14">
        <v>1320</v>
      </c>
      <c r="L56" s="14">
        <f t="shared" si="0"/>
        <v>0</v>
      </c>
    </row>
    <row r="57" spans="1:12" x14ac:dyDescent="0.3">
      <c r="A57" s="67">
        <v>42</v>
      </c>
      <c r="B57" s="596">
        <v>45593</v>
      </c>
      <c r="C57" s="599">
        <v>45566</v>
      </c>
      <c r="D57" t="s">
        <v>920</v>
      </c>
      <c r="E57">
        <v>36</v>
      </c>
      <c r="H57" s="14">
        <v>36</v>
      </c>
      <c r="L57" s="14">
        <f t="shared" si="0"/>
        <v>0</v>
      </c>
    </row>
    <row r="58" spans="1:12" x14ac:dyDescent="0.3">
      <c r="A58" s="67">
        <v>62</v>
      </c>
      <c r="B58" s="596">
        <v>45602</v>
      </c>
      <c r="C58" s="599">
        <v>45597</v>
      </c>
      <c r="D58" t="s">
        <v>915</v>
      </c>
      <c r="E58">
        <v>86</v>
      </c>
      <c r="F58" s="14">
        <v>86</v>
      </c>
      <c r="L58" s="14">
        <f t="shared" si="0"/>
        <v>0</v>
      </c>
    </row>
    <row r="59" spans="1:12" x14ac:dyDescent="0.3">
      <c r="A59" s="67">
        <v>76</v>
      </c>
      <c r="B59" s="598">
        <v>45612</v>
      </c>
      <c r="C59" s="599">
        <v>45597</v>
      </c>
      <c r="D59" s="14" t="s">
        <v>935</v>
      </c>
      <c r="E59" s="14">
        <v>175</v>
      </c>
      <c r="G59" s="14">
        <v>175</v>
      </c>
      <c r="L59" s="14">
        <f t="shared" si="0"/>
        <v>0</v>
      </c>
    </row>
    <row r="60" spans="1:12" x14ac:dyDescent="0.3">
      <c r="A60" s="67">
        <v>61</v>
      </c>
      <c r="B60" s="596">
        <v>45631</v>
      </c>
      <c r="C60" s="599">
        <v>45627</v>
      </c>
      <c r="D60" t="s">
        <v>913</v>
      </c>
      <c r="E60">
        <v>80</v>
      </c>
      <c r="F60" s="14">
        <v>80</v>
      </c>
      <c r="L60" s="14">
        <f t="shared" si="0"/>
        <v>0</v>
      </c>
    </row>
    <row r="61" spans="1:12" x14ac:dyDescent="0.3">
      <c r="A61" s="67">
        <v>77</v>
      </c>
      <c r="B61" s="598">
        <v>45636</v>
      </c>
      <c r="C61" s="599">
        <v>45627</v>
      </c>
      <c r="D61" s="14" t="s">
        <v>936</v>
      </c>
      <c r="E61" s="14">
        <v>150</v>
      </c>
      <c r="K61" s="14">
        <v>150</v>
      </c>
      <c r="L61" s="14">
        <f t="shared" si="0"/>
        <v>0</v>
      </c>
    </row>
    <row r="62" spans="1:12" x14ac:dyDescent="0.3">
      <c r="A62" s="67">
        <v>85</v>
      </c>
      <c r="B62" s="598">
        <v>45641</v>
      </c>
      <c r="C62" s="599">
        <v>45627</v>
      </c>
      <c r="D62" s="14" t="s">
        <v>942</v>
      </c>
      <c r="E62" s="14">
        <v>700</v>
      </c>
      <c r="H62" s="14">
        <v>700</v>
      </c>
      <c r="L62" s="14">
        <f t="shared" si="0"/>
        <v>0</v>
      </c>
    </row>
    <row r="63" spans="1:12" x14ac:dyDescent="0.3">
      <c r="A63" s="67">
        <v>19</v>
      </c>
      <c r="B63" s="596">
        <v>45692</v>
      </c>
      <c r="C63" s="599">
        <v>45689</v>
      </c>
      <c r="D63" t="s">
        <v>912</v>
      </c>
      <c r="E63">
        <v>30</v>
      </c>
      <c r="F63">
        <v>30</v>
      </c>
      <c r="L63" s="14">
        <f t="shared" si="0"/>
        <v>0</v>
      </c>
    </row>
    <row r="64" spans="1:12" x14ac:dyDescent="0.3">
      <c r="A64" s="67">
        <v>84</v>
      </c>
      <c r="B64" s="598">
        <v>45704</v>
      </c>
      <c r="C64" s="599">
        <v>45689</v>
      </c>
      <c r="D64" s="14" t="s">
        <v>941</v>
      </c>
      <c r="E64" s="14">
        <v>150</v>
      </c>
      <c r="G64" s="14">
        <v>150</v>
      </c>
      <c r="L64" s="14">
        <f t="shared" si="0"/>
        <v>0</v>
      </c>
    </row>
    <row r="65" spans="1:12" x14ac:dyDescent="0.3">
      <c r="A65" s="67">
        <v>18</v>
      </c>
      <c r="B65" s="596">
        <v>45705</v>
      </c>
      <c r="C65" s="599">
        <v>45689</v>
      </c>
      <c r="D65" t="s">
        <v>912</v>
      </c>
      <c r="E65">
        <v>40</v>
      </c>
      <c r="F65">
        <v>40</v>
      </c>
      <c r="L65" s="14">
        <f t="shared" si="0"/>
        <v>0</v>
      </c>
    </row>
    <row r="66" spans="1:12" x14ac:dyDescent="0.3">
      <c r="A66" s="67">
        <v>17</v>
      </c>
      <c r="B66" s="596">
        <v>45706</v>
      </c>
      <c r="C66" s="599">
        <v>45689</v>
      </c>
      <c r="D66" t="s">
        <v>912</v>
      </c>
      <c r="E66">
        <v>68</v>
      </c>
      <c r="F66">
        <v>68</v>
      </c>
      <c r="L66" s="14">
        <f t="shared" ref="L66:L86" si="1">+E66-SUM(F66:K66)</f>
        <v>0</v>
      </c>
    </row>
    <row r="67" spans="1:12" x14ac:dyDescent="0.3">
      <c r="A67" s="67">
        <v>20</v>
      </c>
      <c r="B67" s="596">
        <v>45707</v>
      </c>
      <c r="C67" s="599">
        <v>45689</v>
      </c>
      <c r="D67" s="597" t="s">
        <v>918</v>
      </c>
      <c r="E67">
        <v>160</v>
      </c>
      <c r="F67"/>
      <c r="G67" s="14">
        <v>160</v>
      </c>
      <c r="L67" s="14">
        <f t="shared" si="1"/>
        <v>0</v>
      </c>
    </row>
    <row r="68" spans="1:12" x14ac:dyDescent="0.3">
      <c r="A68" s="67">
        <v>16</v>
      </c>
      <c r="B68" s="596">
        <v>45708</v>
      </c>
      <c r="C68" s="599">
        <v>45689</v>
      </c>
      <c r="D68" t="s">
        <v>913</v>
      </c>
      <c r="E68">
        <v>20</v>
      </c>
      <c r="F68">
        <v>20</v>
      </c>
      <c r="L68" s="14">
        <f t="shared" si="1"/>
        <v>0</v>
      </c>
    </row>
    <row r="69" spans="1:12" x14ac:dyDescent="0.3">
      <c r="A69" s="67">
        <v>15</v>
      </c>
      <c r="B69" s="596">
        <v>45710</v>
      </c>
      <c r="C69" s="599">
        <v>45689</v>
      </c>
      <c r="D69" t="s">
        <v>912</v>
      </c>
      <c r="E69">
        <v>98</v>
      </c>
      <c r="F69">
        <v>98</v>
      </c>
      <c r="L69" s="14">
        <f t="shared" si="1"/>
        <v>0</v>
      </c>
    </row>
    <row r="70" spans="1:12" x14ac:dyDescent="0.3">
      <c r="A70" s="67">
        <v>52</v>
      </c>
      <c r="B70" s="596">
        <v>45716</v>
      </c>
      <c r="C70" s="599">
        <v>45689</v>
      </c>
      <c r="D70" t="s">
        <v>913</v>
      </c>
      <c r="E70">
        <v>29</v>
      </c>
      <c r="F70" s="14">
        <v>29</v>
      </c>
      <c r="L70" s="14">
        <f t="shared" si="1"/>
        <v>0</v>
      </c>
    </row>
    <row r="71" spans="1:12" x14ac:dyDescent="0.3">
      <c r="A71" s="67">
        <v>14</v>
      </c>
      <c r="B71" s="596">
        <v>45720</v>
      </c>
      <c r="C71" s="599">
        <v>45717</v>
      </c>
      <c r="D71" t="s">
        <v>912</v>
      </c>
      <c r="E71">
        <v>26</v>
      </c>
      <c r="F71">
        <v>26</v>
      </c>
      <c r="L71" s="14">
        <f t="shared" si="1"/>
        <v>0</v>
      </c>
    </row>
    <row r="72" spans="1:12" x14ac:dyDescent="0.3">
      <c r="A72" s="67">
        <v>12</v>
      </c>
      <c r="B72" s="596">
        <v>45722</v>
      </c>
      <c r="C72" s="599">
        <v>45717</v>
      </c>
      <c r="D72" t="s">
        <v>913</v>
      </c>
      <c r="E72">
        <v>200</v>
      </c>
      <c r="F72">
        <v>200</v>
      </c>
      <c r="L72" s="14">
        <f t="shared" si="1"/>
        <v>0</v>
      </c>
    </row>
    <row r="73" spans="1:12" x14ac:dyDescent="0.3">
      <c r="A73" s="67">
        <v>13</v>
      </c>
      <c r="B73" s="596">
        <v>45722</v>
      </c>
      <c r="C73" s="599">
        <v>45717</v>
      </c>
      <c r="D73" t="s">
        <v>912</v>
      </c>
      <c r="E73">
        <v>306</v>
      </c>
      <c r="F73">
        <v>306</v>
      </c>
      <c r="L73" s="14">
        <f t="shared" si="1"/>
        <v>0</v>
      </c>
    </row>
    <row r="74" spans="1:12" x14ac:dyDescent="0.3">
      <c r="A74" s="67">
        <v>10</v>
      </c>
      <c r="B74" s="596">
        <v>45726</v>
      </c>
      <c r="C74" s="599">
        <v>45717</v>
      </c>
      <c r="D74" t="s">
        <v>912</v>
      </c>
      <c r="E74">
        <v>24</v>
      </c>
      <c r="F74">
        <v>24</v>
      </c>
      <c r="L74" s="14">
        <f t="shared" si="1"/>
        <v>0</v>
      </c>
    </row>
    <row r="75" spans="1:12" x14ac:dyDescent="0.3">
      <c r="A75" s="67">
        <v>11</v>
      </c>
      <c r="B75" s="596">
        <v>45726</v>
      </c>
      <c r="C75" s="599">
        <v>45717</v>
      </c>
      <c r="D75" t="s">
        <v>912</v>
      </c>
      <c r="E75">
        <v>40</v>
      </c>
      <c r="F75">
        <v>40</v>
      </c>
      <c r="L75" s="14">
        <f t="shared" si="1"/>
        <v>0</v>
      </c>
    </row>
    <row r="76" spans="1:12" x14ac:dyDescent="0.3">
      <c r="A76" s="67">
        <v>9</v>
      </c>
      <c r="B76" s="596">
        <v>45727</v>
      </c>
      <c r="C76" s="599">
        <v>45717</v>
      </c>
      <c r="D76" t="s">
        <v>912</v>
      </c>
      <c r="E76">
        <v>63</v>
      </c>
      <c r="F76">
        <v>63</v>
      </c>
      <c r="L76" s="14">
        <f t="shared" si="1"/>
        <v>0</v>
      </c>
    </row>
    <row r="77" spans="1:12" x14ac:dyDescent="0.3">
      <c r="A77" s="67">
        <v>6</v>
      </c>
      <c r="B77" s="596">
        <v>45728</v>
      </c>
      <c r="C77" s="599">
        <v>45717</v>
      </c>
      <c r="D77" t="s">
        <v>912</v>
      </c>
      <c r="E77">
        <v>30</v>
      </c>
      <c r="F77">
        <v>30</v>
      </c>
      <c r="L77" s="14">
        <f t="shared" si="1"/>
        <v>0</v>
      </c>
    </row>
    <row r="78" spans="1:12" x14ac:dyDescent="0.3">
      <c r="A78" s="67">
        <v>7</v>
      </c>
      <c r="B78" s="596">
        <v>45728</v>
      </c>
      <c r="C78" s="599">
        <v>45717</v>
      </c>
      <c r="D78" t="s">
        <v>913</v>
      </c>
      <c r="E78">
        <v>100</v>
      </c>
      <c r="F78">
        <v>100</v>
      </c>
      <c r="L78" s="14">
        <f t="shared" si="1"/>
        <v>0</v>
      </c>
    </row>
    <row r="79" spans="1:12" x14ac:dyDescent="0.3">
      <c r="A79" s="67">
        <v>8</v>
      </c>
      <c r="B79" s="596">
        <v>45728</v>
      </c>
      <c r="C79" s="599">
        <v>45717</v>
      </c>
      <c r="D79" t="s">
        <v>912</v>
      </c>
      <c r="E79">
        <v>13</v>
      </c>
      <c r="F79">
        <v>13</v>
      </c>
      <c r="L79" s="14">
        <f t="shared" si="1"/>
        <v>0</v>
      </c>
    </row>
    <row r="80" spans="1:12" x14ac:dyDescent="0.3">
      <c r="A80" s="67">
        <v>5</v>
      </c>
      <c r="B80" s="596">
        <v>45731</v>
      </c>
      <c r="C80" s="599">
        <v>45717</v>
      </c>
      <c r="D80" t="s">
        <v>912</v>
      </c>
      <c r="E80">
        <v>12</v>
      </c>
      <c r="F80">
        <v>12</v>
      </c>
      <c r="L80" s="14">
        <f t="shared" si="1"/>
        <v>0</v>
      </c>
    </row>
    <row r="81" spans="1:12" x14ac:dyDescent="0.3">
      <c r="A81" s="67">
        <v>3</v>
      </c>
      <c r="B81" s="596">
        <v>45735</v>
      </c>
      <c r="C81" s="599">
        <v>45717</v>
      </c>
      <c r="D81" t="s">
        <v>912</v>
      </c>
      <c r="E81">
        <v>165</v>
      </c>
      <c r="F81">
        <v>165</v>
      </c>
      <c r="L81" s="14">
        <f t="shared" si="1"/>
        <v>0</v>
      </c>
    </row>
    <row r="82" spans="1:12" x14ac:dyDescent="0.3">
      <c r="A82" s="67">
        <v>4</v>
      </c>
      <c r="B82" s="596">
        <v>45736</v>
      </c>
      <c r="C82" s="599">
        <v>45717</v>
      </c>
      <c r="D82" t="s">
        <v>913</v>
      </c>
      <c r="E82">
        <v>18</v>
      </c>
      <c r="F82">
        <v>18</v>
      </c>
      <c r="L82" s="14">
        <f t="shared" si="1"/>
        <v>0</v>
      </c>
    </row>
    <row r="83" spans="1:12" x14ac:dyDescent="0.3">
      <c r="A83" s="67">
        <v>1</v>
      </c>
      <c r="B83" s="596">
        <v>45741</v>
      </c>
      <c r="C83" s="599">
        <v>45717</v>
      </c>
      <c r="D83" t="s">
        <v>912</v>
      </c>
      <c r="E83">
        <v>16</v>
      </c>
      <c r="F83">
        <v>16</v>
      </c>
      <c r="L83" s="14">
        <f t="shared" si="1"/>
        <v>0</v>
      </c>
    </row>
    <row r="84" spans="1:12" x14ac:dyDescent="0.3">
      <c r="A84" s="67">
        <v>2</v>
      </c>
      <c r="B84" s="596">
        <v>45741</v>
      </c>
      <c r="C84" s="599">
        <v>45717</v>
      </c>
      <c r="D84" t="s">
        <v>912</v>
      </c>
      <c r="E84">
        <v>12</v>
      </c>
      <c r="F84">
        <v>12</v>
      </c>
      <c r="L84" s="14">
        <f t="shared" si="1"/>
        <v>0</v>
      </c>
    </row>
    <row r="85" spans="1:12" x14ac:dyDescent="0.3">
      <c r="A85" s="67">
        <v>86</v>
      </c>
      <c r="B85" s="598">
        <v>45746</v>
      </c>
      <c r="C85" s="599">
        <v>45717</v>
      </c>
      <c r="D85" s="14" t="s">
        <v>943</v>
      </c>
      <c r="E85" s="14">
        <v>100</v>
      </c>
      <c r="J85" s="14">
        <v>100</v>
      </c>
      <c r="L85" s="14">
        <f t="shared" si="1"/>
        <v>0</v>
      </c>
    </row>
    <row r="86" spans="1:12" x14ac:dyDescent="0.3">
      <c r="A86" s="67">
        <v>40</v>
      </c>
      <c r="B86" s="596">
        <v>45769</v>
      </c>
      <c r="C86" s="599">
        <v>45717</v>
      </c>
      <c r="D86" t="s">
        <v>912</v>
      </c>
      <c r="E86">
        <v>39</v>
      </c>
      <c r="F86">
        <v>39</v>
      </c>
      <c r="L86" s="14">
        <f t="shared" si="1"/>
        <v>0</v>
      </c>
    </row>
    <row r="87" spans="1:12" x14ac:dyDescent="0.3">
      <c r="E87" s="88">
        <f>SUM(E3:E86)</f>
        <v>14469</v>
      </c>
      <c r="F87" s="88">
        <f t="shared" ref="F87:L87" si="2">SUM(F3:F86)</f>
        <v>5053</v>
      </c>
      <c r="G87" s="88">
        <f t="shared" si="2"/>
        <v>2390</v>
      </c>
      <c r="H87" s="88">
        <f t="shared" si="2"/>
        <v>1946</v>
      </c>
      <c r="I87" s="88">
        <f t="shared" si="2"/>
        <v>4100</v>
      </c>
      <c r="J87" s="88">
        <f t="shared" si="2"/>
        <v>300</v>
      </c>
      <c r="K87" s="88">
        <f t="shared" si="2"/>
        <v>680</v>
      </c>
      <c r="L87" s="88">
        <f t="shared" si="2"/>
        <v>0</v>
      </c>
    </row>
  </sheetData>
  <sortState xmlns:xlrd2="http://schemas.microsoft.com/office/spreadsheetml/2017/richdata2" ref="A3:K88">
    <sortCondition ref="B3:B88"/>
  </sortState>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I55"/>
  <sheetViews>
    <sheetView topLeftCell="A32" workbookViewId="0">
      <selection activeCell="E55" sqref="E55"/>
    </sheetView>
  </sheetViews>
  <sheetFormatPr defaultRowHeight="15.6" x14ac:dyDescent="0.3"/>
  <cols>
    <col min="2" max="2" width="12.69921875" bestFit="1" customWidth="1"/>
    <col min="3" max="9" width="14.59765625" customWidth="1"/>
  </cols>
  <sheetData>
    <row r="2" spans="2:9" x14ac:dyDescent="0.3">
      <c r="B2" s="600" t="s">
        <v>861</v>
      </c>
      <c r="C2" t="s">
        <v>956</v>
      </c>
      <c r="D2" t="s">
        <v>863</v>
      </c>
      <c r="E2" t="s">
        <v>864</v>
      </c>
      <c r="F2" t="s">
        <v>866</v>
      </c>
      <c r="G2" t="s">
        <v>865</v>
      </c>
      <c r="H2" t="s">
        <v>957</v>
      </c>
      <c r="I2" t="s">
        <v>958</v>
      </c>
    </row>
    <row r="3" spans="2:9" x14ac:dyDescent="0.3">
      <c r="B3" s="601" t="s">
        <v>954</v>
      </c>
      <c r="C3">
        <v>595</v>
      </c>
      <c r="D3">
        <v>285</v>
      </c>
      <c r="E3">
        <v>310</v>
      </c>
    </row>
    <row r="4" spans="2:9" x14ac:dyDescent="0.3">
      <c r="B4" s="601" t="s">
        <v>955</v>
      </c>
      <c r="C4">
        <v>1230</v>
      </c>
      <c r="D4">
        <v>1130</v>
      </c>
      <c r="H4">
        <v>100</v>
      </c>
    </row>
    <row r="5" spans="2:9" x14ac:dyDescent="0.3">
      <c r="B5" s="601" t="s">
        <v>945</v>
      </c>
      <c r="C5">
        <v>423</v>
      </c>
      <c r="D5">
        <v>273</v>
      </c>
      <c r="I5">
        <v>150</v>
      </c>
    </row>
    <row r="6" spans="2:9" x14ac:dyDescent="0.3">
      <c r="B6" s="601" t="s">
        <v>946</v>
      </c>
      <c r="C6">
        <v>285</v>
      </c>
      <c r="D6">
        <v>80</v>
      </c>
      <c r="E6">
        <v>125</v>
      </c>
      <c r="I6">
        <v>80</v>
      </c>
    </row>
    <row r="7" spans="2:9" x14ac:dyDescent="0.3">
      <c r="B7" s="601" t="s">
        <v>947</v>
      </c>
      <c r="C7">
        <v>1231</v>
      </c>
      <c r="D7">
        <v>796</v>
      </c>
      <c r="E7">
        <v>100</v>
      </c>
      <c r="G7">
        <v>210</v>
      </c>
      <c r="I7">
        <v>125</v>
      </c>
    </row>
    <row r="8" spans="2:9" x14ac:dyDescent="0.3">
      <c r="B8" s="601" t="s">
        <v>948</v>
      </c>
      <c r="C8">
        <v>1154</v>
      </c>
      <c r="D8">
        <v>629</v>
      </c>
      <c r="G8">
        <v>350</v>
      </c>
      <c r="I8">
        <v>175</v>
      </c>
    </row>
    <row r="9" spans="2:9" x14ac:dyDescent="0.3">
      <c r="B9" s="601" t="s">
        <v>949</v>
      </c>
      <c r="C9">
        <v>898</v>
      </c>
      <c r="D9">
        <v>238</v>
      </c>
      <c r="E9">
        <v>160</v>
      </c>
      <c r="G9">
        <v>500</v>
      </c>
    </row>
    <row r="10" spans="2:9" x14ac:dyDescent="0.3">
      <c r="B10" s="601" t="s">
        <v>950</v>
      </c>
      <c r="C10">
        <v>1417</v>
      </c>
      <c r="D10">
        <v>1067</v>
      </c>
      <c r="E10">
        <v>200</v>
      </c>
      <c r="G10">
        <v>150</v>
      </c>
    </row>
    <row r="11" spans="2:9" x14ac:dyDescent="0.3">
      <c r="B11" s="601" t="s">
        <v>951</v>
      </c>
      <c r="C11">
        <v>6045</v>
      </c>
      <c r="D11">
        <v>389</v>
      </c>
      <c r="E11">
        <v>1320</v>
      </c>
      <c r="F11">
        <v>4100</v>
      </c>
      <c r="G11">
        <v>36</v>
      </c>
      <c r="H11">
        <v>200</v>
      </c>
    </row>
    <row r="12" spans="2:9" x14ac:dyDescent="0.3">
      <c r="B12" s="601" t="s">
        <v>952</v>
      </c>
      <c r="C12">
        <v>261</v>
      </c>
      <c r="D12">
        <v>86</v>
      </c>
      <c r="E12">
        <v>175</v>
      </c>
    </row>
    <row r="13" spans="2:9" x14ac:dyDescent="0.3">
      <c r="B13" s="601" t="s">
        <v>953</v>
      </c>
      <c r="C13">
        <v>930</v>
      </c>
      <c r="D13">
        <v>80</v>
      </c>
      <c r="G13">
        <v>700</v>
      </c>
      <c r="I13">
        <v>150</v>
      </c>
    </row>
    <row r="14" spans="2:9" x14ac:dyDescent="0.3">
      <c r="B14" s="601" t="s">
        <v>862</v>
      </c>
      <c r="C14">
        <v>14469</v>
      </c>
      <c r="D14">
        <v>5053</v>
      </c>
      <c r="E14">
        <v>2390</v>
      </c>
      <c r="F14">
        <v>4100</v>
      </c>
      <c r="G14">
        <v>1946</v>
      </c>
      <c r="H14">
        <v>300</v>
      </c>
      <c r="I14">
        <v>680</v>
      </c>
    </row>
    <row r="18" spans="2:9" x14ac:dyDescent="0.3">
      <c r="B18" s="602" t="s">
        <v>860</v>
      </c>
      <c r="C18" s="603" t="s">
        <v>956</v>
      </c>
      <c r="D18" s="602" t="s">
        <v>856</v>
      </c>
      <c r="E18" s="602" t="s">
        <v>858</v>
      </c>
      <c r="F18" s="602" t="s">
        <v>859</v>
      </c>
      <c r="G18" s="602" t="s">
        <v>857</v>
      </c>
      <c r="H18" s="602" t="s">
        <v>926</v>
      </c>
      <c r="I18" s="602" t="s">
        <v>931</v>
      </c>
    </row>
    <row r="19" spans="2:9" x14ac:dyDescent="0.3">
      <c r="B19" s="604">
        <v>45383</v>
      </c>
      <c r="C19" s="603">
        <v>423</v>
      </c>
      <c r="D19" s="603">
        <v>273</v>
      </c>
      <c r="E19" s="603"/>
      <c r="F19" s="603"/>
      <c r="G19" s="603"/>
      <c r="H19" s="603"/>
      <c r="I19" s="603">
        <v>150</v>
      </c>
    </row>
    <row r="20" spans="2:9" x14ac:dyDescent="0.3">
      <c r="B20" s="604">
        <v>45413</v>
      </c>
      <c r="C20" s="603">
        <v>285</v>
      </c>
      <c r="D20" s="603">
        <v>80</v>
      </c>
      <c r="E20" s="603">
        <v>125</v>
      </c>
      <c r="F20" s="603"/>
      <c r="G20" s="603"/>
      <c r="H20" s="603"/>
      <c r="I20" s="603">
        <v>80</v>
      </c>
    </row>
    <row r="21" spans="2:9" x14ac:dyDescent="0.3">
      <c r="B21" s="604">
        <v>45444</v>
      </c>
      <c r="C21" s="603">
        <v>1231</v>
      </c>
      <c r="D21" s="603">
        <v>796</v>
      </c>
      <c r="E21" s="603">
        <v>100</v>
      </c>
      <c r="F21" s="603"/>
      <c r="G21" s="603">
        <v>210</v>
      </c>
      <c r="H21" s="603"/>
      <c r="I21" s="603">
        <v>125</v>
      </c>
    </row>
    <row r="22" spans="2:9" x14ac:dyDescent="0.3">
      <c r="B22" s="604">
        <v>45474</v>
      </c>
      <c r="C22" s="603">
        <v>1154</v>
      </c>
      <c r="D22" s="603">
        <v>629</v>
      </c>
      <c r="E22" s="603"/>
      <c r="F22" s="603"/>
      <c r="G22" s="603">
        <v>350</v>
      </c>
      <c r="H22" s="603"/>
      <c r="I22" s="603">
        <v>175</v>
      </c>
    </row>
    <row r="23" spans="2:9" x14ac:dyDescent="0.3">
      <c r="B23" s="604">
        <v>45505</v>
      </c>
      <c r="C23" s="603">
        <v>898</v>
      </c>
      <c r="D23" s="603">
        <v>238</v>
      </c>
      <c r="E23" s="603">
        <v>160</v>
      </c>
      <c r="F23" s="603"/>
      <c r="G23" s="603">
        <v>500</v>
      </c>
      <c r="H23" s="603"/>
      <c r="I23" s="603"/>
    </row>
    <row r="24" spans="2:9" x14ac:dyDescent="0.3">
      <c r="B24" s="604">
        <v>45536</v>
      </c>
      <c r="C24" s="603">
        <v>1417</v>
      </c>
      <c r="D24" s="603">
        <v>1067</v>
      </c>
      <c r="E24" s="603">
        <v>200</v>
      </c>
      <c r="F24" s="603"/>
      <c r="G24" s="603">
        <v>150</v>
      </c>
      <c r="H24" s="603"/>
      <c r="I24" s="603"/>
    </row>
    <row r="25" spans="2:9" x14ac:dyDescent="0.3">
      <c r="B25" s="604">
        <v>45566</v>
      </c>
      <c r="C25" s="603">
        <v>6045</v>
      </c>
      <c r="D25" s="603">
        <v>389</v>
      </c>
      <c r="E25" s="603">
        <v>1320</v>
      </c>
      <c r="F25" s="603">
        <v>4100</v>
      </c>
      <c r="G25" s="603">
        <v>36</v>
      </c>
      <c r="H25" s="603">
        <v>200</v>
      </c>
      <c r="I25" s="603"/>
    </row>
    <row r="26" spans="2:9" x14ac:dyDescent="0.3">
      <c r="B26" s="604">
        <v>45597</v>
      </c>
      <c r="C26" s="603">
        <v>261</v>
      </c>
      <c r="D26" s="603">
        <v>86</v>
      </c>
      <c r="E26" s="603">
        <v>175</v>
      </c>
      <c r="F26" s="603"/>
      <c r="G26" s="603"/>
      <c r="H26" s="603"/>
      <c r="I26" s="603"/>
    </row>
    <row r="27" spans="2:9" x14ac:dyDescent="0.3">
      <c r="B27" s="604">
        <v>45627</v>
      </c>
      <c r="C27" s="603">
        <v>930</v>
      </c>
      <c r="D27" s="603">
        <v>80</v>
      </c>
      <c r="E27" s="603"/>
      <c r="F27" s="603"/>
      <c r="G27" s="603">
        <v>700</v>
      </c>
      <c r="H27" s="603"/>
      <c r="I27" s="603">
        <v>150</v>
      </c>
    </row>
    <row r="28" spans="2:9" x14ac:dyDescent="0.3">
      <c r="B28" s="604">
        <v>45689</v>
      </c>
      <c r="C28" s="603">
        <v>595</v>
      </c>
      <c r="D28" s="603">
        <v>285</v>
      </c>
      <c r="E28" s="603">
        <v>310</v>
      </c>
      <c r="F28" s="603"/>
      <c r="G28" s="603"/>
      <c r="H28" s="603"/>
      <c r="I28" s="603"/>
    </row>
    <row r="29" spans="2:9" x14ac:dyDescent="0.3">
      <c r="B29" s="604">
        <v>45717</v>
      </c>
      <c r="C29" s="603">
        <v>1230</v>
      </c>
      <c r="D29" s="603">
        <v>1130</v>
      </c>
      <c r="E29" s="603"/>
      <c r="F29" s="603"/>
      <c r="G29" s="603"/>
      <c r="H29" s="603">
        <v>100</v>
      </c>
      <c r="I29" s="603"/>
    </row>
    <row r="30" spans="2:9" x14ac:dyDescent="0.3">
      <c r="B30" s="603" t="s">
        <v>862</v>
      </c>
      <c r="C30" s="605">
        <f>SUM(C19:C29)</f>
        <v>14469</v>
      </c>
      <c r="D30" s="605">
        <f t="shared" ref="D30:I30" si="0">SUM(D19:D29)</f>
        <v>5053</v>
      </c>
      <c r="E30" s="605">
        <f>SUM(E19:E29)</f>
        <v>2390</v>
      </c>
      <c r="F30" s="605">
        <f t="shared" si="0"/>
        <v>4100</v>
      </c>
      <c r="G30" s="605">
        <f t="shared" si="0"/>
        <v>1946</v>
      </c>
      <c r="H30" s="605">
        <f t="shared" si="0"/>
        <v>300</v>
      </c>
      <c r="I30" s="605">
        <f t="shared" si="0"/>
        <v>680</v>
      </c>
    </row>
    <row r="35" spans="2:5" x14ac:dyDescent="0.3">
      <c r="B35" s="597" t="s">
        <v>960</v>
      </c>
      <c r="C35">
        <v>35467</v>
      </c>
    </row>
    <row r="37" spans="2:5" x14ac:dyDescent="0.3">
      <c r="B37" s="606">
        <v>45566</v>
      </c>
      <c r="C37" s="606">
        <v>45747</v>
      </c>
      <c r="D37">
        <f>31+30+31+31+28+31</f>
        <v>182</v>
      </c>
      <c r="E37">
        <f>ROUND((C35/365)*D37,0)</f>
        <v>17685</v>
      </c>
    </row>
    <row r="38" spans="2:5" x14ac:dyDescent="0.3">
      <c r="B38" s="606">
        <v>45748</v>
      </c>
      <c r="C38" s="606">
        <v>45930</v>
      </c>
      <c r="D38" s="597">
        <f>30+31+30+31+31+30</f>
        <v>183</v>
      </c>
      <c r="E38">
        <f>+C35-E37</f>
        <v>17782</v>
      </c>
    </row>
    <row r="41" spans="2:5" x14ac:dyDescent="0.3">
      <c r="B41" s="597" t="s">
        <v>882</v>
      </c>
      <c r="C41">
        <v>3500</v>
      </c>
    </row>
    <row r="43" spans="2:5" x14ac:dyDescent="0.3">
      <c r="B43" s="606">
        <v>45658</v>
      </c>
      <c r="C43" s="606">
        <v>45747</v>
      </c>
      <c r="D43">
        <f>31+28+31</f>
        <v>90</v>
      </c>
      <c r="E43">
        <f>ROUND((C41/365)*D43,0)</f>
        <v>863</v>
      </c>
    </row>
    <row r="44" spans="2:5" x14ac:dyDescent="0.3">
      <c r="B44" s="606">
        <v>45748</v>
      </c>
      <c r="C44" s="606">
        <v>46022</v>
      </c>
      <c r="D44" s="597">
        <f>365-D43</f>
        <v>275</v>
      </c>
      <c r="E44">
        <f>+C41-E43</f>
        <v>2637</v>
      </c>
    </row>
    <row r="47" spans="2:5" x14ac:dyDescent="0.3">
      <c r="B47" s="597" t="s">
        <v>689</v>
      </c>
      <c r="C47">
        <v>14596</v>
      </c>
    </row>
    <row r="49" spans="2:5" x14ac:dyDescent="0.3">
      <c r="B49" s="606">
        <v>45636</v>
      </c>
      <c r="C49" s="606">
        <v>45747</v>
      </c>
      <c r="D49">
        <f>31+28+31+21</f>
        <v>111</v>
      </c>
      <c r="E49">
        <f>ROUND((C47/365)*D49,0)</f>
        <v>4439</v>
      </c>
    </row>
    <row r="50" spans="2:5" x14ac:dyDescent="0.3">
      <c r="B50" s="606">
        <v>45748</v>
      </c>
      <c r="C50" s="606">
        <v>46000</v>
      </c>
      <c r="D50" s="597">
        <f>365-D49</f>
        <v>254</v>
      </c>
      <c r="E50">
        <f>+C47-E49</f>
        <v>10157</v>
      </c>
    </row>
    <row r="52" spans="2:5" x14ac:dyDescent="0.3">
      <c r="B52" s="597" t="s">
        <v>961</v>
      </c>
      <c r="C52">
        <v>11000</v>
      </c>
    </row>
    <row r="54" spans="2:5" x14ac:dyDescent="0.3">
      <c r="B54" s="606">
        <v>45658</v>
      </c>
      <c r="C54" s="606">
        <v>45747</v>
      </c>
      <c r="D54">
        <f>31+28+31</f>
        <v>90</v>
      </c>
      <c r="E54">
        <f>ROUND((C52/365)*D54,0)</f>
        <v>2712</v>
      </c>
    </row>
    <row r="55" spans="2:5" x14ac:dyDescent="0.3">
      <c r="B55" s="606">
        <v>45748</v>
      </c>
      <c r="C55" s="606">
        <v>46022</v>
      </c>
      <c r="D55" s="597">
        <f>365-D54</f>
        <v>275</v>
      </c>
      <c r="E55">
        <f>+C52-E54</f>
        <v>8288</v>
      </c>
    </row>
  </sheetData>
  <sortState xmlns:xlrd2="http://schemas.microsoft.com/office/spreadsheetml/2017/richdata2" ref="B19:I29">
    <sortCondition ref="B19:B29"/>
  </sortState>
  <pageMargins left="0.70866141732283472" right="0.70866141732283472" top="0.74803149606299213" bottom="0.74803149606299213" header="0.31496062992125984" footer="0.31496062992125984"/>
  <pageSetup paperSize="9" orientation="landscape"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20</vt:i4>
      </vt:variant>
    </vt:vector>
  </HeadingPairs>
  <TitlesOfParts>
    <vt:vector size="38" baseType="lpstr">
      <vt:lpstr>TIT</vt:lpstr>
      <vt:lpstr>First Page</vt:lpstr>
      <vt:lpstr>Ltr to Soct.</vt:lpstr>
      <vt:lpstr>AR</vt:lpstr>
      <vt:lpstr>F-1</vt:lpstr>
      <vt:lpstr>F-28</vt:lpstr>
      <vt:lpstr>SCHAR (2)</vt:lpstr>
      <vt:lpstr>GR</vt:lpstr>
      <vt:lpstr>SCH (2)</vt:lpstr>
      <vt:lpstr>I&amp;E</vt:lpstr>
      <vt:lpstr>Bal-Sheet</vt:lpstr>
      <vt:lpstr>FD-2025-2026</vt:lpstr>
      <vt:lpstr>Debtor</vt:lpstr>
      <vt:lpstr>FD-2024-2025</vt:lpstr>
      <vt:lpstr>First Page (2)</vt:lpstr>
      <vt:lpstr>mEETING</vt:lpstr>
      <vt:lpstr>PETTY-CASH</vt:lpstr>
      <vt:lpstr>Sheet1</vt:lpstr>
      <vt:lpstr>AR!Print_Area</vt:lpstr>
      <vt:lpstr>'Bal-Sheet'!Print_Area</vt:lpstr>
      <vt:lpstr>Debtor!Print_Area</vt:lpstr>
      <vt:lpstr>'F-1'!Print_Area</vt:lpstr>
      <vt:lpstr>'FD-2024-2025'!Print_Area</vt:lpstr>
      <vt:lpstr>'FD-2025-2026'!Print_Area</vt:lpstr>
      <vt:lpstr>'First Page'!Print_Area</vt:lpstr>
      <vt:lpstr>'First Page (2)'!Print_Area</vt:lpstr>
      <vt:lpstr>GR!Print_Area</vt:lpstr>
      <vt:lpstr>'I&amp;E'!Print_Area</vt:lpstr>
      <vt:lpstr>'Ltr to Soct.'!Print_Area</vt:lpstr>
      <vt:lpstr>'SCH (2)'!Print_Area</vt:lpstr>
      <vt:lpstr>'SCHAR (2)'!Print_Area</vt:lpstr>
      <vt:lpstr>TIT!Print_Area</vt:lpstr>
      <vt:lpstr>AR!Print_Titles</vt:lpstr>
      <vt:lpstr>'Bal-Sheet'!Print_Titles</vt:lpstr>
      <vt:lpstr>'F-1'!Print_Titles</vt:lpstr>
      <vt:lpstr>'F-28'!Print_Titles</vt:lpstr>
      <vt:lpstr>GR!Print_Titles</vt:lpstr>
      <vt:lpstr>'Ltr to Soct.'!Print_Titles</vt:lpstr>
    </vt:vector>
  </TitlesOfParts>
  <Company>Great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dc:creator>
  <cp:lastModifiedBy>bharat boridkar</cp:lastModifiedBy>
  <cp:lastPrinted>2026-09-24T02:00:17Z</cp:lastPrinted>
  <dcterms:created xsi:type="dcterms:W3CDTF">2001-07-07T16:48:02Z</dcterms:created>
  <dcterms:modified xsi:type="dcterms:W3CDTF">2026-09-24T02:00:27Z</dcterms:modified>
</cp:coreProperties>
</file>