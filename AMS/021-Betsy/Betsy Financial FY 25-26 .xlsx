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BHARAT\2025-2026\BCB\AMS\021-Betsy\"/>
    </mc:Choice>
  </mc:AlternateContent>
  <xr:revisionPtr revIDLastSave="0" documentId="13_ncr:1_{70CABFF8-A7EB-46C8-B0A2-74A4F527E6AC}" xr6:coauthVersionLast="47" xr6:coauthVersionMax="47" xr10:uidLastSave="{00000000-0000-0000-0000-000000000000}"/>
  <bookViews>
    <workbookView xWindow="-96" yWindow="0" windowWidth="11712" windowHeight="12336" tabRatio="836" xr2:uid="{00000000-000D-0000-FFFF-FFFF00000000}"/>
  </bookViews>
  <sheets>
    <sheet name="BS" sheetId="1" r:id="rId1"/>
    <sheet name="IE" sheetId="2" r:id="rId2"/>
    <sheet name="FD-Sch 1" sheetId="3" r:id="rId3"/>
    <sheet name="FA-Sch 2" sheetId="4" r:id="rId4"/>
    <sheet name="Sch 3 to 6" sheetId="5" r:id="rId5"/>
    <sheet name="BRS" sheetId="7" r:id="rId6"/>
    <sheet name="FD Interest" sheetId="11" r:id="rId7"/>
    <sheet name="Workings" sheetId="8" r:id="rId8"/>
  </sheets>
  <definedNames>
    <definedName name="_xlnm._FilterDatabase" localSheetId="6" hidden="1">'FD Interest'!$A$2:$G$77</definedName>
    <definedName name="_xlnm.Print_Area" localSheetId="0">BS!$A$1:$H$68</definedName>
    <definedName name="_xlnm.Print_Area" localSheetId="3">'FA-Sch 2'!$A$1:$H$13</definedName>
    <definedName name="_xlnm.Print_Area" localSheetId="2">'FD-Sch 1'!$A$1:$M$79</definedName>
    <definedName name="_xlnm.Print_Area" localSheetId="1">IE!$A$1:$H$54</definedName>
    <definedName name="_xlnm.Print_Area" localSheetId="4">'Sch 3 to 6'!$A$1:$D$38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4" l="1"/>
  <c r="C55" i="1"/>
  <c r="C37" i="1"/>
  <c r="C33" i="1"/>
  <c r="C29" i="1"/>
  <c r="C25" i="1"/>
  <c r="C21" i="1"/>
  <c r="C17" i="1"/>
  <c r="C35" i="1"/>
  <c r="C32" i="1"/>
  <c r="C27" i="1"/>
  <c r="C23" i="1"/>
  <c r="C14" i="1"/>
  <c r="C19" i="1"/>
  <c r="G16" i="1"/>
  <c r="H79" i="3"/>
  <c r="F79" i="3"/>
  <c r="G79" i="3"/>
  <c r="E79" i="3"/>
  <c r="G10" i="1"/>
  <c r="G9" i="1"/>
  <c r="G8" i="1"/>
  <c r="C39" i="2"/>
  <c r="C22" i="2"/>
  <c r="H33" i="2"/>
  <c r="G16" i="2"/>
  <c r="G12" i="2"/>
  <c r="I76" i="3"/>
  <c r="I75" i="3"/>
  <c r="I74" i="3"/>
  <c r="E77" i="3"/>
  <c r="F77" i="3"/>
  <c r="G77" i="3"/>
  <c r="H77" i="3"/>
  <c r="I77" i="3"/>
  <c r="D77" i="3"/>
  <c r="K71" i="3"/>
  <c r="I66" i="3"/>
  <c r="I71" i="3"/>
  <c r="I67" i="3"/>
  <c r="I68" i="3"/>
  <c r="I69" i="3"/>
  <c r="I70" i="3"/>
  <c r="D71" i="3"/>
  <c r="K63" i="3"/>
  <c r="I61" i="3"/>
  <c r="I62" i="3"/>
  <c r="I63" i="3" s="1"/>
  <c r="I60" i="3"/>
  <c r="E63" i="3"/>
  <c r="F63" i="3"/>
  <c r="G63" i="3"/>
  <c r="H63" i="3"/>
  <c r="D63" i="3"/>
  <c r="K57" i="3"/>
  <c r="I48" i="3"/>
  <c r="I49" i="3"/>
  <c r="I57" i="3" s="1"/>
  <c r="I50" i="3"/>
  <c r="I51" i="3"/>
  <c r="I52" i="3"/>
  <c r="I53" i="3"/>
  <c r="I54" i="3"/>
  <c r="I55" i="3"/>
  <c r="I56" i="3"/>
  <c r="I47" i="3"/>
  <c r="E57" i="3"/>
  <c r="F57" i="3"/>
  <c r="G57" i="3"/>
  <c r="H57" i="3"/>
  <c r="D57" i="3"/>
  <c r="K44" i="3"/>
  <c r="I39" i="3"/>
  <c r="I40" i="3"/>
  <c r="I44" i="3" s="1"/>
  <c r="I41" i="3"/>
  <c r="I42" i="3"/>
  <c r="I43" i="3"/>
  <c r="I38" i="3"/>
  <c r="E44" i="3"/>
  <c r="F44" i="3"/>
  <c r="G44" i="3"/>
  <c r="H44" i="3"/>
  <c r="D44" i="3"/>
  <c r="I25" i="3"/>
  <c r="I26" i="3"/>
  <c r="I30" i="3" s="1"/>
  <c r="I27" i="3"/>
  <c r="I28" i="3"/>
  <c r="I29" i="3"/>
  <c r="I24" i="3"/>
  <c r="E30" i="3"/>
  <c r="F30" i="3"/>
  <c r="G30" i="3"/>
  <c r="H30" i="3"/>
  <c r="D30" i="3"/>
  <c r="K22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5" i="3"/>
  <c r="E22" i="3"/>
  <c r="F22" i="3"/>
  <c r="G22" i="3"/>
  <c r="H22" i="3"/>
  <c r="I22" i="3"/>
  <c r="D22" i="3"/>
  <c r="D37" i="5"/>
  <c r="G92" i="11"/>
  <c r="C12" i="4" l="1"/>
  <c r="G11" i="4"/>
  <c r="F11" i="4"/>
  <c r="D93" i="11"/>
  <c r="D92" i="11"/>
  <c r="D88" i="11"/>
  <c r="D77" i="11"/>
  <c r="H11" i="4" l="1"/>
  <c r="G29" i="1" s="1"/>
  <c r="H70" i="3"/>
  <c r="H56" i="3"/>
  <c r="H21" i="3"/>
  <c r="H76" i="3"/>
  <c r="H75" i="3"/>
  <c r="H69" i="3"/>
  <c r="H55" i="3"/>
  <c r="H20" i="3"/>
  <c r="H74" i="3"/>
  <c r="H68" i="3"/>
  <c r="H43" i="3"/>
  <c r="H54" i="3"/>
  <c r="H19" i="3"/>
  <c r="H29" i="3"/>
  <c r="H67" i="3"/>
  <c r="H71" i="3" s="1"/>
  <c r="H62" i="3"/>
  <c r="H53" i="3"/>
  <c r="H28" i="3"/>
  <c r="H50" i="3"/>
  <c r="H41" i="3"/>
  <c r="H26" i="3"/>
  <c r="H42" i="3"/>
  <c r="H51" i="3"/>
  <c r="H17" i="3"/>
  <c r="H25" i="3"/>
  <c r="H49" i="3"/>
  <c r="H40" i="3"/>
  <c r="H16" i="3"/>
  <c r="H66" i="3"/>
  <c r="H61" i="3"/>
  <c r="H27" i="3"/>
  <c r="H18" i="3"/>
  <c r="H52" i="3"/>
  <c r="H15" i="3"/>
  <c r="H48" i="3"/>
  <c r="H39" i="3"/>
  <c r="H38" i="3"/>
  <c r="H60" i="3"/>
  <c r="H47" i="3"/>
  <c r="H14" i="3"/>
  <c r="H35" i="3"/>
  <c r="I34" i="3" l="1"/>
  <c r="I33" i="3"/>
  <c r="E45" i="2"/>
  <c r="A45" i="2"/>
  <c r="I46" i="2" s="1"/>
  <c r="H16" i="2" l="1"/>
  <c r="C47" i="1"/>
  <c r="C25" i="7" l="1"/>
  <c r="C18" i="7"/>
  <c r="H21" i="2"/>
  <c r="H45" i="2" s="1"/>
  <c r="G24" i="3"/>
  <c r="K30" i="3"/>
  <c r="K35" i="3"/>
  <c r="G35" i="3"/>
  <c r="F35" i="3"/>
  <c r="E35" i="3"/>
  <c r="E71" i="3"/>
  <c r="K77" i="3"/>
  <c r="G70" i="3"/>
  <c r="G56" i="3"/>
  <c r="G21" i="3"/>
  <c r="G76" i="3"/>
  <c r="G75" i="3"/>
  <c r="G74" i="3"/>
  <c r="G69" i="3"/>
  <c r="G68" i="3"/>
  <c r="G67" i="3"/>
  <c r="G66" i="3"/>
  <c r="G62" i="3"/>
  <c r="G61" i="3"/>
  <c r="G60" i="3"/>
  <c r="G55" i="3"/>
  <c r="G54" i="3"/>
  <c r="G53" i="3"/>
  <c r="G52" i="3"/>
  <c r="G50" i="3"/>
  <c r="G49" i="3"/>
  <c r="G48" i="3"/>
  <c r="G43" i="3"/>
  <c r="G41" i="3"/>
  <c r="G40" i="3"/>
  <c r="G39" i="3"/>
  <c r="G29" i="3"/>
  <c r="G28" i="3"/>
  <c r="G27" i="3"/>
  <c r="G25" i="3"/>
  <c r="G20" i="3"/>
  <c r="G19" i="3"/>
  <c r="G16" i="3"/>
  <c r="I35" i="3" l="1"/>
  <c r="K79" i="3"/>
  <c r="G71" i="3"/>
  <c r="G10" i="4" l="1"/>
  <c r="G9" i="4"/>
  <c r="F10" i="4"/>
  <c r="F9" i="4"/>
  <c r="D12" i="4"/>
  <c r="H9" i="4" l="1"/>
  <c r="G27" i="1" s="1"/>
  <c r="H10" i="4"/>
  <c r="G26" i="1" s="1"/>
  <c r="C8" i="8"/>
  <c r="F24" i="3" l="1"/>
  <c r="F75" i="3" l="1"/>
  <c r="F74" i="3"/>
  <c r="F69" i="3"/>
  <c r="F55" i="3"/>
  <c r="F20" i="3"/>
  <c r="F66" i="3"/>
  <c r="F61" i="3"/>
  <c r="F27" i="3"/>
  <c r="F52" i="3"/>
  <c r="F71" i="3" l="1"/>
  <c r="F39" i="3"/>
  <c r="D28" i="5" l="1"/>
  <c r="D6" i="5"/>
  <c r="D35" i="3"/>
  <c r="D79" i="3" s="1"/>
  <c r="C45" i="1" l="1"/>
  <c r="G5" i="4" l="1"/>
  <c r="F5" i="4"/>
  <c r="C12" i="8"/>
  <c r="H5" i="2"/>
  <c r="E5" i="2"/>
  <c r="H5" i="1"/>
  <c r="E5" i="1"/>
  <c r="I79" i="3" l="1"/>
  <c r="C11" i="7" l="1"/>
  <c r="F4" i="4"/>
  <c r="A59" i="1"/>
  <c r="C41" i="1"/>
  <c r="D14" i="5"/>
  <c r="C40" i="1" s="1"/>
  <c r="G32" i="1"/>
  <c r="H34" i="1" s="1"/>
  <c r="D40" i="2"/>
  <c r="D52" i="1"/>
  <c r="D31" i="2"/>
  <c r="A1" i="2"/>
  <c r="G8" i="4"/>
  <c r="G7" i="4"/>
  <c r="G6" i="4"/>
  <c r="G4" i="4"/>
  <c r="D12" i="8"/>
  <c r="D11" i="8"/>
  <c r="D8" i="8"/>
  <c r="D7" i="8"/>
  <c r="G12" i="4" l="1"/>
  <c r="C17" i="2" s="1"/>
  <c r="D19" i="2" s="1"/>
  <c r="D43" i="2" s="1"/>
  <c r="C16" i="1" s="1"/>
  <c r="I45" i="2"/>
  <c r="E12" i="8"/>
  <c r="G39" i="1" s="1"/>
  <c r="E8" i="8"/>
  <c r="D48" i="1"/>
  <c r="F8" i="4"/>
  <c r="H8" i="4" s="1"/>
  <c r="G28" i="1" s="1"/>
  <c r="F7" i="4"/>
  <c r="H7" i="4" s="1"/>
  <c r="G25" i="1" s="1"/>
  <c r="F6" i="4"/>
  <c r="H6" i="4" s="1"/>
  <c r="G24" i="1" s="1"/>
  <c r="H5" i="4"/>
  <c r="G23" i="1" s="1"/>
  <c r="A1" i="3"/>
  <c r="H10" i="1"/>
  <c r="D37" i="1"/>
  <c r="D33" i="1"/>
  <c r="D30" i="1"/>
  <c r="D25" i="1"/>
  <c r="D21" i="1"/>
  <c r="E59" i="1"/>
  <c r="I59" i="1" s="1"/>
  <c r="B4" i="8"/>
  <c r="D4" i="8" s="1"/>
  <c r="D3" i="8"/>
  <c r="F12" i="4" l="1"/>
  <c r="I60" i="1"/>
  <c r="E4" i="8"/>
  <c r="H39" i="1"/>
  <c r="D44" i="2"/>
  <c r="H4" i="4"/>
  <c r="H12" i="4" s="1"/>
  <c r="G15" i="1"/>
  <c r="D45" i="2" l="1"/>
  <c r="C58" i="1"/>
  <c r="D58" i="1" s="1"/>
  <c r="G22" i="1"/>
  <c r="H29" i="1" s="1"/>
  <c r="B42" i="2"/>
  <c r="J45" i="2" l="1"/>
  <c r="J50" i="2"/>
  <c r="D17" i="1"/>
  <c r="H16" i="1"/>
  <c r="H59" i="1" s="1"/>
  <c r="D59" i="1" l="1"/>
  <c r="J59" i="1" l="1"/>
  <c r="J64" i="1"/>
</calcChain>
</file>

<file path=xl/sharedStrings.xml><?xml version="1.0" encoding="utf-8"?>
<sst xmlns="http://schemas.openxmlformats.org/spreadsheetml/2006/main" count="729" uniqueCount="496">
  <si>
    <t>LIABILITIES</t>
  </si>
  <si>
    <t>ASSETS</t>
  </si>
  <si>
    <t>Note: Workings Page is not the be printed</t>
  </si>
  <si>
    <t>Cash and Bank Balances:</t>
  </si>
  <si>
    <t>Sinking Fund</t>
  </si>
  <si>
    <t>Certificate No.</t>
  </si>
  <si>
    <t>Bank</t>
  </si>
  <si>
    <t>Reserve Fund</t>
  </si>
  <si>
    <t>Maturity Date</t>
  </si>
  <si>
    <t>Authorised Share Capital</t>
  </si>
  <si>
    <t>Maturity Value</t>
  </si>
  <si>
    <t>Date</t>
  </si>
  <si>
    <t>Amount Invested</t>
  </si>
  <si>
    <t>Total</t>
  </si>
  <si>
    <t>Interest %</t>
  </si>
  <si>
    <t>Repair Fund</t>
  </si>
  <si>
    <t>Share Capital</t>
  </si>
  <si>
    <t>GRAND TOTALS</t>
  </si>
  <si>
    <t>Cash in Hand</t>
  </si>
  <si>
    <t>Water Charges Payable</t>
  </si>
  <si>
    <t>Audit Fees Payable</t>
  </si>
  <si>
    <t>Income and Expenditure Account:</t>
  </si>
  <si>
    <t>As per my report of even date</t>
  </si>
  <si>
    <t>Flat</t>
  </si>
  <si>
    <t>Amount</t>
  </si>
  <si>
    <t>EXPENDITURE</t>
  </si>
  <si>
    <t>INCOME</t>
  </si>
  <si>
    <t>Property Tax</t>
  </si>
  <si>
    <t>Water Expenses</t>
  </si>
  <si>
    <t>Service Charges</t>
  </si>
  <si>
    <t>Audit Fees</t>
  </si>
  <si>
    <t>Accounting Charges</t>
  </si>
  <si>
    <t>Depreciation</t>
  </si>
  <si>
    <t>Professional Fees</t>
  </si>
  <si>
    <t>Bank Charges</t>
  </si>
  <si>
    <t>Subscription Federation</t>
  </si>
  <si>
    <t>Meeting Expenses</t>
  </si>
  <si>
    <t>Water Charges</t>
  </si>
  <si>
    <t>Parking Charges</t>
  </si>
  <si>
    <t>Interest Income</t>
  </si>
  <si>
    <t>4000 shares of Rs. 50/- each</t>
  </si>
  <si>
    <t>Issued, Subscribed and Paid Up</t>
  </si>
  <si>
    <t>220 Shares of Rs. 50/- each</t>
  </si>
  <si>
    <t>Reserve fund</t>
  </si>
  <si>
    <t>As per last Balance Sheet</t>
  </si>
  <si>
    <t>Add: 1/4 th Surplus Transferred</t>
  </si>
  <si>
    <t>Add: Accrued / Interest Earned</t>
  </si>
  <si>
    <t>Add: Addition during the year</t>
  </si>
  <si>
    <t>Bldg Development Fund</t>
  </si>
  <si>
    <t>Less: Major Repair Expenses</t>
  </si>
  <si>
    <t>Parking Deposit</t>
  </si>
  <si>
    <t>Education &amp; Training Fund</t>
  </si>
  <si>
    <t>Reserve &amp; Surplus:</t>
  </si>
  <si>
    <t>BETSY CO-OPERATIVE HOUSING SOCIETY LTD</t>
  </si>
  <si>
    <t>68, Marve Road, Orlem, Malad (West), Mumbai, Maharshtra-400064</t>
  </si>
  <si>
    <t>Society Reg No : MUM/WP/HSG/TC/10340 dt. 28.04.99</t>
  </si>
  <si>
    <t>Current Liabilities &amp; Provisions</t>
  </si>
  <si>
    <t>Member's Contribution Towards</t>
  </si>
  <si>
    <t>Deposits</t>
  </si>
  <si>
    <t>Land and Building</t>
  </si>
  <si>
    <t>As per last balance sheet</t>
  </si>
  <si>
    <t>Add: Excess of Income over Expenditure</t>
  </si>
  <si>
    <t>The Saraswat Co-op Bank</t>
  </si>
  <si>
    <t>MDCC Bank</t>
  </si>
  <si>
    <t>Citizen Credit Co-op Bank</t>
  </si>
  <si>
    <t>Investments:</t>
  </si>
  <si>
    <t>1 share of MDHF</t>
  </si>
  <si>
    <t>10 share of MDCC Bank</t>
  </si>
  <si>
    <t>Accrued Interest on Investment</t>
  </si>
  <si>
    <t>Fixed Deposits (As per Schedule 1)</t>
  </si>
  <si>
    <t>CCB</t>
  </si>
  <si>
    <t>SCB</t>
  </si>
  <si>
    <t>26.09.2022</t>
  </si>
  <si>
    <t>03.02.2024</t>
  </si>
  <si>
    <t>608344- R01</t>
  </si>
  <si>
    <t>Painting &amp; Development Fund</t>
  </si>
  <si>
    <t>23.08.2023</t>
  </si>
  <si>
    <t>Building Repair Fund</t>
  </si>
  <si>
    <t>Refundable Deposit</t>
  </si>
  <si>
    <t>BETSY CO-OPERATIVE HOUSING SOCIETY LIMITED</t>
  </si>
  <si>
    <t>Particulars</t>
  </si>
  <si>
    <t>Rate          %</t>
  </si>
  <si>
    <t>Depreciation for the year</t>
  </si>
  <si>
    <t>Land and Building at cost</t>
  </si>
  <si>
    <t>Furniture &amp; Fixtures</t>
  </si>
  <si>
    <t>Water Pump Account</t>
  </si>
  <si>
    <t>Borewell Account</t>
  </si>
  <si>
    <t>CCTV</t>
  </si>
  <si>
    <t>Deposits:</t>
  </si>
  <si>
    <t>Security Deposit (Tata Power)</t>
  </si>
  <si>
    <t>Furniture and Fixture</t>
  </si>
  <si>
    <t>Water Pump</t>
  </si>
  <si>
    <t>Borewell</t>
  </si>
  <si>
    <t>Sundry Debtors:</t>
  </si>
  <si>
    <t>Other Current Assets:</t>
  </si>
  <si>
    <t>TDS Receivable</t>
  </si>
  <si>
    <t>Prepaid Lift AMC</t>
  </si>
  <si>
    <t>Prepaid Pest Control</t>
  </si>
  <si>
    <t>Lift AMC</t>
  </si>
  <si>
    <t>Prepaid</t>
  </si>
  <si>
    <t>Pest Control</t>
  </si>
  <si>
    <t>Members ContributionTowards</t>
  </si>
  <si>
    <t>Maintenance Charges</t>
  </si>
  <si>
    <t>Electricity Charges</t>
  </si>
  <si>
    <t>Lift Maintenance Charges</t>
  </si>
  <si>
    <t>Non Occupancy Charges</t>
  </si>
  <si>
    <t>Garage Tax</t>
  </si>
  <si>
    <t>Cheque Bounce charges</t>
  </si>
  <si>
    <t>Municipal Tax</t>
  </si>
  <si>
    <t>Security Expenses</t>
  </si>
  <si>
    <t>CCTV AMC</t>
  </si>
  <si>
    <t>Interest Income - Savings Account</t>
  </si>
  <si>
    <t xml:space="preserve">Interest Income - Fixed Deposit </t>
  </si>
  <si>
    <t>Pest Control Charges</t>
  </si>
  <si>
    <t>Less: Trfd to Liabilities</t>
  </si>
  <si>
    <t>Building Development Fund</t>
  </si>
  <si>
    <t>Office Expenses</t>
  </si>
  <si>
    <t>Salary /Bonus Expenses</t>
  </si>
  <si>
    <t>Printing  and  Stationary</t>
  </si>
  <si>
    <t>Income Tax Expenses</t>
  </si>
  <si>
    <t>Dividend</t>
  </si>
  <si>
    <t>Conveyance Expenses</t>
  </si>
  <si>
    <t>Miscellaneous Expenses</t>
  </si>
  <si>
    <t>Repair &amp; Maintenance</t>
  </si>
  <si>
    <t>Lift AMC Expenses</t>
  </si>
  <si>
    <t>Lift Repair &amp; Maintenance</t>
  </si>
  <si>
    <t>Repair Maintenance - Electrical</t>
  </si>
  <si>
    <t>Repair Maintenance - Other</t>
  </si>
  <si>
    <t>25% of Surplus Transferred to Reserve</t>
  </si>
  <si>
    <t>Surplus (Deficit) for the year</t>
  </si>
  <si>
    <t>Interest on Delayed Payments</t>
  </si>
  <si>
    <t>Sr.</t>
  </si>
  <si>
    <t>Name</t>
  </si>
  <si>
    <t>Mr. Christopher D'Silva</t>
  </si>
  <si>
    <t>Dues from Members (As per Schedule 3)</t>
  </si>
  <si>
    <t>0B1</t>
  </si>
  <si>
    <t>Mrs. Veena Gotecha</t>
  </si>
  <si>
    <t>Mr. Llewellyn F. D'souza</t>
  </si>
  <si>
    <t>Mr. Savio Joseph Lawrence Lobo</t>
  </si>
  <si>
    <t>Mr. Wilbur Agnel D'Souza</t>
  </si>
  <si>
    <t>Advance from Member (As per schedule 4)</t>
  </si>
  <si>
    <t xml:space="preserve">Mr. Anselm A. Desa </t>
  </si>
  <si>
    <t>Mrs. Christine Albuquerque</t>
  </si>
  <si>
    <t>Mr. Bosco Joseph Britto</t>
  </si>
  <si>
    <t>Mrs. Maria Dias</t>
  </si>
  <si>
    <t>Mr. Fritz A. Fernandes</t>
  </si>
  <si>
    <t>Refundable Deposit (As per schedule 5)</t>
  </si>
  <si>
    <t>Balance as per System (Book Balance)</t>
  </si>
  <si>
    <t>Add:</t>
  </si>
  <si>
    <t>Cheques Issued but not Presented</t>
  </si>
  <si>
    <t>As per schedule attached</t>
  </si>
  <si>
    <t>Less:</t>
  </si>
  <si>
    <t>Cheques Deposited but not Cleared</t>
  </si>
  <si>
    <t>Balance as per Bank Passbook</t>
  </si>
  <si>
    <t>Posted Date</t>
  </si>
  <si>
    <t>Interest Receivable on Security Deposit from Tata Power</t>
  </si>
  <si>
    <t>01.02.2025</t>
  </si>
  <si>
    <t>19.03.2025</t>
  </si>
  <si>
    <t>Accrued Int. 22-23</t>
  </si>
  <si>
    <t>608343 - R02</t>
  </si>
  <si>
    <t>Festival Expense</t>
  </si>
  <si>
    <t>CCTV AMC Payable</t>
  </si>
  <si>
    <t>14.02.2026</t>
  </si>
  <si>
    <t>27.03.2026</t>
  </si>
  <si>
    <t>24.09.2024</t>
  </si>
  <si>
    <t>26.09.2027</t>
  </si>
  <si>
    <t>10.03.2025</t>
  </si>
  <si>
    <t>TD0000406344_1</t>
  </si>
  <si>
    <t>TD0000414146_1</t>
  </si>
  <si>
    <t>TD0000414148_1</t>
  </si>
  <si>
    <t>TD0000414149_1</t>
  </si>
  <si>
    <t>TD0000414150</t>
  </si>
  <si>
    <t>TD1001128233</t>
  </si>
  <si>
    <t>20.03.2024</t>
  </si>
  <si>
    <t>TD1001128295</t>
  </si>
  <si>
    <t>TD1001128298</t>
  </si>
  <si>
    <t>General Fund</t>
  </si>
  <si>
    <t>28.08.2023</t>
  </si>
  <si>
    <t>TD1000909156</t>
  </si>
  <si>
    <t>TD1001128304</t>
  </si>
  <si>
    <t>Accrued Int. 23-24</t>
  </si>
  <si>
    <t>CCTV Repair &amp; Maintenance</t>
  </si>
  <si>
    <t>LED Monitor</t>
  </si>
  <si>
    <t>Fan</t>
  </si>
  <si>
    <t>Income Tax Payable</t>
  </si>
  <si>
    <t>20.03.2027</t>
  </si>
  <si>
    <t>03.02.2027</t>
  </si>
  <si>
    <t>23.08.2026</t>
  </si>
  <si>
    <t>27.03.2025</t>
  </si>
  <si>
    <t>07.09.2025</t>
  </si>
  <si>
    <t>30.08.2026</t>
  </si>
  <si>
    <t>Fixed Assets: (As per Schedule 2)</t>
  </si>
  <si>
    <t>provision</t>
  </si>
  <si>
    <t>Accrued Int. 24-25</t>
  </si>
  <si>
    <t>19.03.2026</t>
  </si>
  <si>
    <t>21.03.2026</t>
  </si>
  <si>
    <t>04.08.2025</t>
  </si>
  <si>
    <t>06.05.2025</t>
  </si>
  <si>
    <t>28.05.2025</t>
  </si>
  <si>
    <t>18.05.2025</t>
  </si>
  <si>
    <t>548311-R39</t>
  </si>
  <si>
    <t>28.01.2025</t>
  </si>
  <si>
    <t>587906-R38</t>
  </si>
  <si>
    <t>18.01.2025</t>
  </si>
  <si>
    <t>29.06.2025</t>
  </si>
  <si>
    <t>TD0000414152_02</t>
  </si>
  <si>
    <t>01.02.2026</t>
  </si>
  <si>
    <t>TD1000697044-1</t>
  </si>
  <si>
    <t>10.03.2026</t>
  </si>
  <si>
    <t>TD0000414167_02</t>
  </si>
  <si>
    <t>TD1000277843-1</t>
  </si>
  <si>
    <t>TD1000697037-1</t>
  </si>
  <si>
    <t>TD0000414165_02</t>
  </si>
  <si>
    <t>TD0000414172_02</t>
  </si>
  <si>
    <t>TD1000697085-1</t>
  </si>
  <si>
    <t>TD0000406345-1</t>
  </si>
  <si>
    <t>24.09.2025</t>
  </si>
  <si>
    <t>TD0000414166_2</t>
  </si>
  <si>
    <t>TD0000414173_2</t>
  </si>
  <si>
    <t>TD1000277852-1</t>
  </si>
  <si>
    <t>TD1000697074-1</t>
  </si>
  <si>
    <t>TD0000406342-1</t>
  </si>
  <si>
    <t>TD1000277956-1</t>
  </si>
  <si>
    <t>TD1000277965-1</t>
  </si>
  <si>
    <t>TD1000697094-1</t>
  </si>
  <si>
    <t>TD1001580367</t>
  </si>
  <si>
    <t>TD1001580377</t>
  </si>
  <si>
    <t>TD1001580383</t>
  </si>
  <si>
    <t>TD1001580386</t>
  </si>
  <si>
    <t>TD1000277973-1</t>
  </si>
  <si>
    <t>March 31, 2025</t>
  </si>
  <si>
    <t>Interest Income from IT Refund</t>
  </si>
  <si>
    <t>Other Member Income</t>
  </si>
  <si>
    <t>Shifting Charges</t>
  </si>
  <si>
    <t>Penalty</t>
  </si>
  <si>
    <t xml:space="preserve"> Mrs. Sybil D'Souza</t>
  </si>
  <si>
    <t>Mr. Iqbal Dadial</t>
  </si>
  <si>
    <t>Bldg Repair Fund</t>
  </si>
  <si>
    <t>Water Tank Cleaning</t>
  </si>
  <si>
    <t>Major Repair Expenses</t>
  </si>
  <si>
    <t>Vendor</t>
  </si>
  <si>
    <t>Sr. No.</t>
  </si>
  <si>
    <t>Add: Provision of PY written back</t>
  </si>
  <si>
    <t>Payables  - Sch 6</t>
  </si>
  <si>
    <t>Journal No.</t>
  </si>
  <si>
    <t>Comments</t>
  </si>
  <si>
    <t>Credit</t>
  </si>
  <si>
    <t>SF</t>
  </si>
  <si>
    <t>SC</t>
  </si>
  <si>
    <t>BRF</t>
  </si>
  <si>
    <t>PDF</t>
  </si>
  <si>
    <t>ETF</t>
  </si>
  <si>
    <t>GF</t>
  </si>
  <si>
    <t>27.07.2026</t>
  </si>
  <si>
    <t>March 31, 2026</t>
  </si>
  <si>
    <t>Balance Sheet as at March 31, 2026</t>
  </si>
  <si>
    <t>Scheduel 1: Details of Fixed Deposits as on 31st March 2026</t>
  </si>
  <si>
    <t>Schedule 2: Fixed Assets Details as at 31st March 2026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</si>
  <si>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</si>
  <si>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</si>
  <si>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</si>
  <si>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</si>
  <si>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</si>
  <si>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Mr. Anselm A. Desa and Mrs. Maureen A. Desa</t>
  </si>
  <si>
    <t>Mr. B. M Ramchandani</t>
  </si>
  <si>
    <t>Sch 3: Member's Due as on 31st March 2026</t>
  </si>
  <si>
    <t>Sch 4: Advance from Members as on 31st March 2026</t>
  </si>
  <si>
    <t>Mr. Iqbal Singh Bahadur Singh Dadial</t>
  </si>
  <si>
    <t>Sch 5: Refundable Deposit as on 31st March 2026</t>
  </si>
  <si>
    <t>Sch 6: Provision/Payable as on 31st March 2026</t>
  </si>
  <si>
    <t>Income and Expenditure for the year ended 31st March 2026</t>
  </si>
  <si>
    <t>Accrued Int. 25-26</t>
  </si>
  <si>
    <t>384066-R15</t>
  </si>
  <si>
    <t>551598-R14</t>
  </si>
  <si>
    <t>476961-R40</t>
  </si>
  <si>
    <t>625431-R40</t>
  </si>
  <si>
    <t>476584-R15</t>
  </si>
  <si>
    <t>003141_3</t>
  </si>
  <si>
    <t>477604-R40</t>
  </si>
  <si>
    <t>TD0000403571_3</t>
  </si>
  <si>
    <t>TD0000403572_3</t>
  </si>
  <si>
    <t>TD0000406343_02</t>
  </si>
  <si>
    <t>TD0000406346_03</t>
  </si>
  <si>
    <t>TD0000414147_03</t>
  </si>
  <si>
    <t>TD0000414168_02</t>
  </si>
  <si>
    <t>TD0000414169_2</t>
  </si>
  <si>
    <t>TD0000414170_02</t>
  </si>
  <si>
    <t>TD0000414171_2</t>
  </si>
  <si>
    <t>JE-2025-0000029</t>
  </si>
  <si>
    <t>17-04-2025</t>
  </si>
  <si>
    <t>Being FD 587906 renewed and remade CCB - SF</t>
  </si>
  <si>
    <t>JE-2025-0000031</t>
  </si>
  <si>
    <t>27-04-2025</t>
  </si>
  <si>
    <t>Being FD 548311 renewed and remade CCB - SF</t>
  </si>
  <si>
    <t>JE-2025-0000023</t>
  </si>
  <si>
    <t>06-05-2025</t>
  </si>
  <si>
    <t>Being FD 003141 renewed and remade CCB - SF</t>
  </si>
  <si>
    <t>JE-2025-0000026</t>
  </si>
  <si>
    <t>18-05-2025</t>
  </si>
  <si>
    <t>Being FD 477604 renewed and remade CCB - SF</t>
  </si>
  <si>
    <t>JE-2025-0000016</t>
  </si>
  <si>
    <t>28-05-2025</t>
  </si>
  <si>
    <t>Being FD 476961 renewed and remade CCB - SF</t>
  </si>
  <si>
    <t>JE-2025-0000028</t>
  </si>
  <si>
    <t>29-06-2025</t>
  </si>
  <si>
    <t>Being FD 625431 renewed and remade CCB - SF</t>
  </si>
  <si>
    <t>JE-2025-0000004</t>
  </si>
  <si>
    <t>30-06-2025</t>
  </si>
  <si>
    <t>Being int on  fixed deposit -Td1000277973 - SCB</t>
  </si>
  <si>
    <t>JE-2025-0000014</t>
  </si>
  <si>
    <t>04-08-2025</t>
  </si>
  <si>
    <t>Being FD 551598 renewed and remade CCB - SF</t>
  </si>
  <si>
    <t>JE-2025-0000042</t>
  </si>
  <si>
    <t>07-09-2025</t>
  </si>
  <si>
    <t>Being FD TD0000406346 renewed and remade SCB - SF</t>
  </si>
  <si>
    <t>JE-2025-0000006</t>
  </si>
  <si>
    <t>30-09-2025</t>
  </si>
  <si>
    <t>Being interest recd on FD   TD1000277973 SC SCB</t>
  </si>
  <si>
    <t>JE-2025-0000008</t>
  </si>
  <si>
    <t>31-12-2025</t>
  </si>
  <si>
    <t>Being interest recd on FD TD1000277973 SC SCB</t>
  </si>
  <si>
    <t>JE-2025-0000054</t>
  </si>
  <si>
    <t>14-02-2026</t>
  </si>
  <si>
    <t>Being FD TD0000414168 renewed and remade SCB - SF</t>
  </si>
  <si>
    <t>JE-2025-0000056</t>
  </si>
  <si>
    <t>Being FD TD0000414169 renewed and remade SCB - BRF</t>
  </si>
  <si>
    <t>JE-2025-0000058</t>
  </si>
  <si>
    <t>Being FD 414170 renewed and remade SCB - PDF</t>
  </si>
  <si>
    <t>JE-2025-0000060</t>
  </si>
  <si>
    <t>Being FD TD0000414171 renewed and remade SCB - RF</t>
  </si>
  <si>
    <t>JE-2025-0000012</t>
  </si>
  <si>
    <t>19-03-2026</t>
  </si>
  <si>
    <t>Being FD 384066 renewed and remade CCB - SF</t>
  </si>
  <si>
    <t>JE-2025-0000019</t>
  </si>
  <si>
    <t>21-03-2026</t>
  </si>
  <si>
    <t>Being FD 476584-R15 renewed and remade CCB - SF</t>
  </si>
  <si>
    <t>JE-2025-0000033</t>
  </si>
  <si>
    <t>27-03-2026</t>
  </si>
  <si>
    <t>Being FD TD0000403571 renewed and remade SCB - SF</t>
  </si>
  <si>
    <t>JE-2025-0000035</t>
  </si>
  <si>
    <t>Being FD TD0000403572 renewed and remade SCB - BRF</t>
  </si>
  <si>
    <t>JE-2025-0000038</t>
  </si>
  <si>
    <t>Being FD TD0000406343 renewed and remade SCB - PDF</t>
  </si>
  <si>
    <t>JE-2025-0000045</t>
  </si>
  <si>
    <t>Being int accu on FD TD0000414147- SF - SCB</t>
  </si>
  <si>
    <t>JE-2025-0000010</t>
  </si>
  <si>
    <t>31-03-2026</t>
  </si>
  <si>
    <t>Being int recd on FD  TD1000277973 - SC SCB</t>
  </si>
  <si>
    <t>JE-2025-0000013</t>
  </si>
  <si>
    <t>Being int accu on FD 384066 - SF - CCB</t>
  </si>
  <si>
    <t>JE-2025-0000015</t>
  </si>
  <si>
    <t>Being int accu on FD 551598 - SF - CCB</t>
  </si>
  <si>
    <t>JE-2025-0000017</t>
  </si>
  <si>
    <t>Being int accu on FD 476961 - SF - CCB</t>
  </si>
  <si>
    <t>JE-2025-0000018</t>
  </si>
  <si>
    <t>Being int accu on FD 625431 - SF - CCB</t>
  </si>
  <si>
    <t>JE-2025-0000020</t>
  </si>
  <si>
    <t>Being int accu on FD 476584-R15 - SF - CCB</t>
  </si>
  <si>
    <t>JE-2025-0000021</t>
  </si>
  <si>
    <t>Being int accu on FD 608343 - RF - CCB</t>
  </si>
  <si>
    <t>JE-2025-0000025</t>
  </si>
  <si>
    <t>Being int accu on FD 003141 - SF - CCB</t>
  </si>
  <si>
    <t>JE-2025-0000027</t>
  </si>
  <si>
    <t>Being int accu on FD  477604 - SF - CCB</t>
  </si>
  <si>
    <t>JE-2025-0000030</t>
  </si>
  <si>
    <t>Being int accu on FD 587906 - SF - CCB</t>
  </si>
  <si>
    <t>JE-2025-0000032</t>
  </si>
  <si>
    <t>Being int accu on FD 548311 - SF - CCB</t>
  </si>
  <si>
    <t>JE-2025-0000034</t>
  </si>
  <si>
    <t>Being int accu on FD  TD0000403571- SF - SCB</t>
  </si>
  <si>
    <t>JE-2025-0000036</t>
  </si>
  <si>
    <t>Being int accu on FD TD0000403572 - BRF - SCB</t>
  </si>
  <si>
    <t>JE-2025-0000037</t>
  </si>
  <si>
    <t>Being int accu on FD 406342- RDF - SCB</t>
  </si>
  <si>
    <t>JE-2025-0000039</t>
  </si>
  <si>
    <t>Being int accu on FD TD0000406343 - PDF - SCB</t>
  </si>
  <si>
    <t>JE-2025-0000040</t>
  </si>
  <si>
    <t>Being int accu on FD TD0000406344 - PDF - SCB</t>
  </si>
  <si>
    <t>JE-2025-0000041</t>
  </si>
  <si>
    <t>Being int accu on FD TD0000406345 - BRF - SCB</t>
  </si>
  <si>
    <t>JE-2025-0000043</t>
  </si>
  <si>
    <t>JE-2025-0000044</t>
  </si>
  <si>
    <t>Being int accu on FD TD0000414146- BRF - SCB</t>
  </si>
  <si>
    <t>JE-2025-0000046</t>
  </si>
  <si>
    <t>JE-2025-0000047</t>
  </si>
  <si>
    <t>Being int accu on FD TD0000414148- RF- SCB</t>
  </si>
  <si>
    <t>JE-2025-0000048</t>
  </si>
  <si>
    <t>Being int accu on FD TD0000414149- RDF - SCB</t>
  </si>
  <si>
    <t>JE-2025-0000049</t>
  </si>
  <si>
    <t>Being int accu on FD 414150- ETF - SCB</t>
  </si>
  <si>
    <t>JE-2025-0000050</t>
  </si>
  <si>
    <t>Being int accu on FD TD0000414152 - SF - SCB</t>
  </si>
  <si>
    <t>JE-2025-0000051</t>
  </si>
  <si>
    <t>Being int accu on FD TD0000414165- PDF - SCB</t>
  </si>
  <si>
    <t>JE-2025-0000052</t>
  </si>
  <si>
    <t>Being int accu on FD TD0000414166 - BRF - SCB</t>
  </si>
  <si>
    <t>JE-2025-0000053</t>
  </si>
  <si>
    <t>Being int accu on FD TD0000414167 - RF - SCB</t>
  </si>
  <si>
    <t>JE-2025-0000055</t>
  </si>
  <si>
    <t>Being int accu on FD TD0000414168 - SF - SCB</t>
  </si>
  <si>
    <t>JE-2025-0000057</t>
  </si>
  <si>
    <t>Being int accu on FD TD0000414169 - BRF - SCB</t>
  </si>
  <si>
    <t>JE-2025-0000059</t>
  </si>
  <si>
    <t>Being int accu on FD TD0000414170 - PDF - SCB</t>
  </si>
  <si>
    <t>JE-2025-0000061</t>
  </si>
  <si>
    <t>Being int accu on FD TD0000414171 - RF - SCB</t>
  </si>
  <si>
    <t>JE-2025-0000062</t>
  </si>
  <si>
    <t>Being int accu on FD 414172- PDF - SCB</t>
  </si>
  <si>
    <t>JE-2025-0000063</t>
  </si>
  <si>
    <t>Being int accu on FD TD0000414173 - BRF - SCB</t>
  </si>
  <si>
    <t>JE-2025-0000064</t>
  </si>
  <si>
    <t>Being int accu on FD 277843- RF - SCB</t>
  </si>
  <si>
    <t>JE-2025-0000065</t>
  </si>
  <si>
    <t>Being int accu on FD TD1000277852 - BRF - SCB</t>
  </si>
  <si>
    <t>JE-2025-0000066</t>
  </si>
  <si>
    <t>JE-2025-0000067</t>
  </si>
  <si>
    <t>Being int accu on FD TD1000277965- ETF - SCB</t>
  </si>
  <si>
    <t>JE-2025-0000068</t>
  </si>
  <si>
    <t>Being int accu on FD TD1000697037 - RF - SCB</t>
  </si>
  <si>
    <t>JE-2025-0000069</t>
  </si>
  <si>
    <t>Being int accu on FD TD1000697044 - SF - SCB</t>
  </si>
  <si>
    <t>JE-2025-0000070</t>
  </si>
  <si>
    <t>Being int accu on FD TD1000697074- BRF - SCB</t>
  </si>
  <si>
    <t>JE-2025-0000071</t>
  </si>
  <si>
    <t>Being int accu on FD TD1000697085- PDF - SCB</t>
  </si>
  <si>
    <t>JE-2025-0000072</t>
  </si>
  <si>
    <t>Being int accu on FD TD1000697094 - ETF - SCB</t>
  </si>
  <si>
    <t>JE-2025-0000073</t>
  </si>
  <si>
    <t>Being int accu on FD TD1000909156 - GF - SCB</t>
  </si>
  <si>
    <t>JE-2025-0000074</t>
  </si>
  <si>
    <t>Being int accu on FD TD1001128233 - SF - SCB</t>
  </si>
  <si>
    <t>JE-2025-0000075</t>
  </si>
  <si>
    <t>Being int accu on FD TD1001128295 - BRF - SCB</t>
  </si>
  <si>
    <t>JE-2025-0000076</t>
  </si>
  <si>
    <t>Being int accu on FD TD1001128298 - ETF - SCB</t>
  </si>
  <si>
    <t>JE-2025-0000077</t>
  </si>
  <si>
    <t>Being int accu on FD TD1001128304 - GF - SCB</t>
  </si>
  <si>
    <t>JE-2025-0000078</t>
  </si>
  <si>
    <t>Being int accu on FD TD1001580367- GF - SCB</t>
  </si>
  <si>
    <t>JE-2025-0000079</t>
  </si>
  <si>
    <t>Being int accu on FD TD1001580377 - SF - SCB</t>
  </si>
  <si>
    <t>JE-2025-0000080</t>
  </si>
  <si>
    <t>Being int accu on FD TD1001580383 - BRF - SCB</t>
  </si>
  <si>
    <t>JE-2025-0000081</t>
  </si>
  <si>
    <t>Being int accu on FD TD1001580386 - ETF - SCB</t>
  </si>
  <si>
    <t>JE-2025-0000088</t>
  </si>
  <si>
    <t>Being int on FD 08344 CCB  SCF</t>
  </si>
  <si>
    <t>JE-2025-0000090</t>
  </si>
  <si>
    <t>Betsy Co-op. Housing Society Ltd - Income - Non Members &gt; Interest Income - Fixed Deposit  ( 306002 ) &lt;br/&gt;Transactions From 1-04-2025 to 31-03-2026</t>
  </si>
  <si>
    <t>Being int accu on FD TD0000406346 - SF - SCB</t>
  </si>
  <si>
    <t>Being int accu on FD TD1000277956 - RDF- SCB</t>
  </si>
  <si>
    <t>RDF</t>
  </si>
  <si>
    <t>REFUNDABLE</t>
  </si>
  <si>
    <t>RF</t>
  </si>
  <si>
    <t>RESERVE FUND</t>
  </si>
  <si>
    <t xml:space="preserve">System </t>
  </si>
  <si>
    <t xml:space="preserve">SCB BANK </t>
  </si>
  <si>
    <t>CCB BANK</t>
  </si>
  <si>
    <t>Diff</t>
  </si>
  <si>
    <t>Saraswat Bank Reconciliation Statement as on 31st March 2026</t>
  </si>
  <si>
    <t>MDCC Bank Reconciliation Statement as on 31st March 2026</t>
  </si>
  <si>
    <t>Citizen Credit Bank Reconciliation Statement as on 31st March 2026</t>
  </si>
  <si>
    <t>Pipeline Replacement</t>
  </si>
  <si>
    <t>Bihar  Security Services - Mar 25</t>
  </si>
  <si>
    <t>Irene Rosario</t>
  </si>
  <si>
    <t>Narendra Jha</t>
  </si>
  <si>
    <t>Sweeper March 26</t>
  </si>
  <si>
    <t>Tata Power March 2026</t>
  </si>
  <si>
    <t>Electricity Renovation charges</t>
  </si>
  <si>
    <t>MDCC ac dormant</t>
  </si>
  <si>
    <t>New Pipeline</t>
  </si>
  <si>
    <t>Shri. Bharat C. Boridkar</t>
  </si>
  <si>
    <t>Govt. Certified Panel Auditor</t>
  </si>
  <si>
    <t>[Panel No.: Mumbai-4/C1/1011404]</t>
  </si>
  <si>
    <t xml:space="preserve"> ( SECRETARY                                CHAIRMAN                              TREASURER )</t>
  </si>
  <si>
    <t>FOR BETSY CO-OPERATIVE HOUSING SOCIETY LTD</t>
  </si>
  <si>
    <t>Total :-</t>
  </si>
  <si>
    <t>Add: Accrued interest on previou  Fd adjusted</t>
  </si>
  <si>
    <t>19.03.2027</t>
  </si>
  <si>
    <t>21.03.2027</t>
  </si>
  <si>
    <t>04.08.2027</t>
  </si>
  <si>
    <t>22.10.2026</t>
  </si>
  <si>
    <t>13.11.2026</t>
  </si>
  <si>
    <t>03.11.2026</t>
  </si>
  <si>
    <t>13.10.2026</t>
  </si>
  <si>
    <t>03.10.2026</t>
  </si>
  <si>
    <t>15.09.2026</t>
  </si>
  <si>
    <t>25.03.2027</t>
  </si>
  <si>
    <t>07.09.2027</t>
  </si>
  <si>
    <t>01.02.2028</t>
  </si>
  <si>
    <t>14.02.2029</t>
  </si>
  <si>
    <t>27.03.2028</t>
  </si>
  <si>
    <t>10.03.2027</t>
  </si>
  <si>
    <t>19.11.2027</t>
  </si>
  <si>
    <t>27.03.2029</t>
  </si>
  <si>
    <t>24.09.2026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</si>
</sst>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&quot;Mumbai: &quot;dd&quot;th&quot;\ mmmm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155">
    <xf numFmtId="0" fontId="0" fillId="0" borderId="0" xfId="0"/>
    <xf numFmtId="0" fontId="2" fillId="0" borderId="0" xfId="0" applyFont="1"/>
    <xf numFmtId="14" fontId="0" fillId="0" borderId="0" xfId="0" applyNumberFormat="1"/>
    <xf numFmtId="165" fontId="0" fillId="0" borderId="0" xfId="1" applyNumberFormat="1" applyFont="1"/>
    <xf numFmtId="43" fontId="0" fillId="0" borderId="11" xfId="1" applyFont="1" applyFill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43" fontId="0" fillId="0" borderId="7" xfId="1" applyFont="1" applyFill="1" applyBorder="1" applyAlignment="1">
      <alignment vertical="center"/>
    </xf>
    <xf numFmtId="43" fontId="2" fillId="0" borderId="11" xfId="1" applyFont="1" applyFill="1" applyBorder="1" applyAlignment="1">
      <alignment vertical="center"/>
    </xf>
    <xf numFmtId="43" fontId="0" fillId="0" borderId="1" xfId="1" applyFont="1" applyFill="1" applyBorder="1"/>
    <xf numFmtId="43" fontId="0" fillId="0" borderId="0" xfId="1" applyFont="1" applyFill="1"/>
    <xf numFmtId="43" fontId="0" fillId="0" borderId="0" xfId="0" applyNumberFormat="1"/>
    <xf numFmtId="43" fontId="3" fillId="0" borderId="6" xfId="1" applyFont="1" applyFill="1" applyBorder="1" applyAlignment="1">
      <alignment vertical="center"/>
    </xf>
    <xf numFmtId="165" fontId="0" fillId="0" borderId="0" xfId="0" applyNumberFormat="1"/>
    <xf numFmtId="0" fontId="2" fillId="0" borderId="5" xfId="1" applyNumberFormat="1" applyFont="1" applyFill="1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43" fontId="1" fillId="0" borderId="5" xfId="1" applyFont="1" applyFill="1" applyBorder="1" applyAlignment="1">
      <alignment vertical="center"/>
    </xf>
    <xf numFmtId="43" fontId="1" fillId="0" borderId="11" xfId="1" applyFont="1" applyFill="1" applyBorder="1" applyAlignment="1">
      <alignment vertical="center"/>
    </xf>
    <xf numFmtId="43" fontId="2" fillId="0" borderId="14" xfId="1" applyFont="1" applyFill="1" applyBorder="1"/>
    <xf numFmtId="0" fontId="0" fillId="2" borderId="0" xfId="0" applyFill="1"/>
    <xf numFmtId="43" fontId="2" fillId="0" borderId="0" xfId="1" applyFont="1" applyFill="1" applyBorder="1"/>
    <xf numFmtId="0" fontId="5" fillId="0" borderId="0" xfId="0" applyFont="1"/>
    <xf numFmtId="2" fontId="0" fillId="0" borderId="0" xfId="0" applyNumberFormat="1"/>
    <xf numFmtId="4" fontId="0" fillId="0" borderId="0" xfId="0" applyNumberFormat="1"/>
    <xf numFmtId="0" fontId="6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5" fontId="0" fillId="0" borderId="15" xfId="1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Fill="1" applyBorder="1" applyAlignment="1">
      <alignment horizontal="right"/>
    </xf>
    <xf numFmtId="2" fontId="0" fillId="0" borderId="1" xfId="0" applyNumberFormat="1" applyBorder="1" applyAlignment="1">
      <alignment horizontal="right"/>
    </xf>
    <xf numFmtId="165" fontId="2" fillId="2" borderId="0" xfId="1" applyNumberFormat="1" applyFont="1" applyFill="1"/>
    <xf numFmtId="165" fontId="0" fillId="2" borderId="0" xfId="1" applyNumberFormat="1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1" xfId="0" quotePrefix="1" applyBorder="1"/>
    <xf numFmtId="43" fontId="4" fillId="0" borderId="1" xfId="1" applyFont="1" applyFill="1" applyBorder="1"/>
    <xf numFmtId="43" fontId="1" fillId="0" borderId="1" xfId="1" applyFont="1" applyFill="1" applyBorder="1"/>
    <xf numFmtId="164" fontId="0" fillId="0" borderId="0" xfId="0" applyNumberFormat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3" fillId="0" borderId="1" xfId="0" applyFont="1" applyBorder="1"/>
    <xf numFmtId="0" fontId="0" fillId="0" borderId="10" xfId="0" applyBorder="1"/>
    <xf numFmtId="0" fontId="2" fillId="0" borderId="14" xfId="0" applyFont="1" applyBorder="1"/>
    <xf numFmtId="166" fontId="0" fillId="0" borderId="0" xfId="0" applyNumberFormat="1"/>
    <xf numFmtId="43" fontId="0" fillId="0" borderId="0" xfId="1" applyFont="1" applyFill="1" applyBorder="1" applyAlignment="1">
      <alignment vertical="center"/>
    </xf>
    <xf numFmtId="43" fontId="0" fillId="0" borderId="0" xfId="1" applyFont="1" applyFill="1" applyAlignment="1">
      <alignment vertical="center"/>
    </xf>
    <xf numFmtId="43" fontId="0" fillId="0" borderId="0" xfId="1" applyFont="1" applyFill="1" applyAlignment="1">
      <alignment horizontal="center" vertical="center"/>
    </xf>
    <xf numFmtId="43" fontId="2" fillId="0" borderId="12" xfId="1" applyFont="1" applyFill="1" applyBorder="1" applyAlignment="1">
      <alignment vertical="center"/>
    </xf>
    <xf numFmtId="0" fontId="1" fillId="0" borderId="5" xfId="1" applyNumberFormat="1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13" xfId="1" applyFont="1" applyFill="1" applyBorder="1" applyAlignment="1">
      <alignment vertical="center"/>
    </xf>
    <xf numFmtId="43" fontId="0" fillId="0" borderId="0" xfId="1" applyFont="1" applyFill="1" applyAlignment="1">
      <alignment horizontal="right" vertical="center"/>
    </xf>
    <xf numFmtId="43" fontId="2" fillId="0" borderId="0" xfId="1" applyFont="1" applyFill="1" applyAlignment="1">
      <alignment vertical="center"/>
    </xf>
    <xf numFmtId="43" fontId="0" fillId="0" borderId="0" xfId="1" applyFont="1" applyFill="1" applyBorder="1"/>
    <xf numFmtId="0" fontId="0" fillId="0" borderId="1" xfId="0" applyBorder="1" applyAlignment="1">
      <alignment horizontal="center" vertical="center"/>
    </xf>
    <xf numFmtId="43" fontId="0" fillId="0" borderId="15" xfId="1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4" xfId="0" applyBorder="1"/>
    <xf numFmtId="43" fontId="7" fillId="0" borderId="5" xfId="0" applyNumberFormat="1" applyFont="1" applyBorder="1" applyAlignment="1">
      <alignment vertical="center"/>
    </xf>
    <xf numFmtId="43" fontId="7" fillId="0" borderId="0" xfId="0" applyNumberFormat="1" applyFont="1" applyAlignment="1">
      <alignment vertical="center"/>
    </xf>
    <xf numFmtId="43" fontId="8" fillId="0" borderId="0" xfId="0" applyNumberFormat="1" applyFont="1" applyAlignment="1">
      <alignment vertical="center"/>
    </xf>
    <xf numFmtId="43" fontId="8" fillId="0" borderId="6" xfId="0" applyNumberFormat="1" applyFont="1" applyBorder="1" applyAlignment="1">
      <alignment vertical="center"/>
    </xf>
    <xf numFmtId="43" fontId="0" fillId="0" borderId="0" xfId="1" applyFont="1" applyAlignment="1">
      <alignment vertical="center"/>
    </xf>
    <xf numFmtId="43" fontId="7" fillId="0" borderId="6" xfId="0" applyNumberFormat="1" applyFont="1" applyBorder="1" applyAlignment="1">
      <alignment vertical="center"/>
    </xf>
    <xf numFmtId="43" fontId="3" fillId="0" borderId="0" xfId="1" applyFont="1" applyFill="1" applyAlignment="1">
      <alignment vertical="center"/>
    </xf>
    <xf numFmtId="43" fontId="8" fillId="0" borderId="5" xfId="0" applyNumberFormat="1" applyFont="1" applyBorder="1" applyAlignment="1">
      <alignment vertical="center"/>
    </xf>
    <xf numFmtId="0" fontId="0" fillId="0" borderId="6" xfId="0" applyBorder="1"/>
    <xf numFmtId="43" fontId="8" fillId="0" borderId="15" xfId="0" applyNumberFormat="1" applyFont="1" applyBorder="1" applyAlignment="1">
      <alignment vertical="center"/>
    </xf>
    <xf numFmtId="43" fontId="7" fillId="0" borderId="15" xfId="0" applyNumberFormat="1" applyFont="1" applyBorder="1" applyAlignment="1">
      <alignment vertical="center"/>
    </xf>
    <xf numFmtId="43" fontId="8" fillId="0" borderId="7" xfId="0" applyNumberFormat="1" applyFont="1" applyBorder="1" applyAlignment="1">
      <alignment vertical="center"/>
    </xf>
    <xf numFmtId="43" fontId="2" fillId="0" borderId="18" xfId="1" applyFont="1" applyFill="1" applyBorder="1" applyAlignment="1">
      <alignment vertical="center"/>
    </xf>
    <xf numFmtId="43" fontId="2" fillId="0" borderId="19" xfId="1" applyFont="1" applyFill="1" applyBorder="1" applyAlignment="1">
      <alignment vertical="center"/>
    </xf>
    <xf numFmtId="43" fontId="2" fillId="0" borderId="20" xfId="1" applyFont="1" applyFill="1" applyBorder="1" applyAlignment="1">
      <alignment vertical="center"/>
    </xf>
    <xf numFmtId="43" fontId="2" fillId="0" borderId="21" xfId="1" applyFont="1" applyFill="1" applyBorder="1" applyAlignment="1">
      <alignment vertical="center"/>
    </xf>
    <xf numFmtId="43" fontId="2" fillId="0" borderId="23" xfId="1" applyFont="1" applyFill="1" applyBorder="1" applyAlignment="1">
      <alignment horizontal="center" vertical="center"/>
    </xf>
    <xf numFmtId="43" fontId="2" fillId="0" borderId="25" xfId="1" applyFont="1" applyFill="1" applyBorder="1" applyAlignment="1">
      <alignment horizontal="center" vertical="center"/>
    </xf>
    <xf numFmtId="43" fontId="2" fillId="0" borderId="26" xfId="1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3" xfId="0" applyBorder="1"/>
    <xf numFmtId="43" fontId="2" fillId="0" borderId="23" xfId="1" applyFont="1" applyFill="1" applyBorder="1"/>
    <xf numFmtId="0" fontId="2" fillId="0" borderId="23" xfId="0" applyFont="1" applyBorder="1" applyAlignment="1">
      <alignment horizontal="center"/>
    </xf>
    <xf numFmtId="0" fontId="0" fillId="0" borderId="28" xfId="0" applyBorder="1" applyAlignment="1">
      <alignment horizontal="center"/>
    </xf>
    <xf numFmtId="43" fontId="2" fillId="0" borderId="29" xfId="1" applyFont="1" applyFill="1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43" fontId="2" fillId="0" borderId="2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3" xfId="0" applyBorder="1" applyAlignment="1">
      <alignment horizontal="center" vertical="center" wrapText="1"/>
    </xf>
    <xf numFmtId="43" fontId="0" fillId="0" borderId="23" xfId="1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43" fontId="0" fillId="0" borderId="32" xfId="1" applyFont="1" applyFill="1" applyBorder="1" applyAlignment="1">
      <alignment vertical="center"/>
    </xf>
    <xf numFmtId="43" fontId="2" fillId="0" borderId="32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65" fontId="0" fillId="0" borderId="0" xfId="1" applyNumberFormat="1" applyFont="1" applyFill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165" fontId="0" fillId="0" borderId="16" xfId="1" applyNumberFormat="1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165" fontId="2" fillId="0" borderId="23" xfId="1" applyNumberFormat="1" applyFont="1" applyFill="1" applyBorder="1" applyAlignment="1">
      <alignment horizontal="center" vertical="center"/>
    </xf>
    <xf numFmtId="165" fontId="2" fillId="0" borderId="13" xfId="1" applyNumberFormat="1" applyFont="1" applyFill="1" applyBorder="1" applyAlignment="1">
      <alignment vertical="center"/>
    </xf>
    <xf numFmtId="43" fontId="9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167" fontId="11" fillId="0" borderId="17" xfId="2" applyNumberFormat="1" applyFont="1" applyBorder="1" applyAlignment="1">
      <alignment horizontal="left" vertical="center"/>
    </xf>
    <xf numFmtId="167" fontId="11" fillId="0" borderId="15" xfId="2" applyNumberFormat="1" applyFont="1" applyBorder="1" applyAlignment="1">
      <alignment horizontal="left" vertical="center"/>
    </xf>
    <xf numFmtId="43" fontId="13" fillId="0" borderId="2" xfId="1" applyFont="1" applyFill="1" applyBorder="1" applyAlignment="1">
      <alignment horizontal="center" vertical="center"/>
    </xf>
    <xf numFmtId="43" fontId="13" fillId="0" borderId="3" xfId="1" applyFont="1" applyFill="1" applyBorder="1" applyAlignment="1">
      <alignment horizontal="center" vertical="center"/>
    </xf>
    <xf numFmtId="43" fontId="13" fillId="0" borderId="4" xfId="1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6" xfId="1" applyFont="1" applyFill="1" applyBorder="1" applyAlignment="1">
      <alignment horizontal="center" vertical="center"/>
    </xf>
    <xf numFmtId="43" fontId="2" fillId="0" borderId="22" xfId="1" applyFont="1" applyFill="1" applyBorder="1" applyAlignment="1">
      <alignment horizontal="center" vertical="center"/>
    </xf>
    <xf numFmtId="43" fontId="2" fillId="0" borderId="18" xfId="1" applyFont="1" applyFill="1" applyBorder="1" applyAlignment="1">
      <alignment horizontal="center" vertical="center"/>
    </xf>
    <xf numFmtId="43" fontId="12" fillId="0" borderId="8" xfId="1" applyFont="1" applyFill="1" applyBorder="1" applyAlignment="1">
      <alignment horizontal="center" vertical="center"/>
    </xf>
    <xf numFmtId="43" fontId="12" fillId="0" borderId="9" xfId="1" applyFont="1" applyFill="1" applyBorder="1" applyAlignment="1">
      <alignment horizontal="center" vertical="center"/>
    </xf>
    <xf numFmtId="43" fontId="12" fillId="0" borderId="10" xfId="1" applyFont="1" applyFill="1" applyBorder="1" applyAlignment="1">
      <alignment horizontal="center" vertical="center"/>
    </xf>
    <xf numFmtId="43" fontId="2" fillId="0" borderId="27" xfId="1" applyFont="1" applyFill="1" applyBorder="1" applyAlignment="1">
      <alignment horizontal="center" vertical="center"/>
    </xf>
    <xf numFmtId="43" fontId="2" fillId="0" borderId="25" xfId="1" applyFont="1" applyFill="1" applyBorder="1" applyAlignment="1">
      <alignment horizontal="center" vertical="center"/>
    </xf>
    <xf numFmtId="43" fontId="2" fillId="0" borderId="24" xfId="1" applyFont="1" applyFill="1" applyBorder="1" applyAlignment="1">
      <alignment horizontal="center" vertical="center"/>
    </xf>
    <xf numFmtId="43" fontId="0" fillId="0" borderId="7" xfId="1" applyFont="1" applyFill="1" applyBorder="1" applyAlignment="1">
      <alignment horizontal="center" vertical="center"/>
    </xf>
    <xf numFmtId="43" fontId="1" fillId="0" borderId="5" xfId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9" xfId="0" applyFont="1" applyBorder="1"/>
    <xf numFmtId="43" fontId="13" fillId="0" borderId="2" xfId="0" applyNumberFormat="1" applyFont="1" applyBorder="1" applyAlignment="1">
      <alignment horizontal="center"/>
    </xf>
    <xf numFmtId="43" fontId="13" fillId="0" borderId="3" xfId="0" applyNumberFormat="1" applyFont="1" applyBorder="1" applyAlignment="1">
      <alignment horizontal="center"/>
    </xf>
    <xf numFmtId="43" fontId="13" fillId="0" borderId="4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2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Normal_BSPL 2004 NS" xfId="2" xr:uid="{D69539C2-6C81-4415-AA30-523C0BEAC600}"/>
  </cellStyles>
  <dxfs count="1"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view="pageBreakPreview" topLeftCell="E42" zoomScaleNormal="100" zoomScaleSheetLayoutView="100" workbookViewId="0">
      <selection activeCell="I56" sqref="I56"/>
    </sheetView>
  </sheetViews>
  <sheetFormatPr defaultColWidth="8.88671875" defaultRowHeight="14.4" x14ac:dyDescent="0.3"/>
  <cols>
    <col min="1" max="1" width="14.44140625" style="53" customWidth="1"/>
    <col min="2" max="2" width="44" style="53" bestFit="1" customWidth="1"/>
    <col min="3" max="3" width="12.6640625" style="53" bestFit="1" customWidth="1"/>
    <col min="4" max="4" width="14.88671875" style="60" bestFit="1" customWidth="1"/>
    <col min="5" max="5" width="14.88671875" style="53" bestFit="1" customWidth="1"/>
    <col min="6" max="6" width="38.6640625" style="53" bestFit="1" customWidth="1"/>
    <col min="7" max="7" width="12.6640625" style="53" bestFit="1" customWidth="1"/>
    <col min="8" max="8" width="14.88671875" style="60" bestFit="1" customWidth="1"/>
    <col min="9" max="9" width="11.33203125" style="53" bestFit="1" customWidth="1"/>
    <col min="10" max="10" width="17.21875" style="53" bestFit="1" customWidth="1"/>
    <col min="11" max="11" width="12.33203125" style="53" bestFit="1" customWidth="1"/>
    <col min="12" max="12" width="9.5546875" style="53" bestFit="1" customWidth="1"/>
    <col min="13" max="16384" width="8.88671875" style="53"/>
  </cols>
  <sheetData>
    <row r="1" spans="1:10" ht="18" x14ac:dyDescent="0.3">
      <c r="A1" s="119" t="s">
        <v>53</v>
      </c>
      <c r="B1" s="120"/>
      <c r="C1" s="120"/>
      <c r="D1" s="120"/>
      <c r="E1" s="120"/>
      <c r="F1" s="120"/>
      <c r="G1" s="120"/>
      <c r="H1" s="121"/>
    </row>
    <row r="2" spans="1:10" x14ac:dyDescent="0.3">
      <c r="A2" s="122" t="s">
        <v>54</v>
      </c>
      <c r="B2" s="123"/>
      <c r="C2" s="123"/>
      <c r="D2" s="123"/>
      <c r="E2" s="123"/>
      <c r="F2" s="123"/>
      <c r="G2" s="123"/>
      <c r="H2" s="124"/>
    </row>
    <row r="3" spans="1:10" x14ac:dyDescent="0.3">
      <c r="A3" s="122" t="s">
        <v>55</v>
      </c>
      <c r="B3" s="125"/>
      <c r="C3" s="125"/>
      <c r="D3" s="125"/>
      <c r="E3" s="125"/>
      <c r="F3" s="125"/>
      <c r="G3" s="125"/>
      <c r="H3" s="126"/>
    </row>
    <row r="4" spans="1:10" ht="15.6" x14ac:dyDescent="0.3">
      <c r="A4" s="129" t="s">
        <v>255</v>
      </c>
      <c r="B4" s="130"/>
      <c r="C4" s="130"/>
      <c r="D4" s="130"/>
      <c r="E4" s="130"/>
      <c r="F4" s="130"/>
      <c r="G4" s="130"/>
      <c r="H4" s="131"/>
    </row>
    <row r="5" spans="1:10" s="54" customFormat="1" ht="15" thickBot="1" x14ac:dyDescent="0.35">
      <c r="A5" s="83" t="s">
        <v>230</v>
      </c>
      <c r="B5" s="134" t="s">
        <v>0</v>
      </c>
      <c r="C5" s="133"/>
      <c r="D5" s="85" t="s">
        <v>254</v>
      </c>
      <c r="E5" s="84" t="str">
        <f>A5</f>
        <v>March 31, 2025</v>
      </c>
      <c r="F5" s="134" t="s">
        <v>1</v>
      </c>
      <c r="G5" s="133"/>
      <c r="H5" s="83" t="str">
        <f>D5</f>
        <v>March 31, 2026</v>
      </c>
    </row>
    <row r="6" spans="1:10" x14ac:dyDescent="0.3">
      <c r="A6" s="4"/>
      <c r="B6" s="13" t="s">
        <v>9</v>
      </c>
      <c r="C6" s="5"/>
      <c r="D6" s="80"/>
      <c r="E6" s="5"/>
      <c r="F6" s="13" t="s">
        <v>3</v>
      </c>
      <c r="G6" s="5"/>
      <c r="H6" s="7"/>
    </row>
    <row r="7" spans="1:10" ht="15" thickBot="1" x14ac:dyDescent="0.35">
      <c r="A7" s="55">
        <v>200000</v>
      </c>
      <c r="B7" s="16" t="s">
        <v>40</v>
      </c>
      <c r="C7" s="5"/>
      <c r="D7" s="81">
        <v>200000</v>
      </c>
      <c r="E7" s="5">
        <v>2030</v>
      </c>
      <c r="F7" s="16" t="s">
        <v>18</v>
      </c>
      <c r="G7" s="5">
        <v>351</v>
      </c>
      <c r="H7" s="7"/>
    </row>
    <row r="8" spans="1:10" ht="15" thickTop="1" x14ac:dyDescent="0.3">
      <c r="A8" s="4"/>
      <c r="B8" s="16"/>
      <c r="C8" s="5"/>
      <c r="D8" s="80"/>
      <c r="E8" s="5">
        <v>700534.86</v>
      </c>
      <c r="F8" s="16" t="s">
        <v>62</v>
      </c>
      <c r="G8" s="5">
        <f>BRS!C4</f>
        <v>599390.71</v>
      </c>
      <c r="H8" s="7"/>
    </row>
    <row r="9" spans="1:10" x14ac:dyDescent="0.3">
      <c r="A9" s="4"/>
      <c r="B9" s="13" t="s">
        <v>41</v>
      </c>
      <c r="C9" s="5"/>
      <c r="D9" s="80"/>
      <c r="E9" s="5">
        <v>16235</v>
      </c>
      <c r="F9" s="16" t="s">
        <v>63</v>
      </c>
      <c r="G9" s="5">
        <f>BRS!C16</f>
        <v>16235</v>
      </c>
      <c r="H9" s="7"/>
      <c r="J9" s="53" t="s">
        <v>469</v>
      </c>
    </row>
    <row r="10" spans="1:10" x14ac:dyDescent="0.3">
      <c r="A10" s="4">
        <v>11000</v>
      </c>
      <c r="B10" s="16" t="s">
        <v>42</v>
      </c>
      <c r="C10" s="5"/>
      <c r="D10" s="80">
        <v>11000</v>
      </c>
      <c r="E10" s="5">
        <v>23690</v>
      </c>
      <c r="F10" s="16" t="s">
        <v>64</v>
      </c>
      <c r="G10" s="6">
        <f>BRS!C23</f>
        <v>24714</v>
      </c>
      <c r="H10" s="7">
        <f>SUM(G7:G10)</f>
        <v>640690.71</v>
      </c>
    </row>
    <row r="11" spans="1:10" x14ac:dyDescent="0.3">
      <c r="A11" s="4"/>
      <c r="B11" s="16"/>
      <c r="C11" s="5"/>
      <c r="D11" s="80"/>
      <c r="E11" s="5"/>
      <c r="F11" s="16"/>
      <c r="G11" s="5"/>
      <c r="H11" s="7"/>
    </row>
    <row r="12" spans="1:10" x14ac:dyDescent="0.3">
      <c r="A12" s="4"/>
      <c r="B12" s="13" t="s">
        <v>52</v>
      </c>
      <c r="C12" s="5"/>
      <c r="D12" s="80"/>
      <c r="E12" s="5"/>
      <c r="F12" s="13" t="s">
        <v>65</v>
      </c>
      <c r="G12" s="5"/>
      <c r="H12" s="7"/>
      <c r="J12" s="52"/>
    </row>
    <row r="13" spans="1:10" x14ac:dyDescent="0.3">
      <c r="A13" s="4"/>
      <c r="B13" s="15" t="s">
        <v>43</v>
      </c>
      <c r="C13" s="5"/>
      <c r="D13" s="80"/>
      <c r="E13" s="5">
        <v>100</v>
      </c>
      <c r="F13" s="16" t="s">
        <v>66</v>
      </c>
      <c r="G13" s="5">
        <v>100</v>
      </c>
      <c r="H13" s="7"/>
      <c r="J13" s="52"/>
    </row>
    <row r="14" spans="1:10" x14ac:dyDescent="0.3">
      <c r="A14" s="4">
        <v>668294</v>
      </c>
      <c r="B14" s="56" t="s">
        <v>44</v>
      </c>
      <c r="C14" s="5">
        <f>SUM(A14:A17)</f>
        <v>802639</v>
      </c>
      <c r="D14" s="80"/>
      <c r="E14" s="5">
        <v>1000</v>
      </c>
      <c r="F14" s="16" t="s">
        <v>67</v>
      </c>
      <c r="G14" s="5">
        <v>1000</v>
      </c>
      <c r="H14" s="7"/>
      <c r="J14" s="52"/>
    </row>
    <row r="15" spans="1:10" x14ac:dyDescent="0.3">
      <c r="A15" s="4">
        <v>51300</v>
      </c>
      <c r="B15" s="56" t="s">
        <v>47</v>
      </c>
      <c r="C15" s="5">
        <v>2600</v>
      </c>
      <c r="D15" s="80"/>
      <c r="E15" s="5">
        <v>4274179.5</v>
      </c>
      <c r="F15" s="15" t="s">
        <v>69</v>
      </c>
      <c r="G15" s="5">
        <f>'FD-Sch 1'!D79</f>
        <v>4436711.5</v>
      </c>
      <c r="H15" s="7"/>
    </row>
    <row r="16" spans="1:10" x14ac:dyDescent="0.3">
      <c r="A16" s="4">
        <v>57319</v>
      </c>
      <c r="B16" s="56" t="s">
        <v>45</v>
      </c>
      <c r="C16" s="5">
        <f>IE!D43</f>
        <v>38500</v>
      </c>
      <c r="D16" s="80"/>
      <c r="E16" s="5">
        <v>204159</v>
      </c>
      <c r="F16" s="16" t="s">
        <v>68</v>
      </c>
      <c r="G16" s="6">
        <f>'FD-Sch 1'!E79+'FD-Sch 1'!F79+'FD-Sch 1'!G79+'FD-Sch 1'!H79</f>
        <v>331218</v>
      </c>
      <c r="H16" s="7">
        <f>SUM(G13:G16)</f>
        <v>4769029.5</v>
      </c>
    </row>
    <row r="17" spans="1:8" x14ac:dyDescent="0.3">
      <c r="A17" s="4">
        <v>25726</v>
      </c>
      <c r="B17" s="56" t="s">
        <v>46</v>
      </c>
      <c r="C17" s="6">
        <f>'FD Interest'!D85</f>
        <v>30309</v>
      </c>
      <c r="D17" s="80">
        <f>SUM(C14:C17)</f>
        <v>874048</v>
      </c>
      <c r="E17" s="5"/>
      <c r="F17" s="16"/>
      <c r="G17" s="5"/>
      <c r="H17" s="7"/>
    </row>
    <row r="18" spans="1:8" x14ac:dyDescent="0.3">
      <c r="A18" s="4"/>
      <c r="B18" s="15" t="s">
        <v>4</v>
      </c>
      <c r="C18" s="5"/>
      <c r="D18" s="80"/>
      <c r="E18" s="5"/>
      <c r="F18" s="13" t="s">
        <v>88</v>
      </c>
      <c r="G18" s="5"/>
      <c r="H18" s="7"/>
    </row>
    <row r="19" spans="1:8" x14ac:dyDescent="0.3">
      <c r="A19" s="4">
        <v>459965</v>
      </c>
      <c r="B19" s="56" t="s">
        <v>44</v>
      </c>
      <c r="C19" s="5">
        <f>SUM(A19:A21)</f>
        <v>498899</v>
      </c>
      <c r="D19" s="80"/>
      <c r="E19" s="5">
        <v>16690</v>
      </c>
      <c r="F19" s="16" t="s">
        <v>89</v>
      </c>
      <c r="G19" s="5"/>
      <c r="H19" s="7">
        <v>23897</v>
      </c>
    </row>
    <row r="20" spans="1:8" x14ac:dyDescent="0.3">
      <c r="A20" s="4">
        <v>9120</v>
      </c>
      <c r="B20" s="56" t="s">
        <v>47</v>
      </c>
      <c r="C20" s="5">
        <v>9120</v>
      </c>
      <c r="D20" s="80"/>
      <c r="E20" s="5"/>
      <c r="F20" s="16"/>
      <c r="G20" s="5"/>
      <c r="H20" s="7"/>
    </row>
    <row r="21" spans="1:8" x14ac:dyDescent="0.3">
      <c r="A21" s="4">
        <v>29814</v>
      </c>
      <c r="B21" s="56" t="s">
        <v>46</v>
      </c>
      <c r="C21" s="6">
        <f>'FD Interest'!D87</f>
        <v>32122</v>
      </c>
      <c r="D21" s="80">
        <f>SUM(C19:C21)</f>
        <v>540141</v>
      </c>
      <c r="E21" s="5"/>
      <c r="F21" s="13" t="s">
        <v>191</v>
      </c>
      <c r="G21" s="5"/>
      <c r="H21" s="7"/>
    </row>
    <row r="22" spans="1:8" x14ac:dyDescent="0.3">
      <c r="A22" s="4"/>
      <c r="B22" s="15" t="s">
        <v>15</v>
      </c>
      <c r="C22" s="5"/>
      <c r="D22" s="80"/>
      <c r="E22" s="5">
        <v>9718736</v>
      </c>
      <c r="F22" s="16" t="s">
        <v>59</v>
      </c>
      <c r="G22" s="5">
        <f>'FA-Sch 2'!H4</f>
        <v>9718736</v>
      </c>
      <c r="H22" s="7"/>
    </row>
    <row r="23" spans="1:8" x14ac:dyDescent="0.3">
      <c r="A23" s="4">
        <v>831154</v>
      </c>
      <c r="B23" s="56" t="s">
        <v>44</v>
      </c>
      <c r="C23" s="5">
        <f>SUM(A23:A25)</f>
        <v>910701</v>
      </c>
      <c r="D23" s="80"/>
      <c r="E23" s="5">
        <v>389</v>
      </c>
      <c r="F23" s="16" t="s">
        <v>90</v>
      </c>
      <c r="G23" s="5">
        <f>'FA-Sch 2'!H5</f>
        <v>350</v>
      </c>
      <c r="H23" s="7"/>
    </row>
    <row r="24" spans="1:8" x14ac:dyDescent="0.3">
      <c r="A24" s="4">
        <v>27492</v>
      </c>
      <c r="B24" s="56" t="s">
        <v>47</v>
      </c>
      <c r="C24" s="5">
        <v>27492</v>
      </c>
      <c r="D24" s="80"/>
      <c r="E24" s="5">
        <v>28567</v>
      </c>
      <c r="F24" s="16" t="s">
        <v>91</v>
      </c>
      <c r="G24" s="5">
        <f>'FA-Sch 2'!H6</f>
        <v>24282</v>
      </c>
      <c r="H24" s="7"/>
    </row>
    <row r="25" spans="1:8" x14ac:dyDescent="0.3">
      <c r="A25" s="4">
        <v>52055</v>
      </c>
      <c r="B25" s="56" t="s">
        <v>46</v>
      </c>
      <c r="C25" s="6">
        <f>'FD Interest'!D80</f>
        <v>64547</v>
      </c>
      <c r="D25" s="80">
        <f>SUM(C23:C25)</f>
        <v>1002740</v>
      </c>
      <c r="E25" s="5">
        <v>7593</v>
      </c>
      <c r="F25" s="16" t="s">
        <v>92</v>
      </c>
      <c r="G25" s="5">
        <f>'FA-Sch 2'!H7</f>
        <v>6454</v>
      </c>
      <c r="H25" s="7"/>
    </row>
    <row r="26" spans="1:8" x14ac:dyDescent="0.3">
      <c r="A26" s="4"/>
      <c r="B26" s="15" t="s">
        <v>48</v>
      </c>
      <c r="C26" s="5"/>
      <c r="D26" s="80"/>
      <c r="E26" s="5">
        <v>1062</v>
      </c>
      <c r="F26" s="14" t="s">
        <v>183</v>
      </c>
      <c r="G26" s="5">
        <f>'FA-Sch 2'!H10</f>
        <v>903</v>
      </c>
      <c r="H26" s="7"/>
    </row>
    <row r="27" spans="1:8" x14ac:dyDescent="0.3">
      <c r="A27" s="4">
        <v>829304.75</v>
      </c>
      <c r="B27" s="56" t="s">
        <v>44</v>
      </c>
      <c r="C27" s="5">
        <f>SUM(A27:A29)</f>
        <v>1097760.75</v>
      </c>
      <c r="D27" s="80"/>
      <c r="E27" s="5">
        <v>10575</v>
      </c>
      <c r="F27" s="14" t="s">
        <v>182</v>
      </c>
      <c r="G27" s="5">
        <f>'FA-Sch 2'!H9</f>
        <v>8989</v>
      </c>
      <c r="H27" s="7"/>
    </row>
    <row r="28" spans="1:8" x14ac:dyDescent="0.3">
      <c r="A28" s="4">
        <v>177528</v>
      </c>
      <c r="B28" s="56" t="s">
        <v>47</v>
      </c>
      <c r="C28" s="5">
        <v>177528</v>
      </c>
      <c r="D28" s="80"/>
      <c r="E28" s="5">
        <v>41042</v>
      </c>
      <c r="F28" s="16" t="s">
        <v>87</v>
      </c>
      <c r="G28" s="5">
        <f>'FA-Sch 2'!H8</f>
        <v>34886</v>
      </c>
      <c r="H28" s="57"/>
    </row>
    <row r="29" spans="1:8" x14ac:dyDescent="0.3">
      <c r="A29" s="4">
        <v>90928</v>
      </c>
      <c r="B29" s="56" t="s">
        <v>46</v>
      </c>
      <c r="C29" s="5">
        <f>'FD Interest'!D83</f>
        <v>105923</v>
      </c>
      <c r="D29" s="80"/>
      <c r="E29" s="5">
        <v>0</v>
      </c>
      <c r="F29" s="14" t="s">
        <v>470</v>
      </c>
      <c r="G29" s="6">
        <f>'FA-Sch 2'!H11</f>
        <v>203500</v>
      </c>
      <c r="H29" s="7">
        <f>SUM(G22:G29)</f>
        <v>9998100</v>
      </c>
    </row>
    <row r="30" spans="1:8" x14ac:dyDescent="0.3">
      <c r="A30" s="4">
        <v>0</v>
      </c>
      <c r="B30" s="56" t="s">
        <v>49</v>
      </c>
      <c r="C30" s="6">
        <v>0</v>
      </c>
      <c r="D30" s="80">
        <f>SUM(C27:C30)</f>
        <v>1381211.75</v>
      </c>
      <c r="E30" s="5"/>
      <c r="F30" s="16"/>
      <c r="G30" s="5"/>
      <c r="H30" s="7"/>
    </row>
    <row r="31" spans="1:8" x14ac:dyDescent="0.3">
      <c r="A31" s="4"/>
      <c r="B31" s="15" t="s">
        <v>50</v>
      </c>
      <c r="C31" s="5"/>
      <c r="D31" s="80"/>
      <c r="E31" s="5"/>
      <c r="F31" s="13" t="s">
        <v>93</v>
      </c>
      <c r="G31" s="5"/>
      <c r="H31" s="7"/>
    </row>
    <row r="32" spans="1:8" x14ac:dyDescent="0.3">
      <c r="A32" s="4">
        <v>51723</v>
      </c>
      <c r="B32" s="56" t="s">
        <v>44</v>
      </c>
      <c r="C32" s="5">
        <f>SUM(A32:A34)</f>
        <v>60020</v>
      </c>
      <c r="D32" s="80"/>
      <c r="E32" s="5">
        <v>6624</v>
      </c>
      <c r="F32" s="15" t="s">
        <v>134</v>
      </c>
      <c r="G32" s="5">
        <f>'Sch 3 to 6'!D6</f>
        <v>43723</v>
      </c>
      <c r="H32" s="7"/>
    </row>
    <row r="33" spans="1:8" x14ac:dyDescent="0.3">
      <c r="A33" s="4">
        <v>8297</v>
      </c>
      <c r="B33" s="56" t="s">
        <v>46</v>
      </c>
      <c r="C33" s="6">
        <f>'FD Interest'!D84</f>
        <v>12027</v>
      </c>
      <c r="D33" s="80">
        <f>SUM(C32:C33)</f>
        <v>72047</v>
      </c>
      <c r="E33" s="126">
        <v>2019</v>
      </c>
      <c r="F33" s="136" t="s">
        <v>155</v>
      </c>
      <c r="G33" s="126">
        <v>2019</v>
      </c>
      <c r="H33" s="7"/>
    </row>
    <row r="34" spans="1:8" x14ac:dyDescent="0.3">
      <c r="A34" s="4"/>
      <c r="B34" s="15" t="s">
        <v>51</v>
      </c>
      <c r="C34" s="5"/>
      <c r="D34" s="80"/>
      <c r="E34" s="126"/>
      <c r="F34" s="136"/>
      <c r="G34" s="135"/>
      <c r="H34" s="7">
        <f>SUM(G32:G33)</f>
        <v>45742</v>
      </c>
    </row>
    <row r="35" spans="1:8" x14ac:dyDescent="0.3">
      <c r="A35" s="4">
        <v>24082</v>
      </c>
      <c r="B35" s="56" t="s">
        <v>44</v>
      </c>
      <c r="C35" s="5">
        <f>SUM(A35:A37)</f>
        <v>28432</v>
      </c>
      <c r="D35" s="80"/>
      <c r="E35" s="5"/>
      <c r="F35" s="16"/>
      <c r="G35" s="5"/>
      <c r="H35" s="7"/>
    </row>
    <row r="36" spans="1:8" x14ac:dyDescent="0.3">
      <c r="A36" s="4">
        <v>2640</v>
      </c>
      <c r="B36" s="56" t="s">
        <v>47</v>
      </c>
      <c r="C36" s="5">
        <v>2640</v>
      </c>
      <c r="D36" s="80"/>
      <c r="E36" s="5"/>
      <c r="F36" s="13" t="s">
        <v>94</v>
      </c>
      <c r="G36" s="5"/>
      <c r="H36" s="7"/>
    </row>
    <row r="37" spans="1:8" x14ac:dyDescent="0.3">
      <c r="A37" s="4">
        <v>1710</v>
      </c>
      <c r="B37" s="56" t="s">
        <v>46</v>
      </c>
      <c r="C37" s="6">
        <f>'FD Interest'!D81</f>
        <v>2123</v>
      </c>
      <c r="D37" s="80">
        <f>SUM(C35:C37)</f>
        <v>33195</v>
      </c>
      <c r="E37" s="5">
        <v>55991</v>
      </c>
      <c r="F37" s="16" t="s">
        <v>95</v>
      </c>
      <c r="G37" s="5">
        <v>71718</v>
      </c>
      <c r="H37" s="7"/>
    </row>
    <row r="38" spans="1:8" x14ac:dyDescent="0.3">
      <c r="A38" s="4"/>
      <c r="B38" s="16"/>
      <c r="C38" s="5"/>
      <c r="D38" s="80"/>
      <c r="E38" s="5">
        <v>12744</v>
      </c>
      <c r="F38" s="16" t="s">
        <v>96</v>
      </c>
      <c r="G38" s="5">
        <v>12891</v>
      </c>
      <c r="H38" s="7"/>
    </row>
    <row r="39" spans="1:8" x14ac:dyDescent="0.3">
      <c r="A39" s="4"/>
      <c r="B39" s="13" t="s">
        <v>56</v>
      </c>
      <c r="C39" s="5"/>
      <c r="D39" s="80"/>
      <c r="E39" s="5">
        <v>29233</v>
      </c>
      <c r="F39" s="16" t="s">
        <v>97</v>
      </c>
      <c r="G39" s="6">
        <f>Workings!E12</f>
        <v>29760</v>
      </c>
      <c r="H39" s="7">
        <f>SUM(G37:G39)</f>
        <v>114369</v>
      </c>
    </row>
    <row r="40" spans="1:8" x14ac:dyDescent="0.3">
      <c r="A40" s="4">
        <v>20525</v>
      </c>
      <c r="B40" s="15" t="s">
        <v>140</v>
      </c>
      <c r="C40" s="5">
        <f>'Sch 3 to 6'!D14</f>
        <v>15605</v>
      </c>
      <c r="D40" s="80"/>
      <c r="E40" s="5"/>
      <c r="F40" s="16"/>
      <c r="G40" s="5"/>
      <c r="H40" s="7"/>
    </row>
    <row r="41" spans="1:8" x14ac:dyDescent="0.3">
      <c r="A41" s="4">
        <v>60000</v>
      </c>
      <c r="B41" s="15" t="s">
        <v>146</v>
      </c>
      <c r="C41" s="5">
        <f>'Sch 3 to 6'!D28</f>
        <v>60000</v>
      </c>
      <c r="D41" s="80"/>
      <c r="E41" s="5"/>
      <c r="F41" s="16"/>
      <c r="G41" s="5"/>
      <c r="H41" s="7"/>
    </row>
    <row r="42" spans="1:8" x14ac:dyDescent="0.3">
      <c r="A42" s="4">
        <v>4500</v>
      </c>
      <c r="B42" s="16" t="s">
        <v>33</v>
      </c>
      <c r="C42" s="5">
        <v>4500</v>
      </c>
      <c r="D42" s="80"/>
      <c r="E42" s="5"/>
      <c r="F42" s="16"/>
      <c r="G42" s="5"/>
      <c r="H42" s="7"/>
    </row>
    <row r="43" spans="1:8" x14ac:dyDescent="0.3">
      <c r="A43" s="4">
        <v>2500</v>
      </c>
      <c r="B43" s="16" t="s">
        <v>20</v>
      </c>
      <c r="C43" s="5">
        <v>2500</v>
      </c>
      <c r="D43" s="80"/>
      <c r="E43" s="5"/>
      <c r="F43" s="16"/>
      <c r="G43" s="5"/>
      <c r="H43" s="7"/>
    </row>
    <row r="44" spans="1:8" x14ac:dyDescent="0.3">
      <c r="A44" s="4">
        <v>0</v>
      </c>
      <c r="B44" s="16" t="s">
        <v>161</v>
      </c>
      <c r="C44" s="5">
        <v>0</v>
      </c>
      <c r="D44" s="80"/>
      <c r="E44" s="5"/>
      <c r="F44" s="16"/>
      <c r="G44" s="5"/>
      <c r="H44" s="7"/>
    </row>
    <row r="45" spans="1:8" x14ac:dyDescent="0.3">
      <c r="A45" s="4">
        <v>178573</v>
      </c>
      <c r="B45" s="16" t="s">
        <v>27</v>
      </c>
      <c r="C45" s="5">
        <f>82140+107520-11087</f>
        <v>178573</v>
      </c>
      <c r="D45" s="80"/>
      <c r="E45" s="5"/>
      <c r="F45" s="16"/>
      <c r="G45" s="5"/>
      <c r="H45" s="7"/>
    </row>
    <row r="46" spans="1:8" x14ac:dyDescent="0.3">
      <c r="A46" s="4">
        <v>0</v>
      </c>
      <c r="B46" s="14" t="s">
        <v>184</v>
      </c>
      <c r="C46" s="5">
        <v>3231</v>
      </c>
      <c r="D46" s="80"/>
      <c r="E46" s="5"/>
      <c r="F46" s="16"/>
      <c r="G46" s="5"/>
      <c r="H46" s="7"/>
    </row>
    <row r="47" spans="1:8" x14ac:dyDescent="0.3">
      <c r="A47" s="4">
        <v>211238</v>
      </c>
      <c r="B47" s="15" t="s">
        <v>243</v>
      </c>
      <c r="C47" s="5">
        <f>'Sch 3 to 6'!D37</f>
        <v>29964</v>
      </c>
      <c r="D47" s="80"/>
      <c r="E47" s="5"/>
      <c r="F47" s="16"/>
      <c r="G47" s="5"/>
      <c r="H47" s="7"/>
    </row>
    <row r="48" spans="1:8" x14ac:dyDescent="0.3">
      <c r="A48" s="4">
        <v>6718</v>
      </c>
      <c r="B48" s="16" t="s">
        <v>19</v>
      </c>
      <c r="C48" s="6">
        <v>7767</v>
      </c>
      <c r="D48" s="80">
        <f>SUM(C40:C48)</f>
        <v>302140</v>
      </c>
      <c r="E48" s="5"/>
      <c r="F48" s="16"/>
      <c r="G48" s="5"/>
      <c r="H48" s="7"/>
    </row>
    <row r="49" spans="1:10" x14ac:dyDescent="0.3">
      <c r="A49" s="4"/>
      <c r="B49" s="52"/>
      <c r="C49" s="5"/>
      <c r="D49" s="80"/>
      <c r="E49" s="5"/>
      <c r="F49" s="16"/>
      <c r="G49" s="5"/>
      <c r="H49" s="7"/>
    </row>
    <row r="50" spans="1:10" x14ac:dyDescent="0.3">
      <c r="A50" s="4"/>
      <c r="B50" s="13" t="s">
        <v>57</v>
      </c>
      <c r="C50" s="5"/>
      <c r="D50" s="80"/>
      <c r="E50" s="5"/>
      <c r="F50" s="16"/>
      <c r="G50" s="5"/>
      <c r="H50" s="7"/>
    </row>
    <row r="51" spans="1:10" x14ac:dyDescent="0.3">
      <c r="A51" s="4">
        <v>50028</v>
      </c>
      <c r="B51" s="14" t="s">
        <v>58</v>
      </c>
      <c r="C51" s="5">
        <v>50028</v>
      </c>
      <c r="D51" s="80"/>
      <c r="E51" s="5"/>
      <c r="F51" s="16"/>
      <c r="G51" s="5"/>
      <c r="H51" s="7"/>
    </row>
    <row r="52" spans="1:10" x14ac:dyDescent="0.3">
      <c r="A52" s="4">
        <v>9718736</v>
      </c>
      <c r="B52" s="14" t="s">
        <v>59</v>
      </c>
      <c r="C52" s="6">
        <v>9718736</v>
      </c>
      <c r="D52" s="80">
        <f>SUM(C51:C52)</f>
        <v>9768764</v>
      </c>
      <c r="E52" s="5"/>
      <c r="F52" s="16"/>
      <c r="G52" s="5"/>
      <c r="H52" s="7"/>
    </row>
    <row r="53" spans="1:10" x14ac:dyDescent="0.3">
      <c r="A53" s="4"/>
      <c r="B53" s="52"/>
      <c r="C53" s="5"/>
      <c r="D53" s="80"/>
      <c r="E53" s="5"/>
      <c r="F53" s="16"/>
      <c r="G53" s="5"/>
      <c r="H53" s="7"/>
    </row>
    <row r="54" spans="1:10" x14ac:dyDescent="0.3">
      <c r="A54" s="4"/>
      <c r="B54" s="13" t="s">
        <v>21</v>
      </c>
      <c r="C54" s="5"/>
      <c r="D54" s="80"/>
      <c r="E54" s="5"/>
      <c r="F54" s="16"/>
      <c r="G54" s="5"/>
      <c r="H54" s="7"/>
    </row>
    <row r="55" spans="1:10" x14ac:dyDescent="0.3">
      <c r="A55" s="4">
        <v>1310047.56</v>
      </c>
      <c r="B55" s="16" t="s">
        <v>60</v>
      </c>
      <c r="C55" s="5">
        <f>SUM(A55:A58)</f>
        <v>1490923.61</v>
      </c>
      <c r="D55" s="80"/>
      <c r="E55" s="5"/>
      <c r="F55" s="16"/>
      <c r="G55" s="5"/>
      <c r="H55" s="7"/>
    </row>
    <row r="56" spans="1:10" x14ac:dyDescent="0.3">
      <c r="A56" s="4">
        <v>8920</v>
      </c>
      <c r="B56" s="16" t="s">
        <v>242</v>
      </c>
      <c r="C56" s="5">
        <v>0</v>
      </c>
      <c r="D56" s="80"/>
      <c r="E56" s="5"/>
      <c r="F56" s="16"/>
      <c r="G56" s="5"/>
      <c r="H56" s="7"/>
    </row>
    <row r="57" spans="1:10" x14ac:dyDescent="0.3">
      <c r="A57" s="4">
        <v>0</v>
      </c>
      <c r="B57" s="14" t="s">
        <v>477</v>
      </c>
      <c r="C57" s="5">
        <v>119</v>
      </c>
      <c r="D57" s="80"/>
      <c r="E57" s="5"/>
      <c r="F57" s="16"/>
      <c r="G57" s="5"/>
      <c r="H57" s="7"/>
    </row>
    <row r="58" spans="1:10" x14ac:dyDescent="0.3">
      <c r="A58" s="4">
        <v>171956.05</v>
      </c>
      <c r="B58" s="16" t="s">
        <v>61</v>
      </c>
      <c r="C58" s="5">
        <f>IE!D44</f>
        <v>115498.84999999998</v>
      </c>
      <c r="D58" s="80">
        <f>C55+C56+C58+C57</f>
        <v>1606541.46</v>
      </c>
      <c r="E58" s="5"/>
      <c r="F58" s="16"/>
      <c r="G58" s="5"/>
      <c r="H58" s="7"/>
    </row>
    <row r="59" spans="1:10" ht="15" thickBot="1" x14ac:dyDescent="0.35">
      <c r="A59" s="58">
        <f>SUM(A10:A58)</f>
        <v>15153193.360000001</v>
      </c>
      <c r="B59" s="127" t="s">
        <v>13</v>
      </c>
      <c r="C59" s="128"/>
      <c r="D59" s="82">
        <f>SUM(D10:D58)</f>
        <v>15591828.210000001</v>
      </c>
      <c r="E59" s="79">
        <f>SUM(E6:E58)</f>
        <v>15153193.359999999</v>
      </c>
      <c r="F59" s="127" t="s">
        <v>13</v>
      </c>
      <c r="G59" s="128"/>
      <c r="H59" s="58">
        <f>SUM(H6:H58)</f>
        <v>15591828.210000001</v>
      </c>
      <c r="I59" s="59">
        <f>A59-E59</f>
        <v>0</v>
      </c>
      <c r="J59" s="59">
        <f>D59-H59</f>
        <v>0</v>
      </c>
    </row>
    <row r="60" spans="1:10" s="71" customFormat="1" ht="15" thickTop="1" x14ac:dyDescent="0.3">
      <c r="A60" s="67"/>
      <c r="B60" s="68"/>
      <c r="C60" s="68"/>
      <c r="D60" s="69"/>
      <c r="E60" s="68"/>
      <c r="F60" s="68"/>
      <c r="G60" s="68"/>
      <c r="H60" s="70"/>
      <c r="I60" s="71">
        <f>A59-E59</f>
        <v>0</v>
      </c>
    </row>
    <row r="61" spans="1:10" s="73" customFormat="1" ht="16.05" customHeight="1" x14ac:dyDescent="0.3">
      <c r="A61" s="67" t="s">
        <v>22</v>
      </c>
      <c r="B61" s="68"/>
      <c r="C61" s="68"/>
      <c r="D61" s="68"/>
      <c r="E61" s="115" t="s">
        <v>475</v>
      </c>
      <c r="F61" s="115"/>
      <c r="G61" s="115"/>
      <c r="H61" s="72"/>
    </row>
    <row r="62" spans="1:10" s="73" customFormat="1" ht="16.05" customHeight="1" x14ac:dyDescent="0.3">
      <c r="A62" s="67"/>
      <c r="B62" s="68"/>
      <c r="C62" s="68"/>
      <c r="D62" s="69"/>
      <c r="E62" s="68"/>
      <c r="F62" s="68"/>
      <c r="G62" s="68"/>
      <c r="H62" s="70"/>
    </row>
    <row r="63" spans="1:10" s="73" customFormat="1" ht="16.05" customHeight="1" x14ac:dyDescent="0.3">
      <c r="A63" s="67"/>
      <c r="B63" s="68"/>
      <c r="C63" s="68"/>
      <c r="D63" s="69"/>
      <c r="E63" s="68"/>
      <c r="F63" s="68"/>
      <c r="G63" s="68"/>
      <c r="H63" s="70"/>
    </row>
    <row r="64" spans="1:10" s="73" customFormat="1" ht="16.05" customHeight="1" x14ac:dyDescent="0.3">
      <c r="A64" s="67"/>
      <c r="B64" s="68"/>
      <c r="C64" s="68"/>
      <c r="D64" s="69"/>
      <c r="E64" s="68"/>
      <c r="F64" s="68"/>
      <c r="G64" s="68"/>
      <c r="H64" s="70"/>
      <c r="J64" s="73">
        <f>D59-H59</f>
        <v>0</v>
      </c>
    </row>
    <row r="65" spans="1:8" customFormat="1" ht="16.05" customHeight="1" x14ac:dyDescent="0.3">
      <c r="A65" s="74" t="s">
        <v>471</v>
      </c>
      <c r="B65" s="68"/>
      <c r="C65" s="68"/>
      <c r="D65" s="69"/>
      <c r="E65" s="68"/>
      <c r="F65" s="68"/>
      <c r="G65" s="68"/>
      <c r="H65" s="70"/>
    </row>
    <row r="66" spans="1:8" customFormat="1" ht="16.05" customHeight="1" x14ac:dyDescent="0.3">
      <c r="A66" s="67" t="s">
        <v>472</v>
      </c>
      <c r="B66" s="68"/>
      <c r="C66" s="68"/>
      <c r="D66" s="69"/>
      <c r="H66" s="75"/>
    </row>
    <row r="67" spans="1:8" customFormat="1" ht="16.05" customHeight="1" x14ac:dyDescent="0.3">
      <c r="A67" s="67" t="s">
        <v>473</v>
      </c>
      <c r="B67" s="68"/>
      <c r="C67" s="68"/>
      <c r="D67" s="69"/>
      <c r="E67" s="116" t="s">
        <v>474</v>
      </c>
      <c r="F67" s="116"/>
      <c r="G67" s="116"/>
      <c r="H67" s="70"/>
    </row>
    <row r="68" spans="1:8" customFormat="1" ht="16.05" customHeight="1" x14ac:dyDescent="0.3">
      <c r="A68" s="117">
        <v>46264</v>
      </c>
      <c r="B68" s="118"/>
      <c r="C68" s="118"/>
      <c r="D68" s="76"/>
      <c r="E68" s="77"/>
      <c r="F68" s="77"/>
      <c r="G68" s="77"/>
      <c r="H68" s="78"/>
    </row>
  </sheetData>
  <mergeCells count="14">
    <mergeCell ref="E61:G61"/>
    <mergeCell ref="E67:G67"/>
    <mergeCell ref="A68:C68"/>
    <mergeCell ref="B59:C59"/>
    <mergeCell ref="F59:G59"/>
    <mergeCell ref="E33:E34"/>
    <mergeCell ref="G33:G34"/>
    <mergeCell ref="F33:F34"/>
    <mergeCell ref="A1:H1"/>
    <mergeCell ref="A2:H2"/>
    <mergeCell ref="A3:H3"/>
    <mergeCell ref="A4:H4"/>
    <mergeCell ref="B5:C5"/>
    <mergeCell ref="F5:G5"/>
  </mergeCells>
  <printOptions horizontalCentered="1"/>
  <pageMargins left="0.19685039370078741" right="0.19685039370078741" top="0.59055118110236227" bottom="0.3937007874015748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4"/>
  <sheetViews>
    <sheetView view="pageBreakPreview" topLeftCell="D15" zoomScaleNormal="100" zoomScaleSheetLayoutView="100" workbookViewId="0">
      <selection activeCell="H48" sqref="H48"/>
    </sheetView>
  </sheetViews>
  <sheetFormatPr defaultColWidth="8.88671875" defaultRowHeight="14.4" x14ac:dyDescent="0.3"/>
  <cols>
    <col min="1" max="1" width="14.6640625" style="53" customWidth="1"/>
    <col min="2" max="2" width="35.5546875" style="53" customWidth="1"/>
    <col min="3" max="3" width="12" style="53" bestFit="1" customWidth="1"/>
    <col min="4" max="4" width="14.88671875" style="60" bestFit="1" customWidth="1"/>
    <col min="5" max="5" width="14.88671875" style="53" bestFit="1" customWidth="1"/>
    <col min="6" max="6" width="35.5546875" style="53" customWidth="1"/>
    <col min="7" max="7" width="11.33203125" style="53" bestFit="1" customWidth="1"/>
    <col min="8" max="8" width="14.88671875" style="60" bestFit="1" customWidth="1"/>
    <col min="9" max="9" width="12" style="53" bestFit="1" customWidth="1"/>
    <col min="10" max="10" width="4.5546875" style="53" bestFit="1" customWidth="1"/>
    <col min="11" max="11" width="12.33203125" style="53" bestFit="1" customWidth="1"/>
    <col min="12" max="16384" width="8.88671875" style="53"/>
  </cols>
  <sheetData>
    <row r="1" spans="1:11" ht="18" x14ac:dyDescent="0.3">
      <c r="A1" s="119" t="str">
        <f>BS!A1</f>
        <v>BETSY CO-OPERATIVE HOUSING SOCIETY LTD</v>
      </c>
      <c r="B1" s="120"/>
      <c r="C1" s="120"/>
      <c r="D1" s="120"/>
      <c r="E1" s="120"/>
      <c r="F1" s="120"/>
      <c r="G1" s="120"/>
      <c r="H1" s="121"/>
    </row>
    <row r="2" spans="1:11" x14ac:dyDescent="0.3">
      <c r="A2" s="122" t="s">
        <v>54</v>
      </c>
      <c r="B2" s="123"/>
      <c r="C2" s="123"/>
      <c r="D2" s="123"/>
      <c r="E2" s="123"/>
      <c r="F2" s="123"/>
      <c r="G2" s="123"/>
      <c r="H2" s="124"/>
    </row>
    <row r="3" spans="1:11" x14ac:dyDescent="0.3">
      <c r="A3" s="122" t="s">
        <v>55</v>
      </c>
      <c r="B3" s="125"/>
      <c r="C3" s="125"/>
      <c r="D3" s="125"/>
      <c r="E3" s="125"/>
      <c r="F3" s="125"/>
      <c r="G3" s="125"/>
      <c r="H3" s="126"/>
    </row>
    <row r="4" spans="1:11" s="54" customFormat="1" ht="15.6" x14ac:dyDescent="0.3">
      <c r="A4" s="129" t="s">
        <v>270</v>
      </c>
      <c r="B4" s="130"/>
      <c r="C4" s="130"/>
      <c r="D4" s="130"/>
      <c r="E4" s="130"/>
      <c r="F4" s="130"/>
      <c r="G4" s="130"/>
      <c r="H4" s="131"/>
    </row>
    <row r="5" spans="1:11" s="54" customFormat="1" ht="15" thickBot="1" x14ac:dyDescent="0.35">
      <c r="A5" s="83" t="s">
        <v>230</v>
      </c>
      <c r="B5" s="132" t="s">
        <v>25</v>
      </c>
      <c r="C5" s="133"/>
      <c r="D5" s="85" t="s">
        <v>254</v>
      </c>
      <c r="E5" s="84" t="str">
        <f>A5</f>
        <v>March 31, 2025</v>
      </c>
      <c r="F5" s="134" t="s">
        <v>26</v>
      </c>
      <c r="G5" s="133"/>
      <c r="H5" s="83" t="str">
        <f>D5</f>
        <v>March 31, 2026</v>
      </c>
    </row>
    <row r="6" spans="1:11" x14ac:dyDescent="0.3">
      <c r="A6" s="4"/>
      <c r="B6" s="15"/>
      <c r="C6" s="5"/>
      <c r="D6" s="80"/>
      <c r="E6" s="5"/>
      <c r="F6" s="13" t="s">
        <v>101</v>
      </c>
      <c r="G6" s="5"/>
      <c r="H6" s="7"/>
    </row>
    <row r="7" spans="1:11" x14ac:dyDescent="0.3">
      <c r="A7" s="4">
        <v>155051</v>
      </c>
      <c r="B7" s="14" t="s">
        <v>27</v>
      </c>
      <c r="C7" s="5"/>
      <c r="D7" s="80">
        <v>190448</v>
      </c>
      <c r="E7" s="5">
        <v>483432</v>
      </c>
      <c r="F7" s="14" t="s">
        <v>102</v>
      </c>
      <c r="G7" s="11">
        <v>483432</v>
      </c>
      <c r="H7" s="7"/>
    </row>
    <row r="8" spans="1:11" x14ac:dyDescent="0.3">
      <c r="A8" s="4"/>
      <c r="B8" s="14"/>
      <c r="C8" s="5"/>
      <c r="D8" s="80"/>
      <c r="E8" s="5">
        <v>136584</v>
      </c>
      <c r="F8" s="14" t="s">
        <v>103</v>
      </c>
      <c r="G8" s="5">
        <v>136584</v>
      </c>
      <c r="H8" s="7"/>
    </row>
    <row r="9" spans="1:11" x14ac:dyDescent="0.3">
      <c r="A9" s="4">
        <v>123696</v>
      </c>
      <c r="B9" s="14" t="s">
        <v>103</v>
      </c>
      <c r="C9" s="5"/>
      <c r="D9" s="80">
        <v>106384</v>
      </c>
      <c r="E9" s="5">
        <v>49392</v>
      </c>
      <c r="F9" s="14" t="s">
        <v>37</v>
      </c>
      <c r="G9" s="5">
        <v>49392</v>
      </c>
      <c r="H9" s="7"/>
      <c r="K9" s="52"/>
    </row>
    <row r="10" spans="1:11" x14ac:dyDescent="0.3">
      <c r="A10" s="4"/>
      <c r="B10" s="15"/>
      <c r="C10" s="5"/>
      <c r="D10" s="80"/>
      <c r="E10" s="5">
        <v>20916</v>
      </c>
      <c r="F10" s="14" t="s">
        <v>104</v>
      </c>
      <c r="G10" s="5">
        <v>20916</v>
      </c>
      <c r="H10" s="7"/>
    </row>
    <row r="11" spans="1:11" x14ac:dyDescent="0.3">
      <c r="A11" s="4">
        <v>51322</v>
      </c>
      <c r="B11" s="14" t="s">
        <v>28</v>
      </c>
      <c r="C11" s="5"/>
      <c r="D11" s="80">
        <v>53380</v>
      </c>
      <c r="E11" s="5">
        <v>5598</v>
      </c>
      <c r="F11" s="14" t="s">
        <v>105</v>
      </c>
      <c r="G11" s="5">
        <v>6220</v>
      </c>
      <c r="H11" s="7"/>
    </row>
    <row r="12" spans="1:11" x14ac:dyDescent="0.3">
      <c r="A12" s="4"/>
      <c r="B12" s="14"/>
      <c r="C12" s="5"/>
      <c r="D12" s="80"/>
      <c r="E12" s="5">
        <v>48000</v>
      </c>
      <c r="F12" s="14" t="s">
        <v>38</v>
      </c>
      <c r="G12" s="5">
        <f>19200+4400+8400+15600</f>
        <v>47600</v>
      </c>
      <c r="H12" s="7"/>
    </row>
    <row r="13" spans="1:11" x14ac:dyDescent="0.3">
      <c r="A13" s="4"/>
      <c r="B13" s="13" t="s">
        <v>29</v>
      </c>
      <c r="C13" s="5"/>
      <c r="D13" s="80"/>
      <c r="E13" s="5">
        <v>566</v>
      </c>
      <c r="F13" s="14" t="s">
        <v>130</v>
      </c>
      <c r="G13" s="5">
        <v>3113</v>
      </c>
      <c r="H13" s="7"/>
    </row>
    <row r="14" spans="1:11" x14ac:dyDescent="0.3">
      <c r="A14" s="4">
        <v>192000</v>
      </c>
      <c r="B14" s="14" t="s">
        <v>109</v>
      </c>
      <c r="C14" s="5">
        <v>196912</v>
      </c>
      <c r="D14" s="80"/>
      <c r="E14" s="5">
        <v>3024</v>
      </c>
      <c r="F14" s="14" t="s">
        <v>106</v>
      </c>
      <c r="G14" s="5">
        <v>4920</v>
      </c>
      <c r="H14" s="7"/>
    </row>
    <row r="15" spans="1:11" x14ac:dyDescent="0.3">
      <c r="A15" s="4">
        <v>0</v>
      </c>
      <c r="B15" s="14" t="s">
        <v>110</v>
      </c>
      <c r="C15" s="5">
        <v>0</v>
      </c>
      <c r="D15" s="80"/>
      <c r="E15" s="5">
        <v>444</v>
      </c>
      <c r="F15" s="14" t="s">
        <v>107</v>
      </c>
      <c r="G15" s="5">
        <v>0</v>
      </c>
      <c r="H15" s="7"/>
    </row>
    <row r="16" spans="1:11" x14ac:dyDescent="0.3">
      <c r="A16" s="4">
        <v>826</v>
      </c>
      <c r="B16" s="16" t="s">
        <v>35</v>
      </c>
      <c r="C16" s="5">
        <v>826</v>
      </c>
      <c r="D16" s="80"/>
      <c r="E16" s="5">
        <v>142008</v>
      </c>
      <c r="F16" s="14" t="s">
        <v>108</v>
      </c>
      <c r="G16" s="5">
        <f>176760+17740</f>
        <v>194500</v>
      </c>
      <c r="H16" s="7">
        <f>SUM(G7:G16)</f>
        <v>946677</v>
      </c>
    </row>
    <row r="17" spans="1:8" x14ac:dyDescent="0.3">
      <c r="A17" s="4">
        <v>15720</v>
      </c>
      <c r="B17" s="14" t="s">
        <v>32</v>
      </c>
      <c r="C17" s="5">
        <f>'FA-Sch 2'!G12</f>
        <v>29864</v>
      </c>
      <c r="D17" s="80"/>
      <c r="E17" s="5"/>
      <c r="F17" s="15"/>
      <c r="G17" s="5"/>
      <c r="H17" s="7"/>
    </row>
    <row r="18" spans="1:8" x14ac:dyDescent="0.3">
      <c r="A18" s="4">
        <v>40920</v>
      </c>
      <c r="B18" s="14" t="s">
        <v>113</v>
      </c>
      <c r="C18" s="5">
        <v>41173</v>
      </c>
      <c r="D18" s="80"/>
      <c r="E18" s="5"/>
      <c r="F18" s="13" t="s">
        <v>232</v>
      </c>
      <c r="G18" s="5"/>
      <c r="H18" s="7"/>
    </row>
    <row r="19" spans="1:8" x14ac:dyDescent="0.3">
      <c r="A19" s="4">
        <v>0</v>
      </c>
      <c r="B19" s="14" t="s">
        <v>30</v>
      </c>
      <c r="C19" s="6">
        <v>2500</v>
      </c>
      <c r="D19" s="80">
        <f>SUM(C14:C19)</f>
        <v>271275</v>
      </c>
      <c r="E19" s="5">
        <v>5000</v>
      </c>
      <c r="F19" s="14" t="s">
        <v>233</v>
      </c>
      <c r="G19" s="5">
        <v>5000</v>
      </c>
      <c r="H19" s="7"/>
    </row>
    <row r="20" spans="1:8" x14ac:dyDescent="0.3">
      <c r="A20" s="4"/>
      <c r="B20" s="15"/>
      <c r="C20" s="5"/>
      <c r="D20" s="80"/>
      <c r="E20" s="5">
        <v>0</v>
      </c>
      <c r="F20" s="14" t="s">
        <v>468</v>
      </c>
      <c r="G20" s="5">
        <v>4286</v>
      </c>
      <c r="H20" s="7"/>
    </row>
    <row r="21" spans="1:8" x14ac:dyDescent="0.3">
      <c r="A21" s="4"/>
      <c r="B21" s="13" t="s">
        <v>116</v>
      </c>
      <c r="C21" s="5"/>
      <c r="D21" s="80"/>
      <c r="E21" s="5">
        <v>3000</v>
      </c>
      <c r="F21" s="14" t="s">
        <v>234</v>
      </c>
      <c r="G21" s="6">
        <v>3000</v>
      </c>
      <c r="H21" s="7">
        <f>SUM(G19:G21)</f>
        <v>12286</v>
      </c>
    </row>
    <row r="22" spans="1:8" x14ac:dyDescent="0.3">
      <c r="A22" s="4">
        <v>52000</v>
      </c>
      <c r="B22" s="14" t="s">
        <v>117</v>
      </c>
      <c r="C22" s="5">
        <f>65470+5000</f>
        <v>70470</v>
      </c>
      <c r="D22" s="80"/>
      <c r="E22" s="5"/>
      <c r="F22" s="13"/>
      <c r="G22" s="5"/>
      <c r="H22" s="7"/>
    </row>
    <row r="23" spans="1:8" x14ac:dyDescent="0.3">
      <c r="A23" s="4">
        <v>15392</v>
      </c>
      <c r="B23" s="14" t="s">
        <v>31</v>
      </c>
      <c r="C23" s="5">
        <v>15392</v>
      </c>
      <c r="D23" s="80"/>
      <c r="E23" s="5"/>
      <c r="F23" s="13" t="s">
        <v>39</v>
      </c>
      <c r="G23" s="5"/>
      <c r="H23" s="7"/>
    </row>
    <row r="24" spans="1:8" x14ac:dyDescent="0.3">
      <c r="A24" s="4">
        <v>4117</v>
      </c>
      <c r="B24" s="14" t="s">
        <v>118</v>
      </c>
      <c r="C24" s="5">
        <v>4169</v>
      </c>
      <c r="D24" s="80"/>
      <c r="E24" s="5">
        <v>22699</v>
      </c>
      <c r="F24" s="14" t="s">
        <v>111</v>
      </c>
      <c r="G24" s="5"/>
      <c r="H24" s="7">
        <v>20358</v>
      </c>
    </row>
    <row r="25" spans="1:8" x14ac:dyDescent="0.3">
      <c r="A25" s="4">
        <v>0</v>
      </c>
      <c r="B25" s="16" t="s">
        <v>119</v>
      </c>
      <c r="C25" s="5">
        <v>-356</v>
      </c>
      <c r="D25" s="80"/>
      <c r="E25" s="5">
        <v>638</v>
      </c>
      <c r="F25" s="14" t="s">
        <v>231</v>
      </c>
      <c r="G25" s="5"/>
      <c r="H25" s="7">
        <v>287</v>
      </c>
    </row>
    <row r="26" spans="1:8" x14ac:dyDescent="0.3">
      <c r="A26" s="4">
        <v>5315</v>
      </c>
      <c r="B26" s="14" t="s">
        <v>36</v>
      </c>
      <c r="C26" s="5">
        <v>4326</v>
      </c>
      <c r="D26" s="80"/>
      <c r="E26" s="5">
        <v>254243</v>
      </c>
      <c r="F26" s="14" t="s">
        <v>112</v>
      </c>
      <c r="G26" s="5">
        <v>320070</v>
      </c>
      <c r="H26" s="7"/>
    </row>
    <row r="27" spans="1:8" x14ac:dyDescent="0.3">
      <c r="A27" s="4">
        <v>351.95</v>
      </c>
      <c r="B27" s="14" t="s">
        <v>34</v>
      </c>
      <c r="C27" s="5">
        <v>528.15</v>
      </c>
      <c r="D27" s="80"/>
      <c r="E27" s="5"/>
      <c r="F27" s="13" t="s">
        <v>114</v>
      </c>
      <c r="G27" s="5"/>
      <c r="H27" s="7"/>
    </row>
    <row r="28" spans="1:8" x14ac:dyDescent="0.3">
      <c r="A28" s="4">
        <v>3000</v>
      </c>
      <c r="B28" s="14" t="s">
        <v>33</v>
      </c>
      <c r="C28" s="5">
        <v>3000</v>
      </c>
      <c r="D28" s="80"/>
      <c r="E28" s="5">
        <v>-52055</v>
      </c>
      <c r="F28" s="14" t="s">
        <v>237</v>
      </c>
      <c r="G28" s="5">
        <v>64547</v>
      </c>
      <c r="H28" s="7"/>
    </row>
    <row r="29" spans="1:8" x14ac:dyDescent="0.3">
      <c r="A29" s="4">
        <v>11876</v>
      </c>
      <c r="B29" s="14" t="s">
        <v>160</v>
      </c>
      <c r="C29" s="5">
        <v>1350</v>
      </c>
      <c r="D29" s="80"/>
      <c r="E29" s="5">
        <v>-1710</v>
      </c>
      <c r="F29" s="14" t="s">
        <v>51</v>
      </c>
      <c r="G29" s="5">
        <v>2123</v>
      </c>
      <c r="H29" s="7"/>
    </row>
    <row r="30" spans="1:8" x14ac:dyDescent="0.3">
      <c r="A30" s="4">
        <v>1614</v>
      </c>
      <c r="B30" s="14" t="s">
        <v>121</v>
      </c>
      <c r="C30" s="5">
        <v>2170</v>
      </c>
      <c r="D30" s="80"/>
      <c r="E30" s="5">
        <v>-90928</v>
      </c>
      <c r="F30" s="14" t="s">
        <v>115</v>
      </c>
      <c r="G30" s="5">
        <v>105923</v>
      </c>
      <c r="H30" s="7"/>
    </row>
    <row r="31" spans="1:8" x14ac:dyDescent="0.3">
      <c r="A31" s="4">
        <v>9450</v>
      </c>
      <c r="B31" s="14" t="s">
        <v>122</v>
      </c>
      <c r="C31" s="6">
        <v>10790</v>
      </c>
      <c r="D31" s="80">
        <f>SUM(C22:C31)</f>
        <v>111839.15</v>
      </c>
      <c r="E31" s="5">
        <v>-8297</v>
      </c>
      <c r="F31" s="14" t="s">
        <v>50</v>
      </c>
      <c r="G31" s="5">
        <v>12027</v>
      </c>
      <c r="H31" s="7"/>
    </row>
    <row r="32" spans="1:8" x14ac:dyDescent="0.3">
      <c r="A32" s="4"/>
      <c r="B32" s="14"/>
      <c r="C32" s="5"/>
      <c r="D32" s="80"/>
      <c r="E32" s="5">
        <v>-25726</v>
      </c>
      <c r="F32" s="16" t="s">
        <v>7</v>
      </c>
      <c r="G32" s="5">
        <v>30309</v>
      </c>
      <c r="H32" s="7"/>
    </row>
    <row r="33" spans="1:10" x14ac:dyDescent="0.3">
      <c r="A33" s="4"/>
      <c r="B33" s="13" t="s">
        <v>123</v>
      </c>
      <c r="C33" s="5"/>
      <c r="D33" s="80"/>
      <c r="E33" s="5">
        <v>-29814</v>
      </c>
      <c r="F33" s="14" t="s">
        <v>4</v>
      </c>
      <c r="G33" s="6">
        <v>32122</v>
      </c>
      <c r="H33" s="7">
        <f>G26-SUM(G28:G33)</f>
        <v>73019</v>
      </c>
    </row>
    <row r="34" spans="1:10" x14ac:dyDescent="0.3">
      <c r="A34" s="17">
        <v>9836</v>
      </c>
      <c r="B34" s="14" t="s">
        <v>124</v>
      </c>
      <c r="C34" s="5">
        <v>16963</v>
      </c>
      <c r="D34" s="80"/>
      <c r="E34" s="5"/>
      <c r="F34" s="14"/>
      <c r="G34" s="5"/>
      <c r="H34" s="7"/>
    </row>
    <row r="35" spans="1:10" x14ac:dyDescent="0.3">
      <c r="A35" s="17">
        <v>14000</v>
      </c>
      <c r="B35" s="14" t="s">
        <v>239</v>
      </c>
      <c r="C35" s="5">
        <v>0</v>
      </c>
      <c r="D35" s="80"/>
      <c r="E35" s="5">
        <v>0</v>
      </c>
      <c r="F35" s="14" t="s">
        <v>120</v>
      </c>
      <c r="G35" s="5"/>
      <c r="H35" s="7">
        <v>0</v>
      </c>
    </row>
    <row r="36" spans="1:10" x14ac:dyDescent="0.3">
      <c r="A36" s="17">
        <v>0</v>
      </c>
      <c r="B36" s="14" t="s">
        <v>125</v>
      </c>
      <c r="C36" s="5">
        <v>0</v>
      </c>
      <c r="D36" s="80"/>
      <c r="E36" s="5"/>
      <c r="F36" s="14"/>
      <c r="G36" s="5"/>
      <c r="H36" s="7"/>
    </row>
    <row r="37" spans="1:10" x14ac:dyDescent="0.3">
      <c r="A37" s="17">
        <v>4071</v>
      </c>
      <c r="B37" s="14" t="s">
        <v>181</v>
      </c>
      <c r="C37" s="5">
        <v>8210</v>
      </c>
      <c r="D37" s="80"/>
      <c r="E37" s="5"/>
      <c r="F37" s="14"/>
      <c r="G37" s="5"/>
      <c r="H37" s="7"/>
    </row>
    <row r="38" spans="1:10" x14ac:dyDescent="0.3">
      <c r="A38" s="17">
        <v>13135</v>
      </c>
      <c r="B38" s="14" t="s">
        <v>126</v>
      </c>
      <c r="C38" s="5">
        <v>75510</v>
      </c>
      <c r="D38" s="80"/>
      <c r="E38" s="5"/>
      <c r="F38" s="14"/>
      <c r="G38" s="5"/>
      <c r="H38" s="7"/>
    </row>
    <row r="39" spans="1:10" x14ac:dyDescent="0.3">
      <c r="A39" s="17">
        <v>10546</v>
      </c>
      <c r="B39" s="14" t="s">
        <v>127</v>
      </c>
      <c r="C39" s="5">
        <f>54520+6599</f>
        <v>61119</v>
      </c>
      <c r="D39" s="80"/>
      <c r="E39" s="5"/>
      <c r="F39" s="14"/>
      <c r="G39" s="5"/>
      <c r="H39" s="7"/>
    </row>
    <row r="40" spans="1:10" x14ac:dyDescent="0.3">
      <c r="A40" s="17">
        <v>3500</v>
      </c>
      <c r="B40" s="14" t="s">
        <v>238</v>
      </c>
      <c r="C40" s="6">
        <v>3500</v>
      </c>
      <c r="D40" s="80">
        <f>SUM(C34:C40)</f>
        <v>165302</v>
      </c>
      <c r="E40" s="5"/>
      <c r="F40" s="14"/>
      <c r="G40" s="5"/>
      <c r="H40" s="7"/>
    </row>
    <row r="41" spans="1:10" x14ac:dyDescent="0.3">
      <c r="A41" s="4"/>
      <c r="B41" s="14"/>
      <c r="C41" s="5"/>
      <c r="D41" s="80"/>
      <c r="E41" s="5"/>
      <c r="F41" s="14"/>
      <c r="G41" s="5"/>
      <c r="H41" s="7"/>
    </row>
    <row r="42" spans="1:10" x14ac:dyDescent="0.3">
      <c r="A42" s="4"/>
      <c r="B42" s="13" t="str">
        <f>"Excess of"&amp;IF(D44&gt;0," Income over Expenditure"," Expenditure over Income")</f>
        <v>Excess of Income over Expenditure</v>
      </c>
      <c r="C42" s="5"/>
      <c r="D42" s="80"/>
      <c r="E42" s="5"/>
      <c r="F42" s="14"/>
      <c r="G42" s="5"/>
      <c r="H42" s="7"/>
    </row>
    <row r="43" spans="1:10" x14ac:dyDescent="0.3">
      <c r="A43" s="4">
        <v>57319</v>
      </c>
      <c r="B43" s="14" t="s">
        <v>128</v>
      </c>
      <c r="C43" s="5"/>
      <c r="D43" s="80">
        <f>ROUND((H45-SUM(D7:D42))*0.25,)</f>
        <v>38500</v>
      </c>
      <c r="E43" s="5"/>
      <c r="F43" s="14"/>
      <c r="G43" s="5"/>
      <c r="H43" s="7"/>
    </row>
    <row r="44" spans="1:10" x14ac:dyDescent="0.3">
      <c r="A44" s="4">
        <v>171956.05000000005</v>
      </c>
      <c r="B44" s="14" t="s">
        <v>129</v>
      </c>
      <c r="C44" s="5"/>
      <c r="D44" s="80">
        <f>H45-SUM(D6:D43)</f>
        <v>115498.84999999998</v>
      </c>
      <c r="E44" s="5"/>
      <c r="F44" s="14"/>
      <c r="G44" s="5"/>
      <c r="H44" s="7"/>
    </row>
    <row r="45" spans="1:10" ht="15" thickBot="1" x14ac:dyDescent="0.35">
      <c r="A45" s="58">
        <f>SUM(A7:A44)</f>
        <v>967014</v>
      </c>
      <c r="B45" s="127" t="s">
        <v>13</v>
      </c>
      <c r="C45" s="128"/>
      <c r="D45" s="82">
        <f>SUM(D7:D44)</f>
        <v>1052627</v>
      </c>
      <c r="E45" s="79">
        <f>SUM(E7:E44)</f>
        <v>967014</v>
      </c>
      <c r="F45" s="127" t="s">
        <v>13</v>
      </c>
      <c r="G45" s="128"/>
      <c r="H45" s="58">
        <f>SUM(H7:H44)</f>
        <v>1052627</v>
      </c>
      <c r="I45" s="53">
        <f>A45-E45</f>
        <v>0</v>
      </c>
      <c r="J45" s="53">
        <f>+D45-H45</f>
        <v>0</v>
      </c>
    </row>
    <row r="46" spans="1:10" s="71" customFormat="1" ht="15" thickTop="1" x14ac:dyDescent="0.3">
      <c r="A46" s="67"/>
      <c r="B46" s="68"/>
      <c r="C46" s="68"/>
      <c r="D46" s="69"/>
      <c r="E46" s="68"/>
      <c r="F46" s="68"/>
      <c r="G46" s="68"/>
      <c r="H46" s="70"/>
      <c r="I46" s="71">
        <f>A45-E45</f>
        <v>0</v>
      </c>
    </row>
    <row r="47" spans="1:10" s="73" customFormat="1" ht="16.05" customHeight="1" x14ac:dyDescent="0.3">
      <c r="A47" s="67" t="s">
        <v>22</v>
      </c>
      <c r="B47" s="68"/>
      <c r="C47" s="68"/>
      <c r="D47" s="68"/>
      <c r="E47" s="115" t="s">
        <v>475</v>
      </c>
      <c r="F47" s="115"/>
      <c r="G47" s="115"/>
      <c r="H47" s="72"/>
    </row>
    <row r="48" spans="1:10" s="73" customFormat="1" ht="16.05" customHeight="1" x14ac:dyDescent="0.3">
      <c r="A48" s="67"/>
      <c r="B48" s="68"/>
      <c r="C48" s="68"/>
      <c r="D48" s="69"/>
      <c r="E48" s="68"/>
      <c r="F48" s="68"/>
      <c r="G48" s="68"/>
      <c r="H48" s="70"/>
    </row>
    <row r="49" spans="1:10" s="73" customFormat="1" ht="16.05" customHeight="1" x14ac:dyDescent="0.3">
      <c r="A49" s="67"/>
      <c r="B49" s="68"/>
      <c r="C49" s="68"/>
      <c r="D49" s="69"/>
      <c r="E49" s="68"/>
      <c r="F49" s="68"/>
      <c r="G49" s="68"/>
      <c r="H49" s="70"/>
    </row>
    <row r="50" spans="1:10" s="73" customFormat="1" ht="16.05" customHeight="1" x14ac:dyDescent="0.3">
      <c r="A50" s="67"/>
      <c r="B50" s="68"/>
      <c r="C50" s="68"/>
      <c r="D50" s="69"/>
      <c r="E50" s="68"/>
      <c r="F50" s="68"/>
      <c r="G50" s="68"/>
      <c r="H50" s="70"/>
      <c r="J50" s="73">
        <f>D45-H45</f>
        <v>0</v>
      </c>
    </row>
    <row r="51" spans="1:10" customFormat="1" ht="16.05" customHeight="1" x14ac:dyDescent="0.3">
      <c r="A51" s="74" t="s">
        <v>471</v>
      </c>
      <c r="B51" s="68"/>
      <c r="C51" s="68"/>
      <c r="D51" s="69"/>
      <c r="E51" s="68"/>
      <c r="F51" s="68"/>
      <c r="G51" s="68"/>
      <c r="H51" s="70"/>
    </row>
    <row r="52" spans="1:10" customFormat="1" ht="16.05" customHeight="1" x14ac:dyDescent="0.3">
      <c r="A52" s="67" t="s">
        <v>472</v>
      </c>
      <c r="B52" s="68"/>
      <c r="C52" s="68"/>
      <c r="D52" s="69"/>
      <c r="H52" s="75"/>
    </row>
    <row r="53" spans="1:10" customFormat="1" ht="16.05" customHeight="1" x14ac:dyDescent="0.3">
      <c r="A53" s="67" t="s">
        <v>473</v>
      </c>
      <c r="B53" s="68"/>
      <c r="C53" s="68"/>
      <c r="D53" s="69"/>
      <c r="E53" s="116" t="s">
        <v>474</v>
      </c>
      <c r="F53" s="116"/>
      <c r="G53" s="116"/>
      <c r="H53" s="70"/>
    </row>
    <row r="54" spans="1:10" customFormat="1" ht="16.05" customHeight="1" x14ac:dyDescent="0.3">
      <c r="A54" s="117">
        <v>46264</v>
      </c>
      <c r="B54" s="118"/>
      <c r="C54" s="118"/>
      <c r="D54" s="76"/>
      <c r="E54" s="77"/>
      <c r="F54" s="77"/>
      <c r="G54" s="77"/>
      <c r="H54" s="78"/>
    </row>
  </sheetData>
  <mergeCells count="11">
    <mergeCell ref="E47:G47"/>
    <mergeCell ref="E53:G53"/>
    <mergeCell ref="A54:C54"/>
    <mergeCell ref="A1:H1"/>
    <mergeCell ref="A2:H2"/>
    <mergeCell ref="A3:H3"/>
    <mergeCell ref="B45:C45"/>
    <mergeCell ref="F45:G45"/>
    <mergeCell ref="A4:H4"/>
    <mergeCell ref="B5:C5"/>
    <mergeCell ref="F5:G5"/>
  </mergeCells>
  <pageMargins left="0.25" right="0.25" top="0.75" bottom="0.75" header="0.3" footer="0.3"/>
  <pageSetup paperSize="9" scale="6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84"/>
  <sheetViews>
    <sheetView view="pageBreakPreview" topLeftCell="E61" zoomScaleNormal="100" zoomScaleSheetLayoutView="100" workbookViewId="0">
      <selection activeCell="M77" sqref="M77"/>
    </sheetView>
  </sheetViews>
  <sheetFormatPr defaultColWidth="13" defaultRowHeight="14.4" x14ac:dyDescent="0.3"/>
  <cols>
    <col min="1" max="1" width="3.77734375" style="33" bestFit="1" customWidth="1"/>
    <col min="2" max="2" width="26.6640625" bestFit="1" customWidth="1"/>
    <col min="3" max="3" width="10.109375" bestFit="1" customWidth="1"/>
    <col min="4" max="4" width="15.77734375" bestFit="1" customWidth="1"/>
    <col min="5" max="5" width="10" customWidth="1"/>
    <col min="6" max="6" width="11.5546875" bestFit="1" customWidth="1"/>
    <col min="7" max="8" width="11.5546875" customWidth="1"/>
    <col min="9" max="9" width="12.77734375" bestFit="1" customWidth="1"/>
    <col min="10" max="10" width="10.109375" style="33" bestFit="1" customWidth="1"/>
    <col min="11" max="11" width="14.33203125" style="9" bestFit="1" customWidth="1"/>
    <col min="12" max="12" width="8" style="33" customWidth="1"/>
    <col min="13" max="13" width="5.33203125" style="33" bestFit="1" customWidth="1"/>
  </cols>
  <sheetData>
    <row r="1" spans="1:19" ht="18" x14ac:dyDescent="0.35">
      <c r="A1" s="140" t="str">
        <f>BS!A1</f>
        <v>BETSY CO-OPERATIVE HOUSING SOCIETY LTD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2"/>
    </row>
    <row r="2" spans="1:19" ht="15" customHeight="1" x14ac:dyDescent="0.3">
      <c r="A2" s="96"/>
      <c r="B2" s="137" t="s">
        <v>256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8"/>
    </row>
    <row r="3" spans="1:19" s="41" customFormat="1" ht="29.4" thickBot="1" x14ac:dyDescent="0.35">
      <c r="A3" s="94" t="s">
        <v>131</v>
      </c>
      <c r="B3" s="94" t="s">
        <v>5</v>
      </c>
      <c r="C3" s="94" t="s">
        <v>11</v>
      </c>
      <c r="D3" s="94" t="s">
        <v>12</v>
      </c>
      <c r="E3" s="94" t="s">
        <v>158</v>
      </c>
      <c r="F3" s="94" t="s">
        <v>180</v>
      </c>
      <c r="G3" s="94" t="s">
        <v>193</v>
      </c>
      <c r="H3" s="94" t="s">
        <v>271</v>
      </c>
      <c r="I3" s="94" t="s">
        <v>13</v>
      </c>
      <c r="J3" s="94" t="s">
        <v>8</v>
      </c>
      <c r="K3" s="95" t="s">
        <v>10</v>
      </c>
      <c r="L3" s="94" t="s">
        <v>14</v>
      </c>
      <c r="M3" s="94" t="s">
        <v>6</v>
      </c>
    </row>
    <row r="4" spans="1:19" x14ac:dyDescent="0.3">
      <c r="B4" s="1" t="s">
        <v>4</v>
      </c>
    </row>
    <row r="5" spans="1:19" x14ac:dyDescent="0.3">
      <c r="A5" s="34">
        <v>1</v>
      </c>
      <c r="B5" s="35" t="s">
        <v>272</v>
      </c>
      <c r="C5" s="35" t="s">
        <v>194</v>
      </c>
      <c r="D5" s="8">
        <v>86561</v>
      </c>
      <c r="E5" s="8">
        <v>0</v>
      </c>
      <c r="F5" s="8">
        <v>0</v>
      </c>
      <c r="G5" s="8">
        <v>0</v>
      </c>
      <c r="H5" s="8">
        <v>174</v>
      </c>
      <c r="I5" s="8">
        <f>SUM(D5:H5)</f>
        <v>86735</v>
      </c>
      <c r="J5" s="34" t="s">
        <v>478</v>
      </c>
      <c r="K5" s="37">
        <v>91841</v>
      </c>
      <c r="L5" s="154">
        <v>6.1</v>
      </c>
      <c r="M5" s="34" t="s">
        <v>70</v>
      </c>
    </row>
    <row r="6" spans="1:19" x14ac:dyDescent="0.3">
      <c r="A6" s="34">
        <v>2</v>
      </c>
      <c r="B6" s="35" t="s">
        <v>276</v>
      </c>
      <c r="C6" s="35" t="s">
        <v>195</v>
      </c>
      <c r="D6" s="8">
        <v>78695</v>
      </c>
      <c r="E6" s="8">
        <v>0</v>
      </c>
      <c r="F6" s="8">
        <v>0</v>
      </c>
      <c r="G6" s="8">
        <v>0</v>
      </c>
      <c r="H6" s="8">
        <v>132</v>
      </c>
      <c r="I6" s="8">
        <f t="shared" ref="I6:I21" si="0">SUM(D6:H6)</f>
        <v>78827</v>
      </c>
      <c r="J6" s="34" t="s">
        <v>479</v>
      </c>
      <c r="K6" s="37">
        <v>83495</v>
      </c>
      <c r="L6" s="154">
        <v>6.1</v>
      </c>
      <c r="M6" s="34" t="s">
        <v>70</v>
      </c>
      <c r="P6" s="10"/>
    </row>
    <row r="7" spans="1:19" x14ac:dyDescent="0.3">
      <c r="A7" s="34">
        <v>3</v>
      </c>
      <c r="B7" s="35" t="s">
        <v>273</v>
      </c>
      <c r="C7" s="35" t="s">
        <v>196</v>
      </c>
      <c r="D7" s="8">
        <v>58476</v>
      </c>
      <c r="E7" s="8">
        <v>0</v>
      </c>
      <c r="F7" s="8">
        <v>0</v>
      </c>
      <c r="G7" s="8">
        <v>0</v>
      </c>
      <c r="H7" s="8">
        <v>2430</v>
      </c>
      <c r="I7" s="8">
        <f t="shared" si="0"/>
        <v>60906</v>
      </c>
      <c r="J7" s="34" t="s">
        <v>480</v>
      </c>
      <c r="K7" s="37">
        <v>65983</v>
      </c>
      <c r="L7" s="154">
        <v>6.1</v>
      </c>
      <c r="M7" s="34" t="s">
        <v>70</v>
      </c>
      <c r="P7" s="10"/>
    </row>
    <row r="8" spans="1:19" x14ac:dyDescent="0.3">
      <c r="A8" s="34">
        <v>4</v>
      </c>
      <c r="B8" s="42" t="s">
        <v>277</v>
      </c>
      <c r="C8" s="35" t="s">
        <v>197</v>
      </c>
      <c r="D8" s="8">
        <v>16325</v>
      </c>
      <c r="E8" s="8">
        <v>0</v>
      </c>
      <c r="F8" s="8">
        <v>0</v>
      </c>
      <c r="G8" s="43">
        <v>0</v>
      </c>
      <c r="H8" s="44">
        <v>127</v>
      </c>
      <c r="I8" s="8">
        <f t="shared" si="0"/>
        <v>16452</v>
      </c>
      <c r="J8" s="34" t="s">
        <v>481</v>
      </c>
      <c r="K8" s="37">
        <v>16496</v>
      </c>
      <c r="L8" s="154">
        <v>4.25</v>
      </c>
      <c r="M8" s="34" t="s">
        <v>70</v>
      </c>
      <c r="S8" s="45"/>
    </row>
    <row r="9" spans="1:19" x14ac:dyDescent="0.3">
      <c r="A9" s="34">
        <v>5</v>
      </c>
      <c r="B9" s="35" t="s">
        <v>274</v>
      </c>
      <c r="C9" s="35" t="s">
        <v>198</v>
      </c>
      <c r="D9" s="8">
        <v>21453</v>
      </c>
      <c r="E9" s="8">
        <v>0</v>
      </c>
      <c r="F9" s="8">
        <v>0</v>
      </c>
      <c r="G9" s="8">
        <v>0</v>
      </c>
      <c r="H9" s="8">
        <v>113</v>
      </c>
      <c r="I9" s="8">
        <f t="shared" si="0"/>
        <v>21566</v>
      </c>
      <c r="J9" s="34" t="s">
        <v>482</v>
      </c>
      <c r="K9" s="37">
        <v>21678</v>
      </c>
      <c r="L9" s="154">
        <v>4.25</v>
      </c>
      <c r="M9" s="34" t="s">
        <v>70</v>
      </c>
    </row>
    <row r="10" spans="1:19" x14ac:dyDescent="0.3">
      <c r="A10" s="34">
        <v>6</v>
      </c>
      <c r="B10" s="35" t="s">
        <v>278</v>
      </c>
      <c r="C10" s="35" t="s">
        <v>199</v>
      </c>
      <c r="D10" s="8">
        <v>21073</v>
      </c>
      <c r="E10" s="8">
        <v>0</v>
      </c>
      <c r="F10" s="8">
        <v>0</v>
      </c>
      <c r="G10" s="8">
        <v>0</v>
      </c>
      <c r="H10" s="8">
        <v>136</v>
      </c>
      <c r="I10" s="8">
        <f t="shared" si="0"/>
        <v>21209</v>
      </c>
      <c r="J10" s="34" t="s">
        <v>483</v>
      </c>
      <c r="K10" s="37">
        <v>21294</v>
      </c>
      <c r="L10" s="154">
        <v>4.25</v>
      </c>
      <c r="M10" s="34" t="s">
        <v>70</v>
      </c>
      <c r="N10" s="10"/>
    </row>
    <row r="11" spans="1:19" x14ac:dyDescent="0.3">
      <c r="A11" s="34">
        <v>7</v>
      </c>
      <c r="B11" s="35" t="s">
        <v>200</v>
      </c>
      <c r="C11" s="35" t="s">
        <v>201</v>
      </c>
      <c r="D11" s="8">
        <v>20024</v>
      </c>
      <c r="E11" s="8">
        <v>0</v>
      </c>
      <c r="F11" s="8">
        <v>0</v>
      </c>
      <c r="G11" s="8">
        <v>0</v>
      </c>
      <c r="H11" s="8">
        <v>177</v>
      </c>
      <c r="I11" s="8">
        <f t="shared" si="0"/>
        <v>20201</v>
      </c>
      <c r="J11" s="34" t="s">
        <v>484</v>
      </c>
      <c r="K11" s="37">
        <v>20234</v>
      </c>
      <c r="L11" s="154">
        <v>4.25</v>
      </c>
      <c r="M11" s="34" t="s">
        <v>70</v>
      </c>
    </row>
    <row r="12" spans="1:19" x14ac:dyDescent="0.3">
      <c r="A12" s="34">
        <v>8</v>
      </c>
      <c r="B12" s="35" t="s">
        <v>202</v>
      </c>
      <c r="C12" s="35" t="s">
        <v>203</v>
      </c>
      <c r="D12" s="8">
        <v>18629</v>
      </c>
      <c r="E12" s="8">
        <v>0</v>
      </c>
      <c r="F12" s="8">
        <v>0</v>
      </c>
      <c r="G12" s="8">
        <v>0</v>
      </c>
      <c r="H12" s="8">
        <v>186</v>
      </c>
      <c r="I12" s="8">
        <f t="shared" si="0"/>
        <v>18815</v>
      </c>
      <c r="J12" s="34" t="s">
        <v>485</v>
      </c>
      <c r="K12" s="37">
        <v>18824</v>
      </c>
      <c r="L12" s="154">
        <v>4.25</v>
      </c>
      <c r="M12" s="34" t="s">
        <v>70</v>
      </c>
    </row>
    <row r="13" spans="1:19" x14ac:dyDescent="0.3">
      <c r="A13" s="34">
        <v>9</v>
      </c>
      <c r="B13" s="35" t="s">
        <v>275</v>
      </c>
      <c r="C13" s="35" t="s">
        <v>204</v>
      </c>
      <c r="D13" s="8">
        <v>17611</v>
      </c>
      <c r="E13" s="8">
        <v>0</v>
      </c>
      <c r="F13" s="8">
        <v>0</v>
      </c>
      <c r="G13" s="8">
        <v>0</v>
      </c>
      <c r="H13" s="8">
        <v>25</v>
      </c>
      <c r="I13" s="8">
        <f t="shared" si="0"/>
        <v>17636</v>
      </c>
      <c r="J13" s="34" t="s">
        <v>486</v>
      </c>
      <c r="K13" s="37">
        <v>17796</v>
      </c>
      <c r="L13" s="154">
        <v>4.25</v>
      </c>
      <c r="M13" s="34" t="s">
        <v>70</v>
      </c>
    </row>
    <row r="14" spans="1:19" x14ac:dyDescent="0.3">
      <c r="A14" s="34">
        <v>10</v>
      </c>
      <c r="B14" s="35" t="s">
        <v>279</v>
      </c>
      <c r="C14" s="35" t="s">
        <v>163</v>
      </c>
      <c r="D14" s="8">
        <v>16198</v>
      </c>
      <c r="E14" s="8">
        <v>0</v>
      </c>
      <c r="F14" s="8">
        <v>0</v>
      </c>
      <c r="G14" s="8">
        <v>0</v>
      </c>
      <c r="H14">
        <f>16-2</f>
        <v>14</v>
      </c>
      <c r="I14" s="8">
        <f t="shared" si="0"/>
        <v>16212</v>
      </c>
      <c r="J14" s="34" t="s">
        <v>487</v>
      </c>
      <c r="K14" s="37">
        <v>17167</v>
      </c>
      <c r="L14" s="154">
        <v>6</v>
      </c>
      <c r="M14" s="34" t="s">
        <v>71</v>
      </c>
    </row>
    <row r="15" spans="1:19" x14ac:dyDescent="0.3">
      <c r="A15" s="34">
        <v>11</v>
      </c>
      <c r="B15" s="35" t="s">
        <v>282</v>
      </c>
      <c r="C15" s="35" t="s">
        <v>189</v>
      </c>
      <c r="D15" s="8">
        <v>82092</v>
      </c>
      <c r="E15" s="8">
        <v>0</v>
      </c>
      <c r="F15" s="8">
        <v>0</v>
      </c>
      <c r="G15" s="8">
        <v>0</v>
      </c>
      <c r="H15" s="8">
        <f>3294-329</f>
        <v>2965</v>
      </c>
      <c r="I15" s="8">
        <f t="shared" si="0"/>
        <v>85057</v>
      </c>
      <c r="J15" s="34" t="s">
        <v>488</v>
      </c>
      <c r="K15" s="36">
        <v>94263</v>
      </c>
      <c r="L15" s="34">
        <v>7</v>
      </c>
      <c r="M15" s="34" t="s">
        <v>71</v>
      </c>
    </row>
    <row r="16" spans="1:19" x14ac:dyDescent="0.3">
      <c r="A16" s="34">
        <v>12</v>
      </c>
      <c r="B16" s="35" t="s">
        <v>205</v>
      </c>
      <c r="C16" s="35" t="s">
        <v>156</v>
      </c>
      <c r="D16" s="8">
        <v>12933</v>
      </c>
      <c r="E16" s="8">
        <v>0</v>
      </c>
      <c r="F16" s="8">
        <v>0</v>
      </c>
      <c r="G16" s="8">
        <f>151-16</f>
        <v>135</v>
      </c>
      <c r="H16" s="8">
        <f>937-92</f>
        <v>845</v>
      </c>
      <c r="I16" s="8">
        <f t="shared" si="0"/>
        <v>13913</v>
      </c>
      <c r="J16" s="34" t="s">
        <v>489</v>
      </c>
      <c r="K16" s="37">
        <v>15918</v>
      </c>
      <c r="L16" s="154">
        <v>7</v>
      </c>
      <c r="M16" s="34" t="s">
        <v>71</v>
      </c>
    </row>
    <row r="17" spans="1:13" x14ac:dyDescent="0.3">
      <c r="A17" s="34">
        <v>13</v>
      </c>
      <c r="B17" s="35" t="s">
        <v>284</v>
      </c>
      <c r="C17" s="35" t="s">
        <v>162</v>
      </c>
      <c r="D17" s="8">
        <v>30747</v>
      </c>
      <c r="E17" s="8">
        <v>0</v>
      </c>
      <c r="F17" s="8">
        <v>0</v>
      </c>
      <c r="G17" s="8">
        <v>0</v>
      </c>
      <c r="H17" s="8">
        <f>263-26</f>
        <v>237</v>
      </c>
      <c r="I17" s="8">
        <f t="shared" si="0"/>
        <v>30984</v>
      </c>
      <c r="J17" s="34" t="s">
        <v>490</v>
      </c>
      <c r="K17" s="36">
        <v>37294</v>
      </c>
      <c r="L17" s="154">
        <v>6.5</v>
      </c>
      <c r="M17" s="34" t="s">
        <v>71</v>
      </c>
    </row>
    <row r="18" spans="1:13" x14ac:dyDescent="0.3">
      <c r="A18" s="34">
        <v>14</v>
      </c>
      <c r="B18" s="35" t="s">
        <v>283</v>
      </c>
      <c r="C18" s="46" t="s">
        <v>163</v>
      </c>
      <c r="D18" s="8">
        <v>14958</v>
      </c>
      <c r="E18" s="8">
        <v>0</v>
      </c>
      <c r="F18" s="8">
        <v>0</v>
      </c>
      <c r="G18" s="8">
        <v>0</v>
      </c>
      <c r="H18" s="8">
        <f>14-1</f>
        <v>13</v>
      </c>
      <c r="I18" s="8">
        <f t="shared" si="0"/>
        <v>14971</v>
      </c>
      <c r="J18" s="47" t="s">
        <v>491</v>
      </c>
      <c r="K18" s="36">
        <v>17114</v>
      </c>
      <c r="L18" s="154">
        <v>6.8</v>
      </c>
      <c r="M18" s="34" t="s">
        <v>71</v>
      </c>
    </row>
    <row r="19" spans="1:13" x14ac:dyDescent="0.3">
      <c r="A19" s="34">
        <v>15</v>
      </c>
      <c r="B19" s="35" t="s">
        <v>207</v>
      </c>
      <c r="C19" s="35" t="s">
        <v>166</v>
      </c>
      <c r="D19" s="8">
        <v>3151</v>
      </c>
      <c r="E19" s="8">
        <v>0</v>
      </c>
      <c r="F19" s="8">
        <v>0</v>
      </c>
      <c r="G19" s="8">
        <f>14-1</f>
        <v>13</v>
      </c>
      <c r="H19" s="8">
        <f>235-24</f>
        <v>211</v>
      </c>
      <c r="I19" s="8">
        <f t="shared" si="0"/>
        <v>3375</v>
      </c>
      <c r="J19" s="34" t="s">
        <v>492</v>
      </c>
      <c r="K19" s="37">
        <v>3638</v>
      </c>
      <c r="L19" s="154">
        <v>7.25</v>
      </c>
      <c r="M19" s="34" t="s">
        <v>71</v>
      </c>
    </row>
    <row r="20" spans="1:13" x14ac:dyDescent="0.3">
      <c r="A20" s="34">
        <v>16</v>
      </c>
      <c r="B20" s="35" t="s">
        <v>172</v>
      </c>
      <c r="C20" s="35" t="s">
        <v>173</v>
      </c>
      <c r="D20" s="8">
        <v>9859</v>
      </c>
      <c r="E20" s="8">
        <v>0</v>
      </c>
      <c r="F20" s="8">
        <f>23-2</f>
        <v>21</v>
      </c>
      <c r="G20" s="8">
        <f>718-71</f>
        <v>647</v>
      </c>
      <c r="H20" s="8">
        <f>766-78</f>
        <v>688</v>
      </c>
      <c r="I20" s="8">
        <f t="shared" si="0"/>
        <v>11215</v>
      </c>
      <c r="J20" s="34" t="s">
        <v>185</v>
      </c>
      <c r="K20" s="36">
        <v>12176</v>
      </c>
      <c r="L20" s="154">
        <v>7.1</v>
      </c>
      <c r="M20" s="34" t="s">
        <v>71</v>
      </c>
    </row>
    <row r="21" spans="1:13" x14ac:dyDescent="0.3">
      <c r="A21" s="34">
        <v>17</v>
      </c>
      <c r="B21" s="35" t="s">
        <v>226</v>
      </c>
      <c r="C21" s="35" t="s">
        <v>188</v>
      </c>
      <c r="D21" s="8">
        <v>10012</v>
      </c>
      <c r="E21" s="8">
        <v>0</v>
      </c>
      <c r="F21" s="8">
        <v>0</v>
      </c>
      <c r="G21" s="8">
        <f>10-1</f>
        <v>9</v>
      </c>
      <c r="H21" s="8">
        <f>771-77</f>
        <v>694</v>
      </c>
      <c r="I21" s="8">
        <f t="shared" si="0"/>
        <v>10715</v>
      </c>
      <c r="J21" s="34" t="s">
        <v>253</v>
      </c>
      <c r="K21" s="36">
        <v>11054</v>
      </c>
      <c r="L21" s="154">
        <v>7.5</v>
      </c>
      <c r="M21" s="34" t="s">
        <v>71</v>
      </c>
    </row>
    <row r="22" spans="1:13" ht="15" thickBot="1" x14ac:dyDescent="0.35">
      <c r="A22" s="86"/>
      <c r="B22" s="87"/>
      <c r="C22" s="87"/>
      <c r="D22" s="88">
        <f>SUM(D5:D21)</f>
        <v>518797</v>
      </c>
      <c r="E22" s="88">
        <f t="shared" ref="E22:I22" si="1">SUM(E5:E21)</f>
        <v>0</v>
      </c>
      <c r="F22" s="88">
        <f t="shared" si="1"/>
        <v>21</v>
      </c>
      <c r="G22" s="88">
        <f t="shared" si="1"/>
        <v>804</v>
      </c>
      <c r="H22" s="88">
        <f t="shared" si="1"/>
        <v>9167</v>
      </c>
      <c r="I22" s="88">
        <f t="shared" si="1"/>
        <v>528789</v>
      </c>
      <c r="J22" s="86"/>
      <c r="K22" s="88">
        <f>SUM(K5:K21)</f>
        <v>566265</v>
      </c>
      <c r="L22" s="86"/>
      <c r="M22" s="86"/>
    </row>
    <row r="23" spans="1:13" x14ac:dyDescent="0.3">
      <c r="B23" s="1" t="s">
        <v>7</v>
      </c>
      <c r="D23" s="9"/>
      <c r="E23" s="9"/>
      <c r="F23" s="9"/>
      <c r="G23" s="9"/>
      <c r="H23" s="9"/>
      <c r="I23" s="9"/>
    </row>
    <row r="24" spans="1:13" x14ac:dyDescent="0.3">
      <c r="A24" s="34">
        <v>18</v>
      </c>
      <c r="B24" s="35" t="s">
        <v>159</v>
      </c>
      <c r="C24" s="35" t="s">
        <v>72</v>
      </c>
      <c r="D24" s="8">
        <v>14705</v>
      </c>
      <c r="E24" s="8">
        <v>418</v>
      </c>
      <c r="F24" s="8">
        <f>850</f>
        <v>850</v>
      </c>
      <c r="G24" s="8">
        <f>898</f>
        <v>898</v>
      </c>
      <c r="H24" s="8">
        <v>947</v>
      </c>
      <c r="I24" s="8">
        <f>SUM(D24:H24)</f>
        <v>17818</v>
      </c>
      <c r="J24" s="34" t="s">
        <v>165</v>
      </c>
      <c r="K24" s="8">
        <v>19323</v>
      </c>
      <c r="L24" s="154">
        <v>5.5</v>
      </c>
      <c r="M24" s="34" t="s">
        <v>70</v>
      </c>
    </row>
    <row r="25" spans="1:13" x14ac:dyDescent="0.3">
      <c r="A25" s="34">
        <v>19</v>
      </c>
      <c r="B25" s="35" t="s">
        <v>209</v>
      </c>
      <c r="C25" s="35" t="s">
        <v>156</v>
      </c>
      <c r="D25" s="8">
        <v>162273</v>
      </c>
      <c r="E25" s="8">
        <v>0</v>
      </c>
      <c r="F25" s="8">
        <v>0</v>
      </c>
      <c r="G25" s="8">
        <f>1893-189</f>
        <v>1704</v>
      </c>
      <c r="H25" s="8">
        <f>11753-1174</f>
        <v>10579</v>
      </c>
      <c r="I25" s="8">
        <f t="shared" ref="I25:I29" si="2">SUM(D25:H25)</f>
        <v>174556</v>
      </c>
      <c r="J25" s="34" t="s">
        <v>206</v>
      </c>
      <c r="K25" s="37">
        <v>199732</v>
      </c>
      <c r="L25" s="154">
        <v>7</v>
      </c>
      <c r="M25" s="34" t="s">
        <v>71</v>
      </c>
    </row>
    <row r="26" spans="1:13" x14ac:dyDescent="0.3">
      <c r="A26" s="34">
        <v>20</v>
      </c>
      <c r="B26" s="35" t="s">
        <v>287</v>
      </c>
      <c r="C26" s="35" t="s">
        <v>162</v>
      </c>
      <c r="D26" s="8">
        <v>118712</v>
      </c>
      <c r="E26" s="8">
        <v>0</v>
      </c>
      <c r="F26" s="8">
        <v>0</v>
      </c>
      <c r="G26" s="8">
        <v>0</v>
      </c>
      <c r="H26" s="8">
        <f>1016-102</f>
        <v>914</v>
      </c>
      <c r="I26" s="8">
        <f t="shared" si="2"/>
        <v>119626</v>
      </c>
      <c r="J26" s="34" t="s">
        <v>162</v>
      </c>
      <c r="K26" s="8">
        <v>143990</v>
      </c>
      <c r="L26" s="154">
        <v>6.5</v>
      </c>
      <c r="M26" s="34" t="s">
        <v>71</v>
      </c>
    </row>
    <row r="27" spans="1:13" x14ac:dyDescent="0.3">
      <c r="A27" s="34">
        <v>21</v>
      </c>
      <c r="B27" s="35" t="s">
        <v>169</v>
      </c>
      <c r="C27" s="35" t="s">
        <v>73</v>
      </c>
      <c r="D27" s="8">
        <v>80487</v>
      </c>
      <c r="E27" s="8">
        <v>0</v>
      </c>
      <c r="F27" s="8">
        <f>922-92</f>
        <v>830</v>
      </c>
      <c r="G27" s="8">
        <f>5913-590</f>
        <v>5323</v>
      </c>
      <c r="H27" s="8">
        <f>6300-629</f>
        <v>5671</v>
      </c>
      <c r="I27" s="8">
        <f t="shared" si="2"/>
        <v>92311</v>
      </c>
      <c r="J27" s="34" t="s">
        <v>186</v>
      </c>
      <c r="K27" s="8">
        <v>99387</v>
      </c>
      <c r="L27" s="154">
        <v>7.1</v>
      </c>
      <c r="M27" s="34" t="s">
        <v>71</v>
      </c>
    </row>
    <row r="28" spans="1:13" x14ac:dyDescent="0.3">
      <c r="A28" s="34">
        <v>22</v>
      </c>
      <c r="B28" s="48" t="s">
        <v>210</v>
      </c>
      <c r="C28" s="35" t="s">
        <v>157</v>
      </c>
      <c r="D28" s="8">
        <v>40950</v>
      </c>
      <c r="E28" s="8">
        <v>0</v>
      </c>
      <c r="F28" s="8">
        <v>0</v>
      </c>
      <c r="G28" s="8">
        <f>107-11</f>
        <v>96</v>
      </c>
      <c r="H28" s="8">
        <f>3158-315</f>
        <v>2843</v>
      </c>
      <c r="I28" s="8">
        <f t="shared" si="2"/>
        <v>43889</v>
      </c>
      <c r="J28" s="34" t="s">
        <v>194</v>
      </c>
      <c r="K28" s="37">
        <v>45205</v>
      </c>
      <c r="L28" s="154">
        <v>7.5</v>
      </c>
      <c r="M28" s="34" t="s">
        <v>71</v>
      </c>
    </row>
    <row r="29" spans="1:13" x14ac:dyDescent="0.3">
      <c r="A29" s="34">
        <v>23</v>
      </c>
      <c r="B29" s="48" t="s">
        <v>211</v>
      </c>
      <c r="C29" s="35" t="s">
        <v>166</v>
      </c>
      <c r="D29" s="8">
        <v>2293</v>
      </c>
      <c r="E29" s="8">
        <v>0</v>
      </c>
      <c r="F29" s="8">
        <v>0</v>
      </c>
      <c r="G29" s="8">
        <f>10-1</f>
        <v>9</v>
      </c>
      <c r="H29" s="8">
        <f>171-18</f>
        <v>153</v>
      </c>
      <c r="I29" s="8">
        <f t="shared" si="2"/>
        <v>2455</v>
      </c>
      <c r="J29" s="34" t="s">
        <v>208</v>
      </c>
      <c r="K29" s="37">
        <v>2647</v>
      </c>
      <c r="L29" s="154">
        <v>7.25</v>
      </c>
      <c r="M29" s="34" t="s">
        <v>71</v>
      </c>
    </row>
    <row r="30" spans="1:13" ht="15" thickBot="1" x14ac:dyDescent="0.35">
      <c r="A30" s="86"/>
      <c r="B30" s="87"/>
      <c r="C30" s="87"/>
      <c r="D30" s="88">
        <f>SUM(D24:D29)</f>
        <v>419420</v>
      </c>
      <c r="E30" s="88">
        <f t="shared" ref="E30:I30" si="3">SUM(E24:E29)</f>
        <v>418</v>
      </c>
      <c r="F30" s="88">
        <f t="shared" si="3"/>
        <v>1680</v>
      </c>
      <c r="G30" s="88">
        <f t="shared" si="3"/>
        <v>8030</v>
      </c>
      <c r="H30" s="88">
        <f t="shared" si="3"/>
        <v>21107</v>
      </c>
      <c r="I30" s="88">
        <f t="shared" si="3"/>
        <v>450655</v>
      </c>
      <c r="J30" s="89"/>
      <c r="K30" s="88">
        <f>SUM(K24:K29)</f>
        <v>510284</v>
      </c>
      <c r="L30" s="86"/>
      <c r="M30" s="86"/>
    </row>
    <row r="31" spans="1:13" x14ac:dyDescent="0.3">
      <c r="D31" s="9"/>
      <c r="E31" s="9"/>
      <c r="F31" s="9"/>
      <c r="G31" s="9"/>
      <c r="H31" s="9"/>
      <c r="I31" s="9"/>
    </row>
    <row r="32" spans="1:13" x14ac:dyDescent="0.3">
      <c r="B32" s="1" t="s">
        <v>16</v>
      </c>
      <c r="D32" s="9"/>
      <c r="E32" s="9"/>
      <c r="F32" s="9"/>
      <c r="G32" s="9"/>
      <c r="H32" s="9"/>
      <c r="I32" s="9"/>
    </row>
    <row r="33" spans="1:13" x14ac:dyDescent="0.3">
      <c r="A33" s="34">
        <v>24</v>
      </c>
      <c r="B33" s="35" t="s">
        <v>74</v>
      </c>
      <c r="C33" s="35" t="s">
        <v>72</v>
      </c>
      <c r="D33" s="8">
        <v>5500</v>
      </c>
      <c r="E33" s="8">
        <v>0</v>
      </c>
      <c r="F33" s="8">
        <v>0</v>
      </c>
      <c r="G33" s="8">
        <v>0</v>
      </c>
      <c r="H33" s="8">
        <v>0</v>
      </c>
      <c r="I33" s="8">
        <f>SUM(D33:H33)</f>
        <v>5500</v>
      </c>
      <c r="J33" s="34" t="s">
        <v>165</v>
      </c>
      <c r="K33" s="8">
        <v>5500</v>
      </c>
      <c r="L33" s="154">
        <v>5.5</v>
      </c>
      <c r="M33" s="34" t="s">
        <v>70</v>
      </c>
    </row>
    <row r="34" spans="1:13" x14ac:dyDescent="0.3">
      <c r="A34" s="34">
        <v>25</v>
      </c>
      <c r="B34" s="35" t="s">
        <v>229</v>
      </c>
      <c r="C34" s="35" t="s">
        <v>157</v>
      </c>
      <c r="D34" s="8">
        <v>5500</v>
      </c>
      <c r="E34" s="8">
        <v>0</v>
      </c>
      <c r="F34" s="8">
        <v>0</v>
      </c>
      <c r="G34" s="8">
        <v>0</v>
      </c>
      <c r="H34" s="8">
        <v>0</v>
      </c>
      <c r="I34" s="8">
        <f>SUM(D34:H34)</f>
        <v>5500</v>
      </c>
      <c r="J34" s="34" t="s">
        <v>493</v>
      </c>
      <c r="K34" s="8">
        <v>5500</v>
      </c>
      <c r="L34" s="154">
        <v>7.5</v>
      </c>
      <c r="M34" s="34" t="s">
        <v>71</v>
      </c>
    </row>
    <row r="35" spans="1:13" ht="15" thickBot="1" x14ac:dyDescent="0.35">
      <c r="A35" s="86"/>
      <c r="B35" s="87"/>
      <c r="C35" s="87"/>
      <c r="D35" s="88">
        <f>SUM(D33:D34)</f>
        <v>11000</v>
      </c>
      <c r="E35" s="88">
        <f t="shared" ref="E35:I35" si="4">SUM(E33:E34)</f>
        <v>0</v>
      </c>
      <c r="F35" s="88">
        <f t="shared" si="4"/>
        <v>0</v>
      </c>
      <c r="G35" s="88">
        <f t="shared" si="4"/>
        <v>0</v>
      </c>
      <c r="H35" s="88">
        <f t="shared" si="4"/>
        <v>0</v>
      </c>
      <c r="I35" s="88">
        <f t="shared" si="4"/>
        <v>11000</v>
      </c>
      <c r="J35" s="86"/>
      <c r="K35" s="88">
        <f>SUM(K33:K34)</f>
        <v>11000</v>
      </c>
      <c r="L35" s="86"/>
      <c r="M35" s="86"/>
    </row>
    <row r="36" spans="1:13" x14ac:dyDescent="0.3">
      <c r="D36" s="9"/>
      <c r="E36" s="9"/>
      <c r="F36" s="9"/>
      <c r="G36" s="9"/>
      <c r="H36" s="9"/>
      <c r="I36" s="9"/>
    </row>
    <row r="37" spans="1:13" x14ac:dyDescent="0.3">
      <c r="B37" s="1" t="s">
        <v>75</v>
      </c>
      <c r="D37" s="9"/>
      <c r="E37" s="9"/>
      <c r="F37" s="9"/>
      <c r="G37" s="9"/>
      <c r="H37" s="9"/>
      <c r="I37" s="9"/>
    </row>
    <row r="38" spans="1:13" x14ac:dyDescent="0.3">
      <c r="A38" s="34">
        <v>26</v>
      </c>
      <c r="B38" s="35" t="s">
        <v>281</v>
      </c>
      <c r="C38" s="35" t="s">
        <v>163</v>
      </c>
      <c r="D38" s="8">
        <v>199257</v>
      </c>
      <c r="E38" s="8">
        <v>0</v>
      </c>
      <c r="F38" s="8">
        <v>0</v>
      </c>
      <c r="G38" s="8">
        <v>0</v>
      </c>
      <c r="H38" s="8">
        <f>174-18</f>
        <v>156</v>
      </c>
      <c r="I38" s="8">
        <f>SUM(D38:H38)</f>
        <v>199413</v>
      </c>
      <c r="J38" s="34" t="s">
        <v>494</v>
      </c>
      <c r="K38" s="8">
        <v>241714</v>
      </c>
      <c r="L38" s="154">
        <v>6.5</v>
      </c>
      <c r="M38" s="34" t="s">
        <v>71</v>
      </c>
    </row>
    <row r="39" spans="1:13" x14ac:dyDescent="0.3">
      <c r="A39" s="34">
        <v>27</v>
      </c>
      <c r="B39" s="35" t="s">
        <v>167</v>
      </c>
      <c r="C39" s="35" t="s">
        <v>76</v>
      </c>
      <c r="D39" s="8">
        <v>94497</v>
      </c>
      <c r="E39" s="8">
        <v>0</v>
      </c>
      <c r="F39" s="8">
        <f>4126-413</f>
        <v>3713</v>
      </c>
      <c r="G39" s="8">
        <f>7142-715</f>
        <v>6427</v>
      </c>
      <c r="H39" s="8">
        <f>7609-761</f>
        <v>6848</v>
      </c>
      <c r="I39" s="8">
        <f t="shared" ref="I39:I43" si="5">SUM(D39:H39)</f>
        <v>111485</v>
      </c>
      <c r="J39" s="34" t="s">
        <v>187</v>
      </c>
      <c r="K39" s="8">
        <v>116628</v>
      </c>
      <c r="L39" s="154">
        <v>7.1</v>
      </c>
      <c r="M39" s="34" t="s">
        <v>71</v>
      </c>
    </row>
    <row r="40" spans="1:13" x14ac:dyDescent="0.3">
      <c r="A40" s="34">
        <v>28</v>
      </c>
      <c r="B40" s="48" t="s">
        <v>212</v>
      </c>
      <c r="C40" s="35" t="s">
        <v>156</v>
      </c>
      <c r="D40" s="8">
        <v>251777</v>
      </c>
      <c r="E40" s="8">
        <v>0</v>
      </c>
      <c r="F40" s="8">
        <v>0</v>
      </c>
      <c r="G40" s="8">
        <f>2937-294</f>
        <v>2643</v>
      </c>
      <c r="H40" s="8">
        <f>18235-1824</f>
        <v>16411</v>
      </c>
      <c r="I40" s="8">
        <f t="shared" si="5"/>
        <v>270831</v>
      </c>
      <c r="J40" s="34" t="s">
        <v>206</v>
      </c>
      <c r="K40" s="37">
        <v>309897</v>
      </c>
      <c r="L40" s="154">
        <v>7</v>
      </c>
      <c r="M40" s="34" t="s">
        <v>71</v>
      </c>
    </row>
    <row r="41" spans="1:13" x14ac:dyDescent="0.3">
      <c r="A41" s="34">
        <v>29</v>
      </c>
      <c r="B41" s="35" t="s">
        <v>213</v>
      </c>
      <c r="C41" s="35" t="s">
        <v>156</v>
      </c>
      <c r="D41" s="8">
        <v>406004.75</v>
      </c>
      <c r="E41" s="8">
        <v>0</v>
      </c>
      <c r="F41" s="8">
        <v>0</v>
      </c>
      <c r="G41" s="8">
        <f>4737-474</f>
        <v>4263</v>
      </c>
      <c r="H41" s="8">
        <f>29404-2939</f>
        <v>26465</v>
      </c>
      <c r="I41" s="8">
        <f t="shared" si="5"/>
        <v>436732.75</v>
      </c>
      <c r="J41" s="34" t="s">
        <v>206</v>
      </c>
      <c r="K41" s="37">
        <v>499425.75</v>
      </c>
      <c r="L41" s="154">
        <v>7</v>
      </c>
      <c r="M41" s="34" t="s">
        <v>71</v>
      </c>
    </row>
    <row r="42" spans="1:13" x14ac:dyDescent="0.3">
      <c r="A42" s="34">
        <v>30</v>
      </c>
      <c r="B42" s="35" t="s">
        <v>286</v>
      </c>
      <c r="C42" s="35" t="s">
        <v>206</v>
      </c>
      <c r="D42" s="8">
        <v>349263.75</v>
      </c>
      <c r="E42" s="8">
        <v>0</v>
      </c>
      <c r="F42" s="8">
        <v>0</v>
      </c>
      <c r="G42" s="8">
        <v>0</v>
      </c>
      <c r="H42" s="8">
        <f>2990-299</f>
        <v>2691</v>
      </c>
      <c r="I42" s="8">
        <f t="shared" si="5"/>
        <v>351954.75</v>
      </c>
      <c r="J42" s="34" t="s">
        <v>490</v>
      </c>
      <c r="K42" s="8">
        <v>423633.75</v>
      </c>
      <c r="L42" s="154">
        <v>6.5</v>
      </c>
      <c r="M42" s="34" t="s">
        <v>71</v>
      </c>
    </row>
    <row r="43" spans="1:13" x14ac:dyDescent="0.3">
      <c r="A43" s="34">
        <v>31</v>
      </c>
      <c r="B43" s="35" t="s">
        <v>214</v>
      </c>
      <c r="C43" s="35" t="s">
        <v>166</v>
      </c>
      <c r="D43" s="8">
        <v>184844</v>
      </c>
      <c r="E43" s="8">
        <v>0</v>
      </c>
      <c r="F43" s="8">
        <v>0</v>
      </c>
      <c r="G43" s="8">
        <f>793-79</f>
        <v>714</v>
      </c>
      <c r="H43" s="8">
        <f>13785-1379</f>
        <v>12406</v>
      </c>
      <c r="I43" s="8">
        <f t="shared" si="5"/>
        <v>197964</v>
      </c>
      <c r="J43" s="34" t="s">
        <v>492</v>
      </c>
      <c r="K43" s="37">
        <v>213410</v>
      </c>
      <c r="L43" s="154">
        <v>7.25</v>
      </c>
      <c r="M43" s="34" t="s">
        <v>71</v>
      </c>
    </row>
    <row r="44" spans="1:13" ht="15" thickBot="1" x14ac:dyDescent="0.35">
      <c r="A44" s="86"/>
      <c r="B44" s="87"/>
      <c r="C44" s="87"/>
      <c r="D44" s="88">
        <f>SUM(D38:D43)</f>
        <v>1485643.5</v>
      </c>
      <c r="E44" s="88">
        <f t="shared" ref="E44:I44" si="6">SUM(E38:E43)</f>
        <v>0</v>
      </c>
      <c r="F44" s="88">
        <f t="shared" si="6"/>
        <v>3713</v>
      </c>
      <c r="G44" s="88">
        <f t="shared" si="6"/>
        <v>14047</v>
      </c>
      <c r="H44" s="88">
        <f t="shared" si="6"/>
        <v>64977</v>
      </c>
      <c r="I44" s="88">
        <f t="shared" si="6"/>
        <v>1568380.5</v>
      </c>
      <c r="J44" s="86"/>
      <c r="K44" s="88">
        <f>SUM(K38:K43)</f>
        <v>1804708.5</v>
      </c>
      <c r="L44" s="86"/>
      <c r="M44" s="86"/>
    </row>
    <row r="45" spans="1:13" x14ac:dyDescent="0.3">
      <c r="D45" s="9"/>
      <c r="E45" s="9"/>
      <c r="F45" s="9"/>
      <c r="G45" s="9"/>
      <c r="H45" s="9"/>
      <c r="I45" s="9"/>
    </row>
    <row r="46" spans="1:13" x14ac:dyDescent="0.3">
      <c r="B46" s="1" t="s">
        <v>77</v>
      </c>
      <c r="D46" s="9"/>
      <c r="E46" s="9"/>
      <c r="F46" s="9"/>
      <c r="G46" s="9"/>
      <c r="H46" s="9"/>
      <c r="I46" s="9"/>
    </row>
    <row r="47" spans="1:13" x14ac:dyDescent="0.3">
      <c r="A47" s="34">
        <v>32</v>
      </c>
      <c r="B47" s="35" t="s">
        <v>280</v>
      </c>
      <c r="C47" s="35" t="s">
        <v>163</v>
      </c>
      <c r="D47" s="8">
        <v>48831</v>
      </c>
      <c r="E47" s="8">
        <v>0</v>
      </c>
      <c r="F47" s="8">
        <v>0</v>
      </c>
      <c r="G47" s="8">
        <v>0</v>
      </c>
      <c r="H47" s="8">
        <f>48-5</f>
        <v>43</v>
      </c>
      <c r="I47" s="8">
        <f>SUM(D47:H47)</f>
        <v>48874</v>
      </c>
      <c r="J47" s="34" t="s">
        <v>487</v>
      </c>
      <c r="K47" s="37">
        <v>51753</v>
      </c>
      <c r="L47" s="154">
        <v>6</v>
      </c>
      <c r="M47" s="34" t="s">
        <v>71</v>
      </c>
    </row>
    <row r="48" spans="1:13" x14ac:dyDescent="0.3">
      <c r="A48" s="34">
        <v>33</v>
      </c>
      <c r="B48" s="35" t="s">
        <v>215</v>
      </c>
      <c r="C48" s="35" t="s">
        <v>164</v>
      </c>
      <c r="D48" s="8">
        <v>66161</v>
      </c>
      <c r="E48" s="8">
        <v>0</v>
      </c>
      <c r="F48" s="8">
        <v>0</v>
      </c>
      <c r="G48" s="8">
        <f>2437-243</f>
        <v>2194</v>
      </c>
      <c r="H48" s="8">
        <f>4899-490</f>
        <v>4409</v>
      </c>
      <c r="I48" s="8">
        <f t="shared" ref="I48:I56" si="7">SUM(D48:H48)</f>
        <v>72764</v>
      </c>
      <c r="J48" s="34" t="s">
        <v>495</v>
      </c>
      <c r="K48" s="37">
        <v>75972</v>
      </c>
      <c r="L48" s="154">
        <v>7</v>
      </c>
      <c r="M48" s="34" t="s">
        <v>71</v>
      </c>
    </row>
    <row r="49" spans="1:13" x14ac:dyDescent="0.3">
      <c r="A49" s="34">
        <v>34</v>
      </c>
      <c r="B49" s="35" t="s">
        <v>217</v>
      </c>
      <c r="C49" s="35" t="s">
        <v>156</v>
      </c>
      <c r="D49" s="8">
        <v>38991</v>
      </c>
      <c r="E49" s="8">
        <v>0</v>
      </c>
      <c r="F49" s="8">
        <v>0</v>
      </c>
      <c r="G49" s="8">
        <f>455-45</f>
        <v>410</v>
      </c>
      <c r="H49" s="8">
        <f>2824-282</f>
        <v>2542</v>
      </c>
      <c r="I49" s="8">
        <f t="shared" si="7"/>
        <v>41943</v>
      </c>
      <c r="J49" s="34" t="s">
        <v>489</v>
      </c>
      <c r="K49" s="37">
        <v>47992</v>
      </c>
      <c r="L49" s="154">
        <v>7</v>
      </c>
      <c r="M49" s="34" t="s">
        <v>71</v>
      </c>
    </row>
    <row r="50" spans="1:13" x14ac:dyDescent="0.3">
      <c r="A50" s="34">
        <v>35</v>
      </c>
      <c r="B50" s="35" t="s">
        <v>218</v>
      </c>
      <c r="C50" s="35" t="s">
        <v>156</v>
      </c>
      <c r="D50" s="8">
        <v>516271</v>
      </c>
      <c r="E50" s="8">
        <v>0</v>
      </c>
      <c r="F50" s="8">
        <v>0</v>
      </c>
      <c r="G50" s="8">
        <f>6023-602</f>
        <v>5421</v>
      </c>
      <c r="H50" s="8">
        <f>37390-3739</f>
        <v>33651</v>
      </c>
      <c r="I50" s="8">
        <f t="shared" si="7"/>
        <v>555343</v>
      </c>
      <c r="J50" s="34" t="s">
        <v>489</v>
      </c>
      <c r="K50" s="37">
        <v>635446</v>
      </c>
      <c r="L50" s="154">
        <v>7</v>
      </c>
      <c r="M50" s="34" t="s">
        <v>71</v>
      </c>
    </row>
    <row r="51" spans="1:13" x14ac:dyDescent="0.3">
      <c r="A51" s="34">
        <v>36</v>
      </c>
      <c r="B51" s="35" t="s">
        <v>285</v>
      </c>
      <c r="C51" s="35" t="s">
        <v>162</v>
      </c>
      <c r="D51" s="8">
        <v>49407</v>
      </c>
      <c r="E51" s="8">
        <v>0</v>
      </c>
      <c r="F51" s="8">
        <v>0</v>
      </c>
      <c r="G51" s="8">
        <v>0</v>
      </c>
      <c r="H51" s="8">
        <f>423-42</f>
        <v>381</v>
      </c>
      <c r="I51" s="8">
        <f t="shared" si="7"/>
        <v>49788</v>
      </c>
      <c r="J51" s="34" t="s">
        <v>490</v>
      </c>
      <c r="K51" s="8">
        <v>59927</v>
      </c>
      <c r="L51" s="154">
        <v>6.5</v>
      </c>
      <c r="M51" s="34" t="s">
        <v>71</v>
      </c>
    </row>
    <row r="52" spans="1:13" x14ac:dyDescent="0.3">
      <c r="A52" s="34">
        <v>37</v>
      </c>
      <c r="B52" s="35" t="s">
        <v>168</v>
      </c>
      <c r="C52" s="35" t="s">
        <v>73</v>
      </c>
      <c r="D52" s="8">
        <v>24357</v>
      </c>
      <c r="E52" s="8">
        <v>0</v>
      </c>
      <c r="F52" s="8">
        <f>279-27</f>
        <v>252</v>
      </c>
      <c r="G52" s="8">
        <f>1789-179</f>
        <v>1610</v>
      </c>
      <c r="H52" s="8">
        <f>1907-192</f>
        <v>1715</v>
      </c>
      <c r="I52" s="8">
        <f t="shared" si="7"/>
        <v>27934</v>
      </c>
      <c r="J52" s="34" t="s">
        <v>186</v>
      </c>
      <c r="K52" s="8">
        <v>30077</v>
      </c>
      <c r="L52" s="154">
        <v>7.1</v>
      </c>
      <c r="M52" s="34" t="s">
        <v>71</v>
      </c>
    </row>
    <row r="53" spans="1:13" x14ac:dyDescent="0.3">
      <c r="A53" s="34">
        <v>38</v>
      </c>
      <c r="B53" s="35" t="s">
        <v>219</v>
      </c>
      <c r="C53" s="35" t="s">
        <v>157</v>
      </c>
      <c r="D53" s="8">
        <v>35524</v>
      </c>
      <c r="E53" s="8">
        <v>0</v>
      </c>
      <c r="F53" s="8">
        <v>0</v>
      </c>
      <c r="G53" s="8">
        <f>87-8</f>
        <v>79</v>
      </c>
      <c r="H53" s="8">
        <f>2552-253</f>
        <v>2299</v>
      </c>
      <c r="I53" s="8">
        <f t="shared" si="7"/>
        <v>37902</v>
      </c>
      <c r="J53" s="34" t="s">
        <v>194</v>
      </c>
      <c r="K53" s="37">
        <v>43731</v>
      </c>
      <c r="L53" s="154">
        <v>7</v>
      </c>
      <c r="M53" s="34" t="s">
        <v>71</v>
      </c>
    </row>
    <row r="54" spans="1:13" x14ac:dyDescent="0.3">
      <c r="A54" s="34">
        <v>39</v>
      </c>
      <c r="B54" s="35" t="s">
        <v>220</v>
      </c>
      <c r="C54" s="35" t="s">
        <v>166</v>
      </c>
      <c r="D54" s="8">
        <v>36043</v>
      </c>
      <c r="E54" s="8">
        <v>0</v>
      </c>
      <c r="F54" s="8">
        <v>0</v>
      </c>
      <c r="G54" s="8">
        <f>155-16</f>
        <v>139</v>
      </c>
      <c r="H54" s="8">
        <f>2688-270</f>
        <v>2418</v>
      </c>
      <c r="I54" s="8">
        <f t="shared" si="7"/>
        <v>38600</v>
      </c>
      <c r="J54" s="34" t="s">
        <v>492</v>
      </c>
      <c r="K54" s="37">
        <v>41613</v>
      </c>
      <c r="L54" s="154">
        <v>7.25</v>
      </c>
      <c r="M54" s="34" t="s">
        <v>71</v>
      </c>
    </row>
    <row r="55" spans="1:13" x14ac:dyDescent="0.3">
      <c r="A55" s="34">
        <v>40</v>
      </c>
      <c r="B55" s="35" t="s">
        <v>174</v>
      </c>
      <c r="C55" s="35" t="s">
        <v>173</v>
      </c>
      <c r="D55" s="8">
        <v>48217</v>
      </c>
      <c r="E55" s="8">
        <v>0</v>
      </c>
      <c r="F55" s="8">
        <f>110-11</f>
        <v>99</v>
      </c>
      <c r="G55" s="8">
        <f>3514-352</f>
        <v>3162</v>
      </c>
      <c r="H55" s="8">
        <f>3743-374</f>
        <v>3369</v>
      </c>
      <c r="I55" s="8">
        <f t="shared" si="7"/>
        <v>54847</v>
      </c>
      <c r="J55" s="34" t="s">
        <v>185</v>
      </c>
      <c r="K55" s="8">
        <v>59549</v>
      </c>
      <c r="L55" s="154">
        <v>7.1</v>
      </c>
      <c r="M55" s="34" t="s">
        <v>71</v>
      </c>
    </row>
    <row r="56" spans="1:13" x14ac:dyDescent="0.3">
      <c r="A56" s="34">
        <v>41</v>
      </c>
      <c r="B56" s="35" t="s">
        <v>227</v>
      </c>
      <c r="C56" s="35" t="s">
        <v>188</v>
      </c>
      <c r="D56" s="8">
        <v>31702</v>
      </c>
      <c r="E56" s="8">
        <v>0</v>
      </c>
      <c r="F56" s="8">
        <v>0</v>
      </c>
      <c r="G56" s="8">
        <f>32-4</f>
        <v>28</v>
      </c>
      <c r="H56" s="8">
        <f>2441-244</f>
        <v>2197</v>
      </c>
      <c r="I56" s="8">
        <f t="shared" si="7"/>
        <v>33927</v>
      </c>
      <c r="J56" s="34" t="s">
        <v>253</v>
      </c>
      <c r="K56" s="8">
        <v>35002</v>
      </c>
      <c r="L56" s="154">
        <v>7.5</v>
      </c>
      <c r="M56" s="34" t="s">
        <v>71</v>
      </c>
    </row>
    <row r="57" spans="1:13" ht="15" thickBot="1" x14ac:dyDescent="0.35">
      <c r="A57" s="86"/>
      <c r="B57" s="87"/>
      <c r="C57" s="87"/>
      <c r="D57" s="88">
        <f>SUM(D47:D56)</f>
        <v>895504</v>
      </c>
      <c r="E57" s="88">
        <f t="shared" ref="E57:I57" si="8">SUM(E47:E56)</f>
        <v>0</v>
      </c>
      <c r="F57" s="88">
        <f t="shared" si="8"/>
        <v>351</v>
      </c>
      <c r="G57" s="88">
        <f t="shared" si="8"/>
        <v>13043</v>
      </c>
      <c r="H57" s="88">
        <f t="shared" si="8"/>
        <v>53024</v>
      </c>
      <c r="I57" s="88">
        <f t="shared" si="8"/>
        <v>961922</v>
      </c>
      <c r="J57" s="86"/>
      <c r="K57" s="88">
        <f>SUM(K47:K56)</f>
        <v>1081062</v>
      </c>
      <c r="L57" s="86"/>
      <c r="M57" s="86"/>
    </row>
    <row r="58" spans="1:13" x14ac:dyDescent="0.3">
      <c r="D58" s="9"/>
      <c r="E58" s="9"/>
      <c r="F58" s="9"/>
      <c r="G58" s="9"/>
      <c r="H58" s="9"/>
      <c r="I58" s="9"/>
    </row>
    <row r="59" spans="1:13" x14ac:dyDescent="0.3">
      <c r="B59" s="1" t="s">
        <v>78</v>
      </c>
      <c r="D59" s="9"/>
      <c r="E59" s="9"/>
      <c r="F59" s="9"/>
      <c r="G59" s="9"/>
      <c r="H59" s="9"/>
      <c r="I59" s="9"/>
    </row>
    <row r="60" spans="1:13" x14ac:dyDescent="0.3">
      <c r="A60" s="34">
        <v>42</v>
      </c>
      <c r="B60" s="35" t="s">
        <v>221</v>
      </c>
      <c r="C60" s="35" t="s">
        <v>164</v>
      </c>
      <c r="D60" s="8">
        <v>96723</v>
      </c>
      <c r="E60" s="8">
        <v>0</v>
      </c>
      <c r="F60" s="8">
        <v>0</v>
      </c>
      <c r="G60" s="8">
        <f>3562-356</f>
        <v>3206</v>
      </c>
      <c r="H60" s="8">
        <f>7162-717</f>
        <v>6445</v>
      </c>
      <c r="I60" s="8">
        <f>SUM(D60:H60)</f>
        <v>106374</v>
      </c>
      <c r="J60" s="34" t="s">
        <v>216</v>
      </c>
      <c r="K60" s="37">
        <v>111065</v>
      </c>
      <c r="L60" s="154">
        <v>7</v>
      </c>
      <c r="M60" s="34" t="s">
        <v>71</v>
      </c>
    </row>
    <row r="61" spans="1:13" x14ac:dyDescent="0.3">
      <c r="A61" s="34">
        <v>43</v>
      </c>
      <c r="B61" s="35" t="s">
        <v>170</v>
      </c>
      <c r="C61" s="35" t="s">
        <v>73</v>
      </c>
      <c r="D61" s="8">
        <v>28281</v>
      </c>
      <c r="E61" s="8">
        <v>0</v>
      </c>
      <c r="F61" s="8">
        <f>324-32</f>
        <v>292</v>
      </c>
      <c r="G61" s="8">
        <f>2078-208</f>
        <v>1870</v>
      </c>
      <c r="H61" s="8">
        <f>2213-222</f>
        <v>1991</v>
      </c>
      <c r="I61" s="8">
        <f>SUM(D61:H61)</f>
        <v>32434</v>
      </c>
      <c r="J61" s="34" t="s">
        <v>186</v>
      </c>
      <c r="K61" s="8">
        <v>34922</v>
      </c>
      <c r="L61" s="154">
        <v>7.1</v>
      </c>
      <c r="M61" s="34" t="s">
        <v>71</v>
      </c>
    </row>
    <row r="62" spans="1:13" x14ac:dyDescent="0.3">
      <c r="A62" s="34">
        <v>44</v>
      </c>
      <c r="B62" s="35" t="s">
        <v>222</v>
      </c>
      <c r="C62" s="35" t="s">
        <v>157</v>
      </c>
      <c r="D62" s="8">
        <v>34401</v>
      </c>
      <c r="E62" s="8">
        <v>0</v>
      </c>
      <c r="F62" s="8">
        <v>0</v>
      </c>
      <c r="G62" s="8">
        <f>90-9</f>
        <v>81</v>
      </c>
      <c r="H62" s="8">
        <f>2652-267</f>
        <v>2385</v>
      </c>
      <c r="I62" s="8">
        <f t="shared" ref="I62" si="9">SUM(D62:H62)</f>
        <v>36867</v>
      </c>
      <c r="J62" s="34" t="s">
        <v>194</v>
      </c>
      <c r="K62" s="37">
        <v>37976</v>
      </c>
      <c r="L62" s="154">
        <v>7.5</v>
      </c>
      <c r="M62" s="34" t="s">
        <v>71</v>
      </c>
    </row>
    <row r="63" spans="1:13" ht="15" thickBot="1" x14ac:dyDescent="0.35">
      <c r="A63" s="86"/>
      <c r="B63" s="87"/>
      <c r="C63" s="87"/>
      <c r="D63" s="88">
        <f>SUM(D60:D62)</f>
        <v>159405</v>
      </c>
      <c r="E63" s="88">
        <f t="shared" ref="E63:I63" si="10">SUM(E60:E62)</f>
        <v>0</v>
      </c>
      <c r="F63" s="88">
        <f t="shared" si="10"/>
        <v>292</v>
      </c>
      <c r="G63" s="88">
        <f t="shared" si="10"/>
        <v>5157</v>
      </c>
      <c r="H63" s="88">
        <f t="shared" si="10"/>
        <v>10821</v>
      </c>
      <c r="I63" s="88">
        <f t="shared" si="10"/>
        <v>175675</v>
      </c>
      <c r="J63" s="86"/>
      <c r="K63" s="88">
        <f>SUM(K60:K62)</f>
        <v>183963</v>
      </c>
      <c r="L63" s="86"/>
      <c r="M63" s="86"/>
    </row>
    <row r="64" spans="1:13" x14ac:dyDescent="0.3">
      <c r="D64" s="9"/>
      <c r="E64" s="9"/>
      <c r="F64" s="9"/>
      <c r="G64" s="9"/>
      <c r="H64" s="9"/>
      <c r="I64" s="9"/>
    </row>
    <row r="65" spans="1:13" x14ac:dyDescent="0.3">
      <c r="B65" s="1" t="s">
        <v>51</v>
      </c>
      <c r="D65" s="9"/>
      <c r="E65" s="9"/>
      <c r="F65" s="9"/>
      <c r="G65" s="9"/>
      <c r="H65" s="9"/>
      <c r="I65" s="9"/>
    </row>
    <row r="66" spans="1:13" x14ac:dyDescent="0.3">
      <c r="A66" s="34">
        <v>45</v>
      </c>
      <c r="B66" s="35" t="s">
        <v>171</v>
      </c>
      <c r="C66" s="35" t="s">
        <v>73</v>
      </c>
      <c r="D66" s="8">
        <v>15221</v>
      </c>
      <c r="E66" s="8">
        <v>0</v>
      </c>
      <c r="F66" s="8">
        <f>174-18</f>
        <v>156</v>
      </c>
      <c r="G66" s="8">
        <f>1119-112</f>
        <v>1007</v>
      </c>
      <c r="H66" s="8">
        <f>1191-119</f>
        <v>1072</v>
      </c>
      <c r="I66" s="8">
        <f>SUM(D66:H66)</f>
        <v>17456</v>
      </c>
      <c r="J66" s="34" t="s">
        <v>186</v>
      </c>
      <c r="K66" s="8">
        <v>18795</v>
      </c>
      <c r="L66" s="154">
        <v>7.1</v>
      </c>
      <c r="M66" s="34" t="s">
        <v>71</v>
      </c>
    </row>
    <row r="67" spans="1:13" x14ac:dyDescent="0.3">
      <c r="A67" s="34">
        <v>46</v>
      </c>
      <c r="B67" s="49" t="s">
        <v>223</v>
      </c>
      <c r="C67" s="35" t="s">
        <v>157</v>
      </c>
      <c r="D67" s="8">
        <v>3092</v>
      </c>
      <c r="E67" s="8">
        <v>0</v>
      </c>
      <c r="F67" s="8">
        <v>0</v>
      </c>
      <c r="G67" s="8">
        <f>8-1</f>
        <v>7</v>
      </c>
      <c r="H67" s="8">
        <f>238-24</f>
        <v>214</v>
      </c>
      <c r="I67" s="8">
        <f t="shared" ref="I67:I70" si="11">SUM(D67:H67)</f>
        <v>3313</v>
      </c>
      <c r="J67" s="34" t="s">
        <v>194</v>
      </c>
      <c r="K67" s="37">
        <v>3413</v>
      </c>
      <c r="L67" s="154">
        <v>7.5</v>
      </c>
      <c r="M67" s="34" t="s">
        <v>71</v>
      </c>
    </row>
    <row r="68" spans="1:13" x14ac:dyDescent="0.3">
      <c r="A68" s="34">
        <v>46</v>
      </c>
      <c r="B68" s="49" t="s">
        <v>224</v>
      </c>
      <c r="C68" s="35" t="s">
        <v>166</v>
      </c>
      <c r="D68" s="8">
        <v>3087</v>
      </c>
      <c r="E68" s="8">
        <v>0</v>
      </c>
      <c r="F68" s="8">
        <v>0</v>
      </c>
      <c r="G68" s="8">
        <f>13-1</f>
        <v>12</v>
      </c>
      <c r="H68" s="8">
        <f>231-22</f>
        <v>209</v>
      </c>
      <c r="I68" s="8">
        <f t="shared" si="11"/>
        <v>3308</v>
      </c>
      <c r="J68" s="34" t="s">
        <v>208</v>
      </c>
      <c r="K68" s="37">
        <v>3564</v>
      </c>
      <c r="L68" s="154">
        <v>7.25</v>
      </c>
      <c r="M68" s="34" t="s">
        <v>71</v>
      </c>
    </row>
    <row r="69" spans="1:13" x14ac:dyDescent="0.3">
      <c r="A69" s="34">
        <v>47</v>
      </c>
      <c r="B69" s="49" t="s">
        <v>175</v>
      </c>
      <c r="C69" s="35" t="s">
        <v>173</v>
      </c>
      <c r="D69" s="8">
        <v>2731</v>
      </c>
      <c r="E69" s="8">
        <v>0</v>
      </c>
      <c r="F69" s="8">
        <f>6-1</f>
        <v>5</v>
      </c>
      <c r="G69" s="8">
        <f>199-20</f>
        <v>179</v>
      </c>
      <c r="H69" s="8">
        <f>212-22</f>
        <v>190</v>
      </c>
      <c r="I69" s="8">
        <f t="shared" si="11"/>
        <v>3105</v>
      </c>
      <c r="J69" s="34" t="s">
        <v>185</v>
      </c>
      <c r="K69" s="8">
        <v>3373</v>
      </c>
      <c r="L69" s="154">
        <v>7.1</v>
      </c>
      <c r="M69" s="34" t="s">
        <v>71</v>
      </c>
    </row>
    <row r="70" spans="1:13" x14ac:dyDescent="0.3">
      <c r="A70" s="34">
        <v>48</v>
      </c>
      <c r="B70" s="35" t="s">
        <v>228</v>
      </c>
      <c r="C70" s="35" t="s">
        <v>188</v>
      </c>
      <c r="D70" s="8">
        <v>3253</v>
      </c>
      <c r="E70" s="8">
        <v>0</v>
      </c>
      <c r="F70" s="8">
        <v>0</v>
      </c>
      <c r="G70" s="8">
        <f>3-1</f>
        <v>2</v>
      </c>
      <c r="H70" s="8">
        <f>251-24</f>
        <v>227</v>
      </c>
      <c r="I70" s="8">
        <f t="shared" si="11"/>
        <v>3482</v>
      </c>
      <c r="J70" s="34" t="s">
        <v>253</v>
      </c>
      <c r="K70" s="8">
        <v>3592</v>
      </c>
      <c r="L70" s="154">
        <v>7.5</v>
      </c>
      <c r="M70" s="34" t="s">
        <v>71</v>
      </c>
    </row>
    <row r="71" spans="1:13" ht="15" thickBot="1" x14ac:dyDescent="0.35">
      <c r="A71" s="86"/>
      <c r="B71" s="87"/>
      <c r="C71" s="87"/>
      <c r="D71" s="88">
        <f>SUM(D66:D70)</f>
        <v>27384</v>
      </c>
      <c r="E71" s="88">
        <f t="shared" ref="E71:H71" si="12">SUM(E66:E70)</f>
        <v>0</v>
      </c>
      <c r="F71" s="88">
        <f t="shared" si="12"/>
        <v>161</v>
      </c>
      <c r="G71" s="88">
        <f t="shared" si="12"/>
        <v>1207</v>
      </c>
      <c r="H71" s="88">
        <f t="shared" si="12"/>
        <v>1912</v>
      </c>
      <c r="I71" s="88">
        <f>SUM(I66:I70)</f>
        <v>30664</v>
      </c>
      <c r="J71" s="86"/>
      <c r="K71" s="88">
        <f>SUM(K66:K70)</f>
        <v>32737</v>
      </c>
      <c r="L71" s="86"/>
      <c r="M71" s="86"/>
    </row>
    <row r="72" spans="1:13" x14ac:dyDescent="0.3">
      <c r="D72" s="9"/>
      <c r="E72" s="9"/>
      <c r="F72" s="9"/>
      <c r="G72" s="9"/>
      <c r="H72" s="9"/>
      <c r="I72" s="9"/>
    </row>
    <row r="73" spans="1:13" x14ac:dyDescent="0.3">
      <c r="B73" s="1" t="s">
        <v>176</v>
      </c>
      <c r="D73" s="9"/>
      <c r="E73" s="9"/>
      <c r="F73" s="9"/>
      <c r="G73" s="9"/>
      <c r="H73" s="9"/>
      <c r="I73" s="9"/>
    </row>
    <row r="74" spans="1:13" x14ac:dyDescent="0.3">
      <c r="A74" s="34">
        <v>49</v>
      </c>
      <c r="B74" s="35" t="s">
        <v>178</v>
      </c>
      <c r="C74" s="35" t="s">
        <v>177</v>
      </c>
      <c r="D74" s="8">
        <v>400000</v>
      </c>
      <c r="E74" s="8">
        <v>0</v>
      </c>
      <c r="F74" s="8">
        <f>16914-1693</f>
        <v>15221</v>
      </c>
      <c r="G74" s="8">
        <f>30194-3021</f>
        <v>27173</v>
      </c>
      <c r="H74" s="8">
        <f>32171-3217</f>
        <v>28954</v>
      </c>
      <c r="I74" s="8">
        <f>SUM(D74:H74)</f>
        <v>471348</v>
      </c>
      <c r="J74" s="34" t="s">
        <v>190</v>
      </c>
      <c r="K74" s="8">
        <v>494030</v>
      </c>
      <c r="L74" s="154">
        <v>7.1</v>
      </c>
      <c r="M74" s="34" t="s">
        <v>71</v>
      </c>
    </row>
    <row r="75" spans="1:13" x14ac:dyDescent="0.3">
      <c r="A75" s="34">
        <v>50</v>
      </c>
      <c r="B75" s="35" t="s">
        <v>179</v>
      </c>
      <c r="C75" s="35" t="s">
        <v>173</v>
      </c>
      <c r="D75" s="8">
        <v>200000</v>
      </c>
      <c r="E75" s="8">
        <v>0</v>
      </c>
      <c r="F75" s="8">
        <f>458-46</f>
        <v>412</v>
      </c>
      <c r="G75" s="8">
        <f>14574-1457</f>
        <v>13117</v>
      </c>
      <c r="H75" s="8">
        <f>15528-1552</f>
        <v>13976</v>
      </c>
      <c r="I75" s="8">
        <f>SUM(D75:H75)</f>
        <v>227505</v>
      </c>
      <c r="J75" s="34" t="s">
        <v>185</v>
      </c>
      <c r="K75" s="8">
        <v>247004</v>
      </c>
      <c r="L75" s="154">
        <v>7.1</v>
      </c>
      <c r="M75" s="34" t="s">
        <v>71</v>
      </c>
    </row>
    <row r="76" spans="1:13" x14ac:dyDescent="0.3">
      <c r="A76" s="34">
        <v>51</v>
      </c>
      <c r="B76" s="35" t="s">
        <v>225</v>
      </c>
      <c r="C76" s="35" t="s">
        <v>188</v>
      </c>
      <c r="D76" s="8">
        <v>319558</v>
      </c>
      <c r="E76" s="8">
        <v>0</v>
      </c>
      <c r="F76" s="8">
        <v>0</v>
      </c>
      <c r="G76" s="8">
        <f>322-32</f>
        <v>290</v>
      </c>
      <c r="H76" s="8">
        <f>24603-2460</f>
        <v>22143</v>
      </c>
      <c r="I76" s="8">
        <f>SUM(D76:H76)</f>
        <v>341991</v>
      </c>
      <c r="J76" s="34" t="s">
        <v>253</v>
      </c>
      <c r="K76" s="8">
        <v>352823</v>
      </c>
      <c r="L76" s="154">
        <v>7.5</v>
      </c>
      <c r="M76" s="34" t="s">
        <v>71</v>
      </c>
    </row>
    <row r="77" spans="1:13" ht="15" thickBot="1" x14ac:dyDescent="0.35">
      <c r="A77" s="86"/>
      <c r="B77" s="87"/>
      <c r="C77" s="87"/>
      <c r="D77" s="88">
        <f>SUM(D74:D76)</f>
        <v>919558</v>
      </c>
      <c r="E77" s="88">
        <f t="shared" ref="E77:I77" si="13">SUM(E74:E76)</f>
        <v>0</v>
      </c>
      <c r="F77" s="88">
        <f t="shared" si="13"/>
        <v>15633</v>
      </c>
      <c r="G77" s="88">
        <f t="shared" si="13"/>
        <v>40580</v>
      </c>
      <c r="H77" s="88">
        <f t="shared" si="13"/>
        <v>65073</v>
      </c>
      <c r="I77" s="88">
        <f t="shared" si="13"/>
        <v>1040844</v>
      </c>
      <c r="J77" s="86"/>
      <c r="K77" s="88">
        <f>SUM(K74:K76)</f>
        <v>1093857</v>
      </c>
      <c r="L77" s="86"/>
      <c r="M77" s="86"/>
    </row>
    <row r="78" spans="1:13" ht="15" thickBot="1" x14ac:dyDescent="0.35">
      <c r="D78" s="9"/>
      <c r="E78" s="9"/>
      <c r="F78" s="9"/>
      <c r="G78" s="9"/>
      <c r="H78" s="9"/>
      <c r="I78" s="9"/>
    </row>
    <row r="79" spans="1:13" ht="19.95" customHeight="1" thickBot="1" x14ac:dyDescent="0.35">
      <c r="A79" s="90"/>
      <c r="B79" s="139" t="s">
        <v>17</v>
      </c>
      <c r="C79" s="139"/>
      <c r="D79" s="91">
        <f>SUM(D22,D30,D35,D44,D57,D63,D71,D77)</f>
        <v>4436711.5</v>
      </c>
      <c r="E79" s="91">
        <f>SUM(E22,E30,E35,E44,E57,E63,E71,E77)</f>
        <v>418</v>
      </c>
      <c r="F79" s="91">
        <f t="shared" ref="F79:G79" si="14">SUM(F22,F30,F35,F44,F57,F63,F71,F77)</f>
        <v>21851</v>
      </c>
      <c r="G79" s="91">
        <f t="shared" si="14"/>
        <v>82868</v>
      </c>
      <c r="H79" s="91">
        <f>SUM(H22,H30,H35,H44,H57,H63,H71,H77)</f>
        <v>226081</v>
      </c>
      <c r="I79" s="91">
        <f t="shared" ref="I79" si="15">SUM(I22,I30,I35,I44,I57,I63,I71,I77)</f>
        <v>4767929.5</v>
      </c>
      <c r="J79" s="92"/>
      <c r="K79" s="91">
        <f>SUM(K22,K30,K35,K44,K57,K63,K71,K77)</f>
        <v>5283876.5</v>
      </c>
      <c r="L79" s="92"/>
      <c r="M79" s="93"/>
    </row>
    <row r="82" spans="7:8" x14ac:dyDescent="0.3">
      <c r="G82" s="51"/>
      <c r="H82" s="51"/>
    </row>
    <row r="84" spans="7:8" x14ac:dyDescent="0.3">
      <c r="G84" s="51"/>
      <c r="H84" s="51"/>
    </row>
  </sheetData>
  <mergeCells count="3">
    <mergeCell ref="B2:M2"/>
    <mergeCell ref="B79:C79"/>
    <mergeCell ref="A1:M1"/>
  </mergeCells>
  <printOptions horizontalCentered="1"/>
  <pageMargins left="0.23622047244094491" right="0.23622047244094491" top="0.39370078740157483" bottom="0.23622047244094491" header="0.31496062992125984" footer="0.31496062992125984"/>
  <pageSetup paperSize="9" scale="6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2"/>
  <sheetViews>
    <sheetView view="pageBreakPreview" topLeftCell="B3" zoomScaleNormal="100" zoomScaleSheetLayoutView="100" workbookViewId="0">
      <selection activeCell="H11" sqref="H11"/>
    </sheetView>
  </sheetViews>
  <sheetFormatPr defaultRowHeight="14.4" x14ac:dyDescent="0.3"/>
  <cols>
    <col min="1" max="1" width="24.77734375" style="98" customWidth="1"/>
    <col min="2" max="2" width="5.44140625" style="53" bestFit="1" customWidth="1"/>
    <col min="3" max="3" width="14.77734375" style="53" customWidth="1"/>
    <col min="4" max="4" width="11" style="53" bestFit="1" customWidth="1"/>
    <col min="5" max="5" width="12.33203125" style="53" customWidth="1"/>
    <col min="6" max="8" width="14.77734375" style="53" customWidth="1"/>
    <col min="9" max="16384" width="8.88671875" style="98"/>
  </cols>
  <sheetData>
    <row r="1" spans="1:8" ht="22.8" customHeight="1" x14ac:dyDescent="0.3">
      <c r="A1" s="146" t="s">
        <v>79</v>
      </c>
      <c r="B1" s="147"/>
      <c r="C1" s="147"/>
      <c r="D1" s="147"/>
      <c r="E1" s="147"/>
      <c r="F1" s="147"/>
      <c r="G1" s="147"/>
      <c r="H1" s="148"/>
    </row>
    <row r="2" spans="1:8" ht="15.6" x14ac:dyDescent="0.3">
      <c r="A2" s="143" t="s">
        <v>257</v>
      </c>
      <c r="B2" s="144"/>
      <c r="C2" s="144"/>
      <c r="D2" s="144"/>
      <c r="E2" s="144"/>
      <c r="F2" s="144"/>
      <c r="G2" s="144"/>
      <c r="H2" s="145"/>
    </row>
    <row r="3" spans="1:8" ht="58.2" thickBot="1" x14ac:dyDescent="0.35">
      <c r="A3" s="101" t="s">
        <v>80</v>
      </c>
      <c r="B3" s="102" t="s">
        <v>81</v>
      </c>
      <c r="C3" s="102" t="s">
        <v>258</v>
      </c>
      <c r="D3" s="102" t="s">
        <v>259</v>
      </c>
      <c r="E3" s="102" t="s">
        <v>260</v>
      </c>
      <c r="F3" s="102" t="s">
        <v>261</v>
      </c>
      <c r="G3" s="102" t="s">
        <v>82</v>
      </c>
      <c r="H3" s="102" t="s">
        <v>262</v>
      </c>
    </row>
    <row r="4" spans="1:8" ht="30" customHeight="1" x14ac:dyDescent="0.3">
      <c r="A4" s="99" t="s">
        <v>83</v>
      </c>
      <c r="B4" s="4">
        <v>0</v>
      </c>
      <c r="C4" s="4">
        <v>9718736</v>
      </c>
      <c r="D4" s="4">
        <v>0</v>
      </c>
      <c r="E4" s="4">
        <v>0</v>
      </c>
      <c r="F4" s="4">
        <f t="shared" ref="F4:F11" si="0">SUM(C4:E4)</f>
        <v>9718736</v>
      </c>
      <c r="G4" s="4">
        <f t="shared" ref="G4:G11" si="1">ROUND((C4+D4)*B4+(E4*B4/2),0)</f>
        <v>0</v>
      </c>
      <c r="H4" s="4">
        <f t="shared" ref="H4:H11" si="2">F4-G4</f>
        <v>9718736</v>
      </c>
    </row>
    <row r="5" spans="1:8" ht="30" customHeight="1" x14ac:dyDescent="0.3">
      <c r="A5" s="99" t="s">
        <v>84</v>
      </c>
      <c r="B5" s="4">
        <v>0.1</v>
      </c>
      <c r="C5" s="4">
        <v>389</v>
      </c>
      <c r="D5" s="4">
        <v>0</v>
      </c>
      <c r="E5" s="4">
        <v>0</v>
      </c>
      <c r="F5" s="4">
        <f t="shared" si="0"/>
        <v>389</v>
      </c>
      <c r="G5" s="4">
        <f t="shared" si="1"/>
        <v>39</v>
      </c>
      <c r="H5" s="4">
        <f t="shared" si="2"/>
        <v>350</v>
      </c>
    </row>
    <row r="6" spans="1:8" ht="30" customHeight="1" x14ac:dyDescent="0.3">
      <c r="A6" s="99" t="s">
        <v>85</v>
      </c>
      <c r="B6" s="4">
        <v>0.15</v>
      </c>
      <c r="C6" s="4">
        <v>28567</v>
      </c>
      <c r="D6" s="4">
        <v>0</v>
      </c>
      <c r="E6" s="4">
        <v>0</v>
      </c>
      <c r="F6" s="4">
        <f t="shared" si="0"/>
        <v>28567</v>
      </c>
      <c r="G6" s="4">
        <f t="shared" si="1"/>
        <v>4285</v>
      </c>
      <c r="H6" s="4">
        <f t="shared" si="2"/>
        <v>24282</v>
      </c>
    </row>
    <row r="7" spans="1:8" ht="30" customHeight="1" x14ac:dyDescent="0.3">
      <c r="A7" s="99" t="s">
        <v>86</v>
      </c>
      <c r="B7" s="4">
        <v>0.15</v>
      </c>
      <c r="C7" s="4">
        <v>7593</v>
      </c>
      <c r="D7" s="4">
        <v>0</v>
      </c>
      <c r="E7" s="4">
        <v>0</v>
      </c>
      <c r="F7" s="4">
        <f t="shared" si="0"/>
        <v>7593</v>
      </c>
      <c r="G7" s="4">
        <f t="shared" si="1"/>
        <v>1139</v>
      </c>
      <c r="H7" s="4">
        <f t="shared" si="2"/>
        <v>6454</v>
      </c>
    </row>
    <row r="8" spans="1:8" ht="30" customHeight="1" x14ac:dyDescent="0.3">
      <c r="A8" s="99" t="s">
        <v>87</v>
      </c>
      <c r="B8" s="4">
        <v>0.15</v>
      </c>
      <c r="C8" s="4">
        <v>41042</v>
      </c>
      <c r="D8" s="4">
        <v>0</v>
      </c>
      <c r="E8" s="4">
        <v>0</v>
      </c>
      <c r="F8" s="4">
        <f t="shared" si="0"/>
        <v>41042</v>
      </c>
      <c r="G8" s="4">
        <f t="shared" si="1"/>
        <v>6156</v>
      </c>
      <c r="H8" s="4">
        <f t="shared" si="2"/>
        <v>34886</v>
      </c>
    </row>
    <row r="9" spans="1:8" ht="30" customHeight="1" x14ac:dyDescent="0.3">
      <c r="A9" s="100" t="s">
        <v>182</v>
      </c>
      <c r="B9" s="4">
        <v>0.15</v>
      </c>
      <c r="C9" s="52">
        <v>10575</v>
      </c>
      <c r="D9" s="4">
        <v>0</v>
      </c>
      <c r="E9" s="52">
        <v>0</v>
      </c>
      <c r="F9" s="4">
        <f t="shared" si="0"/>
        <v>10575</v>
      </c>
      <c r="G9" s="4">
        <f t="shared" si="1"/>
        <v>1586</v>
      </c>
      <c r="H9" s="4">
        <f t="shared" si="2"/>
        <v>8989</v>
      </c>
    </row>
    <row r="10" spans="1:8" ht="30" customHeight="1" x14ac:dyDescent="0.3">
      <c r="A10" s="100" t="s">
        <v>183</v>
      </c>
      <c r="B10" s="4">
        <v>0.15</v>
      </c>
      <c r="C10" s="52">
        <v>1062</v>
      </c>
      <c r="D10" s="4">
        <v>0</v>
      </c>
      <c r="E10" s="52">
        <v>0</v>
      </c>
      <c r="F10" s="4">
        <f t="shared" si="0"/>
        <v>1062</v>
      </c>
      <c r="G10" s="4">
        <f t="shared" si="1"/>
        <v>159</v>
      </c>
      <c r="H10" s="4">
        <f t="shared" si="2"/>
        <v>903</v>
      </c>
    </row>
    <row r="11" spans="1:8" ht="30" customHeight="1" thickBot="1" x14ac:dyDescent="0.35">
      <c r="A11" s="100" t="s">
        <v>462</v>
      </c>
      <c r="B11" s="4">
        <v>0.15</v>
      </c>
      <c r="C11" s="52"/>
      <c r="D11" s="4">
        <v>0</v>
      </c>
      <c r="E11" s="52">
        <v>220000</v>
      </c>
      <c r="F11" s="4">
        <f t="shared" si="0"/>
        <v>220000</v>
      </c>
      <c r="G11" s="4">
        <f t="shared" si="1"/>
        <v>16500</v>
      </c>
      <c r="H11" s="4">
        <f t="shared" si="2"/>
        <v>203500</v>
      </c>
    </row>
    <row r="12" spans="1:8" ht="30" customHeight="1" x14ac:dyDescent="0.3">
      <c r="A12" s="103" t="s">
        <v>476</v>
      </c>
      <c r="B12" s="104"/>
      <c r="C12" s="105">
        <f>SUM(C4:C11)</f>
        <v>9807964</v>
      </c>
      <c r="D12" s="105">
        <f>SUM(D4:D10)</f>
        <v>0</v>
      </c>
      <c r="E12" s="105">
        <f>SUM(E4:E11)</f>
        <v>220000</v>
      </c>
      <c r="F12" s="105">
        <f>SUM(F4:F11)</f>
        <v>10027964</v>
      </c>
      <c r="G12" s="105">
        <f>SUM(G4:G11)</f>
        <v>29864</v>
      </c>
      <c r="H12" s="105">
        <f>SUM(H4:H11)</f>
        <v>9998100</v>
      </c>
    </row>
  </sheetData>
  <mergeCells count="2">
    <mergeCell ref="A2:H2"/>
    <mergeCell ref="A1:H1"/>
  </mergeCells>
  <printOptions horizontalCentered="1"/>
  <pageMargins left="0.39370078740157483" right="0.19685039370078741" top="0.59055118110236227" bottom="0.19685039370078741" header="0.31496062992125984" footer="0.31496062992125984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38"/>
  <sheetViews>
    <sheetView view="pageBreakPreview" topLeftCell="A25" zoomScaleNormal="100" zoomScaleSheetLayoutView="100" workbookViewId="0">
      <selection activeCell="A69" sqref="A69"/>
    </sheetView>
  </sheetViews>
  <sheetFormatPr defaultRowHeight="14.4" x14ac:dyDescent="0.3"/>
  <cols>
    <col min="1" max="2" width="6.77734375" style="98" customWidth="1"/>
    <col min="3" max="3" width="41.5546875" style="98" bestFit="1" customWidth="1"/>
    <col min="4" max="4" width="14.77734375" style="108" customWidth="1"/>
    <col min="5" max="5" width="4.33203125" style="98" customWidth="1"/>
    <col min="6" max="16" width="8.88671875" style="98"/>
    <col min="17" max="17" width="8.44140625" style="98" customWidth="1"/>
    <col min="18" max="16384" width="8.88671875" style="98"/>
  </cols>
  <sheetData>
    <row r="1" spans="1:4" ht="18" x14ac:dyDescent="0.3">
      <c r="A1" s="146" t="s">
        <v>79</v>
      </c>
      <c r="B1" s="147"/>
      <c r="C1" s="147"/>
      <c r="D1" s="148"/>
    </row>
    <row r="2" spans="1:4" ht="15.6" x14ac:dyDescent="0.3">
      <c r="A2" s="143" t="s">
        <v>265</v>
      </c>
      <c r="B2" s="144"/>
      <c r="C2" s="144"/>
      <c r="D2" s="145"/>
    </row>
    <row r="3" spans="1:4" ht="19.95" customHeight="1" thickBot="1" x14ac:dyDescent="0.35">
      <c r="A3" s="112" t="s">
        <v>131</v>
      </c>
      <c r="B3" s="112" t="s">
        <v>23</v>
      </c>
      <c r="C3" s="112" t="s">
        <v>132</v>
      </c>
      <c r="D3" s="113" t="s">
        <v>24</v>
      </c>
    </row>
    <row r="4" spans="1:4" ht="19.95" customHeight="1" x14ac:dyDescent="0.3">
      <c r="A4" s="109">
        <v>1</v>
      </c>
      <c r="B4" s="109">
        <v>101</v>
      </c>
      <c r="C4" s="110" t="s">
        <v>263</v>
      </c>
      <c r="D4" s="111">
        <v>5018</v>
      </c>
    </row>
    <row r="5" spans="1:4" ht="19.95" customHeight="1" x14ac:dyDescent="0.3">
      <c r="A5" s="62">
        <v>2</v>
      </c>
      <c r="B5" s="62">
        <v>602</v>
      </c>
      <c r="C5" s="106" t="s">
        <v>264</v>
      </c>
      <c r="D5" s="107">
        <v>38705</v>
      </c>
    </row>
    <row r="6" spans="1:4" ht="19.95" customHeight="1" thickBot="1" x14ac:dyDescent="0.35">
      <c r="A6" s="149" t="s">
        <v>13</v>
      </c>
      <c r="B6" s="149"/>
      <c r="C6" s="149"/>
      <c r="D6" s="114">
        <f>SUM(D4:D5)</f>
        <v>43723</v>
      </c>
    </row>
    <row r="7" spans="1:4" ht="19.95" customHeight="1" thickTop="1" x14ac:dyDescent="0.3"/>
    <row r="8" spans="1:4" ht="19.95" customHeight="1" x14ac:dyDescent="0.3">
      <c r="A8" s="150" t="s">
        <v>266</v>
      </c>
      <c r="B8" s="150"/>
      <c r="C8" s="150"/>
      <c r="D8" s="150"/>
    </row>
    <row r="9" spans="1:4" ht="19.95" customHeight="1" thickBot="1" x14ac:dyDescent="0.35">
      <c r="A9" s="112" t="s">
        <v>131</v>
      </c>
      <c r="B9" s="112" t="s">
        <v>23</v>
      </c>
      <c r="C9" s="112" t="s">
        <v>132</v>
      </c>
      <c r="D9" s="113" t="s">
        <v>24</v>
      </c>
    </row>
    <row r="10" spans="1:4" ht="19.95" customHeight="1" x14ac:dyDescent="0.3">
      <c r="A10" s="109">
        <v>1</v>
      </c>
      <c r="B10" s="109">
        <v>103</v>
      </c>
      <c r="C10" s="110" t="s">
        <v>137</v>
      </c>
      <c r="D10" s="111">
        <v>2185</v>
      </c>
    </row>
    <row r="11" spans="1:4" ht="19.95" customHeight="1" x14ac:dyDescent="0.3">
      <c r="A11" s="62">
        <v>2</v>
      </c>
      <c r="B11" s="62" t="s">
        <v>135</v>
      </c>
      <c r="C11" s="106" t="s">
        <v>136</v>
      </c>
      <c r="D11" s="107">
        <v>8893</v>
      </c>
    </row>
    <row r="12" spans="1:4" ht="19.95" customHeight="1" x14ac:dyDescent="0.3">
      <c r="A12" s="62">
        <v>3</v>
      </c>
      <c r="B12" s="62">
        <v>401</v>
      </c>
      <c r="C12" s="106" t="s">
        <v>138</v>
      </c>
      <c r="D12" s="107">
        <v>4517</v>
      </c>
    </row>
    <row r="13" spans="1:4" ht="19.95" customHeight="1" x14ac:dyDescent="0.3">
      <c r="A13" s="62">
        <v>4</v>
      </c>
      <c r="B13" s="62">
        <v>302</v>
      </c>
      <c r="C13" s="106" t="s">
        <v>267</v>
      </c>
      <c r="D13" s="107">
        <v>10</v>
      </c>
    </row>
    <row r="14" spans="1:4" ht="19.95" customHeight="1" thickBot="1" x14ac:dyDescent="0.35">
      <c r="A14" s="149" t="s">
        <v>13</v>
      </c>
      <c r="B14" s="149"/>
      <c r="C14" s="149"/>
      <c r="D14" s="114">
        <f>SUM(D10:D13)</f>
        <v>15605</v>
      </c>
    </row>
    <row r="15" spans="1:4" ht="19.95" customHeight="1" thickTop="1" x14ac:dyDescent="0.3"/>
    <row r="16" spans="1:4" ht="19.95" customHeight="1" x14ac:dyDescent="0.3">
      <c r="A16" s="150" t="s">
        <v>268</v>
      </c>
      <c r="B16" s="150"/>
      <c r="C16" s="150"/>
      <c r="D16" s="150"/>
    </row>
    <row r="17" spans="1:4" ht="19.95" customHeight="1" thickBot="1" x14ac:dyDescent="0.35">
      <c r="A17" s="112" t="s">
        <v>131</v>
      </c>
      <c r="B17" s="112" t="s">
        <v>23</v>
      </c>
      <c r="C17" s="112" t="s">
        <v>132</v>
      </c>
      <c r="D17" s="113" t="s">
        <v>24</v>
      </c>
    </row>
    <row r="18" spans="1:4" ht="19.95" customHeight="1" x14ac:dyDescent="0.3">
      <c r="A18" s="109">
        <v>1</v>
      </c>
      <c r="B18" s="109" t="s">
        <v>135</v>
      </c>
      <c r="C18" s="110" t="s">
        <v>136</v>
      </c>
      <c r="D18" s="111">
        <v>15000</v>
      </c>
    </row>
    <row r="19" spans="1:4" ht="19.95" customHeight="1" x14ac:dyDescent="0.3">
      <c r="A19" s="62">
        <v>2</v>
      </c>
      <c r="B19" s="62">
        <v>101</v>
      </c>
      <c r="C19" s="106" t="s">
        <v>141</v>
      </c>
      <c r="D19" s="107">
        <v>5000</v>
      </c>
    </row>
    <row r="20" spans="1:4" ht="19.95" customHeight="1" x14ac:dyDescent="0.3">
      <c r="A20" s="62">
        <v>3</v>
      </c>
      <c r="B20" s="62">
        <v>102</v>
      </c>
      <c r="C20" s="106" t="s">
        <v>142</v>
      </c>
      <c r="D20" s="107">
        <v>5000</v>
      </c>
    </row>
    <row r="21" spans="1:4" ht="19.95" customHeight="1" x14ac:dyDescent="0.3">
      <c r="A21" s="62">
        <v>4</v>
      </c>
      <c r="B21" s="62">
        <v>201</v>
      </c>
      <c r="C21" s="106" t="s">
        <v>143</v>
      </c>
      <c r="D21" s="107">
        <v>5000</v>
      </c>
    </row>
    <row r="22" spans="1:4" ht="19.95" customHeight="1" x14ac:dyDescent="0.3">
      <c r="A22" s="62">
        <v>5</v>
      </c>
      <c r="B22" s="62">
        <v>203</v>
      </c>
      <c r="C22" s="106" t="s">
        <v>144</v>
      </c>
      <c r="D22" s="107">
        <v>5000</v>
      </c>
    </row>
    <row r="23" spans="1:4" ht="19.95" customHeight="1" x14ac:dyDescent="0.3">
      <c r="A23" s="62">
        <v>6</v>
      </c>
      <c r="B23" s="62">
        <v>301</v>
      </c>
      <c r="C23" s="106" t="s">
        <v>145</v>
      </c>
      <c r="D23" s="107">
        <v>5000</v>
      </c>
    </row>
    <row r="24" spans="1:4" ht="19.95" customHeight="1" x14ac:dyDescent="0.3">
      <c r="A24" s="62">
        <v>7</v>
      </c>
      <c r="B24" s="62">
        <v>302</v>
      </c>
      <c r="C24" s="106" t="s">
        <v>236</v>
      </c>
      <c r="D24" s="107">
        <v>5000</v>
      </c>
    </row>
    <row r="25" spans="1:4" ht="19.95" customHeight="1" x14ac:dyDescent="0.3">
      <c r="A25" s="62">
        <v>8</v>
      </c>
      <c r="B25" s="62">
        <v>402</v>
      </c>
      <c r="C25" s="106" t="s">
        <v>139</v>
      </c>
      <c r="D25" s="107">
        <v>5000</v>
      </c>
    </row>
    <row r="26" spans="1:4" ht="19.95" customHeight="1" x14ac:dyDescent="0.3">
      <c r="A26" s="62">
        <v>9</v>
      </c>
      <c r="B26" s="62">
        <v>403</v>
      </c>
      <c r="C26" s="106" t="s">
        <v>235</v>
      </c>
      <c r="D26" s="107">
        <v>5000</v>
      </c>
    </row>
    <row r="27" spans="1:4" ht="19.95" customHeight="1" x14ac:dyDescent="0.3">
      <c r="A27" s="62">
        <v>10</v>
      </c>
      <c r="B27" s="62">
        <v>501</v>
      </c>
      <c r="C27" s="106" t="s">
        <v>133</v>
      </c>
      <c r="D27" s="107">
        <v>5000</v>
      </c>
    </row>
    <row r="28" spans="1:4" ht="19.95" customHeight="1" thickBot="1" x14ac:dyDescent="0.35">
      <c r="A28" s="149" t="s">
        <v>13</v>
      </c>
      <c r="B28" s="149"/>
      <c r="C28" s="149"/>
      <c r="D28" s="114">
        <f>SUM(D18:D27)</f>
        <v>60000</v>
      </c>
    </row>
    <row r="29" spans="1:4" ht="19.95" customHeight="1" thickTop="1" x14ac:dyDescent="0.3"/>
    <row r="30" spans="1:4" ht="19.95" customHeight="1" x14ac:dyDescent="0.3">
      <c r="A30" s="150" t="s">
        <v>269</v>
      </c>
      <c r="B30" s="150"/>
      <c r="C30" s="150"/>
      <c r="D30" s="150"/>
    </row>
    <row r="31" spans="1:4" s="97" customFormat="1" ht="27" customHeight="1" thickBot="1" x14ac:dyDescent="0.35">
      <c r="B31" s="94" t="s">
        <v>241</v>
      </c>
      <c r="C31" s="112" t="s">
        <v>240</v>
      </c>
      <c r="D31" s="113" t="s">
        <v>24</v>
      </c>
    </row>
    <row r="32" spans="1:4" ht="19.95" customHeight="1" x14ac:dyDescent="0.3">
      <c r="B32" s="109">
        <v>1</v>
      </c>
      <c r="C32" s="110" t="s">
        <v>463</v>
      </c>
      <c r="D32" s="111">
        <v>2100</v>
      </c>
    </row>
    <row r="33" spans="2:4" ht="19.95" customHeight="1" x14ac:dyDescent="0.3">
      <c r="B33" s="62">
        <v>2</v>
      </c>
      <c r="C33" s="106" t="s">
        <v>464</v>
      </c>
      <c r="D33" s="107">
        <v>1500</v>
      </c>
    </row>
    <row r="34" spans="2:4" ht="19.95" customHeight="1" x14ac:dyDescent="0.3">
      <c r="B34" s="62">
        <v>3</v>
      </c>
      <c r="C34" s="106" t="s">
        <v>465</v>
      </c>
      <c r="D34" s="107">
        <v>14225</v>
      </c>
    </row>
    <row r="35" spans="2:4" ht="19.95" customHeight="1" x14ac:dyDescent="0.3">
      <c r="B35" s="62">
        <v>4</v>
      </c>
      <c r="C35" s="106" t="s">
        <v>466</v>
      </c>
      <c r="D35" s="107">
        <v>8000</v>
      </c>
    </row>
    <row r="36" spans="2:4" ht="19.95" customHeight="1" x14ac:dyDescent="0.3">
      <c r="B36" s="62">
        <v>5</v>
      </c>
      <c r="C36" s="106" t="s">
        <v>467</v>
      </c>
      <c r="D36" s="107">
        <v>4139</v>
      </c>
    </row>
    <row r="37" spans="2:4" ht="19.95" customHeight="1" thickBot="1" x14ac:dyDescent="0.35">
      <c r="B37" s="149" t="s">
        <v>13</v>
      </c>
      <c r="C37" s="149"/>
      <c r="D37" s="114">
        <f>SUM(D32:D36)</f>
        <v>29964</v>
      </c>
    </row>
    <row r="38" spans="2:4" ht="19.95" customHeight="1" thickTop="1" x14ac:dyDescent="0.3"/>
  </sheetData>
  <mergeCells count="9">
    <mergeCell ref="A1:D1"/>
    <mergeCell ref="A6:C6"/>
    <mergeCell ref="A2:D2"/>
    <mergeCell ref="A30:D30"/>
    <mergeCell ref="B37:C37"/>
    <mergeCell ref="A14:C14"/>
    <mergeCell ref="A16:D16"/>
    <mergeCell ref="A28:C28"/>
    <mergeCell ref="A8:D8"/>
  </mergeCells>
  <printOptions horizontalCentered="1"/>
  <pageMargins left="0.39370078740157483" right="0.19685039370078741" top="0.39370078740157483" bottom="0.39370078740157483" header="0.31496062992125984" footer="0.31496062992125984"/>
  <pageSetup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workbookViewId="0">
      <selection activeCell="G26" sqref="G26"/>
    </sheetView>
  </sheetViews>
  <sheetFormatPr defaultRowHeight="14.4" x14ac:dyDescent="0.3"/>
  <cols>
    <col min="1" max="1" width="5.5546875" customWidth="1"/>
    <col min="2" max="2" width="38.5546875" customWidth="1"/>
    <col min="3" max="3" width="13.33203125" style="9" customWidth="1"/>
    <col min="5" max="5" width="5.44140625" bestFit="1" customWidth="1"/>
    <col min="6" max="6" width="10.88671875" bestFit="1" customWidth="1"/>
    <col min="7" max="7" width="12.109375" bestFit="1" customWidth="1"/>
    <col min="8" max="8" width="8.88671875" bestFit="1" customWidth="1"/>
    <col min="9" max="9" width="15.33203125" bestFit="1" customWidth="1"/>
    <col min="10" max="10" width="14.33203125" bestFit="1" customWidth="1"/>
  </cols>
  <sheetData>
    <row r="1" spans="1:10" x14ac:dyDescent="0.3">
      <c r="A1" s="151" t="s">
        <v>79</v>
      </c>
      <c r="B1" s="151"/>
      <c r="C1" s="151"/>
    </row>
    <row r="2" spans="1:10" x14ac:dyDescent="0.3">
      <c r="A2" s="151" t="s">
        <v>459</v>
      </c>
      <c r="B2" s="151"/>
      <c r="C2" s="151"/>
      <c r="E2" s="151"/>
      <c r="F2" s="151"/>
      <c r="G2" s="151"/>
      <c r="H2" s="151"/>
      <c r="I2" s="151"/>
      <c r="J2" s="151"/>
    </row>
    <row r="3" spans="1:10" x14ac:dyDescent="0.3">
      <c r="C3" s="63" t="s">
        <v>24</v>
      </c>
      <c r="E3" s="40"/>
      <c r="F3" s="40"/>
      <c r="G3" s="40"/>
      <c r="H3" s="40"/>
      <c r="I3" s="40"/>
      <c r="J3" s="40"/>
    </row>
    <row r="4" spans="1:10" x14ac:dyDescent="0.3">
      <c r="B4" s="1" t="s">
        <v>147</v>
      </c>
      <c r="C4" s="9">
        <v>599390.71</v>
      </c>
      <c r="E4" s="33"/>
      <c r="F4" s="2"/>
      <c r="H4" s="64"/>
      <c r="I4" s="61"/>
      <c r="J4" s="65"/>
    </row>
    <row r="5" spans="1:10" x14ac:dyDescent="0.3">
      <c r="E5" s="33"/>
      <c r="I5" s="10"/>
    </row>
    <row r="6" spans="1:10" x14ac:dyDescent="0.3">
      <c r="A6" t="s">
        <v>148</v>
      </c>
      <c r="B6" s="1" t="s">
        <v>149</v>
      </c>
      <c r="C6" s="9">
        <v>0</v>
      </c>
    </row>
    <row r="7" spans="1:10" x14ac:dyDescent="0.3">
      <c r="B7" t="s">
        <v>150</v>
      </c>
    </row>
    <row r="8" spans="1:10" x14ac:dyDescent="0.3">
      <c r="E8" s="10"/>
    </row>
    <row r="9" spans="1:10" x14ac:dyDescent="0.3">
      <c r="A9" t="s">
        <v>151</v>
      </c>
      <c r="B9" s="1" t="s">
        <v>152</v>
      </c>
      <c r="C9" s="9">
        <v>0</v>
      </c>
    </row>
    <row r="11" spans="1:10" ht="15" thickBot="1" x14ac:dyDescent="0.35">
      <c r="A11" s="66"/>
      <c r="B11" s="50" t="s">
        <v>153</v>
      </c>
      <c r="C11" s="18">
        <f>+C4+C6-C9</f>
        <v>599390.71</v>
      </c>
    </row>
    <row r="12" spans="1:10" ht="15" thickTop="1" x14ac:dyDescent="0.3">
      <c r="B12" s="1"/>
      <c r="C12" s="20"/>
    </row>
    <row r="14" spans="1:10" x14ac:dyDescent="0.3">
      <c r="A14" s="151" t="s">
        <v>460</v>
      </c>
      <c r="B14" s="151"/>
      <c r="C14" s="151"/>
    </row>
    <row r="15" spans="1:10" x14ac:dyDescent="0.3">
      <c r="C15" s="63" t="s">
        <v>24</v>
      </c>
    </row>
    <row r="16" spans="1:10" x14ac:dyDescent="0.3">
      <c r="B16" s="1" t="s">
        <v>147</v>
      </c>
      <c r="C16" s="9">
        <v>16235</v>
      </c>
    </row>
    <row r="18" spans="1:3" ht="15" thickBot="1" x14ac:dyDescent="0.35">
      <c r="A18" s="66"/>
      <c r="B18" s="50" t="s">
        <v>153</v>
      </c>
      <c r="C18" s="18">
        <f>+C16</f>
        <v>16235</v>
      </c>
    </row>
    <row r="19" spans="1:3" ht="15" thickTop="1" x14ac:dyDescent="0.3"/>
    <row r="21" spans="1:3" x14ac:dyDescent="0.3">
      <c r="A21" s="151" t="s">
        <v>461</v>
      </c>
      <c r="B21" s="151"/>
      <c r="C21" s="151"/>
    </row>
    <row r="22" spans="1:3" x14ac:dyDescent="0.3">
      <c r="C22" s="63" t="s">
        <v>24</v>
      </c>
    </row>
    <row r="23" spans="1:3" x14ac:dyDescent="0.3">
      <c r="B23" s="1" t="s">
        <v>147</v>
      </c>
      <c r="C23" s="9">
        <v>24714</v>
      </c>
    </row>
    <row r="25" spans="1:3" ht="15" thickBot="1" x14ac:dyDescent="0.35">
      <c r="A25" s="66"/>
      <c r="B25" s="50" t="s">
        <v>153</v>
      </c>
      <c r="C25" s="18">
        <f>+C23</f>
        <v>24714</v>
      </c>
    </row>
    <row r="26" spans="1:3" ht="15" thickTop="1" x14ac:dyDescent="0.3"/>
  </sheetData>
  <mergeCells count="5">
    <mergeCell ref="A1:C1"/>
    <mergeCell ref="A2:C2"/>
    <mergeCell ref="E2:J2"/>
    <mergeCell ref="A14:C14"/>
    <mergeCell ref="A21:C2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283F-839A-4DC4-B74A-4493F61075FC}">
  <sheetPr filterMode="1"/>
  <dimension ref="A1:G93"/>
  <sheetViews>
    <sheetView workbookViewId="0">
      <selection activeCell="H24" sqref="H24"/>
    </sheetView>
  </sheetViews>
  <sheetFormatPr defaultRowHeight="14.4" x14ac:dyDescent="0.3"/>
  <cols>
    <col min="1" max="1" width="14.5546875" bestFit="1" customWidth="1"/>
    <col min="2" max="2" width="27.77734375" bestFit="1" customWidth="1"/>
    <col min="3" max="3" width="79.44140625" bestFit="1" customWidth="1"/>
    <col min="4" max="4" width="11.21875" bestFit="1" customWidth="1"/>
  </cols>
  <sheetData>
    <row r="1" spans="1:7" x14ac:dyDescent="0.3">
      <c r="A1" s="152" t="s">
        <v>448</v>
      </c>
      <c r="B1" s="153"/>
      <c r="C1" s="153"/>
      <c r="D1" s="153"/>
    </row>
    <row r="2" spans="1:7" x14ac:dyDescent="0.3">
      <c r="A2" s="24" t="s">
        <v>244</v>
      </c>
      <c r="B2" s="24" t="s">
        <v>154</v>
      </c>
      <c r="C2" s="24" t="s">
        <v>245</v>
      </c>
      <c r="D2" s="24" t="s">
        <v>246</v>
      </c>
      <c r="G2" s="21"/>
    </row>
    <row r="3" spans="1:7" x14ac:dyDescent="0.3">
      <c r="A3" t="s">
        <v>372</v>
      </c>
      <c r="B3" t="s">
        <v>346</v>
      </c>
      <c r="C3" s="31" t="s">
        <v>373</v>
      </c>
      <c r="D3" s="23">
        <v>7162</v>
      </c>
    </row>
    <row r="4" spans="1:7" x14ac:dyDescent="0.3">
      <c r="A4" t="s">
        <v>386</v>
      </c>
      <c r="B4" t="s">
        <v>346</v>
      </c>
      <c r="C4" s="31" t="s">
        <v>387</v>
      </c>
      <c r="D4" s="23">
        <v>2213</v>
      </c>
    </row>
    <row r="5" spans="1:7" x14ac:dyDescent="0.3">
      <c r="A5" t="s">
        <v>414</v>
      </c>
      <c r="B5" t="s">
        <v>346</v>
      </c>
      <c r="C5" s="31" t="s">
        <v>450</v>
      </c>
      <c r="D5" s="23">
        <v>2652</v>
      </c>
    </row>
    <row r="6" spans="1:7" x14ac:dyDescent="0.3">
      <c r="A6" t="s">
        <v>326</v>
      </c>
      <c r="B6" t="s">
        <v>322</v>
      </c>
      <c r="C6" s="25" t="s">
        <v>327</v>
      </c>
      <c r="D6" s="23">
        <v>20487</v>
      </c>
    </row>
    <row r="7" spans="1:7" x14ac:dyDescent="0.3">
      <c r="A7" t="s">
        <v>341</v>
      </c>
      <c r="B7" t="s">
        <v>337</v>
      </c>
      <c r="C7" s="25" t="s">
        <v>342</v>
      </c>
      <c r="D7" s="23">
        <v>13239</v>
      </c>
    </row>
    <row r="8" spans="1:7" x14ac:dyDescent="0.3">
      <c r="A8" t="s">
        <v>374</v>
      </c>
      <c r="B8" t="s">
        <v>346</v>
      </c>
      <c r="C8" s="25" t="s">
        <v>375</v>
      </c>
      <c r="D8" s="22">
        <v>174</v>
      </c>
    </row>
    <row r="9" spans="1:7" x14ac:dyDescent="0.3">
      <c r="A9" t="s">
        <v>376</v>
      </c>
      <c r="B9" t="s">
        <v>346</v>
      </c>
      <c r="C9" s="25" t="s">
        <v>377</v>
      </c>
      <c r="D9" s="23">
        <v>7609</v>
      </c>
    </row>
    <row r="10" spans="1:7" x14ac:dyDescent="0.3">
      <c r="A10" t="s">
        <v>392</v>
      </c>
      <c r="B10" t="s">
        <v>346</v>
      </c>
      <c r="C10" s="25" t="s">
        <v>393</v>
      </c>
      <c r="D10" s="23">
        <v>18235</v>
      </c>
    </row>
    <row r="11" spans="1:7" x14ac:dyDescent="0.3">
      <c r="A11" t="s">
        <v>402</v>
      </c>
      <c r="B11" t="s">
        <v>346</v>
      </c>
      <c r="C11" s="25" t="s">
        <v>403</v>
      </c>
      <c r="D11" s="23">
        <v>2990</v>
      </c>
    </row>
    <row r="12" spans="1:7" x14ac:dyDescent="0.3">
      <c r="A12" t="s">
        <v>406</v>
      </c>
      <c r="B12" t="s">
        <v>346</v>
      </c>
      <c r="C12" s="25" t="s">
        <v>407</v>
      </c>
      <c r="D12" s="23">
        <v>29404</v>
      </c>
    </row>
    <row r="13" spans="1:7" x14ac:dyDescent="0.3">
      <c r="A13" t="s">
        <v>423</v>
      </c>
      <c r="B13" t="s">
        <v>346</v>
      </c>
      <c r="C13" s="25" t="s">
        <v>424</v>
      </c>
      <c r="D13" s="23">
        <v>13785</v>
      </c>
    </row>
    <row r="14" spans="1:7" x14ac:dyDescent="0.3">
      <c r="A14" t="s">
        <v>388</v>
      </c>
      <c r="B14" t="s">
        <v>346</v>
      </c>
      <c r="C14" s="26" t="s">
        <v>389</v>
      </c>
      <c r="D14" s="23">
        <v>1191</v>
      </c>
    </row>
    <row r="15" spans="1:7" x14ac:dyDescent="0.3">
      <c r="A15" t="s">
        <v>415</v>
      </c>
      <c r="B15" t="s">
        <v>346</v>
      </c>
      <c r="C15" s="26" t="s">
        <v>416</v>
      </c>
      <c r="D15" s="22">
        <v>238</v>
      </c>
    </row>
    <row r="16" spans="1:7" x14ac:dyDescent="0.3">
      <c r="A16" t="s">
        <v>425</v>
      </c>
      <c r="B16" t="s">
        <v>346</v>
      </c>
      <c r="C16" s="26" t="s">
        <v>426</v>
      </c>
      <c r="D16" s="22">
        <v>231</v>
      </c>
    </row>
    <row r="17" spans="1:6" x14ac:dyDescent="0.3">
      <c r="A17" t="s">
        <v>433</v>
      </c>
      <c r="B17" t="s">
        <v>346</v>
      </c>
      <c r="C17" s="26" t="s">
        <v>434</v>
      </c>
      <c r="D17" s="22">
        <v>212</v>
      </c>
    </row>
    <row r="18" spans="1:6" x14ac:dyDescent="0.3">
      <c r="A18" t="s">
        <v>443</v>
      </c>
      <c r="B18" t="s">
        <v>346</v>
      </c>
      <c r="C18" s="26" t="s">
        <v>444</v>
      </c>
      <c r="D18" s="22">
        <v>251</v>
      </c>
    </row>
    <row r="19" spans="1:6" x14ac:dyDescent="0.3">
      <c r="A19" t="s">
        <v>306</v>
      </c>
      <c r="B19" t="s">
        <v>307</v>
      </c>
      <c r="C19" t="s">
        <v>308</v>
      </c>
      <c r="D19" s="22">
        <v>104</v>
      </c>
    </row>
    <row r="20" spans="1:6" x14ac:dyDescent="0.3">
      <c r="A20" t="s">
        <v>315</v>
      </c>
      <c r="B20" t="s">
        <v>316</v>
      </c>
      <c r="C20" t="s">
        <v>317</v>
      </c>
      <c r="D20" s="22">
        <v>103</v>
      </c>
    </row>
    <row r="21" spans="1:6" x14ac:dyDescent="0.3">
      <c r="A21" t="s">
        <v>318</v>
      </c>
      <c r="B21" t="s">
        <v>319</v>
      </c>
      <c r="C21" t="s">
        <v>320</v>
      </c>
      <c r="D21" s="22">
        <v>92</v>
      </c>
      <c r="F21" s="22"/>
    </row>
    <row r="22" spans="1:6" x14ac:dyDescent="0.3">
      <c r="A22" t="s">
        <v>345</v>
      </c>
      <c r="B22" t="s">
        <v>346</v>
      </c>
      <c r="C22" t="s">
        <v>347</v>
      </c>
      <c r="D22" s="22">
        <v>103</v>
      </c>
      <c r="F22" s="22"/>
    </row>
    <row r="23" spans="1:6" x14ac:dyDescent="0.3">
      <c r="A23" t="s">
        <v>427</v>
      </c>
      <c r="B23" t="s">
        <v>346</v>
      </c>
      <c r="C23" s="27" t="s">
        <v>428</v>
      </c>
      <c r="D23" s="23">
        <v>32171</v>
      </c>
    </row>
    <row r="24" spans="1:6" x14ac:dyDescent="0.3">
      <c r="A24" t="s">
        <v>435</v>
      </c>
      <c r="B24" t="s">
        <v>346</v>
      </c>
      <c r="C24" s="27" t="s">
        <v>436</v>
      </c>
      <c r="D24" s="23">
        <v>15528</v>
      </c>
    </row>
    <row r="25" spans="1:6" x14ac:dyDescent="0.3">
      <c r="A25" t="s">
        <v>437</v>
      </c>
      <c r="B25" t="s">
        <v>346</v>
      </c>
      <c r="C25" s="27" t="s">
        <v>438</v>
      </c>
      <c r="D25" s="23">
        <v>24603</v>
      </c>
    </row>
    <row r="26" spans="1:6" x14ac:dyDescent="0.3">
      <c r="A26" t="s">
        <v>445</v>
      </c>
      <c r="B26" t="s">
        <v>346</v>
      </c>
      <c r="C26" t="s">
        <v>446</v>
      </c>
      <c r="D26" s="22">
        <v>304</v>
      </c>
    </row>
    <row r="27" spans="1:6" x14ac:dyDescent="0.3">
      <c r="A27" t="s">
        <v>447</v>
      </c>
      <c r="B27" t="s">
        <v>346</v>
      </c>
      <c r="C27" t="s">
        <v>320</v>
      </c>
      <c r="D27" s="22">
        <v>11</v>
      </c>
    </row>
    <row r="28" spans="1:6" x14ac:dyDescent="0.3">
      <c r="A28" t="s">
        <v>328</v>
      </c>
      <c r="B28" t="s">
        <v>322</v>
      </c>
      <c r="C28" s="28" t="s">
        <v>329</v>
      </c>
      <c r="D28" s="23">
        <v>6964</v>
      </c>
    </row>
    <row r="29" spans="1:6" hidden="1" x14ac:dyDescent="0.3">
      <c r="A29" t="s">
        <v>358</v>
      </c>
      <c r="B29" t="s">
        <v>346</v>
      </c>
      <c r="C29" s="28" t="s">
        <v>359</v>
      </c>
      <c r="D29" s="22">
        <v>947</v>
      </c>
    </row>
    <row r="30" spans="1:6" x14ac:dyDescent="0.3">
      <c r="A30" t="s">
        <v>384</v>
      </c>
      <c r="B30" t="s">
        <v>346</v>
      </c>
      <c r="C30" s="28" t="s">
        <v>385</v>
      </c>
      <c r="D30" s="23">
        <v>6300</v>
      </c>
    </row>
    <row r="31" spans="1:6" x14ac:dyDescent="0.3">
      <c r="A31" t="s">
        <v>396</v>
      </c>
      <c r="B31" t="s">
        <v>346</v>
      </c>
      <c r="C31" s="28" t="s">
        <v>397</v>
      </c>
      <c r="D31" s="23">
        <v>11753</v>
      </c>
    </row>
    <row r="32" spans="1:6" x14ac:dyDescent="0.3">
      <c r="A32" t="s">
        <v>404</v>
      </c>
      <c r="B32" t="s">
        <v>346</v>
      </c>
      <c r="C32" s="28" t="s">
        <v>405</v>
      </c>
      <c r="D32" s="23">
        <v>1016</v>
      </c>
    </row>
    <row r="33" spans="1:4" x14ac:dyDescent="0.3">
      <c r="A33" t="s">
        <v>410</v>
      </c>
      <c r="B33" t="s">
        <v>346</v>
      </c>
      <c r="C33" s="28" t="s">
        <v>411</v>
      </c>
      <c r="D33" s="23">
        <v>3158</v>
      </c>
    </row>
    <row r="34" spans="1:4" x14ac:dyDescent="0.3">
      <c r="A34" t="s">
        <v>417</v>
      </c>
      <c r="B34" t="s">
        <v>346</v>
      </c>
      <c r="C34" s="28" t="s">
        <v>418</v>
      </c>
      <c r="D34" s="22">
        <v>171</v>
      </c>
    </row>
    <row r="35" spans="1:4" hidden="1" x14ac:dyDescent="0.3">
      <c r="A35" t="s">
        <v>288</v>
      </c>
      <c r="B35" t="s">
        <v>289</v>
      </c>
      <c r="C35" s="29" t="s">
        <v>290</v>
      </c>
      <c r="D35" s="22">
        <v>604</v>
      </c>
    </row>
    <row r="36" spans="1:4" hidden="1" x14ac:dyDescent="0.3">
      <c r="A36" t="s">
        <v>291</v>
      </c>
      <c r="B36" t="s">
        <v>292</v>
      </c>
      <c r="C36" s="29" t="s">
        <v>293</v>
      </c>
      <c r="D36" s="22">
        <v>674</v>
      </c>
    </row>
    <row r="37" spans="1:4" hidden="1" x14ac:dyDescent="0.3">
      <c r="A37" t="s">
        <v>294</v>
      </c>
      <c r="B37" t="s">
        <v>295</v>
      </c>
      <c r="C37" s="29" t="s">
        <v>296</v>
      </c>
      <c r="D37" s="22">
        <v>567</v>
      </c>
    </row>
    <row r="38" spans="1:4" hidden="1" x14ac:dyDescent="0.3">
      <c r="A38" t="s">
        <v>297</v>
      </c>
      <c r="B38" t="s">
        <v>298</v>
      </c>
      <c r="C38" s="29" t="s">
        <v>299</v>
      </c>
      <c r="D38" s="22">
        <v>760</v>
      </c>
    </row>
    <row r="39" spans="1:4" hidden="1" x14ac:dyDescent="0.3">
      <c r="A39" t="s">
        <v>300</v>
      </c>
      <c r="B39" t="s">
        <v>301</v>
      </c>
      <c r="C39" s="29" t="s">
        <v>302</v>
      </c>
      <c r="D39" s="22">
        <v>799</v>
      </c>
    </row>
    <row r="40" spans="1:4" hidden="1" x14ac:dyDescent="0.3">
      <c r="A40" t="s">
        <v>303</v>
      </c>
      <c r="B40" t="s">
        <v>304</v>
      </c>
      <c r="C40" s="29" t="s">
        <v>305</v>
      </c>
      <c r="D40" s="22">
        <v>725</v>
      </c>
    </row>
    <row r="41" spans="1:4" hidden="1" x14ac:dyDescent="0.3">
      <c r="A41" t="s">
        <v>309</v>
      </c>
      <c r="B41" t="s">
        <v>310</v>
      </c>
      <c r="C41" s="29" t="s">
        <v>311</v>
      </c>
      <c r="D41" s="23">
        <v>1340</v>
      </c>
    </row>
    <row r="42" spans="1:4" x14ac:dyDescent="0.3">
      <c r="A42" t="s">
        <v>312</v>
      </c>
      <c r="B42" t="s">
        <v>313</v>
      </c>
      <c r="C42" s="29" t="s">
        <v>314</v>
      </c>
      <c r="D42" s="23">
        <v>2517</v>
      </c>
    </row>
    <row r="43" spans="1:4" x14ac:dyDescent="0.3">
      <c r="A43" t="s">
        <v>321</v>
      </c>
      <c r="B43" t="s">
        <v>322</v>
      </c>
      <c r="C43" s="29" t="s">
        <v>323</v>
      </c>
      <c r="D43" s="23">
        <v>1803</v>
      </c>
    </row>
    <row r="44" spans="1:4" hidden="1" x14ac:dyDescent="0.3">
      <c r="A44" t="s">
        <v>330</v>
      </c>
      <c r="B44" t="s">
        <v>331</v>
      </c>
      <c r="C44" s="29" t="s">
        <v>332</v>
      </c>
      <c r="D44" s="23">
        <v>5549</v>
      </c>
    </row>
    <row r="45" spans="1:4" hidden="1" x14ac:dyDescent="0.3">
      <c r="A45" t="s">
        <v>333</v>
      </c>
      <c r="B45" t="s">
        <v>334</v>
      </c>
      <c r="C45" s="29" t="s">
        <v>335</v>
      </c>
      <c r="D45" s="23">
        <v>5074</v>
      </c>
    </row>
    <row r="46" spans="1:4" x14ac:dyDescent="0.3">
      <c r="A46" t="s">
        <v>336</v>
      </c>
      <c r="B46" t="s">
        <v>337</v>
      </c>
      <c r="C46" s="29" t="s">
        <v>338</v>
      </c>
      <c r="D46" s="22">
        <v>907</v>
      </c>
    </row>
    <row r="47" spans="1:4" x14ac:dyDescent="0.3">
      <c r="A47" t="s">
        <v>343</v>
      </c>
      <c r="B47" t="s">
        <v>337</v>
      </c>
      <c r="C47" s="29" t="s">
        <v>344</v>
      </c>
      <c r="D47" s="23">
        <v>1007</v>
      </c>
    </row>
    <row r="48" spans="1:4" hidden="1" x14ac:dyDescent="0.3">
      <c r="A48" t="s">
        <v>348</v>
      </c>
      <c r="B48" t="s">
        <v>346</v>
      </c>
      <c r="C48" s="29" t="s">
        <v>349</v>
      </c>
      <c r="D48" s="22">
        <v>174</v>
      </c>
    </row>
    <row r="49" spans="1:4" hidden="1" x14ac:dyDescent="0.3">
      <c r="A49" t="s">
        <v>350</v>
      </c>
      <c r="B49" t="s">
        <v>346</v>
      </c>
      <c r="C49" s="29" t="s">
        <v>351</v>
      </c>
      <c r="D49" s="23">
        <v>2430</v>
      </c>
    </row>
    <row r="50" spans="1:4" hidden="1" x14ac:dyDescent="0.3">
      <c r="A50" t="s">
        <v>352</v>
      </c>
      <c r="B50" t="s">
        <v>346</v>
      </c>
      <c r="C50" s="29" t="s">
        <v>353</v>
      </c>
      <c r="D50" s="22">
        <v>113</v>
      </c>
    </row>
    <row r="51" spans="1:4" hidden="1" x14ac:dyDescent="0.3">
      <c r="A51" t="s">
        <v>354</v>
      </c>
      <c r="B51" t="s">
        <v>346</v>
      </c>
      <c r="C51" s="29" t="s">
        <v>355</v>
      </c>
      <c r="D51" s="22">
        <v>25</v>
      </c>
    </row>
    <row r="52" spans="1:4" hidden="1" x14ac:dyDescent="0.3">
      <c r="A52" t="s">
        <v>356</v>
      </c>
      <c r="B52" t="s">
        <v>346</v>
      </c>
      <c r="C52" s="29" t="s">
        <v>357</v>
      </c>
      <c r="D52" s="22">
        <v>132</v>
      </c>
    </row>
    <row r="53" spans="1:4" hidden="1" x14ac:dyDescent="0.3">
      <c r="A53" t="s">
        <v>360</v>
      </c>
      <c r="B53" t="s">
        <v>346</v>
      </c>
      <c r="C53" s="29" t="s">
        <v>361</v>
      </c>
      <c r="D53" s="22">
        <v>127</v>
      </c>
    </row>
    <row r="54" spans="1:4" hidden="1" x14ac:dyDescent="0.3">
      <c r="A54" t="s">
        <v>362</v>
      </c>
      <c r="B54" t="s">
        <v>346</v>
      </c>
      <c r="C54" s="29" t="s">
        <v>363</v>
      </c>
      <c r="D54" s="22">
        <v>136</v>
      </c>
    </row>
    <row r="55" spans="1:4" hidden="1" x14ac:dyDescent="0.3">
      <c r="A55" t="s">
        <v>364</v>
      </c>
      <c r="B55" t="s">
        <v>346</v>
      </c>
      <c r="C55" s="29" t="s">
        <v>365</v>
      </c>
      <c r="D55" s="22">
        <v>186</v>
      </c>
    </row>
    <row r="56" spans="1:4" hidden="1" x14ac:dyDescent="0.3">
      <c r="A56" t="s">
        <v>366</v>
      </c>
      <c r="B56" t="s">
        <v>346</v>
      </c>
      <c r="C56" s="29" t="s">
        <v>367</v>
      </c>
      <c r="D56" s="22">
        <v>177</v>
      </c>
    </row>
    <row r="57" spans="1:4" x14ac:dyDescent="0.3">
      <c r="A57" t="s">
        <v>368</v>
      </c>
      <c r="B57" t="s">
        <v>346</v>
      </c>
      <c r="C57" s="29" t="s">
        <v>369</v>
      </c>
      <c r="D57" s="22">
        <v>16</v>
      </c>
    </row>
    <row r="58" spans="1:4" x14ac:dyDescent="0.3">
      <c r="A58" t="s">
        <v>380</v>
      </c>
      <c r="B58" t="s">
        <v>346</v>
      </c>
      <c r="C58" s="29" t="s">
        <v>449</v>
      </c>
      <c r="D58" s="23">
        <v>3294</v>
      </c>
    </row>
    <row r="59" spans="1:4" x14ac:dyDescent="0.3">
      <c r="A59" t="s">
        <v>383</v>
      </c>
      <c r="B59" t="s">
        <v>346</v>
      </c>
      <c r="C59" s="29" t="s">
        <v>344</v>
      </c>
      <c r="D59" s="22">
        <v>14</v>
      </c>
    </row>
    <row r="60" spans="1:4" x14ac:dyDescent="0.3">
      <c r="A60" t="s">
        <v>390</v>
      </c>
      <c r="B60" t="s">
        <v>346</v>
      </c>
      <c r="C60" s="29" t="s">
        <v>391</v>
      </c>
      <c r="D60" s="22">
        <v>937</v>
      </c>
    </row>
    <row r="61" spans="1:4" x14ac:dyDescent="0.3">
      <c r="A61" t="s">
        <v>398</v>
      </c>
      <c r="B61" t="s">
        <v>346</v>
      </c>
      <c r="C61" s="29" t="s">
        <v>399</v>
      </c>
      <c r="D61" s="22">
        <v>263</v>
      </c>
    </row>
    <row r="62" spans="1:4" x14ac:dyDescent="0.3">
      <c r="A62" t="s">
        <v>419</v>
      </c>
      <c r="B62" t="s">
        <v>346</v>
      </c>
      <c r="C62" s="29" t="s">
        <v>420</v>
      </c>
      <c r="D62" s="22">
        <v>235</v>
      </c>
    </row>
    <row r="63" spans="1:4" x14ac:dyDescent="0.3">
      <c r="A63" t="s">
        <v>429</v>
      </c>
      <c r="B63" t="s">
        <v>346</v>
      </c>
      <c r="C63" s="29" t="s">
        <v>430</v>
      </c>
      <c r="D63" s="22">
        <v>766</v>
      </c>
    </row>
    <row r="64" spans="1:4" x14ac:dyDescent="0.3">
      <c r="A64" t="s">
        <v>439</v>
      </c>
      <c r="B64" t="s">
        <v>346</v>
      </c>
      <c r="C64" s="29" t="s">
        <v>440</v>
      </c>
      <c r="D64" s="22">
        <v>771</v>
      </c>
    </row>
    <row r="65" spans="1:5" x14ac:dyDescent="0.3">
      <c r="A65" t="s">
        <v>324</v>
      </c>
      <c r="B65" t="s">
        <v>322</v>
      </c>
      <c r="C65" s="30" t="s">
        <v>325</v>
      </c>
      <c r="D65" s="23">
        <v>2898</v>
      </c>
    </row>
    <row r="66" spans="1:5" x14ac:dyDescent="0.3">
      <c r="A66" t="s">
        <v>339</v>
      </c>
      <c r="B66" t="s">
        <v>337</v>
      </c>
      <c r="C66" s="30" t="s">
        <v>340</v>
      </c>
      <c r="D66" s="23">
        <v>2734</v>
      </c>
    </row>
    <row r="67" spans="1:5" x14ac:dyDescent="0.3">
      <c r="A67" t="s">
        <v>370</v>
      </c>
      <c r="B67" t="s">
        <v>346</v>
      </c>
      <c r="C67" s="30" t="s">
        <v>371</v>
      </c>
      <c r="D67" s="22">
        <v>48</v>
      </c>
    </row>
    <row r="68" spans="1:5" x14ac:dyDescent="0.3">
      <c r="A68" t="s">
        <v>378</v>
      </c>
      <c r="B68" t="s">
        <v>346</v>
      </c>
      <c r="C68" s="30" t="s">
        <v>379</v>
      </c>
      <c r="D68" s="23">
        <v>4899</v>
      </c>
    </row>
    <row r="69" spans="1:5" x14ac:dyDescent="0.3">
      <c r="A69" t="s">
        <v>381</v>
      </c>
      <c r="B69" t="s">
        <v>346</v>
      </c>
      <c r="C69" s="30" t="s">
        <v>382</v>
      </c>
      <c r="D69" s="23">
        <v>1907</v>
      </c>
    </row>
    <row r="70" spans="1:5" x14ac:dyDescent="0.3">
      <c r="A70" t="s">
        <v>394</v>
      </c>
      <c r="B70" t="s">
        <v>346</v>
      </c>
      <c r="C70" s="30" t="s">
        <v>395</v>
      </c>
      <c r="D70" s="23">
        <v>2824</v>
      </c>
    </row>
    <row r="71" spans="1:5" x14ac:dyDescent="0.3">
      <c r="A71" t="s">
        <v>400</v>
      </c>
      <c r="B71" t="s">
        <v>346</v>
      </c>
      <c r="C71" s="30" t="s">
        <v>401</v>
      </c>
      <c r="D71" s="22">
        <v>423</v>
      </c>
    </row>
    <row r="72" spans="1:5" x14ac:dyDescent="0.3">
      <c r="A72" t="s">
        <v>408</v>
      </c>
      <c r="B72" t="s">
        <v>346</v>
      </c>
      <c r="C72" s="30" t="s">
        <v>409</v>
      </c>
      <c r="D72" s="23">
        <v>37390</v>
      </c>
    </row>
    <row r="73" spans="1:5" x14ac:dyDescent="0.3">
      <c r="A73" t="s">
        <v>412</v>
      </c>
      <c r="B73" t="s">
        <v>346</v>
      </c>
      <c r="C73" s="30" t="s">
        <v>413</v>
      </c>
      <c r="D73" s="23">
        <v>2552</v>
      </c>
    </row>
    <row r="74" spans="1:5" x14ac:dyDescent="0.3">
      <c r="A74" t="s">
        <v>421</v>
      </c>
      <c r="B74" t="s">
        <v>346</v>
      </c>
      <c r="C74" s="30" t="s">
        <v>422</v>
      </c>
      <c r="D74" s="23">
        <v>2688</v>
      </c>
    </row>
    <row r="75" spans="1:5" x14ac:dyDescent="0.3">
      <c r="A75" t="s">
        <v>431</v>
      </c>
      <c r="B75" t="s">
        <v>346</v>
      </c>
      <c r="C75" s="30" t="s">
        <v>432</v>
      </c>
      <c r="D75" s="23">
        <v>3743</v>
      </c>
    </row>
    <row r="76" spans="1:5" x14ac:dyDescent="0.3">
      <c r="A76" t="s">
        <v>441</v>
      </c>
      <c r="B76" t="s">
        <v>346</v>
      </c>
      <c r="C76" s="30" t="s">
        <v>442</v>
      </c>
      <c r="D76" s="23">
        <v>2441</v>
      </c>
    </row>
    <row r="77" spans="1:5" hidden="1" x14ac:dyDescent="0.3">
      <c r="D77" s="22">
        <f>SUM(D3:D76)</f>
        <v>320070</v>
      </c>
    </row>
    <row r="80" spans="1:5" x14ac:dyDescent="0.3">
      <c r="D80" s="3">
        <v>64547</v>
      </c>
      <c r="E80" s="30" t="s">
        <v>249</v>
      </c>
    </row>
    <row r="81" spans="4:7" x14ac:dyDescent="0.3">
      <c r="D81" s="3">
        <v>2123</v>
      </c>
      <c r="E81" s="26" t="s">
        <v>251</v>
      </c>
    </row>
    <row r="82" spans="4:7" x14ac:dyDescent="0.3">
      <c r="D82" s="3">
        <v>72302</v>
      </c>
      <c r="E82" t="s">
        <v>252</v>
      </c>
    </row>
    <row r="83" spans="4:7" x14ac:dyDescent="0.3">
      <c r="D83" s="3">
        <v>105923</v>
      </c>
      <c r="E83" s="25" t="s">
        <v>250</v>
      </c>
    </row>
    <row r="84" spans="4:7" x14ac:dyDescent="0.3">
      <c r="D84" s="3">
        <v>12027</v>
      </c>
      <c r="E84" s="31" t="s">
        <v>451</v>
      </c>
      <c r="F84" t="s">
        <v>452</v>
      </c>
    </row>
    <row r="85" spans="4:7" x14ac:dyDescent="0.3">
      <c r="D85" s="3">
        <v>30309</v>
      </c>
      <c r="E85" s="28" t="s">
        <v>453</v>
      </c>
      <c r="F85" t="s">
        <v>454</v>
      </c>
    </row>
    <row r="86" spans="4:7" x14ac:dyDescent="0.3">
      <c r="D86" s="3">
        <v>717</v>
      </c>
      <c r="E86" t="s">
        <v>248</v>
      </c>
    </row>
    <row r="87" spans="4:7" x14ac:dyDescent="0.3">
      <c r="D87" s="32">
        <v>32122</v>
      </c>
      <c r="E87" s="29" t="s">
        <v>247</v>
      </c>
    </row>
    <row r="88" spans="4:7" x14ac:dyDescent="0.3">
      <c r="D88" s="3">
        <f>SUM(D80:D87)</f>
        <v>320070</v>
      </c>
      <c r="E88" t="s">
        <v>455</v>
      </c>
    </row>
    <row r="90" spans="4:7" x14ac:dyDescent="0.3">
      <c r="D90" s="3">
        <v>299227</v>
      </c>
      <c r="E90" t="s">
        <v>456</v>
      </c>
    </row>
    <row r="91" spans="4:7" x14ac:dyDescent="0.3">
      <c r="D91" s="32">
        <v>20843</v>
      </c>
      <c r="E91" t="s">
        <v>457</v>
      </c>
    </row>
    <row r="92" spans="4:7" x14ac:dyDescent="0.3">
      <c r="D92" s="3">
        <f>SUM(D90:D91)</f>
        <v>320070</v>
      </c>
      <c r="G92" s="12">
        <f>D92-D86-D82</f>
        <v>247051</v>
      </c>
    </row>
    <row r="93" spans="4:7" x14ac:dyDescent="0.3">
      <c r="D93" s="12">
        <f>D88-D92</f>
        <v>0</v>
      </c>
      <c r="E93" t="s">
        <v>458</v>
      </c>
    </row>
  </sheetData>
  <autoFilter ref="A2:G77" xr:uid="{0569283F-839A-4DC4-B74A-4493F61075FC}">
    <filterColumn colId="2">
      <filters>
        <filter val="Being FD 414170 renewed and remade SCB - PDF"/>
        <filter val="Being FD TD0000403571 renewed and remade SCB - SF"/>
        <filter val="Being FD TD0000403572 renewed and remade SCB - BRF"/>
        <filter val="Being FD TD0000406343 renewed and remade SCB - PDF"/>
        <filter val="Being FD TD0000406346 renewed and remade SCB - SF"/>
        <filter val="Being FD TD0000414168 renewed and remade SCB - SF"/>
        <filter val="Being FD TD0000414169 renewed and remade SCB - BRF"/>
        <filter val="Being FD TD0000414171 renewed and remade SCB - RF"/>
        <filter val="Being int accu on FD  TD0000403571- SF - SCB"/>
        <filter val="Being int accu on FD 277843- RF - SCB"/>
        <filter val="Being int accu on FD 406342- RDF - SCB"/>
        <filter val="Being int accu on FD 414150- ETF - SCB"/>
        <filter val="Being int accu on FD 414172- PDF - SCB"/>
        <filter val="Being int accu on FD TD0000403572 - BRF - SCB"/>
        <filter val="Being int accu on FD TD0000406343 - PDF - SCB"/>
        <filter val="Being int accu on FD TD0000406344 - PDF - SCB"/>
        <filter val="Being int accu on FD TD0000406345 - BRF - SCB"/>
        <filter val="Being int accu on FD TD0000406346 - SF - SCB"/>
        <filter val="Being int accu on FD TD0000414146- BRF - SCB"/>
        <filter val="Being int accu on FD TD0000414147- SF - SCB"/>
        <filter val="Being int accu on FD TD0000414148- RF- SCB"/>
        <filter val="Being int accu on FD TD0000414149- RDF - SCB"/>
        <filter val="Being int accu on FD TD0000414152 - SF - SCB"/>
        <filter val="Being int accu on FD TD0000414165- PDF - SCB"/>
        <filter val="Being int accu on FD TD0000414166 - BRF - SCB"/>
        <filter val="Being int accu on FD TD0000414167 - RF - SCB"/>
        <filter val="Being int accu on FD TD0000414168 - SF - SCB"/>
        <filter val="Being int accu on FD TD0000414169 - BRF - SCB"/>
        <filter val="Being int accu on FD TD0000414170 - PDF - SCB"/>
        <filter val="Being int accu on FD TD0000414171 - RF - SCB"/>
        <filter val="Being int accu on FD TD0000414173 - BRF - SCB"/>
        <filter val="Being int accu on FD TD1000277852 - BRF - SCB"/>
        <filter val="Being int accu on FD TD1000277956 - RDF- SCB"/>
        <filter val="Being int accu on FD TD1000277965- ETF - SCB"/>
        <filter val="Being int accu on FD TD1000697037 - RF - SCB"/>
        <filter val="Being int accu on FD TD1000697044 - SF - SCB"/>
        <filter val="Being int accu on FD TD1000697074- BRF - SCB"/>
        <filter val="Being int accu on FD TD1000697085- PDF - SCB"/>
        <filter val="Being int accu on FD TD1000697094 - ETF - SCB"/>
        <filter val="Being int accu on FD TD1000909156 - GF - SCB"/>
        <filter val="Being int accu on FD TD1001128233 - SF - SCB"/>
        <filter val="Being int accu on FD TD1001128295 - BRF - SCB"/>
        <filter val="Being int accu on FD TD1001128298 - ETF - SCB"/>
        <filter val="Being int accu on FD TD1001128304 - GF - SCB"/>
        <filter val="Being int accu on FD TD1001580367- GF - SCB"/>
        <filter val="Being int accu on FD TD1001580377 - SF - SCB"/>
        <filter val="Being int accu on FD TD1001580383 - BRF - SCB"/>
        <filter val="Being int accu on FD TD1001580386 - ETF - SCB"/>
        <filter val="Being int on  fixed deposit -Td1000277973 - SCB"/>
        <filter val="Being int on FD 08344 CCB  SCF"/>
        <filter val="Being int recd on FD  TD1000277973 - SC SCB"/>
        <filter val="Being interest recd on FD   TD1000277973 SC SCB"/>
        <filter val="Being interest recd on FD TD1000277973 SC SCB"/>
      </filters>
    </filterColumn>
    <sortState xmlns:xlrd2="http://schemas.microsoft.com/office/spreadsheetml/2017/richdata2" ref="A3:G77">
      <sortCondition sortBy="cellColor" ref="C2:C77" dxfId="0"/>
    </sortState>
  </autoFilter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2"/>
  <sheetViews>
    <sheetView workbookViewId="0">
      <selection activeCell="E20" sqref="E20"/>
    </sheetView>
  </sheetViews>
  <sheetFormatPr defaultRowHeight="14.4" x14ac:dyDescent="0.3"/>
  <cols>
    <col min="1" max="1" width="2.88671875" customWidth="1"/>
    <col min="2" max="3" width="12.6640625" customWidth="1"/>
    <col min="4" max="4" width="4.88671875" bestFit="1" customWidth="1"/>
    <col min="5" max="5" width="16.33203125" customWidth="1"/>
  </cols>
  <sheetData>
    <row r="1" spans="2:8" x14ac:dyDescent="0.3">
      <c r="B1" s="19" t="s">
        <v>2</v>
      </c>
      <c r="C1" s="19"/>
      <c r="D1" s="19"/>
      <c r="E1" s="19"/>
    </row>
    <row r="2" spans="2:8" x14ac:dyDescent="0.3">
      <c r="B2" s="1" t="s">
        <v>28</v>
      </c>
    </row>
    <row r="3" spans="2:8" x14ac:dyDescent="0.3">
      <c r="B3" s="2">
        <v>45968</v>
      </c>
      <c r="C3" s="2">
        <v>46059</v>
      </c>
      <c r="D3" s="3">
        <f>+C3-B3</f>
        <v>91</v>
      </c>
      <c r="E3" s="3">
        <v>13336</v>
      </c>
      <c r="H3" s="10"/>
    </row>
    <row r="4" spans="2:8" x14ac:dyDescent="0.3">
      <c r="B4" s="2">
        <f>+C3</f>
        <v>46059</v>
      </c>
      <c r="C4" s="2">
        <v>46112</v>
      </c>
      <c r="D4" s="3">
        <f t="shared" ref="D4" si="0">+C4-B4</f>
        <v>53</v>
      </c>
      <c r="E4" s="38">
        <f>ROUND(E3/D3*D4,0)</f>
        <v>7767</v>
      </c>
      <c r="F4" s="1" t="s">
        <v>192</v>
      </c>
    </row>
    <row r="5" spans="2:8" x14ac:dyDescent="0.3">
      <c r="E5" s="3"/>
    </row>
    <row r="6" spans="2:8" x14ac:dyDescent="0.3">
      <c r="B6" s="1" t="s">
        <v>98</v>
      </c>
      <c r="E6" s="3"/>
    </row>
    <row r="7" spans="2:8" x14ac:dyDescent="0.3">
      <c r="B7" s="2">
        <v>46023</v>
      </c>
      <c r="C7" s="2">
        <v>46387</v>
      </c>
      <c r="D7" s="3">
        <f>+C7-B7+1</f>
        <v>365</v>
      </c>
      <c r="E7" s="3">
        <v>17110</v>
      </c>
    </row>
    <row r="8" spans="2:8" x14ac:dyDescent="0.3">
      <c r="B8" s="2">
        <v>46113</v>
      </c>
      <c r="C8" s="2">
        <f>+C7</f>
        <v>46387</v>
      </c>
      <c r="D8" s="3">
        <f>+C8-B8+1</f>
        <v>275</v>
      </c>
      <c r="E8" s="39">
        <f>ROUND(E7*D8/D7,0)</f>
        <v>12891</v>
      </c>
      <c r="F8" s="1" t="s">
        <v>99</v>
      </c>
    </row>
    <row r="9" spans="2:8" x14ac:dyDescent="0.3">
      <c r="D9" s="12"/>
      <c r="E9" s="3"/>
    </row>
    <row r="10" spans="2:8" x14ac:dyDescent="0.3">
      <c r="B10" s="1" t="s">
        <v>100</v>
      </c>
      <c r="E10" s="3"/>
      <c r="F10" s="12"/>
    </row>
    <row r="11" spans="2:8" x14ac:dyDescent="0.3">
      <c r="B11" s="2">
        <v>46023</v>
      </c>
      <c r="C11" s="2">
        <v>46387</v>
      </c>
      <c r="D11" s="3">
        <f>+C11-B11+1</f>
        <v>365</v>
      </c>
      <c r="E11" s="3">
        <v>39500</v>
      </c>
    </row>
    <row r="12" spans="2:8" x14ac:dyDescent="0.3">
      <c r="B12" s="2">
        <v>46113</v>
      </c>
      <c r="C12" s="2">
        <f>+C11</f>
        <v>46387</v>
      </c>
      <c r="D12" s="3">
        <f t="shared" ref="D12" si="1">+C12-B12+1</f>
        <v>275</v>
      </c>
      <c r="E12" s="39">
        <f>ROUND(E11*D12/D11,0)</f>
        <v>29760</v>
      </c>
      <c r="F12" s="1" t="s">
        <v>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BS</vt:lpstr>
      <vt:lpstr>IE</vt:lpstr>
      <vt:lpstr>FD-Sch 1</vt:lpstr>
      <vt:lpstr>FA-Sch 2</vt:lpstr>
      <vt:lpstr>Sch 3 to 6</vt:lpstr>
      <vt:lpstr>BRS</vt:lpstr>
      <vt:lpstr>FD Interest</vt:lpstr>
      <vt:lpstr>Workings</vt:lpstr>
      <vt:lpstr>BS!Print_Area</vt:lpstr>
      <vt:lpstr>'FA-Sch 2'!Print_Area</vt:lpstr>
      <vt:lpstr>'FD-Sch 1'!Print_Area</vt:lpstr>
      <vt:lpstr>IE!Print_Area</vt:lpstr>
      <vt:lpstr>'Sch 3 to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2026-09-06T19:34:53Z</cp:lastPrinted>
  <dcterms:created xsi:type="dcterms:W3CDTF">2015-06-05T18:17:20Z</dcterms:created>
  <dcterms:modified xsi:type="dcterms:W3CDTF">2026-09-12T02:24:27Z</dcterms:modified>
</cp:coreProperties>
</file>