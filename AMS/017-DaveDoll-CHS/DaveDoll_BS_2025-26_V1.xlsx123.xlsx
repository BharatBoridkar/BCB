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ve Doll\Skelton\"/>
    </mc:Choice>
  </mc:AlternateContent>
  <xr:revisionPtr revIDLastSave="0" documentId="13_ncr:1_{2CBE5DFF-E8A7-44B8-BECF-E7C1A08AC9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S" sheetId="1" r:id="rId1"/>
    <sheet name="IE" sheetId="2" r:id="rId2"/>
    <sheet name="FD-Sch" sheetId="3" r:id="rId3"/>
    <sheet name="Members" sheetId="9" r:id="rId4"/>
    <sheet name="Vendors" sheetId="6" r:id="rId5"/>
    <sheet name="BRS" sheetId="7" r:id="rId6"/>
    <sheet name="Workings" sheetId="8" r:id="rId7"/>
  </sheets>
  <definedNames>
    <definedName name="_xlnm.Print_Area" localSheetId="0">BS!$A$1:$H$63</definedName>
    <definedName name="_xlnm.Print_Area" localSheetId="2">'FD-Sch'!$A$1:$L$18</definedName>
    <definedName name="_xlnm.Print_Area" localSheetId="1">IE!$A$1:$H$71</definedName>
    <definedName name="_xlnm.Print_Area" localSheetId="3">Members!$A$1:$F$16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8" l="1"/>
  <c r="D10" i="8"/>
  <c r="D30" i="2"/>
  <c r="C32" i="1"/>
  <c r="C24" i="1"/>
  <c r="H17" i="3"/>
  <c r="K17" i="3"/>
  <c r="D20" i="7"/>
  <c r="I16" i="3"/>
  <c r="F17" i="3"/>
  <c r="E17" i="3"/>
  <c r="C15" i="8"/>
  <c r="G34" i="1"/>
  <c r="C42" i="1"/>
  <c r="A17" i="1"/>
  <c r="C36" i="1"/>
  <c r="A22" i="1"/>
  <c r="I8" i="3"/>
  <c r="I10" i="3"/>
  <c r="I11" i="3"/>
  <c r="I12" i="3"/>
  <c r="I13" i="3"/>
  <c r="I14" i="3"/>
  <c r="I15" i="3"/>
  <c r="I7" i="3"/>
  <c r="C22" i="1"/>
  <c r="G26" i="1"/>
  <c r="G30" i="1"/>
  <c r="C15" i="1" l="1"/>
  <c r="D49" i="2"/>
  <c r="G8" i="2"/>
  <c r="G15" i="2"/>
  <c r="G14" i="2"/>
  <c r="A6" i="2"/>
  <c r="D13" i="7"/>
  <c r="D6" i="7"/>
  <c r="D28" i="7"/>
  <c r="D43" i="1"/>
  <c r="D51" i="1" l="1"/>
  <c r="D14" i="6"/>
  <c r="B14" i="6"/>
  <c r="A46" i="1" s="1"/>
  <c r="A52" i="1" s="1"/>
  <c r="D37" i="1"/>
  <c r="C28" i="1" l="1"/>
  <c r="D30" i="1" s="1"/>
  <c r="D26" i="1"/>
  <c r="E12" i="9"/>
  <c r="D48" i="1" s="1"/>
  <c r="D55" i="2"/>
  <c r="D20" i="8" l="1"/>
  <c r="E20" i="8" s="1"/>
  <c r="D19" i="8"/>
  <c r="H26" i="2"/>
  <c r="H19" i="2"/>
  <c r="E15" i="8" l="1"/>
  <c r="E16" i="8" s="1"/>
  <c r="G16" i="1"/>
  <c r="G9" i="3"/>
  <c r="G17" i="3" s="1"/>
  <c r="I9" i="3" l="1"/>
  <c r="I17" i="3" s="1"/>
  <c r="H38" i="1" l="1"/>
  <c r="E6" i="9"/>
  <c r="H20" i="1" s="1"/>
  <c r="D7" i="8"/>
  <c r="D6" i="2"/>
  <c r="H6" i="2" s="1"/>
  <c r="E6" i="2"/>
  <c r="H6" i="1"/>
  <c r="E6" i="1"/>
  <c r="H5" i="1"/>
  <c r="A2" i="1"/>
  <c r="C39" i="1"/>
  <c r="C20" i="1"/>
  <c r="C25" i="8"/>
  <c r="H34" i="1" l="1"/>
  <c r="D40" i="1"/>
  <c r="H12" i="1"/>
  <c r="A3" i="2"/>
  <c r="H26" i="1"/>
  <c r="H30" i="1"/>
  <c r="D34" i="1"/>
  <c r="B5" i="8"/>
  <c r="D5" i="8" s="1"/>
  <c r="D4" i="8"/>
  <c r="A1" i="3"/>
  <c r="H17" i="1" l="1"/>
  <c r="D6" i="8"/>
  <c r="D8" i="8" s="1"/>
  <c r="E6" i="8"/>
  <c r="E7" i="8" l="1"/>
  <c r="A1" i="2"/>
  <c r="E61" i="2" s="1"/>
  <c r="D22" i="1"/>
  <c r="D25" i="8"/>
  <c r="D24" i="8"/>
  <c r="D20" i="2"/>
  <c r="E60" i="2"/>
  <c r="A59" i="2" s="1"/>
  <c r="E47" i="1" s="1"/>
  <c r="G46" i="1" s="1"/>
  <c r="C46" i="1" l="1"/>
  <c r="D46" i="1" s="1"/>
  <c r="E8" i="8"/>
  <c r="D16" i="2" s="1"/>
  <c r="D59" i="2" s="1"/>
  <c r="E25" i="8"/>
  <c r="H43" i="1" l="1"/>
  <c r="D37" i="2"/>
  <c r="E52" i="1" l="1"/>
  <c r="I55" i="1" s="1"/>
  <c r="A60" i="2" l="1"/>
  <c r="A75" i="2" s="1"/>
  <c r="H60" i="2" l="1"/>
  <c r="G47" i="1" s="1"/>
  <c r="C17" i="1" l="1"/>
  <c r="H51" i="1" l="1"/>
  <c r="H52" i="1" s="1"/>
  <c r="D60" i="2"/>
  <c r="J60" i="2" s="1"/>
  <c r="D18" i="1"/>
  <c r="D52" i="1" l="1"/>
  <c r="J55" i="1" l="1"/>
  <c r="H54" i="1"/>
</calcChain>
</file>

<file path=xl/sharedStrings.xml><?xml version="1.0" encoding="utf-8"?>
<sst xmlns="http://schemas.openxmlformats.org/spreadsheetml/2006/main" count="285" uniqueCount="217">
  <si>
    <t>LIABILITIES</t>
  </si>
  <si>
    <t>ASSETS</t>
  </si>
  <si>
    <t>Note: Workings Page is not the be printed</t>
  </si>
  <si>
    <t>Investments:</t>
  </si>
  <si>
    <t>Reserves and Surplus:</t>
  </si>
  <si>
    <t>Sinking Fund</t>
  </si>
  <si>
    <t>Certificate No.</t>
  </si>
  <si>
    <t>Date of Issue</t>
  </si>
  <si>
    <t>Amount Deposited</t>
  </si>
  <si>
    <t>Bank</t>
  </si>
  <si>
    <t>Grant Total</t>
  </si>
  <si>
    <t>Maturity Date</t>
  </si>
  <si>
    <t>Authorised Share Capital</t>
  </si>
  <si>
    <t>Maturity Value</t>
  </si>
  <si>
    <t>Maintenance Charges</t>
  </si>
  <si>
    <t>Non Occupancy Charges</t>
  </si>
  <si>
    <t>Parking Charges</t>
  </si>
  <si>
    <t>Insurance Charges</t>
  </si>
  <si>
    <t>Late Payment Interest</t>
  </si>
  <si>
    <t>Total</t>
  </si>
  <si>
    <t>Interest on Savings Deposit</t>
  </si>
  <si>
    <t>Interest on Fixed Deposits</t>
  </si>
  <si>
    <t>Less: Transferred to Sinking Fund</t>
  </si>
  <si>
    <t>25% Transferred to Reserve Fund</t>
  </si>
  <si>
    <t>Propert Tax</t>
  </si>
  <si>
    <t>Electricity Charges</t>
  </si>
  <si>
    <t>Common Area Electricity Charges</t>
  </si>
  <si>
    <t>Water Expenses</t>
  </si>
  <si>
    <t>Water Charges:</t>
  </si>
  <si>
    <t xml:space="preserve">PNH5140001 </t>
  </si>
  <si>
    <t>Salary Expenses</t>
  </si>
  <si>
    <t>Bonus</t>
  </si>
  <si>
    <t>Other Repair Maintenance</t>
  </si>
  <si>
    <t>Pest Control Expenses</t>
  </si>
  <si>
    <t>Insurance Expenses</t>
  </si>
  <si>
    <t>Insurance Expense</t>
  </si>
  <si>
    <t>Subscription Federation</t>
  </si>
  <si>
    <t>Audit Fees</t>
  </si>
  <si>
    <t>Professional Fees</t>
  </si>
  <si>
    <t>Accounting Charges</t>
  </si>
  <si>
    <t>Printing and Stationery</t>
  </si>
  <si>
    <t>Bank Charges</t>
  </si>
  <si>
    <t>As per last balance sheet</t>
  </si>
  <si>
    <t>Add: 25% of Surplus transferred</t>
  </si>
  <si>
    <t>Add: Interest earned during the year</t>
  </si>
  <si>
    <t>Add: Additions during the year</t>
  </si>
  <si>
    <t xml:space="preserve">Total </t>
  </si>
  <si>
    <t>Current Liabilities and Provisions:</t>
  </si>
  <si>
    <t>Income and Expenditure Account:</t>
  </si>
  <si>
    <t>Cash in Hand</t>
  </si>
  <si>
    <t>Fixed Assets:</t>
  </si>
  <si>
    <t>Other Current Assets:</t>
  </si>
  <si>
    <t>Prepaid Expenses:</t>
  </si>
  <si>
    <t>EXPENDITURE</t>
  </si>
  <si>
    <t>INCOME</t>
  </si>
  <si>
    <t>Sr.</t>
  </si>
  <si>
    <t>DAVE DOLL CO-OPERATIVE HOUSING SOCIETY LTD</t>
  </si>
  <si>
    <t>SCB</t>
  </si>
  <si>
    <t>Municipal Tax</t>
  </si>
  <si>
    <t>Water Charges</t>
  </si>
  <si>
    <t>Water Tank Cleaning Charges</t>
  </si>
  <si>
    <t>Lift Maintenance</t>
  </si>
  <si>
    <t>Electrical Repair</t>
  </si>
  <si>
    <t>Meeting Expenses</t>
  </si>
  <si>
    <t>Less: Expenses incurred during the year</t>
  </si>
  <si>
    <t>Citizen Credit Co-op Bank</t>
  </si>
  <si>
    <t>MDCC Bank</t>
  </si>
  <si>
    <t>Citizen Credit Co-op Bank (Repair Fund)</t>
  </si>
  <si>
    <t>Less: Depreciation @ 10%</t>
  </si>
  <si>
    <t>Vendor Name</t>
  </si>
  <si>
    <t>Adani Electricity</t>
  </si>
  <si>
    <t>BMC - Water Expenses</t>
  </si>
  <si>
    <t>Pumpman</t>
  </si>
  <si>
    <t>Sweeper</t>
  </si>
  <si>
    <t>US Elevators</t>
  </si>
  <si>
    <t>Less: Depreciation @ 15%</t>
  </si>
  <si>
    <t>Deposit with Adani Electricity</t>
  </si>
  <si>
    <t>Advance Payment to Vendors</t>
  </si>
  <si>
    <t>Prepaid Insurance</t>
  </si>
  <si>
    <t>Prepaid Pest Control</t>
  </si>
  <si>
    <t>Less: Excess of Income over Expenditure</t>
  </si>
  <si>
    <t>D'Monte Lane, C.S.T. No. 520/521/522, Orlem, Malad(West), Mumbai, Maharashtra - 400064</t>
  </si>
  <si>
    <t>Postage and Courier</t>
  </si>
  <si>
    <t>Conveyance Expense</t>
  </si>
  <si>
    <t>Misc. Expenses</t>
  </si>
  <si>
    <t>Total Amt Invested</t>
  </si>
  <si>
    <t>22.06.2024</t>
  </si>
  <si>
    <t>As per my Report of Even Date.</t>
  </si>
  <si>
    <t>Place Mumbai</t>
  </si>
  <si>
    <t>Chairman                              Hon. Secretary                              Hon. Treasurer</t>
  </si>
  <si>
    <t>14.06.2024</t>
  </si>
  <si>
    <t>ROI</t>
  </si>
  <si>
    <t>22.06.2025</t>
  </si>
  <si>
    <t>28.06.2025</t>
  </si>
  <si>
    <t>07.03.2026</t>
  </si>
  <si>
    <t>SCHEDULE - A</t>
  </si>
  <si>
    <t>(Amt. in Rs.)</t>
  </si>
  <si>
    <t>To Excess of Income over Expenditure:</t>
  </si>
  <si>
    <t>To Office Charges:</t>
  </si>
  <si>
    <t>By Maintenance Income:</t>
  </si>
  <si>
    <t>By Interest Income:</t>
  </si>
  <si>
    <t>To Repair and Maintenance:</t>
  </si>
  <si>
    <t>To Service Charges:</t>
  </si>
  <si>
    <t>To Propert Tax:</t>
  </si>
  <si>
    <t>To Electricity Charges:</t>
  </si>
  <si>
    <t>To Water Expenses:</t>
  </si>
  <si>
    <t>To Salary Expenses:</t>
  </si>
  <si>
    <t>Excess of Income over Expenditure</t>
  </si>
  <si>
    <t>( 2000 Share of ₹ 50/- each )</t>
  </si>
  <si>
    <t>Bal as per last balance sheet</t>
  </si>
  <si>
    <t>(i) Furniture and Fixture</t>
  </si>
  <si>
    <t>(ii) Water Pump</t>
  </si>
  <si>
    <t>(i) General Reserve Fund</t>
  </si>
  <si>
    <t>(ii) Sinking Fund</t>
  </si>
  <si>
    <t>(iii) Repair Fund</t>
  </si>
  <si>
    <t>(iv) Lift Repair Fund</t>
  </si>
  <si>
    <t>(v) Major Repair Fund</t>
  </si>
  <si>
    <t>(vi) Conveyance Fund</t>
  </si>
  <si>
    <t>(vii) Education and Training Fund</t>
  </si>
  <si>
    <t>Cash and Bank Balances:</t>
  </si>
  <si>
    <t>DAVE DOLL CO-OPERATIVE HOUSING SOCIETY LTD.</t>
  </si>
  <si>
    <t>Depreciation on Fixed Assets</t>
  </si>
  <si>
    <t>Income Tax Expenses</t>
  </si>
  <si>
    <t>For DAVE DOLL CO-OPERATIVE HOUSING SOCIETY LTD.</t>
  </si>
  <si>
    <t>Water Tanker Expenses</t>
  </si>
  <si>
    <t>Plumbing Repairs</t>
  </si>
  <si>
    <t>Accrued Int for FY 23-24</t>
  </si>
  <si>
    <t>TD1001139004</t>
  </si>
  <si>
    <t>Sr. No.</t>
  </si>
  <si>
    <t>Member's Receivables - Schedule B</t>
  </si>
  <si>
    <t>Particulars</t>
  </si>
  <si>
    <t>Amount</t>
  </si>
  <si>
    <t>Balance as per System (Book Balance)</t>
  </si>
  <si>
    <t>Balance as per Bank Passbook</t>
  </si>
  <si>
    <t>DAVE DOLL CO-OPERATIVE HOUSING SOCIETY LIMITED</t>
  </si>
  <si>
    <t>(iii) CCTV</t>
  </si>
  <si>
    <t>(viii) Building Repair Fund</t>
  </si>
  <si>
    <t>Outstanding Expenses - Schedule D</t>
  </si>
  <si>
    <t>Advance from Members - Schedule C</t>
  </si>
  <si>
    <t>( 180 Shares of ₹ 50/- each )</t>
  </si>
  <si>
    <t>Issues, Subscribed and Paid Up Share Capital</t>
  </si>
  <si>
    <t>Retention Amounts:</t>
  </si>
  <si>
    <t xml:space="preserve">By Excess of Expenditure over Income </t>
  </si>
  <si>
    <t xml:space="preserve">13 Shares of MDCC Bank of @ Rs.1000/- </t>
  </si>
  <si>
    <t>(Regd. No. : BOM / WP / HSG / TC / 9214 / 1995-96)</t>
  </si>
  <si>
    <t>Flat No.</t>
  </si>
  <si>
    <t>Name of the Member</t>
  </si>
  <si>
    <t>Accrued Interest on Fixed Deposits</t>
  </si>
  <si>
    <t>Fixed Deposits - Schedule A</t>
  </si>
  <si>
    <t>Saraswat Co-op. Bank</t>
  </si>
  <si>
    <t>Sundry Debtors :</t>
  </si>
  <si>
    <t>FY 2024-25</t>
  </si>
  <si>
    <t>TD1001586949</t>
  </si>
  <si>
    <t>22.03.2024</t>
  </si>
  <si>
    <t>29.03.2025</t>
  </si>
  <si>
    <t>Accrued Int for FY 24-25</t>
  </si>
  <si>
    <t>TD0000405491_02</t>
  </si>
  <si>
    <t>TD1000040719_01</t>
  </si>
  <si>
    <t>TD1000053155_01</t>
  </si>
  <si>
    <t>Mr. Ralph D'Souza</t>
  </si>
  <si>
    <t>days</t>
  </si>
  <si>
    <t>29.07.2026</t>
  </si>
  <si>
    <t>14.07.2026</t>
  </si>
  <si>
    <t>22.06.2027</t>
  </si>
  <si>
    <t>06.07.2027</t>
  </si>
  <si>
    <t>Lift AMC</t>
  </si>
  <si>
    <t>Prepaid</t>
  </si>
  <si>
    <t>Trfd to Lift Repair Fund</t>
  </si>
  <si>
    <t>Major Repair</t>
  </si>
  <si>
    <t>Lift Repair Fund</t>
  </si>
  <si>
    <t>Repair Fund</t>
  </si>
  <si>
    <t>Appropriation Account</t>
  </si>
  <si>
    <t>Less: Trfd to Lift Repair Fund</t>
  </si>
  <si>
    <t>Office Expenses</t>
  </si>
  <si>
    <t>Prepaid Lift Maintenance</t>
  </si>
  <si>
    <t>Less: Major Repair Expenses</t>
  </si>
  <si>
    <t>Less: PY expenses taken to IE now adj</t>
  </si>
  <si>
    <t>AGM Constructions</t>
  </si>
  <si>
    <t>Less: PY Conveyance Exps now rectified</t>
  </si>
  <si>
    <t>Less: Amt not payable to Raj Varma</t>
  </si>
  <si>
    <t>Retention - AGM Constructions</t>
  </si>
  <si>
    <t>Less: Excess Income Tax provision w/back</t>
  </si>
  <si>
    <t>Less: PY Lift AMC wrongly provided</t>
  </si>
  <si>
    <t>Income and Expenditure Account for the year ended March 31, 2026</t>
  </si>
  <si>
    <t>Balance Sheet as at March 31, 2026</t>
  </si>
  <si>
    <t>Election Expenses</t>
  </si>
  <si>
    <t>Accrued Int for FY 25-26</t>
  </si>
  <si>
    <t>TD0000405492_03</t>
  </si>
  <si>
    <t>TD0000405493_02</t>
  </si>
  <si>
    <t>07.07.2025</t>
  </si>
  <si>
    <t>06.07.2025</t>
  </si>
  <si>
    <t>TD1000376662_02</t>
  </si>
  <si>
    <t>TD1000692312_02</t>
  </si>
  <si>
    <t>Schedule B: Member's Receivable as on 31 March 2026</t>
  </si>
  <si>
    <t>Schedule C: Member's Advances as on 31 March 2026</t>
  </si>
  <si>
    <t>Schedule D: Vendor's Payable as on March 31, 2026</t>
  </si>
  <si>
    <t>FY 2025-26</t>
  </si>
  <si>
    <t>Water chargegse</t>
  </si>
  <si>
    <t>Electricity</t>
  </si>
  <si>
    <t>CCB</t>
  </si>
  <si>
    <t>101043021006026 CCB SF</t>
  </si>
  <si>
    <t>30.03.2026</t>
  </si>
  <si>
    <t>Less: trf to Major Repairs</t>
  </si>
  <si>
    <t>Citizen Credit Co-op Bank Reconciliation Statement as of March 31, 2026</t>
  </si>
  <si>
    <t>Mumbai District Co-op Bank Reconciliation Statement as of March 31, 2026</t>
  </si>
  <si>
    <t>Saraswat Bank Reconciliation Statement as of March 31, 2026</t>
  </si>
  <si>
    <t>Citizen Credit  Repair Fund Reconciliation Statement as of March 31, 2026</t>
  </si>
  <si>
    <t xml:space="preserve">Govt. Certified Auditor - Panel No. </t>
  </si>
  <si>
    <t xml:space="preserve">Date: </t>
  </si>
  <si>
    <t>07.03.2029</t>
  </si>
  <si>
    <t>27.09.2026</t>
  </si>
  <si>
    <t>07.07.2027</t>
  </si>
  <si>
    <t>22.06.2028</t>
  </si>
  <si>
    <t>28.07.2026</t>
  </si>
  <si>
    <t>Details of Fixed Deposits as at March 31, 2026</t>
  </si>
  <si>
    <t>Provision for FY 25-26</t>
  </si>
  <si>
    <t>bill received from 13.10.25 to 13.01.26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</si>
</sst>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6">
    <xf numFmtId="0" fontId="0" fillId="0" borderId="0" xfId="0"/>
    <xf numFmtId="43" fontId="0" fillId="0" borderId="0" xfId="1" applyFont="1" applyAlignment="1">
      <alignment vertical="center"/>
    </xf>
    <xf numFmtId="43" fontId="0" fillId="0" borderId="2" xfId="1" applyFont="1" applyBorder="1" applyAlignment="1">
      <alignment vertical="center"/>
    </xf>
    <xf numFmtId="43" fontId="0" fillId="0" borderId="0" xfId="1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5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3" fontId="1" fillId="0" borderId="2" xfId="1" applyFont="1" applyBorder="1" applyAlignment="1">
      <alignment vertical="center"/>
    </xf>
    <xf numFmtId="43" fontId="2" fillId="0" borderId="7" xfId="1" applyFont="1" applyBorder="1" applyAlignment="1">
      <alignment vertical="center"/>
    </xf>
    <xf numFmtId="43" fontId="2" fillId="0" borderId="2" xfId="1" applyFont="1" applyBorder="1" applyAlignment="1">
      <alignment vertical="center"/>
    </xf>
    <xf numFmtId="0" fontId="1" fillId="0" borderId="2" xfId="1" applyNumberFormat="1" applyFont="1" applyBorder="1" applyAlignment="1">
      <alignment vertical="center"/>
    </xf>
    <xf numFmtId="43" fontId="0" fillId="0" borderId="0" xfId="1" applyFont="1"/>
    <xf numFmtId="164" fontId="0" fillId="0" borderId="0" xfId="1" applyNumberFormat="1" applyFont="1"/>
    <xf numFmtId="0" fontId="2" fillId="0" borderId="0" xfId="0" applyFont="1"/>
    <xf numFmtId="14" fontId="0" fillId="0" borderId="0" xfId="0" applyNumberFormat="1"/>
    <xf numFmtId="43" fontId="1" fillId="0" borderId="5" xfId="1" applyFont="1" applyBorder="1" applyAlignment="1">
      <alignment vertical="center"/>
    </xf>
    <xf numFmtId="4" fontId="0" fillId="0" borderId="0" xfId="0" applyNumberFormat="1"/>
    <xf numFmtId="14" fontId="0" fillId="0" borderId="0" xfId="1" applyNumberFormat="1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0" xfId="1" applyFont="1" applyAlignment="1">
      <alignment horizontal="center"/>
    </xf>
    <xf numFmtId="43" fontId="0" fillId="0" borderId="0" xfId="0" applyNumberFormat="1"/>
    <xf numFmtId="43" fontId="1" fillId="0" borderId="3" xfId="1" applyFont="1" applyBorder="1" applyAlignment="1">
      <alignment vertical="center"/>
    </xf>
    <xf numFmtId="43" fontId="2" fillId="0" borderId="1" xfId="1" applyFont="1" applyBorder="1" applyAlignment="1">
      <alignment horizontal="center"/>
    </xf>
    <xf numFmtId="43" fontId="1" fillId="0" borderId="3" xfId="1" applyFont="1" applyFill="1" applyBorder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2" applyNumberFormat="1" applyFont="1" applyAlignment="1">
      <alignment horizontal="center"/>
    </xf>
    <xf numFmtId="43" fontId="2" fillId="0" borderId="0" xfId="1" applyFont="1" applyBorder="1" applyAlignment="1">
      <alignment horizontal="center" vertical="center"/>
    </xf>
    <xf numFmtId="43" fontId="2" fillId="0" borderId="9" xfId="1" applyFont="1" applyBorder="1"/>
    <xf numFmtId="0" fontId="2" fillId="0" borderId="9" xfId="0" applyFont="1" applyBorder="1" applyAlignment="1">
      <alignment horizontal="center"/>
    </xf>
    <xf numFmtId="0" fontId="0" fillId="0" borderId="10" xfId="0" applyBorder="1"/>
    <xf numFmtId="43" fontId="0" fillId="0" borderId="10" xfId="1" applyFont="1" applyBorder="1"/>
    <xf numFmtId="43" fontId="2" fillId="0" borderId="9" xfId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3" fontId="2" fillId="0" borderId="9" xfId="1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 wrapText="1"/>
    </xf>
    <xf numFmtId="10" fontId="2" fillId="0" borderId="9" xfId="2" applyNumberFormat="1" applyFont="1" applyBorder="1" applyAlignment="1">
      <alignment horizontal="center" vertical="center" wrapText="1"/>
    </xf>
    <xf numFmtId="0" fontId="0" fillId="0" borderId="2" xfId="0" applyBorder="1"/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2" fillId="0" borderId="9" xfId="1" applyNumberFormat="1" applyFont="1" applyBorder="1" applyAlignment="1">
      <alignment vertical="center"/>
    </xf>
    <xf numFmtId="10" fontId="2" fillId="0" borderId="9" xfId="2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0" xfId="0" applyFont="1" applyAlignment="1">
      <alignment horizontal="center"/>
    </xf>
    <xf numFmtId="0" fontId="5" fillId="0" borderId="2" xfId="1" applyNumberFormat="1" applyFont="1" applyBorder="1" applyAlignment="1">
      <alignment vertical="center"/>
    </xf>
    <xf numFmtId="43" fontId="6" fillId="0" borderId="0" xfId="1" applyFont="1" applyBorder="1" applyAlignment="1">
      <alignment horizontal="right" vertical="center"/>
    </xf>
    <xf numFmtId="0" fontId="4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0" fillId="0" borderId="13" xfId="0" applyBorder="1" applyAlignment="1">
      <alignment horizontal="center"/>
    </xf>
    <xf numFmtId="43" fontId="1" fillId="0" borderId="0" xfId="1" applyFont="1" applyAlignment="1">
      <alignment vertical="center"/>
    </xf>
    <xf numFmtId="164" fontId="0" fillId="0" borderId="8" xfId="1" applyNumberFormat="1" applyFont="1" applyBorder="1"/>
    <xf numFmtId="14" fontId="2" fillId="0" borderId="0" xfId="0" applyNumberFormat="1" applyFont="1"/>
    <xf numFmtId="164" fontId="2" fillId="0" borderId="0" xfId="1" applyNumberFormat="1" applyFont="1"/>
    <xf numFmtId="43" fontId="2" fillId="0" borderId="1" xfId="1" applyFont="1" applyBorder="1"/>
    <xf numFmtId="43" fontId="2" fillId="0" borderId="0" xfId="1" applyFont="1" applyBorder="1"/>
    <xf numFmtId="164" fontId="0" fillId="0" borderId="0" xfId="0" applyNumberFormat="1"/>
    <xf numFmtId="0" fontId="2" fillId="0" borderId="1" xfId="0" applyFont="1" applyBorder="1"/>
    <xf numFmtId="43" fontId="2" fillId="0" borderId="1" xfId="1" applyFont="1" applyFill="1" applyBorder="1"/>
    <xf numFmtId="43" fontId="2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11" fillId="0" borderId="0" xfId="0" applyFont="1"/>
    <xf numFmtId="0" fontId="12" fillId="0" borderId="0" xfId="0" applyFont="1"/>
    <xf numFmtId="164" fontId="12" fillId="0" borderId="0" xfId="1" applyNumberFormat="1" applyFont="1"/>
    <xf numFmtId="43" fontId="12" fillId="0" borderId="0" xfId="1" applyFont="1"/>
    <xf numFmtId="14" fontId="12" fillId="0" borderId="0" xfId="0" applyNumberFormat="1" applyFont="1"/>
    <xf numFmtId="4" fontId="12" fillId="0" borderId="0" xfId="0" applyNumberFormat="1" applyFont="1"/>
    <xf numFmtId="43" fontId="1" fillId="0" borderId="4" xfId="1" applyFont="1" applyFill="1" applyBorder="1" applyAlignment="1">
      <alignment vertical="center"/>
    </xf>
    <xf numFmtId="43" fontId="0" fillId="0" borderId="1" xfId="1" applyFont="1" applyFill="1" applyBorder="1"/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43" fontId="13" fillId="0" borderId="0" xfId="1" applyFont="1" applyAlignment="1">
      <alignment vertical="center"/>
    </xf>
    <xf numFmtId="0" fontId="2" fillId="0" borderId="11" xfId="0" applyFont="1" applyBorder="1" applyAlignment="1">
      <alignment horizontal="center"/>
    </xf>
    <xf numFmtId="166" fontId="9" fillId="0" borderId="9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4" fontId="0" fillId="0" borderId="17" xfId="0" applyNumberFormat="1" applyBorder="1" applyAlignment="1">
      <alignment horizontal="center" vertical="center"/>
    </xf>
    <xf numFmtId="164" fontId="0" fillId="0" borderId="18" xfId="1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4" xfId="0" applyBorder="1"/>
    <xf numFmtId="0" fontId="2" fillId="0" borderId="12" xfId="0" applyFont="1" applyBorder="1"/>
    <xf numFmtId="0" fontId="2" fillId="0" borderId="11" xfId="0" applyFont="1" applyBorder="1"/>
    <xf numFmtId="0" fontId="0" fillId="2" borderId="0" xfId="0" applyFill="1"/>
    <xf numFmtId="164" fontId="0" fillId="2" borderId="0" xfId="1" applyNumberFormat="1" applyFont="1" applyFill="1"/>
    <xf numFmtId="164" fontId="1" fillId="0" borderId="0" xfId="1" applyNumberFormat="1" applyFont="1"/>
    <xf numFmtId="164" fontId="2" fillId="3" borderId="0" xfId="1" applyNumberFormat="1" applyFont="1" applyFill="1"/>
    <xf numFmtId="43" fontId="2" fillId="3" borderId="0" xfId="1" applyFont="1" applyFill="1"/>
    <xf numFmtId="10" fontId="0" fillId="0" borderId="1" xfId="2" applyNumberFormat="1" applyFont="1" applyFill="1" applyBorder="1" applyAlignment="1">
      <alignment horizontal="center" vertical="center"/>
    </xf>
    <xf numFmtId="10" fontId="0" fillId="0" borderId="18" xfId="2" applyNumberFormat="1" applyFont="1" applyFill="1" applyBorder="1" applyAlignment="1">
      <alignment horizontal="center" vertical="center"/>
    </xf>
    <xf numFmtId="164" fontId="0" fillId="0" borderId="18" xfId="1" applyNumberFormat="1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2" fillId="0" borderId="0" xfId="1" applyFont="1"/>
    <xf numFmtId="4" fontId="2" fillId="0" borderId="0" xfId="0" applyNumberFormat="1" applyFont="1"/>
    <xf numFmtId="14" fontId="2" fillId="0" borderId="0" xfId="1" applyNumberFormat="1" applyFont="1"/>
    <xf numFmtId="14" fontId="12" fillId="0" borderId="0" xfId="0" applyNumberFormat="1" applyFont="1" applyAlignment="1">
      <alignment horizontal="right"/>
    </xf>
    <xf numFmtId="3" fontId="12" fillId="0" borderId="0" xfId="0" applyNumberFormat="1" applyFont="1"/>
    <xf numFmtId="3" fontId="11" fillId="0" borderId="0" xfId="0" applyNumberFormat="1" applyFont="1"/>
    <xf numFmtId="164" fontId="0" fillId="0" borderId="1" xfId="1" applyNumberFormat="1" applyFont="1" applyBorder="1"/>
    <xf numFmtId="164" fontId="2" fillId="0" borderId="9" xfId="1" applyNumberFormat="1" applyFont="1" applyBorder="1"/>
    <xf numFmtId="43" fontId="0" fillId="0" borderId="18" xfId="1" applyFont="1" applyBorder="1"/>
    <xf numFmtId="0" fontId="0" fillId="0" borderId="18" xfId="0" applyBorder="1"/>
    <xf numFmtId="43" fontId="2" fillId="0" borderId="7" xfId="1" applyFont="1" applyFill="1" applyBorder="1" applyAlignment="1">
      <alignment vertical="center"/>
    </xf>
    <xf numFmtId="43" fontId="1" fillId="0" borderId="5" xfId="1" applyFont="1" applyFill="1" applyBorder="1" applyAlignment="1">
      <alignment vertical="center"/>
    </xf>
    <xf numFmtId="43" fontId="1" fillId="0" borderId="2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0" fillId="0" borderId="2" xfId="1" applyFont="1" applyFill="1" applyBorder="1" applyAlignment="1">
      <alignment vertical="center"/>
    </xf>
    <xf numFmtId="0" fontId="5" fillId="0" borderId="2" xfId="1" applyNumberFormat="1" applyFont="1" applyFill="1" applyBorder="1" applyAlignment="1">
      <alignment vertical="center"/>
    </xf>
    <xf numFmtId="0" fontId="1" fillId="0" borderId="2" xfId="1" applyNumberFormat="1" applyFont="1" applyFill="1" applyBorder="1" applyAlignment="1">
      <alignment vertical="center"/>
    </xf>
    <xf numFmtId="43" fontId="2" fillId="0" borderId="0" xfId="1" applyFont="1" applyFill="1" applyBorder="1"/>
    <xf numFmtId="43" fontId="0" fillId="4" borderId="1" xfId="1" applyFont="1" applyFill="1" applyBorder="1"/>
    <xf numFmtId="43" fontId="1" fillId="0" borderId="4" xfId="1" applyFon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43" fontId="12" fillId="0" borderId="0" xfId="1" applyFont="1" applyFill="1" applyAlignment="1">
      <alignment vertical="center"/>
    </xf>
    <xf numFmtId="43" fontId="11" fillId="0" borderId="0" xfId="1" applyFont="1" applyFill="1" applyBorder="1" applyAlignment="1">
      <alignment horizontal="center" vertical="center"/>
    </xf>
    <xf numFmtId="43" fontId="17" fillId="0" borderId="0" xfId="1" applyFont="1" applyFill="1" applyBorder="1" applyAlignment="1">
      <alignment horizontal="right" vertical="center"/>
    </xf>
    <xf numFmtId="166" fontId="18" fillId="0" borderId="9" xfId="1" applyNumberFormat="1" applyFont="1" applyFill="1" applyBorder="1" applyAlignment="1">
      <alignment horizontal="center" vertical="center"/>
    </xf>
    <xf numFmtId="43" fontId="12" fillId="0" borderId="0" xfId="1" applyFont="1" applyFill="1" applyAlignment="1">
      <alignment horizontal="center" vertical="center"/>
    </xf>
    <xf numFmtId="43" fontId="12" fillId="0" borderId="5" xfId="1" applyFont="1" applyFill="1" applyBorder="1" applyAlignment="1">
      <alignment vertical="center"/>
    </xf>
    <xf numFmtId="0" fontId="19" fillId="0" borderId="2" xfId="1" applyNumberFormat="1" applyFont="1" applyFill="1" applyBorder="1" applyAlignment="1">
      <alignment vertical="center"/>
    </xf>
    <xf numFmtId="43" fontId="12" fillId="0" borderId="3" xfId="1" applyFont="1" applyFill="1" applyBorder="1" applyAlignment="1">
      <alignment vertical="center"/>
    </xf>
    <xf numFmtId="43" fontId="12" fillId="0" borderId="2" xfId="1" applyFont="1" applyFill="1" applyBorder="1" applyAlignment="1">
      <alignment vertical="center"/>
    </xf>
    <xf numFmtId="43" fontId="11" fillId="0" borderId="5" xfId="1" applyFont="1" applyFill="1" applyBorder="1" applyAlignment="1">
      <alignment vertical="center"/>
    </xf>
    <xf numFmtId="43" fontId="12" fillId="0" borderId="4" xfId="1" applyFont="1" applyFill="1" applyBorder="1" applyAlignment="1">
      <alignment vertical="center"/>
    </xf>
    <xf numFmtId="0" fontId="20" fillId="0" borderId="2" xfId="1" applyNumberFormat="1" applyFont="1" applyFill="1" applyBorder="1" applyAlignment="1">
      <alignment vertical="center"/>
    </xf>
    <xf numFmtId="43" fontId="11" fillId="0" borderId="2" xfId="1" applyFont="1" applyFill="1" applyBorder="1" applyAlignment="1">
      <alignment vertical="center"/>
    </xf>
    <xf numFmtId="43" fontId="12" fillId="0" borderId="10" xfId="1" applyFont="1" applyFill="1" applyBorder="1" applyAlignment="1">
      <alignment vertical="center"/>
    </xf>
    <xf numFmtId="43" fontId="12" fillId="0" borderId="14" xfId="1" applyFont="1" applyFill="1" applyBorder="1" applyAlignment="1">
      <alignment vertical="center"/>
    </xf>
    <xf numFmtId="43" fontId="11" fillId="0" borderId="9" xfId="1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164" fontId="11" fillId="0" borderId="9" xfId="1" applyNumberFormat="1" applyFont="1" applyBorder="1" applyAlignment="1">
      <alignment vertical="center"/>
    </xf>
    <xf numFmtId="43" fontId="11" fillId="0" borderId="0" xfId="1" applyFont="1" applyFill="1" applyAlignment="1">
      <alignment horizontal="center" vertical="center"/>
    </xf>
    <xf numFmtId="43" fontId="11" fillId="0" borderId="12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14" fillId="0" borderId="0" xfId="1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43" fontId="2" fillId="0" borderId="12" xfId="1" applyFont="1" applyBorder="1" applyAlignment="1">
      <alignment horizontal="center" vertical="center"/>
    </xf>
    <xf numFmtId="43" fontId="2" fillId="0" borderId="11" xfId="1" applyFont="1" applyBorder="1" applyAlignment="1">
      <alignment horizontal="center" vertical="center"/>
    </xf>
    <xf numFmtId="0" fontId="10" fillId="0" borderId="0" xfId="1" applyNumberFormat="1" applyFont="1" applyBorder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43" fontId="7" fillId="0" borderId="0" xfId="1" applyFont="1" applyBorder="1" applyAlignment="1">
      <alignment horizontal="center" vertical="center"/>
    </xf>
    <xf numFmtId="0" fontId="8" fillId="0" borderId="0" xfId="1" applyNumberFormat="1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3" fontId="12" fillId="2" borderId="3" xfId="1" applyFont="1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164" fontId="0" fillId="0" borderId="0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4"/>
  <sheetViews>
    <sheetView tabSelected="1" topLeftCell="A4" workbookViewId="0">
      <selection activeCell="N34" sqref="N34"/>
    </sheetView>
  </sheetViews>
  <sheetFormatPr defaultColWidth="8.77734375" defaultRowHeight="14.4" x14ac:dyDescent="0.3"/>
  <cols>
    <col min="1" max="1" width="13.5546875" style="1" customWidth="1"/>
    <col min="2" max="2" width="33.5546875" style="1" customWidth="1"/>
    <col min="3" max="3" width="13.21875" style="1" customWidth="1"/>
    <col min="4" max="4" width="13.77734375" style="9" customWidth="1"/>
    <col min="5" max="5" width="14.44140625" style="1" customWidth="1"/>
    <col min="6" max="6" width="34.21875" style="1" customWidth="1"/>
    <col min="7" max="7" width="12.77734375" style="1" customWidth="1"/>
    <col min="8" max="8" width="13.21875" style="9" bestFit="1" customWidth="1"/>
    <col min="9" max="9" width="12" style="1" bestFit="1" customWidth="1"/>
    <col min="10" max="10" width="12.5546875" style="1" bestFit="1" customWidth="1"/>
    <col min="11" max="11" width="9.77734375" style="1" bestFit="1" customWidth="1"/>
    <col min="12" max="16384" width="8.77734375" style="1"/>
  </cols>
  <sheetData>
    <row r="1" spans="1:10" ht="21" x14ac:dyDescent="0.3">
      <c r="A1" s="154" t="s">
        <v>56</v>
      </c>
      <c r="B1" s="154"/>
      <c r="C1" s="154"/>
      <c r="D1" s="154"/>
      <c r="E1" s="154"/>
      <c r="F1" s="154"/>
      <c r="G1" s="154"/>
      <c r="H1" s="154"/>
    </row>
    <row r="2" spans="1:10" ht="14.1" customHeight="1" x14ac:dyDescent="0.3">
      <c r="A2" s="155" t="str">
        <f>IE!A2</f>
        <v>(Regd. No. : BOM / WP / HSG / TC / 9214 / 1995-96)</v>
      </c>
      <c r="B2" s="155"/>
      <c r="C2" s="155"/>
      <c r="D2" s="155"/>
      <c r="E2" s="155"/>
      <c r="F2" s="155"/>
      <c r="G2" s="155"/>
      <c r="H2" s="155"/>
    </row>
    <row r="3" spans="1:10" x14ac:dyDescent="0.3">
      <c r="A3" s="155" t="s">
        <v>81</v>
      </c>
      <c r="B3" s="155"/>
      <c r="C3" s="155"/>
      <c r="D3" s="155"/>
      <c r="E3" s="155"/>
      <c r="F3" s="155"/>
      <c r="G3" s="155"/>
      <c r="H3" s="155"/>
    </row>
    <row r="4" spans="1:10" ht="18" x14ac:dyDescent="0.3">
      <c r="A4" s="156" t="s">
        <v>184</v>
      </c>
      <c r="B4" s="156"/>
      <c r="C4" s="156"/>
      <c r="D4" s="156"/>
      <c r="E4" s="156"/>
      <c r="F4" s="156"/>
      <c r="G4" s="156"/>
      <c r="H4" s="156"/>
      <c r="J4" s="3"/>
    </row>
    <row r="5" spans="1:10" x14ac:dyDescent="0.3">
      <c r="A5" s="36"/>
      <c r="B5" s="36"/>
      <c r="C5" s="36"/>
      <c r="D5" s="36"/>
      <c r="E5" s="36"/>
      <c r="F5" s="36"/>
      <c r="G5" s="36"/>
      <c r="H5" s="57" t="str">
        <f>IE!H5</f>
        <v>(Amt. in Rs.)</v>
      </c>
      <c r="J5" s="3"/>
    </row>
    <row r="6" spans="1:10" s="5" customFormat="1" ht="15" thickBot="1" x14ac:dyDescent="0.35">
      <c r="A6" s="84">
        <v>45747</v>
      </c>
      <c r="B6" s="152" t="s">
        <v>0</v>
      </c>
      <c r="C6" s="153"/>
      <c r="D6" s="84">
        <v>46112</v>
      </c>
      <c r="E6" s="84">
        <f>A6</f>
        <v>45747</v>
      </c>
      <c r="F6" s="152" t="s">
        <v>1</v>
      </c>
      <c r="G6" s="153"/>
      <c r="H6" s="84">
        <f>D6</f>
        <v>46112</v>
      </c>
    </row>
    <row r="7" spans="1:10" ht="18.600000000000001" customHeight="1" thickTop="1" x14ac:dyDescent="0.3">
      <c r="A7" s="6"/>
      <c r="B7" s="56" t="s">
        <v>12</v>
      </c>
      <c r="C7" s="4"/>
      <c r="D7" s="8"/>
      <c r="E7" s="6"/>
      <c r="F7" s="56" t="s">
        <v>119</v>
      </c>
      <c r="G7" s="123"/>
      <c r="H7" s="116"/>
    </row>
    <row r="8" spans="1:10" ht="15" thickBot="1" x14ac:dyDescent="0.35">
      <c r="A8" s="15">
        <v>100000</v>
      </c>
      <c r="B8" s="16" t="s">
        <v>108</v>
      </c>
      <c r="C8" s="4"/>
      <c r="D8" s="113">
        <v>100000</v>
      </c>
      <c r="E8" s="114">
        <v>3586</v>
      </c>
      <c r="F8" s="115" t="s">
        <v>49</v>
      </c>
      <c r="G8" s="33">
        <v>1625</v>
      </c>
      <c r="H8" s="114"/>
    </row>
    <row r="9" spans="1:10" ht="15" thickTop="1" x14ac:dyDescent="0.3">
      <c r="A9" s="6"/>
      <c r="B9" s="14"/>
      <c r="C9" s="4"/>
      <c r="D9" s="116"/>
      <c r="E9" s="114">
        <v>41438.92</v>
      </c>
      <c r="F9" s="115" t="s">
        <v>65</v>
      </c>
      <c r="G9" s="33">
        <v>155828.57</v>
      </c>
      <c r="H9" s="114"/>
    </row>
    <row r="10" spans="1:10" x14ac:dyDescent="0.3">
      <c r="A10" s="6"/>
      <c r="B10" s="56" t="s">
        <v>140</v>
      </c>
      <c r="C10" s="4"/>
      <c r="D10" s="116"/>
      <c r="E10" s="114">
        <v>5059.8999999999996</v>
      </c>
      <c r="F10" s="115" t="s">
        <v>66</v>
      </c>
      <c r="G10" s="33">
        <v>4400.8999999999996</v>
      </c>
      <c r="H10" s="114"/>
    </row>
    <row r="11" spans="1:10" x14ac:dyDescent="0.3">
      <c r="A11" s="6">
        <v>9000</v>
      </c>
      <c r="B11" s="16" t="s">
        <v>139</v>
      </c>
      <c r="C11" s="4"/>
      <c r="D11" s="116">
        <v>9000</v>
      </c>
      <c r="E11" s="114">
        <v>166102.51999999999</v>
      </c>
      <c r="F11" s="117" t="s">
        <v>149</v>
      </c>
      <c r="G11" s="33">
        <v>171206.52</v>
      </c>
      <c r="H11" s="114"/>
    </row>
    <row r="12" spans="1:10" x14ac:dyDescent="0.3">
      <c r="A12" s="6"/>
      <c r="B12" s="2"/>
      <c r="C12" s="4"/>
      <c r="D12" s="116"/>
      <c r="E12" s="114">
        <v>39353</v>
      </c>
      <c r="F12" s="115" t="s">
        <v>67</v>
      </c>
      <c r="G12" s="78">
        <v>40482</v>
      </c>
      <c r="H12" s="116">
        <f>SUM(G8:G12)</f>
        <v>373542.99</v>
      </c>
    </row>
    <row r="13" spans="1:10" ht="15.6" x14ac:dyDescent="0.3">
      <c r="A13" s="6"/>
      <c r="B13" s="58" t="s">
        <v>4</v>
      </c>
      <c r="C13" s="4"/>
      <c r="D13" s="116"/>
      <c r="E13" s="114"/>
      <c r="F13" s="115"/>
      <c r="G13" s="33"/>
      <c r="H13" s="114"/>
    </row>
    <row r="14" spans="1:10" x14ac:dyDescent="0.3">
      <c r="A14" s="6"/>
      <c r="B14" s="56" t="s">
        <v>112</v>
      </c>
      <c r="C14" s="4"/>
      <c r="D14" s="116"/>
      <c r="E14" s="114"/>
      <c r="F14" s="118" t="s">
        <v>3</v>
      </c>
      <c r="G14" s="33"/>
      <c r="H14" s="114"/>
    </row>
    <row r="15" spans="1:10" x14ac:dyDescent="0.3">
      <c r="A15" s="6">
        <v>63364</v>
      </c>
      <c r="B15" s="2" t="s">
        <v>109</v>
      </c>
      <c r="C15" s="4">
        <f>SUM(A15:A18)</f>
        <v>34256</v>
      </c>
      <c r="D15" s="116"/>
      <c r="E15" s="114">
        <v>13000</v>
      </c>
      <c r="F15" s="117" t="s">
        <v>143</v>
      </c>
      <c r="G15" s="33">
        <v>13000</v>
      </c>
      <c r="H15" s="114"/>
    </row>
    <row r="16" spans="1:10" x14ac:dyDescent="0.3">
      <c r="A16" s="6">
        <v>200</v>
      </c>
      <c r="B16" s="3" t="s">
        <v>45</v>
      </c>
      <c r="C16" s="4">
        <v>0</v>
      </c>
      <c r="D16" s="116"/>
      <c r="E16" s="114">
        <v>193740</v>
      </c>
      <c r="F16" s="118" t="s">
        <v>148</v>
      </c>
      <c r="G16" s="33">
        <f>'FD-Sch'!E17</f>
        <v>233259</v>
      </c>
      <c r="H16" s="114"/>
    </row>
    <row r="17" spans="1:8" x14ac:dyDescent="0.3">
      <c r="A17" s="6">
        <f>IE!A58</f>
        <v>9631</v>
      </c>
      <c r="B17" s="1" t="s">
        <v>43</v>
      </c>
      <c r="C17" s="4">
        <f>IE!D58</f>
        <v>0</v>
      </c>
      <c r="D17" s="116"/>
      <c r="E17" s="114">
        <v>18256</v>
      </c>
      <c r="F17" s="117" t="s">
        <v>147</v>
      </c>
      <c r="G17" s="78">
        <v>15897</v>
      </c>
      <c r="H17" s="116">
        <f>SUM(G15:G17)</f>
        <v>262156</v>
      </c>
    </row>
    <row r="18" spans="1:8" x14ac:dyDescent="0.3">
      <c r="A18" s="6">
        <v>-38939</v>
      </c>
      <c r="B18" s="1" t="s">
        <v>175</v>
      </c>
      <c r="C18" s="7">
        <v>0</v>
      </c>
      <c r="D18" s="116">
        <f>SUM(C15:C18)</f>
        <v>34256</v>
      </c>
      <c r="E18" s="114"/>
      <c r="F18" s="117"/>
      <c r="G18" s="33"/>
      <c r="H18" s="116"/>
    </row>
    <row r="19" spans="1:8" x14ac:dyDescent="0.3">
      <c r="A19" s="6"/>
      <c r="B19" s="56" t="s">
        <v>113</v>
      </c>
      <c r="C19" s="4"/>
      <c r="D19" s="116"/>
      <c r="E19" s="114"/>
      <c r="F19" s="118" t="s">
        <v>150</v>
      </c>
      <c r="G19" s="33"/>
      <c r="H19" s="114"/>
    </row>
    <row r="20" spans="1:8" x14ac:dyDescent="0.3">
      <c r="A20" s="6">
        <v>296266</v>
      </c>
      <c r="B20" s="2" t="s">
        <v>42</v>
      </c>
      <c r="C20" s="4">
        <f>SUM(A20:A22)</f>
        <v>329855</v>
      </c>
      <c r="D20" s="116"/>
      <c r="E20" s="114">
        <v>11947</v>
      </c>
      <c r="F20" s="118" t="s">
        <v>129</v>
      </c>
      <c r="G20" s="33"/>
      <c r="H20" s="116">
        <f>Members!E6</f>
        <v>0</v>
      </c>
    </row>
    <row r="21" spans="1:8" x14ac:dyDescent="0.3">
      <c r="A21" s="6">
        <v>21600</v>
      </c>
      <c r="B21" s="1" t="s">
        <v>45</v>
      </c>
      <c r="C21" s="4">
        <v>21600</v>
      </c>
      <c r="D21" s="116"/>
      <c r="E21" s="114"/>
      <c r="F21" s="115"/>
      <c r="G21" s="33"/>
      <c r="H21" s="114"/>
    </row>
    <row r="22" spans="1:8" x14ac:dyDescent="0.3">
      <c r="A22" s="6">
        <f>-IE!E26</f>
        <v>11989</v>
      </c>
      <c r="B22" s="1" t="s">
        <v>44</v>
      </c>
      <c r="C22" s="7">
        <f>-IE!G26</f>
        <v>15160</v>
      </c>
      <c r="D22" s="116">
        <f>SUM(C20:C22)</f>
        <v>366615</v>
      </c>
      <c r="E22" s="114"/>
      <c r="F22" s="115"/>
      <c r="G22" s="33"/>
      <c r="H22" s="114"/>
    </row>
    <row r="23" spans="1:8" x14ac:dyDescent="0.3">
      <c r="A23" s="6"/>
      <c r="B23" s="56" t="s">
        <v>114</v>
      </c>
      <c r="C23" s="4"/>
      <c r="D23" s="116"/>
      <c r="E23" s="114"/>
      <c r="F23" s="118" t="s">
        <v>50</v>
      </c>
      <c r="G23" s="33"/>
      <c r="H23" s="114"/>
    </row>
    <row r="24" spans="1:8" x14ac:dyDescent="0.3">
      <c r="A24" s="6">
        <v>304498</v>
      </c>
      <c r="B24" s="2" t="s">
        <v>109</v>
      </c>
      <c r="C24" s="4">
        <f>SUM(A24:A26)</f>
        <v>0</v>
      </c>
      <c r="D24" s="116"/>
      <c r="E24" s="114"/>
      <c r="F24" s="118" t="s">
        <v>110</v>
      </c>
      <c r="G24" s="33"/>
      <c r="H24" s="114"/>
    </row>
    <row r="25" spans="1:8" x14ac:dyDescent="0.3">
      <c r="A25" s="6">
        <v>56520</v>
      </c>
      <c r="B25" s="1" t="s">
        <v>45</v>
      </c>
      <c r="C25" s="4">
        <v>56520</v>
      </c>
      <c r="D25" s="116"/>
      <c r="E25" s="114">
        <v>7816</v>
      </c>
      <c r="F25" s="115" t="s">
        <v>42</v>
      </c>
      <c r="G25" s="33">
        <v>7034</v>
      </c>
      <c r="H25" s="114"/>
    </row>
    <row r="26" spans="1:8" ht="16.5" customHeight="1" x14ac:dyDescent="0.3">
      <c r="A26" s="6">
        <v>-361018</v>
      </c>
      <c r="B26" s="1" t="s">
        <v>175</v>
      </c>
      <c r="C26" s="7">
        <v>0</v>
      </c>
      <c r="D26" s="116">
        <f>SUM(C24:C26)</f>
        <v>56520</v>
      </c>
      <c r="E26" s="114">
        <v>-782</v>
      </c>
      <c r="F26" s="115" t="s">
        <v>68</v>
      </c>
      <c r="G26" s="78">
        <f>-ROUND(G25*10%,0)</f>
        <v>-703</v>
      </c>
      <c r="H26" s="116">
        <f>SUM(G25:G26)</f>
        <v>6331</v>
      </c>
    </row>
    <row r="27" spans="1:8" ht="16.5" customHeight="1" x14ac:dyDescent="0.3">
      <c r="A27" s="6"/>
      <c r="B27" s="56" t="s">
        <v>115</v>
      </c>
      <c r="C27" s="4"/>
      <c r="D27" s="116"/>
      <c r="E27" s="114"/>
      <c r="F27" s="115"/>
      <c r="G27" s="33"/>
      <c r="H27" s="116"/>
    </row>
    <row r="28" spans="1:8" x14ac:dyDescent="0.3">
      <c r="A28" s="6">
        <v>163800</v>
      </c>
      <c r="B28" s="2" t="s">
        <v>109</v>
      </c>
      <c r="C28" s="4">
        <f>SUM(A28:A30)</f>
        <v>155433</v>
      </c>
      <c r="D28" s="116"/>
      <c r="E28" s="114"/>
      <c r="F28" s="118" t="s">
        <v>111</v>
      </c>
      <c r="G28" s="33"/>
      <c r="H28" s="114"/>
    </row>
    <row r="29" spans="1:8" x14ac:dyDescent="0.3">
      <c r="A29" s="6">
        <v>25200</v>
      </c>
      <c r="B29" s="1" t="s">
        <v>45</v>
      </c>
      <c r="C29" s="4">
        <v>25200</v>
      </c>
      <c r="D29" s="116"/>
      <c r="E29" s="114">
        <v>375</v>
      </c>
      <c r="F29" s="115" t="s">
        <v>42</v>
      </c>
      <c r="G29" s="33">
        <v>319</v>
      </c>
      <c r="H29" s="114"/>
    </row>
    <row r="30" spans="1:8" x14ac:dyDescent="0.3">
      <c r="A30" s="6">
        <v>-33567</v>
      </c>
      <c r="B30" s="1" t="s">
        <v>64</v>
      </c>
      <c r="C30" s="7">
        <v>0</v>
      </c>
      <c r="D30" s="116">
        <f>SUM(C28:C30)</f>
        <v>180633</v>
      </c>
      <c r="E30" s="114">
        <v>-56</v>
      </c>
      <c r="F30" s="115" t="s">
        <v>75</v>
      </c>
      <c r="G30" s="78">
        <f>-ROUND(G29*15%,0)</f>
        <v>-48</v>
      </c>
      <c r="H30" s="116">
        <f>SUM(G29:G30)</f>
        <v>271</v>
      </c>
    </row>
    <row r="31" spans="1:8" x14ac:dyDescent="0.3">
      <c r="A31" s="6"/>
      <c r="B31" s="56" t="s">
        <v>116</v>
      </c>
      <c r="C31" s="4"/>
      <c r="D31" s="116"/>
      <c r="E31" s="114"/>
      <c r="F31" s="115"/>
      <c r="G31" s="33"/>
      <c r="H31" s="116"/>
    </row>
    <row r="32" spans="1:8" x14ac:dyDescent="0.3">
      <c r="A32" s="6">
        <v>62079</v>
      </c>
      <c r="B32" s="2" t="s">
        <v>109</v>
      </c>
      <c r="C32" s="4">
        <f>SUM(A32:A34)</f>
        <v>0</v>
      </c>
      <c r="D32" s="116"/>
      <c r="E32" s="114"/>
      <c r="F32" s="118" t="s">
        <v>135</v>
      </c>
      <c r="G32" s="33"/>
      <c r="H32" s="114"/>
    </row>
    <row r="33" spans="1:12" x14ac:dyDescent="0.3">
      <c r="A33" s="6">
        <v>64800</v>
      </c>
      <c r="B33" s="1" t="s">
        <v>45</v>
      </c>
      <c r="C33" s="4">
        <v>64800</v>
      </c>
      <c r="D33" s="116"/>
      <c r="E33" s="114">
        <v>24258</v>
      </c>
      <c r="F33" s="115" t="s">
        <v>42</v>
      </c>
      <c r="G33" s="33">
        <v>20619</v>
      </c>
      <c r="H33" s="114"/>
    </row>
    <row r="34" spans="1:12" x14ac:dyDescent="0.3">
      <c r="A34" s="6">
        <v>-126879</v>
      </c>
      <c r="B34" s="1" t="s">
        <v>64</v>
      </c>
      <c r="C34" s="7">
        <v>-10000</v>
      </c>
      <c r="D34" s="116">
        <f>SUM(C32:C34)</f>
        <v>54800</v>
      </c>
      <c r="E34" s="114">
        <v>-3639</v>
      </c>
      <c r="F34" s="115" t="s">
        <v>75</v>
      </c>
      <c r="G34" s="78">
        <f>-ROUND(G33*15%,0)</f>
        <v>-3093</v>
      </c>
      <c r="H34" s="116">
        <f>SUM(G33:G34)</f>
        <v>17526</v>
      </c>
    </row>
    <row r="35" spans="1:12" x14ac:dyDescent="0.3">
      <c r="A35" s="6"/>
      <c r="B35" s="56" t="s">
        <v>117</v>
      </c>
      <c r="C35" s="4"/>
      <c r="D35" s="116"/>
      <c r="E35" s="114"/>
      <c r="F35" s="115"/>
      <c r="G35" s="33"/>
      <c r="H35" s="114"/>
      <c r="L35" s="34"/>
    </row>
    <row r="36" spans="1:12" x14ac:dyDescent="0.3">
      <c r="A36" s="6">
        <v>319604</v>
      </c>
      <c r="B36" s="2" t="s">
        <v>109</v>
      </c>
      <c r="C36" s="4">
        <f>SUM(A36:A37)</f>
        <v>166102</v>
      </c>
      <c r="D36" s="116"/>
      <c r="E36" s="114"/>
      <c r="F36" s="118" t="s">
        <v>51</v>
      </c>
      <c r="G36" s="33"/>
      <c r="H36" s="114"/>
    </row>
    <row r="37" spans="1:12" x14ac:dyDescent="0.3">
      <c r="A37" s="6">
        <v>-153502</v>
      </c>
      <c r="B37" s="1" t="s">
        <v>176</v>
      </c>
      <c r="C37" s="7">
        <v>0</v>
      </c>
      <c r="D37" s="116">
        <f>SUM(C36:C37)</f>
        <v>166102</v>
      </c>
      <c r="E37" s="114">
        <v>1590</v>
      </c>
      <c r="F37" s="115" t="s">
        <v>76</v>
      </c>
      <c r="G37" s="33">
        <v>1590</v>
      </c>
      <c r="H37" s="114"/>
    </row>
    <row r="38" spans="1:12" x14ac:dyDescent="0.3">
      <c r="A38" s="6"/>
      <c r="B38" s="56" t="s">
        <v>118</v>
      </c>
      <c r="C38" s="4"/>
      <c r="D38" s="116"/>
      <c r="E38" s="114">
        <v>0</v>
      </c>
      <c r="F38" s="115" t="s">
        <v>77</v>
      </c>
      <c r="G38" s="78">
        <v>0</v>
      </c>
      <c r="H38" s="116">
        <f>SUM(G37:G38)</f>
        <v>1590</v>
      </c>
    </row>
    <row r="39" spans="1:12" x14ac:dyDescent="0.3">
      <c r="A39" s="6">
        <v>882</v>
      </c>
      <c r="B39" s="2" t="s">
        <v>109</v>
      </c>
      <c r="C39" s="4">
        <f>SUM(A39:A40)</f>
        <v>882</v>
      </c>
      <c r="D39" s="116"/>
      <c r="E39" s="114"/>
      <c r="F39" s="115"/>
      <c r="G39" s="33"/>
      <c r="H39" s="116"/>
    </row>
    <row r="40" spans="1:12" x14ac:dyDescent="0.3">
      <c r="A40" s="6">
        <v>0</v>
      </c>
      <c r="B40" s="1" t="s">
        <v>64</v>
      </c>
      <c r="C40" s="7">
        <v>0</v>
      </c>
      <c r="D40" s="116">
        <f>SUM(C39:C40)</f>
        <v>882</v>
      </c>
      <c r="E40" s="114"/>
      <c r="F40" s="118" t="s">
        <v>52</v>
      </c>
      <c r="G40" s="33"/>
      <c r="H40" s="116"/>
    </row>
    <row r="41" spans="1:12" x14ac:dyDescent="0.3">
      <c r="A41" s="6"/>
      <c r="B41" s="56" t="s">
        <v>136</v>
      </c>
      <c r="C41" s="4"/>
      <c r="D41" s="116"/>
      <c r="E41" s="114">
        <v>6183</v>
      </c>
      <c r="F41" s="119" t="s">
        <v>174</v>
      </c>
      <c r="G41" s="33">
        <v>6638</v>
      </c>
      <c r="H41" s="114"/>
    </row>
    <row r="42" spans="1:12" x14ac:dyDescent="0.3">
      <c r="A42" s="6">
        <v>273560</v>
      </c>
      <c r="B42" s="1" t="s">
        <v>45</v>
      </c>
      <c r="C42" s="4">
        <f>SUM(A42:A43)</f>
        <v>0</v>
      </c>
      <c r="D42" s="116"/>
      <c r="E42" s="114">
        <v>3686</v>
      </c>
      <c r="F42" s="115" t="s">
        <v>78</v>
      </c>
      <c r="G42" s="33">
        <v>3686</v>
      </c>
      <c r="H42" s="114"/>
    </row>
    <row r="43" spans="1:12" x14ac:dyDescent="0.3">
      <c r="A43" s="6">
        <v>-273560</v>
      </c>
      <c r="B43" s="1" t="s">
        <v>175</v>
      </c>
      <c r="C43" s="7">
        <v>0</v>
      </c>
      <c r="D43" s="116">
        <f>SUM(C42:C43)</f>
        <v>0</v>
      </c>
      <c r="E43" s="114">
        <v>7715</v>
      </c>
      <c r="F43" s="115" t="s">
        <v>79</v>
      </c>
      <c r="G43" s="78">
        <v>0</v>
      </c>
      <c r="H43" s="116">
        <f>SUM(G41:G43)</f>
        <v>10324</v>
      </c>
    </row>
    <row r="44" spans="1:12" x14ac:dyDescent="0.3">
      <c r="A44" s="6"/>
      <c r="C44" s="4"/>
      <c r="D44" s="8"/>
      <c r="E44" s="22"/>
      <c r="F44" s="14"/>
      <c r="G44" s="33"/>
      <c r="H44" s="116"/>
    </row>
    <row r="45" spans="1:12" x14ac:dyDescent="0.3">
      <c r="A45" s="6"/>
      <c r="B45" s="56" t="s">
        <v>47</v>
      </c>
      <c r="C45" s="4"/>
      <c r="D45" s="8"/>
      <c r="E45" s="22"/>
      <c r="F45" s="56" t="s">
        <v>48</v>
      </c>
      <c r="G45" s="31"/>
      <c r="H45" s="22"/>
    </row>
    <row r="46" spans="1:12" x14ac:dyDescent="0.3">
      <c r="A46" s="6">
        <f>Vendors!B14</f>
        <v>84856</v>
      </c>
      <c r="B46" s="56" t="s">
        <v>137</v>
      </c>
      <c r="C46" s="4">
        <f>Vendors!D14</f>
        <v>35186</v>
      </c>
      <c r="D46" s="8">
        <f>SUM(C46:C46)</f>
        <v>35186</v>
      </c>
      <c r="E46" s="22">
        <v>458981.98</v>
      </c>
      <c r="F46" s="2" t="s">
        <v>109</v>
      </c>
      <c r="G46" s="31">
        <f>SUM(E46:E51)</f>
        <v>267520.65999999997</v>
      </c>
      <c r="H46" s="22"/>
    </row>
    <row r="47" spans="1:12" x14ac:dyDescent="0.3">
      <c r="A47" s="6"/>
      <c r="B47" s="56"/>
      <c r="C47" s="4"/>
      <c r="D47" s="8"/>
      <c r="E47" s="22">
        <f>-IE!A59</f>
        <v>-28893.320000000007</v>
      </c>
      <c r="F47" s="17" t="s">
        <v>80</v>
      </c>
      <c r="G47" s="31">
        <f>-IE!D59</f>
        <v>-10209.650000000023</v>
      </c>
      <c r="H47" s="8"/>
    </row>
    <row r="48" spans="1:12" x14ac:dyDescent="0.3">
      <c r="A48" s="6">
        <v>1766</v>
      </c>
      <c r="B48" s="56" t="s">
        <v>138</v>
      </c>
      <c r="C48" s="4"/>
      <c r="D48" s="8">
        <f>Members!E12</f>
        <v>58</v>
      </c>
      <c r="E48" s="22">
        <v>-153502</v>
      </c>
      <c r="F48" s="17" t="s">
        <v>178</v>
      </c>
      <c r="G48" s="31">
        <v>0</v>
      </c>
      <c r="H48" s="8"/>
    </row>
    <row r="49" spans="1:10" x14ac:dyDescent="0.3">
      <c r="A49" s="6"/>
      <c r="B49" s="2"/>
      <c r="C49" s="4"/>
      <c r="D49" s="8"/>
      <c r="E49" s="22">
        <v>-1425</v>
      </c>
      <c r="F49" s="17" t="s">
        <v>179</v>
      </c>
      <c r="G49" s="31">
        <v>0</v>
      </c>
      <c r="H49" s="8"/>
    </row>
    <row r="50" spans="1:10" x14ac:dyDescent="0.3">
      <c r="A50" s="6"/>
      <c r="B50" s="56" t="s">
        <v>141</v>
      </c>
      <c r="C50" s="4"/>
      <c r="D50" s="8"/>
      <c r="E50" s="22">
        <v>-1130</v>
      </c>
      <c r="F50" s="17" t="s">
        <v>181</v>
      </c>
      <c r="G50" s="31">
        <v>0</v>
      </c>
      <c r="H50" s="8"/>
    </row>
    <row r="51" spans="1:10" x14ac:dyDescent="0.3">
      <c r="A51" s="6">
        <v>25000</v>
      </c>
      <c r="B51" s="2" t="s">
        <v>180</v>
      </c>
      <c r="C51" s="4">
        <v>25000</v>
      </c>
      <c r="D51" s="8">
        <f>SUM(C51:C51)</f>
        <v>25000</v>
      </c>
      <c r="E51" s="22">
        <v>-6511</v>
      </c>
      <c r="F51" s="17" t="s">
        <v>182</v>
      </c>
      <c r="G51" s="122">
        <v>0</v>
      </c>
      <c r="H51" s="8">
        <f>SUM(G46:G51)</f>
        <v>257311.00999999995</v>
      </c>
    </row>
    <row r="52" spans="1:10" ht="15" thickBot="1" x14ac:dyDescent="0.35">
      <c r="A52" s="44">
        <f>SUM(A11:A51)</f>
        <v>807150</v>
      </c>
      <c r="B52" s="152" t="s">
        <v>46</v>
      </c>
      <c r="C52" s="153"/>
      <c r="D52" s="44">
        <f>SUM(D11:D51)</f>
        <v>929052</v>
      </c>
      <c r="E52" s="44">
        <f>SUM(E7:E51)</f>
        <v>807150</v>
      </c>
      <c r="F52" s="152" t="s">
        <v>46</v>
      </c>
      <c r="G52" s="153"/>
      <c r="H52" s="44">
        <f>SUM(H7:H51)</f>
        <v>929052</v>
      </c>
    </row>
    <row r="53" spans="1:10" ht="15" thickTop="1" x14ac:dyDescent="0.3">
      <c r="H53" s="82"/>
    </row>
    <row r="54" spans="1:10" x14ac:dyDescent="0.3">
      <c r="A54" s="61" t="s">
        <v>87</v>
      </c>
      <c r="B54" s="9"/>
      <c r="C54" s="9"/>
      <c r="E54" s="102" t="s">
        <v>123</v>
      </c>
      <c r="F54" s="102"/>
      <c r="G54" s="102"/>
      <c r="H54" s="102">
        <f>+H52-D52</f>
        <v>0</v>
      </c>
    </row>
    <row r="55" spans="1:10" x14ac:dyDescent="0.3">
      <c r="A55" s="9"/>
      <c r="B55" s="9"/>
      <c r="C55" s="9"/>
      <c r="E55" s="9"/>
      <c r="F55" s="9"/>
      <c r="G55" s="9"/>
      <c r="I55" s="1">
        <f>A52-E52</f>
        <v>0</v>
      </c>
      <c r="J55" s="1">
        <f>D52-H52</f>
        <v>0</v>
      </c>
    </row>
    <row r="56" spans="1:10" x14ac:dyDescent="0.3">
      <c r="A56" s="9"/>
      <c r="B56" s="9"/>
      <c r="C56" s="9"/>
      <c r="E56" s="9"/>
      <c r="F56" s="9"/>
      <c r="G56" s="9"/>
    </row>
    <row r="57" spans="1:10" x14ac:dyDescent="0.3">
      <c r="A57" s="9"/>
      <c r="B57" s="9"/>
      <c r="C57" s="9"/>
      <c r="E57" s="9"/>
      <c r="F57" s="9"/>
      <c r="G57" s="9"/>
    </row>
    <row r="58" spans="1:10" x14ac:dyDescent="0.3">
      <c r="A58" s="9"/>
      <c r="B58" s="9"/>
      <c r="C58" s="9"/>
      <c r="E58" s="9"/>
      <c r="F58" s="9"/>
      <c r="G58" s="9"/>
    </row>
    <row r="59" spans="1:10" x14ac:dyDescent="0.3">
      <c r="A59" s="9"/>
      <c r="B59" s="9"/>
      <c r="C59" s="9"/>
      <c r="E59" s="9"/>
      <c r="F59" s="9"/>
      <c r="G59" s="9"/>
    </row>
    <row r="60" spans="1:10" x14ac:dyDescent="0.3">
      <c r="A60" s="9"/>
      <c r="B60" s="9"/>
      <c r="C60" s="9"/>
      <c r="E60" s="102" t="s">
        <v>89</v>
      </c>
      <c r="F60" s="102"/>
      <c r="G60" s="102"/>
      <c r="H60" s="102"/>
    </row>
    <row r="61" spans="1:10" x14ac:dyDescent="0.3">
      <c r="A61" s="9" t="s">
        <v>207</v>
      </c>
      <c r="B61" s="9"/>
      <c r="C61" s="9"/>
      <c r="E61" s="9"/>
      <c r="F61" s="9"/>
      <c r="G61" s="9"/>
    </row>
    <row r="62" spans="1:10" x14ac:dyDescent="0.3">
      <c r="A62" s="9"/>
      <c r="B62" s="9"/>
      <c r="C62" s="9"/>
      <c r="E62" s="9"/>
      <c r="F62" s="9"/>
      <c r="G62" s="9"/>
    </row>
    <row r="63" spans="1:10" x14ac:dyDescent="0.3">
      <c r="A63" s="9" t="s">
        <v>88</v>
      </c>
      <c r="B63" s="9"/>
      <c r="C63" s="9"/>
      <c r="E63" s="9"/>
      <c r="F63" s="9"/>
      <c r="G63" s="9"/>
    </row>
    <row r="64" spans="1:10" x14ac:dyDescent="0.3">
      <c r="A64" s="9" t="s">
        <v>208</v>
      </c>
      <c r="B64" s="9"/>
      <c r="C64" s="9"/>
      <c r="E64" s="9"/>
      <c r="F64" s="9"/>
      <c r="G64" s="9"/>
    </row>
  </sheetData>
  <mergeCells count="8">
    <mergeCell ref="F52:G52"/>
    <mergeCell ref="B52:C52"/>
    <mergeCell ref="A1:H1"/>
    <mergeCell ref="A3:H3"/>
    <mergeCell ref="A4:H4"/>
    <mergeCell ref="B6:C6"/>
    <mergeCell ref="F6:G6"/>
    <mergeCell ref="A2:H2"/>
  </mergeCells>
  <printOptions horizontalCentered="1"/>
  <pageMargins left="0.23622047244094491" right="0.23622047244094491" top="0.9055118110236221" bottom="0.51181102362204722" header="0.31496062992125984" footer="0.31496062992125984"/>
  <pageSetup paperSize="9"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8F65-F724-4936-BF9D-BD92EE0F2CC7}">
  <sheetPr>
    <pageSetUpPr fitToPage="1"/>
  </sheetPr>
  <dimension ref="A1:J75"/>
  <sheetViews>
    <sheetView zoomScaleNormal="100" zoomScaleSheetLayoutView="100" workbookViewId="0">
      <selection activeCell="D68" sqref="D68"/>
    </sheetView>
  </sheetViews>
  <sheetFormatPr defaultColWidth="8.77734375" defaultRowHeight="14.4" x14ac:dyDescent="0.3"/>
  <cols>
    <col min="1" max="1" width="14.77734375" style="124" bestFit="1" customWidth="1"/>
    <col min="2" max="2" width="29" style="124" customWidth="1"/>
    <col min="3" max="3" width="10.77734375" style="124" bestFit="1" customWidth="1"/>
    <col min="4" max="5" width="14.77734375" style="124" bestFit="1" customWidth="1"/>
    <col min="6" max="6" width="29.44140625" style="124" customWidth="1"/>
    <col min="7" max="7" width="11.44140625" style="124" bestFit="1" customWidth="1"/>
    <col min="8" max="8" width="14.77734375" style="124" bestFit="1" customWidth="1"/>
    <col min="9" max="9" width="10" style="124" bestFit="1" customWidth="1"/>
    <col min="10" max="10" width="11.44140625" style="124" bestFit="1" customWidth="1"/>
    <col min="11" max="11" width="12" style="124" bestFit="1" customWidth="1"/>
    <col min="12" max="16384" width="8.77734375" style="124"/>
  </cols>
  <sheetData>
    <row r="1" spans="1:8" ht="18" x14ac:dyDescent="0.3">
      <c r="A1" s="149" t="str">
        <f>BS!A1</f>
        <v>DAVE DOLL CO-OPERATIVE HOUSING SOCIETY LTD</v>
      </c>
      <c r="B1" s="149"/>
      <c r="C1" s="149"/>
      <c r="D1" s="149"/>
      <c r="E1" s="149"/>
      <c r="F1" s="149"/>
      <c r="G1" s="149"/>
      <c r="H1" s="149"/>
    </row>
    <row r="2" spans="1:8" x14ac:dyDescent="0.3">
      <c r="A2" s="150" t="s">
        <v>144</v>
      </c>
      <c r="B2" s="150"/>
      <c r="C2" s="150"/>
      <c r="D2" s="150"/>
      <c r="E2" s="150"/>
      <c r="F2" s="150"/>
      <c r="G2" s="150"/>
      <c r="H2" s="150"/>
    </row>
    <row r="3" spans="1:8" x14ac:dyDescent="0.3">
      <c r="A3" s="150" t="str">
        <f>BS!A3</f>
        <v>D'Monte Lane, C.S.T. No. 520/521/522, Orlem, Malad(West), Mumbai, Maharashtra - 400064</v>
      </c>
      <c r="B3" s="150"/>
      <c r="C3" s="150"/>
      <c r="D3" s="150"/>
      <c r="E3" s="150"/>
      <c r="F3" s="150"/>
      <c r="G3" s="150"/>
      <c r="H3" s="150"/>
    </row>
    <row r="4" spans="1:8" ht="18" x14ac:dyDescent="0.3">
      <c r="A4" s="151" t="s">
        <v>183</v>
      </c>
      <c r="B4" s="151"/>
      <c r="C4" s="151"/>
      <c r="D4" s="151"/>
      <c r="E4" s="151"/>
      <c r="F4" s="151"/>
      <c r="G4" s="151"/>
      <c r="H4" s="151"/>
    </row>
    <row r="5" spans="1:8" x14ac:dyDescent="0.3">
      <c r="A5" s="125"/>
      <c r="B5" s="125"/>
      <c r="C5" s="125"/>
      <c r="D5" s="125"/>
      <c r="E5" s="125"/>
      <c r="F5" s="125"/>
      <c r="G5" s="125"/>
      <c r="H5" s="126" t="s">
        <v>96</v>
      </c>
    </row>
    <row r="6" spans="1:8" s="128" customFormat="1" ht="15" thickBot="1" x14ac:dyDescent="0.35">
      <c r="A6" s="127">
        <f>BS!A6</f>
        <v>45747</v>
      </c>
      <c r="B6" s="147" t="s">
        <v>53</v>
      </c>
      <c r="C6" s="148"/>
      <c r="D6" s="127">
        <f>BS!D6</f>
        <v>46112</v>
      </c>
      <c r="E6" s="127">
        <f>A6</f>
        <v>45747</v>
      </c>
      <c r="F6" s="147" t="s">
        <v>54</v>
      </c>
      <c r="G6" s="148"/>
      <c r="H6" s="127">
        <f>D6</f>
        <v>46112</v>
      </c>
    </row>
    <row r="7" spans="1:8" ht="15" thickTop="1" x14ac:dyDescent="0.3">
      <c r="A7" s="129"/>
      <c r="B7" s="130" t="s">
        <v>103</v>
      </c>
      <c r="C7" s="131"/>
      <c r="D7" s="129"/>
      <c r="E7" s="129"/>
      <c r="F7" s="130" t="s">
        <v>99</v>
      </c>
      <c r="G7" s="131"/>
      <c r="H7" s="129"/>
    </row>
    <row r="8" spans="1:8" x14ac:dyDescent="0.3">
      <c r="A8" s="129">
        <v>59012</v>
      </c>
      <c r="B8" s="132" t="s">
        <v>24</v>
      </c>
      <c r="C8" s="131"/>
      <c r="D8" s="133">
        <v>81134</v>
      </c>
      <c r="E8" s="129">
        <v>59016</v>
      </c>
      <c r="F8" s="132" t="s">
        <v>58</v>
      </c>
      <c r="G8" s="171">
        <f>75612+5532</f>
        <v>81144</v>
      </c>
      <c r="H8" s="129"/>
    </row>
    <row r="9" spans="1:8" x14ac:dyDescent="0.3">
      <c r="A9" s="129"/>
      <c r="B9" s="132"/>
      <c r="C9" s="131"/>
      <c r="D9" s="129"/>
      <c r="E9" s="129">
        <v>87264</v>
      </c>
      <c r="F9" s="132" t="s">
        <v>14</v>
      </c>
      <c r="G9" s="171">
        <v>87264</v>
      </c>
      <c r="H9" s="129"/>
    </row>
    <row r="10" spans="1:8" x14ac:dyDescent="0.3">
      <c r="A10" s="129"/>
      <c r="B10" s="130" t="s">
        <v>104</v>
      </c>
      <c r="C10" s="131"/>
      <c r="D10" s="129"/>
      <c r="E10" s="129">
        <v>47088</v>
      </c>
      <c r="F10" s="132" t="s">
        <v>25</v>
      </c>
      <c r="G10" s="171">
        <v>47088</v>
      </c>
      <c r="H10" s="129"/>
    </row>
    <row r="11" spans="1:8" x14ac:dyDescent="0.3">
      <c r="A11" s="129">
        <v>40371.68</v>
      </c>
      <c r="B11" s="132" t="s">
        <v>26</v>
      </c>
      <c r="C11" s="131"/>
      <c r="D11" s="133">
        <v>50176.35</v>
      </c>
      <c r="E11" s="129">
        <v>41760</v>
      </c>
      <c r="F11" s="132" t="s">
        <v>59</v>
      </c>
      <c r="G11" s="171">
        <v>41760</v>
      </c>
      <c r="H11" s="129"/>
    </row>
    <row r="12" spans="1:8" x14ac:dyDescent="0.3">
      <c r="A12" s="129"/>
      <c r="B12" s="132"/>
      <c r="C12" s="131"/>
      <c r="D12" s="129"/>
      <c r="E12" s="129">
        <v>10800</v>
      </c>
      <c r="F12" s="132" t="s">
        <v>17</v>
      </c>
      <c r="G12" s="171">
        <v>10800</v>
      </c>
      <c r="H12" s="129"/>
    </row>
    <row r="13" spans="1:8" x14ac:dyDescent="0.3">
      <c r="A13" s="129"/>
      <c r="B13" s="130" t="s">
        <v>105</v>
      </c>
      <c r="C13" s="131"/>
      <c r="D13" s="129"/>
      <c r="E13" s="129">
        <v>6344</v>
      </c>
      <c r="F13" s="132" t="s">
        <v>18</v>
      </c>
      <c r="G13" s="171">
        <v>5114</v>
      </c>
      <c r="H13" s="129"/>
    </row>
    <row r="14" spans="1:8" x14ac:dyDescent="0.3">
      <c r="A14" s="129">
        <v>35082</v>
      </c>
      <c r="B14" s="132" t="s">
        <v>27</v>
      </c>
      <c r="C14" s="131">
        <v>26476</v>
      </c>
      <c r="D14" s="129"/>
      <c r="E14" s="129">
        <v>2205</v>
      </c>
      <c r="F14" s="132" t="s">
        <v>15</v>
      </c>
      <c r="G14" s="171">
        <f>2695+163</f>
        <v>2858</v>
      </c>
      <c r="H14" s="129"/>
    </row>
    <row r="15" spans="1:8" x14ac:dyDescent="0.3">
      <c r="A15" s="129">
        <v>0</v>
      </c>
      <c r="B15" s="132" t="s">
        <v>124</v>
      </c>
      <c r="C15" s="131">
        <v>0</v>
      </c>
      <c r="D15" s="129"/>
      <c r="E15" s="129">
        <v>14000</v>
      </c>
      <c r="F15" s="132" t="s">
        <v>16</v>
      </c>
      <c r="G15" s="171">
        <f>6000+8400+1000</f>
        <v>15400</v>
      </c>
      <c r="H15" s="133"/>
    </row>
    <row r="16" spans="1:8" x14ac:dyDescent="0.3">
      <c r="A16" s="129">
        <v>0</v>
      </c>
      <c r="B16" s="132" t="s">
        <v>60</v>
      </c>
      <c r="C16" s="134">
        <v>2600</v>
      </c>
      <c r="D16" s="133">
        <f>SUM(C14:C16)</f>
        <v>29076</v>
      </c>
      <c r="E16" s="129">
        <v>25200</v>
      </c>
      <c r="F16" s="132" t="s">
        <v>169</v>
      </c>
      <c r="G16" s="131">
        <v>25200</v>
      </c>
      <c r="H16" s="133"/>
    </row>
    <row r="17" spans="1:8" x14ac:dyDescent="0.3">
      <c r="A17" s="129"/>
      <c r="B17" s="132"/>
      <c r="C17" s="131"/>
      <c r="D17" s="129"/>
      <c r="E17" s="129">
        <v>21600</v>
      </c>
      <c r="F17" s="132" t="s">
        <v>5</v>
      </c>
      <c r="G17" s="131">
        <v>21600</v>
      </c>
      <c r="H17" s="133"/>
    </row>
    <row r="18" spans="1:8" x14ac:dyDescent="0.3">
      <c r="A18" s="129"/>
      <c r="B18" s="130" t="s">
        <v>106</v>
      </c>
      <c r="C18" s="131"/>
      <c r="D18" s="129"/>
      <c r="E18" s="129">
        <v>56520</v>
      </c>
      <c r="F18" s="132" t="s">
        <v>170</v>
      </c>
      <c r="G18" s="131">
        <v>56520</v>
      </c>
      <c r="H18" s="133"/>
    </row>
    <row r="19" spans="1:8" x14ac:dyDescent="0.3">
      <c r="A19" s="129">
        <v>30000</v>
      </c>
      <c r="B19" s="132" t="s">
        <v>30</v>
      </c>
      <c r="C19" s="131">
        <v>32900</v>
      </c>
      <c r="D19" s="129"/>
      <c r="E19" s="129">
        <v>64800</v>
      </c>
      <c r="F19" s="132" t="s">
        <v>168</v>
      </c>
      <c r="G19" s="134">
        <v>64800</v>
      </c>
      <c r="H19" s="133">
        <f>SUM(G8:G19)</f>
        <v>459548</v>
      </c>
    </row>
    <row r="20" spans="1:8" x14ac:dyDescent="0.3">
      <c r="A20" s="129">
        <v>2500</v>
      </c>
      <c r="B20" s="132" t="s">
        <v>31</v>
      </c>
      <c r="C20" s="134">
        <v>0</v>
      </c>
      <c r="D20" s="133">
        <f>SUM(C19:C20)</f>
        <v>32900</v>
      </c>
      <c r="E20" s="129"/>
      <c r="F20" s="132"/>
      <c r="G20" s="131"/>
      <c r="H20" s="133"/>
    </row>
    <row r="21" spans="1:8" ht="19.5" customHeight="1" x14ac:dyDescent="0.3">
      <c r="A21" s="129"/>
      <c r="B21" s="132"/>
      <c r="C21" s="131"/>
      <c r="D21" s="129"/>
      <c r="E21" s="129"/>
      <c r="F21" s="132"/>
      <c r="G21" s="131"/>
      <c r="H21" s="133"/>
    </row>
    <row r="22" spans="1:8" x14ac:dyDescent="0.3">
      <c r="A22" s="129"/>
      <c r="B22" s="130" t="s">
        <v>101</v>
      </c>
      <c r="C22" s="131"/>
      <c r="D22" s="129"/>
      <c r="E22" s="129"/>
      <c r="F22" s="132"/>
      <c r="G22" s="131"/>
      <c r="H22" s="129"/>
    </row>
    <row r="23" spans="1:8" x14ac:dyDescent="0.3">
      <c r="A23" s="129">
        <v>33567</v>
      </c>
      <c r="B23" s="132" t="s">
        <v>61</v>
      </c>
      <c r="C23" s="131">
        <v>15475</v>
      </c>
      <c r="D23" s="129"/>
      <c r="E23" s="129"/>
      <c r="F23" s="130" t="s">
        <v>100</v>
      </c>
      <c r="G23" s="131"/>
      <c r="H23" s="133"/>
    </row>
    <row r="24" spans="1:8" x14ac:dyDescent="0.3">
      <c r="A24" s="129">
        <v>-33567</v>
      </c>
      <c r="B24" s="132" t="s">
        <v>172</v>
      </c>
      <c r="C24" s="131">
        <v>0</v>
      </c>
      <c r="D24" s="129"/>
      <c r="E24" s="129">
        <v>14023</v>
      </c>
      <c r="F24" s="132" t="s">
        <v>20</v>
      </c>
      <c r="G24" s="131">
        <v>8592</v>
      </c>
      <c r="H24" s="133"/>
    </row>
    <row r="25" spans="1:8" x14ac:dyDescent="0.3">
      <c r="A25" s="129">
        <v>5700</v>
      </c>
      <c r="B25" s="132" t="s">
        <v>62</v>
      </c>
      <c r="C25" s="131">
        <v>2380</v>
      </c>
      <c r="D25" s="129"/>
      <c r="E25" s="129">
        <v>11989</v>
      </c>
      <c r="F25" s="135" t="s">
        <v>21</v>
      </c>
      <c r="G25" s="131">
        <v>15160</v>
      </c>
      <c r="H25" s="129"/>
    </row>
    <row r="26" spans="1:8" x14ac:dyDescent="0.3">
      <c r="A26" s="129">
        <v>14304</v>
      </c>
      <c r="B26" s="132" t="s">
        <v>32</v>
      </c>
      <c r="C26" s="131">
        <v>14280</v>
      </c>
      <c r="D26" s="129"/>
      <c r="E26" s="129">
        <v>-11989</v>
      </c>
      <c r="F26" s="132" t="s">
        <v>22</v>
      </c>
      <c r="G26" s="134">
        <v>-15160</v>
      </c>
      <c r="H26" s="133">
        <f>SUM(G24:G26)</f>
        <v>8592</v>
      </c>
    </row>
    <row r="27" spans="1:8" x14ac:dyDescent="0.3">
      <c r="A27" s="129">
        <v>3680</v>
      </c>
      <c r="B27" s="132" t="s">
        <v>125</v>
      </c>
      <c r="C27" s="131">
        <v>0</v>
      </c>
      <c r="D27" s="129"/>
      <c r="E27" s="129"/>
      <c r="F27" s="132"/>
      <c r="G27" s="131"/>
      <c r="H27" s="129"/>
    </row>
    <row r="28" spans="1:8" x14ac:dyDescent="0.3">
      <c r="A28" s="129">
        <v>0</v>
      </c>
      <c r="B28" s="132" t="s">
        <v>168</v>
      </c>
      <c r="C28" s="131">
        <v>10000</v>
      </c>
      <c r="D28" s="129"/>
      <c r="E28" s="129"/>
      <c r="F28" s="130"/>
      <c r="G28" s="131"/>
      <c r="H28" s="133"/>
    </row>
    <row r="29" spans="1:8" x14ac:dyDescent="0.3">
      <c r="A29" s="129">
        <v>0</v>
      </c>
      <c r="B29" s="132" t="s">
        <v>202</v>
      </c>
      <c r="C29" s="131">
        <v>-10000</v>
      </c>
      <c r="D29" s="129"/>
      <c r="E29" s="129"/>
      <c r="F29" s="132"/>
      <c r="G29" s="131"/>
      <c r="H29" s="133"/>
    </row>
    <row r="30" spans="1:8" x14ac:dyDescent="0.3">
      <c r="A30" s="129">
        <v>5937</v>
      </c>
      <c r="B30" s="132" t="s">
        <v>33</v>
      </c>
      <c r="C30" s="134">
        <v>7715</v>
      </c>
      <c r="D30" s="133">
        <f>SUM(C23:C30)</f>
        <v>39850</v>
      </c>
      <c r="E30" s="129"/>
      <c r="F30" s="132"/>
      <c r="G30" s="131"/>
      <c r="H30" s="133"/>
    </row>
    <row r="31" spans="1:8" x14ac:dyDescent="0.3">
      <c r="A31" s="129"/>
      <c r="B31" s="132"/>
      <c r="C31" s="131"/>
      <c r="D31" s="129"/>
      <c r="E31" s="129"/>
      <c r="F31" s="132"/>
      <c r="G31" s="131"/>
      <c r="H31" s="133"/>
    </row>
    <row r="32" spans="1:8" x14ac:dyDescent="0.3">
      <c r="A32" s="129"/>
      <c r="B32" s="130" t="s">
        <v>102</v>
      </c>
      <c r="C32" s="131"/>
      <c r="D32" s="129"/>
      <c r="E32" s="129"/>
      <c r="F32" s="132"/>
      <c r="G32" s="131"/>
      <c r="H32" s="133"/>
    </row>
    <row r="33" spans="1:8" x14ac:dyDescent="0.3">
      <c r="A33" s="129">
        <v>12592</v>
      </c>
      <c r="B33" s="132" t="s">
        <v>39</v>
      </c>
      <c r="C33" s="131">
        <v>12592</v>
      </c>
      <c r="D33" s="129"/>
      <c r="E33" s="129"/>
      <c r="F33" s="132"/>
      <c r="G33" s="131"/>
      <c r="H33" s="133"/>
    </row>
    <row r="34" spans="1:8" x14ac:dyDescent="0.3">
      <c r="A34" s="129">
        <v>19808</v>
      </c>
      <c r="B34" s="132" t="s">
        <v>35</v>
      </c>
      <c r="C34" s="131">
        <v>19500</v>
      </c>
      <c r="D34" s="129"/>
      <c r="E34" s="129"/>
      <c r="F34" s="132"/>
      <c r="G34" s="131"/>
      <c r="H34" s="133"/>
    </row>
    <row r="35" spans="1:8" x14ac:dyDescent="0.3">
      <c r="A35" s="129">
        <v>826</v>
      </c>
      <c r="B35" s="132" t="s">
        <v>36</v>
      </c>
      <c r="C35" s="131">
        <v>0</v>
      </c>
      <c r="D35" s="129"/>
      <c r="E35" s="129"/>
      <c r="F35" s="132"/>
      <c r="G35" s="131"/>
      <c r="H35" s="133"/>
    </row>
    <row r="36" spans="1:8" x14ac:dyDescent="0.3">
      <c r="A36" s="129">
        <v>2000</v>
      </c>
      <c r="B36" s="132" t="s">
        <v>37</v>
      </c>
      <c r="C36" s="131">
        <v>2500</v>
      </c>
      <c r="D36" s="129"/>
      <c r="E36" s="129"/>
      <c r="F36" s="132"/>
      <c r="G36" s="131"/>
      <c r="H36" s="133"/>
    </row>
    <row r="37" spans="1:8" x14ac:dyDescent="0.3">
      <c r="A37" s="129">
        <v>4500</v>
      </c>
      <c r="B37" s="132" t="s">
        <v>38</v>
      </c>
      <c r="C37" s="134">
        <v>1500</v>
      </c>
      <c r="D37" s="133">
        <f>SUM(C33:C37)</f>
        <v>36092</v>
      </c>
      <c r="E37" s="129"/>
      <c r="F37" s="132"/>
      <c r="G37" s="131"/>
      <c r="H37" s="133"/>
    </row>
    <row r="38" spans="1:8" x14ac:dyDescent="0.3">
      <c r="A38" s="129"/>
      <c r="B38" s="132"/>
      <c r="C38" s="131"/>
      <c r="D38" s="129"/>
      <c r="E38" s="129"/>
      <c r="F38" s="132"/>
      <c r="G38" s="131"/>
      <c r="H38" s="133"/>
    </row>
    <row r="39" spans="1:8" x14ac:dyDescent="0.3">
      <c r="A39" s="129"/>
      <c r="B39" s="130" t="s">
        <v>98</v>
      </c>
      <c r="C39" s="131"/>
      <c r="D39" s="129"/>
      <c r="E39" s="129"/>
      <c r="F39" s="132"/>
      <c r="G39" s="131"/>
      <c r="H39" s="133"/>
    </row>
    <row r="40" spans="1:8" x14ac:dyDescent="0.3">
      <c r="A40" s="129">
        <v>1374</v>
      </c>
      <c r="B40" s="132" t="s">
        <v>40</v>
      </c>
      <c r="C40" s="131">
        <v>5642</v>
      </c>
      <c r="D40" s="129"/>
      <c r="E40" s="129"/>
      <c r="F40" s="132"/>
      <c r="G40" s="131"/>
      <c r="H40" s="133"/>
    </row>
    <row r="41" spans="1:8" x14ac:dyDescent="0.3">
      <c r="A41" s="129">
        <v>4477</v>
      </c>
      <c r="B41" s="132" t="s">
        <v>121</v>
      </c>
      <c r="C41" s="131">
        <v>3844</v>
      </c>
      <c r="D41" s="129"/>
      <c r="E41" s="129"/>
      <c r="F41" s="132"/>
      <c r="G41" s="131"/>
      <c r="H41" s="133"/>
    </row>
    <row r="42" spans="1:8" x14ac:dyDescent="0.3">
      <c r="A42" s="129">
        <v>0</v>
      </c>
      <c r="B42" s="132" t="s">
        <v>63</v>
      </c>
      <c r="C42" s="131">
        <v>1200</v>
      </c>
      <c r="D42" s="129"/>
      <c r="E42" s="129"/>
      <c r="F42" s="132"/>
      <c r="G42" s="131"/>
      <c r="H42" s="133"/>
    </row>
    <row r="43" spans="1:8" x14ac:dyDescent="0.3">
      <c r="A43" s="129">
        <v>1270</v>
      </c>
      <c r="B43" s="132" t="s">
        <v>173</v>
      </c>
      <c r="C43" s="131">
        <v>300</v>
      </c>
      <c r="D43" s="129"/>
      <c r="E43" s="129"/>
      <c r="F43" s="132"/>
      <c r="G43" s="131"/>
      <c r="H43" s="133"/>
    </row>
    <row r="44" spans="1:8" x14ac:dyDescent="0.3">
      <c r="A44" s="129">
        <v>472</v>
      </c>
      <c r="B44" s="132" t="s">
        <v>41</v>
      </c>
      <c r="C44" s="131">
        <v>177</v>
      </c>
      <c r="D44" s="129"/>
      <c r="E44" s="129"/>
      <c r="F44" s="132"/>
      <c r="G44" s="131"/>
      <c r="H44" s="133"/>
    </row>
    <row r="45" spans="1:8" x14ac:dyDescent="0.3">
      <c r="A45" s="129">
        <v>70</v>
      </c>
      <c r="B45" s="132" t="s">
        <v>122</v>
      </c>
      <c r="C45" s="131">
        <v>0</v>
      </c>
      <c r="D45" s="129"/>
      <c r="E45" s="129"/>
      <c r="F45" s="132"/>
      <c r="G45" s="131"/>
      <c r="H45" s="133"/>
    </row>
    <row r="46" spans="1:8" x14ac:dyDescent="0.3">
      <c r="A46" s="129">
        <v>0</v>
      </c>
      <c r="B46" s="132" t="s">
        <v>84</v>
      </c>
      <c r="C46" s="131">
        <v>430</v>
      </c>
      <c r="D46" s="129"/>
      <c r="E46" s="129"/>
      <c r="F46" s="132"/>
      <c r="G46" s="131"/>
      <c r="H46" s="133"/>
    </row>
    <row r="47" spans="1:8" x14ac:dyDescent="0.3">
      <c r="A47" s="129">
        <v>0</v>
      </c>
      <c r="B47" s="132" t="s">
        <v>83</v>
      </c>
      <c r="C47" s="131">
        <v>1426</v>
      </c>
      <c r="D47" s="129"/>
      <c r="E47" s="129"/>
      <c r="F47" s="132"/>
      <c r="G47" s="131"/>
      <c r="H47" s="133"/>
    </row>
    <row r="48" spans="1:8" x14ac:dyDescent="0.3">
      <c r="A48" s="129">
        <v>0</v>
      </c>
      <c r="B48" s="132" t="s">
        <v>82</v>
      </c>
      <c r="C48" s="131">
        <v>63</v>
      </c>
      <c r="D48" s="129"/>
      <c r="E48" s="129"/>
      <c r="F48" s="132"/>
      <c r="G48" s="131"/>
      <c r="H48" s="133"/>
    </row>
    <row r="49" spans="1:10" x14ac:dyDescent="0.3">
      <c r="A49" s="129"/>
      <c r="B49" s="132" t="s">
        <v>185</v>
      </c>
      <c r="C49" s="134">
        <v>7500</v>
      </c>
      <c r="D49" s="133">
        <f>SUM(C40:C49)</f>
        <v>20582</v>
      </c>
      <c r="E49" s="129"/>
      <c r="F49" s="132"/>
      <c r="G49" s="131"/>
      <c r="H49" s="133"/>
    </row>
    <row r="50" spans="1:10" x14ac:dyDescent="0.3">
      <c r="A50" s="129"/>
      <c r="B50" s="132"/>
      <c r="C50" s="131"/>
      <c r="D50" s="133"/>
      <c r="E50" s="129"/>
      <c r="F50" s="132"/>
      <c r="G50" s="131"/>
      <c r="H50" s="133"/>
    </row>
    <row r="51" spans="1:10" x14ac:dyDescent="0.3">
      <c r="A51" s="129"/>
      <c r="B51" s="136" t="s">
        <v>171</v>
      </c>
      <c r="C51" s="131"/>
      <c r="D51" s="133"/>
      <c r="E51" s="129"/>
      <c r="F51" s="132"/>
      <c r="G51" s="131"/>
      <c r="H51" s="133"/>
    </row>
    <row r="52" spans="1:10" x14ac:dyDescent="0.3">
      <c r="A52" s="129">
        <v>25200</v>
      </c>
      <c r="B52" s="132" t="s">
        <v>169</v>
      </c>
      <c r="C52" s="131">
        <v>25200</v>
      </c>
      <c r="D52" s="133"/>
      <c r="E52" s="129"/>
      <c r="F52" s="132"/>
      <c r="G52" s="131"/>
      <c r="H52" s="133"/>
    </row>
    <row r="53" spans="1:10" x14ac:dyDescent="0.3">
      <c r="A53" s="129">
        <v>21600</v>
      </c>
      <c r="B53" s="132" t="s">
        <v>5</v>
      </c>
      <c r="C53" s="131">
        <v>21600</v>
      </c>
      <c r="D53" s="133"/>
      <c r="E53" s="129"/>
      <c r="F53" s="132"/>
      <c r="G53" s="131"/>
      <c r="H53" s="133"/>
    </row>
    <row r="54" spans="1:10" x14ac:dyDescent="0.3">
      <c r="A54" s="129">
        <v>56520</v>
      </c>
      <c r="B54" s="132" t="s">
        <v>170</v>
      </c>
      <c r="C54" s="131">
        <v>56520</v>
      </c>
      <c r="D54" s="133"/>
      <c r="E54" s="129"/>
      <c r="F54" s="132"/>
      <c r="G54" s="131"/>
      <c r="H54" s="133"/>
    </row>
    <row r="55" spans="1:10" x14ac:dyDescent="0.3">
      <c r="A55" s="129">
        <v>64800</v>
      </c>
      <c r="B55" s="132" t="s">
        <v>168</v>
      </c>
      <c r="C55" s="134">
        <v>64800</v>
      </c>
      <c r="D55" s="133">
        <f>SUM(C52:C55)</f>
        <v>168120</v>
      </c>
      <c r="E55" s="129"/>
      <c r="F55" s="132"/>
      <c r="G55" s="131"/>
      <c r="H55" s="133"/>
    </row>
    <row r="56" spans="1:10" x14ac:dyDescent="0.3">
      <c r="A56" s="129"/>
      <c r="B56" s="132"/>
      <c r="C56" s="131"/>
      <c r="D56" s="133"/>
      <c r="E56" s="129"/>
      <c r="F56" s="132"/>
      <c r="G56" s="131"/>
      <c r="H56" s="133"/>
    </row>
    <row r="57" spans="1:10" x14ac:dyDescent="0.3">
      <c r="A57" s="129"/>
      <c r="B57" s="130" t="s">
        <v>97</v>
      </c>
      <c r="C57" s="131"/>
      <c r="D57" s="129"/>
      <c r="E57" s="129"/>
      <c r="F57" s="132"/>
      <c r="G57" s="131"/>
      <c r="H57" s="133"/>
    </row>
    <row r="58" spans="1:10" x14ac:dyDescent="0.3">
      <c r="A58" s="129">
        <v>9631</v>
      </c>
      <c r="B58" s="132" t="s">
        <v>23</v>
      </c>
      <c r="C58" s="131"/>
      <c r="D58" s="133">
        <v>0</v>
      </c>
      <c r="E58" s="129"/>
      <c r="F58" s="132"/>
      <c r="G58" s="131"/>
      <c r="H58" s="133"/>
    </row>
    <row r="59" spans="1:10" x14ac:dyDescent="0.3">
      <c r="A59" s="129">
        <f>E60-SUM(A8:A58)</f>
        <v>28893.320000000007</v>
      </c>
      <c r="B59" s="132" t="s">
        <v>107</v>
      </c>
      <c r="C59" s="131"/>
      <c r="D59" s="133">
        <f>H60-SUM(D8:D58)</f>
        <v>10209.650000000023</v>
      </c>
      <c r="E59" s="137">
        <v>0</v>
      </c>
      <c r="F59" s="138" t="s">
        <v>142</v>
      </c>
      <c r="G59" s="134"/>
      <c r="H59" s="137"/>
    </row>
    <row r="60" spans="1:10" ht="15" thickBot="1" x14ac:dyDescent="0.35">
      <c r="A60" s="139">
        <f>SUM(A7:A59)</f>
        <v>450620</v>
      </c>
      <c r="B60" s="147" t="s">
        <v>19</v>
      </c>
      <c r="C60" s="148"/>
      <c r="D60" s="139">
        <f>SUM(D7:D59)</f>
        <v>468140</v>
      </c>
      <c r="E60" s="139">
        <f>SUM(E7:E59)</f>
        <v>450620</v>
      </c>
      <c r="F60" s="147" t="s">
        <v>19</v>
      </c>
      <c r="G60" s="148"/>
      <c r="H60" s="139">
        <f>SUM(H7:H59)</f>
        <v>468140</v>
      </c>
      <c r="J60" s="124">
        <f>D60-H60</f>
        <v>0</v>
      </c>
    </row>
    <row r="61" spans="1:10" ht="15" thickTop="1" x14ac:dyDescent="0.3">
      <c r="A61" s="124" t="s">
        <v>87</v>
      </c>
      <c r="E61" s="146" t="str">
        <f>"For "&amp;A1</f>
        <v>For DAVE DOLL CO-OPERATIVE HOUSING SOCIETY LTD</v>
      </c>
      <c r="F61" s="146"/>
      <c r="G61" s="146"/>
      <c r="H61" s="146"/>
    </row>
    <row r="67" spans="1:8" x14ac:dyDescent="0.3">
      <c r="A67" s="9" t="s">
        <v>207</v>
      </c>
      <c r="E67" s="146" t="s">
        <v>89</v>
      </c>
      <c r="F67" s="146"/>
      <c r="G67" s="146"/>
      <c r="H67" s="146"/>
    </row>
    <row r="68" spans="1:8" x14ac:dyDescent="0.3">
      <c r="A68" s="9"/>
    </row>
    <row r="69" spans="1:8" x14ac:dyDescent="0.3">
      <c r="A69" s="9" t="s">
        <v>88</v>
      </c>
    </row>
    <row r="70" spans="1:8" x14ac:dyDescent="0.3">
      <c r="A70" s="9" t="s">
        <v>208</v>
      </c>
    </row>
    <row r="71" spans="1:8" x14ac:dyDescent="0.3">
      <c r="A71" s="1"/>
    </row>
    <row r="75" spans="1:8" x14ac:dyDescent="0.3">
      <c r="A75" s="124">
        <f>A60-E60</f>
        <v>0</v>
      </c>
    </row>
  </sheetData>
  <mergeCells count="10">
    <mergeCell ref="E61:H61"/>
    <mergeCell ref="E67:H67"/>
    <mergeCell ref="F60:G60"/>
    <mergeCell ref="B60:C60"/>
    <mergeCell ref="A1:H1"/>
    <mergeCell ref="A3:H3"/>
    <mergeCell ref="A4:H4"/>
    <mergeCell ref="B6:C6"/>
    <mergeCell ref="F6:G6"/>
    <mergeCell ref="A2:H2"/>
  </mergeCells>
  <pageMargins left="0.23622047244094491" right="0.23622047244094491" top="0.74803149606299213" bottom="0.74803149606299213" header="0.31496062992125984" footer="0.31496062992125984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E95C-4B81-415C-9D51-34157384FA49}">
  <sheetPr>
    <pageSetUpPr fitToPage="1"/>
  </sheetPr>
  <dimension ref="A1:O18"/>
  <sheetViews>
    <sheetView workbookViewId="0">
      <selection activeCell="M29" sqref="M29"/>
    </sheetView>
  </sheetViews>
  <sheetFormatPr defaultRowHeight="14.4" x14ac:dyDescent="0.3"/>
  <cols>
    <col min="1" max="1" width="3.21875" style="11" bestFit="1" customWidth="1"/>
    <col min="2" max="2" width="22.109375" style="26" bestFit="1" customWidth="1"/>
    <col min="3" max="3" width="5" style="26" bestFit="1" customWidth="1"/>
    <col min="4" max="4" width="9.77734375" style="26" bestFit="1" customWidth="1"/>
    <col min="5" max="5" width="9.5546875" style="18" bestFit="1" customWidth="1"/>
    <col min="6" max="7" width="10.77734375" style="18" bestFit="1" customWidth="1"/>
    <col min="8" max="8" width="10.77734375" style="18" customWidth="1"/>
    <col min="9" max="9" width="9.5546875" style="18" bestFit="1" customWidth="1"/>
    <col min="10" max="10" width="6.21875" style="35" bestFit="1" customWidth="1"/>
    <col min="11" max="11" width="9.21875" style="29" bestFit="1" customWidth="1"/>
    <col min="12" max="12" width="9.77734375" style="26" bestFit="1" customWidth="1"/>
  </cols>
  <sheetData>
    <row r="1" spans="1:15" ht="18" x14ac:dyDescent="0.3">
      <c r="A1" s="157" t="str">
        <f>BS!A1</f>
        <v>DAVE DOLL CO-OPERATIVE HOUSING SOCIETY LTD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</row>
    <row r="2" spans="1:15" x14ac:dyDescent="0.3">
      <c r="A2" s="159" t="s">
        <v>95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5" ht="15.6" x14ac:dyDescent="0.3">
      <c r="A3" s="158" t="s">
        <v>214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5" x14ac:dyDescent="0.3">
      <c r="L4" s="55" t="s">
        <v>96</v>
      </c>
    </row>
    <row r="5" spans="1:15" s="10" customFormat="1" ht="43.8" thickBot="1" x14ac:dyDescent="0.35">
      <c r="A5" s="45" t="s">
        <v>55</v>
      </c>
      <c r="B5" s="45" t="s">
        <v>6</v>
      </c>
      <c r="C5" s="45" t="s">
        <v>9</v>
      </c>
      <c r="D5" s="45" t="s">
        <v>7</v>
      </c>
      <c r="E5" s="46" t="s">
        <v>8</v>
      </c>
      <c r="F5" s="46" t="s">
        <v>126</v>
      </c>
      <c r="G5" s="46" t="s">
        <v>155</v>
      </c>
      <c r="H5" s="46" t="s">
        <v>186</v>
      </c>
      <c r="I5" s="46" t="s">
        <v>85</v>
      </c>
      <c r="J5" s="47" t="s">
        <v>91</v>
      </c>
      <c r="K5" s="46" t="s">
        <v>13</v>
      </c>
      <c r="L5" s="45" t="s">
        <v>11</v>
      </c>
    </row>
    <row r="6" spans="1:15" ht="16.2" thickTop="1" x14ac:dyDescent="0.3">
      <c r="A6" s="60"/>
      <c r="B6" s="59" t="s">
        <v>5</v>
      </c>
      <c r="E6" s="75"/>
      <c r="M6" s="48"/>
    </row>
    <row r="7" spans="1:15" s="42" customFormat="1" ht="16.5" customHeight="1" x14ac:dyDescent="0.3">
      <c r="A7" s="43">
        <v>1</v>
      </c>
      <c r="B7" s="140" t="s">
        <v>188</v>
      </c>
      <c r="C7" s="43" t="s">
        <v>57</v>
      </c>
      <c r="D7" s="141" t="s">
        <v>92</v>
      </c>
      <c r="E7" s="143">
        <v>24247</v>
      </c>
      <c r="F7" s="142">
        <v>0</v>
      </c>
      <c r="G7" s="142">
        <v>0</v>
      </c>
      <c r="H7" s="142">
        <v>1265</v>
      </c>
      <c r="I7" s="142">
        <f>SUM(E7:H7)</f>
        <v>25512</v>
      </c>
      <c r="J7" s="98">
        <v>6.6000000000000003E-2</v>
      </c>
      <c r="K7" s="50">
        <v>29508</v>
      </c>
      <c r="L7" s="141" t="s">
        <v>212</v>
      </c>
      <c r="N7" s="89"/>
    </row>
    <row r="8" spans="1:15" s="42" customFormat="1" ht="16.5" customHeight="1" x14ac:dyDescent="0.3">
      <c r="A8" s="43">
        <v>2</v>
      </c>
      <c r="B8" s="140" t="s">
        <v>187</v>
      </c>
      <c r="C8" s="43" t="s">
        <v>57</v>
      </c>
      <c r="D8" s="141" t="s">
        <v>189</v>
      </c>
      <c r="E8" s="143">
        <v>20310</v>
      </c>
      <c r="F8" s="142">
        <v>0</v>
      </c>
      <c r="G8" s="142">
        <v>0</v>
      </c>
      <c r="H8" s="142">
        <v>1061</v>
      </c>
      <c r="I8" s="142">
        <f t="shared" ref="I8:I16" si="0">SUM(E8:H8)</f>
        <v>21371</v>
      </c>
      <c r="J8" s="98">
        <v>7.0000000000000007E-2</v>
      </c>
      <c r="K8" s="50">
        <v>23334</v>
      </c>
      <c r="L8" s="141" t="s">
        <v>211</v>
      </c>
      <c r="N8" s="89"/>
    </row>
    <row r="9" spans="1:15" s="42" customFormat="1" ht="16.5" customHeight="1" x14ac:dyDescent="0.3">
      <c r="A9" s="43">
        <v>3</v>
      </c>
      <c r="B9" s="140" t="s">
        <v>156</v>
      </c>
      <c r="C9" s="43" t="s">
        <v>57</v>
      </c>
      <c r="D9" s="141" t="s">
        <v>90</v>
      </c>
      <c r="E9" s="143">
        <v>16128</v>
      </c>
      <c r="F9" s="142">
        <v>0</v>
      </c>
      <c r="G9" s="142">
        <f>919</f>
        <v>919</v>
      </c>
      <c r="H9" s="142">
        <v>1225</v>
      </c>
      <c r="I9" s="142">
        <f t="shared" si="0"/>
        <v>18272</v>
      </c>
      <c r="J9" s="98">
        <v>7.0000000000000007E-2</v>
      </c>
      <c r="K9" s="50">
        <v>18636</v>
      </c>
      <c r="L9" s="141" t="s">
        <v>162</v>
      </c>
      <c r="N9" s="89"/>
      <c r="O9" s="89"/>
    </row>
    <row r="10" spans="1:15" s="42" customFormat="1" ht="16.5" customHeight="1" x14ac:dyDescent="0.3">
      <c r="A10" s="43">
        <v>4</v>
      </c>
      <c r="B10" s="140" t="s">
        <v>157</v>
      </c>
      <c r="C10" s="43" t="s">
        <v>57</v>
      </c>
      <c r="D10" s="141" t="s">
        <v>86</v>
      </c>
      <c r="E10" s="143">
        <v>25765</v>
      </c>
      <c r="F10" s="142">
        <v>0</v>
      </c>
      <c r="G10" s="142">
        <v>1428</v>
      </c>
      <c r="H10" s="142">
        <v>1954</v>
      </c>
      <c r="I10" s="142">
        <f t="shared" si="0"/>
        <v>29147</v>
      </c>
      <c r="J10" s="98">
        <v>7.0000000000000007E-2</v>
      </c>
      <c r="K10" s="50">
        <v>31728</v>
      </c>
      <c r="L10" s="141" t="s">
        <v>163</v>
      </c>
      <c r="N10" s="89"/>
      <c r="O10" s="89"/>
    </row>
    <row r="11" spans="1:15" s="42" customFormat="1" ht="16.5" customHeight="1" x14ac:dyDescent="0.3">
      <c r="A11" s="43">
        <v>5</v>
      </c>
      <c r="B11" s="140" t="s">
        <v>158</v>
      </c>
      <c r="C11" s="43" t="s">
        <v>57</v>
      </c>
      <c r="D11" s="141" t="s">
        <v>190</v>
      </c>
      <c r="E11" s="143">
        <v>27684</v>
      </c>
      <c r="F11" s="142">
        <v>0</v>
      </c>
      <c r="G11" s="142">
        <v>1400</v>
      </c>
      <c r="H11" s="142">
        <v>0</v>
      </c>
      <c r="I11" s="142">
        <f t="shared" si="0"/>
        <v>29084</v>
      </c>
      <c r="J11" s="98">
        <v>7.0000000000000007E-2</v>
      </c>
      <c r="K11" s="50">
        <v>31806</v>
      </c>
      <c r="L11" s="141" t="s">
        <v>164</v>
      </c>
      <c r="N11" s="89"/>
    </row>
    <row r="12" spans="1:15" s="42" customFormat="1" ht="16.5" customHeight="1" x14ac:dyDescent="0.3">
      <c r="A12" s="43">
        <v>6</v>
      </c>
      <c r="B12" s="140" t="s">
        <v>191</v>
      </c>
      <c r="C12" s="43" t="s">
        <v>57</v>
      </c>
      <c r="D12" s="141" t="s">
        <v>93</v>
      </c>
      <c r="E12" s="143">
        <v>26033</v>
      </c>
      <c r="F12" s="142">
        <v>0</v>
      </c>
      <c r="G12" s="142">
        <v>0</v>
      </c>
      <c r="H12" s="142">
        <v>1411</v>
      </c>
      <c r="I12" s="142">
        <f t="shared" si="0"/>
        <v>27444</v>
      </c>
      <c r="J12" s="98">
        <v>7.0000000000000007E-2</v>
      </c>
      <c r="K12" s="50">
        <v>28064</v>
      </c>
      <c r="L12" s="141" t="s">
        <v>213</v>
      </c>
      <c r="N12" s="89"/>
      <c r="O12" s="89"/>
    </row>
    <row r="13" spans="1:15" s="42" customFormat="1" ht="16.5" customHeight="1" x14ac:dyDescent="0.3">
      <c r="A13" s="43">
        <v>7</v>
      </c>
      <c r="B13" s="140" t="s">
        <v>192</v>
      </c>
      <c r="C13" s="43" t="s">
        <v>57</v>
      </c>
      <c r="D13" s="141" t="s">
        <v>94</v>
      </c>
      <c r="E13" s="143">
        <v>27092</v>
      </c>
      <c r="F13" s="142">
        <v>0</v>
      </c>
      <c r="G13" s="142">
        <v>0</v>
      </c>
      <c r="H13" s="142">
        <v>118</v>
      </c>
      <c r="I13" s="142">
        <f t="shared" si="0"/>
        <v>27210</v>
      </c>
      <c r="J13" s="98">
        <v>6.5000000000000002E-2</v>
      </c>
      <c r="K13" s="50">
        <v>32874</v>
      </c>
      <c r="L13" s="141" t="s">
        <v>209</v>
      </c>
      <c r="N13" s="89"/>
      <c r="O13" s="89"/>
    </row>
    <row r="14" spans="1:15" s="42" customFormat="1" ht="16.5" customHeight="1" x14ac:dyDescent="0.3">
      <c r="A14" s="43">
        <v>8</v>
      </c>
      <c r="B14" s="140" t="s">
        <v>127</v>
      </c>
      <c r="C14" s="43" t="s">
        <v>57</v>
      </c>
      <c r="D14" s="141" t="s">
        <v>153</v>
      </c>
      <c r="E14" s="143">
        <v>22000</v>
      </c>
      <c r="F14" s="142">
        <v>21</v>
      </c>
      <c r="G14" s="142">
        <v>1606</v>
      </c>
      <c r="H14" s="142">
        <v>1723</v>
      </c>
      <c r="I14" s="142">
        <f t="shared" si="0"/>
        <v>25350</v>
      </c>
      <c r="J14" s="98">
        <v>7.0000000000000007E-2</v>
      </c>
      <c r="K14" s="50">
        <v>27092</v>
      </c>
      <c r="L14" s="141" t="s">
        <v>94</v>
      </c>
      <c r="N14" s="89"/>
    </row>
    <row r="15" spans="1:15" s="42" customFormat="1" ht="16.5" customHeight="1" x14ac:dyDescent="0.3">
      <c r="A15" s="85">
        <v>9</v>
      </c>
      <c r="B15" s="86" t="s">
        <v>152</v>
      </c>
      <c r="C15" s="43" t="s">
        <v>57</v>
      </c>
      <c r="D15" s="87" t="s">
        <v>154</v>
      </c>
      <c r="E15" s="144">
        <v>22000</v>
      </c>
      <c r="F15" s="49">
        <v>0</v>
      </c>
      <c r="G15" s="88">
        <v>13</v>
      </c>
      <c r="H15" s="88">
        <v>1698</v>
      </c>
      <c r="I15" s="49">
        <f t="shared" si="0"/>
        <v>23711</v>
      </c>
      <c r="J15" s="99">
        <v>7.4999999999999997E-2</v>
      </c>
      <c r="K15" s="100">
        <v>24290</v>
      </c>
      <c r="L15" s="101" t="s">
        <v>161</v>
      </c>
      <c r="N15" s="89"/>
    </row>
    <row r="16" spans="1:15" s="42" customFormat="1" ht="16.5" customHeight="1" x14ac:dyDescent="0.3">
      <c r="A16" s="43">
        <v>10</v>
      </c>
      <c r="B16" s="140" t="s">
        <v>200</v>
      </c>
      <c r="C16" s="43" t="s">
        <v>199</v>
      </c>
      <c r="D16" s="141" t="s">
        <v>201</v>
      </c>
      <c r="E16" s="144">
        <v>22000</v>
      </c>
      <c r="F16" s="88">
        <v>0</v>
      </c>
      <c r="G16" s="88">
        <v>0</v>
      </c>
      <c r="H16" s="88">
        <v>3</v>
      </c>
      <c r="I16" s="88">
        <f t="shared" si="0"/>
        <v>22003</v>
      </c>
      <c r="J16" s="99">
        <v>5.6000000000000001E-2</v>
      </c>
      <c r="K16" s="100">
        <v>22611</v>
      </c>
      <c r="L16" s="101" t="s">
        <v>210</v>
      </c>
      <c r="N16" s="89"/>
    </row>
    <row r="17" spans="1:13" s="42" customFormat="1" ht="16.5" customHeight="1" thickBot="1" x14ac:dyDescent="0.35">
      <c r="A17" s="160" t="s">
        <v>10</v>
      </c>
      <c r="B17" s="161"/>
      <c r="C17" s="161"/>
      <c r="D17" s="162"/>
      <c r="E17" s="145">
        <f>SUM(E7:E16)</f>
        <v>233259</v>
      </c>
      <c r="F17" s="51">
        <f>SUM(F7:F16)</f>
        <v>21</v>
      </c>
      <c r="G17" s="51">
        <f>SUM(G7:G16)</f>
        <v>5366</v>
      </c>
      <c r="H17" s="51">
        <f>SUM(H7:H16)</f>
        <v>10458</v>
      </c>
      <c r="I17" s="51">
        <f>SUM(I7:I16)</f>
        <v>249104</v>
      </c>
      <c r="J17" s="52"/>
      <c r="K17" s="51">
        <f>SUM(K7:K16)</f>
        <v>269943</v>
      </c>
      <c r="L17" s="53"/>
      <c r="M17" s="54"/>
    </row>
    <row r="18" spans="1:13" ht="15" thickTop="1" x14ac:dyDescent="0.3"/>
  </sheetData>
  <mergeCells count="4">
    <mergeCell ref="A1:L1"/>
    <mergeCell ref="A3:L3"/>
    <mergeCell ref="A2:L2"/>
    <mergeCell ref="A17:D17"/>
  </mergeCells>
  <printOptions horizontalCentered="1"/>
  <pageMargins left="0.23622047244094491" right="0.23622047244094491" top="0.43307086614173229" bottom="0.23622047244094491" header="0.31496062992125984" footer="0.31496062992125984"/>
  <pageSetup paperSize="9" scale="81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4E9D-75FF-400F-9119-78E8D74BDCE4}">
  <dimension ref="B1:E13"/>
  <sheetViews>
    <sheetView zoomScaleNormal="100" zoomScaleSheetLayoutView="100" workbookViewId="0">
      <selection activeCell="E21" sqref="E21"/>
    </sheetView>
  </sheetViews>
  <sheetFormatPr defaultRowHeight="14.4" x14ac:dyDescent="0.3"/>
  <cols>
    <col min="2" max="2" width="6.77734375" style="26" bestFit="1" customWidth="1"/>
    <col min="3" max="3" width="11.21875" bestFit="1" customWidth="1"/>
    <col min="4" max="4" width="26.21875" customWidth="1"/>
    <col min="5" max="5" width="11.21875" bestFit="1" customWidth="1"/>
  </cols>
  <sheetData>
    <row r="1" spans="2:5" x14ac:dyDescent="0.3">
      <c r="B1" s="167" t="s">
        <v>120</v>
      </c>
      <c r="C1" s="167"/>
      <c r="D1" s="167"/>
      <c r="E1" s="167"/>
    </row>
    <row r="2" spans="2:5" ht="15" customHeight="1" x14ac:dyDescent="0.3">
      <c r="B2" s="163" t="s">
        <v>193</v>
      </c>
      <c r="C2" s="163"/>
      <c r="D2" s="163"/>
      <c r="E2" s="163"/>
    </row>
    <row r="3" spans="2:5" ht="15" customHeight="1" x14ac:dyDescent="0.3">
      <c r="B3" s="12"/>
      <c r="C3" s="12"/>
      <c r="D3" s="12"/>
      <c r="E3" s="12"/>
    </row>
    <row r="4" spans="2:5" s="42" customFormat="1" ht="16.5" customHeight="1" thickBot="1" x14ac:dyDescent="0.35">
      <c r="B4" s="38" t="s">
        <v>128</v>
      </c>
      <c r="C4" s="38" t="s">
        <v>145</v>
      </c>
      <c r="D4" s="38" t="s">
        <v>146</v>
      </c>
      <c r="E4" s="38" t="s">
        <v>131</v>
      </c>
    </row>
    <row r="5" spans="2:5" s="42" customFormat="1" ht="16.5" customHeight="1" thickTop="1" x14ac:dyDescent="0.3">
      <c r="B5" s="13"/>
      <c r="C5" s="13"/>
      <c r="D5" s="25"/>
      <c r="E5" s="109">
        <v>0</v>
      </c>
    </row>
    <row r="6" spans="2:5" s="42" customFormat="1" ht="16.5" customHeight="1" thickBot="1" x14ac:dyDescent="0.35">
      <c r="B6" s="164" t="s">
        <v>19</v>
      </c>
      <c r="C6" s="165"/>
      <c r="D6" s="166"/>
      <c r="E6" s="110">
        <f>SUM(E5:E5)</f>
        <v>0</v>
      </c>
    </row>
    <row r="7" spans="2:5" s="42" customFormat="1" ht="15" thickTop="1" x14ac:dyDescent="0.3">
      <c r="B7" s="12"/>
      <c r="C7" s="12"/>
      <c r="D7" s="12"/>
      <c r="E7" s="66"/>
    </row>
    <row r="8" spans="2:5" s="42" customFormat="1" x14ac:dyDescent="0.3">
      <c r="B8" s="163" t="s">
        <v>194</v>
      </c>
      <c r="C8" s="163"/>
      <c r="D8" s="163"/>
      <c r="E8" s="163"/>
    </row>
    <row r="9" spans="2:5" x14ac:dyDescent="0.3">
      <c r="B9" s="12"/>
      <c r="C9" s="12"/>
      <c r="D9" s="12"/>
      <c r="E9" s="12"/>
    </row>
    <row r="10" spans="2:5" ht="15" thickBot="1" x14ac:dyDescent="0.35">
      <c r="B10" s="38" t="s">
        <v>128</v>
      </c>
      <c r="C10" s="38" t="s">
        <v>145</v>
      </c>
      <c r="D10" s="91" t="s">
        <v>146</v>
      </c>
      <c r="E10" s="83" t="s">
        <v>131</v>
      </c>
    </row>
    <row r="11" spans="2:5" ht="15" thickTop="1" x14ac:dyDescent="0.3">
      <c r="B11" s="80">
        <v>1</v>
      </c>
      <c r="C11" s="81">
        <v>12</v>
      </c>
      <c r="D11" s="39" t="s">
        <v>159</v>
      </c>
      <c r="E11" s="90">
        <v>58</v>
      </c>
    </row>
    <row r="12" spans="2:5" ht="15" thickBot="1" x14ac:dyDescent="0.35">
      <c r="B12" s="164" t="s">
        <v>19</v>
      </c>
      <c r="C12" s="165"/>
      <c r="D12" s="165"/>
      <c r="E12" s="92">
        <f>SUM(E11:E11)</f>
        <v>58</v>
      </c>
    </row>
    <row r="13" spans="2:5" ht="15" thickTop="1" x14ac:dyDescent="0.3"/>
  </sheetData>
  <mergeCells count="5">
    <mergeCell ref="B8:E8"/>
    <mergeCell ref="B6:D6"/>
    <mergeCell ref="B2:E2"/>
    <mergeCell ref="B1:E1"/>
    <mergeCell ref="B12:D12"/>
  </mergeCells>
  <printOptions horizontalCentered="1"/>
  <pageMargins left="0.31496062992125984" right="0.31496062992125984" top="0.94488188976377963" bottom="0.35433070866141736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288-EC08-42DD-8D48-916AB3676FF9}">
  <dimension ref="A1:I15"/>
  <sheetViews>
    <sheetView workbookViewId="0">
      <selection activeCell="D13" sqref="D13"/>
    </sheetView>
  </sheetViews>
  <sheetFormatPr defaultRowHeight="14.4" x14ac:dyDescent="0.3"/>
  <cols>
    <col min="1" max="1" width="4.44140625" style="26" customWidth="1"/>
    <col min="2" max="2" width="14.5546875" style="18" customWidth="1"/>
    <col min="3" max="3" width="30.5546875" bestFit="1" customWidth="1"/>
    <col min="4" max="4" width="14.5546875" style="18" customWidth="1"/>
    <col min="5" max="5" width="9.5546875" bestFit="1" customWidth="1"/>
    <col min="8" max="8" width="26" bestFit="1" customWidth="1"/>
    <col min="9" max="9" width="11.21875" bestFit="1" customWidth="1"/>
  </cols>
  <sheetData>
    <row r="1" spans="1:9" ht="15.6" x14ac:dyDescent="0.3">
      <c r="A1" s="168" t="s">
        <v>56</v>
      </c>
      <c r="B1" s="168"/>
      <c r="C1" s="168"/>
      <c r="D1" s="168"/>
    </row>
    <row r="2" spans="1:9" x14ac:dyDescent="0.3">
      <c r="B2" s="163" t="s">
        <v>195</v>
      </c>
      <c r="C2" s="163"/>
      <c r="D2" s="163"/>
    </row>
    <row r="3" spans="1:9" ht="15" thickBot="1" x14ac:dyDescent="0.35">
      <c r="A3" s="12"/>
      <c r="B3" s="41" t="s">
        <v>151</v>
      </c>
      <c r="C3" s="38" t="s">
        <v>69</v>
      </c>
      <c r="D3" s="41" t="s">
        <v>196</v>
      </c>
    </row>
    <row r="4" spans="1:9" ht="15" thickTop="1" x14ac:dyDescent="0.3">
      <c r="B4" s="40">
        <v>4190</v>
      </c>
      <c r="C4" s="39" t="s">
        <v>70</v>
      </c>
      <c r="D4" s="40">
        <v>0</v>
      </c>
    </row>
    <row r="5" spans="1:9" x14ac:dyDescent="0.3">
      <c r="B5" s="28">
        <v>59160</v>
      </c>
      <c r="C5" s="25" t="s">
        <v>71</v>
      </c>
      <c r="D5" s="121">
        <v>6527</v>
      </c>
      <c r="H5" s="12"/>
      <c r="I5" s="70"/>
    </row>
    <row r="6" spans="1:9" x14ac:dyDescent="0.3">
      <c r="B6" s="28">
        <v>1000</v>
      </c>
      <c r="C6" s="25" t="s">
        <v>72</v>
      </c>
      <c r="D6" s="28">
        <v>0</v>
      </c>
      <c r="I6" s="71"/>
    </row>
    <row r="7" spans="1:9" x14ac:dyDescent="0.3">
      <c r="B7" s="28">
        <v>1500</v>
      </c>
      <c r="C7" s="25" t="s">
        <v>73</v>
      </c>
      <c r="D7" s="28">
        <v>0</v>
      </c>
      <c r="I7" s="71"/>
    </row>
    <row r="8" spans="1:9" x14ac:dyDescent="0.3">
      <c r="B8" s="28">
        <v>9796</v>
      </c>
      <c r="C8" s="25" t="s">
        <v>177</v>
      </c>
      <c r="D8" s="28">
        <v>9796</v>
      </c>
      <c r="I8" s="71"/>
    </row>
    <row r="9" spans="1:9" x14ac:dyDescent="0.3">
      <c r="B9" s="28">
        <v>4000</v>
      </c>
      <c r="C9" s="25" t="s">
        <v>37</v>
      </c>
      <c r="D9" s="28">
        <v>4000</v>
      </c>
    </row>
    <row r="10" spans="1:9" x14ac:dyDescent="0.3">
      <c r="B10" s="28">
        <v>2210</v>
      </c>
      <c r="C10" s="25" t="s">
        <v>74</v>
      </c>
      <c r="D10" s="79">
        <v>2210</v>
      </c>
    </row>
    <row r="11" spans="1:9" x14ac:dyDescent="0.3">
      <c r="B11" s="28">
        <v>0</v>
      </c>
      <c r="C11" s="25" t="s">
        <v>198</v>
      </c>
      <c r="D11" s="28">
        <v>4190</v>
      </c>
    </row>
    <row r="12" spans="1:9" x14ac:dyDescent="0.3">
      <c r="B12" s="28">
        <v>0</v>
      </c>
      <c r="C12" s="25" t="s">
        <v>197</v>
      </c>
      <c r="D12" s="28">
        <v>5463</v>
      </c>
    </row>
    <row r="13" spans="1:9" x14ac:dyDescent="0.3">
      <c r="B13" s="111">
        <v>3000</v>
      </c>
      <c r="C13" s="112" t="s">
        <v>38</v>
      </c>
      <c r="D13" s="111">
        <v>3000</v>
      </c>
    </row>
    <row r="14" spans="1:9" ht="15" thickBot="1" x14ac:dyDescent="0.35">
      <c r="B14" s="37">
        <f>SUM(B4:B13)</f>
        <v>84856</v>
      </c>
      <c r="C14" s="38" t="s">
        <v>19</v>
      </c>
      <c r="D14" s="37">
        <f>SUM(D4:D13)</f>
        <v>35186</v>
      </c>
    </row>
    <row r="15" spans="1:9" ht="15" thickTop="1" x14ac:dyDescent="0.3">
      <c r="E15" s="30"/>
    </row>
  </sheetData>
  <mergeCells count="2">
    <mergeCell ref="A1:D1"/>
    <mergeCell ref="B2:D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1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53CE-526D-42CC-9375-4DA5016CDB0B}">
  <dimension ref="B1:F28"/>
  <sheetViews>
    <sheetView workbookViewId="0">
      <selection activeCell="F31" sqref="F31"/>
    </sheetView>
  </sheetViews>
  <sheetFormatPr defaultColWidth="8.77734375" defaultRowHeight="14.4" x14ac:dyDescent="0.3"/>
  <cols>
    <col min="1" max="1" width="2.44140625" customWidth="1"/>
    <col min="2" max="2" width="5.21875" bestFit="1" customWidth="1"/>
    <col min="3" max="3" width="50.21875" customWidth="1"/>
    <col min="4" max="4" width="12.5546875" style="18" bestFit="1" customWidth="1"/>
  </cols>
  <sheetData>
    <row r="1" spans="2:6" x14ac:dyDescent="0.3">
      <c r="B1" s="170" t="s">
        <v>134</v>
      </c>
      <c r="C1" s="170"/>
      <c r="D1" s="170"/>
      <c r="E1" s="67"/>
      <c r="F1" s="67"/>
    </row>
    <row r="2" spans="2:6" x14ac:dyDescent="0.3">
      <c r="B2" s="169" t="s">
        <v>203</v>
      </c>
      <c r="C2" s="169"/>
      <c r="D2" s="169"/>
    </row>
    <row r="3" spans="2:6" x14ac:dyDescent="0.3">
      <c r="B3" s="25"/>
      <c r="C3" s="27" t="s">
        <v>130</v>
      </c>
      <c r="D3" s="32" t="s">
        <v>131</v>
      </c>
    </row>
    <row r="4" spans="2:6" x14ac:dyDescent="0.3">
      <c r="B4" s="25"/>
      <c r="C4" s="68" t="s">
        <v>132</v>
      </c>
      <c r="D4" s="65">
        <v>155828.57</v>
      </c>
    </row>
    <row r="5" spans="2:6" x14ac:dyDescent="0.3">
      <c r="B5" s="25"/>
      <c r="C5" s="25"/>
      <c r="D5" s="28"/>
    </row>
    <row r="6" spans="2:6" x14ac:dyDescent="0.3">
      <c r="B6" s="25"/>
      <c r="C6" s="68" t="s">
        <v>133</v>
      </c>
      <c r="D6" s="69">
        <f>D4</f>
        <v>155828.57</v>
      </c>
    </row>
    <row r="7" spans="2:6" x14ac:dyDescent="0.3">
      <c r="C7" s="20"/>
      <c r="D7" s="120"/>
    </row>
    <row r="9" spans="2:6" x14ac:dyDescent="0.3">
      <c r="B9" s="169" t="s">
        <v>206</v>
      </c>
      <c r="C9" s="169"/>
      <c r="D9" s="169"/>
    </row>
    <row r="10" spans="2:6" x14ac:dyDescent="0.3">
      <c r="B10" s="25"/>
      <c r="C10" s="27" t="s">
        <v>130</v>
      </c>
      <c r="D10" s="32" t="s">
        <v>131</v>
      </c>
    </row>
    <row r="11" spans="2:6" x14ac:dyDescent="0.3">
      <c r="B11" s="25"/>
      <c r="C11" s="68" t="s">
        <v>132</v>
      </c>
      <c r="D11" s="65">
        <v>40482</v>
      </c>
    </row>
    <row r="12" spans="2:6" x14ac:dyDescent="0.3">
      <c r="B12" s="25"/>
      <c r="C12" s="25"/>
      <c r="D12" s="28"/>
    </row>
    <row r="13" spans="2:6" x14ac:dyDescent="0.3">
      <c r="B13" s="25"/>
      <c r="C13" s="68" t="s">
        <v>133</v>
      </c>
      <c r="D13" s="65">
        <f>D11</f>
        <v>40482</v>
      </c>
    </row>
    <row r="14" spans="2:6" x14ac:dyDescent="0.3">
      <c r="C14" s="20"/>
      <c r="D14" s="66"/>
    </row>
    <row r="16" spans="2:6" x14ac:dyDescent="0.3">
      <c r="B16" s="169" t="s">
        <v>204</v>
      </c>
      <c r="C16" s="169"/>
      <c r="D16" s="169"/>
    </row>
    <row r="17" spans="2:4" x14ac:dyDescent="0.3">
      <c r="B17" s="25"/>
      <c r="C17" s="27" t="s">
        <v>130</v>
      </c>
      <c r="D17" s="32" t="s">
        <v>131</v>
      </c>
    </row>
    <row r="18" spans="2:4" x14ac:dyDescent="0.3">
      <c r="B18" s="25"/>
      <c r="C18" s="68" t="s">
        <v>132</v>
      </c>
      <c r="D18" s="65">
        <v>4400.8999999999996</v>
      </c>
    </row>
    <row r="19" spans="2:4" x14ac:dyDescent="0.3">
      <c r="B19" s="25"/>
      <c r="C19" s="25"/>
      <c r="D19" s="28"/>
    </row>
    <row r="20" spans="2:4" x14ac:dyDescent="0.3">
      <c r="B20" s="25"/>
      <c r="C20" s="68" t="s">
        <v>133</v>
      </c>
      <c r="D20" s="69">
        <f>D18</f>
        <v>4400.8999999999996</v>
      </c>
    </row>
    <row r="21" spans="2:4" x14ac:dyDescent="0.3">
      <c r="C21" s="20"/>
      <c r="D21" s="120"/>
    </row>
    <row r="23" spans="2:4" x14ac:dyDescent="0.3">
      <c r="B23" s="169" t="s">
        <v>205</v>
      </c>
      <c r="C23" s="169"/>
      <c r="D23" s="169"/>
    </row>
    <row r="24" spans="2:4" x14ac:dyDescent="0.3">
      <c r="B24" s="25"/>
      <c r="C24" s="27" t="s">
        <v>130</v>
      </c>
      <c r="D24" s="32" t="s">
        <v>131</v>
      </c>
    </row>
    <row r="25" spans="2:4" x14ac:dyDescent="0.3">
      <c r="B25" s="25"/>
      <c r="C25" s="68" t="s">
        <v>132</v>
      </c>
      <c r="D25" s="65">
        <v>171206.52</v>
      </c>
    </row>
    <row r="26" spans="2:4" x14ac:dyDescent="0.3">
      <c r="B26" s="25"/>
      <c r="C26" s="25"/>
      <c r="D26" s="28"/>
    </row>
    <row r="27" spans="2:4" x14ac:dyDescent="0.3">
      <c r="B27" s="25"/>
      <c r="C27" s="25"/>
      <c r="D27" s="28"/>
    </row>
    <row r="28" spans="2:4" x14ac:dyDescent="0.3">
      <c r="B28" s="25"/>
      <c r="C28" s="68" t="s">
        <v>133</v>
      </c>
      <c r="D28" s="65">
        <f>D25</f>
        <v>171206.52</v>
      </c>
    </row>
  </sheetData>
  <mergeCells count="5">
    <mergeCell ref="B23:D23"/>
    <mergeCell ref="B1:D1"/>
    <mergeCell ref="B2:D2"/>
    <mergeCell ref="B9:D9"/>
    <mergeCell ref="B16:D16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3D78-2585-4DA6-9631-3270A4720468}">
  <dimension ref="B1:P47"/>
  <sheetViews>
    <sheetView workbookViewId="0">
      <selection activeCell="O32" sqref="O32"/>
    </sheetView>
  </sheetViews>
  <sheetFormatPr defaultRowHeight="14.4" x14ac:dyDescent="0.3"/>
  <cols>
    <col min="1" max="1" width="3.77734375" customWidth="1"/>
    <col min="2" max="2" width="17.5546875" customWidth="1"/>
    <col min="3" max="3" width="11.21875" customWidth="1"/>
    <col min="4" max="4" width="6.21875" style="19" customWidth="1"/>
    <col min="5" max="5" width="12.21875" style="18" customWidth="1"/>
    <col min="6" max="6" width="22.5546875" style="18" customWidth="1"/>
    <col min="8" max="8" width="10" bestFit="1" customWidth="1"/>
    <col min="15" max="15" width="9.77734375" customWidth="1"/>
  </cols>
  <sheetData>
    <row r="1" spans="2:10" x14ac:dyDescent="0.3">
      <c r="B1" s="93" t="s">
        <v>2</v>
      </c>
      <c r="C1" s="93"/>
      <c r="D1" s="94"/>
    </row>
    <row r="3" spans="2:10" x14ac:dyDescent="0.3">
      <c r="B3" s="20" t="s">
        <v>28</v>
      </c>
      <c r="E3" s="18" t="s">
        <v>29</v>
      </c>
    </row>
    <row r="4" spans="2:10" x14ac:dyDescent="0.3">
      <c r="B4" s="21">
        <v>44937</v>
      </c>
      <c r="C4" s="21">
        <v>45027</v>
      </c>
      <c r="D4" s="19">
        <f t="shared" ref="D4" si="0">+C4-B4</f>
        <v>90</v>
      </c>
      <c r="E4" s="19">
        <v>7137</v>
      </c>
      <c r="G4" s="30"/>
    </row>
    <row r="5" spans="2:10" x14ac:dyDescent="0.3">
      <c r="B5" s="21">
        <f>+B4</f>
        <v>44937</v>
      </c>
      <c r="C5" s="21">
        <v>45016</v>
      </c>
      <c r="D5" s="62">
        <f>+C5-B5</f>
        <v>79</v>
      </c>
      <c r="E5" s="62">
        <v>6344</v>
      </c>
    </row>
    <row r="6" spans="2:10" x14ac:dyDescent="0.3">
      <c r="B6" s="21">
        <v>45017</v>
      </c>
      <c r="C6" s="21">
        <v>45027</v>
      </c>
      <c r="D6" s="19">
        <f>D4-D5</f>
        <v>11</v>
      </c>
      <c r="E6" s="19">
        <f>E4-E5</f>
        <v>793</v>
      </c>
    </row>
    <row r="7" spans="2:10" x14ac:dyDescent="0.3">
      <c r="B7" s="21">
        <v>45028</v>
      </c>
      <c r="C7" s="21">
        <v>45382</v>
      </c>
      <c r="D7" s="62">
        <f t="shared" ref="D7" si="1">+C7-B7</f>
        <v>354</v>
      </c>
      <c r="E7" s="62">
        <f>ROUND(D7*E6/D6,0)</f>
        <v>25520</v>
      </c>
    </row>
    <row r="8" spans="2:10" x14ac:dyDescent="0.3">
      <c r="B8" s="63">
        <v>45017</v>
      </c>
      <c r="C8" s="63">
        <v>45382</v>
      </c>
      <c r="D8" s="64">
        <f>SUM(D6:D7)</f>
        <v>365</v>
      </c>
      <c r="E8" s="64">
        <f>SUM(E6:E7)</f>
        <v>26313</v>
      </c>
      <c r="G8" s="67"/>
      <c r="H8" s="67"/>
    </row>
    <row r="9" spans="2:10" x14ac:dyDescent="0.3">
      <c r="B9" s="63"/>
      <c r="C9" s="63"/>
      <c r="D9" s="64"/>
      <c r="E9" s="64"/>
    </row>
    <row r="10" spans="2:10" x14ac:dyDescent="0.3">
      <c r="B10" s="21">
        <v>46035</v>
      </c>
      <c r="C10" s="21">
        <v>46112</v>
      </c>
      <c r="D10" s="95">
        <f>+C10-B10</f>
        <v>77</v>
      </c>
      <c r="E10" s="96">
        <f>ROUND((G10/H10)*D10,0)</f>
        <v>5463</v>
      </c>
      <c r="F10" s="97" t="s">
        <v>215</v>
      </c>
      <c r="G10">
        <v>6527</v>
      </c>
      <c r="H10">
        <v>92</v>
      </c>
      <c r="I10" t="s">
        <v>160</v>
      </c>
      <c r="J10" t="s">
        <v>216</v>
      </c>
    </row>
    <row r="11" spans="2:10" x14ac:dyDescent="0.3">
      <c r="B11" s="21"/>
      <c r="C11" s="21"/>
      <c r="D11" s="95"/>
      <c r="E11" s="95"/>
    </row>
    <row r="13" spans="2:10" x14ac:dyDescent="0.3">
      <c r="B13" s="63" t="s">
        <v>165</v>
      </c>
      <c r="C13" s="21"/>
      <c r="D13" s="95"/>
      <c r="E13" s="95"/>
    </row>
    <row r="14" spans="2:10" x14ac:dyDescent="0.3">
      <c r="B14" s="21">
        <v>45901</v>
      </c>
      <c r="C14" s="21">
        <v>46265</v>
      </c>
      <c r="D14" s="74">
        <v>12</v>
      </c>
      <c r="E14" s="95">
        <v>15930</v>
      </c>
    </row>
    <row r="15" spans="2:10" x14ac:dyDescent="0.3">
      <c r="B15" s="21">
        <v>46113</v>
      </c>
      <c r="C15" s="21">
        <f>C14</f>
        <v>46265</v>
      </c>
      <c r="D15" s="74">
        <v>5</v>
      </c>
      <c r="E15" s="64">
        <f>ROUND((E14*D15)/D14,0)</f>
        <v>6638</v>
      </c>
      <c r="F15" s="103" t="s">
        <v>166</v>
      </c>
    </row>
    <row r="16" spans="2:10" x14ac:dyDescent="0.3">
      <c r="B16" s="21"/>
      <c r="C16" s="21"/>
      <c r="D16" s="74"/>
      <c r="E16" s="64">
        <f>E14-E15</f>
        <v>9292</v>
      </c>
      <c r="F16" s="103" t="s">
        <v>167</v>
      </c>
    </row>
    <row r="18" spans="2:16" x14ac:dyDescent="0.3">
      <c r="B18" s="72" t="s">
        <v>33</v>
      </c>
      <c r="C18" s="73"/>
      <c r="D18" s="74"/>
      <c r="E18" s="75"/>
    </row>
    <row r="19" spans="2:16" x14ac:dyDescent="0.3">
      <c r="B19" s="76">
        <v>45744</v>
      </c>
      <c r="C19" s="76">
        <v>46108</v>
      </c>
      <c r="D19" s="74">
        <f>C19-B19+1</f>
        <v>365</v>
      </c>
      <c r="E19" s="107">
        <v>7800</v>
      </c>
      <c r="F19" s="24"/>
    </row>
    <row r="20" spans="2:16" x14ac:dyDescent="0.3">
      <c r="B20" s="106">
        <v>45748</v>
      </c>
      <c r="C20" s="76">
        <v>46108</v>
      </c>
      <c r="D20" s="74">
        <f>C20-B20+1</f>
        <v>361</v>
      </c>
      <c r="E20" s="108">
        <f>ROUND((E19*D20)/D19,0)</f>
        <v>7715</v>
      </c>
      <c r="F20" s="105" t="s">
        <v>166</v>
      </c>
    </row>
    <row r="21" spans="2:16" x14ac:dyDescent="0.3">
      <c r="B21" s="76"/>
      <c r="C21" s="76"/>
      <c r="D21" s="74"/>
      <c r="E21" s="77"/>
      <c r="F21" s="24"/>
    </row>
    <row r="22" spans="2:16" x14ac:dyDescent="0.3">
      <c r="E22" s="23"/>
      <c r="F22" s="24"/>
    </row>
    <row r="23" spans="2:16" x14ac:dyDescent="0.3">
      <c r="B23" s="20" t="s">
        <v>34</v>
      </c>
      <c r="F23" s="24"/>
    </row>
    <row r="24" spans="2:16" x14ac:dyDescent="0.3">
      <c r="B24" s="21">
        <v>45817</v>
      </c>
      <c r="C24" s="21">
        <v>46181</v>
      </c>
      <c r="D24" s="19">
        <f>+C24-B24+1</f>
        <v>365</v>
      </c>
      <c r="E24" s="18">
        <v>19500</v>
      </c>
      <c r="F24" s="24"/>
    </row>
    <row r="25" spans="2:16" x14ac:dyDescent="0.3">
      <c r="B25" s="21">
        <v>46113</v>
      </c>
      <c r="C25" s="21">
        <f>C24</f>
        <v>46181</v>
      </c>
      <c r="D25" s="19">
        <f>+C25-B25+1</f>
        <v>69</v>
      </c>
      <c r="E25" s="104">
        <f>ROUND(E24*D25/D24,0)</f>
        <v>3686</v>
      </c>
      <c r="F25" s="105" t="s">
        <v>166</v>
      </c>
    </row>
    <row r="26" spans="2:16" x14ac:dyDescent="0.3">
      <c r="E26" s="23"/>
      <c r="F26" s="24"/>
      <c r="K26" s="26"/>
    </row>
    <row r="27" spans="2:16" x14ac:dyDescent="0.3">
      <c r="E27" s="23"/>
      <c r="F27" s="24"/>
      <c r="G27" s="172"/>
      <c r="H27" s="172"/>
      <c r="I27" s="172"/>
      <c r="J27" s="172"/>
      <c r="K27" s="173"/>
      <c r="L27" s="172"/>
      <c r="M27" s="172"/>
      <c r="N27" s="172"/>
      <c r="O27" s="172"/>
      <c r="P27" s="172"/>
    </row>
    <row r="28" spans="2:16" x14ac:dyDescent="0.3">
      <c r="E28" s="23"/>
      <c r="F28" s="24"/>
      <c r="G28" s="172"/>
      <c r="H28" s="172"/>
      <c r="I28" s="172"/>
      <c r="J28" s="172"/>
      <c r="K28" s="173"/>
      <c r="L28" s="172"/>
      <c r="M28" s="172"/>
      <c r="N28" s="172"/>
      <c r="O28" s="172"/>
      <c r="P28" s="172"/>
    </row>
    <row r="29" spans="2:16" x14ac:dyDescent="0.3">
      <c r="G29" s="172"/>
      <c r="H29" s="172"/>
      <c r="I29" s="172"/>
      <c r="J29" s="172"/>
      <c r="K29" s="173"/>
      <c r="L29" s="172"/>
      <c r="M29" s="172"/>
      <c r="N29" s="172"/>
      <c r="O29" s="172"/>
      <c r="P29" s="172"/>
    </row>
    <row r="30" spans="2:16" x14ac:dyDescent="0.3">
      <c r="G30" s="172"/>
      <c r="H30" s="172"/>
      <c r="I30" s="172"/>
      <c r="J30" s="172"/>
      <c r="K30" s="173"/>
      <c r="L30" s="172"/>
      <c r="M30" s="172"/>
      <c r="N30" s="172"/>
      <c r="O30" s="172"/>
      <c r="P30" s="172"/>
    </row>
    <row r="31" spans="2:16" x14ac:dyDescent="0.3">
      <c r="E31"/>
      <c r="G31" s="172"/>
      <c r="H31" s="172"/>
      <c r="I31" s="172"/>
      <c r="J31" s="172"/>
      <c r="K31" s="173"/>
      <c r="L31" s="172"/>
      <c r="M31" s="172"/>
      <c r="N31" s="172"/>
      <c r="O31" s="174"/>
      <c r="P31" s="172"/>
    </row>
    <row r="32" spans="2:16" x14ac:dyDescent="0.3">
      <c r="E32" s="19"/>
      <c r="G32" s="172"/>
      <c r="H32" s="172"/>
      <c r="I32" s="172"/>
      <c r="J32" s="172"/>
      <c r="K32" s="173"/>
      <c r="L32" s="172"/>
      <c r="M32" s="172"/>
      <c r="N32" s="172"/>
      <c r="O32" s="172"/>
      <c r="P32" s="172"/>
    </row>
    <row r="33" spans="5:16" x14ac:dyDescent="0.3">
      <c r="E33" s="19"/>
      <c r="G33" s="172"/>
      <c r="H33" s="172"/>
      <c r="I33" s="172"/>
      <c r="J33" s="172"/>
      <c r="K33" s="172"/>
      <c r="L33" s="172"/>
      <c r="M33" s="172"/>
      <c r="N33" s="172"/>
      <c r="O33" s="172"/>
      <c r="P33" s="172"/>
    </row>
    <row r="34" spans="5:16" x14ac:dyDescent="0.3">
      <c r="E34" s="19"/>
      <c r="G34" s="172"/>
      <c r="H34" s="172"/>
      <c r="I34" s="172"/>
      <c r="J34" s="172"/>
      <c r="K34" s="172"/>
      <c r="L34" s="172"/>
      <c r="M34" s="172"/>
      <c r="N34" s="172"/>
      <c r="O34" s="172"/>
      <c r="P34" s="172"/>
    </row>
    <row r="35" spans="5:16" x14ac:dyDescent="0.3">
      <c r="E35" s="19"/>
      <c r="G35" s="172"/>
      <c r="H35" s="172"/>
      <c r="I35" s="172"/>
      <c r="J35" s="172"/>
      <c r="K35" s="172"/>
      <c r="L35" s="172"/>
      <c r="M35" s="172"/>
      <c r="N35" s="172"/>
      <c r="O35" s="172"/>
      <c r="P35" s="172"/>
    </row>
    <row r="36" spans="5:16" x14ac:dyDescent="0.3">
      <c r="E36" s="19"/>
      <c r="G36" s="172"/>
      <c r="H36" s="172"/>
      <c r="I36" s="172"/>
      <c r="J36" s="172"/>
      <c r="K36" s="172"/>
      <c r="L36" s="172"/>
      <c r="M36" s="172"/>
      <c r="N36" s="172"/>
      <c r="O36" s="172"/>
      <c r="P36" s="172"/>
    </row>
    <row r="37" spans="5:16" x14ac:dyDescent="0.3">
      <c r="E37" s="19"/>
      <c r="G37" s="172"/>
      <c r="H37" s="172"/>
      <c r="I37" s="172"/>
      <c r="J37" s="172"/>
      <c r="K37" s="172"/>
      <c r="L37" s="172"/>
      <c r="M37" s="172"/>
      <c r="N37" s="172"/>
      <c r="O37" s="172"/>
      <c r="P37" s="172"/>
    </row>
    <row r="38" spans="5:16" x14ac:dyDescent="0.3">
      <c r="E38" s="19"/>
      <c r="G38" s="172"/>
      <c r="H38" s="172"/>
      <c r="I38" s="172"/>
      <c r="J38" s="172"/>
      <c r="K38" s="172"/>
      <c r="L38" s="172"/>
      <c r="M38" s="172"/>
      <c r="N38" s="172"/>
      <c r="O38" s="172"/>
      <c r="P38" s="172"/>
    </row>
    <row r="39" spans="5:16" x14ac:dyDescent="0.3">
      <c r="E39" s="19"/>
      <c r="G39" s="172"/>
      <c r="H39" s="172"/>
      <c r="I39" s="172"/>
      <c r="J39" s="172"/>
      <c r="K39" s="172"/>
      <c r="L39" s="172"/>
      <c r="M39" s="172"/>
      <c r="N39" s="172"/>
      <c r="O39" s="172"/>
      <c r="P39" s="172"/>
    </row>
    <row r="40" spans="5:16" x14ac:dyDescent="0.3">
      <c r="E40" s="19"/>
      <c r="G40" s="172"/>
      <c r="H40" s="174"/>
      <c r="I40" s="172"/>
      <c r="J40" s="172"/>
      <c r="K40" s="172"/>
      <c r="L40" s="172"/>
      <c r="M40" s="172"/>
      <c r="N40" s="172"/>
      <c r="O40" s="172"/>
      <c r="P40" s="172"/>
    </row>
    <row r="41" spans="5:16" x14ac:dyDescent="0.3">
      <c r="E41" s="19"/>
      <c r="G41" s="172"/>
      <c r="H41" s="172"/>
      <c r="I41" s="172"/>
      <c r="J41" s="172"/>
      <c r="K41" s="172"/>
      <c r="L41" s="172"/>
      <c r="M41" s="172"/>
      <c r="N41" s="172"/>
      <c r="O41" s="172"/>
      <c r="P41" s="172"/>
    </row>
    <row r="42" spans="5:16" x14ac:dyDescent="0.3">
      <c r="E42" s="19"/>
      <c r="G42" s="172"/>
      <c r="H42" s="172"/>
      <c r="I42" s="172"/>
      <c r="J42" s="172"/>
      <c r="K42" s="172"/>
      <c r="L42" s="172"/>
      <c r="M42" s="172"/>
      <c r="N42" s="172"/>
      <c r="O42" s="172"/>
      <c r="P42" s="172"/>
    </row>
    <row r="43" spans="5:16" x14ac:dyDescent="0.3">
      <c r="E43" s="19"/>
      <c r="G43" s="172"/>
      <c r="H43" s="175"/>
      <c r="I43" s="172"/>
      <c r="J43" s="172"/>
      <c r="K43" s="172"/>
      <c r="L43" s="172"/>
      <c r="M43" s="172"/>
      <c r="N43" s="172"/>
      <c r="O43" s="172"/>
      <c r="P43" s="172"/>
    </row>
    <row r="44" spans="5:16" x14ac:dyDescent="0.3">
      <c r="E44" s="19"/>
      <c r="G44" s="172"/>
      <c r="H44" s="175"/>
      <c r="I44" s="172"/>
      <c r="J44" s="172"/>
      <c r="K44" s="172"/>
      <c r="L44" s="172"/>
      <c r="M44" s="172"/>
      <c r="N44" s="172"/>
      <c r="O44" s="172"/>
      <c r="P44" s="172"/>
    </row>
    <row r="45" spans="5:16" x14ac:dyDescent="0.3">
      <c r="E45" s="19"/>
      <c r="G45" s="172"/>
      <c r="H45" s="175"/>
      <c r="I45" s="172"/>
      <c r="J45" s="172"/>
      <c r="K45" s="172"/>
      <c r="L45" s="172"/>
      <c r="M45" s="172"/>
      <c r="N45" s="172"/>
      <c r="O45" s="172"/>
      <c r="P45" s="172"/>
    </row>
    <row r="46" spans="5:16" x14ac:dyDescent="0.3">
      <c r="E46" s="19"/>
    </row>
    <row r="47" spans="5:16" x14ac:dyDescent="0.3">
      <c r="E47" s="1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BS</vt:lpstr>
      <vt:lpstr>IE</vt:lpstr>
      <vt:lpstr>FD-Sch</vt:lpstr>
      <vt:lpstr>Members</vt:lpstr>
      <vt:lpstr>Vendors</vt:lpstr>
      <vt:lpstr>BRS</vt:lpstr>
      <vt:lpstr>Workings</vt:lpstr>
      <vt:lpstr>BS!Print_Area</vt:lpstr>
      <vt:lpstr>'FD-Sch'!Print_Area</vt:lpstr>
      <vt:lpstr>IE!Print_Area</vt:lpstr>
      <vt:lpstr>Members!Print_Area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Kharat</cp:lastModifiedBy>
  <cp:lastPrinted>2024-07-24T04:39:20Z</cp:lastPrinted>
  <dcterms:created xsi:type="dcterms:W3CDTF">2015-06-05T18:17:20Z</dcterms:created>
  <dcterms:modified xsi:type="dcterms:W3CDTF">2026-08-19T10:45:36Z</dcterms:modified>
</cp:coreProperties>
</file>