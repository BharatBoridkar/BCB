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BHARAT\2025-2026\BCB\AMS\017-DaveDoll-CHS\"/>
    </mc:Choice>
  </mc:AlternateContent>
  <xr:revisionPtr revIDLastSave="0" documentId="13_ncr:1_{A9737655-B0BE-4E38-890B-54D7342490A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S" sheetId="1" r:id="rId1"/>
    <sheet name="IE" sheetId="2" r:id="rId2"/>
    <sheet name="FD-Sch" sheetId="3" r:id="rId3"/>
    <sheet name="Members" sheetId="9" r:id="rId4"/>
    <sheet name="Vendors" sheetId="6" r:id="rId5"/>
    <sheet name="BRS" sheetId="7" r:id="rId6"/>
    <sheet name="Workings" sheetId="8" r:id="rId7"/>
  </sheets>
  <definedNames>
    <definedName name="_xlnm.Print_Area" localSheetId="0">BS!$A$1:$H$61</definedName>
    <definedName name="_xlnm.Print_Area" localSheetId="2">'FD-Sch'!$A$1:$L$18</definedName>
    <definedName name="_xlnm.Print_Area" localSheetId="1">IE!$A$1:$H$63</definedName>
    <definedName name="_xlnm.Print_Area" localSheetId="3">Members!$A$1:$F$30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3" l="1"/>
  <c r="E29" i="9"/>
  <c r="C29" i="9"/>
  <c r="E10" i="8" l="1"/>
  <c r="D10" i="8"/>
  <c r="D27" i="2"/>
  <c r="C32" i="1"/>
  <c r="C24" i="1"/>
  <c r="H17" i="3"/>
  <c r="K17" i="3"/>
  <c r="D20" i="7"/>
  <c r="I16" i="3"/>
  <c r="F17" i="3"/>
  <c r="E17" i="3"/>
  <c r="C15" i="8"/>
  <c r="G33" i="1"/>
  <c r="C42" i="1"/>
  <c r="A17" i="1"/>
  <c r="C36" i="1"/>
  <c r="A22" i="1"/>
  <c r="I8" i="3"/>
  <c r="I11" i="3"/>
  <c r="I12" i="3"/>
  <c r="I13" i="3"/>
  <c r="I14" i="3"/>
  <c r="I15" i="3"/>
  <c r="I7" i="3"/>
  <c r="C22" i="1"/>
  <c r="G26" i="1"/>
  <c r="G29" i="1"/>
  <c r="C15" i="1" l="1"/>
  <c r="D44" i="2"/>
  <c r="G8" i="2"/>
  <c r="G15" i="2"/>
  <c r="G14" i="2"/>
  <c r="A6" i="2"/>
  <c r="D13" i="7"/>
  <c r="D6" i="7"/>
  <c r="D28" i="7"/>
  <c r="D43" i="1"/>
  <c r="D51" i="1" l="1"/>
  <c r="D14" i="6"/>
  <c r="B14" i="6"/>
  <c r="A46" i="1" s="1"/>
  <c r="A52" i="1" s="1"/>
  <c r="D37" i="1"/>
  <c r="C28" i="1" l="1"/>
  <c r="D30" i="1" s="1"/>
  <c r="D26" i="1"/>
  <c r="E12" i="9"/>
  <c r="D48" i="1" s="1"/>
  <c r="D49" i="2"/>
  <c r="D20" i="8" l="1"/>
  <c r="E20" i="8" s="1"/>
  <c r="D19" i="8"/>
  <c r="H26" i="2"/>
  <c r="H19" i="2"/>
  <c r="E15" i="8" l="1"/>
  <c r="E16" i="8" s="1"/>
  <c r="G16" i="1"/>
  <c r="G9" i="3"/>
  <c r="G17" i="3" s="1"/>
  <c r="I9" i="3" l="1"/>
  <c r="I17" i="3" s="1"/>
  <c r="H37" i="1" l="1"/>
  <c r="E6" i="9"/>
  <c r="H20" i="1" s="1"/>
  <c r="D7" i="8"/>
  <c r="D6" i="2"/>
  <c r="H6" i="2" s="1"/>
  <c r="E6" i="2"/>
  <c r="H6" i="1"/>
  <c r="E6" i="1"/>
  <c r="H5" i="1"/>
  <c r="A2" i="1"/>
  <c r="C39" i="1"/>
  <c r="C20" i="1"/>
  <c r="C25" i="8"/>
  <c r="H33" i="1" l="1"/>
  <c r="D40" i="1"/>
  <c r="H12" i="1"/>
  <c r="A3" i="2"/>
  <c r="H26" i="1"/>
  <c r="H29" i="1"/>
  <c r="D34" i="1"/>
  <c r="B5" i="8"/>
  <c r="D5" i="8" s="1"/>
  <c r="D4" i="8"/>
  <c r="A1" i="3"/>
  <c r="H17" i="1" l="1"/>
  <c r="D6" i="8"/>
  <c r="D8" i="8" s="1"/>
  <c r="E6" i="8"/>
  <c r="E7" i="8" l="1"/>
  <c r="A1" i="2"/>
  <c r="D22" i="1"/>
  <c r="D25" i="8"/>
  <c r="D24" i="8"/>
  <c r="D18" i="2"/>
  <c r="E54" i="2"/>
  <c r="A53" i="2" s="1"/>
  <c r="E46" i="1" s="1"/>
  <c r="G45" i="1" s="1"/>
  <c r="C46" i="1" l="1"/>
  <c r="D46" i="1" s="1"/>
  <c r="E8" i="8"/>
  <c r="D15" i="2" s="1"/>
  <c r="E25" i="8"/>
  <c r="H42" i="1" l="1"/>
  <c r="D33" i="2"/>
  <c r="E52" i="1" l="1"/>
  <c r="J61" i="1" l="1"/>
  <c r="I58" i="1"/>
  <c r="A54" i="2"/>
  <c r="A69" i="2" l="1"/>
  <c r="J67" i="2"/>
  <c r="I64" i="2"/>
  <c r="H54" i="2"/>
  <c r="D53" i="2" l="1"/>
  <c r="G46" i="1" s="1"/>
  <c r="C17" i="1"/>
  <c r="H50" i="1" l="1"/>
  <c r="H52" i="1" s="1"/>
  <c r="D54" i="2"/>
  <c r="D18" i="1"/>
  <c r="J58" i="2" l="1"/>
  <c r="J64" i="2"/>
  <c r="I67" i="2"/>
  <c r="D52" i="1"/>
  <c r="I61" i="1" l="1"/>
  <c r="J58" i="1"/>
</calcChain>
</file>

<file path=xl/sharedStrings.xml><?xml version="1.0" encoding="utf-8"?>
<sst xmlns="http://schemas.openxmlformats.org/spreadsheetml/2006/main" count="301" uniqueCount="216">
  <si>
    <t>LIABILITIES</t>
  </si>
  <si>
    <t>ASSETS</t>
  </si>
  <si>
    <t>Note: Workings Page is not the be printed</t>
  </si>
  <si>
    <t>Investments:</t>
  </si>
  <si>
    <t>Reserves and Surplus:</t>
  </si>
  <si>
    <t>Sinking Fund</t>
  </si>
  <si>
    <t>Certificate No.</t>
  </si>
  <si>
    <t>Date of Issue</t>
  </si>
  <si>
    <t>Amount Deposited</t>
  </si>
  <si>
    <t>Bank</t>
  </si>
  <si>
    <t>Grant Total</t>
  </si>
  <si>
    <t>Maturity Date</t>
  </si>
  <si>
    <t>Authorised Share Capital</t>
  </si>
  <si>
    <t>Maturity Value</t>
  </si>
  <si>
    <t>Maintenance Charges</t>
  </si>
  <si>
    <t>Non Occupancy Charges</t>
  </si>
  <si>
    <t>Parking Charges</t>
  </si>
  <si>
    <t>Insurance Charges</t>
  </si>
  <si>
    <t>Late Payment Interest</t>
  </si>
  <si>
    <t>Total</t>
  </si>
  <si>
    <t>Interest on Savings Deposit</t>
  </si>
  <si>
    <t>Interest on Fixed Deposits</t>
  </si>
  <si>
    <t>Less: Transferred to Sinking Fund</t>
  </si>
  <si>
    <t>25% Transferred to Reserve Fund</t>
  </si>
  <si>
    <t>Electricity Charges</t>
  </si>
  <si>
    <t>Common Area Electricity Charges</t>
  </si>
  <si>
    <t>Water Expenses</t>
  </si>
  <si>
    <t>Water Charges:</t>
  </si>
  <si>
    <t xml:space="preserve">PNH5140001 </t>
  </si>
  <si>
    <t>Salary Expenses</t>
  </si>
  <si>
    <t>Bonus</t>
  </si>
  <si>
    <t>Other Repair Maintenance</t>
  </si>
  <si>
    <t>Pest Control Expenses</t>
  </si>
  <si>
    <t>Insurance Expenses</t>
  </si>
  <si>
    <t>Insurance Expense</t>
  </si>
  <si>
    <t>Subscription Federation</t>
  </si>
  <si>
    <t>Audit Fees</t>
  </si>
  <si>
    <t>Professional Fees</t>
  </si>
  <si>
    <t>Accounting Charges</t>
  </si>
  <si>
    <t>Printing and Stationery</t>
  </si>
  <si>
    <t>Bank Charges</t>
  </si>
  <si>
    <t>As per last balance sheet</t>
  </si>
  <si>
    <t>Add: 25% of Surplus transferred</t>
  </si>
  <si>
    <t>Add: Interest earned during the year</t>
  </si>
  <si>
    <t>Add: Additions during the year</t>
  </si>
  <si>
    <t xml:space="preserve">Total </t>
  </si>
  <si>
    <t>Current Liabilities and Provisions:</t>
  </si>
  <si>
    <t>Income and Expenditure Account:</t>
  </si>
  <si>
    <t>Cash in Hand</t>
  </si>
  <si>
    <t>Fixed Assets:</t>
  </si>
  <si>
    <t>Other Current Assets:</t>
  </si>
  <si>
    <t>Prepaid Expenses:</t>
  </si>
  <si>
    <t>EXPENDITURE</t>
  </si>
  <si>
    <t>INCOME</t>
  </si>
  <si>
    <t>Sr.</t>
  </si>
  <si>
    <t>DAVE DOLL CO-OPERATIVE HOUSING SOCIETY LTD</t>
  </si>
  <si>
    <t>SCB</t>
  </si>
  <si>
    <t>Municipal Tax</t>
  </si>
  <si>
    <t>Water Charges</t>
  </si>
  <si>
    <t>Water Tank Cleaning Charges</t>
  </si>
  <si>
    <t>Lift Maintenance</t>
  </si>
  <si>
    <t>Electrical Repair</t>
  </si>
  <si>
    <t>Meeting Expenses</t>
  </si>
  <si>
    <t>Less: Expenses incurred during the year</t>
  </si>
  <si>
    <t>Citizen Credit Co-op Bank</t>
  </si>
  <si>
    <t>MDCC Bank</t>
  </si>
  <si>
    <t>Citizen Credit Co-op Bank (Repair Fund)</t>
  </si>
  <si>
    <t>Less: Depreciation @ 10%</t>
  </si>
  <si>
    <t>Vendor Name</t>
  </si>
  <si>
    <t>Adani Electricity</t>
  </si>
  <si>
    <t>BMC - Water Expenses</t>
  </si>
  <si>
    <t>Pumpman</t>
  </si>
  <si>
    <t>Sweeper</t>
  </si>
  <si>
    <t>US Elevators</t>
  </si>
  <si>
    <t>Less: Depreciation @ 15%</t>
  </si>
  <si>
    <t>Deposit with Adani Electricity</t>
  </si>
  <si>
    <t>Advance Payment to Vendors</t>
  </si>
  <si>
    <t>Prepaid Insurance</t>
  </si>
  <si>
    <t>Prepaid Pest Control</t>
  </si>
  <si>
    <t>Less: Excess of Income over Expenditure</t>
  </si>
  <si>
    <t>D'Monte Lane, C.S.T. No. 520/521/522, Orlem, Malad(West), Mumbai, Maharashtra - 400064</t>
  </si>
  <si>
    <t>Postage and Courier</t>
  </si>
  <si>
    <t>Conveyance Expense</t>
  </si>
  <si>
    <t>Misc. Expenses</t>
  </si>
  <si>
    <t>Total Amt Invested</t>
  </si>
  <si>
    <t>22.06.2024</t>
  </si>
  <si>
    <t>14.06.2024</t>
  </si>
  <si>
    <t>ROI</t>
  </si>
  <si>
    <t>22.06.2025</t>
  </si>
  <si>
    <t>28.06.2025</t>
  </si>
  <si>
    <t>07.03.2026</t>
  </si>
  <si>
    <t>SCHEDULE - A</t>
  </si>
  <si>
    <t>(Amt. in Rs.)</t>
  </si>
  <si>
    <t>To Excess of Income over Expenditure:</t>
  </si>
  <si>
    <t>To Office Charges:</t>
  </si>
  <si>
    <t>By Maintenance Income:</t>
  </si>
  <si>
    <t>By Interest Income:</t>
  </si>
  <si>
    <t>To Repair and Maintenance:</t>
  </si>
  <si>
    <t>To Service Charges:</t>
  </si>
  <si>
    <t>To Electricity Charges:</t>
  </si>
  <si>
    <t>To Water Expenses:</t>
  </si>
  <si>
    <t>To Salary Expenses:</t>
  </si>
  <si>
    <t>Excess of Income over Expenditure</t>
  </si>
  <si>
    <t>( 2000 Share of ₹ 50/- each )</t>
  </si>
  <si>
    <t>Bal as per last balance sheet</t>
  </si>
  <si>
    <t>(i) Furniture and Fixture</t>
  </si>
  <si>
    <t>(ii) Water Pump</t>
  </si>
  <si>
    <t>(i) General Reserve Fund</t>
  </si>
  <si>
    <t>(ii) Sinking Fund</t>
  </si>
  <si>
    <t>(iii) Repair Fund</t>
  </si>
  <si>
    <t>(iv) Lift Repair Fund</t>
  </si>
  <si>
    <t>(v) Major Repair Fund</t>
  </si>
  <si>
    <t>(vi) Conveyance Fund</t>
  </si>
  <si>
    <t>(vii) Education and Training Fund</t>
  </si>
  <si>
    <t>Cash and Bank Balances:</t>
  </si>
  <si>
    <t>DAVE DOLL CO-OPERATIVE HOUSING SOCIETY LTD.</t>
  </si>
  <si>
    <t>Depreciation on Fixed Assets</t>
  </si>
  <si>
    <t>Income Tax Expenses</t>
  </si>
  <si>
    <t>Water Tanker Expenses</t>
  </si>
  <si>
    <t>Plumbing Repairs</t>
  </si>
  <si>
    <t>Accrued Int for FY 23-24</t>
  </si>
  <si>
    <t>TD1001139004</t>
  </si>
  <si>
    <t>Sr. No.</t>
  </si>
  <si>
    <t>Member's Receivables - Schedule B</t>
  </si>
  <si>
    <t>Particulars</t>
  </si>
  <si>
    <t>Amount</t>
  </si>
  <si>
    <t>Balance as per System (Book Balance)</t>
  </si>
  <si>
    <t>Balance as per Bank Passbook</t>
  </si>
  <si>
    <t>DAVE DOLL CO-OPERATIVE HOUSING SOCIETY LIMITED</t>
  </si>
  <si>
    <t>(iii) CCTV</t>
  </si>
  <si>
    <t>(viii) Building Repair Fund</t>
  </si>
  <si>
    <t>Outstanding Expenses - Schedule D</t>
  </si>
  <si>
    <t>Advance from Members - Schedule C</t>
  </si>
  <si>
    <t>( 180 Shares of ₹ 50/- each )</t>
  </si>
  <si>
    <t>Issues, Subscribed and Paid Up Share Capital</t>
  </si>
  <si>
    <t>Retention Amounts:</t>
  </si>
  <si>
    <t xml:space="preserve">13 Shares of MDCC Bank of @ Rs.1000/- </t>
  </si>
  <si>
    <t>(Regd. No. : BOM / WP / HSG / TC / 9214 / 1995-96)</t>
  </si>
  <si>
    <t>Flat No.</t>
  </si>
  <si>
    <t>Name of the Member</t>
  </si>
  <si>
    <t>Accrued Interest on Fixed Deposits</t>
  </si>
  <si>
    <t>Fixed Deposits - Schedule A</t>
  </si>
  <si>
    <t>Saraswat Co-op. Bank</t>
  </si>
  <si>
    <t>Sundry Debtors :</t>
  </si>
  <si>
    <t>FY 2024-25</t>
  </si>
  <si>
    <t>TD1001586949</t>
  </si>
  <si>
    <t>22.03.2024</t>
  </si>
  <si>
    <t>29.03.2025</t>
  </si>
  <si>
    <t>Accrued Int for FY 24-25</t>
  </si>
  <si>
    <t>TD0000405491_02</t>
  </si>
  <si>
    <t>TD1000040719_01</t>
  </si>
  <si>
    <t>TD1000053155_01</t>
  </si>
  <si>
    <t>Mr. Ralph D'Souza</t>
  </si>
  <si>
    <t>days</t>
  </si>
  <si>
    <t>29.07.2026</t>
  </si>
  <si>
    <t>14.07.2026</t>
  </si>
  <si>
    <t>22.06.2027</t>
  </si>
  <si>
    <t>06.07.2027</t>
  </si>
  <si>
    <t>Lift AMC</t>
  </si>
  <si>
    <t>Prepaid</t>
  </si>
  <si>
    <t>Trfd to Lift Repair Fund</t>
  </si>
  <si>
    <t>Major Repair</t>
  </si>
  <si>
    <t>Lift Repair Fund</t>
  </si>
  <si>
    <t>Repair Fund</t>
  </si>
  <si>
    <t>Appropriation Account</t>
  </si>
  <si>
    <t>Less: Trfd to Lift Repair Fund</t>
  </si>
  <si>
    <t>Office Expenses</t>
  </si>
  <si>
    <t>Prepaid Lift Maintenance</t>
  </si>
  <si>
    <t>Less: Major Repair Expenses</t>
  </si>
  <si>
    <t>Less: PY expenses taken to IE now adj</t>
  </si>
  <si>
    <t>AGM Constructions</t>
  </si>
  <si>
    <t>Less: PY Conveyance Exps now rectified</t>
  </si>
  <si>
    <t>Less: Amt not payable to Raj Varma</t>
  </si>
  <si>
    <t>Retention - AGM Constructions</t>
  </si>
  <si>
    <t>Less: Excess Income Tax provision w/back</t>
  </si>
  <si>
    <t>Less: PY Lift AMC wrongly provided</t>
  </si>
  <si>
    <t>Income and Expenditure Account for the year ended March 31, 2026</t>
  </si>
  <si>
    <t>Balance Sheet as at March 31, 2026</t>
  </si>
  <si>
    <t>Election Expenses</t>
  </si>
  <si>
    <t>Accrued Int for FY 25-26</t>
  </si>
  <si>
    <t>TD0000405492_03</t>
  </si>
  <si>
    <t>TD0000405493_02</t>
  </si>
  <si>
    <t>07.07.2025</t>
  </si>
  <si>
    <t>06.07.2025</t>
  </si>
  <si>
    <t>TD1000376662_02</t>
  </si>
  <si>
    <t>TD1000692312_02</t>
  </si>
  <si>
    <t>Schedule B: Member's Receivable as on 31 March 2026</t>
  </si>
  <si>
    <t>Schedule C: Member's Advances as on 31 March 2026</t>
  </si>
  <si>
    <t>Schedule D: Vendor's Payable as on March 31, 2026</t>
  </si>
  <si>
    <t>FY 2025-26</t>
  </si>
  <si>
    <t>Water chargegse</t>
  </si>
  <si>
    <t>Electricity</t>
  </si>
  <si>
    <t>CCB</t>
  </si>
  <si>
    <t>101043021006026 CCB SF</t>
  </si>
  <si>
    <t>30.03.2026</t>
  </si>
  <si>
    <t>Less: trf to Major Repairs</t>
  </si>
  <si>
    <t>Citizen Credit Co-op Bank Reconciliation Statement as of March 31, 2026</t>
  </si>
  <si>
    <t>Mumbai District Co-op Bank Reconciliation Statement as of March 31, 2026</t>
  </si>
  <si>
    <t>Saraswat Bank Reconciliation Statement as of March 31, 2026</t>
  </si>
  <si>
    <t>Citizen Credit  Repair Fund Reconciliation Statement as of March 31, 2026</t>
  </si>
  <si>
    <t>07.03.2029</t>
  </si>
  <si>
    <t>27.09.2026</t>
  </si>
  <si>
    <t>07.07.2027</t>
  </si>
  <si>
    <t>22.06.2028</t>
  </si>
  <si>
    <t>28.07.2026</t>
  </si>
  <si>
    <t>Details of Fixed Deposits as at March 31, 2026</t>
  </si>
  <si>
    <t>Provision for FY 25-26</t>
  </si>
  <si>
    <t>bill received from 13.10.25 to 13.01.26</t>
  </si>
  <si>
    <t>As per my report of even date</t>
  </si>
  <si>
    <t>Shri. Bharat C. Boridkar</t>
  </si>
  <si>
    <t>Govt. Certified Panel Auditor</t>
  </si>
  <si>
    <t>[Panel No.: Mumbai-4/C1/1011404]</t>
  </si>
  <si>
    <t xml:space="preserve"> ( SECRETARY                                CHAIRMAN                              TREASURER )</t>
  </si>
  <si>
    <t>FOR DAVE DOLL CO-OPERATIVE HOUSING SOCIETY LTD</t>
  </si>
  <si>
    <t>Property Tax</t>
  </si>
  <si>
    <t>To Property Tax: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</si>
</sst>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_ * #,##0.0000_ ;_ * \-#,##0.0000_ ;_ * &quot;-&quot;??_ ;_ @_ "/>
    <numFmt numFmtId="166" formatCode="[$-409]mmmm\ d\,\ yyyy;@"/>
    <numFmt numFmtId="167" formatCode="&quot;Mumbai: &quot;dd&quot;th&quot;\ mmmm\,\ yyyy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2" fillId="0" borderId="0"/>
  </cellStyleXfs>
  <cellXfs count="223">
    <xf numFmtId="0" fontId="0" fillId="0" borderId="0" xfId="0"/>
    <xf numFmtId="43" fontId="0" fillId="0" borderId="0" xfId="1" applyFont="1" applyAlignment="1">
      <alignment vertical="center"/>
    </xf>
    <xf numFmtId="43" fontId="0" fillId="0" borderId="2" xfId="1" applyFont="1" applyBorder="1" applyAlignment="1">
      <alignment vertical="center"/>
    </xf>
    <xf numFmtId="43" fontId="0" fillId="0" borderId="0" xfId="1" applyFont="1" applyBorder="1" applyAlignment="1">
      <alignment vertical="center"/>
    </xf>
    <xf numFmtId="43" fontId="0" fillId="0" borderId="3" xfId="1" applyFont="1" applyBorder="1" applyAlignment="1">
      <alignment vertical="center"/>
    </xf>
    <xf numFmtId="43" fontId="0" fillId="0" borderId="0" xfId="1" applyFont="1" applyAlignment="1">
      <alignment horizontal="center" vertical="center"/>
    </xf>
    <xf numFmtId="43" fontId="0" fillId="0" borderId="5" xfId="1" applyFont="1" applyBorder="1" applyAlignment="1">
      <alignment vertical="center"/>
    </xf>
    <xf numFmtId="43" fontId="0" fillId="0" borderId="4" xfId="1" applyFont="1" applyBorder="1" applyAlignment="1">
      <alignment vertical="center"/>
    </xf>
    <xf numFmtId="43" fontId="2" fillId="0" borderId="5" xfId="1" applyFont="1" applyBorder="1" applyAlignment="1">
      <alignment vertical="center"/>
    </xf>
    <xf numFmtId="43" fontId="2" fillId="0" borderId="0" xfId="1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43" fontId="1" fillId="0" borderId="2" xfId="1" applyFont="1" applyBorder="1" applyAlignment="1">
      <alignment vertical="center"/>
    </xf>
    <xf numFmtId="43" fontId="2" fillId="0" borderId="7" xfId="1" applyFont="1" applyBorder="1" applyAlignment="1">
      <alignment vertical="center"/>
    </xf>
    <xf numFmtId="43" fontId="2" fillId="0" borderId="2" xfId="1" applyFont="1" applyBorder="1" applyAlignment="1">
      <alignment vertical="center"/>
    </xf>
    <xf numFmtId="0" fontId="1" fillId="0" borderId="2" xfId="1" applyNumberFormat="1" applyFont="1" applyBorder="1" applyAlignment="1">
      <alignment vertical="center"/>
    </xf>
    <xf numFmtId="43" fontId="0" fillId="0" borderId="0" xfId="1" applyFont="1"/>
    <xf numFmtId="164" fontId="0" fillId="0" borderId="0" xfId="1" applyNumberFormat="1" applyFont="1"/>
    <xf numFmtId="0" fontId="2" fillId="0" borderId="0" xfId="0" applyFont="1"/>
    <xf numFmtId="14" fontId="0" fillId="0" borderId="0" xfId="0" applyNumberFormat="1"/>
    <xf numFmtId="43" fontId="1" fillId="0" borderId="5" xfId="1" applyFont="1" applyBorder="1" applyAlignment="1">
      <alignment vertical="center"/>
    </xf>
    <xf numFmtId="4" fontId="0" fillId="0" borderId="0" xfId="0" applyNumberFormat="1"/>
    <xf numFmtId="14" fontId="0" fillId="0" borderId="0" xfId="1" applyNumberFormat="1" applyFont="1"/>
    <xf numFmtId="0" fontId="0" fillId="0" borderId="1" xfId="0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43" fontId="0" fillId="0" borderId="1" xfId="1" applyFont="1" applyBorder="1"/>
    <xf numFmtId="43" fontId="0" fillId="0" borderId="0" xfId="1" applyFont="1" applyAlignment="1">
      <alignment horizontal="center"/>
    </xf>
    <xf numFmtId="43" fontId="0" fillId="0" borderId="0" xfId="0" applyNumberFormat="1"/>
    <xf numFmtId="43" fontId="1" fillId="0" borderId="3" xfId="1" applyFont="1" applyBorder="1" applyAlignment="1">
      <alignment vertical="center"/>
    </xf>
    <xf numFmtId="43" fontId="2" fillId="0" borderId="1" xfId="1" applyFont="1" applyBorder="1" applyAlignment="1">
      <alignment horizontal="center"/>
    </xf>
    <xf numFmtId="43" fontId="1" fillId="0" borderId="3" xfId="1" applyFont="1" applyFill="1" applyBorder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2" applyNumberFormat="1" applyFont="1" applyAlignment="1">
      <alignment horizontal="center"/>
    </xf>
    <xf numFmtId="43" fontId="2" fillId="0" borderId="9" xfId="1" applyFont="1" applyBorder="1"/>
    <xf numFmtId="0" fontId="2" fillId="0" borderId="9" xfId="0" applyFont="1" applyBorder="1" applyAlignment="1">
      <alignment horizontal="center"/>
    </xf>
    <xf numFmtId="0" fontId="0" fillId="0" borderId="10" xfId="0" applyBorder="1"/>
    <xf numFmtId="43" fontId="0" fillId="0" borderId="10" xfId="1" applyFont="1" applyBorder="1"/>
    <xf numFmtId="43" fontId="2" fillId="0" borderId="9" xfId="1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43" fontId="2" fillId="0" borderId="9" xfId="1" applyFont="1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43" fontId="2" fillId="0" borderId="9" xfId="1" applyFont="1" applyBorder="1" applyAlignment="1">
      <alignment horizontal="center" vertical="center" wrapText="1"/>
    </xf>
    <xf numFmtId="10" fontId="2" fillId="0" borderId="9" xfId="2" applyNumberFormat="1" applyFont="1" applyBorder="1" applyAlignment="1">
      <alignment horizontal="center" vertical="center" wrapText="1"/>
    </xf>
    <xf numFmtId="0" fontId="0" fillId="0" borderId="2" xfId="0" applyBorder="1"/>
    <xf numFmtId="164" fontId="0" fillId="0" borderId="1" xfId="1" applyNumberFormat="1" applyFont="1" applyBorder="1" applyAlignment="1">
      <alignment vertical="center"/>
    </xf>
    <xf numFmtId="164" fontId="0" fillId="0" borderId="1" xfId="1" applyNumberFormat="1" applyFont="1" applyFill="1" applyBorder="1" applyAlignment="1">
      <alignment horizontal="center" vertical="center"/>
    </xf>
    <xf numFmtId="164" fontId="2" fillId="0" borderId="9" xfId="1" applyNumberFormat="1" applyFont="1" applyBorder="1" applyAlignment="1">
      <alignment vertical="center"/>
    </xf>
    <xf numFmtId="10" fontId="2" fillId="0" borderId="9" xfId="2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5" fillId="0" borderId="2" xfId="1" applyNumberFormat="1" applyFont="1" applyBorder="1" applyAlignment="1">
      <alignment vertical="center"/>
    </xf>
    <xf numFmtId="0" fontId="4" fillId="0" borderId="2" xfId="1" applyNumberFormat="1" applyFont="1" applyBorder="1" applyAlignment="1">
      <alignment vertical="center"/>
    </xf>
    <xf numFmtId="0" fontId="0" fillId="0" borderId="13" xfId="0" applyBorder="1" applyAlignment="1">
      <alignment horizontal="center"/>
    </xf>
    <xf numFmtId="164" fontId="0" fillId="0" borderId="8" xfId="1" applyNumberFormat="1" applyFont="1" applyBorder="1"/>
    <xf numFmtId="14" fontId="2" fillId="0" borderId="0" xfId="0" applyNumberFormat="1" applyFont="1"/>
    <xf numFmtId="164" fontId="2" fillId="0" borderId="0" xfId="1" applyNumberFormat="1" applyFont="1"/>
    <xf numFmtId="43" fontId="2" fillId="0" borderId="1" xfId="1" applyFont="1" applyBorder="1"/>
    <xf numFmtId="43" fontId="2" fillId="0" borderId="0" xfId="1" applyFont="1" applyBorder="1"/>
    <xf numFmtId="164" fontId="0" fillId="0" borderId="0" xfId="0" applyNumberFormat="1"/>
    <xf numFmtId="0" fontId="2" fillId="0" borderId="1" xfId="0" applyFont="1" applyBorder="1"/>
    <xf numFmtId="43" fontId="2" fillId="0" borderId="1" xfId="1" applyFont="1" applyFill="1" applyBorder="1"/>
    <xf numFmtId="43" fontId="2" fillId="0" borderId="0" xfId="1" applyFont="1" applyFill="1" applyBorder="1" applyAlignment="1">
      <alignment horizontal="center"/>
    </xf>
    <xf numFmtId="43" fontId="0" fillId="0" borderId="0" xfId="1" applyFont="1" applyFill="1" applyBorder="1"/>
    <xf numFmtId="0" fontId="11" fillId="0" borderId="0" xfId="0" applyFont="1"/>
    <xf numFmtId="0" fontId="12" fillId="0" borderId="0" xfId="0" applyFont="1"/>
    <xf numFmtId="164" fontId="12" fillId="0" borderId="0" xfId="1" applyNumberFormat="1" applyFont="1"/>
    <xf numFmtId="43" fontId="12" fillId="0" borderId="0" xfId="1" applyFont="1"/>
    <xf numFmtId="14" fontId="12" fillId="0" borderId="0" xfId="0" applyNumberFormat="1" applyFont="1"/>
    <xf numFmtId="4" fontId="12" fillId="0" borderId="0" xfId="0" applyNumberFormat="1" applyFont="1"/>
    <xf numFmtId="43" fontId="1" fillId="0" borderId="4" xfId="1" applyFont="1" applyFill="1" applyBorder="1" applyAlignment="1">
      <alignment vertical="center"/>
    </xf>
    <xf numFmtId="43" fontId="0" fillId="0" borderId="1" xfId="1" applyFont="1" applyFill="1" applyBorder="1"/>
    <xf numFmtId="166" fontId="9" fillId="0" borderId="9" xfId="1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14" fontId="0" fillId="0" borderId="17" xfId="0" applyNumberFormat="1" applyBorder="1" applyAlignment="1">
      <alignment horizontal="center" vertical="center"/>
    </xf>
    <xf numFmtId="164" fontId="0" fillId="0" borderId="18" xfId="1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0" fillId="2" borderId="0" xfId="0" applyFill="1"/>
    <xf numFmtId="164" fontId="0" fillId="2" borderId="0" xfId="1" applyNumberFormat="1" applyFont="1" applyFill="1"/>
    <xf numFmtId="164" fontId="1" fillId="0" borderId="0" xfId="1" applyNumberFormat="1" applyFont="1"/>
    <xf numFmtId="164" fontId="2" fillId="3" borderId="0" xfId="1" applyNumberFormat="1" applyFont="1" applyFill="1"/>
    <xf numFmtId="43" fontId="2" fillId="3" borderId="0" xfId="1" applyFont="1" applyFill="1"/>
    <xf numFmtId="10" fontId="0" fillId="0" borderId="1" xfId="2" applyNumberFormat="1" applyFont="1" applyFill="1" applyBorder="1" applyAlignment="1">
      <alignment horizontal="center" vertical="center"/>
    </xf>
    <xf numFmtId="10" fontId="0" fillId="0" borderId="18" xfId="2" applyNumberFormat="1" applyFont="1" applyFill="1" applyBorder="1" applyAlignment="1">
      <alignment horizontal="center" vertical="center"/>
    </xf>
    <xf numFmtId="164" fontId="0" fillId="0" borderId="18" xfId="1" applyNumberFormat="1" applyFont="1" applyFill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43" fontId="2" fillId="0" borderId="0" xfId="1" applyFont="1"/>
    <xf numFmtId="4" fontId="2" fillId="0" borderId="0" xfId="0" applyNumberFormat="1" applyFont="1"/>
    <xf numFmtId="14" fontId="2" fillId="0" borderId="0" xfId="1" applyNumberFormat="1" applyFont="1"/>
    <xf numFmtId="14" fontId="12" fillId="0" borderId="0" xfId="0" applyNumberFormat="1" applyFont="1" applyAlignment="1">
      <alignment horizontal="right"/>
    </xf>
    <xf numFmtId="3" fontId="12" fillId="0" borderId="0" xfId="0" applyNumberFormat="1" applyFont="1"/>
    <xf numFmtId="3" fontId="11" fillId="0" borderId="0" xfId="0" applyNumberFormat="1" applyFont="1"/>
    <xf numFmtId="43" fontId="0" fillId="0" borderId="18" xfId="1" applyFont="1" applyBorder="1"/>
    <xf numFmtId="0" fontId="0" fillId="0" borderId="18" xfId="0" applyBorder="1"/>
    <xf numFmtId="43" fontId="1" fillId="0" borderId="5" xfId="1" applyFont="1" applyFill="1" applyBorder="1" applyAlignment="1">
      <alignment vertical="center"/>
    </xf>
    <xf numFmtId="43" fontId="1" fillId="0" borderId="2" xfId="1" applyFont="1" applyFill="1" applyBorder="1" applyAlignment="1">
      <alignment vertical="center"/>
    </xf>
    <xf numFmtId="43" fontId="2" fillId="0" borderId="5" xfId="1" applyFont="1" applyFill="1" applyBorder="1" applyAlignment="1">
      <alignment vertical="center"/>
    </xf>
    <xf numFmtId="43" fontId="0" fillId="0" borderId="2" xfId="1" applyFont="1" applyFill="1" applyBorder="1" applyAlignment="1">
      <alignment vertical="center"/>
    </xf>
    <xf numFmtId="0" fontId="5" fillId="0" borderId="2" xfId="1" applyNumberFormat="1" applyFont="1" applyFill="1" applyBorder="1" applyAlignment="1">
      <alignment vertical="center"/>
    </xf>
    <xf numFmtId="0" fontId="1" fillId="0" borderId="2" xfId="1" applyNumberFormat="1" applyFont="1" applyFill="1" applyBorder="1" applyAlignment="1">
      <alignment vertical="center"/>
    </xf>
    <xf numFmtId="43" fontId="2" fillId="0" borderId="0" xfId="1" applyFont="1" applyFill="1" applyBorder="1"/>
    <xf numFmtId="43" fontId="0" fillId="4" borderId="1" xfId="1" applyFont="1" applyFill="1" applyBorder="1"/>
    <xf numFmtId="43" fontId="1" fillId="0" borderId="4" xfId="1" applyFont="1" applyBorder="1" applyAlignment="1">
      <alignment vertical="center"/>
    </xf>
    <xf numFmtId="43" fontId="0" fillId="0" borderId="3" xfId="1" applyFont="1" applyFill="1" applyBorder="1" applyAlignment="1">
      <alignment vertical="center"/>
    </xf>
    <xf numFmtId="43" fontId="12" fillId="0" borderId="0" xfId="1" applyFont="1" applyFill="1" applyAlignment="1">
      <alignment vertical="center"/>
    </xf>
    <xf numFmtId="43" fontId="11" fillId="0" borderId="0" xfId="1" applyFont="1" applyFill="1" applyBorder="1" applyAlignment="1">
      <alignment horizontal="center" vertical="center"/>
    </xf>
    <xf numFmtId="43" fontId="16" fillId="0" borderId="0" xfId="1" applyFont="1" applyFill="1" applyBorder="1" applyAlignment="1">
      <alignment horizontal="right" vertical="center"/>
    </xf>
    <xf numFmtId="166" fontId="17" fillId="0" borderId="9" xfId="1" applyNumberFormat="1" applyFont="1" applyFill="1" applyBorder="1" applyAlignment="1">
      <alignment horizontal="center" vertical="center"/>
    </xf>
    <xf numFmtId="43" fontId="12" fillId="0" borderId="0" xfId="1" applyFont="1" applyFill="1" applyAlignment="1">
      <alignment horizontal="center" vertical="center"/>
    </xf>
    <xf numFmtId="43" fontId="12" fillId="0" borderId="5" xfId="1" applyFont="1" applyFill="1" applyBorder="1" applyAlignment="1">
      <alignment vertical="center"/>
    </xf>
    <xf numFmtId="0" fontId="18" fillId="0" borderId="2" xfId="1" applyNumberFormat="1" applyFont="1" applyFill="1" applyBorder="1" applyAlignment="1">
      <alignment vertical="center"/>
    </xf>
    <xf numFmtId="43" fontId="12" fillId="0" borderId="3" xfId="1" applyFont="1" applyFill="1" applyBorder="1" applyAlignment="1">
      <alignment vertical="center"/>
    </xf>
    <xf numFmtId="43" fontId="12" fillId="0" borderId="2" xfId="1" applyFont="1" applyFill="1" applyBorder="1" applyAlignment="1">
      <alignment vertical="center"/>
    </xf>
    <xf numFmtId="43" fontId="11" fillId="0" borderId="5" xfId="1" applyFont="1" applyFill="1" applyBorder="1" applyAlignment="1">
      <alignment vertical="center"/>
    </xf>
    <xf numFmtId="43" fontId="12" fillId="0" borderId="4" xfId="1" applyFont="1" applyFill="1" applyBorder="1" applyAlignment="1">
      <alignment vertical="center"/>
    </xf>
    <xf numFmtId="0" fontId="19" fillId="0" borderId="2" xfId="1" applyNumberFormat="1" applyFont="1" applyFill="1" applyBorder="1" applyAlignment="1">
      <alignment vertical="center"/>
    </xf>
    <xf numFmtId="43" fontId="11" fillId="0" borderId="2" xfId="1" applyFont="1" applyFill="1" applyBorder="1" applyAlignment="1">
      <alignment vertical="center"/>
    </xf>
    <xf numFmtId="43" fontId="11" fillId="0" borderId="9" xfId="1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1" applyNumberFormat="1" applyFont="1" applyFill="1" applyBorder="1" applyAlignment="1">
      <alignment vertical="center"/>
    </xf>
    <xf numFmtId="164" fontId="12" fillId="0" borderId="1" xfId="1" applyNumberFormat="1" applyFont="1" applyFill="1" applyBorder="1" applyAlignment="1">
      <alignment vertical="center"/>
    </xf>
    <xf numFmtId="164" fontId="12" fillId="0" borderId="1" xfId="1" applyNumberFormat="1" applyFont="1" applyBorder="1" applyAlignment="1">
      <alignment vertical="center"/>
    </xf>
    <xf numFmtId="164" fontId="11" fillId="0" borderId="9" xfId="1" applyNumberFormat="1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43" fontId="2" fillId="0" borderId="14" xfId="1" applyFont="1" applyBorder="1" applyAlignment="1">
      <alignment horizontal="center" vertical="center"/>
    </xf>
    <xf numFmtId="43" fontId="2" fillId="0" borderId="8" xfId="1" applyFont="1" applyBorder="1" applyAlignment="1">
      <alignment horizontal="center" vertical="center"/>
    </xf>
    <xf numFmtId="43" fontId="6" fillId="0" borderId="4" xfId="1" applyFont="1" applyBorder="1" applyAlignment="1">
      <alignment horizontal="right" vertical="center"/>
    </xf>
    <xf numFmtId="43" fontId="20" fillId="0" borderId="2" xfId="0" applyNumberFormat="1" applyFont="1" applyBorder="1" applyAlignment="1">
      <alignment vertical="center"/>
    </xf>
    <xf numFmtId="43" fontId="20" fillId="0" borderId="0" xfId="0" applyNumberFormat="1" applyFont="1" applyAlignment="1">
      <alignment vertical="center"/>
    </xf>
    <xf numFmtId="43" fontId="21" fillId="0" borderId="0" xfId="0" applyNumberFormat="1" applyFont="1" applyAlignment="1">
      <alignment vertical="center"/>
    </xf>
    <xf numFmtId="43" fontId="21" fillId="0" borderId="3" xfId="0" applyNumberFormat="1" applyFont="1" applyBorder="1" applyAlignment="1">
      <alignment vertical="center"/>
    </xf>
    <xf numFmtId="43" fontId="20" fillId="0" borderId="3" xfId="0" applyNumberFormat="1" applyFont="1" applyBorder="1" applyAlignment="1">
      <alignment vertical="center"/>
    </xf>
    <xf numFmtId="43" fontId="21" fillId="0" borderId="2" xfId="0" applyNumberFormat="1" applyFont="1" applyBorder="1" applyAlignment="1">
      <alignment vertical="center"/>
    </xf>
    <xf numFmtId="0" fontId="0" fillId="0" borderId="3" xfId="0" applyBorder="1"/>
    <xf numFmtId="43" fontId="21" fillId="0" borderId="8" xfId="0" applyNumberFormat="1" applyFont="1" applyBorder="1" applyAlignment="1">
      <alignment vertical="center"/>
    </xf>
    <xf numFmtId="43" fontId="20" fillId="0" borderId="8" xfId="0" applyNumberFormat="1" applyFont="1" applyBorder="1" applyAlignment="1">
      <alignment vertical="center"/>
    </xf>
    <xf numFmtId="43" fontId="21" fillId="0" borderId="4" xfId="0" applyNumberFormat="1" applyFont="1" applyBorder="1" applyAlignment="1">
      <alignment vertical="center"/>
    </xf>
    <xf numFmtId="0" fontId="0" fillId="0" borderId="14" xfId="0" applyBorder="1" applyAlignment="1">
      <alignment horizontal="left"/>
    </xf>
    <xf numFmtId="0" fontId="0" fillId="0" borderId="8" xfId="0" applyBorder="1" applyAlignment="1">
      <alignment horizontal="center"/>
    </xf>
    <xf numFmtId="43" fontId="0" fillId="0" borderId="8" xfId="1" applyFont="1" applyBorder="1"/>
    <xf numFmtId="10" fontId="0" fillId="0" borderId="8" xfId="2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0" xfId="0" applyFont="1" applyAlignment="1">
      <alignment horizontal="left"/>
    </xf>
    <xf numFmtId="43" fontId="12" fillId="0" borderId="0" xfId="1" applyFont="1" applyBorder="1"/>
    <xf numFmtId="43" fontId="0" fillId="0" borderId="0" xfId="1" applyFont="1" applyBorder="1"/>
    <xf numFmtId="10" fontId="0" fillId="0" borderId="0" xfId="2" applyNumberFormat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43" fontId="2" fillId="0" borderId="0" xfId="1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4" xfId="0" applyBorder="1" applyAlignment="1">
      <alignment vertical="center"/>
    </xf>
    <xf numFmtId="0" fontId="2" fillId="0" borderId="11" xfId="0" applyFont="1" applyBorder="1" applyAlignment="1">
      <alignment vertical="center"/>
    </xf>
    <xf numFmtId="0" fontId="0" fillId="0" borderId="0" xfId="0" applyAlignment="1">
      <alignment horizontal="center" vertical="center"/>
    </xf>
    <xf numFmtId="43" fontId="2" fillId="0" borderId="9" xfId="1" applyFont="1" applyBorder="1" applyAlignment="1">
      <alignment horizontal="center" vertical="center"/>
    </xf>
    <xf numFmtId="43" fontId="0" fillId="0" borderId="10" xfId="1" applyFont="1" applyBorder="1" applyAlignment="1">
      <alignment vertical="center"/>
    </xf>
    <xf numFmtId="43" fontId="0" fillId="0" borderId="1" xfId="1" applyFont="1" applyBorder="1" applyAlignment="1">
      <alignment vertical="center"/>
    </xf>
    <xf numFmtId="43" fontId="0" fillId="4" borderId="1" xfId="1" applyFont="1" applyFill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8" xfId="1" applyFont="1" applyBorder="1" applyAlignment="1">
      <alignment vertical="center"/>
    </xf>
    <xf numFmtId="0" fontId="0" fillId="0" borderId="18" xfId="0" applyBorder="1" applyAlignment="1">
      <alignment vertical="center"/>
    </xf>
    <xf numFmtId="166" fontId="9" fillId="0" borderId="11" xfId="1" applyNumberFormat="1" applyFont="1" applyBorder="1" applyAlignment="1">
      <alignment horizontal="center" vertical="center"/>
    </xf>
    <xf numFmtId="43" fontId="2" fillId="0" borderId="11" xfId="1" applyFont="1" applyBorder="1" applyAlignment="1">
      <alignment vertical="center"/>
    </xf>
    <xf numFmtId="166" fontId="9" fillId="0" borderId="19" xfId="1" applyNumberFormat="1" applyFont="1" applyBorder="1" applyAlignment="1">
      <alignment horizontal="center" vertical="center"/>
    </xf>
    <xf numFmtId="43" fontId="2" fillId="0" borderId="20" xfId="1" applyFont="1" applyBorder="1" applyAlignment="1">
      <alignment vertical="center"/>
    </xf>
    <xf numFmtId="43" fontId="2" fillId="0" borderId="21" xfId="1" applyFont="1" applyFill="1" applyBorder="1" applyAlignment="1">
      <alignment vertical="center"/>
    </xf>
    <xf numFmtId="43" fontId="2" fillId="0" borderId="20" xfId="1" applyFont="1" applyFill="1" applyBorder="1" applyAlignment="1">
      <alignment vertical="center"/>
    </xf>
    <xf numFmtId="43" fontId="2" fillId="0" borderId="19" xfId="1" applyFont="1" applyBorder="1" applyAlignment="1">
      <alignment vertical="center"/>
    </xf>
    <xf numFmtId="166" fontId="17" fillId="0" borderId="11" xfId="1" applyNumberFormat="1" applyFont="1" applyFill="1" applyBorder="1" applyAlignment="1">
      <alignment horizontal="center" vertical="center"/>
    </xf>
    <xf numFmtId="43" fontId="11" fillId="0" borderId="11" xfId="1" applyFont="1" applyFill="1" applyBorder="1" applyAlignment="1">
      <alignment vertical="center"/>
    </xf>
    <xf numFmtId="166" fontId="17" fillId="0" borderId="19" xfId="1" applyNumberFormat="1" applyFont="1" applyFill="1" applyBorder="1" applyAlignment="1">
      <alignment horizontal="center" vertical="center"/>
    </xf>
    <xf numFmtId="43" fontId="12" fillId="0" borderId="20" xfId="1" applyFont="1" applyFill="1" applyBorder="1" applyAlignment="1">
      <alignment vertical="center"/>
    </xf>
    <xf numFmtId="43" fontId="11" fillId="0" borderId="20" xfId="1" applyFont="1" applyFill="1" applyBorder="1" applyAlignment="1">
      <alignment vertical="center"/>
    </xf>
    <xf numFmtId="43" fontId="11" fillId="0" borderId="19" xfId="1" applyFont="1" applyFill="1" applyBorder="1" applyAlignment="1">
      <alignment vertical="center"/>
    </xf>
    <xf numFmtId="12" fontId="0" fillId="0" borderId="0" xfId="1" applyNumberFormat="1" applyFont="1" applyAlignment="1">
      <alignment vertical="center"/>
    </xf>
    <xf numFmtId="0" fontId="10" fillId="0" borderId="15" xfId="1" applyNumberFormat="1" applyFont="1" applyBorder="1" applyAlignment="1">
      <alignment horizontal="center" vertical="center"/>
    </xf>
    <xf numFmtId="0" fontId="10" fillId="0" borderId="16" xfId="1" applyNumberFormat="1" applyFont="1" applyBorder="1" applyAlignment="1">
      <alignment horizontal="center" vertical="center"/>
    </xf>
    <xf numFmtId="0" fontId="10" fillId="0" borderId="17" xfId="1" applyNumberFormat="1" applyFont="1" applyBorder="1" applyAlignment="1">
      <alignment horizontal="center" vertical="center"/>
    </xf>
    <xf numFmtId="43" fontId="1" fillId="0" borderId="2" xfId="1" applyFont="1" applyBorder="1" applyAlignment="1">
      <alignment horizontal="center" vertical="center"/>
    </xf>
    <xf numFmtId="43" fontId="1" fillId="0" borderId="0" xfId="1" applyFont="1" applyBorder="1" applyAlignment="1">
      <alignment horizontal="center" vertical="center"/>
    </xf>
    <xf numFmtId="43" fontId="1" fillId="0" borderId="3" xfId="1" applyFont="1" applyBorder="1" applyAlignment="1">
      <alignment horizontal="center" vertical="center"/>
    </xf>
    <xf numFmtId="43" fontId="7" fillId="0" borderId="2" xfId="1" applyFont="1" applyBorder="1" applyAlignment="1">
      <alignment horizontal="center" vertical="center"/>
    </xf>
    <xf numFmtId="43" fontId="7" fillId="0" borderId="0" xfId="1" applyFont="1" applyBorder="1" applyAlignment="1">
      <alignment horizontal="center" vertical="center"/>
    </xf>
    <xf numFmtId="43" fontId="7" fillId="0" borderId="3" xfId="1" applyFont="1" applyBorder="1" applyAlignment="1">
      <alignment horizontal="center" vertical="center"/>
    </xf>
    <xf numFmtId="43" fontId="2" fillId="0" borderId="12" xfId="1" applyFont="1" applyBorder="1" applyAlignment="1">
      <alignment horizontal="center" vertical="center"/>
    </xf>
    <xf numFmtId="43" fontId="2" fillId="0" borderId="11" xfId="1" applyFont="1" applyBorder="1" applyAlignment="1">
      <alignment horizontal="center" vertical="center"/>
    </xf>
    <xf numFmtId="43" fontId="21" fillId="0" borderId="0" xfId="0" applyNumberFormat="1" applyFont="1" applyAlignment="1">
      <alignment horizontal="center" vertical="center"/>
    </xf>
    <xf numFmtId="167" fontId="23" fillId="0" borderId="14" xfId="3" applyNumberFormat="1" applyFont="1" applyBorder="1" applyAlignment="1">
      <alignment horizontal="left" vertical="center"/>
    </xf>
    <xf numFmtId="167" fontId="23" fillId="0" borderId="8" xfId="3" applyNumberFormat="1" applyFont="1" applyBorder="1" applyAlignment="1">
      <alignment horizontal="left" vertical="center"/>
    </xf>
    <xf numFmtId="43" fontId="11" fillId="0" borderId="12" xfId="1" applyFont="1" applyFill="1" applyBorder="1" applyAlignment="1">
      <alignment horizontal="center" vertical="center"/>
    </xf>
    <xf numFmtId="43" fontId="11" fillId="0" borderId="11" xfId="1" applyFont="1" applyFill="1" applyBorder="1" applyAlignment="1">
      <alignment horizontal="center" vertical="center"/>
    </xf>
    <xf numFmtId="0" fontId="13" fillId="0" borderId="0" xfId="1" applyNumberFormat="1" applyFont="1" applyFill="1" applyBorder="1" applyAlignment="1">
      <alignment horizontal="center" vertical="center"/>
    </xf>
    <xf numFmtId="43" fontId="14" fillId="0" borderId="0" xfId="1" applyFont="1" applyFill="1" applyBorder="1" applyAlignment="1">
      <alignment horizontal="center" vertical="center"/>
    </xf>
    <xf numFmtId="43" fontId="15" fillId="0" borderId="0" xfId="1" applyFont="1" applyFill="1" applyBorder="1" applyAlignment="1">
      <alignment horizontal="center" vertical="center"/>
    </xf>
    <xf numFmtId="0" fontId="8" fillId="0" borderId="15" xfId="1" applyNumberFormat="1" applyFont="1" applyBorder="1" applyAlignment="1">
      <alignment horizontal="center" vertical="center"/>
    </xf>
    <xf numFmtId="0" fontId="8" fillId="0" borderId="16" xfId="1" applyNumberFormat="1" applyFont="1" applyBorder="1" applyAlignment="1">
      <alignment horizontal="center" vertical="center"/>
    </xf>
    <xf numFmtId="0" fontId="8" fillId="0" borderId="17" xfId="1" applyNumberFormat="1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0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0" fontId="5" fillId="0" borderId="0" xfId="1" applyNumberFormat="1" applyFont="1" applyBorder="1" applyAlignment="1">
      <alignment horizontal="center" vertical="center"/>
    </xf>
    <xf numFmtId="0" fontId="5" fillId="0" borderId="3" xfId="1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4">
    <cellStyle name="Comma" xfId="1" builtinId="3"/>
    <cellStyle name="Normal" xfId="0" builtinId="0"/>
    <cellStyle name="Normal_BSPL 2004 NS" xfId="3" xr:uid="{D8DA8C4E-C302-48C4-BD44-22A4EE1B1F94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61"/>
  <sheetViews>
    <sheetView view="pageBreakPreview" topLeftCell="A41" zoomScaleNormal="100" zoomScaleSheetLayoutView="100" workbookViewId="0">
      <selection activeCell="J48" sqref="J48"/>
    </sheetView>
  </sheetViews>
  <sheetFormatPr defaultColWidth="8.77734375" defaultRowHeight="14.4" x14ac:dyDescent="0.3"/>
  <cols>
    <col min="1" max="1" width="13.77734375" style="1" customWidth="1"/>
    <col min="2" max="2" width="33.5546875" style="1" customWidth="1"/>
    <col min="3" max="3" width="13.77734375" style="1" customWidth="1"/>
    <col min="4" max="4" width="13.77734375" style="9" customWidth="1"/>
    <col min="5" max="5" width="13.77734375" style="1" customWidth="1"/>
    <col min="6" max="6" width="34.21875" style="1" customWidth="1"/>
    <col min="7" max="7" width="13.77734375" style="1" customWidth="1"/>
    <col min="8" max="8" width="13.77734375" style="9" customWidth="1"/>
    <col min="9" max="9" width="12" style="1" bestFit="1" customWidth="1"/>
    <col min="10" max="10" width="12.5546875" style="1" bestFit="1" customWidth="1"/>
    <col min="11" max="11" width="9.77734375" style="1" bestFit="1" customWidth="1"/>
    <col min="12" max="16384" width="8.77734375" style="1"/>
  </cols>
  <sheetData>
    <row r="1" spans="1:10" ht="21" x14ac:dyDescent="0.3">
      <c r="A1" s="185" t="s">
        <v>55</v>
      </c>
      <c r="B1" s="186"/>
      <c r="C1" s="186"/>
      <c r="D1" s="186"/>
      <c r="E1" s="186"/>
      <c r="F1" s="186"/>
      <c r="G1" s="186"/>
      <c r="H1" s="187"/>
    </row>
    <row r="2" spans="1:10" ht="14.1" customHeight="1" x14ac:dyDescent="0.3">
      <c r="A2" s="188" t="str">
        <f>IE!A2</f>
        <v>(Regd. No. : BOM / WP / HSG / TC / 9214 / 1995-96)</v>
      </c>
      <c r="B2" s="189"/>
      <c r="C2" s="189"/>
      <c r="D2" s="189"/>
      <c r="E2" s="189"/>
      <c r="F2" s="189"/>
      <c r="G2" s="189"/>
      <c r="H2" s="190"/>
    </row>
    <row r="3" spans="1:10" x14ac:dyDescent="0.3">
      <c r="A3" s="188" t="s">
        <v>80</v>
      </c>
      <c r="B3" s="189"/>
      <c r="C3" s="189"/>
      <c r="D3" s="189"/>
      <c r="E3" s="189"/>
      <c r="F3" s="189"/>
      <c r="G3" s="189"/>
      <c r="H3" s="190"/>
    </row>
    <row r="4" spans="1:10" ht="18" x14ac:dyDescent="0.3">
      <c r="A4" s="191" t="s">
        <v>177</v>
      </c>
      <c r="B4" s="192"/>
      <c r="C4" s="192"/>
      <c r="D4" s="192"/>
      <c r="E4" s="192"/>
      <c r="F4" s="192"/>
      <c r="G4" s="192"/>
      <c r="H4" s="193"/>
      <c r="J4" s="3"/>
    </row>
    <row r="5" spans="1:10" x14ac:dyDescent="0.3">
      <c r="A5" s="128"/>
      <c r="B5" s="129"/>
      <c r="C5" s="129"/>
      <c r="D5" s="129"/>
      <c r="E5" s="129"/>
      <c r="F5" s="129"/>
      <c r="G5" s="129"/>
      <c r="H5" s="130" t="str">
        <f>IE!H5</f>
        <v>(Amt. in Rs.)</v>
      </c>
      <c r="J5" s="3"/>
    </row>
    <row r="6" spans="1:10" s="5" customFormat="1" ht="15" thickBot="1" x14ac:dyDescent="0.35">
      <c r="A6" s="74">
        <v>45747</v>
      </c>
      <c r="B6" s="194" t="s">
        <v>0</v>
      </c>
      <c r="C6" s="195"/>
      <c r="D6" s="173">
        <v>46112</v>
      </c>
      <c r="E6" s="171">
        <f>A6</f>
        <v>45747</v>
      </c>
      <c r="F6" s="194" t="s">
        <v>1</v>
      </c>
      <c r="G6" s="195"/>
      <c r="H6" s="74">
        <f>D6</f>
        <v>46112</v>
      </c>
    </row>
    <row r="7" spans="1:10" ht="18.600000000000001" customHeight="1" thickTop="1" x14ac:dyDescent="0.3">
      <c r="A7" s="6"/>
      <c r="B7" s="53" t="s">
        <v>12</v>
      </c>
      <c r="C7" s="4"/>
      <c r="D7" s="174"/>
      <c r="E7" s="4"/>
      <c r="F7" s="53" t="s">
        <v>114</v>
      </c>
      <c r="G7" s="106"/>
      <c r="H7" s="99"/>
    </row>
    <row r="8" spans="1:10" ht="15" thickBot="1" x14ac:dyDescent="0.35">
      <c r="A8" s="14">
        <v>100000</v>
      </c>
      <c r="B8" s="15" t="s">
        <v>103</v>
      </c>
      <c r="C8" s="4"/>
      <c r="D8" s="175">
        <v>100000</v>
      </c>
      <c r="E8" s="32">
        <v>3586</v>
      </c>
      <c r="F8" s="98" t="s">
        <v>48</v>
      </c>
      <c r="G8" s="32">
        <v>1625</v>
      </c>
      <c r="H8" s="97"/>
    </row>
    <row r="9" spans="1:10" ht="15" thickTop="1" x14ac:dyDescent="0.3">
      <c r="A9" s="6"/>
      <c r="B9" s="13"/>
      <c r="C9" s="4"/>
      <c r="D9" s="176"/>
      <c r="E9" s="32">
        <v>41438.92</v>
      </c>
      <c r="F9" s="98" t="s">
        <v>64</v>
      </c>
      <c r="G9" s="32">
        <v>155828.57</v>
      </c>
      <c r="H9" s="97"/>
    </row>
    <row r="10" spans="1:10" x14ac:dyDescent="0.3">
      <c r="A10" s="6"/>
      <c r="B10" s="53" t="s">
        <v>134</v>
      </c>
      <c r="C10" s="4"/>
      <c r="D10" s="176"/>
      <c r="E10" s="32">
        <v>5059.8999999999996</v>
      </c>
      <c r="F10" s="98" t="s">
        <v>65</v>
      </c>
      <c r="G10" s="32">
        <v>4400.8999999999996</v>
      </c>
      <c r="H10" s="97"/>
    </row>
    <row r="11" spans="1:10" x14ac:dyDescent="0.3">
      <c r="A11" s="6">
        <v>9000</v>
      </c>
      <c r="B11" s="15" t="s">
        <v>133</v>
      </c>
      <c r="C11" s="4"/>
      <c r="D11" s="176">
        <v>9000</v>
      </c>
      <c r="E11" s="32">
        <v>166102.51999999999</v>
      </c>
      <c r="F11" s="100" t="s">
        <v>142</v>
      </c>
      <c r="G11" s="32">
        <v>171206.52</v>
      </c>
      <c r="H11" s="97"/>
    </row>
    <row r="12" spans="1:10" x14ac:dyDescent="0.3">
      <c r="A12" s="6"/>
      <c r="B12" s="2"/>
      <c r="C12" s="4"/>
      <c r="D12" s="176"/>
      <c r="E12" s="32">
        <v>39353</v>
      </c>
      <c r="F12" s="98" t="s">
        <v>66</v>
      </c>
      <c r="G12" s="72">
        <v>40482</v>
      </c>
      <c r="H12" s="99">
        <f>SUM(G8:G12)</f>
        <v>373542.99</v>
      </c>
    </row>
    <row r="13" spans="1:10" ht="15.6" x14ac:dyDescent="0.3">
      <c r="A13" s="6"/>
      <c r="B13" s="54" t="s">
        <v>4</v>
      </c>
      <c r="C13" s="4"/>
      <c r="D13" s="176"/>
      <c r="E13" s="32"/>
      <c r="F13" s="98"/>
      <c r="G13" s="32"/>
      <c r="H13" s="97"/>
    </row>
    <row r="14" spans="1:10" x14ac:dyDescent="0.3">
      <c r="A14" s="6"/>
      <c r="B14" s="53" t="s">
        <v>107</v>
      </c>
      <c r="C14" s="4"/>
      <c r="D14" s="176"/>
      <c r="E14" s="32"/>
      <c r="F14" s="101" t="s">
        <v>3</v>
      </c>
      <c r="G14" s="32"/>
      <c r="H14" s="97"/>
      <c r="J14" s="184"/>
    </row>
    <row r="15" spans="1:10" x14ac:dyDescent="0.3">
      <c r="A15" s="6">
        <v>63364</v>
      </c>
      <c r="B15" s="2" t="s">
        <v>104</v>
      </c>
      <c r="C15" s="4">
        <f>SUM(A15:A18)</f>
        <v>34256</v>
      </c>
      <c r="D15" s="176"/>
      <c r="E15" s="32">
        <v>13000</v>
      </c>
      <c r="F15" s="100" t="s">
        <v>136</v>
      </c>
      <c r="G15" s="32">
        <v>13000</v>
      </c>
      <c r="H15" s="97"/>
    </row>
    <row r="16" spans="1:10" x14ac:dyDescent="0.3">
      <c r="A16" s="6">
        <v>200</v>
      </c>
      <c r="B16" s="3" t="s">
        <v>44</v>
      </c>
      <c r="C16" s="4">
        <v>0</v>
      </c>
      <c r="D16" s="176"/>
      <c r="E16" s="32">
        <v>193740</v>
      </c>
      <c r="F16" s="101" t="s">
        <v>141</v>
      </c>
      <c r="G16" s="32">
        <f>'FD-Sch'!E17</f>
        <v>233259</v>
      </c>
      <c r="H16" s="97"/>
    </row>
    <row r="17" spans="1:8" x14ac:dyDescent="0.3">
      <c r="A17" s="6">
        <f>IE!A52</f>
        <v>9631</v>
      </c>
      <c r="B17" s="3" t="s">
        <v>42</v>
      </c>
      <c r="C17" s="4">
        <f>IE!D52</f>
        <v>0</v>
      </c>
      <c r="D17" s="176"/>
      <c r="E17" s="32">
        <v>18256</v>
      </c>
      <c r="F17" s="100" t="s">
        <v>140</v>
      </c>
      <c r="G17" s="72">
        <v>15897</v>
      </c>
      <c r="H17" s="99">
        <f>SUM(G15:G17)</f>
        <v>262156</v>
      </c>
    </row>
    <row r="18" spans="1:8" x14ac:dyDescent="0.3">
      <c r="A18" s="6">
        <v>-38939</v>
      </c>
      <c r="B18" s="3" t="s">
        <v>168</v>
      </c>
      <c r="C18" s="7">
        <v>0</v>
      </c>
      <c r="D18" s="176">
        <f>SUM(C15:C18)</f>
        <v>34256</v>
      </c>
      <c r="E18" s="32"/>
      <c r="F18" s="100"/>
      <c r="G18" s="32"/>
      <c r="H18" s="99"/>
    </row>
    <row r="19" spans="1:8" x14ac:dyDescent="0.3">
      <c r="A19" s="6"/>
      <c r="B19" s="53" t="s">
        <v>108</v>
      </c>
      <c r="C19" s="4"/>
      <c r="D19" s="176"/>
      <c r="E19" s="32"/>
      <c r="F19" s="101" t="s">
        <v>143</v>
      </c>
      <c r="G19" s="32"/>
      <c r="H19" s="97"/>
    </row>
    <row r="20" spans="1:8" x14ac:dyDescent="0.3">
      <c r="A20" s="6">
        <v>296266</v>
      </c>
      <c r="B20" s="2" t="s">
        <v>41</v>
      </c>
      <c r="C20" s="4">
        <f>SUM(A20:A22)</f>
        <v>329855</v>
      </c>
      <c r="D20" s="176"/>
      <c r="E20" s="32">
        <v>11947</v>
      </c>
      <c r="F20" s="101" t="s">
        <v>123</v>
      </c>
      <c r="G20" s="32"/>
      <c r="H20" s="99">
        <f>Members!E6</f>
        <v>0</v>
      </c>
    </row>
    <row r="21" spans="1:8" x14ac:dyDescent="0.3">
      <c r="A21" s="6">
        <v>21600</v>
      </c>
      <c r="B21" s="3" t="s">
        <v>44</v>
      </c>
      <c r="C21" s="4">
        <v>21600</v>
      </c>
      <c r="D21" s="176"/>
      <c r="E21" s="32"/>
      <c r="F21" s="98"/>
      <c r="G21" s="32"/>
      <c r="H21" s="97"/>
    </row>
    <row r="22" spans="1:8" x14ac:dyDescent="0.3">
      <c r="A22" s="6">
        <f>-IE!E26</f>
        <v>11989</v>
      </c>
      <c r="B22" s="3" t="s">
        <v>43</v>
      </c>
      <c r="C22" s="7">
        <f>-IE!G26</f>
        <v>15160</v>
      </c>
      <c r="D22" s="176">
        <f>SUM(C20:C22)</f>
        <v>366615</v>
      </c>
      <c r="E22" s="32"/>
      <c r="F22" s="98"/>
      <c r="G22" s="32"/>
      <c r="H22" s="97"/>
    </row>
    <row r="23" spans="1:8" x14ac:dyDescent="0.3">
      <c r="A23" s="6"/>
      <c r="B23" s="53" t="s">
        <v>109</v>
      </c>
      <c r="C23" s="4"/>
      <c r="D23" s="176"/>
      <c r="E23" s="32"/>
      <c r="F23" s="101" t="s">
        <v>49</v>
      </c>
      <c r="G23" s="32"/>
      <c r="H23" s="97"/>
    </row>
    <row r="24" spans="1:8" x14ac:dyDescent="0.3">
      <c r="A24" s="6">
        <v>304498</v>
      </c>
      <c r="B24" s="2" t="s">
        <v>104</v>
      </c>
      <c r="C24" s="4">
        <f>SUM(A24:A26)</f>
        <v>0</v>
      </c>
      <c r="D24" s="176"/>
      <c r="E24" s="32"/>
      <c r="F24" s="101" t="s">
        <v>105</v>
      </c>
      <c r="G24" s="32"/>
      <c r="H24" s="97"/>
    </row>
    <row r="25" spans="1:8" x14ac:dyDescent="0.3">
      <c r="A25" s="6">
        <v>56520</v>
      </c>
      <c r="B25" s="3" t="s">
        <v>44</v>
      </c>
      <c r="C25" s="4">
        <v>56520</v>
      </c>
      <c r="D25" s="176"/>
      <c r="E25" s="32">
        <v>7816</v>
      </c>
      <c r="F25" s="98" t="s">
        <v>41</v>
      </c>
      <c r="G25" s="32">
        <v>7034</v>
      </c>
      <c r="H25" s="97"/>
    </row>
    <row r="26" spans="1:8" ht="16.5" customHeight="1" x14ac:dyDescent="0.3">
      <c r="A26" s="6">
        <v>-361018</v>
      </c>
      <c r="B26" s="3" t="s">
        <v>168</v>
      </c>
      <c r="C26" s="7">
        <v>0</v>
      </c>
      <c r="D26" s="176">
        <f>SUM(C24:C26)</f>
        <v>56520</v>
      </c>
      <c r="E26" s="32">
        <v>-782</v>
      </c>
      <c r="F26" s="98" t="s">
        <v>67</v>
      </c>
      <c r="G26" s="72">
        <f>-ROUND(G25*10%,0)</f>
        <v>-703</v>
      </c>
      <c r="H26" s="99">
        <f>SUM(G25:G26)</f>
        <v>6331</v>
      </c>
    </row>
    <row r="27" spans="1:8" ht="16.5" customHeight="1" x14ac:dyDescent="0.3">
      <c r="A27" s="6"/>
      <c r="B27" s="53" t="s">
        <v>110</v>
      </c>
      <c r="C27" s="4"/>
      <c r="D27" s="176"/>
      <c r="E27" s="32"/>
      <c r="F27" s="101" t="s">
        <v>106</v>
      </c>
      <c r="G27" s="32"/>
      <c r="H27" s="97"/>
    </row>
    <row r="28" spans="1:8" x14ac:dyDescent="0.3">
      <c r="A28" s="6">
        <v>163800</v>
      </c>
      <c r="B28" s="2" t="s">
        <v>104</v>
      </c>
      <c r="C28" s="4">
        <f>SUM(A28:A30)</f>
        <v>155433</v>
      </c>
      <c r="D28" s="176"/>
      <c r="E28" s="32">
        <v>375</v>
      </c>
      <c r="F28" s="98" t="s">
        <v>41</v>
      </c>
      <c r="G28" s="32">
        <v>319</v>
      </c>
      <c r="H28" s="97"/>
    </row>
    <row r="29" spans="1:8" x14ac:dyDescent="0.3">
      <c r="A29" s="6">
        <v>25200</v>
      </c>
      <c r="B29" s="3" t="s">
        <v>44</v>
      </c>
      <c r="C29" s="4">
        <v>25200</v>
      </c>
      <c r="D29" s="176"/>
      <c r="E29" s="32">
        <v>-56</v>
      </c>
      <c r="F29" s="98" t="s">
        <v>74</v>
      </c>
      <c r="G29" s="72">
        <f>-ROUND(G28*15%,0)</f>
        <v>-48</v>
      </c>
      <c r="H29" s="99">
        <f>SUM(G28:G29)</f>
        <v>271</v>
      </c>
    </row>
    <row r="30" spans="1:8" x14ac:dyDescent="0.3">
      <c r="A30" s="6">
        <v>-33567</v>
      </c>
      <c r="B30" s="3" t="s">
        <v>63</v>
      </c>
      <c r="C30" s="7">
        <v>0</v>
      </c>
      <c r="D30" s="176">
        <f>SUM(C28:C30)</f>
        <v>180633</v>
      </c>
      <c r="E30" s="32"/>
      <c r="F30" s="98"/>
      <c r="G30" s="32"/>
      <c r="H30" s="99"/>
    </row>
    <row r="31" spans="1:8" x14ac:dyDescent="0.3">
      <c r="A31" s="6"/>
      <c r="B31" s="53" t="s">
        <v>111</v>
      </c>
      <c r="C31" s="4"/>
      <c r="D31" s="176"/>
      <c r="E31" s="32"/>
      <c r="F31" s="101" t="s">
        <v>129</v>
      </c>
      <c r="G31" s="32"/>
      <c r="H31" s="97"/>
    </row>
    <row r="32" spans="1:8" x14ac:dyDescent="0.3">
      <c r="A32" s="6">
        <v>62079</v>
      </c>
      <c r="B32" s="2" t="s">
        <v>104</v>
      </c>
      <c r="C32" s="4">
        <f>SUM(A32:A34)</f>
        <v>0</v>
      </c>
      <c r="D32" s="176"/>
      <c r="E32" s="32">
        <v>24258</v>
      </c>
      <c r="F32" s="98" t="s">
        <v>41</v>
      </c>
      <c r="G32" s="32">
        <v>20619</v>
      </c>
      <c r="H32" s="97"/>
    </row>
    <row r="33" spans="1:12" x14ac:dyDescent="0.3">
      <c r="A33" s="6">
        <v>64800</v>
      </c>
      <c r="B33" s="3" t="s">
        <v>44</v>
      </c>
      <c r="C33" s="4">
        <v>64800</v>
      </c>
      <c r="D33" s="176"/>
      <c r="E33" s="32">
        <v>-3639</v>
      </c>
      <c r="F33" s="98" t="s">
        <v>74</v>
      </c>
      <c r="G33" s="72">
        <f>-ROUND(G32*15%,0)</f>
        <v>-3093</v>
      </c>
      <c r="H33" s="99">
        <f>SUM(G32:G33)</f>
        <v>17526</v>
      </c>
    </row>
    <row r="34" spans="1:12" x14ac:dyDescent="0.3">
      <c r="A34" s="6">
        <v>-126879</v>
      </c>
      <c r="B34" s="3" t="s">
        <v>63</v>
      </c>
      <c r="C34" s="7">
        <v>-10000</v>
      </c>
      <c r="D34" s="176">
        <f>SUM(C32:C34)</f>
        <v>54800</v>
      </c>
      <c r="E34" s="32"/>
      <c r="F34" s="98"/>
      <c r="G34" s="32"/>
      <c r="H34" s="97"/>
    </row>
    <row r="35" spans="1:12" x14ac:dyDescent="0.3">
      <c r="A35" s="6"/>
      <c r="B35" s="53" t="s">
        <v>112</v>
      </c>
      <c r="C35" s="4"/>
      <c r="D35" s="176"/>
      <c r="E35" s="32"/>
      <c r="F35" s="101" t="s">
        <v>50</v>
      </c>
      <c r="G35" s="32"/>
      <c r="H35" s="97"/>
      <c r="L35" s="33"/>
    </row>
    <row r="36" spans="1:12" x14ac:dyDescent="0.3">
      <c r="A36" s="6">
        <v>319604</v>
      </c>
      <c r="B36" s="2" t="s">
        <v>104</v>
      </c>
      <c r="C36" s="4">
        <f>SUM(A36:A37)</f>
        <v>166102</v>
      </c>
      <c r="D36" s="176"/>
      <c r="E36" s="32">
        <v>1590</v>
      </c>
      <c r="F36" s="98" t="s">
        <v>75</v>
      </c>
      <c r="G36" s="32">
        <v>1590</v>
      </c>
      <c r="H36" s="97"/>
    </row>
    <row r="37" spans="1:12" x14ac:dyDescent="0.3">
      <c r="A37" s="6">
        <v>-153502</v>
      </c>
      <c r="B37" s="3" t="s">
        <v>169</v>
      </c>
      <c r="C37" s="7">
        <v>0</v>
      </c>
      <c r="D37" s="176">
        <f>SUM(C36:C37)</f>
        <v>166102</v>
      </c>
      <c r="E37" s="32">
        <v>0</v>
      </c>
      <c r="F37" s="98" t="s">
        <v>76</v>
      </c>
      <c r="G37" s="72">
        <v>0</v>
      </c>
      <c r="H37" s="99">
        <f>SUM(G36:G37)</f>
        <v>1590</v>
      </c>
    </row>
    <row r="38" spans="1:12" x14ac:dyDescent="0.3">
      <c r="A38" s="6"/>
      <c r="B38" s="53" t="s">
        <v>113</v>
      </c>
      <c r="C38" s="4"/>
      <c r="D38" s="176"/>
      <c r="E38" s="32"/>
      <c r="F38" s="98"/>
      <c r="G38" s="32"/>
      <c r="H38" s="99"/>
    </row>
    <row r="39" spans="1:12" x14ac:dyDescent="0.3">
      <c r="A39" s="6">
        <v>882</v>
      </c>
      <c r="B39" s="2" t="s">
        <v>104</v>
      </c>
      <c r="C39" s="4">
        <f>SUM(A39:A40)</f>
        <v>882</v>
      </c>
      <c r="D39" s="176"/>
      <c r="E39" s="32"/>
      <c r="F39" s="101" t="s">
        <v>51</v>
      </c>
      <c r="G39" s="32"/>
      <c r="H39" s="99"/>
    </row>
    <row r="40" spans="1:12" x14ac:dyDescent="0.3">
      <c r="A40" s="6">
        <v>0</v>
      </c>
      <c r="B40" s="3" t="s">
        <v>63</v>
      </c>
      <c r="C40" s="7">
        <v>0</v>
      </c>
      <c r="D40" s="176">
        <f>SUM(C39:C40)</f>
        <v>882</v>
      </c>
      <c r="E40" s="32">
        <v>6183</v>
      </c>
      <c r="F40" s="102" t="s">
        <v>167</v>
      </c>
      <c r="G40" s="32">
        <v>6638</v>
      </c>
      <c r="H40" s="97"/>
    </row>
    <row r="41" spans="1:12" x14ac:dyDescent="0.3">
      <c r="A41" s="6"/>
      <c r="B41" s="53" t="s">
        <v>130</v>
      </c>
      <c r="C41" s="4"/>
      <c r="D41" s="176"/>
      <c r="E41" s="32">
        <v>3686</v>
      </c>
      <c r="F41" s="98" t="s">
        <v>77</v>
      </c>
      <c r="G41" s="32">
        <v>3686</v>
      </c>
      <c r="H41" s="97"/>
    </row>
    <row r="42" spans="1:12" x14ac:dyDescent="0.3">
      <c r="A42" s="6">
        <v>273560</v>
      </c>
      <c r="B42" s="3" t="s">
        <v>44</v>
      </c>
      <c r="C42" s="4">
        <f>SUM(A42:A43)</f>
        <v>0</v>
      </c>
      <c r="D42" s="176"/>
      <c r="E42" s="32">
        <v>7715</v>
      </c>
      <c r="F42" s="98" t="s">
        <v>78</v>
      </c>
      <c r="G42" s="72">
        <v>0</v>
      </c>
      <c r="H42" s="99">
        <f>SUM(G40:G42)</f>
        <v>10324</v>
      </c>
    </row>
    <row r="43" spans="1:12" x14ac:dyDescent="0.3">
      <c r="A43" s="6">
        <v>-273560</v>
      </c>
      <c r="B43" s="3" t="s">
        <v>168</v>
      </c>
      <c r="C43" s="7">
        <v>0</v>
      </c>
      <c r="D43" s="176">
        <f>SUM(C42:C43)</f>
        <v>0</v>
      </c>
      <c r="E43" s="30"/>
      <c r="F43" s="13"/>
      <c r="G43" s="32"/>
      <c r="H43" s="99"/>
    </row>
    <row r="44" spans="1:12" x14ac:dyDescent="0.3">
      <c r="A44" s="6"/>
      <c r="B44" s="3"/>
      <c r="C44" s="4"/>
      <c r="D44" s="174"/>
      <c r="E44" s="30"/>
      <c r="F44" s="53" t="s">
        <v>47</v>
      </c>
      <c r="G44" s="30"/>
      <c r="H44" s="21"/>
    </row>
    <row r="45" spans="1:12" x14ac:dyDescent="0.3">
      <c r="A45" s="6"/>
      <c r="B45" s="53" t="s">
        <v>46</v>
      </c>
      <c r="C45" s="4"/>
      <c r="D45" s="174"/>
      <c r="E45" s="30">
        <v>458981.98</v>
      </c>
      <c r="F45" s="2" t="s">
        <v>104</v>
      </c>
      <c r="G45" s="30">
        <f>SUM(E45:E50)</f>
        <v>267520.65999999997</v>
      </c>
      <c r="H45" s="21"/>
    </row>
    <row r="46" spans="1:12" x14ac:dyDescent="0.3">
      <c r="A46" s="6">
        <f>Vendors!B14</f>
        <v>84856</v>
      </c>
      <c r="B46" s="53" t="s">
        <v>131</v>
      </c>
      <c r="C46" s="4">
        <f>Vendors!D14</f>
        <v>35186</v>
      </c>
      <c r="D46" s="174">
        <f>SUM(C46:C46)</f>
        <v>35186</v>
      </c>
      <c r="E46" s="30">
        <f>-IE!A53</f>
        <v>-28893.320000000007</v>
      </c>
      <c r="F46" s="16" t="s">
        <v>79</v>
      </c>
      <c r="G46" s="30">
        <f>-IE!D53</f>
        <v>-10209.650000000023</v>
      </c>
      <c r="H46" s="8"/>
    </row>
    <row r="47" spans="1:12" x14ac:dyDescent="0.3">
      <c r="A47" s="6"/>
      <c r="B47" s="53"/>
      <c r="C47" s="4"/>
      <c r="D47" s="174"/>
      <c r="E47" s="30">
        <v>-153502</v>
      </c>
      <c r="F47" s="16" t="s">
        <v>171</v>
      </c>
      <c r="G47" s="30">
        <v>0</v>
      </c>
      <c r="H47" s="8"/>
    </row>
    <row r="48" spans="1:12" x14ac:dyDescent="0.3">
      <c r="A48" s="6">
        <v>1766</v>
      </c>
      <c r="B48" s="53" t="s">
        <v>132</v>
      </c>
      <c r="C48" s="4"/>
      <c r="D48" s="174">
        <f>Members!E12</f>
        <v>58</v>
      </c>
      <c r="E48" s="30">
        <v>-1425</v>
      </c>
      <c r="F48" s="16" t="s">
        <v>172</v>
      </c>
      <c r="G48" s="30">
        <v>0</v>
      </c>
      <c r="H48" s="8"/>
    </row>
    <row r="49" spans="1:26" x14ac:dyDescent="0.3">
      <c r="A49" s="6"/>
      <c r="B49" s="2"/>
      <c r="C49" s="4"/>
      <c r="D49" s="174"/>
      <c r="E49" s="30">
        <v>-1130</v>
      </c>
      <c r="F49" s="16" t="s">
        <v>174</v>
      </c>
      <c r="G49" s="30">
        <v>0</v>
      </c>
      <c r="H49" s="8"/>
    </row>
    <row r="50" spans="1:26" x14ac:dyDescent="0.3">
      <c r="A50" s="6"/>
      <c r="B50" s="53" t="s">
        <v>135</v>
      </c>
      <c r="C50" s="4"/>
      <c r="D50" s="174"/>
      <c r="E50" s="30">
        <v>-6511</v>
      </c>
      <c r="F50" s="16" t="s">
        <v>175</v>
      </c>
      <c r="G50" s="105">
        <v>0</v>
      </c>
      <c r="H50" s="8">
        <f>SUM(G45:G50)</f>
        <v>257311.00999999995</v>
      </c>
    </row>
    <row r="51" spans="1:26" x14ac:dyDescent="0.3">
      <c r="A51" s="6">
        <v>25000</v>
      </c>
      <c r="B51" s="2" t="s">
        <v>173</v>
      </c>
      <c r="C51" s="4">
        <v>25000</v>
      </c>
      <c r="D51" s="174">
        <f>SUM(C51:C51)</f>
        <v>25000</v>
      </c>
      <c r="E51" s="30"/>
      <c r="F51" s="16"/>
      <c r="G51" s="30"/>
      <c r="H51" s="8"/>
    </row>
    <row r="52" spans="1:26" ht="15" thickBot="1" x14ac:dyDescent="0.35">
      <c r="A52" s="42">
        <f>SUM(A11:A51)</f>
        <v>807150</v>
      </c>
      <c r="B52" s="194" t="s">
        <v>45</v>
      </c>
      <c r="C52" s="195"/>
      <c r="D52" s="177">
        <f>SUM(D11:D51)</f>
        <v>929052</v>
      </c>
      <c r="E52" s="172">
        <f>SUM(E7:E50)</f>
        <v>807150</v>
      </c>
      <c r="F52" s="194" t="s">
        <v>45</v>
      </c>
      <c r="G52" s="195"/>
      <c r="H52" s="42">
        <f>SUM(H7:H50)</f>
        <v>929052</v>
      </c>
    </row>
    <row r="53" spans="1:26" customFormat="1" ht="8.1" customHeight="1" thickTop="1" x14ac:dyDescent="0.3">
      <c r="A53" s="131"/>
      <c r="B53" s="132"/>
      <c r="C53" s="132"/>
      <c r="D53" s="133"/>
      <c r="E53" s="132"/>
      <c r="F53" s="132"/>
      <c r="G53" s="132"/>
      <c r="H53" s="134"/>
    </row>
    <row r="54" spans="1:26" customFormat="1" x14ac:dyDescent="0.3">
      <c r="A54" s="131" t="s">
        <v>208</v>
      </c>
      <c r="B54" s="132"/>
      <c r="C54" s="132"/>
      <c r="D54" s="132"/>
      <c r="E54" s="196" t="s">
        <v>213</v>
      </c>
      <c r="F54" s="196"/>
      <c r="G54" s="196"/>
      <c r="H54" s="135"/>
    </row>
    <row r="55" spans="1:26" customFormat="1" x14ac:dyDescent="0.3">
      <c r="A55" s="131"/>
      <c r="B55" s="132"/>
      <c r="C55" s="132"/>
      <c r="D55" s="133"/>
      <c r="E55" s="132"/>
      <c r="F55" s="132"/>
      <c r="G55" s="132"/>
      <c r="H55" s="134"/>
    </row>
    <row r="56" spans="1:26" customFormat="1" x14ac:dyDescent="0.3">
      <c r="A56" s="131"/>
      <c r="B56" s="132"/>
      <c r="C56" s="132"/>
      <c r="D56" s="133"/>
      <c r="E56" s="132"/>
      <c r="F56" s="132"/>
      <c r="G56" s="132"/>
      <c r="H56" s="134"/>
    </row>
    <row r="57" spans="1:26" customFormat="1" x14ac:dyDescent="0.3">
      <c r="A57" s="131"/>
      <c r="B57" s="132"/>
      <c r="C57" s="132"/>
      <c r="D57" s="133"/>
      <c r="E57" s="132"/>
      <c r="F57" s="132"/>
      <c r="G57" s="132"/>
      <c r="H57" s="134"/>
      <c r="I57" s="29"/>
      <c r="J57" s="29"/>
    </row>
    <row r="58" spans="1:26" customFormat="1" x14ac:dyDescent="0.3">
      <c r="A58" s="136" t="s">
        <v>209</v>
      </c>
      <c r="B58" s="132"/>
      <c r="C58" s="132"/>
      <c r="D58" s="133"/>
      <c r="E58" s="132"/>
      <c r="F58" s="132"/>
      <c r="G58" s="132"/>
      <c r="H58" s="134"/>
      <c r="I58" s="29">
        <f>A52-E52</f>
        <v>0</v>
      </c>
      <c r="J58" s="29">
        <f>D52-H52</f>
        <v>0</v>
      </c>
    </row>
    <row r="59" spans="1:26" customFormat="1" ht="14.25" customHeight="1" x14ac:dyDescent="0.3">
      <c r="A59" s="131" t="s">
        <v>210</v>
      </c>
      <c r="B59" s="132"/>
      <c r="C59" s="132"/>
      <c r="D59" s="133"/>
      <c r="H59" s="137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</row>
    <row r="60" spans="1:26" customFormat="1" ht="14.25" customHeight="1" x14ac:dyDescent="0.3">
      <c r="A60" s="131" t="s">
        <v>211</v>
      </c>
      <c r="B60" s="132"/>
      <c r="C60" s="132"/>
      <c r="D60" s="133"/>
      <c r="E60" s="196" t="s">
        <v>212</v>
      </c>
      <c r="F60" s="196"/>
      <c r="G60" s="196"/>
      <c r="H60" s="134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</row>
    <row r="61" spans="1:26" customFormat="1" ht="14.25" customHeight="1" x14ac:dyDescent="0.3">
      <c r="A61" s="197">
        <v>46263</v>
      </c>
      <c r="B61" s="198"/>
      <c r="C61" s="198"/>
      <c r="D61" s="138"/>
      <c r="E61" s="139"/>
      <c r="F61" s="139"/>
      <c r="G61" s="139"/>
      <c r="H61" s="140"/>
      <c r="I61" s="132">
        <f>D52-H52</f>
        <v>0</v>
      </c>
      <c r="J61" s="132">
        <f>A52-E52</f>
        <v>0</v>
      </c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</row>
  </sheetData>
  <mergeCells count="11">
    <mergeCell ref="E54:G54"/>
    <mergeCell ref="E60:G60"/>
    <mergeCell ref="A61:C61"/>
    <mergeCell ref="F52:G52"/>
    <mergeCell ref="B52:C52"/>
    <mergeCell ref="A1:H1"/>
    <mergeCell ref="A3:H3"/>
    <mergeCell ref="A4:H4"/>
    <mergeCell ref="B6:C6"/>
    <mergeCell ref="F6:G6"/>
    <mergeCell ref="A2:H2"/>
  </mergeCells>
  <printOptions horizontalCentered="1"/>
  <pageMargins left="0.23622047244094491" right="0.23622047244094491" top="0.59055118110236227" bottom="0.19685039370078741" header="0.31496062992125984" footer="0.31496062992125984"/>
  <pageSetup paperSize="9" scale="6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08F65-F724-4936-BF9D-BD92EE0F2CC7}">
  <sheetPr>
    <pageSetUpPr fitToPage="1"/>
  </sheetPr>
  <dimension ref="A1:Z69"/>
  <sheetViews>
    <sheetView view="pageBreakPreview" topLeftCell="A32" zoomScaleNormal="100" zoomScaleSheetLayoutView="100" workbookViewId="0">
      <selection activeCell="B8" sqref="B8"/>
    </sheetView>
  </sheetViews>
  <sheetFormatPr defaultColWidth="8.77734375" defaultRowHeight="14.4" x14ac:dyDescent="0.3"/>
  <cols>
    <col min="1" max="1" width="14.77734375" style="107" bestFit="1" customWidth="1"/>
    <col min="2" max="2" width="29" style="107" customWidth="1"/>
    <col min="3" max="3" width="10.77734375" style="107" bestFit="1" customWidth="1"/>
    <col min="4" max="5" width="14.77734375" style="107" bestFit="1" customWidth="1"/>
    <col min="6" max="6" width="29.44140625" style="107" customWidth="1"/>
    <col min="7" max="7" width="11.44140625" style="107" bestFit="1" customWidth="1"/>
    <col min="8" max="8" width="14.77734375" style="107" bestFit="1" customWidth="1"/>
    <col min="9" max="9" width="10" style="107" bestFit="1" customWidth="1"/>
    <col min="10" max="10" width="11.44140625" style="107" bestFit="1" customWidth="1"/>
    <col min="11" max="11" width="12" style="107" bestFit="1" customWidth="1"/>
    <col min="12" max="16384" width="8.77734375" style="107"/>
  </cols>
  <sheetData>
    <row r="1" spans="1:8" ht="18" x14ac:dyDescent="0.3">
      <c r="A1" s="201" t="str">
        <f>BS!A1</f>
        <v>DAVE DOLL CO-OPERATIVE HOUSING SOCIETY LTD</v>
      </c>
      <c r="B1" s="201"/>
      <c r="C1" s="201"/>
      <c r="D1" s="201"/>
      <c r="E1" s="201"/>
      <c r="F1" s="201"/>
      <c r="G1" s="201"/>
      <c r="H1" s="201"/>
    </row>
    <row r="2" spans="1:8" x14ac:dyDescent="0.3">
      <c r="A2" s="202" t="s">
        <v>137</v>
      </c>
      <c r="B2" s="202"/>
      <c r="C2" s="202"/>
      <c r="D2" s="202"/>
      <c r="E2" s="202"/>
      <c r="F2" s="202"/>
      <c r="G2" s="202"/>
      <c r="H2" s="202"/>
    </row>
    <row r="3" spans="1:8" x14ac:dyDescent="0.3">
      <c r="A3" s="202" t="str">
        <f>BS!A3</f>
        <v>D'Monte Lane, C.S.T. No. 520/521/522, Orlem, Malad(West), Mumbai, Maharashtra - 400064</v>
      </c>
      <c r="B3" s="202"/>
      <c r="C3" s="202"/>
      <c r="D3" s="202"/>
      <c r="E3" s="202"/>
      <c r="F3" s="202"/>
      <c r="G3" s="202"/>
      <c r="H3" s="202"/>
    </row>
    <row r="4" spans="1:8" ht="18" x14ac:dyDescent="0.3">
      <c r="A4" s="203" t="s">
        <v>176</v>
      </c>
      <c r="B4" s="203"/>
      <c r="C4" s="203"/>
      <c r="D4" s="203"/>
      <c r="E4" s="203"/>
      <c r="F4" s="203"/>
      <c r="G4" s="203"/>
      <c r="H4" s="203"/>
    </row>
    <row r="5" spans="1:8" x14ac:dyDescent="0.3">
      <c r="A5" s="108"/>
      <c r="B5" s="108"/>
      <c r="C5" s="108"/>
      <c r="D5" s="108"/>
      <c r="E5" s="108"/>
      <c r="F5" s="108"/>
      <c r="G5" s="108"/>
      <c r="H5" s="109" t="s">
        <v>92</v>
      </c>
    </row>
    <row r="6" spans="1:8" s="111" customFormat="1" ht="15" thickBot="1" x14ac:dyDescent="0.35">
      <c r="A6" s="110">
        <f>BS!A6</f>
        <v>45747</v>
      </c>
      <c r="B6" s="199" t="s">
        <v>52</v>
      </c>
      <c r="C6" s="200"/>
      <c r="D6" s="180">
        <f>BS!D6</f>
        <v>46112</v>
      </c>
      <c r="E6" s="178">
        <f>A6</f>
        <v>45747</v>
      </c>
      <c r="F6" s="199" t="s">
        <v>53</v>
      </c>
      <c r="G6" s="200"/>
      <c r="H6" s="110">
        <f>D6</f>
        <v>46112</v>
      </c>
    </row>
    <row r="7" spans="1:8" ht="16.05" customHeight="1" thickTop="1" x14ac:dyDescent="0.3">
      <c r="A7" s="112"/>
      <c r="B7" s="113" t="s">
        <v>215</v>
      </c>
      <c r="C7" s="114"/>
      <c r="D7" s="181"/>
      <c r="E7" s="114"/>
      <c r="F7" s="113" t="s">
        <v>95</v>
      </c>
      <c r="G7" s="114"/>
      <c r="H7" s="112"/>
    </row>
    <row r="8" spans="1:8" ht="16.05" customHeight="1" x14ac:dyDescent="0.3">
      <c r="A8" s="112">
        <v>59012</v>
      </c>
      <c r="B8" s="115" t="s">
        <v>214</v>
      </c>
      <c r="C8" s="114"/>
      <c r="D8" s="182">
        <v>81134</v>
      </c>
      <c r="E8" s="114">
        <v>59016</v>
      </c>
      <c r="F8" s="115" t="s">
        <v>57</v>
      </c>
      <c r="G8" s="114">
        <f>75612+5532</f>
        <v>81144</v>
      </c>
      <c r="H8" s="112"/>
    </row>
    <row r="9" spans="1:8" ht="16.05" customHeight="1" x14ac:dyDescent="0.3">
      <c r="A9" s="112"/>
      <c r="B9" s="115"/>
      <c r="C9" s="114"/>
      <c r="D9" s="181"/>
      <c r="E9" s="114">
        <v>87264</v>
      </c>
      <c r="F9" s="115" t="s">
        <v>14</v>
      </c>
      <c r="G9" s="114">
        <v>87264</v>
      </c>
      <c r="H9" s="112"/>
    </row>
    <row r="10" spans="1:8" ht="16.05" customHeight="1" x14ac:dyDescent="0.3">
      <c r="A10" s="112"/>
      <c r="B10" s="113" t="s">
        <v>99</v>
      </c>
      <c r="C10" s="114"/>
      <c r="D10" s="181"/>
      <c r="E10" s="114">
        <v>47088</v>
      </c>
      <c r="F10" s="115" t="s">
        <v>24</v>
      </c>
      <c r="G10" s="114">
        <v>47088</v>
      </c>
      <c r="H10" s="112"/>
    </row>
    <row r="11" spans="1:8" ht="16.05" customHeight="1" x14ac:dyDescent="0.3">
      <c r="A11" s="112">
        <v>40371.68</v>
      </c>
      <c r="B11" s="115" t="s">
        <v>25</v>
      </c>
      <c r="C11" s="114"/>
      <c r="D11" s="182">
        <v>50176.35</v>
      </c>
      <c r="E11" s="114">
        <v>41760</v>
      </c>
      <c r="F11" s="115" t="s">
        <v>58</v>
      </c>
      <c r="G11" s="114">
        <v>41760</v>
      </c>
      <c r="H11" s="112"/>
    </row>
    <row r="12" spans="1:8" ht="16.05" customHeight="1" x14ac:dyDescent="0.3">
      <c r="A12" s="112"/>
      <c r="B12" s="113" t="s">
        <v>100</v>
      </c>
      <c r="C12" s="114"/>
      <c r="D12" s="181"/>
      <c r="E12" s="114">
        <v>10800</v>
      </c>
      <c r="F12" s="115" t="s">
        <v>17</v>
      </c>
      <c r="G12" s="114">
        <v>10800</v>
      </c>
      <c r="H12" s="112"/>
    </row>
    <row r="13" spans="1:8" ht="16.05" customHeight="1" x14ac:dyDescent="0.3">
      <c r="A13" s="112">
        <v>35082</v>
      </c>
      <c r="B13" s="115" t="s">
        <v>26</v>
      </c>
      <c r="C13" s="114">
        <v>26476</v>
      </c>
      <c r="D13" s="181"/>
      <c r="E13" s="114">
        <v>6344</v>
      </c>
      <c r="F13" s="115" t="s">
        <v>18</v>
      </c>
      <c r="G13" s="114">
        <v>5114</v>
      </c>
      <c r="H13" s="112"/>
    </row>
    <row r="14" spans="1:8" ht="16.05" customHeight="1" x14ac:dyDescent="0.3">
      <c r="A14" s="112">
        <v>0</v>
      </c>
      <c r="B14" s="115" t="s">
        <v>118</v>
      </c>
      <c r="C14" s="114">
        <v>0</v>
      </c>
      <c r="D14" s="181"/>
      <c r="E14" s="114">
        <v>2205</v>
      </c>
      <c r="F14" s="115" t="s">
        <v>15</v>
      </c>
      <c r="G14" s="114">
        <f>2695+163</f>
        <v>2858</v>
      </c>
      <c r="H14" s="112"/>
    </row>
    <row r="15" spans="1:8" ht="16.05" customHeight="1" x14ac:dyDescent="0.3">
      <c r="A15" s="112">
        <v>0</v>
      </c>
      <c r="B15" s="115" t="s">
        <v>59</v>
      </c>
      <c r="C15" s="117">
        <v>2600</v>
      </c>
      <c r="D15" s="182">
        <f>SUM(C13:C15)</f>
        <v>29076</v>
      </c>
      <c r="E15" s="114">
        <v>14000</v>
      </c>
      <c r="F15" s="115" t="s">
        <v>16</v>
      </c>
      <c r="G15" s="114">
        <f>6000+8400+1000</f>
        <v>15400</v>
      </c>
      <c r="H15" s="116"/>
    </row>
    <row r="16" spans="1:8" ht="16.05" customHeight="1" x14ac:dyDescent="0.3">
      <c r="A16" s="112"/>
      <c r="B16" s="113" t="s">
        <v>101</v>
      </c>
      <c r="C16" s="114"/>
      <c r="D16" s="181"/>
      <c r="E16" s="114">
        <v>25200</v>
      </c>
      <c r="F16" s="115" t="s">
        <v>162</v>
      </c>
      <c r="G16" s="114">
        <v>25200</v>
      </c>
      <c r="H16" s="116"/>
    </row>
    <row r="17" spans="1:8" ht="16.05" customHeight="1" x14ac:dyDescent="0.3">
      <c r="A17" s="112">
        <v>30000</v>
      </c>
      <c r="B17" s="115" t="s">
        <v>29</v>
      </c>
      <c r="C17" s="114">
        <v>32900</v>
      </c>
      <c r="D17" s="181"/>
      <c r="E17" s="114">
        <v>21600</v>
      </c>
      <c r="F17" s="115" t="s">
        <v>5</v>
      </c>
      <c r="G17" s="114">
        <v>21600</v>
      </c>
      <c r="H17" s="116"/>
    </row>
    <row r="18" spans="1:8" ht="16.05" customHeight="1" x14ac:dyDescent="0.3">
      <c r="A18" s="112">
        <v>2500</v>
      </c>
      <c r="B18" s="115" t="s">
        <v>30</v>
      </c>
      <c r="C18" s="117">
        <v>0</v>
      </c>
      <c r="D18" s="182">
        <f>SUM(C17:C18)</f>
        <v>32900</v>
      </c>
      <c r="E18" s="114">
        <v>56520</v>
      </c>
      <c r="F18" s="115" t="s">
        <v>163</v>
      </c>
      <c r="G18" s="114">
        <v>56520</v>
      </c>
      <c r="H18" s="116"/>
    </row>
    <row r="19" spans="1:8" ht="16.05" customHeight="1" x14ac:dyDescent="0.3">
      <c r="A19" s="112"/>
      <c r="B19" s="113" t="s">
        <v>97</v>
      </c>
      <c r="C19" s="114"/>
      <c r="D19" s="181"/>
      <c r="E19" s="114">
        <v>64800</v>
      </c>
      <c r="F19" s="115" t="s">
        <v>161</v>
      </c>
      <c r="G19" s="117">
        <v>64800</v>
      </c>
      <c r="H19" s="116">
        <f>SUM(G8:G19)</f>
        <v>459548</v>
      </c>
    </row>
    <row r="20" spans="1:8" ht="16.05" customHeight="1" x14ac:dyDescent="0.3">
      <c r="A20" s="112">
        <v>33567</v>
      </c>
      <c r="B20" s="115" t="s">
        <v>60</v>
      </c>
      <c r="C20" s="114">
        <v>15475</v>
      </c>
      <c r="D20" s="181"/>
      <c r="E20" s="114"/>
      <c r="F20" s="115"/>
      <c r="G20" s="114"/>
      <c r="H20" s="116"/>
    </row>
    <row r="21" spans="1:8" ht="16.05" customHeight="1" x14ac:dyDescent="0.3">
      <c r="A21" s="112">
        <v>-33567</v>
      </c>
      <c r="B21" s="115" t="s">
        <v>165</v>
      </c>
      <c r="C21" s="114">
        <v>0</v>
      </c>
      <c r="D21" s="181"/>
      <c r="E21" s="114"/>
      <c r="F21" s="115"/>
      <c r="G21" s="114"/>
      <c r="H21" s="116"/>
    </row>
    <row r="22" spans="1:8" ht="16.05" customHeight="1" x14ac:dyDescent="0.3">
      <c r="A22" s="112">
        <v>5700</v>
      </c>
      <c r="B22" s="115" t="s">
        <v>61</v>
      </c>
      <c r="C22" s="114">
        <v>2380</v>
      </c>
      <c r="D22" s="181"/>
      <c r="E22" s="114"/>
      <c r="F22" s="115"/>
      <c r="G22" s="114"/>
      <c r="H22" s="112"/>
    </row>
    <row r="23" spans="1:8" ht="16.05" customHeight="1" x14ac:dyDescent="0.3">
      <c r="A23" s="112">
        <v>14304</v>
      </c>
      <c r="B23" s="115" t="s">
        <v>31</v>
      </c>
      <c r="C23" s="114">
        <v>14280</v>
      </c>
      <c r="D23" s="181"/>
      <c r="E23" s="114"/>
      <c r="F23" s="113" t="s">
        <v>96</v>
      </c>
      <c r="G23" s="114"/>
      <c r="H23" s="116"/>
    </row>
    <row r="24" spans="1:8" ht="16.05" customHeight="1" x14ac:dyDescent="0.3">
      <c r="A24" s="112">
        <v>3680</v>
      </c>
      <c r="B24" s="115" t="s">
        <v>119</v>
      </c>
      <c r="C24" s="114">
        <v>0</v>
      </c>
      <c r="D24" s="181"/>
      <c r="E24" s="114">
        <v>14023</v>
      </c>
      <c r="F24" s="115" t="s">
        <v>20</v>
      </c>
      <c r="G24" s="114">
        <v>8592</v>
      </c>
      <c r="H24" s="116"/>
    </row>
    <row r="25" spans="1:8" ht="16.05" customHeight="1" x14ac:dyDescent="0.3">
      <c r="A25" s="112">
        <v>0</v>
      </c>
      <c r="B25" s="115" t="s">
        <v>161</v>
      </c>
      <c r="C25" s="114">
        <v>10000</v>
      </c>
      <c r="D25" s="181"/>
      <c r="E25" s="114">
        <v>11989</v>
      </c>
      <c r="F25" s="118" t="s">
        <v>21</v>
      </c>
      <c r="G25" s="114">
        <v>15160</v>
      </c>
      <c r="H25" s="112"/>
    </row>
    <row r="26" spans="1:8" ht="16.05" customHeight="1" x14ac:dyDescent="0.3">
      <c r="A26" s="112">
        <v>0</v>
      </c>
      <c r="B26" s="115" t="s">
        <v>195</v>
      </c>
      <c r="C26" s="114">
        <v>-10000</v>
      </c>
      <c r="D26" s="181"/>
      <c r="E26" s="114">
        <v>-11989</v>
      </c>
      <c r="F26" s="115" t="s">
        <v>22</v>
      </c>
      <c r="G26" s="117">
        <v>-15160</v>
      </c>
      <c r="H26" s="116">
        <f>SUM(G24:G26)</f>
        <v>8592</v>
      </c>
    </row>
    <row r="27" spans="1:8" ht="16.05" customHeight="1" x14ac:dyDescent="0.3">
      <c r="A27" s="112">
        <v>5937</v>
      </c>
      <c r="B27" s="115" t="s">
        <v>32</v>
      </c>
      <c r="C27" s="117">
        <v>7715</v>
      </c>
      <c r="D27" s="182">
        <f>SUM(C20:C27)</f>
        <v>39850</v>
      </c>
      <c r="E27" s="114"/>
      <c r="F27" s="115"/>
      <c r="G27" s="114"/>
      <c r="H27" s="112"/>
    </row>
    <row r="28" spans="1:8" ht="16.05" customHeight="1" x14ac:dyDescent="0.3">
      <c r="A28" s="112"/>
      <c r="B28" s="113" t="s">
        <v>98</v>
      </c>
      <c r="C28" s="114"/>
      <c r="D28" s="181"/>
      <c r="E28" s="114"/>
      <c r="F28" s="113"/>
      <c r="G28" s="114"/>
      <c r="H28" s="116"/>
    </row>
    <row r="29" spans="1:8" ht="16.05" customHeight="1" x14ac:dyDescent="0.3">
      <c r="A29" s="112">
        <v>12592</v>
      </c>
      <c r="B29" s="115" t="s">
        <v>38</v>
      </c>
      <c r="C29" s="114">
        <v>12592</v>
      </c>
      <c r="D29" s="181"/>
      <c r="E29" s="114"/>
      <c r="F29" s="115"/>
      <c r="G29" s="114"/>
      <c r="H29" s="116"/>
    </row>
    <row r="30" spans="1:8" ht="16.05" customHeight="1" x14ac:dyDescent="0.3">
      <c r="A30" s="112">
        <v>19808</v>
      </c>
      <c r="B30" s="115" t="s">
        <v>34</v>
      </c>
      <c r="C30" s="114">
        <v>19500</v>
      </c>
      <c r="D30" s="181"/>
      <c r="E30" s="114"/>
      <c r="F30" s="115"/>
      <c r="G30" s="114"/>
      <c r="H30" s="116"/>
    </row>
    <row r="31" spans="1:8" ht="16.05" customHeight="1" x14ac:dyDescent="0.3">
      <c r="A31" s="112">
        <v>826</v>
      </c>
      <c r="B31" s="115" t="s">
        <v>35</v>
      </c>
      <c r="C31" s="114">
        <v>0</v>
      </c>
      <c r="D31" s="181"/>
      <c r="E31" s="114"/>
      <c r="F31" s="115"/>
      <c r="G31" s="114"/>
      <c r="H31" s="116"/>
    </row>
    <row r="32" spans="1:8" ht="16.05" customHeight="1" x14ac:dyDescent="0.3">
      <c r="A32" s="112">
        <v>2000</v>
      </c>
      <c r="B32" s="115" t="s">
        <v>36</v>
      </c>
      <c r="C32" s="114">
        <v>2500</v>
      </c>
      <c r="D32" s="181"/>
      <c r="E32" s="114"/>
      <c r="F32" s="115"/>
      <c r="G32" s="114"/>
      <c r="H32" s="116"/>
    </row>
    <row r="33" spans="1:8" ht="16.05" customHeight="1" x14ac:dyDescent="0.3">
      <c r="A33" s="112">
        <v>4500</v>
      </c>
      <c r="B33" s="115" t="s">
        <v>37</v>
      </c>
      <c r="C33" s="117">
        <v>1500</v>
      </c>
      <c r="D33" s="182">
        <f>SUM(C29:C33)</f>
        <v>36092</v>
      </c>
      <c r="E33" s="114"/>
      <c r="F33" s="115"/>
      <c r="G33" s="114"/>
      <c r="H33" s="116"/>
    </row>
    <row r="34" spans="1:8" ht="16.05" customHeight="1" x14ac:dyDescent="0.3">
      <c r="A34" s="112"/>
      <c r="B34" s="113" t="s">
        <v>94</v>
      </c>
      <c r="C34" s="114"/>
      <c r="D34" s="181"/>
      <c r="E34" s="114"/>
      <c r="F34" s="115"/>
      <c r="G34" s="114"/>
      <c r="H34" s="116"/>
    </row>
    <row r="35" spans="1:8" ht="16.05" customHeight="1" x14ac:dyDescent="0.3">
      <c r="A35" s="112">
        <v>1374</v>
      </c>
      <c r="B35" s="115" t="s">
        <v>39</v>
      </c>
      <c r="C35" s="114">
        <v>5642</v>
      </c>
      <c r="D35" s="181"/>
      <c r="E35" s="114"/>
      <c r="F35" s="115"/>
      <c r="G35" s="114"/>
      <c r="H35" s="116"/>
    </row>
    <row r="36" spans="1:8" ht="16.05" customHeight="1" x14ac:dyDescent="0.3">
      <c r="A36" s="112">
        <v>4477</v>
      </c>
      <c r="B36" s="115" t="s">
        <v>116</v>
      </c>
      <c r="C36" s="114">
        <v>3844</v>
      </c>
      <c r="D36" s="181"/>
      <c r="E36" s="114"/>
      <c r="F36" s="115"/>
      <c r="G36" s="114"/>
      <c r="H36" s="116"/>
    </row>
    <row r="37" spans="1:8" ht="16.05" customHeight="1" x14ac:dyDescent="0.3">
      <c r="A37" s="112">
        <v>0</v>
      </c>
      <c r="B37" s="115" t="s">
        <v>62</v>
      </c>
      <c r="C37" s="114">
        <v>1200</v>
      </c>
      <c r="D37" s="181"/>
      <c r="E37" s="114"/>
      <c r="F37" s="115"/>
      <c r="G37" s="114"/>
      <c r="H37" s="116"/>
    </row>
    <row r="38" spans="1:8" ht="16.05" customHeight="1" x14ac:dyDescent="0.3">
      <c r="A38" s="112">
        <v>1270</v>
      </c>
      <c r="B38" s="115" t="s">
        <v>166</v>
      </c>
      <c r="C38" s="114">
        <v>300</v>
      </c>
      <c r="D38" s="181"/>
      <c r="E38" s="114"/>
      <c r="F38" s="115"/>
      <c r="G38" s="114"/>
      <c r="H38" s="116"/>
    </row>
    <row r="39" spans="1:8" ht="16.05" customHeight="1" x14ac:dyDescent="0.3">
      <c r="A39" s="112">
        <v>472</v>
      </c>
      <c r="B39" s="115" t="s">
        <v>40</v>
      </c>
      <c r="C39" s="114">
        <v>177</v>
      </c>
      <c r="D39" s="181"/>
      <c r="E39" s="114"/>
      <c r="F39" s="115"/>
      <c r="G39" s="114"/>
      <c r="H39" s="116"/>
    </row>
    <row r="40" spans="1:8" ht="16.05" customHeight="1" x14ac:dyDescent="0.3">
      <c r="A40" s="112">
        <v>70</v>
      </c>
      <c r="B40" s="115" t="s">
        <v>117</v>
      </c>
      <c r="C40" s="114">
        <v>0</v>
      </c>
      <c r="D40" s="181"/>
      <c r="E40" s="114"/>
      <c r="F40" s="115"/>
      <c r="G40" s="114"/>
      <c r="H40" s="116"/>
    </row>
    <row r="41" spans="1:8" ht="16.05" customHeight="1" x14ac:dyDescent="0.3">
      <c r="A41" s="112">
        <v>0</v>
      </c>
      <c r="B41" s="115" t="s">
        <v>83</v>
      </c>
      <c r="C41" s="114">
        <v>430</v>
      </c>
      <c r="D41" s="181"/>
      <c r="E41" s="114"/>
      <c r="F41" s="115"/>
      <c r="G41" s="114"/>
      <c r="H41" s="116"/>
    </row>
    <row r="42" spans="1:8" ht="16.05" customHeight="1" x14ac:dyDescent="0.3">
      <c r="A42" s="112">
        <v>0</v>
      </c>
      <c r="B42" s="115" t="s">
        <v>82</v>
      </c>
      <c r="C42" s="114">
        <v>1426</v>
      </c>
      <c r="D42" s="181"/>
      <c r="E42" s="114"/>
      <c r="F42" s="115"/>
      <c r="G42" s="114"/>
      <c r="H42" s="116"/>
    </row>
    <row r="43" spans="1:8" ht="16.05" customHeight="1" x14ac:dyDescent="0.3">
      <c r="A43" s="112">
        <v>0</v>
      </c>
      <c r="B43" s="115" t="s">
        <v>81</v>
      </c>
      <c r="C43" s="114">
        <v>63</v>
      </c>
      <c r="D43" s="181"/>
      <c r="E43" s="114"/>
      <c r="F43" s="115"/>
      <c r="G43" s="114"/>
      <c r="H43" s="116"/>
    </row>
    <row r="44" spans="1:8" ht="16.05" customHeight="1" x14ac:dyDescent="0.3">
      <c r="A44" s="112"/>
      <c r="B44" s="115" t="s">
        <v>178</v>
      </c>
      <c r="C44" s="117">
        <v>7500</v>
      </c>
      <c r="D44" s="182">
        <f>SUM(C35:C44)</f>
        <v>20582</v>
      </c>
      <c r="E44" s="114"/>
      <c r="F44" s="115"/>
      <c r="G44" s="114"/>
      <c r="H44" s="116"/>
    </row>
    <row r="45" spans="1:8" ht="16.05" customHeight="1" x14ac:dyDescent="0.3">
      <c r="A45" s="112"/>
      <c r="B45" s="119" t="s">
        <v>164</v>
      </c>
      <c r="C45" s="114"/>
      <c r="D45" s="182"/>
      <c r="E45" s="114"/>
      <c r="F45" s="115"/>
      <c r="G45" s="114"/>
      <c r="H45" s="116"/>
    </row>
    <row r="46" spans="1:8" ht="16.05" customHeight="1" x14ac:dyDescent="0.3">
      <c r="A46" s="112">
        <v>25200</v>
      </c>
      <c r="B46" s="115" t="s">
        <v>162</v>
      </c>
      <c r="C46" s="114">
        <v>25200</v>
      </c>
      <c r="D46" s="182"/>
      <c r="E46" s="114"/>
      <c r="F46" s="115"/>
      <c r="G46" s="114"/>
      <c r="H46" s="116"/>
    </row>
    <row r="47" spans="1:8" ht="16.05" customHeight="1" x14ac:dyDescent="0.3">
      <c r="A47" s="112">
        <v>21600</v>
      </c>
      <c r="B47" s="115" t="s">
        <v>5</v>
      </c>
      <c r="C47" s="114">
        <v>21600</v>
      </c>
      <c r="D47" s="182"/>
      <c r="E47" s="114"/>
      <c r="F47" s="115"/>
      <c r="G47" s="114"/>
      <c r="H47" s="116"/>
    </row>
    <row r="48" spans="1:8" ht="16.05" customHeight="1" x14ac:dyDescent="0.3">
      <c r="A48" s="112">
        <v>56520</v>
      </c>
      <c r="B48" s="115" t="s">
        <v>163</v>
      </c>
      <c r="C48" s="114">
        <v>56520</v>
      </c>
      <c r="D48" s="182"/>
      <c r="E48" s="114"/>
      <c r="F48" s="115"/>
      <c r="G48" s="114"/>
      <c r="H48" s="116"/>
    </row>
    <row r="49" spans="1:10" ht="16.05" customHeight="1" x14ac:dyDescent="0.3">
      <c r="A49" s="112">
        <v>64800</v>
      </c>
      <c r="B49" s="115" t="s">
        <v>161</v>
      </c>
      <c r="C49" s="117">
        <v>64800</v>
      </c>
      <c r="D49" s="182">
        <f>SUM(C46:C49)</f>
        <v>168120</v>
      </c>
      <c r="E49" s="114"/>
      <c r="F49" s="115"/>
      <c r="G49" s="114"/>
      <c r="H49" s="116"/>
    </row>
    <row r="50" spans="1:10" ht="7.95" customHeight="1" x14ac:dyDescent="0.3">
      <c r="A50" s="112"/>
      <c r="B50" s="115"/>
      <c r="C50" s="114"/>
      <c r="D50" s="182"/>
      <c r="E50" s="114"/>
      <c r="F50" s="115"/>
      <c r="G50" s="114"/>
      <c r="H50" s="116"/>
    </row>
    <row r="51" spans="1:10" ht="16.05" customHeight="1" x14ac:dyDescent="0.3">
      <c r="A51" s="112"/>
      <c r="B51" s="113" t="s">
        <v>93</v>
      </c>
      <c r="C51" s="114"/>
      <c r="D51" s="181"/>
      <c r="E51" s="114"/>
      <c r="F51" s="115"/>
      <c r="G51" s="114"/>
      <c r="H51" s="116"/>
    </row>
    <row r="52" spans="1:10" ht="16.05" customHeight="1" x14ac:dyDescent="0.3">
      <c r="A52" s="112">
        <v>9631</v>
      </c>
      <c r="B52" s="115" t="s">
        <v>23</v>
      </c>
      <c r="C52" s="114"/>
      <c r="D52" s="182">
        <v>0</v>
      </c>
      <c r="E52" s="114"/>
      <c r="F52" s="115"/>
      <c r="G52" s="114"/>
      <c r="H52" s="116"/>
    </row>
    <row r="53" spans="1:10" ht="16.05" customHeight="1" x14ac:dyDescent="0.3">
      <c r="A53" s="112">
        <f>E54-SUM(A8:A52)</f>
        <v>28893.320000000007</v>
      </c>
      <c r="B53" s="115" t="s">
        <v>102</v>
      </c>
      <c r="C53" s="114"/>
      <c r="D53" s="182">
        <f>H54-SUM(D8:D52)</f>
        <v>10209.650000000023</v>
      </c>
      <c r="E53" s="114"/>
      <c r="F53" s="115"/>
      <c r="G53" s="114"/>
      <c r="H53" s="116"/>
    </row>
    <row r="54" spans="1:10" ht="16.05" customHeight="1" thickBot="1" x14ac:dyDescent="0.35">
      <c r="A54" s="120">
        <f>SUM(A7:A53)</f>
        <v>450620</v>
      </c>
      <c r="B54" s="199" t="s">
        <v>19</v>
      </c>
      <c r="C54" s="200"/>
      <c r="D54" s="183">
        <f>SUM(D7:D53)</f>
        <v>468140</v>
      </c>
      <c r="E54" s="179">
        <f>SUM(E7:E53)</f>
        <v>450620</v>
      </c>
      <c r="F54" s="199" t="s">
        <v>19</v>
      </c>
      <c r="G54" s="200"/>
      <c r="H54" s="120">
        <f>SUM(H7:H53)</f>
        <v>468140</v>
      </c>
    </row>
    <row r="55" spans="1:10" ht="7.95" customHeight="1" thickTop="1" x14ac:dyDescent="0.3">
      <c r="A55" s="131"/>
      <c r="B55" s="132"/>
      <c r="C55" s="132"/>
      <c r="D55" s="133"/>
      <c r="E55" s="132"/>
      <c r="F55" s="132"/>
      <c r="G55" s="132"/>
      <c r="H55" s="134"/>
    </row>
    <row r="56" spans="1:10" ht="16.05" customHeight="1" x14ac:dyDescent="0.3">
      <c r="A56" s="131" t="s">
        <v>208</v>
      </c>
      <c r="B56" s="132"/>
      <c r="C56" s="132"/>
      <c r="D56" s="132"/>
      <c r="E56" s="196" t="s">
        <v>213</v>
      </c>
      <c r="F56" s="196"/>
      <c r="G56" s="196"/>
      <c r="H56" s="135"/>
    </row>
    <row r="57" spans="1:10" ht="16.05" customHeight="1" x14ac:dyDescent="0.3">
      <c r="A57" s="131"/>
      <c r="B57" s="132"/>
      <c r="C57" s="132"/>
      <c r="D57" s="133"/>
      <c r="E57" s="132"/>
      <c r="F57" s="132"/>
      <c r="G57" s="132"/>
      <c r="H57" s="134"/>
    </row>
    <row r="58" spans="1:10" ht="16.05" customHeight="1" x14ac:dyDescent="0.3">
      <c r="A58" s="131"/>
      <c r="B58" s="132"/>
      <c r="C58" s="132"/>
      <c r="D58" s="133"/>
      <c r="E58" s="132"/>
      <c r="F58" s="132"/>
      <c r="G58" s="132"/>
      <c r="H58" s="134"/>
      <c r="J58" s="107">
        <f>D54-H54</f>
        <v>0</v>
      </c>
    </row>
    <row r="59" spans="1:10" customFormat="1" ht="16.05" customHeight="1" x14ac:dyDescent="0.3">
      <c r="A59" s="131"/>
      <c r="B59" s="132"/>
      <c r="C59" s="132"/>
      <c r="D59" s="133"/>
      <c r="E59" s="132"/>
      <c r="F59" s="132"/>
      <c r="G59" s="132"/>
      <c r="H59" s="134"/>
    </row>
    <row r="60" spans="1:10" customFormat="1" ht="16.05" customHeight="1" x14ac:dyDescent="0.3">
      <c r="A60" s="136" t="s">
        <v>209</v>
      </c>
      <c r="B60" s="132"/>
      <c r="C60" s="132"/>
      <c r="D60" s="133"/>
      <c r="E60" s="132"/>
      <c r="F60" s="132"/>
      <c r="G60" s="132"/>
      <c r="H60" s="134"/>
    </row>
    <row r="61" spans="1:10" customFormat="1" ht="16.05" customHeight="1" x14ac:dyDescent="0.3">
      <c r="A61" s="131" t="s">
        <v>210</v>
      </c>
      <c r="B61" s="132"/>
      <c r="C61" s="132"/>
      <c r="D61" s="133"/>
      <c r="H61" s="137"/>
    </row>
    <row r="62" spans="1:10" customFormat="1" ht="16.05" customHeight="1" x14ac:dyDescent="0.3">
      <c r="A62" s="131" t="s">
        <v>211</v>
      </c>
      <c r="B62" s="132"/>
      <c r="C62" s="132"/>
      <c r="D62" s="133"/>
      <c r="E62" s="196" t="s">
        <v>212</v>
      </c>
      <c r="F62" s="196"/>
      <c r="G62" s="196"/>
      <c r="H62" s="134"/>
    </row>
    <row r="63" spans="1:10" customFormat="1" ht="16.05" customHeight="1" x14ac:dyDescent="0.3">
      <c r="A63" s="197">
        <v>46263</v>
      </c>
      <c r="B63" s="198"/>
      <c r="C63" s="198"/>
      <c r="D63" s="138"/>
      <c r="E63" s="139"/>
      <c r="F63" s="139"/>
      <c r="G63" s="139"/>
      <c r="H63" s="140"/>
      <c r="I63" s="29"/>
      <c r="J63" s="29"/>
    </row>
    <row r="64" spans="1:10" customFormat="1" x14ac:dyDescent="0.3">
      <c r="A64" s="9"/>
      <c r="B64" s="107"/>
      <c r="C64" s="107"/>
      <c r="D64" s="107"/>
      <c r="E64" s="107"/>
      <c r="F64" s="107"/>
      <c r="G64" s="107"/>
      <c r="H64" s="107"/>
      <c r="I64" s="29">
        <f>A54-E54</f>
        <v>0</v>
      </c>
      <c r="J64" s="29">
        <f>D54-H54</f>
        <v>0</v>
      </c>
    </row>
    <row r="65" spans="1:26" customFormat="1" ht="14.25" customHeight="1" x14ac:dyDescent="0.3">
      <c r="A65" s="1"/>
      <c r="B65" s="107"/>
      <c r="C65" s="107"/>
      <c r="D65" s="107"/>
      <c r="E65" s="107"/>
      <c r="F65" s="107"/>
      <c r="G65" s="107"/>
      <c r="H65" s="107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</row>
    <row r="66" spans="1:26" customFormat="1" ht="14.25" customHeight="1" x14ac:dyDescent="0.3">
      <c r="A66" s="107"/>
      <c r="B66" s="107"/>
      <c r="C66" s="107"/>
      <c r="D66" s="107"/>
      <c r="E66" s="107"/>
      <c r="F66" s="107"/>
      <c r="G66" s="107"/>
      <c r="H66" s="107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</row>
    <row r="67" spans="1:26" customFormat="1" ht="14.25" customHeight="1" x14ac:dyDescent="0.3">
      <c r="A67" s="107"/>
      <c r="B67" s="107"/>
      <c r="C67" s="107"/>
      <c r="D67" s="107"/>
      <c r="E67" s="107"/>
      <c r="F67" s="107"/>
      <c r="G67" s="107"/>
      <c r="H67" s="107"/>
      <c r="I67" s="132">
        <f>D54-H54</f>
        <v>0</v>
      </c>
      <c r="J67" s="132">
        <f>A54-E54</f>
        <v>0</v>
      </c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</row>
    <row r="69" spans="1:26" x14ac:dyDescent="0.3">
      <c r="A69" s="107">
        <f>A54-E54</f>
        <v>0</v>
      </c>
    </row>
  </sheetData>
  <mergeCells count="11">
    <mergeCell ref="E62:G62"/>
    <mergeCell ref="A63:C63"/>
    <mergeCell ref="F54:G54"/>
    <mergeCell ref="B54:C54"/>
    <mergeCell ref="A1:H1"/>
    <mergeCell ref="A3:H3"/>
    <mergeCell ref="A4:H4"/>
    <mergeCell ref="B6:C6"/>
    <mergeCell ref="F6:G6"/>
    <mergeCell ref="A2:H2"/>
    <mergeCell ref="E56:G56"/>
  </mergeCells>
  <printOptions horizontalCentered="1"/>
  <pageMargins left="0.23622047244094491" right="0.23622047244094491" top="0.59055118110236227" bottom="0.39370078740157483" header="0.31496062992125984" footer="0.31496062992125984"/>
  <pageSetup paperSize="9" scale="71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E95C-4B81-415C-9D51-34157384FA49}">
  <dimension ref="A1:O18"/>
  <sheetViews>
    <sheetView tabSelected="1" view="pageBreakPreview" topLeftCell="A6" zoomScaleNormal="100" zoomScaleSheetLayoutView="100" workbookViewId="0">
      <selection activeCell="P16" sqref="P16"/>
    </sheetView>
  </sheetViews>
  <sheetFormatPr defaultRowHeight="14.4" x14ac:dyDescent="0.3"/>
  <cols>
    <col min="1" max="1" width="3.21875" style="11" bestFit="1" customWidth="1"/>
    <col min="2" max="2" width="22.109375" style="25" bestFit="1" customWidth="1"/>
    <col min="3" max="3" width="5" style="25" bestFit="1" customWidth="1"/>
    <col min="4" max="4" width="11" style="25" customWidth="1"/>
    <col min="5" max="5" width="12.77734375" style="17" customWidth="1"/>
    <col min="6" max="8" width="10.77734375" style="17" customWidth="1"/>
    <col min="9" max="9" width="12.77734375" style="17" customWidth="1"/>
    <col min="10" max="10" width="8.77734375" style="34" customWidth="1"/>
    <col min="11" max="11" width="12.77734375" style="28" customWidth="1"/>
    <col min="12" max="12" width="12.77734375" style="25" customWidth="1"/>
  </cols>
  <sheetData>
    <row r="1" spans="1:15" ht="18" x14ac:dyDescent="0.3">
      <c r="A1" s="204" t="str">
        <f>BS!A1</f>
        <v>DAVE DOLL CO-OPERATIVE HOUSING SOCIETY LTD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6"/>
    </row>
    <row r="2" spans="1:15" x14ac:dyDescent="0.3">
      <c r="A2" s="210" t="s">
        <v>91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2"/>
    </row>
    <row r="3" spans="1:15" ht="15.6" x14ac:dyDescent="0.3">
      <c r="A3" s="207" t="s">
        <v>205</v>
      </c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9"/>
    </row>
    <row r="4" spans="1:15" x14ac:dyDescent="0.3">
      <c r="A4" s="141"/>
      <c r="B4" s="142"/>
      <c r="C4" s="142"/>
      <c r="D4" s="142"/>
      <c r="E4" s="143"/>
      <c r="F4" s="143"/>
      <c r="G4" s="143"/>
      <c r="H4" s="143"/>
      <c r="I4" s="143"/>
      <c r="J4" s="144"/>
      <c r="K4" s="145"/>
      <c r="L4" s="146" t="s">
        <v>92</v>
      </c>
    </row>
    <row r="5" spans="1:15" s="10" customFormat="1" ht="43.8" thickBot="1" x14ac:dyDescent="0.35">
      <c r="A5" s="43" t="s">
        <v>54</v>
      </c>
      <c r="B5" s="43" t="s">
        <v>6</v>
      </c>
      <c r="C5" s="43" t="s">
        <v>9</v>
      </c>
      <c r="D5" s="43" t="s">
        <v>7</v>
      </c>
      <c r="E5" s="44" t="s">
        <v>8</v>
      </c>
      <c r="F5" s="44" t="s">
        <v>120</v>
      </c>
      <c r="G5" s="44" t="s">
        <v>148</v>
      </c>
      <c r="H5" s="44" t="s">
        <v>179</v>
      </c>
      <c r="I5" s="44" t="s">
        <v>84</v>
      </c>
      <c r="J5" s="45" t="s">
        <v>87</v>
      </c>
      <c r="K5" s="44" t="s">
        <v>13</v>
      </c>
      <c r="L5" s="43" t="s">
        <v>11</v>
      </c>
    </row>
    <row r="6" spans="1:15" ht="25.05" customHeight="1" thickTop="1" x14ac:dyDescent="0.3">
      <c r="A6" s="55"/>
      <c r="B6" s="147" t="s">
        <v>5</v>
      </c>
      <c r="E6" s="148"/>
      <c r="F6" s="149"/>
      <c r="G6" s="149"/>
      <c r="H6" s="149"/>
      <c r="I6" s="149"/>
      <c r="J6" s="150"/>
      <c r="K6" s="151"/>
      <c r="L6" s="152"/>
      <c r="M6" s="46"/>
    </row>
    <row r="7" spans="1:15" s="40" customFormat="1" ht="25.05" customHeight="1" x14ac:dyDescent="0.3">
      <c r="A7" s="41">
        <v>1</v>
      </c>
      <c r="B7" s="121" t="s">
        <v>181</v>
      </c>
      <c r="C7" s="41" t="s">
        <v>56</v>
      </c>
      <c r="D7" s="122" t="s">
        <v>88</v>
      </c>
      <c r="E7" s="124">
        <v>24247</v>
      </c>
      <c r="F7" s="123">
        <v>0</v>
      </c>
      <c r="G7" s="123">
        <v>0</v>
      </c>
      <c r="H7" s="123">
        <v>1265</v>
      </c>
      <c r="I7" s="123">
        <f>SUM(E7:H7)</f>
        <v>25512</v>
      </c>
      <c r="J7" s="85">
        <v>6.6000000000000003E-2</v>
      </c>
      <c r="K7" s="48">
        <v>29508</v>
      </c>
      <c r="L7" s="122" t="s">
        <v>203</v>
      </c>
      <c r="N7" s="79"/>
    </row>
    <row r="8" spans="1:15" s="40" customFormat="1" ht="25.05" customHeight="1" x14ac:dyDescent="0.3">
      <c r="A8" s="41">
        <v>2</v>
      </c>
      <c r="B8" s="121" t="s">
        <v>180</v>
      </c>
      <c r="C8" s="41" t="s">
        <v>56</v>
      </c>
      <c r="D8" s="122" t="s">
        <v>182</v>
      </c>
      <c r="E8" s="124">
        <v>20310</v>
      </c>
      <c r="F8" s="123">
        <v>0</v>
      </c>
      <c r="G8" s="123">
        <v>0</v>
      </c>
      <c r="H8" s="123">
        <v>1061</v>
      </c>
      <c r="I8" s="123">
        <f t="shared" ref="I8:I16" si="0">SUM(E8:H8)</f>
        <v>21371</v>
      </c>
      <c r="J8" s="85">
        <v>7.0000000000000007E-2</v>
      </c>
      <c r="K8" s="48">
        <v>23334</v>
      </c>
      <c r="L8" s="122" t="s">
        <v>202</v>
      </c>
      <c r="N8" s="79"/>
    </row>
    <row r="9" spans="1:15" s="40" customFormat="1" ht="25.05" customHeight="1" x14ac:dyDescent="0.3">
      <c r="A9" s="41">
        <v>3</v>
      </c>
      <c r="B9" s="121" t="s">
        <v>149</v>
      </c>
      <c r="C9" s="41" t="s">
        <v>56</v>
      </c>
      <c r="D9" s="122" t="s">
        <v>86</v>
      </c>
      <c r="E9" s="124">
        <v>16128</v>
      </c>
      <c r="F9" s="123">
        <v>0</v>
      </c>
      <c r="G9" s="123">
        <f>919</f>
        <v>919</v>
      </c>
      <c r="H9" s="123">
        <v>1225</v>
      </c>
      <c r="I9" s="123">
        <f t="shared" si="0"/>
        <v>18272</v>
      </c>
      <c r="J9" s="85">
        <v>7.0000000000000007E-2</v>
      </c>
      <c r="K9" s="48">
        <v>18636</v>
      </c>
      <c r="L9" s="122" t="s">
        <v>155</v>
      </c>
      <c r="N9" s="79"/>
      <c r="O9" s="79"/>
    </row>
    <row r="10" spans="1:15" s="40" customFormat="1" ht="25.05" customHeight="1" x14ac:dyDescent="0.3">
      <c r="A10" s="41">
        <v>4</v>
      </c>
      <c r="B10" s="121" t="s">
        <v>150</v>
      </c>
      <c r="C10" s="41" t="s">
        <v>56</v>
      </c>
      <c r="D10" s="122" t="s">
        <v>85</v>
      </c>
      <c r="E10" s="124">
        <v>25765</v>
      </c>
      <c r="F10" s="123">
        <v>0</v>
      </c>
      <c r="G10" s="123">
        <v>1428</v>
      </c>
      <c r="H10" s="123">
        <v>1954</v>
      </c>
      <c r="I10" s="123">
        <f>SUM(E10:H10)</f>
        <v>29147</v>
      </c>
      <c r="J10" s="85">
        <v>7.0000000000000007E-2</v>
      </c>
      <c r="K10" s="48">
        <v>31728</v>
      </c>
      <c r="L10" s="122" t="s">
        <v>156</v>
      </c>
      <c r="N10" s="79"/>
      <c r="O10" s="79"/>
    </row>
    <row r="11" spans="1:15" s="40" customFormat="1" ht="25.05" customHeight="1" x14ac:dyDescent="0.3">
      <c r="A11" s="41">
        <v>5</v>
      </c>
      <c r="B11" s="121" t="s">
        <v>151</v>
      </c>
      <c r="C11" s="41" t="s">
        <v>56</v>
      </c>
      <c r="D11" s="122" t="s">
        <v>183</v>
      </c>
      <c r="E11" s="124">
        <v>27684</v>
      </c>
      <c r="F11" s="123">
        <v>0</v>
      </c>
      <c r="G11" s="123">
        <v>0</v>
      </c>
      <c r="H11" s="123">
        <v>1452</v>
      </c>
      <c r="I11" s="123">
        <f t="shared" si="0"/>
        <v>29136</v>
      </c>
      <c r="J11" s="85">
        <v>7.0000000000000007E-2</v>
      </c>
      <c r="K11" s="48">
        <v>31806</v>
      </c>
      <c r="L11" s="122" t="s">
        <v>157</v>
      </c>
      <c r="N11" s="79"/>
    </row>
    <row r="12" spans="1:15" s="40" customFormat="1" ht="25.05" customHeight="1" x14ac:dyDescent="0.3">
      <c r="A12" s="41">
        <v>6</v>
      </c>
      <c r="B12" s="121" t="s">
        <v>184</v>
      </c>
      <c r="C12" s="41" t="s">
        <v>56</v>
      </c>
      <c r="D12" s="122" t="s">
        <v>89</v>
      </c>
      <c r="E12" s="124">
        <v>26033</v>
      </c>
      <c r="F12" s="123">
        <v>0</v>
      </c>
      <c r="G12" s="123">
        <v>0</v>
      </c>
      <c r="H12" s="123">
        <v>1411</v>
      </c>
      <c r="I12" s="123">
        <f t="shared" si="0"/>
        <v>27444</v>
      </c>
      <c r="J12" s="85">
        <v>7.0000000000000007E-2</v>
      </c>
      <c r="K12" s="48">
        <v>28064</v>
      </c>
      <c r="L12" s="122" t="s">
        <v>204</v>
      </c>
      <c r="N12" s="79"/>
      <c r="O12" s="79"/>
    </row>
    <row r="13" spans="1:15" s="40" customFormat="1" ht="25.05" customHeight="1" x14ac:dyDescent="0.3">
      <c r="A13" s="41">
        <v>7</v>
      </c>
      <c r="B13" s="121" t="s">
        <v>185</v>
      </c>
      <c r="C13" s="41" t="s">
        <v>56</v>
      </c>
      <c r="D13" s="122" t="s">
        <v>90</v>
      </c>
      <c r="E13" s="124">
        <v>27092</v>
      </c>
      <c r="F13" s="123">
        <v>0</v>
      </c>
      <c r="G13" s="123">
        <v>0</v>
      </c>
      <c r="H13" s="123">
        <v>118</v>
      </c>
      <c r="I13" s="123">
        <f t="shared" si="0"/>
        <v>27210</v>
      </c>
      <c r="J13" s="85">
        <v>6.5000000000000002E-2</v>
      </c>
      <c r="K13" s="48">
        <v>32874</v>
      </c>
      <c r="L13" s="122" t="s">
        <v>200</v>
      </c>
      <c r="N13" s="79"/>
      <c r="O13" s="79"/>
    </row>
    <row r="14" spans="1:15" s="40" customFormat="1" ht="25.05" customHeight="1" x14ac:dyDescent="0.3">
      <c r="A14" s="41">
        <v>8</v>
      </c>
      <c r="B14" s="121" t="s">
        <v>121</v>
      </c>
      <c r="C14" s="41" t="s">
        <v>56</v>
      </c>
      <c r="D14" s="122" t="s">
        <v>146</v>
      </c>
      <c r="E14" s="124">
        <v>22000</v>
      </c>
      <c r="F14" s="123">
        <v>21</v>
      </c>
      <c r="G14" s="123">
        <v>1606</v>
      </c>
      <c r="H14" s="123">
        <v>1723</v>
      </c>
      <c r="I14" s="123">
        <f t="shared" si="0"/>
        <v>25350</v>
      </c>
      <c r="J14" s="85">
        <v>7.0000000000000007E-2</v>
      </c>
      <c r="K14" s="48">
        <v>27092</v>
      </c>
      <c r="L14" s="122" t="s">
        <v>90</v>
      </c>
      <c r="N14" s="79"/>
    </row>
    <row r="15" spans="1:15" s="40" customFormat="1" ht="25.05" customHeight="1" x14ac:dyDescent="0.3">
      <c r="A15" s="75">
        <v>9</v>
      </c>
      <c r="B15" s="76" t="s">
        <v>145</v>
      </c>
      <c r="C15" s="41" t="s">
        <v>56</v>
      </c>
      <c r="D15" s="77" t="s">
        <v>147</v>
      </c>
      <c r="E15" s="125">
        <v>22000</v>
      </c>
      <c r="F15" s="47">
        <v>0</v>
      </c>
      <c r="G15" s="78">
        <v>13</v>
      </c>
      <c r="H15" s="78">
        <v>1698</v>
      </c>
      <c r="I15" s="47">
        <f t="shared" si="0"/>
        <v>23711</v>
      </c>
      <c r="J15" s="86">
        <v>7.4999999999999997E-2</v>
      </c>
      <c r="K15" s="87">
        <v>24290</v>
      </c>
      <c r="L15" s="88" t="s">
        <v>154</v>
      </c>
      <c r="N15" s="79"/>
    </row>
    <row r="16" spans="1:15" s="40" customFormat="1" ht="25.05" customHeight="1" x14ac:dyDescent="0.3">
      <c r="A16" s="41">
        <v>10</v>
      </c>
      <c r="B16" s="121" t="s">
        <v>193</v>
      </c>
      <c r="C16" s="41" t="s">
        <v>192</v>
      </c>
      <c r="D16" s="122" t="s">
        <v>194</v>
      </c>
      <c r="E16" s="125">
        <v>22000</v>
      </c>
      <c r="F16" s="78">
        <v>0</v>
      </c>
      <c r="G16" s="78">
        <v>0</v>
      </c>
      <c r="H16" s="78">
        <v>3</v>
      </c>
      <c r="I16" s="78">
        <f t="shared" si="0"/>
        <v>22003</v>
      </c>
      <c r="J16" s="86">
        <v>5.6000000000000001E-2</v>
      </c>
      <c r="K16" s="87">
        <v>22611</v>
      </c>
      <c r="L16" s="88" t="s">
        <v>201</v>
      </c>
      <c r="N16" s="79"/>
    </row>
    <row r="17" spans="1:13" s="40" customFormat="1" ht="25.05" customHeight="1" thickBot="1" x14ac:dyDescent="0.35">
      <c r="A17" s="213" t="s">
        <v>10</v>
      </c>
      <c r="B17" s="214"/>
      <c r="C17" s="214"/>
      <c r="D17" s="215"/>
      <c r="E17" s="126">
        <f>SUM(E7:E16)</f>
        <v>233259</v>
      </c>
      <c r="F17" s="49">
        <f>SUM(F7:F16)</f>
        <v>21</v>
      </c>
      <c r="G17" s="49">
        <f>SUM(G7:G16)</f>
        <v>3966</v>
      </c>
      <c r="H17" s="49">
        <f>SUM(H7:H16)</f>
        <v>11910</v>
      </c>
      <c r="I17" s="49">
        <f>SUM(I7:I16)</f>
        <v>249156</v>
      </c>
      <c r="J17" s="50"/>
      <c r="K17" s="49">
        <f>SUM(K7:K16)</f>
        <v>269943</v>
      </c>
      <c r="L17" s="51"/>
      <c r="M17" s="52"/>
    </row>
    <row r="18" spans="1:13" ht="15" thickTop="1" x14ac:dyDescent="0.3"/>
  </sheetData>
  <mergeCells count="4">
    <mergeCell ref="A1:L1"/>
    <mergeCell ref="A3:L3"/>
    <mergeCell ref="A2:L2"/>
    <mergeCell ref="A17:D17"/>
  </mergeCells>
  <printOptions horizontalCentered="1"/>
  <pageMargins left="0.23622047244094491" right="0.23622047244094491" top="0.59055118110236227" bottom="0.23622047244094491" header="0.31496062992125984" footer="0.31496062992125984"/>
  <pageSetup paperSize="9" scale="7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4E9D-75FF-400F-9119-78E8D74BDCE4}">
  <dimension ref="B1:E30"/>
  <sheetViews>
    <sheetView view="pageBreakPreview" topLeftCell="A10" zoomScaleNormal="100" zoomScaleSheetLayoutView="100" workbookViewId="0">
      <selection activeCell="C16" sqref="C16"/>
    </sheetView>
  </sheetViews>
  <sheetFormatPr defaultRowHeight="14.4" x14ac:dyDescent="0.3"/>
  <cols>
    <col min="1" max="1" width="5.109375" style="40" customWidth="1"/>
    <col min="2" max="2" width="6.77734375" style="163" bestFit="1" customWidth="1"/>
    <col min="3" max="3" width="12.77734375" style="40" customWidth="1"/>
    <col min="4" max="4" width="26.21875" style="40" customWidth="1"/>
    <col min="5" max="5" width="12.77734375" style="40" customWidth="1"/>
    <col min="6" max="6" width="4.21875" style="40" customWidth="1"/>
    <col min="7" max="16384" width="8.88671875" style="40"/>
  </cols>
  <sheetData>
    <row r="1" spans="2:5" x14ac:dyDescent="0.3">
      <c r="B1" s="216" t="s">
        <v>115</v>
      </c>
      <c r="C1" s="216"/>
      <c r="D1" s="216"/>
      <c r="E1" s="216"/>
    </row>
    <row r="2" spans="2:5" ht="15" customHeight="1" x14ac:dyDescent="0.3">
      <c r="B2" s="218" t="s">
        <v>186</v>
      </c>
      <c r="C2" s="218"/>
      <c r="D2" s="218"/>
      <c r="E2" s="218"/>
    </row>
    <row r="3" spans="2:5" ht="15" customHeight="1" x14ac:dyDescent="0.3">
      <c r="B3" s="153"/>
      <c r="C3" s="153"/>
      <c r="D3" s="153"/>
      <c r="E3" s="153"/>
    </row>
    <row r="4" spans="2:5" ht="19.95" customHeight="1" thickBot="1" x14ac:dyDescent="0.35">
      <c r="B4" s="154" t="s">
        <v>122</v>
      </c>
      <c r="C4" s="154" t="s">
        <v>138</v>
      </c>
      <c r="D4" s="154" t="s">
        <v>139</v>
      </c>
      <c r="E4" s="154" t="s">
        <v>125</v>
      </c>
    </row>
    <row r="5" spans="2:5" ht="19.95" customHeight="1" thickTop="1" x14ac:dyDescent="0.3">
      <c r="B5" s="41"/>
      <c r="C5" s="41"/>
      <c r="D5" s="155"/>
      <c r="E5" s="47">
        <v>0</v>
      </c>
    </row>
    <row r="6" spans="2:5" ht="19.95" customHeight="1" thickBot="1" x14ac:dyDescent="0.35">
      <c r="B6" s="213" t="s">
        <v>19</v>
      </c>
      <c r="C6" s="214"/>
      <c r="D6" s="215"/>
      <c r="E6" s="49">
        <f>SUM(E5:E5)</f>
        <v>0</v>
      </c>
    </row>
    <row r="7" spans="2:5" ht="19.95" customHeight="1" thickTop="1" x14ac:dyDescent="0.3">
      <c r="B7" s="153"/>
      <c r="C7" s="153"/>
      <c r="D7" s="153"/>
      <c r="E7" s="156"/>
    </row>
    <row r="8" spans="2:5" ht="19.95" customHeight="1" x14ac:dyDescent="0.3">
      <c r="B8" s="218" t="s">
        <v>187</v>
      </c>
      <c r="C8" s="218"/>
      <c r="D8" s="218"/>
      <c r="E8" s="218"/>
    </row>
    <row r="9" spans="2:5" ht="19.95" customHeight="1" x14ac:dyDescent="0.3">
      <c r="B9" s="153"/>
      <c r="C9" s="153"/>
      <c r="D9" s="153"/>
      <c r="E9" s="153"/>
    </row>
    <row r="10" spans="2:5" ht="19.95" customHeight="1" thickBot="1" x14ac:dyDescent="0.35">
      <c r="B10" s="154" t="s">
        <v>122</v>
      </c>
      <c r="C10" s="154" t="s">
        <v>138</v>
      </c>
      <c r="D10" s="157" t="s">
        <v>139</v>
      </c>
      <c r="E10" s="127" t="s">
        <v>125</v>
      </c>
    </row>
    <row r="11" spans="2:5" ht="19.95" customHeight="1" thickTop="1" x14ac:dyDescent="0.3">
      <c r="B11" s="158">
        <v>1</v>
      </c>
      <c r="C11" s="159">
        <v>12</v>
      </c>
      <c r="D11" s="160" t="s">
        <v>152</v>
      </c>
      <c r="E11" s="161">
        <v>58</v>
      </c>
    </row>
    <row r="12" spans="2:5" ht="19.95" customHeight="1" thickBot="1" x14ac:dyDescent="0.35">
      <c r="B12" s="213" t="s">
        <v>19</v>
      </c>
      <c r="C12" s="214"/>
      <c r="D12" s="214"/>
      <c r="E12" s="162">
        <f>SUM(E11:E11)</f>
        <v>58</v>
      </c>
    </row>
    <row r="13" spans="2:5" ht="19.95" customHeight="1" thickTop="1" x14ac:dyDescent="0.3"/>
    <row r="16" spans="2:5" ht="15.6" x14ac:dyDescent="0.3">
      <c r="B16" s="217" t="s">
        <v>55</v>
      </c>
      <c r="C16" s="217"/>
      <c r="D16" s="217"/>
      <c r="E16" s="217"/>
    </row>
    <row r="17" spans="2:5" x14ac:dyDescent="0.3">
      <c r="C17" s="218" t="s">
        <v>188</v>
      </c>
      <c r="D17" s="218"/>
      <c r="E17" s="218"/>
    </row>
    <row r="18" spans="2:5" ht="19.95" customHeight="1" thickBot="1" x14ac:dyDescent="0.35">
      <c r="B18" s="153"/>
      <c r="C18" s="164" t="s">
        <v>144</v>
      </c>
      <c r="D18" s="154" t="s">
        <v>68</v>
      </c>
      <c r="E18" s="164" t="s">
        <v>189</v>
      </c>
    </row>
    <row r="19" spans="2:5" ht="19.95" customHeight="1" thickTop="1" x14ac:dyDescent="0.3">
      <c r="C19" s="165">
        <v>4190</v>
      </c>
      <c r="D19" s="160" t="s">
        <v>69</v>
      </c>
      <c r="E19" s="165">
        <v>0</v>
      </c>
    </row>
    <row r="20" spans="2:5" ht="19.95" customHeight="1" x14ac:dyDescent="0.3">
      <c r="C20" s="166">
        <v>59160</v>
      </c>
      <c r="D20" s="155" t="s">
        <v>70</v>
      </c>
      <c r="E20" s="167">
        <v>6527</v>
      </c>
    </row>
    <row r="21" spans="2:5" ht="19.95" customHeight="1" x14ac:dyDescent="0.3">
      <c r="C21" s="166">
        <v>1000</v>
      </c>
      <c r="D21" s="155" t="s">
        <v>71</v>
      </c>
      <c r="E21" s="166">
        <v>0</v>
      </c>
    </row>
    <row r="22" spans="2:5" ht="19.95" customHeight="1" x14ac:dyDescent="0.3">
      <c r="C22" s="166">
        <v>1500</v>
      </c>
      <c r="D22" s="155" t="s">
        <v>72</v>
      </c>
      <c r="E22" s="166">
        <v>0</v>
      </c>
    </row>
    <row r="23" spans="2:5" ht="19.95" customHeight="1" x14ac:dyDescent="0.3">
      <c r="C23" s="166">
        <v>9796</v>
      </c>
      <c r="D23" s="155" t="s">
        <v>170</v>
      </c>
      <c r="E23" s="166">
        <v>9796</v>
      </c>
    </row>
    <row r="24" spans="2:5" ht="19.95" customHeight="1" x14ac:dyDescent="0.3">
      <c r="C24" s="166">
        <v>4000</v>
      </c>
      <c r="D24" s="155" t="s">
        <v>36</v>
      </c>
      <c r="E24" s="166">
        <v>4000</v>
      </c>
    </row>
    <row r="25" spans="2:5" ht="19.95" customHeight="1" x14ac:dyDescent="0.3">
      <c r="C25" s="166">
        <v>2210</v>
      </c>
      <c r="D25" s="155" t="s">
        <v>73</v>
      </c>
      <c r="E25" s="168">
        <v>2210</v>
      </c>
    </row>
    <row r="26" spans="2:5" ht="19.95" customHeight="1" x14ac:dyDescent="0.3">
      <c r="C26" s="166">
        <v>0</v>
      </c>
      <c r="D26" s="155" t="s">
        <v>191</v>
      </c>
      <c r="E26" s="166">
        <v>4190</v>
      </c>
    </row>
    <row r="27" spans="2:5" ht="19.95" customHeight="1" x14ac:dyDescent="0.3">
      <c r="C27" s="166">
        <v>0</v>
      </c>
      <c r="D27" s="155" t="s">
        <v>190</v>
      </c>
      <c r="E27" s="166">
        <v>5463</v>
      </c>
    </row>
    <row r="28" spans="2:5" ht="19.95" customHeight="1" x14ac:dyDescent="0.3">
      <c r="C28" s="169">
        <v>3000</v>
      </c>
      <c r="D28" s="170" t="s">
        <v>37</v>
      </c>
      <c r="E28" s="169">
        <v>3000</v>
      </c>
    </row>
    <row r="29" spans="2:5" ht="19.95" customHeight="1" thickBot="1" x14ac:dyDescent="0.35">
      <c r="C29" s="42">
        <f>SUM(C19:C28)</f>
        <v>84856</v>
      </c>
      <c r="D29" s="154" t="s">
        <v>19</v>
      </c>
      <c r="E29" s="42">
        <f>SUM(E19:E28)</f>
        <v>35186</v>
      </c>
    </row>
    <row r="30" spans="2:5" ht="15" thickTop="1" x14ac:dyDescent="0.3">
      <c r="C30" s="1"/>
      <c r="E30" s="1"/>
    </row>
  </sheetData>
  <mergeCells count="7">
    <mergeCell ref="B1:E1"/>
    <mergeCell ref="B12:D12"/>
    <mergeCell ref="B16:E16"/>
    <mergeCell ref="C17:E17"/>
    <mergeCell ref="B8:E8"/>
    <mergeCell ref="B6:D6"/>
    <mergeCell ref="B2:E2"/>
  </mergeCells>
  <printOptions horizontalCentered="1"/>
  <pageMargins left="0.31496062992125984" right="0.31496062992125984" top="0.59055118110236227" bottom="0.35433070866141736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F8288-EC08-42DD-8D48-916AB3676FF9}">
  <dimension ref="A1:I15"/>
  <sheetViews>
    <sheetView workbookViewId="0">
      <selection activeCell="C16" sqref="C16"/>
    </sheetView>
  </sheetViews>
  <sheetFormatPr defaultRowHeight="14.4" x14ac:dyDescent="0.3"/>
  <cols>
    <col min="1" max="1" width="4.44140625" style="25" customWidth="1"/>
    <col min="2" max="2" width="14.5546875" style="17" customWidth="1"/>
    <col min="3" max="3" width="30.5546875" bestFit="1" customWidth="1"/>
    <col min="4" max="4" width="14.5546875" style="17" customWidth="1"/>
    <col min="5" max="5" width="9.5546875" bestFit="1" customWidth="1"/>
    <col min="8" max="8" width="26" bestFit="1" customWidth="1"/>
    <col min="9" max="9" width="11.21875" bestFit="1" customWidth="1"/>
  </cols>
  <sheetData>
    <row r="1" spans="1:9" ht="15.6" x14ac:dyDescent="0.3">
      <c r="A1" s="219" t="s">
        <v>55</v>
      </c>
      <c r="B1" s="219"/>
      <c r="C1" s="219"/>
      <c r="D1" s="219"/>
    </row>
    <row r="2" spans="1:9" x14ac:dyDescent="0.3">
      <c r="B2" s="220" t="s">
        <v>188</v>
      </c>
      <c r="C2" s="220"/>
      <c r="D2" s="220"/>
    </row>
    <row r="3" spans="1:9" ht="15" thickBot="1" x14ac:dyDescent="0.35">
      <c r="A3" s="12"/>
      <c r="B3" s="39" t="s">
        <v>144</v>
      </c>
      <c r="C3" s="36" t="s">
        <v>68</v>
      </c>
      <c r="D3" s="39" t="s">
        <v>189</v>
      </c>
    </row>
    <row r="4" spans="1:9" ht="15" thickTop="1" x14ac:dyDescent="0.3">
      <c r="B4" s="38">
        <v>4190</v>
      </c>
      <c r="C4" s="37" t="s">
        <v>69</v>
      </c>
      <c r="D4" s="38">
        <v>0</v>
      </c>
    </row>
    <row r="5" spans="1:9" x14ac:dyDescent="0.3">
      <c r="B5" s="27">
        <v>59160</v>
      </c>
      <c r="C5" s="24" t="s">
        <v>70</v>
      </c>
      <c r="D5" s="104">
        <v>6527</v>
      </c>
      <c r="H5" s="12"/>
      <c r="I5" s="64"/>
    </row>
    <row r="6" spans="1:9" x14ac:dyDescent="0.3">
      <c r="B6" s="27">
        <v>1000</v>
      </c>
      <c r="C6" s="24" t="s">
        <v>71</v>
      </c>
      <c r="D6" s="27">
        <v>0</v>
      </c>
      <c r="I6" s="65"/>
    </row>
    <row r="7" spans="1:9" x14ac:dyDescent="0.3">
      <c r="B7" s="27">
        <v>1500</v>
      </c>
      <c r="C7" s="24" t="s">
        <v>72</v>
      </c>
      <c r="D7" s="27">
        <v>0</v>
      </c>
      <c r="I7" s="65"/>
    </row>
    <row r="8" spans="1:9" x14ac:dyDescent="0.3">
      <c r="B8" s="27">
        <v>9796</v>
      </c>
      <c r="C8" s="24" t="s">
        <v>170</v>
      </c>
      <c r="D8" s="27">
        <v>9796</v>
      </c>
      <c r="I8" s="65"/>
    </row>
    <row r="9" spans="1:9" x14ac:dyDescent="0.3">
      <c r="B9" s="27">
        <v>4000</v>
      </c>
      <c r="C9" s="24" t="s">
        <v>36</v>
      </c>
      <c r="D9" s="27">
        <v>4000</v>
      </c>
    </row>
    <row r="10" spans="1:9" x14ac:dyDescent="0.3">
      <c r="B10" s="27">
        <v>2210</v>
      </c>
      <c r="C10" s="24" t="s">
        <v>73</v>
      </c>
      <c r="D10" s="73">
        <v>2210</v>
      </c>
    </row>
    <row r="11" spans="1:9" x14ac:dyDescent="0.3">
      <c r="B11" s="27">
        <v>0</v>
      </c>
      <c r="C11" s="24" t="s">
        <v>191</v>
      </c>
      <c r="D11" s="27">
        <v>4190</v>
      </c>
    </row>
    <row r="12" spans="1:9" x14ac:dyDescent="0.3">
      <c r="B12" s="27">
        <v>0</v>
      </c>
      <c r="C12" s="24" t="s">
        <v>190</v>
      </c>
      <c r="D12" s="27">
        <v>5463</v>
      </c>
    </row>
    <row r="13" spans="1:9" x14ac:dyDescent="0.3">
      <c r="B13" s="95">
        <v>3000</v>
      </c>
      <c r="C13" s="96" t="s">
        <v>37</v>
      </c>
      <c r="D13" s="95">
        <v>3000</v>
      </c>
    </row>
    <row r="14" spans="1:9" ht="15" thickBot="1" x14ac:dyDescent="0.35">
      <c r="B14" s="35">
        <f>SUM(B4:B13)</f>
        <v>84856</v>
      </c>
      <c r="C14" s="36" t="s">
        <v>19</v>
      </c>
      <c r="D14" s="35">
        <f>SUM(D4:D13)</f>
        <v>35186</v>
      </c>
    </row>
    <row r="15" spans="1:9" ht="15" thickTop="1" x14ac:dyDescent="0.3">
      <c r="E15" s="29"/>
    </row>
  </sheetData>
  <mergeCells count="2">
    <mergeCell ref="A1:D1"/>
    <mergeCell ref="B2:D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110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253CE-526D-42CC-9375-4DA5016CDB0B}">
  <dimension ref="B1:F28"/>
  <sheetViews>
    <sheetView workbookViewId="0">
      <selection activeCell="F31" sqref="F31"/>
    </sheetView>
  </sheetViews>
  <sheetFormatPr defaultColWidth="8.77734375" defaultRowHeight="14.4" x14ac:dyDescent="0.3"/>
  <cols>
    <col min="1" max="1" width="2.44140625" customWidth="1"/>
    <col min="2" max="2" width="5.21875" bestFit="1" customWidth="1"/>
    <col min="3" max="3" width="50.21875" customWidth="1"/>
    <col min="4" max="4" width="12.5546875" style="17" bestFit="1" customWidth="1"/>
  </cols>
  <sheetData>
    <row r="1" spans="2:6" x14ac:dyDescent="0.3">
      <c r="B1" s="222" t="s">
        <v>128</v>
      </c>
      <c r="C1" s="222"/>
      <c r="D1" s="222"/>
      <c r="E1" s="61"/>
      <c r="F1" s="61"/>
    </row>
    <row r="2" spans="2:6" x14ac:dyDescent="0.3">
      <c r="B2" s="221" t="s">
        <v>196</v>
      </c>
      <c r="C2" s="221"/>
      <c r="D2" s="221"/>
    </row>
    <row r="3" spans="2:6" x14ac:dyDescent="0.3">
      <c r="B3" s="24"/>
      <c r="C3" s="26" t="s">
        <v>124</v>
      </c>
      <c r="D3" s="31" t="s">
        <v>125</v>
      </c>
    </row>
    <row r="4" spans="2:6" x14ac:dyDescent="0.3">
      <c r="B4" s="24"/>
      <c r="C4" s="62" t="s">
        <v>126</v>
      </c>
      <c r="D4" s="59">
        <v>155828.57</v>
      </c>
    </row>
    <row r="5" spans="2:6" x14ac:dyDescent="0.3">
      <c r="B5" s="24"/>
      <c r="C5" s="24"/>
      <c r="D5" s="27"/>
    </row>
    <row r="6" spans="2:6" x14ac:dyDescent="0.3">
      <c r="B6" s="24"/>
      <c r="C6" s="62" t="s">
        <v>127</v>
      </c>
      <c r="D6" s="63">
        <f>D4</f>
        <v>155828.57</v>
      </c>
    </row>
    <row r="7" spans="2:6" x14ac:dyDescent="0.3">
      <c r="C7" s="19"/>
      <c r="D7" s="103"/>
    </row>
    <row r="9" spans="2:6" x14ac:dyDescent="0.3">
      <c r="B9" s="221" t="s">
        <v>199</v>
      </c>
      <c r="C9" s="221"/>
      <c r="D9" s="221"/>
    </row>
    <row r="10" spans="2:6" x14ac:dyDescent="0.3">
      <c r="B10" s="24"/>
      <c r="C10" s="26" t="s">
        <v>124</v>
      </c>
      <c r="D10" s="31" t="s">
        <v>125</v>
      </c>
    </row>
    <row r="11" spans="2:6" x14ac:dyDescent="0.3">
      <c r="B11" s="24"/>
      <c r="C11" s="62" t="s">
        <v>126</v>
      </c>
      <c r="D11" s="59">
        <v>40482</v>
      </c>
    </row>
    <row r="12" spans="2:6" x14ac:dyDescent="0.3">
      <c r="B12" s="24"/>
      <c r="C12" s="24"/>
      <c r="D12" s="27"/>
    </row>
    <row r="13" spans="2:6" x14ac:dyDescent="0.3">
      <c r="B13" s="24"/>
      <c r="C13" s="62" t="s">
        <v>127</v>
      </c>
      <c r="D13" s="59">
        <f>D11</f>
        <v>40482</v>
      </c>
    </row>
    <row r="14" spans="2:6" x14ac:dyDescent="0.3">
      <c r="C14" s="19"/>
      <c r="D14" s="60"/>
    </row>
    <row r="16" spans="2:6" x14ac:dyDescent="0.3">
      <c r="B16" s="221" t="s">
        <v>197</v>
      </c>
      <c r="C16" s="221"/>
      <c r="D16" s="221"/>
    </row>
    <row r="17" spans="2:4" x14ac:dyDescent="0.3">
      <c r="B17" s="24"/>
      <c r="C17" s="26" t="s">
        <v>124</v>
      </c>
      <c r="D17" s="31" t="s">
        <v>125</v>
      </c>
    </row>
    <row r="18" spans="2:4" x14ac:dyDescent="0.3">
      <c r="B18" s="24"/>
      <c r="C18" s="62" t="s">
        <v>126</v>
      </c>
      <c r="D18" s="59">
        <v>4400.8999999999996</v>
      </c>
    </row>
    <row r="19" spans="2:4" x14ac:dyDescent="0.3">
      <c r="B19" s="24"/>
      <c r="C19" s="24"/>
      <c r="D19" s="27"/>
    </row>
    <row r="20" spans="2:4" x14ac:dyDescent="0.3">
      <c r="B20" s="24"/>
      <c r="C20" s="62" t="s">
        <v>127</v>
      </c>
      <c r="D20" s="63">
        <f>D18</f>
        <v>4400.8999999999996</v>
      </c>
    </row>
    <row r="21" spans="2:4" x14ac:dyDescent="0.3">
      <c r="C21" s="19"/>
      <c r="D21" s="103"/>
    </row>
    <row r="23" spans="2:4" x14ac:dyDescent="0.3">
      <c r="B23" s="221" t="s">
        <v>198</v>
      </c>
      <c r="C23" s="221"/>
      <c r="D23" s="221"/>
    </row>
    <row r="24" spans="2:4" x14ac:dyDescent="0.3">
      <c r="B24" s="24"/>
      <c r="C24" s="26" t="s">
        <v>124</v>
      </c>
      <c r="D24" s="31" t="s">
        <v>125</v>
      </c>
    </row>
    <row r="25" spans="2:4" x14ac:dyDescent="0.3">
      <c r="B25" s="24"/>
      <c r="C25" s="62" t="s">
        <v>126</v>
      </c>
      <c r="D25" s="59">
        <v>171206.52</v>
      </c>
    </row>
    <row r="26" spans="2:4" x14ac:dyDescent="0.3">
      <c r="B26" s="24"/>
      <c r="C26" s="24"/>
      <c r="D26" s="27"/>
    </row>
    <row r="27" spans="2:4" x14ac:dyDescent="0.3">
      <c r="B27" s="24"/>
      <c r="C27" s="24"/>
      <c r="D27" s="27"/>
    </row>
    <row r="28" spans="2:4" x14ac:dyDescent="0.3">
      <c r="B28" s="24"/>
      <c r="C28" s="62" t="s">
        <v>127</v>
      </c>
      <c r="D28" s="59">
        <f>D25</f>
        <v>171206.52</v>
      </c>
    </row>
  </sheetData>
  <mergeCells count="5">
    <mergeCell ref="B23:D23"/>
    <mergeCell ref="B1:D1"/>
    <mergeCell ref="B2:D2"/>
    <mergeCell ref="B9:D9"/>
    <mergeCell ref="B16:D16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43D78-2585-4DA6-9631-3270A4720468}">
  <dimension ref="B1:O47"/>
  <sheetViews>
    <sheetView workbookViewId="0">
      <selection activeCell="O32" sqref="O32"/>
    </sheetView>
  </sheetViews>
  <sheetFormatPr defaultRowHeight="14.4" x14ac:dyDescent="0.3"/>
  <cols>
    <col min="1" max="1" width="3.77734375" customWidth="1"/>
    <col min="2" max="2" width="17.5546875" customWidth="1"/>
    <col min="3" max="3" width="11.21875" customWidth="1"/>
    <col min="4" max="4" width="6.21875" style="18" customWidth="1"/>
    <col min="5" max="5" width="12.21875" style="17" customWidth="1"/>
    <col min="6" max="6" width="22.5546875" style="17" customWidth="1"/>
    <col min="8" max="8" width="10" bestFit="1" customWidth="1"/>
    <col min="15" max="15" width="9.77734375" customWidth="1"/>
  </cols>
  <sheetData>
    <row r="1" spans="2:10" x14ac:dyDescent="0.3">
      <c r="B1" s="80" t="s">
        <v>2</v>
      </c>
      <c r="C1" s="80"/>
      <c r="D1" s="81"/>
    </row>
    <row r="3" spans="2:10" x14ac:dyDescent="0.3">
      <c r="B3" s="19" t="s">
        <v>27</v>
      </c>
      <c r="E3" s="17" t="s">
        <v>28</v>
      </c>
    </row>
    <row r="4" spans="2:10" x14ac:dyDescent="0.3">
      <c r="B4" s="20">
        <v>44937</v>
      </c>
      <c r="C4" s="20">
        <v>45027</v>
      </c>
      <c r="D4" s="18">
        <f t="shared" ref="D4" si="0">+C4-B4</f>
        <v>90</v>
      </c>
      <c r="E4" s="18">
        <v>7137</v>
      </c>
      <c r="G4" s="29"/>
    </row>
    <row r="5" spans="2:10" x14ac:dyDescent="0.3">
      <c r="B5" s="20">
        <f>+B4</f>
        <v>44937</v>
      </c>
      <c r="C5" s="20">
        <v>45016</v>
      </c>
      <c r="D5" s="56">
        <f>+C5-B5</f>
        <v>79</v>
      </c>
      <c r="E5" s="56">
        <v>6344</v>
      </c>
    </row>
    <row r="6" spans="2:10" x14ac:dyDescent="0.3">
      <c r="B6" s="20">
        <v>45017</v>
      </c>
      <c r="C6" s="20">
        <v>45027</v>
      </c>
      <c r="D6" s="18">
        <f>D4-D5</f>
        <v>11</v>
      </c>
      <c r="E6" s="18">
        <f>E4-E5</f>
        <v>793</v>
      </c>
    </row>
    <row r="7" spans="2:10" x14ac:dyDescent="0.3">
      <c r="B7" s="20">
        <v>45028</v>
      </c>
      <c r="C7" s="20">
        <v>45382</v>
      </c>
      <c r="D7" s="56">
        <f t="shared" ref="D7" si="1">+C7-B7</f>
        <v>354</v>
      </c>
      <c r="E7" s="56">
        <f>ROUND(D7*E6/D6,0)</f>
        <v>25520</v>
      </c>
    </row>
    <row r="8" spans="2:10" x14ac:dyDescent="0.3">
      <c r="B8" s="57">
        <v>45017</v>
      </c>
      <c r="C8" s="57">
        <v>45382</v>
      </c>
      <c r="D8" s="58">
        <f>SUM(D6:D7)</f>
        <v>365</v>
      </c>
      <c r="E8" s="58">
        <f>SUM(E6:E7)</f>
        <v>26313</v>
      </c>
      <c r="G8" s="61"/>
      <c r="H8" s="61"/>
    </row>
    <row r="9" spans="2:10" x14ac:dyDescent="0.3">
      <c r="B9" s="57"/>
      <c r="C9" s="57"/>
      <c r="D9" s="58"/>
      <c r="E9" s="58"/>
    </row>
    <row r="10" spans="2:10" x14ac:dyDescent="0.3">
      <c r="B10" s="20">
        <v>46035</v>
      </c>
      <c r="C10" s="20">
        <v>46112</v>
      </c>
      <c r="D10" s="82">
        <f>+C10-B10</f>
        <v>77</v>
      </c>
      <c r="E10" s="83">
        <f>ROUND((G10/H10)*D10,0)</f>
        <v>5463</v>
      </c>
      <c r="F10" s="84" t="s">
        <v>206</v>
      </c>
      <c r="G10">
        <v>6527</v>
      </c>
      <c r="H10">
        <v>92</v>
      </c>
      <c r="I10" t="s">
        <v>153</v>
      </c>
      <c r="J10" t="s">
        <v>207</v>
      </c>
    </row>
    <row r="11" spans="2:10" x14ac:dyDescent="0.3">
      <c r="B11" s="20"/>
      <c r="C11" s="20"/>
      <c r="D11" s="82"/>
      <c r="E11" s="82"/>
    </row>
    <row r="13" spans="2:10" x14ac:dyDescent="0.3">
      <c r="B13" s="57" t="s">
        <v>158</v>
      </c>
      <c r="C13" s="20"/>
      <c r="D13" s="82"/>
      <c r="E13" s="82"/>
    </row>
    <row r="14" spans="2:10" x14ac:dyDescent="0.3">
      <c r="B14" s="20">
        <v>45901</v>
      </c>
      <c r="C14" s="20">
        <v>46265</v>
      </c>
      <c r="D14" s="68">
        <v>12</v>
      </c>
      <c r="E14" s="82">
        <v>15930</v>
      </c>
    </row>
    <row r="15" spans="2:10" x14ac:dyDescent="0.3">
      <c r="B15" s="20">
        <v>46113</v>
      </c>
      <c r="C15" s="20">
        <f>C14</f>
        <v>46265</v>
      </c>
      <c r="D15" s="68">
        <v>5</v>
      </c>
      <c r="E15" s="58">
        <f>ROUND((E14*D15)/D14,0)</f>
        <v>6638</v>
      </c>
      <c r="F15" s="89" t="s">
        <v>159</v>
      </c>
    </row>
    <row r="16" spans="2:10" x14ac:dyDescent="0.3">
      <c r="B16" s="20"/>
      <c r="C16" s="20"/>
      <c r="D16" s="68"/>
      <c r="E16" s="58">
        <f>E14-E15</f>
        <v>9292</v>
      </c>
      <c r="F16" s="89" t="s">
        <v>160</v>
      </c>
    </row>
    <row r="18" spans="2:15" x14ac:dyDescent="0.3">
      <c r="B18" s="66" t="s">
        <v>32</v>
      </c>
      <c r="C18" s="67"/>
      <c r="D18" s="68"/>
      <c r="E18" s="69"/>
    </row>
    <row r="19" spans="2:15" x14ac:dyDescent="0.3">
      <c r="B19" s="70">
        <v>45744</v>
      </c>
      <c r="C19" s="70">
        <v>46108</v>
      </c>
      <c r="D19" s="68">
        <f>C19-B19+1</f>
        <v>365</v>
      </c>
      <c r="E19" s="93">
        <v>7800</v>
      </c>
      <c r="F19" s="23"/>
    </row>
    <row r="20" spans="2:15" x14ac:dyDescent="0.3">
      <c r="B20" s="92">
        <v>45748</v>
      </c>
      <c r="C20" s="70">
        <v>46108</v>
      </c>
      <c r="D20" s="68">
        <f>C20-B20+1</f>
        <v>361</v>
      </c>
      <c r="E20" s="94">
        <f>ROUND((E19*D20)/D19,0)</f>
        <v>7715</v>
      </c>
      <c r="F20" s="91" t="s">
        <v>159</v>
      </c>
    </row>
    <row r="21" spans="2:15" x14ac:dyDescent="0.3">
      <c r="B21" s="70"/>
      <c r="C21" s="70"/>
      <c r="D21" s="68"/>
      <c r="E21" s="71"/>
      <c r="F21" s="23"/>
    </row>
    <row r="22" spans="2:15" x14ac:dyDescent="0.3">
      <c r="E22" s="22"/>
      <c r="F22" s="23"/>
    </row>
    <row r="23" spans="2:15" x14ac:dyDescent="0.3">
      <c r="B23" s="19" t="s">
        <v>33</v>
      </c>
      <c r="F23" s="23"/>
    </row>
    <row r="24" spans="2:15" x14ac:dyDescent="0.3">
      <c r="B24" s="20">
        <v>45817</v>
      </c>
      <c r="C24" s="20">
        <v>46181</v>
      </c>
      <c r="D24" s="18">
        <f>+C24-B24+1</f>
        <v>365</v>
      </c>
      <c r="E24" s="17">
        <v>19500</v>
      </c>
      <c r="F24" s="23"/>
    </row>
    <row r="25" spans="2:15" x14ac:dyDescent="0.3">
      <c r="B25" s="20">
        <v>46113</v>
      </c>
      <c r="C25" s="20">
        <f>C24</f>
        <v>46181</v>
      </c>
      <c r="D25" s="18">
        <f>+C25-B25+1</f>
        <v>69</v>
      </c>
      <c r="E25" s="90">
        <f>ROUND(E24*D25/D24,0)</f>
        <v>3686</v>
      </c>
      <c r="F25" s="91" t="s">
        <v>159</v>
      </c>
    </row>
    <row r="26" spans="2:15" x14ac:dyDescent="0.3">
      <c r="E26" s="22"/>
      <c r="F26" s="23"/>
      <c r="K26" s="25"/>
    </row>
    <row r="27" spans="2:15" x14ac:dyDescent="0.3">
      <c r="E27" s="22"/>
      <c r="F27" s="23"/>
      <c r="K27" s="25"/>
    </row>
    <row r="28" spans="2:15" x14ac:dyDescent="0.3">
      <c r="E28" s="22"/>
      <c r="F28" s="23"/>
      <c r="K28" s="25"/>
    </row>
    <row r="29" spans="2:15" x14ac:dyDescent="0.3">
      <c r="K29" s="25"/>
    </row>
    <row r="30" spans="2:15" x14ac:dyDescent="0.3">
      <c r="K30" s="25"/>
    </row>
    <row r="31" spans="2:15" x14ac:dyDescent="0.3">
      <c r="E31"/>
      <c r="K31" s="25"/>
      <c r="O31" s="19"/>
    </row>
    <row r="32" spans="2:15" x14ac:dyDescent="0.3">
      <c r="E32" s="18"/>
      <c r="K32" s="25"/>
    </row>
    <row r="33" spans="5:8" x14ac:dyDescent="0.3">
      <c r="E33" s="18"/>
    </row>
    <row r="34" spans="5:8" x14ac:dyDescent="0.3">
      <c r="E34" s="18"/>
    </row>
    <row r="35" spans="5:8" x14ac:dyDescent="0.3">
      <c r="E35" s="18"/>
    </row>
    <row r="36" spans="5:8" x14ac:dyDescent="0.3">
      <c r="E36" s="18"/>
    </row>
    <row r="37" spans="5:8" x14ac:dyDescent="0.3">
      <c r="E37" s="18"/>
    </row>
    <row r="38" spans="5:8" x14ac:dyDescent="0.3">
      <c r="E38" s="18"/>
    </row>
    <row r="39" spans="5:8" x14ac:dyDescent="0.3">
      <c r="E39" s="18"/>
    </row>
    <row r="40" spans="5:8" x14ac:dyDescent="0.3">
      <c r="E40" s="18"/>
      <c r="H40" s="19"/>
    </row>
    <row r="41" spans="5:8" x14ac:dyDescent="0.3">
      <c r="E41" s="18"/>
    </row>
    <row r="42" spans="5:8" x14ac:dyDescent="0.3">
      <c r="E42" s="18"/>
    </row>
    <row r="43" spans="5:8" x14ac:dyDescent="0.3">
      <c r="E43" s="18"/>
      <c r="H43" s="61"/>
    </row>
    <row r="44" spans="5:8" x14ac:dyDescent="0.3">
      <c r="E44" s="18"/>
      <c r="H44" s="61"/>
    </row>
    <row r="45" spans="5:8" x14ac:dyDescent="0.3">
      <c r="E45" s="18"/>
      <c r="H45" s="61"/>
    </row>
    <row r="46" spans="5:8" x14ac:dyDescent="0.3">
      <c r="E46" s="18"/>
    </row>
    <row r="47" spans="5:8" x14ac:dyDescent="0.3">
      <c r="E47" s="18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BS</vt:lpstr>
      <vt:lpstr>IE</vt:lpstr>
      <vt:lpstr>FD-Sch</vt:lpstr>
      <vt:lpstr>Members</vt:lpstr>
      <vt:lpstr>Vendors</vt:lpstr>
      <vt:lpstr>BRS</vt:lpstr>
      <vt:lpstr>Workings</vt:lpstr>
      <vt:lpstr>BS!Print_Area</vt:lpstr>
      <vt:lpstr>'FD-Sch'!Print_Area</vt:lpstr>
      <vt:lpstr>IE!Print_Area</vt:lpstr>
      <vt:lpstr>Members!Print_Area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bharatboridkar@gmail.com</cp:lastModifiedBy>
  <cp:lastPrinted>2026-08-31T18:42:03Z</cp:lastPrinted>
  <dcterms:created xsi:type="dcterms:W3CDTF">2015-06-05T18:17:20Z</dcterms:created>
  <dcterms:modified xsi:type="dcterms:W3CDTF">2026-09-08T14:15:12Z</dcterms:modified>
</cp:coreProperties>
</file>