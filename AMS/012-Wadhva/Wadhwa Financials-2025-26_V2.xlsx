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BHARAT\2025-2026\BCB\AMS\012-Wadhva\"/>
    </mc:Choice>
  </mc:AlternateContent>
  <xr:revisionPtr revIDLastSave="0" documentId="13_ncr:1_{F3768272-767F-4860-8BDD-FA559EF9339A}" xr6:coauthVersionLast="47" xr6:coauthVersionMax="47" xr10:uidLastSave="{00000000-0000-0000-0000-000000000000}"/>
  <bookViews>
    <workbookView xWindow="-108" yWindow="-108" windowWidth="23256" windowHeight="12456" tabRatio="873" activeTab="1" xr2:uid="{00000000-000D-0000-FFFF-FFFF00000000}"/>
  </bookViews>
  <sheets>
    <sheet name="BS" sheetId="1" r:id="rId1"/>
    <sheet name="I&amp;E" sheetId="2" r:id="rId2"/>
    <sheet name="Sch I - FD" sheetId="3" r:id="rId3"/>
    <sheet name="Sch II &amp; III - Mem. Rec &amp; Adv" sheetId="4" r:id="rId4"/>
    <sheet name="Fixed assest" sheetId="8" r:id="rId5"/>
    <sheet name="Sch IV &amp; V  - Adv &amp; Prov" sheetId="5" r:id="rId6"/>
    <sheet name="Bank Reco" sheetId="6" r:id="rId7"/>
    <sheet name="Workings" sheetId="7" r:id="rId8"/>
    <sheet name="Queries" sheetId="9" r:id="rId9"/>
  </sheets>
  <definedNames>
    <definedName name="_xlnm.Print_Area" localSheetId="6">'Bank Reco'!$A$1:$E$44</definedName>
    <definedName name="_xlnm.Print_Area" localSheetId="0">BS!$A$1:$H$54</definedName>
    <definedName name="_xlnm.Print_Area" localSheetId="4">'Fixed assest'!$A$1:$J$15</definedName>
    <definedName name="_xlnm.Print_Area" localSheetId="1">'I&amp;E'!$A$1:$H$53</definedName>
    <definedName name="_xlnm.Print_Area" localSheetId="2">'Sch I - FD'!$A$1:$L$40</definedName>
    <definedName name="_xlnm.Print_Area" localSheetId="3">'Sch II &amp; III - Mem. Rec &amp; Adv'!$A$1:$F$40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7" i="4" l="1"/>
  <c r="E30" i="4"/>
  <c r="E37" i="4" s="1"/>
  <c r="C26" i="4"/>
  <c r="C39" i="4" s="1"/>
  <c r="E25" i="4"/>
  <c r="E26" i="4"/>
  <c r="E39" i="4" s="1"/>
  <c r="C19" i="2" l="1"/>
  <c r="E24" i="6"/>
  <c r="C19" i="1"/>
  <c r="G21" i="2"/>
  <c r="H26" i="2" s="1"/>
  <c r="G6" i="3"/>
  <c r="E18" i="3"/>
  <c r="G7" i="8"/>
  <c r="G31" i="1"/>
  <c r="C15" i="5"/>
  <c r="C39" i="2"/>
  <c r="G10" i="1"/>
  <c r="G9" i="1"/>
  <c r="G8" i="1"/>
  <c r="G11" i="1"/>
  <c r="E34" i="6"/>
  <c r="G36" i="3" l="1"/>
  <c r="G37" i="3" s="1"/>
  <c r="G32" i="3"/>
  <c r="G33" i="3" s="1"/>
  <c r="G24" i="3"/>
  <c r="G25" i="3" s="1"/>
  <c r="G11" i="3"/>
  <c r="G10" i="3"/>
  <c r="G9" i="3"/>
  <c r="G8" i="3"/>
  <c r="G7" i="3"/>
  <c r="G29" i="3"/>
  <c r="G18" i="3"/>
  <c r="A11" i="5"/>
  <c r="E9" i="7"/>
  <c r="C8" i="5" s="1"/>
  <c r="E16" i="4"/>
  <c r="C40" i="1" s="1"/>
  <c r="C13" i="1"/>
  <c r="C32" i="1"/>
  <c r="C29" i="1"/>
  <c r="C25" i="1"/>
  <c r="C21" i="1"/>
  <c r="E7" i="4"/>
  <c r="H24" i="1" s="1"/>
  <c r="A44" i="2"/>
  <c r="G13" i="3" l="1"/>
  <c r="G39" i="3" s="1"/>
  <c r="C21" i="2"/>
  <c r="C29" i="2"/>
  <c r="D8" i="7"/>
  <c r="E8" i="7"/>
  <c r="H36" i="3"/>
  <c r="H24" i="3"/>
  <c r="H23" i="3"/>
  <c r="H22" i="3"/>
  <c r="H21" i="3"/>
  <c r="H17" i="3"/>
  <c r="H16" i="3"/>
  <c r="H10" i="3"/>
  <c r="H9" i="3"/>
  <c r="H8" i="3"/>
  <c r="H7" i="3"/>
  <c r="H32" i="3"/>
  <c r="H6" i="3"/>
  <c r="N12" i="3"/>
  <c r="O12" i="3"/>
  <c r="P12" i="3" l="1"/>
  <c r="C10" i="5"/>
  <c r="C11" i="5" s="1"/>
  <c r="H13" i="8"/>
  <c r="H12" i="8"/>
  <c r="H10" i="8"/>
  <c r="H9" i="8"/>
  <c r="H8" i="8"/>
  <c r="H7" i="8"/>
  <c r="I7" i="8" s="1"/>
  <c r="H6" i="8"/>
  <c r="E14" i="8"/>
  <c r="F14" i="8"/>
  <c r="D14" i="8"/>
  <c r="D40" i="2"/>
  <c r="C34" i="1"/>
  <c r="D34" i="1" s="1"/>
  <c r="C30" i="1"/>
  <c r="D30" i="1" s="1"/>
  <c r="C27" i="1"/>
  <c r="D27" i="1" s="1"/>
  <c r="C23" i="1"/>
  <c r="D23" i="1" s="1"/>
  <c r="D19" i="2"/>
  <c r="D13" i="2"/>
  <c r="C22" i="5"/>
  <c r="A22" i="5"/>
  <c r="I14" i="1"/>
  <c r="T10" i="8"/>
  <c r="C24" i="5" l="1"/>
  <c r="C41" i="1" s="1"/>
  <c r="G13" i="8"/>
  <c r="G12" i="8"/>
  <c r="H11" i="8"/>
  <c r="H14" i="8" s="1"/>
  <c r="C23" i="2" s="1"/>
  <c r="G11" i="8"/>
  <c r="G10" i="8"/>
  <c r="I10" i="8" s="1"/>
  <c r="G9" i="8"/>
  <c r="G8" i="8"/>
  <c r="G6" i="8"/>
  <c r="G14" i="8" l="1"/>
  <c r="D27" i="2"/>
  <c r="I11" i="8"/>
  <c r="I6" i="8"/>
  <c r="I13" i="8"/>
  <c r="I12" i="8"/>
  <c r="I9" i="8"/>
  <c r="I8" i="8"/>
  <c r="H17" i="2"/>
  <c r="H44" i="2" s="1"/>
  <c r="I14" i="8" l="1"/>
  <c r="H26" i="1" s="1"/>
  <c r="D41" i="1"/>
  <c r="F25" i="3" l="1"/>
  <c r="F33" i="3"/>
  <c r="F37" i="3"/>
  <c r="E37" i="3"/>
  <c r="J33" i="3"/>
  <c r="E33" i="3"/>
  <c r="D33" i="3"/>
  <c r="F29" i="3"/>
  <c r="E25" i="3"/>
  <c r="D25" i="3"/>
  <c r="F18" i="3"/>
  <c r="D18" i="3"/>
  <c r="H18" i="3"/>
  <c r="F11" i="3"/>
  <c r="H11" i="3" s="1"/>
  <c r="H37" i="3" l="1"/>
  <c r="H33" i="3"/>
  <c r="H25" i="3"/>
  <c r="F13" i="3"/>
  <c r="F39" i="3" s="1"/>
  <c r="H20" i="1" l="1"/>
  <c r="H6" i="1" l="1"/>
  <c r="E6" i="1"/>
  <c r="H5" i="2"/>
  <c r="D6" i="2"/>
  <c r="H6" i="2" s="1"/>
  <c r="A3" i="2"/>
  <c r="E31" i="2" l="1"/>
  <c r="E44" i="2" l="1"/>
  <c r="E45" i="1"/>
  <c r="E28" i="3"/>
  <c r="H28" i="3" s="1"/>
  <c r="D42" i="2" l="1"/>
  <c r="C18" i="1" s="1"/>
  <c r="D19" i="1" s="1"/>
  <c r="H29" i="3"/>
  <c r="E29" i="3"/>
  <c r="E12" i="3"/>
  <c r="H12" i="3" s="1"/>
  <c r="D43" i="2" l="1"/>
  <c r="A24" i="5"/>
  <c r="J37" i="3"/>
  <c r="J29" i="3"/>
  <c r="J25" i="3"/>
  <c r="J18" i="3"/>
  <c r="J13" i="3"/>
  <c r="D37" i="3"/>
  <c r="D29" i="3"/>
  <c r="E13" i="3"/>
  <c r="E39" i="3" s="1"/>
  <c r="D13" i="3"/>
  <c r="B9" i="7"/>
  <c r="D9" i="7" s="1"/>
  <c r="B7" i="7"/>
  <c r="D7" i="7" s="1"/>
  <c r="B6" i="7"/>
  <c r="D6" i="7" s="1"/>
  <c r="B5" i="7"/>
  <c r="D5" i="7" s="1"/>
  <c r="G17" i="1" l="1"/>
  <c r="G35" i="1"/>
  <c r="H35" i="1" s="1"/>
  <c r="D44" i="2"/>
  <c r="D39" i="3"/>
  <c r="G16" i="1" s="1"/>
  <c r="J39" i="3"/>
  <c r="A2" i="2"/>
  <c r="A1" i="2"/>
  <c r="A10" i="1"/>
  <c r="A45" i="1" s="1"/>
  <c r="I51" i="1" s="1"/>
  <c r="A6" i="2"/>
  <c r="E6" i="2" s="1"/>
  <c r="E10" i="6"/>
  <c r="H17" i="1" l="1"/>
  <c r="D4" i="7"/>
  <c r="E20" i="6"/>
  <c r="H13" i="3" l="1"/>
  <c r="H39" i="3" s="1"/>
  <c r="D45" i="1" l="1"/>
  <c r="E44" i="6" l="1"/>
  <c r="H11" i="1" s="1"/>
  <c r="H45" i="1" l="1"/>
  <c r="J51" i="1" l="1"/>
</calcChain>
</file>

<file path=xl/sharedStrings.xml><?xml version="1.0" encoding="utf-8"?>
<sst xmlns="http://schemas.openxmlformats.org/spreadsheetml/2006/main" count="378" uniqueCount="250">
  <si>
    <t>Liabilities</t>
  </si>
  <si>
    <t>Assets</t>
  </si>
  <si>
    <t>Authorised Share Capital</t>
  </si>
  <si>
    <t>Cash &amp; Bank Balance</t>
  </si>
  <si>
    <t>Issued, Subscribed and Paid Up</t>
  </si>
  <si>
    <t>Maharashtra State Co-op Bank</t>
  </si>
  <si>
    <t>Citizen Credit Co-op Bank</t>
  </si>
  <si>
    <t>Entrance Fees</t>
  </si>
  <si>
    <t>Share Transfer Fees</t>
  </si>
  <si>
    <t>Share of MSCB Ltd.</t>
  </si>
  <si>
    <t>Transfer Premium</t>
  </si>
  <si>
    <t>Share with MDHF</t>
  </si>
  <si>
    <t>Fixed Deposits (as per schedule I )</t>
  </si>
  <si>
    <t>Sinking Fund</t>
  </si>
  <si>
    <t>Accrued Interest on Investment</t>
  </si>
  <si>
    <t>Add: Additions during the year</t>
  </si>
  <si>
    <t>Fixed Assets</t>
  </si>
  <si>
    <t>Building</t>
  </si>
  <si>
    <t>Compound Patty</t>
  </si>
  <si>
    <t>Repair Fund</t>
  </si>
  <si>
    <t>Compound Gate</t>
  </si>
  <si>
    <t>Painting Fund</t>
  </si>
  <si>
    <t>Terrace Gate Grills</t>
  </si>
  <si>
    <t>Water Pump</t>
  </si>
  <si>
    <t>Contribution from Members Towards</t>
  </si>
  <si>
    <t>Cost of Building</t>
  </si>
  <si>
    <t>Garden Bench</t>
  </si>
  <si>
    <t>Education &amp; Training Fund</t>
  </si>
  <si>
    <t>Current liabilities</t>
  </si>
  <si>
    <t>Member Receivables - Sch - II</t>
  </si>
  <si>
    <t>Deposit - Tata Power</t>
  </si>
  <si>
    <t>Security Deposit with BSES</t>
  </si>
  <si>
    <t>Audit Fees</t>
  </si>
  <si>
    <t>Water Charges</t>
  </si>
  <si>
    <t>Other Liabilities</t>
  </si>
  <si>
    <t>Income &amp; Expenditure A/c</t>
  </si>
  <si>
    <t>Retained Earnings</t>
  </si>
  <si>
    <t>Total</t>
  </si>
  <si>
    <t>Date</t>
  </si>
  <si>
    <t>WADHWA CO-OP HOUSING SOCIETY LIMITED.</t>
  </si>
  <si>
    <t>Certificate No.</t>
  </si>
  <si>
    <t>Amount Invested</t>
  </si>
  <si>
    <t>Maturity Date</t>
  </si>
  <si>
    <t>Maturity Value</t>
  </si>
  <si>
    <t>Interest %</t>
  </si>
  <si>
    <t>Bank</t>
  </si>
  <si>
    <t>MSC</t>
  </si>
  <si>
    <t>CIT</t>
  </si>
  <si>
    <t>General Fund</t>
  </si>
  <si>
    <t>Sl.No</t>
  </si>
  <si>
    <t>Block</t>
  </si>
  <si>
    <t>Amount</t>
  </si>
  <si>
    <t>Income</t>
  </si>
  <si>
    <t>Water Expenses</t>
  </si>
  <si>
    <t>Property Tax</t>
  </si>
  <si>
    <t>Service Charges</t>
  </si>
  <si>
    <t>Non Occupancy Charges</t>
  </si>
  <si>
    <t>Late Payment Interest</t>
  </si>
  <si>
    <t>Insurance Charges</t>
  </si>
  <si>
    <t>4W Parking Charges</t>
  </si>
  <si>
    <t>2W Parking Charges</t>
  </si>
  <si>
    <t>Interest Income - Savings Account</t>
  </si>
  <si>
    <t xml:space="preserve">Interest Income - Fixed Deposit </t>
  </si>
  <si>
    <t>Security Expenses</t>
  </si>
  <si>
    <t>Less: Trfd to Sinking Fund</t>
  </si>
  <si>
    <t>Less: Trfd to Painting Fund</t>
  </si>
  <si>
    <t>Insurance Expenses</t>
  </si>
  <si>
    <t>Subscription Federation</t>
  </si>
  <si>
    <t>Bonus</t>
  </si>
  <si>
    <t>Accounting Charges</t>
  </si>
  <si>
    <t>Bank charges</t>
  </si>
  <si>
    <t>Balance as per system</t>
  </si>
  <si>
    <t>Add:</t>
  </si>
  <si>
    <t>Cheque issued  but not cleared</t>
  </si>
  <si>
    <t>Ref Annexure attached</t>
  </si>
  <si>
    <t>Less :</t>
  </si>
  <si>
    <t>Cheque deposited but not cleared</t>
  </si>
  <si>
    <t>Balance as per Bank  Pass Book</t>
  </si>
  <si>
    <t>Wadhwa Chs Ltd.</t>
  </si>
  <si>
    <t>Water Tank Cleaning Expenses</t>
  </si>
  <si>
    <t>Printing &amp; Stationery</t>
  </si>
  <si>
    <t>Postage &amp; Courier</t>
  </si>
  <si>
    <t>Conveyance Charges</t>
  </si>
  <si>
    <t>Advance Members - Sch III</t>
  </si>
  <si>
    <t>Add: Interest received during the year</t>
  </si>
  <si>
    <t>As per last year Balance Sheet</t>
  </si>
  <si>
    <t>Payables/ Provisions - Sch V</t>
  </si>
  <si>
    <t>Water Charges Payable</t>
  </si>
  <si>
    <t>Misc. Expenses</t>
  </si>
  <si>
    <t>Audit Fee Payable</t>
  </si>
  <si>
    <t>*Working Sheet not to be printed for Balance Sheet</t>
  </si>
  <si>
    <t>Water Expenses:</t>
  </si>
  <si>
    <t>(21 Individuals and 1 corporate)</t>
  </si>
  <si>
    <t>Common Electricity Charges</t>
  </si>
  <si>
    <t>Less: Trfd to General Fund</t>
  </si>
  <si>
    <t>Add: 50% Penalty Waived Off</t>
  </si>
  <si>
    <t>Particulars</t>
  </si>
  <si>
    <t>Professional Fees Payable</t>
  </si>
  <si>
    <t>Less:</t>
  </si>
  <si>
    <t>Cheque issued and cleared but not updated</t>
  </si>
  <si>
    <t>Income Tax Payable</t>
  </si>
  <si>
    <t>WADHWA CO-OP. HOUSING SOCIETY LTD.</t>
  </si>
  <si>
    <t>Regd. No. BOM / HSG / 1848 dated 04.10.1968</t>
  </si>
  <si>
    <t>(Amt. in Rs.)</t>
  </si>
  <si>
    <t>230 Shares of Rs.50/- each</t>
  </si>
  <si>
    <t xml:space="preserve">Bal as per last Balance Sheet </t>
  </si>
  <si>
    <t>General Reserve &amp; Other Funds</t>
  </si>
  <si>
    <t>(14,500 Shares of Rs.50/- each)</t>
  </si>
  <si>
    <t xml:space="preserve">Security Deposit towards Electricity </t>
  </si>
  <si>
    <t>Vijay Bhavan, 68, St. Sebastian Road, Bandra (West), Mumbai - 400050</t>
  </si>
  <si>
    <t>Expenditure</t>
  </si>
  <si>
    <t>To Electricity Expenses</t>
  </si>
  <si>
    <t>To Property Tax</t>
  </si>
  <si>
    <t>To Water Expenses</t>
  </si>
  <si>
    <t>Depreciation on Fixed Assets</t>
  </si>
  <si>
    <t>By Excess of Expenditure over Income</t>
  </si>
  <si>
    <t>Income Tax Expenses</t>
  </si>
  <si>
    <t>To Repair &amp; Maintenance</t>
  </si>
  <si>
    <t>To Service Charges</t>
  </si>
  <si>
    <t>To Office Expenses</t>
  </si>
  <si>
    <t>By Interest Income</t>
  </si>
  <si>
    <t>Pest Control &amp; Fogging Charges</t>
  </si>
  <si>
    <t>By Maintenance Income</t>
  </si>
  <si>
    <t>Sundry Debtors</t>
  </si>
  <si>
    <t>Investments &amp; Deposits</t>
  </si>
  <si>
    <t>SCHEDULE - III</t>
  </si>
  <si>
    <t>Name of the Members</t>
  </si>
  <si>
    <t xml:space="preserve"> Amount (Rs.)</t>
  </si>
  <si>
    <t>Flat No.</t>
  </si>
  <si>
    <t>SCHEDULE - V</t>
  </si>
  <si>
    <t>Wadhwa Co-op. Housing Society Ltd.</t>
  </si>
  <si>
    <t xml:space="preserve">Schedule - I </t>
  </si>
  <si>
    <t>Manager Salary</t>
  </si>
  <si>
    <t>Sweeper Salary</t>
  </si>
  <si>
    <t>Garden Maintenance</t>
  </si>
  <si>
    <t>Other R &amp; M Expenses</t>
  </si>
  <si>
    <t>Electrical R &amp; M Expenses</t>
  </si>
  <si>
    <t>Plumbing R &amp; M Expenses</t>
  </si>
  <si>
    <t>Meeting Expenses</t>
  </si>
  <si>
    <t>1000565</t>
  </si>
  <si>
    <t>1000553</t>
  </si>
  <si>
    <t>Education Fund</t>
  </si>
  <si>
    <t>Share Capital</t>
  </si>
  <si>
    <t>28.03.2026</t>
  </si>
  <si>
    <t>27.03.2026</t>
  </si>
  <si>
    <t>01.06.2023</t>
  </si>
  <si>
    <t>01.06.2026</t>
  </si>
  <si>
    <t>Union Bank A/c. 79923</t>
  </si>
  <si>
    <t>Union Bank A/c. 79931</t>
  </si>
  <si>
    <t>Less: Excess provision written back</t>
  </si>
  <si>
    <t>Less: Diff in interest of prior period</t>
  </si>
  <si>
    <t>Less: Trfd to Repair Fund</t>
  </si>
  <si>
    <t>Accrued Int 23-24</t>
  </si>
  <si>
    <t>FY 24-25</t>
  </si>
  <si>
    <t>20.03.2026</t>
  </si>
  <si>
    <t>19.03.2026</t>
  </si>
  <si>
    <t>2244/6601030</t>
  </si>
  <si>
    <t>21.03.2025</t>
  </si>
  <si>
    <t>21.02.2028</t>
  </si>
  <si>
    <t>Accrued Int 24-25</t>
  </si>
  <si>
    <t>30.08.2025</t>
  </si>
  <si>
    <t>Mr. Shakir G Baig</t>
  </si>
  <si>
    <t>B</t>
  </si>
  <si>
    <t>Provision</t>
  </si>
  <si>
    <t>Sr.No.</t>
  </si>
  <si>
    <t>Rate %</t>
  </si>
  <si>
    <t>Depreciation for the year</t>
  </si>
  <si>
    <t xml:space="preserve">Furniture and Fixtures </t>
  </si>
  <si>
    <t>CCTV camera</t>
  </si>
  <si>
    <t>TDS receivable</t>
  </si>
  <si>
    <t>Apartment Management Services</t>
  </si>
  <si>
    <t>Sweeper</t>
  </si>
  <si>
    <t>Tata Power</t>
  </si>
  <si>
    <t>MCGM</t>
  </si>
  <si>
    <t>CCTV  Repair &amp; Maintenance</t>
  </si>
  <si>
    <t>Less: Trfd to Educ. &amp; Trng Fund</t>
  </si>
  <si>
    <t>Nomination Fees</t>
  </si>
  <si>
    <t>Other charges</t>
  </si>
  <si>
    <t>Balance Sheet as at 31st March 2026</t>
  </si>
  <si>
    <t>March 31,
2026</t>
  </si>
  <si>
    <t>March 31, 2025</t>
  </si>
  <si>
    <t>Income and Expenditure Account for the year ended March 31, 2026</t>
  </si>
  <si>
    <t>Members Advance as on 31.03.2026</t>
  </si>
  <si>
    <t>Details of Fixed Deposits as on 31st March 2026</t>
  </si>
  <si>
    <t xml:space="preserve"> Provisions as on 31.03.2026</t>
  </si>
  <si>
    <t>: Details of Fixed Assets as at March 31, 2026</t>
  </si>
  <si>
    <t>Corporation Bank (79923) Reconciliation Statement as on 31.03.2026</t>
  </si>
  <si>
    <t>Corporation Bank (79931) Reconciliation Statement as on 31.03.2026</t>
  </si>
  <si>
    <t>Citizen Credit Bank Reconciliation Statement as on 31.03.2026</t>
  </si>
  <si>
    <t>Maharashtra State Co-op Bank Reconciliation Statement as on 31.03.2026</t>
  </si>
  <si>
    <t>FY 25-26</t>
  </si>
  <si>
    <t>6100017/5</t>
  </si>
  <si>
    <t>30.08.2026</t>
  </si>
  <si>
    <t>6100018/5</t>
  </si>
  <si>
    <t>6100019/5</t>
  </si>
  <si>
    <t>6100020/5</t>
  </si>
  <si>
    <t>27.03.2028</t>
  </si>
  <si>
    <t>6500077/1</t>
  </si>
  <si>
    <t>28.03.2028</t>
  </si>
  <si>
    <t>6500078/1</t>
  </si>
  <si>
    <t>6500079/1</t>
  </si>
  <si>
    <t>Additions on or before 30.09.2025</t>
  </si>
  <si>
    <t>Additions after 30.09.2025</t>
  </si>
  <si>
    <t>Gross Block (as Cost) as on 31.03.2026</t>
  </si>
  <si>
    <t>Net Block as on 31.03.2026</t>
  </si>
  <si>
    <t>08</t>
  </si>
  <si>
    <t>Mr. Rizwan Rashid Khan</t>
  </si>
  <si>
    <t>Mrs. Pratibha Agale &amp; Mr. Vijay Agale</t>
  </si>
  <si>
    <t>Payables as on 31.03.2026</t>
  </si>
  <si>
    <t>Miscelleneous Income</t>
  </si>
  <si>
    <t>House Keeping Expenses</t>
  </si>
  <si>
    <t>25% of Surplus trf to Reserve Fund</t>
  </si>
  <si>
    <t>Members Receivable as on 31.03.2026</t>
  </si>
  <si>
    <t>Mr. Sunil John Macwan</t>
  </si>
  <si>
    <t>03</t>
  </si>
  <si>
    <t>Watchman</t>
  </si>
  <si>
    <t>Fracis Rebello</t>
  </si>
  <si>
    <t>Accrued Int 25-26</t>
  </si>
  <si>
    <t>SCHEDULE - II</t>
  </si>
  <si>
    <t>Chq # 807014 - Santan dated 29.09.2025</t>
  </si>
  <si>
    <t>25% surplus trfd to General Reserve</t>
  </si>
  <si>
    <t>Legal &amp; Professional Fees</t>
  </si>
  <si>
    <t>Less: Income over Expenditure</t>
  </si>
  <si>
    <t>Cost as on 01.04.2025</t>
  </si>
  <si>
    <t>1. MSC bank has deducted 20% TDS and the renewed amount doesn’t match with the balance, hence we have taken the balance amount in Misc. Income.</t>
  </si>
  <si>
    <t>3. Miscelleneous expense breakup required dated 01.07.2025 &amp; bills missing </t>
  </si>
  <si>
    <t>4. Sweeper Sunny Lohat Dec 2025 how much Bonus is given? Mar 2026 salary voucher is missing</t>
  </si>
  <si>
    <t>19.03.2027</t>
  </si>
  <si>
    <t>20.03.2027</t>
  </si>
  <si>
    <t>303472_R09</t>
  </si>
  <si>
    <t>303473_R09</t>
  </si>
  <si>
    <t>303474_R09</t>
  </si>
  <si>
    <t>Santan Electrical</t>
  </si>
  <si>
    <t>2. CCTV AMC period &amp; bill required</t>
  </si>
  <si>
    <t>5. Tata Power Mar 2026 voucher missing.</t>
  </si>
  <si>
    <t>6. Insurance period &amp; bill required</t>
  </si>
  <si>
    <t>7. Income tax payable will set off after checking it on IT portal.</t>
  </si>
  <si>
    <t>8. Kindly refer Sch I - FD details required - maturity date, amount, ROI (FD copies if possible)</t>
  </si>
  <si>
    <t>9. Santan Electrical Rs. 5880 is paid? or should we write it off.</t>
  </si>
  <si>
    <t>310426_R10</t>
  </si>
  <si>
    <t>310425_R10</t>
  </si>
  <si>
    <t>As per my report of even date</t>
  </si>
  <si>
    <t>FOR WADHWA CO-OP. HOUSING SOCIETY LTD.</t>
  </si>
  <si>
    <t>Shri. Bharat C. Boridkar</t>
  </si>
  <si>
    <t>Govt. Certified Panel Auditor</t>
  </si>
  <si>
    <t>Chairman                       Secretary                       Treasurer</t>
  </si>
  <si>
    <t>TOTAL:-</t>
  </si>
  <si>
    <t>GRAND TOTAL:-</t>
  </si>
  <si>
    <t>Surplus for the period</t>
  </si>
  <si>
    <t>[Panel No.: Mumbai-4/C1/1011404]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</si>
</sst>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_(* #,##0.00_);_(* \(#,##0.00\);_(* &quot;-&quot;??_);_(@_)"/>
    <numFmt numFmtId="165" formatCode="_ * #,##0_ ;_ * \-#,##0_ ;_ * &quot;-&quot;??_ ;_ @_ "/>
    <numFmt numFmtId="166" formatCode="&quot;Mumbai: &quot;dd&quot;th&quot;\ mmmm\,\ yyyy"/>
  </numFmts>
  <fonts count="3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</font>
    <font>
      <sz val="8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0.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u/>
      <sz val="18"/>
      <name val="Calibri"/>
      <family val="2"/>
      <scheme val="minor"/>
    </font>
    <font>
      <sz val="10"/>
      <name val="Calibri"/>
      <family val="2"/>
      <scheme val="minor"/>
    </font>
    <font>
      <b/>
      <sz val="12"/>
      <name val="Calibri"/>
      <family val="2"/>
      <scheme val="minor"/>
    </font>
    <font>
      <b/>
      <sz val="16"/>
      <name val="Calibri"/>
      <family val="2"/>
      <scheme val="minor"/>
    </font>
    <font>
      <sz val="9"/>
      <name val="Calibri"/>
      <family val="2"/>
      <scheme val="minor"/>
    </font>
    <font>
      <sz val="9"/>
      <name val="Arial"/>
      <family val="2"/>
    </font>
    <font>
      <b/>
      <u/>
      <sz val="12"/>
      <name val="Calibri"/>
      <family val="2"/>
      <scheme val="minor"/>
    </font>
    <font>
      <b/>
      <u/>
      <sz val="11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theme="1"/>
      <name val="Calibri"/>
      <family val="2"/>
    </font>
    <font>
      <sz val="10"/>
      <name val="Times New Roman"/>
      <family val="1"/>
    </font>
    <font>
      <sz val="10"/>
      <name val="Arial"/>
      <family val="2"/>
    </font>
    <font>
      <b/>
      <sz val="11"/>
      <name val="Bookman Old Style"/>
      <family val="1"/>
    </font>
    <font>
      <sz val="11"/>
      <color theme="1"/>
      <name val="Arial"/>
      <family val="2"/>
    </font>
    <font>
      <b/>
      <sz val="11"/>
      <color theme="1"/>
      <name val="Times New Roman"/>
      <family val="1"/>
    </font>
    <font>
      <sz val="11"/>
      <name val="Times New Roman"/>
      <family val="1"/>
    </font>
    <font>
      <sz val="1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rgb="FF000000"/>
      </right>
      <top style="medium">
        <color indexed="64"/>
      </top>
      <bottom style="double">
        <color indexed="64"/>
      </bottom>
      <diagonal/>
    </border>
    <border>
      <left style="thin">
        <color rgb="FF000000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/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double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rgb="FF000000"/>
      </left>
      <right style="double">
        <color indexed="64"/>
      </right>
      <top/>
      <bottom/>
      <diagonal/>
    </border>
  </borders>
  <cellStyleXfs count="7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7" fillId="0" borderId="0"/>
    <xf numFmtId="43" fontId="1" fillId="0" borderId="0" applyFont="0" applyFill="0" applyBorder="0" applyAlignment="0" applyProtection="0"/>
    <xf numFmtId="0" fontId="31" fillId="0" borderId="0"/>
    <xf numFmtId="0" fontId="27" fillId="0" borderId="0"/>
  </cellStyleXfs>
  <cellXfs count="294">
    <xf numFmtId="0" fontId="0" fillId="0" borderId="0" xfId="0"/>
    <xf numFmtId="164" fontId="0" fillId="0" borderId="0" xfId="0" applyNumberFormat="1"/>
    <xf numFmtId="164" fontId="0" fillId="0" borderId="0" xfId="1" applyNumberFormat="1" applyFont="1" applyFill="1" applyBorder="1"/>
    <xf numFmtId="0" fontId="2" fillId="0" borderId="0" xfId="0" applyFont="1"/>
    <xf numFmtId="43" fontId="0" fillId="0" borderId="0" xfId="1" applyFont="1"/>
    <xf numFmtId="0" fontId="0" fillId="0" borderId="0" xfId="0" applyAlignment="1">
      <alignment horizontal="center"/>
    </xf>
    <xf numFmtId="0" fontId="0" fillId="0" borderId="1" xfId="0" applyBorder="1"/>
    <xf numFmtId="164" fontId="0" fillId="0" borderId="1" xfId="1" applyNumberFormat="1" applyFont="1" applyFill="1" applyBorder="1"/>
    <xf numFmtId="0" fontId="1" fillId="0" borderId="0" xfId="0" applyFont="1"/>
    <xf numFmtId="0" fontId="1" fillId="0" borderId="5" xfId="0" applyFont="1" applyBorder="1"/>
    <xf numFmtId="43" fontId="2" fillId="0" borderId="0" xfId="1" applyFont="1" applyBorder="1"/>
    <xf numFmtId="0" fontId="2" fillId="0" borderId="0" xfId="0" applyFont="1" applyAlignment="1">
      <alignment horizontal="center"/>
    </xf>
    <xf numFmtId="14" fontId="0" fillId="0" borderId="0" xfId="0" applyNumberFormat="1"/>
    <xf numFmtId="43" fontId="0" fillId="0" borderId="0" xfId="1" applyFont="1" applyBorder="1"/>
    <xf numFmtId="43" fontId="1" fillId="0" borderId="0" xfId="1" applyFont="1" applyAlignment="1">
      <alignment horizontal="center"/>
    </xf>
    <xf numFmtId="43" fontId="1" fillId="0" borderId="0" xfId="1" applyFont="1"/>
    <xf numFmtId="43" fontId="2" fillId="0" borderId="5" xfId="1" applyFont="1" applyBorder="1"/>
    <xf numFmtId="43" fontId="2" fillId="0" borderId="0" xfId="0" applyNumberFormat="1" applyFont="1"/>
    <xf numFmtId="43" fontId="0" fillId="0" borderId="0" xfId="0" applyNumberFormat="1"/>
    <xf numFmtId="43" fontId="0" fillId="0" borderId="4" xfId="1" applyFont="1" applyBorder="1" applyAlignment="1">
      <alignment horizontal="right"/>
    </xf>
    <xf numFmtId="0" fontId="0" fillId="0" borderId="2" xfId="0" applyBorder="1"/>
    <xf numFmtId="43" fontId="0" fillId="0" borderId="4" xfId="1" applyFont="1" applyFill="1" applyBorder="1" applyAlignment="1">
      <alignment horizontal="right"/>
    </xf>
    <xf numFmtId="0" fontId="9" fillId="0" borderId="2" xfId="0" applyFont="1" applyBorder="1"/>
    <xf numFmtId="43" fontId="0" fillId="0" borderId="2" xfId="1" applyFont="1" applyBorder="1" applyAlignment="1">
      <alignment horizontal="right"/>
    </xf>
    <xf numFmtId="43" fontId="2" fillId="0" borderId="14" xfId="1" applyFont="1" applyBorder="1" applyAlignment="1">
      <alignment horizontal="center" vertical="center" wrapText="1"/>
    </xf>
    <xf numFmtId="43" fontId="12" fillId="2" borderId="15" xfId="1" applyFont="1" applyFill="1" applyBorder="1" applyAlignment="1">
      <alignment horizontal="center" vertical="center" wrapText="1"/>
    </xf>
    <xf numFmtId="43" fontId="2" fillId="0" borderId="0" xfId="1" applyFont="1" applyBorder="1" applyAlignment="1">
      <alignment horizontal="center"/>
    </xf>
    <xf numFmtId="0" fontId="0" fillId="0" borderId="4" xfId="0" applyBorder="1"/>
    <xf numFmtId="0" fontId="2" fillId="0" borderId="0" xfId="0" applyFont="1" applyAlignment="1">
      <alignment horizontal="center" vertical="center"/>
    </xf>
    <xf numFmtId="0" fontId="14" fillId="0" borderId="0" xfId="0" applyFont="1" applyAlignment="1">
      <alignment horizontal="right"/>
    </xf>
    <xf numFmtId="0" fontId="9" fillId="0" borderId="2" xfId="0" applyFont="1" applyBorder="1" applyAlignment="1">
      <alignment horizontal="left" vertical="center"/>
    </xf>
    <xf numFmtId="43" fontId="0" fillId="0" borderId="4" xfId="1" applyFont="1" applyBorder="1" applyAlignment="1"/>
    <xf numFmtId="43" fontId="0" fillId="0" borderId="4" xfId="1" applyFont="1" applyFill="1" applyBorder="1" applyAlignment="1"/>
    <xf numFmtId="0" fontId="2" fillId="0" borderId="2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13" fillId="0" borderId="2" xfId="0" applyFont="1" applyBorder="1"/>
    <xf numFmtId="43" fontId="2" fillId="0" borderId="7" xfId="1" applyFont="1" applyBorder="1" applyAlignment="1"/>
    <xf numFmtId="0" fontId="0" fillId="0" borderId="0" xfId="0" quotePrefix="1"/>
    <xf numFmtId="165" fontId="0" fillId="0" borderId="0" xfId="1" applyNumberFormat="1" applyFont="1"/>
    <xf numFmtId="164" fontId="2" fillId="0" borderId="0" xfId="1" applyNumberFormat="1" applyFont="1" applyFill="1" applyBorder="1"/>
    <xf numFmtId="0" fontId="2" fillId="0" borderId="1" xfId="0" applyFont="1" applyBorder="1" applyAlignment="1">
      <alignment horizontal="center" vertical="center" wrapText="1"/>
    </xf>
    <xf numFmtId="10" fontId="2" fillId="0" borderId="1" xfId="2" applyNumberFormat="1" applyFont="1" applyBorder="1" applyAlignment="1">
      <alignment horizontal="center" vertical="center" wrapText="1"/>
    </xf>
    <xf numFmtId="10" fontId="0" fillId="0" borderId="0" xfId="2" applyNumberFormat="1" applyFont="1" applyAlignment="1">
      <alignment horizontal="center"/>
    </xf>
    <xf numFmtId="10" fontId="0" fillId="0" borderId="0" xfId="2" applyNumberFormat="1" applyFont="1"/>
    <xf numFmtId="10" fontId="0" fillId="0" borderId="1" xfId="2" applyNumberFormat="1" applyFont="1" applyFill="1" applyBorder="1" applyAlignment="1">
      <alignment horizontal="center"/>
    </xf>
    <xf numFmtId="14" fontId="0" fillId="0" borderId="1" xfId="0" applyNumberFormat="1" applyBorder="1"/>
    <xf numFmtId="43" fontId="0" fillId="0" borderId="1" xfId="1" applyFont="1" applyBorder="1" applyAlignment="1">
      <alignment vertical="center"/>
    </xf>
    <xf numFmtId="0" fontId="0" fillId="0" borderId="1" xfId="0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/>
    <xf numFmtId="1" fontId="0" fillId="0" borderId="1" xfId="0" applyNumberFormat="1" applyBorder="1" applyAlignment="1">
      <alignment horizontal="center" vertical="center"/>
    </xf>
    <xf numFmtId="0" fontId="0" fillId="0" borderId="1" xfId="1" applyNumberFormat="1" applyFont="1" applyBorder="1" applyAlignment="1">
      <alignment horizontal="center" vertical="center"/>
    </xf>
    <xf numFmtId="0" fontId="0" fillId="0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6" fillId="0" borderId="0" xfId="0" applyFont="1"/>
    <xf numFmtId="0" fontId="21" fillId="0" borderId="0" xfId="0" applyFont="1" applyAlignment="1">
      <alignment vertical="center" wrapText="1"/>
    </xf>
    <xf numFmtId="43" fontId="6" fillId="0" borderId="3" xfId="1" applyFont="1" applyFill="1" applyBorder="1"/>
    <xf numFmtId="43" fontId="18" fillId="0" borderId="4" xfId="1" applyFont="1" applyFill="1" applyBorder="1" applyAlignment="1">
      <alignment horizontal="center" vertical="center" wrapText="1"/>
    </xf>
    <xf numFmtId="43" fontId="18" fillId="0" borderId="4" xfId="1" applyFont="1" applyFill="1" applyBorder="1" applyAlignment="1">
      <alignment horizontal="right" vertical="center"/>
    </xf>
    <xf numFmtId="43" fontId="6" fillId="0" borderId="4" xfId="1" applyFont="1" applyFill="1" applyBorder="1"/>
    <xf numFmtId="43" fontId="12" fillId="0" borderId="4" xfId="1" applyFont="1" applyFill="1" applyBorder="1" applyAlignment="1">
      <alignment horizontal="right" vertical="center"/>
    </xf>
    <xf numFmtId="43" fontId="6" fillId="0" borderId="4" xfId="1" applyFont="1" applyFill="1" applyBorder="1" applyAlignment="1">
      <alignment horizontal="right"/>
    </xf>
    <xf numFmtId="43" fontId="6" fillId="0" borderId="10" xfId="1" applyFont="1" applyFill="1" applyBorder="1" applyAlignment="1">
      <alignment horizontal="right"/>
    </xf>
    <xf numFmtId="43" fontId="12" fillId="0" borderId="4" xfId="1" applyFont="1" applyFill="1" applyBorder="1" applyAlignment="1">
      <alignment horizontal="right"/>
    </xf>
    <xf numFmtId="43" fontId="6" fillId="0" borderId="0" xfId="0" applyNumberFormat="1" applyFont="1"/>
    <xf numFmtId="43" fontId="12" fillId="0" borderId="4" xfId="1" applyFont="1" applyFill="1" applyBorder="1" applyAlignment="1">
      <alignment horizontal="left" vertical="center" wrapText="1"/>
    </xf>
    <xf numFmtId="43" fontId="6" fillId="0" borderId="10" xfId="1" applyFont="1" applyFill="1" applyBorder="1" applyAlignment="1">
      <alignment wrapText="1"/>
    </xf>
    <xf numFmtId="164" fontId="6" fillId="0" borderId="0" xfId="0" applyNumberFormat="1" applyFont="1"/>
    <xf numFmtId="43" fontId="6" fillId="0" borderId="10" xfId="1" applyFont="1" applyFill="1" applyBorder="1"/>
    <xf numFmtId="43" fontId="6" fillId="0" borderId="0" xfId="1" applyFont="1"/>
    <xf numFmtId="43" fontId="6" fillId="0" borderId="0" xfId="1" applyFont="1" applyAlignment="1"/>
    <xf numFmtId="43" fontId="23" fillId="0" borderId="4" xfId="1" applyFont="1" applyFill="1" applyBorder="1"/>
    <xf numFmtId="43" fontId="6" fillId="0" borderId="4" xfId="1" applyFont="1" applyFill="1" applyBorder="1" applyAlignment="1">
      <alignment wrapText="1"/>
    </xf>
    <xf numFmtId="43" fontId="6" fillId="0" borderId="4" xfId="1" applyFont="1" applyFill="1" applyBorder="1" applyAlignment="1">
      <alignment horizontal="left" vertical="center" wrapText="1"/>
    </xf>
    <xf numFmtId="43" fontId="6" fillId="0" borderId="0" xfId="1" applyFont="1" applyFill="1" applyBorder="1"/>
    <xf numFmtId="43" fontId="6" fillId="0" borderId="0" xfId="1" applyFont="1" applyFill="1"/>
    <xf numFmtId="0" fontId="4" fillId="0" borderId="2" xfId="0" applyFont="1" applyBorder="1" applyAlignment="1">
      <alignment horizontal="left"/>
    </xf>
    <xf numFmtId="0" fontId="0" fillId="0" borderId="1" xfId="0" quotePrefix="1" applyBorder="1" applyAlignment="1">
      <alignment horizontal="left"/>
    </xf>
    <xf numFmtId="0" fontId="0" fillId="0" borderId="2" xfId="0" applyBorder="1" applyAlignment="1">
      <alignment horizontal="left"/>
    </xf>
    <xf numFmtId="0" fontId="2" fillId="0" borderId="2" xfId="0" applyFont="1" applyBorder="1" applyAlignment="1">
      <alignment horizontal="left"/>
    </xf>
    <xf numFmtId="0" fontId="0" fillId="0" borderId="16" xfId="0" quotePrefix="1" applyBorder="1" applyAlignment="1">
      <alignment horizontal="left"/>
    </xf>
    <xf numFmtId="0" fontId="0" fillId="0" borderId="0" xfId="0" applyAlignment="1">
      <alignment horizontal="left"/>
    </xf>
    <xf numFmtId="164" fontId="0" fillId="0" borderId="1" xfId="0" applyNumberFormat="1" applyBorder="1"/>
    <xf numFmtId="165" fontId="0" fillId="0" borderId="1" xfId="1" applyNumberFormat="1" applyFont="1" applyBorder="1"/>
    <xf numFmtId="164" fontId="2" fillId="0" borderId="1" xfId="0" applyNumberFormat="1" applyFont="1" applyBorder="1"/>
    <xf numFmtId="43" fontId="2" fillId="0" borderId="0" xfId="1" applyFont="1"/>
    <xf numFmtId="14" fontId="0" fillId="0" borderId="0" xfId="0" applyNumberFormat="1" applyAlignment="1">
      <alignment horizontal="center"/>
    </xf>
    <xf numFmtId="15" fontId="0" fillId="0" borderId="0" xfId="0" applyNumberFormat="1"/>
    <xf numFmtId="0" fontId="0" fillId="0" borderId="1" xfId="0" applyBorder="1" applyAlignment="1">
      <alignment horizontal="center"/>
    </xf>
    <xf numFmtId="10" fontId="0" fillId="0" borderId="0" xfId="2" applyNumberFormat="1" applyFont="1" applyFill="1" applyAlignment="1">
      <alignment horizontal="center"/>
    </xf>
    <xf numFmtId="10" fontId="2" fillId="0" borderId="0" xfId="2" applyNumberFormat="1" applyFont="1" applyFill="1" applyAlignment="1">
      <alignment horizontal="center"/>
    </xf>
    <xf numFmtId="0" fontId="2" fillId="0" borderId="4" xfId="0" applyFont="1" applyBorder="1"/>
    <xf numFmtId="9" fontId="0" fillId="0" borderId="1" xfId="1" applyNumberFormat="1" applyFont="1" applyBorder="1" applyAlignment="1">
      <alignment horizontal="center" vertical="center"/>
    </xf>
    <xf numFmtId="1" fontId="0" fillId="0" borderId="17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65" fontId="7" fillId="0" borderId="7" xfId="1" applyNumberFormat="1" applyFont="1" applyBorder="1" applyAlignment="1">
      <alignment horizontal="center" vertical="center"/>
    </xf>
    <xf numFmtId="43" fontId="2" fillId="0" borderId="4" xfId="1" applyFont="1" applyFill="1" applyBorder="1" applyAlignment="1">
      <alignment horizontal="left" vertical="center"/>
    </xf>
    <xf numFmtId="43" fontId="2" fillId="0" borderId="0" xfId="1" applyFont="1" applyFill="1" applyBorder="1" applyAlignment="1">
      <alignment horizontal="left" vertical="center"/>
    </xf>
    <xf numFmtId="43" fontId="2" fillId="0" borderId="4" xfId="1" applyFont="1" applyFill="1" applyBorder="1" applyAlignment="1"/>
    <xf numFmtId="43" fontId="0" fillId="0" borderId="10" xfId="1" applyFont="1" applyFill="1" applyBorder="1" applyAlignment="1"/>
    <xf numFmtId="0" fontId="2" fillId="0" borderId="1" xfId="0" applyFont="1" applyBorder="1" applyAlignment="1">
      <alignment vertical="center"/>
    </xf>
    <xf numFmtId="0" fontId="22" fillId="0" borderId="2" xfId="0" applyFont="1" applyBorder="1"/>
    <xf numFmtId="0" fontId="6" fillId="0" borderId="2" xfId="0" applyFont="1" applyBorder="1"/>
    <xf numFmtId="0" fontId="22" fillId="0" borderId="2" xfId="0" applyFont="1" applyBorder="1" applyAlignment="1">
      <alignment wrapText="1"/>
    </xf>
    <xf numFmtId="0" fontId="22" fillId="0" borderId="2" xfId="0" applyFont="1" applyBorder="1" applyAlignment="1">
      <alignment horizontal="left" vertical="center" wrapText="1"/>
    </xf>
    <xf numFmtId="0" fontId="6" fillId="0" borderId="2" xfId="0" applyFont="1" applyBorder="1" applyAlignment="1">
      <alignment wrapText="1"/>
    </xf>
    <xf numFmtId="0" fontId="6" fillId="0" borderId="4" xfId="0" applyFont="1" applyBorder="1"/>
    <xf numFmtId="0" fontId="22" fillId="0" borderId="4" xfId="0" applyFont="1" applyBorder="1" applyAlignment="1">
      <alignment horizontal="left" vertical="center" wrapText="1"/>
    </xf>
    <xf numFmtId="43" fontId="12" fillId="0" borderId="7" xfId="1" applyFont="1" applyFill="1" applyBorder="1" applyAlignment="1">
      <alignment horizontal="right"/>
    </xf>
    <xf numFmtId="43" fontId="6" fillId="0" borderId="10" xfId="1" applyFont="1" applyFill="1" applyBorder="1" applyAlignment="1">
      <alignment horizontal="left" vertical="center" wrapText="1"/>
    </xf>
    <xf numFmtId="0" fontId="6" fillId="0" borderId="9" xfId="0" applyFont="1" applyBorder="1" applyAlignment="1">
      <alignment horizontal="left" wrapText="1"/>
    </xf>
    <xf numFmtId="0" fontId="0" fillId="0" borderId="0" xfId="0" applyAlignment="1">
      <alignment vertical="center"/>
    </xf>
    <xf numFmtId="43" fontId="1" fillId="0" borderId="10" xfId="1" applyFont="1" applyFill="1" applyBorder="1" applyAlignment="1"/>
    <xf numFmtId="0" fontId="6" fillId="0" borderId="1" xfId="1" applyNumberFormat="1" applyFont="1" applyBorder="1" applyAlignment="1">
      <alignment horizontal="center" vertical="center"/>
    </xf>
    <xf numFmtId="9" fontId="6" fillId="0" borderId="1" xfId="1" applyNumberFormat="1" applyFont="1" applyBorder="1" applyAlignment="1">
      <alignment horizontal="center" vertical="center"/>
    </xf>
    <xf numFmtId="43" fontId="6" fillId="0" borderId="1" xfId="1" applyFont="1" applyBorder="1" applyAlignment="1">
      <alignment vertical="center"/>
    </xf>
    <xf numFmtId="164" fontId="6" fillId="0" borderId="1" xfId="1" applyNumberFormat="1" applyFont="1" applyFill="1" applyBorder="1"/>
    <xf numFmtId="0" fontId="3" fillId="0" borderId="0" xfId="0" applyFont="1" applyAlignment="1">
      <alignment horizontal="center" vertical="center"/>
    </xf>
    <xf numFmtId="43" fontId="2" fillId="0" borderId="2" xfId="1" applyFont="1" applyBorder="1" applyAlignment="1"/>
    <xf numFmtId="43" fontId="26" fillId="0" borderId="0" xfId="1" applyFont="1" applyBorder="1" applyAlignment="1">
      <alignment vertical="center"/>
    </xf>
    <xf numFmtId="43" fontId="0" fillId="0" borderId="0" xfId="1" applyFont="1" applyFill="1" applyBorder="1" applyAlignment="1"/>
    <xf numFmtId="0" fontId="29" fillId="0" borderId="2" xfId="0" applyFont="1" applyBorder="1"/>
    <xf numFmtId="43" fontId="2" fillId="0" borderId="0" xfId="4" applyFont="1" applyFill="1" applyBorder="1"/>
    <xf numFmtId="43" fontId="0" fillId="0" borderId="0" xfId="4" applyFont="1" applyFill="1" applyBorder="1"/>
    <xf numFmtId="43" fontId="2" fillId="0" borderId="4" xfId="4" applyFont="1" applyFill="1" applyBorder="1"/>
    <xf numFmtId="0" fontId="30" fillId="0" borderId="2" xfId="0" applyFont="1" applyBorder="1"/>
    <xf numFmtId="0" fontId="2" fillId="0" borderId="0" xfId="4" applyNumberFormat="1" applyFont="1" applyFill="1" applyBorder="1" applyAlignment="1">
      <alignment horizontal="left" vertical="top"/>
    </xf>
    <xf numFmtId="0" fontId="0" fillId="0" borderId="0" xfId="4" applyNumberFormat="1" applyFont="1" applyFill="1" applyBorder="1" applyAlignment="1">
      <alignment horizontal="left" vertical="top"/>
    </xf>
    <xf numFmtId="0" fontId="2" fillId="0" borderId="4" xfId="4" applyNumberFormat="1" applyFont="1" applyFill="1" applyBorder="1" applyAlignment="1">
      <alignment horizontal="left" vertical="top"/>
    </xf>
    <xf numFmtId="1" fontId="18" fillId="0" borderId="2" xfId="5" applyNumberFormat="1" applyFont="1" applyBorder="1" applyAlignment="1">
      <alignment vertical="center"/>
    </xf>
    <xf numFmtId="1" fontId="32" fillId="0" borderId="2" xfId="5" applyNumberFormat="1" applyFont="1" applyBorder="1" applyAlignment="1">
      <alignment vertical="center"/>
    </xf>
    <xf numFmtId="43" fontId="0" fillId="0" borderId="0" xfId="1" applyFont="1" applyFill="1" applyAlignment="1"/>
    <xf numFmtId="0" fontId="2" fillId="0" borderId="19" xfId="4" applyNumberFormat="1" applyFont="1" applyFill="1" applyBorder="1" applyAlignment="1">
      <alignment horizontal="left" vertical="top"/>
    </xf>
    <xf numFmtId="0" fontId="0" fillId="0" borderId="19" xfId="4" applyNumberFormat="1" applyFont="1" applyFill="1" applyBorder="1" applyAlignment="1">
      <alignment horizontal="left" vertical="top"/>
    </xf>
    <xf numFmtId="0" fontId="0" fillId="0" borderId="19" xfId="0" applyBorder="1" applyAlignment="1">
      <alignment horizontal="left" vertical="top"/>
    </xf>
    <xf numFmtId="0" fontId="2" fillId="0" borderId="10" xfId="4" applyNumberFormat="1" applyFont="1" applyFill="1" applyBorder="1" applyAlignment="1">
      <alignment horizontal="left" vertical="top"/>
    </xf>
    <xf numFmtId="0" fontId="18" fillId="0" borderId="9" xfId="0" applyFont="1" applyBorder="1" applyAlignment="1">
      <alignment horizontal="center" vertical="center"/>
    </xf>
    <xf numFmtId="0" fontId="18" fillId="0" borderId="19" xfId="0" applyFont="1" applyBorder="1" applyAlignment="1">
      <alignment horizontal="center" vertical="center"/>
    </xf>
    <xf numFmtId="43" fontId="20" fillId="0" borderId="10" xfId="1" applyFont="1" applyBorder="1" applyAlignment="1">
      <alignment horizontal="right" vertical="center"/>
    </xf>
    <xf numFmtId="43" fontId="12" fillId="0" borderId="23" xfId="1" applyFont="1" applyFill="1" applyBorder="1" applyAlignment="1">
      <alignment horizontal="center" vertical="center" wrapText="1"/>
    </xf>
    <xf numFmtId="43" fontId="12" fillId="0" borderId="24" xfId="1" applyFont="1" applyFill="1" applyBorder="1" applyAlignment="1">
      <alignment horizontal="center" vertical="center" wrapText="1"/>
    </xf>
    <xf numFmtId="43" fontId="6" fillId="0" borderId="2" xfId="1" applyFont="1" applyFill="1" applyBorder="1"/>
    <xf numFmtId="0" fontId="22" fillId="0" borderId="0" xfId="0" applyFont="1" applyAlignment="1">
      <alignment horizontal="left" vertical="center" wrapText="1"/>
    </xf>
    <xf numFmtId="43" fontId="12" fillId="0" borderId="18" xfId="1" applyFont="1" applyFill="1" applyBorder="1"/>
    <xf numFmtId="0" fontId="6" fillId="0" borderId="0" xfId="0" applyFont="1" applyAlignment="1">
      <alignment wrapText="1"/>
    </xf>
    <xf numFmtId="43" fontId="6" fillId="0" borderId="2" xfId="1" applyFont="1" applyFill="1" applyBorder="1" applyAlignment="1">
      <alignment wrapText="1"/>
    </xf>
    <xf numFmtId="43" fontId="6" fillId="0" borderId="2" xfId="1" applyFont="1" applyFill="1" applyBorder="1" applyAlignment="1">
      <alignment horizontal="left" vertical="center" wrapText="1"/>
    </xf>
    <xf numFmtId="0" fontId="23" fillId="0" borderId="0" xfId="0" applyFont="1" applyAlignment="1">
      <alignment wrapText="1"/>
    </xf>
    <xf numFmtId="0" fontId="12" fillId="0" borderId="0" xfId="0" applyFont="1" applyAlignment="1">
      <alignment vertical="center"/>
    </xf>
    <xf numFmtId="0" fontId="0" fillId="0" borderId="0" xfId="0" applyAlignment="1">
      <alignment horizontal="left" vertical="top"/>
    </xf>
    <xf numFmtId="0" fontId="32" fillId="0" borderId="0" xfId="0" applyFont="1" applyAlignment="1">
      <alignment vertical="center"/>
    </xf>
    <xf numFmtId="2" fontId="32" fillId="0" borderId="0" xfId="0" applyNumberFormat="1" applyFont="1" applyAlignment="1">
      <alignment vertical="center"/>
    </xf>
    <xf numFmtId="0" fontId="3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right" vertical="center"/>
    </xf>
    <xf numFmtId="43" fontId="1" fillId="0" borderId="2" xfId="1" applyFont="1" applyBorder="1" applyAlignment="1">
      <alignment horizontal="left" vertical="center"/>
    </xf>
    <xf numFmtId="43" fontId="2" fillId="0" borderId="4" xfId="1" applyFont="1" applyBorder="1" applyAlignment="1">
      <alignment horizontal="left" vertical="center"/>
    </xf>
    <xf numFmtId="43" fontId="0" fillId="0" borderId="2" xfId="1" applyFont="1" applyBorder="1" applyAlignment="1"/>
    <xf numFmtId="43" fontId="2" fillId="0" borderId="4" xfId="1" applyFont="1" applyBorder="1" applyAlignment="1">
      <alignment horizontal="right"/>
    </xf>
    <xf numFmtId="43" fontId="2" fillId="0" borderId="4" xfId="1" applyFont="1" applyBorder="1" applyAlignment="1"/>
    <xf numFmtId="164" fontId="2" fillId="0" borderId="7" xfId="1" applyNumberFormat="1" applyFont="1" applyFill="1" applyBorder="1"/>
    <xf numFmtId="0" fontId="2" fillId="0" borderId="7" xfId="0" applyFont="1" applyBorder="1" applyAlignment="1">
      <alignment horizontal="center"/>
    </xf>
    <xf numFmtId="0" fontId="2" fillId="0" borderId="26" xfId="0" applyFont="1" applyBorder="1" applyAlignment="1">
      <alignment horizontal="center"/>
    </xf>
    <xf numFmtId="164" fontId="2" fillId="0" borderId="26" xfId="1" applyNumberFormat="1" applyFont="1" applyFill="1" applyBorder="1"/>
    <xf numFmtId="0" fontId="2" fillId="0" borderId="27" xfId="0" applyFont="1" applyBorder="1" applyAlignment="1">
      <alignment horizontal="center"/>
    </xf>
    <xf numFmtId="0" fontId="2" fillId="0" borderId="7" xfId="0" applyFont="1" applyBorder="1" applyAlignment="1">
      <alignment vertical="center"/>
    </xf>
    <xf numFmtId="0" fontId="2" fillId="0" borderId="7" xfId="0" applyFont="1" applyBorder="1" applyAlignment="1">
      <alignment horizontal="center" vertical="center"/>
    </xf>
    <xf numFmtId="1" fontId="0" fillId="0" borderId="20" xfId="0" applyNumberFormat="1" applyBorder="1" applyAlignment="1">
      <alignment horizontal="center" vertical="center"/>
    </xf>
    <xf numFmtId="0" fontId="0" fillId="0" borderId="20" xfId="0" applyBorder="1" applyAlignment="1">
      <alignment horizontal="center"/>
    </xf>
    <xf numFmtId="0" fontId="0" fillId="0" borderId="20" xfId="0" quotePrefix="1" applyBorder="1" applyAlignment="1">
      <alignment horizontal="center"/>
    </xf>
    <xf numFmtId="0" fontId="0" fillId="0" borderId="20" xfId="0" applyBorder="1"/>
    <xf numFmtId="0" fontId="7" fillId="0" borderId="23" xfId="0" applyFont="1" applyBorder="1" applyAlignment="1">
      <alignment horizontal="center"/>
    </xf>
    <xf numFmtId="43" fontId="7" fillId="0" borderId="23" xfId="1" applyFont="1" applyBorder="1" applyAlignment="1">
      <alignment horizontal="center"/>
    </xf>
    <xf numFmtId="0" fontId="0" fillId="0" borderId="20" xfId="0" applyBorder="1" applyAlignment="1">
      <alignment vertical="center"/>
    </xf>
    <xf numFmtId="0" fontId="2" fillId="0" borderId="23" xfId="0" applyFont="1" applyBorder="1" applyAlignment="1">
      <alignment horizontal="center" vertical="center"/>
    </xf>
    <xf numFmtId="0" fontId="0" fillId="0" borderId="20" xfId="0" applyBorder="1" applyAlignment="1">
      <alignment horizontal="left" vertical="center"/>
    </xf>
    <xf numFmtId="0" fontId="0" fillId="0" borderId="20" xfId="1" applyNumberFormat="1" applyFont="1" applyBorder="1" applyAlignment="1">
      <alignment horizontal="center" vertical="center"/>
    </xf>
    <xf numFmtId="43" fontId="0" fillId="0" borderId="20" xfId="1" applyFont="1" applyBorder="1" applyAlignment="1">
      <alignment horizontal="center" vertical="center"/>
    </xf>
    <xf numFmtId="43" fontId="0" fillId="0" borderId="20" xfId="1" applyFont="1" applyBorder="1" applyAlignment="1">
      <alignment vertical="center"/>
    </xf>
    <xf numFmtId="43" fontId="2" fillId="0" borderId="23" xfId="1" applyFont="1" applyBorder="1" applyAlignment="1">
      <alignment horizontal="center" vertical="center" wrapText="1"/>
    </xf>
    <xf numFmtId="0" fontId="0" fillId="0" borderId="16" xfId="1" applyNumberFormat="1" applyFont="1" applyFill="1" applyBorder="1" applyAlignment="1">
      <alignment horizontal="center" vertical="center"/>
    </xf>
    <xf numFmtId="9" fontId="0" fillId="0" borderId="16" xfId="1" applyNumberFormat="1" applyFont="1" applyBorder="1" applyAlignment="1">
      <alignment horizontal="center" vertical="center"/>
    </xf>
    <xf numFmtId="43" fontId="0" fillId="0" borderId="16" xfId="1" applyFont="1" applyBorder="1" applyAlignment="1">
      <alignment vertical="center"/>
    </xf>
    <xf numFmtId="43" fontId="2" fillId="0" borderId="25" xfId="1" applyFont="1" applyBorder="1" applyAlignment="1">
      <alignment vertical="center"/>
    </xf>
    <xf numFmtId="43" fontId="2" fillId="0" borderId="26" xfId="1" applyFont="1" applyBorder="1" applyAlignment="1">
      <alignment horizontal="center" vertical="center"/>
    </xf>
    <xf numFmtId="43" fontId="2" fillId="0" borderId="26" xfId="1" applyFont="1" applyBorder="1" applyAlignment="1">
      <alignment vertical="center"/>
    </xf>
    <xf numFmtId="43" fontId="2" fillId="0" borderId="27" xfId="1" applyFont="1" applyBorder="1" applyAlignment="1">
      <alignment vertical="center"/>
    </xf>
    <xf numFmtId="0" fontId="0" fillId="0" borderId="0" xfId="0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0" fontId="6" fillId="0" borderId="0" xfId="0" applyFont="1" applyAlignment="1">
      <alignment vertical="center"/>
    </xf>
    <xf numFmtId="0" fontId="0" fillId="0" borderId="16" xfId="0" applyBorder="1" applyAlignment="1">
      <alignment horizontal="left" vertical="center"/>
    </xf>
    <xf numFmtId="0" fontId="0" fillId="0" borderId="17" xfId="0" applyBorder="1" applyAlignment="1">
      <alignment vertical="center"/>
    </xf>
    <xf numFmtId="0" fontId="0" fillId="0" borderId="21" xfId="0" applyBorder="1" applyAlignment="1">
      <alignment vertical="center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vertical="center"/>
    </xf>
    <xf numFmtId="43" fontId="0" fillId="0" borderId="9" xfId="1" applyFont="1" applyFill="1" applyBorder="1" applyAlignment="1">
      <alignment horizontal="center" vertical="center"/>
    </xf>
    <xf numFmtId="43" fontId="0" fillId="0" borderId="19" xfId="1" applyFont="1" applyFill="1" applyBorder="1" applyAlignment="1">
      <alignment horizontal="center" vertical="center"/>
    </xf>
    <xf numFmtId="43" fontId="0" fillId="0" borderId="19" xfId="1" applyFont="1" applyFill="1" applyBorder="1" applyAlignment="1">
      <alignment vertical="center"/>
    </xf>
    <xf numFmtId="43" fontId="11" fillId="0" borderId="10" xfId="1" applyFont="1" applyFill="1" applyBorder="1" applyAlignment="1">
      <alignment horizontal="right" vertical="center"/>
    </xf>
    <xf numFmtId="2" fontId="12" fillId="0" borderId="4" xfId="0" applyNumberFormat="1" applyFont="1" applyBorder="1"/>
    <xf numFmtId="0" fontId="2" fillId="0" borderId="0" xfId="0" applyFont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0" fillId="0" borderId="0" xfId="0" applyAlignment="1">
      <alignment horizontal="center" vertical="top"/>
    </xf>
    <xf numFmtId="0" fontId="0" fillId="0" borderId="4" xfId="0" applyBorder="1" applyAlignment="1">
      <alignment horizontal="center" vertical="top"/>
    </xf>
    <xf numFmtId="166" fontId="32" fillId="0" borderId="9" xfId="6" applyNumberFormat="1" applyFont="1" applyBorder="1" applyAlignment="1">
      <alignment horizontal="left" vertical="center"/>
    </xf>
    <xf numFmtId="166" fontId="32" fillId="0" borderId="19" xfId="6" applyNumberFormat="1" applyFont="1" applyBorder="1" applyAlignment="1">
      <alignment horizontal="left" vertical="center"/>
    </xf>
    <xf numFmtId="0" fontId="15" fillId="0" borderId="17" xfId="0" applyFont="1" applyBorder="1" applyAlignment="1">
      <alignment horizontal="center" vertical="center" wrapText="1"/>
    </xf>
    <xf numFmtId="0" fontId="15" fillId="0" borderId="21" xfId="0" applyFont="1" applyBorder="1" applyAlignment="1">
      <alignment horizontal="center" vertical="center" wrapText="1"/>
    </xf>
    <xf numFmtId="0" fontId="15" fillId="0" borderId="2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12" fillId="2" borderId="12" xfId="0" applyFont="1" applyFill="1" applyBorder="1" applyAlignment="1">
      <alignment horizontal="center" vertical="center" wrapText="1"/>
    </xf>
    <xf numFmtId="0" fontId="12" fillId="2" borderId="13" xfId="0" applyFont="1" applyFill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2" fillId="0" borderId="2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0" fontId="28" fillId="0" borderId="0" xfId="3" applyFont="1" applyAlignment="1">
      <alignment horizontal="center"/>
    </xf>
    <xf numFmtId="0" fontId="16" fillId="0" borderId="17" xfId="0" applyFont="1" applyBorder="1" applyAlignment="1">
      <alignment horizontal="center" vertical="center" wrapText="1"/>
    </xf>
    <xf numFmtId="0" fontId="16" fillId="0" borderId="21" xfId="0" applyFont="1" applyBorder="1" applyAlignment="1">
      <alignment horizontal="center" vertical="center" wrapText="1"/>
    </xf>
    <xf numFmtId="0" fontId="16" fillId="0" borderId="22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9" fillId="0" borderId="4" xfId="0" applyFont="1" applyBorder="1" applyAlignment="1">
      <alignment horizontal="center" vertical="center"/>
    </xf>
    <xf numFmtId="0" fontId="18" fillId="0" borderId="23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 wrapText="1"/>
    </xf>
    <xf numFmtId="0" fontId="17" fillId="0" borderId="0" xfId="0" applyFont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12" fillId="0" borderId="11" xfId="0" applyFont="1" applyBorder="1" applyAlignment="1">
      <alignment horizontal="center" wrapText="1"/>
    </xf>
    <xf numFmtId="0" fontId="12" fillId="0" borderId="8" xfId="0" applyFont="1" applyBorder="1" applyAlignment="1">
      <alignment horizontal="center" wrapText="1"/>
    </xf>
    <xf numFmtId="0" fontId="12" fillId="0" borderId="18" xfId="0" applyFont="1" applyBorder="1" applyAlignment="1">
      <alignment horizontal="center" wrapText="1"/>
    </xf>
    <xf numFmtId="0" fontId="10" fillId="0" borderId="17" xfId="0" applyFont="1" applyBorder="1" applyAlignment="1">
      <alignment horizontal="center"/>
    </xf>
    <xf numFmtId="0" fontId="10" fillId="0" borderId="21" xfId="0" applyFont="1" applyBorder="1" applyAlignment="1">
      <alignment horizontal="center"/>
    </xf>
    <xf numFmtId="0" fontId="10" fillId="0" borderId="22" xfId="0" applyFont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4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5" fillId="0" borderId="19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28" xfId="0" applyFont="1" applyBorder="1" applyAlignment="1">
      <alignment horizontal="center"/>
    </xf>
    <xf numFmtId="0" fontId="2" fillId="0" borderId="29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7" fillId="0" borderId="11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15" fillId="0" borderId="2" xfId="1" applyNumberFormat="1" applyFont="1" applyFill="1" applyBorder="1" applyAlignment="1">
      <alignment horizontal="center" vertical="center"/>
    </xf>
    <xf numFmtId="0" fontId="15" fillId="0" borderId="0" xfId="1" applyNumberFormat="1" applyFont="1" applyFill="1" applyBorder="1" applyAlignment="1">
      <alignment horizontal="center" vertical="center"/>
    </xf>
    <xf numFmtId="0" fontId="15" fillId="0" borderId="4" xfId="1" applyNumberFormat="1" applyFont="1" applyFill="1" applyBorder="1" applyAlignment="1">
      <alignment horizontal="center" vertical="center"/>
    </xf>
    <xf numFmtId="43" fontId="3" fillId="0" borderId="2" xfId="1" applyFont="1" applyFill="1" applyBorder="1" applyAlignment="1">
      <alignment horizontal="center" vertical="center"/>
    </xf>
    <xf numFmtId="43" fontId="3" fillId="0" borderId="0" xfId="1" applyFont="1" applyFill="1" applyBorder="1" applyAlignment="1">
      <alignment horizontal="center" vertical="center"/>
    </xf>
    <xf numFmtId="43" fontId="3" fillId="0" borderId="4" xfId="1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center" vertical="center"/>
    </xf>
    <xf numFmtId="0" fontId="1" fillId="0" borderId="0" xfId="0" applyFont="1"/>
    <xf numFmtId="0" fontId="2" fillId="0" borderId="0" xfId="0" applyFont="1" applyAlignment="1">
      <alignment horizontal="center" wrapText="1"/>
    </xf>
    <xf numFmtId="43" fontId="12" fillId="0" borderId="8" xfId="1" applyFont="1" applyFill="1" applyBorder="1" applyAlignment="1">
      <alignment horizontal="right"/>
    </xf>
    <xf numFmtId="43" fontId="12" fillId="0" borderId="31" xfId="1" applyFont="1" applyFill="1" applyBorder="1" applyAlignment="1">
      <alignment horizontal="center" vertical="center" wrapText="1"/>
    </xf>
    <xf numFmtId="43" fontId="6" fillId="0" borderId="32" xfId="1" applyFont="1" applyFill="1" applyBorder="1"/>
    <xf numFmtId="43" fontId="12" fillId="0" borderId="33" xfId="1" applyFont="1" applyFill="1" applyBorder="1" applyAlignment="1">
      <alignment horizontal="right" wrapText="1"/>
    </xf>
    <xf numFmtId="43" fontId="6" fillId="0" borderId="32" xfId="1" applyFont="1" applyFill="1" applyBorder="1" applyAlignment="1">
      <alignment wrapText="1"/>
    </xf>
    <xf numFmtId="43" fontId="12" fillId="0" borderId="32" xfId="1" applyFont="1" applyFill="1" applyBorder="1" applyAlignment="1">
      <alignment horizontal="right" wrapText="1"/>
    </xf>
    <xf numFmtId="43" fontId="12" fillId="0" borderId="32" xfId="1" applyFont="1" applyFill="1" applyBorder="1" applyAlignment="1">
      <alignment horizontal="left" vertical="center" wrapText="1"/>
    </xf>
    <xf numFmtId="43" fontId="6" fillId="0" borderId="34" xfId="1" applyFont="1" applyFill="1" applyBorder="1"/>
    <xf numFmtId="43" fontId="12" fillId="0" borderId="34" xfId="1" applyFont="1" applyFill="1" applyBorder="1" applyAlignment="1">
      <alignment horizontal="left" vertical="center" wrapText="1"/>
    </xf>
    <xf numFmtId="43" fontId="12" fillId="0" borderId="32" xfId="1" applyFont="1" applyFill="1" applyBorder="1"/>
    <xf numFmtId="0" fontId="6" fillId="0" borderId="0" xfId="0" applyFont="1" applyBorder="1"/>
    <xf numFmtId="0" fontId="6" fillId="0" borderId="0" xfId="0" applyFont="1" applyBorder="1" applyAlignment="1">
      <alignment horizontal="left" wrapText="1"/>
    </xf>
    <xf numFmtId="43" fontId="12" fillId="0" borderId="30" xfId="1" applyFont="1" applyFill="1" applyBorder="1" applyAlignment="1">
      <alignment horizontal="right"/>
    </xf>
    <xf numFmtId="43" fontId="12" fillId="2" borderId="35" xfId="1" applyFont="1" applyFill="1" applyBorder="1" applyAlignment="1">
      <alignment horizontal="center" vertical="center" wrapText="1"/>
    </xf>
    <xf numFmtId="43" fontId="0" fillId="0" borderId="0" xfId="1" applyFont="1" applyFill="1" applyBorder="1" applyAlignment="1">
      <alignment horizontal="right"/>
    </xf>
    <xf numFmtId="43" fontId="0" fillId="0" borderId="0" xfId="1" applyFont="1" applyBorder="1" applyAlignment="1">
      <alignment horizontal="right"/>
    </xf>
    <xf numFmtId="43" fontId="2" fillId="0" borderId="8" xfId="1" applyFont="1" applyBorder="1" applyAlignment="1"/>
    <xf numFmtId="43" fontId="2" fillId="0" borderId="36" xfId="1" applyFont="1" applyBorder="1" applyAlignment="1">
      <alignment horizontal="center" vertical="center" wrapText="1"/>
    </xf>
    <xf numFmtId="43" fontId="2" fillId="0" borderId="34" xfId="1" applyFont="1" applyFill="1" applyBorder="1" applyAlignment="1">
      <alignment horizontal="left" vertical="center"/>
    </xf>
    <xf numFmtId="43" fontId="2" fillId="0" borderId="34" xfId="1" applyFont="1" applyFill="1" applyBorder="1" applyAlignment="1"/>
    <xf numFmtId="43" fontId="2" fillId="0" borderId="34" xfId="1" applyFont="1" applyFill="1" applyBorder="1"/>
    <xf numFmtId="43" fontId="2" fillId="0" borderId="34" xfId="1" applyFont="1" applyFill="1" applyBorder="1" applyAlignment="1">
      <alignment horizontal="right"/>
    </xf>
    <xf numFmtId="43" fontId="24" fillId="0" borderId="34" xfId="0" applyNumberFormat="1" applyFont="1" applyBorder="1" applyAlignment="1">
      <alignment horizontal="right"/>
    </xf>
    <xf numFmtId="43" fontId="25" fillId="0" borderId="37" xfId="0" applyNumberFormat="1" applyFont="1" applyBorder="1" applyAlignment="1">
      <alignment horizontal="right"/>
    </xf>
    <xf numFmtId="43" fontId="2" fillId="0" borderId="30" xfId="1" applyFont="1" applyBorder="1" applyAlignment="1"/>
  </cellXfs>
  <cellStyles count="7">
    <cellStyle name="Comma" xfId="1" builtinId="3"/>
    <cellStyle name="Comma 2 2" xfId="4" xr:uid="{89E986AF-AEF6-40CC-9655-C4080B1A7BE1}"/>
    <cellStyle name="Normal" xfId="0" builtinId="0"/>
    <cellStyle name="Normal 2" xfId="3" xr:uid="{1C76089E-E8B9-46B0-B81E-C42F9BF0E889}"/>
    <cellStyle name="Normal_BSPL 2004 NS" xfId="6" xr:uid="{1EC2ACB8-6282-4C04-B298-90A6079E4FDB}"/>
    <cellStyle name="Normal_FY 2003-2004  2 2" xfId="5" xr:uid="{A734D158-2ECB-4616-9563-9468E7A299C2}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.bin"/><Relationship Id="rId2" Type="http://schemas.openxmlformats.org/officeDocument/2006/relationships/hyperlink" Target="https://in.adda.io/modules/general_ledger_page.php?module_page=general_ledger&amp;page=3&amp;notempty=1" TargetMode="External"/><Relationship Id="rId1" Type="http://schemas.openxmlformats.org/officeDocument/2006/relationships/hyperlink" Target="https://in.adda.io/modules/general_ledger_page.php?module_page=general_ledger&amp;page=3&amp;notempty=1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0"/>
  <sheetViews>
    <sheetView view="pageBreakPreview" topLeftCell="A39" zoomScaleNormal="103" zoomScaleSheetLayoutView="100" workbookViewId="0">
      <selection activeCell="L12" sqref="L12"/>
    </sheetView>
  </sheetViews>
  <sheetFormatPr defaultColWidth="17.6640625" defaultRowHeight="14.4" x14ac:dyDescent="0.3"/>
  <cols>
    <col min="1" max="1" width="14.77734375" style="70" customWidth="1"/>
    <col min="2" max="2" width="34.44140625" style="55" customWidth="1"/>
    <col min="3" max="3" width="14.77734375" style="76" customWidth="1"/>
    <col min="4" max="5" width="14.77734375" style="70" customWidth="1"/>
    <col min="6" max="6" width="31.33203125" style="55" bestFit="1" customWidth="1"/>
    <col min="7" max="7" width="14.77734375" style="70" customWidth="1"/>
    <col min="8" max="8" width="14.77734375" style="71" customWidth="1"/>
    <col min="9" max="9" width="11" style="55" bestFit="1" customWidth="1"/>
    <col min="10" max="10" width="12.21875" style="55" bestFit="1" customWidth="1"/>
    <col min="11" max="16384" width="17.6640625" style="55"/>
  </cols>
  <sheetData>
    <row r="1" spans="1:10" ht="23.4" x14ac:dyDescent="0.3">
      <c r="A1" s="222" t="s">
        <v>101</v>
      </c>
      <c r="B1" s="223"/>
      <c r="C1" s="223"/>
      <c r="D1" s="223"/>
      <c r="E1" s="223"/>
      <c r="F1" s="223"/>
      <c r="G1" s="223"/>
      <c r="H1" s="224"/>
    </row>
    <row r="2" spans="1:10" x14ac:dyDescent="0.3">
      <c r="A2" s="233" t="s">
        <v>102</v>
      </c>
      <c r="B2" s="234"/>
      <c r="C2" s="234"/>
      <c r="D2" s="234"/>
      <c r="E2" s="234"/>
      <c r="F2" s="234"/>
      <c r="G2" s="234"/>
      <c r="H2" s="235"/>
    </row>
    <row r="3" spans="1:10" x14ac:dyDescent="0.3">
      <c r="A3" s="230" t="s">
        <v>109</v>
      </c>
      <c r="B3" s="231"/>
      <c r="C3" s="231"/>
      <c r="D3" s="231"/>
      <c r="E3" s="231"/>
      <c r="F3" s="231"/>
      <c r="G3" s="231"/>
      <c r="H3" s="232"/>
    </row>
    <row r="4" spans="1:10" ht="21" x14ac:dyDescent="0.3">
      <c r="A4" s="225" t="s">
        <v>178</v>
      </c>
      <c r="B4" s="226"/>
      <c r="C4" s="226"/>
      <c r="D4" s="226"/>
      <c r="E4" s="226"/>
      <c r="F4" s="226"/>
      <c r="G4" s="226"/>
      <c r="H4" s="227"/>
    </row>
    <row r="5" spans="1:10" ht="15.6" x14ac:dyDescent="0.3">
      <c r="A5" s="137"/>
      <c r="B5" s="138"/>
      <c r="C5" s="138"/>
      <c r="D5" s="138"/>
      <c r="E5" s="138"/>
      <c r="F5" s="138"/>
      <c r="G5" s="138"/>
      <c r="H5" s="139" t="s">
        <v>103</v>
      </c>
    </row>
    <row r="6" spans="1:10" ht="29.4" thickBot="1" x14ac:dyDescent="0.35">
      <c r="A6" s="140" t="s">
        <v>180</v>
      </c>
      <c r="B6" s="228" t="s">
        <v>0</v>
      </c>
      <c r="C6" s="228"/>
      <c r="D6" s="270" t="s">
        <v>179</v>
      </c>
      <c r="E6" s="141" t="str">
        <f>A6</f>
        <v>March 31, 2025</v>
      </c>
      <c r="F6" s="229" t="s">
        <v>1</v>
      </c>
      <c r="G6" s="228"/>
      <c r="H6" s="141" t="str">
        <f>D6</f>
        <v>March 31,
2026</v>
      </c>
      <c r="J6" s="56"/>
    </row>
    <row r="7" spans="1:10" ht="21" customHeight="1" x14ac:dyDescent="0.3">
      <c r="A7" s="142"/>
      <c r="B7" s="102" t="s">
        <v>2</v>
      </c>
      <c r="C7" s="72"/>
      <c r="D7" s="271"/>
      <c r="E7" s="60"/>
      <c r="F7" s="143" t="s">
        <v>3</v>
      </c>
      <c r="G7" s="58"/>
      <c r="H7" s="59"/>
      <c r="J7" s="56"/>
    </row>
    <row r="8" spans="1:10" ht="15" thickBot="1" x14ac:dyDescent="0.35">
      <c r="A8" s="144">
        <v>725000</v>
      </c>
      <c r="B8" s="103" t="s">
        <v>107</v>
      </c>
      <c r="C8" s="60"/>
      <c r="D8" s="272">
        <v>725000</v>
      </c>
      <c r="E8" s="60">
        <v>3243</v>
      </c>
      <c r="F8" s="145" t="s">
        <v>147</v>
      </c>
      <c r="G8" s="60">
        <f>'Bank Reco'!E4</f>
        <v>3421</v>
      </c>
      <c r="H8" s="61"/>
    </row>
    <row r="9" spans="1:10" ht="16.2" thickTop="1" x14ac:dyDescent="0.3">
      <c r="A9" s="146"/>
      <c r="B9" s="104" t="s">
        <v>4</v>
      </c>
      <c r="C9" s="62"/>
      <c r="D9" s="273"/>
      <c r="E9" s="60">
        <v>8149.22</v>
      </c>
      <c r="F9" s="145" t="s">
        <v>148</v>
      </c>
      <c r="G9" s="60">
        <f>'Bank Reco'!E14</f>
        <v>8599.2199999999993</v>
      </c>
      <c r="H9" s="62"/>
    </row>
    <row r="10" spans="1:10" x14ac:dyDescent="0.3">
      <c r="A10" s="142">
        <f>5500+6000</f>
        <v>11500</v>
      </c>
      <c r="B10" s="103" t="s">
        <v>104</v>
      </c>
      <c r="C10" s="73"/>
      <c r="D10" s="274">
        <v>11500</v>
      </c>
      <c r="E10" s="60">
        <v>25106.7</v>
      </c>
      <c r="F10" s="145" t="s">
        <v>5</v>
      </c>
      <c r="G10" s="60">
        <f>'Bank Reco'!E38</f>
        <v>25885.7</v>
      </c>
      <c r="H10" s="62"/>
    </row>
    <row r="11" spans="1:10" x14ac:dyDescent="0.3">
      <c r="A11" s="142"/>
      <c r="B11" s="103" t="s">
        <v>92</v>
      </c>
      <c r="C11" s="73"/>
      <c r="D11" s="274"/>
      <c r="E11" s="60">
        <v>7892.7</v>
      </c>
      <c r="F11" s="145" t="s">
        <v>6</v>
      </c>
      <c r="G11" s="63">
        <f>'Bank Reco'!E24</f>
        <v>172952.3</v>
      </c>
      <c r="H11" s="64">
        <f>SUM(G8:G11)</f>
        <v>210858.21999999997</v>
      </c>
    </row>
    <row r="12" spans="1:10" ht="15.6" x14ac:dyDescent="0.3">
      <c r="A12" s="142"/>
      <c r="B12" s="105" t="s">
        <v>106</v>
      </c>
      <c r="C12" s="66"/>
      <c r="D12" s="275"/>
      <c r="E12" s="62"/>
      <c r="F12" s="145"/>
      <c r="G12" s="73"/>
      <c r="H12" s="64"/>
    </row>
    <row r="13" spans="1:10" ht="15.6" x14ac:dyDescent="0.3">
      <c r="A13" s="142">
        <v>165020</v>
      </c>
      <c r="B13" s="103" t="s">
        <v>105</v>
      </c>
      <c r="C13" s="60">
        <f>SUM(A13:A19)</f>
        <v>209355</v>
      </c>
      <c r="D13" s="275"/>
      <c r="E13" s="62"/>
      <c r="F13" s="143" t="s">
        <v>124</v>
      </c>
      <c r="G13" s="72"/>
      <c r="H13" s="62"/>
    </row>
    <row r="14" spans="1:10" x14ac:dyDescent="0.3">
      <c r="A14" s="142">
        <v>100</v>
      </c>
      <c r="B14" s="103" t="s">
        <v>176</v>
      </c>
      <c r="C14" s="74">
        <v>0</v>
      </c>
      <c r="D14" s="276"/>
      <c r="E14" s="60">
        <v>1000</v>
      </c>
      <c r="F14" s="145" t="s">
        <v>9</v>
      </c>
      <c r="G14" s="60">
        <v>1000</v>
      </c>
      <c r="H14" s="62"/>
      <c r="I14" s="65">
        <f>SUM(BS!G223876)</f>
        <v>0</v>
      </c>
    </row>
    <row r="15" spans="1:10" x14ac:dyDescent="0.3">
      <c r="A15" s="147">
        <v>400</v>
      </c>
      <c r="B15" s="106" t="s">
        <v>7</v>
      </c>
      <c r="C15" s="74">
        <v>0</v>
      </c>
      <c r="D15" s="277"/>
      <c r="E15" s="60">
        <v>100</v>
      </c>
      <c r="F15" s="145" t="s">
        <v>11</v>
      </c>
      <c r="G15" s="60">
        <v>100</v>
      </c>
      <c r="H15" s="62"/>
    </row>
    <row r="16" spans="1:10" x14ac:dyDescent="0.3">
      <c r="A16" s="147">
        <v>1500</v>
      </c>
      <c r="B16" s="106" t="s">
        <v>8</v>
      </c>
      <c r="C16" s="74">
        <v>0</v>
      </c>
      <c r="D16" s="277"/>
      <c r="E16" s="60">
        <v>1033588</v>
      </c>
      <c r="F16" s="145" t="s">
        <v>12</v>
      </c>
      <c r="G16" s="62">
        <f>'Sch I - FD'!D39</f>
        <v>1126072</v>
      </c>
      <c r="H16" s="62"/>
    </row>
    <row r="17" spans="1:12" x14ac:dyDescent="0.3">
      <c r="A17" s="147">
        <v>25000</v>
      </c>
      <c r="B17" s="106" t="s">
        <v>10</v>
      </c>
      <c r="C17" s="74">
        <v>0</v>
      </c>
      <c r="D17" s="275"/>
      <c r="E17" s="60">
        <v>61770</v>
      </c>
      <c r="F17" s="145" t="s">
        <v>14</v>
      </c>
      <c r="G17" s="67">
        <f>'Sch I - FD'!E39+'Sch I - FD'!F39+'Sch I - FD'!G39</f>
        <v>46383</v>
      </c>
      <c r="H17" s="64">
        <f>SUM(G14:G17)</f>
        <v>1173555</v>
      </c>
    </row>
    <row r="18" spans="1:12" x14ac:dyDescent="0.3">
      <c r="A18" s="147">
        <v>0</v>
      </c>
      <c r="B18" s="106" t="s">
        <v>220</v>
      </c>
      <c r="C18" s="74">
        <f>'I&amp;E'!D42</f>
        <v>10697</v>
      </c>
      <c r="D18" s="275"/>
      <c r="E18" s="64"/>
      <c r="F18" s="145"/>
      <c r="G18" s="62"/>
      <c r="H18" s="62"/>
    </row>
    <row r="19" spans="1:12" x14ac:dyDescent="0.3">
      <c r="A19" s="147">
        <v>17335</v>
      </c>
      <c r="B19" s="103" t="s">
        <v>84</v>
      </c>
      <c r="C19" s="110">
        <f>-'I&amp;E'!G22</f>
        <v>18265</v>
      </c>
      <c r="D19" s="274">
        <f>SUM(C13:C19)</f>
        <v>238317</v>
      </c>
      <c r="E19" s="60">
        <v>4580</v>
      </c>
      <c r="F19" s="145" t="s">
        <v>30</v>
      </c>
      <c r="G19" s="60">
        <v>5800</v>
      </c>
      <c r="H19" s="62"/>
      <c r="L19" s="68"/>
    </row>
    <row r="20" spans="1:12" ht="15.6" x14ac:dyDescent="0.3">
      <c r="A20" s="142"/>
      <c r="B20" s="102" t="s">
        <v>13</v>
      </c>
      <c r="C20" s="60"/>
      <c r="D20" s="278"/>
      <c r="E20" s="60">
        <v>3890</v>
      </c>
      <c r="F20" s="145" t="s">
        <v>31</v>
      </c>
      <c r="G20" s="69">
        <v>3890</v>
      </c>
      <c r="H20" s="64">
        <f>G19+G20</f>
        <v>9690</v>
      </c>
    </row>
    <row r="21" spans="1:12" x14ac:dyDescent="0.3">
      <c r="A21" s="142">
        <v>1047105.27</v>
      </c>
      <c r="B21" s="103" t="s">
        <v>105</v>
      </c>
      <c r="C21" s="60">
        <f>SUM(A21:A23)</f>
        <v>1109884.27</v>
      </c>
      <c r="D21" s="275"/>
      <c r="E21" s="60"/>
      <c r="F21" s="145"/>
      <c r="G21" s="60"/>
      <c r="H21" s="64"/>
    </row>
    <row r="22" spans="1:12" x14ac:dyDescent="0.3">
      <c r="A22" s="142">
        <v>10152</v>
      </c>
      <c r="B22" s="103" t="s">
        <v>15</v>
      </c>
      <c r="C22" s="60">
        <v>10152</v>
      </c>
      <c r="D22" s="278"/>
      <c r="E22" s="60"/>
      <c r="F22" s="145"/>
      <c r="G22" s="60"/>
      <c r="H22" s="62"/>
    </row>
    <row r="23" spans="1:12" x14ac:dyDescent="0.3">
      <c r="A23" s="142">
        <v>52627</v>
      </c>
      <c r="B23" s="103" t="s">
        <v>84</v>
      </c>
      <c r="C23" s="69">
        <f>-'I&amp;E'!G23</f>
        <v>54444</v>
      </c>
      <c r="D23" s="275">
        <f>SUM(C21:C23)</f>
        <v>1174480.27</v>
      </c>
      <c r="E23" s="64"/>
      <c r="F23" s="148" t="s">
        <v>123</v>
      </c>
      <c r="G23" s="62"/>
      <c r="H23" s="62"/>
    </row>
    <row r="24" spans="1:12" ht="15.6" x14ac:dyDescent="0.3">
      <c r="A24" s="142"/>
      <c r="B24" s="102" t="s">
        <v>19</v>
      </c>
      <c r="C24" s="60"/>
      <c r="D24" s="275"/>
      <c r="E24" s="60">
        <v>0</v>
      </c>
      <c r="F24" s="145" t="s">
        <v>29</v>
      </c>
      <c r="G24" s="60"/>
      <c r="H24" s="64">
        <f>'Sch II &amp; III - Mem. Rec &amp; Adv'!E7</f>
        <v>153</v>
      </c>
    </row>
    <row r="25" spans="1:12" x14ac:dyDescent="0.3">
      <c r="A25" s="142">
        <v>533666</v>
      </c>
      <c r="B25" s="103" t="s">
        <v>105</v>
      </c>
      <c r="C25" s="60">
        <f>SUM(A25:A27)</f>
        <v>559367</v>
      </c>
      <c r="D25" s="275"/>
      <c r="E25" s="64"/>
      <c r="F25" s="145"/>
      <c r="G25" s="62"/>
      <c r="H25" s="62"/>
    </row>
    <row r="26" spans="1:12" ht="15.6" x14ac:dyDescent="0.3">
      <c r="A26" s="142">
        <v>21168</v>
      </c>
      <c r="B26" s="103" t="s">
        <v>15</v>
      </c>
      <c r="C26" s="75">
        <v>21168</v>
      </c>
      <c r="D26" s="275"/>
      <c r="E26" s="64">
        <v>489853.6</v>
      </c>
      <c r="F26" s="143" t="s">
        <v>16</v>
      </c>
      <c r="G26" s="66"/>
      <c r="H26" s="61">
        <f>'Fixed assest'!I14</f>
        <v>477258.6</v>
      </c>
      <c r="J26" s="65"/>
    </row>
    <row r="27" spans="1:12" x14ac:dyDescent="0.3">
      <c r="A27" s="142">
        <v>4533</v>
      </c>
      <c r="B27" s="103" t="s">
        <v>84</v>
      </c>
      <c r="C27" s="69">
        <f>-'I&amp;E'!G26</f>
        <v>4859</v>
      </c>
      <c r="D27" s="275">
        <f>SUM(C25:C27)</f>
        <v>585394</v>
      </c>
      <c r="E27" s="107"/>
      <c r="F27" s="65"/>
      <c r="G27" s="107"/>
      <c r="H27" s="107"/>
    </row>
    <row r="28" spans="1:12" ht="15.6" x14ac:dyDescent="0.3">
      <c r="A28" s="142"/>
      <c r="B28" s="102" t="s">
        <v>21</v>
      </c>
      <c r="C28" s="60"/>
      <c r="D28" s="275"/>
      <c r="E28" s="60">
        <v>12904</v>
      </c>
      <c r="F28" s="145" t="s">
        <v>169</v>
      </c>
      <c r="G28" s="62"/>
      <c r="H28" s="199">
        <v>26273</v>
      </c>
    </row>
    <row r="29" spans="1:12" x14ac:dyDescent="0.3">
      <c r="A29" s="142">
        <v>14058</v>
      </c>
      <c r="B29" s="103" t="s">
        <v>105</v>
      </c>
      <c r="C29" s="60">
        <f>SUM(A29:A30)</f>
        <v>15773</v>
      </c>
      <c r="D29" s="275"/>
      <c r="E29" s="107"/>
      <c r="F29" s="65"/>
      <c r="G29" s="107"/>
      <c r="H29" s="107"/>
    </row>
    <row r="30" spans="1:12" ht="15.6" x14ac:dyDescent="0.3">
      <c r="A30" s="142">
        <v>1715</v>
      </c>
      <c r="B30" s="103" t="s">
        <v>84</v>
      </c>
      <c r="C30" s="69">
        <f>-'I&amp;E'!G24</f>
        <v>1827</v>
      </c>
      <c r="D30" s="278">
        <f>SUM(C29:C30)</f>
        <v>17600</v>
      </c>
      <c r="E30" s="60"/>
      <c r="F30" s="143" t="s">
        <v>35</v>
      </c>
      <c r="G30" s="60"/>
      <c r="H30" s="62"/>
    </row>
    <row r="31" spans="1:12" ht="15" customHeight="1" x14ac:dyDescent="0.3">
      <c r="A31" s="142"/>
      <c r="B31" s="102" t="s">
        <v>27</v>
      </c>
      <c r="C31" s="60"/>
      <c r="D31" s="275"/>
      <c r="E31" s="60">
        <v>631436.25</v>
      </c>
      <c r="F31" s="145" t="s">
        <v>36</v>
      </c>
      <c r="G31" s="60">
        <f>SUM(E31:E35)</f>
        <v>714558.05</v>
      </c>
      <c r="H31" s="62"/>
    </row>
    <row r="32" spans="1:12" ht="15" customHeight="1" x14ac:dyDescent="0.3">
      <c r="A32" s="142">
        <v>18480</v>
      </c>
      <c r="B32" s="103" t="s">
        <v>85</v>
      </c>
      <c r="C32" s="60">
        <f>SUM(A32:A34)</f>
        <v>22613</v>
      </c>
      <c r="D32" s="275"/>
      <c r="E32" s="60">
        <v>0</v>
      </c>
      <c r="F32" s="145" t="s">
        <v>95</v>
      </c>
      <c r="G32" s="60">
        <v>0</v>
      </c>
      <c r="H32" s="62"/>
    </row>
    <row r="33" spans="1:12" ht="15" customHeight="1" x14ac:dyDescent="0.3">
      <c r="A33" s="142">
        <v>2640</v>
      </c>
      <c r="B33" s="103" t="s">
        <v>15</v>
      </c>
      <c r="C33" s="60">
        <v>2640</v>
      </c>
      <c r="D33" s="275"/>
      <c r="E33" s="60">
        <v>0</v>
      </c>
      <c r="F33" s="55" t="s">
        <v>149</v>
      </c>
      <c r="G33" s="60">
        <v>0</v>
      </c>
      <c r="H33" s="62"/>
    </row>
    <row r="34" spans="1:12" ht="15" customHeight="1" x14ac:dyDescent="0.3">
      <c r="A34" s="142">
        <v>1493</v>
      </c>
      <c r="B34" s="103" t="s">
        <v>84</v>
      </c>
      <c r="C34" s="69">
        <f>-'I&amp;E'!G25</f>
        <v>1566</v>
      </c>
      <c r="D34" s="274">
        <f>SUM(C32:C34)</f>
        <v>26819</v>
      </c>
      <c r="E34" s="60">
        <v>0</v>
      </c>
      <c r="F34" s="55" t="s">
        <v>150</v>
      </c>
      <c r="G34" s="60">
        <v>0</v>
      </c>
      <c r="H34" s="62"/>
    </row>
    <row r="35" spans="1:12" ht="15" customHeight="1" x14ac:dyDescent="0.3">
      <c r="A35" s="142"/>
      <c r="B35" s="103"/>
      <c r="C35" s="66"/>
      <c r="D35" s="275"/>
      <c r="E35" s="60">
        <v>83121.800000000047</v>
      </c>
      <c r="F35" s="145" t="s">
        <v>222</v>
      </c>
      <c r="G35" s="69">
        <f>-'I&amp;E'!D43</f>
        <v>-32091.599999999977</v>
      </c>
      <c r="H35" s="64">
        <f>SUM(G31:G35)</f>
        <v>682466.45000000007</v>
      </c>
    </row>
    <row r="36" spans="1:12" ht="15" customHeight="1" x14ac:dyDescent="0.3">
      <c r="A36" s="142"/>
      <c r="B36" s="105" t="s">
        <v>24</v>
      </c>
      <c r="C36" s="108"/>
      <c r="D36" s="275"/>
      <c r="E36" s="107"/>
      <c r="F36" s="65"/>
      <c r="G36" s="107"/>
      <c r="H36" s="107"/>
    </row>
    <row r="37" spans="1:12" x14ac:dyDescent="0.3">
      <c r="A37" s="142">
        <v>408812</v>
      </c>
      <c r="B37" s="106" t="s">
        <v>25</v>
      </c>
      <c r="C37" s="60"/>
      <c r="D37" s="274">
        <v>408812</v>
      </c>
      <c r="E37" s="107"/>
      <c r="F37" s="65"/>
      <c r="G37" s="107"/>
      <c r="H37" s="107"/>
    </row>
    <row r="38" spans="1:12" ht="6" customHeight="1" x14ac:dyDescent="0.3">
      <c r="A38" s="142"/>
      <c r="B38" s="103"/>
      <c r="C38" s="60"/>
      <c r="D38" s="275"/>
      <c r="E38" s="107"/>
      <c r="F38" s="65"/>
      <c r="G38" s="107"/>
      <c r="H38" s="107"/>
    </row>
    <row r="39" spans="1:12" ht="15.6" x14ac:dyDescent="0.3">
      <c r="A39" s="142"/>
      <c r="B39" s="105" t="s">
        <v>28</v>
      </c>
      <c r="C39" s="60"/>
      <c r="D39" s="275"/>
      <c r="E39" s="107"/>
      <c r="F39" s="65"/>
      <c r="G39" s="107"/>
      <c r="H39" s="107"/>
    </row>
    <row r="40" spans="1:12" x14ac:dyDescent="0.3">
      <c r="A40" s="142">
        <v>7357</v>
      </c>
      <c r="B40" s="106" t="s">
        <v>83</v>
      </c>
      <c r="C40" s="60">
        <f>'Sch II &amp; III - Mem. Rec &amp; Adv'!E16</f>
        <v>719</v>
      </c>
      <c r="D40" s="275"/>
      <c r="E40" s="107"/>
      <c r="G40" s="107"/>
      <c r="H40" s="107"/>
    </row>
    <row r="41" spans="1:12" x14ac:dyDescent="0.3">
      <c r="A41" s="142">
        <v>15814</v>
      </c>
      <c r="B41" s="106" t="s">
        <v>86</v>
      </c>
      <c r="C41" s="69">
        <f>'Sch IV &amp; V  - Adv &amp; Prov'!C24</f>
        <v>110453</v>
      </c>
      <c r="D41" s="275">
        <f>SUM(C40:C41)</f>
        <v>111172</v>
      </c>
      <c r="E41" s="107"/>
      <c r="G41" s="107"/>
      <c r="H41" s="107"/>
    </row>
    <row r="42" spans="1:12" ht="6" customHeight="1" x14ac:dyDescent="0.3">
      <c r="A42" s="57"/>
      <c r="B42" s="279"/>
      <c r="C42" s="75"/>
      <c r="D42" s="275"/>
      <c r="E42" s="107"/>
      <c r="G42" s="107"/>
      <c r="H42" s="107"/>
    </row>
    <row r="43" spans="1:12" ht="15.6" x14ac:dyDescent="0.3">
      <c r="A43" s="142"/>
      <c r="B43" s="105" t="s">
        <v>34</v>
      </c>
      <c r="C43" s="60"/>
      <c r="D43" s="278"/>
      <c r="E43" s="107"/>
      <c r="G43" s="107"/>
      <c r="H43" s="107"/>
      <c r="K43" s="65"/>
    </row>
    <row r="44" spans="1:12" x14ac:dyDescent="0.3">
      <c r="A44" s="57">
        <v>6160</v>
      </c>
      <c r="B44" s="111" t="s">
        <v>108</v>
      </c>
      <c r="C44" s="280"/>
      <c r="D44" s="274">
        <v>6160</v>
      </c>
      <c r="E44" s="107"/>
      <c r="G44" s="107"/>
      <c r="H44" s="107"/>
    </row>
    <row r="45" spans="1:12" ht="18" customHeight="1" thickBot="1" x14ac:dyDescent="0.35">
      <c r="A45" s="109">
        <f>SUM(A10:A44)</f>
        <v>2366635.27</v>
      </c>
      <c r="B45" s="238" t="s">
        <v>37</v>
      </c>
      <c r="C45" s="237"/>
      <c r="D45" s="281">
        <f>SUM(D10:D44)</f>
        <v>2580254.27</v>
      </c>
      <c r="E45" s="269">
        <f>SUM(E7:E44)</f>
        <v>2366635.2700000005</v>
      </c>
      <c r="F45" s="236" t="s">
        <v>37</v>
      </c>
      <c r="G45" s="237"/>
      <c r="H45" s="109">
        <f>SUM(H7:H44)</f>
        <v>2580254.27</v>
      </c>
      <c r="L45" s="65"/>
    </row>
    <row r="46" spans="1:12" ht="10.050000000000001" customHeight="1" thickTop="1" x14ac:dyDescent="0.3">
      <c r="A46" s="119"/>
      <c r="B46" s="149"/>
      <c r="C46" s="120"/>
      <c r="D46" s="121"/>
      <c r="E46" s="221"/>
      <c r="F46" s="221"/>
      <c r="G46" s="221"/>
      <c r="H46" s="31"/>
    </row>
    <row r="47" spans="1:12" x14ac:dyDescent="0.3">
      <c r="A47" s="122" t="s">
        <v>241</v>
      </c>
      <c r="B47"/>
      <c r="C47"/>
      <c r="D47" s="123"/>
      <c r="E47" s="124"/>
      <c r="F47"/>
      <c r="G47" s="124"/>
      <c r="H47" s="125"/>
    </row>
    <row r="48" spans="1:12" x14ac:dyDescent="0.3">
      <c r="A48" s="126"/>
      <c r="B48"/>
      <c r="C48"/>
      <c r="D48" s="127"/>
      <c r="E48" s="128"/>
      <c r="F48" s="200" t="s">
        <v>242</v>
      </c>
      <c r="G48" s="200"/>
      <c r="H48" s="201"/>
      <c r="L48" s="65"/>
    </row>
    <row r="49" spans="1:13" x14ac:dyDescent="0.3">
      <c r="A49" s="126"/>
      <c r="B49"/>
      <c r="C49"/>
      <c r="D49" s="127"/>
      <c r="E49" s="128"/>
      <c r="F49" s="150"/>
      <c r="G49" s="128"/>
      <c r="H49" s="129"/>
      <c r="M49" s="65"/>
    </row>
    <row r="50" spans="1:13" ht="15.45" customHeight="1" x14ac:dyDescent="0.3">
      <c r="A50" s="126"/>
      <c r="B50"/>
      <c r="C50"/>
      <c r="D50" s="127"/>
      <c r="E50" s="128"/>
      <c r="F50" s="150"/>
      <c r="G50" s="128"/>
      <c r="H50" s="129"/>
    </row>
    <row r="51" spans="1:13" ht="15.6" x14ac:dyDescent="0.3">
      <c r="A51" s="130" t="s">
        <v>243</v>
      </c>
      <c r="B51" s="151"/>
      <c r="C51" s="152"/>
      <c r="D51" s="127"/>
      <c r="E51" s="128"/>
      <c r="F51" s="150"/>
      <c r="G51" s="128"/>
      <c r="H51" s="129"/>
      <c r="I51" s="65">
        <f>A45-E45</f>
        <v>0</v>
      </c>
      <c r="J51" s="65">
        <f>D45-H45</f>
        <v>0</v>
      </c>
      <c r="K51" s="65"/>
    </row>
    <row r="52" spans="1:13" customFormat="1" ht="9.9" customHeight="1" x14ac:dyDescent="0.3">
      <c r="A52" s="131" t="s">
        <v>244</v>
      </c>
      <c r="B52" s="151"/>
      <c r="C52" s="152"/>
      <c r="D52" s="127"/>
      <c r="E52" s="128"/>
      <c r="F52" s="150"/>
      <c r="G52" s="128"/>
      <c r="H52" s="129"/>
    </row>
    <row r="53" spans="1:13" customFormat="1" ht="15" customHeight="1" x14ac:dyDescent="0.3">
      <c r="A53" s="131" t="s">
        <v>249</v>
      </c>
      <c r="B53" s="151"/>
      <c r="C53" s="152"/>
      <c r="D53" s="127"/>
      <c r="E53" s="128"/>
      <c r="F53" s="202" t="s">
        <v>245</v>
      </c>
      <c r="G53" s="202"/>
      <c r="H53" s="203"/>
    </row>
    <row r="54" spans="1:13" customFormat="1" ht="15" customHeight="1" x14ac:dyDescent="0.3">
      <c r="A54" s="204">
        <v>46248</v>
      </c>
      <c r="B54" s="205"/>
      <c r="C54" s="205"/>
      <c r="D54" s="133"/>
      <c r="E54" s="134"/>
      <c r="F54" s="135"/>
      <c r="G54" s="134"/>
      <c r="H54" s="136"/>
      <c r="J54" s="18"/>
    </row>
    <row r="55" spans="1:13" customFormat="1" ht="15" customHeight="1" x14ac:dyDescent="0.3">
      <c r="A55" s="70"/>
      <c r="B55" s="55"/>
      <c r="C55" s="76"/>
      <c r="D55" s="70"/>
      <c r="E55" s="70"/>
      <c r="F55" s="55"/>
      <c r="G55" s="70"/>
      <c r="H55" s="71"/>
      <c r="J55" s="18"/>
    </row>
    <row r="56" spans="1:13" customFormat="1" ht="15" customHeight="1" x14ac:dyDescent="0.3">
      <c r="A56" s="70"/>
      <c r="B56" s="55"/>
      <c r="C56" s="76"/>
      <c r="D56" s="70"/>
      <c r="E56" s="70"/>
      <c r="F56" s="55"/>
      <c r="G56" s="70"/>
      <c r="H56" s="71"/>
      <c r="J56" s="18"/>
    </row>
    <row r="57" spans="1:13" customFormat="1" ht="15" customHeight="1" x14ac:dyDescent="0.3">
      <c r="A57" s="70"/>
      <c r="B57" s="55"/>
      <c r="C57" s="76"/>
      <c r="D57" s="70"/>
      <c r="E57" s="70"/>
      <c r="F57" s="55"/>
      <c r="G57" s="70"/>
      <c r="H57" s="71"/>
      <c r="J57" s="18"/>
    </row>
    <row r="58" spans="1:13" customFormat="1" ht="15" customHeight="1" x14ac:dyDescent="0.3">
      <c r="A58" s="70"/>
      <c r="B58" s="55"/>
      <c r="C58" s="76"/>
      <c r="D58" s="70"/>
      <c r="E58" s="70"/>
      <c r="F58" s="55"/>
      <c r="G58" s="70"/>
      <c r="H58" s="71"/>
      <c r="I58" s="132"/>
    </row>
    <row r="59" spans="1:13" customFormat="1" ht="15" customHeight="1" x14ac:dyDescent="0.3">
      <c r="A59" s="70"/>
      <c r="B59" s="55"/>
      <c r="C59" s="76"/>
      <c r="D59" s="70"/>
      <c r="E59" s="70"/>
      <c r="F59" s="55"/>
      <c r="G59" s="70"/>
      <c r="H59" s="71"/>
      <c r="I59" s="132"/>
    </row>
    <row r="60" spans="1:13" customFormat="1" ht="15" customHeight="1" x14ac:dyDescent="0.3">
      <c r="A60" s="70"/>
      <c r="B60" s="55"/>
      <c r="C60" s="76"/>
      <c r="D60" s="70"/>
      <c r="E60" s="70"/>
      <c r="F60" s="55"/>
      <c r="G60" s="70"/>
      <c r="H60" s="71"/>
      <c r="I60" s="132"/>
    </row>
  </sheetData>
  <mergeCells count="12">
    <mergeCell ref="F48:H48"/>
    <mergeCell ref="F53:H53"/>
    <mergeCell ref="A54:C54"/>
    <mergeCell ref="F45:G45"/>
    <mergeCell ref="B45:C45"/>
    <mergeCell ref="E46:G46"/>
    <mergeCell ref="A1:H1"/>
    <mergeCell ref="A4:H4"/>
    <mergeCell ref="B6:C6"/>
    <mergeCell ref="F6:G6"/>
    <mergeCell ref="A3:H3"/>
    <mergeCell ref="A2:H2"/>
  </mergeCells>
  <printOptions horizontalCentered="1"/>
  <pageMargins left="0.23622047244094491" right="0.23622047244094491" top="0.39370078740157483" bottom="0.19685039370078741" header="0.31496062992125984" footer="0.31496062992125984"/>
  <pageSetup paperSize="9" scale="65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63"/>
  <sheetViews>
    <sheetView tabSelected="1" view="pageBreakPreview" zoomScaleNormal="112" zoomScaleSheetLayoutView="100" workbookViewId="0">
      <selection activeCell="L17" sqref="L17"/>
    </sheetView>
  </sheetViews>
  <sheetFormatPr defaultColWidth="15.6640625" defaultRowHeight="14.4" x14ac:dyDescent="0.3"/>
  <cols>
    <col min="1" max="1" width="14.77734375" style="4" customWidth="1"/>
    <col min="2" max="2" width="27.33203125" customWidth="1"/>
    <col min="3" max="3" width="14.77734375" style="4" customWidth="1"/>
    <col min="4" max="4" width="14.77734375" style="86" customWidth="1"/>
    <col min="5" max="5" width="14.77734375" style="4" customWidth="1"/>
    <col min="6" max="6" width="30.33203125" customWidth="1"/>
    <col min="7" max="8" width="14.77734375" style="4" customWidth="1"/>
  </cols>
  <sheetData>
    <row r="1" spans="1:10" ht="21" x14ac:dyDescent="0.3">
      <c r="A1" s="206" t="str">
        <f>BS!A1</f>
        <v>WADHWA CO-OP. HOUSING SOCIETY LTD.</v>
      </c>
      <c r="B1" s="207"/>
      <c r="C1" s="207"/>
      <c r="D1" s="207"/>
      <c r="E1" s="207"/>
      <c r="F1" s="207"/>
      <c r="G1" s="207"/>
      <c r="H1" s="208"/>
    </row>
    <row r="2" spans="1:10" x14ac:dyDescent="0.3">
      <c r="A2" s="216" t="str">
        <f>BS!A2</f>
        <v>Regd. No. BOM / HSG / 1848 dated 04.10.1968</v>
      </c>
      <c r="B2" s="217"/>
      <c r="C2" s="217"/>
      <c r="D2" s="217"/>
      <c r="E2" s="217"/>
      <c r="F2" s="217"/>
      <c r="G2" s="217"/>
      <c r="H2" s="218"/>
    </row>
    <row r="3" spans="1:10" x14ac:dyDescent="0.3">
      <c r="A3" s="216" t="str">
        <f>BS!A3</f>
        <v>Vijay Bhavan, 68, St. Sebastian Road, Bandra (West), Mumbai - 400050</v>
      </c>
      <c r="B3" s="217"/>
      <c r="C3" s="217"/>
      <c r="D3" s="217"/>
      <c r="E3" s="217"/>
      <c r="F3" s="217"/>
      <c r="G3" s="217"/>
      <c r="H3" s="218"/>
    </row>
    <row r="4" spans="1:10" ht="18" x14ac:dyDescent="0.3">
      <c r="A4" s="209" t="s">
        <v>181</v>
      </c>
      <c r="B4" s="210"/>
      <c r="C4" s="210"/>
      <c r="D4" s="210"/>
      <c r="E4" s="210"/>
      <c r="F4" s="210"/>
      <c r="G4" s="210"/>
      <c r="H4" s="211"/>
    </row>
    <row r="5" spans="1:10" ht="13.95" customHeight="1" thickBot="1" x14ac:dyDescent="0.35">
      <c r="A5" s="153"/>
      <c r="B5" s="118"/>
      <c r="C5" s="118"/>
      <c r="D5" s="118"/>
      <c r="E5" s="118"/>
      <c r="F5" s="118"/>
      <c r="G5" s="118"/>
      <c r="H5" s="154" t="str">
        <f>BS!H5</f>
        <v>(Amt. in Rs.)</v>
      </c>
    </row>
    <row r="6" spans="1:10" ht="29.4" thickBot="1" x14ac:dyDescent="0.35">
      <c r="A6" s="25" t="str">
        <f>BS!A6</f>
        <v>March 31, 2025</v>
      </c>
      <c r="B6" s="212" t="s">
        <v>110</v>
      </c>
      <c r="C6" s="213"/>
      <c r="D6" s="286" t="str">
        <f>BS!D6</f>
        <v>March 31,
2026</v>
      </c>
      <c r="E6" s="282" t="str">
        <f>A6</f>
        <v>March 31, 2025</v>
      </c>
      <c r="F6" s="212" t="s">
        <v>52</v>
      </c>
      <c r="G6" s="213"/>
      <c r="H6" s="24" t="str">
        <f>D6</f>
        <v>March 31,
2026</v>
      </c>
    </row>
    <row r="7" spans="1:10" ht="16.2" thickTop="1" x14ac:dyDescent="0.3">
      <c r="A7" s="155">
        <v>41242</v>
      </c>
      <c r="B7" s="33" t="s">
        <v>111</v>
      </c>
      <c r="C7" s="97"/>
      <c r="D7" s="287">
        <v>43878</v>
      </c>
      <c r="E7" s="98"/>
      <c r="F7" s="30" t="s">
        <v>122</v>
      </c>
      <c r="G7" s="97"/>
      <c r="H7" s="156"/>
    </row>
    <row r="8" spans="1:10" x14ac:dyDescent="0.3">
      <c r="A8" s="23"/>
      <c r="B8" s="20"/>
      <c r="C8" s="21"/>
      <c r="D8" s="288"/>
      <c r="E8" s="283">
        <v>29040</v>
      </c>
      <c r="F8" s="20" t="s">
        <v>93</v>
      </c>
      <c r="G8" s="32">
        <v>29040</v>
      </c>
      <c r="H8" s="156"/>
    </row>
    <row r="9" spans="1:10" ht="15.6" x14ac:dyDescent="0.3">
      <c r="A9" s="157"/>
      <c r="B9" s="22" t="s">
        <v>112</v>
      </c>
      <c r="C9" s="32"/>
      <c r="D9" s="288"/>
      <c r="E9" s="283">
        <v>50952</v>
      </c>
      <c r="F9" s="20" t="s">
        <v>33</v>
      </c>
      <c r="G9" s="32">
        <v>50952</v>
      </c>
      <c r="H9" s="31"/>
    </row>
    <row r="10" spans="1:10" x14ac:dyDescent="0.3">
      <c r="A10" s="157">
        <v>1988</v>
      </c>
      <c r="B10" s="20" t="s">
        <v>54</v>
      </c>
      <c r="C10" s="21"/>
      <c r="D10" s="288">
        <v>2542</v>
      </c>
      <c r="E10" s="283">
        <v>1848</v>
      </c>
      <c r="F10" s="20" t="s">
        <v>54</v>
      </c>
      <c r="G10" s="32">
        <v>1848</v>
      </c>
      <c r="H10" s="158"/>
    </row>
    <row r="11" spans="1:10" ht="15.6" x14ac:dyDescent="0.3">
      <c r="A11" s="157"/>
      <c r="B11" s="22" t="s">
        <v>113</v>
      </c>
      <c r="C11" s="32"/>
      <c r="D11" s="288"/>
      <c r="E11" s="283">
        <v>365376</v>
      </c>
      <c r="F11" s="20" t="s">
        <v>55</v>
      </c>
      <c r="G11" s="32">
        <v>502392</v>
      </c>
      <c r="H11" s="31"/>
      <c r="I11" s="18"/>
    </row>
    <row r="12" spans="1:10" x14ac:dyDescent="0.3">
      <c r="A12" s="157">
        <v>44580</v>
      </c>
      <c r="B12" s="20" t="s">
        <v>53</v>
      </c>
      <c r="C12" s="32">
        <v>74762</v>
      </c>
      <c r="D12" s="289"/>
      <c r="E12" s="283">
        <v>1792</v>
      </c>
      <c r="F12" s="20" t="s">
        <v>56</v>
      </c>
      <c r="G12" s="32">
        <v>2416</v>
      </c>
      <c r="H12" s="31"/>
      <c r="J12" s="1"/>
    </row>
    <row r="13" spans="1:10" x14ac:dyDescent="0.3">
      <c r="A13" s="157">
        <v>7500</v>
      </c>
      <c r="B13" s="20" t="s">
        <v>79</v>
      </c>
      <c r="C13" s="113">
        <v>3500</v>
      </c>
      <c r="D13" s="289">
        <f>SUM(C12:C13)</f>
        <v>78262</v>
      </c>
      <c r="E13" s="283">
        <v>12000</v>
      </c>
      <c r="F13" s="20" t="s">
        <v>177</v>
      </c>
      <c r="G13" s="32">
        <v>0</v>
      </c>
      <c r="H13" s="31"/>
    </row>
    <row r="14" spans="1:10" ht="15.6" x14ac:dyDescent="0.3">
      <c r="A14" s="23"/>
      <c r="B14" s="30" t="s">
        <v>117</v>
      </c>
      <c r="C14" s="97"/>
      <c r="D14" s="287"/>
      <c r="E14" s="283">
        <v>1708</v>
      </c>
      <c r="F14" s="20" t="s">
        <v>57</v>
      </c>
      <c r="G14" s="32">
        <v>1621</v>
      </c>
      <c r="H14" s="31"/>
    </row>
    <row r="15" spans="1:10" x14ac:dyDescent="0.3">
      <c r="A15" s="157">
        <v>18000</v>
      </c>
      <c r="B15" s="20" t="s">
        <v>134</v>
      </c>
      <c r="C15" s="32">
        <v>15000</v>
      </c>
      <c r="D15" s="288"/>
      <c r="E15" s="283">
        <v>6528</v>
      </c>
      <c r="F15" s="20" t="s">
        <v>58</v>
      </c>
      <c r="G15" s="32">
        <v>6528</v>
      </c>
      <c r="H15" s="159"/>
    </row>
    <row r="16" spans="1:10" x14ac:dyDescent="0.3">
      <c r="A16" s="23">
        <v>18975</v>
      </c>
      <c r="B16" s="20" t="s">
        <v>135</v>
      </c>
      <c r="C16" s="32">
        <v>4390</v>
      </c>
      <c r="D16" s="290"/>
      <c r="E16" s="121">
        <v>18300</v>
      </c>
      <c r="F16" s="20" t="s">
        <v>59</v>
      </c>
      <c r="G16" s="21">
        <v>39000</v>
      </c>
      <c r="H16" s="159"/>
    </row>
    <row r="17" spans="1:11" x14ac:dyDescent="0.3">
      <c r="A17" s="23">
        <v>4590</v>
      </c>
      <c r="B17" s="20" t="s">
        <v>136</v>
      </c>
      <c r="C17" s="32">
        <v>1100</v>
      </c>
      <c r="D17" s="290"/>
      <c r="E17" s="283">
        <v>37200</v>
      </c>
      <c r="F17" s="20" t="s">
        <v>60</v>
      </c>
      <c r="G17" s="100">
        <v>19950</v>
      </c>
      <c r="H17" s="159">
        <f>SUM(G8:G17)</f>
        <v>653747</v>
      </c>
      <c r="J17" s="18"/>
    </row>
    <row r="18" spans="1:11" x14ac:dyDescent="0.3">
      <c r="A18" s="23">
        <v>12590</v>
      </c>
      <c r="B18" s="20" t="s">
        <v>137</v>
      </c>
      <c r="C18" s="32">
        <v>20880</v>
      </c>
      <c r="D18" s="290"/>
      <c r="E18" s="283"/>
      <c r="F18" s="20"/>
      <c r="G18" s="32"/>
      <c r="H18" s="159"/>
    </row>
    <row r="19" spans="1:11" ht="15.6" x14ac:dyDescent="0.3">
      <c r="A19" s="23">
        <v>11000</v>
      </c>
      <c r="B19" s="20" t="s">
        <v>174</v>
      </c>
      <c r="C19" s="100">
        <f>6000+6000</f>
        <v>12000</v>
      </c>
      <c r="D19" s="288">
        <f>SUM(C15:C19)</f>
        <v>53370</v>
      </c>
      <c r="E19" s="283"/>
      <c r="F19" s="22" t="s">
        <v>120</v>
      </c>
      <c r="G19" s="32"/>
      <c r="H19" s="99"/>
      <c r="I19" s="37"/>
      <c r="J19" s="18"/>
      <c r="K19" s="18"/>
    </row>
    <row r="20" spans="1:11" ht="15.6" x14ac:dyDescent="0.3">
      <c r="A20" s="23"/>
      <c r="B20" s="30" t="s">
        <v>118</v>
      </c>
      <c r="C20" s="97"/>
      <c r="D20" s="287"/>
      <c r="E20" s="121">
        <v>3796</v>
      </c>
      <c r="F20" s="20" t="s">
        <v>61</v>
      </c>
      <c r="G20" s="21">
        <v>4219</v>
      </c>
      <c r="H20" s="99"/>
    </row>
    <row r="21" spans="1:11" x14ac:dyDescent="0.3">
      <c r="A21" s="23">
        <v>222000</v>
      </c>
      <c r="B21" s="20" t="s">
        <v>63</v>
      </c>
      <c r="C21" s="32">
        <f>18000*12</f>
        <v>216000</v>
      </c>
      <c r="D21" s="288"/>
      <c r="E21" s="283">
        <v>78631</v>
      </c>
      <c r="F21" s="20" t="s">
        <v>62</v>
      </c>
      <c r="G21" s="32">
        <f>66846+15088</f>
        <v>81934</v>
      </c>
      <c r="H21" s="159"/>
    </row>
    <row r="22" spans="1:11" x14ac:dyDescent="0.3">
      <c r="A22" s="23">
        <v>43800</v>
      </c>
      <c r="B22" s="20" t="s">
        <v>133</v>
      </c>
      <c r="C22" s="32">
        <v>45100</v>
      </c>
      <c r="D22" s="288"/>
      <c r="E22" s="283">
        <v>-17335</v>
      </c>
      <c r="F22" s="20" t="s">
        <v>94</v>
      </c>
      <c r="G22" s="32">
        <v>-18265</v>
      </c>
      <c r="H22" s="31"/>
    </row>
    <row r="23" spans="1:11" x14ac:dyDescent="0.3">
      <c r="A23" s="23">
        <v>12812</v>
      </c>
      <c r="B23" s="20" t="s">
        <v>114</v>
      </c>
      <c r="C23" s="32">
        <f>'Fixed assest'!H14</f>
        <v>12595</v>
      </c>
      <c r="D23" s="288"/>
      <c r="E23" s="283">
        <v>-52627</v>
      </c>
      <c r="F23" s="20" t="s">
        <v>64</v>
      </c>
      <c r="G23" s="32">
        <v>-54444</v>
      </c>
      <c r="H23" s="31"/>
    </row>
    <row r="24" spans="1:11" x14ac:dyDescent="0.3">
      <c r="A24" s="23">
        <v>2800</v>
      </c>
      <c r="B24" s="20" t="s">
        <v>66</v>
      </c>
      <c r="C24" s="32">
        <v>3200</v>
      </c>
      <c r="D24" s="288"/>
      <c r="E24" s="283">
        <v>-1715</v>
      </c>
      <c r="F24" s="20" t="s">
        <v>65</v>
      </c>
      <c r="G24" s="32">
        <v>-1827</v>
      </c>
      <c r="H24" s="159"/>
    </row>
    <row r="25" spans="1:11" x14ac:dyDescent="0.3">
      <c r="A25" s="23">
        <v>0</v>
      </c>
      <c r="B25" s="20" t="s">
        <v>210</v>
      </c>
      <c r="C25" s="32">
        <v>1335</v>
      </c>
      <c r="D25" s="288"/>
      <c r="E25" s="283">
        <v>-1493</v>
      </c>
      <c r="F25" s="20" t="s">
        <v>175</v>
      </c>
      <c r="G25" s="32">
        <v>-1566</v>
      </c>
      <c r="H25" s="159"/>
      <c r="J25" s="18"/>
    </row>
    <row r="26" spans="1:11" x14ac:dyDescent="0.3">
      <c r="A26" s="23">
        <v>826</v>
      </c>
      <c r="B26" s="20" t="s">
        <v>67</v>
      </c>
      <c r="C26" s="32">
        <v>826</v>
      </c>
      <c r="D26" s="288"/>
      <c r="E26" s="283">
        <v>-4533</v>
      </c>
      <c r="F26" s="20" t="s">
        <v>151</v>
      </c>
      <c r="G26" s="100">
        <v>-4859</v>
      </c>
      <c r="H26" s="159">
        <f>SUM(G20:G26)</f>
        <v>5192</v>
      </c>
    </row>
    <row r="27" spans="1:11" x14ac:dyDescent="0.3">
      <c r="A27" s="23">
        <v>2200</v>
      </c>
      <c r="B27" s="20" t="s">
        <v>32</v>
      </c>
      <c r="C27" s="100">
        <v>2800</v>
      </c>
      <c r="D27" s="288">
        <f>SUM(C21:C27)</f>
        <v>281856</v>
      </c>
      <c r="E27" s="121"/>
      <c r="F27" s="20"/>
      <c r="G27" s="21"/>
      <c r="H27" s="159"/>
    </row>
    <row r="28" spans="1:11" x14ac:dyDescent="0.3">
      <c r="A28" s="23"/>
      <c r="B28" s="34" t="s">
        <v>119</v>
      </c>
      <c r="C28" s="97"/>
      <c r="D28" s="288"/>
      <c r="E28" s="121">
        <v>0</v>
      </c>
      <c r="F28" s="20" t="s">
        <v>209</v>
      </c>
      <c r="G28" s="21"/>
      <c r="H28" s="159">
        <v>8532</v>
      </c>
    </row>
    <row r="29" spans="1:11" x14ac:dyDescent="0.3">
      <c r="A29" s="23">
        <v>97500</v>
      </c>
      <c r="B29" s="20" t="s">
        <v>132</v>
      </c>
      <c r="C29" s="32">
        <f>8500*12</f>
        <v>102000</v>
      </c>
      <c r="D29" s="290"/>
      <c r="E29" s="121"/>
      <c r="F29" s="20"/>
      <c r="G29" s="21"/>
      <c r="H29" s="159"/>
    </row>
    <row r="30" spans="1:11" x14ac:dyDescent="0.3">
      <c r="A30" s="23">
        <v>17000</v>
      </c>
      <c r="B30" s="20" t="s">
        <v>68</v>
      </c>
      <c r="C30" s="32">
        <v>12000</v>
      </c>
      <c r="D30" s="288"/>
      <c r="E30" s="283"/>
      <c r="F30" s="20"/>
      <c r="G30" s="21"/>
      <c r="H30" s="159"/>
    </row>
    <row r="31" spans="1:11" x14ac:dyDescent="0.3">
      <c r="A31" s="23">
        <v>16000</v>
      </c>
      <c r="B31" s="20" t="s">
        <v>69</v>
      </c>
      <c r="C31" s="32">
        <v>16000</v>
      </c>
      <c r="D31" s="288"/>
      <c r="E31" s="283">
        <f>A44-SUM(E7:E27)</f>
        <v>83121.800000000047</v>
      </c>
      <c r="F31" s="219" t="s">
        <v>115</v>
      </c>
      <c r="G31" s="220"/>
      <c r="H31" s="159">
        <v>0</v>
      </c>
    </row>
    <row r="32" spans="1:11" x14ac:dyDescent="0.3">
      <c r="A32" s="23">
        <v>5813</v>
      </c>
      <c r="B32" s="20" t="s">
        <v>80</v>
      </c>
      <c r="C32" s="32">
        <v>1527</v>
      </c>
      <c r="D32" s="288"/>
      <c r="E32" s="283"/>
      <c r="F32" s="33"/>
      <c r="G32" s="21"/>
      <c r="H32" s="31"/>
    </row>
    <row r="33" spans="1:13" x14ac:dyDescent="0.3">
      <c r="A33" s="23">
        <v>6000</v>
      </c>
      <c r="B33" s="20" t="s">
        <v>82</v>
      </c>
      <c r="C33" s="32">
        <v>11000</v>
      </c>
      <c r="D33" s="288"/>
      <c r="E33" s="284"/>
      <c r="F33" s="33"/>
      <c r="G33" s="19"/>
      <c r="H33" s="159"/>
      <c r="M33" s="18"/>
    </row>
    <row r="34" spans="1:13" x14ac:dyDescent="0.3">
      <c r="A34" s="23">
        <v>500</v>
      </c>
      <c r="B34" s="20" t="s">
        <v>81</v>
      </c>
      <c r="C34" s="32">
        <v>0</v>
      </c>
      <c r="D34" s="288"/>
      <c r="E34" s="284"/>
      <c r="F34" s="20"/>
      <c r="G34" s="19"/>
      <c r="H34" s="159"/>
    </row>
    <row r="35" spans="1:13" x14ac:dyDescent="0.3">
      <c r="A35" s="23">
        <v>4775</v>
      </c>
      <c r="B35" s="20" t="s">
        <v>138</v>
      </c>
      <c r="C35" s="32">
        <v>5170</v>
      </c>
      <c r="D35" s="288"/>
      <c r="E35" s="284"/>
      <c r="F35" s="20"/>
      <c r="G35" s="19"/>
      <c r="H35" s="159"/>
    </row>
    <row r="36" spans="1:13" x14ac:dyDescent="0.3">
      <c r="A36" s="23">
        <v>13667</v>
      </c>
      <c r="B36" s="35" t="s">
        <v>121</v>
      </c>
      <c r="C36" s="32">
        <v>3500</v>
      </c>
      <c r="D36" s="288"/>
      <c r="E36" s="284"/>
      <c r="F36" s="20"/>
      <c r="G36" s="19"/>
      <c r="H36" s="159"/>
    </row>
    <row r="37" spans="1:13" x14ac:dyDescent="0.3">
      <c r="A37" s="23">
        <v>1380</v>
      </c>
      <c r="B37" s="20" t="s">
        <v>88</v>
      </c>
      <c r="C37" s="32">
        <v>9365</v>
      </c>
      <c r="D37" s="288"/>
      <c r="E37" s="284"/>
      <c r="F37" s="20"/>
      <c r="G37" s="19"/>
      <c r="H37" s="159"/>
    </row>
    <row r="38" spans="1:13" x14ac:dyDescent="0.3">
      <c r="A38" s="23">
        <v>1051.8</v>
      </c>
      <c r="B38" s="20" t="s">
        <v>70</v>
      </c>
      <c r="C38" s="32">
        <v>212.4</v>
      </c>
      <c r="D38" s="288"/>
      <c r="E38" s="284"/>
      <c r="F38" s="20"/>
      <c r="G38" s="19"/>
      <c r="H38" s="159"/>
    </row>
    <row r="39" spans="1:13" x14ac:dyDescent="0.3">
      <c r="A39" s="23">
        <v>4000</v>
      </c>
      <c r="B39" s="20" t="s">
        <v>221</v>
      </c>
      <c r="C39" s="32">
        <f>1500+2500</f>
        <v>4000</v>
      </c>
      <c r="D39" s="288"/>
      <c r="E39" s="284"/>
      <c r="F39" s="20"/>
      <c r="G39" s="19"/>
      <c r="H39" s="159"/>
    </row>
    <row r="40" spans="1:13" x14ac:dyDescent="0.3">
      <c r="A40" s="23">
        <v>0</v>
      </c>
      <c r="B40" s="20" t="s">
        <v>116</v>
      </c>
      <c r="C40" s="100">
        <v>0</v>
      </c>
      <c r="D40" s="288">
        <f>SUM(C29:C40)</f>
        <v>164774.39999999999</v>
      </c>
      <c r="E40" s="284"/>
      <c r="F40" s="20"/>
      <c r="G40" s="19"/>
      <c r="H40" s="159"/>
    </row>
    <row r="41" spans="1:13" ht="10.050000000000001" customHeight="1" x14ac:dyDescent="0.3">
      <c r="A41" s="23"/>
      <c r="B41" s="20"/>
      <c r="C41" s="32"/>
      <c r="D41" s="288"/>
      <c r="E41" s="284"/>
      <c r="F41" s="20"/>
      <c r="G41" s="19"/>
      <c r="H41" s="159"/>
    </row>
    <row r="42" spans="1:13" x14ac:dyDescent="0.3">
      <c r="A42" s="23">
        <v>0</v>
      </c>
      <c r="B42" s="20" t="s">
        <v>211</v>
      </c>
      <c r="C42" s="31"/>
      <c r="D42" s="291">
        <f>ROUND((H44-SUM(D7:D40))*25%,)</f>
        <v>10697</v>
      </c>
      <c r="E42" s="284"/>
      <c r="F42" s="20"/>
      <c r="G42" s="19"/>
      <c r="H42" s="159"/>
    </row>
    <row r="43" spans="1:13" x14ac:dyDescent="0.3">
      <c r="A43" s="23">
        <v>0</v>
      </c>
      <c r="B43" s="20" t="s">
        <v>248</v>
      </c>
      <c r="C43" s="31"/>
      <c r="D43" s="292">
        <f>H44-SUM(D7:D42)</f>
        <v>32091.599999999977</v>
      </c>
      <c r="E43" s="284"/>
      <c r="F43" s="20"/>
      <c r="G43" s="19"/>
      <c r="H43" s="159"/>
    </row>
    <row r="44" spans="1:13" ht="15" thickBot="1" x14ac:dyDescent="0.35">
      <c r="A44" s="36">
        <f>SUM(A7:A43)</f>
        <v>612589.80000000005</v>
      </c>
      <c r="B44" s="214" t="s">
        <v>37</v>
      </c>
      <c r="C44" s="215"/>
      <c r="D44" s="293">
        <f>SUM(D7:D43)</f>
        <v>667471</v>
      </c>
      <c r="E44" s="285">
        <f>SUM(E7:E43)</f>
        <v>612589.80000000005</v>
      </c>
      <c r="F44" s="214" t="s">
        <v>37</v>
      </c>
      <c r="G44" s="215"/>
      <c r="H44" s="36">
        <f>SUM(H7:H43)</f>
        <v>667471</v>
      </c>
    </row>
    <row r="45" spans="1:13" ht="10.050000000000001" customHeight="1" thickTop="1" x14ac:dyDescent="0.3">
      <c r="A45" s="119"/>
      <c r="B45" s="149"/>
      <c r="C45" s="120"/>
      <c r="D45" s="121"/>
      <c r="E45" s="221"/>
      <c r="F45" s="221"/>
      <c r="G45" s="221"/>
      <c r="H45" s="31"/>
    </row>
    <row r="46" spans="1:13" x14ac:dyDescent="0.3">
      <c r="A46" s="122" t="s">
        <v>241</v>
      </c>
      <c r="C46"/>
      <c r="D46" s="123"/>
      <c r="E46" s="124"/>
      <c r="G46" s="124"/>
      <c r="H46" s="125"/>
    </row>
    <row r="47" spans="1:13" x14ac:dyDescent="0.3">
      <c r="A47" s="126"/>
      <c r="C47"/>
      <c r="D47" s="127"/>
      <c r="E47" s="128"/>
      <c r="F47" s="200" t="s">
        <v>242</v>
      </c>
      <c r="G47" s="200"/>
      <c r="H47" s="201"/>
    </row>
    <row r="48" spans="1:13" x14ac:dyDescent="0.3">
      <c r="A48" s="126"/>
      <c r="C48"/>
      <c r="D48" s="127"/>
      <c r="E48" s="128"/>
      <c r="F48" s="150"/>
      <c r="G48" s="128"/>
      <c r="H48" s="129"/>
      <c r="J48" s="18"/>
    </row>
    <row r="49" spans="1:11" x14ac:dyDescent="0.3">
      <c r="A49" s="126"/>
      <c r="C49"/>
      <c r="D49" s="127"/>
      <c r="E49" s="128"/>
      <c r="F49" s="150"/>
      <c r="G49" s="128"/>
      <c r="H49" s="129"/>
      <c r="K49" s="18"/>
    </row>
    <row r="50" spans="1:11" ht="9.9" customHeight="1" x14ac:dyDescent="0.3">
      <c r="A50" s="130" t="s">
        <v>243</v>
      </c>
      <c r="B50" s="151"/>
      <c r="C50" s="152"/>
      <c r="D50" s="127"/>
      <c r="E50" s="128"/>
      <c r="F50" s="150"/>
      <c r="G50" s="128"/>
      <c r="H50" s="129"/>
    </row>
    <row r="51" spans="1:11" ht="15" customHeight="1" x14ac:dyDescent="0.3">
      <c r="A51" s="131" t="s">
        <v>244</v>
      </c>
      <c r="B51" s="151"/>
      <c r="C51" s="152"/>
      <c r="D51" s="127"/>
      <c r="E51" s="128"/>
      <c r="F51" s="150"/>
      <c r="G51" s="128"/>
      <c r="H51" s="129"/>
    </row>
    <row r="52" spans="1:11" ht="15" customHeight="1" x14ac:dyDescent="0.3">
      <c r="A52" s="131" t="s">
        <v>249</v>
      </c>
      <c r="B52" s="151"/>
      <c r="C52" s="152"/>
      <c r="D52" s="127"/>
      <c r="E52" s="128"/>
      <c r="F52" s="202" t="s">
        <v>245</v>
      </c>
      <c r="G52" s="202"/>
      <c r="H52" s="203"/>
      <c r="J52" s="18"/>
    </row>
    <row r="53" spans="1:11" ht="15" customHeight="1" x14ac:dyDescent="0.3">
      <c r="A53" s="204">
        <v>46248</v>
      </c>
      <c r="B53" s="205"/>
      <c r="C53" s="205"/>
      <c r="D53" s="133"/>
      <c r="E53" s="134"/>
      <c r="F53" s="135"/>
      <c r="G53" s="134"/>
      <c r="H53" s="136"/>
      <c r="J53" s="18"/>
    </row>
    <row r="54" spans="1:11" ht="15" customHeight="1" x14ac:dyDescent="0.3">
      <c r="A54" s="10"/>
      <c r="B54" s="3"/>
      <c r="C54" s="10"/>
      <c r="D54" s="10"/>
      <c r="E54" s="10"/>
      <c r="F54" s="3"/>
      <c r="G54" s="10"/>
      <c r="H54" s="10"/>
      <c r="J54" s="18"/>
    </row>
    <row r="55" spans="1:11" ht="15" customHeight="1" x14ac:dyDescent="0.3">
      <c r="J55" s="18"/>
    </row>
    <row r="56" spans="1:11" ht="15" customHeight="1" x14ac:dyDescent="0.3">
      <c r="I56" s="132"/>
    </row>
    <row r="57" spans="1:11" ht="15" customHeight="1" x14ac:dyDescent="0.3">
      <c r="I57" s="132"/>
    </row>
    <row r="58" spans="1:11" ht="15" customHeight="1" x14ac:dyDescent="0.3">
      <c r="I58" s="132"/>
    </row>
    <row r="59" spans="1:11" x14ac:dyDescent="0.3">
      <c r="I59" s="3"/>
    </row>
    <row r="60" spans="1:11" x14ac:dyDescent="0.3">
      <c r="I60" s="3"/>
    </row>
    <row r="61" spans="1:11" x14ac:dyDescent="0.3">
      <c r="I61" s="3"/>
    </row>
    <row r="62" spans="1:11" x14ac:dyDescent="0.3">
      <c r="I62" s="3"/>
    </row>
    <row r="63" spans="1:11" x14ac:dyDescent="0.3">
      <c r="I63" s="3"/>
    </row>
  </sheetData>
  <mergeCells count="13">
    <mergeCell ref="F47:H47"/>
    <mergeCell ref="F52:H52"/>
    <mergeCell ref="A53:C53"/>
    <mergeCell ref="A1:H1"/>
    <mergeCell ref="A4:H4"/>
    <mergeCell ref="B6:C6"/>
    <mergeCell ref="F6:G6"/>
    <mergeCell ref="B44:C44"/>
    <mergeCell ref="F44:G44"/>
    <mergeCell ref="A2:H2"/>
    <mergeCell ref="A3:H3"/>
    <mergeCell ref="F31:G31"/>
    <mergeCell ref="E45:G45"/>
  </mergeCells>
  <printOptions horizontalCentered="1"/>
  <pageMargins left="0.19685039370078741" right="0.19685039370078741" top="0.39370078740157483" bottom="0.19685039370078741" header="0.19685039370078741" footer="0.19685039370078741"/>
  <pageSetup paperSize="9" scale="65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V42"/>
  <sheetViews>
    <sheetView view="pageBreakPreview" topLeftCell="A20" zoomScaleNormal="126" zoomScaleSheetLayoutView="100" workbookViewId="0">
      <selection activeCell="A54" sqref="A54:C54"/>
    </sheetView>
  </sheetViews>
  <sheetFormatPr defaultColWidth="9.109375" defaultRowHeight="14.4" x14ac:dyDescent="0.3"/>
  <cols>
    <col min="1" max="1" width="2.88671875" customWidth="1"/>
    <col min="2" max="2" width="14.6640625" bestFit="1" customWidth="1"/>
    <col min="3" max="3" width="12.6640625" style="5" customWidth="1"/>
    <col min="4" max="4" width="13.33203125" bestFit="1" customWidth="1"/>
    <col min="5" max="5" width="10.6640625" customWidth="1"/>
    <col min="6" max="6" width="11.88671875" customWidth="1"/>
    <col min="7" max="7" width="12" customWidth="1"/>
    <col min="8" max="8" width="13.33203125" bestFit="1" customWidth="1"/>
    <col min="9" max="9" width="10.33203125" bestFit="1" customWidth="1"/>
    <col min="10" max="10" width="13.109375" bestFit="1" customWidth="1"/>
    <col min="11" max="11" width="8" style="43" bestFit="1" customWidth="1"/>
    <col min="12" max="12" width="5.33203125" bestFit="1" customWidth="1"/>
    <col min="13" max="13" width="4.77734375" customWidth="1"/>
    <col min="14" max="15" width="12.109375" hidden="1" customWidth="1"/>
    <col min="16" max="16" width="11.33203125" hidden="1" customWidth="1"/>
  </cols>
  <sheetData>
    <row r="1" spans="2:17" ht="18" x14ac:dyDescent="0.35">
      <c r="B1" s="239" t="s">
        <v>39</v>
      </c>
      <c r="C1" s="240"/>
      <c r="D1" s="240"/>
      <c r="E1" s="240"/>
      <c r="F1" s="240"/>
      <c r="G1" s="240"/>
      <c r="H1" s="240"/>
      <c r="I1" s="240"/>
      <c r="J1" s="240"/>
      <c r="K1" s="240"/>
      <c r="L1" s="241"/>
    </row>
    <row r="2" spans="2:17" ht="18" x14ac:dyDescent="0.35">
      <c r="B2" s="242" t="s">
        <v>131</v>
      </c>
      <c r="C2" s="243"/>
      <c r="D2" s="243"/>
      <c r="E2" s="243"/>
      <c r="F2" s="243"/>
      <c r="G2" s="243"/>
      <c r="H2" s="243"/>
      <c r="I2" s="243"/>
      <c r="J2" s="243"/>
      <c r="K2" s="243"/>
      <c r="L2" s="244"/>
    </row>
    <row r="3" spans="2:17" ht="18" x14ac:dyDescent="0.35">
      <c r="B3" s="245" t="s">
        <v>183</v>
      </c>
      <c r="C3" s="246"/>
      <c r="D3" s="246"/>
      <c r="E3" s="246"/>
      <c r="F3" s="246"/>
      <c r="G3" s="246"/>
      <c r="H3" s="246"/>
      <c r="I3" s="246"/>
      <c r="J3" s="246"/>
      <c r="K3" s="246"/>
      <c r="L3" s="247"/>
    </row>
    <row r="4" spans="2:17" ht="28.8" x14ac:dyDescent="0.3">
      <c r="B4" s="40" t="s">
        <v>40</v>
      </c>
      <c r="C4" s="40" t="s">
        <v>38</v>
      </c>
      <c r="D4" s="40" t="s">
        <v>41</v>
      </c>
      <c r="E4" s="40" t="s">
        <v>152</v>
      </c>
      <c r="F4" s="40" t="s">
        <v>159</v>
      </c>
      <c r="G4" s="40" t="s">
        <v>217</v>
      </c>
      <c r="H4" s="40" t="s">
        <v>37</v>
      </c>
      <c r="I4" s="40" t="s">
        <v>42</v>
      </c>
      <c r="J4" s="40" t="s">
        <v>43</v>
      </c>
      <c r="K4" s="41" t="s">
        <v>44</v>
      </c>
      <c r="L4" s="40" t="s">
        <v>45</v>
      </c>
      <c r="M4" s="5"/>
    </row>
    <row r="5" spans="2:17" x14ac:dyDescent="0.3">
      <c r="B5" s="77" t="s">
        <v>13</v>
      </c>
      <c r="K5" s="42"/>
      <c r="L5" s="27"/>
      <c r="P5" s="18"/>
      <c r="Q5" s="18"/>
    </row>
    <row r="6" spans="2:17" x14ac:dyDescent="0.3">
      <c r="B6" s="53" t="s">
        <v>191</v>
      </c>
      <c r="C6" s="89" t="s">
        <v>160</v>
      </c>
      <c r="D6" s="7">
        <v>94457</v>
      </c>
      <c r="E6" s="7">
        <v>0</v>
      </c>
      <c r="F6" s="7">
        <v>0</v>
      </c>
      <c r="G6" s="7">
        <f>4681-936</f>
        <v>3745</v>
      </c>
      <c r="H6" s="7">
        <f t="shared" ref="H6:H12" si="0">D6+E6+F6+G6</f>
        <v>98202</v>
      </c>
      <c r="I6" s="6" t="s">
        <v>192</v>
      </c>
      <c r="J6" s="7">
        <v>100550</v>
      </c>
      <c r="K6" s="44">
        <v>6.3E-2</v>
      </c>
      <c r="L6" s="6" t="s">
        <v>46</v>
      </c>
      <c r="N6" s="1">
        <v>181939</v>
      </c>
      <c r="O6" s="1"/>
      <c r="P6" s="18"/>
    </row>
    <row r="7" spans="2:17" x14ac:dyDescent="0.3">
      <c r="B7" s="53" t="s">
        <v>194</v>
      </c>
      <c r="C7" s="89" t="s">
        <v>160</v>
      </c>
      <c r="D7" s="7">
        <v>59517</v>
      </c>
      <c r="E7" s="7">
        <v>0</v>
      </c>
      <c r="F7" s="7">
        <v>0</v>
      </c>
      <c r="G7" s="7">
        <f>2950-590</f>
        <v>2360</v>
      </c>
      <c r="H7" s="7">
        <f t="shared" si="0"/>
        <v>61877</v>
      </c>
      <c r="I7" s="6" t="s">
        <v>192</v>
      </c>
      <c r="J7" s="7">
        <v>63356</v>
      </c>
      <c r="K7" s="44">
        <v>6.3E-2</v>
      </c>
      <c r="L7" s="6" t="s">
        <v>46</v>
      </c>
      <c r="N7" s="1">
        <v>2033</v>
      </c>
      <c r="O7" s="1"/>
      <c r="P7" s="18"/>
    </row>
    <row r="8" spans="2:17" x14ac:dyDescent="0.3">
      <c r="B8" s="53" t="s">
        <v>193</v>
      </c>
      <c r="C8" s="89" t="s">
        <v>160</v>
      </c>
      <c r="D8" s="7">
        <v>108636</v>
      </c>
      <c r="E8" s="7">
        <v>0</v>
      </c>
      <c r="F8" s="7">
        <v>0</v>
      </c>
      <c r="G8" s="7">
        <f>5385-1077</f>
        <v>4308</v>
      </c>
      <c r="H8" s="7">
        <f t="shared" si="0"/>
        <v>112944</v>
      </c>
      <c r="I8" s="6" t="s">
        <v>192</v>
      </c>
      <c r="J8" s="7">
        <v>115643</v>
      </c>
      <c r="K8" s="44">
        <v>6.3E-2</v>
      </c>
      <c r="L8" s="6" t="s">
        <v>46</v>
      </c>
      <c r="N8" s="1"/>
      <c r="O8" s="1">
        <v>160745</v>
      </c>
      <c r="P8" s="18"/>
      <c r="Q8" s="18"/>
    </row>
    <row r="9" spans="2:17" x14ac:dyDescent="0.3">
      <c r="B9" s="53" t="s">
        <v>195</v>
      </c>
      <c r="C9" s="89" t="s">
        <v>160</v>
      </c>
      <c r="D9" s="7">
        <v>95307</v>
      </c>
      <c r="E9" s="7">
        <v>0</v>
      </c>
      <c r="F9" s="7">
        <v>0</v>
      </c>
      <c r="G9" s="7">
        <f>4723-945</f>
        <v>3778</v>
      </c>
      <c r="H9" s="7">
        <f t="shared" si="0"/>
        <v>99085</v>
      </c>
      <c r="I9" s="6" t="s">
        <v>192</v>
      </c>
      <c r="J9" s="7">
        <v>101455</v>
      </c>
      <c r="K9" s="44">
        <v>6.3E-2</v>
      </c>
      <c r="L9" s="6" t="s">
        <v>46</v>
      </c>
      <c r="N9" s="1"/>
      <c r="O9" s="1">
        <v>10386</v>
      </c>
    </row>
    <row r="10" spans="2:17" x14ac:dyDescent="0.3">
      <c r="B10" s="53">
        <v>6500076</v>
      </c>
      <c r="C10" s="89" t="s">
        <v>144</v>
      </c>
      <c r="D10" s="7">
        <v>338952</v>
      </c>
      <c r="E10" s="7">
        <v>0</v>
      </c>
      <c r="F10" s="7">
        <v>0</v>
      </c>
      <c r="G10" s="7">
        <f>6422-1284</f>
        <v>5138</v>
      </c>
      <c r="H10" s="7">
        <f t="shared" si="0"/>
        <v>344090</v>
      </c>
      <c r="I10" s="6" t="s">
        <v>196</v>
      </c>
      <c r="J10" s="117">
        <v>379950</v>
      </c>
      <c r="K10" s="44">
        <v>5.7500000000000002E-2</v>
      </c>
      <c r="L10" s="6" t="s">
        <v>46</v>
      </c>
      <c r="N10" s="1"/>
      <c r="O10" s="1">
        <v>10167</v>
      </c>
    </row>
    <row r="11" spans="2:17" x14ac:dyDescent="0.3">
      <c r="B11" s="53" t="s">
        <v>156</v>
      </c>
      <c r="C11" s="89" t="s">
        <v>157</v>
      </c>
      <c r="D11" s="7">
        <v>10152</v>
      </c>
      <c r="E11" s="7">
        <v>0</v>
      </c>
      <c r="F11" s="7">
        <f>24-5</f>
        <v>19</v>
      </c>
      <c r="G11" s="7">
        <f>812-163</f>
        <v>649</v>
      </c>
      <c r="H11" s="7">
        <f t="shared" si="0"/>
        <v>10820</v>
      </c>
      <c r="I11" s="6" t="s">
        <v>158</v>
      </c>
      <c r="J11" s="117">
        <v>12721</v>
      </c>
      <c r="K11" s="44">
        <v>7.8E-2</v>
      </c>
      <c r="L11" s="6" t="s">
        <v>46</v>
      </c>
      <c r="N11" s="1"/>
      <c r="O11" s="1">
        <v>2674</v>
      </c>
    </row>
    <row r="12" spans="2:17" x14ac:dyDescent="0.3">
      <c r="B12" s="78" t="s">
        <v>140</v>
      </c>
      <c r="C12" s="89" t="s">
        <v>145</v>
      </c>
      <c r="D12" s="7">
        <v>46102</v>
      </c>
      <c r="E12" s="7">
        <f>256+811+825+840</f>
        <v>2732</v>
      </c>
      <c r="F12" s="7">
        <v>3510</v>
      </c>
      <c r="G12" s="7">
        <v>3761</v>
      </c>
      <c r="H12" s="7">
        <f t="shared" si="0"/>
        <v>56105</v>
      </c>
      <c r="I12" s="6" t="s">
        <v>146</v>
      </c>
      <c r="J12" s="117">
        <v>56772</v>
      </c>
      <c r="K12" s="44">
        <v>7.0000000000000007E-2</v>
      </c>
      <c r="L12" s="6" t="s">
        <v>47</v>
      </c>
      <c r="M12" s="20"/>
      <c r="N12" s="1">
        <f>SUM(N6:N11)</f>
        <v>183972</v>
      </c>
      <c r="O12" s="1">
        <f>SUM(O8:O11)</f>
        <v>183972</v>
      </c>
      <c r="P12" s="18">
        <f>N12-O12</f>
        <v>0</v>
      </c>
    </row>
    <row r="13" spans="2:17" ht="15" thickBot="1" x14ac:dyDescent="0.35">
      <c r="B13" s="248" t="s">
        <v>246</v>
      </c>
      <c r="C13" s="249"/>
      <c r="D13" s="160">
        <f>SUM(D6:D12)</f>
        <v>753123</v>
      </c>
      <c r="E13" s="160">
        <f t="shared" ref="E13:J13" si="1">SUM(E6:E12)</f>
        <v>2732</v>
      </c>
      <c r="F13" s="160">
        <f t="shared" si="1"/>
        <v>3529</v>
      </c>
      <c r="G13" s="160">
        <f t="shared" si="1"/>
        <v>23739</v>
      </c>
      <c r="H13" s="160">
        <f t="shared" si="1"/>
        <v>783123</v>
      </c>
      <c r="I13" s="161"/>
      <c r="J13" s="160">
        <f t="shared" si="1"/>
        <v>830447</v>
      </c>
      <c r="K13" s="161"/>
      <c r="L13" s="161"/>
      <c r="M13" s="20"/>
      <c r="N13" s="1"/>
      <c r="O13" s="1"/>
      <c r="P13" s="18"/>
    </row>
    <row r="14" spans="2:17" ht="15" thickTop="1" x14ac:dyDescent="0.3">
      <c r="B14" s="79"/>
      <c r="K14" s="90"/>
      <c r="L14" s="27"/>
    </row>
    <row r="15" spans="2:17" x14ac:dyDescent="0.3">
      <c r="B15" s="77" t="s">
        <v>21</v>
      </c>
      <c r="K15" s="90"/>
      <c r="L15" s="27"/>
    </row>
    <row r="16" spans="2:17" x14ac:dyDescent="0.3">
      <c r="B16" s="53" t="s">
        <v>240</v>
      </c>
      <c r="C16" s="45" t="s">
        <v>155</v>
      </c>
      <c r="D16" s="7">
        <v>17790</v>
      </c>
      <c r="E16" s="7">
        <v>0</v>
      </c>
      <c r="F16" s="7">
        <v>0</v>
      </c>
      <c r="G16" s="7">
        <v>34</v>
      </c>
      <c r="H16" s="7">
        <f>D16+E16+F16+G16</f>
        <v>17824</v>
      </c>
      <c r="I16" s="45" t="s">
        <v>227</v>
      </c>
      <c r="J16" s="117">
        <v>18854</v>
      </c>
      <c r="K16" s="44">
        <v>5.8500000000000003E-2</v>
      </c>
      <c r="L16" s="6" t="s">
        <v>47</v>
      </c>
    </row>
    <row r="17" spans="2:22" x14ac:dyDescent="0.3">
      <c r="B17" s="53" t="s">
        <v>239</v>
      </c>
      <c r="C17" s="45" t="s">
        <v>155</v>
      </c>
      <c r="D17" s="7">
        <v>9556</v>
      </c>
      <c r="E17" s="7">
        <v>0</v>
      </c>
      <c r="F17" s="7">
        <v>0</v>
      </c>
      <c r="G17" s="7">
        <v>18</v>
      </c>
      <c r="H17" s="7">
        <f>D17+E17+F17+G17</f>
        <v>9574</v>
      </c>
      <c r="I17" s="45" t="s">
        <v>227</v>
      </c>
      <c r="J17" s="117">
        <v>10127</v>
      </c>
      <c r="K17" s="44">
        <v>5.8500000000000003E-2</v>
      </c>
      <c r="L17" s="6" t="s">
        <v>47</v>
      </c>
    </row>
    <row r="18" spans="2:22" ht="15" thickBot="1" x14ac:dyDescent="0.35">
      <c r="B18" s="248" t="s">
        <v>246</v>
      </c>
      <c r="C18" s="249"/>
      <c r="D18" s="160">
        <f>SUM(D16:D17)</f>
        <v>27346</v>
      </c>
      <c r="E18" s="160">
        <f t="shared" ref="E18:H18" si="2">SUM(E16:E17)</f>
        <v>0</v>
      </c>
      <c r="F18" s="160">
        <f t="shared" si="2"/>
        <v>0</v>
      </c>
      <c r="G18" s="160">
        <f t="shared" si="2"/>
        <v>52</v>
      </c>
      <c r="H18" s="160">
        <f t="shared" si="2"/>
        <v>27398</v>
      </c>
      <c r="I18" s="161"/>
      <c r="J18" s="160">
        <f t="shared" ref="J18" si="3">SUM(J16:J17)</f>
        <v>28981</v>
      </c>
      <c r="K18" s="161"/>
      <c r="L18" s="161"/>
      <c r="M18" s="20"/>
      <c r="N18" s="1"/>
      <c r="O18" s="1"/>
      <c r="P18" s="18"/>
    </row>
    <row r="19" spans="2:22" ht="15" thickTop="1" x14ac:dyDescent="0.3">
      <c r="B19" s="79"/>
      <c r="D19" s="2"/>
      <c r="E19" s="2"/>
      <c r="F19" s="2"/>
      <c r="G19" s="2"/>
      <c r="H19" s="2"/>
      <c r="K19" s="90"/>
      <c r="L19" s="27"/>
    </row>
    <row r="20" spans="2:22" x14ac:dyDescent="0.3">
      <c r="B20" s="77" t="s">
        <v>48</v>
      </c>
      <c r="D20" s="2"/>
      <c r="E20" s="2"/>
      <c r="F20" s="2"/>
      <c r="G20" s="2"/>
      <c r="H20" s="2"/>
      <c r="K20" s="90"/>
      <c r="L20" s="27"/>
    </row>
    <row r="21" spans="2:22" x14ac:dyDescent="0.3">
      <c r="B21" s="53" t="s">
        <v>229</v>
      </c>
      <c r="C21" s="89" t="s">
        <v>154</v>
      </c>
      <c r="D21" s="7">
        <v>17543</v>
      </c>
      <c r="E21" s="7">
        <v>0</v>
      </c>
      <c r="F21" s="7">
        <v>0</v>
      </c>
      <c r="G21" s="7">
        <v>32</v>
      </c>
      <c r="H21" s="7">
        <f>D21+E21+F21+G21</f>
        <v>17575</v>
      </c>
      <c r="I21" s="45" t="s">
        <v>228</v>
      </c>
      <c r="J21" s="117">
        <v>18613</v>
      </c>
      <c r="K21" s="44">
        <v>7.0999999999999994E-2</v>
      </c>
      <c r="L21" s="6" t="s">
        <v>47</v>
      </c>
    </row>
    <row r="22" spans="2:22" x14ac:dyDescent="0.3">
      <c r="B22" s="53" t="s">
        <v>230</v>
      </c>
      <c r="C22" s="89" t="s">
        <v>154</v>
      </c>
      <c r="D22" s="7">
        <v>35088</v>
      </c>
      <c r="E22" s="7">
        <v>0</v>
      </c>
      <c r="F22" s="7">
        <v>0</v>
      </c>
      <c r="G22" s="7">
        <v>65</v>
      </c>
      <c r="H22" s="7">
        <f>D22+E22+F22+G22</f>
        <v>35153</v>
      </c>
      <c r="I22" s="45" t="s">
        <v>228</v>
      </c>
      <c r="J22" s="117">
        <v>37228</v>
      </c>
      <c r="K22" s="44">
        <v>6.0999999999999999E-2</v>
      </c>
      <c r="L22" s="6" t="s">
        <v>47</v>
      </c>
    </row>
    <row r="23" spans="2:22" x14ac:dyDescent="0.3">
      <c r="B23" s="53" t="s">
        <v>231</v>
      </c>
      <c r="C23" s="89" t="s">
        <v>154</v>
      </c>
      <c r="D23" s="7">
        <v>17543</v>
      </c>
      <c r="E23" s="7">
        <v>0</v>
      </c>
      <c r="F23" s="7">
        <v>0</v>
      </c>
      <c r="G23" s="7">
        <v>32</v>
      </c>
      <c r="H23" s="7">
        <f>D23+E23+F23+G23</f>
        <v>17575</v>
      </c>
      <c r="I23" s="45" t="s">
        <v>228</v>
      </c>
      <c r="J23" s="117">
        <v>18613</v>
      </c>
      <c r="K23" s="44">
        <v>6.0999999999999999E-2</v>
      </c>
      <c r="L23" s="6" t="s">
        <v>47</v>
      </c>
    </row>
    <row r="24" spans="2:22" x14ac:dyDescent="0.3">
      <c r="B24" s="53" t="s">
        <v>200</v>
      </c>
      <c r="C24" s="89" t="s">
        <v>143</v>
      </c>
      <c r="D24" s="7">
        <v>181939</v>
      </c>
      <c r="E24" s="7">
        <v>0</v>
      </c>
      <c r="F24" s="7">
        <v>0</v>
      </c>
      <c r="G24" s="7">
        <f>3457-691</f>
        <v>2766</v>
      </c>
      <c r="H24" s="7">
        <f>D24+E24+F24+G24</f>
        <v>184705</v>
      </c>
      <c r="I24" s="6" t="s">
        <v>198</v>
      </c>
      <c r="J24" s="117">
        <v>203945</v>
      </c>
      <c r="K24" s="44">
        <v>5.7500000000000002E-2</v>
      </c>
      <c r="L24" s="6" t="s">
        <v>46</v>
      </c>
      <c r="M24" s="20"/>
      <c r="N24" s="1"/>
    </row>
    <row r="25" spans="2:22" ht="15" thickBot="1" x14ac:dyDescent="0.35">
      <c r="B25" s="248" t="s">
        <v>246</v>
      </c>
      <c r="C25" s="249"/>
      <c r="D25" s="160">
        <f>SUM(D21:D24)</f>
        <v>252113</v>
      </c>
      <c r="E25" s="160">
        <f t="shared" ref="E25:H25" si="4">SUM(E21:E24)</f>
        <v>0</v>
      </c>
      <c r="F25" s="160">
        <f t="shared" si="4"/>
        <v>0</v>
      </c>
      <c r="G25" s="160">
        <f t="shared" si="4"/>
        <v>2895</v>
      </c>
      <c r="H25" s="160">
        <f t="shared" si="4"/>
        <v>255008</v>
      </c>
      <c r="I25" s="161"/>
      <c r="J25" s="160">
        <f t="shared" ref="J25" si="5">SUM(J21:J24)</f>
        <v>278399</v>
      </c>
      <c r="K25" s="161"/>
      <c r="L25" s="161"/>
      <c r="M25" s="20"/>
      <c r="N25" s="1"/>
      <c r="O25" s="1"/>
      <c r="P25" s="18"/>
    </row>
    <row r="26" spans="2:22" s="3" customFormat="1" ht="15" thickTop="1" x14ac:dyDescent="0.3">
      <c r="B26" s="80"/>
      <c r="C26" s="11"/>
      <c r="D26" s="39"/>
      <c r="E26" s="2"/>
      <c r="F26" s="2"/>
      <c r="G26" s="2"/>
      <c r="H26" s="39"/>
      <c r="K26" s="91"/>
      <c r="M26" s="49"/>
      <c r="Q26"/>
      <c r="R26"/>
      <c r="S26"/>
      <c r="T26"/>
      <c r="U26"/>
      <c r="V26"/>
    </row>
    <row r="27" spans="2:22" s="3" customFormat="1" x14ac:dyDescent="0.3">
      <c r="B27" s="77" t="s">
        <v>19</v>
      </c>
      <c r="C27" s="5"/>
      <c r="D27" s="2"/>
      <c r="E27" s="2"/>
      <c r="F27" s="2"/>
      <c r="G27" s="2"/>
      <c r="H27" s="2"/>
      <c r="I27"/>
      <c r="J27"/>
      <c r="K27" s="90"/>
      <c r="L27"/>
      <c r="M27" s="49"/>
      <c r="Q27"/>
      <c r="R27"/>
      <c r="S27"/>
      <c r="T27"/>
      <c r="U27"/>
      <c r="V27"/>
    </row>
    <row r="28" spans="2:22" s="3" customFormat="1" x14ac:dyDescent="0.3">
      <c r="B28" s="81" t="s">
        <v>139</v>
      </c>
      <c r="C28" s="89" t="s">
        <v>145</v>
      </c>
      <c r="D28" s="7">
        <v>59560</v>
      </c>
      <c r="E28" s="7">
        <f>331+1048+1066+1085</f>
        <v>3530</v>
      </c>
      <c r="F28" s="7">
        <v>4533</v>
      </c>
      <c r="G28" s="7">
        <v>4859</v>
      </c>
      <c r="H28" s="7">
        <f>D28+E28+F28+G28</f>
        <v>72482</v>
      </c>
      <c r="I28" s="6" t="s">
        <v>146</v>
      </c>
      <c r="J28" s="117">
        <v>73345</v>
      </c>
      <c r="K28" s="44">
        <v>7.0000000000000007E-2</v>
      </c>
      <c r="L28" s="6" t="s">
        <v>47</v>
      </c>
      <c r="M28" s="49"/>
    </row>
    <row r="29" spans="2:22" ht="15" thickBot="1" x14ac:dyDescent="0.35">
      <c r="B29" s="248" t="s">
        <v>246</v>
      </c>
      <c r="C29" s="249"/>
      <c r="D29" s="160">
        <f>SUM(D28)</f>
        <v>59560</v>
      </c>
      <c r="E29" s="160">
        <f t="shared" ref="E29:H29" si="6">SUM(E28)</f>
        <v>3530</v>
      </c>
      <c r="F29" s="160">
        <f t="shared" si="6"/>
        <v>4533</v>
      </c>
      <c r="G29" s="160">
        <f t="shared" si="6"/>
        <v>4859</v>
      </c>
      <c r="H29" s="160">
        <f t="shared" si="6"/>
        <v>72482</v>
      </c>
      <c r="I29" s="161"/>
      <c r="J29" s="160">
        <f t="shared" ref="J29" si="7">SUM(J28)</f>
        <v>73345</v>
      </c>
      <c r="K29" s="161"/>
      <c r="L29" s="161"/>
      <c r="M29" s="20"/>
      <c r="N29" s="1"/>
      <c r="O29" s="1"/>
      <c r="P29" s="18"/>
    </row>
    <row r="30" spans="2:22" s="3" customFormat="1" ht="15" thickTop="1" x14ac:dyDescent="0.3">
      <c r="B30" s="80"/>
      <c r="C30" s="11"/>
      <c r="D30" s="39"/>
      <c r="E30" s="2"/>
      <c r="F30" s="2"/>
      <c r="G30" s="2"/>
      <c r="H30" s="39"/>
      <c r="K30" s="91"/>
      <c r="L30" s="92"/>
    </row>
    <row r="31" spans="2:22" s="3" customFormat="1" x14ac:dyDescent="0.3">
      <c r="B31" s="77" t="s">
        <v>141</v>
      </c>
      <c r="C31" s="5"/>
      <c r="D31" s="2"/>
      <c r="E31" s="2"/>
      <c r="F31" s="2"/>
      <c r="G31" s="2"/>
      <c r="H31" s="39"/>
      <c r="I31"/>
      <c r="J31"/>
      <c r="K31" s="90"/>
      <c r="L31" s="27"/>
    </row>
    <row r="32" spans="2:22" s="3" customFormat="1" x14ac:dyDescent="0.3">
      <c r="B32" s="78" t="s">
        <v>199</v>
      </c>
      <c r="C32" s="89" t="s">
        <v>143</v>
      </c>
      <c r="D32" s="7">
        <v>20917</v>
      </c>
      <c r="E32" s="7">
        <v>0</v>
      </c>
      <c r="F32" s="7">
        <v>0</v>
      </c>
      <c r="G32" s="7">
        <f>397-79</f>
        <v>318</v>
      </c>
      <c r="H32" s="7">
        <f>D32+E32+F32+G32</f>
        <v>21235</v>
      </c>
      <c r="I32" s="6" t="s">
        <v>198</v>
      </c>
      <c r="J32" s="117">
        <v>23447</v>
      </c>
      <c r="K32" s="44">
        <v>5.7500000000000002E-2</v>
      </c>
      <c r="L32" s="6" t="s">
        <v>46</v>
      </c>
    </row>
    <row r="33" spans="2:18" ht="15" thickBot="1" x14ac:dyDescent="0.35">
      <c r="B33" s="248" t="s">
        <v>246</v>
      </c>
      <c r="C33" s="249"/>
      <c r="D33" s="160">
        <f>SUM(D32)</f>
        <v>20917</v>
      </c>
      <c r="E33" s="160">
        <f t="shared" ref="E33:J33" si="8">SUM(E32)</f>
        <v>0</v>
      </c>
      <c r="F33" s="160">
        <f t="shared" si="8"/>
        <v>0</v>
      </c>
      <c r="G33" s="160">
        <f t="shared" si="8"/>
        <v>318</v>
      </c>
      <c r="H33" s="160">
        <f t="shared" si="8"/>
        <v>21235</v>
      </c>
      <c r="I33" s="161"/>
      <c r="J33" s="160">
        <f t="shared" si="8"/>
        <v>23447</v>
      </c>
      <c r="K33" s="161"/>
      <c r="L33" s="161"/>
      <c r="M33" s="20"/>
      <c r="N33" s="1"/>
      <c r="O33" s="1"/>
      <c r="P33" s="18"/>
    </row>
    <row r="34" spans="2:18" s="3" customFormat="1" ht="15" thickTop="1" x14ac:dyDescent="0.3">
      <c r="B34" s="80"/>
      <c r="C34" s="11"/>
      <c r="D34" s="39"/>
      <c r="E34" s="2"/>
      <c r="F34" s="2"/>
      <c r="G34" s="2"/>
      <c r="H34" s="39"/>
      <c r="K34" s="91"/>
      <c r="L34" s="92"/>
    </row>
    <row r="35" spans="2:18" s="3" customFormat="1" x14ac:dyDescent="0.3">
      <c r="B35" s="77" t="s">
        <v>142</v>
      </c>
      <c r="C35" s="5"/>
      <c r="D35" s="2"/>
      <c r="E35" s="2"/>
      <c r="F35" s="2"/>
      <c r="G35" s="2"/>
      <c r="H35" s="2"/>
      <c r="I35"/>
      <c r="J35"/>
      <c r="K35" s="90"/>
      <c r="L35"/>
      <c r="M35" s="49"/>
    </row>
    <row r="36" spans="2:18" s="3" customFormat="1" x14ac:dyDescent="0.3">
      <c r="B36" s="78" t="s">
        <v>197</v>
      </c>
      <c r="C36" s="89" t="s">
        <v>143</v>
      </c>
      <c r="D36" s="7">
        <v>13013</v>
      </c>
      <c r="E36" s="7">
        <v>0</v>
      </c>
      <c r="F36" s="7">
        <v>0</v>
      </c>
      <c r="G36" s="7">
        <f>246-50</f>
        <v>196</v>
      </c>
      <c r="H36" s="7">
        <f>D36+E36+F36+G36</f>
        <v>13209</v>
      </c>
      <c r="I36" s="6" t="s">
        <v>198</v>
      </c>
      <c r="J36" s="117">
        <v>14587</v>
      </c>
      <c r="K36" s="44">
        <v>5.7500000000000002E-2</v>
      </c>
      <c r="L36" s="6" t="s">
        <v>46</v>
      </c>
      <c r="R36" s="17"/>
    </row>
    <row r="37" spans="2:18" ht="15" thickBot="1" x14ac:dyDescent="0.35">
      <c r="B37" s="248" t="s">
        <v>246</v>
      </c>
      <c r="C37" s="249"/>
      <c r="D37" s="160">
        <f>SUM(D36)</f>
        <v>13013</v>
      </c>
      <c r="E37" s="160">
        <f t="shared" ref="E37:H37" si="9">SUM(E36)</f>
        <v>0</v>
      </c>
      <c r="F37" s="160">
        <f t="shared" si="9"/>
        <v>0</v>
      </c>
      <c r="G37" s="160">
        <f t="shared" si="9"/>
        <v>196</v>
      </c>
      <c r="H37" s="160">
        <f t="shared" si="9"/>
        <v>13209</v>
      </c>
      <c r="I37" s="161"/>
      <c r="J37" s="160">
        <f t="shared" ref="J37" si="10">SUM(J36)</f>
        <v>14587</v>
      </c>
      <c r="K37" s="161"/>
      <c r="L37" s="161"/>
      <c r="M37" s="20"/>
      <c r="N37" s="1"/>
      <c r="O37" s="1"/>
      <c r="P37" s="18"/>
    </row>
    <row r="38" spans="2:18" s="3" customFormat="1" ht="15.6" thickTop="1" thickBot="1" x14ac:dyDescent="0.35">
      <c r="B38" s="80"/>
      <c r="C38" s="11"/>
      <c r="D38" s="39"/>
      <c r="E38" s="2"/>
      <c r="F38" s="2"/>
      <c r="G38" s="2"/>
      <c r="H38" s="39"/>
      <c r="K38" s="91"/>
      <c r="L38" s="92"/>
    </row>
    <row r="39" spans="2:18" ht="15" thickBot="1" x14ac:dyDescent="0.35">
      <c r="B39" s="250" t="s">
        <v>247</v>
      </c>
      <c r="C39" s="251"/>
      <c r="D39" s="163">
        <f t="shared" ref="D39:E39" si="11">D13+D18+D25+D29+D33+D37</f>
        <v>1126072</v>
      </c>
      <c r="E39" s="163">
        <f t="shared" si="11"/>
        <v>6262</v>
      </c>
      <c r="F39" s="163">
        <f>F13+F18+F25+F29+F33+F37</f>
        <v>8062</v>
      </c>
      <c r="G39" s="163">
        <f>G13+G18+G25+G29+G33+G37</f>
        <v>32059</v>
      </c>
      <c r="H39" s="163">
        <f t="shared" ref="H39:J39" si="12">H25+H18+H13+H29+H33+H37</f>
        <v>1172455</v>
      </c>
      <c r="I39" s="162"/>
      <c r="J39" s="163">
        <f t="shared" si="12"/>
        <v>1249206</v>
      </c>
      <c r="K39" s="162"/>
      <c r="L39" s="164"/>
    </row>
    <row r="40" spans="2:18" x14ac:dyDescent="0.3">
      <c r="B40" s="82"/>
      <c r="E40" s="18"/>
      <c r="F40" s="18"/>
      <c r="G40" s="18"/>
    </row>
    <row r="41" spans="2:18" x14ac:dyDescent="0.3">
      <c r="F41" s="18"/>
      <c r="G41" s="18"/>
    </row>
    <row r="42" spans="2:18" x14ac:dyDescent="0.3">
      <c r="F42" s="18"/>
      <c r="H42" s="1"/>
    </row>
  </sheetData>
  <mergeCells count="10">
    <mergeCell ref="B25:C25"/>
    <mergeCell ref="B29:C29"/>
    <mergeCell ref="B33:C33"/>
    <mergeCell ref="B37:C37"/>
    <mergeCell ref="B39:C39"/>
    <mergeCell ref="B1:L1"/>
    <mergeCell ref="B2:L2"/>
    <mergeCell ref="B3:L3"/>
    <mergeCell ref="B13:C13"/>
    <mergeCell ref="B18:C18"/>
  </mergeCells>
  <phoneticPr fontId="8" type="noConversion"/>
  <printOptions horizontalCentered="1"/>
  <pageMargins left="0.19685039370078741" right="0.19685039370078741" top="0.39370078740157483" bottom="0.19685039370078741" header="0.19685039370078741" footer="0.19685039370078741"/>
  <pageSetup paperSize="9" scale="8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40"/>
  <sheetViews>
    <sheetView view="pageBreakPreview" topLeftCell="A12" zoomScaleNormal="100" zoomScaleSheetLayoutView="100" workbookViewId="0">
      <selection activeCell="A54" sqref="A54:C54"/>
    </sheetView>
  </sheetViews>
  <sheetFormatPr defaultRowHeight="14.4" x14ac:dyDescent="0.3"/>
  <cols>
    <col min="1" max="1" width="5.44140625" bestFit="1" customWidth="1"/>
    <col min="2" max="2" width="6" bestFit="1" customWidth="1"/>
    <col min="3" max="3" width="12.77734375" customWidth="1"/>
    <col min="4" max="4" width="31.6640625" bestFit="1" customWidth="1"/>
    <col min="5" max="5" width="12.77734375" style="4" customWidth="1"/>
    <col min="6" max="6" width="3.77734375" customWidth="1"/>
  </cols>
  <sheetData>
    <row r="1" spans="1:5" ht="18" x14ac:dyDescent="0.35">
      <c r="A1" s="243" t="s">
        <v>39</v>
      </c>
      <c r="B1" s="243"/>
      <c r="C1" s="243"/>
      <c r="D1" s="243"/>
      <c r="E1" s="243"/>
    </row>
    <row r="2" spans="1:5" x14ac:dyDescent="0.3">
      <c r="A2" s="252" t="s">
        <v>218</v>
      </c>
      <c r="B2" s="252"/>
      <c r="C2" s="252"/>
      <c r="D2" s="252"/>
      <c r="E2" s="252"/>
    </row>
    <row r="3" spans="1:5" x14ac:dyDescent="0.3">
      <c r="A3" s="256" t="s">
        <v>212</v>
      </c>
      <c r="B3" s="256"/>
      <c r="C3" s="256"/>
      <c r="D3" s="256"/>
      <c r="E3" s="256"/>
    </row>
    <row r="4" spans="1:5" x14ac:dyDescent="0.3">
      <c r="A4" s="11"/>
      <c r="B4" s="11"/>
      <c r="C4" s="11"/>
      <c r="D4" s="11"/>
      <c r="E4" s="26"/>
    </row>
    <row r="5" spans="1:5" ht="15" thickBot="1" x14ac:dyDescent="0.35">
      <c r="A5" s="171" t="s">
        <v>49</v>
      </c>
      <c r="B5" s="171" t="s">
        <v>50</v>
      </c>
      <c r="C5" s="171" t="s">
        <v>128</v>
      </c>
      <c r="D5" s="171" t="s">
        <v>126</v>
      </c>
      <c r="E5" s="172" t="s">
        <v>127</v>
      </c>
    </row>
    <row r="6" spans="1:5" x14ac:dyDescent="0.3">
      <c r="A6" s="167">
        <v>1</v>
      </c>
      <c r="B6" s="168" t="s">
        <v>162</v>
      </c>
      <c r="C6" s="169" t="s">
        <v>214</v>
      </c>
      <c r="D6" s="170" t="s">
        <v>213</v>
      </c>
      <c r="E6" s="170">
        <v>153</v>
      </c>
    </row>
    <row r="7" spans="1:5" ht="15" thickBot="1" x14ac:dyDescent="0.35">
      <c r="A7" s="253" t="s">
        <v>37</v>
      </c>
      <c r="B7" s="254"/>
      <c r="C7" s="254"/>
      <c r="D7" s="255"/>
      <c r="E7" s="96">
        <f>SUM(E6:E6)</f>
        <v>153</v>
      </c>
    </row>
    <row r="8" spans="1:5" ht="15" thickTop="1" x14ac:dyDescent="0.3"/>
    <row r="9" spans="1:5" x14ac:dyDescent="0.3">
      <c r="A9" s="252" t="s">
        <v>125</v>
      </c>
      <c r="B9" s="252"/>
      <c r="C9" s="252"/>
      <c r="D9" s="252"/>
      <c r="E9" s="252"/>
    </row>
    <row r="10" spans="1:5" x14ac:dyDescent="0.3">
      <c r="A10" s="256" t="s">
        <v>182</v>
      </c>
      <c r="B10" s="256"/>
      <c r="C10" s="256"/>
      <c r="D10" s="256"/>
      <c r="E10" s="256"/>
    </row>
    <row r="11" spans="1:5" x14ac:dyDescent="0.3">
      <c r="A11" s="11"/>
      <c r="B11" s="11"/>
      <c r="C11" s="11"/>
      <c r="D11" s="11"/>
      <c r="E11" s="26"/>
    </row>
    <row r="12" spans="1:5" ht="15" thickBot="1" x14ac:dyDescent="0.35">
      <c r="A12" s="171" t="s">
        <v>49</v>
      </c>
      <c r="B12" s="171" t="s">
        <v>50</v>
      </c>
      <c r="C12" s="171" t="s">
        <v>128</v>
      </c>
      <c r="D12" s="171" t="s">
        <v>126</v>
      </c>
      <c r="E12" s="172" t="s">
        <v>127</v>
      </c>
    </row>
    <row r="13" spans="1:5" x14ac:dyDescent="0.3">
      <c r="A13" s="167">
        <v>1</v>
      </c>
      <c r="B13" s="168" t="s">
        <v>162</v>
      </c>
      <c r="C13" s="168" t="s">
        <v>205</v>
      </c>
      <c r="D13" s="170" t="s">
        <v>161</v>
      </c>
      <c r="E13" s="170">
        <v>416</v>
      </c>
    </row>
    <row r="14" spans="1:5" x14ac:dyDescent="0.3">
      <c r="A14" s="50">
        <v>2</v>
      </c>
      <c r="B14" s="89" t="s">
        <v>162</v>
      </c>
      <c r="C14" s="95">
        <v>13</v>
      </c>
      <c r="D14" s="6" t="s">
        <v>206</v>
      </c>
      <c r="E14" s="6">
        <v>3</v>
      </c>
    </row>
    <row r="15" spans="1:5" x14ac:dyDescent="0.3">
      <c r="A15" s="94">
        <v>3</v>
      </c>
      <c r="B15" s="89" t="s">
        <v>162</v>
      </c>
      <c r="C15" s="95">
        <v>15</v>
      </c>
      <c r="D15" s="6" t="s">
        <v>207</v>
      </c>
      <c r="E15" s="6">
        <v>300</v>
      </c>
    </row>
    <row r="16" spans="1:5" ht="15" thickBot="1" x14ac:dyDescent="0.35">
      <c r="A16" s="253" t="s">
        <v>37</v>
      </c>
      <c r="B16" s="254"/>
      <c r="C16" s="254"/>
      <c r="D16" s="255"/>
      <c r="E16" s="96">
        <f>SUM(E13:E15)</f>
        <v>719</v>
      </c>
    </row>
    <row r="17" spans="3:5" ht="15" thickTop="1" x14ac:dyDescent="0.3">
      <c r="E17" s="13"/>
    </row>
    <row r="18" spans="3:5" x14ac:dyDescent="0.3">
      <c r="C18" s="200" t="s">
        <v>129</v>
      </c>
      <c r="D18" s="200"/>
      <c r="E18" s="200"/>
    </row>
    <row r="19" spans="3:5" x14ac:dyDescent="0.3">
      <c r="C19" s="256" t="s">
        <v>184</v>
      </c>
      <c r="D19" s="256"/>
      <c r="E19" s="256"/>
    </row>
    <row r="20" spans="3:5" x14ac:dyDescent="0.3">
      <c r="C20" s="11"/>
      <c r="D20" s="11"/>
      <c r="E20" s="29" t="s">
        <v>103</v>
      </c>
    </row>
    <row r="21" spans="3:5" ht="15" thickBot="1" x14ac:dyDescent="0.35">
      <c r="C21" s="174" t="s">
        <v>153</v>
      </c>
      <c r="D21" s="174" t="s">
        <v>96</v>
      </c>
      <c r="E21" s="174" t="s">
        <v>190</v>
      </c>
    </row>
    <row r="22" spans="3:5" x14ac:dyDescent="0.3">
      <c r="C22" s="173">
        <v>2200</v>
      </c>
      <c r="D22" s="173" t="s">
        <v>89</v>
      </c>
      <c r="E22" s="173">
        <v>2500</v>
      </c>
    </row>
    <row r="23" spans="3:5" x14ac:dyDescent="0.3">
      <c r="C23" s="47">
        <v>1650</v>
      </c>
      <c r="D23" s="47" t="s">
        <v>87</v>
      </c>
      <c r="E23" s="47">
        <v>4140</v>
      </c>
    </row>
    <row r="24" spans="3:5" x14ac:dyDescent="0.3">
      <c r="C24" s="47">
        <v>1500</v>
      </c>
      <c r="D24" s="47" t="s">
        <v>97</v>
      </c>
      <c r="E24" s="47">
        <v>2500</v>
      </c>
    </row>
    <row r="25" spans="3:5" x14ac:dyDescent="0.3">
      <c r="C25" s="47">
        <v>3868</v>
      </c>
      <c r="D25" s="47" t="s">
        <v>100</v>
      </c>
      <c r="E25" s="47">
        <f>3900-32</f>
        <v>3868</v>
      </c>
    </row>
    <row r="26" spans="3:5" ht="15" thickBot="1" x14ac:dyDescent="0.35">
      <c r="C26" s="165">
        <f>SUM(C22:C25)</f>
        <v>9218</v>
      </c>
      <c r="D26" s="166" t="s">
        <v>37</v>
      </c>
      <c r="E26" s="165">
        <f>SUM(E22:E25)</f>
        <v>13008</v>
      </c>
    </row>
    <row r="27" spans="3:5" ht="15" thickTop="1" x14ac:dyDescent="0.3">
      <c r="E27"/>
    </row>
    <row r="28" spans="3:5" x14ac:dyDescent="0.3">
      <c r="C28" s="257" t="s">
        <v>208</v>
      </c>
      <c r="D28" s="257"/>
      <c r="E28" s="257"/>
    </row>
    <row r="29" spans="3:5" ht="15" thickBot="1" x14ac:dyDescent="0.35">
      <c r="C29" s="174" t="s">
        <v>153</v>
      </c>
      <c r="D29" s="174" t="s">
        <v>96</v>
      </c>
      <c r="E29" s="174" t="s">
        <v>190</v>
      </c>
    </row>
    <row r="30" spans="3:5" x14ac:dyDescent="0.3">
      <c r="C30" s="173">
        <v>2174</v>
      </c>
      <c r="D30" s="175" t="s">
        <v>170</v>
      </c>
      <c r="E30" s="173">
        <f>3674-1500</f>
        <v>2174</v>
      </c>
    </row>
    <row r="31" spans="3:5" x14ac:dyDescent="0.3">
      <c r="C31" s="47">
        <v>3800</v>
      </c>
      <c r="D31" s="54" t="s">
        <v>171</v>
      </c>
      <c r="E31" s="47">
        <v>3800</v>
      </c>
    </row>
    <row r="32" spans="3:5" x14ac:dyDescent="0.3">
      <c r="C32" s="47">
        <v>622</v>
      </c>
      <c r="D32" s="54" t="s">
        <v>172</v>
      </c>
      <c r="E32" s="47">
        <v>3701</v>
      </c>
    </row>
    <row r="33" spans="3:5" x14ac:dyDescent="0.3">
      <c r="C33" s="47">
        <v>0</v>
      </c>
      <c r="D33" s="54" t="s">
        <v>232</v>
      </c>
      <c r="E33" s="47">
        <v>5880</v>
      </c>
    </row>
    <row r="34" spans="3:5" x14ac:dyDescent="0.3">
      <c r="C34" s="47">
        <v>0</v>
      </c>
      <c r="D34" s="54" t="s">
        <v>215</v>
      </c>
      <c r="E34" s="47">
        <v>20000</v>
      </c>
    </row>
    <row r="35" spans="3:5" x14ac:dyDescent="0.3">
      <c r="C35" s="47">
        <v>0</v>
      </c>
      <c r="D35" s="54" t="s">
        <v>216</v>
      </c>
      <c r="E35" s="47">
        <v>9000</v>
      </c>
    </row>
    <row r="36" spans="3:5" x14ac:dyDescent="0.3">
      <c r="C36" s="47">
        <v>0</v>
      </c>
      <c r="D36" s="54" t="s">
        <v>173</v>
      </c>
      <c r="E36" s="47">
        <v>52890</v>
      </c>
    </row>
    <row r="37" spans="3:5" ht="15" thickBot="1" x14ac:dyDescent="0.35">
      <c r="C37" s="165">
        <f>SUM(C30:C36)</f>
        <v>6596</v>
      </c>
      <c r="D37" s="166" t="s">
        <v>37</v>
      </c>
      <c r="E37" s="165">
        <f>SUM(E30:E36)</f>
        <v>97445</v>
      </c>
    </row>
    <row r="38" spans="3:5" ht="15" thickTop="1" x14ac:dyDescent="0.3">
      <c r="E38"/>
    </row>
    <row r="39" spans="3:5" ht="15" thickBot="1" x14ac:dyDescent="0.35">
      <c r="C39" s="165">
        <f>C26+C37</f>
        <v>15814</v>
      </c>
      <c r="D39" s="166" t="s">
        <v>37</v>
      </c>
      <c r="E39" s="165">
        <f>E26+E37</f>
        <v>110453</v>
      </c>
    </row>
    <row r="40" spans="3:5" ht="15" thickTop="1" x14ac:dyDescent="0.3">
      <c r="E40"/>
    </row>
  </sheetData>
  <mergeCells count="10">
    <mergeCell ref="C18:E18"/>
    <mergeCell ref="C19:E19"/>
    <mergeCell ref="C28:E28"/>
    <mergeCell ref="A3:E3"/>
    <mergeCell ref="A7:D7"/>
    <mergeCell ref="A1:E1"/>
    <mergeCell ref="A2:E2"/>
    <mergeCell ref="A16:D16"/>
    <mergeCell ref="A10:E10"/>
    <mergeCell ref="A9:E9"/>
  </mergeCells>
  <printOptions horizontalCentered="1"/>
  <pageMargins left="0.39370078740157483" right="0.39370078740157483" top="0.39370078740157483" bottom="0.39370078740157483" header="0.31496062992125984" footer="0.31496062992125984"/>
  <pageSetup paperSize="9" scale="85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T14"/>
  <sheetViews>
    <sheetView view="pageBreakPreview" topLeftCell="C5" zoomScaleNormal="100" zoomScaleSheetLayoutView="100" workbookViewId="0">
      <selection activeCell="A54" sqref="A54:C54"/>
    </sheetView>
  </sheetViews>
  <sheetFormatPr defaultRowHeight="14.4" x14ac:dyDescent="0.3"/>
  <cols>
    <col min="1" max="1" width="6.6640625" style="112" bestFit="1" customWidth="1"/>
    <col min="2" max="2" width="20.109375" style="112" bestFit="1" customWidth="1"/>
    <col min="3" max="3" width="7.109375" style="187" bestFit="1" customWidth="1"/>
    <col min="4" max="9" width="14.77734375" style="112" customWidth="1"/>
    <col min="10" max="10" width="2.6640625" style="112" customWidth="1"/>
    <col min="11" max="16384" width="8.88671875" style="112"/>
  </cols>
  <sheetData>
    <row r="1" spans="1:20" ht="7.95" customHeight="1" x14ac:dyDescent="0.3">
      <c r="A1" s="191"/>
      <c r="B1" s="192"/>
      <c r="C1" s="193"/>
      <c r="D1" s="192"/>
      <c r="E1" s="192"/>
      <c r="F1" s="192"/>
      <c r="G1" s="192"/>
      <c r="H1" s="192"/>
      <c r="I1" s="194"/>
    </row>
    <row r="2" spans="1:20" ht="21" x14ac:dyDescent="0.3">
      <c r="A2" s="258" t="s">
        <v>39</v>
      </c>
      <c r="B2" s="259"/>
      <c r="C2" s="259"/>
      <c r="D2" s="259"/>
      <c r="E2" s="259"/>
      <c r="F2" s="259"/>
      <c r="G2" s="259"/>
      <c r="H2" s="259"/>
      <c r="I2" s="260"/>
    </row>
    <row r="3" spans="1:20" ht="15.6" x14ac:dyDescent="0.3">
      <c r="A3" s="261" t="s">
        <v>185</v>
      </c>
      <c r="B3" s="262"/>
      <c r="C3" s="262"/>
      <c r="D3" s="262"/>
      <c r="E3" s="262"/>
      <c r="F3" s="262"/>
      <c r="G3" s="262"/>
      <c r="H3" s="262"/>
      <c r="I3" s="263"/>
    </row>
    <row r="4" spans="1:20" x14ac:dyDescent="0.3">
      <c r="A4" s="195"/>
      <c r="B4" s="196"/>
      <c r="C4" s="196"/>
      <c r="D4" s="196"/>
      <c r="E4" s="196"/>
      <c r="F4" s="196"/>
      <c r="G4" s="196"/>
      <c r="H4" s="197"/>
      <c r="I4" s="198" t="s">
        <v>103</v>
      </c>
    </row>
    <row r="5" spans="1:20" ht="43.8" thickBot="1" x14ac:dyDescent="0.35">
      <c r="A5" s="179" t="s">
        <v>164</v>
      </c>
      <c r="B5" s="179" t="s">
        <v>1</v>
      </c>
      <c r="C5" s="179" t="s">
        <v>165</v>
      </c>
      <c r="D5" s="179" t="s">
        <v>223</v>
      </c>
      <c r="E5" s="179" t="s">
        <v>201</v>
      </c>
      <c r="F5" s="179" t="s">
        <v>202</v>
      </c>
      <c r="G5" s="179" t="s">
        <v>203</v>
      </c>
      <c r="H5" s="179" t="s">
        <v>166</v>
      </c>
      <c r="I5" s="179" t="s">
        <v>204</v>
      </c>
    </row>
    <row r="6" spans="1:20" ht="30" customHeight="1" x14ac:dyDescent="0.3">
      <c r="A6" s="176">
        <v>1</v>
      </c>
      <c r="B6" s="175" t="s">
        <v>17</v>
      </c>
      <c r="C6" s="177">
        <v>0</v>
      </c>
      <c r="D6" s="178">
        <v>401812</v>
      </c>
      <c r="E6" s="178">
        <v>0</v>
      </c>
      <c r="F6" s="178">
        <v>0</v>
      </c>
      <c r="G6" s="178">
        <f>+D6+E6+F6</f>
        <v>401812</v>
      </c>
      <c r="H6" s="178">
        <f t="shared" ref="H6:H10" si="0">ROUND((D6+E6+(F6/2))*C6,)</f>
        <v>0</v>
      </c>
      <c r="I6" s="178">
        <f t="shared" ref="I6:I10" si="1">+G6-H6</f>
        <v>401812</v>
      </c>
    </row>
    <row r="7" spans="1:20" s="189" customFormat="1" ht="30" customHeight="1" x14ac:dyDescent="0.3">
      <c r="A7" s="114">
        <v>2</v>
      </c>
      <c r="B7" s="188" t="s">
        <v>18</v>
      </c>
      <c r="C7" s="115">
        <v>0.15</v>
      </c>
      <c r="D7" s="116">
        <v>10919.6</v>
      </c>
      <c r="E7" s="116">
        <v>0</v>
      </c>
      <c r="F7" s="116">
        <v>0</v>
      </c>
      <c r="G7" s="116">
        <f>+D7+E7+F7</f>
        <v>10919.6</v>
      </c>
      <c r="H7" s="116">
        <f t="shared" si="0"/>
        <v>1638</v>
      </c>
      <c r="I7" s="116">
        <f t="shared" si="1"/>
        <v>9281.6</v>
      </c>
    </row>
    <row r="8" spans="1:20" ht="30" customHeight="1" x14ac:dyDescent="0.3">
      <c r="A8" s="51">
        <v>3</v>
      </c>
      <c r="B8" s="54" t="s">
        <v>20</v>
      </c>
      <c r="C8" s="93">
        <v>0.15</v>
      </c>
      <c r="D8" s="46">
        <v>103</v>
      </c>
      <c r="E8" s="46">
        <v>0</v>
      </c>
      <c r="F8" s="46">
        <v>0</v>
      </c>
      <c r="G8" s="46">
        <f>+D8+E8+F8</f>
        <v>103</v>
      </c>
      <c r="H8" s="46">
        <f t="shared" si="0"/>
        <v>15</v>
      </c>
      <c r="I8" s="46">
        <f t="shared" si="1"/>
        <v>88</v>
      </c>
    </row>
    <row r="9" spans="1:20" ht="30" customHeight="1" x14ac:dyDescent="0.3">
      <c r="A9" s="51">
        <v>4</v>
      </c>
      <c r="B9" s="54" t="s">
        <v>167</v>
      </c>
      <c r="C9" s="93">
        <v>0.1</v>
      </c>
      <c r="D9" s="46">
        <v>1034</v>
      </c>
      <c r="E9" s="46">
        <v>0</v>
      </c>
      <c r="F9" s="46">
        <v>0</v>
      </c>
      <c r="G9" s="46">
        <f t="shared" ref="G9:G10" si="2">+D9+E9+F9</f>
        <v>1034</v>
      </c>
      <c r="H9" s="46">
        <f t="shared" si="0"/>
        <v>103</v>
      </c>
      <c r="I9" s="46">
        <f t="shared" si="1"/>
        <v>931</v>
      </c>
    </row>
    <row r="10" spans="1:20" ht="30" customHeight="1" x14ac:dyDescent="0.3">
      <c r="A10" s="51">
        <v>5</v>
      </c>
      <c r="B10" s="54" t="s">
        <v>22</v>
      </c>
      <c r="C10" s="93">
        <v>0.15</v>
      </c>
      <c r="D10" s="46">
        <v>79</v>
      </c>
      <c r="E10" s="46">
        <v>0</v>
      </c>
      <c r="F10" s="46">
        <v>0</v>
      </c>
      <c r="G10" s="46">
        <f t="shared" si="2"/>
        <v>79</v>
      </c>
      <c r="H10" s="46">
        <f t="shared" si="0"/>
        <v>12</v>
      </c>
      <c r="I10" s="46">
        <f t="shared" si="1"/>
        <v>67</v>
      </c>
      <c r="T10" s="112">
        <f>650*10%</f>
        <v>65</v>
      </c>
    </row>
    <row r="11" spans="1:20" ht="30" customHeight="1" x14ac:dyDescent="0.3">
      <c r="A11" s="51">
        <v>6</v>
      </c>
      <c r="B11" s="54" t="s">
        <v>23</v>
      </c>
      <c r="C11" s="93">
        <v>0.15</v>
      </c>
      <c r="D11" s="46">
        <v>13732</v>
      </c>
      <c r="E11" s="46">
        <v>0</v>
      </c>
      <c r="F11" s="46">
        <v>0</v>
      </c>
      <c r="G11" s="46">
        <f>+D11+E11+F11</f>
        <v>13732</v>
      </c>
      <c r="H11" s="46">
        <f>ROUND((D11+E11+(F11/2))*C11,)</f>
        <v>2060</v>
      </c>
      <c r="I11" s="46">
        <f>+G11-H11</f>
        <v>11672</v>
      </c>
    </row>
    <row r="12" spans="1:20" ht="30" customHeight="1" x14ac:dyDescent="0.3">
      <c r="A12" s="52">
        <v>7</v>
      </c>
      <c r="B12" s="54" t="s">
        <v>26</v>
      </c>
      <c r="C12" s="93">
        <v>0.1</v>
      </c>
      <c r="D12" s="46">
        <v>11174</v>
      </c>
      <c r="E12" s="46">
        <v>0</v>
      </c>
      <c r="F12" s="46">
        <v>0</v>
      </c>
      <c r="G12" s="46">
        <f>+D12+E12+F12</f>
        <v>11174</v>
      </c>
      <c r="H12" s="46">
        <f t="shared" ref="H12:H13" si="3">ROUND((D12+E12+(F12/2))*C12,)</f>
        <v>1117</v>
      </c>
      <c r="I12" s="46">
        <f>+G12-H12</f>
        <v>10057</v>
      </c>
    </row>
    <row r="13" spans="1:20" ht="30" customHeight="1" thickBot="1" x14ac:dyDescent="0.35">
      <c r="A13" s="180">
        <v>8</v>
      </c>
      <c r="B13" s="190" t="s">
        <v>168</v>
      </c>
      <c r="C13" s="181">
        <v>0.15</v>
      </c>
      <c r="D13" s="182">
        <v>51000</v>
      </c>
      <c r="E13" s="182">
        <v>0</v>
      </c>
      <c r="F13" s="182">
        <v>0</v>
      </c>
      <c r="G13" s="182">
        <f>+D13+E13+F13</f>
        <v>51000</v>
      </c>
      <c r="H13" s="182">
        <f t="shared" si="3"/>
        <v>7650</v>
      </c>
      <c r="I13" s="182">
        <f>+G13-H13</f>
        <v>43350</v>
      </c>
    </row>
    <row r="14" spans="1:20" ht="30" customHeight="1" thickBot="1" x14ac:dyDescent="0.35">
      <c r="A14" s="183"/>
      <c r="B14" s="184" t="s">
        <v>37</v>
      </c>
      <c r="C14" s="184"/>
      <c r="D14" s="185">
        <f>SUM(D6:D13)</f>
        <v>489853.6</v>
      </c>
      <c r="E14" s="185">
        <f t="shared" ref="E14:I14" si="4">SUM(E6:E13)</f>
        <v>0</v>
      </c>
      <c r="F14" s="185">
        <f t="shared" si="4"/>
        <v>0</v>
      </c>
      <c r="G14" s="185">
        <f t="shared" si="4"/>
        <v>489853.6</v>
      </c>
      <c r="H14" s="185">
        <f t="shared" si="4"/>
        <v>12595</v>
      </c>
      <c r="I14" s="186">
        <f t="shared" si="4"/>
        <v>477258.6</v>
      </c>
    </row>
  </sheetData>
  <mergeCells count="2">
    <mergeCell ref="A2:I2"/>
    <mergeCell ref="A3:I3"/>
  </mergeCells>
  <hyperlinks>
    <hyperlink ref="B10" r:id="rId1" location="scroll" display="https://in.adda.io/modules/general_ledger_page.php?module_page=general_ledger&amp;page=3&amp;notempty=1 - scroll" xr:uid="{00000000-0004-0000-0500-000000000000}"/>
    <hyperlink ref="B11" r:id="rId2" location="scroll" display="https://in.adda.io/modules/general_ledger_page.php?module_page=general_ledger&amp;page=3&amp;notempty=1 - scroll" xr:uid="{00000000-0004-0000-0500-000001000000}"/>
  </hyperlinks>
  <printOptions horizontalCentered="1"/>
  <pageMargins left="0.39370078740157483" right="0.39370078740157483" top="0.59055118110236227" bottom="0.19685039370078741" header="0.19685039370078741" footer="0.19685039370078741"/>
  <pageSetup paperSize="9" scale="90" orientation="landscape"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24"/>
  <sheetViews>
    <sheetView topLeftCell="A3" zoomScale="141" workbookViewId="0">
      <selection activeCell="B15" sqref="B15"/>
    </sheetView>
  </sheetViews>
  <sheetFormatPr defaultRowHeight="14.4" x14ac:dyDescent="0.3"/>
  <cols>
    <col min="1" max="1" width="8" bestFit="1" customWidth="1"/>
    <col min="2" max="2" width="29.5546875" customWidth="1"/>
    <col min="3" max="3" width="8" bestFit="1" customWidth="1"/>
  </cols>
  <sheetData>
    <row r="1" spans="1:3" ht="18" x14ac:dyDescent="0.3">
      <c r="A1" s="264" t="s">
        <v>130</v>
      </c>
      <c r="B1" s="264"/>
      <c r="C1" s="264"/>
    </row>
    <row r="2" spans="1:3" x14ac:dyDescent="0.3">
      <c r="A2" s="28"/>
      <c r="B2" s="28"/>
      <c r="C2" s="28"/>
    </row>
    <row r="3" spans="1:3" x14ac:dyDescent="0.3">
      <c r="A3" s="200" t="s">
        <v>129</v>
      </c>
      <c r="B3" s="200"/>
      <c r="C3" s="200"/>
    </row>
    <row r="4" spans="1:3" x14ac:dyDescent="0.3">
      <c r="A4" s="256" t="s">
        <v>184</v>
      </c>
      <c r="B4" s="256"/>
      <c r="C4" s="256"/>
    </row>
    <row r="5" spans="1:3" x14ac:dyDescent="0.3">
      <c r="A5" s="11"/>
      <c r="B5" s="11"/>
      <c r="C5" s="29" t="s">
        <v>103</v>
      </c>
    </row>
    <row r="6" spans="1:3" x14ac:dyDescent="0.3">
      <c r="A6" s="48" t="s">
        <v>153</v>
      </c>
      <c r="B6" s="48" t="s">
        <v>96</v>
      </c>
      <c r="C6" s="48" t="s">
        <v>190</v>
      </c>
    </row>
    <row r="7" spans="1:3" x14ac:dyDescent="0.3">
      <c r="A7" s="47">
        <v>2200</v>
      </c>
      <c r="B7" s="47" t="s">
        <v>89</v>
      </c>
      <c r="C7" s="47">
        <v>2500</v>
      </c>
    </row>
    <row r="8" spans="1:3" x14ac:dyDescent="0.3">
      <c r="A8" s="47">
        <v>1650</v>
      </c>
      <c r="B8" s="47" t="s">
        <v>87</v>
      </c>
      <c r="C8" s="47">
        <f>Workings!E9</f>
        <v>4140</v>
      </c>
    </row>
    <row r="9" spans="1:3" x14ac:dyDescent="0.3">
      <c r="A9" s="47">
        <v>1500</v>
      </c>
      <c r="B9" s="47" t="s">
        <v>97</v>
      </c>
      <c r="C9" s="47">
        <v>2500</v>
      </c>
    </row>
    <row r="10" spans="1:3" x14ac:dyDescent="0.3">
      <c r="A10" s="47">
        <v>3868</v>
      </c>
      <c r="B10" s="47" t="s">
        <v>100</v>
      </c>
      <c r="C10" s="47">
        <f>3900-32</f>
        <v>3868</v>
      </c>
    </row>
    <row r="11" spans="1:3" x14ac:dyDescent="0.3">
      <c r="A11" s="101">
        <f>SUM(A7:A10)</f>
        <v>9218</v>
      </c>
      <c r="B11" s="48" t="s">
        <v>37</v>
      </c>
      <c r="C11" s="101">
        <f>SUM(C7:C10)</f>
        <v>13008</v>
      </c>
    </row>
    <row r="13" spans="1:3" x14ac:dyDescent="0.3">
      <c r="A13" s="257" t="s">
        <v>208</v>
      </c>
      <c r="B13" s="257"/>
      <c r="C13" s="257"/>
    </row>
    <row r="14" spans="1:3" x14ac:dyDescent="0.3">
      <c r="A14" s="48" t="s">
        <v>153</v>
      </c>
      <c r="B14" s="48" t="s">
        <v>96</v>
      </c>
      <c r="C14" s="48" t="s">
        <v>190</v>
      </c>
    </row>
    <row r="15" spans="1:3" x14ac:dyDescent="0.3">
      <c r="A15" s="47">
        <v>2174</v>
      </c>
      <c r="B15" s="54" t="s">
        <v>170</v>
      </c>
      <c r="C15" s="47">
        <f>3674-1500</f>
        <v>2174</v>
      </c>
    </row>
    <row r="16" spans="1:3" x14ac:dyDescent="0.3">
      <c r="A16" s="47">
        <v>3800</v>
      </c>
      <c r="B16" s="54" t="s">
        <v>171</v>
      </c>
      <c r="C16" s="47">
        <v>3800</v>
      </c>
    </row>
    <row r="17" spans="1:3" x14ac:dyDescent="0.3">
      <c r="A17" s="47">
        <v>622</v>
      </c>
      <c r="B17" s="54" t="s">
        <v>172</v>
      </c>
      <c r="C17" s="47">
        <v>3701</v>
      </c>
    </row>
    <row r="18" spans="1:3" x14ac:dyDescent="0.3">
      <c r="A18" s="47">
        <v>0</v>
      </c>
      <c r="B18" s="54" t="s">
        <v>232</v>
      </c>
      <c r="C18" s="47">
        <v>5880</v>
      </c>
    </row>
    <row r="19" spans="1:3" x14ac:dyDescent="0.3">
      <c r="A19" s="47">
        <v>0</v>
      </c>
      <c r="B19" s="54" t="s">
        <v>215</v>
      </c>
      <c r="C19" s="47">
        <v>20000</v>
      </c>
    </row>
    <row r="20" spans="1:3" x14ac:dyDescent="0.3">
      <c r="A20" s="47">
        <v>0</v>
      </c>
      <c r="B20" s="54" t="s">
        <v>216</v>
      </c>
      <c r="C20" s="47">
        <v>9000</v>
      </c>
    </row>
    <row r="21" spans="1:3" x14ac:dyDescent="0.3">
      <c r="A21" s="47">
        <v>0</v>
      </c>
      <c r="B21" s="54" t="s">
        <v>173</v>
      </c>
      <c r="C21" s="47">
        <v>52890</v>
      </c>
    </row>
    <row r="22" spans="1:3" x14ac:dyDescent="0.3">
      <c r="A22" s="101">
        <f>SUM(A15:A21)</f>
        <v>6596</v>
      </c>
      <c r="B22" s="48" t="s">
        <v>37</v>
      </c>
      <c r="C22" s="101">
        <f>SUM(C15:C21)</f>
        <v>97445</v>
      </c>
    </row>
    <row r="24" spans="1:3" x14ac:dyDescent="0.3">
      <c r="A24" s="101">
        <f>A11+A22</f>
        <v>15814</v>
      </c>
      <c r="B24" s="48" t="s">
        <v>37</v>
      </c>
      <c r="C24" s="101">
        <f>C11+C22</f>
        <v>110453</v>
      </c>
    </row>
  </sheetData>
  <mergeCells count="4">
    <mergeCell ref="A1:C1"/>
    <mergeCell ref="A4:C4"/>
    <mergeCell ref="A3:C3"/>
    <mergeCell ref="A13:C13"/>
  </mergeCells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B1:M45"/>
  <sheetViews>
    <sheetView topLeftCell="A23" zoomScaleNormal="100" workbookViewId="0">
      <selection activeCell="J33" sqref="J33"/>
    </sheetView>
  </sheetViews>
  <sheetFormatPr defaultRowHeight="14.4" x14ac:dyDescent="0.3"/>
  <cols>
    <col min="1" max="1" width="5.44140625" customWidth="1"/>
    <col min="2" max="2" width="5.109375" customWidth="1"/>
    <col min="3" max="3" width="28.33203125" customWidth="1"/>
    <col min="4" max="4" width="11.109375" customWidth="1"/>
    <col min="5" max="5" width="18.109375" style="4" customWidth="1"/>
    <col min="7" max="7" width="5.33203125" bestFit="1" customWidth="1"/>
    <col min="8" max="8" width="10.88671875" bestFit="1" customWidth="1"/>
    <col min="9" max="9" width="12.33203125" bestFit="1" customWidth="1"/>
    <col min="10" max="10" width="12" bestFit="1" customWidth="1"/>
    <col min="11" max="11" width="12.109375" bestFit="1" customWidth="1"/>
    <col min="12" max="12" width="12.109375" customWidth="1"/>
    <col min="13" max="13" width="14.33203125" bestFit="1" customWidth="1"/>
  </cols>
  <sheetData>
    <row r="1" spans="2:5" ht="15.6" x14ac:dyDescent="0.3">
      <c r="B1" s="266" t="s">
        <v>78</v>
      </c>
      <c r="C1" s="267"/>
      <c r="D1" s="267"/>
      <c r="E1" s="267"/>
    </row>
    <row r="2" spans="2:5" ht="16.95" customHeight="1" x14ac:dyDescent="0.3">
      <c r="B2" s="268" t="s">
        <v>186</v>
      </c>
      <c r="C2" s="268"/>
      <c r="D2" s="268"/>
      <c r="E2" s="268"/>
    </row>
    <row r="3" spans="2:5" x14ac:dyDescent="0.3">
      <c r="B3" s="8"/>
      <c r="C3" s="8"/>
      <c r="D3" s="8"/>
      <c r="E3" s="14" t="s">
        <v>51</v>
      </c>
    </row>
    <row r="4" spans="2:5" x14ac:dyDescent="0.3">
      <c r="B4" s="8" t="s">
        <v>71</v>
      </c>
      <c r="D4" s="8"/>
      <c r="E4" s="15">
        <v>3421</v>
      </c>
    </row>
    <row r="5" spans="2:5" x14ac:dyDescent="0.3">
      <c r="B5" s="8"/>
      <c r="D5" s="8"/>
      <c r="E5" s="15"/>
    </row>
    <row r="6" spans="2:5" x14ac:dyDescent="0.3">
      <c r="B6" s="8" t="s">
        <v>72</v>
      </c>
      <c r="C6" s="8" t="s">
        <v>73</v>
      </c>
      <c r="D6" s="8"/>
      <c r="E6" s="15">
        <v>0</v>
      </c>
    </row>
    <row r="7" spans="2:5" x14ac:dyDescent="0.3">
      <c r="B7" s="8"/>
      <c r="C7" s="8"/>
      <c r="D7" s="8"/>
      <c r="E7" s="15"/>
    </row>
    <row r="8" spans="2:5" x14ac:dyDescent="0.3">
      <c r="B8" s="8" t="s">
        <v>75</v>
      </c>
      <c r="C8" s="8" t="s">
        <v>76</v>
      </c>
      <c r="D8" s="8"/>
      <c r="E8" s="15">
        <v>0</v>
      </c>
    </row>
    <row r="9" spans="2:5" x14ac:dyDescent="0.3">
      <c r="B9" s="8"/>
      <c r="C9" s="8"/>
      <c r="D9" s="8"/>
      <c r="E9" s="15"/>
    </row>
    <row r="10" spans="2:5" ht="15" thickBot="1" x14ac:dyDescent="0.35">
      <c r="B10" s="9" t="s">
        <v>77</v>
      </c>
      <c r="C10" s="9"/>
      <c r="D10" s="9"/>
      <c r="E10" s="16">
        <f>E4+E6-E8</f>
        <v>3421</v>
      </c>
    </row>
    <row r="11" spans="2:5" ht="15" thickTop="1" x14ac:dyDescent="0.3"/>
    <row r="12" spans="2:5" x14ac:dyDescent="0.3">
      <c r="B12" s="268" t="s">
        <v>187</v>
      </c>
      <c r="C12" s="268"/>
      <c r="D12" s="268"/>
      <c r="E12" s="268"/>
    </row>
    <row r="13" spans="2:5" x14ac:dyDescent="0.3">
      <c r="B13" s="8"/>
      <c r="C13" s="8"/>
      <c r="D13" s="8"/>
      <c r="E13" s="14" t="s">
        <v>51</v>
      </c>
    </row>
    <row r="14" spans="2:5" x14ac:dyDescent="0.3">
      <c r="B14" s="8" t="s">
        <v>71</v>
      </c>
      <c r="D14" s="8"/>
      <c r="E14" s="15">
        <v>8599.2199999999993</v>
      </c>
    </row>
    <row r="15" spans="2:5" x14ac:dyDescent="0.3">
      <c r="B15" s="8"/>
      <c r="C15" s="8"/>
      <c r="D15" s="8"/>
      <c r="E15" s="15"/>
    </row>
    <row r="16" spans="2:5" x14ac:dyDescent="0.3">
      <c r="B16" s="8" t="s">
        <v>72</v>
      </c>
      <c r="C16" s="8" t="s">
        <v>73</v>
      </c>
      <c r="D16" s="8"/>
      <c r="E16" s="15">
        <v>0</v>
      </c>
    </row>
    <row r="17" spans="2:13" x14ac:dyDescent="0.3">
      <c r="B17" s="8"/>
      <c r="C17" s="8"/>
      <c r="D17" s="8"/>
      <c r="E17" s="15"/>
    </row>
    <row r="18" spans="2:13" x14ac:dyDescent="0.3">
      <c r="B18" s="8" t="s">
        <v>75</v>
      </c>
      <c r="C18" s="8" t="s">
        <v>76</v>
      </c>
      <c r="D18" s="8"/>
      <c r="E18" s="15">
        <v>0</v>
      </c>
    </row>
    <row r="19" spans="2:13" x14ac:dyDescent="0.3">
      <c r="B19" s="8"/>
      <c r="C19" s="8"/>
      <c r="D19" s="8"/>
      <c r="E19" s="15"/>
    </row>
    <row r="20" spans="2:13" ht="15" thickBot="1" x14ac:dyDescent="0.35">
      <c r="B20" s="9" t="s">
        <v>77</v>
      </c>
      <c r="C20" s="9"/>
      <c r="D20" s="9"/>
      <c r="E20" s="16">
        <f>E14+E16-E18</f>
        <v>8599.2199999999993</v>
      </c>
    </row>
    <row r="21" spans="2:13" ht="15" thickTop="1" x14ac:dyDescent="0.3"/>
    <row r="22" spans="2:13" x14ac:dyDescent="0.3">
      <c r="B22" s="268" t="s">
        <v>188</v>
      </c>
      <c r="C22" s="268"/>
      <c r="D22" s="268"/>
      <c r="E22" s="268"/>
      <c r="G22" s="11"/>
      <c r="H22" s="11"/>
      <c r="I22" s="11"/>
      <c r="J22" s="11"/>
      <c r="K22" s="11"/>
      <c r="L22" s="11"/>
      <c r="M22" s="11"/>
    </row>
    <row r="23" spans="2:13" x14ac:dyDescent="0.3">
      <c r="B23" s="8"/>
      <c r="C23" s="8"/>
      <c r="D23" s="8"/>
      <c r="E23" s="14" t="s">
        <v>51</v>
      </c>
      <c r="G23" s="5"/>
      <c r="H23" s="87"/>
      <c r="I23" s="88"/>
      <c r="J23" s="88"/>
      <c r="K23" s="13"/>
      <c r="L23" s="13"/>
      <c r="M23" s="87"/>
    </row>
    <row r="24" spans="2:13" x14ac:dyDescent="0.3">
      <c r="B24" s="8" t="s">
        <v>71</v>
      </c>
      <c r="D24" s="8"/>
      <c r="E24" s="15">
        <f>187952.3-15000</f>
        <v>172952.3</v>
      </c>
      <c r="G24" s="5"/>
      <c r="H24" s="87"/>
      <c r="I24" s="88"/>
      <c r="J24" s="88"/>
      <c r="K24" s="13"/>
      <c r="L24" s="13"/>
      <c r="M24" s="87"/>
    </row>
    <row r="25" spans="2:13" x14ac:dyDescent="0.3">
      <c r="B25" s="8"/>
      <c r="C25" s="8"/>
      <c r="D25" s="8"/>
      <c r="E25" s="15"/>
      <c r="K25" s="17"/>
      <c r="L25" s="17"/>
    </row>
    <row r="26" spans="2:13" ht="14.4" customHeight="1" x14ac:dyDescent="0.3">
      <c r="B26" s="8" t="s">
        <v>72</v>
      </c>
      <c r="C26" s="8" t="s">
        <v>73</v>
      </c>
      <c r="D26" s="8"/>
      <c r="E26" s="15"/>
    </row>
    <row r="27" spans="2:13" x14ac:dyDescent="0.3">
      <c r="B27" s="8"/>
      <c r="C27" s="8" t="s">
        <v>74</v>
      </c>
      <c r="D27" s="8"/>
    </row>
    <row r="28" spans="2:13" x14ac:dyDescent="0.3">
      <c r="B28" s="8"/>
      <c r="C28" s="8"/>
      <c r="D28" s="8"/>
    </row>
    <row r="29" spans="2:13" x14ac:dyDescent="0.3">
      <c r="B29" s="8" t="s">
        <v>98</v>
      </c>
      <c r="C29" s="8" t="s">
        <v>99</v>
      </c>
      <c r="D29" s="8"/>
      <c r="E29" s="4">
        <v>0</v>
      </c>
    </row>
    <row r="30" spans="2:13" x14ac:dyDescent="0.3">
      <c r="B30" s="8"/>
      <c r="C30" t="s">
        <v>219</v>
      </c>
      <c r="D30" s="8"/>
    </row>
    <row r="31" spans="2:13" ht="14.4" customHeight="1" x14ac:dyDescent="0.3">
      <c r="B31" s="8"/>
      <c r="C31" s="8"/>
      <c r="D31" s="8"/>
      <c r="E31" s="15"/>
    </row>
    <row r="32" spans="2:13" x14ac:dyDescent="0.3">
      <c r="B32" s="8" t="s">
        <v>75</v>
      </c>
      <c r="C32" s="8" t="s">
        <v>76</v>
      </c>
      <c r="D32" s="8"/>
      <c r="E32" s="15">
        <v>0</v>
      </c>
    </row>
    <row r="33" spans="2:11" ht="14.4" customHeight="1" x14ac:dyDescent="0.3">
      <c r="B33" s="8"/>
      <c r="C33" s="8" t="s">
        <v>74</v>
      </c>
      <c r="D33" s="8"/>
    </row>
    <row r="34" spans="2:11" ht="15" thickBot="1" x14ac:dyDescent="0.35">
      <c r="B34" s="9" t="s">
        <v>77</v>
      </c>
      <c r="C34" s="9"/>
      <c r="D34" s="9"/>
      <c r="E34" s="16">
        <f>E24-E29-E32</f>
        <v>172952.3</v>
      </c>
      <c r="K34" s="18"/>
    </row>
    <row r="35" spans="2:11" ht="15" thickTop="1" x14ac:dyDescent="0.3"/>
    <row r="36" spans="2:11" ht="18.600000000000001" customHeight="1" x14ac:dyDescent="0.3">
      <c r="B36" s="265" t="s">
        <v>189</v>
      </c>
      <c r="C36" s="265"/>
      <c r="D36" s="265"/>
      <c r="E36" s="265"/>
    </row>
    <row r="37" spans="2:11" x14ac:dyDescent="0.3">
      <c r="B37" s="8"/>
      <c r="C37" s="8"/>
      <c r="D37" s="8"/>
      <c r="E37" s="14" t="s">
        <v>51</v>
      </c>
    </row>
    <row r="38" spans="2:11" x14ac:dyDescent="0.3">
      <c r="B38" s="8" t="s">
        <v>71</v>
      </c>
      <c r="D38" s="8"/>
      <c r="E38" s="4">
        <v>25885.7</v>
      </c>
    </row>
    <row r="39" spans="2:11" x14ac:dyDescent="0.3">
      <c r="B39" s="8"/>
      <c r="C39" s="8"/>
      <c r="D39" s="8"/>
      <c r="E39" s="15"/>
    </row>
    <row r="40" spans="2:11" x14ac:dyDescent="0.3">
      <c r="B40" s="8" t="s">
        <v>72</v>
      </c>
      <c r="C40" s="8" t="s">
        <v>73</v>
      </c>
      <c r="D40" s="8"/>
      <c r="E40" s="15">
        <v>0</v>
      </c>
    </row>
    <row r="41" spans="2:11" x14ac:dyDescent="0.3">
      <c r="B41" s="8"/>
      <c r="C41" s="8"/>
      <c r="D41" s="8"/>
      <c r="E41" s="15"/>
    </row>
    <row r="42" spans="2:11" x14ac:dyDescent="0.3">
      <c r="B42" s="8" t="s">
        <v>75</v>
      </c>
      <c r="C42" s="8" t="s">
        <v>76</v>
      </c>
      <c r="D42" s="8"/>
      <c r="E42" s="15">
        <v>0</v>
      </c>
    </row>
    <row r="43" spans="2:11" x14ac:dyDescent="0.3">
      <c r="B43" s="8"/>
      <c r="C43" s="8"/>
      <c r="D43" s="8"/>
      <c r="E43" s="15"/>
    </row>
    <row r="44" spans="2:11" ht="15" thickBot="1" x14ac:dyDescent="0.35">
      <c r="B44" s="9" t="s">
        <v>77</v>
      </c>
      <c r="C44" s="9"/>
      <c r="D44" s="9"/>
      <c r="E44" s="16">
        <f>E38+E40-E42</f>
        <v>25885.7</v>
      </c>
    </row>
    <row r="45" spans="2:11" ht="15" thickTop="1" x14ac:dyDescent="0.3"/>
  </sheetData>
  <mergeCells count="5">
    <mergeCell ref="B36:E36"/>
    <mergeCell ref="B1:E1"/>
    <mergeCell ref="B2:E2"/>
    <mergeCell ref="B12:E12"/>
    <mergeCell ref="B22:E22"/>
  </mergeCells>
  <pageMargins left="0.7" right="0.7" top="0.75" bottom="0.75" header="0.3" footer="0.3"/>
  <pageSetup paperSize="9" fitToHeight="0"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15"/>
  <sheetViews>
    <sheetView workbookViewId="0">
      <selection activeCell="D14" sqref="D14"/>
    </sheetView>
  </sheetViews>
  <sheetFormatPr defaultRowHeight="14.4" x14ac:dyDescent="0.3"/>
  <cols>
    <col min="1" max="1" width="4.109375" customWidth="1"/>
    <col min="2" max="3" width="12.44140625" customWidth="1"/>
    <col min="4" max="4" width="7.44140625" customWidth="1"/>
    <col min="6" max="6" width="9.33203125" bestFit="1" customWidth="1"/>
    <col min="7" max="7" width="25.44140625" bestFit="1" customWidth="1"/>
    <col min="8" max="10" width="10.33203125" bestFit="1" customWidth="1"/>
  </cols>
  <sheetData>
    <row r="1" spans="1:11" x14ac:dyDescent="0.3">
      <c r="A1" t="s">
        <v>90</v>
      </c>
    </row>
    <row r="3" spans="1:11" x14ac:dyDescent="0.3">
      <c r="A3">
        <v>1</v>
      </c>
      <c r="B3" s="6" t="s">
        <v>91</v>
      </c>
      <c r="C3" s="6"/>
      <c r="D3" s="6"/>
      <c r="E3" s="6"/>
      <c r="F3" s="6"/>
    </row>
    <row r="4" spans="1:11" x14ac:dyDescent="0.3">
      <c r="B4" s="45">
        <v>45724</v>
      </c>
      <c r="C4" s="45">
        <v>45817</v>
      </c>
      <c r="D4" s="84">
        <f>+C4-B4</f>
        <v>93</v>
      </c>
      <c r="E4" s="6">
        <v>14120</v>
      </c>
      <c r="F4" s="6"/>
      <c r="H4" s="12"/>
      <c r="I4" s="12"/>
      <c r="J4" s="4"/>
    </row>
    <row r="5" spans="1:11" x14ac:dyDescent="0.3">
      <c r="B5" s="45">
        <f>C4</f>
        <v>45817</v>
      </c>
      <c r="C5" s="45">
        <v>45909</v>
      </c>
      <c r="D5" s="84">
        <f t="shared" ref="D5:D7" si="0">+C5-B5</f>
        <v>92</v>
      </c>
      <c r="E5" s="6">
        <v>15020</v>
      </c>
      <c r="F5" s="83"/>
      <c r="H5" s="12"/>
      <c r="I5" s="12"/>
      <c r="J5" s="4"/>
      <c r="K5" s="38"/>
    </row>
    <row r="6" spans="1:11" x14ac:dyDescent="0.3">
      <c r="B6" s="45">
        <f>+C5</f>
        <v>45909</v>
      </c>
      <c r="C6" s="45">
        <v>46000</v>
      </c>
      <c r="D6" s="84">
        <f t="shared" si="0"/>
        <v>91</v>
      </c>
      <c r="E6" s="6">
        <v>15252</v>
      </c>
      <c r="F6" s="83"/>
      <c r="I6" s="12"/>
      <c r="J6" s="4"/>
      <c r="K6" s="38"/>
    </row>
    <row r="7" spans="1:11" x14ac:dyDescent="0.3">
      <c r="B7" s="45">
        <f>+C6</f>
        <v>46000</v>
      </c>
      <c r="C7" s="45">
        <v>46090</v>
      </c>
      <c r="D7" s="84">
        <f t="shared" si="0"/>
        <v>90</v>
      </c>
      <c r="E7" s="6">
        <v>21493</v>
      </c>
      <c r="F7" s="83"/>
      <c r="I7" s="12"/>
      <c r="J7" s="4"/>
      <c r="K7" s="38"/>
    </row>
    <row r="8" spans="1:11" x14ac:dyDescent="0.3">
      <c r="B8" s="45"/>
      <c r="C8" s="45"/>
      <c r="D8" s="84">
        <f>SUM(D4:D7)</f>
        <v>366</v>
      </c>
      <c r="E8" s="6">
        <f>SUM(E4:E7)</f>
        <v>65885</v>
      </c>
      <c r="F8" s="6"/>
      <c r="I8" s="12"/>
      <c r="J8" s="4"/>
      <c r="K8" s="38"/>
    </row>
    <row r="9" spans="1:11" x14ac:dyDescent="0.3">
      <c r="B9" s="45">
        <f>+C7</f>
        <v>46090</v>
      </c>
      <c r="C9" s="45">
        <v>46112</v>
      </c>
      <c r="D9" s="84">
        <f>+C9-B9+1</f>
        <v>23</v>
      </c>
      <c r="E9" s="84">
        <f>ROUND(D9*E8/D8,0)</f>
        <v>4140</v>
      </c>
      <c r="F9" s="85" t="s">
        <v>163</v>
      </c>
      <c r="I9" s="12"/>
      <c r="J9" s="4"/>
      <c r="K9" s="38"/>
    </row>
    <row r="10" spans="1:11" x14ac:dyDescent="0.3">
      <c r="I10" s="12"/>
      <c r="J10" s="4"/>
      <c r="K10" s="38"/>
    </row>
    <row r="11" spans="1:11" x14ac:dyDescent="0.3">
      <c r="I11" s="12"/>
      <c r="J11" s="4"/>
      <c r="K11" s="38"/>
    </row>
    <row r="12" spans="1:11" x14ac:dyDescent="0.3">
      <c r="B12" s="12"/>
      <c r="C12" s="12"/>
      <c r="D12" s="4"/>
      <c r="I12" s="12"/>
      <c r="J12" s="4"/>
      <c r="K12" s="38"/>
    </row>
    <row r="13" spans="1:11" x14ac:dyDescent="0.3">
      <c r="B13" s="12"/>
      <c r="C13" s="12"/>
      <c r="D13" s="4"/>
      <c r="I13" s="12"/>
      <c r="J13" s="4"/>
      <c r="K13" s="38"/>
    </row>
    <row r="14" spans="1:11" x14ac:dyDescent="0.3">
      <c r="B14" s="12"/>
      <c r="C14" s="12"/>
      <c r="D14" s="4"/>
      <c r="I14" s="12"/>
      <c r="J14" s="4"/>
      <c r="K14" s="38"/>
    </row>
    <row r="15" spans="1:11" x14ac:dyDescent="0.3">
      <c r="I15" s="12"/>
      <c r="J15" s="4"/>
      <c r="K15" s="38"/>
    </row>
  </sheetData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B55CEA-4601-4FB9-BB37-98B5D1C15BF9}">
  <dimension ref="B1:B9"/>
  <sheetViews>
    <sheetView workbookViewId="0">
      <selection activeCell="B14" sqref="B14"/>
    </sheetView>
  </sheetViews>
  <sheetFormatPr defaultRowHeight="14.4" x14ac:dyDescent="0.3"/>
  <cols>
    <col min="2" max="2" width="126" bestFit="1" customWidth="1"/>
  </cols>
  <sheetData>
    <row r="1" spans="2:2" x14ac:dyDescent="0.3">
      <c r="B1" t="s">
        <v>224</v>
      </c>
    </row>
    <row r="2" spans="2:2" x14ac:dyDescent="0.3">
      <c r="B2" t="s">
        <v>233</v>
      </c>
    </row>
    <row r="3" spans="2:2" x14ac:dyDescent="0.3">
      <c r="B3" t="s">
        <v>225</v>
      </c>
    </row>
    <row r="4" spans="2:2" x14ac:dyDescent="0.3">
      <c r="B4" t="s">
        <v>226</v>
      </c>
    </row>
    <row r="5" spans="2:2" x14ac:dyDescent="0.3">
      <c r="B5" t="s">
        <v>234</v>
      </c>
    </row>
    <row r="6" spans="2:2" x14ac:dyDescent="0.3">
      <c r="B6" t="s">
        <v>235</v>
      </c>
    </row>
    <row r="7" spans="2:2" x14ac:dyDescent="0.3">
      <c r="B7" t="s">
        <v>236</v>
      </c>
    </row>
    <row r="8" spans="2:2" x14ac:dyDescent="0.3">
      <c r="B8" t="s">
        <v>237</v>
      </c>
    </row>
    <row r="9" spans="2:2" x14ac:dyDescent="0.3">
      <c r="B9" t="s">
        <v>238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6</vt:i4>
      </vt:variant>
    </vt:vector>
  </HeadingPairs>
  <TitlesOfParts>
    <vt:vector size="15" baseType="lpstr">
      <vt:lpstr>BS</vt:lpstr>
      <vt:lpstr>I&amp;E</vt:lpstr>
      <vt:lpstr>Sch I - FD</vt:lpstr>
      <vt:lpstr>Sch II &amp; III - Mem. Rec &amp; Adv</vt:lpstr>
      <vt:lpstr>Fixed assest</vt:lpstr>
      <vt:lpstr>Sch IV &amp; V  - Adv &amp; Prov</vt:lpstr>
      <vt:lpstr>Bank Reco</vt:lpstr>
      <vt:lpstr>Workings</vt:lpstr>
      <vt:lpstr>Queries</vt:lpstr>
      <vt:lpstr>'Bank Reco'!Print_Area</vt:lpstr>
      <vt:lpstr>BS!Print_Area</vt:lpstr>
      <vt:lpstr>'Fixed assest'!Print_Area</vt:lpstr>
      <vt:lpstr>'I&amp;E'!Print_Area</vt:lpstr>
      <vt:lpstr>'Sch I - FD'!Print_Area</vt:lpstr>
      <vt:lpstr>'Sch II &amp; III - Mem. Rec &amp; Adv'!Print_Area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bharatboridkar@gmail.com</cp:lastModifiedBy>
  <cp:lastPrinted>2026-08-16T09:41:58Z</cp:lastPrinted>
  <dcterms:created xsi:type="dcterms:W3CDTF">2020-12-08T07:45:18Z</dcterms:created>
  <dcterms:modified xsi:type="dcterms:W3CDTF">2026-08-16T09:42:51Z</dcterms:modified>
</cp:coreProperties>
</file>