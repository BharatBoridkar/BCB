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anjit\Provisional Financials\FY 2025-26\"/>
    </mc:Choice>
  </mc:AlternateContent>
  <xr:revisionPtr revIDLastSave="0" documentId="13_ncr:1_{EDFE05FE-9469-4BA7-B848-2DAD4B711B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S" sheetId="1" r:id="rId1"/>
    <sheet name="IE" sheetId="8" r:id="rId2"/>
    <sheet name="Sch I" sheetId="4" r:id="rId3"/>
    <sheet name="Sch II" sheetId="7" r:id="rId4"/>
    <sheet name="Sch III, IV" sheetId="6" r:id="rId5"/>
    <sheet name="Sch V" sheetId="10" r:id="rId6"/>
    <sheet name="Sch VI" sheetId="5" r:id="rId7"/>
    <sheet name="Sch VII" sheetId="12" r:id="rId8"/>
    <sheet name="BRS" sheetId="2" r:id="rId9"/>
    <sheet name="Sheet1" sheetId="11" r:id="rId10"/>
  </sheets>
  <definedNames>
    <definedName name="_xlnm.Print_Area" localSheetId="0">BS!$A$1:$H$58</definedName>
    <definedName name="_xlnm.Print_Area" localSheetId="1">IE!$A$1:$H$68</definedName>
    <definedName name="_xlnm.Print_Area" localSheetId="2">'Sch I'!$A$1:$E$38</definedName>
    <definedName name="_xlnm.Print_Area" localSheetId="3">'Sch II'!$A$1:$L$24</definedName>
    <definedName name="_xlnm.Print_Area" localSheetId="4">'Sch III, IV'!$A$1:$E$43</definedName>
    <definedName name="_xlnm.Print_Area" localSheetId="5">'Sch V'!$A$1:$D$33</definedName>
    <definedName name="_xlnm.Print_Area" localSheetId="6">'Sch VI'!$A$1:$H$19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8" l="1"/>
  <c r="C21" i="8"/>
  <c r="C18" i="8"/>
  <c r="C19" i="8"/>
  <c r="C22" i="8"/>
  <c r="E31" i="6"/>
  <c r="H35" i="8"/>
  <c r="G13" i="1"/>
  <c r="G28" i="8"/>
  <c r="G12" i="1"/>
  <c r="E16" i="4" l="1"/>
  <c r="G11" i="1"/>
  <c r="J12" i="2"/>
  <c r="D13" i="2" s="1"/>
  <c r="D14" i="2" s="1"/>
  <c r="I12" i="2"/>
  <c r="A11" i="2"/>
  <c r="A14" i="2" s="1"/>
  <c r="D10" i="2"/>
  <c r="B10" i="2"/>
  <c r="A10" i="2"/>
  <c r="J6" i="2"/>
  <c r="I6" i="2"/>
  <c r="D6" i="2" s="1"/>
  <c r="D7" i="2" s="1"/>
  <c r="A6" i="2"/>
  <c r="A7" i="2" s="1"/>
  <c r="A4" i="2"/>
  <c r="C43" i="8" l="1"/>
  <c r="G12" i="7"/>
  <c r="N12" i="7"/>
  <c r="G11" i="7"/>
  <c r="N11" i="7"/>
  <c r="G10" i="7"/>
  <c r="N10" i="7"/>
  <c r="G21" i="7"/>
  <c r="N21" i="7"/>
  <c r="G20" i="7"/>
  <c r="N20" i="7"/>
  <c r="G19" i="7"/>
  <c r="N19" i="7"/>
  <c r="G9" i="7"/>
  <c r="N9" i="7"/>
  <c r="G17" i="7"/>
  <c r="O17" i="7"/>
  <c r="N17" i="7"/>
  <c r="G16" i="7"/>
  <c r="O16" i="7"/>
  <c r="N16" i="7"/>
  <c r="G15" i="7"/>
  <c r="O15" i="7"/>
  <c r="N15" i="7"/>
  <c r="O18" i="7"/>
  <c r="N18" i="7"/>
  <c r="G18" i="7"/>
  <c r="G22" i="7" s="1"/>
  <c r="O8" i="7"/>
  <c r="N8" i="7"/>
  <c r="G8" i="7"/>
  <c r="O22" i="7"/>
  <c r="N22" i="7"/>
  <c r="O13" i="7"/>
  <c r="N13" i="7"/>
  <c r="C40" i="10"/>
  <c r="G32" i="1" s="1"/>
  <c r="H42" i="1"/>
  <c r="H13" i="1"/>
  <c r="M9" i="11"/>
  <c r="K12" i="11"/>
  <c r="K11" i="11"/>
  <c r="K10" i="11"/>
  <c r="K9" i="11"/>
  <c r="K8" i="11"/>
  <c r="K7" i="11"/>
  <c r="M7" i="11"/>
  <c r="K5" i="11"/>
  <c r="K13" i="7"/>
  <c r="H12" i="7"/>
  <c r="F13" i="7"/>
  <c r="D13" i="7"/>
  <c r="C24" i="10"/>
  <c r="C30" i="10"/>
  <c r="C47" i="8"/>
  <c r="G25" i="8"/>
  <c r="G21" i="8"/>
  <c r="E26" i="4"/>
  <c r="B10" i="4"/>
  <c r="H21" i="7"/>
  <c r="H20" i="7"/>
  <c r="H19" i="7"/>
  <c r="H18" i="7"/>
  <c r="H17" i="7"/>
  <c r="H16" i="7"/>
  <c r="H15" i="7"/>
  <c r="H11" i="7"/>
  <c r="D32" i="11"/>
  <c r="B29" i="11"/>
  <c r="C29" i="11" s="1"/>
  <c r="C28" i="11"/>
  <c r="B26" i="11"/>
  <c r="C26" i="11" s="1"/>
  <c r="C25" i="11"/>
  <c r="B22" i="11"/>
  <c r="C17" i="11"/>
  <c r="C14" i="11"/>
  <c r="C11" i="11"/>
  <c r="B6" i="11"/>
  <c r="A6" i="11"/>
  <c r="F22" i="7"/>
  <c r="G13" i="7" l="1"/>
  <c r="G23" i="7" s="1"/>
  <c r="H8" i="7"/>
  <c r="O23" i="7"/>
  <c r="N23" i="7"/>
  <c r="D29" i="11"/>
  <c r="D26" i="11"/>
  <c r="D22" i="11"/>
  <c r="F23" i="7"/>
  <c r="C32" i="11"/>
  <c r="A5" i="11"/>
  <c r="A4" i="11"/>
  <c r="E42" i="6"/>
  <c r="D23" i="1" s="1"/>
  <c r="C10" i="12"/>
  <c r="K22" i="7" l="1"/>
  <c r="K23" i="7" s="1"/>
  <c r="D22" i="7"/>
  <c r="D23" i="7" l="1"/>
  <c r="G19" i="1" s="1"/>
  <c r="B35" i="4"/>
  <c r="B12" i="4" l="1"/>
  <c r="E34" i="6" l="1"/>
  <c r="E17" i="5"/>
  <c r="F16" i="5"/>
  <c r="G16" i="5" s="1"/>
  <c r="D17" i="5"/>
  <c r="C17" i="5"/>
  <c r="C8" i="10"/>
  <c r="B29" i="4"/>
  <c r="H16" i="5" l="1"/>
  <c r="E43" i="1" l="1"/>
  <c r="B23" i="4"/>
  <c r="E22" i="4" s="1"/>
  <c r="E23" i="4" s="1"/>
  <c r="E8" i="4"/>
  <c r="H8" i="1"/>
  <c r="E8" i="1"/>
  <c r="H8" i="8"/>
  <c r="E8" i="8"/>
  <c r="A64" i="8"/>
  <c r="E35" i="4" l="1"/>
  <c r="D22" i="8"/>
  <c r="H30" i="8"/>
  <c r="E10" i="7"/>
  <c r="B33" i="11"/>
  <c r="C33" i="11" s="1"/>
  <c r="B18" i="11"/>
  <c r="C18" i="11" s="1"/>
  <c r="B15" i="11"/>
  <c r="C15" i="11" s="1"/>
  <c r="B12" i="11"/>
  <c r="C12" i="11" s="1"/>
  <c r="D6" i="11"/>
  <c r="A7" i="11"/>
  <c r="C7" i="11" s="1"/>
  <c r="E6" i="11"/>
  <c r="C4" i="11"/>
  <c r="C5" i="11"/>
  <c r="C3" i="11"/>
  <c r="H9" i="7" l="1"/>
  <c r="E13" i="7"/>
  <c r="H10" i="7"/>
  <c r="D12" i="11"/>
  <c r="C6" i="11"/>
  <c r="E7" i="11" s="1"/>
  <c r="D15" i="11"/>
  <c r="E22" i="7"/>
  <c r="H22" i="7"/>
  <c r="D33" i="11"/>
  <c r="D18" i="11"/>
  <c r="H13" i="7" l="1"/>
  <c r="H23" i="7"/>
  <c r="D7" i="11"/>
  <c r="F7" i="11" s="1"/>
  <c r="E23" i="7"/>
  <c r="G20" i="1" s="1"/>
  <c r="H23" i="1"/>
  <c r="A61" i="8"/>
  <c r="A60" i="8"/>
  <c r="D35" i="4"/>
  <c r="D29" i="4"/>
  <c r="E10" i="4"/>
  <c r="E12" i="4" s="1"/>
  <c r="D10" i="4"/>
  <c r="D10" i="1"/>
  <c r="A10" i="1"/>
  <c r="G26" i="1" l="1"/>
  <c r="H25" i="8"/>
  <c r="C20" i="10" l="1"/>
  <c r="E20" i="6"/>
  <c r="D21" i="1" s="1"/>
  <c r="D13" i="8"/>
  <c r="D30" i="8"/>
  <c r="H32" i="1"/>
  <c r="F8" i="5"/>
  <c r="F9" i="5"/>
  <c r="F10" i="5"/>
  <c r="F11" i="5"/>
  <c r="F12" i="5"/>
  <c r="F13" i="5"/>
  <c r="F14" i="5"/>
  <c r="F15" i="5"/>
  <c r="F7" i="5"/>
  <c r="F17" i="5" l="1"/>
  <c r="G8" i="5"/>
  <c r="H8" i="5"/>
  <c r="G13" i="5"/>
  <c r="H13" i="5"/>
  <c r="G12" i="5"/>
  <c r="H12" i="5" s="1"/>
  <c r="G9" i="5"/>
  <c r="H9" i="5"/>
  <c r="G7" i="5"/>
  <c r="G15" i="5"/>
  <c r="H15" i="5" s="1"/>
  <c r="G11" i="5"/>
  <c r="H11" i="5" s="1"/>
  <c r="G14" i="5"/>
  <c r="H14" i="5" s="1"/>
  <c r="G10" i="5"/>
  <c r="H10" i="5" s="1"/>
  <c r="C32" i="10"/>
  <c r="D19" i="1" s="1"/>
  <c r="H27" i="1"/>
  <c r="H7" i="5" l="1"/>
  <c r="G17" i="5"/>
  <c r="D17" i="4"/>
  <c r="D19" i="4" s="1"/>
  <c r="B19" i="4"/>
  <c r="H20" i="1"/>
  <c r="E29" i="4"/>
  <c r="D12" i="4"/>
  <c r="D13" i="1"/>
  <c r="H17" i="5" l="1"/>
  <c r="H35" i="1" s="1"/>
  <c r="E15" i="4"/>
  <c r="B37" i="4"/>
  <c r="A52" i="8"/>
  <c r="D48" i="8"/>
  <c r="D37" i="4"/>
  <c r="E37" i="8" l="1"/>
  <c r="A27" i="1" s="1"/>
  <c r="C26" i="1" s="1"/>
  <c r="E52" i="8" l="1"/>
  <c r="A53" i="8" s="1"/>
  <c r="D52" i="8"/>
  <c r="A43" i="1" l="1"/>
  <c r="A44" i="1" l="1"/>
  <c r="E44" i="1"/>
  <c r="H52" i="8"/>
  <c r="H43" i="1"/>
  <c r="H53" i="8" l="1"/>
  <c r="D50" i="8"/>
  <c r="E17" i="4" s="1"/>
  <c r="E19" i="4" s="1"/>
  <c r="E37" i="4" s="1"/>
  <c r="D16" i="1" s="1"/>
  <c r="D51" i="8" l="1"/>
  <c r="C27" i="1" s="1"/>
  <c r="D27" i="1" s="1"/>
  <c r="D43" i="1" s="1"/>
  <c r="H44" i="1" s="1"/>
</calcChain>
</file>

<file path=xl/sharedStrings.xml><?xml version="1.0" encoding="utf-8"?>
<sst xmlns="http://schemas.openxmlformats.org/spreadsheetml/2006/main" count="438" uniqueCount="328">
  <si>
    <t>FORM N</t>
  </si>
  <si>
    <t>[See Rule 62(1) of the MCS Rules 1961]</t>
  </si>
  <si>
    <t>(Reg. MUM-2/WL/HSG/(TC)/8845/2002-03 Dt. 14.07.2003)</t>
  </si>
  <si>
    <t>NIKITA CO-OPERATIVE HOUSING SOCIETY LTD</t>
  </si>
  <si>
    <t>LIABILITIES</t>
  </si>
  <si>
    <t/>
  </si>
  <si>
    <t>RESERVE FUNDS AND OTHER FUNDS</t>
  </si>
  <si>
    <t>(Refer Schedule - I)</t>
  </si>
  <si>
    <t>State Bank of India</t>
  </si>
  <si>
    <t>NKGSB Co-op Bank</t>
  </si>
  <si>
    <t>MDCC Bank</t>
  </si>
  <si>
    <t>Closing balance as per System</t>
  </si>
  <si>
    <t>Closing balance as per Bank Statement</t>
  </si>
  <si>
    <t>Particulars</t>
  </si>
  <si>
    <t>Cash in Hand</t>
  </si>
  <si>
    <t>Add:</t>
  </si>
  <si>
    <t>NIKITA CHS LTD</t>
  </si>
  <si>
    <t>Sr.</t>
  </si>
  <si>
    <t>Opening balance</t>
  </si>
  <si>
    <t>31.03.2022</t>
  </si>
  <si>
    <t>Add: Members contribution for the year</t>
  </si>
  <si>
    <t>Add: Interest earned on fixed deposits</t>
  </si>
  <si>
    <t>Fixed Deposits (Refer Schedule - II)</t>
  </si>
  <si>
    <t>FDR Account No.</t>
  </si>
  <si>
    <t>Date of Deposit</t>
  </si>
  <si>
    <t>Principal Amt.</t>
  </si>
  <si>
    <t>Total Amt Invested</t>
  </si>
  <si>
    <t>Date of Maturity</t>
  </si>
  <si>
    <t>Maturity Amt</t>
  </si>
  <si>
    <t>Rate of Int</t>
  </si>
  <si>
    <t>NIKITA Car Parking CR</t>
  </si>
  <si>
    <t>Deposit with MSDCL</t>
  </si>
  <si>
    <t>Election Deposit</t>
  </si>
  <si>
    <t>Prepaid Lift AMC</t>
  </si>
  <si>
    <t>(Refer Schedule - V)</t>
  </si>
  <si>
    <t>Rate          %</t>
  </si>
  <si>
    <t>Depreciation for the year</t>
  </si>
  <si>
    <t>Total</t>
  </si>
  <si>
    <t>CCTV Camera</t>
  </si>
  <si>
    <t>Chair</t>
  </si>
  <si>
    <t>Electrical Installations</t>
  </si>
  <si>
    <t>Furniture and Fixture</t>
  </si>
  <si>
    <t>Lift</t>
  </si>
  <si>
    <t>Pump Control Sensor</t>
  </si>
  <si>
    <t>Main Gate Shade</t>
  </si>
  <si>
    <t>Stabilizer</t>
  </si>
  <si>
    <t>Water Pump</t>
  </si>
  <si>
    <t>(Refer Schedule - VI)</t>
  </si>
  <si>
    <t>EXPENDITURE</t>
  </si>
  <si>
    <t>INCOME</t>
  </si>
  <si>
    <t>Property Tax</t>
  </si>
  <si>
    <t>Water Charges</t>
  </si>
  <si>
    <t>Water Expense</t>
  </si>
  <si>
    <t>Common Area Electricity Expense</t>
  </si>
  <si>
    <t>By Member's Contribution Towards:</t>
  </si>
  <si>
    <t>Administrative Charges</t>
  </si>
  <si>
    <t>Common Electricity Charges</t>
  </si>
  <si>
    <t>Employee Cost</t>
  </si>
  <si>
    <t>Lift Maintenance Charges</t>
  </si>
  <si>
    <t>Pest Control Charges</t>
  </si>
  <si>
    <t>Security Service Charges</t>
  </si>
  <si>
    <t>Insurance Premium</t>
  </si>
  <si>
    <t>Vehicle Washing Charges</t>
  </si>
  <si>
    <t>Legal &amp; Accounting Charges</t>
  </si>
  <si>
    <t>Non-Occupancy Charges</t>
  </si>
  <si>
    <t>Penalty</t>
  </si>
  <si>
    <t>Visitior Car Parking Charges</t>
  </si>
  <si>
    <t>Annual Open Parking Charges</t>
  </si>
  <si>
    <t>Late Payment Charges</t>
  </si>
  <si>
    <t>By Interest Income:</t>
  </si>
  <si>
    <t>Interest Income - Savings Bank</t>
  </si>
  <si>
    <t>Interest Income - Fixed Deposit</t>
  </si>
  <si>
    <t>By Other Income:</t>
  </si>
  <si>
    <t>Security Expenses</t>
  </si>
  <si>
    <t>Housekeeping Expenses</t>
  </si>
  <si>
    <t>Audit Fees</t>
  </si>
  <si>
    <t>Software Subscription Expenses</t>
  </si>
  <si>
    <t>Accounting Charges</t>
  </si>
  <si>
    <t>Printing and Stationary</t>
  </si>
  <si>
    <t>Meeting Expenses</t>
  </si>
  <si>
    <t>Conveyance Charges</t>
  </si>
  <si>
    <t>Legal Fees</t>
  </si>
  <si>
    <t>Professional Fees</t>
  </si>
  <si>
    <t>Bank Charges</t>
  </si>
  <si>
    <t>Lift AMC/Repair and Maintenance</t>
  </si>
  <si>
    <t>Pest Control Expenses</t>
  </si>
  <si>
    <t>Electrical Repair Maintenance</t>
  </si>
  <si>
    <t>Other Repair Maintenance</t>
  </si>
  <si>
    <t>CCTV Repair and Maintenance</t>
  </si>
  <si>
    <t>Water System Repair and Maintenace</t>
  </si>
  <si>
    <t>Festival Expenses</t>
  </si>
  <si>
    <t>Add: 25% Surplus trf from I&amp;E Account</t>
  </si>
  <si>
    <t>Prepaid CCTV AMC</t>
  </si>
  <si>
    <t>Prepaid Insurance Expense</t>
  </si>
  <si>
    <t>Sl.No</t>
  </si>
  <si>
    <t>Block</t>
  </si>
  <si>
    <t>Flat</t>
  </si>
  <si>
    <t>A</t>
  </si>
  <si>
    <t>Mr. Ashok Karan John</t>
  </si>
  <si>
    <t>Mr. Asit Das &amp; Mrs. Lopamudra Pattnaik</t>
  </si>
  <si>
    <t>B</t>
  </si>
  <si>
    <t>Mr. Mohammed Iqbal Jainul Khan</t>
  </si>
  <si>
    <t>Mrs. Saba Q. Mukaddam &amp; Dr. Qayum I. Mukaddam</t>
  </si>
  <si>
    <t>C</t>
  </si>
  <si>
    <t>Mr. Gopakumar V. R. &amp; Mrs. Sindhu G. Nair</t>
  </si>
  <si>
    <t>Mr. Ashok K. John &amp; Mrs. Anne John</t>
  </si>
  <si>
    <t>Unit</t>
  </si>
  <si>
    <t>Receivable Amount</t>
  </si>
  <si>
    <t>Mr. Anand Anthony Pereira &amp; Mrs. Sabita Anand Pereira</t>
  </si>
  <si>
    <t>Mr. James Aiyinikhal Raphael</t>
  </si>
  <si>
    <t>Mr. Chandrakant Hanumant Pawar &amp; Mrs. Vaishali C. Pawar</t>
  </si>
  <si>
    <t>Vendor Details</t>
  </si>
  <si>
    <t>Remarks</t>
  </si>
  <si>
    <t>Other Current Liabilities</t>
  </si>
  <si>
    <t>Retention Amount</t>
  </si>
  <si>
    <t>Education &amp; Training Fund</t>
  </si>
  <si>
    <t>TDS Payable</t>
  </si>
  <si>
    <t>Treasurer Imprest - Inderjit Khurana</t>
  </si>
  <si>
    <t>Provisions</t>
  </si>
  <si>
    <t>Pest Control</t>
  </si>
  <si>
    <t>Nikita Property Society Office</t>
  </si>
  <si>
    <t>Less: trf to Sinking Fund</t>
  </si>
  <si>
    <t>ASSETS</t>
  </si>
  <si>
    <t>Place: Mumbai</t>
  </si>
  <si>
    <t>Federation Subscription</t>
  </si>
  <si>
    <t>Income Tax Expenses</t>
  </si>
  <si>
    <t>Less: Major Repair Expenses incurred</t>
  </si>
  <si>
    <t>(Sinking Fund)</t>
  </si>
  <si>
    <t>Postage</t>
  </si>
  <si>
    <t>For FY 2022-23</t>
  </si>
  <si>
    <t>Swapnil Sarfare</t>
  </si>
  <si>
    <t>Mrs. Chandrasheela Ravindra Mishra</t>
  </si>
  <si>
    <t>1 Share of Mumbai District Federation</t>
  </si>
  <si>
    <t>21.02.2026</t>
  </si>
  <si>
    <t>Bank</t>
  </si>
  <si>
    <t>NKSGB</t>
  </si>
  <si>
    <t>SBI</t>
  </si>
  <si>
    <t>Chq # 018877 Deposited Dt 28.05.2021 - Member unknown</t>
  </si>
  <si>
    <t>21 MDCC Shares</t>
  </si>
  <si>
    <t>Posting</t>
  </si>
  <si>
    <t>Vendor</t>
  </si>
  <si>
    <t>Instr No.</t>
  </si>
  <si>
    <t>Credit Values</t>
  </si>
  <si>
    <t>Clearance Dt</t>
  </si>
  <si>
    <t>As per my report of even date</t>
  </si>
  <si>
    <t>For NIKITA  CO-OPERATIVE  HOUSING  SOCIETY  LTD.</t>
  </si>
  <si>
    <t>Chairperson                          Hon. Secretary                            Hon. Treasurer</t>
  </si>
  <si>
    <t>(Amt. in Rs.)</t>
  </si>
  <si>
    <t>Depreciation on Fixed Assets</t>
  </si>
  <si>
    <t>To Property Related Expenditure:</t>
  </si>
  <si>
    <t>To Repair and Maintenance Expenses:</t>
  </si>
  <si>
    <t>To Service Charges:</t>
  </si>
  <si>
    <t>To Office Expenses:</t>
  </si>
  <si>
    <t>Op. Balance as per Last year</t>
  </si>
  <si>
    <t>Accrued Interest on FDRs with Bank</t>
  </si>
  <si>
    <t>AUTHORISED SHARE CAPITAL</t>
  </si>
  <si>
    <t>( 12,000 shares of ₹50 each)</t>
  </si>
  <si>
    <t>Issued, Subscribed and Paid-Up Share Capital :</t>
  </si>
  <si>
    <t xml:space="preserve"> ( 580 shares of ₹50 each )</t>
  </si>
  <si>
    <t>NIKITA CO-OP. HOUSING SOCIETY LIMITED</t>
  </si>
  <si>
    <t>Schedule I</t>
  </si>
  <si>
    <t>Schedule II</t>
  </si>
  <si>
    <t>Schedule - III</t>
  </si>
  <si>
    <t>Advance Amount (Rs.)</t>
  </si>
  <si>
    <t xml:space="preserve">Schedule IV </t>
  </si>
  <si>
    <t>Schedule V</t>
  </si>
  <si>
    <t>Amt (Rs.)</t>
  </si>
  <si>
    <t>Schedule VI</t>
  </si>
  <si>
    <t>Accd Int FY 23-24</t>
  </si>
  <si>
    <t>Provision for Water Charges Calculations</t>
  </si>
  <si>
    <t>LX@0014146</t>
  </si>
  <si>
    <t>LX@0014158</t>
  </si>
  <si>
    <t>Prepaid Lift AMC Calculations:</t>
  </si>
  <si>
    <t>Prepaid</t>
  </si>
  <si>
    <t>Prepaid Insurance Calculations:</t>
  </si>
  <si>
    <t>Water Tank Cleaning Expenses</t>
  </si>
  <si>
    <t>31.03.2024</t>
  </si>
  <si>
    <t>For Mar-2024</t>
  </si>
  <si>
    <t>For 29.12.2022 to 31.03.2024</t>
  </si>
  <si>
    <t>BMC Water Charges</t>
  </si>
  <si>
    <t>Nilesh Kamat</t>
  </si>
  <si>
    <t>Income Tax Provision</t>
  </si>
  <si>
    <t>Mr. Kedar M. Bobde &amp; Mrs. Rucha K. Bobde</t>
  </si>
  <si>
    <t>Fogging Machine</t>
  </si>
  <si>
    <t>Advance with Savita Gagat</t>
  </si>
  <si>
    <t>Less: Excess of Expense over Income</t>
  </si>
  <si>
    <t>Federation Subscription Payable</t>
  </si>
  <si>
    <t>27.03.2024</t>
  </si>
  <si>
    <t>27.02.2027</t>
  </si>
  <si>
    <t>Schedule VII</t>
  </si>
  <si>
    <t>Flat B-101, B-201, B-502 bad debts written off</t>
  </si>
  <si>
    <t>Bhandary Liability &amp; Retention written back</t>
  </si>
  <si>
    <t>Lift AMC excess created in earlier periods written back</t>
  </si>
  <si>
    <t>Chairperson                         Hon. Secretary                   Hon. Treasurer</t>
  </si>
  <si>
    <t>NIKITA CO-OPERATIVE HOUSING SOCIETY LTD.</t>
  </si>
  <si>
    <t>(Lift Replacement Fund)</t>
  </si>
  <si>
    <t>Grand Total ( A + B )</t>
  </si>
  <si>
    <t>Name of the Member</t>
  </si>
  <si>
    <t xml:space="preserve">                                                                       -  Member unknown (old Balance)</t>
  </si>
  <si>
    <t xml:space="preserve">Schedule - VII </t>
  </si>
  <si>
    <t>Advance from Members (Refer Schedule - III)</t>
  </si>
  <si>
    <t>Amount (Rs.)</t>
  </si>
  <si>
    <t>CASH AND BANK BALANCE :</t>
  </si>
  <si>
    <t>INVESTMENTS &amp; DEPOSITS :</t>
  </si>
  <si>
    <t>Dues from Members (Refer Schedule - IV)</t>
  </si>
  <si>
    <t>Sundry Debtors :</t>
  </si>
  <si>
    <t>For NIKITA CO-OPERATIVE HOUSING SOCIETY LTD.</t>
  </si>
  <si>
    <t>Salary Expenses</t>
  </si>
  <si>
    <r>
      <t xml:space="preserve">Professional Fees </t>
    </r>
    <r>
      <rPr>
        <sz val="10"/>
        <color theme="1"/>
        <rFont val="Calibri"/>
        <family val="2"/>
        <scheme val="minor"/>
      </rPr>
      <t>(Recovery Proceedings)</t>
    </r>
  </si>
  <si>
    <t>Insurance Expenses</t>
  </si>
  <si>
    <t>Property Tax Expenses</t>
  </si>
  <si>
    <t>Bonus Expenses</t>
  </si>
  <si>
    <t>Misc. Expenses</t>
  </si>
  <si>
    <t>Retension - Supreme N Force</t>
  </si>
  <si>
    <t>Retension - Shofikul S. Sekh</t>
  </si>
  <si>
    <t>Total (A)</t>
  </si>
  <si>
    <t>Total (B)</t>
  </si>
  <si>
    <t>Total (C)</t>
  </si>
  <si>
    <t>ALL  Total  ( A + B + C )</t>
  </si>
  <si>
    <t>Sr. No.</t>
  </si>
  <si>
    <t>Closing balance (A)</t>
  </si>
  <si>
    <t>Closing balance (B)</t>
  </si>
  <si>
    <t>Closing balance (C)</t>
  </si>
  <si>
    <t>Closing balance (D)</t>
  </si>
  <si>
    <t>Closing balance (E)</t>
  </si>
  <si>
    <t>ALL Total (A + B + C + D + E )</t>
  </si>
  <si>
    <t>Sinking Fund :</t>
  </si>
  <si>
    <t>Reserve Fund :</t>
  </si>
  <si>
    <t>Lift Replacement Charges :</t>
  </si>
  <si>
    <t>Major Repair Fund :</t>
  </si>
  <si>
    <t>Repair and Maintenance Fund :</t>
  </si>
  <si>
    <t>OTHER ASSETS:</t>
  </si>
  <si>
    <t>FIXED ASSETS :</t>
  </si>
  <si>
    <t>DEPOSITS &amp; ADVANCES :</t>
  </si>
  <si>
    <t>INCOME &amp; EXPENDITURE ACCOUNT :</t>
  </si>
  <si>
    <t>CURRENT LIABILITIES :</t>
  </si>
  <si>
    <t>Unidentified Receipts - Sch VII</t>
  </si>
  <si>
    <t>Less:</t>
  </si>
  <si>
    <t>Debit Values</t>
  </si>
  <si>
    <t>Details of Prior Period Adjustments as at 31st March, 2025</t>
  </si>
  <si>
    <t>Mr. Izaan Mohammed Iqbal Khan</t>
  </si>
  <si>
    <t>Mrs. Preeti Easwardas Nair</t>
  </si>
  <si>
    <t>Mrs. Seema Vivek Bangera</t>
  </si>
  <si>
    <t>29.03.2025</t>
  </si>
  <si>
    <t>Misc. Income</t>
  </si>
  <si>
    <t>Advance with Bajaj Alianz Receivable</t>
  </si>
  <si>
    <t>31.03.2025</t>
  </si>
  <si>
    <t>Accd Int FY 24-25</t>
  </si>
  <si>
    <t>Date:</t>
  </si>
  <si>
    <t>Certified Panel Auditor</t>
  </si>
  <si>
    <t>Cheques issued but not cleared</t>
  </si>
  <si>
    <t>Receipts recorded but not cleared</t>
  </si>
  <si>
    <t>06.02.2026</t>
  </si>
  <si>
    <t>05.05.2025</t>
  </si>
  <si>
    <t>21.07.2025</t>
  </si>
  <si>
    <t>10.02.2026</t>
  </si>
  <si>
    <t>07.09.2025</t>
  </si>
  <si>
    <t>29.03.2027</t>
  </si>
  <si>
    <t>Provision</t>
  </si>
  <si>
    <t>Prepaid pest control</t>
  </si>
  <si>
    <t>mts</t>
  </si>
  <si>
    <t>Prepaid CCTV</t>
  </si>
  <si>
    <t>Accd Int FY 25-26</t>
  </si>
  <si>
    <t xml:space="preserve"> Details of Fixed Assets as at 31st March,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</si>
  <si>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</si>
  <si>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</si>
  <si>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</si>
  <si>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</si>
  <si>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</si>
  <si>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Details of Current Liabilities as at 31st March, 2026</t>
  </si>
  <si>
    <t>Income and Expenditure Account for the year ended 31st March, 2026</t>
  </si>
  <si>
    <t>Previous Year 31.03.2025</t>
  </si>
  <si>
    <t>Current Year 31.03.2026</t>
  </si>
  <si>
    <t>Balance Sheet as at 31st March, 2026</t>
  </si>
  <si>
    <t>Garden Maintenance Expenses</t>
  </si>
  <si>
    <t>Reserve Funds and Other Funds as at 31st March, 2026</t>
  </si>
  <si>
    <t>Advance from Members as at 31st March , 2026</t>
  </si>
  <si>
    <t>Mr. S. Rangarajan &amp; Mrs. Vijayalakshmi Rangarajan</t>
  </si>
  <si>
    <t>Mrs. Vanessa Noronha</t>
  </si>
  <si>
    <t>Mr. M. Srinivas &amp; Mrs. Vijayalakshmi Srinivas</t>
  </si>
  <si>
    <t>Members Receivable as at March 31, 2026</t>
  </si>
  <si>
    <t>401 (2)</t>
  </si>
  <si>
    <t>Mrs. Sajini Anoj &amp; Mr. Porumbumkattil Shankaran Anoj</t>
  </si>
  <si>
    <t>Mr. Purushotam Ashok Shetty</t>
  </si>
  <si>
    <t>Mr. Satyan Velayudhan Pullaniparambath</t>
  </si>
  <si>
    <t>Mr. Sushil Ratnakar Manure &amp; Mrs. Archana Sushil Manure</t>
  </si>
  <si>
    <t xml:space="preserve"> Unidentified Collections as at March 31, 2026</t>
  </si>
  <si>
    <t>Prepaid Pest Control</t>
  </si>
  <si>
    <t>Prepaid ADDA Subscription</t>
  </si>
  <si>
    <t>Income Taxes Recoverable</t>
  </si>
  <si>
    <t>Income Tax Workings</t>
  </si>
  <si>
    <t>SB Interest</t>
  </si>
  <si>
    <t>FD Interest - SBI</t>
  </si>
  <si>
    <t>FD Interest - NKGSB</t>
  </si>
  <si>
    <t>Tds receivable</t>
  </si>
  <si>
    <t>advance tax</t>
  </si>
  <si>
    <t>Less: Chap 6 Ded</t>
  </si>
  <si>
    <t>Net Taxable Income</t>
  </si>
  <si>
    <t>Tax</t>
  </si>
  <si>
    <t>Cess</t>
  </si>
  <si>
    <t>Tax Provision</t>
  </si>
  <si>
    <t>Prepaid Taxes</t>
  </si>
  <si>
    <t>Taxes Receivable</t>
  </si>
  <si>
    <t>Add: Advance Taxes Paid</t>
  </si>
  <si>
    <t>Add: TDS Receivable</t>
  </si>
  <si>
    <t>Less: Income Tax Provision Made</t>
  </si>
  <si>
    <t>Net Income Taxes Receivable</t>
  </si>
  <si>
    <t>18200300006508_09</t>
  </si>
  <si>
    <t>Fixed Deposit with Banks as at 31st  March,  2026</t>
  </si>
  <si>
    <t>18200300000205_08</t>
  </si>
  <si>
    <t>18200300004980_09</t>
  </si>
  <si>
    <t>18200300004992_08</t>
  </si>
  <si>
    <t>18200300004993_08</t>
  </si>
  <si>
    <t>41771143809_01</t>
  </si>
  <si>
    <t>42038283120_01</t>
  </si>
  <si>
    <t>42038283595_01</t>
  </si>
  <si>
    <t>42038283867_01</t>
  </si>
  <si>
    <t>Interest</t>
  </si>
  <si>
    <t>TDS</t>
  </si>
  <si>
    <t>Excess of Income over Expenditure</t>
  </si>
  <si>
    <t>25% Surplus transferred to Reserve Fund</t>
  </si>
  <si>
    <t>Excess of Expenditure over Income</t>
  </si>
  <si>
    <t>Recovery Charges U/s 88</t>
  </si>
  <si>
    <t>NKGSB Bank Reconciliation Statement as at March 31, 2026</t>
  </si>
  <si>
    <t>FY 2024-25</t>
  </si>
  <si>
    <t>FY 2025-26</t>
  </si>
  <si>
    <t>SBI Bank Reconciliation Statement as at March 31, 2026</t>
  </si>
  <si>
    <t>Election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</si>
</sst>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164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0" borderId="2" xfId="1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164" fontId="2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vertical="center" wrapText="1"/>
    </xf>
    <xf numFmtId="9" fontId="0" fillId="0" borderId="0" xfId="2" applyFont="1" applyAlignment="1">
      <alignment horizontal="center"/>
    </xf>
    <xf numFmtId="164" fontId="2" fillId="0" borderId="1" xfId="1" applyFont="1" applyBorder="1"/>
    <xf numFmtId="164" fontId="0" fillId="0" borderId="4" xfId="1" applyFont="1" applyBorder="1"/>
    <xf numFmtId="164" fontId="0" fillId="0" borderId="4" xfId="1" quotePrefix="1" applyFont="1" applyBorder="1"/>
    <xf numFmtId="164" fontId="0" fillId="0" borderId="6" xfId="1" applyFont="1" applyBorder="1"/>
    <xf numFmtId="0" fontId="0" fillId="0" borderId="7" xfId="0" applyBorder="1"/>
    <xf numFmtId="164" fontId="0" fillId="0" borderId="8" xfId="1" applyFont="1" applyBorder="1"/>
    <xf numFmtId="0" fontId="2" fillId="0" borderId="7" xfId="0" applyFont="1" applyBorder="1"/>
    <xf numFmtId="0" fontId="0" fillId="0" borderId="11" xfId="0" applyBorder="1"/>
    <xf numFmtId="164" fontId="0" fillId="0" borderId="12" xfId="1" applyFont="1" applyBorder="1"/>
    <xf numFmtId="164" fontId="2" fillId="0" borderId="5" xfId="1" applyFont="1" applyBorder="1"/>
    <xf numFmtId="164" fontId="2" fillId="0" borderId="4" xfId="1" quotePrefix="1" applyFont="1" applyBorder="1"/>
    <xf numFmtId="164" fontId="2" fillId="0" borderId="4" xfId="1" applyFon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3" xfId="1" applyFont="1" applyBorder="1"/>
    <xf numFmtId="164" fontId="0" fillId="0" borderId="0" xfId="0" applyNumberFormat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7" fontId="0" fillId="0" borderId="1" xfId="0" applyNumberFormat="1" applyBorder="1"/>
    <xf numFmtId="164" fontId="0" fillId="0" borderId="8" xfId="1" applyFont="1" applyFill="1" applyBorder="1"/>
    <xf numFmtId="0" fontId="0" fillId="0" borderId="2" xfId="0" applyBorder="1"/>
    <xf numFmtId="165" fontId="0" fillId="0" borderId="0" xfId="1" applyNumberFormat="1" applyFont="1" applyBorder="1" applyAlignment="1">
      <alignment horizontal="center" vertical="center" wrapText="1"/>
    </xf>
    <xf numFmtId="4" fontId="0" fillId="0" borderId="0" xfId="0" applyNumberFormat="1"/>
    <xf numFmtId="164" fontId="1" fillId="0" borderId="4" xfId="1" applyFont="1" applyBorder="1"/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164" fontId="2" fillId="0" borderId="14" xfId="1" applyFont="1" applyBorder="1"/>
    <xf numFmtId="0" fontId="2" fillId="0" borderId="13" xfId="0" applyFont="1" applyBorder="1" applyAlignment="1">
      <alignment horizontal="center"/>
    </xf>
    <xf numFmtId="164" fontId="2" fillId="0" borderId="14" xfId="1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2" fillId="0" borderId="8" xfId="1" applyFont="1" applyBorder="1"/>
    <xf numFmtId="164" fontId="2" fillId="0" borderId="15" xfId="1" applyFont="1" applyBorder="1" applyAlignment="1">
      <alignment horizontal="center" wrapText="1"/>
    </xf>
    <xf numFmtId="164" fontId="2" fillId="0" borderId="15" xfId="1" applyFont="1" applyBorder="1"/>
    <xf numFmtId="0" fontId="4" fillId="0" borderId="7" xfId="0" applyFont="1" applyBorder="1"/>
    <xf numFmtId="164" fontId="10" fillId="0" borderId="0" xfId="1" applyFont="1"/>
    <xf numFmtId="0" fontId="10" fillId="0" borderId="0" xfId="0" applyFont="1"/>
    <xf numFmtId="164" fontId="0" fillId="0" borderId="4" xfId="1" applyFont="1" applyBorder="1" applyAlignment="1">
      <alignment vertical="center"/>
    </xf>
    <xf numFmtId="164" fontId="0" fillId="0" borderId="12" xfId="1" applyFont="1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8" xfId="1" applyFont="1" applyBorder="1" applyAlignment="1">
      <alignment vertical="center"/>
    </xf>
    <xf numFmtId="0" fontId="11" fillId="0" borderId="7" xfId="0" applyFont="1" applyBorder="1"/>
    <xf numFmtId="0" fontId="2" fillId="0" borderId="7" xfId="0" applyFont="1" applyBorder="1" applyAlignment="1">
      <alignment vertical="center"/>
    </xf>
    <xf numFmtId="164" fontId="2" fillId="0" borderId="4" xfId="1" applyFont="1" applyBorder="1" applyAlignment="1">
      <alignment vertical="center"/>
    </xf>
    <xf numFmtId="0" fontId="8" fillId="0" borderId="0" xfId="0" applyFont="1" applyAlignment="1">
      <alignment horizontal="right"/>
    </xf>
    <xf numFmtId="0" fontId="2" fillId="0" borderId="14" xfId="0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0" fillId="0" borderId="7" xfId="1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0" xfId="1" applyFont="1" applyAlignment="1">
      <alignment horizontal="center"/>
    </xf>
    <xf numFmtId="164" fontId="0" fillId="0" borderId="4" xfId="1" applyFont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 applyAlignment="1">
      <alignment horizontal="center"/>
    </xf>
    <xf numFmtId="165" fontId="0" fillId="0" borderId="0" xfId="1" applyNumberFormat="1" applyFont="1" applyBorder="1"/>
    <xf numFmtId="0" fontId="0" fillId="0" borderId="11" xfId="0" applyBorder="1" applyAlignment="1">
      <alignment horizontal="center"/>
    </xf>
    <xf numFmtId="165" fontId="0" fillId="0" borderId="3" xfId="1" applyNumberFormat="1" applyFont="1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0" borderId="14" xfId="0" applyFont="1" applyBorder="1" applyAlignment="1">
      <alignment horizontal="center" vertical="center" wrapText="1"/>
    </xf>
    <xf numFmtId="164" fontId="2" fillId="0" borderId="14" xfId="0" applyNumberFormat="1" applyFont="1" applyBorder="1"/>
    <xf numFmtId="0" fontId="0" fillId="0" borderId="14" xfId="0" applyBorder="1" applyAlignment="1">
      <alignment horizontal="center" vertical="center"/>
    </xf>
    <xf numFmtId="164" fontId="0" fillId="0" borderId="0" xfId="1" applyFont="1" applyBorder="1"/>
    <xf numFmtId="9" fontId="0" fillId="0" borderId="14" xfId="2" applyFont="1" applyBorder="1" applyAlignment="1">
      <alignment horizontal="center" vertical="center" wrapText="1"/>
    </xf>
    <xf numFmtId="164" fontId="0" fillId="0" borderId="14" xfId="1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164" fontId="0" fillId="0" borderId="1" xfId="1" applyFont="1" applyBorder="1" applyAlignment="1">
      <alignment vertical="center"/>
    </xf>
    <xf numFmtId="164" fontId="2" fillId="0" borderId="14" xfId="1" applyFont="1" applyBorder="1" applyAlignment="1">
      <alignment vertical="center"/>
    </xf>
    <xf numFmtId="164" fontId="2" fillId="0" borderId="14" xfId="1" applyFont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165" fontId="0" fillId="0" borderId="0" xfId="1" quotePrefix="1" applyNumberFormat="1" applyFont="1"/>
    <xf numFmtId="43" fontId="0" fillId="0" borderId="0" xfId="1" applyNumberFormat="1" applyFont="1"/>
    <xf numFmtId="166" fontId="0" fillId="0" borderId="0" xfId="1" applyNumberFormat="1" applyFont="1"/>
    <xf numFmtId="43" fontId="0" fillId="0" borderId="0" xfId="0" applyNumberFormat="1"/>
    <xf numFmtId="0" fontId="0" fillId="0" borderId="1" xfId="0" quotePrefix="1" applyBorder="1" applyAlignment="1">
      <alignment horizontal="left"/>
    </xf>
    <xf numFmtId="164" fontId="2" fillId="0" borderId="13" xfId="1" applyFont="1" applyBorder="1" applyAlignment="1">
      <alignment horizontal="center"/>
    </xf>
    <xf numFmtId="165" fontId="0" fillId="0" borderId="0" xfId="0" applyNumberFormat="1"/>
    <xf numFmtId="164" fontId="0" fillId="0" borderId="12" xfId="1" applyFont="1" applyFill="1" applyBorder="1"/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/>
    <xf numFmtId="164" fontId="0" fillId="0" borderId="18" xfId="1" applyFont="1" applyBorder="1"/>
    <xf numFmtId="0" fontId="0" fillId="0" borderId="18" xfId="0" applyBorder="1" applyAlignment="1">
      <alignment vertical="center"/>
    </xf>
    <xf numFmtId="164" fontId="0" fillId="0" borderId="18" xfId="1" applyFont="1" applyBorder="1" applyAlignment="1">
      <alignment vertical="center"/>
    </xf>
    <xf numFmtId="164" fontId="0" fillId="0" borderId="4" xfId="1" applyFont="1" applyFill="1" applyBorder="1"/>
    <xf numFmtId="0" fontId="4" fillId="0" borderId="16" xfId="0" applyFont="1" applyBorder="1"/>
    <xf numFmtId="164" fontId="0" fillId="0" borderId="17" xfId="1" applyFont="1" applyFill="1" applyBorder="1"/>
    <xf numFmtId="165" fontId="0" fillId="0" borderId="1" xfId="1" applyNumberFormat="1" applyFont="1" applyFill="1" applyBorder="1"/>
    <xf numFmtId="10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165" fontId="0" fillId="0" borderId="1" xfId="1" quotePrefix="1" applyNumberFormat="1" applyFont="1" applyFill="1" applyBorder="1"/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2" fillId="0" borderId="5" xfId="1" applyNumberFormat="1" applyFont="1" applyBorder="1"/>
    <xf numFmtId="165" fontId="2" fillId="0" borderId="14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5" xfId="0" applyBorder="1"/>
    <xf numFmtId="0" fontId="2" fillId="0" borderId="19" xfId="0" applyFont="1" applyBorder="1" applyAlignment="1">
      <alignment horizontal="center"/>
    </xf>
    <xf numFmtId="165" fontId="2" fillId="0" borderId="23" xfId="1" applyNumberFormat="1" applyFont="1" applyFill="1" applyBorder="1"/>
    <xf numFmtId="164" fontId="1" fillId="0" borderId="1" xfId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18" xfId="1" applyNumberFormat="1" applyFont="1" applyFill="1" applyBorder="1"/>
    <xf numFmtId="10" fontId="0" fillId="0" borderId="27" xfId="0" applyNumberFormat="1" applyBorder="1" applyAlignment="1">
      <alignment horizontal="center"/>
    </xf>
    <xf numFmtId="165" fontId="2" fillId="0" borderId="0" xfId="1" applyNumberFormat="1" applyFont="1"/>
    <xf numFmtId="14" fontId="2" fillId="0" borderId="0" xfId="0" applyNumberFormat="1" applyFont="1"/>
    <xf numFmtId="0" fontId="0" fillId="0" borderId="0" xfId="0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0" fontId="2" fillId="0" borderId="0" xfId="0" applyFont="1" applyFill="1" applyBorder="1"/>
    <xf numFmtId="0" fontId="0" fillId="0" borderId="7" xfId="0" applyFill="1" applyBorder="1"/>
    <xf numFmtId="0" fontId="2" fillId="0" borderId="3" xfId="0" applyFont="1" applyBorder="1" applyAlignment="1">
      <alignment horizontal="center"/>
    </xf>
    <xf numFmtId="164" fontId="2" fillId="0" borderId="7" xfId="1" applyFont="1" applyBorder="1"/>
    <xf numFmtId="0" fontId="3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2" xfId="0" quotePrefix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3" xfId="0" applyFont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5" fillId="0" borderId="0" xfId="0" applyFont="1" applyAlignment="1">
      <alignment horizontal="right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5"/>
  <sheetViews>
    <sheetView tabSelected="1" topLeftCell="A2" workbookViewId="0">
      <selection activeCell="E36" sqref="E36"/>
    </sheetView>
  </sheetViews>
  <sheetFormatPr defaultRowHeight="15" x14ac:dyDescent="0.25"/>
  <cols>
    <col min="1" max="1" width="14.7109375" style="2" customWidth="1"/>
    <col min="2" max="2" width="32.5703125" customWidth="1"/>
    <col min="3" max="3" width="12.7109375" style="2" customWidth="1"/>
    <col min="4" max="4" width="13.140625" style="2" customWidth="1"/>
    <col min="5" max="5" width="14.42578125" style="2" customWidth="1"/>
    <col min="6" max="6" width="32.42578125" customWidth="1"/>
    <col min="7" max="7" width="13.28515625" style="2" customWidth="1"/>
    <col min="8" max="8" width="13.85546875" style="2" customWidth="1"/>
    <col min="10" max="10" width="9.85546875" bestFit="1" customWidth="1"/>
  </cols>
  <sheetData>
    <row r="1" spans="1:8" x14ac:dyDescent="0.25">
      <c r="A1" s="145" t="s">
        <v>0</v>
      </c>
      <c r="B1" s="145"/>
      <c r="C1" s="145"/>
      <c r="D1" s="145"/>
      <c r="E1" s="145"/>
      <c r="F1" s="145"/>
      <c r="G1" s="145"/>
      <c r="H1" s="145"/>
    </row>
    <row r="2" spans="1:8" x14ac:dyDescent="0.25">
      <c r="A2" s="145" t="s">
        <v>1</v>
      </c>
      <c r="B2" s="145"/>
      <c r="C2" s="145"/>
      <c r="D2" s="145"/>
      <c r="E2" s="145"/>
      <c r="F2" s="145"/>
      <c r="G2" s="145"/>
      <c r="H2" s="145"/>
    </row>
    <row r="3" spans="1:8" ht="23.25" x14ac:dyDescent="0.35">
      <c r="A3" s="146" t="s">
        <v>194</v>
      </c>
      <c r="B3" s="146"/>
      <c r="C3" s="146"/>
      <c r="D3" s="146"/>
      <c r="E3" s="146"/>
      <c r="F3" s="146"/>
      <c r="G3" s="146"/>
      <c r="H3" s="146"/>
    </row>
    <row r="4" spans="1:8" x14ac:dyDescent="0.25">
      <c r="A4" s="150" t="s">
        <v>2</v>
      </c>
      <c r="B4" s="150"/>
      <c r="C4" s="150"/>
      <c r="D4" s="150"/>
      <c r="E4" s="150"/>
      <c r="F4" s="150"/>
      <c r="G4" s="150"/>
      <c r="H4" s="150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ht="21" x14ac:dyDescent="0.35">
      <c r="A6" s="149" t="s">
        <v>273</v>
      </c>
      <c r="B6" s="149"/>
      <c r="C6" s="149"/>
      <c r="D6" s="149"/>
      <c r="E6" s="149"/>
      <c r="F6" s="149"/>
      <c r="G6" s="149"/>
      <c r="H6" s="149"/>
    </row>
    <row r="7" spans="1:8" s="13" customFormat="1" x14ac:dyDescent="0.25">
      <c r="A7" s="40"/>
      <c r="B7" s="40"/>
      <c r="C7" s="40"/>
      <c r="D7" s="40"/>
      <c r="E7" s="40"/>
      <c r="F7" s="40"/>
      <c r="G7" s="40"/>
      <c r="H7" s="60" t="s">
        <v>147</v>
      </c>
    </row>
    <row r="8" spans="1:8" ht="30.75" thickBot="1" x14ac:dyDescent="0.3">
      <c r="A8" s="44" t="s">
        <v>271</v>
      </c>
      <c r="B8" s="151" t="s">
        <v>4</v>
      </c>
      <c r="C8" s="151"/>
      <c r="D8" s="44" t="s">
        <v>272</v>
      </c>
      <c r="E8" s="44" t="str">
        <f>A8</f>
        <v>Previous Year 31.03.2025</v>
      </c>
      <c r="F8" s="151" t="s">
        <v>122</v>
      </c>
      <c r="G8" s="151"/>
      <c r="H8" s="44" t="str">
        <f>D8</f>
        <v>Current Year 31.03.2026</v>
      </c>
    </row>
    <row r="9" spans="1:8" ht="15.75" thickTop="1" x14ac:dyDescent="0.25">
      <c r="A9" s="16"/>
      <c r="B9" s="50" t="s">
        <v>155</v>
      </c>
      <c r="C9" s="20"/>
      <c r="D9" s="16"/>
      <c r="E9" s="16"/>
      <c r="F9" s="50" t="s">
        <v>202</v>
      </c>
      <c r="G9" s="20"/>
      <c r="H9" s="16"/>
    </row>
    <row r="10" spans="1:8" ht="15.75" thickBot="1" x14ac:dyDescent="0.3">
      <c r="A10" s="24">
        <f>12000*50</f>
        <v>600000</v>
      </c>
      <c r="B10" s="19" t="s">
        <v>156</v>
      </c>
      <c r="C10" s="20"/>
      <c r="D10" s="26">
        <f>12000*50</f>
        <v>600000</v>
      </c>
      <c r="E10" s="16">
        <v>496</v>
      </c>
      <c r="F10" s="19" t="s">
        <v>14</v>
      </c>
      <c r="G10" s="35">
        <v>430</v>
      </c>
      <c r="H10" s="16"/>
    </row>
    <row r="11" spans="1:8" ht="15.75" thickTop="1" x14ac:dyDescent="0.25">
      <c r="A11" s="142"/>
      <c r="B11" s="19"/>
      <c r="C11" s="82"/>
      <c r="D11" s="142"/>
      <c r="E11" s="16">
        <v>131862.21</v>
      </c>
      <c r="F11" s="19" t="s">
        <v>8</v>
      </c>
      <c r="G11" s="35">
        <f>BRS!D11</f>
        <v>1332539.8500000001</v>
      </c>
      <c r="H11" s="26"/>
    </row>
    <row r="12" spans="1:8" x14ac:dyDescent="0.25">
      <c r="A12" s="17" t="s">
        <v>5</v>
      </c>
      <c r="B12" s="50" t="s">
        <v>157</v>
      </c>
      <c r="C12" s="20"/>
      <c r="D12" s="25" t="s">
        <v>5</v>
      </c>
      <c r="E12" s="16">
        <v>39627.14</v>
      </c>
      <c r="F12" s="19" t="s">
        <v>9</v>
      </c>
      <c r="G12" s="35">
        <f>BRS!D4</f>
        <v>17012.740000000002</v>
      </c>
      <c r="H12" s="26"/>
    </row>
    <row r="13" spans="1:8" x14ac:dyDescent="0.25">
      <c r="A13" s="16">
        <v>29000</v>
      </c>
      <c r="B13" s="21" t="s">
        <v>158</v>
      </c>
      <c r="C13" s="20"/>
      <c r="D13" s="26">
        <f>580*50</f>
        <v>29000</v>
      </c>
      <c r="E13" s="16">
        <v>46906</v>
      </c>
      <c r="F13" s="19" t="s">
        <v>10</v>
      </c>
      <c r="G13" s="103">
        <f>47282+1078</f>
        <v>48360</v>
      </c>
      <c r="H13" s="26">
        <f>SUM(G10:G13)</f>
        <v>1398342.59</v>
      </c>
    </row>
    <row r="14" spans="1:8" x14ac:dyDescent="0.25">
      <c r="A14" s="16"/>
      <c r="B14" s="19"/>
      <c r="C14" s="20"/>
      <c r="D14" s="26"/>
      <c r="E14" s="16"/>
      <c r="F14" s="19"/>
      <c r="G14" s="20"/>
      <c r="H14" s="26"/>
    </row>
    <row r="15" spans="1:8" x14ac:dyDescent="0.25">
      <c r="A15" s="16"/>
      <c r="B15" s="50" t="s">
        <v>6</v>
      </c>
      <c r="C15" s="20"/>
      <c r="D15" s="26"/>
      <c r="E15" s="16"/>
      <c r="F15" s="50" t="s">
        <v>203</v>
      </c>
      <c r="G15" s="20"/>
      <c r="H15" s="26"/>
    </row>
    <row r="16" spans="1:8" x14ac:dyDescent="0.25">
      <c r="A16" s="16">
        <v>4431689.24</v>
      </c>
      <c r="B16" s="21" t="s">
        <v>7</v>
      </c>
      <c r="C16" s="20"/>
      <c r="D16" s="26">
        <f>'Sch I'!E37</f>
        <v>5150119.24</v>
      </c>
      <c r="E16" s="16">
        <v>21000</v>
      </c>
      <c r="F16" s="19" t="s">
        <v>138</v>
      </c>
      <c r="G16" s="20"/>
      <c r="H16" s="26">
        <v>21000</v>
      </c>
    </row>
    <row r="17" spans="1:10" x14ac:dyDescent="0.25">
      <c r="A17" s="16"/>
      <c r="B17" s="19"/>
      <c r="C17" s="20"/>
      <c r="D17" s="26"/>
      <c r="E17" s="16">
        <v>100</v>
      </c>
      <c r="F17" s="19" t="s">
        <v>132</v>
      </c>
      <c r="G17" s="20"/>
      <c r="H17" s="26">
        <v>100</v>
      </c>
    </row>
    <row r="18" spans="1:10" x14ac:dyDescent="0.25">
      <c r="A18" s="16"/>
      <c r="B18" s="50" t="s">
        <v>235</v>
      </c>
      <c r="C18" s="20"/>
      <c r="D18" s="26"/>
      <c r="E18" s="16"/>
      <c r="F18" s="19"/>
      <c r="G18" s="20"/>
      <c r="H18" s="26"/>
    </row>
    <row r="19" spans="1:10" x14ac:dyDescent="0.25">
      <c r="A19" s="16">
        <v>891570</v>
      </c>
      <c r="B19" s="21" t="s">
        <v>34</v>
      </c>
      <c r="C19" s="20"/>
      <c r="D19" s="26">
        <f>'Sch V'!C32</f>
        <v>880416</v>
      </c>
      <c r="E19" s="16">
        <v>3898635</v>
      </c>
      <c r="F19" s="50" t="s">
        <v>22</v>
      </c>
      <c r="G19" s="20">
        <f>'Sch II'!D23</f>
        <v>4252088</v>
      </c>
      <c r="H19" s="26"/>
    </row>
    <row r="20" spans="1:10" x14ac:dyDescent="0.25">
      <c r="A20" s="16"/>
      <c r="B20" s="19"/>
      <c r="C20" s="20"/>
      <c r="D20" s="26"/>
      <c r="E20" s="16">
        <v>132634</v>
      </c>
      <c r="F20" s="19" t="s">
        <v>154</v>
      </c>
      <c r="G20" s="23">
        <f>'Sch II'!E23+'Sch II'!F23+'Sch II'!G23</f>
        <v>108297</v>
      </c>
      <c r="H20" s="26">
        <f>SUM(G19:G20)</f>
        <v>4360385</v>
      </c>
    </row>
    <row r="21" spans="1:10" x14ac:dyDescent="0.25">
      <c r="A21" s="16">
        <v>155891.03</v>
      </c>
      <c r="B21" s="50" t="s">
        <v>200</v>
      </c>
      <c r="C21" s="20"/>
      <c r="D21" s="26">
        <f>'Sch III, IV'!E20</f>
        <v>122401.03</v>
      </c>
      <c r="E21" s="16"/>
      <c r="F21" s="19"/>
      <c r="G21" s="20"/>
      <c r="H21" s="26"/>
    </row>
    <row r="22" spans="1:10" x14ac:dyDescent="0.25">
      <c r="A22" s="16"/>
      <c r="B22" s="19"/>
      <c r="C22" s="20"/>
      <c r="D22" s="26"/>
      <c r="E22" s="16">
        <v>27340.81</v>
      </c>
      <c r="F22" s="19" t="s">
        <v>31</v>
      </c>
      <c r="G22" s="20">
        <v>27340.81</v>
      </c>
      <c r="H22" s="26"/>
    </row>
    <row r="23" spans="1:10" x14ac:dyDescent="0.25">
      <c r="A23" s="16">
        <v>5113</v>
      </c>
      <c r="B23" s="50" t="s">
        <v>236</v>
      </c>
      <c r="C23" s="20"/>
      <c r="D23" s="26">
        <f>'Sch III, IV'!E42</f>
        <v>5113</v>
      </c>
      <c r="E23" s="53">
        <v>5000</v>
      </c>
      <c r="F23" s="55" t="s">
        <v>32</v>
      </c>
      <c r="G23" s="54">
        <v>5000</v>
      </c>
      <c r="H23" s="26">
        <f>G22+G23</f>
        <v>32340.81</v>
      </c>
    </row>
    <row r="24" spans="1:10" x14ac:dyDescent="0.25">
      <c r="A24" s="16"/>
      <c r="B24" s="50"/>
      <c r="C24" s="20"/>
      <c r="D24" s="26"/>
      <c r="E24" s="16"/>
      <c r="F24" s="19"/>
      <c r="G24" s="20"/>
      <c r="H24" s="26"/>
    </row>
    <row r="25" spans="1:10" x14ac:dyDescent="0.25">
      <c r="A25" s="16"/>
      <c r="B25" s="50" t="s">
        <v>234</v>
      </c>
      <c r="C25" s="82"/>
      <c r="D25" s="26"/>
      <c r="E25" s="16"/>
      <c r="F25" s="50" t="s">
        <v>205</v>
      </c>
      <c r="G25" s="20"/>
      <c r="H25" s="26"/>
    </row>
    <row r="26" spans="1:10" x14ac:dyDescent="0.25">
      <c r="A26" s="16">
        <v>1218687.6700000004</v>
      </c>
      <c r="B26" s="19" t="s">
        <v>153</v>
      </c>
      <c r="C26" s="82">
        <f>SUM(A26:A27)</f>
        <v>1129429.5500000003</v>
      </c>
      <c r="D26" s="16"/>
      <c r="E26" s="16">
        <v>616228.24</v>
      </c>
      <c r="F26" s="50" t="s">
        <v>204</v>
      </c>
      <c r="G26" s="20">
        <f>'Sch III, IV'!E34</f>
        <v>1250846</v>
      </c>
      <c r="H26" s="26"/>
    </row>
    <row r="27" spans="1:10" x14ac:dyDescent="0.25">
      <c r="A27" s="16">
        <f>-IE!E37</f>
        <v>-89258.120000000112</v>
      </c>
      <c r="B27" s="19" t="s">
        <v>185</v>
      </c>
      <c r="C27" s="23">
        <f>IE!D51</f>
        <v>1323598.0000000005</v>
      </c>
      <c r="D27" s="26">
        <f>SUM(C26:C27)</f>
        <v>2453027.5500000007</v>
      </c>
      <c r="E27" s="16">
        <v>108027.72</v>
      </c>
      <c r="F27" s="19" t="s">
        <v>30</v>
      </c>
      <c r="G27" s="23">
        <v>108027.72</v>
      </c>
      <c r="H27" s="26">
        <f>SUM(G26:G27)</f>
        <v>1358873.72</v>
      </c>
    </row>
    <row r="28" spans="1:10" x14ac:dyDescent="0.25">
      <c r="A28" s="16"/>
      <c r="B28" s="19"/>
      <c r="C28" s="82"/>
      <c r="D28" s="26"/>
      <c r="E28" s="16"/>
      <c r="F28" s="19"/>
      <c r="G28" s="20"/>
      <c r="H28" s="26"/>
    </row>
    <row r="29" spans="1:10" x14ac:dyDescent="0.25">
      <c r="A29" s="16"/>
      <c r="B29" s="19"/>
      <c r="C29" s="82"/>
      <c r="D29" s="26"/>
      <c r="E29" s="16"/>
      <c r="F29" s="50" t="s">
        <v>233</v>
      </c>
      <c r="G29" s="20"/>
      <c r="H29" s="26"/>
      <c r="J29" s="30"/>
    </row>
    <row r="30" spans="1:10" x14ac:dyDescent="0.25">
      <c r="A30" s="16"/>
      <c r="B30" s="19"/>
      <c r="C30" s="82"/>
      <c r="D30" s="26"/>
      <c r="E30" s="16">
        <v>0</v>
      </c>
      <c r="F30" s="19" t="s">
        <v>184</v>
      </c>
      <c r="G30" s="35">
        <v>15000</v>
      </c>
      <c r="H30" s="26"/>
    </row>
    <row r="31" spans="1:10" x14ac:dyDescent="0.25">
      <c r="A31" s="16"/>
      <c r="B31" s="19"/>
      <c r="C31" s="20"/>
      <c r="D31" s="26"/>
      <c r="E31" s="16">
        <v>6490</v>
      </c>
      <c r="F31" s="19" t="s">
        <v>245</v>
      </c>
      <c r="G31" s="35">
        <v>6490</v>
      </c>
      <c r="H31" s="26"/>
    </row>
    <row r="32" spans="1:10" x14ac:dyDescent="0.25">
      <c r="A32" s="16"/>
      <c r="B32" s="19"/>
      <c r="C32" s="20"/>
      <c r="D32" s="26"/>
      <c r="E32" s="16">
        <v>27031</v>
      </c>
      <c r="F32" s="19" t="s">
        <v>302</v>
      </c>
      <c r="G32" s="23">
        <f>'Sch V'!C40</f>
        <v>7934</v>
      </c>
      <c r="H32" s="26">
        <f>SUM(G30:G32)</f>
        <v>29424</v>
      </c>
    </row>
    <row r="33" spans="1:8" x14ac:dyDescent="0.25">
      <c r="A33" s="16"/>
      <c r="B33" s="19"/>
      <c r="C33" s="20"/>
      <c r="D33" s="26"/>
      <c r="E33" s="16"/>
      <c r="F33" s="19"/>
      <c r="G33" s="20"/>
      <c r="H33" s="26"/>
    </row>
    <row r="34" spans="1:8" x14ac:dyDescent="0.25">
      <c r="A34" s="16"/>
      <c r="B34" s="19"/>
      <c r="C34" s="20"/>
      <c r="D34" s="26"/>
      <c r="E34" s="16"/>
      <c r="F34" s="50" t="s">
        <v>232</v>
      </c>
      <c r="G34" s="20"/>
      <c r="H34" s="26"/>
    </row>
    <row r="35" spans="1:8" x14ac:dyDescent="0.25">
      <c r="A35" s="16"/>
      <c r="B35" s="19"/>
      <c r="C35" s="20"/>
      <c r="D35" s="26"/>
      <c r="E35" s="53">
        <v>1466322.7</v>
      </c>
      <c r="F35" s="58" t="s">
        <v>47</v>
      </c>
      <c r="G35" s="56"/>
      <c r="H35" s="59">
        <f>'Sch VI'!H17</f>
        <v>1246691.7</v>
      </c>
    </row>
    <row r="36" spans="1:8" x14ac:dyDescent="0.25">
      <c r="A36" s="16"/>
      <c r="B36" s="19"/>
      <c r="C36" s="20"/>
      <c r="D36" s="26"/>
      <c r="E36" s="16"/>
      <c r="F36" s="19"/>
      <c r="G36" s="20"/>
      <c r="H36" s="26"/>
    </row>
    <row r="37" spans="1:8" x14ac:dyDescent="0.25">
      <c r="A37" s="53"/>
      <c r="C37" s="56"/>
      <c r="D37" s="26"/>
      <c r="E37" s="16"/>
      <c r="F37" s="50" t="s">
        <v>231</v>
      </c>
      <c r="G37" s="20"/>
      <c r="H37" s="26"/>
    </row>
    <row r="38" spans="1:8" x14ac:dyDescent="0.25">
      <c r="A38" s="16"/>
      <c r="B38" s="19"/>
      <c r="C38" s="20"/>
      <c r="D38" s="26"/>
      <c r="E38" s="16">
        <v>71457</v>
      </c>
      <c r="F38" s="19" t="s">
        <v>33</v>
      </c>
      <c r="G38" s="20">
        <v>129046</v>
      </c>
      <c r="H38" s="26"/>
    </row>
    <row r="39" spans="1:8" x14ac:dyDescent="0.25">
      <c r="A39" s="16"/>
      <c r="B39" s="19"/>
      <c r="C39" s="20"/>
      <c r="D39" s="26"/>
      <c r="E39" s="16">
        <v>16335</v>
      </c>
      <c r="F39" s="19" t="s">
        <v>92</v>
      </c>
      <c r="G39" s="20">
        <v>18618</v>
      </c>
      <c r="H39" s="26"/>
    </row>
    <row r="40" spans="1:8" x14ac:dyDescent="0.25">
      <c r="A40" s="16"/>
      <c r="B40" s="19"/>
      <c r="C40" s="20"/>
      <c r="D40" s="26"/>
      <c r="E40" s="16">
        <v>27200</v>
      </c>
      <c r="F40" s="19" t="s">
        <v>93</v>
      </c>
      <c r="G40" s="20">
        <v>23356</v>
      </c>
      <c r="H40" s="26"/>
    </row>
    <row r="41" spans="1:8" x14ac:dyDescent="0.25">
      <c r="A41" s="16"/>
      <c r="B41" s="19"/>
      <c r="C41" s="20"/>
      <c r="D41" s="26"/>
      <c r="E41" s="16">
        <v>0</v>
      </c>
      <c r="F41" s="19" t="s">
        <v>287</v>
      </c>
      <c r="G41" s="20">
        <v>1839</v>
      </c>
      <c r="H41" s="26"/>
    </row>
    <row r="42" spans="1:8" x14ac:dyDescent="0.25">
      <c r="A42" s="16"/>
      <c r="B42" s="19"/>
      <c r="C42" s="20"/>
      <c r="D42" s="26"/>
      <c r="E42" s="16">
        <v>0</v>
      </c>
      <c r="F42" s="19" t="s">
        <v>288</v>
      </c>
      <c r="G42" s="23">
        <v>20060</v>
      </c>
      <c r="H42" s="26">
        <f>SUM(G38:G42)</f>
        <v>192919</v>
      </c>
    </row>
    <row r="43" spans="1:8" ht="15.75" thickBot="1" x14ac:dyDescent="0.3">
      <c r="A43" s="42">
        <f>SUM(A13:A42)</f>
        <v>6642692.8200000012</v>
      </c>
      <c r="B43" s="147" t="s">
        <v>37</v>
      </c>
      <c r="C43" s="148"/>
      <c r="D43" s="42">
        <f>SUM(D13:D42)</f>
        <v>8640076.8200000003</v>
      </c>
      <c r="E43" s="42">
        <f>SUM(E10:E42)</f>
        <v>6642692.8199999994</v>
      </c>
      <c r="F43" s="147" t="s">
        <v>37</v>
      </c>
      <c r="G43" s="148"/>
      <c r="H43" s="42">
        <f>SUM(H10:H42)</f>
        <v>8640076.8199999984</v>
      </c>
    </row>
    <row r="44" spans="1:8" ht="15.75" thickTop="1" x14ac:dyDescent="0.25">
      <c r="A44" s="51">
        <f>A43-E43</f>
        <v>0</v>
      </c>
      <c r="B44" s="52"/>
      <c r="C44" s="51"/>
      <c r="D44" s="51"/>
      <c r="E44" s="51">
        <f>E43-A43</f>
        <v>0</v>
      </c>
      <c r="F44" s="52"/>
      <c r="G44" s="51"/>
      <c r="H44" s="51">
        <f>H43-D43</f>
        <v>0</v>
      </c>
    </row>
    <row r="45" spans="1:8" ht="15.75" x14ac:dyDescent="0.25">
      <c r="A45" s="2" t="s">
        <v>144</v>
      </c>
      <c r="E45" s="143" t="s">
        <v>206</v>
      </c>
      <c r="F45" s="143"/>
      <c r="G45" s="143"/>
      <c r="H45" s="143"/>
    </row>
    <row r="51" spans="1:8" x14ac:dyDescent="0.25">
      <c r="A51" s="10"/>
      <c r="E51" s="144" t="s">
        <v>193</v>
      </c>
      <c r="F51" s="144"/>
      <c r="G51" s="144"/>
      <c r="H51" s="144"/>
    </row>
    <row r="52" spans="1:8" x14ac:dyDescent="0.25">
      <c r="A52" s="10" t="s">
        <v>249</v>
      </c>
    </row>
    <row r="54" spans="1:8" x14ac:dyDescent="0.25">
      <c r="A54" s="10" t="s">
        <v>123</v>
      </c>
    </row>
    <row r="55" spans="1:8" x14ac:dyDescent="0.25">
      <c r="A55" s="10" t="s">
        <v>248</v>
      </c>
    </row>
  </sheetData>
  <mergeCells count="11">
    <mergeCell ref="E45:H45"/>
    <mergeCell ref="E51:H51"/>
    <mergeCell ref="A1:H1"/>
    <mergeCell ref="A2:H2"/>
    <mergeCell ref="A3:H3"/>
    <mergeCell ref="F43:G43"/>
    <mergeCell ref="B43:C43"/>
    <mergeCell ref="A6:H6"/>
    <mergeCell ref="A4:H4"/>
    <mergeCell ref="B8:C8"/>
    <mergeCell ref="F8:G8"/>
  </mergeCells>
  <printOptions horizontalCentered="1"/>
  <pageMargins left="0.19685039370078741" right="0.19685039370078741" top="0.9055118110236221" bottom="0.51181102362204722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7FA5-7125-4CEA-83B8-72E2BDA2D7E1}">
  <sheetPr>
    <pageSetUpPr fitToPage="1"/>
  </sheetPr>
  <dimension ref="A1:J64"/>
  <sheetViews>
    <sheetView topLeftCell="A37" workbookViewId="0">
      <selection activeCell="E42" sqref="E42:K42"/>
    </sheetView>
  </sheetViews>
  <sheetFormatPr defaultRowHeight="15" x14ac:dyDescent="0.25"/>
  <cols>
    <col min="1" max="1" width="13.28515625" style="2" customWidth="1"/>
    <col min="2" max="2" width="33.28515625" customWidth="1"/>
    <col min="3" max="5" width="13.28515625" style="2" customWidth="1"/>
    <col min="6" max="6" width="28.7109375" customWidth="1"/>
    <col min="7" max="8" width="13.28515625" style="2" customWidth="1"/>
    <col min="9" max="10" width="12.5703125" bestFit="1" customWidth="1"/>
  </cols>
  <sheetData>
    <row r="1" spans="1:9" x14ac:dyDescent="0.25">
      <c r="A1" s="145" t="s">
        <v>0</v>
      </c>
      <c r="B1" s="145"/>
      <c r="C1" s="145"/>
      <c r="D1" s="145"/>
      <c r="E1" s="145"/>
      <c r="F1" s="145"/>
      <c r="G1" s="145"/>
      <c r="H1" s="145"/>
    </row>
    <row r="2" spans="1:9" x14ac:dyDescent="0.25">
      <c r="A2" s="145" t="s">
        <v>1</v>
      </c>
      <c r="B2" s="145"/>
      <c r="C2" s="145"/>
      <c r="D2" s="145"/>
      <c r="E2" s="145"/>
      <c r="F2" s="145"/>
      <c r="G2" s="145"/>
      <c r="H2" s="145"/>
    </row>
    <row r="3" spans="1:9" ht="21" x14ac:dyDescent="0.35">
      <c r="A3" s="153" t="s">
        <v>3</v>
      </c>
      <c r="B3" s="153"/>
      <c r="C3" s="153"/>
      <c r="D3" s="153"/>
      <c r="E3" s="153"/>
      <c r="F3" s="153"/>
      <c r="G3" s="153"/>
      <c r="H3" s="153"/>
    </row>
    <row r="4" spans="1:9" x14ac:dyDescent="0.25">
      <c r="A4" s="145" t="s">
        <v>2</v>
      </c>
      <c r="B4" s="145"/>
      <c r="C4" s="145"/>
      <c r="D4" s="145"/>
      <c r="E4" s="145"/>
      <c r="F4" s="145"/>
      <c r="G4" s="145"/>
      <c r="H4" s="145"/>
    </row>
    <row r="5" spans="1:9" x14ac:dyDescent="0.25">
      <c r="A5" s="3"/>
      <c r="B5" s="3"/>
      <c r="C5" s="3"/>
      <c r="D5" s="3"/>
      <c r="E5" s="3"/>
      <c r="F5" s="3"/>
      <c r="G5" s="3"/>
      <c r="H5" s="3"/>
    </row>
    <row r="6" spans="1:9" ht="18.75" x14ac:dyDescent="0.3">
      <c r="A6" s="154" t="s">
        <v>270</v>
      </c>
      <c r="B6" s="154"/>
      <c r="C6" s="154"/>
      <c r="D6" s="154"/>
      <c r="E6" s="154"/>
      <c r="F6" s="154"/>
      <c r="G6" s="154"/>
      <c r="H6" s="154"/>
    </row>
    <row r="7" spans="1:9" x14ac:dyDescent="0.25">
      <c r="A7" s="40"/>
      <c r="B7" s="40"/>
      <c r="C7" s="40"/>
      <c r="D7" s="40"/>
      <c r="E7" s="40"/>
      <c r="F7" s="40"/>
      <c r="G7" s="40"/>
      <c r="H7" s="46" t="s">
        <v>147</v>
      </c>
    </row>
    <row r="8" spans="1:9" ht="45.75" thickBot="1" x14ac:dyDescent="0.3">
      <c r="A8" s="44" t="s">
        <v>271</v>
      </c>
      <c r="B8" s="151" t="s">
        <v>48</v>
      </c>
      <c r="C8" s="151"/>
      <c r="D8" s="44" t="s">
        <v>272</v>
      </c>
      <c r="E8" s="44" t="str">
        <f>A8</f>
        <v>Previous Year 31.03.2025</v>
      </c>
      <c r="F8" s="151" t="s">
        <v>49</v>
      </c>
      <c r="G8" s="151"/>
      <c r="H8" s="48" t="str">
        <f>D8</f>
        <v>Current Year 31.03.2026</v>
      </c>
    </row>
    <row r="9" spans="1:9" ht="21" customHeight="1" thickTop="1" x14ac:dyDescent="0.25">
      <c r="A9" s="110"/>
      <c r="B9" s="111" t="s">
        <v>149</v>
      </c>
      <c r="C9" s="112"/>
      <c r="D9" s="20"/>
      <c r="E9" s="16"/>
      <c r="F9" s="50" t="s">
        <v>54</v>
      </c>
      <c r="G9" s="20"/>
      <c r="H9" s="20"/>
    </row>
    <row r="10" spans="1:9" x14ac:dyDescent="0.25">
      <c r="A10" s="110">
        <v>662494</v>
      </c>
      <c r="B10" s="19" t="s">
        <v>210</v>
      </c>
      <c r="C10" s="35">
        <v>761468</v>
      </c>
      <c r="D10" s="20"/>
      <c r="E10" s="20">
        <v>209496</v>
      </c>
      <c r="F10" s="19" t="s">
        <v>55</v>
      </c>
      <c r="G10" s="20">
        <v>209496</v>
      </c>
      <c r="H10" s="20"/>
    </row>
    <row r="11" spans="1:9" x14ac:dyDescent="0.25">
      <c r="A11" s="110">
        <v>631054</v>
      </c>
      <c r="B11" s="19" t="s">
        <v>52</v>
      </c>
      <c r="C11" s="35">
        <v>424632</v>
      </c>
      <c r="D11" s="47"/>
      <c r="E11" s="20">
        <v>360528</v>
      </c>
      <c r="F11" s="19" t="s">
        <v>56</v>
      </c>
      <c r="G11" s="20">
        <v>360528</v>
      </c>
      <c r="H11" s="20"/>
      <c r="I11" s="30"/>
    </row>
    <row r="12" spans="1:9" x14ac:dyDescent="0.25">
      <c r="A12" s="110">
        <v>403723</v>
      </c>
      <c r="B12" s="19" t="s">
        <v>53</v>
      </c>
      <c r="C12" s="35">
        <v>461827</v>
      </c>
      <c r="D12" s="47"/>
      <c r="E12" s="20">
        <v>149640</v>
      </c>
      <c r="F12" s="19" t="s">
        <v>57</v>
      </c>
      <c r="G12" s="20">
        <v>149640</v>
      </c>
      <c r="H12" s="20"/>
    </row>
    <row r="13" spans="1:9" x14ac:dyDescent="0.25">
      <c r="A13" s="110">
        <v>41278</v>
      </c>
      <c r="B13" s="19" t="s">
        <v>209</v>
      </c>
      <c r="C13" s="103">
        <v>38640</v>
      </c>
      <c r="D13" s="47">
        <f>SUM(C10:C13)</f>
        <v>1686567</v>
      </c>
      <c r="E13" s="20">
        <v>125280</v>
      </c>
      <c r="F13" s="19" t="s">
        <v>58</v>
      </c>
      <c r="G13" s="20">
        <v>125280</v>
      </c>
      <c r="H13" s="20"/>
    </row>
    <row r="14" spans="1:9" x14ac:dyDescent="0.25">
      <c r="A14" s="110"/>
      <c r="B14" s="19"/>
      <c r="C14" s="35"/>
      <c r="D14" s="47"/>
      <c r="E14" s="20">
        <v>20184</v>
      </c>
      <c r="F14" s="19" t="s">
        <v>59</v>
      </c>
      <c r="G14" s="20">
        <v>20184</v>
      </c>
      <c r="H14" s="20"/>
    </row>
    <row r="15" spans="1:9" x14ac:dyDescent="0.25">
      <c r="A15" s="110"/>
      <c r="B15" s="50" t="s">
        <v>150</v>
      </c>
      <c r="C15" s="35"/>
      <c r="D15" s="47"/>
      <c r="E15" s="20">
        <v>565848</v>
      </c>
      <c r="F15" s="19" t="s">
        <v>60</v>
      </c>
      <c r="G15" s="20">
        <v>565848</v>
      </c>
      <c r="H15" s="20"/>
    </row>
    <row r="16" spans="1:9" x14ac:dyDescent="0.25">
      <c r="A16" s="110">
        <v>172400</v>
      </c>
      <c r="B16" s="19" t="s">
        <v>84</v>
      </c>
      <c r="C16" s="35">
        <v>181419</v>
      </c>
      <c r="D16" s="47"/>
      <c r="E16" s="20">
        <v>48804</v>
      </c>
      <c r="F16" s="19" t="s">
        <v>61</v>
      </c>
      <c r="G16" s="20">
        <v>45297</v>
      </c>
      <c r="H16" s="20"/>
    </row>
    <row r="17" spans="1:10" x14ac:dyDescent="0.25">
      <c r="A17" s="110">
        <v>7698</v>
      </c>
      <c r="B17" s="19" t="s">
        <v>86</v>
      </c>
      <c r="C17" s="35">
        <f>10191+17500-15000</f>
        <v>12691</v>
      </c>
      <c r="D17" s="47"/>
      <c r="E17" s="20">
        <v>630383</v>
      </c>
      <c r="F17" s="19" t="s">
        <v>50</v>
      </c>
      <c r="G17" s="20">
        <v>756477</v>
      </c>
      <c r="H17" s="20"/>
    </row>
    <row r="18" spans="1:10" x14ac:dyDescent="0.25">
      <c r="A18" s="110">
        <v>150504</v>
      </c>
      <c r="B18" s="19" t="s">
        <v>87</v>
      </c>
      <c r="C18" s="35">
        <f>168130+10500+7000-10000-19600</f>
        <v>156030</v>
      </c>
      <c r="D18" s="47"/>
      <c r="E18" s="20">
        <v>34050</v>
      </c>
      <c r="F18" s="19" t="s">
        <v>62</v>
      </c>
      <c r="G18" s="20">
        <v>40100</v>
      </c>
      <c r="H18" s="20"/>
    </row>
    <row r="19" spans="1:10" x14ac:dyDescent="0.25">
      <c r="A19" s="110">
        <v>0</v>
      </c>
      <c r="B19" s="19" t="s">
        <v>274</v>
      </c>
      <c r="C19" s="35">
        <f>9000+10000</f>
        <v>19000</v>
      </c>
      <c r="D19" s="47"/>
      <c r="E19" s="20">
        <v>546120</v>
      </c>
      <c r="F19" s="19" t="s">
        <v>51</v>
      </c>
      <c r="G19" s="20">
        <v>546120</v>
      </c>
      <c r="H19" s="20"/>
    </row>
    <row r="20" spans="1:10" x14ac:dyDescent="0.25">
      <c r="A20" s="110">
        <v>16335</v>
      </c>
      <c r="B20" s="19" t="s">
        <v>88</v>
      </c>
      <c r="C20" s="35">
        <v>32038</v>
      </c>
      <c r="D20" s="47"/>
      <c r="E20" s="20">
        <v>128760</v>
      </c>
      <c r="F20" s="19" t="s">
        <v>63</v>
      </c>
      <c r="G20" s="20">
        <v>128760</v>
      </c>
      <c r="H20" s="20"/>
    </row>
    <row r="21" spans="1:10" x14ac:dyDescent="0.25">
      <c r="A21" s="110">
        <v>9020</v>
      </c>
      <c r="B21" s="19" t="s">
        <v>89</v>
      </c>
      <c r="C21" s="35">
        <f>10000+5000+19600</f>
        <v>34600</v>
      </c>
      <c r="D21" s="47"/>
      <c r="E21" s="20">
        <v>94745</v>
      </c>
      <c r="F21" s="19" t="s">
        <v>64</v>
      </c>
      <c r="G21" s="20">
        <f>97860</f>
        <v>97860</v>
      </c>
      <c r="H21" s="20"/>
    </row>
    <row r="22" spans="1:10" x14ac:dyDescent="0.25">
      <c r="A22" s="110">
        <v>7000</v>
      </c>
      <c r="B22" s="19" t="s">
        <v>175</v>
      </c>
      <c r="C22" s="103">
        <f>16500-10500</f>
        <v>6000</v>
      </c>
      <c r="D22" s="47">
        <f>SUM(C16:C22)</f>
        <v>441778</v>
      </c>
      <c r="E22" s="20">
        <v>0</v>
      </c>
      <c r="F22" s="19" t="s">
        <v>65</v>
      </c>
      <c r="G22" s="20">
        <v>177</v>
      </c>
      <c r="H22" s="20"/>
    </row>
    <row r="23" spans="1:10" x14ac:dyDescent="0.25">
      <c r="A23" s="110"/>
      <c r="B23" s="19"/>
      <c r="C23" s="35"/>
      <c r="D23" s="47"/>
      <c r="E23" s="20">
        <v>6400</v>
      </c>
      <c r="F23" s="19" t="s">
        <v>66</v>
      </c>
      <c r="G23" s="20">
        <v>19150</v>
      </c>
      <c r="H23" s="20"/>
      <c r="I23" s="30"/>
      <c r="J23" s="99"/>
    </row>
    <row r="24" spans="1:10" x14ac:dyDescent="0.25">
      <c r="A24" s="110"/>
      <c r="B24" s="50" t="s">
        <v>151</v>
      </c>
      <c r="C24" s="35"/>
      <c r="D24" s="47"/>
      <c r="E24" s="20">
        <v>93200</v>
      </c>
      <c r="F24" s="19" t="s">
        <v>67</v>
      </c>
      <c r="G24" s="20">
        <v>100250</v>
      </c>
      <c r="H24" s="20"/>
      <c r="I24" s="99"/>
      <c r="J24" s="38"/>
    </row>
    <row r="25" spans="1:10" x14ac:dyDescent="0.25">
      <c r="A25" s="110">
        <v>577000</v>
      </c>
      <c r="B25" s="19" t="s">
        <v>73</v>
      </c>
      <c r="C25" s="35">
        <v>581393</v>
      </c>
      <c r="D25" s="47"/>
      <c r="E25" s="23">
        <v>76232</v>
      </c>
      <c r="F25" s="19" t="s">
        <v>68</v>
      </c>
      <c r="G25" s="23">
        <f>89169</f>
        <v>89169</v>
      </c>
      <c r="H25" s="47">
        <f>SUM(G10:G25)</f>
        <v>3254336</v>
      </c>
      <c r="J25" s="30"/>
    </row>
    <row r="26" spans="1:10" x14ac:dyDescent="0.25">
      <c r="A26" s="110">
        <v>5461</v>
      </c>
      <c r="B26" s="19" t="s">
        <v>74</v>
      </c>
      <c r="C26" s="35">
        <v>11145</v>
      </c>
      <c r="D26" s="47"/>
      <c r="E26" s="16"/>
      <c r="F26" s="19"/>
      <c r="G26" s="20"/>
      <c r="H26" s="47"/>
      <c r="J26" s="99"/>
    </row>
    <row r="27" spans="1:10" x14ac:dyDescent="0.25">
      <c r="A27" s="110">
        <v>6000</v>
      </c>
      <c r="B27" s="19" t="s">
        <v>75</v>
      </c>
      <c r="C27" s="35">
        <v>5800</v>
      </c>
      <c r="D27" s="47"/>
      <c r="E27" s="16"/>
      <c r="F27" s="50" t="s">
        <v>69</v>
      </c>
      <c r="G27" s="20"/>
      <c r="H27" s="47"/>
    </row>
    <row r="28" spans="1:10" x14ac:dyDescent="0.25">
      <c r="A28" s="110">
        <v>17345</v>
      </c>
      <c r="B28" s="19" t="s">
        <v>76</v>
      </c>
      <c r="C28" s="35">
        <v>20060</v>
      </c>
      <c r="D28" s="47"/>
      <c r="E28" s="16">
        <v>3250</v>
      </c>
      <c r="F28" s="19" t="s">
        <v>70</v>
      </c>
      <c r="G28" s="35">
        <f>698+1078</f>
        <v>1776</v>
      </c>
      <c r="H28" s="47"/>
    </row>
    <row r="29" spans="1:10" x14ac:dyDescent="0.25">
      <c r="A29" s="110">
        <v>30226</v>
      </c>
      <c r="B29" s="19" t="s">
        <v>85</v>
      </c>
      <c r="C29" s="35">
        <v>32661</v>
      </c>
      <c r="D29" s="47"/>
      <c r="E29" s="16">
        <v>270283</v>
      </c>
      <c r="F29" s="19" t="s">
        <v>71</v>
      </c>
      <c r="G29" s="20">
        <v>289277</v>
      </c>
      <c r="H29" s="47"/>
    </row>
    <row r="30" spans="1:10" x14ac:dyDescent="0.25">
      <c r="A30" s="110">
        <v>192000</v>
      </c>
      <c r="B30" s="19" t="s">
        <v>207</v>
      </c>
      <c r="C30" s="103">
        <v>208000</v>
      </c>
      <c r="D30" s="47">
        <f>SUM(C25:C30)</f>
        <v>859059</v>
      </c>
      <c r="E30" s="16">
        <v>-32640</v>
      </c>
      <c r="F30" s="19" t="s">
        <v>121</v>
      </c>
      <c r="G30" s="23">
        <v>-40426</v>
      </c>
      <c r="H30" s="47">
        <f>SUM(G28:G30)</f>
        <v>250627</v>
      </c>
    </row>
    <row r="31" spans="1:10" x14ac:dyDescent="0.25">
      <c r="A31" s="110"/>
      <c r="B31" s="19"/>
      <c r="C31" s="35"/>
      <c r="D31" s="47"/>
      <c r="E31" s="16"/>
      <c r="F31" s="19"/>
      <c r="G31" s="20"/>
      <c r="H31" s="47"/>
    </row>
    <row r="32" spans="1:10" x14ac:dyDescent="0.25">
      <c r="A32" s="110"/>
      <c r="B32" s="50" t="s">
        <v>152</v>
      </c>
      <c r="C32" s="35"/>
      <c r="D32" s="47"/>
      <c r="E32" s="16"/>
      <c r="F32" s="50" t="s">
        <v>72</v>
      </c>
      <c r="G32" s="20"/>
      <c r="H32" s="47"/>
    </row>
    <row r="33" spans="1:10" x14ac:dyDescent="0.25">
      <c r="A33" s="110">
        <v>12000</v>
      </c>
      <c r="B33" s="19" t="s">
        <v>77</v>
      </c>
      <c r="C33" s="35">
        <v>12000</v>
      </c>
      <c r="D33" s="47"/>
      <c r="E33" s="16">
        <v>2</v>
      </c>
      <c r="F33" s="19" t="s">
        <v>244</v>
      </c>
      <c r="G33" s="20"/>
      <c r="H33" s="47">
        <v>1760</v>
      </c>
    </row>
    <row r="34" spans="1:10" x14ac:dyDescent="0.25">
      <c r="A34" s="110">
        <v>0</v>
      </c>
      <c r="B34" s="19" t="s">
        <v>327</v>
      </c>
      <c r="C34" s="35">
        <v>15000</v>
      </c>
      <c r="D34" s="47"/>
      <c r="E34" s="16"/>
      <c r="F34" s="19"/>
      <c r="G34" s="20"/>
      <c r="H34" s="47"/>
    </row>
    <row r="35" spans="1:10" x14ac:dyDescent="0.25">
      <c r="A35" s="110">
        <v>3938</v>
      </c>
      <c r="B35" s="19" t="s">
        <v>78</v>
      </c>
      <c r="C35" s="35">
        <v>6052</v>
      </c>
      <c r="D35" s="47"/>
      <c r="E35" s="16">
        <v>0</v>
      </c>
      <c r="F35" s="140" t="s">
        <v>322</v>
      </c>
      <c r="G35" s="20"/>
      <c r="H35" s="47">
        <f>1057126.4+535540</f>
        <v>1592666.4</v>
      </c>
    </row>
    <row r="36" spans="1:10" x14ac:dyDescent="0.25">
      <c r="A36" s="110">
        <v>6209</v>
      </c>
      <c r="B36" s="19" t="s">
        <v>79</v>
      </c>
      <c r="C36" s="35">
        <v>1237</v>
      </c>
      <c r="D36" s="47"/>
      <c r="E36" s="16"/>
      <c r="F36" s="134"/>
      <c r="G36" s="20"/>
      <c r="H36" s="47"/>
    </row>
    <row r="37" spans="1:10" x14ac:dyDescent="0.25">
      <c r="A37" s="110">
        <v>15072</v>
      </c>
      <c r="B37" s="19" t="s">
        <v>80</v>
      </c>
      <c r="C37" s="35">
        <v>3631</v>
      </c>
      <c r="D37" s="47"/>
      <c r="E37" s="16">
        <f>A52-SUM(E9:E33)</f>
        <v>89258.120000000112</v>
      </c>
      <c r="F37" s="94" t="s">
        <v>321</v>
      </c>
      <c r="G37" s="20"/>
      <c r="H37" s="47"/>
      <c r="J37" s="99"/>
    </row>
    <row r="38" spans="1:10" x14ac:dyDescent="0.25">
      <c r="A38" s="110">
        <v>18</v>
      </c>
      <c r="B38" s="19" t="s">
        <v>128</v>
      </c>
      <c r="C38" s="35">
        <v>272</v>
      </c>
      <c r="D38" s="47"/>
      <c r="E38" s="16"/>
      <c r="F38" s="19"/>
      <c r="G38" s="20"/>
      <c r="H38" s="47"/>
    </row>
    <row r="39" spans="1:10" x14ac:dyDescent="0.25">
      <c r="A39" s="110">
        <v>79700</v>
      </c>
      <c r="B39" s="19" t="s">
        <v>81</v>
      </c>
      <c r="C39" s="35">
        <v>11660</v>
      </c>
      <c r="D39" s="47"/>
      <c r="E39" s="16"/>
      <c r="F39" s="19"/>
      <c r="G39" s="20"/>
      <c r="H39" s="47"/>
    </row>
    <row r="40" spans="1:10" x14ac:dyDescent="0.25">
      <c r="A40" s="110">
        <v>31000</v>
      </c>
      <c r="B40" s="19" t="s">
        <v>82</v>
      </c>
      <c r="C40" s="35">
        <v>4328</v>
      </c>
      <c r="D40" s="47"/>
      <c r="E40" s="16"/>
      <c r="F40" s="19"/>
      <c r="G40" s="20"/>
      <c r="H40" s="47"/>
    </row>
    <row r="41" spans="1:10" x14ac:dyDescent="0.25">
      <c r="A41" s="110">
        <v>25409</v>
      </c>
      <c r="B41" s="19" t="s">
        <v>208</v>
      </c>
      <c r="C41" s="35">
        <v>0</v>
      </c>
      <c r="D41" s="47"/>
      <c r="E41" s="16"/>
      <c r="F41" s="19"/>
      <c r="G41" s="20"/>
      <c r="H41" s="47"/>
    </row>
    <row r="42" spans="1:10" x14ac:dyDescent="0.25">
      <c r="A42" s="110">
        <v>826</v>
      </c>
      <c r="B42" s="19" t="s">
        <v>124</v>
      </c>
      <c r="C42" s="35">
        <v>826</v>
      </c>
      <c r="D42" s="47"/>
      <c r="E42" s="16"/>
      <c r="F42" s="19"/>
      <c r="G42" s="20"/>
      <c r="H42" s="47"/>
    </row>
    <row r="43" spans="1:10" x14ac:dyDescent="0.25">
      <c r="A43" s="110">
        <v>24500</v>
      </c>
      <c r="B43" s="19" t="s">
        <v>125</v>
      </c>
      <c r="C43" s="35">
        <f>4614+38000</f>
        <v>42614</v>
      </c>
      <c r="D43" s="47"/>
      <c r="E43" s="16"/>
      <c r="F43" s="19"/>
      <c r="G43" s="20"/>
      <c r="H43" s="47"/>
    </row>
    <row r="44" spans="1:10" x14ac:dyDescent="0.25">
      <c r="A44" s="110">
        <v>3939</v>
      </c>
      <c r="B44" s="19" t="s">
        <v>212</v>
      </c>
      <c r="C44" s="35">
        <v>0</v>
      </c>
      <c r="D44" s="47"/>
      <c r="E44" s="16"/>
      <c r="F44" s="19"/>
      <c r="G44" s="20"/>
      <c r="H44" s="47"/>
    </row>
    <row r="45" spans="1:10" x14ac:dyDescent="0.25">
      <c r="A45" s="110">
        <v>16473</v>
      </c>
      <c r="B45" s="19" t="s">
        <v>90</v>
      </c>
      <c r="C45" s="35">
        <v>7953</v>
      </c>
      <c r="D45" s="47"/>
      <c r="E45" s="16"/>
      <c r="F45" s="19"/>
      <c r="G45" s="20"/>
      <c r="H45" s="47"/>
    </row>
    <row r="46" spans="1:10" x14ac:dyDescent="0.25">
      <c r="A46" s="110">
        <v>12000</v>
      </c>
      <c r="B46" s="19" t="s">
        <v>211</v>
      </c>
      <c r="C46" s="35">
        <v>20800</v>
      </c>
      <c r="D46" s="47"/>
      <c r="E46" s="16"/>
      <c r="F46" s="19"/>
      <c r="G46" s="20"/>
      <c r="H46" s="47"/>
    </row>
    <row r="47" spans="1:10" x14ac:dyDescent="0.25">
      <c r="A47" s="110">
        <v>258352</v>
      </c>
      <c r="B47" s="19" t="s">
        <v>148</v>
      </c>
      <c r="C47" s="35">
        <f>'Sch VI'!G17</f>
        <v>219631</v>
      </c>
      <c r="D47" s="47"/>
      <c r="E47" s="16"/>
      <c r="F47" s="19"/>
      <c r="G47" s="20"/>
      <c r="H47" s="47"/>
    </row>
    <row r="48" spans="1:10" x14ac:dyDescent="0.25">
      <c r="A48" s="16">
        <v>849.12</v>
      </c>
      <c r="B48" s="19" t="s">
        <v>83</v>
      </c>
      <c r="C48" s="23">
        <v>1183.4000000000001</v>
      </c>
      <c r="D48" s="47">
        <f>SUM(C33:C48)</f>
        <v>347187.4</v>
      </c>
      <c r="E48" s="16"/>
      <c r="F48" s="19"/>
      <c r="G48" s="20"/>
      <c r="H48" s="47"/>
    </row>
    <row r="49" spans="1:8" x14ac:dyDescent="0.25">
      <c r="A49" s="16"/>
      <c r="B49" s="134"/>
      <c r="C49" s="20"/>
      <c r="D49" s="47"/>
      <c r="E49" s="16"/>
      <c r="F49" s="19"/>
      <c r="G49" s="20"/>
      <c r="H49" s="47"/>
    </row>
    <row r="50" spans="1:8" x14ac:dyDescent="0.25">
      <c r="A50" s="16">
        <v>0</v>
      </c>
      <c r="B50" s="139" t="s">
        <v>320</v>
      </c>
      <c r="C50" s="20"/>
      <c r="D50" s="47">
        <f>ROUND((H52-SUM(D9:D49))*25%,)</f>
        <v>441200</v>
      </c>
      <c r="E50" s="16"/>
      <c r="F50" s="19"/>
      <c r="G50" s="20"/>
      <c r="H50" s="47"/>
    </row>
    <row r="51" spans="1:8" x14ac:dyDescent="0.25">
      <c r="A51" s="26">
        <v>0</v>
      </c>
      <c r="B51" s="94" t="s">
        <v>319</v>
      </c>
      <c r="C51" s="47"/>
      <c r="D51" s="47">
        <f>H52-SUM(D9:D50)</f>
        <v>1323598.0000000005</v>
      </c>
      <c r="E51" s="16"/>
      <c r="F51" s="19"/>
      <c r="G51" s="23"/>
      <c r="H51" s="47"/>
    </row>
    <row r="52" spans="1:8" ht="15.75" thickBot="1" x14ac:dyDescent="0.3">
      <c r="A52" s="42">
        <f>SUM(A9:A48)</f>
        <v>3419823.12</v>
      </c>
      <c r="B52" s="147" t="s">
        <v>37</v>
      </c>
      <c r="C52" s="148"/>
      <c r="D52" s="42">
        <f>SUM(D9:D48)</f>
        <v>3334591.4</v>
      </c>
      <c r="E52" s="49">
        <f>SUM(E9:E51)</f>
        <v>3419823.12</v>
      </c>
      <c r="F52" s="147" t="s">
        <v>37</v>
      </c>
      <c r="G52" s="152"/>
      <c r="H52" s="49">
        <f>SUM(H9:H51)</f>
        <v>5099389.4000000004</v>
      </c>
    </row>
    <row r="53" spans="1:8" ht="15.75" thickTop="1" x14ac:dyDescent="0.25">
      <c r="A53" s="2">
        <f>A52-E52</f>
        <v>0</v>
      </c>
      <c r="H53" s="2">
        <f>H52-D52</f>
        <v>1764798.0000000005</v>
      </c>
    </row>
    <row r="54" spans="1:8" ht="15.75" x14ac:dyDescent="0.25">
      <c r="A54" s="2" t="s">
        <v>144</v>
      </c>
      <c r="E54" s="143" t="s">
        <v>145</v>
      </c>
      <c r="F54" s="143"/>
      <c r="G54" s="143"/>
      <c r="H54" s="143"/>
    </row>
    <row r="60" spans="1:8" x14ac:dyDescent="0.25">
      <c r="A60" s="10">
        <f>BS!A51</f>
        <v>0</v>
      </c>
    </row>
    <row r="61" spans="1:8" x14ac:dyDescent="0.25">
      <c r="A61" s="10" t="str">
        <f>BS!A52</f>
        <v>Certified Panel Auditor</v>
      </c>
      <c r="E61" s="144" t="s">
        <v>146</v>
      </c>
      <c r="F61" s="144"/>
      <c r="G61" s="144"/>
      <c r="H61" s="144"/>
    </row>
    <row r="63" spans="1:8" x14ac:dyDescent="0.25">
      <c r="A63" s="10" t="s">
        <v>123</v>
      </c>
    </row>
    <row r="64" spans="1:8" x14ac:dyDescent="0.25">
      <c r="A64" s="10" t="str">
        <f>BS!A55</f>
        <v>Date:</v>
      </c>
    </row>
  </sheetData>
  <mergeCells count="11">
    <mergeCell ref="E54:H54"/>
    <mergeCell ref="E61:H61"/>
    <mergeCell ref="B52:C52"/>
    <mergeCell ref="F52:G52"/>
    <mergeCell ref="A1:H1"/>
    <mergeCell ref="A2:H2"/>
    <mergeCell ref="A3:H3"/>
    <mergeCell ref="A4:H4"/>
    <mergeCell ref="A6:H6"/>
    <mergeCell ref="B8:C8"/>
    <mergeCell ref="F8:G8"/>
  </mergeCells>
  <printOptions horizontalCentered="1"/>
  <pageMargins left="0.19685039370078741" right="0.19685039370078741" top="0.9055118110236221" bottom="0.31496062992125984" header="0.31496062992125984" footer="0.31496062992125984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95CF-D52F-498D-857A-43EEFF6F3FA8}">
  <sheetPr>
    <pageSetUpPr fitToPage="1"/>
  </sheetPr>
  <dimension ref="A1:I38"/>
  <sheetViews>
    <sheetView topLeftCell="A7" workbookViewId="0">
      <selection activeCell="E17" sqref="E17"/>
    </sheetView>
  </sheetViews>
  <sheetFormatPr defaultRowHeight="15" x14ac:dyDescent="0.25"/>
  <cols>
    <col min="1" max="1" width="5.85546875" style="3" customWidth="1"/>
    <col min="2" max="2" width="16.7109375" style="65" customWidth="1"/>
    <col min="3" max="3" width="40.140625" customWidth="1"/>
    <col min="4" max="4" width="16.5703125" style="2" hidden="1" customWidth="1"/>
    <col min="5" max="5" width="17.140625" style="2" customWidth="1"/>
  </cols>
  <sheetData>
    <row r="1" spans="1:9" ht="18.75" x14ac:dyDescent="0.3">
      <c r="A1" s="155" t="s">
        <v>159</v>
      </c>
      <c r="B1" s="155"/>
      <c r="C1" s="155"/>
      <c r="D1" s="155"/>
      <c r="E1" s="155"/>
      <c r="F1" s="1"/>
      <c r="G1" s="1"/>
      <c r="H1" s="1"/>
      <c r="I1" s="1"/>
    </row>
    <row r="2" spans="1:9" x14ac:dyDescent="0.25">
      <c r="A2" s="40"/>
      <c r="B2" s="41"/>
      <c r="C2" s="40"/>
      <c r="D2" s="40"/>
      <c r="E2" s="40"/>
      <c r="F2" s="1"/>
      <c r="G2" s="1"/>
      <c r="H2" s="1"/>
      <c r="I2" s="1"/>
    </row>
    <row r="3" spans="1:9" ht="18.75" x14ac:dyDescent="0.3">
      <c r="A3" s="155" t="s">
        <v>160</v>
      </c>
      <c r="B3" s="155"/>
      <c r="C3" s="155"/>
      <c r="D3" s="155"/>
      <c r="E3" s="155"/>
      <c r="F3" s="1"/>
      <c r="G3" s="1"/>
      <c r="H3" s="1"/>
      <c r="I3" s="1"/>
    </row>
    <row r="4" spans="1:9" ht="15.75" x14ac:dyDescent="0.25">
      <c r="A4" s="143" t="s">
        <v>275</v>
      </c>
      <c r="B4" s="143"/>
      <c r="C4" s="143"/>
      <c r="D4" s="143"/>
      <c r="E4" s="143"/>
    </row>
    <row r="5" spans="1:9" x14ac:dyDescent="0.25">
      <c r="C5" s="3"/>
      <c r="D5" s="3"/>
      <c r="E5" s="60" t="s">
        <v>147</v>
      </c>
    </row>
    <row r="6" spans="1:9" ht="15.75" thickBot="1" x14ac:dyDescent="0.3">
      <c r="A6" s="61" t="s">
        <v>17</v>
      </c>
      <c r="B6" s="62" t="s">
        <v>176</v>
      </c>
      <c r="C6" s="61" t="s">
        <v>13</v>
      </c>
      <c r="D6" s="62" t="s">
        <v>19</v>
      </c>
      <c r="E6" s="62" t="s">
        <v>246</v>
      </c>
    </row>
    <row r="7" spans="1:9" ht="15.75" thickTop="1" x14ac:dyDescent="0.25">
      <c r="A7" s="27">
        <v>1</v>
      </c>
      <c r="B7" s="63"/>
      <c r="C7" s="50" t="s">
        <v>226</v>
      </c>
      <c r="D7" s="16"/>
      <c r="E7" s="16"/>
    </row>
    <row r="8" spans="1:9" x14ac:dyDescent="0.25">
      <c r="A8" s="27"/>
      <c r="B8" s="63">
        <v>997845.24000000011</v>
      </c>
      <c r="C8" s="19" t="s">
        <v>18</v>
      </c>
      <c r="D8" s="16">
        <v>1591358.84</v>
      </c>
      <c r="E8" s="16">
        <f>B12</f>
        <v>1099257.2400000002</v>
      </c>
    </row>
    <row r="9" spans="1:9" x14ac:dyDescent="0.25">
      <c r="A9" s="27"/>
      <c r="B9" s="63">
        <v>68772</v>
      </c>
      <c r="C9" s="19" t="s">
        <v>20</v>
      </c>
      <c r="D9" s="16">
        <v>68772</v>
      </c>
      <c r="E9" s="16">
        <v>68772</v>
      </c>
    </row>
    <row r="10" spans="1:9" x14ac:dyDescent="0.25">
      <c r="A10" s="27"/>
      <c r="B10" s="66">
        <f>-IE!E30</f>
        <v>32640</v>
      </c>
      <c r="C10" s="19" t="s">
        <v>21</v>
      </c>
      <c r="D10" s="16">
        <f>-IE!E30</f>
        <v>32640</v>
      </c>
      <c r="E10" s="16">
        <f>-IE!G30</f>
        <v>40426</v>
      </c>
    </row>
    <row r="11" spans="1:9" x14ac:dyDescent="0.25">
      <c r="A11" s="27"/>
      <c r="B11" s="66">
        <v>0</v>
      </c>
      <c r="C11" s="19" t="s">
        <v>126</v>
      </c>
      <c r="D11" s="16"/>
      <c r="E11" s="16">
        <v>0</v>
      </c>
    </row>
    <row r="12" spans="1:9" ht="15.75" thickBot="1" x14ac:dyDescent="0.3">
      <c r="A12" s="28"/>
      <c r="B12" s="62">
        <f>SUM(B8:B11)</f>
        <v>1099257.2400000002</v>
      </c>
      <c r="C12" s="43" t="s">
        <v>220</v>
      </c>
      <c r="D12" s="42">
        <f>SUM(D8:D10)</f>
        <v>1692770.84</v>
      </c>
      <c r="E12" s="62">
        <f>SUM(E8:E11)</f>
        <v>1208455.2400000002</v>
      </c>
    </row>
    <row r="13" spans="1:9" ht="15.75" thickTop="1" x14ac:dyDescent="0.25">
      <c r="A13" s="27"/>
      <c r="B13" s="63"/>
      <c r="C13" s="19"/>
      <c r="D13" s="16"/>
      <c r="E13" s="16"/>
    </row>
    <row r="14" spans="1:9" x14ac:dyDescent="0.25">
      <c r="A14" s="27">
        <v>2</v>
      </c>
      <c r="B14" s="63"/>
      <c r="C14" s="50" t="s">
        <v>227</v>
      </c>
      <c r="D14" s="16"/>
      <c r="E14" s="16"/>
    </row>
    <row r="15" spans="1:9" x14ac:dyDescent="0.25">
      <c r="A15" s="27"/>
      <c r="B15" s="63">
        <v>0</v>
      </c>
      <c r="C15" s="19" t="s">
        <v>18</v>
      </c>
      <c r="D15" s="16">
        <v>604544</v>
      </c>
      <c r="E15" s="16">
        <f>SUM(B19)</f>
        <v>26200</v>
      </c>
    </row>
    <row r="16" spans="1:9" x14ac:dyDescent="0.25">
      <c r="A16" s="27"/>
      <c r="B16" s="63">
        <v>26200</v>
      </c>
      <c r="C16" s="19" t="s">
        <v>20</v>
      </c>
      <c r="D16" s="16">
        <v>0</v>
      </c>
      <c r="E16" s="16">
        <f>25600+25600+600</f>
        <v>51800</v>
      </c>
    </row>
    <row r="17" spans="1:5" x14ac:dyDescent="0.25">
      <c r="A17" s="27"/>
      <c r="B17" s="66">
        <v>0</v>
      </c>
      <c r="C17" s="19" t="s">
        <v>91</v>
      </c>
      <c r="D17" s="16" t="e">
        <f>IE!#REF!</f>
        <v>#REF!</v>
      </c>
      <c r="E17" s="16">
        <f>IE!D50</f>
        <v>441200</v>
      </c>
    </row>
    <row r="18" spans="1:5" x14ac:dyDescent="0.25">
      <c r="A18" s="27"/>
      <c r="B18" s="66">
        <v>0</v>
      </c>
      <c r="C18" s="19" t="s">
        <v>126</v>
      </c>
      <c r="D18" s="16"/>
      <c r="E18" s="16">
        <v>0</v>
      </c>
    </row>
    <row r="19" spans="1:5" ht="15.75" thickBot="1" x14ac:dyDescent="0.3">
      <c r="A19" s="28"/>
      <c r="B19" s="62">
        <f>SUM(B15:B18)</f>
        <v>26200</v>
      </c>
      <c r="C19" s="43" t="s">
        <v>221</v>
      </c>
      <c r="D19" s="42" t="e">
        <f>SUM(D15:D17)</f>
        <v>#REF!</v>
      </c>
      <c r="E19" s="62">
        <f>SUM(E15:E18)</f>
        <v>519200</v>
      </c>
    </row>
    <row r="20" spans="1:5" ht="15.75" thickTop="1" x14ac:dyDescent="0.25">
      <c r="A20" s="27"/>
      <c r="B20" s="63"/>
      <c r="C20" s="57"/>
      <c r="D20" s="16"/>
      <c r="E20" s="16"/>
    </row>
    <row r="21" spans="1:5" x14ac:dyDescent="0.25">
      <c r="A21" s="27">
        <v>3</v>
      </c>
      <c r="B21" s="63"/>
      <c r="C21" s="50" t="s">
        <v>228</v>
      </c>
      <c r="D21" s="16"/>
      <c r="E21" s="16"/>
    </row>
    <row r="22" spans="1:5" x14ac:dyDescent="0.25">
      <c r="A22" s="27"/>
      <c r="B22" s="63">
        <v>3190000</v>
      </c>
      <c r="C22" s="19" t="s">
        <v>18</v>
      </c>
      <c r="D22" s="16"/>
      <c r="E22" s="16">
        <f>B23</f>
        <v>3190000</v>
      </c>
    </row>
    <row r="23" spans="1:5" ht="15.75" thickBot="1" x14ac:dyDescent="0.3">
      <c r="A23" s="28"/>
      <c r="B23" s="42">
        <f>SUM(B22:B22)</f>
        <v>3190000</v>
      </c>
      <c r="C23" s="43" t="s">
        <v>222</v>
      </c>
      <c r="D23" s="42">
        <v>3190000</v>
      </c>
      <c r="E23" s="42">
        <f>SUM(E22:E22)</f>
        <v>3190000</v>
      </c>
    </row>
    <row r="24" spans="1:5" ht="15.75" thickTop="1" x14ac:dyDescent="0.25">
      <c r="A24" s="27"/>
      <c r="B24" s="63"/>
      <c r="C24" s="19"/>
      <c r="D24" s="16"/>
      <c r="E24" s="16"/>
    </row>
    <row r="25" spans="1:5" x14ac:dyDescent="0.25">
      <c r="A25" s="27">
        <v>4</v>
      </c>
      <c r="B25" s="63"/>
      <c r="C25" s="50" t="s">
        <v>230</v>
      </c>
      <c r="D25" s="16"/>
      <c r="E25" s="16"/>
    </row>
    <row r="26" spans="1:5" x14ac:dyDescent="0.25">
      <c r="A26" s="27"/>
      <c r="B26" s="16">
        <v>0</v>
      </c>
      <c r="C26" s="19" t="s">
        <v>18</v>
      </c>
      <c r="D26" s="16">
        <v>0</v>
      </c>
      <c r="E26" s="16">
        <f>SUM(B29)</f>
        <v>116232</v>
      </c>
    </row>
    <row r="27" spans="1:5" x14ac:dyDescent="0.25">
      <c r="A27" s="27"/>
      <c r="B27" s="63">
        <v>116232</v>
      </c>
      <c r="C27" s="19" t="s">
        <v>20</v>
      </c>
      <c r="D27" s="16">
        <v>116232</v>
      </c>
      <c r="E27" s="16">
        <v>116232</v>
      </c>
    </row>
    <row r="28" spans="1:5" x14ac:dyDescent="0.25">
      <c r="A28" s="27"/>
      <c r="B28" s="63">
        <v>0</v>
      </c>
      <c r="C28" s="19" t="s">
        <v>126</v>
      </c>
      <c r="D28" s="16"/>
      <c r="E28" s="16">
        <v>0</v>
      </c>
    </row>
    <row r="29" spans="1:5" ht="15.75" thickBot="1" x14ac:dyDescent="0.3">
      <c r="A29" s="28"/>
      <c r="B29" s="101">
        <f>SUM(B26:B28)</f>
        <v>116232</v>
      </c>
      <c r="C29" s="43" t="s">
        <v>223</v>
      </c>
      <c r="D29" s="42">
        <f>SUM(D26:D27)</f>
        <v>116232</v>
      </c>
      <c r="E29" s="62">
        <f>SUM(E26:E28)</f>
        <v>232464</v>
      </c>
    </row>
    <row r="30" spans="1:5" ht="15.75" thickTop="1" x14ac:dyDescent="0.25">
      <c r="A30" s="27"/>
      <c r="B30" s="63"/>
      <c r="C30" s="19"/>
      <c r="D30" s="26"/>
      <c r="E30" s="26"/>
    </row>
    <row r="31" spans="1:5" x14ac:dyDescent="0.25">
      <c r="A31" s="27">
        <v>5</v>
      </c>
      <c r="B31" s="63"/>
      <c r="C31" s="50" t="s">
        <v>229</v>
      </c>
      <c r="D31" s="26"/>
      <c r="E31" s="26"/>
    </row>
    <row r="32" spans="1:5" x14ac:dyDescent="0.25">
      <c r="A32" s="27"/>
      <c r="B32" s="63">
        <v>0</v>
      </c>
      <c r="C32" s="19" t="s">
        <v>18</v>
      </c>
      <c r="D32" s="26"/>
      <c r="E32" s="39">
        <v>0</v>
      </c>
    </row>
    <row r="33" spans="1:6" x14ac:dyDescent="0.25">
      <c r="A33" s="27"/>
      <c r="B33" s="63">
        <v>0</v>
      </c>
      <c r="C33" s="19" t="s">
        <v>20</v>
      </c>
      <c r="D33" s="16">
        <v>0</v>
      </c>
      <c r="E33" s="39">
        <v>0</v>
      </c>
    </row>
    <row r="34" spans="1:6" x14ac:dyDescent="0.25">
      <c r="A34" s="27"/>
      <c r="B34" s="63">
        <v>0</v>
      </c>
      <c r="C34" s="19" t="s">
        <v>126</v>
      </c>
      <c r="D34" s="16">
        <v>0</v>
      </c>
      <c r="E34" s="39">
        <v>0</v>
      </c>
    </row>
    <row r="35" spans="1:6" ht="15.75" thickBot="1" x14ac:dyDescent="0.3">
      <c r="A35" s="28"/>
      <c r="B35" s="101">
        <f>SUM(B32:B34)</f>
        <v>0</v>
      </c>
      <c r="C35" s="43" t="s">
        <v>224</v>
      </c>
      <c r="D35" s="42">
        <f>SUM(D33:D34)</f>
        <v>0</v>
      </c>
      <c r="E35" s="42">
        <f>SUM(E32:E34)</f>
        <v>0</v>
      </c>
    </row>
    <row r="36" spans="1:6" ht="15.75" thickTop="1" x14ac:dyDescent="0.25">
      <c r="A36" s="27"/>
      <c r="B36" s="63"/>
      <c r="C36" s="22"/>
      <c r="D36" s="18"/>
      <c r="E36" s="18"/>
    </row>
    <row r="37" spans="1:6" ht="15.75" thickBot="1" x14ac:dyDescent="0.3">
      <c r="A37" s="64"/>
      <c r="B37" s="42">
        <f>SUM(B12,B19,B23,B29,B35)</f>
        <v>4431689.24</v>
      </c>
      <c r="C37" s="43" t="s">
        <v>225</v>
      </c>
      <c r="D37" s="29" t="e">
        <f>SUM(D12,D19,D23,D29,D35)</f>
        <v>#REF!</v>
      </c>
      <c r="E37" s="42">
        <f>SUM(E12,E19,E23,E29,E35)</f>
        <v>5150119.24</v>
      </c>
      <c r="F37" s="19"/>
    </row>
    <row r="38" spans="1:6" ht="15.75" thickTop="1" x14ac:dyDescent="0.25"/>
  </sheetData>
  <mergeCells count="3">
    <mergeCell ref="A4:E4"/>
    <mergeCell ref="A1:E1"/>
    <mergeCell ref="A3:E3"/>
  </mergeCells>
  <printOptions horizontalCentered="1"/>
  <pageMargins left="0.31496062992125984" right="0.31496062992125984" top="0.9055118110236221" bottom="0.31496062992125984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8A4C-5317-4900-B181-DF4586F52E36}">
  <sheetPr>
    <pageSetUpPr fitToPage="1"/>
  </sheetPr>
  <dimension ref="A1:R24"/>
  <sheetViews>
    <sheetView workbookViewId="0">
      <selection activeCell="D14" sqref="D14"/>
    </sheetView>
  </sheetViews>
  <sheetFormatPr defaultRowHeight="15" x14ac:dyDescent="0.25"/>
  <cols>
    <col min="1" max="1" width="5.7109375" style="3" customWidth="1"/>
    <col min="2" max="2" width="18.28515625" bestFit="1" customWidth="1"/>
    <col min="3" max="3" width="10.140625" style="3" bestFit="1" customWidth="1"/>
    <col min="4" max="4" width="12.5703125" style="12" bestFit="1" customWidth="1"/>
    <col min="5" max="7" width="10.42578125" style="12" customWidth="1"/>
    <col min="8" max="8" width="12.5703125" style="12" bestFit="1" customWidth="1"/>
    <col min="9" max="9" width="10.140625" style="3" bestFit="1" customWidth="1"/>
    <col min="10" max="10" width="7" style="3" bestFit="1" customWidth="1"/>
    <col min="11" max="11" width="12.5703125" style="12" bestFit="1" customWidth="1"/>
    <col min="12" max="12" width="7.42578125" bestFit="1" customWidth="1"/>
    <col min="15" max="15" width="10.140625" bestFit="1" customWidth="1"/>
    <col min="16" max="16" width="10.140625" customWidth="1"/>
    <col min="18" max="18" width="10.42578125" bestFit="1" customWidth="1"/>
  </cols>
  <sheetData>
    <row r="1" spans="1:18" ht="18.75" x14ac:dyDescent="0.3">
      <c r="A1" s="155" t="s">
        <v>159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8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8" ht="18.75" x14ac:dyDescent="0.3">
      <c r="A3" s="155" t="s">
        <v>161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8" ht="18.75" x14ac:dyDescent="0.3">
      <c r="A4" s="156" t="s">
        <v>308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168" t="s">
        <v>147</v>
      </c>
      <c r="L5" s="168"/>
    </row>
    <row r="6" spans="1:18" ht="30.75" thickBot="1" x14ac:dyDescent="0.3">
      <c r="A6" s="79" t="s">
        <v>17</v>
      </c>
      <c r="B6" s="79" t="s">
        <v>23</v>
      </c>
      <c r="C6" s="79" t="s">
        <v>24</v>
      </c>
      <c r="D6" s="120" t="s">
        <v>25</v>
      </c>
      <c r="E6" s="120" t="s">
        <v>168</v>
      </c>
      <c r="F6" s="120" t="s">
        <v>247</v>
      </c>
      <c r="G6" s="120" t="s">
        <v>262</v>
      </c>
      <c r="H6" s="120" t="s">
        <v>26</v>
      </c>
      <c r="I6" s="79" t="s">
        <v>27</v>
      </c>
      <c r="J6" s="79" t="s">
        <v>29</v>
      </c>
      <c r="K6" s="120" t="s">
        <v>28</v>
      </c>
      <c r="L6" s="120" t="s">
        <v>134</v>
      </c>
      <c r="N6" s="120" t="s">
        <v>317</v>
      </c>
      <c r="O6" s="120" t="s">
        <v>318</v>
      </c>
    </row>
    <row r="7" spans="1:18" ht="22.9" customHeight="1" thickTop="1" x14ac:dyDescent="0.25">
      <c r="A7" s="69"/>
      <c r="B7" s="94" t="s">
        <v>127</v>
      </c>
      <c r="C7" s="11"/>
      <c r="D7" s="37"/>
      <c r="E7" s="37"/>
      <c r="F7" s="37"/>
      <c r="G7" s="37"/>
      <c r="H7" s="37"/>
      <c r="I7" s="11"/>
      <c r="J7" s="11"/>
      <c r="K7" s="37"/>
      <c r="L7" s="70"/>
    </row>
    <row r="8" spans="1:18" x14ac:dyDescent="0.25">
      <c r="A8" s="28">
        <v>1</v>
      </c>
      <c r="B8" s="100" t="s">
        <v>307</v>
      </c>
      <c r="C8" s="28" t="s">
        <v>252</v>
      </c>
      <c r="D8" s="113">
        <v>346104</v>
      </c>
      <c r="E8" s="113">
        <v>0</v>
      </c>
      <c r="F8" s="113">
        <v>0</v>
      </c>
      <c r="G8" s="113">
        <f>3394-339</f>
        <v>3055</v>
      </c>
      <c r="H8" s="113">
        <f>SUM(D8:G8)</f>
        <v>349159</v>
      </c>
      <c r="I8" s="136"/>
      <c r="J8" s="137"/>
      <c r="K8" s="138"/>
      <c r="L8" s="115" t="s">
        <v>135</v>
      </c>
      <c r="N8">
        <f>21199+3394</f>
        <v>24593</v>
      </c>
      <c r="O8" s="102">
        <f>2121+339</f>
        <v>2460</v>
      </c>
      <c r="P8" s="102"/>
    </row>
    <row r="9" spans="1:18" x14ac:dyDescent="0.25">
      <c r="A9" s="28">
        <v>2</v>
      </c>
      <c r="B9" s="100" t="s">
        <v>313</v>
      </c>
      <c r="C9" s="28" t="s">
        <v>133</v>
      </c>
      <c r="D9" s="113">
        <v>82601</v>
      </c>
      <c r="E9" s="113">
        <v>0</v>
      </c>
      <c r="F9" s="113">
        <v>0</v>
      </c>
      <c r="G9" s="113">
        <f>581-59</f>
        <v>522</v>
      </c>
      <c r="H9" s="113">
        <f>SUM(D9:G9)</f>
        <v>83123</v>
      </c>
      <c r="I9" s="136"/>
      <c r="J9" s="137"/>
      <c r="K9" s="138"/>
      <c r="L9" s="115" t="s">
        <v>136</v>
      </c>
      <c r="N9">
        <f>5038+522</f>
        <v>5560</v>
      </c>
      <c r="O9" s="102">
        <v>557</v>
      </c>
      <c r="P9" s="102"/>
    </row>
    <row r="10" spans="1:18" x14ac:dyDescent="0.25">
      <c r="A10" s="28">
        <v>3</v>
      </c>
      <c r="B10" s="100">
        <v>42830019902</v>
      </c>
      <c r="C10" s="28" t="s">
        <v>187</v>
      </c>
      <c r="D10" s="113">
        <v>68772</v>
      </c>
      <c r="E10" s="113">
        <f>66-7</f>
        <v>59</v>
      </c>
      <c r="F10" s="113">
        <v>4452</v>
      </c>
      <c r="G10" s="113">
        <f>5268-527</f>
        <v>4741</v>
      </c>
      <c r="H10" s="113">
        <f>SUM(D10:G10)</f>
        <v>78024</v>
      </c>
      <c r="I10" s="28" t="s">
        <v>188</v>
      </c>
      <c r="J10" s="114">
        <v>7.0000000000000007E-2</v>
      </c>
      <c r="K10" s="113">
        <v>84222</v>
      </c>
      <c r="L10" s="115" t="s">
        <v>136</v>
      </c>
      <c r="N10">
        <f>527+4741</f>
        <v>5268</v>
      </c>
      <c r="O10" s="102">
        <v>527</v>
      </c>
      <c r="P10" s="102"/>
    </row>
    <row r="11" spans="1:18" x14ac:dyDescent="0.25">
      <c r="A11" s="28">
        <v>4</v>
      </c>
      <c r="B11" s="100">
        <v>43956273303</v>
      </c>
      <c r="C11" s="129" t="s">
        <v>243</v>
      </c>
      <c r="D11" s="113">
        <v>68772</v>
      </c>
      <c r="E11" s="130">
        <v>0</v>
      </c>
      <c r="F11" s="130">
        <v>36</v>
      </c>
      <c r="G11" s="130">
        <f>4945-495</f>
        <v>4450</v>
      </c>
      <c r="H11" s="113">
        <f>SUM(D11:G11)</f>
        <v>73258</v>
      </c>
      <c r="I11" s="128" t="s">
        <v>257</v>
      </c>
      <c r="J11" s="131">
        <v>7.0000000000000007E-2</v>
      </c>
      <c r="K11" s="130">
        <v>79011</v>
      </c>
      <c r="L11" s="115" t="s">
        <v>136</v>
      </c>
      <c r="N11">
        <f>495+4450</f>
        <v>4945</v>
      </c>
      <c r="O11" s="102">
        <v>495</v>
      </c>
      <c r="P11" s="102"/>
    </row>
    <row r="12" spans="1:18" x14ac:dyDescent="0.25">
      <c r="A12" s="28">
        <v>5</v>
      </c>
      <c r="B12" s="100">
        <v>45040546741</v>
      </c>
      <c r="C12" s="28"/>
      <c r="D12" s="113">
        <v>68772</v>
      </c>
      <c r="E12" s="113">
        <v>0</v>
      </c>
      <c r="F12" s="113">
        <v>0</v>
      </c>
      <c r="G12" s="113">
        <f>60-6</f>
        <v>54</v>
      </c>
      <c r="H12" s="113">
        <f>SUM(D12:G12)</f>
        <v>68826</v>
      </c>
      <c r="I12" s="136"/>
      <c r="J12" s="137"/>
      <c r="K12" s="138"/>
      <c r="L12" s="115" t="s">
        <v>136</v>
      </c>
      <c r="N12">
        <f>6+54</f>
        <v>60</v>
      </c>
      <c r="O12" s="102">
        <v>6</v>
      </c>
      <c r="P12" s="102"/>
    </row>
    <row r="13" spans="1:18" s="1" customFormat="1" ht="15.75" thickBot="1" x14ac:dyDescent="0.3">
      <c r="A13" s="161" t="s">
        <v>97</v>
      </c>
      <c r="B13" s="162"/>
      <c r="C13" s="163"/>
      <c r="D13" s="120">
        <f>SUM(D8:D12)</f>
        <v>635021</v>
      </c>
      <c r="E13" s="120">
        <f t="shared" ref="E13:H13" si="0">SUM(E8:E12)</f>
        <v>59</v>
      </c>
      <c r="F13" s="120">
        <f t="shared" si="0"/>
        <v>4488</v>
      </c>
      <c r="G13" s="120">
        <f t="shared" si="0"/>
        <v>12822</v>
      </c>
      <c r="H13" s="120">
        <f t="shared" si="0"/>
        <v>652390</v>
      </c>
      <c r="I13" s="161"/>
      <c r="J13" s="163"/>
      <c r="K13" s="120">
        <f t="shared" ref="K13" si="1">SUM(K8:K12)</f>
        <v>163233</v>
      </c>
      <c r="L13" s="61"/>
      <c r="N13" s="120">
        <f t="shared" ref="N13" si="2">SUM(N8:N12)</f>
        <v>40426</v>
      </c>
      <c r="O13" s="120">
        <f t="shared" ref="O13" si="3">SUM(O8:O12)</f>
        <v>4045</v>
      </c>
      <c r="P13" s="102"/>
      <c r="Q13"/>
    </row>
    <row r="14" spans="1:18" ht="15.75" thickTop="1" x14ac:dyDescent="0.25">
      <c r="A14" s="71"/>
      <c r="B14" s="121" t="s">
        <v>195</v>
      </c>
      <c r="D14" s="72"/>
      <c r="E14" s="72"/>
      <c r="F14" s="72"/>
      <c r="G14" s="72"/>
      <c r="H14" s="72"/>
      <c r="K14" s="72"/>
      <c r="L14" s="105"/>
      <c r="O14" s="102"/>
      <c r="P14" s="102"/>
    </row>
    <row r="15" spans="1:18" x14ac:dyDescent="0.25">
      <c r="A15" s="28">
        <v>6</v>
      </c>
      <c r="B15" s="100" t="s">
        <v>310</v>
      </c>
      <c r="C15" s="28" t="s">
        <v>255</v>
      </c>
      <c r="D15" s="113">
        <v>1380445</v>
      </c>
      <c r="E15" s="116">
        <v>0</v>
      </c>
      <c r="F15" s="113">
        <v>0</v>
      </c>
      <c r="G15" s="113">
        <f>12587-1258</f>
        <v>11329</v>
      </c>
      <c r="H15" s="113">
        <f t="shared" ref="H15:H21" si="4">SUM(D15:G15)</f>
        <v>1391774</v>
      </c>
      <c r="I15" s="136"/>
      <c r="J15" s="137"/>
      <c r="K15" s="138"/>
      <c r="L15" s="115" t="s">
        <v>135</v>
      </c>
      <c r="N15">
        <f>85585+12587</f>
        <v>98172</v>
      </c>
      <c r="O15" s="102">
        <f>8558+1258</f>
        <v>9816</v>
      </c>
      <c r="P15" s="102"/>
    </row>
    <row r="16" spans="1:18" x14ac:dyDescent="0.25">
      <c r="A16" s="28">
        <v>7</v>
      </c>
      <c r="B16" s="100" t="s">
        <v>311</v>
      </c>
      <c r="C16" s="28" t="s">
        <v>253</v>
      </c>
      <c r="D16" s="113">
        <v>156801</v>
      </c>
      <c r="E16" s="113">
        <v>0</v>
      </c>
      <c r="F16" s="113">
        <v>0</v>
      </c>
      <c r="G16" s="113">
        <f>9532-954</f>
        <v>8578</v>
      </c>
      <c r="H16" s="113">
        <f t="shared" si="4"/>
        <v>165379</v>
      </c>
      <c r="I16" s="136"/>
      <c r="J16" s="137"/>
      <c r="K16" s="138"/>
      <c r="L16" s="115" t="s">
        <v>135</v>
      </c>
      <c r="N16">
        <f>1920+9532</f>
        <v>11452</v>
      </c>
      <c r="O16" s="102">
        <f>192+954</f>
        <v>1146</v>
      </c>
      <c r="P16" s="102"/>
      <c r="R16" s="102"/>
    </row>
    <row r="17" spans="1:17" x14ac:dyDescent="0.25">
      <c r="A17" s="28">
        <v>8</v>
      </c>
      <c r="B17" s="100" t="s">
        <v>312</v>
      </c>
      <c r="C17" s="28" t="s">
        <v>253</v>
      </c>
      <c r="D17" s="113">
        <v>114566</v>
      </c>
      <c r="E17" s="113">
        <v>0</v>
      </c>
      <c r="F17" s="113">
        <v>0</v>
      </c>
      <c r="G17" s="113">
        <f>6965-696</f>
        <v>6269</v>
      </c>
      <c r="H17" s="113">
        <f t="shared" si="4"/>
        <v>120835</v>
      </c>
      <c r="I17" s="136"/>
      <c r="J17" s="137"/>
      <c r="K17" s="138"/>
      <c r="L17" s="115" t="s">
        <v>135</v>
      </c>
      <c r="N17">
        <f>1404+6965</f>
        <v>8369</v>
      </c>
      <c r="O17" s="102">
        <f>141+696</f>
        <v>837</v>
      </c>
      <c r="P17" s="102"/>
    </row>
    <row r="18" spans="1:17" x14ac:dyDescent="0.25">
      <c r="A18" s="28">
        <v>9</v>
      </c>
      <c r="B18" s="100" t="s">
        <v>309</v>
      </c>
      <c r="C18" s="28" t="s">
        <v>254</v>
      </c>
      <c r="D18" s="113">
        <v>241509</v>
      </c>
      <c r="E18" s="113">
        <v>0</v>
      </c>
      <c r="F18" s="113">
        <v>0</v>
      </c>
      <c r="G18" s="113">
        <f>10110-1011</f>
        <v>9099</v>
      </c>
      <c r="H18" s="113">
        <f t="shared" si="4"/>
        <v>250608</v>
      </c>
      <c r="I18" s="136"/>
      <c r="J18" s="137"/>
      <c r="K18" s="138"/>
      <c r="L18" s="115" t="s">
        <v>135</v>
      </c>
      <c r="N18">
        <f>6640+10110</f>
        <v>16750</v>
      </c>
      <c r="O18" s="102">
        <f>664+1011</f>
        <v>1675</v>
      </c>
      <c r="P18" s="102"/>
    </row>
    <row r="19" spans="1:17" x14ac:dyDescent="0.25">
      <c r="A19" s="28">
        <v>10</v>
      </c>
      <c r="B19" s="100" t="s">
        <v>314</v>
      </c>
      <c r="C19" s="28" t="s">
        <v>256</v>
      </c>
      <c r="D19" s="113">
        <v>574582</v>
      </c>
      <c r="E19" s="113">
        <v>0</v>
      </c>
      <c r="F19" s="113">
        <v>0</v>
      </c>
      <c r="G19" s="113">
        <f>20614-2063</f>
        <v>18551</v>
      </c>
      <c r="H19" s="113">
        <f t="shared" si="4"/>
        <v>593133</v>
      </c>
      <c r="I19" s="136"/>
      <c r="J19" s="137"/>
      <c r="K19" s="138"/>
      <c r="L19" s="115" t="s">
        <v>136</v>
      </c>
      <c r="N19" s="102">
        <f>19485+18551</f>
        <v>38036</v>
      </c>
      <c r="O19" s="102">
        <v>3805</v>
      </c>
      <c r="P19" s="102"/>
    </row>
    <row r="20" spans="1:17" x14ac:dyDescent="0.25">
      <c r="A20" s="28">
        <v>11</v>
      </c>
      <c r="B20" s="100" t="s">
        <v>315</v>
      </c>
      <c r="C20" s="28" t="s">
        <v>256</v>
      </c>
      <c r="D20" s="113">
        <v>574582</v>
      </c>
      <c r="E20" s="113">
        <v>0</v>
      </c>
      <c r="F20" s="113">
        <v>0</v>
      </c>
      <c r="G20" s="113">
        <f>20614-2063</f>
        <v>18551</v>
      </c>
      <c r="H20" s="113">
        <f t="shared" si="4"/>
        <v>593133</v>
      </c>
      <c r="I20" s="136"/>
      <c r="J20" s="137"/>
      <c r="K20" s="138"/>
      <c r="L20" s="115" t="s">
        <v>136</v>
      </c>
      <c r="N20" s="102">
        <f>19485+18551</f>
        <v>38036</v>
      </c>
      <c r="O20" s="102">
        <v>3805</v>
      </c>
      <c r="P20" s="102"/>
    </row>
    <row r="21" spans="1:17" x14ac:dyDescent="0.25">
      <c r="A21" s="28">
        <v>12</v>
      </c>
      <c r="B21" s="100" t="s">
        <v>316</v>
      </c>
      <c r="C21" s="28" t="s">
        <v>256</v>
      </c>
      <c r="D21" s="113">
        <v>574582</v>
      </c>
      <c r="E21" s="113">
        <v>0</v>
      </c>
      <c r="F21" s="113">
        <v>0</v>
      </c>
      <c r="G21" s="113">
        <f>20614-2063</f>
        <v>18551</v>
      </c>
      <c r="H21" s="113">
        <f t="shared" si="4"/>
        <v>593133</v>
      </c>
      <c r="I21" s="136"/>
      <c r="J21" s="137"/>
      <c r="K21" s="138"/>
      <c r="L21" s="115" t="s">
        <v>136</v>
      </c>
      <c r="N21" s="102">
        <f>19485+18551</f>
        <v>38036</v>
      </c>
      <c r="O21" s="102">
        <v>3805</v>
      </c>
      <c r="P21" s="102"/>
    </row>
    <row r="22" spans="1:17" s="1" customFormat="1" ht="15.75" thickBot="1" x14ac:dyDescent="0.3">
      <c r="A22" s="123"/>
      <c r="B22" s="157" t="s">
        <v>100</v>
      </c>
      <c r="C22" s="158"/>
      <c r="D22" s="124">
        <f>SUM(D15:D21)</f>
        <v>3617067</v>
      </c>
      <c r="E22" s="124">
        <f>SUM(E15:E21)</f>
        <v>0</v>
      </c>
      <c r="F22" s="124">
        <f>SUM(F15:F21)</f>
        <v>0</v>
      </c>
      <c r="G22" s="124">
        <f>SUM(G15:G21)</f>
        <v>90928</v>
      </c>
      <c r="H22" s="124">
        <f>SUM(H15:H21)</f>
        <v>3707995</v>
      </c>
      <c r="I22" s="164"/>
      <c r="J22" s="165"/>
      <c r="K22" s="124">
        <f>SUM(K15:K21)</f>
        <v>0</v>
      </c>
      <c r="L22" s="124"/>
      <c r="N22" s="124">
        <f t="shared" ref="N22:O22" si="5">SUM(N15:N21)</f>
        <v>248851</v>
      </c>
      <c r="O22" s="124">
        <f t="shared" si="5"/>
        <v>24889</v>
      </c>
      <c r="P22" s="102"/>
      <c r="Q22"/>
    </row>
    <row r="23" spans="1:17" ht="15.75" thickBot="1" x14ac:dyDescent="0.3">
      <c r="A23" s="159" t="s">
        <v>196</v>
      </c>
      <c r="B23" s="160"/>
      <c r="C23" s="152"/>
      <c r="D23" s="119">
        <f>SUM(D13,D22)</f>
        <v>4252088</v>
      </c>
      <c r="E23" s="119">
        <f>SUM(E13,E22)</f>
        <v>59</v>
      </c>
      <c r="F23" s="119">
        <f>SUM(F13,F22)</f>
        <v>4488</v>
      </c>
      <c r="G23" s="119">
        <f>SUM(G13,G22)</f>
        <v>103750</v>
      </c>
      <c r="H23" s="119">
        <f>SUM(H13,H22)</f>
        <v>4360385</v>
      </c>
      <c r="I23" s="166"/>
      <c r="J23" s="167"/>
      <c r="K23" s="119">
        <f>SUM(K13,K22)</f>
        <v>163233</v>
      </c>
      <c r="L23" s="122"/>
      <c r="N23" s="119">
        <f t="shared" ref="N23:O23" si="6">SUM(N13,N22)</f>
        <v>289277</v>
      </c>
      <c r="O23" s="119">
        <f t="shared" si="6"/>
        <v>28934</v>
      </c>
      <c r="P23" s="102"/>
    </row>
    <row r="24" spans="1:17" ht="15.75" thickTop="1" x14ac:dyDescent="0.25">
      <c r="A24" s="73"/>
      <c r="B24" s="31"/>
      <c r="C24" s="6"/>
      <c r="D24" s="74"/>
      <c r="E24" s="74"/>
      <c r="F24" s="74"/>
      <c r="G24" s="74"/>
      <c r="H24" s="74"/>
      <c r="I24" s="6"/>
      <c r="J24" s="6"/>
      <c r="K24" s="74"/>
      <c r="L24" s="75"/>
      <c r="N24" s="102"/>
    </row>
  </sheetData>
  <mergeCells count="10">
    <mergeCell ref="A1:L1"/>
    <mergeCell ref="A4:L4"/>
    <mergeCell ref="A3:L3"/>
    <mergeCell ref="B22:C22"/>
    <mergeCell ref="A23:C23"/>
    <mergeCell ref="A13:C13"/>
    <mergeCell ref="I13:J13"/>
    <mergeCell ref="I22:J22"/>
    <mergeCell ref="I23:J23"/>
    <mergeCell ref="K5:L5"/>
  </mergeCells>
  <printOptions horizontalCentered="1"/>
  <pageMargins left="0.31496062992125984" right="0.31496062992125984" top="0.70866141732283472" bottom="0.31496062992125984" header="0.31496062992125984" footer="0.31496062992125984"/>
  <pageSetup paperSize="9" scale="8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2136-C460-484F-8E55-F9EE737DDC68}">
  <sheetPr>
    <pageSetUpPr fitToPage="1"/>
  </sheetPr>
  <dimension ref="A1:F43"/>
  <sheetViews>
    <sheetView topLeftCell="A2" workbookViewId="0">
      <selection activeCell="D27" sqref="D27"/>
    </sheetView>
  </sheetViews>
  <sheetFormatPr defaultRowHeight="15" x14ac:dyDescent="0.25"/>
  <cols>
    <col min="1" max="1" width="5.28515625" style="7" bestFit="1" customWidth="1"/>
    <col min="2" max="2" width="5.42578125" bestFit="1" customWidth="1"/>
    <col min="3" max="3" width="6.5703125" bestFit="1" customWidth="1"/>
    <col min="4" max="4" width="55.5703125" bestFit="1" customWidth="1"/>
    <col min="5" max="5" width="12.5703125" bestFit="1" customWidth="1"/>
  </cols>
  <sheetData>
    <row r="1" spans="1:6" ht="18.75" x14ac:dyDescent="0.3">
      <c r="A1" s="155" t="s">
        <v>159</v>
      </c>
      <c r="B1" s="155"/>
      <c r="C1" s="155"/>
      <c r="D1" s="155"/>
      <c r="E1" s="155"/>
      <c r="F1" s="1"/>
    </row>
    <row r="2" spans="1:6" x14ac:dyDescent="0.25">
      <c r="A2" s="40"/>
      <c r="B2" s="40"/>
      <c r="C2" s="40"/>
      <c r="D2" s="40"/>
      <c r="E2" s="40"/>
      <c r="F2" s="1"/>
    </row>
    <row r="3" spans="1:6" ht="18.75" x14ac:dyDescent="0.3">
      <c r="A3" s="117"/>
      <c r="B3" s="117"/>
      <c r="C3" s="117"/>
      <c r="D3" s="118" t="s">
        <v>162</v>
      </c>
      <c r="E3" s="117"/>
      <c r="F3" s="1"/>
    </row>
    <row r="4" spans="1:6" ht="18.75" x14ac:dyDescent="0.3">
      <c r="A4" s="155" t="s">
        <v>276</v>
      </c>
      <c r="B4" s="155"/>
      <c r="C4" s="155"/>
      <c r="D4" s="155"/>
      <c r="E4" s="155"/>
    </row>
    <row r="5" spans="1:6" x14ac:dyDescent="0.25">
      <c r="A5" s="3"/>
      <c r="B5" s="3"/>
      <c r="C5" s="3"/>
      <c r="D5" s="3"/>
      <c r="E5" s="60" t="s">
        <v>147</v>
      </c>
    </row>
    <row r="6" spans="1:6" s="11" customFormat="1" ht="30.75" thickBot="1" x14ac:dyDescent="0.3">
      <c r="A6" s="79" t="s">
        <v>94</v>
      </c>
      <c r="B6" s="79" t="s">
        <v>95</v>
      </c>
      <c r="C6" s="79" t="s">
        <v>96</v>
      </c>
      <c r="D6" s="79" t="s">
        <v>197</v>
      </c>
      <c r="E6" s="79" t="s">
        <v>163</v>
      </c>
    </row>
    <row r="7" spans="1:6" ht="15.75" thickTop="1" x14ac:dyDescent="0.25">
      <c r="A7" s="76">
        <v>1</v>
      </c>
      <c r="B7" s="77" t="s">
        <v>97</v>
      </c>
      <c r="C7" s="77">
        <v>202</v>
      </c>
      <c r="D7" s="78" t="s">
        <v>240</v>
      </c>
      <c r="E7" s="18">
        <v>29847</v>
      </c>
    </row>
    <row r="8" spans="1:6" x14ac:dyDescent="0.25">
      <c r="A8" s="4">
        <v>2</v>
      </c>
      <c r="B8" s="28" t="s">
        <v>97</v>
      </c>
      <c r="C8" s="28">
        <v>401</v>
      </c>
      <c r="D8" s="8" t="s">
        <v>277</v>
      </c>
      <c r="E8" s="9">
        <v>100</v>
      </c>
    </row>
    <row r="9" spans="1:6" x14ac:dyDescent="0.25">
      <c r="A9" s="4">
        <v>3</v>
      </c>
      <c r="B9" s="28" t="s">
        <v>97</v>
      </c>
      <c r="C9" s="28">
        <v>502</v>
      </c>
      <c r="D9" s="8" t="s">
        <v>98</v>
      </c>
      <c r="E9" s="9">
        <v>4411</v>
      </c>
    </row>
    <row r="10" spans="1:6" x14ac:dyDescent="0.25">
      <c r="A10" s="4">
        <v>4</v>
      </c>
      <c r="B10" s="28" t="s">
        <v>97</v>
      </c>
      <c r="C10" s="28">
        <v>601</v>
      </c>
      <c r="D10" s="8" t="s">
        <v>99</v>
      </c>
      <c r="E10" s="9">
        <v>20292</v>
      </c>
    </row>
    <row r="11" spans="1:6" x14ac:dyDescent="0.25">
      <c r="A11" s="4">
        <v>5</v>
      </c>
      <c r="B11" s="28" t="s">
        <v>97</v>
      </c>
      <c r="C11" s="28">
        <v>702</v>
      </c>
      <c r="D11" s="8" t="s">
        <v>108</v>
      </c>
      <c r="E11" s="9">
        <v>1688</v>
      </c>
    </row>
    <row r="12" spans="1:6" x14ac:dyDescent="0.25">
      <c r="A12" s="4">
        <v>6</v>
      </c>
      <c r="B12" s="28" t="s">
        <v>100</v>
      </c>
      <c r="C12" s="28">
        <v>101</v>
      </c>
      <c r="D12" s="8" t="s">
        <v>109</v>
      </c>
      <c r="E12" s="9">
        <v>960</v>
      </c>
    </row>
    <row r="13" spans="1:6" x14ac:dyDescent="0.25">
      <c r="A13" s="4">
        <v>7</v>
      </c>
      <c r="B13" s="28" t="s">
        <v>100</v>
      </c>
      <c r="C13" s="28">
        <v>102</v>
      </c>
      <c r="D13" s="8" t="s">
        <v>101</v>
      </c>
      <c r="E13" s="9">
        <v>18729</v>
      </c>
    </row>
    <row r="14" spans="1:6" x14ac:dyDescent="0.25">
      <c r="A14" s="4">
        <v>8</v>
      </c>
      <c r="B14" s="28" t="s">
        <v>100</v>
      </c>
      <c r="C14" s="28">
        <v>202</v>
      </c>
      <c r="D14" s="8" t="s">
        <v>242</v>
      </c>
      <c r="E14" s="9">
        <v>3885</v>
      </c>
    </row>
    <row r="15" spans="1:6" x14ac:dyDescent="0.25">
      <c r="A15" s="4">
        <v>9</v>
      </c>
      <c r="B15" s="28" t="s">
        <v>100</v>
      </c>
      <c r="C15" s="28">
        <v>601</v>
      </c>
      <c r="D15" s="8" t="s">
        <v>102</v>
      </c>
      <c r="E15" s="9">
        <v>4835</v>
      </c>
    </row>
    <row r="16" spans="1:6" x14ac:dyDescent="0.25">
      <c r="A16" s="4">
        <v>10</v>
      </c>
      <c r="B16" s="28" t="s">
        <v>103</v>
      </c>
      <c r="C16" s="28">
        <v>103</v>
      </c>
      <c r="D16" s="8" t="s">
        <v>278</v>
      </c>
      <c r="E16" s="9">
        <v>12</v>
      </c>
    </row>
    <row r="17" spans="1:5" x14ac:dyDescent="0.25">
      <c r="A17" s="4">
        <v>11</v>
      </c>
      <c r="B17" s="28" t="s">
        <v>103</v>
      </c>
      <c r="C17" s="28">
        <v>303</v>
      </c>
      <c r="D17" s="8" t="s">
        <v>131</v>
      </c>
      <c r="E17" s="9">
        <v>0.03</v>
      </c>
    </row>
    <row r="18" spans="1:5" x14ac:dyDescent="0.25">
      <c r="A18" s="4">
        <v>12</v>
      </c>
      <c r="B18" s="28" t="s">
        <v>103</v>
      </c>
      <c r="C18" s="28">
        <v>501</v>
      </c>
      <c r="D18" s="8" t="s">
        <v>279</v>
      </c>
      <c r="E18" s="9">
        <v>6467</v>
      </c>
    </row>
    <row r="19" spans="1:5" x14ac:dyDescent="0.25">
      <c r="A19" s="4">
        <v>13</v>
      </c>
      <c r="B19" s="28" t="s">
        <v>103</v>
      </c>
      <c r="C19" s="28">
        <v>502</v>
      </c>
      <c r="D19" s="8" t="s">
        <v>104</v>
      </c>
      <c r="E19" s="9">
        <v>31175</v>
      </c>
    </row>
    <row r="20" spans="1:5" ht="15.75" thickBot="1" x14ac:dyDescent="0.3">
      <c r="A20" s="169" t="s">
        <v>37</v>
      </c>
      <c r="B20" s="170"/>
      <c r="C20" s="170"/>
      <c r="D20" s="171"/>
      <c r="E20" s="42">
        <f>SUM(E7:E19)</f>
        <v>122401.03</v>
      </c>
    </row>
    <row r="21" spans="1:5" ht="15.75" thickTop="1" x14ac:dyDescent="0.25"/>
    <row r="22" spans="1:5" ht="18.75" x14ac:dyDescent="0.3">
      <c r="A22" s="155" t="s">
        <v>164</v>
      </c>
      <c r="B22" s="155"/>
      <c r="C22" s="155"/>
      <c r="D22" s="155"/>
      <c r="E22" s="155"/>
    </row>
    <row r="23" spans="1:5" ht="18.75" x14ac:dyDescent="0.3">
      <c r="A23" s="155" t="s">
        <v>280</v>
      </c>
      <c r="B23" s="155"/>
      <c r="C23" s="155"/>
      <c r="D23" s="155"/>
      <c r="E23" s="155"/>
    </row>
    <row r="24" spans="1:5" x14ac:dyDescent="0.25">
      <c r="A24" s="3"/>
      <c r="B24" s="3"/>
      <c r="C24" s="3"/>
      <c r="D24" s="3"/>
      <c r="E24" s="3"/>
    </row>
    <row r="25" spans="1:5" ht="30.75" thickBot="1" x14ac:dyDescent="0.3">
      <c r="A25" s="79" t="s">
        <v>94</v>
      </c>
      <c r="B25" s="79" t="s">
        <v>95</v>
      </c>
      <c r="C25" s="79" t="s">
        <v>106</v>
      </c>
      <c r="D25" s="79" t="s">
        <v>197</v>
      </c>
      <c r="E25" s="79" t="s">
        <v>107</v>
      </c>
    </row>
    <row r="26" spans="1:5" ht="15.75" thickTop="1" x14ac:dyDescent="0.25">
      <c r="A26" s="76">
        <v>1</v>
      </c>
      <c r="B26" s="77" t="s">
        <v>97</v>
      </c>
      <c r="C26" s="77">
        <v>101</v>
      </c>
      <c r="D26" s="78" t="s">
        <v>182</v>
      </c>
      <c r="E26" s="18">
        <v>8177</v>
      </c>
    </row>
    <row r="27" spans="1:5" x14ac:dyDescent="0.25">
      <c r="A27" s="4">
        <v>2</v>
      </c>
      <c r="B27" s="28" t="s">
        <v>97</v>
      </c>
      <c r="C27" s="28">
        <v>701</v>
      </c>
      <c r="D27" s="8" t="s">
        <v>241</v>
      </c>
      <c r="E27" s="9">
        <v>24</v>
      </c>
    </row>
    <row r="28" spans="1:5" x14ac:dyDescent="0.25">
      <c r="A28" s="4">
        <v>3</v>
      </c>
      <c r="B28" s="28" t="s">
        <v>100</v>
      </c>
      <c r="C28" s="28" t="s">
        <v>281</v>
      </c>
      <c r="D28" s="8" t="s">
        <v>282</v>
      </c>
      <c r="E28" s="9">
        <v>3331</v>
      </c>
    </row>
    <row r="29" spans="1:5" x14ac:dyDescent="0.25">
      <c r="A29" s="4">
        <v>4</v>
      </c>
      <c r="B29" s="28" t="s">
        <v>103</v>
      </c>
      <c r="C29" s="28">
        <v>101</v>
      </c>
      <c r="D29" s="8" t="s">
        <v>283</v>
      </c>
      <c r="E29" s="9">
        <v>14413</v>
      </c>
    </row>
    <row r="30" spans="1:5" x14ac:dyDescent="0.25">
      <c r="A30" s="4">
        <v>5</v>
      </c>
      <c r="B30" s="28" t="s">
        <v>103</v>
      </c>
      <c r="C30" s="28">
        <v>102</v>
      </c>
      <c r="D30" s="8" t="s">
        <v>284</v>
      </c>
      <c r="E30" s="9">
        <v>3926</v>
      </c>
    </row>
    <row r="31" spans="1:5" x14ac:dyDescent="0.25">
      <c r="A31" s="4">
        <v>6</v>
      </c>
      <c r="B31" s="28" t="s">
        <v>103</v>
      </c>
      <c r="C31" s="28">
        <v>204</v>
      </c>
      <c r="D31" s="8" t="s">
        <v>110</v>
      </c>
      <c r="E31" s="9">
        <f>681895+535540</f>
        <v>1217435</v>
      </c>
    </row>
    <row r="32" spans="1:5" x14ac:dyDescent="0.25">
      <c r="A32" s="4">
        <v>7</v>
      </c>
      <c r="B32" s="28" t="s">
        <v>103</v>
      </c>
      <c r="C32" s="28">
        <v>601</v>
      </c>
      <c r="D32" s="8" t="s">
        <v>285</v>
      </c>
      <c r="E32" s="9">
        <v>3492</v>
      </c>
    </row>
    <row r="33" spans="1:5" x14ac:dyDescent="0.25">
      <c r="A33" s="4">
        <v>8</v>
      </c>
      <c r="B33" s="28" t="s">
        <v>103</v>
      </c>
      <c r="C33" s="28">
        <v>602</v>
      </c>
      <c r="D33" s="8" t="s">
        <v>105</v>
      </c>
      <c r="E33" s="9">
        <v>48</v>
      </c>
    </row>
    <row r="34" spans="1:5" ht="15.75" thickBot="1" x14ac:dyDescent="0.3">
      <c r="A34" s="169" t="s">
        <v>37</v>
      </c>
      <c r="B34" s="170"/>
      <c r="C34" s="170"/>
      <c r="D34" s="171"/>
      <c r="E34" s="80">
        <f>SUM(E26:E33)</f>
        <v>1250846</v>
      </c>
    </row>
    <row r="35" spans="1:5" ht="15.75" thickTop="1" x14ac:dyDescent="0.25"/>
    <row r="37" spans="1:5" ht="18.75" x14ac:dyDescent="0.3">
      <c r="A37" s="154" t="s">
        <v>199</v>
      </c>
      <c r="B37" s="154"/>
      <c r="C37" s="154"/>
      <c r="D37" s="154"/>
      <c r="E37" s="154"/>
    </row>
    <row r="38" spans="1:5" ht="15.75" x14ac:dyDescent="0.25">
      <c r="A38" s="172" t="s">
        <v>286</v>
      </c>
      <c r="B38" s="172"/>
      <c r="C38" s="172"/>
      <c r="D38" s="172"/>
      <c r="E38" s="172"/>
    </row>
    <row r="39" spans="1:5" x14ac:dyDescent="0.25">
      <c r="A39" s="6"/>
      <c r="B39" s="6"/>
      <c r="C39" s="6"/>
      <c r="D39" s="6"/>
      <c r="E39" s="6"/>
    </row>
    <row r="40" spans="1:5" x14ac:dyDescent="0.25">
      <c r="A40" s="173" t="s">
        <v>198</v>
      </c>
      <c r="B40" s="174"/>
      <c r="C40" s="174"/>
      <c r="D40" s="175"/>
      <c r="E40" s="18">
        <v>3613</v>
      </c>
    </row>
    <row r="41" spans="1:5" x14ac:dyDescent="0.25">
      <c r="A41" s="173" t="s">
        <v>137</v>
      </c>
      <c r="B41" s="174"/>
      <c r="C41" s="174"/>
      <c r="D41" s="175"/>
      <c r="E41" s="16">
        <v>1500</v>
      </c>
    </row>
    <row r="42" spans="1:5" ht="15.75" thickBot="1" x14ac:dyDescent="0.3">
      <c r="A42" s="169" t="s">
        <v>37</v>
      </c>
      <c r="B42" s="170"/>
      <c r="C42" s="170"/>
      <c r="D42" s="171"/>
      <c r="E42" s="80">
        <f>+E40+E41</f>
        <v>5113</v>
      </c>
    </row>
    <row r="43" spans="1:5" ht="15.75" thickTop="1" x14ac:dyDescent="0.25"/>
  </sheetData>
  <mergeCells count="11">
    <mergeCell ref="A42:D42"/>
    <mergeCell ref="A20:D20"/>
    <mergeCell ref="A4:E4"/>
    <mergeCell ref="A1:E1"/>
    <mergeCell ref="A34:D34"/>
    <mergeCell ref="A23:E23"/>
    <mergeCell ref="A38:E38"/>
    <mergeCell ref="A40:D40"/>
    <mergeCell ref="A22:E22"/>
    <mergeCell ref="A41:D41"/>
    <mergeCell ref="A37:E37"/>
  </mergeCells>
  <printOptions horizontalCentered="1"/>
  <pageMargins left="0.51181102362204722" right="0.51181102362204722" top="0.51181102362204722" bottom="0.51181102362204722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E3EA-6D89-40C3-A14B-EA85C3AA53D2}">
  <sheetPr>
    <pageSetUpPr fitToPage="1"/>
  </sheetPr>
  <dimension ref="A1:I40"/>
  <sheetViews>
    <sheetView workbookViewId="0">
      <selection activeCell="C40" sqref="C40"/>
    </sheetView>
  </sheetViews>
  <sheetFormatPr defaultRowHeight="15" x14ac:dyDescent="0.25"/>
  <cols>
    <col min="1" max="1" width="6.28515625" customWidth="1"/>
    <col min="2" max="2" width="35.5703125" customWidth="1"/>
    <col min="3" max="3" width="17.7109375" style="2" customWidth="1"/>
    <col min="4" max="4" width="35.5703125" hidden="1" customWidth="1"/>
  </cols>
  <sheetData>
    <row r="1" spans="1:9" ht="18.75" x14ac:dyDescent="0.3">
      <c r="A1" s="155" t="s">
        <v>159</v>
      </c>
      <c r="B1" s="155"/>
      <c r="C1" s="155"/>
      <c r="D1" s="155"/>
      <c r="E1" s="1"/>
    </row>
    <row r="2" spans="1:9" x14ac:dyDescent="0.25">
      <c r="A2" s="40"/>
      <c r="B2" s="40"/>
      <c r="C2" s="40"/>
      <c r="D2" s="40"/>
      <c r="E2" s="1"/>
    </row>
    <row r="3" spans="1:9" ht="18.75" x14ac:dyDescent="0.3">
      <c r="A3" s="155" t="s">
        <v>165</v>
      </c>
      <c r="B3" s="155"/>
      <c r="C3" s="155"/>
      <c r="D3" s="155"/>
      <c r="E3" s="1"/>
    </row>
    <row r="4" spans="1:9" ht="15.75" x14ac:dyDescent="0.25">
      <c r="A4" s="172" t="s">
        <v>269</v>
      </c>
      <c r="B4" s="172"/>
      <c r="C4" s="172"/>
      <c r="D4" s="172"/>
    </row>
    <row r="5" spans="1:9" x14ac:dyDescent="0.25">
      <c r="A5" s="179"/>
      <c r="B5" s="179"/>
      <c r="C5" s="179"/>
      <c r="D5" s="179"/>
    </row>
    <row r="6" spans="1:9" s="7" customFormat="1" ht="15.75" thickBot="1" x14ac:dyDescent="0.3">
      <c r="A6" s="45" t="s">
        <v>219</v>
      </c>
      <c r="B6" s="45" t="s">
        <v>111</v>
      </c>
      <c r="C6" s="93" t="s">
        <v>201</v>
      </c>
      <c r="D6" s="32" t="s">
        <v>112</v>
      </c>
    </row>
    <row r="7" spans="1:9" ht="15.75" thickTop="1" x14ac:dyDescent="0.25">
      <c r="A7" s="104">
        <v>1</v>
      </c>
      <c r="B7" s="106" t="s">
        <v>179</v>
      </c>
      <c r="C7" s="107">
        <v>174281</v>
      </c>
      <c r="D7" s="106"/>
    </row>
    <row r="8" spans="1:9" ht="15.75" thickBot="1" x14ac:dyDescent="0.3">
      <c r="A8" s="178" t="s">
        <v>215</v>
      </c>
      <c r="B8" s="178"/>
      <c r="C8" s="42">
        <f>SUM(C7:C7)</f>
        <v>174281</v>
      </c>
      <c r="D8" s="68"/>
    </row>
    <row r="9" spans="1:9" ht="15.75" thickTop="1" x14ac:dyDescent="0.25">
      <c r="A9" s="71"/>
      <c r="C9" s="82"/>
      <c r="D9" s="70"/>
    </row>
    <row r="10" spans="1:9" ht="15.75" x14ac:dyDescent="0.25">
      <c r="A10" s="180" t="s">
        <v>113</v>
      </c>
      <c r="B10" s="172"/>
      <c r="C10" s="172"/>
      <c r="D10" s="181"/>
    </row>
    <row r="11" spans="1:9" ht="15.75" thickBot="1" x14ac:dyDescent="0.3">
      <c r="A11" s="45" t="s">
        <v>219</v>
      </c>
      <c r="B11" s="45" t="s">
        <v>13</v>
      </c>
      <c r="C11" s="93" t="s">
        <v>201</v>
      </c>
      <c r="D11" s="81" t="s">
        <v>112</v>
      </c>
    </row>
    <row r="12" spans="1:9" ht="15.75" thickTop="1" x14ac:dyDescent="0.25">
      <c r="A12" s="28">
        <v>1</v>
      </c>
      <c r="B12" s="8" t="s">
        <v>115</v>
      </c>
      <c r="C12" s="9">
        <v>135</v>
      </c>
      <c r="D12" s="8"/>
    </row>
    <row r="13" spans="1:9" x14ac:dyDescent="0.25">
      <c r="A13" s="28">
        <v>2</v>
      </c>
      <c r="B13" s="8" t="s">
        <v>116</v>
      </c>
      <c r="C13" s="9">
        <v>708</v>
      </c>
      <c r="D13" s="8"/>
    </row>
    <row r="14" spans="1:9" x14ac:dyDescent="0.25">
      <c r="A14" s="28">
        <v>3</v>
      </c>
      <c r="B14" s="8" t="s">
        <v>117</v>
      </c>
      <c r="C14" s="9">
        <v>28171</v>
      </c>
      <c r="D14" s="8"/>
    </row>
    <row r="15" spans="1:9" x14ac:dyDescent="0.25">
      <c r="A15" s="28">
        <v>4</v>
      </c>
      <c r="B15" s="8" t="s">
        <v>213</v>
      </c>
      <c r="C15" s="9">
        <v>314857</v>
      </c>
      <c r="D15" s="8" t="s">
        <v>114</v>
      </c>
      <c r="I15" s="38"/>
    </row>
    <row r="16" spans="1:9" x14ac:dyDescent="0.25">
      <c r="A16" s="28">
        <v>5</v>
      </c>
      <c r="B16" s="8" t="s">
        <v>214</v>
      </c>
      <c r="C16" s="9">
        <v>165024</v>
      </c>
      <c r="D16" s="8" t="s">
        <v>114</v>
      </c>
      <c r="I16" s="38"/>
    </row>
    <row r="17" spans="1:9" x14ac:dyDescent="0.25">
      <c r="A17" s="28">
        <v>6</v>
      </c>
      <c r="B17" s="8" t="s">
        <v>130</v>
      </c>
      <c r="C17" s="9">
        <v>51955</v>
      </c>
      <c r="D17" s="8" t="s">
        <v>114</v>
      </c>
      <c r="I17" s="38"/>
    </row>
    <row r="18" spans="1:9" x14ac:dyDescent="0.25">
      <c r="A18" s="28">
        <v>7</v>
      </c>
      <c r="B18" s="8" t="s">
        <v>180</v>
      </c>
      <c r="C18" s="9">
        <v>11597</v>
      </c>
      <c r="D18" s="8"/>
      <c r="I18" s="38"/>
    </row>
    <row r="19" spans="1:9" x14ac:dyDescent="0.25">
      <c r="A19" s="28">
        <v>8</v>
      </c>
      <c r="B19" s="8" t="s">
        <v>120</v>
      </c>
      <c r="C19" s="9">
        <v>191</v>
      </c>
      <c r="D19" s="8"/>
    </row>
    <row r="20" spans="1:9" ht="15.75" thickBot="1" x14ac:dyDescent="0.3">
      <c r="A20" s="178" t="s">
        <v>216</v>
      </c>
      <c r="B20" s="178"/>
      <c r="C20" s="42">
        <f>SUM(C12:C19)</f>
        <v>572638</v>
      </c>
      <c r="D20" s="8"/>
    </row>
    <row r="21" spans="1:9" ht="15.75" thickTop="1" x14ac:dyDescent="0.25">
      <c r="A21" s="71"/>
      <c r="C21" s="82"/>
      <c r="D21" s="70"/>
    </row>
    <row r="22" spans="1:9" ht="18.75" x14ac:dyDescent="0.3">
      <c r="A22" s="176" t="s">
        <v>118</v>
      </c>
      <c r="B22" s="155"/>
      <c r="C22" s="155"/>
      <c r="D22" s="177"/>
    </row>
    <row r="23" spans="1:9" ht="15.75" thickBot="1" x14ac:dyDescent="0.3">
      <c r="A23" s="45" t="s">
        <v>219</v>
      </c>
      <c r="B23" s="45" t="s">
        <v>13</v>
      </c>
      <c r="C23" s="93" t="s">
        <v>201</v>
      </c>
      <c r="D23" s="4" t="s">
        <v>112</v>
      </c>
    </row>
    <row r="24" spans="1:9" ht="15.75" thickTop="1" x14ac:dyDescent="0.25">
      <c r="A24" s="28">
        <v>1</v>
      </c>
      <c r="B24" s="8" t="s">
        <v>77</v>
      </c>
      <c r="C24" s="9">
        <f>1500+12000</f>
        <v>13500</v>
      </c>
      <c r="D24" s="8" t="s">
        <v>129</v>
      </c>
    </row>
    <row r="25" spans="1:9" x14ac:dyDescent="0.25">
      <c r="A25" s="28">
        <v>2</v>
      </c>
      <c r="B25" s="8" t="s">
        <v>181</v>
      </c>
      <c r="C25" s="9">
        <v>0</v>
      </c>
      <c r="D25" s="8" t="s">
        <v>129</v>
      </c>
    </row>
    <row r="26" spans="1:9" x14ac:dyDescent="0.25">
      <c r="A26" s="28">
        <v>3</v>
      </c>
      <c r="B26" s="8" t="s">
        <v>75</v>
      </c>
      <c r="C26" s="9">
        <v>5800</v>
      </c>
      <c r="D26" s="8" t="s">
        <v>129</v>
      </c>
    </row>
    <row r="27" spans="1:9" x14ac:dyDescent="0.25">
      <c r="A27" s="28">
        <v>4</v>
      </c>
      <c r="B27" s="8" t="s">
        <v>186</v>
      </c>
      <c r="C27" s="9">
        <v>826</v>
      </c>
      <c r="D27" s="34"/>
    </row>
    <row r="28" spans="1:9" x14ac:dyDescent="0.25">
      <c r="A28" s="28">
        <v>5</v>
      </c>
      <c r="B28" s="8" t="s">
        <v>51</v>
      </c>
      <c r="C28" s="9">
        <v>111531</v>
      </c>
      <c r="D28" s="8" t="s">
        <v>178</v>
      </c>
    </row>
    <row r="29" spans="1:9" x14ac:dyDescent="0.25">
      <c r="A29" s="28">
        <v>6</v>
      </c>
      <c r="B29" s="8" t="s">
        <v>119</v>
      </c>
      <c r="C29" s="9">
        <v>1840</v>
      </c>
      <c r="D29" s="34" t="s">
        <v>177</v>
      </c>
    </row>
    <row r="30" spans="1:9" ht="15.75" thickBot="1" x14ac:dyDescent="0.3">
      <c r="A30" s="178" t="s">
        <v>217</v>
      </c>
      <c r="B30" s="178"/>
      <c r="C30" s="42">
        <f>SUM(C24:C29)</f>
        <v>133497</v>
      </c>
      <c r="D30" s="68"/>
    </row>
    <row r="31" spans="1:9" ht="15.75" thickTop="1" x14ac:dyDescent="0.25">
      <c r="A31" s="19"/>
      <c r="C31" s="82"/>
      <c r="D31" s="70"/>
    </row>
    <row r="32" spans="1:9" ht="15.75" thickBot="1" x14ac:dyDescent="0.3">
      <c r="A32" s="147" t="s">
        <v>218</v>
      </c>
      <c r="B32" s="148"/>
      <c r="C32" s="42">
        <f>C8+C20+C30</f>
        <v>880416</v>
      </c>
      <c r="D32" s="70"/>
    </row>
    <row r="33" spans="1:4" ht="15.75" thickTop="1" x14ac:dyDescent="0.25">
      <c r="A33" s="19"/>
      <c r="B33" s="134"/>
      <c r="C33" s="82"/>
      <c r="D33" s="70"/>
    </row>
    <row r="34" spans="1:4" s="134" customFormat="1" x14ac:dyDescent="0.25">
      <c r="C34" s="82"/>
    </row>
    <row r="35" spans="1:4" ht="18.75" x14ac:dyDescent="0.3">
      <c r="A35" s="176" t="s">
        <v>289</v>
      </c>
      <c r="B35" s="155"/>
      <c r="C35" s="155"/>
      <c r="D35" s="177"/>
    </row>
    <row r="36" spans="1:4" ht="15.75" thickBot="1" x14ac:dyDescent="0.3">
      <c r="A36" s="45" t="s">
        <v>219</v>
      </c>
      <c r="B36" s="45" t="s">
        <v>13</v>
      </c>
      <c r="C36" s="93" t="s">
        <v>201</v>
      </c>
    </row>
    <row r="37" spans="1:4" ht="15.75" thickTop="1" x14ac:dyDescent="0.25">
      <c r="A37" s="28">
        <v>1</v>
      </c>
      <c r="B37" s="8" t="s">
        <v>303</v>
      </c>
      <c r="C37" s="9">
        <v>17000</v>
      </c>
    </row>
    <row r="38" spans="1:4" x14ac:dyDescent="0.25">
      <c r="A38" s="28">
        <v>2</v>
      </c>
      <c r="B38" s="8" t="s">
        <v>304</v>
      </c>
      <c r="C38" s="9">
        <v>28934</v>
      </c>
    </row>
    <row r="39" spans="1:4" x14ac:dyDescent="0.25">
      <c r="A39" s="28">
        <v>3</v>
      </c>
      <c r="B39" s="8" t="s">
        <v>305</v>
      </c>
      <c r="C39" s="9">
        <v>-38000</v>
      </c>
    </row>
    <row r="40" spans="1:4" x14ac:dyDescent="0.25">
      <c r="A40" s="28"/>
      <c r="B40" s="135" t="s">
        <v>306</v>
      </c>
      <c r="C40" s="15">
        <f>SUM(C37:C39)</f>
        <v>7934</v>
      </c>
    </row>
  </sheetData>
  <mergeCells count="11">
    <mergeCell ref="A1:D1"/>
    <mergeCell ref="A5:D5"/>
    <mergeCell ref="A10:D10"/>
    <mergeCell ref="A20:B20"/>
    <mergeCell ref="A22:D22"/>
    <mergeCell ref="A3:D3"/>
    <mergeCell ref="A35:D35"/>
    <mergeCell ref="A32:B32"/>
    <mergeCell ref="A30:B30"/>
    <mergeCell ref="A8:B8"/>
    <mergeCell ref="A4:D4"/>
  </mergeCells>
  <printOptions horizontalCentered="1"/>
  <pageMargins left="0.51181102362204722" right="0.51181102362204722" top="0.51181102362204722" bottom="0.51181102362204722" header="0.31496062992125984" footer="0.31496062992125984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B8B8-F54E-4EAD-AEF9-85DE6EF31737}">
  <sheetPr>
    <pageSetUpPr fitToPage="1"/>
  </sheetPr>
  <dimension ref="A1:I18"/>
  <sheetViews>
    <sheetView workbookViewId="0">
      <selection activeCell="D9" sqref="D9"/>
    </sheetView>
  </sheetViews>
  <sheetFormatPr defaultRowHeight="15" x14ac:dyDescent="0.25"/>
  <cols>
    <col min="1" max="1" width="19" bestFit="1" customWidth="1"/>
    <col min="2" max="2" width="4.7109375" style="14" bestFit="1" customWidth="1"/>
    <col min="3" max="3" width="15" style="2" bestFit="1" customWidth="1"/>
    <col min="4" max="5" width="13.28515625" style="2" bestFit="1" customWidth="1"/>
    <col min="6" max="6" width="12.5703125" style="2" bestFit="1" customWidth="1"/>
    <col min="7" max="7" width="11.85546875" style="2" bestFit="1" customWidth="1"/>
    <col min="8" max="8" width="12.5703125" style="2" bestFit="1" customWidth="1"/>
    <col min="9" max="9" width="13.28515625" customWidth="1"/>
  </cols>
  <sheetData>
    <row r="1" spans="1:9" ht="18.75" x14ac:dyDescent="0.3">
      <c r="A1" s="155" t="s">
        <v>159</v>
      </c>
      <c r="B1" s="155"/>
      <c r="C1" s="155"/>
      <c r="D1" s="155"/>
      <c r="E1" s="155"/>
      <c r="F1" s="155"/>
      <c r="G1" s="155"/>
      <c r="H1" s="155"/>
    </row>
    <row r="2" spans="1:9" x14ac:dyDescent="0.25">
      <c r="A2" s="40"/>
      <c r="B2" s="40"/>
      <c r="C2" s="40"/>
      <c r="D2" s="40"/>
      <c r="E2" s="40"/>
      <c r="F2" s="40"/>
      <c r="G2" s="40"/>
      <c r="H2" s="40"/>
    </row>
    <row r="3" spans="1:9" ht="15.75" x14ac:dyDescent="0.25">
      <c r="A3" s="172" t="s">
        <v>167</v>
      </c>
      <c r="B3" s="172"/>
      <c r="C3" s="172"/>
      <c r="D3" s="172"/>
      <c r="E3" s="172"/>
      <c r="F3" s="172"/>
      <c r="G3" s="172"/>
      <c r="H3" s="172"/>
    </row>
    <row r="4" spans="1:9" ht="15.75" x14ac:dyDescent="0.25">
      <c r="A4" s="143" t="s">
        <v>263</v>
      </c>
      <c r="B4" s="143"/>
      <c r="C4" s="143"/>
      <c r="D4" s="143"/>
      <c r="E4" s="143"/>
      <c r="F4" s="143"/>
      <c r="G4" s="143"/>
      <c r="H4" s="143"/>
    </row>
    <row r="5" spans="1:9" x14ac:dyDescent="0.25">
      <c r="A5" s="3"/>
      <c r="B5" s="3"/>
      <c r="C5" s="3"/>
      <c r="D5" s="3"/>
      <c r="E5" s="3"/>
      <c r="F5" s="3"/>
      <c r="G5" s="3"/>
      <c r="H5" s="60" t="s">
        <v>147</v>
      </c>
    </row>
    <row r="6" spans="1:9" s="7" customFormat="1" ht="60.75" thickBot="1" x14ac:dyDescent="0.3">
      <c r="A6" s="67" t="s">
        <v>13</v>
      </c>
      <c r="B6" s="83" t="s">
        <v>35</v>
      </c>
      <c r="C6" s="84" t="s">
        <v>264</v>
      </c>
      <c r="D6" s="84" t="s">
        <v>265</v>
      </c>
      <c r="E6" s="84" t="s">
        <v>266</v>
      </c>
      <c r="F6" s="84" t="s">
        <v>267</v>
      </c>
      <c r="G6" s="84" t="s">
        <v>36</v>
      </c>
      <c r="H6" s="84" t="s">
        <v>268</v>
      </c>
    </row>
    <row r="7" spans="1:9" s="88" customFormat="1" ht="25.5" customHeight="1" thickTop="1" x14ac:dyDescent="0.25">
      <c r="A7" s="85" t="s">
        <v>38</v>
      </c>
      <c r="B7" s="86">
        <v>0.15</v>
      </c>
      <c r="C7" s="87">
        <v>179842</v>
      </c>
      <c r="D7" s="87">
        <v>0</v>
      </c>
      <c r="E7" s="87">
        <v>0</v>
      </c>
      <c r="F7" s="87">
        <f>SUM(C7:E7)</f>
        <v>179842</v>
      </c>
      <c r="G7" s="87">
        <f>ROUND(F7*B7,)</f>
        <v>26976</v>
      </c>
      <c r="H7" s="87">
        <f t="shared" ref="H7:H16" si="0">F7-G7</f>
        <v>152866</v>
      </c>
      <c r="I7" s="127"/>
    </row>
    <row r="8" spans="1:9" s="88" customFormat="1" ht="25.5" customHeight="1" x14ac:dyDescent="0.25">
      <c r="A8" s="89" t="s">
        <v>39</v>
      </c>
      <c r="B8" s="90">
        <v>0.1</v>
      </c>
      <c r="C8" s="91">
        <v>2489</v>
      </c>
      <c r="D8" s="91">
        <v>0</v>
      </c>
      <c r="E8" s="91">
        <v>0</v>
      </c>
      <c r="F8" s="91">
        <f t="shared" ref="F8:F16" si="1">SUM(C8:E8)</f>
        <v>2489</v>
      </c>
      <c r="G8" s="91">
        <f t="shared" ref="G8:G16" si="2">ROUND(F8*B8,)</f>
        <v>249</v>
      </c>
      <c r="H8" s="91">
        <f t="shared" si="0"/>
        <v>2240</v>
      </c>
    </row>
    <row r="9" spans="1:9" s="88" customFormat="1" ht="25.5" customHeight="1" x14ac:dyDescent="0.25">
      <c r="A9" s="89" t="s">
        <v>40</v>
      </c>
      <c r="B9" s="90">
        <v>0.15</v>
      </c>
      <c r="C9" s="91">
        <v>10069</v>
      </c>
      <c r="D9" s="91">
        <v>0</v>
      </c>
      <c r="E9" s="91">
        <v>0</v>
      </c>
      <c r="F9" s="91">
        <f t="shared" si="1"/>
        <v>10069</v>
      </c>
      <c r="G9" s="91">
        <f t="shared" si="2"/>
        <v>1510</v>
      </c>
      <c r="H9" s="91">
        <f t="shared" si="0"/>
        <v>8559</v>
      </c>
    </row>
    <row r="10" spans="1:9" s="88" customFormat="1" ht="25.5" customHeight="1" x14ac:dyDescent="0.25">
      <c r="A10" s="89" t="s">
        <v>41</v>
      </c>
      <c r="B10" s="90">
        <v>0.1</v>
      </c>
      <c r="C10" s="91">
        <v>3823</v>
      </c>
      <c r="D10" s="91">
        <v>0</v>
      </c>
      <c r="E10" s="91">
        <v>0</v>
      </c>
      <c r="F10" s="91">
        <f t="shared" si="1"/>
        <v>3823</v>
      </c>
      <c r="G10" s="91">
        <f t="shared" si="2"/>
        <v>382</v>
      </c>
      <c r="H10" s="91">
        <f t="shared" si="0"/>
        <v>3441</v>
      </c>
    </row>
    <row r="11" spans="1:9" s="88" customFormat="1" ht="25.5" customHeight="1" x14ac:dyDescent="0.25">
      <c r="A11" s="89" t="s">
        <v>42</v>
      </c>
      <c r="B11" s="90">
        <v>0.15</v>
      </c>
      <c r="C11" s="91">
        <v>1197485</v>
      </c>
      <c r="D11" s="91">
        <v>0</v>
      </c>
      <c r="E11" s="91">
        <v>0</v>
      </c>
      <c r="F11" s="91">
        <f t="shared" si="1"/>
        <v>1197485</v>
      </c>
      <c r="G11" s="91">
        <f t="shared" si="2"/>
        <v>179623</v>
      </c>
      <c r="H11" s="91">
        <f t="shared" si="0"/>
        <v>1017862</v>
      </c>
    </row>
    <row r="12" spans="1:9" s="88" customFormat="1" ht="25.5" customHeight="1" x14ac:dyDescent="0.25">
      <c r="A12" s="89" t="s">
        <v>43</v>
      </c>
      <c r="B12" s="90">
        <v>0.15</v>
      </c>
      <c r="C12" s="91">
        <v>19105</v>
      </c>
      <c r="D12" s="91">
        <v>0</v>
      </c>
      <c r="E12" s="91">
        <v>0</v>
      </c>
      <c r="F12" s="91">
        <f t="shared" si="1"/>
        <v>19105</v>
      </c>
      <c r="G12" s="91">
        <f t="shared" si="2"/>
        <v>2866</v>
      </c>
      <c r="H12" s="91">
        <f t="shared" si="0"/>
        <v>16239</v>
      </c>
    </row>
    <row r="13" spans="1:9" s="88" customFormat="1" ht="25.5" customHeight="1" x14ac:dyDescent="0.25">
      <c r="A13" s="89" t="s">
        <v>44</v>
      </c>
      <c r="B13" s="90">
        <v>0.15</v>
      </c>
      <c r="C13" s="91">
        <v>14616</v>
      </c>
      <c r="D13" s="91">
        <v>0</v>
      </c>
      <c r="E13" s="91">
        <v>0</v>
      </c>
      <c r="F13" s="91">
        <f t="shared" si="1"/>
        <v>14616</v>
      </c>
      <c r="G13" s="91">
        <f t="shared" si="2"/>
        <v>2192</v>
      </c>
      <c r="H13" s="91">
        <f t="shared" si="0"/>
        <v>12424</v>
      </c>
    </row>
    <row r="14" spans="1:9" s="88" customFormat="1" ht="25.5" customHeight="1" x14ac:dyDescent="0.25">
      <c r="A14" s="89" t="s">
        <v>45</v>
      </c>
      <c r="B14" s="90">
        <v>0.15</v>
      </c>
      <c r="C14" s="91">
        <v>9189</v>
      </c>
      <c r="D14" s="91">
        <v>0</v>
      </c>
      <c r="E14" s="91">
        <v>0</v>
      </c>
      <c r="F14" s="91">
        <f t="shared" si="1"/>
        <v>9189</v>
      </c>
      <c r="G14" s="91">
        <f t="shared" si="2"/>
        <v>1378</v>
      </c>
      <c r="H14" s="91">
        <f t="shared" si="0"/>
        <v>7811</v>
      </c>
    </row>
    <row r="15" spans="1:9" s="88" customFormat="1" ht="25.5" customHeight="1" x14ac:dyDescent="0.25">
      <c r="A15" s="89" t="s">
        <v>46</v>
      </c>
      <c r="B15" s="90">
        <v>0.15</v>
      </c>
      <c r="C15" s="91">
        <v>13549.7</v>
      </c>
      <c r="D15" s="91">
        <v>0</v>
      </c>
      <c r="E15" s="91">
        <v>0</v>
      </c>
      <c r="F15" s="91">
        <f t="shared" si="1"/>
        <v>13549.7</v>
      </c>
      <c r="G15" s="91">
        <f t="shared" si="2"/>
        <v>2032</v>
      </c>
      <c r="H15" s="91">
        <f t="shared" si="0"/>
        <v>11517.7</v>
      </c>
    </row>
    <row r="16" spans="1:9" s="88" customFormat="1" ht="25.5" customHeight="1" x14ac:dyDescent="0.25">
      <c r="A16" s="108" t="s">
        <v>183</v>
      </c>
      <c r="B16" s="90">
        <v>0.15</v>
      </c>
      <c r="C16" s="109">
        <v>16155</v>
      </c>
      <c r="D16" s="109">
        <v>0</v>
      </c>
      <c r="E16" s="109">
        <v>0</v>
      </c>
      <c r="F16" s="109">
        <f t="shared" si="1"/>
        <v>16155</v>
      </c>
      <c r="G16" s="109">
        <f t="shared" si="2"/>
        <v>2423</v>
      </c>
      <c r="H16" s="109">
        <f t="shared" si="0"/>
        <v>13732</v>
      </c>
    </row>
    <row r="17" spans="1:8" s="88" customFormat="1" ht="19.899999999999999" customHeight="1" thickBot="1" x14ac:dyDescent="0.3">
      <c r="A17" s="151" t="s">
        <v>37</v>
      </c>
      <c r="B17" s="151"/>
      <c r="C17" s="92">
        <f t="shared" ref="C17:H17" si="3">SUM(C7:C16)</f>
        <v>1466322.7</v>
      </c>
      <c r="D17" s="92">
        <f t="shared" si="3"/>
        <v>0</v>
      </c>
      <c r="E17" s="92">
        <f t="shared" si="3"/>
        <v>0</v>
      </c>
      <c r="F17" s="92">
        <f t="shared" si="3"/>
        <v>1466322.7</v>
      </c>
      <c r="G17" s="92">
        <f t="shared" si="3"/>
        <v>219631</v>
      </c>
      <c r="H17" s="92">
        <f t="shared" si="3"/>
        <v>1246691.7</v>
      </c>
    </row>
    <row r="18" spans="1:8" ht="15.75" thickTop="1" x14ac:dyDescent="0.25"/>
  </sheetData>
  <mergeCells count="4">
    <mergeCell ref="A1:H1"/>
    <mergeCell ref="A4:H4"/>
    <mergeCell ref="A17:B17"/>
    <mergeCell ref="A3:H3"/>
  </mergeCells>
  <printOptions horizontalCentered="1"/>
  <pageMargins left="0.31496062992125984" right="0.19685039370078741" top="0.70866141732283472" bottom="0.31496062992125984" header="0.31496062992125984" footer="0.31496062992125984"/>
  <pageSetup paperSize="9" scale="8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7AAF-BF2F-4DEF-9C6F-AB5F2D5DAC6B}">
  <dimension ref="A1:E11"/>
  <sheetViews>
    <sheetView workbookViewId="0">
      <selection activeCell="E1" sqref="E1"/>
    </sheetView>
  </sheetViews>
  <sheetFormatPr defaultRowHeight="15" x14ac:dyDescent="0.25"/>
  <cols>
    <col min="1" max="1" width="6.28515625" customWidth="1"/>
    <col min="2" max="2" width="46" bestFit="1" customWidth="1"/>
    <col min="3" max="3" width="17.7109375" style="2" customWidth="1"/>
    <col min="4" max="4" width="35.5703125" hidden="1" customWidth="1"/>
  </cols>
  <sheetData>
    <row r="1" spans="1:5" ht="18.75" x14ac:dyDescent="0.3">
      <c r="A1" s="155" t="s">
        <v>159</v>
      </c>
      <c r="B1" s="155"/>
      <c r="C1" s="155"/>
      <c r="D1" s="155"/>
      <c r="E1" s="1"/>
    </row>
    <row r="2" spans="1:5" x14ac:dyDescent="0.25">
      <c r="A2" s="40"/>
      <c r="B2" s="40"/>
      <c r="C2" s="40"/>
      <c r="D2" s="40"/>
      <c r="E2" s="1"/>
    </row>
    <row r="3" spans="1:5" ht="15.75" x14ac:dyDescent="0.25">
      <c r="A3" s="172" t="s">
        <v>189</v>
      </c>
      <c r="B3" s="172"/>
      <c r="C3" s="172"/>
      <c r="D3" s="172"/>
      <c r="E3" s="1"/>
    </row>
    <row r="4" spans="1:5" ht="21" customHeight="1" x14ac:dyDescent="0.25">
      <c r="A4" s="143" t="s">
        <v>239</v>
      </c>
      <c r="B4" s="143"/>
      <c r="C4" s="143"/>
      <c r="D4" s="143"/>
    </row>
    <row r="5" spans="1:5" x14ac:dyDescent="0.25">
      <c r="A5" s="182"/>
      <c r="B5" s="182"/>
      <c r="C5" s="182"/>
      <c r="D5" s="182"/>
    </row>
    <row r="6" spans="1:5" s="7" customFormat="1" x14ac:dyDescent="0.25">
      <c r="A6" s="32" t="s">
        <v>17</v>
      </c>
      <c r="B6" s="32" t="s">
        <v>111</v>
      </c>
      <c r="C6" s="33" t="s">
        <v>166</v>
      </c>
      <c r="D6" s="32" t="s">
        <v>112</v>
      </c>
    </row>
    <row r="7" spans="1:5" x14ac:dyDescent="0.25">
      <c r="A7" s="104">
        <v>1</v>
      </c>
      <c r="B7" s="106" t="s">
        <v>190</v>
      </c>
      <c r="C7" s="107">
        <v>0</v>
      </c>
      <c r="D7" s="106"/>
    </row>
    <row r="8" spans="1:5" x14ac:dyDescent="0.25">
      <c r="A8" s="104">
        <v>2</v>
      </c>
      <c r="B8" s="106" t="s">
        <v>191</v>
      </c>
      <c r="C8" s="107">
        <v>0</v>
      </c>
      <c r="D8" s="106"/>
    </row>
    <row r="9" spans="1:5" x14ac:dyDescent="0.25">
      <c r="A9" s="104">
        <v>3</v>
      </c>
      <c r="B9" s="106" t="s">
        <v>192</v>
      </c>
      <c r="C9" s="107">
        <v>0</v>
      </c>
      <c r="D9" s="106"/>
    </row>
    <row r="10" spans="1:5" ht="15.75" thickBot="1" x14ac:dyDescent="0.3">
      <c r="A10" s="178" t="s">
        <v>37</v>
      </c>
      <c r="B10" s="178"/>
      <c r="C10" s="42">
        <f>SUM(C7:C9)</f>
        <v>0</v>
      </c>
      <c r="D10" s="68"/>
    </row>
    <row r="11" spans="1:5" ht="15.75" thickTop="1" x14ac:dyDescent="0.25">
      <c r="A11" s="71"/>
      <c r="C11" s="82"/>
      <c r="D11" s="70"/>
    </row>
  </sheetData>
  <mergeCells count="5">
    <mergeCell ref="A1:D1"/>
    <mergeCell ref="A3:D3"/>
    <mergeCell ref="A4:D4"/>
    <mergeCell ref="A5:D5"/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79BE-1D9E-4158-91DA-74E9448FFBC0}">
  <dimension ref="A1:L15"/>
  <sheetViews>
    <sheetView workbookViewId="0">
      <selection activeCell="F10" sqref="F10"/>
    </sheetView>
  </sheetViews>
  <sheetFormatPr defaultRowHeight="15" x14ac:dyDescent="0.25"/>
  <cols>
    <col min="1" max="1" width="11.5703125" bestFit="1" customWidth="1"/>
    <col min="2" max="2" width="5.28515625" bestFit="1" customWidth="1"/>
    <col min="3" max="3" width="35.7109375" bestFit="1" customWidth="1"/>
    <col min="4" max="4" width="12.5703125" style="2" bestFit="1" customWidth="1"/>
    <col min="5" max="5" width="11.140625" bestFit="1" customWidth="1"/>
    <col min="6" max="6" width="8.140625" bestFit="1" customWidth="1"/>
    <col min="7" max="7" width="8.28515625" bestFit="1" customWidth="1"/>
    <col min="8" max="8" width="8.5703125" bestFit="1" customWidth="1"/>
    <col min="9" max="9" width="13.85546875" style="2" bestFit="1" customWidth="1"/>
    <col min="10" max="10" width="13.28515625" style="2" bestFit="1" customWidth="1"/>
    <col min="11" max="11" width="12.140625" bestFit="1" customWidth="1"/>
    <col min="12" max="12" width="19.42578125" bestFit="1" customWidth="1"/>
  </cols>
  <sheetData>
    <row r="1" spans="1:12" x14ac:dyDescent="0.25">
      <c r="B1" s="184" t="s">
        <v>16</v>
      </c>
      <c r="C1" s="184"/>
      <c r="D1" s="184"/>
    </row>
    <row r="2" spans="1:12" x14ac:dyDescent="0.25">
      <c r="A2" s="184" t="s">
        <v>323</v>
      </c>
      <c r="B2" s="184"/>
      <c r="C2" s="184"/>
      <c r="D2" s="184"/>
    </row>
    <row r="3" spans="1:12" x14ac:dyDescent="0.25">
      <c r="A3" s="141" t="s">
        <v>324</v>
      </c>
      <c r="B3" s="185" t="s">
        <v>13</v>
      </c>
      <c r="C3" s="185"/>
      <c r="D3" s="141" t="s">
        <v>325</v>
      </c>
      <c r="F3" s="32" t="s">
        <v>139</v>
      </c>
      <c r="G3" s="32" t="s">
        <v>140</v>
      </c>
      <c r="H3" s="32" t="s">
        <v>141</v>
      </c>
      <c r="I3" s="33" t="s">
        <v>142</v>
      </c>
      <c r="J3" s="33" t="s">
        <v>238</v>
      </c>
      <c r="K3" s="32" t="s">
        <v>143</v>
      </c>
    </row>
    <row r="4" spans="1:12" x14ac:dyDescent="0.25">
      <c r="A4" s="2">
        <f>39627.14</f>
        <v>39627.14</v>
      </c>
      <c r="C4" t="s">
        <v>11</v>
      </c>
      <c r="D4" s="2">
        <v>17012.740000000002</v>
      </c>
      <c r="F4" s="4"/>
      <c r="G4" s="28"/>
      <c r="H4" s="28"/>
      <c r="I4" s="125"/>
      <c r="J4" s="125"/>
      <c r="K4" s="28"/>
    </row>
    <row r="5" spans="1:12" x14ac:dyDescent="0.25">
      <c r="F5" s="4"/>
      <c r="G5" s="28"/>
      <c r="H5" s="28"/>
      <c r="I5" s="125"/>
      <c r="J5" s="125"/>
      <c r="K5" s="28"/>
    </row>
    <row r="6" spans="1:12" x14ac:dyDescent="0.25">
      <c r="A6" s="2">
        <f>10989</f>
        <v>10989</v>
      </c>
      <c r="B6" t="s">
        <v>15</v>
      </c>
      <c r="C6" t="s">
        <v>250</v>
      </c>
      <c r="D6" s="2">
        <f>I6</f>
        <v>0</v>
      </c>
      <c r="F6" s="8"/>
      <c r="G6" s="8"/>
      <c r="H6" s="8"/>
      <c r="I6" s="15">
        <f>SUM(I3:I5)</f>
        <v>0</v>
      </c>
      <c r="J6" s="15">
        <f>SUM(J3:J5)</f>
        <v>0</v>
      </c>
      <c r="K6" s="8"/>
    </row>
    <row r="7" spans="1:12" ht="15.75" thickBot="1" x14ac:dyDescent="0.3">
      <c r="A7" s="5">
        <f>SUM(A4:A6)</f>
        <v>50616.14</v>
      </c>
      <c r="B7" s="36"/>
      <c r="C7" s="36" t="s">
        <v>12</v>
      </c>
      <c r="D7" s="5">
        <f>SUM(D4:D6)</f>
        <v>17012.740000000002</v>
      </c>
    </row>
    <row r="8" spans="1:12" ht="15.75" thickTop="1" x14ac:dyDescent="0.25">
      <c r="E8" s="30"/>
    </row>
    <row r="9" spans="1:12" x14ac:dyDescent="0.25">
      <c r="A9" s="184" t="s">
        <v>326</v>
      </c>
      <c r="B9" s="184"/>
      <c r="C9" s="184"/>
      <c r="D9" s="184"/>
    </row>
    <row r="10" spans="1:12" x14ac:dyDescent="0.25">
      <c r="A10" s="141" t="str">
        <f>A3</f>
        <v>FY 2024-25</v>
      </c>
      <c r="B10" s="183" t="str">
        <f>B3</f>
        <v>Particulars</v>
      </c>
      <c r="C10" s="183"/>
      <c r="D10" s="141" t="str">
        <f>D3</f>
        <v>FY 2025-26</v>
      </c>
      <c r="F10" s="32" t="s">
        <v>139</v>
      </c>
      <c r="G10" s="32" t="s">
        <v>140</v>
      </c>
      <c r="H10" s="32" t="s">
        <v>141</v>
      </c>
      <c r="I10" s="33" t="s">
        <v>142</v>
      </c>
      <c r="J10" s="33" t="s">
        <v>238</v>
      </c>
      <c r="K10" s="32" t="s">
        <v>143</v>
      </c>
    </row>
    <row r="11" spans="1:12" x14ac:dyDescent="0.25">
      <c r="A11" s="2">
        <f>131862.21</f>
        <v>131862.21</v>
      </c>
      <c r="B11" s="1"/>
      <c r="C11" t="s">
        <v>11</v>
      </c>
      <c r="D11" s="10">
        <v>1332539.8500000001</v>
      </c>
      <c r="F11" s="4"/>
      <c r="G11" s="28"/>
      <c r="H11" s="28"/>
      <c r="I11" s="125"/>
      <c r="J11" s="125"/>
      <c r="K11" s="28"/>
      <c r="L11" s="126"/>
    </row>
    <row r="12" spans="1:12" x14ac:dyDescent="0.25">
      <c r="A12" s="2"/>
      <c r="F12" s="8"/>
      <c r="G12" s="8"/>
      <c r="H12" s="8"/>
      <c r="I12" s="15">
        <f>SUM(I11:I11)</f>
        <v>0</v>
      </c>
      <c r="J12" s="15">
        <f>SUM(J11:J11)</f>
        <v>0</v>
      </c>
      <c r="K12" s="8"/>
      <c r="L12" s="126"/>
    </row>
    <row r="13" spans="1:12" x14ac:dyDescent="0.25">
      <c r="A13" s="2">
        <v>-3660</v>
      </c>
      <c r="B13" t="s">
        <v>237</v>
      </c>
      <c r="C13" t="s">
        <v>251</v>
      </c>
      <c r="D13" s="2">
        <f>-J12</f>
        <v>0</v>
      </c>
    </row>
    <row r="14" spans="1:12" ht="15.75" thickBot="1" x14ac:dyDescent="0.3">
      <c r="A14" s="5">
        <f>SUM(A11:A13)</f>
        <v>128202.20999999999</v>
      </c>
      <c r="B14" s="36"/>
      <c r="C14" s="36" t="s">
        <v>12</v>
      </c>
      <c r="D14" s="5">
        <f>SUM(D11:D13)</f>
        <v>1332539.8500000001</v>
      </c>
    </row>
    <row r="15" spans="1:12" ht="15.75" thickTop="1" x14ac:dyDescent="0.25">
      <c r="E15" s="99"/>
    </row>
  </sheetData>
  <mergeCells count="5">
    <mergeCell ref="B10:C10"/>
    <mergeCell ref="B1:D1"/>
    <mergeCell ref="A2:D2"/>
    <mergeCell ref="B3:C3"/>
    <mergeCell ref="A9:D9"/>
  </mergeCells>
  <printOptions horizontalCentered="1"/>
  <pageMargins left="0.5" right="0.5" top="0.5" bottom="0.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E67F-32EB-403E-920E-9B04544E2189}">
  <dimension ref="A1:N33"/>
  <sheetViews>
    <sheetView topLeftCell="A5" workbookViewId="0">
      <selection activeCell="E7" sqref="E7"/>
    </sheetView>
  </sheetViews>
  <sheetFormatPr defaultRowHeight="15" x14ac:dyDescent="0.25"/>
  <cols>
    <col min="1" max="1" width="11.85546875" customWidth="1"/>
    <col min="2" max="2" width="10.7109375" bestFit="1" customWidth="1"/>
    <col min="4" max="5" width="11.7109375" style="12" bestFit="1" customWidth="1"/>
    <col min="6" max="6" width="8.85546875" style="12"/>
    <col min="7" max="7" width="9.28515625" style="12" bestFit="1" customWidth="1"/>
  </cols>
  <sheetData>
    <row r="1" spans="1:14" x14ac:dyDescent="0.25">
      <c r="A1" s="94" t="s">
        <v>169</v>
      </c>
    </row>
    <row r="2" spans="1:14" x14ac:dyDescent="0.25">
      <c r="D2" s="96" t="s">
        <v>170</v>
      </c>
      <c r="E2" s="96" t="s">
        <v>171</v>
      </c>
    </row>
    <row r="3" spans="1:14" x14ac:dyDescent="0.25">
      <c r="A3" s="95">
        <v>45740</v>
      </c>
      <c r="B3" s="95">
        <v>45833</v>
      </c>
      <c r="C3">
        <f>B3-A3</f>
        <v>93</v>
      </c>
      <c r="D3" s="12">
        <v>101052</v>
      </c>
      <c r="E3" s="12">
        <v>49868</v>
      </c>
      <c r="H3" s="94" t="s">
        <v>290</v>
      </c>
    </row>
    <row r="4" spans="1:14" x14ac:dyDescent="0.25">
      <c r="A4" s="95">
        <f>+B3</f>
        <v>45833</v>
      </c>
      <c r="B4" s="95">
        <v>45925</v>
      </c>
      <c r="C4">
        <f t="shared" ref="C4:C7" si="0">B4-A4</f>
        <v>92</v>
      </c>
      <c r="D4" s="12">
        <v>54568</v>
      </c>
      <c r="E4" s="12">
        <v>49127</v>
      </c>
      <c r="H4" t="s">
        <v>291</v>
      </c>
      <c r="K4">
        <v>698</v>
      </c>
    </row>
    <row r="5" spans="1:14" x14ac:dyDescent="0.25">
      <c r="A5" s="95">
        <f>+B4</f>
        <v>45925</v>
      </c>
      <c r="B5" s="95">
        <v>46017</v>
      </c>
      <c r="C5">
        <f t="shared" si="0"/>
        <v>92</v>
      </c>
      <c r="D5" s="12">
        <v>21759</v>
      </c>
      <c r="E5" s="12">
        <v>48827</v>
      </c>
      <c r="H5" t="s">
        <v>292</v>
      </c>
      <c r="K5">
        <f>64521+65420</f>
        <v>129941</v>
      </c>
      <c r="M5">
        <v>13000</v>
      </c>
    </row>
    <row r="6" spans="1:14" x14ac:dyDescent="0.25">
      <c r="A6" s="95">
        <f>A3</f>
        <v>45740</v>
      </c>
      <c r="B6" s="95">
        <f>+B5</f>
        <v>46017</v>
      </c>
      <c r="C6">
        <f>SUM(C3:C5)</f>
        <v>277</v>
      </c>
      <c r="D6" s="12">
        <f>SUM(D3:D5)</f>
        <v>177379</v>
      </c>
      <c r="E6" s="12">
        <f>SUM(E3:E5)</f>
        <v>147822</v>
      </c>
      <c r="G6" s="97"/>
      <c r="H6" t="s">
        <v>293</v>
      </c>
      <c r="K6">
        <v>159336</v>
      </c>
      <c r="M6">
        <v>15934</v>
      </c>
    </row>
    <row r="7" spans="1:14" x14ac:dyDescent="0.25">
      <c r="A7" s="133">
        <f>+B6</f>
        <v>46017</v>
      </c>
      <c r="B7" s="133">
        <v>46112</v>
      </c>
      <c r="C7" s="1">
        <f t="shared" si="0"/>
        <v>95</v>
      </c>
      <c r="D7" s="12">
        <f>D6*C7/C6</f>
        <v>60833.953068592054</v>
      </c>
      <c r="E7" s="12">
        <f>E6*C7/C6</f>
        <v>50697.075812274372</v>
      </c>
      <c r="F7" s="12">
        <f>SUM(D7:E7)</f>
        <v>111531.02888086642</v>
      </c>
      <c r="G7" s="132" t="s">
        <v>258</v>
      </c>
      <c r="K7">
        <f>SUM(K4:K6)</f>
        <v>289975</v>
      </c>
      <c r="M7">
        <f>SUM(M5:M6)</f>
        <v>28934</v>
      </c>
      <c r="N7" t="s">
        <v>294</v>
      </c>
    </row>
    <row r="8" spans="1:14" x14ac:dyDescent="0.25">
      <c r="H8" t="s">
        <v>296</v>
      </c>
      <c r="K8">
        <f>K6</f>
        <v>159336</v>
      </c>
      <c r="M8">
        <v>17000</v>
      </c>
      <c r="N8" t="s">
        <v>295</v>
      </c>
    </row>
    <row r="9" spans="1:14" x14ac:dyDescent="0.25">
      <c r="H9" t="s">
        <v>297</v>
      </c>
      <c r="K9">
        <f>ROUND(K7-K8,-1)</f>
        <v>130640</v>
      </c>
      <c r="M9">
        <f>SUM(M7:M8)</f>
        <v>45934</v>
      </c>
      <c r="N9" t="s">
        <v>301</v>
      </c>
    </row>
    <row r="10" spans="1:14" x14ac:dyDescent="0.25">
      <c r="A10" s="94" t="s">
        <v>172</v>
      </c>
      <c r="H10" t="s">
        <v>298</v>
      </c>
      <c r="K10">
        <f>ROUND(3000+(K9-20000)*30%,)</f>
        <v>36192</v>
      </c>
    </row>
    <row r="11" spans="1:14" x14ac:dyDescent="0.25">
      <c r="A11" s="95">
        <v>45931</v>
      </c>
      <c r="B11" s="95">
        <v>46295</v>
      </c>
      <c r="C11">
        <f>B11-A11+1</f>
        <v>365</v>
      </c>
      <c r="D11" s="12">
        <v>64310</v>
      </c>
      <c r="H11" t="s">
        <v>299</v>
      </c>
      <c r="K11">
        <f>ROUND(K10*4%,)</f>
        <v>1448</v>
      </c>
    </row>
    <row r="12" spans="1:14" x14ac:dyDescent="0.25">
      <c r="A12" s="95">
        <v>46113</v>
      </c>
      <c r="B12" s="95">
        <f>+B11</f>
        <v>46295</v>
      </c>
      <c r="C12">
        <f>B12-A12+1</f>
        <v>183</v>
      </c>
      <c r="D12" s="98">
        <f>ROUND(D11*C12/C11,)</f>
        <v>32243</v>
      </c>
      <c r="E12" s="12" t="s">
        <v>173</v>
      </c>
      <c r="H12" t="s">
        <v>300</v>
      </c>
      <c r="K12">
        <f>SUM(K10:K11)</f>
        <v>37640</v>
      </c>
    </row>
    <row r="14" spans="1:14" x14ac:dyDescent="0.25">
      <c r="A14" s="95">
        <v>45992</v>
      </c>
      <c r="B14" s="95">
        <v>46356</v>
      </c>
      <c r="C14">
        <f t="shared" ref="C14:C15" si="1">B14-A14+1</f>
        <v>365</v>
      </c>
      <c r="D14" s="12">
        <v>64310</v>
      </c>
    </row>
    <row r="15" spans="1:14" x14ac:dyDescent="0.25">
      <c r="A15" s="95">
        <v>46113</v>
      </c>
      <c r="B15" s="95">
        <f>+B14</f>
        <v>46356</v>
      </c>
      <c r="C15">
        <f t="shared" si="1"/>
        <v>244</v>
      </c>
      <c r="D15" s="98">
        <f>ROUND(D14*C15/C14,)</f>
        <v>42991</v>
      </c>
      <c r="E15" s="12" t="s">
        <v>173</v>
      </c>
    </row>
    <row r="17" spans="1:5" x14ac:dyDescent="0.25">
      <c r="A17" s="95">
        <v>46082</v>
      </c>
      <c r="B17" s="95">
        <v>46446</v>
      </c>
      <c r="C17">
        <f>B17-A17+1</f>
        <v>365</v>
      </c>
      <c r="D17" s="12">
        <v>58806</v>
      </c>
    </row>
    <row r="18" spans="1:5" x14ac:dyDescent="0.25">
      <c r="A18" s="95">
        <v>46113</v>
      </c>
      <c r="B18" s="95">
        <f>+B17</f>
        <v>46446</v>
      </c>
      <c r="C18">
        <f>B18-A18+1</f>
        <v>334</v>
      </c>
      <c r="D18" s="98">
        <f>ROUND(D17*C18/C17,)</f>
        <v>53812</v>
      </c>
      <c r="E18" s="12" t="s">
        <v>173</v>
      </c>
    </row>
    <row r="20" spans="1:5" x14ac:dyDescent="0.25">
      <c r="A20" s="94" t="s">
        <v>259</v>
      </c>
      <c r="C20" t="s">
        <v>260</v>
      </c>
    </row>
    <row r="21" spans="1:5" x14ac:dyDescent="0.25">
      <c r="A21" s="95">
        <v>45962</v>
      </c>
      <c r="B21" s="95">
        <v>46142</v>
      </c>
      <c r="C21">
        <v>6</v>
      </c>
      <c r="D21" s="12">
        <v>11033</v>
      </c>
    </row>
    <row r="22" spans="1:5" x14ac:dyDescent="0.25">
      <c r="A22" s="95">
        <v>46113</v>
      </c>
      <c r="B22" s="95">
        <f>+B21</f>
        <v>46142</v>
      </c>
      <c r="C22">
        <v>1</v>
      </c>
      <c r="D22" s="98">
        <f>ROUND(D21*C22/C21,)</f>
        <v>1839</v>
      </c>
      <c r="E22" s="12" t="s">
        <v>173</v>
      </c>
    </row>
    <row r="24" spans="1:5" x14ac:dyDescent="0.25">
      <c r="A24" s="94" t="s">
        <v>261</v>
      </c>
    </row>
    <row r="25" spans="1:5" x14ac:dyDescent="0.25">
      <c r="A25" s="95">
        <v>45962</v>
      </c>
      <c r="B25" s="95">
        <v>46326</v>
      </c>
      <c r="C25">
        <f>B25-A25+1</f>
        <v>365</v>
      </c>
      <c r="D25" s="12">
        <v>17715</v>
      </c>
    </row>
    <row r="26" spans="1:5" x14ac:dyDescent="0.25">
      <c r="A26" s="95">
        <v>46113</v>
      </c>
      <c r="B26" s="95">
        <f>+B25</f>
        <v>46326</v>
      </c>
      <c r="C26">
        <f>B26-A26</f>
        <v>213</v>
      </c>
      <c r="D26" s="98">
        <f>ROUND(D25*C26/C25,)</f>
        <v>10338</v>
      </c>
      <c r="E26" s="12" t="s">
        <v>173</v>
      </c>
    </row>
    <row r="28" spans="1:5" x14ac:dyDescent="0.25">
      <c r="A28" s="95">
        <v>45931</v>
      </c>
      <c r="B28" s="95">
        <v>46295</v>
      </c>
      <c r="C28">
        <f>B28-A28+1</f>
        <v>365</v>
      </c>
      <c r="D28" s="12">
        <v>16606</v>
      </c>
    </row>
    <row r="29" spans="1:5" x14ac:dyDescent="0.25">
      <c r="A29" s="95">
        <v>46113</v>
      </c>
      <c r="B29" s="95">
        <f>+B28</f>
        <v>46295</v>
      </c>
      <c r="C29">
        <f>B29-A29</f>
        <v>182</v>
      </c>
      <c r="D29" s="98">
        <f>ROUND(D28*C29/C28,)</f>
        <v>8280</v>
      </c>
      <c r="E29" s="12" t="s">
        <v>173</v>
      </c>
    </row>
    <row r="31" spans="1:5" x14ac:dyDescent="0.25">
      <c r="A31" s="94" t="s">
        <v>174</v>
      </c>
    </row>
    <row r="32" spans="1:5" x14ac:dyDescent="0.25">
      <c r="A32" s="95">
        <v>45994</v>
      </c>
      <c r="B32" s="95">
        <v>46358</v>
      </c>
      <c r="C32">
        <f>B32-A32+1</f>
        <v>365</v>
      </c>
      <c r="D32" s="12">
        <f>31256+3540</f>
        <v>34796</v>
      </c>
    </row>
    <row r="33" spans="1:5" x14ac:dyDescent="0.25">
      <c r="A33" s="95">
        <v>46113</v>
      </c>
      <c r="B33" s="95">
        <f>+B32</f>
        <v>46358</v>
      </c>
      <c r="C33">
        <f>B33-A33</f>
        <v>245</v>
      </c>
      <c r="D33" s="98">
        <f>ROUND(D32*C33/C32,)</f>
        <v>23356</v>
      </c>
      <c r="E33" s="12" t="s">
        <v>173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BS</vt:lpstr>
      <vt:lpstr>IE</vt:lpstr>
      <vt:lpstr>Sch I</vt:lpstr>
      <vt:lpstr>Sch II</vt:lpstr>
      <vt:lpstr>Sch III, IV</vt:lpstr>
      <vt:lpstr>Sch V</vt:lpstr>
      <vt:lpstr>Sch VI</vt:lpstr>
      <vt:lpstr>Sch VII</vt:lpstr>
      <vt:lpstr>BRS</vt:lpstr>
      <vt:lpstr>Sheet1</vt:lpstr>
      <vt:lpstr>BS!Print_Area</vt:lpstr>
      <vt:lpstr>IE!Print_Area</vt:lpstr>
      <vt:lpstr>'Sch I'!Print_Area</vt:lpstr>
      <vt:lpstr>'Sch II'!Print_Area</vt:lpstr>
      <vt:lpstr>'Sch III, IV'!Print_Area</vt:lpstr>
      <vt:lpstr>'Sch V'!Print_Area</vt:lpstr>
      <vt:lpstr>'Sch VI'!Print_Area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RANJIT B.</cp:lastModifiedBy>
  <cp:lastPrinted>2024-08-14T11:11:27Z</cp:lastPrinted>
  <dcterms:created xsi:type="dcterms:W3CDTF">2015-06-05T18:17:20Z</dcterms:created>
  <dcterms:modified xsi:type="dcterms:W3CDTF">2026-09-07T11:18:43Z</dcterms:modified>
</cp:coreProperties>
</file>