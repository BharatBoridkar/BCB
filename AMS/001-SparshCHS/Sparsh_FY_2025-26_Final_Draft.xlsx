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G:\BHARAT\2025-2026\AMS\001-SparshCHS\"/>
    </mc:Choice>
  </mc:AlternateContent>
  <bookViews>
    <workbookView xWindow="120" yWindow="120" windowWidth="12120" windowHeight="8235" activeTab="5"/>
  </bookViews>
  <sheets>
    <sheet name="BALANCE SHEET" sheetId="4" r:id="rId1"/>
    <sheet name="INCOME &amp; EXP" sheetId="1" r:id="rId2"/>
    <sheet name="FDR Sch-I" sheetId="11" r:id="rId3"/>
    <sheet name="FA Sch-II" sheetId="8" r:id="rId4"/>
    <sheet name="Sch-III &amp; IV" sheetId="9" r:id="rId5"/>
    <sheet name="Sch-V &amp; VI" sheetId="10" r:id="rId6"/>
    <sheet name="BRS" sheetId="5" r:id="rId7"/>
    <sheet name="Workings" sheetId="7" r:id="rId8"/>
    <sheet name="Notes" sheetId="6" r:id="rId9"/>
  </sheets>
  <definedNames>
    <definedName name="_xlnm.Print_Area" localSheetId="0">'BALANCE SHEET'!$A$1:$H$59</definedName>
    <definedName name="_xlnm.Print_Area" localSheetId="3">'FA Sch-II'!$A$1:$H$17</definedName>
    <definedName name="_xlnm.Print_Area" localSheetId="2">'FDR Sch-I'!$A$1:$K$34</definedName>
    <definedName name="_xlnm.Print_Area" localSheetId="1">'INCOME &amp; EXP'!$A$1:$H$79</definedName>
    <definedName name="_xlnm.Print_Area" localSheetId="4">'Sch-III &amp; IV'!$A$1:$D$30</definedName>
    <definedName name="_xlnm.Print_Area" localSheetId="5">'Sch-V &amp; VI'!$A$1:$D$33</definedName>
  </definedNames>
  <calcPr calcId="162913"/>
</workbook>
</file>

<file path=xl/calcChain.xml><?xml version="1.0" encoding="utf-8"?>
<calcChain xmlns="http://schemas.openxmlformats.org/spreadsheetml/2006/main">
  <c r="C47" i="4" l="1"/>
  <c r="H66" i="1"/>
  <c r="C36" i="1" l="1"/>
  <c r="E14" i="8" l="1"/>
  <c r="C32" i="1"/>
  <c r="D15" i="10"/>
  <c r="G42" i="7"/>
  <c r="G15" i="4"/>
  <c r="C23" i="4"/>
  <c r="C10" i="5"/>
  <c r="G7" i="5"/>
  <c r="F7" i="5"/>
  <c r="E15" i="8" l="1"/>
  <c r="D16" i="8"/>
  <c r="E16" i="8"/>
  <c r="C16" i="8"/>
  <c r="F10" i="8"/>
  <c r="G10" i="8"/>
  <c r="F11" i="8"/>
  <c r="G11" i="8"/>
  <c r="F12" i="8"/>
  <c r="G12" i="8"/>
  <c r="F13" i="8"/>
  <c r="G13" i="8"/>
  <c r="F14" i="8"/>
  <c r="G14" i="8"/>
  <c r="F15" i="8"/>
  <c r="G15" i="8"/>
  <c r="H15" i="8" s="1"/>
  <c r="D33" i="11"/>
  <c r="D29" i="1"/>
  <c r="H14" i="8" l="1"/>
  <c r="H16" i="8" s="1"/>
  <c r="H13" i="8"/>
  <c r="H12" i="8"/>
  <c r="H11" i="8"/>
  <c r="H10" i="8"/>
  <c r="C30" i="4"/>
  <c r="C44" i="4"/>
  <c r="D21" i="10"/>
  <c r="M8" i="7"/>
  <c r="F9" i="8" l="1"/>
  <c r="F16" i="8" s="1"/>
  <c r="G9" i="8"/>
  <c r="G16" i="8" s="1"/>
  <c r="H9" i="8" l="1"/>
  <c r="D14" i="10"/>
  <c r="D20" i="10"/>
  <c r="C35" i="4"/>
  <c r="C24" i="4"/>
  <c r="D24" i="4" s="1"/>
  <c r="C29" i="4"/>
  <c r="D30" i="4" s="1"/>
  <c r="C19" i="4"/>
  <c r="D19" i="4" s="1"/>
  <c r="C12" i="4"/>
  <c r="G12" i="4"/>
  <c r="D14" i="9"/>
  <c r="D7" i="9"/>
  <c r="D27" i="9"/>
  <c r="D26" i="9"/>
  <c r="D25" i="9"/>
  <c r="D24" i="9"/>
  <c r="D23" i="9"/>
  <c r="D22" i="9"/>
  <c r="D29" i="9" s="1"/>
  <c r="D28" i="9"/>
  <c r="E15" i="7"/>
  <c r="G11" i="4" l="1"/>
  <c r="H15" i="4" s="1"/>
  <c r="C44" i="1"/>
  <c r="C10" i="1"/>
  <c r="C7" i="1"/>
  <c r="C8" i="1"/>
  <c r="D38" i="1"/>
  <c r="C6" i="1"/>
  <c r="F23" i="7" l="1"/>
  <c r="D17" i="1" s="1"/>
  <c r="F22" i="7"/>
  <c r="E33" i="11"/>
  <c r="F33" i="11"/>
  <c r="H31" i="11"/>
  <c r="E31" i="11"/>
  <c r="F31" i="11"/>
  <c r="D31" i="11"/>
  <c r="H27" i="11"/>
  <c r="E27" i="11"/>
  <c r="F27" i="11"/>
  <c r="D27" i="11"/>
  <c r="H23" i="11"/>
  <c r="E23" i="11"/>
  <c r="F23" i="11"/>
  <c r="D23" i="11"/>
  <c r="H18" i="11"/>
  <c r="E18" i="11"/>
  <c r="F18" i="11"/>
  <c r="D18" i="11"/>
  <c r="H14" i="11"/>
  <c r="E14" i="11"/>
  <c r="F14" i="11"/>
  <c r="D14" i="11"/>
  <c r="H9" i="11"/>
  <c r="H33" i="11" s="1"/>
  <c r="E9" i="11"/>
  <c r="F9" i="11"/>
  <c r="D9" i="11"/>
  <c r="F22" i="11"/>
  <c r="E8" i="11" l="1"/>
  <c r="E13" i="11"/>
  <c r="E30" i="11"/>
  <c r="E22" i="11"/>
  <c r="E21" i="11"/>
  <c r="E17" i="11"/>
  <c r="E12" i="11"/>
  <c r="E7" i="11"/>
  <c r="E26" i="11"/>
  <c r="F30" i="11"/>
  <c r="F13" i="11"/>
  <c r="F8" i="11"/>
  <c r="F26" i="11"/>
  <c r="F12" i="11"/>
  <c r="F7" i="11"/>
  <c r="F17" i="11" l="1"/>
  <c r="F21" i="11"/>
  <c r="F35" i="7" l="1"/>
  <c r="D35" i="7"/>
  <c r="D19" i="7"/>
  <c r="F31" i="7"/>
  <c r="D31" i="7"/>
  <c r="D10" i="7"/>
  <c r="D6" i="7"/>
  <c r="E6" i="7" s="1"/>
  <c r="E69" i="1"/>
  <c r="I71" i="1" l="1"/>
  <c r="I74" i="1"/>
  <c r="G43" i="7"/>
  <c r="E27" i="7"/>
  <c r="D27" i="7"/>
  <c r="E26" i="7"/>
  <c r="D13" i="1"/>
  <c r="F27" i="7" l="1"/>
  <c r="D22" i="10"/>
  <c r="D23" i="10" s="1"/>
  <c r="M7" i="7"/>
  <c r="M5" i="7"/>
  <c r="M6" i="7" s="1"/>
  <c r="M4" i="7"/>
  <c r="M9" i="7" l="1"/>
  <c r="M12" i="7" s="1"/>
  <c r="M13" i="7" s="1"/>
  <c r="D32" i="10"/>
  <c r="M14" i="7" l="1"/>
  <c r="M15" i="7" s="1"/>
  <c r="M16" i="7" l="1"/>
  <c r="E49" i="4"/>
  <c r="A49" i="4"/>
  <c r="D39" i="4"/>
  <c r="C34" i="4"/>
  <c r="D35" i="4" s="1"/>
  <c r="C7" i="4"/>
  <c r="C6" i="4"/>
  <c r="G20" i="4"/>
  <c r="G24" i="4"/>
  <c r="I54" i="4" l="1"/>
  <c r="I51" i="4"/>
  <c r="H24" i="4"/>
  <c r="D37" i="4"/>
  <c r="I49" i="4"/>
  <c r="D7" i="4"/>
  <c r="F8" i="8" l="1"/>
  <c r="F7" i="8"/>
  <c r="F6" i="8"/>
  <c r="F5" i="8"/>
  <c r="F4" i="8"/>
  <c r="G7" i="4" l="1"/>
  <c r="G8" i="4"/>
  <c r="C8" i="5"/>
  <c r="C18" i="5"/>
  <c r="G7" i="8"/>
  <c r="H7" i="8" s="1"/>
  <c r="G8" i="8"/>
  <c r="H8" i="8" s="1"/>
  <c r="G6" i="8"/>
  <c r="H6" i="8" s="1"/>
  <c r="G5" i="8"/>
  <c r="H5" i="8" s="1"/>
  <c r="G4" i="8"/>
  <c r="A69" i="1"/>
  <c r="D45" i="1"/>
  <c r="H4" i="8" l="1"/>
  <c r="H17" i="4" s="1"/>
  <c r="H8" i="4"/>
  <c r="C64" i="1" l="1"/>
  <c r="D64" i="1" s="1"/>
  <c r="H49" i="4"/>
  <c r="H27" i="1"/>
  <c r="H14" i="1"/>
  <c r="D10" i="1" l="1"/>
  <c r="E19" i="7"/>
  <c r="F19" i="7" s="1"/>
  <c r="E18" i="7"/>
  <c r="E14" i="7"/>
  <c r="E13" i="7"/>
  <c r="F15" i="7" s="1"/>
  <c r="E10" i="7"/>
  <c r="E9" i="7"/>
  <c r="D69" i="1" l="1"/>
  <c r="F10" i="7"/>
  <c r="E5" i="7"/>
  <c r="C14" i="4" l="1"/>
  <c r="D14" i="4" s="1"/>
  <c r="F6" i="7"/>
  <c r="H4" i="1"/>
  <c r="E4" i="1"/>
  <c r="H4" i="4"/>
  <c r="E4" i="4"/>
  <c r="D47" i="4" l="1"/>
  <c r="D49" i="4" s="1"/>
  <c r="H69" i="1"/>
  <c r="J49" i="4" l="1"/>
  <c r="J54" i="4"/>
  <c r="J69" i="1"/>
  <c r="J74" i="1"/>
  <c r="I69" i="1"/>
</calcChain>
</file>

<file path=xl/sharedStrings.xml><?xml version="1.0" encoding="utf-8"?>
<sst xmlns="http://schemas.openxmlformats.org/spreadsheetml/2006/main" count="418" uniqueCount="317">
  <si>
    <t>EXPENDITURE</t>
  </si>
  <si>
    <t xml:space="preserve">INCOME </t>
  </si>
  <si>
    <t>Conveyance</t>
  </si>
  <si>
    <t>Audit Fees</t>
  </si>
  <si>
    <t>Printing &amp; Stationery</t>
  </si>
  <si>
    <t>Income from other sources:</t>
  </si>
  <si>
    <t>TOTAL</t>
  </si>
  <si>
    <t>LIABILITIES</t>
  </si>
  <si>
    <t>ASSETS</t>
  </si>
  <si>
    <t>Reserve Fund :</t>
  </si>
  <si>
    <t>Balance B/f</t>
  </si>
  <si>
    <t>CASH &amp; BANK BALANCES :</t>
  </si>
  <si>
    <t>Cash in hand</t>
  </si>
  <si>
    <t>INVESTMENTS :</t>
  </si>
  <si>
    <t>Shares of JKN Coop Hsg Fed</t>
  </si>
  <si>
    <t>Share of MDCC Bank</t>
  </si>
  <si>
    <t>SPARSH CO-OPERATIVE HOUSING SOCIETY LTD</t>
  </si>
  <si>
    <t>(Regn. No.BOM/W-P/HSG/(T.C.)/4158/88-89)</t>
  </si>
  <si>
    <t>FOR SPARSH CO-OPERATIVE HOUSING SOCIETY LTD</t>
  </si>
  <si>
    <t>Bank charges</t>
  </si>
  <si>
    <t>Excess of Income over Exp.</t>
  </si>
  <si>
    <t>Income &amp; Expenditure A/c  :</t>
  </si>
  <si>
    <t>Income Tax refund received</t>
  </si>
  <si>
    <t>Professional Charges</t>
  </si>
  <si>
    <t>Add: Addition during the year</t>
  </si>
  <si>
    <t>Redevelopment Deposit :</t>
  </si>
  <si>
    <t>Sub-lettee Shifting Charges</t>
  </si>
  <si>
    <t>Education &amp; Training Fund :</t>
  </si>
  <si>
    <t>SPARSH  CO-OPERATIVE HOUSING SOCIETY LTD</t>
  </si>
  <si>
    <t>MAR-2025</t>
  </si>
  <si>
    <t>Account Head</t>
  </si>
  <si>
    <t>Period</t>
  </si>
  <si>
    <t xml:space="preserve">From </t>
  </si>
  <si>
    <t>To</t>
  </si>
  <si>
    <t>Amount</t>
  </si>
  <si>
    <t>Lift AMC</t>
  </si>
  <si>
    <t>Prepaid</t>
  </si>
  <si>
    <t>Intercom AMC</t>
  </si>
  <si>
    <t>Bird Net AMC</t>
  </si>
  <si>
    <t>CCTV AMC</t>
  </si>
  <si>
    <t>Insurance Charges</t>
  </si>
  <si>
    <t>Electricity Charges</t>
  </si>
  <si>
    <t>Water Charges</t>
  </si>
  <si>
    <t>Service Charges</t>
  </si>
  <si>
    <t>Non Occupancy Charge</t>
  </si>
  <si>
    <t>Late Payment Interest</t>
  </si>
  <si>
    <t>Penalty</t>
  </si>
  <si>
    <t>Salary Expense</t>
  </si>
  <si>
    <t>Housekeeper</t>
  </si>
  <si>
    <t>Gardener</t>
  </si>
  <si>
    <t>Manager</t>
  </si>
  <si>
    <t>Bonus</t>
  </si>
  <si>
    <t xml:space="preserve">Property Tax </t>
  </si>
  <si>
    <t>Electricity Expenses</t>
  </si>
  <si>
    <t>AMC's Expenses</t>
  </si>
  <si>
    <t>Lift</t>
  </si>
  <si>
    <t xml:space="preserve">Intercom </t>
  </si>
  <si>
    <t>Bird Net</t>
  </si>
  <si>
    <t>CCTV</t>
  </si>
  <si>
    <t>Repairs &amp; Maintenance Expense</t>
  </si>
  <si>
    <t>Garden Maintenance</t>
  </si>
  <si>
    <t>Pest Control</t>
  </si>
  <si>
    <t>Accounting Charges</t>
  </si>
  <si>
    <t>Security Expenses</t>
  </si>
  <si>
    <t>House Keeping Expenses</t>
  </si>
  <si>
    <t>Monthly Expenses</t>
  </si>
  <si>
    <t>Administrative &amp; Other Expenses</t>
  </si>
  <si>
    <t>Subscription Federation</t>
  </si>
  <si>
    <t>House Keeping Materials</t>
  </si>
  <si>
    <t>Election Expense</t>
  </si>
  <si>
    <t>Office Expense</t>
  </si>
  <si>
    <t>Postages &amp; Courier</t>
  </si>
  <si>
    <t>Telephone &amp; Internet Expense</t>
  </si>
  <si>
    <t>Meeting Expense</t>
  </si>
  <si>
    <t>Legal Fees</t>
  </si>
  <si>
    <t>Software Charges</t>
  </si>
  <si>
    <t>Members Contribution Towards:</t>
  </si>
  <si>
    <t>25% Surplus</t>
  </si>
  <si>
    <t>Provision</t>
  </si>
  <si>
    <t>No. of Days / month</t>
  </si>
  <si>
    <t>Gym Expense</t>
  </si>
  <si>
    <t>Electrical Expenses</t>
  </si>
  <si>
    <t>Other Expenses</t>
  </si>
  <si>
    <t>Festival Expense</t>
  </si>
  <si>
    <t>Particulars</t>
  </si>
  <si>
    <t>Rate %</t>
  </si>
  <si>
    <t>Depreciation for the year</t>
  </si>
  <si>
    <t>Computer &amp; Printer</t>
  </si>
  <si>
    <t>Total</t>
  </si>
  <si>
    <t>Ladder</t>
  </si>
  <si>
    <t>Mobile</t>
  </si>
  <si>
    <t>Fan</t>
  </si>
  <si>
    <t>Furniture</t>
  </si>
  <si>
    <t>Balance as per System</t>
  </si>
  <si>
    <t>Add:</t>
  </si>
  <si>
    <t>Balance as per Pass Book</t>
  </si>
  <si>
    <t>Date</t>
  </si>
  <si>
    <t>Deposit</t>
  </si>
  <si>
    <t>Issued</t>
  </si>
  <si>
    <t>Remarks</t>
  </si>
  <si>
    <t>Comments</t>
  </si>
  <si>
    <t>Cleared on</t>
  </si>
  <si>
    <t>Instru. No.</t>
  </si>
  <si>
    <t>Vendor/ flat</t>
  </si>
  <si>
    <t>BMC</t>
  </si>
  <si>
    <t>Saraswat Bank</t>
  </si>
  <si>
    <t>Jankalyan Bank</t>
  </si>
  <si>
    <t>Depreciation</t>
  </si>
  <si>
    <t>Saving Bank Interest</t>
  </si>
  <si>
    <t>Fixed Deposit Interest</t>
  </si>
  <si>
    <t>Interest on IT Refund</t>
  </si>
  <si>
    <t>Other Current Assets:</t>
  </si>
  <si>
    <t>Mr. Sumit Nair &amp; Mr. Rahul Nair</t>
  </si>
  <si>
    <t>Mr. Balkrishna Kisan Chaudhari and Jayashri B Chaudhari</t>
  </si>
  <si>
    <t>Mrs. Sitabai Bhagwandas Vagh and Mrs. Renuka Subhash Asar</t>
  </si>
  <si>
    <t>Name of Member</t>
  </si>
  <si>
    <t>Sr. no.</t>
  </si>
  <si>
    <t>Flat no.</t>
  </si>
  <si>
    <t>Schedule-III</t>
  </si>
  <si>
    <t>Vendor</t>
  </si>
  <si>
    <t>Schindler</t>
  </si>
  <si>
    <t>Electronic India</t>
  </si>
  <si>
    <t>Supreme Care</t>
  </si>
  <si>
    <t>Share Capital</t>
  </si>
  <si>
    <t>Add: Additional 5 shares from old members</t>
  </si>
  <si>
    <t>Add: Additional 10 shares from new members</t>
  </si>
  <si>
    <t>Less: Refund back to old Member</t>
  </si>
  <si>
    <t>Sinking Fund :</t>
  </si>
  <si>
    <t>Adani</t>
  </si>
  <si>
    <t>MCGM</t>
  </si>
  <si>
    <t xml:space="preserve">Water charges - Period 16.04.2024 to 16.05.2024 </t>
  </si>
  <si>
    <t>Nelumbo Enterprises</t>
  </si>
  <si>
    <t>MDCHF</t>
  </si>
  <si>
    <t>Total (A)</t>
  </si>
  <si>
    <t>Total (B)</t>
  </si>
  <si>
    <t>Auditor</t>
  </si>
  <si>
    <t>C = (A+B)</t>
  </si>
  <si>
    <t>Schedule-IV</t>
  </si>
  <si>
    <t>Schedule-V</t>
  </si>
  <si>
    <t>Name of Members</t>
  </si>
  <si>
    <t>0101</t>
  </si>
  <si>
    <t>0801</t>
  </si>
  <si>
    <t>Add: 25% Surplus</t>
  </si>
  <si>
    <t>Repair Fund :</t>
  </si>
  <si>
    <t>Subscription Federation - FY 24-25 with Arrear</t>
  </si>
  <si>
    <t>Income Tax Provision</t>
  </si>
  <si>
    <t>Income from Savings A/c.</t>
  </si>
  <si>
    <t>Income from Fixed Deposit</t>
  </si>
  <si>
    <t>Sale of scrap &amp; Promotional</t>
  </si>
  <si>
    <t>Net Taxable Income</t>
  </si>
  <si>
    <t>0-10000</t>
  </si>
  <si>
    <t>10000-20000</t>
  </si>
  <si>
    <t>20000 or More</t>
  </si>
  <si>
    <t>Tax</t>
  </si>
  <si>
    <t>Education cess</t>
  </si>
  <si>
    <t>Total Tax</t>
  </si>
  <si>
    <t>Say</t>
  </si>
  <si>
    <t>Miscellaneous Income</t>
  </si>
  <si>
    <t>Benefit of 80p2d</t>
  </si>
  <si>
    <t>Income Tax Expense</t>
  </si>
  <si>
    <t>-</t>
  </si>
  <si>
    <t>Income Tax - FY 2024-25</t>
  </si>
  <si>
    <t>Security Deposit with Adani</t>
  </si>
  <si>
    <t>Ac-153587768</t>
  </si>
  <si>
    <t>Ac-153544448</t>
  </si>
  <si>
    <t>Ac-153563364</t>
  </si>
  <si>
    <t>Mr. Unnikrishnan Ashokan Mannel &amp; Ashokan Bhaskaran</t>
  </si>
  <si>
    <t>Less: Builder's liability trfd to EMD</t>
  </si>
  <si>
    <t>Insurance</t>
  </si>
  <si>
    <t>Insurance Expense</t>
  </si>
  <si>
    <t>ICICI Lombard</t>
  </si>
  <si>
    <t>Ac-153454115</t>
  </si>
  <si>
    <t>Ac-153457629</t>
  </si>
  <si>
    <t>Less: Pre-matured closure of FDR by society</t>
  </si>
  <si>
    <t>Notes</t>
  </si>
  <si>
    <t>Provision for 1 member payable to Res.F A5 -1003/1004</t>
  </si>
  <si>
    <t xml:space="preserve">Water Expenses </t>
  </si>
  <si>
    <t>(Includes Provision Rs.1,19,000)</t>
  </si>
  <si>
    <t>Subscription Charges of Security App</t>
  </si>
  <si>
    <t>Machanical Stack</t>
  </si>
  <si>
    <t>Water Pump</t>
  </si>
  <si>
    <t>Fire Equipments</t>
  </si>
  <si>
    <t>CCTV/ Intercom</t>
  </si>
  <si>
    <t>Gym Equipments</t>
  </si>
  <si>
    <t>Bird Nets</t>
  </si>
  <si>
    <t>Gate</t>
  </si>
  <si>
    <t>Air Conditioner</t>
  </si>
  <si>
    <t>Land &amp; Builder Cost</t>
  </si>
  <si>
    <t>to be shown in BS</t>
  </si>
  <si>
    <t>Land &amp; building to be shown in BS</t>
  </si>
  <si>
    <t>Sch</t>
  </si>
  <si>
    <t>MAR-2026</t>
  </si>
  <si>
    <t>BALANCE SHEET AS ON 31ST MARCH 2026</t>
  </si>
  <si>
    <t>STATEMENT OF INCOME &amp; EXPENDITURE A/C FOR THE YEAR ENDED 31ST MARCH 2026</t>
  </si>
  <si>
    <t>Opening W.D.V. as on 01.04.2025</t>
  </si>
  <si>
    <t>Additions during the year before 30.09.2025</t>
  </si>
  <si>
    <t>Additions during the year after 30.09.2025</t>
  </si>
  <si>
    <t>Gross Block (at cost) as on 31.03.2026</t>
  </si>
  <si>
    <t>Closing W.D.V. as on 31.03.2026</t>
  </si>
  <si>
    <t>Member's Receivable as on 31st March 2026</t>
  </si>
  <si>
    <t>Prepaid Expense as on 31st March 2026</t>
  </si>
  <si>
    <t>Payables as on 31st March 2026</t>
  </si>
  <si>
    <t>Provision as on 31st March 2026</t>
  </si>
  <si>
    <t>Members Advance as of 31st March 2026</t>
  </si>
  <si>
    <t>Mrs. Hema Sanjay Sawant and Mr. Sanjay Sawant</t>
  </si>
  <si>
    <t xml:space="preserve">Mr. Sanjeev Rajendra Prasad Singh </t>
  </si>
  <si>
    <t>0502</t>
  </si>
  <si>
    <t>0703</t>
  </si>
  <si>
    <t>Mrs. Sharon Gonsalves and Mr. Dallon Gonsalves</t>
  </si>
  <si>
    <t>Mrs. Theresa Fernandes</t>
  </si>
  <si>
    <t>Fire Fighting AMC</t>
  </si>
  <si>
    <t>Stack Parking AMC</t>
  </si>
  <si>
    <t>Sr No.</t>
  </si>
  <si>
    <t>Certificate No.</t>
  </si>
  <si>
    <t>Amount Invested</t>
  </si>
  <si>
    <t>Maturity Date</t>
  </si>
  <si>
    <t>Maturity Value</t>
  </si>
  <si>
    <t>Interest %</t>
  </si>
  <si>
    <t>Bank</t>
  </si>
  <si>
    <t>Sinking Fund</t>
  </si>
  <si>
    <t>Edu. &amp; Trng. Fund</t>
  </si>
  <si>
    <t>GRAND TOTAL</t>
  </si>
  <si>
    <t xml:space="preserve"> </t>
  </si>
  <si>
    <t>Schedule I - Details of Fixed Deposits with Banks as on 31st March 2026</t>
  </si>
  <si>
    <t>General Reserve Fund</t>
  </si>
  <si>
    <t>TD1001647766</t>
  </si>
  <si>
    <t>15.05.2025</t>
  </si>
  <si>
    <t>SCB</t>
  </si>
  <si>
    <t>15.05.2027</t>
  </si>
  <si>
    <t>TD1001647777</t>
  </si>
  <si>
    <t>Accrued Int. 2025-26</t>
  </si>
  <si>
    <t>TD1001647782</t>
  </si>
  <si>
    <t>TD1001647789</t>
  </si>
  <si>
    <t>Repair Fund</t>
  </si>
  <si>
    <t>TD1001647797</t>
  </si>
  <si>
    <t>TD1002067987</t>
  </si>
  <si>
    <t>24.03.2026</t>
  </si>
  <si>
    <t>TD1002068160</t>
  </si>
  <si>
    <t>TD1002068054</t>
  </si>
  <si>
    <t>TD1002068222</t>
  </si>
  <si>
    <t>Redevelopment Fund</t>
  </si>
  <si>
    <t>24.07.2027</t>
  </si>
  <si>
    <t>Sch II - Fixed Assets as on 31.03.2026</t>
  </si>
  <si>
    <t>Saraswat Bank reconciliation statement as on 31st March 2026</t>
  </si>
  <si>
    <t>Janakalyan Bank reconciliation statement as on 31st March 2026</t>
  </si>
  <si>
    <t>29.03.2026</t>
  </si>
  <si>
    <t>Jankalyan Fed.</t>
  </si>
  <si>
    <t>Chq issued but not cleared as on 31.03.2026</t>
  </si>
  <si>
    <t>Other Charges</t>
  </si>
  <si>
    <t>Less: Trfd to Sinking Fund</t>
  </si>
  <si>
    <t>Less: Trfd to Repair Fund</t>
  </si>
  <si>
    <t>Less: Trfd to Education Fund</t>
  </si>
  <si>
    <t>Less: Trfd to Reserv Fund</t>
  </si>
  <si>
    <t>Less: Redevelopment Fund</t>
  </si>
  <si>
    <t>Valet Driver</t>
  </si>
  <si>
    <t>Water Tank Cleaning</t>
  </si>
  <si>
    <t>Fire Fighting</t>
  </si>
  <si>
    <t>Stack Parking</t>
  </si>
  <si>
    <t>Excess of Expense over Income</t>
  </si>
  <si>
    <t>Plumbing Expense</t>
  </si>
  <si>
    <t>Fixed Deposit (Sch-I)</t>
  </si>
  <si>
    <t>Lift AMC - From 01.04.2026 to 28.10.2026</t>
  </si>
  <si>
    <t>Intercom AMC - From 01.04.2026 to 31.12.2026</t>
  </si>
  <si>
    <t>Fire Fighting AMC - From 01.04.2026 to 30.04.2026</t>
  </si>
  <si>
    <t>Bird Net AMC - From 01.04.2026 to 04.05.2027</t>
  </si>
  <si>
    <t>CCTV AMC - From 01.04.2026 to 31.12.2026</t>
  </si>
  <si>
    <t>Insurance - From 01.04.2026 to 27.01.2027</t>
  </si>
  <si>
    <t>FY 2024-25</t>
  </si>
  <si>
    <t>TDS Receivables</t>
  </si>
  <si>
    <t>FY 2025-26</t>
  </si>
  <si>
    <t>Stack AMC - From 01.04.2026 to 30.04.2026</t>
  </si>
  <si>
    <t>Shubham Elevators</t>
  </si>
  <si>
    <t>Amrita Plumarch</t>
  </si>
  <si>
    <t>Mrs. Bhakti V. Ladhani</t>
  </si>
  <si>
    <t>Accrued Interest on FDR</t>
  </si>
  <si>
    <t>Add: Interest earned/accrued during the year</t>
  </si>
  <si>
    <t>Audit fee - FY 2025-26</t>
  </si>
  <si>
    <t>Water Expense - Jun 2024 to Mar 2026</t>
  </si>
  <si>
    <t>Cavin Rodrigues - March 2026 Salary</t>
  </si>
  <si>
    <t>Electricity charges - March 2026</t>
  </si>
  <si>
    <t>Sunil Sah - March 2026 Salary</t>
  </si>
  <si>
    <t>Sheela Savda - March 2026 Salary</t>
  </si>
  <si>
    <t>Security charges - March 2026</t>
  </si>
  <si>
    <t>Valet Parking</t>
  </si>
  <si>
    <t>Sunil Sah &amp; Santosh - March 2026</t>
  </si>
  <si>
    <t>Less: Deficit during the year</t>
  </si>
  <si>
    <t>Fire Fighting AMC - 50%</t>
  </si>
  <si>
    <t>to change</t>
  </si>
  <si>
    <t>Statutory Fund Payable to Flat 1003/1004</t>
  </si>
  <si>
    <t>Less: Refundable to old member (1003/1004)</t>
  </si>
  <si>
    <t>Fixed Asset Sch-II</t>
  </si>
  <si>
    <r>
      <t xml:space="preserve">Member Receivables </t>
    </r>
    <r>
      <rPr>
        <b/>
        <sz val="9"/>
        <rFont val="Arial"/>
        <family val="2"/>
      </rPr>
      <t>(Sch-III)</t>
    </r>
  </si>
  <si>
    <r>
      <t xml:space="preserve">Prepaid Expense </t>
    </r>
    <r>
      <rPr>
        <b/>
        <sz val="9"/>
        <rFont val="Arial"/>
        <family val="2"/>
      </rPr>
      <t>(Sch-IV)</t>
    </r>
  </si>
  <si>
    <t>Schedule-VI</t>
  </si>
  <si>
    <t>AC</t>
  </si>
  <si>
    <t>Society Name Board</t>
  </si>
  <si>
    <t>Parking Control Box</t>
  </si>
  <si>
    <t>Dustbin Cabin Room</t>
  </si>
  <si>
    <t>Safety Door</t>
  </si>
  <si>
    <t>Boundry Grill</t>
  </si>
  <si>
    <t>Canteliver Lock</t>
  </si>
  <si>
    <t>31.03.2026</t>
  </si>
  <si>
    <t>Imran A.G. Ansari</t>
  </si>
  <si>
    <t>Cantilever lock, Coil socket</t>
  </si>
  <si>
    <t>Add: Expenses Paid by Society</t>
  </si>
  <si>
    <t>Less: Builder Period Expense adjst agst EMD</t>
  </si>
  <si>
    <t>Payables &amp; Provisions (Sch-V)</t>
  </si>
  <si>
    <t>Advance Members (Sch-VI)</t>
  </si>
  <si>
    <t xml:space="preserve"> Jank. Nag. Co-op Hsg Fed.</t>
  </si>
  <si>
    <t>20.04.2026</t>
  </si>
  <si>
    <t>10.04.2026</t>
  </si>
  <si>
    <t>As per my report of even date</t>
  </si>
  <si>
    <t>Shri. Bharat C. Boridkar</t>
  </si>
  <si>
    <t>Govt. Certified Panel Auditor</t>
  </si>
  <si>
    <t>Chairman                Secretary              Treasurer</t>
  </si>
  <si>
    <t>[Panel No.: Mumbai-4/B2/1011404]</t>
  </si>
  <si>
    <t>Sr. No.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</si>
</sst>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8">
    <numFmt numFmtId="43" formatCode="_ * #,##0.00_ ;_ * \-#,##0.00_ ;_ * &quot;-&quot;??_ ;_ @_ "/>
    <numFmt numFmtId="164" formatCode="_ * #,##0_ ;_ * \-#,##0_ ;_ * &quot;-&quot;??_ ;_ @_ "/>
    <numFmt numFmtId="165" formatCode="_(* #,##0.00_);_(* \(#,##0.00\);_(* &quot;-&quot;??_);_(@_)"/>
    <numFmt numFmtId="166" formatCode="dd/mm/yyyy;@"/>
    <numFmt numFmtId="167" formatCode="&quot;₹&quot;\ #,##0.00_);[Red]\(&quot;₹&quot;\ #,##0.00\)"/>
    <numFmt numFmtId="168" formatCode="&quot;₹&quot;\ #,##0.00;[Red]&quot;₹&quot;\ #,##0.00"/>
    <numFmt numFmtId="169" formatCode="_ * #,##0.000_ ;_ * \-#,##0.000_ ;_ * &quot;-&quot;??_ ;_ @_ "/>
    <numFmt numFmtId="170" formatCode="&quot;Mumbai: &quot;dd&quot;th&quot;\ mmmm\,\ yyyy"/>
  </numFmts>
  <fonts count="27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Arial"/>
      <family val="2"/>
    </font>
    <font>
      <b/>
      <sz val="10"/>
      <name val="Arial"/>
      <family val="2"/>
    </font>
    <font>
      <b/>
      <sz val="9"/>
      <name val="Arial"/>
      <family val="2"/>
    </font>
    <font>
      <b/>
      <u/>
      <sz val="9"/>
      <name val="Arial"/>
      <family val="2"/>
    </font>
    <font>
      <b/>
      <sz val="11"/>
      <name val="Arial"/>
      <family val="2"/>
    </font>
    <font>
      <b/>
      <sz val="11"/>
      <name val="Times New Roman"/>
      <family val="1"/>
    </font>
    <font>
      <b/>
      <u/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sz val="9"/>
      <name val="Arial"/>
      <family val="2"/>
    </font>
    <font>
      <b/>
      <sz val="12"/>
      <color theme="1"/>
      <name val="Calibri"/>
      <family val="2"/>
      <scheme val="minor"/>
    </font>
    <font>
      <u/>
      <sz val="9"/>
      <name val="Arial"/>
      <family val="2"/>
    </font>
    <font>
      <b/>
      <sz val="11"/>
      <name val="Calibri"/>
      <family val="2"/>
      <scheme val="minor"/>
    </font>
    <font>
      <b/>
      <u/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name val="Calibri"/>
      <family val="2"/>
      <scheme val="minor"/>
    </font>
    <font>
      <sz val="11"/>
      <name val="Times New Roman"/>
      <family val="1"/>
    </font>
    <font>
      <b/>
      <sz val="12"/>
      <name val="Calibri"/>
      <family val="2"/>
      <scheme val="minor"/>
    </font>
    <font>
      <sz val="12"/>
      <name val="Calibri"/>
      <family val="2"/>
      <scheme val="minor"/>
    </font>
    <font>
      <b/>
      <sz val="12"/>
      <name val="Arial"/>
      <family val="2"/>
    </font>
  </fonts>
  <fills count="2">
    <fill>
      <patternFill patternType="none"/>
    </fill>
    <fill>
      <patternFill patternType="gray125"/>
    </fill>
  </fills>
  <borders count="57">
    <border>
      <left/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double">
        <color indexed="64"/>
      </bottom>
      <diagonal/>
    </border>
    <border>
      <left/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double">
        <color indexed="64"/>
      </right>
      <top/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double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5">
    <xf numFmtId="0" fontId="0" fillId="0" borderId="0"/>
    <xf numFmtId="43" fontId="12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23" fillId="0" borderId="0"/>
    <xf numFmtId="0" fontId="11" fillId="0" borderId="0"/>
  </cellStyleXfs>
  <cellXfs count="298">
    <xf numFmtId="0" fontId="0" fillId="0" borderId="0" xfId="0"/>
    <xf numFmtId="0" fontId="5" fillId="0" borderId="0" xfId="0" applyFont="1"/>
    <xf numFmtId="0" fontId="11" fillId="0" borderId="0" xfId="0" applyFont="1"/>
    <xf numFmtId="0" fontId="5" fillId="0" borderId="0" xfId="0" applyFont="1" applyAlignment="1">
      <alignment horizontal="center"/>
    </xf>
    <xf numFmtId="0" fontId="0" fillId="0" borderId="0" xfId="0" applyAlignment="1">
      <alignment horizontal="center"/>
    </xf>
    <xf numFmtId="14" fontId="0" fillId="0" borderId="0" xfId="0" applyNumberFormat="1"/>
    <xf numFmtId="14" fontId="11" fillId="0" borderId="0" xfId="0" applyNumberFormat="1" applyFont="1"/>
    <xf numFmtId="17" fontId="11" fillId="0" borderId="0" xfId="0" applyNumberFormat="1" applyFont="1" applyAlignment="1">
      <alignment horizontal="center"/>
    </xf>
    <xf numFmtId="17" fontId="0" fillId="0" borderId="0" xfId="0" applyNumberFormat="1" applyAlignment="1">
      <alignment horizontal="center"/>
    </xf>
    <xf numFmtId="43" fontId="0" fillId="0" borderId="0" xfId="0" applyNumberFormat="1"/>
    <xf numFmtId="0" fontId="0" fillId="0" borderId="21" xfId="0" applyBorder="1" applyAlignment="1">
      <alignment horizontal="center" vertical="center" wrapText="1"/>
    </xf>
    <xf numFmtId="0" fontId="0" fillId="0" borderId="22" xfId="0" applyBorder="1" applyAlignment="1">
      <alignment horizontal="center" vertical="center" wrapText="1"/>
    </xf>
    <xf numFmtId="0" fontId="0" fillId="0" borderId="23" xfId="0" applyBorder="1" applyAlignment="1">
      <alignment horizontal="center" vertical="center" wrapText="1"/>
    </xf>
    <xf numFmtId="0" fontId="0" fillId="0" borderId="24" xfId="0" applyBorder="1" applyAlignment="1">
      <alignment horizontal="center" vertical="center" wrapText="1"/>
    </xf>
    <xf numFmtId="0" fontId="13" fillId="0" borderId="0" xfId="0" applyFont="1" applyAlignment="1">
      <alignment horizontal="center"/>
    </xf>
    <xf numFmtId="0" fontId="13" fillId="0" borderId="0" xfId="0" applyFont="1"/>
    <xf numFmtId="43" fontId="0" fillId="0" borderId="0" xfId="2" applyFont="1"/>
    <xf numFmtId="0" fontId="13" fillId="0" borderId="29" xfId="0" applyFont="1" applyBorder="1"/>
    <xf numFmtId="0" fontId="5" fillId="0" borderId="2" xfId="0" applyFont="1" applyBorder="1" applyAlignment="1">
      <alignment horizontal="center"/>
    </xf>
    <xf numFmtId="0" fontId="11" fillId="0" borderId="2" xfId="0" applyFont="1" applyBorder="1"/>
    <xf numFmtId="0" fontId="0" fillId="0" borderId="2" xfId="0" applyBorder="1" applyAlignment="1">
      <alignment horizontal="center"/>
    </xf>
    <xf numFmtId="0" fontId="11" fillId="0" borderId="2" xfId="0" applyFont="1" applyBorder="1" applyAlignment="1">
      <alignment horizontal="center"/>
    </xf>
    <xf numFmtId="164" fontId="0" fillId="0" borderId="2" xfId="1" applyNumberFormat="1" applyFont="1" applyBorder="1"/>
    <xf numFmtId="164" fontId="0" fillId="0" borderId="30" xfId="1" applyNumberFormat="1" applyFont="1" applyBorder="1"/>
    <xf numFmtId="164" fontId="0" fillId="0" borderId="0" xfId="1" applyNumberFormat="1" applyFont="1" applyBorder="1"/>
    <xf numFmtId="0" fontId="0" fillId="0" borderId="0" xfId="0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4" fontId="0" fillId="0" borderId="0" xfId="0" applyNumberFormat="1"/>
    <xf numFmtId="4" fontId="0" fillId="0" borderId="34" xfId="0" applyNumberFormat="1" applyBorder="1"/>
    <xf numFmtId="9" fontId="0" fillId="0" borderId="0" xfId="0" applyNumberFormat="1"/>
    <xf numFmtId="0" fontId="5" fillId="0" borderId="0" xfId="0" applyFont="1" applyAlignment="1">
      <alignment horizontal="center"/>
    </xf>
    <xf numFmtId="1" fontId="0" fillId="0" borderId="0" xfId="0" applyNumberFormat="1"/>
    <xf numFmtId="0" fontId="5" fillId="0" borderId="0" xfId="0" applyFont="1" applyFill="1"/>
    <xf numFmtId="0" fontId="0" fillId="0" borderId="0" xfId="0" applyFill="1"/>
    <xf numFmtId="0" fontId="13" fillId="0" borderId="0" xfId="0" applyFont="1" applyFill="1" applyAlignment="1">
      <alignment horizontal="center"/>
    </xf>
    <xf numFmtId="0" fontId="13" fillId="0" borderId="35" xfId="0" applyFont="1" applyFill="1" applyBorder="1" applyAlignment="1">
      <alignment horizontal="center" vertical="center"/>
    </xf>
    <xf numFmtId="0" fontId="13" fillId="0" borderId="36" xfId="0" applyFont="1" applyFill="1" applyBorder="1" applyAlignment="1">
      <alignment horizontal="center" vertical="center" wrapText="1"/>
    </xf>
    <xf numFmtId="0" fontId="13" fillId="0" borderId="37" xfId="0" applyFont="1" applyFill="1" applyBorder="1" applyAlignment="1">
      <alignment horizontal="center" vertical="center" wrapText="1"/>
    </xf>
    <xf numFmtId="43" fontId="13" fillId="0" borderId="37" xfId="1" applyFont="1" applyFill="1" applyBorder="1" applyAlignment="1">
      <alignment horizontal="center" vertical="center" wrapText="1"/>
    </xf>
    <xf numFmtId="166" fontId="13" fillId="0" borderId="37" xfId="0" applyNumberFormat="1" applyFont="1" applyFill="1" applyBorder="1" applyAlignment="1">
      <alignment horizontal="center" vertical="center" wrapText="1"/>
    </xf>
    <xf numFmtId="0" fontId="13" fillId="0" borderId="38" xfId="0" applyFont="1" applyFill="1" applyBorder="1" applyAlignment="1">
      <alignment horizontal="center" vertical="center" wrapText="1"/>
    </xf>
    <xf numFmtId="43" fontId="13" fillId="0" borderId="29" xfId="0" applyNumberFormat="1" applyFont="1" applyFill="1" applyBorder="1"/>
    <xf numFmtId="0" fontId="0" fillId="0" borderId="29" xfId="0" applyBorder="1"/>
    <xf numFmtId="43" fontId="22" fillId="0" borderId="0" xfId="1" applyFont="1" applyAlignment="1">
      <alignment vertical="center"/>
    </xf>
    <xf numFmtId="1" fontId="24" fillId="0" borderId="3" xfId="3" applyNumberFormat="1" applyFont="1" applyBorder="1" applyAlignment="1">
      <alignment vertical="center"/>
    </xf>
    <xf numFmtId="1" fontId="25" fillId="0" borderId="3" xfId="3" applyNumberFormat="1" applyFont="1" applyBorder="1" applyAlignment="1">
      <alignment vertical="center"/>
    </xf>
    <xf numFmtId="0" fontId="25" fillId="0" borderId="0" xfId="0" applyFont="1" applyBorder="1" applyAlignment="1">
      <alignment vertical="center"/>
    </xf>
    <xf numFmtId="2" fontId="25" fillId="0" borderId="0" xfId="0" applyNumberFormat="1" applyFont="1" applyBorder="1" applyAlignment="1">
      <alignment vertical="center"/>
    </xf>
    <xf numFmtId="0" fontId="5" fillId="0" borderId="0" xfId="0" applyFont="1" applyAlignment="1">
      <alignment vertical="center"/>
    </xf>
    <xf numFmtId="0" fontId="6" fillId="0" borderId="51" xfId="0" quotePrefix="1" applyFont="1" applyBorder="1" applyAlignment="1">
      <alignment horizontal="center" vertical="center"/>
    </xf>
    <xf numFmtId="0" fontId="6" fillId="0" borderId="52" xfId="0" quotePrefix="1" applyFont="1" applyBorder="1" applyAlignment="1">
      <alignment horizontal="center" vertical="center"/>
    </xf>
    <xf numFmtId="0" fontId="6" fillId="0" borderId="50" xfId="0" quotePrefix="1" applyFont="1" applyBorder="1" applyAlignment="1">
      <alignment horizontal="center" vertical="center"/>
    </xf>
    <xf numFmtId="43" fontId="14" fillId="0" borderId="3" xfId="1" applyFont="1" applyBorder="1" applyAlignment="1">
      <alignment vertical="center"/>
    </xf>
    <xf numFmtId="0" fontId="6" fillId="0" borderId="3" xfId="0" applyFont="1" applyBorder="1" applyAlignment="1">
      <alignment vertical="center"/>
    </xf>
    <xf numFmtId="43" fontId="14" fillId="0" borderId="11" xfId="1" applyFont="1" applyBorder="1" applyAlignment="1">
      <alignment vertical="center"/>
    </xf>
    <xf numFmtId="43" fontId="6" fillId="0" borderId="48" xfId="1" applyFont="1" applyBorder="1" applyAlignment="1">
      <alignment vertical="center"/>
    </xf>
    <xf numFmtId="43" fontId="5" fillId="0" borderId="0" xfId="1" applyFont="1" applyBorder="1" applyAlignment="1">
      <alignment vertical="center"/>
    </xf>
    <xf numFmtId="0" fontId="7" fillId="0" borderId="11" xfId="0" applyFont="1" applyBorder="1" applyAlignment="1">
      <alignment vertical="center"/>
    </xf>
    <xf numFmtId="43" fontId="11" fillId="0" borderId="5" xfId="1" applyNumberFormat="1" applyFont="1" applyBorder="1" applyAlignment="1">
      <alignment vertical="center"/>
    </xf>
    <xf numFmtId="43" fontId="5" fillId="0" borderId="5" xfId="1" applyNumberFormat="1" applyFont="1" applyBorder="1" applyAlignment="1">
      <alignment vertical="center"/>
    </xf>
    <xf numFmtId="0" fontId="14" fillId="0" borderId="3" xfId="0" applyFont="1" applyBorder="1" applyAlignment="1">
      <alignment vertical="center"/>
    </xf>
    <xf numFmtId="43" fontId="14" fillId="0" borderId="0" xfId="1" applyFont="1" applyBorder="1" applyAlignment="1">
      <alignment vertical="center"/>
    </xf>
    <xf numFmtId="0" fontId="14" fillId="0" borderId="11" xfId="0" applyFont="1" applyBorder="1" applyAlignment="1">
      <alignment vertical="center"/>
    </xf>
    <xf numFmtId="43" fontId="6" fillId="0" borderId="5" xfId="1" applyNumberFormat="1" applyFont="1" applyBorder="1" applyAlignment="1">
      <alignment vertical="center"/>
    </xf>
    <xf numFmtId="43" fontId="14" fillId="0" borderId="12" xfId="1" applyFont="1" applyBorder="1" applyAlignment="1">
      <alignment vertical="center"/>
    </xf>
    <xf numFmtId="43" fontId="14" fillId="0" borderId="11" xfId="1" applyNumberFormat="1" applyFont="1" applyBorder="1" applyAlignment="1">
      <alignment vertical="center"/>
    </xf>
    <xf numFmtId="0" fontId="7" fillId="0" borderId="3" xfId="0" applyFont="1" applyBorder="1" applyAlignment="1">
      <alignment vertical="center"/>
    </xf>
    <xf numFmtId="0" fontId="16" fillId="0" borderId="11" xfId="0" applyFont="1" applyBorder="1" applyAlignment="1">
      <alignment vertical="center"/>
    </xf>
    <xf numFmtId="43" fontId="5" fillId="0" borderId="0" xfId="0" applyNumberFormat="1" applyFont="1" applyAlignment="1">
      <alignment vertical="center"/>
    </xf>
    <xf numFmtId="0" fontId="6" fillId="0" borderId="11" xfId="0" applyFont="1" applyBorder="1" applyAlignment="1">
      <alignment vertical="center"/>
    </xf>
    <xf numFmtId="0" fontId="16" fillId="0" borderId="3" xfId="0" applyFont="1" applyBorder="1" applyAlignment="1">
      <alignment vertical="center"/>
    </xf>
    <xf numFmtId="0" fontId="14" fillId="0" borderId="11" xfId="0" applyFont="1" applyFill="1" applyBorder="1" applyAlignment="1">
      <alignment vertical="center"/>
    </xf>
    <xf numFmtId="43" fontId="6" fillId="0" borderId="11" xfId="1" applyNumberFormat="1" applyFont="1" applyBorder="1" applyAlignment="1">
      <alignment vertical="center"/>
    </xf>
    <xf numFmtId="0" fontId="5" fillId="0" borderId="0" xfId="0" applyFont="1" applyBorder="1" applyAlignment="1">
      <alignment vertical="center"/>
    </xf>
    <xf numFmtId="43" fontId="14" fillId="0" borderId="5" xfId="1" applyNumberFormat="1" applyFont="1" applyBorder="1" applyAlignment="1">
      <alignment vertical="center"/>
    </xf>
    <xf numFmtId="2" fontId="5" fillId="0" borderId="0" xfId="0" applyNumberFormat="1" applyFont="1" applyAlignment="1">
      <alignment vertical="center"/>
    </xf>
    <xf numFmtId="43" fontId="11" fillId="0" borderId="0" xfId="1" applyFont="1" applyBorder="1" applyAlignment="1">
      <alignment vertical="center"/>
    </xf>
    <xf numFmtId="0" fontId="0" fillId="0" borderId="0" xfId="0" applyAlignment="1">
      <alignment vertical="center"/>
    </xf>
    <xf numFmtId="43" fontId="6" fillId="0" borderId="32" xfId="1" applyFont="1" applyBorder="1" applyAlignment="1">
      <alignment vertical="center"/>
    </xf>
    <xf numFmtId="43" fontId="6" fillId="0" borderId="49" xfId="1" applyFont="1" applyBorder="1" applyAlignment="1">
      <alignment vertical="center"/>
    </xf>
    <xf numFmtId="43" fontId="6" fillId="0" borderId="47" xfId="1" applyFont="1" applyBorder="1" applyAlignment="1">
      <alignment vertical="center"/>
    </xf>
    <xf numFmtId="43" fontId="22" fillId="0" borderId="3" xfId="1" applyFont="1" applyFill="1" applyBorder="1" applyAlignment="1">
      <alignment vertical="center"/>
    </xf>
    <xf numFmtId="0" fontId="22" fillId="0" borderId="0" xfId="0" applyFont="1" applyBorder="1" applyAlignment="1">
      <alignment vertical="center"/>
    </xf>
    <xf numFmtId="43" fontId="22" fillId="0" borderId="0" xfId="1" applyFont="1" applyFill="1" applyBorder="1" applyAlignment="1">
      <alignment vertical="center"/>
    </xf>
    <xf numFmtId="43" fontId="13" fillId="0" borderId="0" xfId="1" applyFont="1" applyFill="1" applyBorder="1" applyAlignment="1">
      <alignment vertical="center"/>
    </xf>
    <xf numFmtId="43" fontId="13" fillId="0" borderId="5" xfId="1" applyFont="1" applyFill="1" applyBorder="1" applyAlignment="1">
      <alignment vertical="center"/>
    </xf>
    <xf numFmtId="0" fontId="1" fillId="0" borderId="3" xfId="0" applyFont="1" applyBorder="1" applyAlignment="1">
      <alignment vertical="center"/>
    </xf>
    <xf numFmtId="0" fontId="13" fillId="0" borderId="3" xfId="0" applyFont="1" applyBorder="1" applyAlignment="1">
      <alignment vertical="center"/>
    </xf>
    <xf numFmtId="0" fontId="13" fillId="0" borderId="0" xfId="1" applyNumberFormat="1" applyFont="1" applyFill="1" applyBorder="1" applyAlignment="1">
      <alignment horizontal="left" vertical="center"/>
    </xf>
    <xf numFmtId="0" fontId="22" fillId="0" borderId="0" xfId="1" applyNumberFormat="1" applyFont="1" applyFill="1" applyBorder="1" applyAlignment="1">
      <alignment horizontal="left" vertical="center"/>
    </xf>
    <xf numFmtId="0" fontId="22" fillId="0" borderId="0" xfId="0" applyFont="1" applyAlignment="1">
      <alignment vertical="center"/>
    </xf>
    <xf numFmtId="43" fontId="22" fillId="0" borderId="3" xfId="1" applyFont="1" applyBorder="1" applyAlignment="1">
      <alignment vertical="center"/>
    </xf>
    <xf numFmtId="0" fontId="22" fillId="0" borderId="0" xfId="0" applyFont="1" applyBorder="1" applyAlignment="1">
      <alignment horizontal="left" vertical="center"/>
    </xf>
    <xf numFmtId="0" fontId="13" fillId="0" borderId="5" xfId="1" applyNumberFormat="1" applyFont="1" applyFill="1" applyBorder="1" applyAlignment="1">
      <alignment horizontal="left" vertical="center"/>
    </xf>
    <xf numFmtId="43" fontId="22" fillId="0" borderId="0" xfId="0" applyNumberFormat="1" applyFont="1" applyAlignment="1">
      <alignment vertical="center"/>
    </xf>
    <xf numFmtId="0" fontId="22" fillId="0" borderId="0" xfId="0" applyFont="1" applyAlignment="1">
      <alignment horizontal="left" vertical="center"/>
    </xf>
    <xf numFmtId="0" fontId="22" fillId="0" borderId="5" xfId="0" applyFont="1" applyBorder="1" applyAlignment="1">
      <alignment horizontal="left" vertical="center"/>
    </xf>
    <xf numFmtId="0" fontId="13" fillId="0" borderId="34" xfId="1" applyNumberFormat="1" applyFont="1" applyFill="1" applyBorder="1" applyAlignment="1">
      <alignment horizontal="left" vertical="center"/>
    </xf>
    <xf numFmtId="0" fontId="22" fillId="0" borderId="34" xfId="1" applyNumberFormat="1" applyFont="1" applyFill="1" applyBorder="1" applyAlignment="1">
      <alignment horizontal="left" vertical="center"/>
    </xf>
    <xf numFmtId="0" fontId="22" fillId="0" borderId="34" xfId="0" applyFont="1" applyBorder="1" applyAlignment="1">
      <alignment horizontal="left" vertical="center"/>
    </xf>
    <xf numFmtId="0" fontId="13" fillId="0" borderId="46" xfId="1" applyNumberFormat="1" applyFont="1" applyFill="1" applyBorder="1" applyAlignment="1">
      <alignment horizontal="left" vertical="center"/>
    </xf>
    <xf numFmtId="0" fontId="17" fillId="0" borderId="0" xfId="0" applyFont="1" applyBorder="1" applyAlignment="1">
      <alignment vertical="center"/>
    </xf>
    <xf numFmtId="0" fontId="9" fillId="0" borderId="0" xfId="0" applyFont="1" applyBorder="1" applyAlignment="1">
      <alignment vertical="center"/>
    </xf>
    <xf numFmtId="2" fontId="6" fillId="0" borderId="0" xfId="0" applyNumberFormat="1" applyFont="1" applyBorder="1" applyAlignment="1">
      <alignment vertical="center"/>
    </xf>
    <xf numFmtId="0" fontId="6" fillId="0" borderId="0" xfId="0" applyFont="1" applyBorder="1" applyAlignment="1">
      <alignment vertical="center"/>
    </xf>
    <xf numFmtId="0" fontId="7" fillId="0" borderId="0" xfId="0" applyFont="1" applyBorder="1" applyAlignment="1">
      <alignment vertical="center"/>
    </xf>
    <xf numFmtId="2" fontId="7" fillId="0" borderId="0" xfId="0" applyNumberFormat="1" applyFont="1" applyBorder="1" applyAlignment="1">
      <alignment vertical="center"/>
    </xf>
    <xf numFmtId="2" fontId="5" fillId="0" borderId="0" xfId="0" applyNumberFormat="1" applyFont="1" applyBorder="1" applyAlignment="1">
      <alignment vertical="center"/>
    </xf>
    <xf numFmtId="0" fontId="0" fillId="0" borderId="0" xfId="0" applyBorder="1" applyAlignment="1">
      <alignment vertical="center"/>
    </xf>
    <xf numFmtId="43" fontId="11" fillId="0" borderId="11" xfId="1" applyFont="1" applyFill="1" applyBorder="1" applyAlignment="1">
      <alignment vertical="center"/>
    </xf>
    <xf numFmtId="43" fontId="5" fillId="0" borderId="1" xfId="1" applyFont="1" applyFill="1" applyBorder="1" applyAlignment="1">
      <alignment vertical="center"/>
    </xf>
    <xf numFmtId="0" fontId="11" fillId="0" borderId="0" xfId="0" applyFont="1" applyFill="1" applyBorder="1" applyAlignment="1">
      <alignment vertical="center"/>
    </xf>
    <xf numFmtId="43" fontId="11" fillId="0" borderId="12" xfId="1" applyFont="1" applyFill="1" applyBorder="1" applyAlignment="1">
      <alignment vertical="center"/>
    </xf>
    <xf numFmtId="43" fontId="11" fillId="0" borderId="3" xfId="1" applyFont="1" applyFill="1" applyBorder="1" applyAlignment="1">
      <alignment vertical="center"/>
    </xf>
    <xf numFmtId="0" fontId="11" fillId="0" borderId="0" xfId="0" applyFont="1" applyAlignment="1">
      <alignment vertical="center"/>
    </xf>
    <xf numFmtId="43" fontId="0" fillId="0" borderId="0" xfId="0" applyNumberFormat="1" applyAlignment="1">
      <alignment vertical="center"/>
    </xf>
    <xf numFmtId="43" fontId="5" fillId="0" borderId="6" xfId="1" applyFont="1" applyFill="1" applyBorder="1" applyAlignment="1">
      <alignment vertical="center"/>
    </xf>
    <xf numFmtId="0" fontId="0" fillId="0" borderId="0" xfId="0" applyFill="1" applyAlignment="1">
      <alignment vertical="center"/>
    </xf>
    <xf numFmtId="0" fontId="19" fillId="0" borderId="0" xfId="0" applyFont="1" applyFill="1" applyAlignment="1">
      <alignment horizontal="center" vertical="center"/>
    </xf>
    <xf numFmtId="0" fontId="13" fillId="0" borderId="0" xfId="0" applyFont="1" applyFill="1" applyAlignment="1">
      <alignment horizontal="center" vertical="center"/>
    </xf>
    <xf numFmtId="0" fontId="0" fillId="0" borderId="7" xfId="0" applyFill="1" applyBorder="1" applyAlignment="1">
      <alignment horizontal="center" vertical="center"/>
    </xf>
    <xf numFmtId="0" fontId="20" fillId="0" borderId="0" xfId="0" applyFont="1" applyFill="1" applyAlignment="1">
      <alignment vertical="center"/>
    </xf>
    <xf numFmtId="0" fontId="0" fillId="0" borderId="0" xfId="0" applyFill="1" applyAlignment="1">
      <alignment horizontal="center" vertical="center"/>
    </xf>
    <xf numFmtId="43" fontId="0" fillId="0" borderId="0" xfId="1" applyFont="1" applyFill="1" applyBorder="1" applyAlignment="1">
      <alignment vertical="center"/>
    </xf>
    <xf numFmtId="166" fontId="0" fillId="0" borderId="0" xfId="0" applyNumberFormat="1" applyFill="1" applyAlignment="1">
      <alignment horizontal="center" vertical="center"/>
    </xf>
    <xf numFmtId="43" fontId="0" fillId="0" borderId="0" xfId="1" applyFont="1" applyFill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39" xfId="0" applyFill="1" applyBorder="1" applyAlignment="1">
      <alignment horizontal="center" vertical="center"/>
    </xf>
    <xf numFmtId="0" fontId="0" fillId="0" borderId="14" xfId="0" applyFill="1" applyBorder="1" applyAlignment="1">
      <alignment horizontal="left" vertical="center"/>
    </xf>
    <xf numFmtId="14" fontId="0" fillId="0" borderId="2" xfId="0" applyNumberFormat="1" applyFill="1" applyBorder="1" applyAlignment="1">
      <alignment horizontal="center" vertical="center"/>
    </xf>
    <xf numFmtId="43" fontId="0" fillId="0" borderId="2" xfId="1" applyFont="1" applyFill="1" applyBorder="1" applyAlignment="1">
      <alignment vertical="center"/>
    </xf>
    <xf numFmtId="166" fontId="21" fillId="0" borderId="2" xfId="1" applyNumberFormat="1" applyFont="1" applyFill="1" applyBorder="1" applyAlignment="1">
      <alignment horizontal="center" vertical="center"/>
    </xf>
    <xf numFmtId="10" fontId="0" fillId="0" borderId="2" xfId="1" applyNumberFormat="1" applyFont="1" applyFill="1" applyBorder="1" applyAlignment="1">
      <alignment horizontal="center" vertical="center"/>
    </xf>
    <xf numFmtId="0" fontId="0" fillId="0" borderId="40" xfId="0" applyFill="1" applyBorder="1" applyAlignment="1">
      <alignment horizontal="center" vertical="center"/>
    </xf>
    <xf numFmtId="167" fontId="0" fillId="0" borderId="0" xfId="0" applyNumberFormat="1" applyFill="1" applyAlignment="1">
      <alignment vertical="center"/>
    </xf>
    <xf numFmtId="165" fontId="0" fillId="0" borderId="0" xfId="0" applyNumberFormat="1" applyFill="1" applyAlignment="1">
      <alignment vertical="center"/>
    </xf>
    <xf numFmtId="0" fontId="0" fillId="0" borderId="41" xfId="0" applyFill="1" applyBorder="1" applyAlignment="1">
      <alignment horizontal="center" vertical="center"/>
    </xf>
    <xf numFmtId="0" fontId="0" fillId="0" borderId="29" xfId="0" applyFill="1" applyBorder="1" applyAlignment="1">
      <alignment horizontal="left" vertical="center"/>
    </xf>
    <xf numFmtId="0" fontId="0" fillId="0" borderId="29" xfId="0" applyFill="1" applyBorder="1" applyAlignment="1">
      <alignment horizontal="center" vertical="center"/>
    </xf>
    <xf numFmtId="43" fontId="13" fillId="0" borderId="37" xfId="1" applyFont="1" applyFill="1" applyBorder="1" applyAlignment="1">
      <alignment vertical="center"/>
    </xf>
    <xf numFmtId="166" fontId="0" fillId="0" borderId="29" xfId="1" applyNumberFormat="1" applyFont="1" applyFill="1" applyBorder="1" applyAlignment="1">
      <alignment horizontal="center" vertical="center"/>
    </xf>
    <xf numFmtId="169" fontId="0" fillId="0" borderId="29" xfId="1" applyNumberFormat="1" applyFont="1" applyFill="1" applyBorder="1" applyAlignment="1">
      <alignment horizontal="center" vertical="center"/>
    </xf>
    <xf numFmtId="43" fontId="0" fillId="0" borderId="42" xfId="1" applyFont="1" applyFill="1" applyBorder="1" applyAlignment="1">
      <alignment horizontal="center" vertical="center"/>
    </xf>
    <xf numFmtId="0" fontId="0" fillId="0" borderId="25" xfId="0" applyFill="1" applyBorder="1" applyAlignment="1">
      <alignment horizontal="center" vertical="center"/>
    </xf>
    <xf numFmtId="0" fontId="0" fillId="0" borderId="0" xfId="0" applyFill="1" applyAlignment="1">
      <alignment horizontal="left" vertical="center"/>
    </xf>
    <xf numFmtId="166" fontId="0" fillId="0" borderId="0" xfId="1" applyNumberFormat="1" applyFont="1" applyFill="1" applyBorder="1" applyAlignment="1">
      <alignment horizontal="center" vertical="center"/>
    </xf>
    <xf numFmtId="43" fontId="0" fillId="0" borderId="0" xfId="1" applyFont="1" applyFill="1" applyBorder="1" applyAlignment="1">
      <alignment horizontal="center" vertical="center"/>
    </xf>
    <xf numFmtId="43" fontId="0" fillId="0" borderId="1" xfId="1" applyFont="1" applyFill="1" applyBorder="1" applyAlignment="1">
      <alignment horizontal="center" vertical="center"/>
    </xf>
    <xf numFmtId="168" fontId="0" fillId="0" borderId="0" xfId="0" applyNumberFormat="1" applyFill="1" applyAlignment="1">
      <alignment vertical="center"/>
    </xf>
    <xf numFmtId="0" fontId="0" fillId="0" borderId="2" xfId="0" applyFill="1" applyBorder="1" applyAlignment="1">
      <alignment horizontal="center" vertical="center"/>
    </xf>
    <xf numFmtId="43" fontId="0" fillId="0" borderId="29" xfId="1" applyFont="1" applyFill="1" applyBorder="1" applyAlignment="1">
      <alignment horizontal="center" vertical="center"/>
    </xf>
    <xf numFmtId="0" fontId="20" fillId="0" borderId="0" xfId="0" applyFont="1" applyFill="1" applyAlignment="1">
      <alignment horizontal="left" vertical="center"/>
    </xf>
    <xf numFmtId="43" fontId="2" fillId="0" borderId="2" xfId="1" applyFont="1" applyFill="1" applyBorder="1" applyAlignment="1">
      <alignment vertical="center"/>
    </xf>
    <xf numFmtId="43" fontId="0" fillId="0" borderId="0" xfId="0" applyNumberFormat="1" applyFill="1" applyAlignment="1">
      <alignment vertical="center"/>
    </xf>
    <xf numFmtId="166" fontId="0" fillId="0" borderId="2" xfId="1" applyNumberFormat="1" applyFont="1" applyFill="1" applyBorder="1" applyAlignment="1">
      <alignment horizontal="center" vertical="center"/>
    </xf>
    <xf numFmtId="0" fontId="0" fillId="0" borderId="43" xfId="0" applyFill="1" applyBorder="1" applyAlignment="1">
      <alignment horizontal="center" vertical="center"/>
    </xf>
    <xf numFmtId="0" fontId="0" fillId="0" borderId="44" xfId="0" applyFill="1" applyBorder="1" applyAlignment="1">
      <alignment horizontal="center" vertical="center"/>
    </xf>
    <xf numFmtId="43" fontId="2" fillId="0" borderId="9" xfId="1" applyFont="1" applyFill="1" applyBorder="1" applyAlignment="1">
      <alignment vertical="center"/>
    </xf>
    <xf numFmtId="0" fontId="0" fillId="0" borderId="0" xfId="0" applyFill="1" applyBorder="1" applyAlignment="1">
      <alignment horizontal="left" vertical="center"/>
    </xf>
    <xf numFmtId="0" fontId="0" fillId="0" borderId="0" xfId="0" applyFill="1" applyBorder="1" applyAlignment="1">
      <alignment horizontal="center" vertical="center"/>
    </xf>
    <xf numFmtId="166" fontId="0" fillId="0" borderId="29" xfId="0" applyNumberFormat="1" applyFill="1" applyBorder="1" applyAlignment="1">
      <alignment horizontal="center" vertical="center"/>
    </xf>
    <xf numFmtId="0" fontId="0" fillId="0" borderId="42" xfId="0" applyFill="1" applyBorder="1" applyAlignment="1">
      <alignment horizontal="center" vertical="center"/>
    </xf>
    <xf numFmtId="43" fontId="0" fillId="0" borderId="0" xfId="1" applyFont="1" applyFill="1" applyAlignment="1">
      <alignment vertical="center"/>
    </xf>
    <xf numFmtId="0" fontId="11" fillId="0" borderId="25" xfId="0" applyFont="1" applyBorder="1" applyAlignment="1">
      <alignment vertical="center"/>
    </xf>
    <xf numFmtId="9" fontId="0" fillId="0" borderId="11" xfId="2" applyNumberFormat="1" applyFont="1" applyFill="1" applyBorder="1" applyAlignment="1">
      <alignment horizontal="center" vertical="center"/>
    </xf>
    <xf numFmtId="43" fontId="0" fillId="0" borderId="11" xfId="2" applyFont="1" applyBorder="1" applyAlignment="1">
      <alignment vertical="center"/>
    </xf>
    <xf numFmtId="43" fontId="0" fillId="0" borderId="5" xfId="2" applyFont="1" applyFill="1" applyBorder="1" applyAlignment="1">
      <alignment vertical="center"/>
    </xf>
    <xf numFmtId="43" fontId="0" fillId="0" borderId="11" xfId="2" applyFont="1" applyFill="1" applyBorder="1" applyAlignment="1">
      <alignment vertical="center"/>
    </xf>
    <xf numFmtId="43" fontId="0" fillId="0" borderId="1" xfId="2" applyFont="1" applyBorder="1" applyAlignment="1">
      <alignment vertical="center"/>
    </xf>
    <xf numFmtId="0" fontId="0" fillId="0" borderId="25" xfId="0" applyBorder="1" applyAlignment="1">
      <alignment vertical="center"/>
    </xf>
    <xf numFmtId="43" fontId="0" fillId="0" borderId="5" xfId="2" applyFont="1" applyBorder="1" applyAlignment="1">
      <alignment vertical="center"/>
    </xf>
    <xf numFmtId="43" fontId="13" fillId="0" borderId="28" xfId="0" applyNumberFormat="1" applyFont="1" applyBorder="1" applyAlignment="1">
      <alignment vertical="center"/>
    </xf>
    <xf numFmtId="0" fontId="0" fillId="0" borderId="2" xfId="0" applyBorder="1" applyAlignment="1">
      <alignment vertical="center"/>
    </xf>
    <xf numFmtId="0" fontId="0" fillId="0" borderId="2" xfId="0" applyBorder="1" applyAlignment="1">
      <alignment horizontal="center" vertical="center"/>
    </xf>
    <xf numFmtId="0" fontId="11" fillId="0" borderId="2" xfId="0" quotePrefix="1" applyFont="1" applyBorder="1" applyAlignment="1">
      <alignment horizontal="center" vertical="center"/>
    </xf>
    <xf numFmtId="43" fontId="0" fillId="0" borderId="2" xfId="1" applyFont="1" applyBorder="1" applyAlignment="1">
      <alignment vertical="center"/>
    </xf>
    <xf numFmtId="0" fontId="11" fillId="0" borderId="2" xfId="0" applyFont="1" applyBorder="1" applyAlignment="1">
      <alignment vertical="center"/>
    </xf>
    <xf numFmtId="0" fontId="11" fillId="0" borderId="2" xfId="0" applyFon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17" fontId="11" fillId="0" borderId="2" xfId="0" applyNumberFormat="1" applyFont="1" applyBorder="1" applyAlignment="1">
      <alignment vertical="center"/>
    </xf>
    <xf numFmtId="0" fontId="11" fillId="0" borderId="2" xfId="0" applyFont="1" applyFill="1" applyBorder="1" applyAlignment="1">
      <alignment horizontal="center" vertical="center"/>
    </xf>
    <xf numFmtId="0" fontId="11" fillId="0" borderId="2" xfId="0" quotePrefix="1" applyFont="1" applyFill="1" applyBorder="1" applyAlignment="1">
      <alignment horizontal="center" vertical="center"/>
    </xf>
    <xf numFmtId="0" fontId="11" fillId="0" borderId="2" xfId="0" applyFont="1" applyFill="1" applyBorder="1" applyAlignment="1">
      <alignment vertical="center"/>
    </xf>
    <xf numFmtId="165" fontId="14" fillId="0" borderId="12" xfId="1" applyNumberFormat="1" applyFont="1" applyBorder="1" applyAlignment="1">
      <alignment vertical="center"/>
    </xf>
    <xf numFmtId="0" fontId="14" fillId="0" borderId="0" xfId="0" applyFont="1" applyBorder="1" applyAlignment="1">
      <alignment vertical="center"/>
    </xf>
    <xf numFmtId="165" fontId="14" fillId="0" borderId="11" xfId="1" applyNumberFormat="1" applyFont="1" applyBorder="1" applyAlignment="1">
      <alignment vertical="center"/>
    </xf>
    <xf numFmtId="0" fontId="15" fillId="0" borderId="0" xfId="0" applyFont="1" applyBorder="1" applyAlignment="1">
      <alignment horizontal="center" vertical="center"/>
    </xf>
    <xf numFmtId="0" fontId="15" fillId="0" borderId="5" xfId="0" applyFont="1" applyBorder="1" applyAlignment="1">
      <alignment horizontal="center" vertical="center"/>
    </xf>
    <xf numFmtId="0" fontId="22" fillId="0" borderId="0" xfId="0" applyFont="1" applyBorder="1" applyAlignment="1">
      <alignment horizontal="center" vertical="center"/>
    </xf>
    <xf numFmtId="0" fontId="22" fillId="0" borderId="5" xfId="0" applyFont="1" applyBorder="1" applyAlignment="1">
      <alignment horizontal="center" vertical="center"/>
    </xf>
    <xf numFmtId="170" fontId="25" fillId="0" borderId="45" xfId="4" applyNumberFormat="1" applyFont="1" applyBorder="1" applyAlignment="1">
      <alignment horizontal="left" vertical="center"/>
    </xf>
    <xf numFmtId="170" fontId="25" fillId="0" borderId="34" xfId="4" applyNumberFormat="1" applyFont="1" applyBorder="1" applyAlignment="1">
      <alignment horizontal="left" vertical="center"/>
    </xf>
    <xf numFmtId="0" fontId="26" fillId="0" borderId="8" xfId="0" applyFont="1" applyBorder="1" applyAlignment="1">
      <alignment horizontal="center" vertical="center"/>
    </xf>
    <xf numFmtId="0" fontId="26" fillId="0" borderId="44" xfId="0" applyFont="1" applyBorder="1" applyAlignment="1">
      <alignment horizontal="center" vertical="center"/>
    </xf>
    <xf numFmtId="0" fontId="26" fillId="0" borderId="10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6" fillId="0" borderId="0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45" xfId="0" applyFont="1" applyBorder="1" applyAlignment="1">
      <alignment horizontal="center" vertical="center"/>
    </xf>
    <xf numFmtId="0" fontId="6" fillId="0" borderId="34" xfId="0" applyFont="1" applyBorder="1" applyAlignment="1">
      <alignment horizontal="center" vertical="center"/>
    </xf>
    <xf numFmtId="0" fontId="6" fillId="0" borderId="46" xfId="0" applyFont="1" applyBorder="1" applyAlignment="1">
      <alignment horizontal="center" vertical="center"/>
    </xf>
    <xf numFmtId="0" fontId="6" fillId="0" borderId="51" xfId="0" applyFont="1" applyBorder="1" applyAlignment="1">
      <alignment horizontal="center" vertical="center"/>
    </xf>
    <xf numFmtId="43" fontId="6" fillId="0" borderId="32" xfId="1" applyFont="1" applyBorder="1" applyAlignment="1">
      <alignment horizontal="center" vertical="center"/>
    </xf>
    <xf numFmtId="0" fontId="18" fillId="0" borderId="0" xfId="0" applyFont="1" applyFill="1" applyAlignment="1">
      <alignment horizontal="center" vertical="center"/>
    </xf>
    <xf numFmtId="0" fontId="15" fillId="0" borderId="0" xfId="0" applyFont="1" applyFill="1" applyAlignment="1">
      <alignment horizontal="center" vertical="center"/>
    </xf>
    <xf numFmtId="0" fontId="13" fillId="0" borderId="29" xfId="0" applyFont="1" applyFill="1" applyBorder="1" applyAlignment="1">
      <alignment horizontal="center" vertical="center"/>
    </xf>
    <xf numFmtId="0" fontId="15" fillId="0" borderId="15" xfId="0" applyFont="1" applyBorder="1" applyAlignment="1">
      <alignment horizontal="center" vertical="center"/>
    </xf>
    <xf numFmtId="0" fontId="15" fillId="0" borderId="16" xfId="0" applyFont="1" applyBorder="1" applyAlignment="1">
      <alignment horizontal="center" vertical="center"/>
    </xf>
    <xf numFmtId="0" fontId="15" fillId="0" borderId="17" xfId="0" applyFont="1" applyBorder="1" applyAlignment="1">
      <alignment horizontal="center" vertical="center"/>
    </xf>
    <xf numFmtId="0" fontId="13" fillId="0" borderId="18" xfId="0" applyFont="1" applyBorder="1" applyAlignment="1">
      <alignment horizontal="center" vertical="center"/>
    </xf>
    <xf numFmtId="0" fontId="13" fillId="0" borderId="19" xfId="0" applyFont="1" applyBorder="1" applyAlignment="1">
      <alignment horizontal="center" vertical="center"/>
    </xf>
    <xf numFmtId="0" fontId="13" fillId="0" borderId="20" xfId="0" applyFont="1" applyBorder="1" applyAlignment="1">
      <alignment horizontal="center" vertical="center"/>
    </xf>
    <xf numFmtId="0" fontId="13" fillId="0" borderId="26" xfId="0" applyFont="1" applyBorder="1" applyAlignment="1">
      <alignment horizontal="center" vertical="center"/>
    </xf>
    <xf numFmtId="0" fontId="13" fillId="0" borderId="27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0" xfId="0" applyFont="1" applyAlignment="1">
      <alignment horizontal="center"/>
    </xf>
    <xf numFmtId="0" fontId="5" fillId="0" borderId="0" xfId="0" applyFont="1" applyAlignment="1">
      <alignment horizontal="center" vertical="center" wrapText="1"/>
    </xf>
    <xf numFmtId="0" fontId="26" fillId="0" borderId="8" xfId="0" applyFont="1" applyFill="1" applyBorder="1" applyAlignment="1">
      <alignment horizontal="center" vertical="center"/>
    </xf>
    <xf numFmtId="0" fontId="26" fillId="0" borderId="44" xfId="0" applyFont="1" applyFill="1" applyBorder="1" applyAlignment="1">
      <alignment horizontal="center" vertical="center"/>
    </xf>
    <xf numFmtId="0" fontId="26" fillId="0" borderId="10" xfId="0" applyFont="1" applyFill="1" applyBorder="1" applyAlignment="1">
      <alignment horizontal="center" vertical="center"/>
    </xf>
    <xf numFmtId="0" fontId="5" fillId="0" borderId="0" xfId="0" applyFont="1" applyFill="1" applyAlignment="1">
      <alignment vertical="center"/>
    </xf>
    <xf numFmtId="0" fontId="5" fillId="0" borderId="3" xfId="0" applyFont="1" applyFill="1" applyBorder="1" applyAlignment="1">
      <alignment horizontal="center" vertical="center"/>
    </xf>
    <xf numFmtId="0" fontId="5" fillId="0" borderId="0" xfId="0" applyFont="1" applyFill="1" applyBorder="1" applyAlignment="1">
      <alignment horizontal="center" vertical="center"/>
    </xf>
    <xf numFmtId="0" fontId="5" fillId="0" borderId="5" xfId="0" applyFont="1" applyFill="1" applyBorder="1" applyAlignment="1">
      <alignment horizontal="center" vertical="center"/>
    </xf>
    <xf numFmtId="0" fontId="5" fillId="0" borderId="45" xfId="0" applyFont="1" applyFill="1" applyBorder="1" applyAlignment="1">
      <alignment horizontal="center" vertical="center"/>
    </xf>
    <xf numFmtId="0" fontId="5" fillId="0" borderId="34" xfId="0" applyFont="1" applyFill="1" applyBorder="1" applyAlignment="1">
      <alignment horizontal="center" vertical="center"/>
    </xf>
    <xf numFmtId="0" fontId="5" fillId="0" borderId="46" xfId="0" applyFont="1" applyFill="1" applyBorder="1" applyAlignment="1">
      <alignment horizontal="center" vertical="center"/>
    </xf>
    <xf numFmtId="0" fontId="5" fillId="0" borderId="32" xfId="0" quotePrefix="1" applyFont="1" applyFill="1" applyBorder="1" applyAlignment="1">
      <alignment horizontal="center" vertical="center"/>
    </xf>
    <xf numFmtId="0" fontId="5" fillId="0" borderId="53" xfId="0" applyFont="1" applyFill="1" applyBorder="1" applyAlignment="1">
      <alignment horizontal="center" vertical="center"/>
    </xf>
    <xf numFmtId="0" fontId="5" fillId="0" borderId="33" xfId="0" quotePrefix="1" applyFont="1" applyFill="1" applyBorder="1" applyAlignment="1">
      <alignment horizontal="center" vertical="center"/>
    </xf>
    <xf numFmtId="0" fontId="5" fillId="0" borderId="31" xfId="0" quotePrefix="1" applyFont="1" applyFill="1" applyBorder="1" applyAlignment="1">
      <alignment horizontal="center" vertical="center"/>
    </xf>
    <xf numFmtId="0" fontId="10" fillId="0" borderId="3" xfId="0" applyFont="1" applyFill="1" applyBorder="1" applyAlignment="1">
      <alignment vertical="center"/>
    </xf>
    <xf numFmtId="43" fontId="11" fillId="0" borderId="4" xfId="1" applyFont="1" applyFill="1" applyBorder="1" applyAlignment="1">
      <alignment vertical="center"/>
    </xf>
    <xf numFmtId="0" fontId="10" fillId="0" borderId="0" xfId="0" applyFont="1" applyFill="1" applyBorder="1" applyAlignment="1">
      <alignment vertical="center"/>
    </xf>
    <xf numFmtId="43" fontId="10" fillId="0" borderId="11" xfId="1" applyFont="1" applyFill="1" applyBorder="1" applyAlignment="1">
      <alignment vertical="center"/>
    </xf>
    <xf numFmtId="43" fontId="5" fillId="0" borderId="11" xfId="1" applyFont="1" applyFill="1" applyBorder="1" applyAlignment="1">
      <alignment vertical="center"/>
    </xf>
    <xf numFmtId="0" fontId="11" fillId="0" borderId="3" xfId="0" applyFont="1" applyFill="1" applyBorder="1" applyAlignment="1">
      <alignment vertical="center"/>
    </xf>
    <xf numFmtId="2" fontId="5" fillId="0" borderId="0" xfId="0" applyNumberFormat="1" applyFont="1" applyFill="1" applyAlignment="1">
      <alignment vertical="center"/>
    </xf>
    <xf numFmtId="0" fontId="5" fillId="0" borderId="0" xfId="0" applyFont="1" applyFill="1" applyBorder="1" applyAlignment="1">
      <alignment vertical="center"/>
    </xf>
    <xf numFmtId="2" fontId="5" fillId="0" borderId="0" xfId="0" applyNumberFormat="1" applyFont="1" applyFill="1" applyBorder="1" applyAlignment="1">
      <alignment vertical="center"/>
    </xf>
    <xf numFmtId="0" fontId="5" fillId="0" borderId="0" xfId="0" applyFont="1" applyFill="1" applyAlignment="1">
      <alignment horizontal="left" vertical="center"/>
    </xf>
    <xf numFmtId="0" fontId="11" fillId="0" borderId="0" xfId="0" applyFont="1" applyFill="1" applyAlignment="1">
      <alignment vertical="center"/>
    </xf>
    <xf numFmtId="0" fontId="5" fillId="0" borderId="3" xfId="0" applyFont="1" applyFill="1" applyBorder="1" applyAlignment="1">
      <alignment vertical="center"/>
    </xf>
    <xf numFmtId="43" fontId="11" fillId="0" borderId="7" xfId="1" applyFont="1" applyFill="1" applyBorder="1" applyAlignment="1">
      <alignment vertical="center"/>
    </xf>
    <xf numFmtId="43" fontId="5" fillId="0" borderId="12" xfId="1" applyFont="1" applyFill="1" applyBorder="1" applyAlignment="1">
      <alignment vertical="center"/>
    </xf>
    <xf numFmtId="43" fontId="5" fillId="0" borderId="32" xfId="1" applyFont="1" applyFill="1" applyBorder="1" applyAlignment="1">
      <alignment vertical="center"/>
    </xf>
    <xf numFmtId="0" fontId="5" fillId="0" borderId="32" xfId="0" applyFont="1" applyFill="1" applyBorder="1" applyAlignment="1">
      <alignment horizontal="center" vertical="center"/>
    </xf>
    <xf numFmtId="0" fontId="22" fillId="0" borderId="0" xfId="0" applyFont="1" applyFill="1" applyBorder="1" applyAlignment="1">
      <alignment vertical="center"/>
    </xf>
    <xf numFmtId="43" fontId="22" fillId="0" borderId="0" xfId="1" applyFont="1" applyFill="1" applyAlignment="1">
      <alignment vertical="center"/>
    </xf>
    <xf numFmtId="0" fontId="1" fillId="0" borderId="3" xfId="0" applyFont="1" applyFill="1" applyBorder="1" applyAlignment="1">
      <alignment vertical="center"/>
    </xf>
    <xf numFmtId="0" fontId="13" fillId="0" borderId="3" xfId="0" applyFont="1" applyFill="1" applyBorder="1" applyAlignment="1">
      <alignment vertical="center"/>
    </xf>
    <xf numFmtId="0" fontId="15" fillId="0" borderId="0" xfId="0" applyFont="1" applyFill="1" applyBorder="1" applyAlignment="1">
      <alignment horizontal="center" vertical="center"/>
    </xf>
    <xf numFmtId="0" fontId="15" fillId="0" borderId="5" xfId="0" applyFont="1" applyFill="1" applyBorder="1" applyAlignment="1">
      <alignment horizontal="center" vertical="center"/>
    </xf>
    <xf numFmtId="0" fontId="22" fillId="0" borderId="0" xfId="0" applyFont="1" applyFill="1" applyAlignment="1">
      <alignment vertical="center"/>
    </xf>
    <xf numFmtId="0" fontId="22" fillId="0" borderId="0" xfId="0" applyFont="1" applyFill="1" applyBorder="1" applyAlignment="1">
      <alignment horizontal="left" vertical="center"/>
    </xf>
    <xf numFmtId="43" fontId="22" fillId="0" borderId="0" xfId="0" applyNumberFormat="1" applyFont="1" applyFill="1" applyAlignment="1">
      <alignment vertical="center"/>
    </xf>
    <xf numFmtId="1" fontId="24" fillId="0" borderId="3" xfId="3" applyNumberFormat="1" applyFont="1" applyFill="1" applyBorder="1" applyAlignment="1">
      <alignment vertical="center"/>
    </xf>
    <xf numFmtId="0" fontId="25" fillId="0" borderId="0" xfId="0" applyFont="1" applyFill="1" applyBorder="1" applyAlignment="1">
      <alignment vertical="center"/>
    </xf>
    <xf numFmtId="2" fontId="25" fillId="0" borderId="0" xfId="0" applyNumberFormat="1" applyFont="1" applyFill="1" applyBorder="1" applyAlignment="1">
      <alignment vertical="center"/>
    </xf>
    <xf numFmtId="1" fontId="25" fillId="0" borderId="3" xfId="3" applyNumberFormat="1" applyFont="1" applyFill="1" applyBorder="1" applyAlignment="1">
      <alignment vertical="center"/>
    </xf>
    <xf numFmtId="0" fontId="22" fillId="0" borderId="0" xfId="0" applyFont="1" applyFill="1" applyBorder="1" applyAlignment="1">
      <alignment horizontal="center" vertical="center"/>
    </xf>
    <xf numFmtId="0" fontId="22" fillId="0" borderId="5" xfId="0" applyFont="1" applyFill="1" applyBorder="1" applyAlignment="1">
      <alignment horizontal="center" vertical="center"/>
    </xf>
    <xf numFmtId="0" fontId="22" fillId="0" borderId="0" xfId="0" applyFont="1" applyFill="1" applyAlignment="1">
      <alignment horizontal="left" vertical="center"/>
    </xf>
    <xf numFmtId="0" fontId="22" fillId="0" borderId="5" xfId="0" applyFont="1" applyFill="1" applyBorder="1" applyAlignment="1">
      <alignment horizontal="left" vertical="center"/>
    </xf>
    <xf numFmtId="170" fontId="25" fillId="0" borderId="45" xfId="4" applyNumberFormat="1" applyFont="1" applyFill="1" applyBorder="1" applyAlignment="1">
      <alignment horizontal="left" vertical="center"/>
    </xf>
    <xf numFmtId="170" fontId="25" fillId="0" borderId="34" xfId="4" applyNumberFormat="1" applyFont="1" applyFill="1" applyBorder="1" applyAlignment="1">
      <alignment horizontal="left" vertical="center"/>
    </xf>
    <xf numFmtId="0" fontId="22" fillId="0" borderId="34" xfId="0" applyFont="1" applyFill="1" applyBorder="1" applyAlignment="1">
      <alignment horizontal="left" vertical="center"/>
    </xf>
    <xf numFmtId="0" fontId="17" fillId="0" borderId="0" xfId="0" applyFont="1" applyFill="1" applyBorder="1" applyAlignment="1">
      <alignment vertical="center"/>
    </xf>
    <xf numFmtId="0" fontId="9" fillId="0" borderId="0" xfId="0" applyFont="1" applyFill="1" applyBorder="1" applyAlignment="1">
      <alignment vertical="center"/>
    </xf>
    <xf numFmtId="0" fontId="9" fillId="0" borderId="0" xfId="0" applyFont="1" applyFill="1" applyAlignment="1">
      <alignment horizontal="left" vertical="center"/>
    </xf>
    <xf numFmtId="0" fontId="5" fillId="0" borderId="37" xfId="0" applyFont="1" applyBorder="1" applyAlignment="1">
      <alignment horizontal="center" vertical="center"/>
    </xf>
    <xf numFmtId="43" fontId="5" fillId="0" borderId="37" xfId="1" applyFont="1" applyFill="1" applyBorder="1" applyAlignment="1">
      <alignment vertical="center"/>
    </xf>
    <xf numFmtId="0" fontId="0" fillId="0" borderId="12" xfId="0" applyBorder="1" applyAlignment="1">
      <alignment horizontal="center" vertical="center"/>
    </xf>
    <xf numFmtId="0" fontId="11" fillId="0" borderId="12" xfId="0" applyFont="1" applyBorder="1" applyAlignment="1">
      <alignment horizontal="center" vertical="center"/>
    </xf>
    <xf numFmtId="0" fontId="11" fillId="0" borderId="12" xfId="0" applyFont="1" applyBorder="1" applyAlignment="1">
      <alignment vertical="center"/>
    </xf>
    <xf numFmtId="43" fontId="0" fillId="0" borderId="12" xfId="1" applyFont="1" applyBorder="1" applyAlignment="1">
      <alignment vertical="center"/>
    </xf>
    <xf numFmtId="0" fontId="5" fillId="0" borderId="37" xfId="0" applyFont="1" applyBorder="1" applyAlignment="1">
      <alignment horizontal="center" vertical="center" wrapText="1"/>
    </xf>
    <xf numFmtId="0" fontId="5" fillId="0" borderId="54" xfId="0" applyFont="1" applyBorder="1" applyAlignment="1">
      <alignment horizontal="center" vertical="center"/>
    </xf>
    <xf numFmtId="0" fontId="5" fillId="0" borderId="29" xfId="0" applyFont="1" applyBorder="1" applyAlignment="1">
      <alignment horizontal="center" vertical="center"/>
    </xf>
    <xf numFmtId="0" fontId="5" fillId="0" borderId="36" xfId="0" applyFont="1" applyBorder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0" fontId="5" fillId="0" borderId="44" xfId="0" applyFont="1" applyBorder="1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43" fontId="5" fillId="0" borderId="9" xfId="1" applyFont="1" applyFill="1" applyBorder="1" applyAlignment="1">
      <alignment vertical="center"/>
    </xf>
    <xf numFmtId="0" fontId="5" fillId="0" borderId="26" xfId="0" applyFont="1" applyBorder="1" applyAlignment="1">
      <alignment horizontal="center" vertical="center"/>
    </xf>
    <xf numFmtId="0" fontId="5" fillId="0" borderId="55" xfId="0" applyFont="1" applyBorder="1" applyAlignment="1">
      <alignment horizontal="center" vertical="center"/>
    </xf>
    <xf numFmtId="0" fontId="5" fillId="0" borderId="27" xfId="0" applyFont="1" applyBorder="1" applyAlignment="1">
      <alignment horizontal="center" vertical="center"/>
    </xf>
    <xf numFmtId="43" fontId="5" fillId="0" borderId="56" xfId="0" applyNumberFormat="1" applyFont="1" applyFill="1" applyBorder="1" applyAlignment="1">
      <alignment vertical="center"/>
    </xf>
    <xf numFmtId="0" fontId="0" fillId="0" borderId="9" xfId="0" applyBorder="1" applyAlignment="1">
      <alignment horizontal="center" vertical="center"/>
    </xf>
    <xf numFmtId="0" fontId="11" fillId="0" borderId="9" xfId="0" applyFont="1" applyFill="1" applyBorder="1" applyAlignment="1">
      <alignment horizontal="center" vertical="center"/>
    </xf>
    <xf numFmtId="0" fontId="11" fillId="0" borderId="9" xfId="0" applyFont="1" applyFill="1" applyBorder="1" applyAlignment="1">
      <alignment vertical="center"/>
    </xf>
    <xf numFmtId="43" fontId="0" fillId="0" borderId="9" xfId="1" applyFont="1" applyFill="1" applyBorder="1" applyAlignment="1">
      <alignment vertical="center"/>
    </xf>
    <xf numFmtId="43" fontId="5" fillId="0" borderId="56" xfId="1" applyFont="1" applyFill="1" applyBorder="1" applyAlignment="1">
      <alignment vertical="center"/>
    </xf>
    <xf numFmtId="0" fontId="11" fillId="0" borderId="12" xfId="0" quotePrefix="1" applyFont="1" applyFill="1" applyBorder="1" applyAlignment="1">
      <alignment horizontal="center" vertical="center"/>
    </xf>
    <xf numFmtId="0" fontId="11" fillId="0" borderId="12" xfId="0" applyFont="1" applyFill="1" applyBorder="1" applyAlignment="1">
      <alignment vertical="center"/>
    </xf>
    <xf numFmtId="43" fontId="0" fillId="0" borderId="12" xfId="1" applyFont="1" applyFill="1" applyBorder="1" applyAlignment="1">
      <alignment vertical="center"/>
    </xf>
  </cellXfs>
  <cellStyles count="5">
    <cellStyle name="Comma" xfId="1" builtinId="3"/>
    <cellStyle name="Comma 2 2" xfId="2"/>
    <cellStyle name="Normal" xfId="0" builtinId="0"/>
    <cellStyle name="Normal_BSPL 2004 NS" xfId="4"/>
    <cellStyle name="Normal_FY 2003-2004  2 2" xfId="3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44"/>
  <sheetViews>
    <sheetView view="pageBreakPreview" topLeftCell="A34" zoomScaleNormal="100" zoomScaleSheetLayoutView="100" workbookViewId="0">
      <selection activeCell="D53" sqref="D53"/>
    </sheetView>
  </sheetViews>
  <sheetFormatPr defaultRowHeight="12.75" x14ac:dyDescent="0.2"/>
  <cols>
    <col min="1" max="1" width="14.7109375" style="77" customWidth="1"/>
    <col min="2" max="2" width="34.28515625" style="77" bestFit="1" customWidth="1"/>
    <col min="3" max="5" width="14.7109375" style="77" customWidth="1"/>
    <col min="6" max="6" width="29.7109375" style="77" customWidth="1"/>
    <col min="7" max="8" width="14.7109375" style="77" customWidth="1"/>
    <col min="9" max="9" width="11.7109375" style="77" bestFit="1" customWidth="1"/>
    <col min="10" max="10" width="12.42578125" style="77" bestFit="1" customWidth="1"/>
    <col min="11" max="11" width="11.7109375" style="77" bestFit="1" customWidth="1"/>
    <col min="12" max="12" width="10.28515625" style="77" bestFit="1" customWidth="1"/>
    <col min="13" max="13" width="11.7109375" style="77" bestFit="1" customWidth="1"/>
    <col min="14" max="16384" width="9.140625" style="77"/>
  </cols>
  <sheetData>
    <row r="1" spans="1:13" s="48" customFormat="1" ht="18" customHeight="1" x14ac:dyDescent="0.2">
      <c r="A1" s="192" t="s">
        <v>16</v>
      </c>
      <c r="B1" s="193"/>
      <c r="C1" s="193"/>
      <c r="D1" s="193"/>
      <c r="E1" s="193"/>
      <c r="F1" s="193"/>
      <c r="G1" s="193"/>
      <c r="H1" s="194"/>
    </row>
    <row r="2" spans="1:13" s="48" customFormat="1" ht="18" customHeight="1" x14ac:dyDescent="0.2">
      <c r="A2" s="195" t="s">
        <v>17</v>
      </c>
      <c r="B2" s="196"/>
      <c r="C2" s="196"/>
      <c r="D2" s="196"/>
      <c r="E2" s="196"/>
      <c r="F2" s="196"/>
      <c r="G2" s="196"/>
      <c r="H2" s="197"/>
    </row>
    <row r="3" spans="1:13" s="48" customFormat="1" ht="18" customHeight="1" x14ac:dyDescent="0.2">
      <c r="A3" s="198" t="s">
        <v>192</v>
      </c>
      <c r="B3" s="199"/>
      <c r="C3" s="199"/>
      <c r="D3" s="199"/>
      <c r="E3" s="199"/>
      <c r="F3" s="199"/>
      <c r="G3" s="199"/>
      <c r="H3" s="200"/>
    </row>
    <row r="4" spans="1:13" s="48" customFormat="1" ht="18" customHeight="1" thickBot="1" x14ac:dyDescent="0.25">
      <c r="A4" s="49" t="s">
        <v>29</v>
      </c>
      <c r="B4" s="201" t="s">
        <v>7</v>
      </c>
      <c r="C4" s="201"/>
      <c r="D4" s="50" t="s">
        <v>191</v>
      </c>
      <c r="E4" s="51" t="str">
        <f>A4</f>
        <v>MAR-2025</v>
      </c>
      <c r="F4" s="201" t="s">
        <v>8</v>
      </c>
      <c r="G4" s="201"/>
      <c r="H4" s="49" t="str">
        <f>D4</f>
        <v>MAR-2026</v>
      </c>
    </row>
    <row r="5" spans="1:13" s="48" customFormat="1" x14ac:dyDescent="0.2">
      <c r="A5" s="52">
        <v>5000</v>
      </c>
      <c r="B5" s="53" t="s">
        <v>123</v>
      </c>
      <c r="C5" s="54">
        <v>5000</v>
      </c>
      <c r="D5" s="55"/>
      <c r="E5" s="56"/>
      <c r="F5" s="57" t="s">
        <v>11</v>
      </c>
      <c r="G5" s="58"/>
      <c r="H5" s="59"/>
    </row>
    <row r="6" spans="1:13" s="48" customFormat="1" x14ac:dyDescent="0.2">
      <c r="A6" s="185">
        <v>5000</v>
      </c>
      <c r="B6" s="60" t="s">
        <v>124</v>
      </c>
      <c r="C6" s="185">
        <f>250*20</f>
        <v>5000</v>
      </c>
      <c r="D6" s="55"/>
      <c r="E6" s="185">
        <v>1488</v>
      </c>
      <c r="F6" s="62" t="s">
        <v>12</v>
      </c>
      <c r="G6" s="185">
        <v>2629</v>
      </c>
      <c r="H6" s="63"/>
    </row>
    <row r="7" spans="1:13" s="48" customFormat="1" x14ac:dyDescent="0.2">
      <c r="A7" s="185">
        <v>16000</v>
      </c>
      <c r="B7" s="60" t="s">
        <v>125</v>
      </c>
      <c r="C7" s="183">
        <f>500*32</f>
        <v>16000</v>
      </c>
      <c r="D7" s="55">
        <f>SUM(C5:C7)</f>
        <v>26000</v>
      </c>
      <c r="E7" s="185">
        <v>1057355.6499999999</v>
      </c>
      <c r="F7" s="62" t="s">
        <v>105</v>
      </c>
      <c r="G7" s="185">
        <f>BRS!C6</f>
        <v>187598.36</v>
      </c>
      <c r="H7" s="63"/>
    </row>
    <row r="8" spans="1:13" s="48" customFormat="1" x14ac:dyDescent="0.2">
      <c r="A8" s="185"/>
      <c r="B8" s="60"/>
      <c r="C8" s="185"/>
      <c r="D8" s="55"/>
      <c r="E8" s="185">
        <v>489668.24</v>
      </c>
      <c r="F8" s="62" t="s">
        <v>106</v>
      </c>
      <c r="G8" s="183">
        <f>BRS!C15</f>
        <v>99229.5</v>
      </c>
      <c r="H8" s="63">
        <f>SUM(G6:G8)</f>
        <v>289456.86</v>
      </c>
    </row>
    <row r="9" spans="1:13" s="48" customFormat="1" x14ac:dyDescent="0.2">
      <c r="A9" s="185"/>
      <c r="B9" s="66" t="s">
        <v>9</v>
      </c>
      <c r="C9" s="185"/>
      <c r="D9" s="55"/>
      <c r="E9" s="185"/>
      <c r="F9" s="67"/>
      <c r="G9" s="185"/>
      <c r="H9" s="63"/>
      <c r="I9" s="68"/>
    </row>
    <row r="10" spans="1:13" s="48" customFormat="1" x14ac:dyDescent="0.2">
      <c r="A10" s="185">
        <v>2007157.6</v>
      </c>
      <c r="B10" s="60" t="s">
        <v>10</v>
      </c>
      <c r="C10" s="185">
        <v>226514</v>
      </c>
      <c r="D10" s="55"/>
      <c r="E10" s="185"/>
      <c r="F10" s="57" t="s">
        <v>13</v>
      </c>
      <c r="G10" s="185"/>
      <c r="H10" s="63"/>
      <c r="L10" s="68"/>
      <c r="M10" s="68"/>
    </row>
    <row r="11" spans="1:13" s="48" customFormat="1" x14ac:dyDescent="0.2">
      <c r="A11" s="185">
        <v>54800</v>
      </c>
      <c r="B11" s="60" t="s">
        <v>24</v>
      </c>
      <c r="C11" s="185">
        <v>51900</v>
      </c>
      <c r="D11" s="55"/>
      <c r="E11" s="185">
        <v>0</v>
      </c>
      <c r="F11" s="69" t="s">
        <v>260</v>
      </c>
      <c r="G11" s="185">
        <f>'FDR Sch-I'!D33</f>
        <v>1588907</v>
      </c>
      <c r="H11" s="63"/>
      <c r="M11" s="68"/>
    </row>
    <row r="12" spans="1:13" s="48" customFormat="1" x14ac:dyDescent="0.2">
      <c r="A12" s="185">
        <v>0</v>
      </c>
      <c r="B12" s="60" t="s">
        <v>275</v>
      </c>
      <c r="C12" s="185">
        <f>-'INCOME &amp; EXP'!G23</f>
        <v>3931</v>
      </c>
      <c r="D12" s="55"/>
      <c r="E12" s="185">
        <v>0</v>
      </c>
      <c r="F12" s="62" t="s">
        <v>274</v>
      </c>
      <c r="G12" s="185">
        <f>'FDR Sch-I'!E33</f>
        <v>57227</v>
      </c>
      <c r="H12" s="63"/>
    </row>
    <row r="13" spans="1:13" s="48" customFormat="1" x14ac:dyDescent="0.2">
      <c r="A13" s="185">
        <v>-2007157.6</v>
      </c>
      <c r="B13" s="60" t="s">
        <v>126</v>
      </c>
      <c r="C13" s="185">
        <v>0</v>
      </c>
      <c r="D13" s="55"/>
      <c r="E13" s="185">
        <v>500</v>
      </c>
      <c r="F13" s="62" t="s">
        <v>14</v>
      </c>
      <c r="G13" s="185">
        <v>500</v>
      </c>
      <c r="H13" s="63"/>
    </row>
    <row r="14" spans="1:13" s="48" customFormat="1" x14ac:dyDescent="0.2">
      <c r="A14" s="185">
        <v>171714</v>
      </c>
      <c r="B14" s="60" t="s">
        <v>142</v>
      </c>
      <c r="C14" s="183">
        <f>'INCOME &amp; EXP'!C67</f>
        <v>0</v>
      </c>
      <c r="D14" s="55">
        <f>SUM(C10:C14)</f>
        <v>282345</v>
      </c>
      <c r="E14" s="185">
        <v>1000</v>
      </c>
      <c r="F14" s="62" t="s">
        <v>15</v>
      </c>
      <c r="G14" s="185">
        <v>1000</v>
      </c>
      <c r="H14" s="65"/>
    </row>
    <row r="15" spans="1:13" s="48" customFormat="1" x14ac:dyDescent="0.2">
      <c r="A15" s="185"/>
      <c r="B15" s="70"/>
      <c r="C15" s="185"/>
      <c r="D15" s="55"/>
      <c r="E15" s="185">
        <v>25722</v>
      </c>
      <c r="F15" s="71" t="s">
        <v>162</v>
      </c>
      <c r="G15" s="183">
        <f>2390+720+400+17825.09+4953.2</f>
        <v>26288.29</v>
      </c>
      <c r="H15" s="72">
        <f>SUM(G11:G15)</f>
        <v>1673922.29</v>
      </c>
      <c r="I15" s="73"/>
      <c r="J15" s="68"/>
    </row>
    <row r="16" spans="1:13" s="48" customFormat="1" x14ac:dyDescent="0.2">
      <c r="A16" s="185"/>
      <c r="B16" s="66" t="s">
        <v>127</v>
      </c>
      <c r="C16" s="185"/>
      <c r="D16" s="55"/>
      <c r="E16" s="185"/>
      <c r="F16" s="62"/>
      <c r="G16" s="185"/>
      <c r="H16" s="74"/>
    </row>
    <row r="17" spans="1:12" s="48" customFormat="1" x14ac:dyDescent="0.2">
      <c r="A17" s="185">
        <v>0</v>
      </c>
      <c r="B17" s="60" t="s">
        <v>10</v>
      </c>
      <c r="C17" s="185">
        <v>214428</v>
      </c>
      <c r="D17" s="55"/>
      <c r="E17" s="185">
        <v>78894</v>
      </c>
      <c r="F17" s="69" t="s">
        <v>290</v>
      </c>
      <c r="G17" s="185"/>
      <c r="H17" s="63">
        <f>'FA Sch-II'!H16</f>
        <v>307695</v>
      </c>
    </row>
    <row r="18" spans="1:12" s="48" customFormat="1" x14ac:dyDescent="0.2">
      <c r="A18" s="185">
        <v>214428</v>
      </c>
      <c r="B18" s="60" t="s">
        <v>24</v>
      </c>
      <c r="C18" s="185">
        <v>214428</v>
      </c>
      <c r="D18" s="55"/>
      <c r="E18" s="185"/>
      <c r="F18" s="62"/>
      <c r="G18" s="185"/>
      <c r="H18" s="63"/>
    </row>
    <row r="19" spans="1:12" s="48" customFormat="1" x14ac:dyDescent="0.2">
      <c r="A19" s="185">
        <v>0</v>
      </c>
      <c r="B19" s="60" t="s">
        <v>275</v>
      </c>
      <c r="C19" s="183">
        <f>-'INCOME &amp; EXP'!G20</f>
        <v>14368</v>
      </c>
      <c r="D19" s="55">
        <f>SUM(C17:C19)</f>
        <v>443224</v>
      </c>
      <c r="E19" s="185"/>
      <c r="F19" s="57" t="s">
        <v>111</v>
      </c>
      <c r="G19" s="185"/>
      <c r="H19" s="63"/>
    </row>
    <row r="20" spans="1:12" s="48" customFormat="1" x14ac:dyDescent="0.2">
      <c r="A20" s="185"/>
      <c r="B20" s="60"/>
      <c r="C20" s="185"/>
      <c r="D20" s="55"/>
      <c r="E20" s="185">
        <v>232041</v>
      </c>
      <c r="F20" s="62" t="s">
        <v>291</v>
      </c>
      <c r="G20" s="185">
        <f>'Sch-III &amp; IV'!D14</f>
        <v>504126</v>
      </c>
      <c r="H20" s="63"/>
      <c r="J20" s="75"/>
    </row>
    <row r="21" spans="1:12" s="48" customFormat="1" x14ac:dyDescent="0.2">
      <c r="A21" s="185"/>
      <c r="B21" s="66" t="s">
        <v>25</v>
      </c>
      <c r="C21" s="185"/>
      <c r="D21" s="55"/>
      <c r="E21" s="185"/>
      <c r="F21" s="69" t="s">
        <v>268</v>
      </c>
      <c r="G21" s="185"/>
      <c r="H21" s="63"/>
    </row>
    <row r="22" spans="1:12" s="48" customFormat="1" x14ac:dyDescent="0.2">
      <c r="A22" s="185">
        <v>536514</v>
      </c>
      <c r="B22" s="60" t="s">
        <v>10</v>
      </c>
      <c r="C22" s="185">
        <v>189003</v>
      </c>
      <c r="D22" s="55"/>
      <c r="E22" s="185">
        <v>2581</v>
      </c>
      <c r="F22" s="62" t="s">
        <v>267</v>
      </c>
      <c r="G22" s="185">
        <v>0</v>
      </c>
      <c r="H22" s="63"/>
      <c r="L22" s="68"/>
    </row>
    <row r="23" spans="1:12" s="48" customFormat="1" x14ac:dyDescent="0.2">
      <c r="A23" s="185">
        <v>-347511</v>
      </c>
      <c r="B23" s="60" t="s">
        <v>304</v>
      </c>
      <c r="C23" s="185">
        <f>100300+226871</f>
        <v>327171</v>
      </c>
      <c r="D23" s="55"/>
      <c r="E23" s="185">
        <v>0</v>
      </c>
      <c r="F23" s="62" t="s">
        <v>269</v>
      </c>
      <c r="G23" s="185">
        <v>8940</v>
      </c>
      <c r="H23" s="63"/>
    </row>
    <row r="24" spans="1:12" s="48" customFormat="1" x14ac:dyDescent="0.2">
      <c r="A24" s="185">
        <v>0</v>
      </c>
      <c r="B24" s="60" t="s">
        <v>275</v>
      </c>
      <c r="C24" s="183">
        <f>-'INCOME &amp; EXP'!G24</f>
        <v>276</v>
      </c>
      <c r="D24" s="55">
        <f>SUM(C22:C24)</f>
        <v>516450</v>
      </c>
      <c r="E24" s="185">
        <v>210234</v>
      </c>
      <c r="F24" s="62" t="s">
        <v>292</v>
      </c>
      <c r="G24" s="183">
        <f>'Sch-III &amp; IV'!D29</f>
        <v>246966</v>
      </c>
      <c r="H24" s="63">
        <f>SUM(G20:G24)</f>
        <v>760032</v>
      </c>
    </row>
    <row r="25" spans="1:12" s="48" customFormat="1" x14ac:dyDescent="0.2">
      <c r="A25" s="185"/>
      <c r="B25" s="70"/>
      <c r="C25" s="185"/>
      <c r="D25" s="55"/>
      <c r="E25" s="61"/>
      <c r="F25" s="62"/>
      <c r="G25" s="65"/>
      <c r="H25" s="63"/>
    </row>
    <row r="26" spans="1:12" s="48" customFormat="1" x14ac:dyDescent="0.2">
      <c r="A26" s="185"/>
      <c r="B26" s="66" t="s">
        <v>143</v>
      </c>
      <c r="C26" s="185"/>
      <c r="D26" s="55"/>
      <c r="E26" s="61"/>
      <c r="F26" s="62"/>
      <c r="G26" s="65"/>
      <c r="H26" s="63"/>
    </row>
    <row r="27" spans="1:12" s="48" customFormat="1" x14ac:dyDescent="0.2">
      <c r="A27" s="185">
        <v>0</v>
      </c>
      <c r="B27" s="60" t="s">
        <v>10</v>
      </c>
      <c r="C27" s="185">
        <v>503681.6</v>
      </c>
      <c r="D27" s="55"/>
      <c r="E27" s="61"/>
      <c r="F27" s="62"/>
      <c r="G27" s="65"/>
      <c r="H27" s="63"/>
      <c r="J27" s="75"/>
    </row>
    <row r="28" spans="1:12" s="48" customFormat="1" x14ac:dyDescent="0.2">
      <c r="A28" s="185">
        <v>643524</v>
      </c>
      <c r="B28" s="60" t="s">
        <v>24</v>
      </c>
      <c r="C28" s="185">
        <v>643524</v>
      </c>
      <c r="D28" s="55"/>
      <c r="E28" s="76"/>
      <c r="F28" s="62"/>
      <c r="G28" s="65"/>
      <c r="H28" s="63"/>
    </row>
    <row r="29" spans="1:12" s="48" customFormat="1" x14ac:dyDescent="0.2">
      <c r="A29" s="185">
        <v>0</v>
      </c>
      <c r="B29" s="60" t="s">
        <v>275</v>
      </c>
      <c r="C29" s="185">
        <f>-'INCOME &amp; EXP'!G21</f>
        <v>42179</v>
      </c>
      <c r="D29" s="55"/>
      <c r="E29" s="76"/>
      <c r="F29" s="62"/>
      <c r="G29" s="65"/>
      <c r="H29" s="63"/>
    </row>
    <row r="30" spans="1:12" s="48" customFormat="1" x14ac:dyDescent="0.2">
      <c r="A30" s="185">
        <v>-139842.4</v>
      </c>
      <c r="B30" s="60" t="s">
        <v>289</v>
      </c>
      <c r="C30" s="183">
        <f>-D41</f>
        <v>-113000</v>
      </c>
      <c r="D30" s="55">
        <f>SUM(C27:C30)</f>
        <v>1076384.6000000001</v>
      </c>
      <c r="E30" s="76"/>
      <c r="F30" s="62"/>
      <c r="G30" s="65"/>
      <c r="H30" s="63"/>
    </row>
    <row r="31" spans="1:12" s="48" customFormat="1" x14ac:dyDescent="0.2">
      <c r="A31" s="185"/>
      <c r="B31" s="60"/>
      <c r="C31" s="185"/>
      <c r="D31" s="55"/>
      <c r="E31" s="76"/>
      <c r="F31" s="62"/>
      <c r="G31" s="65"/>
      <c r="H31" s="63"/>
    </row>
    <row r="32" spans="1:12" s="48" customFormat="1" x14ac:dyDescent="0.2">
      <c r="A32" s="185"/>
      <c r="B32" s="66" t="s">
        <v>27</v>
      </c>
      <c r="C32" s="185"/>
      <c r="D32" s="55"/>
      <c r="E32" s="76"/>
      <c r="F32" s="62"/>
      <c r="G32" s="65"/>
      <c r="H32" s="63"/>
    </row>
    <row r="33" spans="1:11" s="48" customFormat="1" x14ac:dyDescent="0.2">
      <c r="A33" s="185">
        <v>10830</v>
      </c>
      <c r="B33" s="60" t="s">
        <v>10</v>
      </c>
      <c r="C33" s="185">
        <v>17070</v>
      </c>
      <c r="D33" s="55"/>
      <c r="E33" s="76"/>
      <c r="F33" s="62"/>
      <c r="G33" s="65"/>
      <c r="H33" s="63"/>
    </row>
    <row r="34" spans="1:11" s="48" customFormat="1" x14ac:dyDescent="0.2">
      <c r="A34" s="185">
        <v>6240</v>
      </c>
      <c r="B34" s="60" t="s">
        <v>24</v>
      </c>
      <c r="C34" s="185">
        <f>10*52*12</f>
        <v>6240</v>
      </c>
      <c r="D34" s="55"/>
      <c r="E34" s="76"/>
      <c r="F34" s="62"/>
      <c r="G34" s="65"/>
      <c r="H34" s="63"/>
    </row>
    <row r="35" spans="1:11" s="48" customFormat="1" x14ac:dyDescent="0.2">
      <c r="A35" s="185">
        <v>0</v>
      </c>
      <c r="B35" s="60" t="s">
        <v>275</v>
      </c>
      <c r="C35" s="183">
        <f>-'INCOME &amp; EXP'!G22</f>
        <v>1128</v>
      </c>
      <c r="D35" s="55">
        <f>SUM(C32:C35)</f>
        <v>24438</v>
      </c>
      <c r="E35" s="76"/>
      <c r="F35" s="62"/>
      <c r="G35" s="65"/>
      <c r="H35" s="63"/>
    </row>
    <row r="36" spans="1:11" s="48" customFormat="1" x14ac:dyDescent="0.2">
      <c r="A36" s="185"/>
      <c r="B36" s="70"/>
      <c r="C36" s="54"/>
      <c r="D36" s="55"/>
      <c r="E36" s="76"/>
      <c r="F36" s="62"/>
      <c r="G36" s="65"/>
      <c r="H36" s="63"/>
    </row>
    <row r="37" spans="1:11" s="48" customFormat="1" x14ac:dyDescent="0.2">
      <c r="A37" s="185">
        <v>277744</v>
      </c>
      <c r="B37" s="53" t="s">
        <v>306</v>
      </c>
      <c r="C37" s="54"/>
      <c r="D37" s="55">
        <f>'Sch-V &amp; VI'!D23</f>
        <v>475938</v>
      </c>
      <c r="E37" s="76"/>
      <c r="F37" s="62"/>
      <c r="G37" s="65"/>
      <c r="H37" s="63"/>
    </row>
    <row r="38" spans="1:11" s="48" customFormat="1" x14ac:dyDescent="0.2">
      <c r="A38" s="185"/>
      <c r="B38" s="70"/>
      <c r="C38" s="54"/>
      <c r="D38" s="55"/>
      <c r="E38" s="76"/>
      <c r="F38" s="62"/>
      <c r="G38" s="65"/>
      <c r="H38" s="63"/>
    </row>
    <row r="39" spans="1:11" s="48" customFormat="1" x14ac:dyDescent="0.2">
      <c r="A39" s="185">
        <v>11258</v>
      </c>
      <c r="B39" s="53" t="s">
        <v>307</v>
      </c>
      <c r="C39" s="54"/>
      <c r="D39" s="55">
        <f>'Sch-V &amp; VI'!D32</f>
        <v>11614</v>
      </c>
      <c r="E39" s="76"/>
      <c r="F39" s="62"/>
      <c r="G39" s="65"/>
      <c r="H39" s="63"/>
    </row>
    <row r="40" spans="1:11" s="48" customFormat="1" x14ac:dyDescent="0.2">
      <c r="A40" s="52"/>
      <c r="B40" s="70"/>
      <c r="C40" s="54"/>
      <c r="D40" s="55"/>
      <c r="E40" s="76"/>
      <c r="F40" s="62"/>
      <c r="G40" s="65"/>
      <c r="H40" s="63"/>
    </row>
    <row r="41" spans="1:11" s="48" customFormat="1" x14ac:dyDescent="0.2">
      <c r="A41" s="52">
        <v>0</v>
      </c>
      <c r="B41" s="53" t="s">
        <v>288</v>
      </c>
      <c r="C41" s="54"/>
      <c r="D41" s="55">
        <v>113000</v>
      </c>
      <c r="E41" s="76"/>
      <c r="F41" s="62"/>
      <c r="G41" s="65"/>
      <c r="H41" s="63"/>
    </row>
    <row r="42" spans="1:11" s="48" customFormat="1" x14ac:dyDescent="0.2">
      <c r="A42" s="52"/>
      <c r="B42" s="53"/>
      <c r="C42" s="54"/>
      <c r="D42" s="55"/>
      <c r="E42" s="76"/>
      <c r="F42" s="62"/>
      <c r="G42" s="65"/>
      <c r="H42" s="63"/>
    </row>
    <row r="43" spans="1:11" s="48" customFormat="1" x14ac:dyDescent="0.2">
      <c r="A43" s="52"/>
      <c r="B43" s="66" t="s">
        <v>21</v>
      </c>
      <c r="C43" s="54"/>
      <c r="D43" s="55"/>
      <c r="E43" s="76"/>
      <c r="F43" s="62"/>
      <c r="G43" s="65"/>
      <c r="H43" s="63"/>
    </row>
    <row r="44" spans="1:11" s="48" customFormat="1" x14ac:dyDescent="0.2">
      <c r="A44" s="185">
        <v>149821.39000000001</v>
      </c>
      <c r="B44" s="184" t="s">
        <v>10</v>
      </c>
      <c r="C44" s="54">
        <f>149821.39+20340-51517+515140.9</f>
        <v>633785.29</v>
      </c>
      <c r="D44" s="55"/>
      <c r="E44" s="76"/>
      <c r="F44" s="62"/>
      <c r="G44" s="65"/>
      <c r="H44" s="63"/>
    </row>
    <row r="45" spans="1:11" s="48" customFormat="1" x14ac:dyDescent="0.2">
      <c r="A45" s="185">
        <v>20340</v>
      </c>
      <c r="B45" s="184" t="s">
        <v>305</v>
      </c>
      <c r="C45" s="54">
        <v>0</v>
      </c>
      <c r="D45" s="55"/>
      <c r="E45" s="76"/>
      <c r="F45" s="62"/>
      <c r="G45" s="65"/>
      <c r="H45" s="63"/>
    </row>
    <row r="46" spans="1:11" s="48" customFormat="1" x14ac:dyDescent="0.2">
      <c r="A46" s="185">
        <v>-51517</v>
      </c>
      <c r="B46" s="184" t="s">
        <v>173</v>
      </c>
      <c r="C46" s="54">
        <v>0</v>
      </c>
      <c r="D46" s="55"/>
      <c r="E46" s="76"/>
      <c r="F46" s="62"/>
      <c r="G46" s="65"/>
      <c r="H46" s="63"/>
    </row>
    <row r="47" spans="1:11" s="48" customFormat="1" x14ac:dyDescent="0.2">
      <c r="A47" s="185">
        <v>515140.9</v>
      </c>
      <c r="B47" s="184" t="s">
        <v>285</v>
      </c>
      <c r="C47" s="183">
        <f>-'INCOME &amp; EXP'!H66</f>
        <v>-572072.73999999976</v>
      </c>
      <c r="D47" s="55">
        <f>SUM(C44:C47)</f>
        <v>61712.550000000279</v>
      </c>
      <c r="E47" s="76"/>
      <c r="F47" s="62"/>
      <c r="G47" s="65"/>
      <c r="H47" s="63"/>
    </row>
    <row r="48" spans="1:11" s="48" customFormat="1" x14ac:dyDescent="0.2">
      <c r="A48" s="64"/>
      <c r="B48" s="184"/>
      <c r="C48" s="54"/>
      <c r="D48" s="55"/>
      <c r="E48" s="61"/>
      <c r="F48" s="62"/>
      <c r="G48" s="65"/>
      <c r="H48" s="63"/>
      <c r="J48" s="68"/>
      <c r="K48" s="77"/>
    </row>
    <row r="49" spans="1:10" ht="13.5" thickBot="1" x14ac:dyDescent="0.25">
      <c r="A49" s="78">
        <f>SUM(A5:A48)</f>
        <v>2099483.89</v>
      </c>
      <c r="B49" s="202" t="s">
        <v>6</v>
      </c>
      <c r="C49" s="202"/>
      <c r="D49" s="79">
        <f>SUM(D5:D48)</f>
        <v>3031106.1500000004</v>
      </c>
      <c r="E49" s="80">
        <f>SUM(E5:E48)</f>
        <v>2099483.8899999997</v>
      </c>
      <c r="F49" s="202" t="s">
        <v>6</v>
      </c>
      <c r="G49" s="202"/>
      <c r="H49" s="78">
        <f>SUM(H5:H48)</f>
        <v>3031106.15</v>
      </c>
      <c r="I49" s="68">
        <f>A49-E49</f>
        <v>0</v>
      </c>
      <c r="J49" s="68">
        <f>D49-H49</f>
        <v>0</v>
      </c>
    </row>
    <row r="50" spans="1:10" s="43" customFormat="1" ht="15" customHeight="1" x14ac:dyDescent="0.2">
      <c r="A50" s="81"/>
      <c r="B50" s="82"/>
      <c r="C50" s="83"/>
      <c r="D50" s="84"/>
      <c r="E50" s="83"/>
      <c r="F50" s="82"/>
      <c r="G50" s="83"/>
      <c r="H50" s="85"/>
    </row>
    <row r="51" spans="1:10" s="43" customFormat="1" ht="15" customHeight="1" x14ac:dyDescent="0.2">
      <c r="A51" s="86" t="s">
        <v>311</v>
      </c>
      <c r="B51" s="82"/>
      <c r="C51" s="82"/>
      <c r="D51" s="84"/>
      <c r="E51" s="83"/>
      <c r="F51" s="82"/>
      <c r="G51" s="83"/>
      <c r="H51" s="85"/>
      <c r="I51" s="43">
        <f>A49-E49</f>
        <v>0</v>
      </c>
    </row>
    <row r="52" spans="1:10" s="90" customFormat="1" ht="15" customHeight="1" x14ac:dyDescent="0.2">
      <c r="A52" s="87"/>
      <c r="B52" s="82"/>
      <c r="C52" s="82"/>
      <c r="D52" s="88"/>
      <c r="E52" s="89"/>
      <c r="F52" s="186" t="s">
        <v>18</v>
      </c>
      <c r="G52" s="186"/>
      <c r="H52" s="187"/>
    </row>
    <row r="53" spans="1:10" s="90" customFormat="1" ht="15" customHeight="1" x14ac:dyDescent="0.2">
      <c r="A53" s="91"/>
      <c r="B53" s="82"/>
      <c r="C53" s="82"/>
      <c r="D53" s="88"/>
      <c r="E53" s="89"/>
      <c r="F53" s="92"/>
      <c r="G53" s="89"/>
      <c r="H53" s="93"/>
      <c r="I53" s="94"/>
      <c r="J53" s="94"/>
    </row>
    <row r="54" spans="1:10" s="90" customFormat="1" ht="15" customHeight="1" x14ac:dyDescent="0.2">
      <c r="A54" s="87"/>
      <c r="B54" s="82"/>
      <c r="C54" s="82"/>
      <c r="D54" s="88"/>
      <c r="E54" s="89"/>
      <c r="F54" s="92"/>
      <c r="G54" s="89"/>
      <c r="H54" s="93"/>
      <c r="I54" s="94">
        <f>A49-E49</f>
        <v>0</v>
      </c>
      <c r="J54" s="94">
        <f>D49-H49</f>
        <v>0</v>
      </c>
    </row>
    <row r="55" spans="1:10" s="90" customFormat="1" ht="15" customHeight="1" x14ac:dyDescent="0.2">
      <c r="A55" s="87"/>
      <c r="B55" s="82"/>
      <c r="C55" s="82"/>
      <c r="D55" s="88"/>
      <c r="E55" s="89"/>
      <c r="F55" s="92"/>
      <c r="G55" s="89"/>
      <c r="H55" s="93"/>
    </row>
    <row r="56" spans="1:10" s="90" customFormat="1" ht="15" customHeight="1" x14ac:dyDescent="0.2">
      <c r="A56" s="44" t="s">
        <v>312</v>
      </c>
      <c r="B56" s="46"/>
      <c r="C56" s="47"/>
      <c r="D56" s="88"/>
      <c r="E56" s="89"/>
      <c r="F56" s="92"/>
      <c r="G56" s="89"/>
      <c r="H56" s="93"/>
    </row>
    <row r="57" spans="1:10" s="90" customFormat="1" ht="15" customHeight="1" x14ac:dyDescent="0.2">
      <c r="A57" s="45" t="s">
        <v>313</v>
      </c>
      <c r="B57" s="46"/>
      <c r="C57" s="47"/>
      <c r="D57" s="88"/>
      <c r="E57" s="89"/>
      <c r="F57" s="188" t="s">
        <v>314</v>
      </c>
      <c r="G57" s="188"/>
      <c r="H57" s="189"/>
      <c r="I57" s="95"/>
      <c r="J57" s="95"/>
    </row>
    <row r="58" spans="1:10" s="95" customFormat="1" ht="15" customHeight="1" x14ac:dyDescent="0.2">
      <c r="A58" s="45" t="s">
        <v>315</v>
      </c>
      <c r="B58" s="46"/>
      <c r="C58" s="47"/>
      <c r="D58" s="88"/>
      <c r="E58" s="89"/>
      <c r="F58" s="92"/>
      <c r="G58" s="92"/>
      <c r="H58" s="96"/>
    </row>
    <row r="59" spans="1:10" s="95" customFormat="1" ht="15" customHeight="1" x14ac:dyDescent="0.2">
      <c r="A59" s="190">
        <v>46159</v>
      </c>
      <c r="B59" s="191"/>
      <c r="C59" s="191"/>
      <c r="D59" s="97"/>
      <c r="E59" s="98"/>
      <c r="F59" s="99"/>
      <c r="G59" s="98"/>
      <c r="H59" s="100"/>
    </row>
    <row r="60" spans="1:10" ht="15" x14ac:dyDescent="0.2">
      <c r="A60" s="101"/>
      <c r="B60" s="102"/>
      <c r="C60" s="101"/>
      <c r="D60" s="102"/>
      <c r="E60" s="103"/>
      <c r="F60" s="103"/>
      <c r="G60" s="104"/>
      <c r="H60" s="103"/>
    </row>
    <row r="61" spans="1:10" x14ac:dyDescent="0.2">
      <c r="A61" s="48"/>
      <c r="B61" s="48"/>
      <c r="C61" s="48"/>
      <c r="D61" s="48"/>
      <c r="E61" s="103"/>
      <c r="F61" s="104"/>
      <c r="G61" s="104"/>
      <c r="H61" s="103"/>
    </row>
    <row r="62" spans="1:10" x14ac:dyDescent="0.2">
      <c r="A62" s="48"/>
      <c r="B62" s="48"/>
      <c r="C62" s="48"/>
      <c r="D62" s="48"/>
      <c r="E62" s="103"/>
      <c r="F62" s="104"/>
      <c r="G62" s="104"/>
      <c r="H62" s="103"/>
    </row>
    <row r="63" spans="1:10" x14ac:dyDescent="0.2">
      <c r="A63" s="48"/>
      <c r="B63" s="48"/>
      <c r="C63" s="48"/>
      <c r="D63" s="48"/>
      <c r="E63" s="103"/>
      <c r="F63" s="103"/>
      <c r="G63" s="103"/>
      <c r="H63" s="103"/>
    </row>
    <row r="64" spans="1:10" x14ac:dyDescent="0.2">
      <c r="A64" s="48"/>
      <c r="B64" s="48"/>
      <c r="C64" s="48"/>
      <c r="D64" s="48"/>
      <c r="E64" s="103"/>
      <c r="F64" s="105"/>
      <c r="G64" s="104"/>
      <c r="H64" s="103"/>
    </row>
    <row r="65" spans="1:8" x14ac:dyDescent="0.2">
      <c r="A65" s="48"/>
      <c r="B65" s="48"/>
      <c r="C65" s="48"/>
      <c r="D65" s="48"/>
      <c r="E65" s="103"/>
      <c r="F65" s="104"/>
      <c r="G65" s="104"/>
      <c r="H65" s="103"/>
    </row>
    <row r="66" spans="1:8" x14ac:dyDescent="0.2">
      <c r="A66" s="48"/>
      <c r="B66" s="48"/>
      <c r="C66" s="48"/>
      <c r="D66" s="48"/>
      <c r="E66" s="103"/>
      <c r="F66" s="104"/>
      <c r="G66" s="104"/>
      <c r="H66" s="103"/>
    </row>
    <row r="67" spans="1:8" x14ac:dyDescent="0.2">
      <c r="A67" s="48"/>
      <c r="B67" s="48"/>
      <c r="C67" s="48"/>
      <c r="D67" s="48"/>
      <c r="E67" s="103"/>
      <c r="F67" s="104"/>
      <c r="G67" s="104"/>
      <c r="H67" s="103"/>
    </row>
    <row r="68" spans="1:8" x14ac:dyDescent="0.2">
      <c r="A68" s="48"/>
      <c r="B68" s="48"/>
      <c r="C68" s="48"/>
      <c r="D68" s="48"/>
      <c r="E68" s="103"/>
      <c r="F68" s="104"/>
      <c r="G68" s="104"/>
      <c r="H68" s="103"/>
    </row>
    <row r="69" spans="1:8" x14ac:dyDescent="0.2">
      <c r="E69" s="103"/>
      <c r="F69" s="104"/>
      <c r="G69" s="104"/>
      <c r="H69" s="103"/>
    </row>
    <row r="70" spans="1:8" x14ac:dyDescent="0.2">
      <c r="E70" s="103"/>
      <c r="F70" s="104"/>
      <c r="G70" s="104"/>
      <c r="H70" s="103"/>
    </row>
    <row r="71" spans="1:8" x14ac:dyDescent="0.2">
      <c r="E71" s="103"/>
      <c r="F71" s="104"/>
      <c r="G71" s="104"/>
      <c r="H71" s="103"/>
    </row>
    <row r="72" spans="1:8" x14ac:dyDescent="0.2">
      <c r="E72" s="103"/>
      <c r="F72" s="105"/>
      <c r="G72" s="104"/>
      <c r="H72" s="103"/>
    </row>
    <row r="73" spans="1:8" x14ac:dyDescent="0.2">
      <c r="E73" s="103"/>
      <c r="F73" s="105"/>
      <c r="G73" s="104"/>
      <c r="H73" s="103"/>
    </row>
    <row r="74" spans="1:8" x14ac:dyDescent="0.2">
      <c r="E74" s="103"/>
      <c r="F74" s="105"/>
      <c r="G74" s="104"/>
      <c r="H74" s="103"/>
    </row>
    <row r="75" spans="1:8" x14ac:dyDescent="0.2">
      <c r="E75" s="103"/>
      <c r="F75" s="104"/>
      <c r="G75" s="103"/>
      <c r="H75" s="103"/>
    </row>
    <row r="76" spans="1:8" x14ac:dyDescent="0.2">
      <c r="E76" s="103"/>
      <c r="F76" s="104"/>
      <c r="G76" s="106"/>
      <c r="H76" s="103"/>
    </row>
    <row r="77" spans="1:8" x14ac:dyDescent="0.2">
      <c r="E77" s="103"/>
      <c r="F77" s="104"/>
      <c r="G77" s="103"/>
      <c r="H77" s="103"/>
    </row>
    <row r="78" spans="1:8" x14ac:dyDescent="0.2">
      <c r="E78" s="103"/>
      <c r="F78" s="105"/>
      <c r="G78" s="104"/>
      <c r="H78" s="103"/>
    </row>
    <row r="79" spans="1:8" x14ac:dyDescent="0.2">
      <c r="E79" s="103"/>
      <c r="F79" s="104"/>
      <c r="G79" s="103"/>
      <c r="H79" s="103"/>
    </row>
    <row r="80" spans="1:8" x14ac:dyDescent="0.2">
      <c r="E80" s="103"/>
      <c r="F80" s="104"/>
      <c r="G80" s="106"/>
      <c r="H80" s="103"/>
    </row>
    <row r="81" spans="5:8" x14ac:dyDescent="0.2">
      <c r="E81" s="103"/>
      <c r="F81" s="104"/>
      <c r="G81" s="103"/>
      <c r="H81" s="103"/>
    </row>
    <row r="82" spans="5:8" x14ac:dyDescent="0.2">
      <c r="E82" s="103"/>
      <c r="F82" s="105"/>
      <c r="G82" s="104"/>
      <c r="H82" s="103"/>
    </row>
    <row r="83" spans="5:8" x14ac:dyDescent="0.2">
      <c r="E83" s="103"/>
      <c r="F83" s="104"/>
      <c r="G83" s="103"/>
      <c r="H83" s="103"/>
    </row>
    <row r="84" spans="5:8" x14ac:dyDescent="0.2">
      <c r="E84" s="103"/>
      <c r="F84" s="104"/>
      <c r="G84" s="106"/>
      <c r="H84" s="103"/>
    </row>
    <row r="85" spans="5:8" x14ac:dyDescent="0.2">
      <c r="E85" s="103"/>
      <c r="F85" s="104"/>
      <c r="G85" s="103"/>
      <c r="H85" s="103"/>
    </row>
    <row r="86" spans="5:8" x14ac:dyDescent="0.2">
      <c r="E86" s="103"/>
      <c r="F86" s="105"/>
      <c r="G86" s="104"/>
      <c r="H86" s="103"/>
    </row>
    <row r="87" spans="5:8" x14ac:dyDescent="0.2">
      <c r="E87" s="103"/>
      <c r="F87" s="104"/>
      <c r="G87" s="103"/>
      <c r="H87" s="103"/>
    </row>
    <row r="88" spans="5:8" x14ac:dyDescent="0.2">
      <c r="E88" s="103"/>
      <c r="F88" s="104"/>
      <c r="G88" s="106"/>
      <c r="H88" s="103"/>
    </row>
    <row r="89" spans="5:8" x14ac:dyDescent="0.2">
      <c r="E89" s="103"/>
      <c r="F89" s="104"/>
      <c r="G89" s="103"/>
      <c r="H89" s="103"/>
    </row>
    <row r="90" spans="5:8" x14ac:dyDescent="0.2">
      <c r="E90" s="103"/>
      <c r="F90" s="105"/>
      <c r="G90" s="103"/>
      <c r="H90" s="103"/>
    </row>
    <row r="91" spans="5:8" x14ac:dyDescent="0.2">
      <c r="E91" s="103"/>
      <c r="F91" s="104"/>
      <c r="G91" s="103"/>
      <c r="H91" s="103"/>
    </row>
    <row r="92" spans="5:8" x14ac:dyDescent="0.2">
      <c r="E92" s="103"/>
      <c r="F92" s="104"/>
      <c r="G92" s="103"/>
      <c r="H92" s="103"/>
    </row>
    <row r="93" spans="5:8" x14ac:dyDescent="0.2">
      <c r="E93" s="103"/>
      <c r="F93" s="104"/>
      <c r="G93" s="103"/>
      <c r="H93" s="103"/>
    </row>
    <row r="94" spans="5:8" x14ac:dyDescent="0.2">
      <c r="E94" s="103"/>
      <c r="F94" s="104"/>
      <c r="G94" s="103"/>
      <c r="H94" s="103"/>
    </row>
    <row r="95" spans="5:8" x14ac:dyDescent="0.2">
      <c r="E95" s="73"/>
      <c r="F95" s="73"/>
      <c r="G95" s="73"/>
      <c r="H95" s="73"/>
    </row>
    <row r="96" spans="5:8" x14ac:dyDescent="0.2">
      <c r="E96" s="103"/>
      <c r="F96" s="105"/>
      <c r="G96" s="103"/>
      <c r="H96" s="73"/>
    </row>
    <row r="97" spans="5:8" x14ac:dyDescent="0.2">
      <c r="E97" s="103"/>
      <c r="F97" s="104"/>
      <c r="G97" s="103"/>
      <c r="H97" s="73"/>
    </row>
    <row r="98" spans="5:8" x14ac:dyDescent="0.2">
      <c r="E98" s="73"/>
      <c r="F98" s="73"/>
      <c r="G98" s="107"/>
      <c r="H98" s="103"/>
    </row>
    <row r="99" spans="5:8" x14ac:dyDescent="0.2">
      <c r="E99" s="103"/>
      <c r="F99" s="104"/>
      <c r="G99" s="106"/>
      <c r="H99" s="103"/>
    </row>
    <row r="100" spans="5:8" x14ac:dyDescent="0.2">
      <c r="E100" s="73"/>
      <c r="F100" s="73"/>
      <c r="G100" s="73"/>
      <c r="H100" s="73"/>
    </row>
    <row r="101" spans="5:8" x14ac:dyDescent="0.2">
      <c r="E101" s="103"/>
      <c r="F101" s="104"/>
      <c r="G101" s="103"/>
      <c r="H101" s="103"/>
    </row>
    <row r="102" spans="5:8" x14ac:dyDescent="0.2">
      <c r="E102" s="103"/>
      <c r="F102" s="73"/>
      <c r="G102" s="103"/>
      <c r="H102" s="103"/>
    </row>
    <row r="103" spans="5:8" x14ac:dyDescent="0.2">
      <c r="E103" s="108"/>
      <c r="F103" s="108"/>
      <c r="G103" s="108"/>
      <c r="H103" s="108"/>
    </row>
    <row r="104" spans="5:8" x14ac:dyDescent="0.2">
      <c r="E104" s="108"/>
      <c r="F104" s="108"/>
      <c r="G104" s="108"/>
      <c r="H104" s="108"/>
    </row>
    <row r="105" spans="5:8" x14ac:dyDescent="0.2">
      <c r="E105" s="108"/>
      <c r="F105" s="108"/>
      <c r="G105" s="108"/>
      <c r="H105" s="108"/>
    </row>
    <row r="106" spans="5:8" x14ac:dyDescent="0.2">
      <c r="E106" s="108"/>
      <c r="F106" s="108"/>
      <c r="G106" s="108"/>
      <c r="H106" s="108"/>
    </row>
    <row r="107" spans="5:8" x14ac:dyDescent="0.2">
      <c r="E107" s="108"/>
      <c r="F107" s="108"/>
      <c r="G107" s="108"/>
      <c r="H107" s="108"/>
    </row>
    <row r="108" spans="5:8" x14ac:dyDescent="0.2">
      <c r="E108" s="108"/>
      <c r="F108" s="108"/>
      <c r="G108" s="108"/>
      <c r="H108" s="108"/>
    </row>
    <row r="109" spans="5:8" x14ac:dyDescent="0.2">
      <c r="E109" s="108"/>
      <c r="F109" s="108"/>
      <c r="G109" s="108"/>
      <c r="H109" s="108"/>
    </row>
    <row r="110" spans="5:8" x14ac:dyDescent="0.2">
      <c r="E110" s="108"/>
      <c r="F110" s="108"/>
      <c r="G110" s="108"/>
      <c r="H110" s="108"/>
    </row>
    <row r="111" spans="5:8" x14ac:dyDescent="0.2">
      <c r="E111" s="108"/>
      <c r="F111" s="108"/>
      <c r="G111" s="108"/>
      <c r="H111" s="108"/>
    </row>
    <row r="112" spans="5:8" x14ac:dyDescent="0.2">
      <c r="E112" s="108"/>
      <c r="F112" s="108"/>
      <c r="G112" s="108"/>
      <c r="H112" s="108"/>
    </row>
    <row r="113" spans="5:8" x14ac:dyDescent="0.2">
      <c r="E113" s="108"/>
      <c r="F113" s="108"/>
      <c r="G113" s="108"/>
      <c r="H113" s="108"/>
    </row>
    <row r="114" spans="5:8" x14ac:dyDescent="0.2">
      <c r="E114" s="108"/>
      <c r="F114" s="108"/>
      <c r="G114" s="108"/>
      <c r="H114" s="108"/>
    </row>
    <row r="115" spans="5:8" x14ac:dyDescent="0.2">
      <c r="E115" s="108"/>
      <c r="F115" s="108"/>
      <c r="G115" s="108"/>
      <c r="H115" s="108"/>
    </row>
    <row r="116" spans="5:8" x14ac:dyDescent="0.2">
      <c r="E116" s="108"/>
      <c r="F116" s="108"/>
      <c r="G116" s="108"/>
      <c r="H116" s="108"/>
    </row>
    <row r="117" spans="5:8" x14ac:dyDescent="0.2">
      <c r="E117" s="108"/>
      <c r="F117" s="108"/>
      <c r="G117" s="108"/>
      <c r="H117" s="108"/>
    </row>
    <row r="118" spans="5:8" x14ac:dyDescent="0.2">
      <c r="E118" s="108"/>
      <c r="F118" s="108"/>
      <c r="G118" s="108"/>
      <c r="H118" s="108"/>
    </row>
    <row r="119" spans="5:8" x14ac:dyDescent="0.2">
      <c r="E119" s="108"/>
      <c r="F119" s="108"/>
      <c r="G119" s="108"/>
      <c r="H119" s="108"/>
    </row>
    <row r="120" spans="5:8" x14ac:dyDescent="0.2">
      <c r="E120" s="108"/>
      <c r="F120" s="108"/>
      <c r="G120" s="108"/>
      <c r="H120" s="108"/>
    </row>
    <row r="121" spans="5:8" x14ac:dyDescent="0.2">
      <c r="E121" s="108"/>
      <c r="F121" s="108"/>
      <c r="G121" s="108"/>
      <c r="H121" s="108"/>
    </row>
    <row r="122" spans="5:8" x14ac:dyDescent="0.2">
      <c r="E122" s="108"/>
      <c r="F122" s="108"/>
      <c r="G122" s="108"/>
      <c r="H122" s="108"/>
    </row>
    <row r="123" spans="5:8" x14ac:dyDescent="0.2">
      <c r="E123" s="108"/>
      <c r="F123" s="108"/>
      <c r="G123" s="108"/>
      <c r="H123" s="108"/>
    </row>
    <row r="124" spans="5:8" x14ac:dyDescent="0.2">
      <c r="E124" s="108"/>
      <c r="F124" s="108"/>
      <c r="G124" s="108"/>
      <c r="H124" s="108"/>
    </row>
    <row r="125" spans="5:8" x14ac:dyDescent="0.2">
      <c r="E125" s="108"/>
      <c r="F125" s="108"/>
      <c r="G125" s="108"/>
      <c r="H125" s="108"/>
    </row>
    <row r="126" spans="5:8" x14ac:dyDescent="0.2">
      <c r="E126" s="108"/>
      <c r="F126" s="108"/>
      <c r="G126" s="108"/>
      <c r="H126" s="108"/>
    </row>
    <row r="127" spans="5:8" x14ac:dyDescent="0.2">
      <c r="E127" s="108"/>
      <c r="F127" s="108"/>
      <c r="G127" s="108"/>
      <c r="H127" s="108"/>
    </row>
    <row r="128" spans="5:8" x14ac:dyDescent="0.2">
      <c r="E128" s="108"/>
      <c r="F128" s="108"/>
      <c r="G128" s="108"/>
      <c r="H128" s="108"/>
    </row>
    <row r="129" spans="5:8" x14ac:dyDescent="0.2">
      <c r="E129" s="108"/>
      <c r="F129" s="108"/>
      <c r="G129" s="108"/>
      <c r="H129" s="108"/>
    </row>
    <row r="130" spans="5:8" x14ac:dyDescent="0.2">
      <c r="E130" s="108"/>
      <c r="F130" s="108"/>
      <c r="G130" s="108"/>
      <c r="H130" s="108"/>
    </row>
    <row r="131" spans="5:8" x14ac:dyDescent="0.2">
      <c r="E131" s="108"/>
      <c r="F131" s="108"/>
      <c r="G131" s="108"/>
      <c r="H131" s="108"/>
    </row>
    <row r="132" spans="5:8" x14ac:dyDescent="0.2">
      <c r="E132" s="108"/>
      <c r="F132" s="108"/>
      <c r="G132" s="108"/>
      <c r="H132" s="108"/>
    </row>
    <row r="133" spans="5:8" x14ac:dyDescent="0.2">
      <c r="E133" s="108"/>
      <c r="F133" s="108"/>
      <c r="G133" s="108"/>
      <c r="H133" s="108"/>
    </row>
    <row r="134" spans="5:8" x14ac:dyDescent="0.2">
      <c r="E134" s="108"/>
      <c r="F134" s="108"/>
      <c r="G134" s="108"/>
      <c r="H134" s="108"/>
    </row>
    <row r="135" spans="5:8" x14ac:dyDescent="0.2">
      <c r="E135" s="108"/>
      <c r="F135" s="108"/>
      <c r="G135" s="108"/>
      <c r="H135" s="108"/>
    </row>
    <row r="136" spans="5:8" x14ac:dyDescent="0.2">
      <c r="E136" s="108"/>
      <c r="F136" s="108"/>
      <c r="G136" s="108"/>
      <c r="H136" s="108"/>
    </row>
    <row r="137" spans="5:8" x14ac:dyDescent="0.2">
      <c r="E137" s="108"/>
      <c r="F137" s="108"/>
      <c r="G137" s="108"/>
      <c r="H137" s="108"/>
    </row>
    <row r="138" spans="5:8" x14ac:dyDescent="0.2">
      <c r="E138" s="108"/>
      <c r="F138" s="108"/>
      <c r="G138" s="108"/>
      <c r="H138" s="108"/>
    </row>
    <row r="139" spans="5:8" x14ac:dyDescent="0.2">
      <c r="E139" s="108"/>
      <c r="F139" s="108"/>
      <c r="G139" s="108"/>
      <c r="H139" s="108"/>
    </row>
    <row r="140" spans="5:8" x14ac:dyDescent="0.2">
      <c r="E140" s="108"/>
      <c r="F140" s="108"/>
      <c r="G140" s="108"/>
      <c r="H140" s="108"/>
    </row>
    <row r="141" spans="5:8" x14ac:dyDescent="0.2">
      <c r="E141" s="108"/>
      <c r="F141" s="108"/>
      <c r="G141" s="108"/>
      <c r="H141" s="108"/>
    </row>
    <row r="142" spans="5:8" x14ac:dyDescent="0.2">
      <c r="E142" s="108"/>
      <c r="F142" s="108"/>
      <c r="G142" s="108"/>
      <c r="H142" s="108"/>
    </row>
    <row r="143" spans="5:8" x14ac:dyDescent="0.2">
      <c r="E143" s="108"/>
      <c r="F143" s="108"/>
      <c r="G143" s="108"/>
      <c r="H143" s="108"/>
    </row>
    <row r="144" spans="5:8" x14ac:dyDescent="0.2">
      <c r="E144" s="108"/>
      <c r="F144" s="108"/>
      <c r="G144" s="108"/>
      <c r="H144" s="108"/>
    </row>
  </sheetData>
  <mergeCells count="10">
    <mergeCell ref="F52:H52"/>
    <mergeCell ref="F57:H57"/>
    <mergeCell ref="A59:C59"/>
    <mergeCell ref="A1:H1"/>
    <mergeCell ref="A2:H2"/>
    <mergeCell ref="A3:H3"/>
    <mergeCell ref="F4:G4"/>
    <mergeCell ref="B4:C4"/>
    <mergeCell ref="F49:G49"/>
    <mergeCell ref="B49:C49"/>
  </mergeCells>
  <phoneticPr fontId="4" type="noConversion"/>
  <printOptions horizontalCentered="1"/>
  <pageMargins left="0.59055118110236227" right="0.19685039370078741" top="0.39370078740157483" bottom="0.19685039370078741" header="0.19685039370078741" footer="0.19685039370078741"/>
  <pageSetup paperSize="9" scale="70" orientation="landscape" horizontalDpi="120" verticalDpi="144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O90"/>
  <sheetViews>
    <sheetView view="pageBreakPreview" zoomScaleNormal="100" zoomScaleSheetLayoutView="100" workbookViewId="0">
      <selection activeCell="J18" sqref="J18"/>
    </sheetView>
  </sheetViews>
  <sheetFormatPr defaultRowHeight="12.75" x14ac:dyDescent="0.2"/>
  <cols>
    <col min="1" max="1" width="12.5703125" style="117" customWidth="1"/>
    <col min="2" max="2" width="32.28515625" style="117" bestFit="1" customWidth="1"/>
    <col min="3" max="3" width="14.140625" style="117" customWidth="1"/>
    <col min="4" max="4" width="13.28515625" style="222" customWidth="1"/>
    <col min="5" max="5" width="13.28515625" style="117" customWidth="1"/>
    <col min="6" max="6" width="27.5703125" style="117" customWidth="1"/>
    <col min="7" max="7" width="12.7109375" style="117" customWidth="1"/>
    <col min="8" max="8" width="13.28515625" style="117" customWidth="1"/>
    <col min="9" max="9" width="12.7109375" style="117" bestFit="1" customWidth="1"/>
    <col min="10" max="10" width="11.7109375" style="117" bestFit="1" customWidth="1"/>
    <col min="11" max="16384" width="9.140625" style="117"/>
  </cols>
  <sheetData>
    <row r="1" spans="1:10" s="222" customFormat="1" ht="18" customHeight="1" x14ac:dyDescent="0.2">
      <c r="A1" s="219" t="s">
        <v>16</v>
      </c>
      <c r="B1" s="220"/>
      <c r="C1" s="220"/>
      <c r="D1" s="220"/>
      <c r="E1" s="220"/>
      <c r="F1" s="220"/>
      <c r="G1" s="220"/>
      <c r="H1" s="221"/>
    </row>
    <row r="2" spans="1:10" s="222" customFormat="1" ht="18" customHeight="1" x14ac:dyDescent="0.2">
      <c r="A2" s="223" t="s">
        <v>17</v>
      </c>
      <c r="B2" s="224"/>
      <c r="C2" s="224"/>
      <c r="D2" s="224"/>
      <c r="E2" s="224"/>
      <c r="F2" s="224"/>
      <c r="G2" s="224"/>
      <c r="H2" s="225"/>
    </row>
    <row r="3" spans="1:10" s="222" customFormat="1" ht="18" customHeight="1" x14ac:dyDescent="0.2">
      <c r="A3" s="226" t="s">
        <v>193</v>
      </c>
      <c r="B3" s="227"/>
      <c r="C3" s="227"/>
      <c r="D3" s="227"/>
      <c r="E3" s="227"/>
      <c r="F3" s="227"/>
      <c r="G3" s="227"/>
      <c r="H3" s="228"/>
    </row>
    <row r="4" spans="1:10" s="222" customFormat="1" ht="18" customHeight="1" thickBot="1" x14ac:dyDescent="0.25">
      <c r="A4" s="229" t="s">
        <v>29</v>
      </c>
      <c r="B4" s="230" t="s">
        <v>0</v>
      </c>
      <c r="C4" s="230"/>
      <c r="D4" s="231" t="s">
        <v>191</v>
      </c>
      <c r="E4" s="232" t="str">
        <f>A4</f>
        <v>MAR-2025</v>
      </c>
      <c r="F4" s="230" t="s">
        <v>1</v>
      </c>
      <c r="G4" s="230"/>
      <c r="H4" s="229" t="str">
        <f>D4</f>
        <v>MAR-2026</v>
      </c>
    </row>
    <row r="5" spans="1:10" s="222" customFormat="1" x14ac:dyDescent="0.2">
      <c r="A5" s="113"/>
      <c r="B5" s="233" t="s">
        <v>47</v>
      </c>
      <c r="C5" s="109"/>
      <c r="D5" s="110"/>
      <c r="E5" s="234"/>
      <c r="F5" s="235" t="s">
        <v>76</v>
      </c>
      <c r="G5" s="236"/>
      <c r="H5" s="237"/>
    </row>
    <row r="6" spans="1:10" s="222" customFormat="1" x14ac:dyDescent="0.2">
      <c r="A6" s="113">
        <v>55000</v>
      </c>
      <c r="B6" s="238" t="s">
        <v>49</v>
      </c>
      <c r="C6" s="109">
        <f>5000*12</f>
        <v>60000</v>
      </c>
      <c r="D6" s="110"/>
      <c r="E6" s="234">
        <v>29952</v>
      </c>
      <c r="F6" s="111" t="s">
        <v>40</v>
      </c>
      <c r="G6" s="109">
        <v>13550</v>
      </c>
      <c r="H6" s="237"/>
    </row>
    <row r="7" spans="1:10" s="222" customFormat="1" x14ac:dyDescent="0.2">
      <c r="A7" s="113">
        <v>101000</v>
      </c>
      <c r="B7" s="238" t="s">
        <v>48</v>
      </c>
      <c r="C7" s="109">
        <f>(10000*7)+(11000*5)</f>
        <v>125000</v>
      </c>
      <c r="D7" s="110"/>
      <c r="E7" s="234">
        <v>571584</v>
      </c>
      <c r="F7" s="111" t="s">
        <v>41</v>
      </c>
      <c r="G7" s="109">
        <v>571584</v>
      </c>
      <c r="H7" s="237"/>
    </row>
    <row r="8" spans="1:10" s="222" customFormat="1" x14ac:dyDescent="0.2">
      <c r="A8" s="113">
        <v>78000</v>
      </c>
      <c r="B8" s="238" t="s">
        <v>50</v>
      </c>
      <c r="C8" s="109">
        <f>(12000*11)+(16000)</f>
        <v>148000</v>
      </c>
      <c r="D8" s="110"/>
      <c r="E8" s="234">
        <v>149952</v>
      </c>
      <c r="F8" s="111" t="s">
        <v>42</v>
      </c>
      <c r="G8" s="109">
        <v>149952</v>
      </c>
      <c r="H8" s="237"/>
      <c r="J8" s="239"/>
    </row>
    <row r="9" spans="1:10" s="222" customFormat="1" x14ac:dyDescent="0.2">
      <c r="A9" s="113">
        <v>0</v>
      </c>
      <c r="B9" s="238" t="s">
        <v>254</v>
      </c>
      <c r="C9" s="109">
        <v>144500</v>
      </c>
      <c r="D9" s="110"/>
      <c r="E9" s="234">
        <v>1730976</v>
      </c>
      <c r="F9" s="111" t="s">
        <v>43</v>
      </c>
      <c r="G9" s="109">
        <v>1730976</v>
      </c>
      <c r="H9" s="237"/>
    </row>
    <row r="10" spans="1:10" s="222" customFormat="1" x14ac:dyDescent="0.2">
      <c r="A10" s="113">
        <v>4000</v>
      </c>
      <c r="B10" s="238" t="s">
        <v>51</v>
      </c>
      <c r="C10" s="112">
        <f>5000+10000+12000+22000+22000+15000+15000+500</f>
        <v>101500</v>
      </c>
      <c r="D10" s="110">
        <f>SUM(C6:C10)</f>
        <v>579000</v>
      </c>
      <c r="E10" s="234">
        <v>73542</v>
      </c>
      <c r="F10" s="111" t="s">
        <v>44</v>
      </c>
      <c r="G10" s="109">
        <v>79704</v>
      </c>
      <c r="H10" s="237"/>
    </row>
    <row r="11" spans="1:10" s="222" customFormat="1" x14ac:dyDescent="0.2">
      <c r="A11" s="113"/>
      <c r="B11" s="238"/>
      <c r="C11" s="109"/>
      <c r="D11" s="110"/>
      <c r="E11" s="234">
        <v>22487</v>
      </c>
      <c r="F11" s="111" t="s">
        <v>45</v>
      </c>
      <c r="G11" s="109">
        <v>62225</v>
      </c>
      <c r="H11" s="237"/>
    </row>
    <row r="12" spans="1:10" s="222" customFormat="1" x14ac:dyDescent="0.2">
      <c r="A12" s="113">
        <v>226871</v>
      </c>
      <c r="B12" s="238" t="s">
        <v>52</v>
      </c>
      <c r="C12" s="109">
        <v>291969</v>
      </c>
      <c r="D12" s="110"/>
      <c r="E12" s="234">
        <v>60000</v>
      </c>
      <c r="F12" s="111" t="s">
        <v>26</v>
      </c>
      <c r="G12" s="109">
        <v>12000</v>
      </c>
      <c r="H12" s="237"/>
      <c r="J12" s="240"/>
    </row>
    <row r="13" spans="1:10" s="222" customFormat="1" x14ac:dyDescent="0.2">
      <c r="A13" s="113">
        <v>-226871</v>
      </c>
      <c r="B13" s="238" t="s">
        <v>167</v>
      </c>
      <c r="C13" s="112">
        <v>0</v>
      </c>
      <c r="D13" s="110">
        <f>SUM(C12:C13)</f>
        <v>291969</v>
      </c>
      <c r="E13" s="234">
        <v>0</v>
      </c>
      <c r="F13" s="111" t="s">
        <v>248</v>
      </c>
      <c r="G13" s="109">
        <v>1000</v>
      </c>
      <c r="H13" s="237"/>
      <c r="J13" s="240"/>
    </row>
    <row r="14" spans="1:10" s="222" customFormat="1" x14ac:dyDescent="0.2">
      <c r="A14" s="113"/>
      <c r="B14" s="238"/>
      <c r="C14" s="109"/>
      <c r="D14" s="110"/>
      <c r="E14" s="234">
        <v>2000</v>
      </c>
      <c r="F14" s="111" t="s">
        <v>46</v>
      </c>
      <c r="G14" s="112">
        <v>0</v>
      </c>
      <c r="H14" s="237">
        <f>SUM(G6:G14)</f>
        <v>2620991</v>
      </c>
      <c r="J14" s="240"/>
    </row>
    <row r="15" spans="1:10" s="222" customFormat="1" x14ac:dyDescent="0.2">
      <c r="A15" s="113">
        <v>357584</v>
      </c>
      <c r="B15" s="238" t="s">
        <v>53</v>
      </c>
      <c r="C15" s="109"/>
      <c r="D15" s="110">
        <v>387509.71</v>
      </c>
      <c r="E15" s="234"/>
      <c r="F15" s="240"/>
      <c r="G15" s="109"/>
      <c r="H15" s="237"/>
      <c r="J15" s="241"/>
    </row>
    <row r="16" spans="1:10" s="222" customFormat="1" x14ac:dyDescent="0.2">
      <c r="A16" s="113"/>
      <c r="B16" s="238"/>
      <c r="C16" s="109"/>
      <c r="D16" s="110"/>
      <c r="E16" s="234"/>
      <c r="F16" s="240"/>
      <c r="G16" s="109"/>
      <c r="H16" s="237"/>
    </row>
    <row r="17" spans="1:15" s="222" customFormat="1" x14ac:dyDescent="0.2">
      <c r="A17" s="113">
        <v>142800</v>
      </c>
      <c r="B17" s="238" t="s">
        <v>176</v>
      </c>
      <c r="C17" s="109"/>
      <c r="D17" s="110">
        <f>+Workings!F23</f>
        <v>142800</v>
      </c>
      <c r="E17" s="234"/>
      <c r="F17" s="235" t="s">
        <v>5</v>
      </c>
      <c r="G17" s="109"/>
      <c r="H17" s="237"/>
    </row>
    <row r="18" spans="1:15" s="222" customFormat="1" x14ac:dyDescent="0.2">
      <c r="A18" s="113"/>
      <c r="B18" s="238" t="s">
        <v>177</v>
      </c>
      <c r="C18" s="109"/>
      <c r="D18" s="110"/>
      <c r="E18" s="234">
        <v>39949</v>
      </c>
      <c r="F18" s="111" t="s">
        <v>108</v>
      </c>
      <c r="G18" s="109">
        <v>29922</v>
      </c>
      <c r="H18" s="237"/>
      <c r="J18" s="239"/>
    </row>
    <row r="19" spans="1:15" s="222" customFormat="1" x14ac:dyDescent="0.2">
      <c r="A19" s="113"/>
      <c r="B19" s="238"/>
      <c r="C19" s="109"/>
      <c r="D19" s="110"/>
      <c r="E19" s="234">
        <v>32784</v>
      </c>
      <c r="F19" s="111" t="s">
        <v>109</v>
      </c>
      <c r="G19" s="109">
        <v>63586</v>
      </c>
      <c r="H19" s="237"/>
    </row>
    <row r="20" spans="1:15" s="222" customFormat="1" x14ac:dyDescent="0.2">
      <c r="A20" s="113"/>
      <c r="B20" s="233" t="s">
        <v>54</v>
      </c>
      <c r="C20" s="109"/>
      <c r="D20" s="110"/>
      <c r="E20" s="234">
        <v>0</v>
      </c>
      <c r="F20" s="111" t="s">
        <v>249</v>
      </c>
      <c r="G20" s="109">
        <v>-14368</v>
      </c>
      <c r="H20" s="237"/>
    </row>
    <row r="21" spans="1:15" s="222" customFormat="1" x14ac:dyDescent="0.2">
      <c r="A21" s="113">
        <v>139404</v>
      </c>
      <c r="B21" s="238" t="s">
        <v>55</v>
      </c>
      <c r="C21" s="109">
        <v>388751</v>
      </c>
      <c r="D21" s="110"/>
      <c r="E21" s="234">
        <v>0</v>
      </c>
      <c r="F21" s="111" t="s">
        <v>250</v>
      </c>
      <c r="G21" s="109">
        <v>-42179</v>
      </c>
      <c r="H21" s="237"/>
    </row>
    <row r="22" spans="1:15" s="222" customFormat="1" x14ac:dyDescent="0.2">
      <c r="A22" s="113">
        <v>-100300</v>
      </c>
      <c r="B22" s="238" t="s">
        <v>167</v>
      </c>
      <c r="C22" s="109">
        <v>0</v>
      </c>
      <c r="D22" s="110"/>
      <c r="E22" s="234">
        <v>0</v>
      </c>
      <c r="F22" s="111" t="s">
        <v>251</v>
      </c>
      <c r="G22" s="109">
        <v>-1128</v>
      </c>
      <c r="H22" s="237"/>
    </row>
    <row r="23" spans="1:15" s="222" customFormat="1" x14ac:dyDescent="0.2">
      <c r="A23" s="113">
        <v>5601</v>
      </c>
      <c r="B23" s="238" t="s">
        <v>56</v>
      </c>
      <c r="C23" s="109">
        <v>22715</v>
      </c>
      <c r="D23" s="110"/>
      <c r="E23" s="234">
        <v>0</v>
      </c>
      <c r="F23" s="111" t="s">
        <v>252</v>
      </c>
      <c r="G23" s="109">
        <v>-3931</v>
      </c>
      <c r="H23" s="237"/>
    </row>
    <row r="24" spans="1:15" s="222" customFormat="1" x14ac:dyDescent="0.2">
      <c r="A24" s="113">
        <v>1365</v>
      </c>
      <c r="B24" s="238" t="s">
        <v>57</v>
      </c>
      <c r="C24" s="109">
        <v>1380</v>
      </c>
      <c r="D24" s="110"/>
      <c r="E24" s="234">
        <v>0</v>
      </c>
      <c r="F24" s="111" t="s">
        <v>253</v>
      </c>
      <c r="G24" s="109">
        <v>-276</v>
      </c>
      <c r="H24" s="237"/>
    </row>
    <row r="25" spans="1:15" s="222" customFormat="1" x14ac:dyDescent="0.2">
      <c r="A25" s="113">
        <v>0</v>
      </c>
      <c r="B25" s="238" t="s">
        <v>256</v>
      </c>
      <c r="C25" s="109">
        <v>46512</v>
      </c>
      <c r="D25" s="110"/>
      <c r="E25" s="234">
        <v>367</v>
      </c>
      <c r="F25" s="111" t="s">
        <v>110</v>
      </c>
      <c r="G25" s="109">
        <v>0</v>
      </c>
      <c r="H25" s="237"/>
      <c r="I25" s="242"/>
    </row>
    <row r="26" spans="1:15" s="222" customFormat="1" x14ac:dyDescent="0.2">
      <c r="A26" s="113">
        <v>0</v>
      </c>
      <c r="B26" s="238" t="s">
        <v>257</v>
      </c>
      <c r="C26" s="109">
        <v>87517</v>
      </c>
      <c r="D26" s="110"/>
      <c r="E26" s="234">
        <v>3.08</v>
      </c>
      <c r="F26" s="111" t="s">
        <v>157</v>
      </c>
      <c r="G26" s="109">
        <v>3001</v>
      </c>
      <c r="H26" s="237"/>
    </row>
    <row r="27" spans="1:15" s="222" customFormat="1" x14ac:dyDescent="0.2">
      <c r="A27" s="113">
        <v>0</v>
      </c>
      <c r="B27" s="238" t="s">
        <v>294</v>
      </c>
      <c r="C27" s="109">
        <v>2000</v>
      </c>
      <c r="D27" s="110"/>
      <c r="E27" s="234">
        <v>0</v>
      </c>
      <c r="F27" s="111" t="s">
        <v>22</v>
      </c>
      <c r="G27" s="112">
        <v>0</v>
      </c>
      <c r="H27" s="237">
        <f>SUM(G18:G27)</f>
        <v>34627</v>
      </c>
    </row>
    <row r="28" spans="1:15" s="222" customFormat="1" x14ac:dyDescent="0.2">
      <c r="A28" s="113">
        <v>44800</v>
      </c>
      <c r="B28" s="238" t="s">
        <v>61</v>
      </c>
      <c r="C28" s="109">
        <v>44800</v>
      </c>
      <c r="D28" s="110"/>
      <c r="E28" s="234"/>
      <c r="F28" s="111"/>
      <c r="G28" s="109"/>
      <c r="H28" s="237"/>
      <c r="L28" s="240"/>
      <c r="M28" s="240"/>
      <c r="N28" s="240"/>
      <c r="O28" s="240"/>
    </row>
    <row r="29" spans="1:15" s="222" customFormat="1" x14ac:dyDescent="0.2">
      <c r="A29" s="113">
        <v>4073</v>
      </c>
      <c r="B29" s="238" t="s">
        <v>58</v>
      </c>
      <c r="C29" s="112">
        <v>17248</v>
      </c>
      <c r="D29" s="110">
        <f>SUM(C21:C29)</f>
        <v>610923</v>
      </c>
      <c r="E29" s="234"/>
      <c r="F29" s="111"/>
      <c r="G29" s="109"/>
      <c r="H29" s="237"/>
    </row>
    <row r="30" spans="1:15" s="222" customFormat="1" x14ac:dyDescent="0.2">
      <c r="A30" s="113"/>
      <c r="B30" s="238"/>
      <c r="C30" s="109"/>
      <c r="D30" s="110"/>
      <c r="E30" s="234"/>
      <c r="F30" s="111"/>
      <c r="G30" s="109"/>
      <c r="H30" s="237"/>
    </row>
    <row r="31" spans="1:15" s="222" customFormat="1" x14ac:dyDescent="0.2">
      <c r="A31" s="113"/>
      <c r="B31" s="233" t="s">
        <v>59</v>
      </c>
      <c r="C31" s="109"/>
      <c r="D31" s="110"/>
      <c r="E31" s="234"/>
      <c r="F31" s="111"/>
      <c r="G31" s="109"/>
      <c r="H31" s="237"/>
    </row>
    <row r="32" spans="1:15" s="222" customFormat="1" x14ac:dyDescent="0.2">
      <c r="A32" s="113">
        <v>38889</v>
      </c>
      <c r="B32" s="238" t="s">
        <v>60</v>
      </c>
      <c r="C32" s="109">
        <f>2500+900+1000+7100+3000</f>
        <v>14500</v>
      </c>
      <c r="D32" s="110"/>
      <c r="E32" s="234"/>
      <c r="F32" s="111"/>
      <c r="G32" s="109"/>
      <c r="H32" s="237"/>
      <c r="K32" s="241"/>
    </row>
    <row r="33" spans="1:11" s="222" customFormat="1" x14ac:dyDescent="0.2">
      <c r="A33" s="113">
        <v>0</v>
      </c>
      <c r="B33" s="238" t="s">
        <v>255</v>
      </c>
      <c r="C33" s="109">
        <v>12500</v>
      </c>
      <c r="D33" s="110"/>
      <c r="E33" s="234"/>
      <c r="F33" s="111"/>
      <c r="G33" s="109"/>
      <c r="H33" s="237"/>
      <c r="K33" s="241"/>
    </row>
    <row r="34" spans="1:11" s="222" customFormat="1" x14ac:dyDescent="0.2">
      <c r="A34" s="113">
        <v>31050</v>
      </c>
      <c r="B34" s="238" t="s">
        <v>80</v>
      </c>
      <c r="C34" s="109">
        <v>0</v>
      </c>
      <c r="D34" s="110"/>
      <c r="E34" s="234"/>
      <c r="F34" s="111"/>
      <c r="G34" s="109"/>
      <c r="H34" s="237"/>
      <c r="K34" s="241"/>
    </row>
    <row r="35" spans="1:11" s="222" customFormat="1" x14ac:dyDescent="0.2">
      <c r="A35" s="113">
        <v>10443</v>
      </c>
      <c r="B35" s="238" t="s">
        <v>81</v>
      </c>
      <c r="C35" s="109">
        <v>42966</v>
      </c>
      <c r="D35" s="110"/>
      <c r="E35" s="234"/>
      <c r="F35" s="111"/>
      <c r="G35" s="109"/>
      <c r="H35" s="237"/>
      <c r="I35" s="243"/>
      <c r="K35" s="241"/>
    </row>
    <row r="36" spans="1:11" s="222" customFormat="1" x14ac:dyDescent="0.2">
      <c r="A36" s="113">
        <v>23966</v>
      </c>
      <c r="B36" s="238" t="s">
        <v>82</v>
      </c>
      <c r="C36" s="109">
        <f>42020+8000</f>
        <v>50020</v>
      </c>
      <c r="D36" s="110"/>
      <c r="E36" s="234"/>
      <c r="F36" s="111"/>
      <c r="G36" s="109"/>
      <c r="H36" s="237"/>
      <c r="I36" s="117"/>
      <c r="J36" s="117"/>
    </row>
    <row r="37" spans="1:11" s="222" customFormat="1" x14ac:dyDescent="0.2">
      <c r="A37" s="113"/>
      <c r="B37" s="238" t="s">
        <v>259</v>
      </c>
      <c r="C37" s="109">
        <v>4400</v>
      </c>
      <c r="D37" s="110"/>
      <c r="E37" s="234"/>
      <c r="F37" s="111"/>
      <c r="G37" s="109"/>
      <c r="H37" s="237"/>
      <c r="I37" s="117"/>
      <c r="J37" s="117"/>
    </row>
    <row r="38" spans="1:11" s="222" customFormat="1" x14ac:dyDescent="0.2">
      <c r="A38" s="113">
        <v>0</v>
      </c>
      <c r="B38" s="238" t="s">
        <v>256</v>
      </c>
      <c r="C38" s="112">
        <v>7080</v>
      </c>
      <c r="D38" s="110">
        <f>SUM(C32:C38)</f>
        <v>131466</v>
      </c>
      <c r="E38" s="234"/>
      <c r="F38" s="111"/>
      <c r="G38" s="109"/>
      <c r="H38" s="237"/>
      <c r="I38" s="117"/>
      <c r="J38" s="117"/>
    </row>
    <row r="39" spans="1:11" s="222" customFormat="1" x14ac:dyDescent="0.2">
      <c r="A39" s="113"/>
      <c r="B39" s="238"/>
      <c r="C39" s="109"/>
      <c r="D39" s="110"/>
      <c r="E39" s="234"/>
      <c r="F39" s="111"/>
      <c r="G39" s="109"/>
      <c r="H39" s="237"/>
      <c r="I39" s="117"/>
      <c r="J39" s="117"/>
    </row>
    <row r="40" spans="1:11" s="222" customFormat="1" x14ac:dyDescent="0.2">
      <c r="A40" s="113"/>
      <c r="B40" s="233" t="s">
        <v>65</v>
      </c>
      <c r="C40" s="109"/>
      <c r="D40" s="110"/>
      <c r="E40" s="234"/>
      <c r="F40" s="111"/>
      <c r="G40" s="109"/>
      <c r="H40" s="237"/>
      <c r="I40" s="117"/>
      <c r="J40" s="117"/>
    </row>
    <row r="41" spans="1:11" s="222" customFormat="1" x14ac:dyDescent="0.2">
      <c r="A41" s="113">
        <v>53790</v>
      </c>
      <c r="B41" s="238" t="s">
        <v>62</v>
      </c>
      <c r="C41" s="109">
        <v>63720</v>
      </c>
      <c r="D41" s="110"/>
      <c r="E41" s="234"/>
      <c r="F41" s="111"/>
      <c r="G41" s="109"/>
      <c r="H41" s="237"/>
      <c r="I41" s="117"/>
      <c r="J41" s="117"/>
    </row>
    <row r="42" spans="1:11" s="222" customFormat="1" x14ac:dyDescent="0.2">
      <c r="A42" s="113">
        <v>753445</v>
      </c>
      <c r="B42" s="238" t="s">
        <v>63</v>
      </c>
      <c r="C42" s="109">
        <v>860258</v>
      </c>
      <c r="D42" s="110"/>
      <c r="E42" s="234"/>
      <c r="F42" s="111"/>
      <c r="G42" s="109"/>
      <c r="H42" s="237"/>
      <c r="I42" s="117"/>
      <c r="J42" s="117"/>
    </row>
    <row r="43" spans="1:11" s="222" customFormat="1" x14ac:dyDescent="0.2">
      <c r="A43" s="113">
        <v>64446</v>
      </c>
      <c r="B43" s="238" t="s">
        <v>64</v>
      </c>
      <c r="C43" s="109">
        <v>0</v>
      </c>
      <c r="D43" s="110"/>
      <c r="E43" s="234"/>
      <c r="F43" s="111"/>
      <c r="G43" s="109"/>
      <c r="H43" s="237"/>
      <c r="I43" s="117"/>
      <c r="J43" s="117"/>
    </row>
    <row r="44" spans="1:11" x14ac:dyDescent="0.2">
      <c r="A44" s="113">
        <v>9810</v>
      </c>
      <c r="B44" s="238" t="s">
        <v>68</v>
      </c>
      <c r="C44" s="109">
        <f>133000-125000</f>
        <v>8000</v>
      </c>
      <c r="D44" s="110"/>
      <c r="E44" s="234"/>
      <c r="F44" s="111"/>
      <c r="G44" s="109"/>
      <c r="H44" s="237"/>
    </row>
    <row r="45" spans="1:11" x14ac:dyDescent="0.2">
      <c r="A45" s="113">
        <v>12000</v>
      </c>
      <c r="B45" s="238" t="s">
        <v>178</v>
      </c>
      <c r="C45" s="112">
        <v>0</v>
      </c>
      <c r="D45" s="110">
        <f>SUM(C41:C45)</f>
        <v>931978</v>
      </c>
      <c r="E45" s="234"/>
      <c r="F45" s="111"/>
      <c r="G45" s="109"/>
      <c r="H45" s="237"/>
      <c r="I45" s="222"/>
      <c r="J45" s="222"/>
    </row>
    <row r="46" spans="1:11" x14ac:dyDescent="0.2">
      <c r="A46" s="113"/>
      <c r="B46" s="238"/>
      <c r="C46" s="109"/>
      <c r="D46" s="110"/>
      <c r="E46" s="234"/>
      <c r="F46" s="111"/>
      <c r="G46" s="109"/>
      <c r="H46" s="237"/>
      <c r="I46" s="222"/>
      <c r="J46" s="222"/>
    </row>
    <row r="47" spans="1:11" x14ac:dyDescent="0.2">
      <c r="A47" s="113"/>
      <c r="B47" s="233" t="s">
        <v>66</v>
      </c>
      <c r="C47" s="109"/>
      <c r="D47" s="110"/>
      <c r="E47" s="234"/>
      <c r="F47" s="111"/>
      <c r="G47" s="109"/>
      <c r="H47" s="237"/>
      <c r="I47" s="222"/>
      <c r="J47" s="222"/>
    </row>
    <row r="48" spans="1:11" x14ac:dyDescent="0.2">
      <c r="A48" s="113">
        <v>8728</v>
      </c>
      <c r="B48" s="238" t="s">
        <v>67</v>
      </c>
      <c r="C48" s="109">
        <v>12500</v>
      </c>
      <c r="D48" s="110"/>
      <c r="E48" s="234"/>
      <c r="F48" s="111"/>
      <c r="G48" s="109"/>
      <c r="H48" s="237"/>
      <c r="I48" s="222"/>
      <c r="J48" s="222"/>
    </row>
    <row r="49" spans="1:10" x14ac:dyDescent="0.2">
      <c r="A49" s="113">
        <v>9500</v>
      </c>
      <c r="B49" s="238" t="s">
        <v>159</v>
      </c>
      <c r="C49" s="109">
        <v>7240</v>
      </c>
      <c r="D49" s="110"/>
      <c r="E49" s="234"/>
      <c r="F49" s="111"/>
      <c r="G49" s="109"/>
      <c r="H49" s="237"/>
      <c r="I49" s="222"/>
      <c r="J49" s="222"/>
    </row>
    <row r="50" spans="1:10" x14ac:dyDescent="0.2">
      <c r="A50" s="113">
        <v>2453</v>
      </c>
      <c r="B50" s="238" t="s">
        <v>2</v>
      </c>
      <c r="C50" s="109">
        <v>3293</v>
      </c>
      <c r="D50" s="110"/>
      <c r="E50" s="234"/>
      <c r="F50" s="111"/>
      <c r="G50" s="109"/>
      <c r="H50" s="237"/>
    </row>
    <row r="51" spans="1:10" x14ac:dyDescent="0.2">
      <c r="A51" s="113">
        <v>21000</v>
      </c>
      <c r="B51" s="238" t="s">
        <v>74</v>
      </c>
      <c r="C51" s="109">
        <v>0</v>
      </c>
      <c r="D51" s="110"/>
      <c r="E51" s="234"/>
      <c r="F51" s="240"/>
      <c r="G51" s="109"/>
      <c r="H51" s="237"/>
    </row>
    <row r="52" spans="1:10" x14ac:dyDescent="0.2">
      <c r="A52" s="113">
        <v>5000</v>
      </c>
      <c r="B52" s="238" t="s">
        <v>75</v>
      </c>
      <c r="C52" s="109">
        <v>0</v>
      </c>
      <c r="D52" s="110"/>
      <c r="E52" s="234"/>
      <c r="F52" s="240"/>
      <c r="G52" s="237"/>
      <c r="H52" s="237"/>
    </row>
    <row r="53" spans="1:10" x14ac:dyDescent="0.2">
      <c r="A53" s="113">
        <v>620.17999999999995</v>
      </c>
      <c r="B53" s="238" t="s">
        <v>19</v>
      </c>
      <c r="C53" s="109">
        <v>1633.03</v>
      </c>
      <c r="D53" s="110"/>
      <c r="E53" s="234"/>
      <c r="F53" s="240"/>
      <c r="G53" s="237"/>
      <c r="H53" s="237"/>
    </row>
    <row r="54" spans="1:10" x14ac:dyDescent="0.2">
      <c r="A54" s="113">
        <v>620</v>
      </c>
      <c r="B54" s="238" t="s">
        <v>71</v>
      </c>
      <c r="C54" s="109">
        <v>0</v>
      </c>
      <c r="D54" s="110"/>
      <c r="E54" s="234"/>
      <c r="F54" s="240"/>
      <c r="G54" s="237"/>
      <c r="H54" s="237"/>
    </row>
    <row r="55" spans="1:10" x14ac:dyDescent="0.2">
      <c r="A55" s="113">
        <v>15557</v>
      </c>
      <c r="B55" s="238" t="s">
        <v>4</v>
      </c>
      <c r="C55" s="109">
        <v>5278</v>
      </c>
      <c r="D55" s="110"/>
      <c r="E55" s="234"/>
      <c r="F55" s="240"/>
      <c r="G55" s="237"/>
      <c r="H55" s="237"/>
    </row>
    <row r="56" spans="1:10" x14ac:dyDescent="0.2">
      <c r="A56" s="113">
        <v>3422</v>
      </c>
      <c r="B56" s="238" t="s">
        <v>169</v>
      </c>
      <c r="C56" s="109">
        <v>3778</v>
      </c>
      <c r="D56" s="110"/>
      <c r="E56" s="234"/>
      <c r="F56" s="240"/>
      <c r="G56" s="237"/>
      <c r="H56" s="237"/>
    </row>
    <row r="57" spans="1:10" x14ac:dyDescent="0.2">
      <c r="A57" s="113">
        <v>3000</v>
      </c>
      <c r="B57" s="238" t="s">
        <v>23</v>
      </c>
      <c r="C57" s="109">
        <v>0</v>
      </c>
      <c r="D57" s="110"/>
      <c r="E57" s="234"/>
      <c r="F57" s="240"/>
      <c r="G57" s="237"/>
      <c r="H57" s="237"/>
    </row>
    <row r="58" spans="1:10" x14ac:dyDescent="0.2">
      <c r="A58" s="113">
        <v>8150</v>
      </c>
      <c r="B58" s="238" t="s">
        <v>3</v>
      </c>
      <c r="C58" s="109">
        <v>5700</v>
      </c>
      <c r="D58" s="110"/>
      <c r="E58" s="234"/>
      <c r="F58" s="240"/>
      <c r="G58" s="237"/>
      <c r="H58" s="237"/>
    </row>
    <row r="59" spans="1:10" x14ac:dyDescent="0.2">
      <c r="A59" s="113">
        <v>3318</v>
      </c>
      <c r="B59" s="238" t="s">
        <v>72</v>
      </c>
      <c r="C59" s="109">
        <v>0</v>
      </c>
      <c r="D59" s="110"/>
      <c r="E59" s="234"/>
      <c r="F59" s="240"/>
      <c r="G59" s="237"/>
      <c r="H59" s="237"/>
    </row>
    <row r="60" spans="1:10" x14ac:dyDescent="0.2">
      <c r="A60" s="113">
        <v>8000</v>
      </c>
      <c r="B60" s="238" t="s">
        <v>69</v>
      </c>
      <c r="C60" s="109">
        <v>0</v>
      </c>
      <c r="D60" s="110"/>
      <c r="E60" s="234"/>
      <c r="F60" s="244"/>
      <c r="G60" s="237"/>
      <c r="H60" s="237"/>
      <c r="I60" s="153"/>
    </row>
    <row r="61" spans="1:10" x14ac:dyDescent="0.2">
      <c r="A61" s="113">
        <v>11665</v>
      </c>
      <c r="B61" s="238" t="s">
        <v>70</v>
      </c>
      <c r="C61" s="109">
        <v>5158</v>
      </c>
      <c r="D61" s="110"/>
      <c r="E61" s="234"/>
      <c r="F61" s="240"/>
      <c r="G61" s="237"/>
      <c r="H61" s="237"/>
    </row>
    <row r="62" spans="1:10" x14ac:dyDescent="0.2">
      <c r="A62" s="113">
        <v>4360</v>
      </c>
      <c r="B62" s="238" t="s">
        <v>73</v>
      </c>
      <c r="C62" s="109">
        <v>6666</v>
      </c>
      <c r="D62" s="110"/>
      <c r="E62" s="234"/>
      <c r="F62" s="240"/>
      <c r="G62" s="237"/>
      <c r="H62" s="237"/>
    </row>
    <row r="63" spans="1:10" x14ac:dyDescent="0.2">
      <c r="A63" s="113">
        <v>64151</v>
      </c>
      <c r="B63" s="238" t="s">
        <v>83</v>
      </c>
      <c r="C63" s="109">
        <v>62100</v>
      </c>
      <c r="D63" s="110"/>
      <c r="E63" s="234"/>
      <c r="F63" s="240"/>
      <c r="G63" s="237"/>
      <c r="H63" s="237"/>
    </row>
    <row r="64" spans="1:10" x14ac:dyDescent="0.2">
      <c r="A64" s="113">
        <v>26031</v>
      </c>
      <c r="B64" s="238" t="s">
        <v>107</v>
      </c>
      <c r="C64" s="112">
        <f>'FA Sch-II'!G16</f>
        <v>38699</v>
      </c>
      <c r="D64" s="110">
        <f>SUM(C48:C64)</f>
        <v>152045.03</v>
      </c>
      <c r="E64" s="234"/>
      <c r="F64" s="240"/>
      <c r="G64" s="237"/>
      <c r="H64" s="237"/>
    </row>
    <row r="65" spans="1:10" x14ac:dyDescent="0.2">
      <c r="A65" s="113"/>
      <c r="B65" s="244"/>
      <c r="C65" s="109"/>
      <c r="D65" s="110"/>
      <c r="E65" s="234"/>
      <c r="F65" s="240"/>
      <c r="G65" s="237"/>
      <c r="H65" s="237"/>
    </row>
    <row r="66" spans="1:10" x14ac:dyDescent="0.2">
      <c r="A66" s="113">
        <v>515140.9</v>
      </c>
      <c r="B66" s="244" t="s">
        <v>20</v>
      </c>
      <c r="C66" s="109">
        <v>0</v>
      </c>
      <c r="D66" s="110"/>
      <c r="E66" s="234">
        <v>0</v>
      </c>
      <c r="F66" s="244" t="s">
        <v>258</v>
      </c>
      <c r="G66" s="237"/>
      <c r="H66" s="237">
        <f>D69-SUM(H5:H65)</f>
        <v>572072.73999999976</v>
      </c>
    </row>
    <row r="67" spans="1:10" x14ac:dyDescent="0.2">
      <c r="A67" s="113">
        <v>171714</v>
      </c>
      <c r="B67" s="244" t="s">
        <v>77</v>
      </c>
      <c r="C67" s="112">
        <v>0</v>
      </c>
      <c r="D67" s="110">
        <v>0</v>
      </c>
      <c r="E67" s="234"/>
      <c r="F67" s="240"/>
      <c r="G67" s="237"/>
      <c r="H67" s="237"/>
      <c r="I67" s="153"/>
      <c r="J67" s="153"/>
    </row>
    <row r="68" spans="1:10" x14ac:dyDescent="0.2">
      <c r="A68" s="113"/>
      <c r="B68" s="244"/>
      <c r="C68" s="109"/>
      <c r="D68" s="116"/>
      <c r="E68" s="245"/>
      <c r="F68" s="240"/>
      <c r="G68" s="246"/>
      <c r="H68" s="237"/>
      <c r="J68" s="153"/>
    </row>
    <row r="69" spans="1:10" ht="13.5" thickBot="1" x14ac:dyDescent="0.25">
      <c r="A69" s="247">
        <f>SUM(A5:A68)</f>
        <v>2713596.08</v>
      </c>
      <c r="B69" s="248" t="s">
        <v>6</v>
      </c>
      <c r="C69" s="248"/>
      <c r="D69" s="247">
        <f>SUM(D5:D68)</f>
        <v>3227690.7399999998</v>
      </c>
      <c r="E69" s="247">
        <f>SUM(E5:E68)</f>
        <v>2713596.08</v>
      </c>
      <c r="F69" s="248" t="s">
        <v>6</v>
      </c>
      <c r="G69" s="248"/>
      <c r="H69" s="247">
        <f>SUM(H5:H68)</f>
        <v>3227690.7399999998</v>
      </c>
      <c r="I69" s="153">
        <f>A69-E69</f>
        <v>0</v>
      </c>
      <c r="J69" s="153">
        <f>D69-H69</f>
        <v>0</v>
      </c>
    </row>
    <row r="70" spans="1:10" s="250" customFormat="1" ht="15" customHeight="1" x14ac:dyDescent="0.2">
      <c r="A70" s="81"/>
      <c r="B70" s="249"/>
      <c r="C70" s="83"/>
      <c r="D70" s="84"/>
      <c r="E70" s="83"/>
      <c r="F70" s="249"/>
      <c r="G70" s="83"/>
      <c r="H70" s="85"/>
    </row>
    <row r="71" spans="1:10" s="250" customFormat="1" ht="15" customHeight="1" x14ac:dyDescent="0.2">
      <c r="A71" s="251" t="s">
        <v>311</v>
      </c>
      <c r="B71" s="249"/>
      <c r="C71" s="249"/>
      <c r="D71" s="84"/>
      <c r="E71" s="83"/>
      <c r="F71" s="249"/>
      <c r="G71" s="83"/>
      <c r="H71" s="85"/>
      <c r="I71" s="250">
        <f>A69-E69</f>
        <v>0</v>
      </c>
    </row>
    <row r="72" spans="1:10" s="255" customFormat="1" ht="15" customHeight="1" x14ac:dyDescent="0.2">
      <c r="A72" s="252"/>
      <c r="B72" s="249"/>
      <c r="C72" s="249"/>
      <c r="D72" s="88"/>
      <c r="E72" s="89"/>
      <c r="F72" s="253" t="s">
        <v>18</v>
      </c>
      <c r="G72" s="253"/>
      <c r="H72" s="254"/>
    </row>
    <row r="73" spans="1:10" s="255" customFormat="1" ht="15" customHeight="1" x14ac:dyDescent="0.2">
      <c r="A73" s="81"/>
      <c r="B73" s="249"/>
      <c r="C73" s="249"/>
      <c r="D73" s="88"/>
      <c r="E73" s="89"/>
      <c r="F73" s="256"/>
      <c r="G73" s="89"/>
      <c r="H73" s="93"/>
      <c r="I73" s="257"/>
      <c r="J73" s="257"/>
    </row>
    <row r="74" spans="1:10" s="255" customFormat="1" ht="15" customHeight="1" x14ac:dyDescent="0.2">
      <c r="A74" s="252"/>
      <c r="B74" s="249"/>
      <c r="C74" s="249"/>
      <c r="D74" s="88"/>
      <c r="E74" s="89"/>
      <c r="F74" s="256"/>
      <c r="G74" s="89"/>
      <c r="H74" s="93"/>
      <c r="I74" s="257">
        <f>A69-E69</f>
        <v>0</v>
      </c>
      <c r="J74" s="257">
        <f>D69-H69</f>
        <v>0</v>
      </c>
    </row>
    <row r="75" spans="1:10" s="255" customFormat="1" ht="15" customHeight="1" x14ac:dyDescent="0.2">
      <c r="A75" s="252"/>
      <c r="B75" s="249"/>
      <c r="C75" s="249"/>
      <c r="D75" s="88"/>
      <c r="E75" s="89"/>
      <c r="F75" s="256"/>
      <c r="G75" s="89"/>
      <c r="H75" s="93"/>
    </row>
    <row r="76" spans="1:10" s="255" customFormat="1" ht="15" customHeight="1" x14ac:dyDescent="0.2">
      <c r="A76" s="258" t="s">
        <v>312</v>
      </c>
      <c r="B76" s="259"/>
      <c r="C76" s="260"/>
      <c r="D76" s="88"/>
      <c r="E76" s="89"/>
      <c r="F76" s="256"/>
      <c r="G76" s="89"/>
      <c r="H76" s="93"/>
    </row>
    <row r="77" spans="1:10" s="255" customFormat="1" ht="15" customHeight="1" x14ac:dyDescent="0.2">
      <c r="A77" s="261" t="s">
        <v>313</v>
      </c>
      <c r="B77" s="259"/>
      <c r="C77" s="260"/>
      <c r="D77" s="88"/>
      <c r="E77" s="89"/>
      <c r="F77" s="262" t="s">
        <v>314</v>
      </c>
      <c r="G77" s="262"/>
      <c r="H77" s="263"/>
      <c r="I77" s="264"/>
      <c r="J77" s="264"/>
    </row>
    <row r="78" spans="1:10" s="264" customFormat="1" ht="15" customHeight="1" x14ac:dyDescent="0.2">
      <c r="A78" s="261" t="s">
        <v>315</v>
      </c>
      <c r="B78" s="259"/>
      <c r="C78" s="260"/>
      <c r="D78" s="88"/>
      <c r="E78" s="89"/>
      <c r="F78" s="256"/>
      <c r="G78" s="256"/>
      <c r="H78" s="265"/>
    </row>
    <row r="79" spans="1:10" s="264" customFormat="1" ht="15" customHeight="1" x14ac:dyDescent="0.2">
      <c r="A79" s="266">
        <v>46159</v>
      </c>
      <c r="B79" s="267"/>
      <c r="C79" s="267"/>
      <c r="D79" s="97"/>
      <c r="E79" s="98"/>
      <c r="F79" s="268"/>
      <c r="G79" s="98"/>
      <c r="H79" s="100"/>
    </row>
    <row r="80" spans="1:10" ht="15" x14ac:dyDescent="0.2">
      <c r="A80" s="269"/>
      <c r="B80" s="270"/>
      <c r="C80" s="271"/>
      <c r="D80" s="240"/>
    </row>
    <row r="81" spans="1:8" x14ac:dyDescent="0.2">
      <c r="A81" s="222"/>
      <c r="B81" s="222"/>
      <c r="C81" s="222"/>
    </row>
    <row r="82" spans="1:8" x14ac:dyDescent="0.2">
      <c r="A82" s="222"/>
      <c r="B82" s="222"/>
      <c r="C82" s="222"/>
    </row>
    <row r="83" spans="1:8" x14ac:dyDescent="0.2">
      <c r="A83" s="222"/>
      <c r="B83" s="222"/>
      <c r="C83" s="222"/>
    </row>
    <row r="84" spans="1:8" x14ac:dyDescent="0.2">
      <c r="A84" s="222"/>
      <c r="B84" s="222"/>
      <c r="C84" s="222"/>
    </row>
    <row r="85" spans="1:8" x14ac:dyDescent="0.2">
      <c r="A85" s="222"/>
      <c r="B85" s="222"/>
      <c r="C85" s="222"/>
    </row>
    <row r="86" spans="1:8" x14ac:dyDescent="0.2">
      <c r="A86" s="222"/>
      <c r="B86" s="222"/>
      <c r="C86" s="222"/>
      <c r="H86" s="222"/>
    </row>
    <row r="87" spans="1:8" x14ac:dyDescent="0.2">
      <c r="A87" s="222"/>
      <c r="B87" s="222"/>
      <c r="C87" s="222"/>
      <c r="E87" s="222"/>
      <c r="F87" s="222"/>
      <c r="G87" s="222"/>
      <c r="H87" s="222"/>
    </row>
    <row r="88" spans="1:8" x14ac:dyDescent="0.2">
      <c r="A88" s="222"/>
      <c r="B88" s="222"/>
      <c r="C88" s="222"/>
      <c r="E88" s="222"/>
      <c r="F88" s="222"/>
      <c r="G88" s="222"/>
      <c r="H88" s="222"/>
    </row>
    <row r="89" spans="1:8" x14ac:dyDescent="0.2">
      <c r="E89" s="222"/>
      <c r="F89" s="222"/>
      <c r="G89" s="222"/>
      <c r="H89" s="222"/>
    </row>
    <row r="90" spans="1:8" x14ac:dyDescent="0.2">
      <c r="E90" s="222"/>
      <c r="F90" s="222"/>
      <c r="G90" s="222"/>
    </row>
  </sheetData>
  <mergeCells count="10">
    <mergeCell ref="A1:H1"/>
    <mergeCell ref="A2:H2"/>
    <mergeCell ref="A3:H3"/>
    <mergeCell ref="B4:C4"/>
    <mergeCell ref="F4:G4"/>
    <mergeCell ref="F69:G69"/>
    <mergeCell ref="B69:C69"/>
    <mergeCell ref="F72:H72"/>
    <mergeCell ref="F77:H77"/>
    <mergeCell ref="A79:C79"/>
  </mergeCells>
  <phoneticPr fontId="4" type="noConversion"/>
  <printOptions horizontalCentered="1"/>
  <pageMargins left="0.39370078740157483" right="0.19685039370078741" top="0.59055118110236227" bottom="0.19685039370078741" header="0.19685039370078741" footer="0.19685039370078741"/>
  <pageSetup paperSize="9" scale="71" orientation="portrait" horizontalDpi="120" verticalDpi="144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37"/>
  <sheetViews>
    <sheetView view="pageBreakPreview" zoomScaleNormal="100" zoomScaleSheetLayoutView="100" workbookViewId="0">
      <selection activeCell="M10" sqref="M10"/>
    </sheetView>
  </sheetViews>
  <sheetFormatPr defaultColWidth="8.85546875" defaultRowHeight="12.75" x14ac:dyDescent="0.2"/>
  <cols>
    <col min="1" max="1" width="6.28515625" style="122" bestFit="1" customWidth="1"/>
    <col min="2" max="2" width="19.5703125" style="117" bestFit="1" customWidth="1"/>
    <col min="3" max="3" width="10.28515625" style="117" bestFit="1" customWidth="1"/>
    <col min="4" max="4" width="13.28515625" style="162" bestFit="1" customWidth="1"/>
    <col min="5" max="5" width="12.140625" style="162" customWidth="1"/>
    <col min="6" max="6" width="13.28515625" style="117" bestFit="1" customWidth="1"/>
    <col min="7" max="7" width="10.140625" style="117" bestFit="1" customWidth="1"/>
    <col min="8" max="8" width="12.85546875" style="117" customWidth="1"/>
    <col min="9" max="9" width="7.7109375" style="125" bestFit="1" customWidth="1"/>
    <col min="10" max="10" width="7.7109375" style="117" bestFit="1" customWidth="1"/>
    <col min="11" max="11" width="3" style="117" customWidth="1"/>
    <col min="12" max="12" width="12.7109375" style="117" bestFit="1" customWidth="1"/>
    <col min="13" max="13" width="12.42578125" style="117" bestFit="1" customWidth="1"/>
    <col min="14" max="15" width="11" style="117" bestFit="1" customWidth="1"/>
    <col min="16" max="17" width="12.42578125" style="117" bestFit="1" customWidth="1"/>
    <col min="18" max="16384" width="8.85546875" style="117"/>
  </cols>
  <sheetData>
    <row r="1" spans="1:16" ht="18.75" x14ac:dyDescent="0.2">
      <c r="A1" s="203" t="s">
        <v>16</v>
      </c>
      <c r="B1" s="203"/>
      <c r="C1" s="203"/>
      <c r="D1" s="203"/>
      <c r="E1" s="203"/>
      <c r="F1" s="203"/>
      <c r="G1" s="203"/>
      <c r="H1" s="203"/>
      <c r="I1" s="203"/>
      <c r="J1" s="203"/>
    </row>
    <row r="2" spans="1:16" ht="18.75" x14ac:dyDescent="0.2">
      <c r="A2" s="118"/>
      <c r="B2" s="118"/>
      <c r="C2" s="118"/>
      <c r="D2" s="118"/>
      <c r="E2" s="118"/>
      <c r="F2" s="118"/>
      <c r="G2" s="118"/>
      <c r="H2" s="118"/>
      <c r="I2" s="118"/>
      <c r="J2" s="118"/>
    </row>
    <row r="3" spans="1:16" ht="15.75" x14ac:dyDescent="0.2">
      <c r="A3" s="204" t="s">
        <v>223</v>
      </c>
      <c r="B3" s="204"/>
      <c r="C3" s="204"/>
      <c r="D3" s="204"/>
      <c r="E3" s="204"/>
      <c r="F3" s="204"/>
      <c r="G3" s="204"/>
      <c r="H3" s="204"/>
      <c r="I3" s="204"/>
      <c r="J3" s="204"/>
    </row>
    <row r="4" spans="1:16" ht="15" x14ac:dyDescent="0.2">
      <c r="A4" s="119"/>
      <c r="B4" s="119"/>
      <c r="C4" s="119"/>
      <c r="D4" s="119"/>
      <c r="E4" s="119"/>
      <c r="F4" s="119"/>
      <c r="G4" s="119"/>
      <c r="H4" s="119"/>
      <c r="I4" s="119"/>
      <c r="J4" s="119"/>
    </row>
    <row r="5" spans="1:16" ht="30.75" thickBot="1" x14ac:dyDescent="0.25">
      <c r="A5" s="35" t="s">
        <v>212</v>
      </c>
      <c r="B5" s="36" t="s">
        <v>213</v>
      </c>
      <c r="C5" s="37" t="s">
        <v>96</v>
      </c>
      <c r="D5" s="38" t="s">
        <v>214</v>
      </c>
      <c r="E5" s="38" t="s">
        <v>230</v>
      </c>
      <c r="F5" s="37" t="s">
        <v>88</v>
      </c>
      <c r="G5" s="39" t="s">
        <v>215</v>
      </c>
      <c r="H5" s="37" t="s">
        <v>216</v>
      </c>
      <c r="I5" s="37" t="s">
        <v>217</v>
      </c>
      <c r="J5" s="40" t="s">
        <v>218</v>
      </c>
    </row>
    <row r="6" spans="1:16" ht="15.75" thickTop="1" x14ac:dyDescent="0.2">
      <c r="A6" s="120"/>
      <c r="B6" s="121" t="s">
        <v>224</v>
      </c>
      <c r="C6" s="122"/>
      <c r="D6" s="123"/>
      <c r="E6" s="123"/>
      <c r="G6" s="124"/>
      <c r="J6" s="126"/>
    </row>
    <row r="7" spans="1:16" ht="15" x14ac:dyDescent="0.2">
      <c r="A7" s="127">
        <v>1</v>
      </c>
      <c r="B7" s="128" t="s">
        <v>229</v>
      </c>
      <c r="C7" s="129" t="s">
        <v>226</v>
      </c>
      <c r="D7" s="130">
        <v>55000</v>
      </c>
      <c r="E7" s="130">
        <f>3605-360</f>
        <v>3245</v>
      </c>
      <c r="F7" s="130">
        <f>SUM(D7:E7)</f>
        <v>58245</v>
      </c>
      <c r="G7" s="131" t="s">
        <v>228</v>
      </c>
      <c r="H7" s="130">
        <v>63562</v>
      </c>
      <c r="I7" s="132">
        <v>7.2999999999999995E-2</v>
      </c>
      <c r="J7" s="133" t="s">
        <v>227</v>
      </c>
      <c r="L7" s="134"/>
      <c r="M7" s="135"/>
    </row>
    <row r="8" spans="1:16" ht="15" x14ac:dyDescent="0.2">
      <c r="A8" s="127">
        <v>2</v>
      </c>
      <c r="B8" s="128" t="s">
        <v>235</v>
      </c>
      <c r="C8" s="129" t="s">
        <v>236</v>
      </c>
      <c r="D8" s="130">
        <v>223214</v>
      </c>
      <c r="E8" s="130">
        <f>326-33</f>
        <v>293</v>
      </c>
      <c r="F8" s="130">
        <f>SUM(D8:E8)</f>
        <v>223507</v>
      </c>
      <c r="G8" s="131" t="s">
        <v>241</v>
      </c>
      <c r="H8" s="130">
        <v>244201</v>
      </c>
      <c r="I8" s="132">
        <v>6.8000000000000005E-2</v>
      </c>
      <c r="J8" s="133" t="s">
        <v>227</v>
      </c>
      <c r="L8" s="134"/>
      <c r="M8" s="135"/>
    </row>
    <row r="9" spans="1:16" ht="15.75" thickBot="1" x14ac:dyDescent="0.25">
      <c r="A9" s="136"/>
      <c r="B9" s="137"/>
      <c r="C9" s="138"/>
      <c r="D9" s="139">
        <f>SUM(D7:D8)</f>
        <v>278214</v>
      </c>
      <c r="E9" s="139">
        <f t="shared" ref="E9:H9" si="0">SUM(E7:E8)</f>
        <v>3538</v>
      </c>
      <c r="F9" s="139">
        <f t="shared" si="0"/>
        <v>281752</v>
      </c>
      <c r="G9" s="140"/>
      <c r="H9" s="139">
        <f t="shared" si="0"/>
        <v>307763</v>
      </c>
      <c r="I9" s="141"/>
      <c r="J9" s="142"/>
      <c r="K9" s="135"/>
      <c r="L9" s="134"/>
      <c r="M9" s="135"/>
    </row>
    <row r="10" spans="1:16" ht="15.75" thickTop="1" x14ac:dyDescent="0.2">
      <c r="A10" s="143"/>
      <c r="B10" s="144"/>
      <c r="C10" s="122"/>
      <c r="D10" s="84"/>
      <c r="E10" s="84"/>
      <c r="F10" s="84"/>
      <c r="G10" s="145"/>
      <c r="H10" s="84"/>
      <c r="I10" s="146"/>
      <c r="J10" s="147"/>
      <c r="L10" s="134"/>
      <c r="M10" s="135"/>
    </row>
    <row r="11" spans="1:16" ht="15" x14ac:dyDescent="0.2">
      <c r="A11" s="143"/>
      <c r="B11" s="121" t="s">
        <v>219</v>
      </c>
      <c r="C11" s="122"/>
      <c r="D11" s="123"/>
      <c r="E11" s="123"/>
      <c r="F11" s="123"/>
      <c r="G11" s="145"/>
      <c r="H11" s="123"/>
      <c r="I11" s="146"/>
      <c r="J11" s="147"/>
      <c r="L11" s="134"/>
      <c r="M11" s="135"/>
      <c r="P11" s="148"/>
    </row>
    <row r="12" spans="1:16" ht="15" x14ac:dyDescent="0.2">
      <c r="A12" s="127">
        <v>3</v>
      </c>
      <c r="B12" s="128" t="s">
        <v>231</v>
      </c>
      <c r="C12" s="149" t="s">
        <v>226</v>
      </c>
      <c r="D12" s="130">
        <v>214428</v>
      </c>
      <c r="E12" s="130">
        <f>14054-1406</f>
        <v>12648</v>
      </c>
      <c r="F12" s="130">
        <f>SUM(D12:E12)</f>
        <v>227076</v>
      </c>
      <c r="G12" s="131" t="s">
        <v>228</v>
      </c>
      <c r="H12" s="130">
        <v>247809</v>
      </c>
      <c r="I12" s="132">
        <v>7.2999999999999995E-2</v>
      </c>
      <c r="J12" s="133" t="s">
        <v>227</v>
      </c>
      <c r="L12" s="134"/>
      <c r="M12" s="134"/>
    </row>
    <row r="13" spans="1:16" ht="15" x14ac:dyDescent="0.2">
      <c r="A13" s="127">
        <v>4</v>
      </c>
      <c r="B13" s="128" t="s">
        <v>238</v>
      </c>
      <c r="C13" s="149" t="s">
        <v>236</v>
      </c>
      <c r="D13" s="130">
        <v>214428</v>
      </c>
      <c r="E13" s="130">
        <f>314-31</f>
        <v>283</v>
      </c>
      <c r="F13" s="130">
        <f>SUM(D13:E13)</f>
        <v>214711</v>
      </c>
      <c r="G13" s="131" t="s">
        <v>241</v>
      </c>
      <c r="H13" s="130">
        <v>234589</v>
      </c>
      <c r="I13" s="132">
        <v>6.8000000000000005E-2</v>
      </c>
      <c r="J13" s="133" t="s">
        <v>227</v>
      </c>
      <c r="L13" s="134"/>
      <c r="M13" s="135"/>
    </row>
    <row r="14" spans="1:16" ht="15.75" thickBot="1" x14ac:dyDescent="0.25">
      <c r="A14" s="136"/>
      <c r="B14" s="137"/>
      <c r="C14" s="138"/>
      <c r="D14" s="139">
        <f>SUM(D12:D13)</f>
        <v>428856</v>
      </c>
      <c r="E14" s="139">
        <f t="shared" ref="E14:H14" si="1">SUM(E12:E13)</f>
        <v>12931</v>
      </c>
      <c r="F14" s="139">
        <f t="shared" si="1"/>
        <v>441787</v>
      </c>
      <c r="G14" s="140"/>
      <c r="H14" s="139">
        <f t="shared" si="1"/>
        <v>482398</v>
      </c>
      <c r="I14" s="150"/>
      <c r="J14" s="142"/>
      <c r="K14" s="135"/>
      <c r="L14" s="134"/>
      <c r="M14" s="135"/>
      <c r="N14" s="134"/>
      <c r="O14" s="135"/>
    </row>
    <row r="15" spans="1:16" ht="15.75" thickTop="1" x14ac:dyDescent="0.2">
      <c r="A15" s="143"/>
      <c r="B15" s="144"/>
      <c r="C15" s="122"/>
      <c r="D15" s="84"/>
      <c r="E15" s="84"/>
      <c r="F15" s="84"/>
      <c r="G15" s="145"/>
      <c r="H15" s="84"/>
      <c r="I15" s="146"/>
      <c r="J15" s="147"/>
      <c r="L15" s="134"/>
      <c r="M15" s="135"/>
      <c r="N15" s="134"/>
      <c r="O15" s="135"/>
    </row>
    <row r="16" spans="1:16" ht="15" x14ac:dyDescent="0.2">
      <c r="A16" s="143"/>
      <c r="B16" s="151" t="s">
        <v>233</v>
      </c>
      <c r="C16" s="122"/>
      <c r="D16" s="84"/>
      <c r="E16" s="84"/>
      <c r="F16" s="84"/>
      <c r="G16" s="145"/>
      <c r="H16" s="84"/>
      <c r="I16" s="146"/>
      <c r="J16" s="147"/>
      <c r="L16" s="134"/>
      <c r="M16" s="135"/>
      <c r="N16" s="134"/>
      <c r="O16" s="135"/>
    </row>
    <row r="17" spans="1:15" ht="15" x14ac:dyDescent="0.2">
      <c r="A17" s="127">
        <v>5</v>
      </c>
      <c r="B17" s="128" t="s">
        <v>232</v>
      </c>
      <c r="C17" s="149" t="s">
        <v>226</v>
      </c>
      <c r="D17" s="152">
        <v>643524</v>
      </c>
      <c r="E17" s="152">
        <f>42179-4218</f>
        <v>37961</v>
      </c>
      <c r="F17" s="130">
        <f>SUM(D17:E17)</f>
        <v>681485</v>
      </c>
      <c r="G17" s="131" t="s">
        <v>228</v>
      </c>
      <c r="H17" s="130">
        <v>743704</v>
      </c>
      <c r="I17" s="132">
        <v>7.2999999999999995E-2</v>
      </c>
      <c r="J17" s="133" t="s">
        <v>227</v>
      </c>
      <c r="L17" s="134"/>
      <c r="M17" s="153"/>
      <c r="N17" s="134"/>
      <c r="O17" s="134"/>
    </row>
    <row r="18" spans="1:15" ht="15.75" thickBot="1" x14ac:dyDescent="0.25">
      <c r="A18" s="136"/>
      <c r="B18" s="137"/>
      <c r="C18" s="138"/>
      <c r="D18" s="139">
        <f>SUM(D17:D17)</f>
        <v>643524</v>
      </c>
      <c r="E18" s="139">
        <f t="shared" ref="E18:H18" si="2">SUM(E17:E17)</f>
        <v>37961</v>
      </c>
      <c r="F18" s="139">
        <f t="shared" si="2"/>
        <v>681485</v>
      </c>
      <c r="G18" s="140"/>
      <c r="H18" s="139">
        <f t="shared" si="2"/>
        <v>743704</v>
      </c>
      <c r="I18" s="150"/>
      <c r="J18" s="142"/>
      <c r="K18" s="135"/>
      <c r="L18" s="134"/>
      <c r="M18" s="134"/>
      <c r="N18" s="134"/>
      <c r="O18" s="135"/>
    </row>
    <row r="19" spans="1:15" ht="15.75" thickTop="1" x14ac:dyDescent="0.2">
      <c r="A19" s="143"/>
      <c r="B19" s="144"/>
      <c r="C19" s="122"/>
      <c r="D19" s="84"/>
      <c r="E19" s="84"/>
      <c r="F19" s="84"/>
      <c r="G19" s="145"/>
      <c r="H19" s="84"/>
      <c r="I19" s="146"/>
      <c r="J19" s="147"/>
      <c r="K19" s="135"/>
      <c r="L19" s="134"/>
      <c r="M19" s="135"/>
      <c r="N19" s="134"/>
      <c r="O19" s="135"/>
    </row>
    <row r="20" spans="1:15" ht="15" x14ac:dyDescent="0.2">
      <c r="A20" s="143"/>
      <c r="B20" s="151" t="s">
        <v>220</v>
      </c>
      <c r="C20" s="122"/>
      <c r="D20" s="84"/>
      <c r="E20" s="84"/>
      <c r="F20" s="84"/>
      <c r="G20" s="145"/>
      <c r="H20" s="84"/>
      <c r="I20" s="146"/>
      <c r="J20" s="147"/>
      <c r="L20" s="134"/>
      <c r="M20" s="135"/>
      <c r="N20" s="134"/>
      <c r="O20" s="135"/>
    </row>
    <row r="21" spans="1:15" ht="15" x14ac:dyDescent="0.2">
      <c r="A21" s="127">
        <v>6</v>
      </c>
      <c r="B21" s="128" t="s">
        <v>234</v>
      </c>
      <c r="C21" s="149" t="s">
        <v>226</v>
      </c>
      <c r="D21" s="152">
        <v>17070</v>
      </c>
      <c r="E21" s="152">
        <f>1119-111</f>
        <v>1008</v>
      </c>
      <c r="F21" s="130">
        <f>SUM(D21:E21)</f>
        <v>18078</v>
      </c>
      <c r="G21" s="154" t="s">
        <v>228</v>
      </c>
      <c r="H21" s="152">
        <v>19727</v>
      </c>
      <c r="I21" s="132">
        <v>7.2999999999999995E-2</v>
      </c>
      <c r="J21" s="133" t="s">
        <v>227</v>
      </c>
      <c r="K21" s="135"/>
      <c r="L21" s="134"/>
      <c r="M21" s="153"/>
      <c r="N21" s="134"/>
      <c r="O21" s="134"/>
    </row>
    <row r="22" spans="1:15" ht="15" x14ac:dyDescent="0.2">
      <c r="A22" s="155">
        <v>7</v>
      </c>
      <c r="B22" s="128" t="s">
        <v>237</v>
      </c>
      <c r="C22" s="156" t="s">
        <v>236</v>
      </c>
      <c r="D22" s="157">
        <v>6240</v>
      </c>
      <c r="E22" s="157">
        <f>9-1</f>
        <v>8</v>
      </c>
      <c r="F22" s="130">
        <f>SUM(D22:E22)</f>
        <v>6248</v>
      </c>
      <c r="G22" s="131" t="s">
        <v>241</v>
      </c>
      <c r="H22" s="130">
        <v>6827</v>
      </c>
      <c r="I22" s="132">
        <v>6.8000000000000005E-2</v>
      </c>
      <c r="J22" s="133" t="s">
        <v>227</v>
      </c>
      <c r="K22" s="135"/>
      <c r="L22" s="134"/>
      <c r="M22" s="153"/>
      <c r="N22" s="134"/>
      <c r="O22" s="134"/>
    </row>
    <row r="23" spans="1:15" ht="15.75" thickBot="1" x14ac:dyDescent="0.25">
      <c r="A23" s="136"/>
      <c r="B23" s="137"/>
      <c r="C23" s="138"/>
      <c r="D23" s="139">
        <f>SUM(D21:D22)</f>
        <v>23310</v>
      </c>
      <c r="E23" s="139">
        <f t="shared" ref="E23:H23" si="3">SUM(E21:E22)</f>
        <v>1016</v>
      </c>
      <c r="F23" s="139">
        <f t="shared" si="3"/>
        <v>24326</v>
      </c>
      <c r="G23" s="140"/>
      <c r="H23" s="139">
        <f t="shared" si="3"/>
        <v>26554</v>
      </c>
      <c r="I23" s="150"/>
      <c r="J23" s="142"/>
      <c r="K23" s="153"/>
      <c r="L23" s="134"/>
      <c r="M23" s="135"/>
      <c r="N23" s="134"/>
      <c r="O23" s="134"/>
    </row>
    <row r="24" spans="1:15" ht="15.75" thickTop="1" x14ac:dyDescent="0.2">
      <c r="A24" s="143"/>
      <c r="B24" s="158"/>
      <c r="C24" s="159"/>
      <c r="D24" s="84"/>
      <c r="E24" s="84"/>
      <c r="F24" s="84"/>
      <c r="G24" s="145"/>
      <c r="H24" s="84"/>
      <c r="I24" s="146"/>
      <c r="J24" s="147"/>
      <c r="K24" s="153"/>
      <c r="L24" s="134"/>
      <c r="M24" s="135"/>
      <c r="N24" s="134"/>
      <c r="O24" s="134"/>
    </row>
    <row r="25" spans="1:15" ht="15" x14ac:dyDescent="0.2">
      <c r="A25" s="143"/>
      <c r="B25" s="151" t="s">
        <v>123</v>
      </c>
      <c r="C25" s="122"/>
      <c r="D25" s="84"/>
      <c r="E25" s="84"/>
      <c r="F25" s="84"/>
      <c r="G25" s="145"/>
      <c r="H25" s="84"/>
      <c r="I25" s="146"/>
      <c r="J25" s="147"/>
      <c r="L25" s="134"/>
      <c r="M25" s="134"/>
      <c r="N25" s="134"/>
      <c r="O25" s="135"/>
    </row>
    <row r="26" spans="1:15" ht="15" x14ac:dyDescent="0.2">
      <c r="A26" s="127">
        <v>8</v>
      </c>
      <c r="B26" s="128" t="s">
        <v>225</v>
      </c>
      <c r="C26" s="149" t="s">
        <v>226</v>
      </c>
      <c r="D26" s="152">
        <v>26000</v>
      </c>
      <c r="E26" s="152">
        <f>1704-171</f>
        <v>1533</v>
      </c>
      <c r="F26" s="130">
        <f>SUM(D26:E26)</f>
        <v>27533</v>
      </c>
      <c r="G26" s="131" t="s">
        <v>228</v>
      </c>
      <c r="H26" s="130">
        <v>30048</v>
      </c>
      <c r="I26" s="132">
        <v>7.2999999999999995E-2</v>
      </c>
      <c r="J26" s="133" t="s">
        <v>227</v>
      </c>
      <c r="K26" s="135"/>
      <c r="L26" s="134"/>
      <c r="M26" s="153"/>
      <c r="N26" s="134"/>
      <c r="O26" s="134"/>
    </row>
    <row r="27" spans="1:15" ht="15.75" thickBot="1" x14ac:dyDescent="0.25">
      <c r="A27" s="136"/>
      <c r="B27" s="137"/>
      <c r="C27" s="138"/>
      <c r="D27" s="139">
        <f>SUM(D26:D26)</f>
        <v>26000</v>
      </c>
      <c r="E27" s="139">
        <f t="shared" ref="E27:H27" si="4">SUM(E26:E26)</f>
        <v>1533</v>
      </c>
      <c r="F27" s="139">
        <f t="shared" si="4"/>
        <v>27533</v>
      </c>
      <c r="G27" s="140"/>
      <c r="H27" s="139">
        <f t="shared" si="4"/>
        <v>30048</v>
      </c>
      <c r="I27" s="150"/>
      <c r="J27" s="142"/>
      <c r="K27" s="153"/>
      <c r="L27" s="134"/>
      <c r="M27" s="135"/>
      <c r="N27" s="134"/>
      <c r="O27" s="135"/>
    </row>
    <row r="28" spans="1:15" ht="15.75" thickTop="1" x14ac:dyDescent="0.2">
      <c r="A28" s="143"/>
      <c r="B28" s="144"/>
      <c r="C28" s="122"/>
      <c r="D28" s="84"/>
      <c r="E28" s="84"/>
      <c r="F28" s="84"/>
      <c r="G28" s="145"/>
      <c r="H28" s="84"/>
      <c r="I28" s="146"/>
      <c r="J28" s="147"/>
      <c r="L28" s="134"/>
      <c r="M28" s="135"/>
      <c r="N28" s="134"/>
      <c r="O28" s="135"/>
    </row>
    <row r="29" spans="1:15" ht="15" x14ac:dyDescent="0.2">
      <c r="A29" s="143"/>
      <c r="B29" s="151" t="s">
        <v>240</v>
      </c>
      <c r="C29" s="122"/>
      <c r="D29" s="84"/>
      <c r="E29" s="84"/>
      <c r="F29" s="84"/>
      <c r="G29" s="145"/>
      <c r="H29" s="84"/>
      <c r="I29" s="146"/>
      <c r="J29" s="147"/>
      <c r="L29" s="134"/>
      <c r="M29" s="135"/>
      <c r="N29" s="134"/>
      <c r="O29" s="135"/>
    </row>
    <row r="30" spans="1:15" ht="15" x14ac:dyDescent="0.2">
      <c r="A30" s="127">
        <v>9</v>
      </c>
      <c r="B30" s="128" t="s">
        <v>239</v>
      </c>
      <c r="C30" s="149" t="s">
        <v>236</v>
      </c>
      <c r="D30" s="152">
        <v>189003</v>
      </c>
      <c r="E30" s="152">
        <f>276-28</f>
        <v>248</v>
      </c>
      <c r="F30" s="130">
        <f>SUM(D30:E30)</f>
        <v>189251</v>
      </c>
      <c r="G30" s="131" t="s">
        <v>241</v>
      </c>
      <c r="H30" s="130">
        <v>206773</v>
      </c>
      <c r="I30" s="132">
        <v>6.8000000000000005E-2</v>
      </c>
      <c r="J30" s="133" t="s">
        <v>227</v>
      </c>
      <c r="L30" s="134"/>
      <c r="M30" s="135"/>
      <c r="N30" s="134"/>
      <c r="O30" s="135"/>
    </row>
    <row r="31" spans="1:15" ht="15.75" thickBot="1" x14ac:dyDescent="0.25">
      <c r="A31" s="136"/>
      <c r="B31" s="137"/>
      <c r="C31" s="138"/>
      <c r="D31" s="139">
        <f>SUM(D30:D30)</f>
        <v>189003</v>
      </c>
      <c r="E31" s="139">
        <f t="shared" ref="E31:H31" si="5">SUM(E30:E30)</f>
        <v>248</v>
      </c>
      <c r="F31" s="139">
        <f t="shared" si="5"/>
        <v>189251</v>
      </c>
      <c r="G31" s="140"/>
      <c r="H31" s="139">
        <f t="shared" si="5"/>
        <v>206773</v>
      </c>
      <c r="I31" s="150"/>
      <c r="J31" s="142"/>
      <c r="L31" s="134"/>
      <c r="M31" s="135"/>
      <c r="N31" s="134"/>
      <c r="O31" s="135"/>
    </row>
    <row r="32" spans="1:15" ht="15.75" thickTop="1" x14ac:dyDescent="0.2">
      <c r="A32" s="143"/>
      <c r="B32" s="144"/>
      <c r="C32" s="122"/>
      <c r="D32" s="84"/>
      <c r="E32" s="84"/>
      <c r="F32" s="84"/>
      <c r="G32" s="145"/>
      <c r="H32" s="84"/>
      <c r="I32" s="146"/>
      <c r="J32" s="147"/>
      <c r="L32" s="134"/>
      <c r="M32" s="135"/>
      <c r="N32" s="134"/>
      <c r="O32" s="135"/>
    </row>
    <row r="33" spans="1:15" ht="15.75" thickBot="1" x14ac:dyDescent="0.25">
      <c r="A33" s="136"/>
      <c r="B33" s="205" t="s">
        <v>221</v>
      </c>
      <c r="C33" s="205"/>
      <c r="D33" s="139">
        <f>D9+D14+D18+D23+D27+D31</f>
        <v>1588907</v>
      </c>
      <c r="E33" s="139">
        <f t="shared" ref="E33:H33" si="6">E9+E14+E18+E23+E27+E31</f>
        <v>57227</v>
      </c>
      <c r="F33" s="139">
        <f t="shared" si="6"/>
        <v>1646134</v>
      </c>
      <c r="G33" s="160"/>
      <c r="H33" s="139">
        <f t="shared" si="6"/>
        <v>1797240</v>
      </c>
      <c r="I33" s="150"/>
      <c r="J33" s="161"/>
      <c r="L33" s="134"/>
      <c r="M33" s="135"/>
      <c r="N33" s="134"/>
      <c r="O33" s="135"/>
    </row>
    <row r="34" spans="1:15" ht="13.5" thickTop="1" x14ac:dyDescent="0.2">
      <c r="D34" s="162" t="s">
        <v>222</v>
      </c>
      <c r="L34" s="134"/>
      <c r="M34" s="153"/>
      <c r="N34" s="134"/>
      <c r="O34" s="134"/>
    </row>
    <row r="35" spans="1:15" x14ac:dyDescent="0.2">
      <c r="L35" s="134"/>
      <c r="M35" s="135"/>
      <c r="N35" s="134"/>
      <c r="O35" s="134"/>
    </row>
    <row r="36" spans="1:15" x14ac:dyDescent="0.2">
      <c r="L36" s="134"/>
      <c r="M36" s="134"/>
      <c r="N36" s="134"/>
      <c r="O36" s="135"/>
    </row>
    <row r="37" spans="1:15" x14ac:dyDescent="0.2">
      <c r="L37" s="134"/>
      <c r="M37" s="135"/>
    </row>
  </sheetData>
  <mergeCells count="3">
    <mergeCell ref="A1:J1"/>
    <mergeCell ref="A3:J3"/>
    <mergeCell ref="B33:C33"/>
  </mergeCells>
  <printOptions horizontalCentered="1"/>
  <pageMargins left="0.39370078740157483" right="0.19685039370078741" top="0.59055118110236227" bottom="0.39370078740157483" header="0.19685039370078741" footer="0.19685039370078741"/>
  <pageSetup paperSize="9" scale="95" orientation="landscape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0"/>
  <sheetViews>
    <sheetView view="pageBreakPreview" zoomScaleNormal="100" zoomScaleSheetLayoutView="100" workbookViewId="0">
      <selection activeCell="L5" sqref="L5"/>
    </sheetView>
  </sheetViews>
  <sheetFormatPr defaultRowHeight="12.75" x14ac:dyDescent="0.2"/>
  <cols>
    <col min="1" max="1" width="21.5703125" style="77" customWidth="1"/>
    <col min="2" max="2" width="7.28515625" style="77" bestFit="1" customWidth="1"/>
    <col min="3" max="3" width="11.7109375" style="77" bestFit="1" customWidth="1"/>
    <col min="4" max="5" width="11.5703125" style="77" bestFit="1" customWidth="1"/>
    <col min="6" max="6" width="11.7109375" style="77" bestFit="1" customWidth="1"/>
    <col min="7" max="7" width="10.28515625" style="77" bestFit="1" customWidth="1"/>
    <col min="8" max="8" width="11.7109375" style="77" bestFit="1" customWidth="1"/>
    <col min="9" max="16384" width="9.140625" style="77"/>
  </cols>
  <sheetData>
    <row r="1" spans="1:8" ht="15.75" x14ac:dyDescent="0.2">
      <c r="A1" s="206" t="s">
        <v>16</v>
      </c>
      <c r="B1" s="207"/>
      <c r="C1" s="207"/>
      <c r="D1" s="207"/>
      <c r="E1" s="207"/>
      <c r="F1" s="207"/>
      <c r="G1" s="207"/>
      <c r="H1" s="208"/>
    </row>
    <row r="2" spans="1:8" ht="15.75" thickBot="1" x14ac:dyDescent="0.25">
      <c r="A2" s="209" t="s">
        <v>242</v>
      </c>
      <c r="B2" s="210"/>
      <c r="C2" s="210"/>
      <c r="D2" s="210"/>
      <c r="E2" s="210"/>
      <c r="F2" s="210"/>
      <c r="G2" s="210"/>
      <c r="H2" s="211"/>
    </row>
    <row r="3" spans="1:8" ht="51" x14ac:dyDescent="0.2">
      <c r="A3" s="10" t="s">
        <v>84</v>
      </c>
      <c r="B3" s="11" t="s">
        <v>85</v>
      </c>
      <c r="C3" s="11" t="s">
        <v>194</v>
      </c>
      <c r="D3" s="12" t="s">
        <v>195</v>
      </c>
      <c r="E3" s="11" t="s">
        <v>196</v>
      </c>
      <c r="F3" s="11" t="s">
        <v>197</v>
      </c>
      <c r="G3" s="11" t="s">
        <v>86</v>
      </c>
      <c r="H3" s="13" t="s">
        <v>198</v>
      </c>
    </row>
    <row r="4" spans="1:8" ht="18" customHeight="1" x14ac:dyDescent="0.2">
      <c r="A4" s="163" t="s">
        <v>89</v>
      </c>
      <c r="B4" s="164">
        <v>0.1</v>
      </c>
      <c r="C4" s="165">
        <v>16150</v>
      </c>
      <c r="D4" s="166">
        <v>0</v>
      </c>
      <c r="E4" s="165">
        <v>0</v>
      </c>
      <c r="F4" s="165">
        <f t="shared" ref="F4:F9" si="0">C4+D4+E4</f>
        <v>16150</v>
      </c>
      <c r="G4" s="167">
        <f t="shared" ref="G4:G9" si="1">ROUND(((D4+C4)*B4)+(E4*B4)/2,0)</f>
        <v>1615</v>
      </c>
      <c r="H4" s="168">
        <f t="shared" ref="H4:H9" si="2">F4-G4</f>
        <v>14535</v>
      </c>
    </row>
    <row r="5" spans="1:8" ht="18" customHeight="1" x14ac:dyDescent="0.2">
      <c r="A5" s="163" t="s">
        <v>90</v>
      </c>
      <c r="B5" s="164">
        <v>0.15</v>
      </c>
      <c r="C5" s="165">
        <v>8508</v>
      </c>
      <c r="D5" s="166">
        <v>0</v>
      </c>
      <c r="E5" s="165">
        <v>0</v>
      </c>
      <c r="F5" s="165">
        <f t="shared" si="0"/>
        <v>8508</v>
      </c>
      <c r="G5" s="167">
        <f t="shared" si="1"/>
        <v>1276</v>
      </c>
      <c r="H5" s="168">
        <f t="shared" si="2"/>
        <v>7232</v>
      </c>
    </row>
    <row r="6" spans="1:8" ht="18" customHeight="1" x14ac:dyDescent="0.2">
      <c r="A6" s="163" t="s">
        <v>91</v>
      </c>
      <c r="B6" s="164">
        <v>0.15</v>
      </c>
      <c r="C6" s="165">
        <v>4037</v>
      </c>
      <c r="D6" s="166">
        <v>0</v>
      </c>
      <c r="E6" s="165">
        <v>0</v>
      </c>
      <c r="F6" s="165">
        <f t="shared" si="0"/>
        <v>4037</v>
      </c>
      <c r="G6" s="167">
        <f t="shared" si="1"/>
        <v>606</v>
      </c>
      <c r="H6" s="168">
        <f t="shared" si="2"/>
        <v>3431</v>
      </c>
    </row>
    <row r="7" spans="1:8" ht="18" customHeight="1" x14ac:dyDescent="0.2">
      <c r="A7" s="169" t="s">
        <v>87</v>
      </c>
      <c r="B7" s="164">
        <v>0.4</v>
      </c>
      <c r="C7" s="165">
        <v>33099</v>
      </c>
      <c r="D7" s="166">
        <v>0</v>
      </c>
      <c r="E7" s="165">
        <v>0</v>
      </c>
      <c r="F7" s="165">
        <f t="shared" si="0"/>
        <v>33099</v>
      </c>
      <c r="G7" s="167">
        <f t="shared" si="1"/>
        <v>13240</v>
      </c>
      <c r="H7" s="168">
        <f t="shared" si="2"/>
        <v>19859</v>
      </c>
    </row>
    <row r="8" spans="1:8" ht="18" customHeight="1" x14ac:dyDescent="0.2">
      <c r="A8" s="163" t="s">
        <v>92</v>
      </c>
      <c r="B8" s="164">
        <v>0.1</v>
      </c>
      <c r="C8" s="165">
        <v>17100</v>
      </c>
      <c r="D8" s="170">
        <v>0</v>
      </c>
      <c r="E8" s="165">
        <v>0</v>
      </c>
      <c r="F8" s="165">
        <f t="shared" si="0"/>
        <v>17100</v>
      </c>
      <c r="G8" s="167">
        <f t="shared" si="1"/>
        <v>1710</v>
      </c>
      <c r="H8" s="168">
        <f t="shared" si="2"/>
        <v>15390</v>
      </c>
    </row>
    <row r="9" spans="1:8" ht="18" customHeight="1" x14ac:dyDescent="0.2">
      <c r="A9" s="163" t="s">
        <v>180</v>
      </c>
      <c r="B9" s="164">
        <v>0.15</v>
      </c>
      <c r="C9" s="165">
        <v>0</v>
      </c>
      <c r="D9" s="170">
        <v>59000</v>
      </c>
      <c r="E9" s="165">
        <v>0</v>
      </c>
      <c r="F9" s="165">
        <f t="shared" si="0"/>
        <v>59000</v>
      </c>
      <c r="G9" s="167">
        <f t="shared" si="1"/>
        <v>8850</v>
      </c>
      <c r="H9" s="168">
        <f t="shared" si="2"/>
        <v>50150</v>
      </c>
    </row>
    <row r="10" spans="1:8" ht="18" customHeight="1" x14ac:dyDescent="0.2">
      <c r="A10" s="163" t="s">
        <v>295</v>
      </c>
      <c r="B10" s="164">
        <v>0.1</v>
      </c>
      <c r="C10" s="165">
        <v>0</v>
      </c>
      <c r="D10" s="170">
        <v>0</v>
      </c>
      <c r="E10" s="165">
        <v>13960</v>
      </c>
      <c r="F10" s="165">
        <f t="shared" ref="F10:F15" si="3">C10+D10+E10</f>
        <v>13960</v>
      </c>
      <c r="G10" s="167">
        <f t="shared" ref="G10:G15" si="4">ROUND(((D10+C10)*B10)+(E10*B10)/2,0)</f>
        <v>698</v>
      </c>
      <c r="H10" s="168">
        <f t="shared" ref="H10:H15" si="5">F10-G10</f>
        <v>13262</v>
      </c>
    </row>
    <row r="11" spans="1:8" ht="18" customHeight="1" x14ac:dyDescent="0.2">
      <c r="A11" s="163" t="s">
        <v>296</v>
      </c>
      <c r="B11" s="164">
        <v>0.15</v>
      </c>
      <c r="C11" s="165">
        <v>0</v>
      </c>
      <c r="D11" s="170">
        <v>0</v>
      </c>
      <c r="E11" s="165">
        <v>20000</v>
      </c>
      <c r="F11" s="165">
        <f t="shared" si="3"/>
        <v>20000</v>
      </c>
      <c r="G11" s="167">
        <f t="shared" si="4"/>
        <v>1500</v>
      </c>
      <c r="H11" s="168">
        <f t="shared" si="5"/>
        <v>18500</v>
      </c>
    </row>
    <row r="12" spans="1:8" ht="18" customHeight="1" x14ac:dyDescent="0.2">
      <c r="A12" s="163" t="s">
        <v>297</v>
      </c>
      <c r="B12" s="164">
        <v>0.1</v>
      </c>
      <c r="C12" s="165">
        <v>0</v>
      </c>
      <c r="D12" s="170">
        <v>0</v>
      </c>
      <c r="E12" s="165">
        <v>36000</v>
      </c>
      <c r="F12" s="165">
        <f t="shared" si="3"/>
        <v>36000</v>
      </c>
      <c r="G12" s="167">
        <f t="shared" si="4"/>
        <v>1800</v>
      </c>
      <c r="H12" s="168">
        <f t="shared" si="5"/>
        <v>34200</v>
      </c>
    </row>
    <row r="13" spans="1:8" ht="18" customHeight="1" x14ac:dyDescent="0.2">
      <c r="A13" s="163" t="s">
        <v>298</v>
      </c>
      <c r="B13" s="164">
        <v>0.1</v>
      </c>
      <c r="C13" s="165">
        <v>0</v>
      </c>
      <c r="D13" s="170">
        <v>0</v>
      </c>
      <c r="E13" s="165">
        <v>39780</v>
      </c>
      <c r="F13" s="165">
        <f t="shared" si="3"/>
        <v>39780</v>
      </c>
      <c r="G13" s="167">
        <f t="shared" si="4"/>
        <v>1989</v>
      </c>
      <c r="H13" s="168">
        <f t="shared" si="5"/>
        <v>37791</v>
      </c>
    </row>
    <row r="14" spans="1:8" ht="18" customHeight="1" x14ac:dyDescent="0.2">
      <c r="A14" s="163" t="s">
        <v>299</v>
      </c>
      <c r="B14" s="164">
        <v>0.1</v>
      </c>
      <c r="C14" s="165">
        <v>0</v>
      </c>
      <c r="D14" s="170">
        <v>0</v>
      </c>
      <c r="E14" s="165">
        <f>64500+15200</f>
        <v>79700</v>
      </c>
      <c r="F14" s="165">
        <f t="shared" si="3"/>
        <v>79700</v>
      </c>
      <c r="G14" s="167">
        <f t="shared" si="4"/>
        <v>3985</v>
      </c>
      <c r="H14" s="168">
        <f t="shared" si="5"/>
        <v>75715</v>
      </c>
    </row>
    <row r="15" spans="1:8" ht="18" customHeight="1" thickBot="1" x14ac:dyDescent="0.25">
      <c r="A15" s="163" t="s">
        <v>300</v>
      </c>
      <c r="B15" s="164">
        <v>0.15</v>
      </c>
      <c r="C15" s="165">
        <v>0</v>
      </c>
      <c r="D15" s="170">
        <v>0</v>
      </c>
      <c r="E15" s="165">
        <f>7000+12060</f>
        <v>19060</v>
      </c>
      <c r="F15" s="165">
        <f t="shared" si="3"/>
        <v>19060</v>
      </c>
      <c r="G15" s="167">
        <f t="shared" si="4"/>
        <v>1430</v>
      </c>
      <c r="H15" s="168">
        <f t="shared" si="5"/>
        <v>17630</v>
      </c>
    </row>
    <row r="16" spans="1:8" ht="18" customHeight="1" thickBot="1" x14ac:dyDescent="0.25">
      <c r="A16" s="212" t="s">
        <v>88</v>
      </c>
      <c r="B16" s="213"/>
      <c r="C16" s="171">
        <f>SUM(C4:C15)</f>
        <v>78894</v>
      </c>
      <c r="D16" s="171">
        <f t="shared" ref="D16:G16" si="6">SUM(D4:D15)</f>
        <v>59000</v>
      </c>
      <c r="E16" s="171">
        <f t="shared" si="6"/>
        <v>208500</v>
      </c>
      <c r="F16" s="171">
        <f t="shared" si="6"/>
        <v>346394</v>
      </c>
      <c r="G16" s="171">
        <f t="shared" si="6"/>
        <v>38699</v>
      </c>
      <c r="H16" s="171">
        <f>SUM(H4:H15)</f>
        <v>307695</v>
      </c>
    </row>
    <row r="17" spans="1:3" x14ac:dyDescent="0.2">
      <c r="C17" s="115"/>
    </row>
    <row r="21" spans="1:3" x14ac:dyDescent="0.2">
      <c r="A21" s="77" t="s">
        <v>55</v>
      </c>
    </row>
    <row r="22" spans="1:3" x14ac:dyDescent="0.2">
      <c r="A22" s="77" t="s">
        <v>179</v>
      </c>
    </row>
    <row r="23" spans="1:3" x14ac:dyDescent="0.2">
      <c r="A23" s="77" t="s">
        <v>180</v>
      </c>
    </row>
    <row r="24" spans="1:3" x14ac:dyDescent="0.2">
      <c r="A24" s="77" t="s">
        <v>181</v>
      </c>
    </row>
    <row r="25" spans="1:3" x14ac:dyDescent="0.2">
      <c r="A25" s="77" t="s">
        <v>182</v>
      </c>
    </row>
    <row r="26" spans="1:3" x14ac:dyDescent="0.2">
      <c r="A26" s="77" t="s">
        <v>183</v>
      </c>
    </row>
    <row r="27" spans="1:3" x14ac:dyDescent="0.2">
      <c r="A27" s="77" t="s">
        <v>184</v>
      </c>
    </row>
    <row r="28" spans="1:3" x14ac:dyDescent="0.2">
      <c r="A28" s="77" t="s">
        <v>185</v>
      </c>
    </row>
    <row r="29" spans="1:3" x14ac:dyDescent="0.2">
      <c r="A29" s="77" t="s">
        <v>186</v>
      </c>
    </row>
    <row r="30" spans="1:3" x14ac:dyDescent="0.2">
      <c r="A30" s="77" t="s">
        <v>187</v>
      </c>
      <c r="B30" s="77" t="s">
        <v>188</v>
      </c>
    </row>
  </sheetData>
  <mergeCells count="3">
    <mergeCell ref="A1:H1"/>
    <mergeCell ref="A2:H2"/>
    <mergeCell ref="A16:B16"/>
  </mergeCells>
  <printOptions horizontalCentered="1"/>
  <pageMargins left="0.39370078740157483" right="0.19685039370078741" top="0.59055118110236227" bottom="0.39370078740157483" header="0.19685039370078741" footer="0.19685039370078741"/>
  <pageSetup paperSize="9" orientation="landscape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D30"/>
  <sheetViews>
    <sheetView view="pageBreakPreview" zoomScaleNormal="100" zoomScaleSheetLayoutView="100" workbookViewId="0">
      <selection activeCell="G7" sqref="G7"/>
    </sheetView>
  </sheetViews>
  <sheetFormatPr defaultRowHeight="12.75" x14ac:dyDescent="0.2"/>
  <cols>
    <col min="1" max="1" width="3.5703125" style="77" bestFit="1" customWidth="1"/>
    <col min="2" max="2" width="16.7109375" style="77" bestFit="1" customWidth="1"/>
    <col min="3" max="3" width="53.7109375" style="77" bestFit="1" customWidth="1"/>
    <col min="4" max="4" width="14.5703125" style="77" customWidth="1"/>
    <col min="5" max="16384" width="9.140625" style="77"/>
  </cols>
  <sheetData>
    <row r="2" spans="1:4" x14ac:dyDescent="0.2">
      <c r="A2" s="216" t="s">
        <v>118</v>
      </c>
      <c r="B2" s="216"/>
    </row>
    <row r="3" spans="1:4" ht="18" customHeight="1" x14ac:dyDescent="0.2">
      <c r="A3" s="215" t="s">
        <v>16</v>
      </c>
      <c r="B3" s="215"/>
      <c r="C3" s="215"/>
      <c r="D3" s="215"/>
    </row>
    <row r="4" spans="1:4" ht="18" customHeight="1" x14ac:dyDescent="0.2">
      <c r="A4" s="172"/>
      <c r="B4" s="214" t="s">
        <v>199</v>
      </c>
      <c r="C4" s="214"/>
      <c r="D4" s="214"/>
    </row>
    <row r="5" spans="1:4" s="25" customFormat="1" ht="38.25" x14ac:dyDescent="0.2">
      <c r="A5" s="26" t="s">
        <v>116</v>
      </c>
      <c r="B5" s="26" t="s">
        <v>117</v>
      </c>
      <c r="C5" s="26" t="s">
        <v>115</v>
      </c>
      <c r="D5" s="26" t="s">
        <v>34</v>
      </c>
    </row>
    <row r="6" spans="1:4" ht="18" customHeight="1" x14ac:dyDescent="0.2">
      <c r="A6" s="173">
        <v>1</v>
      </c>
      <c r="B6" s="174" t="s">
        <v>206</v>
      </c>
      <c r="C6" s="172" t="s">
        <v>204</v>
      </c>
      <c r="D6" s="175">
        <v>5319</v>
      </c>
    </row>
    <row r="7" spans="1:4" ht="18" customHeight="1" x14ac:dyDescent="0.2">
      <c r="A7" s="173">
        <v>2</v>
      </c>
      <c r="B7" s="174" t="s">
        <v>141</v>
      </c>
      <c r="C7" s="172" t="s">
        <v>112</v>
      </c>
      <c r="D7" s="175">
        <f>5872+600</f>
        <v>6472</v>
      </c>
    </row>
    <row r="8" spans="1:4" ht="18" customHeight="1" x14ac:dyDescent="0.2">
      <c r="A8" s="173">
        <v>3</v>
      </c>
      <c r="B8" s="173">
        <v>1003</v>
      </c>
      <c r="C8" s="172" t="s">
        <v>113</v>
      </c>
      <c r="D8" s="175">
        <v>148883</v>
      </c>
    </row>
    <row r="9" spans="1:4" ht="18" customHeight="1" x14ac:dyDescent="0.2">
      <c r="A9" s="173">
        <v>4</v>
      </c>
      <c r="B9" s="173">
        <v>1004</v>
      </c>
      <c r="C9" s="172" t="s">
        <v>113</v>
      </c>
      <c r="D9" s="175">
        <v>137723</v>
      </c>
    </row>
    <row r="10" spans="1:4" ht="18" customHeight="1" x14ac:dyDescent="0.2">
      <c r="A10" s="173">
        <v>5</v>
      </c>
      <c r="B10" s="173">
        <v>1203</v>
      </c>
      <c r="C10" s="172" t="s">
        <v>205</v>
      </c>
      <c r="D10" s="175">
        <v>17348</v>
      </c>
    </row>
    <row r="11" spans="1:4" ht="18" customHeight="1" x14ac:dyDescent="0.2">
      <c r="A11" s="173">
        <v>6</v>
      </c>
      <c r="B11" s="173">
        <v>1204</v>
      </c>
      <c r="C11" s="172" t="s">
        <v>205</v>
      </c>
      <c r="D11" s="175">
        <v>16125</v>
      </c>
    </row>
    <row r="12" spans="1:4" ht="18" customHeight="1" x14ac:dyDescent="0.2">
      <c r="A12" s="173">
        <v>7</v>
      </c>
      <c r="B12" s="173">
        <v>1302</v>
      </c>
      <c r="C12" s="172" t="s">
        <v>114</v>
      </c>
      <c r="D12" s="175">
        <v>171656</v>
      </c>
    </row>
    <row r="13" spans="1:4" ht="18" customHeight="1" x14ac:dyDescent="0.2">
      <c r="A13" s="173">
        <v>8</v>
      </c>
      <c r="B13" s="173">
        <v>1403</v>
      </c>
      <c r="C13" s="176" t="s">
        <v>273</v>
      </c>
      <c r="D13" s="175">
        <v>600</v>
      </c>
    </row>
    <row r="14" spans="1:4" ht="18" customHeight="1" thickBot="1" x14ac:dyDescent="0.25">
      <c r="A14" s="272" t="s">
        <v>88</v>
      </c>
      <c r="B14" s="272"/>
      <c r="C14" s="272"/>
      <c r="D14" s="273">
        <f>SUM(D6:D13)</f>
        <v>504126</v>
      </c>
    </row>
    <row r="15" spans="1:4" ht="13.5" thickTop="1" x14ac:dyDescent="0.2"/>
    <row r="18" spans="1:4" x14ac:dyDescent="0.2">
      <c r="A18" s="216" t="s">
        <v>137</v>
      </c>
      <c r="B18" s="216"/>
    </row>
    <row r="19" spans="1:4" ht="18" customHeight="1" x14ac:dyDescent="0.2">
      <c r="A19" s="215" t="s">
        <v>16</v>
      </c>
      <c r="B19" s="215"/>
      <c r="C19" s="215"/>
      <c r="D19" s="215"/>
    </row>
    <row r="20" spans="1:4" ht="18" customHeight="1" x14ac:dyDescent="0.2">
      <c r="A20" s="172"/>
      <c r="B20" s="214" t="s">
        <v>200</v>
      </c>
      <c r="C20" s="214"/>
      <c r="D20" s="214"/>
    </row>
    <row r="21" spans="1:4" ht="34.15" customHeight="1" x14ac:dyDescent="0.2">
      <c r="A21" s="26" t="s">
        <v>116</v>
      </c>
      <c r="B21" s="26" t="s">
        <v>119</v>
      </c>
      <c r="C21" s="26" t="s">
        <v>30</v>
      </c>
      <c r="D21" s="26" t="s">
        <v>34</v>
      </c>
    </row>
    <row r="22" spans="1:4" ht="20.100000000000001" customHeight="1" x14ac:dyDescent="0.2">
      <c r="A22" s="173">
        <v>1</v>
      </c>
      <c r="B22" s="177" t="s">
        <v>120</v>
      </c>
      <c r="C22" s="176" t="s">
        <v>261</v>
      </c>
      <c r="D22" s="175">
        <f>Workings!F6</f>
        <v>173945</v>
      </c>
    </row>
    <row r="23" spans="1:4" ht="20.100000000000001" customHeight="1" x14ac:dyDescent="0.2">
      <c r="A23" s="173">
        <v>2</v>
      </c>
      <c r="B23" s="177" t="s">
        <v>121</v>
      </c>
      <c r="C23" s="176" t="s">
        <v>262</v>
      </c>
      <c r="D23" s="175">
        <f>Workings!F10</f>
        <v>17114</v>
      </c>
    </row>
    <row r="24" spans="1:4" ht="20.100000000000001" customHeight="1" x14ac:dyDescent="0.2">
      <c r="A24" s="173">
        <v>3</v>
      </c>
      <c r="B24" s="177" t="s">
        <v>272</v>
      </c>
      <c r="C24" s="176" t="s">
        <v>263</v>
      </c>
      <c r="D24" s="175">
        <f>Workings!F31</f>
        <v>4228</v>
      </c>
    </row>
    <row r="25" spans="1:4" ht="20.100000000000001" customHeight="1" x14ac:dyDescent="0.2">
      <c r="A25" s="173">
        <v>4</v>
      </c>
      <c r="B25" s="177" t="s">
        <v>122</v>
      </c>
      <c r="C25" s="176" t="s">
        <v>264</v>
      </c>
      <c r="D25" s="175">
        <f>Workings!F14-Workings!F15</f>
        <v>1395</v>
      </c>
    </row>
    <row r="26" spans="1:4" ht="20.100000000000001" customHeight="1" x14ac:dyDescent="0.2">
      <c r="A26" s="173">
        <v>5</v>
      </c>
      <c r="B26" s="177" t="s">
        <v>121</v>
      </c>
      <c r="C26" s="176" t="s">
        <v>265</v>
      </c>
      <c r="D26" s="175">
        <f>Workings!F19</f>
        <v>14669</v>
      </c>
    </row>
    <row r="27" spans="1:4" ht="20.100000000000001" customHeight="1" x14ac:dyDescent="0.2">
      <c r="A27" s="173">
        <v>6</v>
      </c>
      <c r="B27" s="177" t="s">
        <v>170</v>
      </c>
      <c r="C27" s="176" t="s">
        <v>266</v>
      </c>
      <c r="D27" s="175">
        <f>Workings!F27</f>
        <v>18112</v>
      </c>
    </row>
    <row r="28" spans="1:4" ht="20.100000000000001" customHeight="1" x14ac:dyDescent="0.2">
      <c r="A28" s="173">
        <v>7</v>
      </c>
      <c r="B28" s="177" t="s">
        <v>271</v>
      </c>
      <c r="C28" s="176" t="s">
        <v>270</v>
      </c>
      <c r="D28" s="175">
        <f>Workings!F35</f>
        <v>17503</v>
      </c>
    </row>
    <row r="29" spans="1:4" ht="20.100000000000001" customHeight="1" thickBot="1" x14ac:dyDescent="0.25">
      <c r="A29" s="272" t="s">
        <v>88</v>
      </c>
      <c r="B29" s="272"/>
      <c r="C29" s="272"/>
      <c r="D29" s="273">
        <f>SUM(D22:D28)</f>
        <v>246966</v>
      </c>
    </row>
    <row r="30" spans="1:4" ht="13.5" thickTop="1" x14ac:dyDescent="0.2"/>
  </sheetData>
  <mergeCells count="8">
    <mergeCell ref="A29:C29"/>
    <mergeCell ref="B4:D4"/>
    <mergeCell ref="A3:D3"/>
    <mergeCell ref="A2:B2"/>
    <mergeCell ref="A14:C14"/>
    <mergeCell ref="A18:B18"/>
    <mergeCell ref="A19:D19"/>
    <mergeCell ref="B20:D20"/>
  </mergeCells>
  <printOptions horizontalCentered="1"/>
  <pageMargins left="0.39370078740157483" right="0.19685039370078741" top="0.59055118110236227" bottom="0.39370078740157483" header="0.19685039370078741" footer="0.19685039370078741"/>
  <pageSetup paperSize="9" scale="90" orientation="landscape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2"/>
  <sheetViews>
    <sheetView tabSelected="1" view="pageBreakPreview" zoomScaleNormal="100" zoomScaleSheetLayoutView="100" workbookViewId="0">
      <selection activeCell="E17" sqref="E17"/>
    </sheetView>
  </sheetViews>
  <sheetFormatPr defaultRowHeight="12.75" x14ac:dyDescent="0.2"/>
  <cols>
    <col min="1" max="1" width="9.140625" style="77"/>
    <col min="2" max="2" width="20" style="77" customWidth="1"/>
    <col min="3" max="3" width="53.7109375" style="77" bestFit="1" customWidth="1"/>
    <col min="4" max="4" width="14.7109375" style="77" customWidth="1"/>
    <col min="5" max="5" width="25" style="77" bestFit="1" customWidth="1"/>
    <col min="6" max="16384" width="9.140625" style="77"/>
  </cols>
  <sheetData>
    <row r="1" spans="1:5" ht="10.5" customHeight="1" x14ac:dyDescent="0.2"/>
    <row r="2" spans="1:5" ht="18" customHeight="1" x14ac:dyDescent="0.2">
      <c r="A2" s="216" t="s">
        <v>138</v>
      </c>
      <c r="B2" s="216"/>
    </row>
    <row r="3" spans="1:5" ht="20.100000000000001" customHeight="1" x14ac:dyDescent="0.2">
      <c r="A3" s="215" t="s">
        <v>16</v>
      </c>
      <c r="B3" s="215"/>
      <c r="C3" s="215"/>
      <c r="D3" s="215"/>
    </row>
    <row r="4" spans="1:5" ht="20.100000000000001" customHeight="1" x14ac:dyDescent="0.2">
      <c r="A4" s="172"/>
      <c r="B4" s="214" t="s">
        <v>201</v>
      </c>
      <c r="C4" s="214"/>
      <c r="D4" s="214"/>
    </row>
    <row r="5" spans="1:5" ht="20.100000000000001" customHeight="1" thickBot="1" x14ac:dyDescent="0.25">
      <c r="A5" s="278" t="s">
        <v>316</v>
      </c>
      <c r="B5" s="278" t="s">
        <v>119</v>
      </c>
      <c r="C5" s="278" t="s">
        <v>99</v>
      </c>
      <c r="D5" s="278" t="s">
        <v>34</v>
      </c>
    </row>
    <row r="6" spans="1:5" ht="20.100000000000001" customHeight="1" thickTop="1" x14ac:dyDescent="0.2">
      <c r="A6" s="274">
        <v>1</v>
      </c>
      <c r="B6" s="275" t="s">
        <v>50</v>
      </c>
      <c r="C6" s="276" t="s">
        <v>278</v>
      </c>
      <c r="D6" s="277">
        <v>16000</v>
      </c>
    </row>
    <row r="7" spans="1:5" ht="20.100000000000001" customHeight="1" x14ac:dyDescent="0.2">
      <c r="A7" s="173">
        <v>2</v>
      </c>
      <c r="B7" s="177" t="s">
        <v>128</v>
      </c>
      <c r="C7" s="176" t="s">
        <v>279</v>
      </c>
      <c r="D7" s="175">
        <v>33330</v>
      </c>
    </row>
    <row r="8" spans="1:5" ht="20.100000000000001" customHeight="1" x14ac:dyDescent="0.2">
      <c r="A8" s="173">
        <v>3</v>
      </c>
      <c r="B8" s="177" t="s">
        <v>49</v>
      </c>
      <c r="C8" s="176" t="s">
        <v>280</v>
      </c>
      <c r="D8" s="175">
        <v>5000</v>
      </c>
    </row>
    <row r="9" spans="1:5" ht="20.100000000000001" customHeight="1" x14ac:dyDescent="0.2">
      <c r="A9" s="173">
        <v>4</v>
      </c>
      <c r="B9" s="177" t="s">
        <v>48</v>
      </c>
      <c r="C9" s="176" t="s">
        <v>281</v>
      </c>
      <c r="D9" s="175">
        <v>11000</v>
      </c>
    </row>
    <row r="10" spans="1:5" ht="20.100000000000001" customHeight="1" x14ac:dyDescent="0.2">
      <c r="A10" s="173">
        <v>6</v>
      </c>
      <c r="B10" s="177" t="s">
        <v>129</v>
      </c>
      <c r="C10" s="176" t="s">
        <v>130</v>
      </c>
      <c r="D10" s="175">
        <v>11900</v>
      </c>
    </row>
    <row r="11" spans="1:5" ht="20.100000000000001" customHeight="1" x14ac:dyDescent="0.2">
      <c r="A11" s="173">
        <v>7</v>
      </c>
      <c r="B11" s="177" t="s">
        <v>131</v>
      </c>
      <c r="C11" s="176" t="s">
        <v>282</v>
      </c>
      <c r="D11" s="175">
        <v>73160</v>
      </c>
    </row>
    <row r="12" spans="1:5" ht="20.100000000000001" customHeight="1" x14ac:dyDescent="0.2">
      <c r="A12" s="173">
        <v>8</v>
      </c>
      <c r="B12" s="177" t="s">
        <v>132</v>
      </c>
      <c r="C12" s="176" t="s">
        <v>144</v>
      </c>
      <c r="D12" s="175">
        <v>2478</v>
      </c>
      <c r="E12" s="114"/>
    </row>
    <row r="13" spans="1:5" ht="20.100000000000001" customHeight="1" x14ac:dyDescent="0.2">
      <c r="A13" s="178">
        <v>9</v>
      </c>
      <c r="B13" s="177" t="s">
        <v>272</v>
      </c>
      <c r="C13" s="176" t="s">
        <v>286</v>
      </c>
      <c r="D13" s="175">
        <v>25370</v>
      </c>
      <c r="E13" s="114"/>
    </row>
    <row r="14" spans="1:5" ht="20.100000000000001" customHeight="1" x14ac:dyDescent="0.2">
      <c r="A14" s="178">
        <v>10</v>
      </c>
      <c r="B14" s="177" t="s">
        <v>283</v>
      </c>
      <c r="C14" s="179" t="s">
        <v>284</v>
      </c>
      <c r="D14" s="175">
        <f>7000+7000</f>
        <v>14000</v>
      </c>
      <c r="E14" s="114"/>
    </row>
    <row r="15" spans="1:5" ht="20.100000000000001" customHeight="1" thickBot="1" x14ac:dyDescent="0.25">
      <c r="A15" s="279" t="s">
        <v>133</v>
      </c>
      <c r="B15" s="280"/>
      <c r="C15" s="281"/>
      <c r="D15" s="273">
        <f>SUM(D6:D14)</f>
        <v>192238</v>
      </c>
    </row>
    <row r="16" spans="1:5" ht="20.100000000000001" customHeight="1" thickTop="1" x14ac:dyDescent="0.2"/>
    <row r="17" spans="1:4" ht="20.100000000000001" customHeight="1" x14ac:dyDescent="0.2">
      <c r="A17" s="172"/>
      <c r="B17" s="214" t="s">
        <v>202</v>
      </c>
      <c r="C17" s="214"/>
      <c r="D17" s="214"/>
    </row>
    <row r="18" spans="1:4" ht="20.100000000000001" customHeight="1" thickBot="1" x14ac:dyDescent="0.25">
      <c r="A18" s="278" t="s">
        <v>316</v>
      </c>
      <c r="B18" s="278" t="s">
        <v>119</v>
      </c>
      <c r="C18" s="278" t="s">
        <v>99</v>
      </c>
      <c r="D18" s="278" t="s">
        <v>34</v>
      </c>
    </row>
    <row r="19" spans="1:4" ht="20.100000000000001" customHeight="1" thickTop="1" x14ac:dyDescent="0.2">
      <c r="A19" s="274">
        <v>1</v>
      </c>
      <c r="B19" s="275" t="s">
        <v>135</v>
      </c>
      <c r="C19" s="276" t="s">
        <v>276</v>
      </c>
      <c r="D19" s="277">
        <v>5200</v>
      </c>
    </row>
    <row r="20" spans="1:4" ht="20.100000000000001" customHeight="1" x14ac:dyDescent="0.2">
      <c r="A20" s="173">
        <v>2</v>
      </c>
      <c r="B20" s="180" t="s">
        <v>104</v>
      </c>
      <c r="C20" s="176" t="s">
        <v>277</v>
      </c>
      <c r="D20" s="175">
        <f>119000+142800</f>
        <v>261800</v>
      </c>
    </row>
    <row r="21" spans="1:4" ht="20.100000000000001" customHeight="1" x14ac:dyDescent="0.2">
      <c r="A21" s="173">
        <v>3</v>
      </c>
      <c r="B21" s="177" t="s">
        <v>160</v>
      </c>
      <c r="C21" s="176" t="s">
        <v>161</v>
      </c>
      <c r="D21" s="175">
        <f>9500+7200</f>
        <v>16700</v>
      </c>
    </row>
    <row r="22" spans="1:4" ht="20.100000000000001" customHeight="1" thickBot="1" x14ac:dyDescent="0.25">
      <c r="A22" s="282" t="s">
        <v>134</v>
      </c>
      <c r="B22" s="283"/>
      <c r="C22" s="284"/>
      <c r="D22" s="285">
        <f>SUM(D19:D21)</f>
        <v>283700</v>
      </c>
    </row>
    <row r="23" spans="1:4" ht="20.100000000000001" customHeight="1" thickBot="1" x14ac:dyDescent="0.25">
      <c r="A23" s="286" t="s">
        <v>136</v>
      </c>
      <c r="B23" s="287"/>
      <c r="C23" s="288"/>
      <c r="D23" s="289">
        <f>D15+D22</f>
        <v>475938</v>
      </c>
    </row>
    <row r="26" spans="1:4" x14ac:dyDescent="0.2">
      <c r="A26" s="216" t="s">
        <v>293</v>
      </c>
      <c r="B26" s="216"/>
    </row>
    <row r="27" spans="1:4" ht="20.100000000000001" customHeight="1" x14ac:dyDescent="0.2">
      <c r="A27" s="214" t="s">
        <v>203</v>
      </c>
      <c r="B27" s="214"/>
      <c r="C27" s="214"/>
      <c r="D27" s="214"/>
    </row>
    <row r="28" spans="1:4" ht="20.100000000000001" customHeight="1" thickBot="1" x14ac:dyDescent="0.25">
      <c r="A28" s="278" t="s">
        <v>316</v>
      </c>
      <c r="B28" s="278" t="s">
        <v>117</v>
      </c>
      <c r="C28" s="278" t="s">
        <v>139</v>
      </c>
      <c r="D28" s="278" t="s">
        <v>34</v>
      </c>
    </row>
    <row r="29" spans="1:4" ht="20.100000000000001" customHeight="1" thickTop="1" x14ac:dyDescent="0.2">
      <c r="A29" s="274">
        <v>1</v>
      </c>
      <c r="B29" s="295" t="s">
        <v>140</v>
      </c>
      <c r="C29" s="296" t="s">
        <v>166</v>
      </c>
      <c r="D29" s="297">
        <v>6172</v>
      </c>
    </row>
    <row r="30" spans="1:4" ht="20.100000000000001" customHeight="1" x14ac:dyDescent="0.2">
      <c r="A30" s="173">
        <v>2</v>
      </c>
      <c r="B30" s="181" t="s">
        <v>207</v>
      </c>
      <c r="C30" s="182" t="s">
        <v>208</v>
      </c>
      <c r="D30" s="130">
        <v>5258</v>
      </c>
    </row>
    <row r="31" spans="1:4" ht="20.100000000000001" customHeight="1" thickBot="1" x14ac:dyDescent="0.25">
      <c r="A31" s="290">
        <v>3</v>
      </c>
      <c r="B31" s="291">
        <v>1002</v>
      </c>
      <c r="C31" s="292" t="s">
        <v>209</v>
      </c>
      <c r="D31" s="293">
        <v>184</v>
      </c>
    </row>
    <row r="32" spans="1:4" ht="20.100000000000001" customHeight="1" thickBot="1" x14ac:dyDescent="0.25">
      <c r="A32" s="286" t="s">
        <v>88</v>
      </c>
      <c r="B32" s="287"/>
      <c r="C32" s="288"/>
      <c r="D32" s="294">
        <f>SUM(D29:D31)</f>
        <v>11614</v>
      </c>
    </row>
  </sheetData>
  <mergeCells count="10">
    <mergeCell ref="A23:C23"/>
    <mergeCell ref="A26:B26"/>
    <mergeCell ref="A32:C32"/>
    <mergeCell ref="A27:D27"/>
    <mergeCell ref="A2:B2"/>
    <mergeCell ref="A3:D3"/>
    <mergeCell ref="B4:D4"/>
    <mergeCell ref="A15:C15"/>
    <mergeCell ref="B17:D17"/>
    <mergeCell ref="A22:C22"/>
  </mergeCells>
  <printOptions horizontalCentered="1"/>
  <pageMargins left="0.39370078740157483" right="0.19685039370078741" top="0.59055118110236227" bottom="0.39370078740157483" header="0.19685039370078741" footer="0.19685039370078741"/>
  <pageSetup paperSize="9" scale="85" orientation="landscape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K18"/>
  <sheetViews>
    <sheetView workbookViewId="0">
      <selection activeCell="I25" sqref="I25"/>
    </sheetView>
  </sheetViews>
  <sheetFormatPr defaultRowHeight="12.75" x14ac:dyDescent="0.2"/>
  <cols>
    <col min="1" max="1" width="5.28515625" bestFit="1" customWidth="1"/>
    <col min="2" max="2" width="54.28515625" bestFit="1" customWidth="1"/>
    <col min="3" max="3" width="13.5703125" bestFit="1" customWidth="1"/>
    <col min="5" max="5" width="10.140625" bestFit="1" customWidth="1"/>
    <col min="6" max="7" width="7.7109375" bestFit="1" customWidth="1"/>
    <col min="8" max="8" width="10.28515625" bestFit="1" customWidth="1"/>
    <col min="9" max="9" width="24.140625" bestFit="1" customWidth="1"/>
    <col min="10" max="10" width="23.140625" bestFit="1" customWidth="1"/>
    <col min="11" max="11" width="10.42578125" bestFit="1" customWidth="1"/>
  </cols>
  <sheetData>
    <row r="2" spans="1:11" x14ac:dyDescent="0.2">
      <c r="A2" s="217" t="s">
        <v>28</v>
      </c>
      <c r="B2" s="217"/>
      <c r="C2" s="217"/>
    </row>
    <row r="4" spans="1:11" ht="15" x14ac:dyDescent="0.25">
      <c r="A4" s="4"/>
      <c r="B4" s="34" t="s">
        <v>243</v>
      </c>
      <c r="C4" s="4"/>
      <c r="E4" s="18" t="s">
        <v>96</v>
      </c>
      <c r="F4" s="18" t="s">
        <v>97</v>
      </c>
      <c r="G4" s="18" t="s">
        <v>98</v>
      </c>
      <c r="H4" s="18" t="s">
        <v>102</v>
      </c>
      <c r="I4" s="18" t="s">
        <v>103</v>
      </c>
      <c r="J4" s="18" t="s">
        <v>100</v>
      </c>
      <c r="K4" s="18" t="s">
        <v>101</v>
      </c>
    </row>
    <row r="5" spans="1:11" ht="15" x14ac:dyDescent="0.25">
      <c r="C5" s="14" t="s">
        <v>34</v>
      </c>
      <c r="E5" s="19" t="s">
        <v>245</v>
      </c>
      <c r="F5" s="22"/>
      <c r="G5" s="22">
        <v>3250</v>
      </c>
      <c r="H5" s="20">
        <v>1443</v>
      </c>
      <c r="I5" s="21" t="s">
        <v>308</v>
      </c>
      <c r="J5" s="19" t="s">
        <v>246</v>
      </c>
      <c r="K5" s="19" t="s">
        <v>309</v>
      </c>
    </row>
    <row r="6" spans="1:11" ht="15" x14ac:dyDescent="0.25">
      <c r="A6" s="15"/>
      <c r="B6" t="s">
        <v>93</v>
      </c>
      <c r="C6" s="16">
        <v>187598.36</v>
      </c>
      <c r="E6" s="19" t="s">
        <v>301</v>
      </c>
      <c r="F6" s="22"/>
      <c r="G6" s="22">
        <v>12060</v>
      </c>
      <c r="H6" s="20">
        <v>1444</v>
      </c>
      <c r="I6" s="21" t="s">
        <v>302</v>
      </c>
      <c r="J6" s="19" t="s">
        <v>303</v>
      </c>
      <c r="K6" s="19" t="s">
        <v>310</v>
      </c>
    </row>
    <row r="7" spans="1:11" ht="15.75" thickBot="1" x14ac:dyDescent="0.3">
      <c r="A7" s="15"/>
      <c r="C7" s="16"/>
      <c r="F7" s="23">
        <f>SUM(F5:F6)</f>
        <v>0</v>
      </c>
      <c r="G7" s="23">
        <f>SUM(G5:G6)</f>
        <v>15310</v>
      </c>
    </row>
    <row r="8" spans="1:11" ht="13.5" thickTop="1" x14ac:dyDescent="0.2">
      <c r="A8" t="s">
        <v>94</v>
      </c>
      <c r="B8" t="s">
        <v>247</v>
      </c>
      <c r="C8" s="16">
        <f>G7</f>
        <v>15310</v>
      </c>
      <c r="F8" s="24"/>
      <c r="G8" s="24"/>
    </row>
    <row r="9" spans="1:11" x14ac:dyDescent="0.2">
      <c r="C9" s="16"/>
    </row>
    <row r="10" spans="1:11" ht="15.75" thickBot="1" x14ac:dyDescent="0.3">
      <c r="B10" s="17" t="s">
        <v>95</v>
      </c>
      <c r="C10" s="41">
        <f>C6+C8</f>
        <v>202908.36</v>
      </c>
    </row>
    <row r="11" spans="1:11" ht="13.5" thickTop="1" x14ac:dyDescent="0.2">
      <c r="C11" s="9"/>
      <c r="E11" s="9"/>
    </row>
    <row r="13" spans="1:11" ht="15" x14ac:dyDescent="0.25">
      <c r="A13" s="4"/>
      <c r="B13" s="34" t="s">
        <v>244</v>
      </c>
      <c r="C13" s="4"/>
    </row>
    <row r="14" spans="1:11" ht="15" x14ac:dyDescent="0.25">
      <c r="C14" s="14" t="s">
        <v>34</v>
      </c>
    </row>
    <row r="15" spans="1:11" ht="15" x14ac:dyDescent="0.25">
      <c r="A15" s="15"/>
      <c r="B15" t="s">
        <v>93</v>
      </c>
      <c r="C15" s="16">
        <v>99229.5</v>
      </c>
    </row>
    <row r="16" spans="1:11" ht="15" x14ac:dyDescent="0.25">
      <c r="B16" s="15"/>
      <c r="C16" s="16"/>
    </row>
    <row r="17" spans="2:3" ht="15.75" thickBot="1" x14ac:dyDescent="0.3">
      <c r="B17" s="17" t="s">
        <v>95</v>
      </c>
      <c r="C17" s="41">
        <v>99229.5</v>
      </c>
    </row>
    <row r="18" spans="2:3" ht="13.5" thickTop="1" x14ac:dyDescent="0.2">
      <c r="C18" s="9">
        <f>C15-C17</f>
        <v>0</v>
      </c>
    </row>
  </sheetData>
  <mergeCells count="1">
    <mergeCell ref="A2:C2"/>
  </mergeCells>
  <pageMargins left="0.7" right="0.7" top="0.75" bottom="0.75" header="0.3" footer="0.3"/>
  <pageSetup orientation="portrait" horizontalDpi="120" verticalDpi="72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44"/>
  <sheetViews>
    <sheetView topLeftCell="A13" workbookViewId="0">
      <selection activeCell="G23" sqref="G23"/>
    </sheetView>
  </sheetViews>
  <sheetFormatPr defaultRowHeight="12.75" x14ac:dyDescent="0.2"/>
  <cols>
    <col min="1" max="1" width="8.85546875" style="1"/>
    <col min="2" max="2" width="16.7109375" style="1" bestFit="1" customWidth="1"/>
    <col min="3" max="4" width="10.28515625" bestFit="1" customWidth="1"/>
    <col min="5" max="5" width="11.140625" customWidth="1"/>
    <col min="6" max="6" width="12.85546875" bestFit="1" customWidth="1"/>
    <col min="11" max="11" width="24" bestFit="1" customWidth="1"/>
    <col min="13" max="13" width="10.85546875" bestFit="1" customWidth="1"/>
  </cols>
  <sheetData>
    <row r="1" spans="1:13" x14ac:dyDescent="0.2">
      <c r="C1" s="217" t="s">
        <v>31</v>
      </c>
      <c r="D1" s="217"/>
      <c r="E1" s="218" t="s">
        <v>79</v>
      </c>
      <c r="F1" s="1"/>
    </row>
    <row r="2" spans="1:13" ht="19.149999999999999" customHeight="1" x14ac:dyDescent="0.2">
      <c r="B2" s="1" t="s">
        <v>30</v>
      </c>
      <c r="C2" s="3" t="s">
        <v>32</v>
      </c>
      <c r="D2" s="3" t="s">
        <v>33</v>
      </c>
      <c r="E2" s="218"/>
      <c r="F2" s="1" t="s">
        <v>34</v>
      </c>
    </row>
    <row r="3" spans="1:13" ht="15" x14ac:dyDescent="0.25">
      <c r="K3" s="15" t="s">
        <v>145</v>
      </c>
    </row>
    <row r="4" spans="1:13" x14ac:dyDescent="0.2">
      <c r="A4" s="1">
        <v>1</v>
      </c>
      <c r="B4" s="1" t="s">
        <v>35</v>
      </c>
      <c r="K4" t="s">
        <v>146</v>
      </c>
      <c r="M4" s="27">
        <f>'INCOME &amp; EXP'!G18</f>
        <v>29922</v>
      </c>
    </row>
    <row r="5" spans="1:13" x14ac:dyDescent="0.2">
      <c r="C5" s="5">
        <v>45959</v>
      </c>
      <c r="D5" s="6">
        <v>46323</v>
      </c>
      <c r="E5">
        <f>D5-C5+1</f>
        <v>365</v>
      </c>
      <c r="F5">
        <v>300900</v>
      </c>
      <c r="K5" t="s">
        <v>147</v>
      </c>
      <c r="M5" s="9">
        <f>'INCOME &amp; EXP'!G19</f>
        <v>63586</v>
      </c>
    </row>
    <row r="6" spans="1:13" x14ac:dyDescent="0.2">
      <c r="C6" s="5">
        <v>46113</v>
      </c>
      <c r="D6" s="6">
        <f>D5</f>
        <v>46323</v>
      </c>
      <c r="E6">
        <f>D6-C6+1</f>
        <v>211</v>
      </c>
      <c r="F6">
        <f>ROUND(E6*F5/E5,0)</f>
        <v>173945</v>
      </c>
      <c r="G6" s="1" t="s">
        <v>36</v>
      </c>
      <c r="K6" t="s">
        <v>158</v>
      </c>
      <c r="M6" s="9">
        <f>-M5</f>
        <v>-63586</v>
      </c>
    </row>
    <row r="7" spans="1:13" x14ac:dyDescent="0.2">
      <c r="C7" s="5"/>
      <c r="D7" s="6"/>
      <c r="G7" s="1"/>
      <c r="K7" t="s">
        <v>110</v>
      </c>
      <c r="M7" s="9">
        <f>'INCOME &amp; EXP'!G25</f>
        <v>0</v>
      </c>
    </row>
    <row r="8" spans="1:13" x14ac:dyDescent="0.2">
      <c r="A8" s="1">
        <v>2</v>
      </c>
      <c r="B8" s="32" t="s">
        <v>37</v>
      </c>
      <c r="K8" t="s">
        <v>148</v>
      </c>
      <c r="M8" s="28">
        <f>'INCOME &amp; EXP'!G26</f>
        <v>3001</v>
      </c>
    </row>
    <row r="9" spans="1:13" x14ac:dyDescent="0.2">
      <c r="C9" s="5">
        <v>46023</v>
      </c>
      <c r="D9" s="6">
        <v>46387</v>
      </c>
      <c r="E9">
        <f>D9-C9+1</f>
        <v>365</v>
      </c>
      <c r="F9">
        <v>22715</v>
      </c>
      <c r="K9" t="s">
        <v>149</v>
      </c>
      <c r="M9" s="27">
        <f>SUM(M4:M8)</f>
        <v>32923</v>
      </c>
    </row>
    <row r="10" spans="1:13" x14ac:dyDescent="0.2">
      <c r="C10" s="5">
        <v>46113</v>
      </c>
      <c r="D10" s="6">
        <f>D9</f>
        <v>46387</v>
      </c>
      <c r="E10">
        <f>D10-C10+1</f>
        <v>275</v>
      </c>
      <c r="F10">
        <f>ROUND(E10*F9/E9,0)</f>
        <v>17114</v>
      </c>
      <c r="G10" s="1" t="s">
        <v>36</v>
      </c>
      <c r="K10" t="s">
        <v>150</v>
      </c>
      <c r="L10" s="29">
        <v>0.1</v>
      </c>
      <c r="M10" s="27">
        <v>1000</v>
      </c>
    </row>
    <row r="11" spans="1:13" x14ac:dyDescent="0.2">
      <c r="K11" t="s">
        <v>151</v>
      </c>
      <c r="L11" s="29">
        <v>0.2</v>
      </c>
      <c r="M11" s="27">
        <v>2000</v>
      </c>
    </row>
    <row r="12" spans="1:13" x14ac:dyDescent="0.2">
      <c r="A12" s="1">
        <v>3</v>
      </c>
      <c r="B12" s="32" t="s">
        <v>38</v>
      </c>
      <c r="K12" t="s">
        <v>152</v>
      </c>
      <c r="L12" s="29">
        <v>0.3</v>
      </c>
      <c r="M12" s="28">
        <f>ROUND((M9-20000)*30%,0)</f>
        <v>3877</v>
      </c>
    </row>
    <row r="13" spans="1:13" x14ac:dyDescent="0.2">
      <c r="C13" s="5">
        <v>45417</v>
      </c>
      <c r="D13" s="6">
        <v>46511</v>
      </c>
      <c r="E13">
        <f>D13-C13+1</f>
        <v>1095</v>
      </c>
      <c r="F13">
        <v>4140</v>
      </c>
      <c r="K13" t="s">
        <v>153</v>
      </c>
      <c r="M13" s="27">
        <f>SUM(M10:M12)</f>
        <v>6877</v>
      </c>
    </row>
    <row r="14" spans="1:13" x14ac:dyDescent="0.2">
      <c r="C14" s="5">
        <v>45748</v>
      </c>
      <c r="D14" s="6">
        <v>46511</v>
      </c>
      <c r="E14">
        <f>D14-C14+1</f>
        <v>764</v>
      </c>
      <c r="F14">
        <v>2775</v>
      </c>
      <c r="G14" s="1" t="s">
        <v>36</v>
      </c>
      <c r="K14" t="s">
        <v>154</v>
      </c>
      <c r="L14" s="29">
        <v>0.04</v>
      </c>
      <c r="M14" s="27">
        <f>M13*4%</f>
        <v>275.08</v>
      </c>
    </row>
    <row r="15" spans="1:13" x14ac:dyDescent="0.2">
      <c r="C15" s="5">
        <v>45748</v>
      </c>
      <c r="D15" s="6">
        <v>46112</v>
      </c>
      <c r="E15">
        <f>D15-C15+1</f>
        <v>365</v>
      </c>
      <c r="F15">
        <f>ROUND(F13*E15/E13,0)</f>
        <v>1380</v>
      </c>
      <c r="G15" s="1" t="s">
        <v>36</v>
      </c>
      <c r="K15" t="s">
        <v>155</v>
      </c>
      <c r="M15" s="27">
        <f>M13+M14</f>
        <v>7152.08</v>
      </c>
    </row>
    <row r="16" spans="1:13" x14ac:dyDescent="0.2">
      <c r="C16" s="5"/>
      <c r="D16" s="6"/>
      <c r="G16" s="1"/>
      <c r="K16" t="s">
        <v>156</v>
      </c>
      <c r="M16" s="27">
        <f>ROUND(M15,-2)</f>
        <v>7200</v>
      </c>
    </row>
    <row r="17" spans="1:7" x14ac:dyDescent="0.2">
      <c r="A17" s="1">
        <v>4</v>
      </c>
      <c r="B17" s="32" t="s">
        <v>39</v>
      </c>
    </row>
    <row r="18" spans="1:7" x14ac:dyDescent="0.2">
      <c r="C18" s="5">
        <v>46023</v>
      </c>
      <c r="D18" s="6">
        <v>46387</v>
      </c>
      <c r="E18">
        <f>D18-C18+1</f>
        <v>365</v>
      </c>
      <c r="F18">
        <v>19470</v>
      </c>
    </row>
    <row r="19" spans="1:7" x14ac:dyDescent="0.2">
      <c r="C19" s="5">
        <v>46113</v>
      </c>
      <c r="D19" s="6">
        <f>D18</f>
        <v>46387</v>
      </c>
      <c r="E19">
        <f>D19-C19+1</f>
        <v>275</v>
      </c>
      <c r="F19">
        <f>ROUND(E19*F18/E18,0)</f>
        <v>14669</v>
      </c>
      <c r="G19" s="1" t="s">
        <v>36</v>
      </c>
    </row>
    <row r="21" spans="1:7" x14ac:dyDescent="0.2">
      <c r="A21" s="1">
        <v>5</v>
      </c>
      <c r="B21" s="32" t="s">
        <v>42</v>
      </c>
    </row>
    <row r="22" spans="1:7" x14ac:dyDescent="0.2">
      <c r="C22" s="7">
        <v>45383</v>
      </c>
      <c r="D22" s="8">
        <v>45747</v>
      </c>
      <c r="E22">
        <v>12</v>
      </c>
      <c r="F22">
        <f>11900*12</f>
        <v>142800</v>
      </c>
    </row>
    <row r="23" spans="1:7" x14ac:dyDescent="0.2">
      <c r="C23" s="7">
        <v>45748</v>
      </c>
      <c r="D23" s="8">
        <v>46112</v>
      </c>
      <c r="E23">
        <v>12</v>
      </c>
      <c r="F23">
        <f>11900*12</f>
        <v>142800</v>
      </c>
      <c r="G23" s="1" t="s">
        <v>78</v>
      </c>
    </row>
    <row r="25" spans="1:7" x14ac:dyDescent="0.2">
      <c r="A25" s="1">
        <v>6</v>
      </c>
      <c r="B25" s="32" t="s">
        <v>168</v>
      </c>
    </row>
    <row r="26" spans="1:7" x14ac:dyDescent="0.2">
      <c r="C26" s="5">
        <v>46050</v>
      </c>
      <c r="D26" s="5">
        <v>46414</v>
      </c>
      <c r="E26" s="31">
        <f>D26-C26+1</f>
        <v>365</v>
      </c>
      <c r="F26">
        <v>21890</v>
      </c>
    </row>
    <row r="27" spans="1:7" x14ac:dyDescent="0.2">
      <c r="C27" s="5">
        <v>46113</v>
      </c>
      <c r="D27" s="5">
        <f>D26</f>
        <v>46414</v>
      </c>
      <c r="E27" s="31">
        <f>D27-C27+1</f>
        <v>302</v>
      </c>
      <c r="F27">
        <f>ROUND(E27*F26/E26,0)</f>
        <v>18112</v>
      </c>
      <c r="G27" s="1" t="s">
        <v>36</v>
      </c>
    </row>
    <row r="29" spans="1:7" x14ac:dyDescent="0.2">
      <c r="A29" s="1">
        <v>7</v>
      </c>
      <c r="B29" s="32" t="s">
        <v>210</v>
      </c>
    </row>
    <row r="30" spans="1:7" x14ac:dyDescent="0.2">
      <c r="C30" s="5">
        <v>45778</v>
      </c>
      <c r="D30" s="5">
        <v>46142</v>
      </c>
      <c r="E30" s="31">
        <v>12</v>
      </c>
      <c r="F30">
        <v>50740</v>
      </c>
    </row>
    <row r="31" spans="1:7" x14ac:dyDescent="0.2">
      <c r="C31" s="5">
        <v>46113</v>
      </c>
      <c r="D31" s="5">
        <f>D30</f>
        <v>46142</v>
      </c>
      <c r="E31" s="31">
        <v>1</v>
      </c>
      <c r="F31">
        <f>ROUND(E31*F30/E30,0)</f>
        <v>4228</v>
      </c>
      <c r="G31" s="1" t="s">
        <v>36</v>
      </c>
    </row>
    <row r="33" spans="1:8" x14ac:dyDescent="0.2">
      <c r="A33" s="1">
        <v>8</v>
      </c>
      <c r="B33" s="32" t="s">
        <v>211</v>
      </c>
    </row>
    <row r="34" spans="1:8" x14ac:dyDescent="0.2">
      <c r="C34" s="5">
        <v>45778</v>
      </c>
      <c r="D34" s="5">
        <v>46142</v>
      </c>
      <c r="E34" s="31">
        <v>12</v>
      </c>
      <c r="F34">
        <v>210040</v>
      </c>
    </row>
    <row r="35" spans="1:8" x14ac:dyDescent="0.2">
      <c r="C35" s="5">
        <v>46113</v>
      </c>
      <c r="D35" s="5">
        <f>D34</f>
        <v>46142</v>
      </c>
      <c r="E35" s="31">
        <v>1</v>
      </c>
      <c r="F35">
        <f>ROUND(E35*F34/E34,0)</f>
        <v>17503</v>
      </c>
      <c r="G35" s="1" t="s">
        <v>36</v>
      </c>
    </row>
    <row r="37" spans="1:8" x14ac:dyDescent="0.2">
      <c r="F37" s="30" t="s">
        <v>128</v>
      </c>
      <c r="G37" s="30" t="s">
        <v>97</v>
      </c>
    </row>
    <row r="38" spans="1:8" x14ac:dyDescent="0.2">
      <c r="F38" t="s">
        <v>163</v>
      </c>
      <c r="G38" s="33">
        <v>2390</v>
      </c>
      <c r="H38" s="2" t="s">
        <v>287</v>
      </c>
    </row>
    <row r="39" spans="1:8" x14ac:dyDescent="0.2">
      <c r="F39" s="2" t="s">
        <v>164</v>
      </c>
      <c r="G39" s="33">
        <v>400</v>
      </c>
      <c r="H39" s="2" t="s">
        <v>287</v>
      </c>
    </row>
    <row r="40" spans="1:8" x14ac:dyDescent="0.2">
      <c r="F40" s="2" t="s">
        <v>165</v>
      </c>
      <c r="G40" s="33">
        <v>720</v>
      </c>
      <c r="H40" s="2" t="s">
        <v>287</v>
      </c>
    </row>
    <row r="41" spans="1:8" x14ac:dyDescent="0.2">
      <c r="F41" s="2" t="s">
        <v>171</v>
      </c>
      <c r="G41" s="33">
        <v>17825.09</v>
      </c>
      <c r="H41" s="2" t="s">
        <v>287</v>
      </c>
    </row>
    <row r="42" spans="1:8" x14ac:dyDescent="0.2">
      <c r="F42" s="2" t="s">
        <v>172</v>
      </c>
      <c r="G42" s="33">
        <f>4953.2</f>
        <v>4953.2</v>
      </c>
      <c r="H42" s="2" t="s">
        <v>287</v>
      </c>
    </row>
    <row r="43" spans="1:8" ht="13.5" thickBot="1" x14ac:dyDescent="0.25">
      <c r="G43" s="42">
        <f>SUM(G38:G42)</f>
        <v>26288.29</v>
      </c>
    </row>
    <row r="44" spans="1:8" ht="13.5" thickTop="1" x14ac:dyDescent="0.2"/>
  </sheetData>
  <mergeCells count="2">
    <mergeCell ref="C1:D1"/>
    <mergeCell ref="E1:E2"/>
  </mergeCells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G10"/>
  <sheetViews>
    <sheetView workbookViewId="0">
      <selection activeCell="C5" sqref="C5"/>
    </sheetView>
  </sheetViews>
  <sheetFormatPr defaultRowHeight="12.75" x14ac:dyDescent="0.2"/>
  <cols>
    <col min="1" max="1" width="2" bestFit="1" customWidth="1"/>
    <col min="2" max="2" width="47.7109375" bestFit="1" customWidth="1"/>
    <col min="3" max="3" width="4.28515625" bestFit="1" customWidth="1"/>
    <col min="7" max="7" width="34.7109375" bestFit="1" customWidth="1"/>
  </cols>
  <sheetData>
    <row r="3" spans="1:7" x14ac:dyDescent="0.2">
      <c r="B3" t="s">
        <v>174</v>
      </c>
    </row>
    <row r="4" spans="1:7" x14ac:dyDescent="0.2">
      <c r="A4" s="4">
        <v>1</v>
      </c>
      <c r="B4" t="s">
        <v>175</v>
      </c>
      <c r="C4" t="s">
        <v>190</v>
      </c>
      <c r="G4" s="2"/>
    </row>
    <row r="5" spans="1:7" x14ac:dyDescent="0.2">
      <c r="A5" s="4">
        <v>2</v>
      </c>
      <c r="B5" s="2" t="s">
        <v>189</v>
      </c>
      <c r="G5" s="2"/>
    </row>
    <row r="6" spans="1:7" x14ac:dyDescent="0.2">
      <c r="B6" s="2"/>
      <c r="G6" s="2"/>
    </row>
    <row r="7" spans="1:7" x14ac:dyDescent="0.2">
      <c r="G7" s="2"/>
    </row>
    <row r="8" spans="1:7" x14ac:dyDescent="0.2">
      <c r="G8" s="2"/>
    </row>
    <row r="9" spans="1:7" x14ac:dyDescent="0.2">
      <c r="G9" s="2"/>
    </row>
    <row r="10" spans="1:7" x14ac:dyDescent="0.2">
      <c r="G10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6</vt:i4>
      </vt:variant>
    </vt:vector>
  </HeadingPairs>
  <TitlesOfParts>
    <vt:vector size="15" baseType="lpstr">
      <vt:lpstr>BALANCE SHEET</vt:lpstr>
      <vt:lpstr>INCOME &amp; EXP</vt:lpstr>
      <vt:lpstr>FDR Sch-I</vt:lpstr>
      <vt:lpstr>FA Sch-II</vt:lpstr>
      <vt:lpstr>Sch-III &amp; IV</vt:lpstr>
      <vt:lpstr>Sch-V &amp; VI</vt:lpstr>
      <vt:lpstr>BRS</vt:lpstr>
      <vt:lpstr>Workings</vt:lpstr>
      <vt:lpstr>Notes</vt:lpstr>
      <vt:lpstr>'BALANCE SHEET'!Print_Area</vt:lpstr>
      <vt:lpstr>'FA Sch-II'!Print_Area</vt:lpstr>
      <vt:lpstr>'FDR Sch-I'!Print_Area</vt:lpstr>
      <vt:lpstr>'INCOME &amp; EXP'!Print_Area</vt:lpstr>
      <vt:lpstr>'Sch-III &amp; IV'!Print_Area</vt:lpstr>
      <vt:lpstr>'Sch-V &amp; VI'!Print_Area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Bharat</cp:lastModifiedBy>
  <cp:lastPrinted>2026-05-19T18:52:11Z</cp:lastPrinted>
  <dcterms:created xsi:type="dcterms:W3CDTF">1996-10-14T23:33:28Z</dcterms:created>
  <dcterms:modified xsi:type="dcterms:W3CDTF">2026-05-19T18:52:30Z</dcterms:modified>
</cp:coreProperties>
</file>