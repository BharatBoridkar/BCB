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 Data\Bharat Boridkar\BORIDKAR\Bharat\Audit\010-Sparsh-CHS\010-Sparsh-CHS\"/>
    </mc:Choice>
  </mc:AlternateContent>
  <xr:revisionPtr revIDLastSave="0" documentId="13_ncr:1_{25676B4C-0EFF-4A66-8B06-C898855B78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LANCE SHEET" sheetId="4" r:id="rId1"/>
    <sheet name="INCOME &amp; EXP" sheetId="1" r:id="rId2"/>
    <sheet name="FA Sch-I" sheetId="8" r:id="rId3"/>
    <sheet name="Sch-II &amp; III" sheetId="9" r:id="rId4"/>
    <sheet name="Sch-IV &amp; V" sheetId="10" r:id="rId5"/>
    <sheet name="BRS" sheetId="5" r:id="rId6"/>
    <sheet name="Workings" sheetId="7" r:id="rId7"/>
    <sheet name="Notes" sheetId="6" r:id="rId8"/>
  </sheets>
  <externalReferences>
    <externalReference r:id="rId9"/>
  </externalReferences>
  <definedNames>
    <definedName name="_xlnm.Print_Area" localSheetId="0">'BALANCE SHEET'!$A$1:$H$47</definedName>
    <definedName name="_xlnm.Print_Area" localSheetId="2">'FA Sch-I'!$A$1:$H$11</definedName>
    <definedName name="_xlnm.Print_Area" localSheetId="1">'INCOME &amp; EXP'!$A$1:$H$75</definedName>
    <definedName name="_xlnm.Print_Area" localSheetId="3">'Sch-II &amp; III'!$A$1:$D$25</definedName>
    <definedName name="_xlnm.Print_Area" localSheetId="4">'Sch-IV &amp; V'!$A$1:$D$31</definedName>
    <definedName name="_xlnm.Print_Titles" localSheetId="1">'INCOME &amp; EXP'!$1:$4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" l="1"/>
  <c r="F16" i="6"/>
  <c r="D15" i="6"/>
  <c r="A1" i="8" l="1"/>
  <c r="A3" i="9" s="1"/>
  <c r="A3" i="10" l="1"/>
  <c r="A16" i="9"/>
  <c r="G35" i="7"/>
  <c r="C23" i="4"/>
  <c r="D23" i="4" s="1"/>
  <c r="C19" i="4"/>
  <c r="D26" i="7"/>
  <c r="E26" i="7" s="1"/>
  <c r="F26" i="7" s="1"/>
  <c r="D23" i="9" s="1"/>
  <c r="D24" i="9" s="1"/>
  <c r="E25" i="7"/>
  <c r="D12" i="1"/>
  <c r="C12" i="4"/>
  <c r="D22" i="10" l="1"/>
  <c r="M7" i="7"/>
  <c r="M5" i="7"/>
  <c r="M6" i="7" s="1"/>
  <c r="M4" i="7"/>
  <c r="M8" i="7"/>
  <c r="M9" i="7" l="1"/>
  <c r="M12" i="7" s="1"/>
  <c r="M13" i="7" s="1"/>
  <c r="D30" i="10"/>
  <c r="D11" i="9"/>
  <c r="M14" i="7" l="1"/>
  <c r="M15" i="7" s="1"/>
  <c r="M16" i="7" s="1"/>
  <c r="E37" i="4" l="1"/>
  <c r="A37" i="4"/>
  <c r="C32" i="4"/>
  <c r="D29" i="4"/>
  <c r="D15" i="10"/>
  <c r="D16" i="4"/>
  <c r="C10" i="4"/>
  <c r="C25" i="4"/>
  <c r="D25" i="4" s="1"/>
  <c r="C18" i="4"/>
  <c r="D19" i="4" s="1"/>
  <c r="C7" i="4"/>
  <c r="C6" i="4"/>
  <c r="G22" i="4"/>
  <c r="H17" i="4"/>
  <c r="G24" i="4"/>
  <c r="I39" i="4" l="1"/>
  <c r="I42" i="4"/>
  <c r="D23" i="10"/>
  <c r="D27" i="4" s="1"/>
  <c r="D7" i="4"/>
  <c r="H24" i="4"/>
  <c r="E8" i="8" l="1"/>
  <c r="F8" i="8"/>
  <c r="F7" i="8"/>
  <c r="F6" i="8"/>
  <c r="F5" i="8"/>
  <c r="F4" i="8"/>
  <c r="G7" i="4" l="1"/>
  <c r="G8" i="4"/>
  <c r="C10" i="5"/>
  <c r="G7" i="5"/>
  <c r="C8" i="5" s="1"/>
  <c r="C12" i="5" s="1"/>
  <c r="F7" i="5"/>
  <c r="C21" i="5"/>
  <c r="G7" i="8"/>
  <c r="H7" i="8" s="1"/>
  <c r="G8" i="8"/>
  <c r="H8" i="8" s="1"/>
  <c r="G6" i="8"/>
  <c r="H6" i="8" s="1"/>
  <c r="G5" i="8"/>
  <c r="H5" i="8" s="1"/>
  <c r="G4" i="8"/>
  <c r="H4" i="8" s="1"/>
  <c r="E9" i="8"/>
  <c r="C9" i="8"/>
  <c r="D9" i="8"/>
  <c r="F21" i="7"/>
  <c r="F22" i="7"/>
  <c r="D16" i="1" s="1"/>
  <c r="A65" i="1"/>
  <c r="C43" i="1"/>
  <c r="D39" i="1"/>
  <c r="D24" i="1"/>
  <c r="D32" i="1"/>
  <c r="C8" i="1"/>
  <c r="H9" i="8" l="1"/>
  <c r="H19" i="4"/>
  <c r="H8" i="4"/>
  <c r="H37" i="4" s="1"/>
  <c r="C14" i="5"/>
  <c r="G9" i="8"/>
  <c r="C60" i="1" s="1"/>
  <c r="D60" i="1" s="1"/>
  <c r="F9" i="8"/>
  <c r="C6" i="1" l="1"/>
  <c r="C7" i="1"/>
  <c r="H24" i="1"/>
  <c r="G10" i="1"/>
  <c r="H13" i="1" s="1"/>
  <c r="H65" i="1" l="1"/>
  <c r="D9" i="1"/>
  <c r="E18" i="7"/>
  <c r="F18" i="7" s="1"/>
  <c r="E17" i="7"/>
  <c r="E14" i="7"/>
  <c r="E13" i="7"/>
  <c r="E10" i="7"/>
  <c r="E9" i="7"/>
  <c r="D63" i="1" l="1"/>
  <c r="D65" i="1" s="1"/>
  <c r="F10" i="7"/>
  <c r="F14" i="7"/>
  <c r="E6" i="7"/>
  <c r="E5" i="7"/>
  <c r="C63" i="1" l="1"/>
  <c r="C13" i="4" s="1"/>
  <c r="D13" i="4" s="1"/>
  <c r="J65" i="1"/>
  <c r="J70" i="1"/>
  <c r="F6" i="7"/>
  <c r="H4" i="1"/>
  <c r="E4" i="1"/>
  <c r="H4" i="4"/>
  <c r="E4" i="4"/>
  <c r="C62" i="1" l="1"/>
  <c r="C35" i="4" s="1"/>
  <c r="D35" i="4" s="1"/>
  <c r="D37" i="4" s="1"/>
  <c r="J42" i="4" s="1"/>
  <c r="E65" i="1"/>
  <c r="I65" i="1" l="1"/>
  <c r="I67" i="1"/>
  <c r="I70" i="1"/>
</calcChain>
</file>

<file path=xl/sharedStrings.xml><?xml version="1.0" encoding="utf-8"?>
<sst xmlns="http://schemas.openxmlformats.org/spreadsheetml/2006/main" count="317" uniqueCount="257">
  <si>
    <t>EXPENDITURE</t>
  </si>
  <si>
    <t xml:space="preserve">INCOME </t>
  </si>
  <si>
    <t>Conveyance</t>
  </si>
  <si>
    <t>Audit Fees</t>
  </si>
  <si>
    <t>Printing &amp; Stationery</t>
  </si>
  <si>
    <t>Income from other sources:</t>
  </si>
  <si>
    <t>TOTAL</t>
  </si>
  <si>
    <t>LIABILITIES</t>
  </si>
  <si>
    <t>ASSETS</t>
  </si>
  <si>
    <t>Reserve Fund :</t>
  </si>
  <si>
    <t>Balance B/f</t>
  </si>
  <si>
    <t>CASH &amp; BANK BALANCES :</t>
  </si>
  <si>
    <t>Cash in hand</t>
  </si>
  <si>
    <t>INVESTMENTS :</t>
  </si>
  <si>
    <t>Shares of JKN Coop Hsg Fed</t>
  </si>
  <si>
    <t>Share of MDCC Bank</t>
  </si>
  <si>
    <t>SPARSH CO-OPERATIVE HOUSING SOCIETY LTD</t>
  </si>
  <si>
    <t>(Regn. No.BOM/W-P/HSG/(T.C.)/4158/88-89)</t>
  </si>
  <si>
    <t>FOR SPARSH CO-OPERATIVE HOUSING SOCIETY LTD</t>
  </si>
  <si>
    <t>Bank charges</t>
  </si>
  <si>
    <t>FDR with Saraswat Bank</t>
  </si>
  <si>
    <t>Excess of Income over Exp.</t>
  </si>
  <si>
    <t>Income &amp; Expenditure A/c  :</t>
  </si>
  <si>
    <t>Add: Surplus during the year</t>
  </si>
  <si>
    <t>FDR with Janalalyan Bank</t>
  </si>
  <si>
    <t>Income Tax refund received</t>
  </si>
  <si>
    <t>Professional Charges</t>
  </si>
  <si>
    <t>Add: Addition during the year</t>
  </si>
  <si>
    <t>Redevelopment Deposit :</t>
  </si>
  <si>
    <t>MAR-2024</t>
  </si>
  <si>
    <t>Bird-net Expenses</t>
  </si>
  <si>
    <t>TDS on Fixed Deposits</t>
  </si>
  <si>
    <t>Sub-lettee Shifting Charges</t>
  </si>
  <si>
    <t>Education &amp; Training Fund :</t>
  </si>
  <si>
    <t>SPARSH  CO-OPERATIVE HOUSING SOCIETY LTD</t>
  </si>
  <si>
    <t>MAR-2025</t>
  </si>
  <si>
    <t>BALANCE SHEET AS ON 31ST MARCH 2025</t>
  </si>
  <si>
    <t>STATEMENT OF INCOME &amp; EXPENDITURE A/C FOR THE YEAR ENDED 31ST MARCH 2025</t>
  </si>
  <si>
    <t>Account Head</t>
  </si>
  <si>
    <t>Period</t>
  </si>
  <si>
    <t xml:space="preserve">From </t>
  </si>
  <si>
    <t>To</t>
  </si>
  <si>
    <t>Amount</t>
  </si>
  <si>
    <t>Lift AMC</t>
  </si>
  <si>
    <t>Prepaid</t>
  </si>
  <si>
    <t>Intercom AMC</t>
  </si>
  <si>
    <t>Bird Net AMC</t>
  </si>
  <si>
    <t>CCTV AMC</t>
  </si>
  <si>
    <t>Insurance Charges</t>
  </si>
  <si>
    <t>Electricity Charges</t>
  </si>
  <si>
    <t>Water Charges</t>
  </si>
  <si>
    <t>Service Charges</t>
  </si>
  <si>
    <t>Non Occupancy Charge</t>
  </si>
  <si>
    <t>Late Payment Interest</t>
  </si>
  <si>
    <t>Penalty</t>
  </si>
  <si>
    <t>Salary Expense</t>
  </si>
  <si>
    <t>Housekeeper</t>
  </si>
  <si>
    <t>Gardener</t>
  </si>
  <si>
    <t>Manager</t>
  </si>
  <si>
    <t>Bonus</t>
  </si>
  <si>
    <t xml:space="preserve">Property Tax </t>
  </si>
  <si>
    <t>Electricity Expenses</t>
  </si>
  <si>
    <t>AMC's Expenses</t>
  </si>
  <si>
    <t>Lift</t>
  </si>
  <si>
    <t xml:space="preserve">Intercom </t>
  </si>
  <si>
    <t>Bird Net</t>
  </si>
  <si>
    <t>CCTV</t>
  </si>
  <si>
    <t>Repairs &amp; Maintenance Expense</t>
  </si>
  <si>
    <t>Garden Maintenance</t>
  </si>
  <si>
    <t>Pest Control</t>
  </si>
  <si>
    <t>Accounting Charges</t>
  </si>
  <si>
    <t>Security Expenses</t>
  </si>
  <si>
    <t>House Keeping Expenses</t>
  </si>
  <si>
    <t>Monthly Expenses</t>
  </si>
  <si>
    <t>Administrative &amp; Other Expenses</t>
  </si>
  <si>
    <t>Subscription Federation</t>
  </si>
  <si>
    <t>House Keeping Materials</t>
  </si>
  <si>
    <t>Election Expense</t>
  </si>
  <si>
    <t>Office Expense</t>
  </si>
  <si>
    <t>Postages &amp; Courier</t>
  </si>
  <si>
    <t>Telephone &amp; Internet Expense</t>
  </si>
  <si>
    <t>Meeting Expense</t>
  </si>
  <si>
    <t>Legal Fees</t>
  </si>
  <si>
    <t>Software Charges</t>
  </si>
  <si>
    <t>Members Contribution Towards:</t>
  </si>
  <si>
    <t>25% Surplus</t>
  </si>
  <si>
    <t>Provision</t>
  </si>
  <si>
    <t>No. of Days / month</t>
  </si>
  <si>
    <t>Gym Expense</t>
  </si>
  <si>
    <t>Electrical Expenses</t>
  </si>
  <si>
    <t>Other Expenses</t>
  </si>
  <si>
    <t>Festival Expense</t>
  </si>
  <si>
    <t>Particulars</t>
  </si>
  <si>
    <t>Rate %</t>
  </si>
  <si>
    <t>Opening W.D.V. as on 01.04.2024</t>
  </si>
  <si>
    <t>Additions during the year before 30.09.2024</t>
  </si>
  <si>
    <t>Additions during the year after 30.09.2024</t>
  </si>
  <si>
    <t>Gross Block (at cost) as on 31.03.2025</t>
  </si>
  <si>
    <t>Depreciation for the year</t>
  </si>
  <si>
    <t>Closing W.D.V. as on 31.03.2025</t>
  </si>
  <si>
    <t>Computer &amp; Printer</t>
  </si>
  <si>
    <t>Total</t>
  </si>
  <si>
    <t>Ladder</t>
  </si>
  <si>
    <t>Mobile</t>
  </si>
  <si>
    <t>Fan</t>
  </si>
  <si>
    <t>Furniture</t>
  </si>
  <si>
    <t>Balance as per System</t>
  </si>
  <si>
    <t>Add:</t>
  </si>
  <si>
    <t>Chq issued but not cleared as on 31.03.2024</t>
  </si>
  <si>
    <t>Less:</t>
  </si>
  <si>
    <t>Chq deposited but not cleared as on 31.03.2024</t>
  </si>
  <si>
    <t>Balance as per Pass Book</t>
  </si>
  <si>
    <t>Saraswat Bank reconciliation statement as on 31st March 2025</t>
  </si>
  <si>
    <t>Date</t>
  </si>
  <si>
    <t>Deposit</t>
  </si>
  <si>
    <t>Issued</t>
  </si>
  <si>
    <t>Remarks</t>
  </si>
  <si>
    <t>Comments</t>
  </si>
  <si>
    <t>Cleared on</t>
  </si>
  <si>
    <t>Instru. No.</t>
  </si>
  <si>
    <t>27.03.2025</t>
  </si>
  <si>
    <t>30.03.2025</t>
  </si>
  <si>
    <t>SZP010987065</t>
  </si>
  <si>
    <t>Vendor/ flat</t>
  </si>
  <si>
    <t>BMC</t>
  </si>
  <si>
    <t>Property Tax</t>
  </si>
  <si>
    <t>Maintenance</t>
  </si>
  <si>
    <t>03.04.2025</t>
  </si>
  <si>
    <t>Janakalyan Bank reconciliation statement as on 31st March 2025</t>
  </si>
  <si>
    <t>Saraswat Bank</t>
  </si>
  <si>
    <t>Jankalyan Bank</t>
  </si>
  <si>
    <t>Fixed Asset Sch-I</t>
  </si>
  <si>
    <t>Depreciation</t>
  </si>
  <si>
    <t>Saving Bank Interest</t>
  </si>
  <si>
    <t>Fixed Deposit Interest</t>
  </si>
  <si>
    <t>Interest on IT Refund</t>
  </si>
  <si>
    <t>Other Current Assets:</t>
  </si>
  <si>
    <t>TDS Receivables FY 24-25</t>
  </si>
  <si>
    <t>Ms. Shamal Shetty and Mr. Saurabh Santosh Shukla</t>
  </si>
  <si>
    <t>Mr. Sumit Nair &amp; Mr. Rahul Nair</t>
  </si>
  <si>
    <t>Mr. Balkrishna Kisan Chaudhari and Jayashri B Chaudhari</t>
  </si>
  <si>
    <t>Mrs. Sitabai Bhagwandas Vagh and Mrs. Renuka Subhash Asar</t>
  </si>
  <si>
    <t>Name of Member</t>
  </si>
  <si>
    <t>Sr. no.</t>
  </si>
  <si>
    <t>Flat no.</t>
  </si>
  <si>
    <t>Member's Receivable as on 31st March 2025</t>
  </si>
  <si>
    <t>Schedule-II</t>
  </si>
  <si>
    <t>Schedule-III</t>
  </si>
  <si>
    <t>Prepaid Expense as on 31st March 2025</t>
  </si>
  <si>
    <t>Lift AMC - From 01.04.2025 to 29.10.2025</t>
  </si>
  <si>
    <t>Intercom AMC - From 01.04.2025 to 31.12.2025</t>
  </si>
  <si>
    <t>Bird Net AMC - From 01.04.2025 to 04.05.2027</t>
  </si>
  <si>
    <t>CCTV AMC - From 01.04.2025 to 31.12.2025</t>
  </si>
  <si>
    <t>Vendor</t>
  </si>
  <si>
    <t>Schindler</t>
  </si>
  <si>
    <t>Electronic India</t>
  </si>
  <si>
    <t>Supreme Care</t>
  </si>
  <si>
    <t>Share Capital</t>
  </si>
  <si>
    <t>Add: Additional 5 shares from old members</t>
  </si>
  <si>
    <t>Add: Additional 10 shares from new members</t>
  </si>
  <si>
    <t>Less: Refund back to old Member</t>
  </si>
  <si>
    <t>Sinking Fund :</t>
  </si>
  <si>
    <t>Payables &amp; Provisions (Sch-IV)</t>
  </si>
  <si>
    <t>Advance Members (Sch-V)</t>
  </si>
  <si>
    <t>Payables as on 31st March 2025</t>
  </si>
  <si>
    <t>Cavin Rodrigues - March 2025 Salary</t>
  </si>
  <si>
    <t>Adani</t>
  </si>
  <si>
    <t>Electricity charges - March 2025</t>
  </si>
  <si>
    <t>Ivan Rosario</t>
  </si>
  <si>
    <t>Accounting charges - March 2025</t>
  </si>
  <si>
    <t>MCGM</t>
  </si>
  <si>
    <t xml:space="preserve">Water charges - Period 16.04.2024 to 16.05.2024 </t>
  </si>
  <si>
    <t>Nelumbo Enterprises</t>
  </si>
  <si>
    <t>Security charges - March 2025</t>
  </si>
  <si>
    <t xml:space="preserve">Team Armor Four </t>
  </si>
  <si>
    <t>MDCHF</t>
  </si>
  <si>
    <t>Total (A)</t>
  </si>
  <si>
    <t>Total (B)</t>
  </si>
  <si>
    <t>Auditor</t>
  </si>
  <si>
    <t>Provision as on 31st March 2025</t>
  </si>
  <si>
    <t>Audit fee - FY 2024-25</t>
  </si>
  <si>
    <t>Water Expense - Jun 2024 to Mar 2025</t>
  </si>
  <si>
    <t>C = (A+B)</t>
  </si>
  <si>
    <t>Schedule-IV</t>
  </si>
  <si>
    <t>Schedule-V</t>
  </si>
  <si>
    <t>Name of Members</t>
  </si>
  <si>
    <t>Members Advance as of 31st March 2025</t>
  </si>
  <si>
    <t>0101</t>
  </si>
  <si>
    <t>0102</t>
  </si>
  <si>
    <t>0801</t>
  </si>
  <si>
    <t>Add: 25% Surplus</t>
  </si>
  <si>
    <t>Repair Fund :</t>
  </si>
  <si>
    <t>Sunil Sah - March 2025 Salary</t>
  </si>
  <si>
    <t>Subscription Federation - FY 24-25 with Arrear</t>
  </si>
  <si>
    <t>Sheela Savda - March 2025 Salary</t>
  </si>
  <si>
    <t>Sch I - Fixed Assets as on 31.03.2025</t>
  </si>
  <si>
    <t>Income Tax Provision</t>
  </si>
  <si>
    <t>Income from Savings A/c.</t>
  </si>
  <si>
    <t>Income from Fixed Deposit</t>
  </si>
  <si>
    <t>Sale of scrap &amp; Promotional</t>
  </si>
  <si>
    <t>Net Taxable Income</t>
  </si>
  <si>
    <t>0-10000</t>
  </si>
  <si>
    <t>10000-20000</t>
  </si>
  <si>
    <t>20000 or More</t>
  </si>
  <si>
    <t>Tax</t>
  </si>
  <si>
    <t>Education cess</t>
  </si>
  <si>
    <t>Total Tax</t>
  </si>
  <si>
    <t>Say</t>
  </si>
  <si>
    <t>Miscellaneous Income</t>
  </si>
  <si>
    <t>Benefit of 80p2d</t>
  </si>
  <si>
    <t>Income Tax Expense</t>
  </si>
  <si>
    <t>-</t>
  </si>
  <si>
    <t>Income Tax - FY 2024-25</t>
  </si>
  <si>
    <t>Security Deposit with Adani</t>
  </si>
  <si>
    <t>Ac-153587768</t>
  </si>
  <si>
    <t>Ac-153544448</t>
  </si>
  <si>
    <t>Ac-153563364</t>
  </si>
  <si>
    <t>Mr. Unnikrishnan Ashokan Mannel &amp; Ashokan Bhaskaran</t>
  </si>
  <si>
    <t xml:space="preserve">Mr. Flavius Augustine Chettiar and Mrs. Elenka Rodrigues </t>
  </si>
  <si>
    <t>Less: Builder's liability trfd to EMD</t>
  </si>
  <si>
    <t>Less: Expenses Paid by Society</t>
  </si>
  <si>
    <t>Insurance</t>
  </si>
  <si>
    <t>Insurance Expense</t>
  </si>
  <si>
    <t>ICICI Lombard</t>
  </si>
  <si>
    <t>Insurance - From 01.04.2025 to 27.01.2026</t>
  </si>
  <si>
    <t>Add: Builder Period Electricity adjst agst EMD</t>
  </si>
  <si>
    <t>Ac-153454115</t>
  </si>
  <si>
    <t>Ac-153457629</t>
  </si>
  <si>
    <t>Notes</t>
  </si>
  <si>
    <t>Provision for 1 member payable to Res.F A5 -1003/1004</t>
  </si>
  <si>
    <t xml:space="preserve">Water Expenses </t>
  </si>
  <si>
    <t>(Includes Provision Rs.1,19,000)</t>
  </si>
  <si>
    <t>Subscription Charges of Security App</t>
  </si>
  <si>
    <t>Machanical Stack</t>
  </si>
  <si>
    <t>Water Pump</t>
  </si>
  <si>
    <t>Fire Equipments</t>
  </si>
  <si>
    <t>CCTV/ Intercom</t>
  </si>
  <si>
    <t>Gym Equipments</t>
  </si>
  <si>
    <t>Bird Nets</t>
  </si>
  <si>
    <t>Gate</t>
  </si>
  <si>
    <t>Air Conditioner</t>
  </si>
  <si>
    <t>Land &amp; Builder Cost</t>
  </si>
  <si>
    <t>to be shown in BS</t>
  </si>
  <si>
    <t>Land &amp; building to be shown in BS</t>
  </si>
  <si>
    <t>Sch</t>
  </si>
  <si>
    <t>As per my report of even date</t>
  </si>
  <si>
    <t>Shri. Bharat C. Boridkar</t>
  </si>
  <si>
    <t>Govt. Certified Panel Auditor</t>
  </si>
  <si>
    <t>Chairman                Secretary              Treasurer</t>
  </si>
  <si>
    <t>[Panel No.: Mumbai-4/B2/1011404]</t>
  </si>
  <si>
    <r>
      <t xml:space="preserve">Member Receivables </t>
    </r>
    <r>
      <rPr>
        <b/>
        <sz val="11"/>
        <rFont val="Calibri"/>
        <family val="2"/>
        <scheme val="minor"/>
      </rPr>
      <t>(Sch-II)</t>
    </r>
  </si>
  <si>
    <r>
      <t xml:space="preserve">Prepaid Expense </t>
    </r>
    <r>
      <rPr>
        <b/>
        <sz val="11"/>
        <rFont val="Calibri"/>
        <family val="2"/>
        <scheme val="minor"/>
      </rPr>
      <t>(Sch-III)</t>
    </r>
  </si>
  <si>
    <t>Principle</t>
  </si>
  <si>
    <t>Int-Accrued</t>
  </si>
  <si>
    <t>FD</t>
  </si>
  <si>
    <t>Pre-matured closure of FDR by society</t>
  </si>
  <si>
    <t>Less: Excess Provision write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</si>
</sst>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&quot;Mumbai: &quot;dd&quot;th&quot;\ mmmm\,\ yyyy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6" fillId="0" borderId="0"/>
  </cellStyleXfs>
  <cellXfs count="196">
    <xf numFmtId="0" fontId="0" fillId="0" borderId="0" xfId="0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6" fillId="0" borderId="0" xfId="0" applyNumberFormat="1" applyFont="1"/>
    <xf numFmtId="17" fontId="6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43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/>
    <xf numFmtId="43" fontId="0" fillId="0" borderId="0" xfId="2" applyFont="1"/>
    <xf numFmtId="0" fontId="8" fillId="0" borderId="31" xfId="0" applyFont="1" applyBorder="1"/>
    <xf numFmtId="43" fontId="8" fillId="0" borderId="31" xfId="0" applyNumberFormat="1" applyFont="1" applyBorder="1"/>
    <xf numFmtId="0" fontId="4" fillId="0" borderId="2" xfId="0" applyFont="1" applyBorder="1" applyAlignment="1">
      <alignment horizontal="center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0" fillId="0" borderId="2" xfId="1" applyNumberFormat="1" applyFont="1" applyBorder="1"/>
    <xf numFmtId="164" fontId="0" fillId="0" borderId="32" xfId="1" applyNumberFormat="1" applyFont="1" applyBorder="1"/>
    <xf numFmtId="164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4" fontId="0" fillId="0" borderId="0" xfId="0" applyNumberFormat="1"/>
    <xf numFmtId="4" fontId="0" fillId="0" borderId="34" xfId="0" applyNumberFormat="1" applyBorder="1"/>
    <xf numFmtId="9" fontId="0" fillId="0" borderId="0" xfId="0" applyNumberFormat="1"/>
    <xf numFmtId="0" fontId="10" fillId="0" borderId="0" xfId="0" applyFont="1"/>
    <xf numFmtId="1" fontId="0" fillId="0" borderId="0" xfId="0" applyNumberFormat="1"/>
    <xf numFmtId="43" fontId="8" fillId="0" borderId="0" xfId="1" applyFont="1" applyFill="1" applyBorder="1"/>
    <xf numFmtId="43" fontId="8" fillId="0" borderId="5" xfId="1" applyFont="1" applyFill="1" applyBorder="1"/>
    <xf numFmtId="0" fontId="8" fillId="0" borderId="0" xfId="1" applyNumberFormat="1" applyFont="1" applyFill="1" applyBorder="1" applyAlignment="1">
      <alignment horizontal="left" vertical="top"/>
    </xf>
    <xf numFmtId="0" fontId="8" fillId="0" borderId="5" xfId="1" applyNumberFormat="1" applyFont="1" applyFill="1" applyBorder="1" applyAlignment="1">
      <alignment horizontal="left" vertical="top"/>
    </xf>
    <xf numFmtId="1" fontId="12" fillId="0" borderId="3" xfId="3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1" fontId="13" fillId="0" borderId="3" xfId="3" applyNumberFormat="1" applyFont="1" applyBorder="1" applyAlignment="1">
      <alignment vertical="center"/>
    </xf>
    <xf numFmtId="0" fontId="8" fillId="0" borderId="34" xfId="1" applyNumberFormat="1" applyFont="1" applyFill="1" applyBorder="1" applyAlignment="1">
      <alignment horizontal="left" vertical="top"/>
    </xf>
    <xf numFmtId="0" fontId="8" fillId="0" borderId="37" xfId="1" applyNumberFormat="1" applyFont="1" applyFill="1" applyBorder="1" applyAlignment="1">
      <alignment horizontal="left" vertical="top"/>
    </xf>
    <xf numFmtId="0" fontId="15" fillId="0" borderId="0" xfId="0" applyFont="1"/>
    <xf numFmtId="0" fontId="16" fillId="0" borderId="0" xfId="0" applyFont="1"/>
    <xf numFmtId="2" fontId="15" fillId="0" borderId="0" xfId="0" applyNumberFormat="1" applyFont="1"/>
    <xf numFmtId="0" fontId="15" fillId="0" borderId="0" xfId="0" applyFont="1" applyAlignment="1">
      <alignment horizontal="left"/>
    </xf>
    <xf numFmtId="43" fontId="16" fillId="0" borderId="0" xfId="0" applyNumberFormat="1" applyFont="1"/>
    <xf numFmtId="43" fontId="16" fillId="0" borderId="3" xfId="1" applyFont="1" applyFill="1" applyBorder="1"/>
    <xf numFmtId="43" fontId="16" fillId="0" borderId="0" xfId="1" applyFont="1" applyFill="1" applyBorder="1"/>
    <xf numFmtId="43" fontId="16" fillId="0" borderId="0" xfId="1" applyFont="1" applyAlignment="1">
      <alignment vertical="center"/>
    </xf>
    <xf numFmtId="0" fontId="1" fillId="0" borderId="3" xfId="0" applyFont="1" applyBorder="1"/>
    <xf numFmtId="0" fontId="8" fillId="0" borderId="3" xfId="0" applyFont="1" applyBorder="1"/>
    <xf numFmtId="0" fontId="16" fillId="0" borderId="0" xfId="1" applyNumberFormat="1" applyFont="1" applyFill="1" applyBorder="1" applyAlignment="1">
      <alignment horizontal="left" vertical="top"/>
    </xf>
    <xf numFmtId="43" fontId="16" fillId="0" borderId="3" xfId="1" applyFont="1" applyBorder="1"/>
    <xf numFmtId="0" fontId="16" fillId="0" borderId="0" xfId="0" applyFont="1" applyAlignment="1">
      <alignment horizontal="left" vertical="top"/>
    </xf>
    <xf numFmtId="0" fontId="16" fillId="0" borderId="5" xfId="0" applyFont="1" applyBorder="1" applyAlignment="1">
      <alignment horizontal="left" vertical="top"/>
    </xf>
    <xf numFmtId="0" fontId="16" fillId="0" borderId="34" xfId="1" applyNumberFormat="1" applyFont="1" applyFill="1" applyBorder="1" applyAlignment="1">
      <alignment horizontal="left" vertical="top"/>
    </xf>
    <xf numFmtId="0" fontId="16" fillId="0" borderId="34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43" fontId="15" fillId="0" borderId="0" xfId="0" applyNumberFormat="1" applyFont="1"/>
    <xf numFmtId="0" fontId="18" fillId="0" borderId="0" xfId="0" applyFont="1"/>
    <xf numFmtId="2" fontId="17" fillId="0" borderId="0" xfId="0" applyNumberFormat="1" applyFont="1"/>
    <xf numFmtId="0" fontId="17" fillId="0" borderId="0" xfId="0" applyFont="1"/>
    <xf numFmtId="2" fontId="18" fillId="0" borderId="0" xfId="0" applyNumberFormat="1" applyFont="1"/>
    <xf numFmtId="43" fontId="19" fillId="0" borderId="3" xfId="1" applyFont="1" applyBorder="1"/>
    <xf numFmtId="0" fontId="20" fillId="0" borderId="3" xfId="0" applyFont="1" applyBorder="1"/>
    <xf numFmtId="43" fontId="19" fillId="0" borderId="11" xfId="1" applyFont="1" applyBorder="1"/>
    <xf numFmtId="43" fontId="10" fillId="0" borderId="1" xfId="1" applyFont="1" applyBorder="1"/>
    <xf numFmtId="43" fontId="19" fillId="0" borderId="4" xfId="1" applyFont="1" applyBorder="1"/>
    <xf numFmtId="0" fontId="20" fillId="0" borderId="0" xfId="0" applyFont="1"/>
    <xf numFmtId="43" fontId="10" fillId="0" borderId="11" xfId="1" applyFont="1" applyBorder="1"/>
    <xf numFmtId="0" fontId="19" fillId="0" borderId="3" xfId="0" applyFont="1" applyBorder="1"/>
    <xf numFmtId="0" fontId="19" fillId="0" borderId="0" xfId="0" applyFont="1"/>
    <xf numFmtId="43" fontId="19" fillId="0" borderId="11" xfId="1" applyFont="1" applyFill="1" applyBorder="1"/>
    <xf numFmtId="43" fontId="10" fillId="0" borderId="1" xfId="1" applyFont="1" applyFill="1" applyBorder="1"/>
    <xf numFmtId="43" fontId="19" fillId="0" borderId="12" xfId="1" applyFont="1" applyFill="1" applyBorder="1"/>
    <xf numFmtId="43" fontId="19" fillId="0" borderId="12" xfId="1" applyFont="1" applyBorder="1"/>
    <xf numFmtId="0" fontId="10" fillId="0" borderId="3" xfId="0" applyFont="1" applyBorder="1"/>
    <xf numFmtId="43" fontId="10" fillId="0" borderId="6" xfId="1" applyFont="1" applyFill="1" applyBorder="1"/>
    <xf numFmtId="43" fontId="19" fillId="0" borderId="7" xfId="1" applyFont="1" applyBorder="1"/>
    <xf numFmtId="43" fontId="10" fillId="0" borderId="12" xfId="1" applyFont="1" applyBorder="1"/>
    <xf numFmtId="43" fontId="10" fillId="0" borderId="33" xfId="1" applyFont="1" applyBorder="1"/>
    <xf numFmtId="43" fontId="20" fillId="0" borderId="11" xfId="1" applyFont="1" applyBorder="1"/>
    <xf numFmtId="0" fontId="10" fillId="0" borderId="38" xfId="0" quotePrefix="1" applyFont="1" applyBorder="1" applyAlignment="1">
      <alignment horizontal="center"/>
    </xf>
    <xf numFmtId="43" fontId="10" fillId="0" borderId="39" xfId="1" applyFont="1" applyBorder="1"/>
    <xf numFmtId="43" fontId="19" fillId="0" borderId="41" xfId="1" applyFont="1" applyBorder="1"/>
    <xf numFmtId="0" fontId="19" fillId="0" borderId="41" xfId="0" applyFont="1" applyBorder="1"/>
    <xf numFmtId="43" fontId="19" fillId="0" borderId="40" xfId="1" applyFont="1" applyFill="1" applyBorder="1"/>
    <xf numFmtId="43" fontId="10" fillId="0" borderId="21" xfId="1" applyFont="1" applyFill="1" applyBorder="1"/>
    <xf numFmtId="43" fontId="19" fillId="0" borderId="42" xfId="1" applyFont="1" applyBorder="1"/>
    <xf numFmtId="0" fontId="19" fillId="0" borderId="20" xfId="0" applyFont="1" applyBorder="1"/>
    <xf numFmtId="43" fontId="19" fillId="0" borderId="40" xfId="1" applyFont="1" applyBorder="1"/>
    <xf numFmtId="43" fontId="10" fillId="0" borderId="40" xfId="1" applyFont="1" applyBorder="1"/>
    <xf numFmtId="0" fontId="10" fillId="0" borderId="23" xfId="0" quotePrefix="1" applyFont="1" applyBorder="1" applyAlignment="1">
      <alignment horizontal="center"/>
    </xf>
    <xf numFmtId="0" fontId="10" fillId="0" borderId="8" xfId="0" applyFont="1" applyBorder="1"/>
    <xf numFmtId="43" fontId="19" fillId="0" borderId="9" xfId="1" applyFont="1" applyBorder="1"/>
    <xf numFmtId="43" fontId="10" fillId="0" borderId="0" xfId="1" applyFont="1" applyBorder="1"/>
    <xf numFmtId="0" fontId="20" fillId="0" borderId="9" xfId="0" applyFont="1" applyBorder="1"/>
    <xf numFmtId="43" fontId="19" fillId="0" borderId="5" xfId="1" applyFont="1" applyBorder="1"/>
    <xf numFmtId="43" fontId="10" fillId="0" borderId="5" xfId="1" applyFont="1" applyBorder="1"/>
    <xf numFmtId="43" fontId="19" fillId="0" borderId="0" xfId="1" applyFont="1" applyBorder="1"/>
    <xf numFmtId="0" fontId="19" fillId="0" borderId="11" xfId="0" applyFont="1" applyBorder="1"/>
    <xf numFmtId="0" fontId="21" fillId="0" borderId="11" xfId="0" applyFont="1" applyBorder="1"/>
    <xf numFmtId="0" fontId="20" fillId="0" borderId="11" xfId="0" applyFont="1" applyBorder="1"/>
    <xf numFmtId="0" fontId="10" fillId="0" borderId="11" xfId="0" applyFont="1" applyBorder="1"/>
    <xf numFmtId="0" fontId="21" fillId="0" borderId="3" xfId="0" applyFont="1" applyBorder="1"/>
    <xf numFmtId="0" fontId="10" fillId="0" borderId="24" xfId="0" quotePrefix="1" applyFont="1" applyBorder="1" applyAlignment="1">
      <alignment horizontal="center"/>
    </xf>
    <xf numFmtId="43" fontId="10" fillId="0" borderId="43" xfId="1" applyFont="1" applyBorder="1"/>
    <xf numFmtId="0" fontId="10" fillId="0" borderId="44" xfId="0" quotePrefix="1" applyFont="1" applyBorder="1" applyAlignment="1">
      <alignment horizontal="center"/>
    </xf>
    <xf numFmtId="43" fontId="10" fillId="0" borderId="45" xfId="1" applyFont="1" applyBorder="1"/>
    <xf numFmtId="43" fontId="10" fillId="0" borderId="46" xfId="1" applyFont="1" applyBorder="1"/>
    <xf numFmtId="43" fontId="10" fillId="0" borderId="47" xfId="1" applyFont="1" applyBorder="1"/>
    <xf numFmtId="0" fontId="0" fillId="0" borderId="0" xfId="0" applyAlignment="1">
      <alignment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/>
    </xf>
    <xf numFmtId="9" fontId="13" fillId="0" borderId="11" xfId="2" applyNumberFormat="1" applyFont="1" applyFill="1" applyBorder="1" applyAlignment="1">
      <alignment horizontal="center" vertical="center"/>
    </xf>
    <xf numFmtId="43" fontId="13" fillId="0" borderId="11" xfId="2" applyFont="1" applyBorder="1" applyAlignment="1">
      <alignment vertical="center"/>
    </xf>
    <xf numFmtId="43" fontId="13" fillId="0" borderId="5" xfId="2" applyFont="1" applyFill="1" applyBorder="1" applyAlignment="1">
      <alignment vertical="center"/>
    </xf>
    <xf numFmtId="43" fontId="13" fillId="0" borderId="11" xfId="2" applyFont="1" applyFill="1" applyBorder="1" applyAlignment="1">
      <alignment vertical="center"/>
    </xf>
    <xf numFmtId="43" fontId="13" fillId="0" borderId="1" xfId="2" applyFont="1" applyBorder="1" applyAlignment="1">
      <alignment vertical="center"/>
    </xf>
    <xf numFmtId="43" fontId="13" fillId="0" borderId="5" xfId="2" applyFont="1" applyBorder="1" applyAlignment="1">
      <alignment vertical="center"/>
    </xf>
    <xf numFmtId="43" fontId="9" fillId="0" borderId="29" xfId="0" applyNumberFormat="1" applyFont="1" applyBorder="1" applyAlignment="1">
      <alignment vertical="center"/>
    </xf>
    <xf numFmtId="43" fontId="9" fillId="0" borderId="30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43" fontId="0" fillId="0" borderId="2" xfId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43" fontId="0" fillId="0" borderId="12" xfId="1" applyFont="1" applyBorder="1" applyAlignment="1">
      <alignment vertical="center"/>
    </xf>
    <xf numFmtId="0" fontId="4" fillId="0" borderId="33" xfId="0" applyFont="1" applyBorder="1" applyAlignment="1">
      <alignment horizontal="center" vertical="center" wrapText="1"/>
    </xf>
    <xf numFmtId="43" fontId="4" fillId="0" borderId="38" xfId="1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43" fontId="13" fillId="0" borderId="2" xfId="1" applyFont="1" applyBorder="1" applyAlignment="1">
      <alignment vertical="center"/>
    </xf>
    <xf numFmtId="43" fontId="12" fillId="0" borderId="38" xfId="1" applyFont="1" applyBorder="1" applyAlignment="1">
      <alignment vertical="center"/>
    </xf>
    <xf numFmtId="43" fontId="12" fillId="0" borderId="2" xfId="1" applyFont="1" applyBorder="1" applyAlignment="1">
      <alignment vertical="center"/>
    </xf>
    <xf numFmtId="43" fontId="13" fillId="0" borderId="2" xfId="1" applyFont="1" applyFill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43" fontId="13" fillId="0" borderId="12" xfId="1" applyFont="1" applyBorder="1" applyAlignment="1">
      <alignment vertical="center"/>
    </xf>
    <xf numFmtId="0" fontId="12" fillId="0" borderId="33" xfId="0" applyFont="1" applyBorder="1" applyAlignment="1">
      <alignment horizontal="center" vertical="center" wrapText="1"/>
    </xf>
    <xf numFmtId="0" fontId="13" fillId="0" borderId="12" xfId="0" quotePrefix="1" applyFont="1" applyBorder="1" applyAlignment="1">
      <alignment horizontal="center" vertical="center"/>
    </xf>
    <xf numFmtId="43" fontId="13" fillId="0" borderId="12" xfId="1" applyFont="1" applyFill="1" applyBorder="1" applyAlignment="1">
      <alignment vertical="center"/>
    </xf>
    <xf numFmtId="43" fontId="12" fillId="0" borderId="39" xfId="0" applyNumberFormat="1" applyFont="1" applyBorder="1" applyAlignment="1">
      <alignment vertical="center"/>
    </xf>
    <xf numFmtId="0" fontId="9" fillId="0" borderId="0" xfId="0" applyFont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5" xfId="0" applyFont="1" applyBorder="1" applyAlignment="1">
      <alignment horizontal="center" vertical="top"/>
    </xf>
    <xf numFmtId="165" fontId="13" fillId="0" borderId="36" xfId="4" applyNumberFormat="1" applyFont="1" applyBorder="1" applyAlignment="1">
      <alignment horizontal="left" vertical="center"/>
    </xf>
    <xf numFmtId="165" fontId="13" fillId="0" borderId="34" xfId="4" applyNumberFormat="1" applyFont="1" applyBorder="1" applyAlignment="1">
      <alignment horizontal="left" vertical="center"/>
    </xf>
    <xf numFmtId="0" fontId="14" fillId="0" borderId="8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43" fontId="10" fillId="0" borderId="33" xfId="1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5">
    <cellStyle name="Comma" xfId="1" builtinId="3"/>
    <cellStyle name="Comma 2 2" xfId="2" xr:uid="{00000000-0005-0000-0000-000001000000}"/>
    <cellStyle name="Normal" xfId="0" builtinId="0"/>
    <cellStyle name="Normal_BSPL 2004 NS" xfId="4" xr:uid="{00000000-0005-0000-0000-000003000000}"/>
    <cellStyle name="Normal_FY 2003-2004  2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jkumar\Balance%20Sheet\FY%202024-25\Marina_AB_FY_2024-25_Provisional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IE"/>
      <sheetName val="Sch I"/>
      <sheetName val="Sch II &amp; III"/>
      <sheetName val="Sch IV"/>
      <sheetName val="Sch V &amp; VI"/>
      <sheetName val="Sch VII"/>
      <sheetName val="Sch VIII"/>
      <sheetName val="Sch IX &amp; X"/>
      <sheetName val="Sch XI"/>
      <sheetName val="Int. on FD"/>
      <sheetName val="BRS"/>
      <sheetName val="Wor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view="pageBreakPreview" topLeftCell="A32" zoomScaleNormal="100" zoomScaleSheetLayoutView="100" workbookViewId="0">
      <selection activeCell="C41" sqref="C41"/>
    </sheetView>
  </sheetViews>
  <sheetFormatPr defaultRowHeight="12.75" x14ac:dyDescent="0.2"/>
  <cols>
    <col min="1" max="1" width="14.7109375" style="39" customWidth="1"/>
    <col min="2" max="2" width="42.7109375" style="39" customWidth="1"/>
    <col min="3" max="5" width="14.7109375" style="39" customWidth="1"/>
    <col min="6" max="6" width="40.7109375" style="39" customWidth="1"/>
    <col min="7" max="8" width="14.7109375" style="39" customWidth="1"/>
    <col min="9" max="11" width="11.7109375" style="39" bestFit="1" customWidth="1"/>
    <col min="12" max="12" width="10.28515625" style="39" bestFit="1" customWidth="1"/>
    <col min="13" max="13" width="11.7109375" style="39" bestFit="1" customWidth="1"/>
    <col min="14" max="16384" width="9.140625" style="39"/>
  </cols>
  <sheetData>
    <row r="1" spans="1:13" s="38" customFormat="1" ht="18.75" x14ac:dyDescent="0.3">
      <c r="A1" s="153" t="s">
        <v>16</v>
      </c>
      <c r="B1" s="154"/>
      <c r="C1" s="154"/>
      <c r="D1" s="154"/>
      <c r="E1" s="154"/>
      <c r="F1" s="154"/>
      <c r="G1" s="154"/>
      <c r="H1" s="155"/>
    </row>
    <row r="2" spans="1:13" s="38" customFormat="1" x14ac:dyDescent="0.2">
      <c r="A2" s="156" t="s">
        <v>17</v>
      </c>
      <c r="B2" s="157"/>
      <c r="C2" s="157"/>
      <c r="D2" s="157"/>
      <c r="E2" s="157"/>
      <c r="F2" s="157"/>
      <c r="G2" s="157"/>
      <c r="H2" s="158"/>
    </row>
    <row r="3" spans="1:13" s="38" customFormat="1" ht="16.5" thickBot="1" x14ac:dyDescent="0.3">
      <c r="A3" s="159" t="s">
        <v>36</v>
      </c>
      <c r="B3" s="160"/>
      <c r="C3" s="160"/>
      <c r="D3" s="160"/>
      <c r="E3" s="160"/>
      <c r="F3" s="160"/>
      <c r="G3" s="160"/>
      <c r="H3" s="161"/>
    </row>
    <row r="4" spans="1:13" s="38" customFormat="1" ht="15" x14ac:dyDescent="0.25">
      <c r="A4" s="89" t="s">
        <v>29</v>
      </c>
      <c r="B4" s="162" t="s">
        <v>7</v>
      </c>
      <c r="C4" s="162"/>
      <c r="D4" s="104" t="s">
        <v>35</v>
      </c>
      <c r="E4" s="102" t="str">
        <f>A4</f>
        <v>MAR-2024</v>
      </c>
      <c r="F4" s="162" t="s">
        <v>8</v>
      </c>
      <c r="G4" s="162"/>
      <c r="H4" s="89" t="str">
        <f>D4</f>
        <v>MAR-2025</v>
      </c>
    </row>
    <row r="5" spans="1:13" s="38" customFormat="1" ht="15" x14ac:dyDescent="0.25">
      <c r="A5" s="60">
        <v>5000</v>
      </c>
      <c r="B5" s="90" t="s">
        <v>157</v>
      </c>
      <c r="C5" s="91">
        <v>5000</v>
      </c>
      <c r="D5" s="105"/>
      <c r="E5" s="92"/>
      <c r="F5" s="93" t="s">
        <v>11</v>
      </c>
      <c r="G5" s="94"/>
      <c r="H5" s="95"/>
    </row>
    <row r="6" spans="1:13" s="38" customFormat="1" ht="15" x14ac:dyDescent="0.25">
      <c r="A6" s="60">
        <v>0</v>
      </c>
      <c r="B6" s="67" t="s">
        <v>158</v>
      </c>
      <c r="C6" s="62">
        <f>250*20</f>
        <v>5000</v>
      </c>
      <c r="D6" s="106"/>
      <c r="E6" s="96">
        <v>5650</v>
      </c>
      <c r="F6" s="97" t="s">
        <v>12</v>
      </c>
      <c r="G6" s="62">
        <v>1488</v>
      </c>
      <c r="H6" s="95"/>
    </row>
    <row r="7" spans="1:13" s="38" customFormat="1" ht="15" x14ac:dyDescent="0.25">
      <c r="A7" s="60"/>
      <c r="B7" s="67" t="s">
        <v>159</v>
      </c>
      <c r="C7" s="72">
        <f>500*32</f>
        <v>16000</v>
      </c>
      <c r="D7" s="106">
        <f>SUM(C5:C7)</f>
        <v>26000</v>
      </c>
      <c r="E7" s="96">
        <v>180376.41</v>
      </c>
      <c r="F7" s="97" t="s">
        <v>129</v>
      </c>
      <c r="G7" s="62">
        <f>BRS!C6</f>
        <v>1057355.6499999999</v>
      </c>
      <c r="H7" s="95"/>
    </row>
    <row r="8" spans="1:13" s="38" customFormat="1" ht="15" x14ac:dyDescent="0.25">
      <c r="A8" s="60"/>
      <c r="B8" s="67"/>
      <c r="C8" s="62"/>
      <c r="D8" s="106"/>
      <c r="E8" s="96">
        <v>68660.08</v>
      </c>
      <c r="F8" s="97" t="s">
        <v>130</v>
      </c>
      <c r="G8" s="72">
        <f>BRS!C18</f>
        <v>489668.24</v>
      </c>
      <c r="H8" s="95">
        <f>SUM(G6:G8)</f>
        <v>1548511.89</v>
      </c>
    </row>
    <row r="9" spans="1:13" s="38" customFormat="1" ht="15" x14ac:dyDescent="0.25">
      <c r="A9" s="60"/>
      <c r="B9" s="61" t="s">
        <v>9</v>
      </c>
      <c r="C9" s="62"/>
      <c r="D9" s="106"/>
      <c r="E9" s="96"/>
      <c r="F9" s="98"/>
      <c r="G9" s="62"/>
      <c r="H9" s="95"/>
      <c r="I9" s="55"/>
    </row>
    <row r="10" spans="1:13" s="38" customFormat="1" ht="15" x14ac:dyDescent="0.25">
      <c r="A10" s="60">
        <v>1982157.6</v>
      </c>
      <c r="B10" s="67" t="s">
        <v>10</v>
      </c>
      <c r="C10" s="69">
        <f>1982157.6+25000</f>
        <v>2007157.6</v>
      </c>
      <c r="D10" s="106"/>
      <c r="E10" s="96"/>
      <c r="F10" s="98"/>
      <c r="G10" s="62"/>
      <c r="H10" s="95"/>
      <c r="J10" s="40"/>
      <c r="K10" s="40"/>
      <c r="L10" s="55"/>
      <c r="M10" s="55"/>
    </row>
    <row r="11" spans="1:13" s="38" customFormat="1" ht="15" x14ac:dyDescent="0.25">
      <c r="A11" s="60">
        <v>25000</v>
      </c>
      <c r="B11" s="67" t="s">
        <v>27</v>
      </c>
      <c r="C11" s="69">
        <v>54800</v>
      </c>
      <c r="D11" s="106"/>
      <c r="E11" s="96"/>
      <c r="F11" s="98"/>
      <c r="G11" s="62"/>
      <c r="H11" s="95"/>
      <c r="K11" s="55"/>
      <c r="M11" s="55"/>
    </row>
    <row r="12" spans="1:13" s="38" customFormat="1" ht="15" x14ac:dyDescent="0.25">
      <c r="A12" s="60">
        <v>0</v>
      </c>
      <c r="B12" s="67" t="s">
        <v>160</v>
      </c>
      <c r="C12" s="69">
        <f>-1610486-113000-113000-113000-57671.6</f>
        <v>-2007157.6</v>
      </c>
      <c r="D12" s="106"/>
      <c r="E12" s="96"/>
      <c r="F12" s="99" t="s">
        <v>13</v>
      </c>
      <c r="G12" s="62"/>
      <c r="H12" s="95"/>
    </row>
    <row r="13" spans="1:13" s="38" customFormat="1" ht="15" x14ac:dyDescent="0.25">
      <c r="A13" s="60">
        <v>0</v>
      </c>
      <c r="B13" s="67" t="s">
        <v>190</v>
      </c>
      <c r="C13" s="71">
        <f>'INCOME &amp; EXP'!C63</f>
        <v>171714</v>
      </c>
      <c r="D13" s="106">
        <f>SUM(C10:C13)</f>
        <v>226514</v>
      </c>
      <c r="E13" s="96">
        <v>533805.5</v>
      </c>
      <c r="F13" s="97" t="s">
        <v>24</v>
      </c>
      <c r="G13" s="62">
        <v>0</v>
      </c>
      <c r="H13" s="95"/>
    </row>
    <row r="14" spans="1:13" s="38" customFormat="1" ht="15" x14ac:dyDescent="0.25">
      <c r="A14" s="60"/>
      <c r="B14" s="61" t="s">
        <v>161</v>
      </c>
      <c r="C14" s="62"/>
      <c r="D14" s="106"/>
      <c r="E14" s="96">
        <v>1891954</v>
      </c>
      <c r="F14" s="97" t="s">
        <v>20</v>
      </c>
      <c r="G14" s="62">
        <v>0</v>
      </c>
      <c r="H14" s="95"/>
    </row>
    <row r="15" spans="1:13" s="38" customFormat="1" ht="15" x14ac:dyDescent="0.25">
      <c r="A15" s="60">
        <v>0</v>
      </c>
      <c r="B15" s="67" t="s">
        <v>10</v>
      </c>
      <c r="C15" s="62">
        <v>0</v>
      </c>
      <c r="D15" s="106"/>
      <c r="E15" s="96">
        <v>500</v>
      </c>
      <c r="F15" s="97" t="s">
        <v>14</v>
      </c>
      <c r="G15" s="62">
        <v>500</v>
      </c>
      <c r="H15" s="95"/>
    </row>
    <row r="16" spans="1:13" s="38" customFormat="1" ht="15" x14ac:dyDescent="0.25">
      <c r="A16" s="60"/>
      <c r="B16" s="67" t="s">
        <v>27</v>
      </c>
      <c r="C16" s="72">
        <v>214428</v>
      </c>
      <c r="D16" s="106">
        <f>SUM(C15:C16)</f>
        <v>214428</v>
      </c>
      <c r="E16" s="96">
        <v>1000</v>
      </c>
      <c r="F16" s="97" t="s">
        <v>15</v>
      </c>
      <c r="G16" s="62">
        <v>1000</v>
      </c>
      <c r="H16" s="62"/>
    </row>
    <row r="17" spans="1:10" s="38" customFormat="1" ht="15" x14ac:dyDescent="0.25">
      <c r="A17" s="60"/>
      <c r="B17" s="61" t="s">
        <v>28</v>
      </c>
      <c r="C17" s="62"/>
      <c r="D17" s="106"/>
      <c r="E17" s="96">
        <v>16754</v>
      </c>
      <c r="F17" s="97" t="s">
        <v>213</v>
      </c>
      <c r="G17" s="71">
        <v>25722</v>
      </c>
      <c r="H17" s="66">
        <f>SUM(G13:G17)</f>
        <v>27222</v>
      </c>
      <c r="J17" s="55"/>
    </row>
    <row r="18" spans="1:10" s="38" customFormat="1" ht="15" x14ac:dyDescent="0.25">
      <c r="A18" s="60">
        <v>548324</v>
      </c>
      <c r="B18" s="67" t="s">
        <v>10</v>
      </c>
      <c r="C18" s="69">
        <f>548324-11810</f>
        <v>536514</v>
      </c>
      <c r="D18" s="106"/>
      <c r="E18" s="96"/>
      <c r="F18" s="97"/>
      <c r="G18" s="62"/>
      <c r="H18" s="94"/>
    </row>
    <row r="19" spans="1:10" s="38" customFormat="1" ht="15" x14ac:dyDescent="0.25">
      <c r="A19" s="60">
        <v>-11810</v>
      </c>
      <c r="B19" s="67" t="s">
        <v>220</v>
      </c>
      <c r="C19" s="71">
        <f>'INCOME &amp; EXP'!C12+'INCOME &amp; EXP'!C21-C33</f>
        <v>-347511</v>
      </c>
      <c r="D19" s="106">
        <f>SUM(C18:C19)</f>
        <v>189003</v>
      </c>
      <c r="E19" s="96">
        <v>0</v>
      </c>
      <c r="F19" s="100" t="s">
        <v>131</v>
      </c>
      <c r="G19" s="62"/>
      <c r="H19" s="95">
        <f>'FA Sch-I'!H9</f>
        <v>78894</v>
      </c>
    </row>
    <row r="20" spans="1:10" s="38" customFormat="1" ht="15" x14ac:dyDescent="0.25">
      <c r="A20" s="60"/>
      <c r="B20" s="61" t="s">
        <v>191</v>
      </c>
      <c r="C20" s="62"/>
      <c r="D20" s="106"/>
      <c r="E20" s="96"/>
      <c r="F20" s="97"/>
      <c r="G20" s="62"/>
      <c r="H20" s="95"/>
    </row>
    <row r="21" spans="1:10" s="38" customFormat="1" ht="15" x14ac:dyDescent="0.25">
      <c r="A21" s="60">
        <v>0</v>
      </c>
      <c r="B21" s="67" t="s">
        <v>10</v>
      </c>
      <c r="C21" s="62">
        <v>0</v>
      </c>
      <c r="D21" s="106"/>
      <c r="E21" s="96"/>
      <c r="F21" s="99" t="s">
        <v>136</v>
      </c>
      <c r="G21" s="62"/>
      <c r="H21" s="95"/>
    </row>
    <row r="22" spans="1:10" s="38" customFormat="1" ht="15" x14ac:dyDescent="0.25">
      <c r="A22" s="60">
        <v>0</v>
      </c>
      <c r="B22" s="67" t="s">
        <v>27</v>
      </c>
      <c r="C22" s="62">
        <v>643524</v>
      </c>
      <c r="D22" s="106"/>
      <c r="E22" s="96">
        <v>0</v>
      </c>
      <c r="F22" s="97" t="s">
        <v>250</v>
      </c>
      <c r="G22" s="62">
        <f>'Sch-II &amp; III'!D11</f>
        <v>232041</v>
      </c>
      <c r="H22" s="95"/>
      <c r="J22" s="40"/>
    </row>
    <row r="23" spans="1:10" s="38" customFormat="1" ht="15" x14ac:dyDescent="0.25">
      <c r="A23" s="60"/>
      <c r="B23" s="67" t="s">
        <v>160</v>
      </c>
      <c r="C23" s="72">
        <f>-26842.4-113000</f>
        <v>-139842.4</v>
      </c>
      <c r="D23" s="106">
        <f>SUM(C21:C23)</f>
        <v>503681.6</v>
      </c>
      <c r="E23" s="96">
        <v>10623</v>
      </c>
      <c r="F23" s="97" t="s">
        <v>137</v>
      </c>
      <c r="G23" s="62">
        <v>2581</v>
      </c>
      <c r="H23" s="95"/>
    </row>
    <row r="24" spans="1:10" s="38" customFormat="1" ht="15" x14ac:dyDescent="0.25">
      <c r="A24" s="60">
        <v>10830</v>
      </c>
      <c r="B24" s="61" t="s">
        <v>33</v>
      </c>
      <c r="C24" s="62">
        <v>10830</v>
      </c>
      <c r="D24" s="106"/>
      <c r="E24" s="96">
        <v>0</v>
      </c>
      <c r="F24" s="97" t="s">
        <v>251</v>
      </c>
      <c r="G24" s="72">
        <f>'Sch-II &amp; III'!D24</f>
        <v>210234</v>
      </c>
      <c r="H24" s="95">
        <f>SUM(G22:G24)</f>
        <v>444856</v>
      </c>
    </row>
    <row r="25" spans="1:10" s="38" customFormat="1" ht="15" x14ac:dyDescent="0.25">
      <c r="A25" s="60">
        <v>0</v>
      </c>
      <c r="B25" s="67" t="s">
        <v>27</v>
      </c>
      <c r="C25" s="72">
        <f>10*52*12</f>
        <v>6240</v>
      </c>
      <c r="D25" s="106">
        <f>SUM(C24:C25)</f>
        <v>17070</v>
      </c>
      <c r="E25" s="96"/>
      <c r="F25" s="97"/>
      <c r="G25" s="62"/>
      <c r="H25" s="95"/>
    </row>
    <row r="26" spans="1:10" s="38" customFormat="1" ht="15" x14ac:dyDescent="0.25">
      <c r="A26" s="60"/>
      <c r="B26" s="101"/>
      <c r="C26" s="62"/>
      <c r="D26" s="106"/>
      <c r="E26" s="96"/>
      <c r="F26" s="97"/>
      <c r="G26" s="62"/>
      <c r="H26" s="95"/>
    </row>
    <row r="27" spans="1:10" s="38" customFormat="1" ht="15" x14ac:dyDescent="0.25">
      <c r="A27" s="60">
        <v>0</v>
      </c>
      <c r="B27" s="73" t="s">
        <v>162</v>
      </c>
      <c r="C27" s="62"/>
      <c r="D27" s="106">
        <f>'Sch-IV &amp; V'!D23</f>
        <v>277744</v>
      </c>
      <c r="E27" s="96"/>
      <c r="F27" s="97"/>
      <c r="G27" s="62"/>
      <c r="H27" s="95"/>
      <c r="J27" s="40"/>
    </row>
    <row r="28" spans="1:10" s="38" customFormat="1" ht="15" x14ac:dyDescent="0.25">
      <c r="A28" s="60"/>
      <c r="B28" s="101"/>
      <c r="C28" s="62"/>
      <c r="D28" s="106"/>
      <c r="E28" s="96"/>
      <c r="F28" s="97"/>
      <c r="G28" s="62"/>
      <c r="H28" s="95"/>
    </row>
    <row r="29" spans="1:10" s="38" customFormat="1" ht="15" x14ac:dyDescent="0.25">
      <c r="A29" s="60">
        <v>0</v>
      </c>
      <c r="B29" s="73" t="s">
        <v>163</v>
      </c>
      <c r="C29" s="62"/>
      <c r="D29" s="106">
        <f>'Sch-IV &amp; V'!D30</f>
        <v>11258</v>
      </c>
      <c r="E29" s="96"/>
      <c r="F29" s="97"/>
      <c r="G29" s="62"/>
      <c r="H29" s="95"/>
    </row>
    <row r="30" spans="1:10" s="38" customFormat="1" ht="15" x14ac:dyDescent="0.25">
      <c r="A30" s="60"/>
      <c r="B30" s="101"/>
      <c r="C30" s="62"/>
      <c r="D30" s="106"/>
      <c r="E30" s="96"/>
      <c r="F30" s="97"/>
      <c r="G30" s="62"/>
      <c r="H30" s="95"/>
    </row>
    <row r="31" spans="1:10" s="38" customFormat="1" ht="15" x14ac:dyDescent="0.25">
      <c r="A31" s="60"/>
      <c r="B31" s="61" t="s">
        <v>22</v>
      </c>
      <c r="C31" s="62"/>
      <c r="D31" s="106"/>
      <c r="E31" s="96"/>
      <c r="F31" s="97"/>
      <c r="G31" s="62"/>
      <c r="H31" s="95"/>
    </row>
    <row r="32" spans="1:10" s="38" customFormat="1" ht="15" x14ac:dyDescent="0.25">
      <c r="A32" s="60">
        <v>145377.39000000001</v>
      </c>
      <c r="B32" s="67" t="s">
        <v>10</v>
      </c>
      <c r="C32" s="62">
        <f>145377.39+4444</f>
        <v>149821.39000000001</v>
      </c>
      <c r="D32" s="106"/>
      <c r="E32" s="96"/>
      <c r="F32" s="97"/>
      <c r="G32" s="62"/>
      <c r="H32" s="95"/>
    </row>
    <row r="33" spans="1:10" s="38" customFormat="1" ht="15" x14ac:dyDescent="0.25">
      <c r="A33" s="60">
        <v>0</v>
      </c>
      <c r="B33" s="67" t="s">
        <v>225</v>
      </c>
      <c r="C33" s="62">
        <v>20340</v>
      </c>
      <c r="D33" s="106"/>
      <c r="E33" s="96"/>
      <c r="F33" s="97"/>
      <c r="G33" s="62"/>
      <c r="H33" s="95"/>
    </row>
    <row r="34" spans="1:10" s="38" customFormat="1" ht="15" x14ac:dyDescent="0.25">
      <c r="A34" s="60">
        <v>0</v>
      </c>
      <c r="B34" s="67" t="s">
        <v>256</v>
      </c>
      <c r="C34" s="62">
        <v>-51517</v>
      </c>
      <c r="D34" s="106"/>
      <c r="E34" s="96"/>
      <c r="F34" s="97"/>
      <c r="G34" s="62"/>
      <c r="H34" s="95"/>
      <c r="J34" s="38" t="s">
        <v>255</v>
      </c>
    </row>
    <row r="35" spans="1:10" s="38" customFormat="1" ht="15" x14ac:dyDescent="0.25">
      <c r="A35" s="60">
        <v>4444</v>
      </c>
      <c r="B35" s="67" t="s">
        <v>23</v>
      </c>
      <c r="C35" s="72">
        <f>'INCOME &amp; EXP'!C62</f>
        <v>515140.90000000014</v>
      </c>
      <c r="D35" s="106">
        <f>SUM(C32:C35)</f>
        <v>633785.29000000015</v>
      </c>
      <c r="E35" s="96"/>
      <c r="F35" s="97"/>
      <c r="G35" s="62"/>
      <c r="H35" s="95"/>
    </row>
    <row r="36" spans="1:10" s="38" customFormat="1" ht="15" x14ac:dyDescent="0.25">
      <c r="A36" s="60"/>
      <c r="B36" s="67"/>
      <c r="C36" s="62"/>
      <c r="D36" s="106"/>
      <c r="E36" s="96"/>
      <c r="F36" s="97"/>
      <c r="G36" s="62"/>
      <c r="H36" s="95"/>
    </row>
    <row r="37" spans="1:10" s="38" customFormat="1" ht="15.75" thickBot="1" x14ac:dyDescent="0.3">
      <c r="A37" s="77">
        <f>SUM(A5:A36)</f>
        <v>2709322.99</v>
      </c>
      <c r="B37" s="163" t="s">
        <v>6</v>
      </c>
      <c r="C37" s="163"/>
      <c r="D37" s="107">
        <f>SUM(D5:D36)</f>
        <v>2099483.89</v>
      </c>
      <c r="E37" s="103">
        <f>SUM(E5:E36)</f>
        <v>2709322.99</v>
      </c>
      <c r="F37" s="163" t="s">
        <v>6</v>
      </c>
      <c r="G37" s="163"/>
      <c r="H37" s="77">
        <f>SUM(H5:H36)</f>
        <v>2099483.8899999997</v>
      </c>
    </row>
    <row r="38" spans="1:10" s="45" customFormat="1" ht="15" customHeight="1" x14ac:dyDescent="0.25">
      <c r="A38" s="43"/>
      <c r="B38" s="39"/>
      <c r="C38" s="44"/>
      <c r="D38" s="28"/>
      <c r="E38" s="44"/>
      <c r="F38" s="39"/>
      <c r="G38" s="44"/>
      <c r="H38" s="29"/>
    </row>
    <row r="39" spans="1:10" s="45" customFormat="1" ht="15" customHeight="1" x14ac:dyDescent="0.25">
      <c r="A39" s="46" t="s">
        <v>245</v>
      </c>
      <c r="B39" s="39"/>
      <c r="C39" s="39"/>
      <c r="D39" s="28"/>
      <c r="E39" s="44"/>
      <c r="F39" s="39"/>
      <c r="G39" s="44"/>
      <c r="H39" s="29"/>
      <c r="I39" s="45">
        <f>A37-E37</f>
        <v>0</v>
      </c>
    </row>
    <row r="40" spans="1:10" ht="15" customHeight="1" x14ac:dyDescent="0.25">
      <c r="A40" s="47"/>
      <c r="D40" s="30"/>
      <c r="E40" s="48"/>
      <c r="F40" s="147" t="s">
        <v>18</v>
      </c>
      <c r="G40" s="147"/>
      <c r="H40" s="148"/>
    </row>
    <row r="41" spans="1:10" ht="15" customHeight="1" x14ac:dyDescent="0.2">
      <c r="A41" s="49"/>
      <c r="D41" s="30"/>
      <c r="E41" s="48"/>
      <c r="F41" s="50"/>
      <c r="G41" s="48"/>
      <c r="H41" s="31"/>
      <c r="I41" s="42"/>
      <c r="J41" s="42"/>
    </row>
    <row r="42" spans="1:10" ht="15" customHeight="1" x14ac:dyDescent="0.25">
      <c r="A42" s="47"/>
      <c r="D42" s="30"/>
      <c r="E42" s="48"/>
      <c r="F42" s="50"/>
      <c r="G42" s="48"/>
      <c r="H42" s="31"/>
      <c r="I42" s="42">
        <f>A37-E37</f>
        <v>0</v>
      </c>
      <c r="J42" s="42">
        <f>D37-H37</f>
        <v>0</v>
      </c>
    </row>
    <row r="43" spans="1:10" ht="15" customHeight="1" x14ac:dyDescent="0.25">
      <c r="A43" s="47"/>
      <c r="D43" s="30"/>
      <c r="E43" s="48"/>
      <c r="F43" s="50"/>
      <c r="G43" s="48"/>
      <c r="H43" s="31"/>
    </row>
    <row r="44" spans="1:10" ht="15" customHeight="1" x14ac:dyDescent="0.2">
      <c r="A44" s="32" t="s">
        <v>246</v>
      </c>
      <c r="B44" s="33"/>
      <c r="C44" s="34"/>
      <c r="D44" s="30"/>
      <c r="E44" s="48"/>
      <c r="F44" s="50"/>
      <c r="G44" s="48"/>
      <c r="H44" s="31"/>
    </row>
    <row r="45" spans="1:10" ht="15" customHeight="1" x14ac:dyDescent="0.2">
      <c r="A45" s="35" t="s">
        <v>247</v>
      </c>
      <c r="B45" s="33"/>
      <c r="C45" s="34"/>
      <c r="D45" s="30"/>
      <c r="E45" s="48"/>
      <c r="F45" s="149" t="s">
        <v>248</v>
      </c>
      <c r="G45" s="149"/>
      <c r="H45" s="150"/>
      <c r="I45" s="50"/>
      <c r="J45" s="50"/>
    </row>
    <row r="46" spans="1:10" s="50" customFormat="1" ht="15" customHeight="1" x14ac:dyDescent="0.2">
      <c r="A46" s="35" t="s">
        <v>249</v>
      </c>
      <c r="B46" s="33"/>
      <c r="C46" s="34"/>
      <c r="D46" s="30"/>
      <c r="E46" s="48"/>
      <c r="H46" s="51"/>
    </row>
    <row r="47" spans="1:10" s="50" customFormat="1" ht="15" customHeight="1" x14ac:dyDescent="0.2">
      <c r="A47" s="151">
        <v>45892</v>
      </c>
      <c r="B47" s="152"/>
      <c r="C47" s="152"/>
      <c r="D47" s="36"/>
      <c r="E47" s="52"/>
      <c r="F47" s="53"/>
      <c r="G47" s="52"/>
      <c r="H47" s="37"/>
    </row>
    <row r="48" spans="1:10" ht="15" x14ac:dyDescent="0.25">
      <c r="A48" s="26"/>
      <c r="B48" s="26"/>
      <c r="C48" s="26"/>
      <c r="D48" s="26"/>
      <c r="E48" s="57"/>
      <c r="F48" s="58"/>
      <c r="G48" s="58"/>
      <c r="H48" s="57"/>
    </row>
    <row r="49" spans="1:8" x14ac:dyDescent="0.2">
      <c r="A49" s="38"/>
      <c r="B49" s="38"/>
      <c r="C49" s="38"/>
      <c r="D49" s="38"/>
      <c r="E49" s="57"/>
      <c r="F49" s="57"/>
      <c r="G49" s="57"/>
      <c r="H49" s="57"/>
    </row>
    <row r="50" spans="1:8" x14ac:dyDescent="0.2">
      <c r="A50" s="38"/>
      <c r="B50" s="38"/>
      <c r="C50" s="38"/>
      <c r="D50" s="38"/>
      <c r="E50" s="57"/>
      <c r="F50" s="56"/>
      <c r="G50" s="58"/>
      <c r="H50" s="57"/>
    </row>
    <row r="51" spans="1:8" x14ac:dyDescent="0.2">
      <c r="A51" s="38"/>
      <c r="B51" s="38"/>
      <c r="C51" s="38"/>
      <c r="D51" s="38"/>
      <c r="E51" s="57"/>
      <c r="F51" s="58"/>
      <c r="G51" s="58"/>
      <c r="H51" s="57"/>
    </row>
    <row r="52" spans="1:8" x14ac:dyDescent="0.2">
      <c r="A52" s="38"/>
      <c r="B52" s="38"/>
      <c r="C52" s="38"/>
      <c r="D52" s="38"/>
      <c r="E52" s="57"/>
      <c r="F52" s="58"/>
      <c r="G52" s="58"/>
      <c r="H52" s="57"/>
    </row>
    <row r="53" spans="1:8" x14ac:dyDescent="0.2">
      <c r="A53" s="38"/>
      <c r="B53" s="38"/>
      <c r="C53" s="38"/>
      <c r="D53" s="38"/>
      <c r="E53" s="57"/>
      <c r="F53" s="58"/>
      <c r="G53" s="58"/>
      <c r="H53" s="57"/>
    </row>
    <row r="54" spans="1:8" x14ac:dyDescent="0.2">
      <c r="A54" s="38"/>
      <c r="B54" s="38"/>
      <c r="C54" s="38"/>
      <c r="D54" s="38"/>
      <c r="E54" s="57"/>
      <c r="F54" s="58"/>
      <c r="G54" s="58"/>
      <c r="H54" s="57"/>
    </row>
    <row r="55" spans="1:8" x14ac:dyDescent="0.2">
      <c r="A55" s="38"/>
      <c r="B55" s="38"/>
      <c r="C55" s="38"/>
      <c r="D55" s="38"/>
      <c r="E55" s="57"/>
      <c r="F55" s="58"/>
      <c r="G55" s="58"/>
      <c r="H55" s="57"/>
    </row>
    <row r="56" spans="1:8" x14ac:dyDescent="0.2">
      <c r="A56" s="38"/>
      <c r="B56" s="38"/>
      <c r="C56" s="38"/>
      <c r="D56" s="38"/>
      <c r="E56" s="57"/>
      <c r="F56" s="58"/>
      <c r="G56" s="58"/>
      <c r="H56" s="57"/>
    </row>
    <row r="57" spans="1:8" x14ac:dyDescent="0.2">
      <c r="E57" s="57"/>
      <c r="F57" s="58"/>
      <c r="G57" s="58"/>
      <c r="H57" s="57"/>
    </row>
    <row r="58" spans="1:8" x14ac:dyDescent="0.2">
      <c r="E58" s="57"/>
      <c r="F58" s="56"/>
      <c r="G58" s="58"/>
      <c r="H58" s="57"/>
    </row>
    <row r="59" spans="1:8" x14ac:dyDescent="0.2">
      <c r="E59" s="57"/>
      <c r="F59" s="56"/>
      <c r="G59" s="58"/>
      <c r="H59" s="57"/>
    </row>
    <row r="60" spans="1:8" x14ac:dyDescent="0.2">
      <c r="E60" s="57"/>
      <c r="F60" s="56"/>
      <c r="G60" s="58"/>
      <c r="H60" s="57"/>
    </row>
    <row r="61" spans="1:8" x14ac:dyDescent="0.2">
      <c r="E61" s="57"/>
      <c r="F61" s="58"/>
      <c r="G61" s="57"/>
      <c r="H61" s="57"/>
    </row>
    <row r="62" spans="1:8" x14ac:dyDescent="0.2">
      <c r="E62" s="57"/>
      <c r="F62" s="58"/>
      <c r="G62" s="59"/>
      <c r="H62" s="57"/>
    </row>
    <row r="63" spans="1:8" x14ac:dyDescent="0.2">
      <c r="E63" s="57"/>
      <c r="F63" s="58"/>
      <c r="G63" s="57"/>
      <c r="H63" s="57"/>
    </row>
    <row r="64" spans="1:8" x14ac:dyDescent="0.2">
      <c r="E64" s="57"/>
      <c r="F64" s="56"/>
      <c r="G64" s="58"/>
      <c r="H64" s="57"/>
    </row>
    <row r="65" spans="5:8" x14ac:dyDescent="0.2">
      <c r="E65" s="57"/>
      <c r="F65" s="58"/>
      <c r="G65" s="57"/>
      <c r="H65" s="57"/>
    </row>
    <row r="66" spans="5:8" x14ac:dyDescent="0.2">
      <c r="E66" s="57"/>
      <c r="F66" s="58"/>
      <c r="G66" s="59"/>
      <c r="H66" s="57"/>
    </row>
    <row r="67" spans="5:8" x14ac:dyDescent="0.2">
      <c r="E67" s="57"/>
      <c r="F67" s="58"/>
      <c r="G67" s="57"/>
      <c r="H67" s="57"/>
    </row>
    <row r="68" spans="5:8" x14ac:dyDescent="0.2">
      <c r="E68" s="57"/>
      <c r="F68" s="56"/>
      <c r="G68" s="58"/>
      <c r="H68" s="57"/>
    </row>
    <row r="69" spans="5:8" x14ac:dyDescent="0.2">
      <c r="E69" s="57"/>
      <c r="F69" s="58"/>
      <c r="G69" s="57"/>
      <c r="H69" s="57"/>
    </row>
    <row r="70" spans="5:8" x14ac:dyDescent="0.2">
      <c r="E70" s="57"/>
      <c r="F70" s="58"/>
      <c r="G70" s="59"/>
      <c r="H70" s="57"/>
    </row>
    <row r="71" spans="5:8" x14ac:dyDescent="0.2">
      <c r="E71" s="57"/>
      <c r="F71" s="58"/>
      <c r="G71" s="57"/>
      <c r="H71" s="57"/>
    </row>
    <row r="72" spans="5:8" x14ac:dyDescent="0.2">
      <c r="E72" s="57"/>
      <c r="F72" s="56"/>
      <c r="G72" s="58"/>
      <c r="H72" s="57"/>
    </row>
    <row r="73" spans="5:8" x14ac:dyDescent="0.2">
      <c r="E73" s="57"/>
      <c r="F73" s="58"/>
      <c r="G73" s="57"/>
      <c r="H73" s="57"/>
    </row>
    <row r="74" spans="5:8" x14ac:dyDescent="0.2">
      <c r="E74" s="57"/>
      <c r="F74" s="58"/>
      <c r="G74" s="59"/>
      <c r="H74" s="57"/>
    </row>
    <row r="75" spans="5:8" x14ac:dyDescent="0.2">
      <c r="E75" s="57"/>
      <c r="F75" s="58"/>
      <c r="G75" s="57"/>
      <c r="H75" s="57"/>
    </row>
    <row r="76" spans="5:8" x14ac:dyDescent="0.2">
      <c r="E76" s="57"/>
      <c r="F76" s="56"/>
      <c r="G76" s="57"/>
      <c r="H76" s="57"/>
    </row>
    <row r="77" spans="5:8" x14ac:dyDescent="0.2">
      <c r="E77" s="57"/>
      <c r="F77" s="58"/>
      <c r="G77" s="57"/>
      <c r="H77" s="57"/>
    </row>
    <row r="78" spans="5:8" x14ac:dyDescent="0.2">
      <c r="E78" s="57"/>
      <c r="F78" s="58"/>
      <c r="G78" s="57"/>
      <c r="H78" s="57"/>
    </row>
    <row r="79" spans="5:8" x14ac:dyDescent="0.2">
      <c r="E79" s="57"/>
      <c r="F79" s="58"/>
      <c r="G79" s="57"/>
      <c r="H79" s="57"/>
    </row>
    <row r="80" spans="5:8" x14ac:dyDescent="0.2">
      <c r="E80" s="57"/>
      <c r="F80" s="58"/>
      <c r="G80" s="57"/>
      <c r="H80" s="57"/>
    </row>
    <row r="81" spans="5:8" x14ac:dyDescent="0.2">
      <c r="E81" s="38"/>
      <c r="F81" s="38"/>
      <c r="G81" s="38"/>
      <c r="H81" s="38"/>
    </row>
    <row r="82" spans="5:8" x14ac:dyDescent="0.2">
      <c r="E82" s="57"/>
      <c r="F82" s="56"/>
      <c r="G82" s="57"/>
      <c r="H82" s="38"/>
    </row>
    <row r="83" spans="5:8" x14ac:dyDescent="0.2">
      <c r="E83" s="57"/>
      <c r="F83" s="58"/>
      <c r="G83" s="57"/>
      <c r="H83" s="38"/>
    </row>
    <row r="84" spans="5:8" x14ac:dyDescent="0.2">
      <c r="E84" s="38"/>
      <c r="F84" s="38"/>
      <c r="G84" s="40"/>
      <c r="H84" s="57"/>
    </row>
    <row r="85" spans="5:8" x14ac:dyDescent="0.2">
      <c r="E85" s="57"/>
      <c r="F85" s="58"/>
      <c r="G85" s="59"/>
      <c r="H85" s="57"/>
    </row>
    <row r="86" spans="5:8" x14ac:dyDescent="0.2">
      <c r="E86" s="38"/>
      <c r="F86" s="38"/>
      <c r="G86" s="38"/>
      <c r="H86" s="38"/>
    </row>
    <row r="87" spans="5:8" x14ac:dyDescent="0.2">
      <c r="E87" s="57"/>
      <c r="F87" s="58"/>
      <c r="G87" s="57"/>
      <c r="H87" s="57"/>
    </row>
    <row r="88" spans="5:8" x14ac:dyDescent="0.2">
      <c r="E88" s="57"/>
      <c r="F88" s="38"/>
      <c r="G88" s="57"/>
      <c r="H88" s="57"/>
    </row>
  </sheetData>
  <mergeCells count="10">
    <mergeCell ref="F40:H40"/>
    <mergeCell ref="F45:H45"/>
    <mergeCell ref="A47:C47"/>
    <mergeCell ref="A1:H1"/>
    <mergeCell ref="A2:H2"/>
    <mergeCell ref="A3:H3"/>
    <mergeCell ref="F4:G4"/>
    <mergeCell ref="B4:C4"/>
    <mergeCell ref="F37:G37"/>
    <mergeCell ref="B37:C37"/>
  </mergeCells>
  <phoneticPr fontId="3" type="noConversion"/>
  <printOptions horizontalCentered="1"/>
  <pageMargins left="0.39370078740157483" right="0.39370078740157483" top="0.59055118110236227" bottom="0.19685039370078741" header="0.19685039370078741" footer="0.19685039370078741"/>
  <pageSetup paperSize="9" scale="78" orientation="landscape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"/>
  <sheetViews>
    <sheetView view="pageBreakPreview" zoomScaleNormal="100" zoomScaleSheetLayoutView="100" workbookViewId="0">
      <selection sqref="A1:H1"/>
    </sheetView>
  </sheetViews>
  <sheetFormatPr defaultRowHeight="12.75" x14ac:dyDescent="0.2"/>
  <cols>
    <col min="1" max="1" width="14.7109375" style="39" customWidth="1"/>
    <col min="2" max="2" width="32.42578125" style="39" customWidth="1"/>
    <col min="3" max="3" width="14.7109375" style="39" customWidth="1"/>
    <col min="4" max="4" width="14.7109375" style="38" customWidth="1"/>
    <col min="5" max="5" width="14.7109375" style="39" customWidth="1"/>
    <col min="6" max="6" width="30.42578125" style="39" bestFit="1" customWidth="1"/>
    <col min="7" max="8" width="14.7109375" style="39" customWidth="1"/>
    <col min="9" max="9" width="12.7109375" style="39" bestFit="1" customWidth="1"/>
    <col min="10" max="10" width="10.28515625" style="39" bestFit="1" customWidth="1"/>
    <col min="11" max="16384" width="9.140625" style="39"/>
  </cols>
  <sheetData>
    <row r="1" spans="1:10" s="38" customFormat="1" ht="20.100000000000001" customHeight="1" x14ac:dyDescent="0.3">
      <c r="A1" s="153" t="s">
        <v>16</v>
      </c>
      <c r="B1" s="154"/>
      <c r="C1" s="154"/>
      <c r="D1" s="154"/>
      <c r="E1" s="154"/>
      <c r="F1" s="154"/>
      <c r="G1" s="154"/>
      <c r="H1" s="155"/>
    </row>
    <row r="2" spans="1:10" s="38" customFormat="1" ht="15.95" customHeight="1" x14ac:dyDescent="0.2">
      <c r="A2" s="156" t="s">
        <v>17</v>
      </c>
      <c r="B2" s="157"/>
      <c r="C2" s="157"/>
      <c r="D2" s="157"/>
      <c r="E2" s="157"/>
      <c r="F2" s="157"/>
      <c r="G2" s="157"/>
      <c r="H2" s="158"/>
    </row>
    <row r="3" spans="1:10" s="38" customFormat="1" ht="15.95" customHeight="1" x14ac:dyDescent="0.25">
      <c r="A3" s="164" t="s">
        <v>37</v>
      </c>
      <c r="B3" s="165"/>
      <c r="C3" s="165"/>
      <c r="D3" s="165"/>
      <c r="E3" s="165"/>
      <c r="F3" s="165"/>
      <c r="G3" s="165"/>
      <c r="H3" s="166"/>
    </row>
    <row r="4" spans="1:10" s="38" customFormat="1" ht="15.75" thickBot="1" x14ac:dyDescent="0.3">
      <c r="A4" s="79" t="s">
        <v>29</v>
      </c>
      <c r="B4" s="167" t="s">
        <v>0</v>
      </c>
      <c r="C4" s="167"/>
      <c r="D4" s="80" t="s">
        <v>35</v>
      </c>
      <c r="E4" s="79" t="str">
        <f>A4</f>
        <v>MAR-2024</v>
      </c>
      <c r="F4" s="167" t="s">
        <v>1</v>
      </c>
      <c r="G4" s="167"/>
      <c r="H4" s="79" t="str">
        <f>D4</f>
        <v>MAR-2025</v>
      </c>
    </row>
    <row r="5" spans="1:10" s="38" customFormat="1" ht="15.75" thickTop="1" x14ac:dyDescent="0.25">
      <c r="A5" s="60"/>
      <c r="B5" s="61" t="s">
        <v>55</v>
      </c>
      <c r="C5" s="62"/>
      <c r="D5" s="63"/>
      <c r="E5" s="64"/>
      <c r="F5" s="65" t="s">
        <v>84</v>
      </c>
      <c r="G5" s="78"/>
      <c r="H5" s="66"/>
    </row>
    <row r="6" spans="1:10" s="38" customFormat="1" ht="15" x14ac:dyDescent="0.25">
      <c r="A6" s="60">
        <v>0</v>
      </c>
      <c r="B6" s="67" t="s">
        <v>57</v>
      </c>
      <c r="C6" s="62">
        <f>5000*11</f>
        <v>55000</v>
      </c>
      <c r="D6" s="63"/>
      <c r="E6" s="64">
        <v>0</v>
      </c>
      <c r="F6" s="68" t="s">
        <v>48</v>
      </c>
      <c r="G6" s="62">
        <v>29952</v>
      </c>
      <c r="H6" s="66"/>
    </row>
    <row r="7" spans="1:10" s="38" customFormat="1" ht="15" x14ac:dyDescent="0.25">
      <c r="A7" s="60">
        <v>0</v>
      </c>
      <c r="B7" s="67" t="s">
        <v>56</v>
      </c>
      <c r="C7" s="69">
        <f>21000+80000</f>
        <v>101000</v>
      </c>
      <c r="D7" s="70"/>
      <c r="E7" s="64">
        <v>0</v>
      </c>
      <c r="F7" s="68" t="s">
        <v>49</v>
      </c>
      <c r="G7" s="62">
        <v>571584</v>
      </c>
      <c r="H7" s="66"/>
    </row>
    <row r="8" spans="1:10" s="38" customFormat="1" ht="15" x14ac:dyDescent="0.25">
      <c r="A8" s="60">
        <v>0</v>
      </c>
      <c r="B8" s="67" t="s">
        <v>58</v>
      </c>
      <c r="C8" s="69">
        <f>72000+6000</f>
        <v>78000</v>
      </c>
      <c r="D8" s="70"/>
      <c r="E8" s="64">
        <v>0</v>
      </c>
      <c r="F8" s="68" t="s">
        <v>50</v>
      </c>
      <c r="G8" s="62">
        <v>149952</v>
      </c>
      <c r="H8" s="66"/>
      <c r="J8" s="40"/>
    </row>
    <row r="9" spans="1:10" s="38" customFormat="1" ht="15" x14ac:dyDescent="0.25">
      <c r="A9" s="60">
        <v>0</v>
      </c>
      <c r="B9" s="67" t="s">
        <v>59</v>
      </c>
      <c r="C9" s="71">
        <v>4000</v>
      </c>
      <c r="D9" s="70">
        <f>SUM(C6:C9)</f>
        <v>238000</v>
      </c>
      <c r="E9" s="64">
        <v>0</v>
      </c>
      <c r="F9" s="68" t="s">
        <v>51</v>
      </c>
      <c r="G9" s="62">
        <v>1730976</v>
      </c>
      <c r="H9" s="66"/>
    </row>
    <row r="10" spans="1:10" s="38" customFormat="1" ht="15" x14ac:dyDescent="0.25">
      <c r="A10" s="60"/>
      <c r="B10" s="67"/>
      <c r="C10" s="69"/>
      <c r="D10" s="70"/>
      <c r="E10" s="64">
        <v>0</v>
      </c>
      <c r="F10" s="68" t="s">
        <v>52</v>
      </c>
      <c r="G10" s="62">
        <f>73431+111</f>
        <v>73542</v>
      </c>
      <c r="H10" s="66"/>
    </row>
    <row r="11" spans="1:10" s="38" customFormat="1" ht="15" x14ac:dyDescent="0.25">
      <c r="A11" s="60">
        <v>0</v>
      </c>
      <c r="B11" s="67" t="s">
        <v>60</v>
      </c>
      <c r="C11" s="69">
        <v>226871</v>
      </c>
      <c r="D11" s="70"/>
      <c r="E11" s="64">
        <v>0</v>
      </c>
      <c r="F11" s="68" t="s">
        <v>53</v>
      </c>
      <c r="G11" s="62">
        <v>22487</v>
      </c>
      <c r="H11" s="66"/>
    </row>
    <row r="12" spans="1:10" s="38" customFormat="1" ht="15" x14ac:dyDescent="0.25">
      <c r="A12" s="60">
        <v>0</v>
      </c>
      <c r="B12" s="67" t="s">
        <v>219</v>
      </c>
      <c r="C12" s="71">
        <v>-226871</v>
      </c>
      <c r="D12" s="70">
        <f>SUM(C11:C12)</f>
        <v>0</v>
      </c>
      <c r="E12" s="64">
        <v>48000</v>
      </c>
      <c r="F12" s="68" t="s">
        <v>32</v>
      </c>
      <c r="G12" s="62">
        <v>60000</v>
      </c>
      <c r="H12" s="66"/>
    </row>
    <row r="13" spans="1:10" s="38" customFormat="1" ht="15" x14ac:dyDescent="0.25">
      <c r="A13" s="60"/>
      <c r="B13" s="67"/>
      <c r="C13" s="69"/>
      <c r="D13" s="70"/>
      <c r="E13" s="64">
        <v>0</v>
      </c>
      <c r="F13" s="68" t="s">
        <v>54</v>
      </c>
      <c r="G13" s="72">
        <v>2000</v>
      </c>
      <c r="H13" s="66">
        <f>SUM(G6:G13)</f>
        <v>2640493</v>
      </c>
    </row>
    <row r="14" spans="1:10" s="38" customFormat="1" ht="15" x14ac:dyDescent="0.25">
      <c r="A14" s="60">
        <v>0</v>
      </c>
      <c r="B14" s="67" t="s">
        <v>61</v>
      </c>
      <c r="C14" s="69"/>
      <c r="D14" s="70">
        <v>357584</v>
      </c>
      <c r="E14" s="64"/>
      <c r="F14" s="26"/>
      <c r="G14" s="62"/>
      <c r="H14" s="66"/>
      <c r="J14" s="40"/>
    </row>
    <row r="15" spans="1:10" s="38" customFormat="1" ht="8.1" customHeight="1" x14ac:dyDescent="0.25">
      <c r="A15" s="60"/>
      <c r="B15" s="67"/>
      <c r="C15" s="69"/>
      <c r="D15" s="70"/>
      <c r="E15" s="64"/>
      <c r="F15" s="26"/>
      <c r="G15" s="62"/>
      <c r="H15" s="66"/>
      <c r="J15" s="40"/>
    </row>
    <row r="16" spans="1:10" s="38" customFormat="1" ht="15" x14ac:dyDescent="0.25">
      <c r="A16" s="60">
        <v>0</v>
      </c>
      <c r="B16" s="67" t="s">
        <v>230</v>
      </c>
      <c r="C16" s="69"/>
      <c r="D16" s="70">
        <f>Workings!F21+Workings!F22</f>
        <v>142800</v>
      </c>
      <c r="E16" s="64"/>
      <c r="F16" s="26"/>
      <c r="G16" s="62"/>
      <c r="H16" s="66"/>
    </row>
    <row r="17" spans="1:11" s="38" customFormat="1" ht="15" x14ac:dyDescent="0.25">
      <c r="A17" s="60"/>
      <c r="B17" s="67" t="s">
        <v>231</v>
      </c>
      <c r="C17" s="69"/>
      <c r="D17" s="70"/>
      <c r="E17" s="64"/>
      <c r="F17" s="26"/>
      <c r="G17" s="62"/>
      <c r="H17" s="66"/>
    </row>
    <row r="18" spans="1:11" s="38" customFormat="1" ht="8.1" customHeight="1" x14ac:dyDescent="0.25">
      <c r="A18" s="60"/>
      <c r="B18" s="67"/>
      <c r="C18" s="69"/>
      <c r="D18" s="70"/>
      <c r="E18" s="64"/>
      <c r="F18" s="26"/>
      <c r="G18" s="62"/>
      <c r="H18" s="66"/>
    </row>
    <row r="19" spans="1:11" s="38" customFormat="1" ht="15" x14ac:dyDescent="0.25">
      <c r="A19" s="60"/>
      <c r="B19" s="61" t="s">
        <v>62</v>
      </c>
      <c r="C19" s="69"/>
      <c r="D19" s="70"/>
      <c r="E19" s="64"/>
      <c r="F19" s="65" t="s">
        <v>5</v>
      </c>
      <c r="G19" s="62"/>
      <c r="H19" s="66"/>
      <c r="J19" s="40"/>
    </row>
    <row r="20" spans="1:11" s="38" customFormat="1" ht="15" x14ac:dyDescent="0.25">
      <c r="A20" s="60">
        <v>0</v>
      </c>
      <c r="B20" s="67" t="s">
        <v>63</v>
      </c>
      <c r="C20" s="69">
        <v>139404</v>
      </c>
      <c r="D20" s="70"/>
      <c r="E20" s="64">
        <v>10154</v>
      </c>
      <c r="F20" s="68" t="s">
        <v>133</v>
      </c>
      <c r="G20" s="62">
        <v>39949</v>
      </c>
      <c r="H20" s="66"/>
    </row>
    <row r="21" spans="1:11" s="38" customFormat="1" ht="15" x14ac:dyDescent="0.25">
      <c r="A21" s="60"/>
      <c r="B21" s="67" t="s">
        <v>219</v>
      </c>
      <c r="C21" s="69">
        <v>-100300</v>
      </c>
      <c r="D21" s="70"/>
      <c r="E21" s="64">
        <v>134974</v>
      </c>
      <c r="F21" s="68" t="s">
        <v>134</v>
      </c>
      <c r="G21" s="62">
        <v>32784</v>
      </c>
      <c r="H21" s="66"/>
      <c r="I21" s="41"/>
    </row>
    <row r="22" spans="1:11" s="38" customFormat="1" ht="15" x14ac:dyDescent="0.25">
      <c r="A22" s="60">
        <v>0</v>
      </c>
      <c r="B22" s="67" t="s">
        <v>64</v>
      </c>
      <c r="C22" s="69">
        <v>5601</v>
      </c>
      <c r="D22" s="70"/>
      <c r="E22" s="64">
        <v>0</v>
      </c>
      <c r="F22" s="68" t="s">
        <v>135</v>
      </c>
      <c r="G22" s="62">
        <v>367</v>
      </c>
      <c r="H22" s="66"/>
    </row>
    <row r="23" spans="1:11" s="38" customFormat="1" ht="15" x14ac:dyDescent="0.25">
      <c r="A23" s="60">
        <v>0</v>
      </c>
      <c r="B23" s="67" t="s">
        <v>65</v>
      </c>
      <c r="C23" s="69">
        <v>1365</v>
      </c>
      <c r="D23" s="70"/>
      <c r="E23" s="64">
        <v>0</v>
      </c>
      <c r="F23" s="68" t="s">
        <v>208</v>
      </c>
      <c r="G23" s="62">
        <v>3.08</v>
      </c>
      <c r="H23" s="66"/>
    </row>
    <row r="24" spans="1:11" s="38" customFormat="1" ht="15" x14ac:dyDescent="0.25">
      <c r="A24" s="60">
        <v>0</v>
      </c>
      <c r="B24" s="67" t="s">
        <v>66</v>
      </c>
      <c r="C24" s="71">
        <v>4073</v>
      </c>
      <c r="D24" s="70">
        <f>SUM(C20:C24)</f>
        <v>50143</v>
      </c>
      <c r="E24" s="64">
        <v>9440</v>
      </c>
      <c r="F24" s="68" t="s">
        <v>25</v>
      </c>
      <c r="G24" s="72">
        <v>0</v>
      </c>
      <c r="H24" s="66">
        <f>SUM(G20:G24)</f>
        <v>73103.08</v>
      </c>
    </row>
    <row r="25" spans="1:11" s="38" customFormat="1" ht="8.1" customHeight="1" x14ac:dyDescent="0.25">
      <c r="A25" s="60"/>
      <c r="B25" s="67"/>
      <c r="C25" s="69"/>
      <c r="D25" s="70"/>
      <c r="E25" s="64"/>
      <c r="F25" s="68"/>
      <c r="G25" s="62"/>
      <c r="H25" s="66"/>
    </row>
    <row r="26" spans="1:11" s="38" customFormat="1" ht="15" x14ac:dyDescent="0.25">
      <c r="A26" s="60"/>
      <c r="B26" s="61" t="s">
        <v>67</v>
      </c>
      <c r="C26" s="69"/>
      <c r="D26" s="70"/>
      <c r="E26" s="64"/>
      <c r="F26" s="68"/>
      <c r="G26" s="62"/>
      <c r="H26" s="66"/>
    </row>
    <row r="27" spans="1:11" s="38" customFormat="1" ht="15" x14ac:dyDescent="0.25">
      <c r="A27" s="60">
        <v>0</v>
      </c>
      <c r="B27" s="67" t="s">
        <v>68</v>
      </c>
      <c r="C27" s="69">
        <v>38889</v>
      </c>
      <c r="D27" s="70"/>
      <c r="E27" s="64"/>
      <c r="F27" s="68"/>
      <c r="G27" s="62"/>
      <c r="H27" s="66"/>
    </row>
    <row r="28" spans="1:11" s="38" customFormat="1" ht="15" x14ac:dyDescent="0.25">
      <c r="A28" s="60">
        <v>161625</v>
      </c>
      <c r="B28" s="67" t="s">
        <v>30</v>
      </c>
      <c r="C28" s="69">
        <v>0</v>
      </c>
      <c r="D28" s="70"/>
      <c r="E28" s="64"/>
      <c r="F28" s="68"/>
      <c r="G28" s="62"/>
      <c r="H28" s="66"/>
    </row>
    <row r="29" spans="1:11" s="38" customFormat="1" ht="15" x14ac:dyDescent="0.25">
      <c r="A29" s="60">
        <v>0</v>
      </c>
      <c r="B29" s="67" t="s">
        <v>88</v>
      </c>
      <c r="C29" s="69">
        <v>31050</v>
      </c>
      <c r="D29" s="70"/>
      <c r="E29" s="64"/>
      <c r="F29" s="68"/>
      <c r="G29" s="62"/>
      <c r="H29" s="66"/>
      <c r="I29" s="39"/>
      <c r="J29" s="39"/>
    </row>
    <row r="30" spans="1:11" s="38" customFormat="1" ht="15" x14ac:dyDescent="0.25">
      <c r="A30" s="60">
        <v>0</v>
      </c>
      <c r="B30" s="67" t="s">
        <v>89</v>
      </c>
      <c r="C30" s="69">
        <v>10443</v>
      </c>
      <c r="D30" s="70"/>
      <c r="E30" s="64"/>
      <c r="F30" s="68"/>
      <c r="G30" s="62"/>
      <c r="H30" s="66"/>
      <c r="I30" s="39"/>
      <c r="J30" s="39"/>
    </row>
    <row r="31" spans="1:11" s="38" customFormat="1" ht="15" x14ac:dyDescent="0.25">
      <c r="A31" s="60">
        <v>990</v>
      </c>
      <c r="B31" s="67" t="s">
        <v>90</v>
      </c>
      <c r="C31" s="69">
        <v>23966</v>
      </c>
      <c r="D31" s="70"/>
      <c r="E31" s="64"/>
      <c r="F31" s="68"/>
      <c r="G31" s="62"/>
      <c r="H31" s="66"/>
      <c r="I31" s="39"/>
      <c r="J31" s="39"/>
    </row>
    <row r="32" spans="1:11" s="38" customFormat="1" ht="15" x14ac:dyDescent="0.25">
      <c r="A32" s="60"/>
      <c r="B32" s="67" t="s">
        <v>69</v>
      </c>
      <c r="C32" s="71">
        <v>44800</v>
      </c>
      <c r="D32" s="70">
        <f>SUM(C27:C32)</f>
        <v>149148</v>
      </c>
      <c r="E32" s="64"/>
      <c r="F32" s="68"/>
      <c r="G32" s="62"/>
      <c r="H32" s="66"/>
      <c r="I32" s="39"/>
      <c r="J32" s="39"/>
      <c r="K32" s="40"/>
    </row>
    <row r="33" spans="1:10" s="38" customFormat="1" ht="8.1" customHeight="1" x14ac:dyDescent="0.25">
      <c r="A33" s="60"/>
      <c r="B33" s="67"/>
      <c r="C33" s="69"/>
      <c r="D33" s="70"/>
      <c r="E33" s="64"/>
      <c r="F33" s="68"/>
      <c r="G33" s="62"/>
      <c r="H33" s="66"/>
      <c r="I33" s="39"/>
      <c r="J33" s="39"/>
    </row>
    <row r="34" spans="1:10" s="38" customFormat="1" ht="15" x14ac:dyDescent="0.25">
      <c r="A34" s="60"/>
      <c r="B34" s="61" t="s">
        <v>73</v>
      </c>
      <c r="C34" s="69"/>
      <c r="D34" s="70"/>
      <c r="E34" s="64"/>
      <c r="F34" s="68"/>
      <c r="G34" s="62"/>
      <c r="H34" s="66"/>
      <c r="I34" s="39"/>
      <c r="J34" s="39"/>
    </row>
    <row r="35" spans="1:10" s="38" customFormat="1" ht="15" x14ac:dyDescent="0.25">
      <c r="A35" s="60">
        <v>6000</v>
      </c>
      <c r="B35" s="67" t="s">
        <v>70</v>
      </c>
      <c r="C35" s="69">
        <v>53790</v>
      </c>
      <c r="D35" s="70"/>
      <c r="E35" s="64"/>
      <c r="F35" s="68"/>
      <c r="G35" s="62"/>
      <c r="H35" s="66"/>
      <c r="I35" s="39"/>
      <c r="J35" s="39"/>
    </row>
    <row r="36" spans="1:10" s="38" customFormat="1" ht="15" x14ac:dyDescent="0.25">
      <c r="A36" s="60">
        <v>0</v>
      </c>
      <c r="B36" s="67" t="s">
        <v>71</v>
      </c>
      <c r="C36" s="69">
        <v>753445</v>
      </c>
      <c r="D36" s="70"/>
      <c r="E36" s="64"/>
      <c r="F36" s="68"/>
      <c r="G36" s="62"/>
      <c r="H36" s="66"/>
      <c r="I36" s="39"/>
      <c r="J36" s="39"/>
    </row>
    <row r="37" spans="1:10" s="38" customFormat="1" ht="15" x14ac:dyDescent="0.25">
      <c r="A37" s="60">
        <v>0</v>
      </c>
      <c r="B37" s="67" t="s">
        <v>72</v>
      </c>
      <c r="C37" s="69">
        <v>64446</v>
      </c>
      <c r="D37" s="70"/>
      <c r="E37" s="64"/>
      <c r="F37" s="68"/>
      <c r="G37" s="62"/>
      <c r="H37" s="66"/>
      <c r="I37" s="39"/>
      <c r="J37" s="39"/>
    </row>
    <row r="38" spans="1:10" s="38" customFormat="1" ht="15" x14ac:dyDescent="0.25">
      <c r="A38" s="60">
        <v>0</v>
      </c>
      <c r="B38" s="67" t="s">
        <v>76</v>
      </c>
      <c r="C38" s="69">
        <v>9810</v>
      </c>
      <c r="D38" s="70"/>
      <c r="E38" s="64"/>
      <c r="F38" s="68"/>
      <c r="G38" s="62"/>
      <c r="H38" s="66"/>
      <c r="I38" s="39"/>
      <c r="J38" s="39"/>
    </row>
    <row r="39" spans="1:10" s="38" customFormat="1" ht="15" x14ac:dyDescent="0.25">
      <c r="A39" s="60">
        <v>0</v>
      </c>
      <c r="B39" s="67" t="s">
        <v>232</v>
      </c>
      <c r="C39" s="71">
        <v>12000</v>
      </c>
      <c r="D39" s="70">
        <f>SUM(C35:C39)</f>
        <v>893491</v>
      </c>
      <c r="E39" s="64"/>
      <c r="F39" s="68"/>
      <c r="G39" s="62"/>
      <c r="H39" s="66"/>
      <c r="I39" s="39"/>
      <c r="J39" s="39"/>
    </row>
    <row r="40" spans="1:10" s="38" customFormat="1" ht="8.1" customHeight="1" thickBot="1" x14ac:dyDescent="0.3">
      <c r="A40" s="81"/>
      <c r="B40" s="82"/>
      <c r="C40" s="83"/>
      <c r="D40" s="84"/>
      <c r="E40" s="85"/>
      <c r="F40" s="86"/>
      <c r="G40" s="87"/>
      <c r="H40" s="88"/>
    </row>
    <row r="41" spans="1:10" s="38" customFormat="1" ht="8.1" customHeight="1" x14ac:dyDescent="0.25">
      <c r="A41" s="60"/>
      <c r="B41" s="67"/>
      <c r="C41" s="69"/>
      <c r="D41" s="70"/>
      <c r="E41" s="64"/>
      <c r="F41" s="68"/>
      <c r="G41" s="62"/>
      <c r="H41" s="66"/>
    </row>
    <row r="42" spans="1:10" s="38" customFormat="1" ht="15" x14ac:dyDescent="0.25">
      <c r="A42" s="60"/>
      <c r="B42" s="61" t="s">
        <v>74</v>
      </c>
      <c r="C42" s="69"/>
      <c r="D42" s="70"/>
      <c r="E42" s="64"/>
      <c r="F42" s="68"/>
      <c r="G42" s="62"/>
      <c r="H42" s="66"/>
    </row>
    <row r="43" spans="1:10" s="38" customFormat="1" ht="15" x14ac:dyDescent="0.25">
      <c r="A43" s="60">
        <v>3850</v>
      </c>
      <c r="B43" s="67" t="s">
        <v>75</v>
      </c>
      <c r="C43" s="69">
        <f>6250+2478</f>
        <v>8728</v>
      </c>
      <c r="D43" s="70"/>
      <c r="E43" s="64"/>
      <c r="F43" s="68"/>
      <c r="G43" s="62"/>
      <c r="H43" s="66"/>
    </row>
    <row r="44" spans="1:10" ht="15" x14ac:dyDescent="0.25">
      <c r="A44" s="60">
        <v>0</v>
      </c>
      <c r="B44" s="67" t="s">
        <v>210</v>
      </c>
      <c r="C44" s="69">
        <v>9500</v>
      </c>
      <c r="D44" s="70"/>
      <c r="E44" s="64"/>
      <c r="F44" s="68"/>
      <c r="G44" s="62"/>
      <c r="H44" s="66"/>
      <c r="I44" s="38"/>
      <c r="J44" s="38"/>
    </row>
    <row r="45" spans="1:10" ht="15" x14ac:dyDescent="0.25">
      <c r="A45" s="60">
        <v>4981</v>
      </c>
      <c r="B45" s="67" t="s">
        <v>2</v>
      </c>
      <c r="C45" s="69">
        <v>2453</v>
      </c>
      <c r="D45" s="70"/>
      <c r="E45" s="64"/>
      <c r="F45" s="68"/>
      <c r="G45" s="62"/>
      <c r="H45" s="66"/>
      <c r="I45" s="38"/>
      <c r="J45" s="38"/>
    </row>
    <row r="46" spans="1:10" ht="15" x14ac:dyDescent="0.25">
      <c r="A46" s="60">
        <v>0</v>
      </c>
      <c r="B46" s="67" t="s">
        <v>82</v>
      </c>
      <c r="C46" s="69">
        <v>21000</v>
      </c>
      <c r="D46" s="70"/>
      <c r="E46" s="64"/>
      <c r="F46" s="68"/>
      <c r="G46" s="62"/>
      <c r="H46" s="66"/>
    </row>
    <row r="47" spans="1:10" ht="15" x14ac:dyDescent="0.25">
      <c r="A47" s="60">
        <v>0</v>
      </c>
      <c r="B47" s="67" t="s">
        <v>83</v>
      </c>
      <c r="C47" s="69">
        <v>5000</v>
      </c>
      <c r="D47" s="70"/>
      <c r="E47" s="64"/>
      <c r="F47" s="68"/>
      <c r="G47" s="62"/>
      <c r="H47" s="66"/>
    </row>
    <row r="48" spans="1:10" ht="15" x14ac:dyDescent="0.25">
      <c r="A48" s="60">
        <v>60</v>
      </c>
      <c r="B48" s="67" t="s">
        <v>19</v>
      </c>
      <c r="C48" s="69">
        <v>620.17999999999995</v>
      </c>
      <c r="D48" s="70"/>
      <c r="E48" s="64"/>
      <c r="F48" s="68"/>
      <c r="G48" s="62"/>
      <c r="H48" s="66"/>
    </row>
    <row r="49" spans="1:10" ht="15" x14ac:dyDescent="0.25">
      <c r="A49" s="60">
        <v>630</v>
      </c>
      <c r="B49" s="67" t="s">
        <v>79</v>
      </c>
      <c r="C49" s="69">
        <v>620</v>
      </c>
      <c r="D49" s="70"/>
      <c r="E49" s="64"/>
      <c r="F49" s="68"/>
      <c r="G49" s="62"/>
      <c r="H49" s="66"/>
    </row>
    <row r="50" spans="1:10" ht="15" x14ac:dyDescent="0.25">
      <c r="A50" s="60">
        <v>919</v>
      </c>
      <c r="B50" s="67" t="s">
        <v>4</v>
      </c>
      <c r="C50" s="69">
        <v>15557</v>
      </c>
      <c r="D50" s="70"/>
      <c r="E50" s="64"/>
      <c r="F50" s="68"/>
      <c r="G50" s="62"/>
      <c r="H50" s="66"/>
    </row>
    <row r="51" spans="1:10" ht="15" x14ac:dyDescent="0.25">
      <c r="A51" s="60">
        <v>9119</v>
      </c>
      <c r="B51" s="67" t="s">
        <v>31</v>
      </c>
      <c r="C51" s="69">
        <v>0</v>
      </c>
      <c r="D51" s="70"/>
      <c r="E51" s="64"/>
      <c r="F51" s="68"/>
      <c r="G51" s="62"/>
      <c r="H51" s="66"/>
    </row>
    <row r="52" spans="1:10" ht="15" x14ac:dyDescent="0.25">
      <c r="A52" s="60">
        <v>0</v>
      </c>
      <c r="B52" s="67" t="s">
        <v>222</v>
      </c>
      <c r="C52" s="69">
        <v>3422</v>
      </c>
      <c r="D52" s="70"/>
      <c r="E52" s="64"/>
      <c r="F52" s="68"/>
      <c r="G52" s="62"/>
      <c r="H52" s="66"/>
    </row>
    <row r="53" spans="1:10" ht="15" x14ac:dyDescent="0.25">
      <c r="A53" s="60">
        <v>7000</v>
      </c>
      <c r="B53" s="67" t="s">
        <v>26</v>
      </c>
      <c r="C53" s="69">
        <v>3000</v>
      </c>
      <c r="D53" s="70"/>
      <c r="E53" s="64"/>
      <c r="F53" s="26"/>
      <c r="G53" s="62"/>
      <c r="H53" s="66"/>
    </row>
    <row r="54" spans="1:10" ht="15" x14ac:dyDescent="0.25">
      <c r="A54" s="60">
        <v>2950</v>
      </c>
      <c r="B54" s="67" t="s">
        <v>3</v>
      </c>
      <c r="C54" s="69">
        <v>8150</v>
      </c>
      <c r="D54" s="70"/>
      <c r="E54" s="64"/>
      <c r="F54" s="26"/>
      <c r="G54" s="66"/>
      <c r="H54" s="66"/>
    </row>
    <row r="55" spans="1:10" ht="15" x14ac:dyDescent="0.25">
      <c r="A55" s="60">
        <v>0</v>
      </c>
      <c r="B55" s="67" t="s">
        <v>80</v>
      </c>
      <c r="C55" s="69">
        <v>3318</v>
      </c>
      <c r="D55" s="70"/>
      <c r="E55" s="64"/>
      <c r="F55" s="26"/>
      <c r="G55" s="66"/>
      <c r="H55" s="66"/>
    </row>
    <row r="56" spans="1:10" ht="15" x14ac:dyDescent="0.25">
      <c r="A56" s="60">
        <v>0</v>
      </c>
      <c r="B56" s="67" t="s">
        <v>77</v>
      </c>
      <c r="C56" s="69">
        <v>8000</v>
      </c>
      <c r="D56" s="70"/>
      <c r="E56" s="64"/>
      <c r="F56" s="26"/>
      <c r="G56" s="66"/>
      <c r="H56" s="66"/>
    </row>
    <row r="57" spans="1:10" ht="15" x14ac:dyDescent="0.25">
      <c r="A57" s="60">
        <v>0</v>
      </c>
      <c r="B57" s="67" t="s">
        <v>78</v>
      </c>
      <c r="C57" s="69">
        <v>11665</v>
      </c>
      <c r="D57" s="70"/>
      <c r="E57" s="64"/>
      <c r="F57" s="26"/>
      <c r="G57" s="66"/>
      <c r="H57" s="66"/>
    </row>
    <row r="58" spans="1:10" ht="15" x14ac:dyDescent="0.25">
      <c r="A58" s="60">
        <v>0</v>
      </c>
      <c r="B58" s="67" t="s">
        <v>81</v>
      </c>
      <c r="C58" s="69">
        <v>4360</v>
      </c>
      <c r="D58" s="70"/>
      <c r="E58" s="64"/>
      <c r="F58" s="26"/>
      <c r="G58" s="66"/>
      <c r="H58" s="66"/>
    </row>
    <row r="59" spans="1:10" ht="15" x14ac:dyDescent="0.25">
      <c r="A59" s="60">
        <v>0</v>
      </c>
      <c r="B59" s="67" t="s">
        <v>91</v>
      </c>
      <c r="C59" s="69">
        <v>64151</v>
      </c>
      <c r="D59" s="70"/>
      <c r="E59" s="64"/>
      <c r="F59" s="26"/>
      <c r="G59" s="66"/>
      <c r="H59" s="66"/>
    </row>
    <row r="60" spans="1:10" ht="15" x14ac:dyDescent="0.25">
      <c r="A60" s="60">
        <v>0</v>
      </c>
      <c r="B60" s="67" t="s">
        <v>132</v>
      </c>
      <c r="C60" s="71">
        <f>'FA Sch-I'!G9</f>
        <v>26031</v>
      </c>
      <c r="D60" s="70">
        <f>SUM(C43:C60)</f>
        <v>195575.18</v>
      </c>
      <c r="E60" s="64"/>
      <c r="F60" s="26"/>
      <c r="G60" s="66"/>
      <c r="H60" s="66"/>
    </row>
    <row r="61" spans="1:10" ht="8.1" customHeight="1" x14ac:dyDescent="0.25">
      <c r="A61" s="60"/>
      <c r="B61" s="73"/>
      <c r="C61" s="69"/>
      <c r="D61" s="70"/>
      <c r="E61" s="64"/>
      <c r="F61" s="26"/>
      <c r="G61" s="66"/>
      <c r="H61" s="66"/>
    </row>
    <row r="62" spans="1:10" ht="15" x14ac:dyDescent="0.25">
      <c r="A62" s="60">
        <v>4444</v>
      </c>
      <c r="B62" s="73" t="s">
        <v>21</v>
      </c>
      <c r="C62" s="69">
        <f>D63-C63</f>
        <v>515140.90000000014</v>
      </c>
      <c r="D62" s="70"/>
      <c r="E62" s="64"/>
      <c r="F62" s="26"/>
      <c r="G62" s="66"/>
      <c r="H62" s="66"/>
    </row>
    <row r="63" spans="1:10" ht="15" x14ac:dyDescent="0.25">
      <c r="A63" s="60">
        <v>0</v>
      </c>
      <c r="B63" s="73" t="s">
        <v>85</v>
      </c>
      <c r="C63" s="71">
        <f>ROUND(D63*25%,0)</f>
        <v>171714</v>
      </c>
      <c r="D63" s="70">
        <f>H65-SUM(D5:D62)</f>
        <v>686854.90000000014</v>
      </c>
      <c r="E63" s="64"/>
      <c r="F63" s="26"/>
      <c r="G63" s="66"/>
      <c r="H63" s="66"/>
      <c r="I63" s="42"/>
      <c r="J63" s="42"/>
    </row>
    <row r="64" spans="1:10" ht="8.1" customHeight="1" x14ac:dyDescent="0.25">
      <c r="A64" s="60"/>
      <c r="B64" s="73"/>
      <c r="C64" s="69"/>
      <c r="D64" s="74"/>
      <c r="E64" s="75"/>
      <c r="F64" s="26"/>
      <c r="G64" s="76"/>
      <c r="H64" s="66"/>
      <c r="J64" s="42"/>
    </row>
    <row r="65" spans="1:10" ht="15.75" thickBot="1" x14ac:dyDescent="0.3">
      <c r="A65" s="77">
        <f>SUM(A5:A64)</f>
        <v>202568</v>
      </c>
      <c r="B65" s="168" t="s">
        <v>6</v>
      </c>
      <c r="C65" s="168"/>
      <c r="D65" s="77">
        <f>SUM(D5:D64)</f>
        <v>2713596.08</v>
      </c>
      <c r="E65" s="77">
        <f>SUM(E5:E64)</f>
        <v>202568</v>
      </c>
      <c r="F65" s="168" t="s">
        <v>6</v>
      </c>
      <c r="G65" s="168"/>
      <c r="H65" s="77">
        <f>SUM(H5:H64)</f>
        <v>2713596.08</v>
      </c>
      <c r="I65" s="42">
        <f>A65-E65</f>
        <v>0</v>
      </c>
      <c r="J65" s="42">
        <f>D65-H65</f>
        <v>0</v>
      </c>
    </row>
    <row r="66" spans="1:10" s="45" customFormat="1" ht="15" customHeight="1" x14ac:dyDescent="0.25">
      <c r="A66" s="43"/>
      <c r="B66" s="39"/>
      <c r="C66" s="44"/>
      <c r="D66" s="28"/>
      <c r="E66" s="44"/>
      <c r="F66" s="39"/>
      <c r="G66" s="44"/>
      <c r="H66" s="29"/>
    </row>
    <row r="67" spans="1:10" s="45" customFormat="1" ht="15" customHeight="1" x14ac:dyDescent="0.25">
      <c r="A67" s="46" t="s">
        <v>245</v>
      </c>
      <c r="B67" s="39"/>
      <c r="C67" s="39"/>
      <c r="D67" s="28"/>
      <c r="E67" s="44"/>
      <c r="F67" s="39"/>
      <c r="G67" s="44"/>
      <c r="H67" s="29"/>
      <c r="I67" s="45">
        <f>A65-E65</f>
        <v>0</v>
      </c>
    </row>
    <row r="68" spans="1:10" ht="15" customHeight="1" x14ac:dyDescent="0.25">
      <c r="A68" s="47"/>
      <c r="D68" s="30"/>
      <c r="E68" s="48"/>
      <c r="F68" s="147" t="s">
        <v>18</v>
      </c>
      <c r="G68" s="147"/>
      <c r="H68" s="148"/>
    </row>
    <row r="69" spans="1:10" ht="15" customHeight="1" x14ac:dyDescent="0.2">
      <c r="A69" s="49"/>
      <c r="D69" s="30"/>
      <c r="E69" s="48"/>
      <c r="F69" s="50"/>
      <c r="G69" s="48"/>
      <c r="H69" s="31"/>
      <c r="I69" s="42"/>
      <c r="J69" s="42"/>
    </row>
    <row r="70" spans="1:10" ht="15" customHeight="1" x14ac:dyDescent="0.25">
      <c r="A70" s="47"/>
      <c r="D70" s="30"/>
      <c r="E70" s="48"/>
      <c r="F70" s="50"/>
      <c r="G70" s="48"/>
      <c r="H70" s="31"/>
      <c r="I70" s="42">
        <f>A65-E65</f>
        <v>0</v>
      </c>
      <c r="J70" s="42">
        <f>D65-H65</f>
        <v>0</v>
      </c>
    </row>
    <row r="71" spans="1:10" ht="15" customHeight="1" x14ac:dyDescent="0.25">
      <c r="A71" s="47"/>
      <c r="D71" s="30"/>
      <c r="E71" s="48"/>
      <c r="F71" s="50"/>
      <c r="G71" s="48"/>
      <c r="H71" s="31"/>
    </row>
    <row r="72" spans="1:10" ht="15" customHeight="1" x14ac:dyDescent="0.2">
      <c r="A72" s="32" t="s">
        <v>246</v>
      </c>
      <c r="B72" s="33"/>
      <c r="C72" s="34"/>
      <c r="D72" s="30"/>
      <c r="E72" s="48"/>
      <c r="F72" s="50"/>
      <c r="G72" s="48"/>
      <c r="H72" s="31"/>
    </row>
    <row r="73" spans="1:10" ht="15" customHeight="1" x14ac:dyDescent="0.2">
      <c r="A73" s="35" t="s">
        <v>247</v>
      </c>
      <c r="B73" s="33"/>
      <c r="C73" s="34"/>
      <c r="D73" s="30"/>
      <c r="E73" s="48"/>
      <c r="F73" s="149" t="s">
        <v>248</v>
      </c>
      <c r="G73" s="149"/>
      <c r="H73" s="150"/>
      <c r="I73" s="50"/>
      <c r="J73" s="50"/>
    </row>
    <row r="74" spans="1:10" s="50" customFormat="1" ht="15" customHeight="1" x14ac:dyDescent="0.2">
      <c r="A74" s="35" t="s">
        <v>249</v>
      </c>
      <c r="B74" s="33"/>
      <c r="C74" s="34"/>
      <c r="D74" s="30"/>
      <c r="E74" s="48"/>
      <c r="H74" s="51"/>
    </row>
    <row r="75" spans="1:10" s="50" customFormat="1" ht="15" customHeight="1" x14ac:dyDescent="0.2">
      <c r="A75" s="151">
        <v>45892</v>
      </c>
      <c r="B75" s="152"/>
      <c r="C75" s="152"/>
      <c r="D75" s="36"/>
      <c r="E75" s="52"/>
      <c r="F75" s="53"/>
      <c r="G75" s="52"/>
      <c r="H75" s="37"/>
    </row>
    <row r="76" spans="1:10" ht="15" x14ac:dyDescent="0.25">
      <c r="A76" s="26"/>
      <c r="B76" s="26"/>
      <c r="C76" s="54"/>
    </row>
    <row r="77" spans="1:10" x14ac:dyDescent="0.2">
      <c r="A77" s="38"/>
      <c r="B77" s="38"/>
      <c r="C77" s="38"/>
    </row>
    <row r="78" spans="1:10" x14ac:dyDescent="0.2">
      <c r="A78" s="38"/>
      <c r="B78" s="38"/>
      <c r="C78" s="38"/>
    </row>
    <row r="79" spans="1:10" x14ac:dyDescent="0.2">
      <c r="A79" s="38"/>
      <c r="B79" s="38"/>
      <c r="C79" s="38"/>
    </row>
    <row r="80" spans="1:10" x14ac:dyDescent="0.2">
      <c r="A80" s="38"/>
      <c r="B80" s="38"/>
      <c r="C80" s="38"/>
    </row>
    <row r="81" spans="1:8" x14ac:dyDescent="0.2">
      <c r="A81" s="38"/>
      <c r="B81" s="38"/>
      <c r="C81" s="38"/>
    </row>
    <row r="82" spans="1:8" x14ac:dyDescent="0.2">
      <c r="A82" s="38"/>
      <c r="B82" s="38"/>
      <c r="C82" s="38"/>
      <c r="E82" s="38"/>
      <c r="F82" s="38"/>
      <c r="G82" s="38"/>
      <c r="H82" s="38"/>
    </row>
    <row r="83" spans="1:8" x14ac:dyDescent="0.2">
      <c r="A83" s="38"/>
      <c r="B83" s="38"/>
      <c r="C83" s="38"/>
      <c r="E83" s="38"/>
      <c r="F83" s="38"/>
      <c r="G83" s="38"/>
      <c r="H83" s="38"/>
    </row>
    <row r="84" spans="1:8" x14ac:dyDescent="0.2">
      <c r="A84" s="38"/>
      <c r="B84" s="38"/>
      <c r="C84" s="38"/>
      <c r="E84" s="38"/>
      <c r="F84" s="38"/>
      <c r="G84" s="38"/>
      <c r="H84" s="38"/>
    </row>
    <row r="85" spans="1:8" x14ac:dyDescent="0.2">
      <c r="E85" s="38"/>
      <c r="F85" s="38"/>
      <c r="G85" s="38"/>
      <c r="H85" s="38"/>
    </row>
  </sheetData>
  <mergeCells count="10">
    <mergeCell ref="F65:G65"/>
    <mergeCell ref="B65:C65"/>
    <mergeCell ref="F68:H68"/>
    <mergeCell ref="F73:H73"/>
    <mergeCell ref="A75:C75"/>
    <mergeCell ref="A1:H1"/>
    <mergeCell ref="A2:H2"/>
    <mergeCell ref="A3:H3"/>
    <mergeCell ref="B4:C4"/>
    <mergeCell ref="F4:G4"/>
  </mergeCells>
  <phoneticPr fontId="3" type="noConversion"/>
  <printOptions horizontalCentered="1"/>
  <pageMargins left="0.39370078740157483" right="0.19685039370078741" top="0.59055118110236227" bottom="0.19685039370078741" header="0.19685039370078741" footer="0.19685039370078741"/>
  <pageSetup paperSize="9" scale="90" orientation="landscape" horizontalDpi="120" verticalDpi="144" r:id="rId1"/>
  <headerFooter alignWithMargins="0"/>
  <rowBreaks count="1" manualBreakCount="1">
    <brk id="40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view="pageBreakPreview" zoomScaleNormal="100" zoomScaleSheetLayoutView="100" workbookViewId="0">
      <selection activeCell="D46" sqref="D46"/>
    </sheetView>
  </sheetViews>
  <sheetFormatPr defaultRowHeight="15.75" x14ac:dyDescent="0.2"/>
  <cols>
    <col min="1" max="1" width="27.7109375" style="33" customWidth="1"/>
    <col min="2" max="2" width="7.28515625" style="33" bestFit="1" customWidth="1"/>
    <col min="3" max="8" width="14.7109375" style="33" customWidth="1"/>
    <col min="9" max="16384" width="9.140625" style="33"/>
  </cols>
  <sheetData>
    <row r="1" spans="1:8" ht="18.75" x14ac:dyDescent="0.2">
      <c r="A1" s="169" t="str">
        <f>+'INCOME &amp; EXP'!A1:H1</f>
        <v>SPARSH CO-OPERATIVE HOUSING SOCIETY LTD</v>
      </c>
      <c r="B1" s="170"/>
      <c r="C1" s="170"/>
      <c r="D1" s="170"/>
      <c r="E1" s="170"/>
      <c r="F1" s="170"/>
      <c r="G1" s="170"/>
      <c r="H1" s="171"/>
    </row>
    <row r="2" spans="1:8" ht="16.5" thickBot="1" x14ac:dyDescent="0.25">
      <c r="A2" s="172" t="s">
        <v>195</v>
      </c>
      <c r="B2" s="173"/>
      <c r="C2" s="173"/>
      <c r="D2" s="173"/>
      <c r="E2" s="173"/>
      <c r="F2" s="173"/>
      <c r="G2" s="173"/>
      <c r="H2" s="174"/>
    </row>
    <row r="3" spans="1:8" ht="63" x14ac:dyDescent="0.2">
      <c r="A3" s="109" t="s">
        <v>92</v>
      </c>
      <c r="B3" s="110" t="s">
        <v>93</v>
      </c>
      <c r="C3" s="110" t="s">
        <v>94</v>
      </c>
      <c r="D3" s="111" t="s">
        <v>95</v>
      </c>
      <c r="E3" s="110" t="s">
        <v>96</v>
      </c>
      <c r="F3" s="110" t="s">
        <v>97</v>
      </c>
      <c r="G3" s="110" t="s">
        <v>98</v>
      </c>
      <c r="H3" s="112" t="s">
        <v>99</v>
      </c>
    </row>
    <row r="4" spans="1:8" ht="30" customHeight="1" x14ac:dyDescent="0.2">
      <c r="A4" s="113" t="s">
        <v>102</v>
      </c>
      <c r="B4" s="114">
        <v>0.1</v>
      </c>
      <c r="C4" s="115">
        <v>0</v>
      </c>
      <c r="D4" s="116">
        <v>0</v>
      </c>
      <c r="E4" s="115">
        <v>17000</v>
      </c>
      <c r="F4" s="115">
        <f>C4+D4+E4</f>
        <v>17000</v>
      </c>
      <c r="G4" s="117">
        <f>ROUND(((D4+C4)*B4)+(E4*B4)/2,0)</f>
        <v>850</v>
      </c>
      <c r="H4" s="118">
        <f>F4-G4</f>
        <v>16150</v>
      </c>
    </row>
    <row r="5" spans="1:8" ht="30" customHeight="1" x14ac:dyDescent="0.2">
      <c r="A5" s="113" t="s">
        <v>103</v>
      </c>
      <c r="B5" s="114">
        <v>0.15</v>
      </c>
      <c r="C5" s="115">
        <v>0</v>
      </c>
      <c r="D5" s="119">
        <v>10010</v>
      </c>
      <c r="E5" s="115">
        <v>0</v>
      </c>
      <c r="F5" s="115">
        <f>C5+D5+E5</f>
        <v>10010</v>
      </c>
      <c r="G5" s="117">
        <f>ROUND(((D5+C5)*B5)+(E5*B5)/2,0)</f>
        <v>1502</v>
      </c>
      <c r="H5" s="118">
        <f>F5-G5</f>
        <v>8508</v>
      </c>
    </row>
    <row r="6" spans="1:8" ht="30" customHeight="1" x14ac:dyDescent="0.2">
      <c r="A6" s="113" t="s">
        <v>104</v>
      </c>
      <c r="B6" s="114">
        <v>0.15</v>
      </c>
      <c r="C6" s="115">
        <v>0</v>
      </c>
      <c r="D6" s="119">
        <v>4750</v>
      </c>
      <c r="E6" s="115">
        <v>0</v>
      </c>
      <c r="F6" s="115">
        <f>C6+D6+E6</f>
        <v>4750</v>
      </c>
      <c r="G6" s="117">
        <f>ROUND(((D6+C6)*B6)+(E6*B6)/2,0)</f>
        <v>713</v>
      </c>
      <c r="H6" s="118">
        <f>F6-G6</f>
        <v>4037</v>
      </c>
    </row>
    <row r="7" spans="1:8" ht="30" customHeight="1" x14ac:dyDescent="0.2">
      <c r="A7" s="113" t="s">
        <v>100</v>
      </c>
      <c r="B7" s="114">
        <v>0.4</v>
      </c>
      <c r="C7" s="115">
        <v>0</v>
      </c>
      <c r="D7" s="119">
        <v>55165</v>
      </c>
      <c r="E7" s="115">
        <v>0</v>
      </c>
      <c r="F7" s="115">
        <f>C7+D7+E7</f>
        <v>55165</v>
      </c>
      <c r="G7" s="117">
        <f>ROUND(((D7+C7)*B7)+(E7*B7)/2,0)</f>
        <v>22066</v>
      </c>
      <c r="H7" s="118">
        <f>F7-G7</f>
        <v>33099</v>
      </c>
    </row>
    <row r="8" spans="1:8" ht="30" customHeight="1" thickBot="1" x14ac:dyDescent="0.25">
      <c r="A8" s="113" t="s">
        <v>105</v>
      </c>
      <c r="B8" s="114">
        <v>0.1</v>
      </c>
      <c r="C8" s="115">
        <v>0</v>
      </c>
      <c r="D8" s="119">
        <v>0</v>
      </c>
      <c r="E8" s="115">
        <f>15000+3000</f>
        <v>18000</v>
      </c>
      <c r="F8" s="115">
        <f>C8+D8+E8</f>
        <v>18000</v>
      </c>
      <c r="G8" s="117">
        <f>ROUND(((D8+C8)*B8)+(E8*B8)/2,0)</f>
        <v>900</v>
      </c>
      <c r="H8" s="118">
        <f>F8-G8</f>
        <v>17100</v>
      </c>
    </row>
    <row r="9" spans="1:8" ht="30" customHeight="1" thickBot="1" x14ac:dyDescent="0.25">
      <c r="A9" s="175" t="s">
        <v>101</v>
      </c>
      <c r="B9" s="176"/>
      <c r="C9" s="120">
        <f>SUM(C4:C8)</f>
        <v>0</v>
      </c>
      <c r="D9" s="120">
        <f t="shared" ref="D9:G9" si="0">SUM(D4:D8)</f>
        <v>69925</v>
      </c>
      <c r="E9" s="120">
        <f t="shared" si="0"/>
        <v>35000</v>
      </c>
      <c r="F9" s="120">
        <f t="shared" si="0"/>
        <v>104925</v>
      </c>
      <c r="G9" s="120">
        <f t="shared" si="0"/>
        <v>26031</v>
      </c>
      <c r="H9" s="121">
        <f>SUM(H4:H8)</f>
        <v>78894</v>
      </c>
    </row>
    <row r="14" spans="1:8" x14ac:dyDescent="0.2">
      <c r="A14" s="33" t="s">
        <v>63</v>
      </c>
    </row>
    <row r="15" spans="1:8" x14ac:dyDescent="0.2">
      <c r="A15" s="33" t="s">
        <v>233</v>
      </c>
    </row>
    <row r="16" spans="1:8" x14ac:dyDescent="0.2">
      <c r="A16" s="33" t="s">
        <v>234</v>
      </c>
    </row>
    <row r="17" spans="1:2" x14ac:dyDescent="0.2">
      <c r="A17" s="33" t="s">
        <v>235</v>
      </c>
    </row>
    <row r="18" spans="1:2" x14ac:dyDescent="0.2">
      <c r="A18" s="33" t="s">
        <v>236</v>
      </c>
    </row>
    <row r="19" spans="1:2" x14ac:dyDescent="0.2">
      <c r="A19" s="33" t="s">
        <v>237</v>
      </c>
    </row>
    <row r="20" spans="1:2" x14ac:dyDescent="0.2">
      <c r="A20" s="33" t="s">
        <v>238</v>
      </c>
    </row>
    <row r="21" spans="1:2" x14ac:dyDescent="0.2">
      <c r="A21" s="33" t="s">
        <v>239</v>
      </c>
    </row>
    <row r="22" spans="1:2" x14ac:dyDescent="0.2">
      <c r="A22" s="33" t="s">
        <v>240</v>
      </c>
    </row>
    <row r="23" spans="1:2" x14ac:dyDescent="0.2">
      <c r="A23" s="33" t="s">
        <v>241</v>
      </c>
      <c r="B23" s="33" t="s">
        <v>242</v>
      </c>
    </row>
  </sheetData>
  <mergeCells count="3">
    <mergeCell ref="A1:H1"/>
    <mergeCell ref="A2:H2"/>
    <mergeCell ref="A9:B9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view="pageBreakPreview" zoomScaleNormal="100" zoomScaleSheetLayoutView="100" workbookViewId="0">
      <selection activeCell="D46" sqref="D46"/>
    </sheetView>
  </sheetViews>
  <sheetFormatPr defaultRowHeight="12.75" x14ac:dyDescent="0.2"/>
  <cols>
    <col min="1" max="1" width="10.42578125" style="108" customWidth="1"/>
    <col min="2" max="2" width="13.7109375" style="108" bestFit="1" customWidth="1"/>
    <col min="3" max="3" width="53.7109375" style="108" bestFit="1" customWidth="1"/>
    <col min="4" max="4" width="14.7109375" style="108" customWidth="1"/>
    <col min="5" max="16384" width="9.140625" style="108"/>
  </cols>
  <sheetData>
    <row r="1" spans="1:4" ht="20.100000000000001" customHeight="1" x14ac:dyDescent="0.2"/>
    <row r="2" spans="1:4" ht="20.100000000000001" customHeight="1" x14ac:dyDescent="0.2">
      <c r="A2" s="181" t="s">
        <v>146</v>
      </c>
      <c r="B2" s="181"/>
    </row>
    <row r="3" spans="1:4" ht="20.100000000000001" customHeight="1" x14ac:dyDescent="0.2">
      <c r="A3" s="178" t="str">
        <f>+'FA Sch-I'!A1:H1</f>
        <v>SPARSH CO-OPERATIVE HOUSING SOCIETY LTD</v>
      </c>
      <c r="B3" s="179"/>
      <c r="C3" s="179"/>
      <c r="D3" s="180"/>
    </row>
    <row r="4" spans="1:4" ht="20.100000000000001" customHeight="1" x14ac:dyDescent="0.2">
      <c r="A4" s="182" t="s">
        <v>145</v>
      </c>
      <c r="B4" s="183"/>
      <c r="C4" s="183"/>
      <c r="D4" s="184"/>
    </row>
    <row r="5" spans="1:4" s="22" customFormat="1" ht="25.5" customHeight="1" thickBot="1" x14ac:dyDescent="0.25">
      <c r="A5" s="132" t="s">
        <v>143</v>
      </c>
      <c r="B5" s="132" t="s">
        <v>144</v>
      </c>
      <c r="C5" s="132" t="s">
        <v>142</v>
      </c>
      <c r="D5" s="132" t="s">
        <v>42</v>
      </c>
    </row>
    <row r="6" spans="1:4" ht="20.100000000000001" customHeight="1" x14ac:dyDescent="0.2">
      <c r="A6" s="128">
        <v>1</v>
      </c>
      <c r="B6" s="129" t="s">
        <v>188</v>
      </c>
      <c r="C6" s="130" t="s">
        <v>138</v>
      </c>
      <c r="D6" s="131">
        <v>6903</v>
      </c>
    </row>
    <row r="7" spans="1:4" ht="20.100000000000001" customHeight="1" x14ac:dyDescent="0.2">
      <c r="A7" s="123">
        <v>2</v>
      </c>
      <c r="B7" s="124" t="s">
        <v>189</v>
      </c>
      <c r="C7" s="122" t="s">
        <v>139</v>
      </c>
      <c r="D7" s="125">
        <v>17689</v>
      </c>
    </row>
    <row r="8" spans="1:4" ht="20.100000000000001" customHeight="1" x14ac:dyDescent="0.2">
      <c r="A8" s="123">
        <v>3</v>
      </c>
      <c r="B8" s="123">
        <v>1003</v>
      </c>
      <c r="C8" s="122" t="s">
        <v>140</v>
      </c>
      <c r="D8" s="125">
        <v>67384</v>
      </c>
    </row>
    <row r="9" spans="1:4" ht="20.100000000000001" customHeight="1" x14ac:dyDescent="0.2">
      <c r="A9" s="123">
        <v>4</v>
      </c>
      <c r="B9" s="123">
        <v>1004</v>
      </c>
      <c r="C9" s="122" t="s">
        <v>140</v>
      </c>
      <c r="D9" s="125">
        <v>62334</v>
      </c>
    </row>
    <row r="10" spans="1:4" ht="20.100000000000001" customHeight="1" x14ac:dyDescent="0.2">
      <c r="A10" s="123">
        <v>5</v>
      </c>
      <c r="B10" s="123">
        <v>1302</v>
      </c>
      <c r="C10" s="122" t="s">
        <v>141</v>
      </c>
      <c r="D10" s="125">
        <v>77731</v>
      </c>
    </row>
    <row r="11" spans="1:4" ht="20.100000000000001" customHeight="1" thickBot="1" x14ac:dyDescent="0.25">
      <c r="A11" s="177" t="s">
        <v>101</v>
      </c>
      <c r="B11" s="177"/>
      <c r="C11" s="177"/>
      <c r="D11" s="133">
        <f>SUM(D6:D10)</f>
        <v>232041</v>
      </c>
    </row>
    <row r="12" spans="1:4" ht="20.100000000000001" customHeight="1" thickTop="1" x14ac:dyDescent="0.2"/>
    <row r="13" spans="1:4" ht="20.100000000000001" customHeight="1" x14ac:dyDescent="0.2"/>
    <row r="14" spans="1:4" ht="20.100000000000001" customHeight="1" x14ac:dyDescent="0.2"/>
    <row r="15" spans="1:4" ht="20.100000000000001" customHeight="1" x14ac:dyDescent="0.2">
      <c r="A15" s="181" t="s">
        <v>147</v>
      </c>
      <c r="B15" s="181"/>
    </row>
    <row r="16" spans="1:4" ht="20.100000000000001" customHeight="1" x14ac:dyDescent="0.2">
      <c r="A16" s="178" t="str">
        <f>+A3</f>
        <v>SPARSH CO-OPERATIVE HOUSING SOCIETY LTD</v>
      </c>
      <c r="B16" s="179"/>
      <c r="C16" s="179"/>
      <c r="D16" s="180"/>
    </row>
    <row r="17" spans="1:4" ht="20.100000000000001" customHeight="1" x14ac:dyDescent="0.2">
      <c r="A17" s="182" t="s">
        <v>148</v>
      </c>
      <c r="B17" s="183"/>
      <c r="C17" s="183"/>
      <c r="D17" s="184"/>
    </row>
    <row r="18" spans="1:4" s="22" customFormat="1" ht="25.5" customHeight="1" thickBot="1" x14ac:dyDescent="0.25">
      <c r="A18" s="132" t="s">
        <v>143</v>
      </c>
      <c r="B18" s="132" t="s">
        <v>153</v>
      </c>
      <c r="C18" s="132" t="s">
        <v>38</v>
      </c>
      <c r="D18" s="132" t="s">
        <v>42</v>
      </c>
    </row>
    <row r="19" spans="1:4" ht="20.100000000000001" customHeight="1" x14ac:dyDescent="0.2">
      <c r="A19" s="123">
        <v>1</v>
      </c>
      <c r="B19" s="126" t="s">
        <v>154</v>
      </c>
      <c r="C19" s="127" t="s">
        <v>149</v>
      </c>
      <c r="D19" s="125">
        <v>161496</v>
      </c>
    </row>
    <row r="20" spans="1:4" ht="20.100000000000001" customHeight="1" x14ac:dyDescent="0.2">
      <c r="A20" s="123">
        <v>2</v>
      </c>
      <c r="B20" s="126" t="s">
        <v>155</v>
      </c>
      <c r="C20" s="127" t="s">
        <v>150</v>
      </c>
      <c r="D20" s="125">
        <v>17114</v>
      </c>
    </row>
    <row r="21" spans="1:4" ht="20.100000000000001" customHeight="1" x14ac:dyDescent="0.2">
      <c r="A21" s="123">
        <v>3</v>
      </c>
      <c r="B21" s="126" t="s">
        <v>156</v>
      </c>
      <c r="C21" s="127" t="s">
        <v>151</v>
      </c>
      <c r="D21" s="125">
        <v>2775</v>
      </c>
    </row>
    <row r="22" spans="1:4" ht="20.100000000000001" customHeight="1" x14ac:dyDescent="0.2">
      <c r="A22" s="123">
        <v>4</v>
      </c>
      <c r="B22" s="126" t="s">
        <v>155</v>
      </c>
      <c r="C22" s="127" t="s">
        <v>152</v>
      </c>
      <c r="D22" s="125">
        <v>12447</v>
      </c>
    </row>
    <row r="23" spans="1:4" ht="20.100000000000001" customHeight="1" x14ac:dyDescent="0.2">
      <c r="A23" s="123">
        <v>5</v>
      </c>
      <c r="B23" s="126" t="s">
        <v>223</v>
      </c>
      <c r="C23" s="127" t="s">
        <v>224</v>
      </c>
      <c r="D23" s="125">
        <f>Workings!F26</f>
        <v>16402</v>
      </c>
    </row>
    <row r="24" spans="1:4" ht="20.100000000000001" customHeight="1" thickBot="1" x14ac:dyDescent="0.25">
      <c r="A24" s="177" t="s">
        <v>101</v>
      </c>
      <c r="B24" s="177"/>
      <c r="C24" s="177"/>
      <c r="D24" s="133">
        <f>SUM(D19:D23)</f>
        <v>210234</v>
      </c>
    </row>
    <row r="25" spans="1:4" ht="13.5" thickTop="1" x14ac:dyDescent="0.2"/>
  </sheetData>
  <mergeCells count="8">
    <mergeCell ref="A24:C24"/>
    <mergeCell ref="A3:D3"/>
    <mergeCell ref="A2:B2"/>
    <mergeCell ref="A11:C11"/>
    <mergeCell ref="A15:B15"/>
    <mergeCell ref="A16:D16"/>
    <mergeCell ref="A4:D4"/>
    <mergeCell ref="A17:D17"/>
  </mergeCells>
  <printOptions horizontalCentered="1"/>
  <pageMargins left="0.39370078740157483" right="0.39370078740157483" top="0.59055118110236227" bottom="0.19685039370078741" header="0.19685039370078741" footer="0.19685039370078741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32"/>
  <sheetViews>
    <sheetView view="pageBreakPreview" topLeftCell="A7" zoomScaleNormal="100" zoomScaleSheetLayoutView="100" workbookViewId="0">
      <selection activeCell="D46" sqref="D46"/>
    </sheetView>
  </sheetViews>
  <sheetFormatPr defaultRowHeight="15.75" x14ac:dyDescent="0.2"/>
  <cols>
    <col min="1" max="1" width="9.28515625" style="33" bestFit="1" customWidth="1"/>
    <col min="2" max="2" width="20.5703125" style="33" bestFit="1" customWidth="1"/>
    <col min="3" max="3" width="53.7109375" style="33" bestFit="1" customWidth="1"/>
    <col min="4" max="4" width="14.7109375" style="33" customWidth="1"/>
    <col min="5" max="5" width="25" style="33" bestFit="1" customWidth="1"/>
    <col min="6" max="16384" width="9.140625" style="33"/>
  </cols>
  <sheetData>
    <row r="2" spans="1:4" ht="20.100000000000001" customHeight="1" x14ac:dyDescent="0.2">
      <c r="A2" s="188" t="s">
        <v>183</v>
      </c>
      <c r="B2" s="188"/>
    </row>
    <row r="3" spans="1:4" s="108" customFormat="1" ht="20.100000000000001" customHeight="1" x14ac:dyDescent="0.2">
      <c r="A3" s="178" t="str">
        <f>+'Sch-II &amp; III'!A3:D3</f>
        <v>SPARSH CO-OPERATIVE HOUSING SOCIETY LTD</v>
      </c>
      <c r="B3" s="179"/>
      <c r="C3" s="179"/>
      <c r="D3" s="180"/>
    </row>
    <row r="4" spans="1:4" s="108" customFormat="1" ht="20.100000000000001" customHeight="1" x14ac:dyDescent="0.2">
      <c r="A4" s="182" t="s">
        <v>164</v>
      </c>
      <c r="B4" s="183"/>
      <c r="C4" s="183"/>
      <c r="D4" s="184"/>
    </row>
    <row r="5" spans="1:4" s="22" customFormat="1" ht="25.5" customHeight="1" thickBot="1" x14ac:dyDescent="0.25">
      <c r="A5" s="132" t="s">
        <v>143</v>
      </c>
      <c r="B5" s="132" t="s">
        <v>153</v>
      </c>
      <c r="C5" s="132" t="s">
        <v>116</v>
      </c>
      <c r="D5" s="132" t="s">
        <v>42</v>
      </c>
    </row>
    <row r="6" spans="1:4" ht="20.100000000000001" customHeight="1" x14ac:dyDescent="0.2">
      <c r="A6" s="134">
        <v>1</v>
      </c>
      <c r="B6" s="134" t="s">
        <v>58</v>
      </c>
      <c r="C6" s="135" t="s">
        <v>165</v>
      </c>
      <c r="D6" s="136">
        <v>12000</v>
      </c>
    </row>
    <row r="7" spans="1:4" ht="20.100000000000001" customHeight="1" x14ac:dyDescent="0.2">
      <c r="A7" s="134">
        <v>2</v>
      </c>
      <c r="B7" s="134" t="s">
        <v>166</v>
      </c>
      <c r="C7" s="135" t="s">
        <v>167</v>
      </c>
      <c r="D7" s="136">
        <v>28840</v>
      </c>
    </row>
    <row r="8" spans="1:4" ht="20.100000000000001" customHeight="1" x14ac:dyDescent="0.2">
      <c r="A8" s="134">
        <v>3</v>
      </c>
      <c r="B8" s="134" t="s">
        <v>57</v>
      </c>
      <c r="C8" s="135" t="s">
        <v>192</v>
      </c>
      <c r="D8" s="136">
        <v>5000</v>
      </c>
    </row>
    <row r="9" spans="1:4" ht="20.100000000000001" customHeight="1" x14ac:dyDescent="0.2">
      <c r="A9" s="134">
        <v>4</v>
      </c>
      <c r="B9" s="134" t="s">
        <v>56</v>
      </c>
      <c r="C9" s="135" t="s">
        <v>194</v>
      </c>
      <c r="D9" s="136">
        <v>10000</v>
      </c>
    </row>
    <row r="10" spans="1:4" ht="20.100000000000001" customHeight="1" x14ac:dyDescent="0.2">
      <c r="A10" s="134">
        <v>5</v>
      </c>
      <c r="B10" s="134" t="s">
        <v>168</v>
      </c>
      <c r="C10" s="135" t="s">
        <v>169</v>
      </c>
      <c r="D10" s="136">
        <v>5310</v>
      </c>
    </row>
    <row r="11" spans="1:4" ht="20.100000000000001" customHeight="1" x14ac:dyDescent="0.2">
      <c r="A11" s="134">
        <v>6</v>
      </c>
      <c r="B11" s="134" t="s">
        <v>170</v>
      </c>
      <c r="C11" s="135" t="s">
        <v>171</v>
      </c>
      <c r="D11" s="136">
        <v>11900</v>
      </c>
    </row>
    <row r="12" spans="1:4" ht="20.100000000000001" customHeight="1" x14ac:dyDescent="0.2">
      <c r="A12" s="134">
        <v>7</v>
      </c>
      <c r="B12" s="134" t="s">
        <v>172</v>
      </c>
      <c r="C12" s="135" t="s">
        <v>173</v>
      </c>
      <c r="D12" s="136">
        <v>14845</v>
      </c>
    </row>
    <row r="13" spans="1:4" ht="20.100000000000001" customHeight="1" x14ac:dyDescent="0.2">
      <c r="A13" s="134">
        <v>8</v>
      </c>
      <c r="B13" s="134" t="s">
        <v>174</v>
      </c>
      <c r="C13" s="135" t="s">
        <v>173</v>
      </c>
      <c r="D13" s="136">
        <v>53671</v>
      </c>
    </row>
    <row r="14" spans="1:4" ht="20.100000000000001" customHeight="1" x14ac:dyDescent="0.2">
      <c r="A14" s="134">
        <v>9</v>
      </c>
      <c r="B14" s="134" t="s">
        <v>175</v>
      </c>
      <c r="C14" s="135" t="s">
        <v>193</v>
      </c>
      <c r="D14" s="136">
        <v>2478</v>
      </c>
    </row>
    <row r="15" spans="1:4" ht="20.100000000000001" customHeight="1" thickBot="1" x14ac:dyDescent="0.25">
      <c r="A15" s="189" t="s">
        <v>176</v>
      </c>
      <c r="B15" s="186"/>
      <c r="C15" s="187"/>
      <c r="D15" s="137">
        <f>SUM(D6:D14)</f>
        <v>144044</v>
      </c>
    </row>
    <row r="16" spans="1:4" ht="20.100000000000001" customHeight="1" thickTop="1" x14ac:dyDescent="0.2"/>
    <row r="17" spans="1:4" ht="20.100000000000001" customHeight="1" x14ac:dyDescent="0.2">
      <c r="A17" s="191" t="s">
        <v>179</v>
      </c>
      <c r="B17" s="192"/>
      <c r="C17" s="192"/>
      <c r="D17" s="193"/>
    </row>
    <row r="18" spans="1:4" ht="20.100000000000001" customHeight="1" thickBot="1" x14ac:dyDescent="0.25">
      <c r="A18" s="143" t="s">
        <v>143</v>
      </c>
      <c r="B18" s="143" t="s">
        <v>153</v>
      </c>
      <c r="C18" s="143" t="s">
        <v>116</v>
      </c>
      <c r="D18" s="143" t="s">
        <v>42</v>
      </c>
    </row>
    <row r="19" spans="1:4" ht="20.100000000000001" customHeight="1" x14ac:dyDescent="0.2">
      <c r="A19" s="140">
        <v>1</v>
      </c>
      <c r="B19" s="140" t="s">
        <v>178</v>
      </c>
      <c r="C19" s="141" t="s">
        <v>180</v>
      </c>
      <c r="D19" s="142">
        <v>5200</v>
      </c>
    </row>
    <row r="20" spans="1:4" ht="20.100000000000001" customHeight="1" x14ac:dyDescent="0.2">
      <c r="A20" s="134">
        <v>2</v>
      </c>
      <c r="B20" s="134" t="s">
        <v>57</v>
      </c>
      <c r="C20" s="135" t="s">
        <v>181</v>
      </c>
      <c r="D20" s="136">
        <v>119000</v>
      </c>
    </row>
    <row r="21" spans="1:4" ht="20.100000000000001" customHeight="1" x14ac:dyDescent="0.2">
      <c r="A21" s="134">
        <v>3</v>
      </c>
      <c r="B21" s="134" t="s">
        <v>211</v>
      </c>
      <c r="C21" s="135" t="s">
        <v>212</v>
      </c>
      <c r="D21" s="136">
        <v>9500</v>
      </c>
    </row>
    <row r="22" spans="1:4" ht="20.100000000000001" customHeight="1" x14ac:dyDescent="0.2">
      <c r="A22" s="191" t="s">
        <v>177</v>
      </c>
      <c r="B22" s="192"/>
      <c r="C22" s="193"/>
      <c r="D22" s="138">
        <f>SUM(D19:D21)</f>
        <v>133700</v>
      </c>
    </row>
    <row r="23" spans="1:4" ht="20.100000000000001" customHeight="1" thickBot="1" x14ac:dyDescent="0.25">
      <c r="A23" s="185" t="s">
        <v>182</v>
      </c>
      <c r="B23" s="186"/>
      <c r="C23" s="187"/>
      <c r="D23" s="146">
        <f>D15+D22</f>
        <v>277744</v>
      </c>
    </row>
    <row r="24" spans="1:4" ht="20.100000000000001" customHeight="1" thickTop="1" x14ac:dyDescent="0.2"/>
    <row r="25" spans="1:4" ht="20.100000000000001" customHeight="1" x14ac:dyDescent="0.2">
      <c r="A25" s="188" t="s">
        <v>184</v>
      </c>
      <c r="B25" s="188"/>
    </row>
    <row r="26" spans="1:4" ht="20.100000000000001" customHeight="1" x14ac:dyDescent="0.2">
      <c r="A26" s="190" t="s">
        <v>186</v>
      </c>
      <c r="B26" s="190"/>
      <c r="C26" s="190"/>
      <c r="D26" s="190"/>
    </row>
    <row r="27" spans="1:4" ht="20.100000000000001" customHeight="1" thickBot="1" x14ac:dyDescent="0.25">
      <c r="A27" s="143" t="s">
        <v>143</v>
      </c>
      <c r="B27" s="143" t="s">
        <v>144</v>
      </c>
      <c r="C27" s="143" t="s">
        <v>185</v>
      </c>
      <c r="D27" s="143" t="s">
        <v>42</v>
      </c>
    </row>
    <row r="28" spans="1:4" ht="20.100000000000001" customHeight="1" x14ac:dyDescent="0.2">
      <c r="A28" s="140">
        <v>1</v>
      </c>
      <c r="B28" s="144" t="s">
        <v>187</v>
      </c>
      <c r="C28" s="141" t="s">
        <v>217</v>
      </c>
      <c r="D28" s="145">
        <v>6000</v>
      </c>
    </row>
    <row r="29" spans="1:4" ht="20.100000000000001" customHeight="1" x14ac:dyDescent="0.2">
      <c r="A29" s="134">
        <v>2</v>
      </c>
      <c r="B29" s="134">
        <v>1103</v>
      </c>
      <c r="C29" s="135" t="s">
        <v>218</v>
      </c>
      <c r="D29" s="139">
        <v>5258</v>
      </c>
    </row>
    <row r="30" spans="1:4" ht="20.100000000000001" customHeight="1" thickBot="1" x14ac:dyDescent="0.25">
      <c r="A30" s="189" t="s">
        <v>101</v>
      </c>
      <c r="B30" s="186"/>
      <c r="C30" s="187"/>
      <c r="D30" s="137">
        <f>SUM(D28:D29)</f>
        <v>11258</v>
      </c>
    </row>
    <row r="31" spans="1:4" ht="20.100000000000001" customHeight="1" thickTop="1" x14ac:dyDescent="0.2"/>
    <row r="32" spans="1:4" ht="20.100000000000001" customHeight="1" x14ac:dyDescent="0.2"/>
  </sheetData>
  <mergeCells count="10">
    <mergeCell ref="A23:C23"/>
    <mergeCell ref="A25:B25"/>
    <mergeCell ref="A30:C30"/>
    <mergeCell ref="A26:D26"/>
    <mergeCell ref="A2:B2"/>
    <mergeCell ref="A3:D3"/>
    <mergeCell ref="A15:C15"/>
    <mergeCell ref="A22:C22"/>
    <mergeCell ref="A4:D4"/>
    <mergeCell ref="A17:D17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1"/>
  <sheetViews>
    <sheetView topLeftCell="A2" workbookViewId="0">
      <selection activeCell="F19" sqref="F19"/>
    </sheetView>
  </sheetViews>
  <sheetFormatPr defaultRowHeight="12.75" x14ac:dyDescent="0.2"/>
  <cols>
    <col min="1" max="1" width="5.28515625" bestFit="1" customWidth="1"/>
    <col min="2" max="2" width="54.28515625" bestFit="1" customWidth="1"/>
    <col min="3" max="3" width="12.7109375" bestFit="1" customWidth="1"/>
    <col min="5" max="5" width="10.140625" bestFit="1" customWidth="1"/>
    <col min="6" max="6" width="7.7109375" bestFit="1" customWidth="1"/>
    <col min="7" max="7" width="9.28515625" bestFit="1" customWidth="1"/>
    <col min="8" max="8" width="13.5703125" bestFit="1" customWidth="1"/>
    <col min="9" max="9" width="11.140625" bestFit="1" customWidth="1"/>
    <col min="10" max="10" width="11.28515625" bestFit="1" customWidth="1"/>
    <col min="11" max="11" width="10.42578125" bestFit="1" customWidth="1"/>
  </cols>
  <sheetData>
    <row r="2" spans="1:11" x14ac:dyDescent="0.2">
      <c r="A2" s="194" t="s">
        <v>34</v>
      </c>
      <c r="B2" s="194"/>
      <c r="C2" s="194"/>
    </row>
    <row r="4" spans="1:11" ht="15" x14ac:dyDescent="0.25">
      <c r="A4" s="4"/>
      <c r="B4" s="10" t="s">
        <v>112</v>
      </c>
      <c r="C4" s="4"/>
      <c r="E4" s="15" t="s">
        <v>113</v>
      </c>
      <c r="F4" s="15" t="s">
        <v>114</v>
      </c>
      <c r="G4" s="15" t="s">
        <v>115</v>
      </c>
      <c r="H4" s="15" t="s">
        <v>119</v>
      </c>
      <c r="I4" s="15" t="s">
        <v>123</v>
      </c>
      <c r="J4" s="15" t="s">
        <v>117</v>
      </c>
      <c r="K4" s="15" t="s">
        <v>118</v>
      </c>
    </row>
    <row r="5" spans="1:11" ht="15" x14ac:dyDescent="0.25">
      <c r="C5" s="10" t="s">
        <v>42</v>
      </c>
      <c r="E5" s="16" t="s">
        <v>120</v>
      </c>
      <c r="F5" s="19"/>
      <c r="G5" s="19">
        <v>226871</v>
      </c>
      <c r="H5" s="17">
        <v>173128</v>
      </c>
      <c r="I5" s="18" t="s">
        <v>124</v>
      </c>
      <c r="J5" s="16" t="s">
        <v>125</v>
      </c>
      <c r="K5" s="16" t="s">
        <v>127</v>
      </c>
    </row>
    <row r="6" spans="1:11" ht="15" x14ac:dyDescent="0.25">
      <c r="A6" s="11"/>
      <c r="B6" t="s">
        <v>106</v>
      </c>
      <c r="C6" s="12">
        <v>1057355.6499999999</v>
      </c>
      <c r="E6" s="16" t="s">
        <v>121</v>
      </c>
      <c r="F6" s="19">
        <v>5258</v>
      </c>
      <c r="G6" s="19"/>
      <c r="H6" s="17" t="s">
        <v>122</v>
      </c>
      <c r="I6" s="17">
        <v>1103</v>
      </c>
      <c r="J6" s="16" t="s">
        <v>126</v>
      </c>
      <c r="K6" s="16" t="s">
        <v>127</v>
      </c>
    </row>
    <row r="7" spans="1:11" ht="15.75" thickBot="1" x14ac:dyDescent="0.3">
      <c r="A7" s="11"/>
      <c r="C7" s="12"/>
      <c r="F7" s="20">
        <f>SUM(F5:F6)</f>
        <v>5258</v>
      </c>
      <c r="G7" s="20">
        <f>SUM(G5:G6)</f>
        <v>226871</v>
      </c>
    </row>
    <row r="8" spans="1:11" ht="13.5" thickTop="1" x14ac:dyDescent="0.2">
      <c r="A8" t="s">
        <v>107</v>
      </c>
      <c r="B8" t="s">
        <v>108</v>
      </c>
      <c r="C8" s="12">
        <f>G7</f>
        <v>226871</v>
      </c>
      <c r="F8" s="21"/>
      <c r="G8" s="21"/>
    </row>
    <row r="9" spans="1:11" x14ac:dyDescent="0.2">
      <c r="C9" s="12"/>
    </row>
    <row r="10" spans="1:11" x14ac:dyDescent="0.2">
      <c r="A10" t="s">
        <v>109</v>
      </c>
      <c r="B10" t="s">
        <v>110</v>
      </c>
      <c r="C10" s="12">
        <f>F7</f>
        <v>5258</v>
      </c>
    </row>
    <row r="11" spans="1:11" x14ac:dyDescent="0.2">
      <c r="C11" s="12"/>
    </row>
    <row r="12" spans="1:11" x14ac:dyDescent="0.2">
      <c r="C12" s="12">
        <f>C6+C8-C10+C11</f>
        <v>1278968.6499999999</v>
      </c>
    </row>
    <row r="13" spans="1:11" ht="15.75" thickBot="1" x14ac:dyDescent="0.3">
      <c r="B13" s="13" t="s">
        <v>111</v>
      </c>
      <c r="C13" s="14">
        <v>1278968.6499999999</v>
      </c>
    </row>
    <row r="14" spans="1:11" ht="13.5" thickTop="1" x14ac:dyDescent="0.2">
      <c r="C14" s="9">
        <f>C12-C13</f>
        <v>0</v>
      </c>
    </row>
    <row r="16" spans="1:11" ht="15" x14ac:dyDescent="0.25">
      <c r="A16" s="4"/>
      <c r="B16" s="10" t="s">
        <v>128</v>
      </c>
      <c r="C16" s="4"/>
    </row>
    <row r="17" spans="1:3" ht="15" x14ac:dyDescent="0.25">
      <c r="C17" s="10" t="s">
        <v>42</v>
      </c>
    </row>
    <row r="18" spans="1:3" ht="15" x14ac:dyDescent="0.25">
      <c r="A18" s="11"/>
      <c r="B18" t="s">
        <v>106</v>
      </c>
      <c r="C18" s="12">
        <v>489668.24</v>
      </c>
    </row>
    <row r="19" spans="1:3" ht="15" x14ac:dyDescent="0.25">
      <c r="B19" s="11"/>
      <c r="C19" s="12"/>
    </row>
    <row r="20" spans="1:3" ht="15.75" thickBot="1" x14ac:dyDescent="0.3">
      <c r="B20" s="13" t="s">
        <v>111</v>
      </c>
      <c r="C20" s="14">
        <v>489668.24</v>
      </c>
    </row>
    <row r="21" spans="1:3" ht="13.5" thickTop="1" x14ac:dyDescent="0.2">
      <c r="C21" s="9">
        <f>C18-C20</f>
        <v>0</v>
      </c>
    </row>
  </sheetData>
  <mergeCells count="1">
    <mergeCell ref="A2:C2"/>
  </mergeCells>
  <pageMargins left="0.7" right="0.7" top="0.75" bottom="0.75" header="0.3" footer="0.3"/>
  <pageSetup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5"/>
  <sheetViews>
    <sheetView workbookViewId="0">
      <selection activeCell="G35" sqref="G35"/>
    </sheetView>
  </sheetViews>
  <sheetFormatPr defaultRowHeight="12.75" x14ac:dyDescent="0.2"/>
  <cols>
    <col min="1" max="1" width="8.85546875" style="1"/>
    <col min="2" max="2" width="16.7109375" style="1" bestFit="1" customWidth="1"/>
    <col min="3" max="4" width="10.28515625" bestFit="1" customWidth="1"/>
    <col min="5" max="5" width="11.140625" customWidth="1"/>
    <col min="6" max="6" width="12.85546875" bestFit="1" customWidth="1"/>
    <col min="11" max="11" width="24" bestFit="1" customWidth="1"/>
    <col min="13" max="13" width="10.85546875" bestFit="1" customWidth="1"/>
  </cols>
  <sheetData>
    <row r="1" spans="1:13" x14ac:dyDescent="0.2">
      <c r="C1" s="194" t="s">
        <v>39</v>
      </c>
      <c r="D1" s="194"/>
      <c r="E1" s="195" t="s">
        <v>87</v>
      </c>
      <c r="F1" s="1"/>
    </row>
    <row r="2" spans="1:13" ht="19.149999999999999" customHeight="1" x14ac:dyDescent="0.2">
      <c r="B2" s="1" t="s">
        <v>38</v>
      </c>
      <c r="C2" s="3" t="s">
        <v>40</v>
      </c>
      <c r="D2" s="3" t="s">
        <v>41</v>
      </c>
      <c r="E2" s="195"/>
      <c r="F2" s="1" t="s">
        <v>42</v>
      </c>
    </row>
    <row r="3" spans="1:13" ht="15" x14ac:dyDescent="0.25">
      <c r="K3" s="11" t="s">
        <v>196</v>
      </c>
    </row>
    <row r="4" spans="1:13" x14ac:dyDescent="0.2">
      <c r="A4" s="1">
        <v>1</v>
      </c>
      <c r="B4" s="1" t="s">
        <v>43</v>
      </c>
      <c r="K4" t="s">
        <v>197</v>
      </c>
      <c r="M4" s="23">
        <f>'INCOME &amp; EXP'!G20</f>
        <v>39949</v>
      </c>
    </row>
    <row r="5" spans="1:13" x14ac:dyDescent="0.2">
      <c r="C5" s="5">
        <v>45565</v>
      </c>
      <c r="D5" s="6">
        <v>45959</v>
      </c>
      <c r="E5">
        <f>D5-C5+1</f>
        <v>395</v>
      </c>
      <c r="F5">
        <v>300900</v>
      </c>
      <c r="K5" t="s">
        <v>198</v>
      </c>
      <c r="M5" s="9">
        <f>'INCOME &amp; EXP'!G21</f>
        <v>32784</v>
      </c>
    </row>
    <row r="6" spans="1:13" x14ac:dyDescent="0.2">
      <c r="C6" s="5">
        <v>45748</v>
      </c>
      <c r="D6" s="6">
        <v>45959</v>
      </c>
      <c r="E6">
        <f>D6-C6+1</f>
        <v>212</v>
      </c>
      <c r="F6">
        <f>ROUND(E6*F5/E5,0)</f>
        <v>161496</v>
      </c>
      <c r="G6" s="1" t="s">
        <v>44</v>
      </c>
      <c r="K6" t="s">
        <v>209</v>
      </c>
      <c r="M6" s="9">
        <f>-M5</f>
        <v>-32784</v>
      </c>
    </row>
    <row r="7" spans="1:13" x14ac:dyDescent="0.2">
      <c r="C7" s="5"/>
      <c r="D7" s="6"/>
      <c r="G7" s="1"/>
      <c r="K7" t="s">
        <v>135</v>
      </c>
      <c r="M7" s="9">
        <f>'INCOME &amp; EXP'!G22</f>
        <v>367</v>
      </c>
    </row>
    <row r="8" spans="1:13" x14ac:dyDescent="0.2">
      <c r="A8" s="1">
        <v>2</v>
      </c>
      <c r="B8" s="1" t="s">
        <v>45</v>
      </c>
      <c r="K8" t="s">
        <v>199</v>
      </c>
      <c r="M8" s="24">
        <f>[1]IE!I29</f>
        <v>0</v>
      </c>
    </row>
    <row r="9" spans="1:13" x14ac:dyDescent="0.2">
      <c r="C9" s="5">
        <v>45658</v>
      </c>
      <c r="D9" s="6">
        <v>46022</v>
      </c>
      <c r="E9">
        <f>D9-C9+1</f>
        <v>365</v>
      </c>
      <c r="F9">
        <v>22715</v>
      </c>
      <c r="K9" t="s">
        <v>200</v>
      </c>
      <c r="M9" s="23">
        <f>SUM(M4:M8)</f>
        <v>40316</v>
      </c>
    </row>
    <row r="10" spans="1:13" x14ac:dyDescent="0.2">
      <c r="C10" s="5">
        <v>45748</v>
      </c>
      <c r="D10" s="6">
        <v>46022</v>
      </c>
      <c r="E10">
        <f>D10-C10+1</f>
        <v>275</v>
      </c>
      <c r="F10">
        <f>ROUND(E10*F9/E9,0)</f>
        <v>17114</v>
      </c>
      <c r="G10" s="1" t="s">
        <v>44</v>
      </c>
      <c r="K10" t="s">
        <v>201</v>
      </c>
      <c r="L10" s="25">
        <v>0.1</v>
      </c>
      <c r="M10" s="23">
        <v>1000</v>
      </c>
    </row>
    <row r="11" spans="1:13" x14ac:dyDescent="0.2">
      <c r="K11" t="s">
        <v>202</v>
      </c>
      <c r="L11" s="25">
        <v>0.2</v>
      </c>
      <c r="M11" s="23">
        <v>2000</v>
      </c>
    </row>
    <row r="12" spans="1:13" x14ac:dyDescent="0.2">
      <c r="A12" s="1">
        <v>3</v>
      </c>
      <c r="B12" s="1" t="s">
        <v>46</v>
      </c>
      <c r="K12" t="s">
        <v>203</v>
      </c>
      <c r="L12" s="25">
        <v>0.3</v>
      </c>
      <c r="M12" s="24">
        <f>ROUND((M9-20000)*30%,0)</f>
        <v>6095</v>
      </c>
    </row>
    <row r="13" spans="1:13" x14ac:dyDescent="0.2">
      <c r="C13" s="5">
        <v>45417</v>
      </c>
      <c r="D13" s="6">
        <v>46511</v>
      </c>
      <c r="E13">
        <f>D13-C13+1</f>
        <v>1095</v>
      </c>
      <c r="F13">
        <v>4140</v>
      </c>
      <c r="K13" t="s">
        <v>204</v>
      </c>
      <c r="M13" s="23">
        <f>SUM(M10:M12)</f>
        <v>9095</v>
      </c>
    </row>
    <row r="14" spans="1:13" x14ac:dyDescent="0.2">
      <c r="C14" s="5">
        <v>45778</v>
      </c>
      <c r="D14" s="6">
        <v>46511</v>
      </c>
      <c r="E14">
        <f>D14-C14+1</f>
        <v>734</v>
      </c>
      <c r="F14">
        <f>ROUND(E14*F13/E13,0)</f>
        <v>2775</v>
      </c>
      <c r="G14" s="1" t="s">
        <v>44</v>
      </c>
      <c r="K14" t="s">
        <v>205</v>
      </c>
      <c r="L14" s="25">
        <v>0.04</v>
      </c>
      <c r="M14" s="23">
        <f>M13*4%</f>
        <v>363.8</v>
      </c>
    </row>
    <row r="15" spans="1:13" x14ac:dyDescent="0.2">
      <c r="K15" t="s">
        <v>206</v>
      </c>
      <c r="M15" s="23">
        <f>M13+M14</f>
        <v>9458.7999999999993</v>
      </c>
    </row>
    <row r="16" spans="1:13" x14ac:dyDescent="0.2">
      <c r="A16" s="1">
        <v>4</v>
      </c>
      <c r="B16" s="1" t="s">
        <v>47</v>
      </c>
      <c r="K16" t="s">
        <v>207</v>
      </c>
      <c r="M16" s="23">
        <f>ROUND(M15,-2)</f>
        <v>9500</v>
      </c>
    </row>
    <row r="17" spans="1:7" x14ac:dyDescent="0.2">
      <c r="C17" s="5">
        <v>45658</v>
      </c>
      <c r="D17" s="6">
        <v>46022</v>
      </c>
      <c r="E17">
        <f>D17-C17+1</f>
        <v>365</v>
      </c>
      <c r="F17">
        <v>16520</v>
      </c>
    </row>
    <row r="18" spans="1:7" x14ac:dyDescent="0.2">
      <c r="C18" s="5">
        <v>45748</v>
      </c>
      <c r="D18" s="6">
        <v>46022</v>
      </c>
      <c r="E18">
        <f>D18-C18+1</f>
        <v>275</v>
      </c>
      <c r="F18">
        <f>ROUND(E18*F17/E17,0)</f>
        <v>12447</v>
      </c>
      <c r="G18" s="1" t="s">
        <v>44</v>
      </c>
    </row>
    <row r="20" spans="1:7" x14ac:dyDescent="0.2">
      <c r="A20" s="1">
        <v>5</v>
      </c>
      <c r="B20" s="1" t="s">
        <v>50</v>
      </c>
    </row>
    <row r="21" spans="1:7" x14ac:dyDescent="0.2">
      <c r="C21" s="7">
        <v>45383</v>
      </c>
      <c r="D21" s="8">
        <v>45413</v>
      </c>
      <c r="E21">
        <v>2</v>
      </c>
      <c r="F21">
        <f>11900+11900</f>
        <v>23800</v>
      </c>
    </row>
    <row r="22" spans="1:7" x14ac:dyDescent="0.2">
      <c r="C22" s="8">
        <v>45444</v>
      </c>
      <c r="D22" s="8">
        <v>45717</v>
      </c>
      <c r="E22">
        <v>10</v>
      </c>
      <c r="F22">
        <f>E22*F21/E21</f>
        <v>119000</v>
      </c>
      <c r="G22" s="1" t="s">
        <v>86</v>
      </c>
    </row>
    <row r="24" spans="1:7" x14ac:dyDescent="0.2">
      <c r="A24" s="1">
        <v>6</v>
      </c>
      <c r="B24" s="1" t="s">
        <v>221</v>
      </c>
    </row>
    <row r="25" spans="1:7" x14ac:dyDescent="0.2">
      <c r="C25" s="5">
        <v>45685</v>
      </c>
      <c r="D25" s="5">
        <v>46049</v>
      </c>
      <c r="E25" s="27">
        <f>D25-C25+1</f>
        <v>365</v>
      </c>
      <c r="F25">
        <v>19824</v>
      </c>
    </row>
    <row r="26" spans="1:7" x14ac:dyDescent="0.2">
      <c r="C26" s="5">
        <v>45748</v>
      </c>
      <c r="D26" s="5">
        <f>D25</f>
        <v>46049</v>
      </c>
      <c r="E26" s="27">
        <f>D26-C26+1</f>
        <v>302</v>
      </c>
      <c r="F26">
        <f>ROUND(E26*F25/E25,0)</f>
        <v>16402</v>
      </c>
      <c r="G26" s="1" t="s">
        <v>44</v>
      </c>
    </row>
    <row r="29" spans="1:7" x14ac:dyDescent="0.2">
      <c r="F29" s="3" t="s">
        <v>166</v>
      </c>
      <c r="G29" s="3" t="s">
        <v>114</v>
      </c>
    </row>
    <row r="30" spans="1:7" x14ac:dyDescent="0.2">
      <c r="F30" t="s">
        <v>214</v>
      </c>
      <c r="G30">
        <v>3120</v>
      </c>
    </row>
    <row r="31" spans="1:7" x14ac:dyDescent="0.2">
      <c r="F31" s="2" t="s">
        <v>215</v>
      </c>
      <c r="G31">
        <v>400</v>
      </c>
    </row>
    <row r="32" spans="1:7" x14ac:dyDescent="0.2">
      <c r="F32" s="2" t="s">
        <v>216</v>
      </c>
      <c r="G32">
        <v>720</v>
      </c>
    </row>
    <row r="33" spans="6:7" x14ac:dyDescent="0.2">
      <c r="F33" s="2" t="s">
        <v>226</v>
      </c>
      <c r="G33">
        <v>16842</v>
      </c>
    </row>
    <row r="34" spans="6:7" x14ac:dyDescent="0.2">
      <c r="F34" s="2" t="s">
        <v>227</v>
      </c>
      <c r="G34">
        <v>4640</v>
      </c>
    </row>
    <row r="35" spans="6:7" x14ac:dyDescent="0.2">
      <c r="G35">
        <f>SUM(G30:G34)</f>
        <v>25722</v>
      </c>
    </row>
  </sheetData>
  <mergeCells count="2">
    <mergeCell ref="C1:D1"/>
    <mergeCell ref="E1:E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F16"/>
  <sheetViews>
    <sheetView workbookViewId="0">
      <selection activeCell="D14" sqref="D14:F14"/>
    </sheetView>
  </sheetViews>
  <sheetFormatPr defaultRowHeight="12.75" x14ac:dyDescent="0.2"/>
  <cols>
    <col min="1" max="1" width="2" bestFit="1" customWidth="1"/>
    <col min="2" max="2" width="47.7109375" bestFit="1" customWidth="1"/>
    <col min="3" max="3" width="4.28515625" bestFit="1" customWidth="1"/>
    <col min="7" max="7" width="34.7109375" bestFit="1" customWidth="1"/>
  </cols>
  <sheetData>
    <row r="3" spans="1:6" x14ac:dyDescent="0.2">
      <c r="B3" t="s">
        <v>228</v>
      </c>
    </row>
    <row r="4" spans="1:6" x14ac:dyDescent="0.2">
      <c r="A4" s="4">
        <v>1</v>
      </c>
      <c r="B4" t="s">
        <v>229</v>
      </c>
      <c r="C4" t="s">
        <v>244</v>
      </c>
    </row>
    <row r="5" spans="1:6" x14ac:dyDescent="0.2">
      <c r="A5" s="4">
        <v>2</v>
      </c>
      <c r="B5" s="2" t="s">
        <v>243</v>
      </c>
    </row>
    <row r="6" spans="1:6" x14ac:dyDescent="0.2">
      <c r="B6" s="2"/>
    </row>
    <row r="11" spans="1:6" x14ac:dyDescent="0.2">
      <c r="D11">
        <v>492099.5</v>
      </c>
    </row>
    <row r="12" spans="1:6" x14ac:dyDescent="0.2">
      <c r="D12">
        <v>73245</v>
      </c>
    </row>
    <row r="14" spans="1:6" x14ac:dyDescent="0.2">
      <c r="D14" s="1" t="s">
        <v>254</v>
      </c>
      <c r="E14" s="1" t="s">
        <v>252</v>
      </c>
      <c r="F14" s="1" t="s">
        <v>253</v>
      </c>
    </row>
    <row r="15" spans="1:6" x14ac:dyDescent="0.2">
      <c r="D15">
        <f>+E15+F15</f>
        <v>1891954</v>
      </c>
      <c r="E15">
        <v>1860415</v>
      </c>
      <c r="F15">
        <v>31539</v>
      </c>
    </row>
    <row r="16" spans="1:6" x14ac:dyDescent="0.2">
      <c r="D16">
        <f>+E16+F16</f>
        <v>533805.5</v>
      </c>
      <c r="E16">
        <v>492099.5</v>
      </c>
      <c r="F16">
        <f>73245-31539</f>
        <v>41706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BALANCE SHEET</vt:lpstr>
      <vt:lpstr>INCOME &amp; EXP</vt:lpstr>
      <vt:lpstr>FA Sch-I</vt:lpstr>
      <vt:lpstr>Sch-II &amp; III</vt:lpstr>
      <vt:lpstr>Sch-IV &amp; V</vt:lpstr>
      <vt:lpstr>BRS</vt:lpstr>
      <vt:lpstr>Workings</vt:lpstr>
      <vt:lpstr>Notes</vt:lpstr>
      <vt:lpstr>'BALANCE SHEET'!Print_Area</vt:lpstr>
      <vt:lpstr>'FA Sch-I'!Print_Area</vt:lpstr>
      <vt:lpstr>'INCOME &amp; EXP'!Print_Area</vt:lpstr>
      <vt:lpstr>'Sch-II &amp; III'!Print_Area</vt:lpstr>
      <vt:lpstr>'Sch-IV &amp; V'!Print_Area</vt:lpstr>
      <vt:lpstr>'INCOME &amp; EXP'!Print_Titles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bharat.boridkar</cp:lastModifiedBy>
  <cp:lastPrinted>2025-08-24T10:52:33Z</cp:lastPrinted>
  <dcterms:created xsi:type="dcterms:W3CDTF">1996-10-14T23:33:28Z</dcterms:created>
  <dcterms:modified xsi:type="dcterms:W3CDTF">2025-08-25T11:58:34Z</dcterms:modified>
</cp:coreProperties>
</file>