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HARAT\2025-2026\BCB\AMS\003-JeevanHeight\"/>
    </mc:Choice>
  </mc:AlternateContent>
  <xr:revisionPtr revIDLastSave="0" documentId="13_ncr:1_{BC708771-AD3A-45DC-AF3A-8BFB8988B222}" xr6:coauthVersionLast="47" xr6:coauthVersionMax="47" xr10:uidLastSave="{00000000-0000-0000-0000-000000000000}"/>
  <bookViews>
    <workbookView xWindow="-108" yWindow="-108" windowWidth="23256" windowHeight="12456" tabRatio="797" activeTab="8" xr2:uid="{00000000-000D-0000-FFFF-FFFF00000000}"/>
  </bookViews>
  <sheets>
    <sheet name="BS" sheetId="1" r:id="rId1"/>
    <sheet name="PL" sheetId="2" r:id="rId2"/>
    <sheet name="Sch 1" sheetId="6" r:id="rId3"/>
    <sheet name="Sch 2" sheetId="5" r:id="rId4"/>
    <sheet name="Sch 3&amp;7" sheetId="7" r:id="rId5"/>
    <sheet name="Sch 4,6" sheetId="13" r:id="rId6"/>
    <sheet name="Sch 5" sheetId="14" r:id="rId7"/>
    <sheet name="Sch 8 &amp; 9" sheetId="11" r:id="rId8"/>
    <sheet name="BRS" sheetId="3" r:id="rId9"/>
    <sheet name="Workings" sheetId="8" r:id="rId10"/>
    <sheet name="Fd int Working" sheetId="15" r:id="rId11"/>
  </sheets>
  <definedNames>
    <definedName name="_xlnm._FilterDatabase" localSheetId="10" hidden="1">'Fd int Working'!$A$1:$E$23</definedName>
    <definedName name="_xlnm.Print_Area" localSheetId="0">BS!$A$1:$H$44</definedName>
    <definedName name="_xlnm.Print_Area" localSheetId="1">PL!$A$1:$H$59</definedName>
    <definedName name="_xlnm.Print_Area" localSheetId="2">'Sch 1'!$A$1:$O$43</definedName>
    <definedName name="_xlnm.Print_Area" localSheetId="3">'Sch 2'!$A$1:$I$16</definedName>
    <definedName name="_xlnm.Print_Area" localSheetId="4">'Sch 3&amp;7'!$A$1:$D$23</definedName>
    <definedName name="_xlnm.Print_Area" localSheetId="5">'Sch 4,6'!$A$1:$E$55</definedName>
    <definedName name="_xlnm.Print_Area" localSheetId="6">'Sch 5'!$A$1:$E$32</definedName>
    <definedName name="_xlnm.Print_Area" localSheetId="7">'Sch 8 &amp; 9'!$A$1:$D$35</definedName>
    <definedName name="_xlnm.Print_Titles" localSheetId="4">'Sch 3&amp;7'!$1:$1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G30" i="1"/>
  <c r="D85" i="8"/>
  <c r="D84" i="8"/>
  <c r="G9" i="1"/>
  <c r="E9" i="1"/>
  <c r="D34" i="3"/>
  <c r="A34" i="3"/>
  <c r="A44" i="3"/>
  <c r="D38" i="3"/>
  <c r="D44" i="3" s="1"/>
  <c r="H26" i="2"/>
  <c r="G29" i="2"/>
  <c r="G27" i="2"/>
  <c r="D74" i="8" s="1"/>
  <c r="K12" i="6"/>
  <c r="O13" i="6"/>
  <c r="G13" i="6"/>
  <c r="H13" i="6"/>
  <c r="I13" i="6"/>
  <c r="J13" i="6"/>
  <c r="K13" i="6"/>
  <c r="L13" i="6"/>
  <c r="F13" i="6"/>
  <c r="L12" i="6"/>
  <c r="M12" i="6" s="1"/>
  <c r="M13" i="6" s="1"/>
  <c r="H11" i="1"/>
  <c r="G8" i="1"/>
  <c r="C24" i="1" l="1"/>
  <c r="D6" i="14"/>
  <c r="D7" i="14"/>
  <c r="D11" i="11"/>
  <c r="C33" i="2"/>
  <c r="C32" i="2"/>
  <c r="D12" i="11"/>
  <c r="D10" i="11"/>
  <c r="D6" i="11"/>
  <c r="C39" i="2"/>
  <c r="C38" i="2"/>
  <c r="C36" i="2"/>
  <c r="C35" i="2"/>
  <c r="C34" i="2"/>
  <c r="D7" i="3" l="1"/>
  <c r="D24" i="3"/>
  <c r="D19" i="7"/>
  <c r="E7" i="5"/>
  <c r="E15" i="5" s="1"/>
  <c r="E13" i="5"/>
  <c r="D10" i="5"/>
  <c r="E6" i="5"/>
  <c r="E8" i="5"/>
  <c r="H13" i="5"/>
  <c r="H14" i="5"/>
  <c r="E14" i="5"/>
  <c r="D15" i="5"/>
  <c r="C15" i="5"/>
  <c r="F14" i="5"/>
  <c r="D12" i="14"/>
  <c r="D60" i="8"/>
  <c r="D97" i="8"/>
  <c r="C44" i="2"/>
  <c r="U13" i="8"/>
  <c r="U12" i="8"/>
  <c r="U11" i="8"/>
  <c r="T11" i="8"/>
  <c r="T12" i="8"/>
  <c r="V12" i="8" s="1"/>
  <c r="T13" i="8"/>
  <c r="U10" i="8"/>
  <c r="T10" i="8"/>
  <c r="V13" i="8" l="1"/>
  <c r="V10" i="8"/>
  <c r="V11" i="8"/>
  <c r="I14" i="5"/>
  <c r="U6" i="8"/>
  <c r="T7" i="8"/>
  <c r="U7" i="8"/>
  <c r="T8" i="8"/>
  <c r="U8" i="8"/>
  <c r="T9" i="8"/>
  <c r="U9" i="8"/>
  <c r="V8" i="8" l="1"/>
  <c r="V9" i="8"/>
  <c r="V7" i="8"/>
  <c r="T6" i="8"/>
  <c r="V6" i="8" s="1"/>
  <c r="U5" i="8" l="1"/>
  <c r="U4" i="8"/>
  <c r="U3" i="8"/>
  <c r="T5" i="8"/>
  <c r="V5" i="8" s="1"/>
  <c r="T4" i="8"/>
  <c r="T3" i="8"/>
  <c r="V3" i="8" l="1"/>
  <c r="T14" i="8"/>
  <c r="V4" i="8"/>
  <c r="C9" i="2"/>
  <c r="C16" i="2"/>
  <c r="D13" i="11"/>
  <c r="D5" i="11"/>
  <c r="C25" i="2"/>
  <c r="C94" i="8"/>
  <c r="D93" i="8"/>
  <c r="C93" i="8"/>
  <c r="D91" i="8"/>
  <c r="C91" i="8"/>
  <c r="C95" i="8" s="1"/>
  <c r="V14" i="8" l="1"/>
  <c r="D94" i="8"/>
  <c r="C45" i="2"/>
  <c r="D64" i="8"/>
  <c r="C41" i="2"/>
  <c r="C40" i="2"/>
  <c r="D35" i="8"/>
  <c r="D37" i="8"/>
  <c r="D5" i="13" s="1"/>
  <c r="C31" i="8"/>
  <c r="D30" i="8"/>
  <c r="D25" i="8"/>
  <c r="D9" i="11"/>
  <c r="D15" i="8"/>
  <c r="D11" i="13" s="1"/>
  <c r="D56" i="8"/>
  <c r="C56" i="8"/>
  <c r="C58" i="8" s="1"/>
  <c r="D52" i="8"/>
  <c r="C52" i="8"/>
  <c r="D51" i="8"/>
  <c r="D47" i="8"/>
  <c r="C47" i="8"/>
  <c r="C8" i="8"/>
  <c r="D5" i="8"/>
  <c r="C5" i="8"/>
  <c r="C6" i="8"/>
  <c r="D13" i="2"/>
  <c r="D11" i="2"/>
  <c r="C8" i="2"/>
  <c r="H36" i="2"/>
  <c r="D75" i="8" s="1"/>
  <c r="G22" i="2"/>
  <c r="G18" i="2"/>
  <c r="G14" i="2"/>
  <c r="G21" i="2"/>
  <c r="G17" i="2"/>
  <c r="K5" i="6"/>
  <c r="K9" i="6"/>
  <c r="K17" i="6"/>
  <c r="O17" i="6"/>
  <c r="K23" i="6"/>
  <c r="O23" i="6"/>
  <c r="K26" i="6"/>
  <c r="K10" i="6"/>
  <c r="K31" i="6"/>
  <c r="L31" i="6" s="1"/>
  <c r="M31" i="6" s="1"/>
  <c r="K11" i="6"/>
  <c r="L11" i="6"/>
  <c r="M11" i="6" s="1"/>
  <c r="K39" i="6"/>
  <c r="O7" i="6"/>
  <c r="K7" i="6"/>
  <c r="K18" i="6"/>
  <c r="L18" i="6" s="1"/>
  <c r="M18" i="6" s="1"/>
  <c r="K35" i="6"/>
  <c r="K22" i="6"/>
  <c r="K16" i="6"/>
  <c r="K24" i="6"/>
  <c r="K27" i="6"/>
  <c r="K25" i="6"/>
  <c r="L25" i="6" s="1"/>
  <c r="M25" i="6" s="1"/>
  <c r="K6" i="6"/>
  <c r="K8" i="6"/>
  <c r="L39" i="6"/>
  <c r="M39" i="6" s="1"/>
  <c r="L27" i="6"/>
  <c r="M27" i="6" s="1"/>
  <c r="L24" i="6"/>
  <c r="M24" i="6" s="1"/>
  <c r="K28" i="6"/>
  <c r="K32" i="6" s="1"/>
  <c r="K36" i="6" s="1"/>
  <c r="K40" i="6" s="1"/>
  <c r="A45" i="2"/>
  <c r="A32" i="2"/>
  <c r="A25" i="2"/>
  <c r="B14" i="11"/>
  <c r="B11" i="11"/>
  <c r="B10" i="11"/>
  <c r="B6" i="11"/>
  <c r="B5" i="11"/>
  <c r="B31" i="11"/>
  <c r="B30" i="11"/>
  <c r="B28" i="11"/>
  <c r="B27" i="11"/>
  <c r="B25" i="11"/>
  <c r="B24" i="11"/>
  <c r="A18" i="2"/>
  <c r="A19" i="2" s="1"/>
  <c r="A15" i="2"/>
  <c r="A16" i="2"/>
  <c r="A13" i="2"/>
  <c r="E27" i="2"/>
  <c r="E21" i="2"/>
  <c r="B9" i="14"/>
  <c r="K15" i="5"/>
  <c r="A26" i="2" s="1"/>
  <c r="E13" i="1"/>
  <c r="E11" i="1"/>
  <c r="E10" i="1"/>
  <c r="A30" i="3"/>
  <c r="A20" i="3"/>
  <c r="D20" i="3"/>
  <c r="A15" i="3"/>
  <c r="D95" i="8" l="1"/>
  <c r="D98" i="8" s="1"/>
  <c r="D27" i="11" s="1"/>
  <c r="D28" i="11" s="1"/>
  <c r="D7" i="13"/>
  <c r="D31" i="8"/>
  <c r="D57" i="8"/>
  <c r="C7" i="8"/>
  <c r="K19" i="6"/>
  <c r="K42" i="6" s="1"/>
  <c r="D22" i="7"/>
  <c r="G11" i="1"/>
  <c r="D30" i="3"/>
  <c r="K8" i="8"/>
  <c r="J8" i="8"/>
  <c r="I8" i="8" s="1"/>
  <c r="M8" i="8" s="1"/>
  <c r="D65" i="8"/>
  <c r="L5" i="8"/>
  <c r="J5" i="8" s="1"/>
  <c r="I5" i="8" s="1"/>
  <c r="M5" i="8" s="1"/>
  <c r="J6" i="8"/>
  <c r="I6" i="8" s="1"/>
  <c r="M6" i="8" s="1"/>
  <c r="K6" i="8"/>
  <c r="K4" i="8"/>
  <c r="J4" i="8"/>
  <c r="I4" i="8" s="1"/>
  <c r="M4" i="8" s="1"/>
  <c r="D58" i="8" l="1"/>
  <c r="D10" i="13"/>
  <c r="D32" i="8"/>
  <c r="D9" i="13"/>
  <c r="K5" i="8"/>
  <c r="L9" i="8"/>
  <c r="D9" i="14"/>
  <c r="D14" i="14"/>
  <c r="D20" i="14"/>
  <c r="D30" i="14"/>
  <c r="D25" i="14"/>
  <c r="H33" i="2"/>
  <c r="J23" i="6"/>
  <c r="L23" i="6" s="1"/>
  <c r="M23" i="6" s="1"/>
  <c r="J10" i="6"/>
  <c r="L10" i="6" s="1"/>
  <c r="J35" i="6"/>
  <c r="L35" i="6" s="1"/>
  <c r="M35" i="6" s="1"/>
  <c r="J22" i="6"/>
  <c r="L22" i="6" s="1"/>
  <c r="J7" i="6"/>
  <c r="L7" i="6" s="1"/>
  <c r="M7" i="6" s="1"/>
  <c r="J6" i="6"/>
  <c r="L6" i="6" s="1"/>
  <c r="M6" i="6" s="1"/>
  <c r="L9" i="6"/>
  <c r="M9" i="6" s="1"/>
  <c r="L26" i="6"/>
  <c r="M26" i="6" s="1"/>
  <c r="J17" i="6"/>
  <c r="L17" i="6" s="1"/>
  <c r="M17" i="6" s="1"/>
  <c r="J8" i="6"/>
  <c r="L8" i="6" s="1"/>
  <c r="M8" i="6" s="1"/>
  <c r="J5" i="6"/>
  <c r="J16" i="6"/>
  <c r="L16" i="6" s="1"/>
  <c r="M16" i="6" s="1"/>
  <c r="O28" i="6"/>
  <c r="G28" i="6"/>
  <c r="H28" i="6"/>
  <c r="I28" i="6"/>
  <c r="F28" i="6"/>
  <c r="O36" i="6"/>
  <c r="G36" i="6"/>
  <c r="H36" i="6"/>
  <c r="I36" i="6"/>
  <c r="J36" i="6"/>
  <c r="F36" i="6"/>
  <c r="D32" i="13"/>
  <c r="B47" i="13"/>
  <c r="A18" i="1" s="1"/>
  <c r="D66" i="8"/>
  <c r="D12" i="13" s="1"/>
  <c r="B32" i="13"/>
  <c r="A16" i="1" s="1"/>
  <c r="D49" i="13"/>
  <c r="B49" i="13"/>
  <c r="D13" i="7"/>
  <c r="G10" i="1"/>
  <c r="B16" i="11"/>
  <c r="D16" i="11"/>
  <c r="J40" i="6"/>
  <c r="J32" i="6"/>
  <c r="H6" i="5"/>
  <c r="G11" i="2"/>
  <c r="D30" i="11"/>
  <c r="C24" i="8"/>
  <c r="C16" i="8"/>
  <c r="D53" i="8"/>
  <c r="E19" i="1"/>
  <c r="G19" i="1"/>
  <c r="B19" i="14"/>
  <c r="D4" i="11"/>
  <c r="D19" i="11" s="1"/>
  <c r="B4" i="11"/>
  <c r="B19" i="11" s="1"/>
  <c r="B32" i="11"/>
  <c r="B30" i="14"/>
  <c r="B25" i="14"/>
  <c r="B20" i="14"/>
  <c r="B14" i="14"/>
  <c r="D41" i="13"/>
  <c r="D34" i="13"/>
  <c r="B41" i="13"/>
  <c r="B34" i="13"/>
  <c r="B39" i="13"/>
  <c r="A17" i="1" s="1"/>
  <c r="D16" i="13"/>
  <c r="B16" i="13"/>
  <c r="D6" i="2"/>
  <c r="A6" i="2"/>
  <c r="E6" i="1"/>
  <c r="P19" i="15"/>
  <c r="N19" i="15"/>
  <c r="P18" i="15"/>
  <c r="N18" i="15"/>
  <c r="P13" i="15"/>
  <c r="P14" i="15"/>
  <c r="N14" i="15"/>
  <c r="N13" i="15"/>
  <c r="P12" i="15"/>
  <c r="N12" i="15"/>
  <c r="P11" i="15"/>
  <c r="P10" i="15"/>
  <c r="N10" i="15"/>
  <c r="P6" i="15"/>
  <c r="N6" i="15"/>
  <c r="O20" i="2"/>
  <c r="N20" i="2"/>
  <c r="N13" i="2"/>
  <c r="O11" i="2"/>
  <c r="D54" i="13" l="1"/>
  <c r="H16" i="1" s="1"/>
  <c r="B54" i="13"/>
  <c r="E16" i="1" s="1"/>
  <c r="L5" i="6"/>
  <c r="M10" i="6"/>
  <c r="M5" i="6"/>
  <c r="M22" i="6"/>
  <c r="M28" i="6" s="1"/>
  <c r="L28" i="6"/>
  <c r="L32" i="6" s="1"/>
  <c r="L36" i="6" s="1"/>
  <c r="L40" i="6" s="1"/>
  <c r="J28" i="6"/>
  <c r="B34" i="11"/>
  <c r="A22" i="2" s="1"/>
  <c r="J19" i="6"/>
  <c r="N21" i="2"/>
  <c r="N15" i="15"/>
  <c r="P15" i="15"/>
  <c r="P14" i="2"/>
  <c r="P11" i="2"/>
  <c r="P12" i="2"/>
  <c r="P15" i="2"/>
  <c r="P16" i="2"/>
  <c r="P17" i="2"/>
  <c r="P18" i="2"/>
  <c r="P19" i="2"/>
  <c r="O6" i="2"/>
  <c r="P6" i="2" s="1"/>
  <c r="I16" i="8"/>
  <c r="I18" i="8" s="1"/>
  <c r="L19" i="6" l="1"/>
  <c r="L42" i="6" s="1"/>
  <c r="J42" i="6"/>
  <c r="P20" i="2"/>
  <c r="O8" i="2"/>
  <c r="P8" i="2" s="1"/>
  <c r="O10" i="2"/>
  <c r="P10" i="2" s="1"/>
  <c r="C67" i="8"/>
  <c r="C51" i="8"/>
  <c r="C48" i="8"/>
  <c r="C43" i="8"/>
  <c r="D43" i="8"/>
  <c r="D31" i="11" s="1"/>
  <c r="C38" i="8"/>
  <c r="C29" i="8"/>
  <c r="C26" i="8"/>
  <c r="D7" i="8"/>
  <c r="D16" i="8" l="1"/>
  <c r="D20" i="11" s="1"/>
  <c r="C53" i="8"/>
  <c r="D38" i="8"/>
  <c r="C30" i="2" s="1"/>
  <c r="C32" i="8"/>
  <c r="C21" i="8"/>
  <c r="C9" i="8"/>
  <c r="F85" i="8"/>
  <c r="D86" i="8"/>
  <c r="F74" i="8"/>
  <c r="D73" i="8"/>
  <c r="F73" i="8" l="1"/>
  <c r="D76" i="8"/>
  <c r="D79" i="8" s="1"/>
  <c r="D80" i="8" s="1"/>
  <c r="D8" i="8"/>
  <c r="D43" i="13" s="1"/>
  <c r="D47" i="13" s="1"/>
  <c r="D48" i="8"/>
  <c r="D61" i="8" s="1"/>
  <c r="C18" i="2" s="1"/>
  <c r="C19" i="2" s="1"/>
  <c r="F84" i="8"/>
  <c r="F86" i="8" s="1"/>
  <c r="D81" i="8" l="1"/>
  <c r="D82" i="8" s="1"/>
  <c r="D83" i="8" s="1"/>
  <c r="D9" i="8"/>
  <c r="C15" i="2" s="1"/>
  <c r="K7" i="8"/>
  <c r="K9" i="8" s="1"/>
  <c r="D21" i="1"/>
  <c r="D19" i="2"/>
  <c r="C16" i="1"/>
  <c r="G25" i="1"/>
  <c r="F75" i="8" l="1"/>
  <c r="J7" i="8"/>
  <c r="J9" i="8" s="1"/>
  <c r="H30" i="1"/>
  <c r="E14" i="14"/>
  <c r="G40" i="6"/>
  <c r="H40" i="6"/>
  <c r="I40" i="6"/>
  <c r="G32" i="6"/>
  <c r="H32" i="6"/>
  <c r="I32" i="6"/>
  <c r="O19" i="6"/>
  <c r="G19" i="6"/>
  <c r="H19" i="6"/>
  <c r="I19" i="6"/>
  <c r="F19" i="6"/>
  <c r="C23" i="15"/>
  <c r="B23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" i="15"/>
  <c r="I42" i="6" l="1"/>
  <c r="I7" i="8"/>
  <c r="I9" i="8" s="1"/>
  <c r="F76" i="8"/>
  <c r="F79" i="8" s="1"/>
  <c r="F80" i="8" s="1"/>
  <c r="G42" i="6"/>
  <c r="H42" i="6"/>
  <c r="D23" i="15"/>
  <c r="O40" i="6"/>
  <c r="F40" i="6"/>
  <c r="O32" i="6"/>
  <c r="F32" i="6"/>
  <c r="M40" i="6"/>
  <c r="M36" i="6"/>
  <c r="M32" i="6"/>
  <c r="M19" i="6"/>
  <c r="M7" i="8" l="1"/>
  <c r="M9" i="8" s="1"/>
  <c r="D87" i="8"/>
  <c r="G14" i="14"/>
  <c r="C27" i="2"/>
  <c r="F81" i="8"/>
  <c r="F82" i="8" s="1"/>
  <c r="O42" i="6"/>
  <c r="F42" i="6"/>
  <c r="H7" i="5"/>
  <c r="H8" i="5"/>
  <c r="H9" i="5"/>
  <c r="H10" i="5"/>
  <c r="H11" i="5"/>
  <c r="H12" i="5"/>
  <c r="F7" i="5"/>
  <c r="I7" i="5" s="1"/>
  <c r="F8" i="5"/>
  <c r="F9" i="5"/>
  <c r="I9" i="5" s="1"/>
  <c r="F10" i="5"/>
  <c r="F11" i="5"/>
  <c r="F12" i="5"/>
  <c r="F13" i="5"/>
  <c r="D29" i="14"/>
  <c r="E30" i="14" s="1"/>
  <c r="G30" i="14" s="1"/>
  <c r="D23" i="14"/>
  <c r="E26" i="14" s="1"/>
  <c r="G26" i="14" s="1"/>
  <c r="O9" i="2" l="1"/>
  <c r="P9" i="2" s="1"/>
  <c r="H15" i="5"/>
  <c r="M42" i="6"/>
  <c r="H13" i="1" s="1"/>
  <c r="I12" i="5"/>
  <c r="F83" i="8"/>
  <c r="G78" i="8" s="1"/>
  <c r="I8" i="5"/>
  <c r="I11" i="5"/>
  <c r="I13" i="5"/>
  <c r="I10" i="5"/>
  <c r="H20" i="1"/>
  <c r="B13" i="13"/>
  <c r="E32" i="1" s="1"/>
  <c r="A1" i="13"/>
  <c r="D45" i="2" l="1"/>
  <c r="D39" i="13"/>
  <c r="F87" i="8"/>
  <c r="A1" i="11"/>
  <c r="D16" i="2"/>
  <c r="O7" i="2" s="1"/>
  <c r="P7" i="2" s="1"/>
  <c r="D9" i="2"/>
  <c r="H23" i="2"/>
  <c r="H18" i="2"/>
  <c r="H14" i="2"/>
  <c r="D26" i="8"/>
  <c r="D67" i="8" l="1"/>
  <c r="D24" i="11" s="1"/>
  <c r="D25" i="11" s="1"/>
  <c r="D19" i="14" s="1"/>
  <c r="E20" i="14" s="1"/>
  <c r="G20" i="14" s="1"/>
  <c r="D22" i="11"/>
  <c r="D21" i="8"/>
  <c r="D21" i="11" s="1"/>
  <c r="B1" i="3"/>
  <c r="A1" i="5"/>
  <c r="A1" i="6"/>
  <c r="A1" i="7"/>
  <c r="A1" i="14" s="1"/>
  <c r="A2" i="2"/>
  <c r="A1" i="2"/>
  <c r="A8" i="1"/>
  <c r="E49" i="2"/>
  <c r="H6" i="2"/>
  <c r="E6" i="2"/>
  <c r="H6" i="1"/>
  <c r="C18" i="1"/>
  <c r="F6" i="5"/>
  <c r="F15" i="5" s="1"/>
  <c r="E22" i="1"/>
  <c r="E34" i="1" s="1"/>
  <c r="C17" i="1"/>
  <c r="K11" i="3"/>
  <c r="D12" i="3" s="1"/>
  <c r="J11" i="3"/>
  <c r="D9" i="3" s="1"/>
  <c r="A47" i="2" l="1"/>
  <c r="D13" i="13"/>
  <c r="H32" i="1" s="1"/>
  <c r="D32" i="11"/>
  <c r="D34" i="11" s="1"/>
  <c r="D22" i="2" s="1"/>
  <c r="D15" i="3"/>
  <c r="D18" i="1"/>
  <c r="I6" i="5"/>
  <c r="H49" i="2"/>
  <c r="I15" i="5" l="1"/>
  <c r="H22" i="1" s="1"/>
  <c r="H34" i="1" s="1"/>
  <c r="A48" i="2"/>
  <c r="A26" i="1" s="1"/>
  <c r="B8" i="14"/>
  <c r="B32" i="14" s="1"/>
  <c r="A13" i="1" s="1"/>
  <c r="C26" i="2"/>
  <c r="D30" i="2" l="1"/>
  <c r="O5" i="2" s="1"/>
  <c r="A49" i="2"/>
  <c r="G50" i="2" s="1"/>
  <c r="A34" i="1"/>
  <c r="G35" i="1" s="1"/>
  <c r="D47" i="2" l="1"/>
  <c r="D48" i="2" s="1"/>
  <c r="C26" i="1" s="1"/>
  <c r="D26" i="1" s="1"/>
  <c r="O13" i="2"/>
  <c r="O21" i="2" s="1"/>
  <c r="P5" i="2"/>
  <c r="P13" i="2" s="1"/>
  <c r="P21" i="2" s="1"/>
  <c r="D8" i="14" l="1"/>
  <c r="E9" i="14" s="1"/>
  <c r="E32" i="14" s="1"/>
  <c r="E34" i="14" s="1"/>
  <c r="D49" i="2"/>
  <c r="H50" i="2" s="1"/>
  <c r="G9" i="14" l="1"/>
  <c r="D13" i="1"/>
  <c r="D34" i="1" s="1"/>
  <c r="H35" i="1" s="1"/>
</calcChain>
</file>

<file path=xl/sharedStrings.xml><?xml version="1.0" encoding="utf-8"?>
<sst xmlns="http://schemas.openxmlformats.org/spreadsheetml/2006/main" count="748" uniqueCount="504">
  <si>
    <t xml:space="preserve"> LIABILITIES </t>
  </si>
  <si>
    <t xml:space="preserve"> ASSETS </t>
  </si>
  <si>
    <t>Cash and Bank Balances:</t>
  </si>
  <si>
    <t>Share Application Money Pending Allotment</t>
  </si>
  <si>
    <t>Provisions</t>
  </si>
  <si>
    <t>Cash in Hand</t>
  </si>
  <si>
    <t>Other Current Assets:</t>
  </si>
  <si>
    <t>Retained Earnings:</t>
  </si>
  <si>
    <t>Surplus/(Deficit) for the year</t>
  </si>
  <si>
    <t>Total</t>
  </si>
  <si>
    <t>EXPENDITURE</t>
  </si>
  <si>
    <t>INCOME</t>
  </si>
  <si>
    <t>Maintenance Income:</t>
  </si>
  <si>
    <t>Common Electricity Charges</t>
  </si>
  <si>
    <t>Water Charges</t>
  </si>
  <si>
    <t>Non-Occupancy Charges</t>
  </si>
  <si>
    <t>Interest Income:</t>
  </si>
  <si>
    <t>Interest on Savings Account</t>
  </si>
  <si>
    <t>Interest on Fixed Deposits</t>
  </si>
  <si>
    <t>Other Income:</t>
  </si>
  <si>
    <t>Misc. Income</t>
  </si>
  <si>
    <t>25% of Surplus transferred to General Fund</t>
  </si>
  <si>
    <t>Water Expenses</t>
  </si>
  <si>
    <t>Security Expenses</t>
  </si>
  <si>
    <t>Pest Control Expense</t>
  </si>
  <si>
    <t>Audit Fees</t>
  </si>
  <si>
    <t>Service Expenses:</t>
  </si>
  <si>
    <t>General Expenses:</t>
  </si>
  <si>
    <t>Telephone and Internet Expenses</t>
  </si>
  <si>
    <t>Accounting Charges</t>
  </si>
  <si>
    <t>Printing and Stationary</t>
  </si>
  <si>
    <t>Meeting Expenses</t>
  </si>
  <si>
    <t>Conveyance Charges</t>
  </si>
  <si>
    <t>Bank Charges</t>
  </si>
  <si>
    <t>Miscellaneous Expenses</t>
  </si>
  <si>
    <t>Income Tax Expenses</t>
  </si>
  <si>
    <t>GST Expenses</t>
  </si>
  <si>
    <t>Festival Expenses</t>
  </si>
  <si>
    <t>Depreciation</t>
  </si>
  <si>
    <t>Particulars</t>
  </si>
  <si>
    <t>Amount</t>
  </si>
  <si>
    <t>Closing book balance (as per system)</t>
  </si>
  <si>
    <t>Add:</t>
  </si>
  <si>
    <t>Cheques issued and presented for payment</t>
  </si>
  <si>
    <t>but not cleared</t>
  </si>
  <si>
    <t>Closing bank balance (as per bank)</t>
  </si>
  <si>
    <t>Sr</t>
  </si>
  <si>
    <t>Vendor</t>
  </si>
  <si>
    <t>Instr No.</t>
  </si>
  <si>
    <t>Outflow</t>
  </si>
  <si>
    <t>Inflow</t>
  </si>
  <si>
    <t>Clearing Date</t>
  </si>
  <si>
    <t>Issue Date</t>
  </si>
  <si>
    <t>Less:</t>
  </si>
  <si>
    <t>Cheques collected and deposited but not</t>
  </si>
  <si>
    <t>cleared</t>
  </si>
  <si>
    <t>Sinking Fund:</t>
  </si>
  <si>
    <t>A - Vendor Payables</t>
  </si>
  <si>
    <t>Total (a)</t>
  </si>
  <si>
    <t>Sr.</t>
  </si>
  <si>
    <t>B - Statutory Dues Payable</t>
  </si>
  <si>
    <t>Total (b)</t>
  </si>
  <si>
    <t>TDS Payable</t>
  </si>
  <si>
    <t>Total (c)</t>
  </si>
  <si>
    <t>Flat</t>
  </si>
  <si>
    <t>Members Name</t>
  </si>
  <si>
    <t>FD Account No.</t>
  </si>
  <si>
    <t>Bank</t>
  </si>
  <si>
    <t>Date of Issue</t>
  </si>
  <si>
    <t>Principal Invested</t>
  </si>
  <si>
    <t>Total Amt Invested</t>
  </si>
  <si>
    <t>Date of Maturity</t>
  </si>
  <si>
    <t>Value at Maturity</t>
  </si>
  <si>
    <t>Repair Fund:</t>
  </si>
  <si>
    <t>Computer</t>
  </si>
  <si>
    <t>CCTV System</t>
  </si>
  <si>
    <t xml:space="preserve">Furniture and Fixtures </t>
  </si>
  <si>
    <t>Assets</t>
  </si>
  <si>
    <t>Rate of Dep. (%)</t>
  </si>
  <si>
    <t>Net Block</t>
  </si>
  <si>
    <t>Gross Blosk</t>
  </si>
  <si>
    <t>ROI %</t>
  </si>
  <si>
    <t>C - Provisions</t>
  </si>
  <si>
    <t>Housekeeping Expenses, incl material</t>
  </si>
  <si>
    <t>(Amounts in ₹)</t>
  </si>
  <si>
    <t>Share Capital:</t>
  </si>
  <si>
    <t>JEEVAN HEIGHTS  CO-OPERATIVE HOUSING SOCIETY LTD</t>
  </si>
  <si>
    <t>Authorised: 4,000 shares of ₹ 50/- each</t>
  </si>
  <si>
    <t>630 Shares of Rs. 50/- each</t>
  </si>
  <si>
    <r>
      <t>Members' Payables:</t>
    </r>
    <r>
      <rPr>
        <sz val="11"/>
        <color theme="1"/>
        <rFont val="Calibri"/>
        <family val="2"/>
        <scheme val="minor"/>
      </rPr>
      <t xml:space="preserve"> </t>
    </r>
  </si>
  <si>
    <t>MDCC  Bank</t>
  </si>
  <si>
    <t>ICICI  Bank</t>
  </si>
  <si>
    <t>Loan &amp; Advances</t>
  </si>
  <si>
    <t>Deposits</t>
  </si>
  <si>
    <t>Adani electricity</t>
  </si>
  <si>
    <t>MCGM -water</t>
  </si>
  <si>
    <t>TDS receivables</t>
  </si>
  <si>
    <t>Pest Control</t>
  </si>
  <si>
    <t>DG Set</t>
  </si>
  <si>
    <t>Lift AMC</t>
  </si>
  <si>
    <t>Salary Expenses</t>
  </si>
  <si>
    <t>Diwali Bonus</t>
  </si>
  <si>
    <t>Property Tax</t>
  </si>
  <si>
    <t>Property Tax Members</t>
  </si>
  <si>
    <t>Common electricity expenses</t>
  </si>
  <si>
    <t>Electricity Expenses</t>
  </si>
  <si>
    <t>MCGM water expenses</t>
  </si>
  <si>
    <t>Water Tanker Expenses</t>
  </si>
  <si>
    <t>Lift Maintenance</t>
  </si>
  <si>
    <t>Lift AMC Expenses</t>
  </si>
  <si>
    <t>Insurance</t>
  </si>
  <si>
    <t>Gym Expenses</t>
  </si>
  <si>
    <t>Common Area maintenance Charges</t>
  </si>
  <si>
    <t>Common area property Tax</t>
  </si>
  <si>
    <t>Other Member Income</t>
  </si>
  <si>
    <t>PL-01</t>
  </si>
  <si>
    <t>Prepaid</t>
  </si>
  <si>
    <t>SL-01</t>
  </si>
  <si>
    <t>AC AMC</t>
  </si>
  <si>
    <t>Gym Equipment AMC</t>
  </si>
  <si>
    <t>Intercom AMC Exp</t>
  </si>
  <si>
    <t>Fire Fighting System AMC</t>
  </si>
  <si>
    <t>Provision</t>
  </si>
  <si>
    <t>Pest Control AMC</t>
  </si>
  <si>
    <t xml:space="preserve">Insurance Charges </t>
  </si>
  <si>
    <t xml:space="preserve">Society Welfare Charges </t>
  </si>
  <si>
    <t xml:space="preserve">Shifting Charges Move In And Move Out </t>
  </si>
  <si>
    <t xml:space="preserve">Interest on Sweep </t>
  </si>
  <si>
    <t>Sr. No</t>
  </si>
  <si>
    <t>Expenses</t>
  </si>
  <si>
    <t>AMC - AC</t>
  </si>
  <si>
    <t xml:space="preserve">Water Tank Cleaning Expenses </t>
  </si>
  <si>
    <t xml:space="preserve">Water Pump Repair Charges </t>
  </si>
  <si>
    <t xml:space="preserve">AC Repair and Maintenance </t>
  </si>
  <si>
    <t xml:space="preserve">AMC - Gym Equipment </t>
  </si>
  <si>
    <t xml:space="preserve">DG Set Repair and Maintenance Expenses </t>
  </si>
  <si>
    <t xml:space="preserve">Repair and Maintenance Electrical </t>
  </si>
  <si>
    <t xml:space="preserve">Other Repair Maintenance </t>
  </si>
  <si>
    <t>AMC - Intercom</t>
  </si>
  <si>
    <t>AMC - Fire Fighting System</t>
  </si>
  <si>
    <t xml:space="preserve">Fire Fighting System Repairs and Maintenance </t>
  </si>
  <si>
    <t xml:space="preserve">Repair and Maintenance Plumbing </t>
  </si>
  <si>
    <t xml:space="preserve">AMC - Stack Parking </t>
  </si>
  <si>
    <t xml:space="preserve">Repair and Maintenance (Intercom/CCTV) </t>
  </si>
  <si>
    <t>AMC - CCTV</t>
  </si>
  <si>
    <t xml:space="preserve">As per schedule </t>
  </si>
  <si>
    <t>General Expenses</t>
  </si>
  <si>
    <t>Software Charges</t>
  </si>
  <si>
    <t>Ashtabhuja Security Guard</t>
  </si>
  <si>
    <t>Block</t>
  </si>
  <si>
    <t>Intercome/CCTV</t>
  </si>
  <si>
    <t>Retained Earnings</t>
  </si>
  <si>
    <t xml:space="preserve">Surplus / (Deficit) for the Period </t>
  </si>
  <si>
    <t>Vendors Payable</t>
  </si>
  <si>
    <t>Adani Electricity</t>
  </si>
  <si>
    <t>Hitachi Lift India Private Limited</t>
  </si>
  <si>
    <t>Irene Rosario</t>
  </si>
  <si>
    <t>Sparkling Cleaning Services</t>
  </si>
  <si>
    <t>Vision Fire &amp; Safety Engineers</t>
  </si>
  <si>
    <t>Yashwant Kamble</t>
  </si>
  <si>
    <t>Integrated GST</t>
  </si>
  <si>
    <t>Income Tax Payable</t>
  </si>
  <si>
    <t>Statutory Dues Payable</t>
  </si>
  <si>
    <t>Sr. No.</t>
  </si>
  <si>
    <t>Account Head</t>
  </si>
  <si>
    <t>Reserve Fund</t>
  </si>
  <si>
    <t>As per last year BS</t>
  </si>
  <si>
    <t>Add: Collection during the year</t>
  </si>
  <si>
    <t>Add: Int. acc./recd during the year</t>
  </si>
  <si>
    <t>Sinking Fund</t>
  </si>
  <si>
    <t>Repair  and  Maintenance Fund</t>
  </si>
  <si>
    <t>Education Training Fund</t>
  </si>
  <si>
    <t>Less : Expenses incurred during the year</t>
  </si>
  <si>
    <t>TOTAL</t>
  </si>
  <si>
    <t>Common Amenities Fund</t>
  </si>
  <si>
    <t>Submersible Pump</t>
  </si>
  <si>
    <t>Sound System</t>
  </si>
  <si>
    <t>Fan</t>
  </si>
  <si>
    <t>Battery</t>
  </si>
  <si>
    <t>30.03.2022</t>
  </si>
  <si>
    <t>20.08.2022</t>
  </si>
  <si>
    <t>30.03.2023</t>
  </si>
  <si>
    <t>ICICI</t>
  </si>
  <si>
    <t>Accrued Interest 2021-22</t>
  </si>
  <si>
    <t>Accrued Interest 2022-23</t>
  </si>
  <si>
    <t>Accrued Interest 2023-24</t>
  </si>
  <si>
    <t>31.03.2027</t>
  </si>
  <si>
    <t>14.09.2027</t>
  </si>
  <si>
    <t>01.05.2028</t>
  </si>
  <si>
    <t>General Fund</t>
  </si>
  <si>
    <t>Share Capital</t>
  </si>
  <si>
    <t>Education &amp; Training Fund</t>
  </si>
  <si>
    <t>FD No</t>
  </si>
  <si>
    <t>Int</t>
  </si>
  <si>
    <t>RF</t>
  </si>
  <si>
    <t>SC</t>
  </si>
  <si>
    <t>GF</t>
  </si>
  <si>
    <t>SF</t>
  </si>
  <si>
    <t>Sakshi Bhosle</t>
  </si>
  <si>
    <t>Dhanji Solanki</t>
  </si>
  <si>
    <t>TDS</t>
  </si>
  <si>
    <t>Acc</t>
  </si>
  <si>
    <t>CA Fund</t>
  </si>
  <si>
    <t>Edu</t>
  </si>
  <si>
    <t>Less: Trf to Reserve Fund</t>
  </si>
  <si>
    <t>Less: Trf to Sinking Fund</t>
  </si>
  <si>
    <t>Less: Trf to Repair Fund</t>
  </si>
  <si>
    <t>Less: Trf to Edu &amp; Trng Fund</t>
  </si>
  <si>
    <t>Less: Trf to Common Amenities</t>
  </si>
  <si>
    <t>Interest on IT, TDS &amp; GST</t>
  </si>
  <si>
    <t>AMC - DG</t>
  </si>
  <si>
    <t>Add: Entrance Fees</t>
  </si>
  <si>
    <t>Add: Share Transfer Fees</t>
  </si>
  <si>
    <t>Less: Spent during the year</t>
  </si>
  <si>
    <t>Less: Trfd to Repair Fund</t>
  </si>
  <si>
    <t>Unclaimed ITC</t>
  </si>
  <si>
    <t>Add: 25% of Surplus</t>
  </si>
  <si>
    <t>27.03.2026</t>
  </si>
  <si>
    <t>Union Bank of India</t>
  </si>
  <si>
    <t>Fixed Deposit (Sch 1)</t>
  </si>
  <si>
    <t>Advance Payment to Vendor</t>
  </si>
  <si>
    <r>
      <rPr>
        <b/>
        <sz val="11"/>
        <color theme="1"/>
        <rFont val="Calibri"/>
        <family val="2"/>
        <scheme val="minor"/>
      </rPr>
      <t>Fixed Assets: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(Sch 2)</t>
    </r>
  </si>
  <si>
    <r>
      <t xml:space="preserve">Member receivables </t>
    </r>
    <r>
      <rPr>
        <b/>
        <sz val="11"/>
        <color theme="1"/>
        <rFont val="Calibri"/>
        <family val="2"/>
        <scheme val="minor"/>
      </rPr>
      <t>(Sch 3)</t>
    </r>
  </si>
  <si>
    <t>Prepaid Expenses (Sch 4)</t>
  </si>
  <si>
    <t>Schedule 4: Prepaid Expenses</t>
  </si>
  <si>
    <t>Reserves and Surplus (Sch 5)</t>
  </si>
  <si>
    <r>
      <t>Current Liabilities &amp; Provision: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(Sch 6)</t>
    </r>
  </si>
  <si>
    <t>Advance Members (Sch 7)</t>
  </si>
  <si>
    <t>Repair and Maintenance Expense (Sch 8)</t>
  </si>
  <si>
    <t>Total ( C)</t>
  </si>
  <si>
    <t>FD Short</t>
  </si>
  <si>
    <t>Basic</t>
  </si>
  <si>
    <t>CGST</t>
  </si>
  <si>
    <t>SGST</t>
  </si>
  <si>
    <t>Total Tax</t>
  </si>
  <si>
    <t>Manoj Electricals</t>
  </si>
  <si>
    <t>Income Tax Provision</t>
  </si>
  <si>
    <t>Income from Savings A/c.</t>
  </si>
  <si>
    <t>Net Taxable Income</t>
  </si>
  <si>
    <t>0-10000</t>
  </si>
  <si>
    <t>10000-20000</t>
  </si>
  <si>
    <t>20000 or More</t>
  </si>
  <si>
    <t>Tax</t>
  </si>
  <si>
    <t>Education cess</t>
  </si>
  <si>
    <t>Say</t>
  </si>
  <si>
    <t>Advance Tax</t>
  </si>
  <si>
    <t>TDS Receivables</t>
  </si>
  <si>
    <t>Old Regime</t>
  </si>
  <si>
    <t>New Regime</t>
  </si>
  <si>
    <t>Payable</t>
  </si>
  <si>
    <t>Refund</t>
  </si>
  <si>
    <t>Total Claimed</t>
  </si>
  <si>
    <t>Water Charges payable</t>
  </si>
  <si>
    <t>Insurance Expenses</t>
  </si>
  <si>
    <t>DG Set AMC</t>
  </si>
  <si>
    <t>GST reversed for Lift AMC</t>
  </si>
  <si>
    <t>a)</t>
  </si>
  <si>
    <t>b)</t>
  </si>
  <si>
    <t>Regular</t>
  </si>
  <si>
    <t>Sweep</t>
  </si>
  <si>
    <t>Type</t>
  </si>
  <si>
    <t>Account No.</t>
  </si>
  <si>
    <t>Deposit</t>
  </si>
  <si>
    <t>Days/ Months</t>
  </si>
  <si>
    <t>Income from FD &amp; Sweep</t>
  </si>
  <si>
    <t>Scrap Sales &amp; Promotional</t>
  </si>
  <si>
    <t xml:space="preserve">Usage charges </t>
  </si>
  <si>
    <t>Function Charges (Ground /Terrace)</t>
  </si>
  <si>
    <t>Parking Property tax</t>
  </si>
  <si>
    <t>Society Reg No : TNA/TNA/HSG/TC/13111/Year 2021</t>
  </si>
  <si>
    <t>Income</t>
  </si>
  <si>
    <t>(A)</t>
  </si>
  <si>
    <t>(B)</t>
  </si>
  <si>
    <t>Surplus/ (Deficit)</t>
  </si>
  <si>
    <t>C = (A+B)</t>
  </si>
  <si>
    <t>Surcharge</t>
  </si>
  <si>
    <t>Advance Taxes paid</t>
  </si>
  <si>
    <t>Net Payable/ (Refund)</t>
  </si>
  <si>
    <t>Income Tax</t>
  </si>
  <si>
    <t>Society Address: Bandar, Pakhadi Road  ,Kandivali (W), Mumbai - 400067.</t>
  </si>
  <si>
    <t xml:space="preserve"> March 31, 2025</t>
  </si>
  <si>
    <t>Opening Balance 01.04.2024</t>
  </si>
  <si>
    <t>FY 2024-25</t>
  </si>
  <si>
    <t>07.01.2025 to 31.03.2025</t>
  </si>
  <si>
    <t>Repair and Maintenance Lift</t>
  </si>
  <si>
    <t>Repair and Maintenance Gym</t>
  </si>
  <si>
    <t>01.04.2025 to 09.07.2025</t>
  </si>
  <si>
    <t>01.04.2025 to 22.05.2025</t>
  </si>
  <si>
    <t>01.04.2025 to 30.06.2025</t>
  </si>
  <si>
    <t>Postage and Courier</t>
  </si>
  <si>
    <t>01.04.2025 to 30.09.2025</t>
  </si>
  <si>
    <t>Late Payment Interest</t>
  </si>
  <si>
    <t>Accrued Interest 2024-25</t>
  </si>
  <si>
    <t>06.03.2025</t>
  </si>
  <si>
    <t>Amount cleared by the bank but not entered in the system</t>
  </si>
  <si>
    <t>Date</t>
  </si>
  <si>
    <t>Issued</t>
  </si>
  <si>
    <t>Instr.no</t>
  </si>
  <si>
    <t>Remarks</t>
  </si>
  <si>
    <t>09.04.2024</t>
  </si>
  <si>
    <t>DDD2292856</t>
  </si>
  <si>
    <t>23.07.2024</t>
  </si>
  <si>
    <t>15th Aug Catering</t>
  </si>
  <si>
    <t>13.08.2024</t>
  </si>
  <si>
    <t xml:space="preserve">Sadhan Catering </t>
  </si>
  <si>
    <t>20.08.2024</t>
  </si>
  <si>
    <t>22-08-2024</t>
  </si>
  <si>
    <t>Garage Bag</t>
  </si>
  <si>
    <t>10.09.2024</t>
  </si>
  <si>
    <t>01.10.2024</t>
  </si>
  <si>
    <t>MMT/IMPS/427519911428/GANPATIDECOR/NIAHANT/BARB0MA</t>
  </si>
  <si>
    <t>10.10.2024</t>
  </si>
  <si>
    <t>037909985891</t>
  </si>
  <si>
    <t>INF/INFT/037909985891/43253953/MUMBAI SPACER</t>
  </si>
  <si>
    <t>12.10.2024</t>
  </si>
  <si>
    <t>MMT/IMPS/428619230968/WAFFELDUSSERA/WAFFELPRIY/BKI</t>
  </si>
  <si>
    <t>18.10.2024</t>
  </si>
  <si>
    <t>MMT/IMPS/429221038015/NAVRATRICATERIN/KAJALCATER/C</t>
  </si>
  <si>
    <t>14.11.2024</t>
  </si>
  <si>
    <t>Funding</t>
  </si>
  <si>
    <t>26.12.2024</t>
  </si>
  <si>
    <t>047422</t>
  </si>
  <si>
    <t>Vipul</t>
  </si>
  <si>
    <t>27.01.25</t>
  </si>
  <si>
    <t>Sudhakar do</t>
  </si>
  <si>
    <t>IMPS</t>
  </si>
  <si>
    <t>Holigulal</t>
  </si>
  <si>
    <t>virendra</t>
  </si>
  <si>
    <t>Utility</t>
  </si>
  <si>
    <t xml:space="preserve"> Mrs.Sneha Ashok Rathod</t>
  </si>
  <si>
    <t>A - Vendor Advances</t>
  </si>
  <si>
    <t>Total (d)</t>
  </si>
  <si>
    <t>Aman Traders</t>
  </si>
  <si>
    <t>Athlon</t>
  </si>
  <si>
    <t>Supriya</t>
  </si>
  <si>
    <t>HVT Interiors</t>
  </si>
  <si>
    <t xml:space="preserve">Shreeji Water Pump &amp; Services	</t>
  </si>
  <si>
    <t>Mr.Manoj Kanaiyalal Kanakia &amp; Mrs.Nisha Manoj Kanakia</t>
  </si>
  <si>
    <t>01.04.2025 to 14.04.2025</t>
  </si>
  <si>
    <t>Stack Parking AMC</t>
  </si>
  <si>
    <t>14.03.2025 to 31.03.2025</t>
  </si>
  <si>
    <t>Flow Chem Pumps Pvt. Ltd.</t>
  </si>
  <si>
    <t>20.03.2025</t>
  </si>
  <si>
    <t>27.03.2025</t>
  </si>
  <si>
    <t>Mrs.Khyati Namit Turakhia &amp; Mr.Namit Mahendra Turakhia</t>
  </si>
  <si>
    <t>U - 402</t>
  </si>
  <si>
    <t>Add: Prior period Adjustment</t>
  </si>
  <si>
    <t>01.04.2025 to 19.05.2025</t>
  </si>
  <si>
    <t>Shivant Hardare</t>
  </si>
  <si>
    <t>Bajaj Allianz</t>
  </si>
  <si>
    <t>30-07-2024</t>
  </si>
  <si>
    <t>03-04-2024</t>
  </si>
  <si>
    <t>05-08-2024</t>
  </si>
  <si>
    <t>01-12-2024</t>
  </si>
  <si>
    <t>GST Payable - Regular</t>
  </si>
  <si>
    <t>GST Payable - RCM</t>
  </si>
  <si>
    <t>FD Excess</t>
  </si>
  <si>
    <t>31-03-2025</t>
  </si>
  <si>
    <t>Sr.No</t>
  </si>
  <si>
    <t>Name of Committee Members/ Invitees</t>
  </si>
  <si>
    <t>Flat No</t>
  </si>
  <si>
    <t>Mr. Rakesh Mehta</t>
  </si>
  <si>
    <t>Mr. Ankit kanakia</t>
  </si>
  <si>
    <t>Mr. Vinod Bhatia</t>
  </si>
  <si>
    <t>Mr. Prashant Shah</t>
  </si>
  <si>
    <t>Smt Anjani Parekh</t>
  </si>
  <si>
    <t>Mrs. Rajashri Shah</t>
  </si>
  <si>
    <t>Mr. Jinkal Shah</t>
  </si>
  <si>
    <t>Mr. Vipul kapasi</t>
  </si>
  <si>
    <t>Designation</t>
  </si>
  <si>
    <t>Chairman</t>
  </si>
  <si>
    <t>Secretary</t>
  </si>
  <si>
    <t>Treasurer</t>
  </si>
  <si>
    <t>MC Member</t>
  </si>
  <si>
    <t>Balance Sheet as at March 31, 2026</t>
  </si>
  <si>
    <t xml:space="preserve"> March 31, 2026</t>
  </si>
  <si>
    <t>FY 2025-26</t>
  </si>
  <si>
    <t>Union Bank Reconciliation Statement as at March 31, 2026</t>
  </si>
  <si>
    <t>ICICI Bank Reconciliation Statement as at March 31, 2026</t>
  </si>
  <si>
    <t>Schedule 6: Payable to Vendors March 31, 2026</t>
  </si>
  <si>
    <t>Additions during the year before 30.09.2025</t>
  </si>
  <si>
    <t>Additions during the year after 30.09.2025</t>
  </si>
  <si>
    <t>Cost at 31.03.2026</t>
  </si>
  <si>
    <t>Schedule 2: Fixed Assets Details as at March 31, 2026</t>
  </si>
  <si>
    <t>Schedule - 5 : Reserves and Surplus as on 31.03.2026</t>
  </si>
  <si>
    <t>Income and Expenditure Account for the year ended March 31, 2026</t>
  </si>
  <si>
    <t>AMC Expenses for the year ended March 31, 2026</t>
  </si>
  <si>
    <t>Schedule 8 : R &amp; M Expenses for the year ended March 31, 2026</t>
  </si>
  <si>
    <t>Total Accrued Interest</t>
  </si>
  <si>
    <t>Schedule 1: Fixed Deposit Statement as at March 31, 2026</t>
  </si>
  <si>
    <t>Accrued Interest 2025-26</t>
  </si>
  <si>
    <t>196013005108-1</t>
  </si>
  <si>
    <t>30.11.2025</t>
  </si>
  <si>
    <t>30.03.2027</t>
  </si>
  <si>
    <t>196013007647-1</t>
  </si>
  <si>
    <t>14.02.2026</t>
  </si>
  <si>
    <t>14.05.2027</t>
  </si>
  <si>
    <t>196013005107-1</t>
  </si>
  <si>
    <t>27.03.3030</t>
  </si>
  <si>
    <t>196013006860-1</t>
  </si>
  <si>
    <t>27.03.2028</t>
  </si>
  <si>
    <t>196013006864-1</t>
  </si>
  <si>
    <t>26.09.2025</t>
  </si>
  <si>
    <t>27.09.2030</t>
  </si>
  <si>
    <t>20.03.2030</t>
  </si>
  <si>
    <t>196013006862-1</t>
  </si>
  <si>
    <t>196013006861-1</t>
  </si>
  <si>
    <t>NR Paid Ads</t>
  </si>
  <si>
    <t>06.01.2025 to 07.07.2025</t>
  </si>
  <si>
    <t>01.04.2025 to 07.07.2025</t>
  </si>
  <si>
    <t>08.08.2025 to 31.03.2026</t>
  </si>
  <si>
    <t>01.04.2025 to 31.03.2026</t>
  </si>
  <si>
    <t>15.04.2025 to 14.10.2025</t>
  </si>
  <si>
    <t>20.05.2025 to 19.11.2025</t>
  </si>
  <si>
    <t>c)</t>
  </si>
  <si>
    <t>PL-01 &amp; SL-01</t>
  </si>
  <si>
    <t>01.11.2025 to 30.04.2026</t>
  </si>
  <si>
    <t>01.04.2026 to 30.04.2026</t>
  </si>
  <si>
    <t>01.11.2025 to 31.03.2026</t>
  </si>
  <si>
    <t xml:space="preserve">Prepaid </t>
  </si>
  <si>
    <t>01.04.2025 to 31.12.2025</t>
  </si>
  <si>
    <t>01.02.2026 to 31.01.2027</t>
  </si>
  <si>
    <t>01.04.2026 to 31.01.2027</t>
  </si>
  <si>
    <t>01.07.2025 to 31.03.2026</t>
  </si>
  <si>
    <t>01.08.2025 to 31.03.2026</t>
  </si>
  <si>
    <t>01.04.2025 to 30.04.2025</t>
  </si>
  <si>
    <t>01.05.2025 to 30.04.2026</t>
  </si>
  <si>
    <t>30.07.2025 to 29.07.2026</t>
  </si>
  <si>
    <t>01.04.2026 to 29.07.2026</t>
  </si>
  <si>
    <t>01.07.2025 to 30.06.2026</t>
  </si>
  <si>
    <t>01.04.2026 to 30.06.2026</t>
  </si>
  <si>
    <t>01.10.2025 to 31.03.2026</t>
  </si>
  <si>
    <t>14.03.2025 to 13.12.2025</t>
  </si>
  <si>
    <t>14.12.2025 to 13.06.2026</t>
  </si>
  <si>
    <t>01.04.2026 to 13.06.2026</t>
  </si>
  <si>
    <t>PY Provision</t>
  </si>
  <si>
    <t>MT2725260014</t>
  </si>
  <si>
    <t>Invoice/Posted Date</t>
  </si>
  <si>
    <t>Invoice No</t>
  </si>
  <si>
    <t>Quarter</t>
  </si>
  <si>
    <t>ITC Rule 42/43</t>
  </si>
  <si>
    <t>Trfd to Respective</t>
  </si>
  <si>
    <t>HITACHI LIFT INDIA PRIVATE LIMITED</t>
  </si>
  <si>
    <t>RAM RATNA INFRASTRUCTURE PVT LTD</t>
  </si>
  <si>
    <t>MT2725260199</t>
  </si>
  <si>
    <t>13/08/2025</t>
  </si>
  <si>
    <t>MT2725260136</t>
  </si>
  <si>
    <t>09/07/2025</t>
  </si>
  <si>
    <t>272511001269</t>
  </si>
  <si>
    <t>20/09/2025</t>
  </si>
  <si>
    <t>17/04/2025</t>
  </si>
  <si>
    <t>272511000575</t>
  </si>
  <si>
    <t>23/06/2025</t>
  </si>
  <si>
    <t>272511000017</t>
  </si>
  <si>
    <t>08/04/2025</t>
  </si>
  <si>
    <t>MT2725260052</t>
  </si>
  <si>
    <t>16/05/2025</t>
  </si>
  <si>
    <t>272511002065</t>
  </si>
  <si>
    <t>29/12/2025</t>
  </si>
  <si>
    <t>MT2725260412</t>
  </si>
  <si>
    <t>14/01/2026</t>
  </si>
  <si>
    <t>272511002686</t>
  </si>
  <si>
    <t>MT2725260480</t>
  </si>
  <si>
    <t>20/03/2026</t>
  </si>
  <si>
    <t>06/02/2026</t>
  </si>
  <si>
    <t>Row Labels</t>
  </si>
  <si>
    <t>Grand Total</t>
  </si>
  <si>
    <t>Sum of Trfd to Respective</t>
  </si>
  <si>
    <t>Column Labels</t>
  </si>
  <si>
    <t>GST reversed for Stack AMC</t>
  </si>
  <si>
    <t>Total Stack Parking AMC</t>
  </si>
  <si>
    <t>Boom Barrier Automated Gate</t>
  </si>
  <si>
    <t>Intercom System</t>
  </si>
  <si>
    <t>Prithvi Facility Management</t>
  </si>
  <si>
    <t>Shirke Recreation Enterprise</t>
  </si>
  <si>
    <t>Schedule 3: Members Receivables March 31, 2026</t>
  </si>
  <si>
    <t>Mrs.Rajashri Jayesh Shah &amp; Mr. Utsav Jayesh Shah</t>
  </si>
  <si>
    <t>Mrs.Sneha Ashok Rathod</t>
  </si>
  <si>
    <t>Mr. Ketan Mahendrakumar Shah &amp; Mrs Alpa Ketan Shah</t>
  </si>
  <si>
    <t>Mr.Bharat Jadavji Valia &amp; Mrs. Meena Bharat Valia</t>
  </si>
  <si>
    <t>Mr.Hemant Vamanrai Mathuria &amp; Mrs. Kiran Hemant Mathuria</t>
  </si>
  <si>
    <t>Schedule 7 : Advance from Members March 31, 2026</t>
  </si>
  <si>
    <t>Mrs.Ila Ashok Sanghavi Mr. Ashok Vrajlal Sanghavi</t>
  </si>
  <si>
    <t>Bindu Subhash Singh Yadav</t>
  </si>
  <si>
    <t>Rishabh R Tripathi</t>
  </si>
  <si>
    <t>Shree Dev Super Market</t>
  </si>
  <si>
    <t>26.03.2026</t>
  </si>
  <si>
    <t>28.03.2026</t>
  </si>
  <si>
    <t>13.04.2026</t>
  </si>
  <si>
    <t>03.04.2026</t>
  </si>
  <si>
    <t>Self Assessment &amp; Advance Tax paid</t>
  </si>
  <si>
    <t>Fire Fighting AMC</t>
  </si>
  <si>
    <t>MDCC</t>
  </si>
  <si>
    <t>20.06.2025</t>
  </si>
  <si>
    <t>20.03.2027</t>
  </si>
  <si>
    <t>MDCC Bank Reconciliation Statement as at March 31, 2026</t>
  </si>
  <si>
    <t>As per my report of even date</t>
  </si>
  <si>
    <t>FOR JEEVAN HEIGHTS  CO-OPERATIVE HOUSING SOCIETY LTD</t>
  </si>
  <si>
    <t>Shri. Bharat C. Boridkar</t>
  </si>
  <si>
    <t>Govt. Certified Panel Auditor</t>
  </si>
  <si>
    <t>Chairman                        Secretary                        Treasurer</t>
  </si>
  <si>
    <t>Total :-</t>
  </si>
  <si>
    <t>[Panel No.: Mumbai-4/C1/1011404]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</si>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</sst>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#,##0.00;\(#,##0.00\)"/>
    <numFmt numFmtId="167" formatCode="&quot;Mumbai: &quot;dd&quot;th&quot;\ mmmm\,\ 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8" fillId="0" borderId="0"/>
    <xf numFmtId="0" fontId="21" fillId="0" borderId="0"/>
  </cellStyleXfs>
  <cellXfs count="332">
    <xf numFmtId="0" fontId="0" fillId="0" borderId="0" xfId="0"/>
    <xf numFmtId="43" fontId="0" fillId="0" borderId="0" xfId="1" applyFont="1"/>
    <xf numFmtId="43" fontId="2" fillId="0" borderId="0" xfId="1" applyFont="1"/>
    <xf numFmtId="0" fontId="2" fillId="0" borderId="1" xfId="0" applyFont="1" applyBorder="1" applyAlignment="1">
      <alignment horizontal="center"/>
    </xf>
    <xf numFmtId="0" fontId="2" fillId="0" borderId="13" xfId="0" applyFont="1" applyBorder="1"/>
    <xf numFmtId="43" fontId="0" fillId="0" borderId="13" xfId="1" applyFont="1" applyBorder="1"/>
    <xf numFmtId="43" fontId="0" fillId="0" borderId="14" xfId="1" applyFont="1" applyBorder="1"/>
    <xf numFmtId="43" fontId="2" fillId="0" borderId="13" xfId="1" applyFont="1" applyBorder="1"/>
    <xf numFmtId="43" fontId="1" fillId="0" borderId="13" xfId="1" applyFont="1" applyBorder="1"/>
    <xf numFmtId="0" fontId="0" fillId="0" borderId="0" xfId="0" applyAlignment="1">
      <alignment horizontal="center"/>
    </xf>
    <xf numFmtId="43" fontId="2" fillId="0" borderId="15" xfId="1" applyFont="1" applyBorder="1"/>
    <xf numFmtId="0" fontId="0" fillId="0" borderId="15" xfId="0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43" fontId="2" fillId="0" borderId="7" xfId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1" fillId="0" borderId="0" xfId="1" applyFont="1" applyBorder="1"/>
    <xf numFmtId="43" fontId="0" fillId="0" borderId="0" xfId="0" applyNumberFormat="1"/>
    <xf numFmtId="0" fontId="2" fillId="0" borderId="7" xfId="0" applyFont="1" applyBorder="1" applyAlignment="1">
      <alignment horizontal="center"/>
    </xf>
    <xf numFmtId="43" fontId="2" fillId="0" borderId="0" xfId="1" applyFont="1" applyBorder="1"/>
    <xf numFmtId="0" fontId="0" fillId="0" borderId="6" xfId="0" applyBorder="1"/>
    <xf numFmtId="0" fontId="2" fillId="0" borderId="6" xfId="0" applyFont="1" applyBorder="1"/>
    <xf numFmtId="43" fontId="0" fillId="0" borderId="6" xfId="1" applyFont="1" applyBorder="1"/>
    <xf numFmtId="0" fontId="2" fillId="0" borderId="6" xfId="1" applyNumberFormat="1" applyFont="1" applyBorder="1"/>
    <xf numFmtId="43" fontId="0" fillId="0" borderId="0" xfId="1" applyFont="1" applyBorder="1"/>
    <xf numFmtId="0" fontId="2" fillId="0" borderId="0" xfId="0" applyFont="1"/>
    <xf numFmtId="43" fontId="2" fillId="0" borderId="21" xfId="1" applyFont="1" applyBorder="1"/>
    <xf numFmtId="43" fontId="2" fillId="0" borderId="23" xfId="1" applyFont="1" applyBorder="1"/>
    <xf numFmtId="43" fontId="2" fillId="0" borderId="24" xfId="1" applyFont="1" applyBorder="1"/>
    <xf numFmtId="43" fontId="1" fillId="0" borderId="13" xfId="1" applyFont="1" applyFill="1" applyBorder="1"/>
    <xf numFmtId="43" fontId="1" fillId="0" borderId="6" xfId="1" applyFont="1" applyBorder="1"/>
    <xf numFmtId="43" fontId="2" fillId="0" borderId="6" xfId="1" applyFont="1" applyBorder="1"/>
    <xf numFmtId="43" fontId="0" fillId="0" borderId="0" xfId="1" applyFont="1" applyFill="1" applyBorder="1"/>
    <xf numFmtId="43" fontId="0" fillId="0" borderId="13" xfId="1" applyFont="1" applyFill="1" applyBorder="1"/>
    <xf numFmtId="43" fontId="2" fillId="0" borderId="13" xfId="1" applyFont="1" applyFill="1" applyBorder="1"/>
    <xf numFmtId="0" fontId="0" fillId="0" borderId="13" xfId="0" applyBorder="1"/>
    <xf numFmtId="0" fontId="0" fillId="0" borderId="14" xfId="0" applyBorder="1"/>
    <xf numFmtId="43" fontId="0" fillId="0" borderId="19" xfId="1" applyFont="1" applyFill="1" applyBorder="1"/>
    <xf numFmtId="0" fontId="0" fillId="0" borderId="1" xfId="0" applyBorder="1" applyAlignment="1">
      <alignment horizontal="left"/>
    </xf>
    <xf numFmtId="43" fontId="0" fillId="0" borderId="9" xfId="1" applyFont="1" applyBorder="1" applyAlignment="1">
      <alignment horizontal="center"/>
    </xf>
    <xf numFmtId="0" fontId="0" fillId="0" borderId="12" xfId="0" applyBorder="1"/>
    <xf numFmtId="0" fontId="4" fillId="0" borderId="0" xfId="0" applyFont="1"/>
    <xf numFmtId="43" fontId="0" fillId="0" borderId="12" xfId="1" applyFont="1" applyFill="1" applyBorder="1"/>
    <xf numFmtId="43" fontId="0" fillId="0" borderId="6" xfId="1" applyFont="1" applyFill="1" applyBorder="1"/>
    <xf numFmtId="43" fontId="0" fillId="0" borderId="13" xfId="1" applyFont="1" applyFill="1" applyBorder="1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43" fontId="2" fillId="0" borderId="6" xfId="1" applyFont="1" applyFill="1" applyBorder="1"/>
    <xf numFmtId="0" fontId="4" fillId="0" borderId="0" xfId="0" applyFont="1" applyAlignment="1">
      <alignment wrapText="1"/>
    </xf>
    <xf numFmtId="43" fontId="0" fillId="0" borderId="6" xfId="1" applyFont="1" applyFill="1" applyBorder="1" applyAlignment="1">
      <alignment wrapText="1"/>
    </xf>
    <xf numFmtId="43" fontId="0" fillId="0" borderId="14" xfId="1" applyFont="1" applyFill="1" applyBorder="1" applyAlignment="1">
      <alignment horizontal="right"/>
    </xf>
    <xf numFmtId="43" fontId="2" fillId="0" borderId="6" xfId="1" applyFont="1" applyFill="1" applyBorder="1" applyAlignment="1">
      <alignment wrapText="1"/>
    </xf>
    <xf numFmtId="43" fontId="0" fillId="0" borderId="13" xfId="1" applyFont="1" applyFill="1" applyBorder="1" applyAlignment="1">
      <alignment wrapText="1"/>
    </xf>
    <xf numFmtId="43" fontId="0" fillId="0" borderId="6" xfId="1" applyFont="1" applyFill="1" applyBorder="1" applyAlignment="1">
      <alignment horizontal="right"/>
    </xf>
    <xf numFmtId="43" fontId="2" fillId="0" borderId="6" xfId="1" applyFont="1" applyFill="1" applyBorder="1" applyAlignment="1">
      <alignment horizontal="right"/>
    </xf>
    <xf numFmtId="43" fontId="2" fillId="0" borderId="1" xfId="1" applyFont="1" applyFill="1" applyBorder="1"/>
    <xf numFmtId="43" fontId="0" fillId="0" borderId="1" xfId="1" applyFont="1" applyFill="1" applyBorder="1"/>
    <xf numFmtId="1" fontId="0" fillId="0" borderId="1" xfId="0" applyNumberForma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3" fontId="2" fillId="0" borderId="0" xfId="1" applyFont="1" applyBorder="1" applyAlignment="1">
      <alignment horizontal="left" vertical="center"/>
    </xf>
    <xf numFmtId="43" fontId="2" fillId="0" borderId="21" xfId="1" applyFont="1" applyFill="1" applyBorder="1"/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43" fontId="2" fillId="0" borderId="1" xfId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43" fontId="0" fillId="0" borderId="14" xfId="1" applyFont="1" applyFill="1" applyBorder="1"/>
    <xf numFmtId="43" fontId="0" fillId="0" borderId="1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2" fillId="0" borderId="15" xfId="0" applyNumberFormat="1" applyFont="1" applyBorder="1"/>
    <xf numFmtId="0" fontId="2" fillId="0" borderId="0" xfId="0" applyFont="1" applyAlignment="1">
      <alignment horizontal="left"/>
    </xf>
    <xf numFmtId="43" fontId="0" fillId="0" borderId="7" xfId="1" applyFont="1" applyBorder="1"/>
    <xf numFmtId="9" fontId="0" fillId="0" borderId="0" xfId="0" applyNumberFormat="1"/>
    <xf numFmtId="43" fontId="2" fillId="0" borderId="10" xfId="1" applyFont="1" applyBorder="1"/>
    <xf numFmtId="0" fontId="0" fillId="0" borderId="0" xfId="0" applyAlignment="1">
      <alignment horizontal="left"/>
    </xf>
    <xf numFmtId="43" fontId="0" fillId="0" borderId="7" xfId="0" applyNumberFormat="1" applyBorder="1"/>
    <xf numFmtId="0" fontId="0" fillId="0" borderId="7" xfId="0" applyBorder="1"/>
    <xf numFmtId="164" fontId="2" fillId="2" borderId="15" xfId="0" applyNumberFormat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165" fontId="0" fillId="0" borderId="7" xfId="1" applyNumberFormat="1" applyFont="1" applyBorder="1"/>
    <xf numFmtId="165" fontId="2" fillId="0" borderId="0" xfId="1" applyNumberFormat="1" applyFont="1"/>
    <xf numFmtId="165" fontId="0" fillId="0" borderId="10" xfId="1" applyNumberFormat="1" applyFont="1" applyBorder="1"/>
    <xf numFmtId="165" fontId="2" fillId="0" borderId="10" xfId="1" applyNumberFormat="1" applyFont="1" applyBorder="1"/>
    <xf numFmtId="165" fontId="2" fillId="2" borderId="15" xfId="1" applyNumberFormat="1" applyFont="1" applyFill="1" applyBorder="1"/>
    <xf numFmtId="165" fontId="2" fillId="0" borderId="15" xfId="1" applyNumberFormat="1" applyFont="1" applyBorder="1"/>
    <xf numFmtId="165" fontId="2" fillId="0" borderId="0" xfId="1" applyNumberFormat="1" applyFont="1" applyAlignment="1">
      <alignment horizontal="center"/>
    </xf>
    <xf numFmtId="165" fontId="1" fillId="0" borderId="7" xfId="1" applyNumberFormat="1" applyFont="1" applyBorder="1"/>
    <xf numFmtId="165" fontId="1" fillId="0" borderId="0" xfId="1" applyNumberFormat="1" applyFont="1"/>
    <xf numFmtId="165" fontId="0" fillId="0" borderId="0" xfId="0" applyNumberFormat="1"/>
    <xf numFmtId="165" fontId="2" fillId="0" borderId="0" xfId="1" applyNumberFormat="1" applyFont="1" applyBorder="1"/>
    <xf numFmtId="0" fontId="2" fillId="0" borderId="14" xfId="0" applyFont="1" applyBorder="1" applyAlignment="1">
      <alignment horizontal="center"/>
    </xf>
    <xf numFmtId="165" fontId="0" fillId="0" borderId="1" xfId="1" applyNumberFormat="1" applyFont="1" applyFill="1" applyBorder="1"/>
    <xf numFmtId="165" fontId="2" fillId="0" borderId="14" xfId="1" applyNumberFormat="1" applyFont="1" applyBorder="1"/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2" applyFont="1"/>
    <xf numFmtId="165" fontId="0" fillId="0" borderId="9" xfId="1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1" xfId="0" applyFont="1" applyBorder="1"/>
    <xf numFmtId="43" fontId="1" fillId="0" borderId="6" xfId="1" applyFont="1" applyFill="1" applyBorder="1"/>
    <xf numFmtId="43" fontId="2" fillId="0" borderId="0" xfId="1" applyFont="1" applyFill="1" applyBorder="1"/>
    <xf numFmtId="43" fontId="1" fillId="0" borderId="0" xfId="1" applyFont="1" applyFill="1" applyBorder="1"/>
    <xf numFmtId="43" fontId="1" fillId="0" borderId="14" xfId="1" applyFont="1" applyFill="1" applyBorder="1"/>
    <xf numFmtId="43" fontId="2" fillId="0" borderId="27" xfId="1" applyFont="1" applyFill="1" applyBorder="1"/>
    <xf numFmtId="43" fontId="1" fillId="0" borderId="0" xfId="1" applyFont="1" applyFill="1"/>
    <xf numFmtId="43" fontId="2" fillId="0" borderId="0" xfId="1" applyFont="1" applyFill="1"/>
    <xf numFmtId="0" fontId="0" fillId="0" borderId="13" xfId="1" applyNumberFormat="1" applyFont="1" applyFill="1" applyBorder="1"/>
    <xf numFmtId="0" fontId="1" fillId="0" borderId="14" xfId="1" applyNumberFormat="1" applyFont="1" applyFill="1" applyBorder="1"/>
    <xf numFmtId="43" fontId="1" fillId="0" borderId="8" xfId="1" applyFont="1" applyFill="1" applyBorder="1"/>
    <xf numFmtId="43" fontId="2" fillId="0" borderId="25" xfId="1" applyFont="1" applyFill="1" applyBorder="1"/>
    <xf numFmtId="43" fontId="2" fillId="0" borderId="24" xfId="1" applyFont="1" applyFill="1" applyBorder="1"/>
    <xf numFmtId="43" fontId="0" fillId="0" borderId="0" xfId="1" applyFont="1" applyFill="1"/>
    <xf numFmtId="0" fontId="5" fillId="0" borderId="31" xfId="0" applyFont="1" applyBorder="1" applyAlignment="1">
      <alignment horizontal="center"/>
    </xf>
    <xf numFmtId="0" fontId="7" fillId="0" borderId="31" xfId="0" applyFont="1" applyBorder="1"/>
    <xf numFmtId="166" fontId="7" fillId="0" borderId="31" xfId="0" applyNumberFormat="1" applyFont="1" applyBorder="1"/>
    <xf numFmtId="166" fontId="8" fillId="0" borderId="31" xfId="0" applyNumberFormat="1" applyFont="1" applyBorder="1"/>
    <xf numFmtId="0" fontId="7" fillId="3" borderId="31" xfId="0" applyFont="1" applyFill="1" applyBorder="1"/>
    <xf numFmtId="166" fontId="7" fillId="3" borderId="31" xfId="0" applyNumberFormat="1" applyFont="1" applyFill="1" applyBorder="1"/>
    <xf numFmtId="0" fontId="7" fillId="4" borderId="31" xfId="0" applyFont="1" applyFill="1" applyBorder="1"/>
    <xf numFmtId="166" fontId="7" fillId="4" borderId="31" xfId="0" applyNumberFormat="1" applyFont="1" applyFill="1" applyBorder="1"/>
    <xf numFmtId="0" fontId="8" fillId="0" borderId="31" xfId="0" applyFont="1" applyBorder="1"/>
    <xf numFmtId="164" fontId="0" fillId="0" borderId="0" xfId="0" applyNumberFormat="1"/>
    <xf numFmtId="0" fontId="5" fillId="0" borderId="30" xfId="0" applyFont="1" applyBorder="1" applyAlignment="1">
      <alignment horizontal="center"/>
    </xf>
    <xf numFmtId="0" fontId="7" fillId="0" borderId="30" xfId="0" applyFont="1" applyBorder="1"/>
    <xf numFmtId="0" fontId="7" fillId="3" borderId="30" xfId="0" applyFont="1" applyFill="1" applyBorder="1"/>
    <xf numFmtId="0" fontId="7" fillId="4" borderId="30" xfId="0" applyFont="1" applyFill="1" applyBorder="1"/>
    <xf numFmtId="0" fontId="8" fillId="0" borderId="30" xfId="0" applyFont="1" applyBorder="1"/>
    <xf numFmtId="2" fontId="7" fillId="0" borderId="31" xfId="0" applyNumberFormat="1" applyFont="1" applyBorder="1" applyAlignment="1">
      <alignment horizontal="right"/>
    </xf>
    <xf numFmtId="2" fontId="9" fillId="3" borderId="31" xfId="0" applyNumberFormat="1" applyFont="1" applyFill="1" applyBorder="1" applyAlignment="1">
      <alignment horizontal="right"/>
    </xf>
    <xf numFmtId="2" fontId="9" fillId="3" borderId="31" xfId="0" quotePrefix="1" applyNumberFormat="1" applyFont="1" applyFill="1" applyBorder="1" applyAlignment="1">
      <alignment horizontal="right"/>
    </xf>
    <xf numFmtId="2" fontId="7" fillId="4" borderId="31" xfId="0" applyNumberFormat="1" applyFont="1" applyFill="1" applyBorder="1" applyAlignment="1">
      <alignment horizontal="right"/>
    </xf>
    <xf numFmtId="2" fontId="7" fillId="0" borderId="31" xfId="0" quotePrefix="1" applyNumberFormat="1" applyFont="1" applyBorder="1" applyAlignment="1">
      <alignment horizontal="right"/>
    </xf>
    <xf numFmtId="2" fontId="8" fillId="0" borderId="31" xfId="0" applyNumberFormat="1" applyFont="1" applyBorder="1" applyAlignment="1">
      <alignment horizontal="right"/>
    </xf>
    <xf numFmtId="165" fontId="0" fillId="0" borderId="12" xfId="1" applyNumberFormat="1" applyFont="1" applyBorder="1"/>
    <xf numFmtId="0" fontId="0" fillId="2" borderId="1" xfId="0" applyFill="1" applyBorder="1"/>
    <xf numFmtId="165" fontId="0" fillId="0" borderId="14" xfId="1" applyNumberFormat="1" applyFont="1" applyBorder="1"/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43" fontId="2" fillId="0" borderId="7" xfId="0" applyNumberFormat="1" applyFont="1" applyBorder="1" applyAlignment="1">
      <alignment horizontal="center"/>
    </xf>
    <xf numFmtId="0" fontId="13" fillId="0" borderId="0" xfId="3" applyFont="1" applyAlignment="1">
      <alignment horizontal="center" vertical="top" wrapText="1"/>
    </xf>
    <xf numFmtId="10" fontId="0" fillId="0" borderId="0" xfId="2" applyNumberFormat="1" applyFont="1"/>
    <xf numFmtId="0" fontId="12" fillId="0" borderId="0" xfId="0" applyFont="1" applyAlignment="1">
      <alignment horizontal="left"/>
    </xf>
    <xf numFmtId="165" fontId="12" fillId="0" borderId="0" xfId="1" applyNumberFormat="1" applyFont="1" applyAlignment="1">
      <alignment horizontal="right"/>
    </xf>
    <xf numFmtId="0" fontId="0" fillId="0" borderId="0" xfId="0" pivotButton="1"/>
    <xf numFmtId="165" fontId="2" fillId="0" borderId="7" xfId="1" applyNumberFormat="1" applyFont="1" applyBorder="1"/>
    <xf numFmtId="0" fontId="14" fillId="0" borderId="5" xfId="0" applyFont="1" applyBorder="1"/>
    <xf numFmtId="0" fontId="14" fillId="0" borderId="0" xfId="0" applyFont="1"/>
    <xf numFmtId="43" fontId="14" fillId="0" borderId="0" xfId="1" applyFont="1" applyBorder="1"/>
    <xf numFmtId="0" fontId="16" fillId="0" borderId="0" xfId="0" applyFont="1"/>
    <xf numFmtId="0" fontId="17" fillId="0" borderId="0" xfId="0" applyFont="1"/>
    <xf numFmtId="0" fontId="15" fillId="0" borderId="5" xfId="0" applyFont="1" applyBorder="1"/>
    <xf numFmtId="0" fontId="14" fillId="0" borderId="6" xfId="0" applyFont="1" applyBorder="1"/>
    <xf numFmtId="43" fontId="14" fillId="0" borderId="0" xfId="1" applyFont="1" applyFill="1" applyBorder="1"/>
    <xf numFmtId="43" fontId="14" fillId="0" borderId="6" xfId="1" applyFont="1" applyBorder="1"/>
    <xf numFmtId="1" fontId="19" fillId="0" borderId="5" xfId="4" applyNumberFormat="1" applyFont="1" applyBorder="1" applyAlignment="1">
      <alignment vertical="center"/>
    </xf>
    <xf numFmtId="1" fontId="20" fillId="0" borderId="5" xfId="4" applyNumberFormat="1" applyFont="1" applyBorder="1" applyAlignment="1">
      <alignment vertical="center"/>
    </xf>
    <xf numFmtId="0" fontId="14" fillId="0" borderId="26" xfId="0" applyFont="1" applyBorder="1"/>
    <xf numFmtId="0" fontId="14" fillId="0" borderId="7" xfId="0" applyFont="1" applyBorder="1"/>
    <xf numFmtId="43" fontId="14" fillId="0" borderId="7" xfId="1" applyFont="1" applyBorder="1"/>
    <xf numFmtId="0" fontId="14" fillId="0" borderId="8" xfId="0" applyFont="1" applyBorder="1"/>
    <xf numFmtId="0" fontId="0" fillId="0" borderId="5" xfId="0" applyBorder="1"/>
    <xf numFmtId="0" fontId="20" fillId="0" borderId="0" xfId="0" applyFont="1" applyAlignment="1">
      <alignment vertical="center"/>
    </xf>
    <xf numFmtId="2" fontId="20" fillId="0" borderId="0" xfId="0" applyNumberFormat="1" applyFont="1" applyAlignment="1">
      <alignment vertical="center"/>
    </xf>
    <xf numFmtId="0" fontId="2" fillId="0" borderId="32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43" fontId="2" fillId="0" borderId="27" xfId="1" applyFont="1" applyBorder="1"/>
    <xf numFmtId="43" fontId="2" fillId="0" borderId="34" xfId="1" applyFont="1" applyBorder="1"/>
    <xf numFmtId="43" fontId="2" fillId="0" borderId="32" xfId="1" applyFont="1" applyBorder="1"/>
    <xf numFmtId="43" fontId="2" fillId="0" borderId="22" xfId="1" applyFont="1" applyBorder="1"/>
    <xf numFmtId="43" fontId="2" fillId="0" borderId="35" xfId="1" applyFont="1" applyBorder="1"/>
    <xf numFmtId="43" fontId="2" fillId="0" borderId="36" xfId="1" applyFont="1" applyBorder="1"/>
    <xf numFmtId="43" fontId="2" fillId="0" borderId="22" xfId="1" applyFont="1" applyFill="1" applyBorder="1"/>
    <xf numFmtId="43" fontId="0" fillId="0" borderId="26" xfId="1" applyFont="1" applyFill="1" applyBorder="1"/>
    <xf numFmtId="0" fontId="0" fillId="0" borderId="8" xfId="0" applyBorder="1" applyAlignment="1">
      <alignment horizontal="right"/>
    </xf>
    <xf numFmtId="43" fontId="2" fillId="0" borderId="37" xfId="1" applyFont="1" applyFill="1" applyBorder="1"/>
    <xf numFmtId="43" fontId="2" fillId="0" borderId="34" xfId="1" applyFont="1" applyFill="1" applyBorder="1"/>
    <xf numFmtId="43" fontId="2" fillId="0" borderId="32" xfId="1" applyFont="1" applyFill="1" applyBorder="1"/>
    <xf numFmtId="43" fontId="2" fillId="0" borderId="38" xfId="1" applyFont="1" applyBorder="1"/>
    <xf numFmtId="0" fontId="0" fillId="0" borderId="12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12" xfId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3" fontId="2" fillId="0" borderId="41" xfId="1" applyFont="1" applyBorder="1" applyAlignment="1">
      <alignment horizontal="center" vertical="center"/>
    </xf>
    <xf numFmtId="43" fontId="2" fillId="0" borderId="42" xfId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43" fontId="3" fillId="0" borderId="41" xfId="1" applyFont="1" applyBorder="1" applyAlignment="1">
      <alignment horizontal="center" vertical="center"/>
    </xf>
    <xf numFmtId="43" fontId="3" fillId="0" borderId="42" xfId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43" fontId="2" fillId="0" borderId="27" xfId="1" applyFont="1" applyBorder="1" applyAlignment="1">
      <alignment horizontal="center" vertical="center" wrapText="1"/>
    </xf>
    <xf numFmtId="43" fontId="0" fillId="0" borderId="14" xfId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0" borderId="20" xfId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12" xfId="2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43" fontId="2" fillId="0" borderId="0" xfId="1" applyFont="1" applyBorder="1" applyAlignment="1">
      <alignment vertical="center"/>
    </xf>
    <xf numFmtId="43" fontId="0" fillId="0" borderId="1" xfId="1" applyFont="1" applyBorder="1" applyAlignment="1">
      <alignment vertical="center"/>
    </xf>
    <xf numFmtId="0" fontId="0" fillId="0" borderId="1" xfId="0" applyBorder="1" applyAlignment="1">
      <alignment vertical="center"/>
    </xf>
    <xf numFmtId="43" fontId="2" fillId="0" borderId="1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2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43" fontId="0" fillId="0" borderId="14" xfId="1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43" fontId="2" fillId="0" borderId="27" xfId="1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43" fontId="0" fillId="0" borderId="26" xfId="1" applyFont="1" applyBorder="1" applyAlignment="1">
      <alignment horizontal="center"/>
    </xf>
    <xf numFmtId="0" fontId="0" fillId="0" borderId="14" xfId="0" applyBorder="1" applyAlignment="1">
      <alignment horizontal="left"/>
    </xf>
    <xf numFmtId="0" fontId="2" fillId="0" borderId="33" xfId="0" applyFont="1" applyBorder="1" applyAlignment="1">
      <alignment horizontal="center"/>
    </xf>
    <xf numFmtId="43" fontId="2" fillId="0" borderId="27" xfId="1" applyFont="1" applyBorder="1" applyAlignment="1">
      <alignment horizontal="center"/>
    </xf>
    <xf numFmtId="0" fontId="0" fillId="0" borderId="26" xfId="0" applyBorder="1" applyAlignment="1">
      <alignment horizontal="center"/>
    </xf>
    <xf numFmtId="165" fontId="0" fillId="0" borderId="26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165" fontId="2" fillId="0" borderId="27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7" xfId="0" applyBorder="1" applyAlignment="1">
      <alignment horizontal="center"/>
    </xf>
    <xf numFmtId="165" fontId="2" fillId="0" borderId="27" xfId="1" applyNumberFormat="1" applyFont="1" applyBorder="1" applyAlignment="1"/>
    <xf numFmtId="0" fontId="0" fillId="0" borderId="44" xfId="0" applyBorder="1"/>
    <xf numFmtId="43" fontId="2" fillId="0" borderId="41" xfId="1" applyFont="1" applyFill="1" applyBorder="1"/>
    <xf numFmtId="0" fontId="2" fillId="0" borderId="40" xfId="0" applyFont="1" applyBorder="1" applyAlignment="1">
      <alignment horizontal="center"/>
    </xf>
    <xf numFmtId="43" fontId="0" fillId="0" borderId="41" xfId="1" applyFont="1" applyFill="1" applyBorder="1"/>
    <xf numFmtId="43" fontId="2" fillId="0" borderId="43" xfId="1" applyFont="1" applyFill="1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43" fontId="2" fillId="0" borderId="27" xfId="1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5" fontId="0" fillId="0" borderId="26" xfId="1" applyNumberFormat="1" applyFont="1" applyFill="1" applyBorder="1" applyAlignment="1">
      <alignment horizontal="center" vertical="center"/>
    </xf>
    <xf numFmtId="165" fontId="0" fillId="0" borderId="14" xfId="1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9" xfId="1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165" fontId="0" fillId="0" borderId="12" xfId="1" applyNumberFormat="1" applyFont="1" applyFill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165" fontId="2" fillId="0" borderId="41" xfId="1" applyNumberFormat="1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65" fontId="2" fillId="0" borderId="42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Alignment="1">
      <alignment vertical="center"/>
    </xf>
    <xf numFmtId="0" fontId="0" fillId="0" borderId="39" xfId="0" applyBorder="1" applyAlignment="1">
      <alignment vertical="center"/>
    </xf>
    <xf numFmtId="165" fontId="2" fillId="0" borderId="40" xfId="1" applyNumberFormat="1" applyFont="1" applyFill="1" applyBorder="1" applyAlignment="1">
      <alignment vertical="center"/>
    </xf>
    <xf numFmtId="165" fontId="2" fillId="0" borderId="43" xfId="1" applyNumberFormat="1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6" xfId="0" applyFont="1" applyBorder="1" applyAlignment="1">
      <alignment horizontal="center"/>
    </xf>
    <xf numFmtId="167" fontId="20" fillId="0" borderId="5" xfId="5" applyNumberFormat="1" applyFont="1" applyBorder="1" applyAlignment="1">
      <alignment horizontal="left" vertical="center"/>
    </xf>
    <xf numFmtId="167" fontId="20" fillId="0" borderId="0" xfId="5" applyNumberFormat="1" applyFont="1" applyAlignment="1">
      <alignment horizontal="left" vertic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3" fontId="2" fillId="0" borderId="14" xfId="1" applyFont="1" applyBorder="1" applyAlignment="1">
      <alignment horizontal="center" vertical="center"/>
    </xf>
    <xf numFmtId="43" fontId="2" fillId="0" borderId="14" xfId="1" applyFont="1" applyBorder="1" applyAlignment="1">
      <alignment horizontal="center" vertical="center" wrapText="1"/>
    </xf>
    <xf numFmtId="43" fontId="2" fillId="0" borderId="27" xfId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/>
    </xf>
    <xf numFmtId="0" fontId="6" fillId="0" borderId="29" xfId="0" applyFont="1" applyBorder="1"/>
    <xf numFmtId="0" fontId="6" fillId="0" borderId="30" xfId="0" applyFont="1" applyBorder="1"/>
  </cellXfs>
  <cellStyles count="6">
    <cellStyle name="Comma" xfId="1" builtinId="3"/>
    <cellStyle name="Normal" xfId="0" builtinId="0"/>
    <cellStyle name="Normal 3" xfId="3" xr:uid="{93965399-48EC-4CD1-8FF9-756ED19D2276}"/>
    <cellStyle name="Normal_BSPL 2004 NS" xfId="5" xr:uid="{AC24DB75-B24F-4157-B139-91211278B9A7}"/>
    <cellStyle name="Normal_FY 2003-2004  2 2" xfId="4" xr:uid="{605C8620-1ACD-49D4-97B6-7F56EA6228C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S" refreshedDate="46211.728260763892" createdVersion="7" refreshedVersion="7" minRefreshableVersion="3" recordCount="11" xr:uid="{6621BC39-6256-4CDD-A283-002D844CCC14}">
  <cacheSource type="worksheet">
    <worksheetSource ref="N2:V13" sheet="Workings"/>
  </cacheSource>
  <cacheFields count="9"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endor" numFmtId="0">
      <sharedItems count="2">
        <s v="HITACHI LIFT INDIA PRIVATE LIMITED"/>
        <s v="RAM RATNA INFRASTRUCTURE PVT LTD"/>
      </sharedItems>
    </cacheField>
    <cacheField name="Invoice No" numFmtId="0">
      <sharedItems/>
    </cacheField>
    <cacheField name="Invoice/Posted Date" numFmtId="0">
      <sharedItems/>
    </cacheField>
    <cacheField name="SGST" numFmtId="165">
      <sharedItems containsSemiMixedTypes="0" containsString="0" containsNumber="1" minValue="4341.49" maxValue="14200.88"/>
    </cacheField>
    <cacheField name="CGST" numFmtId="165">
      <sharedItems containsSemiMixedTypes="0" containsString="0" containsNumber="1" minValue="4341.49" maxValue="14200.88"/>
    </cacheField>
    <cacheField name="Total Tax" numFmtId="165">
      <sharedItems containsSemiMixedTypes="0" containsString="0" containsNumber="1" minValue="8682.98" maxValue="28401.759999999998"/>
    </cacheField>
    <cacheField name="ITC Rule 42/43" numFmtId="10">
      <sharedItems containsSemiMixedTypes="0" containsString="0" containsNumber="1" minValue="0.82820000000000005" maxValue="0.83960000000000001"/>
    </cacheField>
    <cacheField name="Trfd to Respective" numFmtId="165">
      <sharedItems containsSemiMixedTypes="0" containsString="0" containsNumber="1" containsInteger="1" minValue="7279" maxValue="235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s v="MT2725260014"/>
    <s v="17/04/2025"/>
    <n v="6632.2"/>
    <n v="6632.2"/>
    <n v="13264.4"/>
    <n v="0.83960000000000001"/>
    <n v="11137"/>
  </r>
  <r>
    <x v="0"/>
    <x v="1"/>
    <s v="272511000575"/>
    <s v="23/06/2025"/>
    <n v="4341.49"/>
    <n v="4341.49"/>
    <n v="8682.98"/>
    <n v="0.83960000000000001"/>
    <n v="7290"/>
  </r>
  <r>
    <x v="0"/>
    <x v="1"/>
    <s v="272511000017"/>
    <s v="08/04/2025"/>
    <n v="4341.49"/>
    <n v="4341.49"/>
    <n v="8682.98"/>
    <n v="0.83960000000000001"/>
    <n v="7290"/>
  </r>
  <r>
    <x v="0"/>
    <x v="0"/>
    <s v="MT2725260052"/>
    <s v="16/05/2025"/>
    <n v="6632.2"/>
    <n v="6632.2"/>
    <n v="13264.4"/>
    <n v="0.83960000000000001"/>
    <n v="11137"/>
  </r>
  <r>
    <x v="1"/>
    <x v="0"/>
    <s v="MT2725260199"/>
    <s v="13/08/2025"/>
    <n v="6632.2"/>
    <n v="6632.2"/>
    <n v="13264.4"/>
    <n v="0.83830000000000005"/>
    <n v="11120"/>
  </r>
  <r>
    <x v="1"/>
    <x v="0"/>
    <s v="MT2725260136"/>
    <s v="09/07/2025"/>
    <n v="6632.2"/>
    <n v="6632.2"/>
    <n v="13264.4"/>
    <n v="0.83830000000000005"/>
    <n v="11120"/>
  </r>
  <r>
    <x v="1"/>
    <x v="1"/>
    <s v="272511001269"/>
    <s v="20/09/2025"/>
    <n v="4341.49"/>
    <n v="4341.49"/>
    <n v="8682.98"/>
    <n v="0.83830000000000005"/>
    <n v="7279"/>
  </r>
  <r>
    <x v="2"/>
    <x v="1"/>
    <s v="272511002065"/>
    <s v="29/12/2025"/>
    <n v="4558.84"/>
    <n v="4558.84"/>
    <n v="9117.68"/>
    <n v="0.83379999999999999"/>
    <n v="7602"/>
  </r>
  <r>
    <x v="3"/>
    <x v="0"/>
    <s v="MT2725260412"/>
    <s v="14/01/2026"/>
    <n v="14200.88"/>
    <n v="14200.88"/>
    <n v="28401.759999999998"/>
    <n v="0.82820000000000005"/>
    <n v="23522"/>
  </r>
  <r>
    <x v="3"/>
    <x v="1"/>
    <s v="272511002686"/>
    <s v="20/03/2026"/>
    <n v="4558.84"/>
    <n v="4558.84"/>
    <n v="9117.68"/>
    <n v="0.82820000000000005"/>
    <n v="7551"/>
  </r>
  <r>
    <x v="3"/>
    <x v="0"/>
    <s v="MT2725260480"/>
    <s v="06/02/2026"/>
    <n v="14200.88"/>
    <n v="14200.88"/>
    <n v="28401.759999999998"/>
    <n v="0.82820000000000005"/>
    <n v="235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09DF9-DD51-4745-BD9F-B04A67D639D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X2:AC6" firstHeaderRow="1" firstDataRow="2" firstDataCol="1"/>
  <pivotFields count="9">
    <pivotField axis="axisCol" showAll="0" sumSubtotal="1">
      <items count="5">
        <item x="0"/>
        <item x="1"/>
        <item x="2"/>
        <item x="3"/>
        <item t="sum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0" showAll="0"/>
    <pivotField dataField="1" numFmtId="165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rfd to Respectiv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sr.no/" TargetMode="Externa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view="pageBreakPreview" topLeftCell="A12" zoomScaleNormal="100" zoomScaleSheetLayoutView="100" workbookViewId="0">
      <selection activeCell="K28" sqref="K28"/>
    </sheetView>
  </sheetViews>
  <sheetFormatPr defaultRowHeight="14.4" x14ac:dyDescent="0.3"/>
  <cols>
    <col min="1" max="1" width="15.33203125" bestFit="1" customWidth="1"/>
    <col min="2" max="2" width="40.33203125" bestFit="1" customWidth="1"/>
    <col min="3" max="3" width="13.109375" style="1" bestFit="1" customWidth="1"/>
    <col min="4" max="4" width="15.33203125" style="2" customWidth="1"/>
    <col min="5" max="5" width="15.44140625" style="2" bestFit="1" customWidth="1"/>
    <col min="6" max="6" width="40" customWidth="1"/>
    <col min="7" max="7" width="12.5546875" style="1" bestFit="1" customWidth="1"/>
    <col min="8" max="8" width="15.33203125" style="2" bestFit="1" customWidth="1"/>
    <col min="9" max="9" width="8.6640625" bestFit="1" customWidth="1"/>
    <col min="10" max="10" width="13.33203125" bestFit="1" customWidth="1"/>
    <col min="11" max="11" width="12.33203125" bestFit="1" customWidth="1"/>
    <col min="12" max="12" width="9.5546875" bestFit="1" customWidth="1"/>
  </cols>
  <sheetData>
    <row r="1" spans="1:12" ht="18" x14ac:dyDescent="0.35">
      <c r="A1" s="280" t="s">
        <v>86</v>
      </c>
      <c r="B1" s="281"/>
      <c r="C1" s="281"/>
      <c r="D1" s="281"/>
      <c r="E1" s="281"/>
      <c r="F1" s="281"/>
      <c r="G1" s="281"/>
      <c r="H1" s="282"/>
    </row>
    <row r="2" spans="1:12" x14ac:dyDescent="0.3">
      <c r="A2" s="290" t="s">
        <v>279</v>
      </c>
      <c r="B2" s="291"/>
      <c r="C2" s="291"/>
      <c r="D2" s="291"/>
      <c r="E2" s="291"/>
      <c r="F2" s="291"/>
      <c r="G2" s="291"/>
      <c r="H2" s="292"/>
    </row>
    <row r="3" spans="1:12" x14ac:dyDescent="0.3">
      <c r="A3" s="290" t="s">
        <v>269</v>
      </c>
      <c r="B3" s="291"/>
      <c r="C3" s="291"/>
      <c r="D3" s="291"/>
      <c r="E3" s="291"/>
      <c r="F3" s="291"/>
      <c r="G3" s="291"/>
      <c r="H3" s="292"/>
    </row>
    <row r="4" spans="1:12" ht="15.6" x14ac:dyDescent="0.3">
      <c r="A4" s="287" t="s">
        <v>374</v>
      </c>
      <c r="B4" s="288"/>
      <c r="C4" s="288"/>
      <c r="D4" s="288"/>
      <c r="E4" s="288"/>
      <c r="F4" s="288"/>
      <c r="G4" s="288"/>
      <c r="H4" s="289"/>
    </row>
    <row r="5" spans="1:12" x14ac:dyDescent="0.3">
      <c r="A5" s="181"/>
      <c r="B5" s="25"/>
      <c r="C5" s="25"/>
      <c r="D5" s="25"/>
      <c r="E5" s="25"/>
      <c r="F5" s="25"/>
      <c r="G5" s="25"/>
      <c r="H5" s="194" t="s">
        <v>84</v>
      </c>
    </row>
    <row r="6" spans="1:12" ht="15" thickBot="1" x14ac:dyDescent="0.35">
      <c r="A6" s="186" t="s">
        <v>280</v>
      </c>
      <c r="B6" s="285" t="s">
        <v>0</v>
      </c>
      <c r="C6" s="286"/>
      <c r="D6" s="187" t="s">
        <v>375</v>
      </c>
      <c r="E6" s="188" t="str">
        <f>A6</f>
        <v xml:space="preserve"> March 31, 2025</v>
      </c>
      <c r="F6" s="285" t="s">
        <v>1</v>
      </c>
      <c r="G6" s="286"/>
      <c r="H6" s="186" t="str">
        <f>D6</f>
        <v xml:space="preserve"> March 31, 2026</v>
      </c>
    </row>
    <row r="7" spans="1:12" ht="15" thickTop="1" x14ac:dyDescent="0.3">
      <c r="A7" s="8"/>
      <c r="B7" s="28" t="s">
        <v>85</v>
      </c>
      <c r="C7" s="31"/>
      <c r="D7" s="33"/>
      <c r="E7" s="38"/>
      <c r="F7" s="32" t="s">
        <v>2</v>
      </c>
      <c r="G7" s="5"/>
      <c r="H7" s="7"/>
    </row>
    <row r="8" spans="1:12" ht="15" thickBot="1" x14ac:dyDescent="0.35">
      <c r="A8" s="198">
        <f>4000*50</f>
        <v>200000</v>
      </c>
      <c r="B8" s="27" t="s">
        <v>87</v>
      </c>
      <c r="C8" s="31"/>
      <c r="D8" s="190">
        <v>200000</v>
      </c>
      <c r="E8" s="37">
        <v>1546</v>
      </c>
      <c r="F8" s="31" t="s">
        <v>5</v>
      </c>
      <c r="G8" s="5">
        <f>4121</f>
        <v>4121</v>
      </c>
      <c r="H8" s="7"/>
    </row>
    <row r="9" spans="1:12" ht="15" thickTop="1" x14ac:dyDescent="0.3">
      <c r="A9" s="8"/>
      <c r="B9" s="27"/>
      <c r="C9" s="31"/>
      <c r="D9" s="33"/>
      <c r="E9" s="37">
        <f>BRS!A36</f>
        <v>54399</v>
      </c>
      <c r="F9" s="31" t="s">
        <v>90</v>
      </c>
      <c r="G9" s="5">
        <f>BRS!D36</f>
        <v>6956</v>
      </c>
      <c r="H9" s="7"/>
    </row>
    <row r="10" spans="1:12" x14ac:dyDescent="0.3">
      <c r="A10" s="41">
        <v>31500</v>
      </c>
      <c r="B10" s="28" t="s">
        <v>3</v>
      </c>
      <c r="C10" s="31"/>
      <c r="D10" s="69">
        <v>31500</v>
      </c>
      <c r="E10" s="118">
        <f>BRS!A7</f>
        <v>922186.04</v>
      </c>
      <c r="F10" s="31" t="s">
        <v>91</v>
      </c>
      <c r="G10" s="5">
        <f>BRS!D7</f>
        <v>866516.04</v>
      </c>
      <c r="H10" s="7"/>
    </row>
    <row r="11" spans="1:12" x14ac:dyDescent="0.3">
      <c r="A11" s="8"/>
      <c r="B11" s="27" t="s">
        <v>88</v>
      </c>
      <c r="C11" s="31"/>
      <c r="D11" s="33"/>
      <c r="E11" s="37">
        <f>BRS!A22</f>
        <v>55753.279999999999</v>
      </c>
      <c r="F11" s="39" t="s">
        <v>218</v>
      </c>
      <c r="G11" s="6">
        <f>BRS!D22</f>
        <v>57533.279999999999</v>
      </c>
      <c r="H11" s="7">
        <f>SUM(G8:G11)</f>
        <v>935126.32000000007</v>
      </c>
    </row>
    <row r="12" spans="1:12" x14ac:dyDescent="0.3">
      <c r="A12" s="8"/>
      <c r="B12" s="27"/>
      <c r="C12" s="31"/>
      <c r="D12" s="33"/>
      <c r="E12" s="38"/>
      <c r="G12" s="5"/>
      <c r="H12" s="7"/>
      <c r="J12" s="24"/>
    </row>
    <row r="13" spans="1:12" x14ac:dyDescent="0.3">
      <c r="A13" s="7">
        <f>+'Sch 5'!B32</f>
        <v>3977417.09</v>
      </c>
      <c r="B13" s="28" t="s">
        <v>225</v>
      </c>
      <c r="C13" s="31"/>
      <c r="D13" s="33">
        <f>+'Sch 5'!E32</f>
        <v>4575563.09</v>
      </c>
      <c r="E13" s="37">
        <f>4604276</f>
        <v>4604276</v>
      </c>
      <c r="F13" s="32" t="s">
        <v>219</v>
      </c>
      <c r="G13" s="5"/>
      <c r="H13" s="41">
        <f>+'Sch 1'!M42</f>
        <v>5206674</v>
      </c>
    </row>
    <row r="14" spans="1:12" x14ac:dyDescent="0.3">
      <c r="A14" s="8"/>
      <c r="B14" s="28"/>
      <c r="C14" s="31"/>
      <c r="D14" s="33"/>
      <c r="E14" s="23"/>
      <c r="F14" s="40"/>
      <c r="G14" s="5"/>
      <c r="H14" s="38"/>
    </row>
    <row r="15" spans="1:12" x14ac:dyDescent="0.3">
      <c r="A15" s="8"/>
      <c r="B15" s="28" t="s">
        <v>226</v>
      </c>
      <c r="C15" s="31"/>
      <c r="D15" s="33"/>
      <c r="E15" s="23"/>
      <c r="F15" s="41" t="s">
        <v>92</v>
      </c>
      <c r="G15" s="5"/>
      <c r="H15" s="38"/>
    </row>
    <row r="16" spans="1:12" x14ac:dyDescent="0.3">
      <c r="A16" s="7">
        <f>'Sch 4,6'!B32</f>
        <v>507786</v>
      </c>
      <c r="B16" s="29" t="s">
        <v>153</v>
      </c>
      <c r="C16" s="31">
        <f>'Sch 4,6'!D32</f>
        <v>299406</v>
      </c>
      <c r="D16" s="33"/>
      <c r="E16" s="23">
        <f>'Sch 4,6'!B54</f>
        <v>20433</v>
      </c>
      <c r="F16" s="40" t="s">
        <v>220</v>
      </c>
      <c r="G16" s="5"/>
      <c r="H16" s="38">
        <f>'Sch 4,6'!D54</f>
        <v>35000</v>
      </c>
      <c r="J16" s="140"/>
      <c r="K16" s="140"/>
      <c r="L16" s="140"/>
    </row>
    <row r="17" spans="1:11" x14ac:dyDescent="0.3">
      <c r="A17" s="7">
        <f>'Sch 4,6'!B39</f>
        <v>114401</v>
      </c>
      <c r="B17" s="29" t="s">
        <v>162</v>
      </c>
      <c r="C17" s="31">
        <f>+'Sch 4,6'!D39</f>
        <v>173317</v>
      </c>
      <c r="D17" s="33"/>
      <c r="E17" s="26"/>
      <c r="F17" s="42"/>
      <c r="G17" s="5"/>
      <c r="H17" s="38"/>
    </row>
    <row r="18" spans="1:11" x14ac:dyDescent="0.3">
      <c r="A18" s="7">
        <f>'Sch 4,6'!B47</f>
        <v>58730</v>
      </c>
      <c r="B18" s="29" t="s">
        <v>4</v>
      </c>
      <c r="C18" s="6">
        <f>+'Sch 4,6'!D47</f>
        <v>126019</v>
      </c>
      <c r="D18" s="33">
        <f>SUM(C16:C18)</f>
        <v>598742</v>
      </c>
      <c r="E18" s="26"/>
      <c r="F18" s="41" t="s">
        <v>93</v>
      </c>
      <c r="G18" s="5"/>
      <c r="H18" s="38"/>
    </row>
    <row r="19" spans="1:11" x14ac:dyDescent="0.3">
      <c r="A19" s="7"/>
      <c r="B19" s="37"/>
      <c r="C19" s="31"/>
      <c r="D19" s="33"/>
      <c r="E19" s="23">
        <f>73765+18798</f>
        <v>92563</v>
      </c>
      <c r="F19" s="40" t="s">
        <v>94</v>
      </c>
      <c r="G19" s="5">
        <f>73765+18798</f>
        <v>92563</v>
      </c>
      <c r="H19" s="38"/>
    </row>
    <row r="20" spans="1:11" x14ac:dyDescent="0.3">
      <c r="A20" s="8"/>
      <c r="B20" s="30" t="s">
        <v>89</v>
      </c>
      <c r="C20" s="31"/>
      <c r="D20" s="33"/>
      <c r="E20" s="23">
        <v>2721</v>
      </c>
      <c r="F20" s="40" t="s">
        <v>95</v>
      </c>
      <c r="G20" s="6">
        <v>2721</v>
      </c>
      <c r="H20" s="38">
        <f>SUM(G19:G20)</f>
        <v>95284</v>
      </c>
    </row>
    <row r="21" spans="1:11" x14ac:dyDescent="0.3">
      <c r="A21" s="8">
        <v>101874</v>
      </c>
      <c r="B21" s="27" t="s">
        <v>227</v>
      </c>
      <c r="C21" s="31"/>
      <c r="D21" s="33">
        <f>'Sch 3&amp;7'!D22</f>
        <v>100381</v>
      </c>
      <c r="E21" s="26"/>
      <c r="F21" s="42"/>
      <c r="G21" s="5"/>
      <c r="H21" s="38"/>
    </row>
    <row r="22" spans="1:11" x14ac:dyDescent="0.3">
      <c r="A22" s="8"/>
      <c r="B22" s="29"/>
      <c r="C22" s="31"/>
      <c r="D22" s="33"/>
      <c r="E22" s="26">
        <f>'Sch 2'!C15</f>
        <v>533313</v>
      </c>
      <c r="F22" s="42" t="s">
        <v>221</v>
      </c>
      <c r="G22" s="5"/>
      <c r="H22" s="55">
        <f>+'Sch 2'!I15</f>
        <v>864792</v>
      </c>
    </row>
    <row r="23" spans="1:11" x14ac:dyDescent="0.3">
      <c r="A23" s="8"/>
      <c r="B23" s="28" t="s">
        <v>7</v>
      </c>
      <c r="C23" s="31"/>
      <c r="D23" s="33"/>
      <c r="E23" s="23"/>
      <c r="F23" s="42"/>
      <c r="G23" s="5"/>
      <c r="H23" s="55"/>
    </row>
    <row r="24" spans="1:11" x14ac:dyDescent="0.3">
      <c r="A24" s="8">
        <v>1259516.6299999999</v>
      </c>
      <c r="B24" s="29" t="s">
        <v>151</v>
      </c>
      <c r="C24" s="31">
        <f>1770482.23</f>
        <v>1770482.23</v>
      </c>
      <c r="D24" s="33"/>
      <c r="E24" s="23"/>
      <c r="F24" s="4" t="s">
        <v>6</v>
      </c>
      <c r="G24" s="5"/>
      <c r="H24" s="38"/>
    </row>
    <row r="25" spans="1:11" x14ac:dyDescent="0.3">
      <c r="A25" s="8">
        <v>-2484</v>
      </c>
      <c r="B25" s="29" t="s">
        <v>346</v>
      </c>
      <c r="C25" s="31">
        <v>0</v>
      </c>
      <c r="D25" s="33"/>
      <c r="E25" s="23">
        <v>65424</v>
      </c>
      <c r="F25" s="5" t="s">
        <v>222</v>
      </c>
      <c r="G25" s="5">
        <f>'Sch 3&amp;7'!D13</f>
        <v>233214</v>
      </c>
      <c r="H25" s="38"/>
    </row>
    <row r="26" spans="1:11" x14ac:dyDescent="0.3">
      <c r="A26" s="8">
        <f>PL!A48</f>
        <v>513449.59999999963</v>
      </c>
      <c r="B26" s="27" t="s">
        <v>152</v>
      </c>
      <c r="C26" s="6">
        <f>+PL!D48</f>
        <v>548593</v>
      </c>
      <c r="D26" s="33">
        <f>SUM(C24:C26)</f>
        <v>2319075.23</v>
      </c>
      <c r="E26" s="23">
        <v>0</v>
      </c>
      <c r="F26" s="5" t="s">
        <v>474</v>
      </c>
      <c r="G26" s="5" t="s">
        <v>503</v>
      </c>
      <c r="H26" s="38"/>
    </row>
    <row r="27" spans="1:11" x14ac:dyDescent="0.3">
      <c r="A27" s="7"/>
      <c r="B27" s="38"/>
      <c r="C27" s="31"/>
      <c r="D27" s="33"/>
      <c r="E27" s="23">
        <v>22033</v>
      </c>
      <c r="F27" s="5" t="s">
        <v>215</v>
      </c>
      <c r="G27" s="5">
        <v>0</v>
      </c>
      <c r="H27" s="38"/>
    </row>
    <row r="28" spans="1:11" x14ac:dyDescent="0.3">
      <c r="A28" s="8"/>
      <c r="B28" s="29"/>
      <c r="C28" s="31"/>
      <c r="D28" s="33"/>
      <c r="E28" s="23">
        <v>550</v>
      </c>
      <c r="F28" s="5" t="s">
        <v>160</v>
      </c>
      <c r="G28" s="5">
        <v>8303</v>
      </c>
      <c r="H28" s="38"/>
    </row>
    <row r="29" spans="1:11" x14ac:dyDescent="0.3">
      <c r="A29" s="8"/>
      <c r="B29" s="29"/>
      <c r="C29" s="31"/>
      <c r="D29" s="33"/>
      <c r="E29" s="23">
        <v>26115</v>
      </c>
      <c r="F29" s="5" t="s">
        <v>96</v>
      </c>
      <c r="G29" s="5">
        <f>56943-26115</f>
        <v>30828</v>
      </c>
      <c r="H29" s="38"/>
    </row>
    <row r="30" spans="1:11" x14ac:dyDescent="0.3">
      <c r="A30" s="8"/>
      <c r="B30" s="29"/>
      <c r="C30" s="31"/>
      <c r="D30" s="33"/>
      <c r="E30" s="23">
        <v>53000</v>
      </c>
      <c r="F30" s="5" t="s">
        <v>490</v>
      </c>
      <c r="G30" s="6">
        <f>125000-53000</f>
        <v>72000</v>
      </c>
      <c r="H30" s="38">
        <f>SUM(G25:G30)</f>
        <v>344345</v>
      </c>
      <c r="J30" s="24"/>
    </row>
    <row r="31" spans="1:11" ht="10.050000000000001" customHeight="1" x14ac:dyDescent="0.3">
      <c r="A31" s="8"/>
      <c r="B31" s="29"/>
      <c r="C31" s="31"/>
      <c r="D31" s="33"/>
      <c r="E31" s="26"/>
      <c r="F31" s="42"/>
      <c r="G31" s="5"/>
      <c r="H31" s="38"/>
    </row>
    <row r="32" spans="1:11" x14ac:dyDescent="0.3">
      <c r="A32" s="8"/>
      <c r="B32" s="29"/>
      <c r="C32" s="31"/>
      <c r="D32" s="33"/>
      <c r="E32" s="23">
        <f>+'Sch 4,6'!B13</f>
        <v>107878</v>
      </c>
      <c r="F32" s="4" t="s">
        <v>223</v>
      </c>
      <c r="G32" s="5"/>
      <c r="H32" s="38">
        <f>+'Sch 4,6'!D13</f>
        <v>144040</v>
      </c>
      <c r="K32" s="24"/>
    </row>
    <row r="33" spans="1:13" ht="7.95" customHeight="1" x14ac:dyDescent="0.3">
      <c r="A33" s="8"/>
      <c r="B33" s="29"/>
      <c r="C33" s="31"/>
      <c r="D33" s="191"/>
      <c r="E33" s="26"/>
      <c r="F33" s="42"/>
      <c r="G33" s="5"/>
      <c r="H33" s="38"/>
    </row>
    <row r="34" spans="1:13" ht="15" thickBot="1" x14ac:dyDescent="0.35">
      <c r="A34" s="34">
        <f>SUM(A10:A33)</f>
        <v>6562190.3199999994</v>
      </c>
      <c r="B34" s="283" t="s">
        <v>9</v>
      </c>
      <c r="C34" s="284"/>
      <c r="D34" s="35">
        <f>SUM(D10:D33)</f>
        <v>7625261.3200000003</v>
      </c>
      <c r="E34" s="189">
        <f>SUM(E7:E33)</f>
        <v>6562190.3200000003</v>
      </c>
      <c r="F34" s="284" t="s">
        <v>9</v>
      </c>
      <c r="G34" s="284"/>
      <c r="H34" s="34">
        <f>SUM(H7:H33)</f>
        <v>7625261.3200000003</v>
      </c>
      <c r="J34" s="140"/>
    </row>
    <row r="35" spans="1:13" x14ac:dyDescent="0.3">
      <c r="A35" s="181"/>
      <c r="C35" s="31"/>
      <c r="D35" s="26"/>
      <c r="E35" s="26"/>
      <c r="G35" s="31">
        <f>A34-E34</f>
        <v>0</v>
      </c>
      <c r="H35" s="38">
        <f>H34-D34</f>
        <v>0</v>
      </c>
      <c r="J35" s="140"/>
    </row>
    <row r="36" spans="1:13" s="170" customFormat="1" ht="13.8" x14ac:dyDescent="0.25">
      <c r="A36" s="166" t="s">
        <v>496</v>
      </c>
      <c r="B36" s="167"/>
      <c r="C36" s="168"/>
      <c r="D36" s="167"/>
      <c r="E36" s="276" t="s">
        <v>497</v>
      </c>
      <c r="F36" s="276"/>
      <c r="G36" s="276"/>
      <c r="H36" s="277"/>
      <c r="I36" s="168"/>
      <c r="J36" s="167"/>
      <c r="K36" s="167"/>
      <c r="L36" s="169"/>
      <c r="M36" s="169"/>
    </row>
    <row r="37" spans="1:13" s="167" customFormat="1" ht="13.8" x14ac:dyDescent="0.25">
      <c r="A37" s="171"/>
      <c r="C37" s="168"/>
      <c r="H37" s="172"/>
      <c r="I37" s="168"/>
    </row>
    <row r="38" spans="1:13" s="167" customFormat="1" ht="13.8" x14ac:dyDescent="0.25">
      <c r="A38" s="171"/>
      <c r="C38" s="168"/>
      <c r="F38" s="173"/>
      <c r="G38" s="173"/>
      <c r="H38" s="174"/>
      <c r="I38" s="168"/>
    </row>
    <row r="39" spans="1:13" s="167" customFormat="1" ht="13.8" x14ac:dyDescent="0.25">
      <c r="A39" s="171"/>
      <c r="C39" s="168"/>
      <c r="F39" s="173"/>
      <c r="G39" s="173"/>
      <c r="H39" s="174"/>
      <c r="I39" s="168"/>
    </row>
    <row r="40" spans="1:13" s="167" customFormat="1" ht="17.100000000000001" customHeight="1" x14ac:dyDescent="0.25">
      <c r="A40" s="175" t="s">
        <v>498</v>
      </c>
      <c r="B40" s="182"/>
      <c r="C40" s="183"/>
      <c r="F40" s="173"/>
      <c r="G40" s="173"/>
      <c r="H40" s="174"/>
      <c r="I40" s="168"/>
    </row>
    <row r="41" spans="1:13" s="167" customFormat="1" ht="15.6" x14ac:dyDescent="0.25">
      <c r="A41" s="176" t="s">
        <v>499</v>
      </c>
      <c r="B41" s="182"/>
      <c r="C41" s="183"/>
      <c r="E41" s="276" t="s">
        <v>500</v>
      </c>
      <c r="F41" s="276"/>
      <c r="G41" s="276"/>
      <c r="H41" s="277"/>
      <c r="I41" s="168"/>
    </row>
    <row r="42" spans="1:13" s="167" customFormat="1" ht="15.6" x14ac:dyDescent="0.25">
      <c r="A42" s="176" t="s">
        <v>502</v>
      </c>
      <c r="B42" s="182"/>
      <c r="C42" s="183"/>
      <c r="E42" s="173"/>
      <c r="F42" s="173"/>
      <c r="G42" s="173"/>
      <c r="H42" s="174"/>
      <c r="I42" s="168"/>
    </row>
    <row r="43" spans="1:13" s="167" customFormat="1" ht="15.6" x14ac:dyDescent="0.25">
      <c r="A43" s="278">
        <v>46221</v>
      </c>
      <c r="B43" s="279"/>
      <c r="C43" s="279"/>
      <c r="H43" s="172"/>
      <c r="I43" s="168"/>
    </row>
    <row r="44" spans="1:13" s="167" customFormat="1" ht="8.1" customHeight="1" x14ac:dyDescent="0.25">
      <c r="A44" s="177"/>
      <c r="B44" s="178"/>
      <c r="C44" s="179"/>
      <c r="D44" s="178"/>
      <c r="E44" s="179"/>
      <c r="F44" s="178"/>
      <c r="G44" s="178"/>
      <c r="H44" s="180"/>
      <c r="I44" s="168"/>
    </row>
  </sheetData>
  <mergeCells count="11">
    <mergeCell ref="E36:H36"/>
    <mergeCell ref="E41:H41"/>
    <mergeCell ref="A43:C43"/>
    <mergeCell ref="A1:H1"/>
    <mergeCell ref="B34:C34"/>
    <mergeCell ref="F34:G34"/>
    <mergeCell ref="B6:C6"/>
    <mergeCell ref="F6:G6"/>
    <mergeCell ref="A4:H4"/>
    <mergeCell ref="A3:H3"/>
    <mergeCell ref="A2:H2"/>
  </mergeCells>
  <printOptions horizontalCentered="1"/>
  <pageMargins left="0.39370078740157483" right="0.19685039370078741" top="0.59055118110236227" bottom="0.19685039370078741" header="0.19685039370078741" footer="0.19685039370078741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"/>
  <sheetViews>
    <sheetView view="pageBreakPreview" topLeftCell="A27" zoomScaleNormal="100" zoomScaleSheetLayoutView="100" workbookViewId="0">
      <selection activeCell="K28" sqref="K28"/>
    </sheetView>
  </sheetViews>
  <sheetFormatPr defaultColWidth="9.109375" defaultRowHeight="14.4" x14ac:dyDescent="0.3"/>
  <cols>
    <col min="1" max="1" width="15.33203125" style="39" bestFit="1" customWidth="1"/>
    <col min="2" max="2" width="40.33203125" bestFit="1" customWidth="1"/>
    <col min="3" max="3" width="12.5546875" style="130" bestFit="1" customWidth="1"/>
    <col min="4" max="5" width="15.33203125" style="124" customWidth="1"/>
    <col min="6" max="6" width="40" customWidth="1"/>
    <col min="7" max="7" width="13.109375" style="130" bestFit="1" customWidth="1"/>
    <col min="8" max="8" width="15.33203125" style="124" bestFit="1" customWidth="1"/>
    <col min="9" max="9" width="8.6640625" bestFit="1" customWidth="1"/>
    <col min="10" max="10" width="16.33203125" bestFit="1" customWidth="1"/>
    <col min="13" max="13" width="37.33203125" bestFit="1" customWidth="1"/>
    <col min="14" max="15" width="12.5546875" bestFit="1" customWidth="1"/>
    <col min="16" max="16" width="16.33203125" bestFit="1" customWidth="1"/>
  </cols>
  <sheetData>
    <row r="1" spans="1:16" ht="18" x14ac:dyDescent="0.35">
      <c r="A1" s="280" t="str">
        <f>BS!A1</f>
        <v>JEEVAN HEIGHTS  CO-OPERATIVE HOUSING SOCIETY LTD</v>
      </c>
      <c r="B1" s="281"/>
      <c r="C1" s="281"/>
      <c r="D1" s="281"/>
      <c r="E1" s="281"/>
      <c r="F1" s="281"/>
      <c r="G1" s="281"/>
      <c r="H1" s="282"/>
    </row>
    <row r="2" spans="1:16" x14ac:dyDescent="0.3">
      <c r="A2" s="290" t="str">
        <f>BS!A2</f>
        <v>Society Address: Bandar, Pakhadi Road  ,Kandivali (W), Mumbai - 400067.</v>
      </c>
      <c r="B2" s="291"/>
      <c r="C2" s="291"/>
      <c r="D2" s="291"/>
      <c r="E2" s="291"/>
      <c r="F2" s="291"/>
      <c r="G2" s="291"/>
      <c r="H2" s="292"/>
    </row>
    <row r="3" spans="1:16" x14ac:dyDescent="0.3">
      <c r="A3" s="290" t="s">
        <v>269</v>
      </c>
      <c r="B3" s="291"/>
      <c r="C3" s="291"/>
      <c r="D3" s="291"/>
      <c r="E3" s="291"/>
      <c r="F3" s="291"/>
      <c r="G3" s="291"/>
      <c r="H3" s="292"/>
    </row>
    <row r="4" spans="1:16" ht="15.6" x14ac:dyDescent="0.3">
      <c r="A4" s="287" t="s">
        <v>385</v>
      </c>
      <c r="B4" s="288"/>
      <c r="C4" s="288"/>
      <c r="D4" s="288"/>
      <c r="E4" s="288"/>
      <c r="F4" s="288"/>
      <c r="G4" s="288"/>
      <c r="H4" s="289"/>
      <c r="M4" s="3" t="s">
        <v>164</v>
      </c>
      <c r="N4" s="3" t="s">
        <v>270</v>
      </c>
      <c r="O4" s="117" t="s">
        <v>129</v>
      </c>
      <c r="P4" s="117" t="s">
        <v>273</v>
      </c>
    </row>
    <row r="5" spans="1:16" x14ac:dyDescent="0.3">
      <c r="A5" s="193"/>
      <c r="B5" s="25"/>
      <c r="C5" s="25"/>
      <c r="D5" s="25"/>
      <c r="E5" s="25"/>
      <c r="F5" s="25"/>
      <c r="G5" s="25"/>
      <c r="H5" s="194" t="s">
        <v>84</v>
      </c>
      <c r="M5" s="14" t="s">
        <v>112</v>
      </c>
      <c r="N5" s="64">
        <v>3575880</v>
      </c>
      <c r="O5" s="64">
        <f>D9+D22+D30-C25-C27+D45-C45</f>
        <v>3134026</v>
      </c>
      <c r="P5" s="63">
        <f>N5-O5</f>
        <v>441854</v>
      </c>
    </row>
    <row r="6" spans="1:16" ht="15" thickBot="1" x14ac:dyDescent="0.35">
      <c r="A6" s="195" t="str">
        <f>BS!A6</f>
        <v xml:space="preserve"> March 31, 2025</v>
      </c>
      <c r="B6" s="286" t="s">
        <v>10</v>
      </c>
      <c r="C6" s="286"/>
      <c r="D6" s="196" t="str">
        <f>BS!D6</f>
        <v xml:space="preserve"> March 31, 2026</v>
      </c>
      <c r="E6" s="197" t="str">
        <f>A6</f>
        <v xml:space="preserve"> March 31, 2025</v>
      </c>
      <c r="F6" s="286" t="s">
        <v>11</v>
      </c>
      <c r="G6" s="286"/>
      <c r="H6" s="196" t="str">
        <f>D6</f>
        <v xml:space="preserve"> March 31, 2026</v>
      </c>
      <c r="M6" s="14" t="s">
        <v>13</v>
      </c>
      <c r="N6" s="64">
        <v>1388772</v>
      </c>
      <c r="O6" s="64">
        <f>D13</f>
        <v>1702520</v>
      </c>
      <c r="P6" s="63">
        <f t="shared" ref="P6:P19" si="0">N6-O6</f>
        <v>-313748</v>
      </c>
    </row>
    <row r="7" spans="1:16" ht="15" thickTop="1" x14ac:dyDescent="0.3">
      <c r="A7" s="44"/>
      <c r="B7" s="4" t="s">
        <v>100</v>
      </c>
      <c r="C7" s="118"/>
      <c r="D7" s="69"/>
      <c r="E7" s="119"/>
      <c r="F7" s="4" t="s">
        <v>12</v>
      </c>
      <c r="G7" s="36"/>
      <c r="H7" s="69"/>
      <c r="M7" s="14" t="s">
        <v>14</v>
      </c>
      <c r="N7" s="64">
        <v>401940</v>
      </c>
      <c r="O7" s="64">
        <f>D16</f>
        <v>147921</v>
      </c>
      <c r="P7" s="63">
        <f t="shared" si="0"/>
        <v>254019</v>
      </c>
    </row>
    <row r="8" spans="1:16" x14ac:dyDescent="0.3">
      <c r="A8" s="44">
        <v>166200</v>
      </c>
      <c r="B8" s="40" t="s">
        <v>100</v>
      </c>
      <c r="C8" s="118">
        <f>243250</f>
        <v>243250</v>
      </c>
      <c r="D8" s="69"/>
      <c r="E8" s="120">
        <v>3575880</v>
      </c>
      <c r="F8" s="40" t="s">
        <v>112</v>
      </c>
      <c r="G8" s="36">
        <v>3575880</v>
      </c>
      <c r="H8" s="69"/>
      <c r="M8" s="14" t="s">
        <v>266</v>
      </c>
      <c r="N8" s="64">
        <v>896988</v>
      </c>
      <c r="O8" s="64">
        <f>C25</f>
        <v>635404</v>
      </c>
      <c r="P8" s="63">
        <f>N8-O8</f>
        <v>261584</v>
      </c>
    </row>
    <row r="9" spans="1:16" x14ac:dyDescent="0.3">
      <c r="A9" s="44">
        <v>49600</v>
      </c>
      <c r="B9" s="40" t="s">
        <v>101</v>
      </c>
      <c r="C9" s="121">
        <f>2500+47000</f>
        <v>49500</v>
      </c>
      <c r="D9" s="69">
        <f>SUM(C8:C9)</f>
        <v>292750</v>
      </c>
      <c r="E9" s="120">
        <v>1388772</v>
      </c>
      <c r="F9" s="42" t="s">
        <v>13</v>
      </c>
      <c r="G9" s="36">
        <v>1388772</v>
      </c>
      <c r="H9" s="69"/>
      <c r="M9" s="14" t="s">
        <v>124</v>
      </c>
      <c r="N9" s="64">
        <v>84952</v>
      </c>
      <c r="O9" s="64">
        <f>C27</f>
        <v>67777</v>
      </c>
      <c r="P9" s="63">
        <f>N9-O9</f>
        <v>17175</v>
      </c>
    </row>
    <row r="10" spans="1:16" x14ac:dyDescent="0.3">
      <c r="A10" s="44"/>
      <c r="B10" s="41" t="s">
        <v>102</v>
      </c>
      <c r="C10" s="118"/>
      <c r="D10" s="69"/>
      <c r="E10" s="120">
        <v>401940</v>
      </c>
      <c r="F10" s="40" t="s">
        <v>14</v>
      </c>
      <c r="G10" s="36">
        <v>401940</v>
      </c>
      <c r="H10" s="69"/>
      <c r="M10" s="14" t="s">
        <v>125</v>
      </c>
      <c r="N10" s="64">
        <v>226800</v>
      </c>
      <c r="O10" s="64">
        <f>C45</f>
        <v>330009</v>
      </c>
      <c r="P10" s="63">
        <f>N10-O10</f>
        <v>-103209</v>
      </c>
    </row>
    <row r="11" spans="1:16" x14ac:dyDescent="0.3">
      <c r="A11" s="44">
        <v>111260</v>
      </c>
      <c r="B11" s="40" t="s">
        <v>103</v>
      </c>
      <c r="C11" s="36"/>
      <c r="D11" s="69">
        <f>130988</f>
        <v>130988</v>
      </c>
      <c r="E11" s="120">
        <v>47280</v>
      </c>
      <c r="F11" s="40" t="s">
        <v>15</v>
      </c>
      <c r="G11" s="36">
        <f>47280</f>
        <v>47280</v>
      </c>
      <c r="H11" s="69"/>
      <c r="M11" s="14" t="s">
        <v>113</v>
      </c>
      <c r="N11" s="64">
        <v>47628</v>
      </c>
      <c r="O11" s="64">
        <f>D11</f>
        <v>130988</v>
      </c>
      <c r="P11" s="63">
        <f>N11-O11</f>
        <v>-83360</v>
      </c>
    </row>
    <row r="12" spans="1:16" x14ac:dyDescent="0.3">
      <c r="A12" s="44"/>
      <c r="B12" s="41" t="s">
        <v>104</v>
      </c>
      <c r="C12" s="118"/>
      <c r="D12" s="69"/>
      <c r="E12" s="120">
        <v>84952</v>
      </c>
      <c r="F12" s="40" t="s">
        <v>124</v>
      </c>
      <c r="G12" s="36">
        <v>84952</v>
      </c>
      <c r="H12" s="69"/>
      <c r="M12" s="14" t="s">
        <v>268</v>
      </c>
      <c r="N12" s="64">
        <v>65412</v>
      </c>
      <c r="O12" s="64">
        <v>0</v>
      </c>
      <c r="P12" s="63">
        <f>N12-O12</f>
        <v>65412</v>
      </c>
    </row>
    <row r="13" spans="1:16" x14ac:dyDescent="0.3">
      <c r="A13" s="44">
        <f>1595680</f>
        <v>1595680</v>
      </c>
      <c r="B13" s="40" t="s">
        <v>105</v>
      </c>
      <c r="C13" s="36"/>
      <c r="D13" s="69">
        <f>1702520</f>
        <v>1702520</v>
      </c>
      <c r="E13" s="120">
        <v>226800</v>
      </c>
      <c r="F13" s="40" t="s">
        <v>125</v>
      </c>
      <c r="G13" s="36">
        <v>226800</v>
      </c>
      <c r="H13" s="69"/>
      <c r="M13" s="3" t="s">
        <v>271</v>
      </c>
      <c r="N13" s="63">
        <f>SUM(N5:N12)</f>
        <v>6688372</v>
      </c>
      <c r="O13" s="63">
        <f t="shared" ref="O13:P13" si="1">SUM(O5:O12)</f>
        <v>6148645</v>
      </c>
      <c r="P13" s="63">
        <f t="shared" si="1"/>
        <v>539727</v>
      </c>
    </row>
    <row r="14" spans="1:16" x14ac:dyDescent="0.3">
      <c r="A14" s="44"/>
      <c r="B14" s="41" t="s">
        <v>22</v>
      </c>
      <c r="C14" s="118"/>
      <c r="D14" s="69"/>
      <c r="E14" s="120">
        <v>24207</v>
      </c>
      <c r="F14" s="40" t="s">
        <v>291</v>
      </c>
      <c r="G14" s="121">
        <f>29466</f>
        <v>29466</v>
      </c>
      <c r="H14" s="69">
        <f>SUM(G8:G14)</f>
        <v>5755090</v>
      </c>
      <c r="M14" s="14" t="s">
        <v>15</v>
      </c>
      <c r="N14" s="64">
        <v>45310</v>
      </c>
      <c r="O14" s="64">
        <v>0</v>
      </c>
      <c r="P14" s="63">
        <f t="shared" si="0"/>
        <v>45310</v>
      </c>
    </row>
    <row r="15" spans="1:16" x14ac:dyDescent="0.3">
      <c r="A15" s="44">
        <f>186810</f>
        <v>186810</v>
      </c>
      <c r="B15" s="40" t="s">
        <v>106</v>
      </c>
      <c r="C15" s="118">
        <f>Workings!D9</f>
        <v>140421</v>
      </c>
      <c r="D15" s="69"/>
      <c r="E15" s="120"/>
      <c r="F15" s="42"/>
      <c r="G15" s="36"/>
      <c r="H15" s="69"/>
      <c r="M15" s="14" t="s">
        <v>267</v>
      </c>
      <c r="N15" s="64">
        <v>37500</v>
      </c>
      <c r="O15" s="64">
        <v>0</v>
      </c>
      <c r="P15" s="63">
        <f t="shared" si="0"/>
        <v>37500</v>
      </c>
    </row>
    <row r="16" spans="1:16" x14ac:dyDescent="0.3">
      <c r="A16" s="44">
        <f>47000-20000</f>
        <v>27000</v>
      </c>
      <c r="B16" s="40" t="s">
        <v>107</v>
      </c>
      <c r="C16" s="121">
        <f>7500</f>
        <v>7500</v>
      </c>
      <c r="D16" s="69">
        <f>SUM(C15:C16)</f>
        <v>147921</v>
      </c>
      <c r="E16" s="120"/>
      <c r="F16" s="41" t="s">
        <v>102</v>
      </c>
      <c r="G16" s="36"/>
      <c r="H16" s="69"/>
      <c r="M16" s="14" t="s">
        <v>126</v>
      </c>
      <c r="N16" s="64">
        <v>20000</v>
      </c>
      <c r="O16" s="64">
        <v>0</v>
      </c>
      <c r="P16" s="63">
        <f t="shared" si="0"/>
        <v>20000</v>
      </c>
    </row>
    <row r="17" spans="1:16" x14ac:dyDescent="0.3">
      <c r="A17" s="44"/>
      <c r="B17" s="41" t="s">
        <v>108</v>
      </c>
      <c r="C17" s="118"/>
      <c r="D17" s="69"/>
      <c r="E17" s="120">
        <v>47628</v>
      </c>
      <c r="F17" s="40" t="s">
        <v>113</v>
      </c>
      <c r="G17" s="36">
        <f>3591+58401</f>
        <v>61992</v>
      </c>
      <c r="H17" s="69"/>
      <c r="M17" s="64" t="s">
        <v>17</v>
      </c>
      <c r="N17" s="64">
        <v>2245</v>
      </c>
      <c r="O17" s="64">
        <v>0</v>
      </c>
      <c r="P17" s="63">
        <f t="shared" si="0"/>
        <v>2245</v>
      </c>
    </row>
    <row r="18" spans="1:16" x14ac:dyDescent="0.3">
      <c r="A18" s="44">
        <f>656445</f>
        <v>656445</v>
      </c>
      <c r="B18" s="40" t="s">
        <v>109</v>
      </c>
      <c r="C18" s="36">
        <f>Workings!D61</f>
        <v>698739</v>
      </c>
      <c r="D18" s="69"/>
      <c r="E18" s="120">
        <v>65412</v>
      </c>
      <c r="F18" s="40" t="s">
        <v>268</v>
      </c>
      <c r="G18" s="121">
        <f>948+68256</f>
        <v>69204</v>
      </c>
      <c r="H18" s="69">
        <f>SUM(G17:G18)</f>
        <v>131196</v>
      </c>
      <c r="M18" s="64" t="s">
        <v>18</v>
      </c>
      <c r="N18" s="64">
        <v>17868</v>
      </c>
      <c r="O18" s="64">
        <v>0</v>
      </c>
      <c r="P18" s="63">
        <f t="shared" si="0"/>
        <v>17868</v>
      </c>
    </row>
    <row r="19" spans="1:16" x14ac:dyDescent="0.3">
      <c r="A19" s="44">
        <f>-A18</f>
        <v>-656445</v>
      </c>
      <c r="B19" s="40" t="s">
        <v>214</v>
      </c>
      <c r="C19" s="121">
        <f>-C18</f>
        <v>-698739</v>
      </c>
      <c r="D19" s="69">
        <f>SUM(C18:C19)</f>
        <v>0</v>
      </c>
      <c r="E19" s="120"/>
      <c r="F19" s="42"/>
      <c r="G19" s="36"/>
      <c r="H19" s="69"/>
      <c r="M19" s="14" t="s">
        <v>20</v>
      </c>
      <c r="N19" s="64">
        <v>25001.7</v>
      </c>
      <c r="O19" s="64">
        <v>0</v>
      </c>
      <c r="P19" s="63">
        <f t="shared" si="0"/>
        <v>25001.7</v>
      </c>
    </row>
    <row r="20" spans="1:16" x14ac:dyDescent="0.3">
      <c r="A20" s="44"/>
      <c r="B20" s="40"/>
      <c r="C20" s="36"/>
      <c r="D20" s="69"/>
      <c r="E20" s="120"/>
      <c r="F20" s="4" t="s">
        <v>114</v>
      </c>
      <c r="G20" s="36"/>
      <c r="H20" s="69"/>
      <c r="M20" s="3" t="s">
        <v>272</v>
      </c>
      <c r="N20" s="63">
        <f>SUM(N14:N19)</f>
        <v>147924.70000000001</v>
      </c>
      <c r="O20" s="63">
        <f t="shared" ref="O20:P20" si="2">SUM(O14:O19)</f>
        <v>0</v>
      </c>
      <c r="P20" s="63">
        <f t="shared" si="2"/>
        <v>147924.70000000001</v>
      </c>
    </row>
    <row r="21" spans="1:16" ht="15" thickBot="1" x14ac:dyDescent="0.35">
      <c r="A21" s="44"/>
      <c r="B21" s="4" t="s">
        <v>228</v>
      </c>
      <c r="C21" s="118"/>
      <c r="D21" s="69"/>
      <c r="E21" s="120">
        <f>37500+5000</f>
        <v>42500</v>
      </c>
      <c r="F21" s="42" t="s">
        <v>267</v>
      </c>
      <c r="G21" s="36">
        <f>20000+5000</f>
        <v>25000</v>
      </c>
      <c r="H21" s="69"/>
      <c r="M21" s="3" t="s">
        <v>274</v>
      </c>
      <c r="N21" s="122">
        <f>N13+N20</f>
        <v>6836296.7000000002</v>
      </c>
      <c r="O21" s="122">
        <f t="shared" ref="O21:P21" si="3">O13+O20</f>
        <v>6148645</v>
      </c>
      <c r="P21" s="122">
        <f t="shared" si="3"/>
        <v>687651.7</v>
      </c>
    </row>
    <row r="22" spans="1:16" ht="15" thickTop="1" x14ac:dyDescent="0.3">
      <c r="A22" s="44">
        <f>'Sch 8 &amp; 9'!B34</f>
        <v>524117</v>
      </c>
      <c r="B22" s="40" t="s">
        <v>145</v>
      </c>
      <c r="C22" s="36"/>
      <c r="D22" s="69">
        <f>'Sch 8 &amp; 9'!D34</f>
        <v>532719</v>
      </c>
      <c r="E22" s="123">
        <v>0</v>
      </c>
      <c r="F22" s="42" t="s">
        <v>126</v>
      </c>
      <c r="G22" s="36">
        <f>10000</f>
        <v>10000</v>
      </c>
      <c r="H22" s="69"/>
    </row>
    <row r="23" spans="1:16" x14ac:dyDescent="0.3">
      <c r="A23" s="44"/>
      <c r="B23" s="4" t="s">
        <v>26</v>
      </c>
      <c r="C23" s="118"/>
      <c r="D23" s="69"/>
      <c r="E23" s="120">
        <v>896988</v>
      </c>
      <c r="F23" s="40" t="s">
        <v>266</v>
      </c>
      <c r="G23" s="121">
        <v>896988</v>
      </c>
      <c r="H23" s="69">
        <f>SUM(G21:G23)</f>
        <v>931988</v>
      </c>
    </row>
    <row r="24" spans="1:16" x14ac:dyDescent="0.3">
      <c r="A24" s="44">
        <v>1342948</v>
      </c>
      <c r="B24" s="40" t="s">
        <v>23</v>
      </c>
      <c r="C24" s="118">
        <v>1068130</v>
      </c>
      <c r="D24" s="69"/>
      <c r="E24" s="120"/>
      <c r="F24" s="40"/>
      <c r="G24" s="36"/>
      <c r="H24" s="69"/>
    </row>
    <row r="25" spans="1:16" x14ac:dyDescent="0.3">
      <c r="A25" s="44">
        <f>538285+64745</f>
        <v>603030</v>
      </c>
      <c r="B25" s="40" t="s">
        <v>83</v>
      </c>
      <c r="C25" s="118">
        <f>540480+15622+79302</f>
        <v>635404</v>
      </c>
      <c r="D25" s="69"/>
      <c r="E25" s="119"/>
      <c r="F25" s="4" t="s">
        <v>16</v>
      </c>
      <c r="G25" s="36"/>
      <c r="H25" s="69"/>
    </row>
    <row r="26" spans="1:16" x14ac:dyDescent="0.3">
      <c r="A26" s="44">
        <f>'Sch 2'!K15</f>
        <v>70170.399999999994</v>
      </c>
      <c r="B26" s="40" t="s">
        <v>38</v>
      </c>
      <c r="C26" s="118">
        <f>+'Sch 2'!H15</f>
        <v>100773</v>
      </c>
      <c r="D26" s="69"/>
      <c r="E26" s="120">
        <v>2421</v>
      </c>
      <c r="F26" s="40" t="s">
        <v>17</v>
      </c>
      <c r="G26" s="36"/>
      <c r="H26" s="69">
        <f>2337</f>
        <v>2337</v>
      </c>
    </row>
    <row r="27" spans="1:16" x14ac:dyDescent="0.3">
      <c r="A27" s="44">
        <v>77350</v>
      </c>
      <c r="B27" s="40" t="s">
        <v>110</v>
      </c>
      <c r="C27" s="118">
        <f>Workings!D32</f>
        <v>67777</v>
      </c>
      <c r="D27" s="69"/>
      <c r="E27" s="120">
        <f>257457</f>
        <v>257457</v>
      </c>
      <c r="F27" s="40" t="s">
        <v>18</v>
      </c>
      <c r="G27" s="36">
        <f>308272+3149</f>
        <v>311421</v>
      </c>
      <c r="H27" s="69"/>
    </row>
    <row r="28" spans="1:16" x14ac:dyDescent="0.3">
      <c r="A28" s="44">
        <v>7080</v>
      </c>
      <c r="B28" s="40" t="s">
        <v>147</v>
      </c>
      <c r="C28" s="118">
        <v>0</v>
      </c>
      <c r="D28" s="69"/>
      <c r="E28" s="120">
        <v>-66446</v>
      </c>
      <c r="F28" s="40" t="s">
        <v>204</v>
      </c>
      <c r="G28" s="36">
        <v>74652</v>
      </c>
      <c r="H28" s="69"/>
    </row>
    <row r="29" spans="1:16" x14ac:dyDescent="0.3">
      <c r="A29" s="44">
        <v>6300</v>
      </c>
      <c r="B29" s="40" t="s">
        <v>25</v>
      </c>
      <c r="C29" s="118">
        <v>6300</v>
      </c>
      <c r="D29" s="69"/>
      <c r="E29" s="120">
        <v>-70799</v>
      </c>
      <c r="F29" s="40" t="s">
        <v>205</v>
      </c>
      <c r="G29" s="36">
        <f>105827+3149</f>
        <v>108976</v>
      </c>
      <c r="H29" s="69"/>
      <c r="J29" s="24"/>
    </row>
    <row r="30" spans="1:16" x14ac:dyDescent="0.3">
      <c r="A30" s="44">
        <v>49235</v>
      </c>
      <c r="B30" s="40" t="s">
        <v>24</v>
      </c>
      <c r="C30" s="121">
        <f>Workings!D38</f>
        <v>34775</v>
      </c>
      <c r="D30" s="69">
        <f>SUM(C24:C30)</f>
        <v>1913159</v>
      </c>
      <c r="E30" s="120">
        <v>-99607</v>
      </c>
      <c r="F30" s="40" t="s">
        <v>206</v>
      </c>
      <c r="G30" s="36">
        <v>104952</v>
      </c>
      <c r="H30" s="69"/>
    </row>
    <row r="31" spans="1:16" x14ac:dyDescent="0.3">
      <c r="A31" s="44"/>
      <c r="B31" s="4" t="s">
        <v>27</v>
      </c>
      <c r="C31" s="118"/>
      <c r="D31" s="69"/>
      <c r="E31" s="120">
        <v>-1693</v>
      </c>
      <c r="F31" s="40" t="s">
        <v>207</v>
      </c>
      <c r="G31" s="36">
        <v>2854</v>
      </c>
      <c r="H31" s="69"/>
    </row>
    <row r="32" spans="1:16" x14ac:dyDescent="0.3">
      <c r="A32" s="44">
        <f>6596+51304-11000</f>
        <v>46900</v>
      </c>
      <c r="B32" s="40" t="s">
        <v>146</v>
      </c>
      <c r="C32" s="118">
        <f>6143+33248</f>
        <v>39391</v>
      </c>
      <c r="D32" s="69"/>
      <c r="E32" s="120">
        <v>-16657</v>
      </c>
      <c r="F32" s="40" t="s">
        <v>208</v>
      </c>
      <c r="G32" s="36">
        <v>17733</v>
      </c>
      <c r="H32" s="69"/>
    </row>
    <row r="33" spans="1:8" x14ac:dyDescent="0.3">
      <c r="A33" s="44">
        <v>378184</v>
      </c>
      <c r="B33" s="40" t="s">
        <v>111</v>
      </c>
      <c r="C33" s="118">
        <f>407766</f>
        <v>407766</v>
      </c>
      <c r="D33" s="69"/>
      <c r="E33" s="120">
        <v>3693</v>
      </c>
      <c r="F33" s="40" t="s">
        <v>127</v>
      </c>
      <c r="G33" s="121">
        <v>0</v>
      </c>
      <c r="H33" s="69">
        <f>G27-SUM(G28:G32)+G33</f>
        <v>2254</v>
      </c>
    </row>
    <row r="34" spans="1:8" x14ac:dyDescent="0.3">
      <c r="A34" s="44">
        <v>3750</v>
      </c>
      <c r="B34" s="40" t="s">
        <v>28</v>
      </c>
      <c r="C34" s="118">
        <f>1260</f>
        <v>1260</v>
      </c>
      <c r="D34" s="69"/>
      <c r="E34" s="120"/>
      <c r="F34" s="40"/>
      <c r="G34" s="36"/>
      <c r="H34" s="69"/>
    </row>
    <row r="35" spans="1:8" x14ac:dyDescent="0.3">
      <c r="A35" s="44">
        <v>69000</v>
      </c>
      <c r="B35" s="40" t="s">
        <v>29</v>
      </c>
      <c r="C35" s="118">
        <f>72456</f>
        <v>72456</v>
      </c>
      <c r="D35" s="69"/>
      <c r="E35" s="119"/>
      <c r="F35" s="4" t="s">
        <v>19</v>
      </c>
      <c r="G35" s="36"/>
      <c r="H35" s="69"/>
    </row>
    <row r="36" spans="1:8" x14ac:dyDescent="0.3">
      <c r="A36" s="44">
        <v>9502</v>
      </c>
      <c r="B36" s="40" t="s">
        <v>30</v>
      </c>
      <c r="C36" s="118">
        <f>10032</f>
        <v>10032</v>
      </c>
      <c r="D36" s="69"/>
      <c r="E36" s="120">
        <v>3000</v>
      </c>
      <c r="F36" s="42" t="s">
        <v>20</v>
      </c>
      <c r="G36" s="36"/>
      <c r="H36" s="69">
        <f>17500</f>
        <v>17500</v>
      </c>
    </row>
    <row r="37" spans="1:8" x14ac:dyDescent="0.3">
      <c r="A37" s="44">
        <v>80</v>
      </c>
      <c r="B37" s="40" t="s">
        <v>289</v>
      </c>
      <c r="C37" s="118">
        <v>0</v>
      </c>
      <c r="D37" s="69"/>
      <c r="E37" s="124">
        <v>0</v>
      </c>
      <c r="F37" s="42" t="s">
        <v>407</v>
      </c>
      <c r="G37" s="36"/>
      <c r="H37" s="69">
        <v>39738</v>
      </c>
    </row>
    <row r="38" spans="1:8" x14ac:dyDescent="0.3">
      <c r="A38" s="44">
        <v>53000</v>
      </c>
      <c r="B38" s="40" t="s">
        <v>31</v>
      </c>
      <c r="C38" s="118">
        <f>43000</f>
        <v>43000</v>
      </c>
      <c r="D38" s="69"/>
      <c r="E38" s="119"/>
      <c r="F38" s="42"/>
      <c r="G38" s="36"/>
      <c r="H38" s="69"/>
    </row>
    <row r="39" spans="1:8" x14ac:dyDescent="0.3">
      <c r="A39" s="44">
        <v>1350</v>
      </c>
      <c r="B39" s="40" t="s">
        <v>32</v>
      </c>
      <c r="C39" s="118">
        <f>6800</f>
        <v>6800</v>
      </c>
      <c r="D39" s="69"/>
      <c r="E39" s="119"/>
      <c r="F39" s="42"/>
      <c r="G39" s="36"/>
      <c r="H39" s="69"/>
    </row>
    <row r="40" spans="1:8" x14ac:dyDescent="0.3">
      <c r="A40" s="44">
        <v>1298</v>
      </c>
      <c r="B40" s="40" t="s">
        <v>33</v>
      </c>
      <c r="C40" s="118">
        <f>59</f>
        <v>59</v>
      </c>
      <c r="D40" s="69"/>
      <c r="E40" s="119"/>
      <c r="F40" s="42"/>
      <c r="G40" s="36"/>
      <c r="H40" s="69"/>
    </row>
    <row r="41" spans="1:8" x14ac:dyDescent="0.3">
      <c r="A41" s="44">
        <v>1000</v>
      </c>
      <c r="B41" s="40" t="s">
        <v>34</v>
      </c>
      <c r="C41" s="118">
        <f>3961</f>
        <v>3961</v>
      </c>
      <c r="D41" s="69"/>
      <c r="E41" s="119"/>
      <c r="F41" s="42"/>
      <c r="G41" s="36"/>
      <c r="H41" s="69"/>
    </row>
    <row r="42" spans="1:8" x14ac:dyDescent="0.3">
      <c r="A42" s="44">
        <v>0</v>
      </c>
      <c r="B42" s="40" t="s">
        <v>209</v>
      </c>
      <c r="C42" s="118">
        <v>0</v>
      </c>
      <c r="D42" s="69"/>
      <c r="E42" s="119"/>
      <c r="F42" s="42"/>
      <c r="G42" s="36"/>
      <c r="H42" s="69"/>
    </row>
    <row r="43" spans="1:8" x14ac:dyDescent="0.3">
      <c r="A43" s="44">
        <v>95788</v>
      </c>
      <c r="B43" s="40" t="s">
        <v>35</v>
      </c>
      <c r="C43" s="118">
        <v>113247</v>
      </c>
      <c r="D43" s="69"/>
      <c r="E43" s="119"/>
      <c r="F43" s="42"/>
      <c r="G43" s="36"/>
      <c r="H43" s="69"/>
    </row>
    <row r="44" spans="1:8" x14ac:dyDescent="0.3">
      <c r="A44" s="44">
        <v>391309</v>
      </c>
      <c r="B44" s="40" t="s">
        <v>36</v>
      </c>
      <c r="C44" s="36">
        <f>400607</f>
        <v>400607</v>
      </c>
      <c r="D44" s="69"/>
      <c r="E44" s="119"/>
      <c r="F44" s="42"/>
      <c r="G44" s="36"/>
      <c r="H44" s="69"/>
    </row>
    <row r="45" spans="1:8" x14ac:dyDescent="0.3">
      <c r="A45" s="44">
        <f>307687-29500+11000+25000-53000</f>
        <v>261187</v>
      </c>
      <c r="B45" s="40" t="s">
        <v>37</v>
      </c>
      <c r="C45" s="121">
        <f>330009</f>
        <v>330009</v>
      </c>
      <c r="D45" s="69">
        <f>SUM(C32:C45)</f>
        <v>1428588</v>
      </c>
      <c r="E45" s="119"/>
      <c r="F45" s="42"/>
      <c r="G45" s="36"/>
      <c r="H45" s="69"/>
    </row>
    <row r="46" spans="1:8" ht="6" customHeight="1" x14ac:dyDescent="0.3">
      <c r="A46" s="44"/>
      <c r="B46" s="40"/>
      <c r="C46" s="118"/>
      <c r="D46" s="69"/>
      <c r="E46" s="119"/>
      <c r="F46" s="42"/>
      <c r="G46" s="36"/>
      <c r="H46" s="69"/>
    </row>
    <row r="47" spans="1:8" x14ac:dyDescent="0.3">
      <c r="A47" s="44">
        <f>ROUND((E49-SUM(A7:A46))*25%,0)</f>
        <v>171150</v>
      </c>
      <c r="B47" s="125" t="s">
        <v>21</v>
      </c>
      <c r="C47" s="118"/>
      <c r="D47" s="69">
        <f>ROUND((H49-SUM(D7:D46))*25%,0)</f>
        <v>182865</v>
      </c>
      <c r="E47" s="119"/>
      <c r="F47" s="42"/>
      <c r="G47" s="36"/>
      <c r="H47" s="69"/>
    </row>
    <row r="48" spans="1:8" x14ac:dyDescent="0.3">
      <c r="A48" s="44">
        <f>E49-SUM(A7:A47)</f>
        <v>513449.59999999963</v>
      </c>
      <c r="B48" s="126" t="s">
        <v>8</v>
      </c>
      <c r="C48" s="127"/>
      <c r="D48" s="69">
        <f>H49-SUM(D7:D47)</f>
        <v>548593</v>
      </c>
      <c r="E48" s="119"/>
      <c r="F48" s="42"/>
      <c r="G48" s="36"/>
      <c r="H48" s="69"/>
    </row>
    <row r="49" spans="1:10" ht="15" thickBot="1" x14ac:dyDescent="0.35">
      <c r="A49" s="128">
        <f>SUM(A7:A48)</f>
        <v>6813728</v>
      </c>
      <c r="B49" s="284" t="s">
        <v>9</v>
      </c>
      <c r="C49" s="284"/>
      <c r="D49" s="129">
        <f>SUM(D7:D48)</f>
        <v>6880103</v>
      </c>
      <c r="E49" s="192">
        <f>SUM(E7:E48)</f>
        <v>6813728</v>
      </c>
      <c r="F49" s="284" t="s">
        <v>9</v>
      </c>
      <c r="G49" s="284"/>
      <c r="H49" s="129">
        <f>SUM(H7:H48)</f>
        <v>6880103</v>
      </c>
    </row>
    <row r="50" spans="1:10" ht="6" customHeight="1" x14ac:dyDescent="0.3">
      <c r="A50" s="181"/>
      <c r="C50" s="31"/>
      <c r="D50" s="26"/>
      <c r="E50" s="26"/>
      <c r="G50" s="31">
        <f>A49-E49</f>
        <v>0</v>
      </c>
      <c r="H50" s="38">
        <f>H49-D49</f>
        <v>0</v>
      </c>
    </row>
    <row r="51" spans="1:10" ht="15" customHeight="1" x14ac:dyDescent="0.3">
      <c r="A51" s="166" t="s">
        <v>496</v>
      </c>
      <c r="B51" s="167"/>
      <c r="C51" s="168"/>
      <c r="D51" s="167"/>
      <c r="E51" s="276" t="s">
        <v>497</v>
      </c>
      <c r="F51" s="276"/>
      <c r="G51" s="276"/>
      <c r="H51" s="277"/>
    </row>
    <row r="52" spans="1:10" ht="15" customHeight="1" x14ac:dyDescent="0.3">
      <c r="A52" s="171"/>
      <c r="B52" s="167"/>
      <c r="C52" s="168"/>
      <c r="D52" s="167"/>
      <c r="E52" s="167"/>
      <c r="F52" s="167"/>
      <c r="G52" s="167"/>
      <c r="H52" s="172"/>
    </row>
    <row r="53" spans="1:10" ht="15" customHeight="1" x14ac:dyDescent="0.3">
      <c r="A53" s="171"/>
      <c r="B53" s="167"/>
      <c r="C53" s="168"/>
      <c r="D53" s="167"/>
      <c r="E53" s="167"/>
      <c r="F53" s="173"/>
      <c r="G53" s="173"/>
      <c r="H53" s="174"/>
    </row>
    <row r="54" spans="1:10" ht="15" customHeight="1" x14ac:dyDescent="0.3">
      <c r="A54" s="171"/>
      <c r="B54" s="167"/>
      <c r="C54" s="168"/>
      <c r="D54" s="167"/>
      <c r="E54" s="167"/>
      <c r="F54" s="173"/>
      <c r="G54" s="173"/>
      <c r="H54" s="174"/>
    </row>
    <row r="55" spans="1:10" ht="15" customHeight="1" x14ac:dyDescent="0.3">
      <c r="A55" s="175" t="s">
        <v>498</v>
      </c>
      <c r="B55" s="182"/>
      <c r="C55" s="183"/>
      <c r="D55" s="167"/>
      <c r="E55" s="167"/>
      <c r="F55" s="173"/>
      <c r="G55" s="173"/>
      <c r="H55" s="174"/>
    </row>
    <row r="56" spans="1:10" ht="15" customHeight="1" x14ac:dyDescent="0.3">
      <c r="A56" s="176" t="s">
        <v>499</v>
      </c>
      <c r="B56" s="182"/>
      <c r="C56" s="183"/>
      <c r="D56" s="167"/>
      <c r="E56" s="276" t="s">
        <v>500</v>
      </c>
      <c r="F56" s="276"/>
      <c r="G56" s="276"/>
      <c r="H56" s="277"/>
      <c r="J56" s="140"/>
    </row>
    <row r="57" spans="1:10" ht="15" customHeight="1" x14ac:dyDescent="0.3">
      <c r="A57" s="176" t="s">
        <v>502</v>
      </c>
      <c r="B57" s="182"/>
      <c r="C57" s="183"/>
      <c r="D57" s="167"/>
      <c r="E57" s="173"/>
      <c r="F57" s="173"/>
      <c r="G57" s="173"/>
      <c r="H57" s="174"/>
    </row>
    <row r="58" spans="1:10" ht="15" customHeight="1" x14ac:dyDescent="0.3">
      <c r="A58" s="278">
        <v>46221</v>
      </c>
      <c r="B58" s="279"/>
      <c r="C58" s="279"/>
      <c r="D58" s="167"/>
      <c r="E58" s="167"/>
      <c r="F58" s="167"/>
      <c r="G58" s="167"/>
      <c r="H58" s="172"/>
    </row>
    <row r="59" spans="1:10" ht="7.95" customHeight="1" x14ac:dyDescent="0.3">
      <c r="A59" s="177"/>
      <c r="B59" s="178"/>
      <c r="C59" s="179"/>
      <c r="D59" s="178"/>
      <c r="E59" s="179"/>
      <c r="F59" s="178"/>
      <c r="G59" s="178"/>
      <c r="H59" s="180"/>
    </row>
    <row r="65" ht="7.95" customHeight="1" x14ac:dyDescent="0.3"/>
  </sheetData>
  <mergeCells count="11">
    <mergeCell ref="E51:H51"/>
    <mergeCell ref="E56:H56"/>
    <mergeCell ref="A58:C58"/>
    <mergeCell ref="A1:H1"/>
    <mergeCell ref="A2:H2"/>
    <mergeCell ref="A3:H3"/>
    <mergeCell ref="B49:C49"/>
    <mergeCell ref="F49:G49"/>
    <mergeCell ref="B6:C6"/>
    <mergeCell ref="F6:G6"/>
    <mergeCell ref="A4:H4"/>
  </mergeCells>
  <printOptions horizontalCentered="1"/>
  <pageMargins left="0.39370078740157483" right="0.19685039370078741" top="0.39370078740157483" bottom="0.19685039370078741" header="0.19685039370078741" footer="0.19685039370078741"/>
  <pageSetup paperSize="9"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"/>
  <sheetViews>
    <sheetView view="pageBreakPreview" topLeftCell="A19" zoomScaleNormal="100" zoomScaleSheetLayoutView="100" workbookViewId="0">
      <selection activeCell="K28" sqref="K28"/>
    </sheetView>
  </sheetViews>
  <sheetFormatPr defaultColWidth="8.88671875" defaultRowHeight="14.4" x14ac:dyDescent="0.3"/>
  <cols>
    <col min="1" max="1" width="3.33203125" style="12" bestFit="1" customWidth="1"/>
    <col min="2" max="2" width="24.5546875" style="12" bestFit="1" customWidth="1"/>
    <col min="3" max="3" width="5.109375" style="12" bestFit="1" customWidth="1"/>
    <col min="4" max="4" width="6" style="12" bestFit="1" customWidth="1"/>
    <col min="5" max="5" width="10.109375" style="12" bestFit="1" customWidth="1"/>
    <col min="6" max="6" width="13.88671875" style="19" bestFit="1" customWidth="1"/>
    <col min="7" max="7" width="9" style="19" bestFit="1" customWidth="1"/>
    <col min="8" max="8" width="11" style="19" bestFit="1" customWidth="1"/>
    <col min="9" max="11" width="12.6640625" style="19" bestFit="1" customWidth="1"/>
    <col min="12" max="13" width="13.88671875" style="19" bestFit="1" customWidth="1"/>
    <col min="14" max="14" width="10.109375" style="12" bestFit="1" customWidth="1"/>
    <col min="15" max="15" width="13.88671875" style="19" bestFit="1" customWidth="1"/>
    <col min="16" max="16384" width="8.88671875" style="12"/>
  </cols>
  <sheetData>
    <row r="1" spans="1:15" ht="18" x14ac:dyDescent="0.3">
      <c r="A1" s="293" t="str">
        <f>BS!A1</f>
        <v>JEEVAN HEIGHTS  CO-OPERATIVE HOUSING SOCIETY LTD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5" x14ac:dyDescent="0.3">
      <c r="A2" s="294" t="s">
        <v>389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</row>
    <row r="3" spans="1:15" s="76" customFormat="1" ht="43.2" x14ac:dyDescent="0.3">
      <c r="A3" s="74" t="s">
        <v>59</v>
      </c>
      <c r="B3" s="74" t="s">
        <v>66</v>
      </c>
      <c r="C3" s="74" t="s">
        <v>67</v>
      </c>
      <c r="D3" s="74" t="s">
        <v>81</v>
      </c>
      <c r="E3" s="74" t="s">
        <v>68</v>
      </c>
      <c r="F3" s="75" t="s">
        <v>69</v>
      </c>
      <c r="G3" s="75" t="s">
        <v>183</v>
      </c>
      <c r="H3" s="75" t="s">
        <v>184</v>
      </c>
      <c r="I3" s="75" t="s">
        <v>185</v>
      </c>
      <c r="J3" s="75" t="s">
        <v>292</v>
      </c>
      <c r="K3" s="75" t="s">
        <v>390</v>
      </c>
      <c r="L3" s="75" t="s">
        <v>388</v>
      </c>
      <c r="M3" s="75" t="s">
        <v>70</v>
      </c>
      <c r="N3" s="74" t="s">
        <v>71</v>
      </c>
      <c r="O3" s="75" t="s">
        <v>72</v>
      </c>
    </row>
    <row r="4" spans="1:15" x14ac:dyDescent="0.3">
      <c r="B4" s="77" t="s">
        <v>56</v>
      </c>
    </row>
    <row r="5" spans="1:15" x14ac:dyDescent="0.3">
      <c r="A5" s="21">
        <v>1</v>
      </c>
      <c r="B5" s="65">
        <v>196013003673</v>
      </c>
      <c r="C5" s="21" t="s">
        <v>182</v>
      </c>
      <c r="D5" s="85">
        <v>5.6000000000000001E-2</v>
      </c>
      <c r="E5" s="21" t="s">
        <v>179</v>
      </c>
      <c r="F5" s="22">
        <v>362304</v>
      </c>
      <c r="G5" s="22">
        <v>109</v>
      </c>
      <c r="H5" s="22">
        <v>14738</v>
      </c>
      <c r="I5" s="22">
        <v>15827</v>
      </c>
      <c r="J5" s="22">
        <f>22473</f>
        <v>22473</v>
      </c>
      <c r="K5" s="22">
        <f>23758-2376</f>
        <v>21382</v>
      </c>
      <c r="L5" s="22">
        <f>SUM(G5:K5)</f>
        <v>74529</v>
      </c>
      <c r="M5" s="22">
        <f>F5+L5</f>
        <v>436833</v>
      </c>
      <c r="N5" s="21" t="s">
        <v>186</v>
      </c>
      <c r="O5" s="22">
        <v>475851</v>
      </c>
    </row>
    <row r="6" spans="1:15" x14ac:dyDescent="0.3">
      <c r="A6" s="21">
        <v>2</v>
      </c>
      <c r="B6" s="65">
        <v>196013004075</v>
      </c>
      <c r="C6" s="21" t="s">
        <v>182</v>
      </c>
      <c r="D6" s="85">
        <v>5.8999999999999997E-2</v>
      </c>
      <c r="E6" s="21" t="s">
        <v>180</v>
      </c>
      <c r="F6" s="22">
        <v>90666</v>
      </c>
      <c r="G6" s="22">
        <v>0</v>
      </c>
      <c r="H6" s="22">
        <v>3331</v>
      </c>
      <c r="I6" s="22">
        <v>5670</v>
      </c>
      <c r="J6" s="22">
        <f>6012-601</f>
        <v>5411</v>
      </c>
      <c r="K6" s="22">
        <f>6338-634</f>
        <v>5704</v>
      </c>
      <c r="L6" s="22">
        <f t="shared" ref="L6:L10" si="0">SUM(G6:K6)</f>
        <v>20116</v>
      </c>
      <c r="M6" s="22">
        <f t="shared" ref="M6:M10" si="1">F6+L6</f>
        <v>110782</v>
      </c>
      <c r="N6" s="21" t="s">
        <v>187</v>
      </c>
      <c r="O6" s="22">
        <v>121856</v>
      </c>
    </row>
    <row r="7" spans="1:15" x14ac:dyDescent="0.3">
      <c r="A7" s="21">
        <v>3</v>
      </c>
      <c r="B7" s="65">
        <v>196013005097</v>
      </c>
      <c r="C7" s="21" t="s">
        <v>182</v>
      </c>
      <c r="D7" s="85">
        <v>6.9000000000000006E-2</v>
      </c>
      <c r="E7" s="21" t="s">
        <v>181</v>
      </c>
      <c r="F7" s="22">
        <v>181152</v>
      </c>
      <c r="G7" s="22">
        <v>0</v>
      </c>
      <c r="H7" s="22">
        <v>60</v>
      </c>
      <c r="I7" s="22">
        <v>12831</v>
      </c>
      <c r="J7" s="22">
        <f>13739-1374</f>
        <v>12365</v>
      </c>
      <c r="K7" s="22">
        <f>14615-1462</f>
        <v>13153</v>
      </c>
      <c r="L7" s="22">
        <f t="shared" si="0"/>
        <v>38409</v>
      </c>
      <c r="M7" s="22">
        <f t="shared" si="1"/>
        <v>219561</v>
      </c>
      <c r="N7" s="21" t="s">
        <v>188</v>
      </c>
      <c r="O7" s="22">
        <f>256027</f>
        <v>256027</v>
      </c>
    </row>
    <row r="8" spans="1:15" x14ac:dyDescent="0.3">
      <c r="A8" s="21">
        <v>4</v>
      </c>
      <c r="B8" s="65">
        <v>196013004077</v>
      </c>
      <c r="C8" s="21" t="s">
        <v>182</v>
      </c>
      <c r="D8" s="85">
        <v>5.8999999999999997E-2</v>
      </c>
      <c r="E8" s="21" t="s">
        <v>180</v>
      </c>
      <c r="F8" s="22">
        <v>90666</v>
      </c>
      <c r="G8" s="22">
        <v>0</v>
      </c>
      <c r="H8" s="22">
        <v>3331</v>
      </c>
      <c r="I8" s="22">
        <v>5103</v>
      </c>
      <c r="J8" s="22">
        <f>5977-598</f>
        <v>5379</v>
      </c>
      <c r="K8" s="22">
        <f>6302-631</f>
        <v>5671</v>
      </c>
      <c r="L8" s="22">
        <f t="shared" si="0"/>
        <v>19484</v>
      </c>
      <c r="M8" s="22">
        <f t="shared" si="1"/>
        <v>110150</v>
      </c>
      <c r="N8" s="21" t="s">
        <v>187</v>
      </c>
      <c r="O8" s="22">
        <v>121729</v>
      </c>
    </row>
    <row r="9" spans="1:15" x14ac:dyDescent="0.3">
      <c r="A9" s="21">
        <v>5</v>
      </c>
      <c r="B9" s="65" t="s">
        <v>406</v>
      </c>
      <c r="C9" s="21" t="s">
        <v>182</v>
      </c>
      <c r="D9" s="85">
        <v>6.3E-2</v>
      </c>
      <c r="E9" s="21" t="s">
        <v>217</v>
      </c>
      <c r="F9" s="22">
        <v>334942</v>
      </c>
      <c r="G9" s="22">
        <v>0</v>
      </c>
      <c r="H9" s="22">
        <v>0</v>
      </c>
      <c r="I9" s="22">
        <v>0</v>
      </c>
      <c r="J9" s="22">
        <v>0</v>
      </c>
      <c r="K9" s="22">
        <f>284-29</f>
        <v>255</v>
      </c>
      <c r="L9" s="22">
        <f t="shared" si="0"/>
        <v>255</v>
      </c>
      <c r="M9" s="22">
        <f t="shared" si="1"/>
        <v>335197</v>
      </c>
      <c r="N9" s="21" t="s">
        <v>400</v>
      </c>
      <c r="O9" s="84">
        <v>379542</v>
      </c>
    </row>
    <row r="10" spans="1:15" x14ac:dyDescent="0.3">
      <c r="A10" s="21">
        <v>6</v>
      </c>
      <c r="B10" s="65">
        <v>196013008007</v>
      </c>
      <c r="C10" s="21" t="s">
        <v>182</v>
      </c>
      <c r="D10" s="85">
        <v>7.0000000000000007E-2</v>
      </c>
      <c r="E10" s="21" t="s">
        <v>342</v>
      </c>
      <c r="F10" s="22">
        <v>296316</v>
      </c>
      <c r="G10" s="22">
        <v>0</v>
      </c>
      <c r="H10" s="22">
        <v>0</v>
      </c>
      <c r="I10" s="22">
        <v>0</v>
      </c>
      <c r="J10" s="22">
        <f>669-67</f>
        <v>602</v>
      </c>
      <c r="K10" s="22">
        <f>21336-2134</f>
        <v>19202</v>
      </c>
      <c r="L10" s="22">
        <f t="shared" si="0"/>
        <v>19804</v>
      </c>
      <c r="M10" s="22">
        <f t="shared" si="1"/>
        <v>316120</v>
      </c>
      <c r="N10" s="21" t="s">
        <v>404</v>
      </c>
      <c r="O10" s="84">
        <v>418517</v>
      </c>
    </row>
    <row r="11" spans="1:15" x14ac:dyDescent="0.3">
      <c r="A11" s="21">
        <v>7</v>
      </c>
      <c r="B11" s="65">
        <v>196013008668</v>
      </c>
      <c r="C11" s="21" t="s">
        <v>182</v>
      </c>
      <c r="D11" s="85">
        <v>6.6000000000000003E-2</v>
      </c>
      <c r="E11" s="21" t="s">
        <v>402</v>
      </c>
      <c r="F11" s="22">
        <v>294841</v>
      </c>
      <c r="G11" s="22">
        <v>0</v>
      </c>
      <c r="H11" s="22">
        <v>0</v>
      </c>
      <c r="I11" s="22">
        <v>0</v>
      </c>
      <c r="J11" s="22">
        <v>0</v>
      </c>
      <c r="K11" s="22">
        <f>10134-1013</f>
        <v>9121</v>
      </c>
      <c r="L11" s="22">
        <f t="shared" ref="L11" si="2">SUM(G11:K11)</f>
        <v>9121</v>
      </c>
      <c r="M11" s="22">
        <f t="shared" ref="M11" si="3">F11+L11</f>
        <v>303962</v>
      </c>
      <c r="N11" s="21" t="s">
        <v>403</v>
      </c>
      <c r="O11" s="84">
        <v>408740</v>
      </c>
    </row>
    <row r="12" spans="1:15" ht="15" thickBot="1" x14ac:dyDescent="0.35">
      <c r="A12" s="199">
        <v>8</v>
      </c>
      <c r="B12" s="200">
        <v>15605300009900</v>
      </c>
      <c r="C12" s="199" t="s">
        <v>492</v>
      </c>
      <c r="D12" s="201">
        <v>7.1999999999999995E-2</v>
      </c>
      <c r="E12" s="199" t="s">
        <v>493</v>
      </c>
      <c r="F12" s="202">
        <v>55000</v>
      </c>
      <c r="G12" s="202">
        <v>0</v>
      </c>
      <c r="H12" s="202">
        <v>0</v>
      </c>
      <c r="I12" s="202">
        <v>0</v>
      </c>
      <c r="J12" s="202">
        <v>0</v>
      </c>
      <c r="K12" s="202">
        <f>3149</f>
        <v>3149</v>
      </c>
      <c r="L12" s="202">
        <f t="shared" ref="L12" si="4">SUM(G12:K12)</f>
        <v>3149</v>
      </c>
      <c r="M12" s="202">
        <f t="shared" ref="M12" si="5">F12+L12</f>
        <v>58149</v>
      </c>
      <c r="N12" s="199" t="s">
        <v>494</v>
      </c>
      <c r="O12" s="203">
        <v>62316</v>
      </c>
    </row>
    <row r="13" spans="1:15" ht="15" thickBot="1" x14ac:dyDescent="0.35">
      <c r="A13" s="295" t="s">
        <v>501</v>
      </c>
      <c r="B13" s="296"/>
      <c r="C13" s="296"/>
      <c r="D13" s="296"/>
      <c r="E13" s="297"/>
      <c r="F13" s="205">
        <f>SUM(F5:F12)</f>
        <v>1705887</v>
      </c>
      <c r="G13" s="205">
        <f t="shared" ref="G13:O13" si="6">SUM(G5:G12)</f>
        <v>109</v>
      </c>
      <c r="H13" s="205">
        <f t="shared" si="6"/>
        <v>21460</v>
      </c>
      <c r="I13" s="205">
        <f t="shared" si="6"/>
        <v>39431</v>
      </c>
      <c r="J13" s="205">
        <f t="shared" si="6"/>
        <v>46230</v>
      </c>
      <c r="K13" s="205">
        <f t="shared" si="6"/>
        <v>77637</v>
      </c>
      <c r="L13" s="205">
        <f t="shared" si="6"/>
        <v>184867</v>
      </c>
      <c r="M13" s="205">
        <f t="shared" si="6"/>
        <v>1890754</v>
      </c>
      <c r="N13" s="204"/>
      <c r="O13" s="206">
        <f t="shared" si="6"/>
        <v>2244578</v>
      </c>
    </row>
    <row r="15" spans="1:15" x14ac:dyDescent="0.3">
      <c r="B15" s="77" t="s">
        <v>73</v>
      </c>
    </row>
    <row r="16" spans="1:15" x14ac:dyDescent="0.3">
      <c r="A16" s="21">
        <v>9</v>
      </c>
      <c r="B16" s="65">
        <v>195913010405</v>
      </c>
      <c r="C16" s="21" t="s">
        <v>182</v>
      </c>
      <c r="D16" s="85">
        <v>5.6000000000000001E-2</v>
      </c>
      <c r="E16" s="21" t="s">
        <v>179</v>
      </c>
      <c r="F16" s="22">
        <v>1086912</v>
      </c>
      <c r="G16" s="22">
        <v>327</v>
      </c>
      <c r="H16" s="22">
        <v>55959</v>
      </c>
      <c r="I16" s="22">
        <v>58839</v>
      </c>
      <c r="J16" s="22">
        <f>68741-6875</f>
        <v>61866</v>
      </c>
      <c r="K16" s="22">
        <f>72278-7228</f>
        <v>65050</v>
      </c>
      <c r="L16" s="22">
        <f t="shared" ref="L16:L18" si="7">SUM(G16:K16)</f>
        <v>242041</v>
      </c>
      <c r="M16" s="22">
        <f t="shared" ref="M16:M18" si="8">F16+L16</f>
        <v>1328953</v>
      </c>
      <c r="N16" s="21" t="s">
        <v>186</v>
      </c>
      <c r="O16" s="22">
        <v>1431602</v>
      </c>
    </row>
    <row r="17" spans="1:15" x14ac:dyDescent="0.3">
      <c r="A17" s="21">
        <v>10</v>
      </c>
      <c r="B17" s="65">
        <v>196013004076</v>
      </c>
      <c r="C17" s="21" t="s">
        <v>182</v>
      </c>
      <c r="D17" s="85">
        <v>5.8999999999999997E-2</v>
      </c>
      <c r="E17" s="21" t="s">
        <v>180</v>
      </c>
      <c r="F17" s="22">
        <v>271772</v>
      </c>
      <c r="G17" s="22">
        <v>0</v>
      </c>
      <c r="H17" s="22">
        <v>9985</v>
      </c>
      <c r="I17" s="22">
        <v>16995</v>
      </c>
      <c r="J17" s="22">
        <f>18020-1802</f>
        <v>16218</v>
      </c>
      <c r="K17" s="22">
        <f>18998-1900</f>
        <v>17098</v>
      </c>
      <c r="L17" s="22">
        <f t="shared" si="7"/>
        <v>60296</v>
      </c>
      <c r="M17" s="22">
        <f t="shared" si="8"/>
        <v>332068</v>
      </c>
      <c r="N17" s="21" t="s">
        <v>187</v>
      </c>
      <c r="O17" s="22">
        <f>365263</f>
        <v>365263</v>
      </c>
    </row>
    <row r="18" spans="1:15" ht="15" thickBot="1" x14ac:dyDescent="0.35">
      <c r="A18" s="199">
        <v>11</v>
      </c>
      <c r="B18" s="200" t="s">
        <v>399</v>
      </c>
      <c r="C18" s="199" t="s">
        <v>182</v>
      </c>
      <c r="D18" s="201">
        <v>6.3E-2</v>
      </c>
      <c r="E18" s="199" t="s">
        <v>217</v>
      </c>
      <c r="F18" s="202">
        <v>197391</v>
      </c>
      <c r="G18" s="202">
        <v>0</v>
      </c>
      <c r="H18" s="202">
        <v>0</v>
      </c>
      <c r="I18" s="202">
        <v>0</v>
      </c>
      <c r="J18" s="202">
        <v>0</v>
      </c>
      <c r="K18" s="202">
        <f>167-16</f>
        <v>151</v>
      </c>
      <c r="L18" s="202">
        <f t="shared" si="7"/>
        <v>151</v>
      </c>
      <c r="M18" s="202">
        <f t="shared" si="8"/>
        <v>197542</v>
      </c>
      <c r="N18" s="199" t="s">
        <v>400</v>
      </c>
      <c r="O18" s="203">
        <v>223675</v>
      </c>
    </row>
    <row r="19" spans="1:15" ht="15" thickBot="1" x14ac:dyDescent="0.35">
      <c r="A19" s="295" t="s">
        <v>501</v>
      </c>
      <c r="B19" s="296"/>
      <c r="C19" s="296"/>
      <c r="D19" s="296"/>
      <c r="E19" s="297"/>
      <c r="F19" s="205">
        <f>SUM(F16:F18)</f>
        <v>1556075</v>
      </c>
      <c r="G19" s="205">
        <f t="shared" ref="G19:M19" si="9">SUM(G16:G18)</f>
        <v>327</v>
      </c>
      <c r="H19" s="205">
        <f t="shared" si="9"/>
        <v>65944</v>
      </c>
      <c r="I19" s="205">
        <f t="shared" si="9"/>
        <v>75834</v>
      </c>
      <c r="J19" s="205">
        <f t="shared" si="9"/>
        <v>78084</v>
      </c>
      <c r="K19" s="205">
        <f t="shared" ref="K19:L19" si="10">SUM(K13:K18)</f>
        <v>159936</v>
      </c>
      <c r="L19" s="205">
        <f t="shared" si="10"/>
        <v>487355</v>
      </c>
      <c r="M19" s="205">
        <f t="shared" si="9"/>
        <v>1858563</v>
      </c>
      <c r="N19" s="204"/>
      <c r="O19" s="206">
        <f>SUM(O16:O18)</f>
        <v>2020540</v>
      </c>
    </row>
    <row r="20" spans="1:15" x14ac:dyDescent="0.3">
      <c r="F20" s="66"/>
      <c r="G20" s="66"/>
      <c r="H20" s="66"/>
      <c r="I20" s="66"/>
      <c r="J20" s="66"/>
      <c r="K20" s="66"/>
      <c r="L20" s="66"/>
      <c r="M20" s="66"/>
      <c r="O20" s="66"/>
    </row>
    <row r="21" spans="1:15" x14ac:dyDescent="0.3">
      <c r="B21" s="71" t="s">
        <v>189</v>
      </c>
      <c r="F21" s="66"/>
      <c r="G21" s="66"/>
      <c r="H21" s="66"/>
      <c r="I21" s="66"/>
      <c r="J21" s="66"/>
      <c r="K21" s="66"/>
      <c r="L21" s="66"/>
      <c r="M21" s="66"/>
      <c r="O21" s="66"/>
    </row>
    <row r="22" spans="1:15" x14ac:dyDescent="0.3">
      <c r="A22" s="21">
        <v>12</v>
      </c>
      <c r="B22" s="65">
        <v>196013005098</v>
      </c>
      <c r="C22" s="21" t="s">
        <v>182</v>
      </c>
      <c r="D22" s="85">
        <v>6.9000000000000006E-2</v>
      </c>
      <c r="E22" s="21" t="s">
        <v>181</v>
      </c>
      <c r="F22" s="22">
        <v>119378</v>
      </c>
      <c r="G22" s="22">
        <v>0</v>
      </c>
      <c r="H22" s="22">
        <v>40</v>
      </c>
      <c r="I22" s="22">
        <v>7611</v>
      </c>
      <c r="J22" s="22">
        <f>8994-899</f>
        <v>8095</v>
      </c>
      <c r="K22" s="22">
        <f>9567-956</f>
        <v>8611</v>
      </c>
      <c r="L22" s="22">
        <f t="shared" ref="L22:L27" si="11">SUM(G22:K22)</f>
        <v>24357</v>
      </c>
      <c r="M22" s="22">
        <f t="shared" ref="M22:M27" si="12">F22+L22</f>
        <v>143735</v>
      </c>
      <c r="N22" s="21" t="s">
        <v>188</v>
      </c>
      <c r="O22" s="22">
        <v>168451</v>
      </c>
    </row>
    <row r="23" spans="1:15" x14ac:dyDescent="0.3">
      <c r="A23" s="21">
        <v>13</v>
      </c>
      <c r="B23" s="65">
        <v>196013004078</v>
      </c>
      <c r="C23" s="21" t="s">
        <v>182</v>
      </c>
      <c r="D23" s="85">
        <v>5.8999999999999997E-2</v>
      </c>
      <c r="E23" s="21" t="s">
        <v>180</v>
      </c>
      <c r="F23" s="22">
        <v>271772</v>
      </c>
      <c r="G23" s="22">
        <v>0</v>
      </c>
      <c r="H23" s="22">
        <v>9985</v>
      </c>
      <c r="I23" s="22">
        <v>15295</v>
      </c>
      <c r="J23" s="22">
        <f>17918-1792</f>
        <v>16126</v>
      </c>
      <c r="K23" s="22">
        <f>18890-1889</f>
        <v>17001</v>
      </c>
      <c r="L23" s="22">
        <f t="shared" si="11"/>
        <v>58407</v>
      </c>
      <c r="M23" s="22">
        <f t="shared" si="12"/>
        <v>330179</v>
      </c>
      <c r="N23" s="21" t="s">
        <v>187</v>
      </c>
      <c r="O23" s="22">
        <f>364885</f>
        <v>364885</v>
      </c>
    </row>
    <row r="24" spans="1:15" x14ac:dyDescent="0.3">
      <c r="A24" s="21">
        <v>14</v>
      </c>
      <c r="B24" s="65" t="s">
        <v>397</v>
      </c>
      <c r="C24" s="21" t="s">
        <v>182</v>
      </c>
      <c r="D24" s="85">
        <v>6.25E-2</v>
      </c>
      <c r="E24" s="21" t="s">
        <v>392</v>
      </c>
      <c r="F24" s="22">
        <v>119433</v>
      </c>
      <c r="G24" s="22">
        <v>0</v>
      </c>
      <c r="H24" s="22">
        <v>0</v>
      </c>
      <c r="I24" s="22">
        <v>0</v>
      </c>
      <c r="J24" s="22">
        <v>0</v>
      </c>
      <c r="K24" s="22">
        <f>2539-253</f>
        <v>2286</v>
      </c>
      <c r="L24" s="22">
        <f t="shared" si="11"/>
        <v>2286</v>
      </c>
      <c r="M24" s="22">
        <f t="shared" si="12"/>
        <v>121719</v>
      </c>
      <c r="N24" s="21" t="s">
        <v>393</v>
      </c>
      <c r="O24" s="22">
        <v>129707</v>
      </c>
    </row>
    <row r="25" spans="1:15" x14ac:dyDescent="0.3">
      <c r="A25" s="21">
        <v>15</v>
      </c>
      <c r="B25" s="65" t="s">
        <v>391</v>
      </c>
      <c r="C25" s="21" t="s">
        <v>182</v>
      </c>
      <c r="D25" s="85">
        <v>6.25E-2</v>
      </c>
      <c r="E25" s="21" t="s">
        <v>392</v>
      </c>
      <c r="F25" s="22">
        <v>115605</v>
      </c>
      <c r="G25" s="22">
        <v>0</v>
      </c>
      <c r="H25" s="22">
        <v>0</v>
      </c>
      <c r="I25" s="22">
        <v>0</v>
      </c>
      <c r="J25" s="22">
        <v>0</v>
      </c>
      <c r="K25" s="22">
        <f>2457-246</f>
        <v>2211</v>
      </c>
      <c r="L25" s="22">
        <f t="shared" si="11"/>
        <v>2211</v>
      </c>
      <c r="M25" s="22">
        <f t="shared" si="12"/>
        <v>117816</v>
      </c>
      <c r="N25" s="21" t="s">
        <v>393</v>
      </c>
      <c r="O25" s="22">
        <v>125549</v>
      </c>
    </row>
    <row r="26" spans="1:15" x14ac:dyDescent="0.3">
      <c r="A26" s="21">
        <v>16</v>
      </c>
      <c r="B26" s="65" t="s">
        <v>405</v>
      </c>
      <c r="C26" s="21" t="s">
        <v>182</v>
      </c>
      <c r="D26" s="85">
        <v>6.3E-2</v>
      </c>
      <c r="E26" s="21" t="s">
        <v>217</v>
      </c>
      <c r="F26" s="22">
        <v>318650</v>
      </c>
      <c r="G26" s="22">
        <v>0</v>
      </c>
      <c r="H26" s="22">
        <v>0</v>
      </c>
      <c r="I26" s="22">
        <v>0</v>
      </c>
      <c r="J26" s="22">
        <v>0</v>
      </c>
      <c r="K26" s="22">
        <f>270-27</f>
        <v>243</v>
      </c>
      <c r="L26" s="22">
        <f t="shared" si="11"/>
        <v>243</v>
      </c>
      <c r="M26" s="22">
        <f t="shared" si="12"/>
        <v>318893</v>
      </c>
      <c r="N26" s="84" t="s">
        <v>400</v>
      </c>
      <c r="O26" s="84">
        <v>361081</v>
      </c>
    </row>
    <row r="27" spans="1:15" ht="15" thickBot="1" x14ac:dyDescent="0.35">
      <c r="A27" s="199">
        <v>17</v>
      </c>
      <c r="B27" s="200" t="s">
        <v>394</v>
      </c>
      <c r="C27" s="199" t="s">
        <v>182</v>
      </c>
      <c r="D27" s="201">
        <v>6.25E-2</v>
      </c>
      <c r="E27" s="199" t="s">
        <v>395</v>
      </c>
      <c r="F27" s="202">
        <v>120336</v>
      </c>
      <c r="G27" s="202">
        <v>0</v>
      </c>
      <c r="H27" s="202">
        <v>0</v>
      </c>
      <c r="I27" s="202">
        <v>0</v>
      </c>
      <c r="J27" s="202">
        <v>0</v>
      </c>
      <c r="K27" s="202">
        <f>991-99</f>
        <v>892</v>
      </c>
      <c r="L27" s="202">
        <f t="shared" si="11"/>
        <v>892</v>
      </c>
      <c r="M27" s="202">
        <f t="shared" si="12"/>
        <v>121228</v>
      </c>
      <c r="N27" s="203" t="s">
        <v>396</v>
      </c>
      <c r="O27" s="203">
        <v>130029</v>
      </c>
    </row>
    <row r="28" spans="1:15" ht="15" thickBot="1" x14ac:dyDescent="0.35">
      <c r="A28" s="295" t="s">
        <v>501</v>
      </c>
      <c r="B28" s="296"/>
      <c r="C28" s="296"/>
      <c r="D28" s="296"/>
      <c r="E28" s="297"/>
      <c r="F28" s="205">
        <f>SUM(F22:F27)</f>
        <v>1065174</v>
      </c>
      <c r="G28" s="205">
        <f t="shared" ref="G28:O28" si="13">SUM(G22:G27)</f>
        <v>0</v>
      </c>
      <c r="H28" s="205">
        <f t="shared" si="13"/>
        <v>10025</v>
      </c>
      <c r="I28" s="205">
        <f t="shared" si="13"/>
        <v>22906</v>
      </c>
      <c r="J28" s="205">
        <f t="shared" si="13"/>
        <v>24221</v>
      </c>
      <c r="K28" s="205">
        <f t="shared" si="13"/>
        <v>31244</v>
      </c>
      <c r="L28" s="205">
        <f t="shared" si="13"/>
        <v>88396</v>
      </c>
      <c r="M28" s="205">
        <f t="shared" si="13"/>
        <v>1153570</v>
      </c>
      <c r="N28" s="204"/>
      <c r="O28" s="206">
        <f t="shared" si="13"/>
        <v>1279702</v>
      </c>
    </row>
    <row r="29" spans="1:15" x14ac:dyDescent="0.3">
      <c r="B29" s="67"/>
      <c r="F29" s="66"/>
      <c r="G29" s="66"/>
      <c r="H29" s="66"/>
      <c r="I29" s="66"/>
      <c r="J29" s="66"/>
      <c r="K29" s="66"/>
      <c r="L29" s="66"/>
      <c r="M29" s="66"/>
      <c r="O29" s="66"/>
    </row>
    <row r="30" spans="1:15" x14ac:dyDescent="0.3">
      <c r="B30" s="78" t="s">
        <v>190</v>
      </c>
      <c r="F30" s="66"/>
      <c r="G30" s="66"/>
      <c r="H30" s="66"/>
      <c r="I30" s="66"/>
      <c r="J30" s="66"/>
      <c r="K30" s="66"/>
      <c r="L30" s="66"/>
      <c r="M30" s="66"/>
      <c r="O30" s="66"/>
    </row>
    <row r="31" spans="1:15" ht="15" thickBot="1" x14ac:dyDescent="0.35">
      <c r="A31" s="199">
        <v>18</v>
      </c>
      <c r="B31" s="200">
        <v>196010002984</v>
      </c>
      <c r="C31" s="199" t="s">
        <v>182</v>
      </c>
      <c r="D31" s="201">
        <v>6.3E-2</v>
      </c>
      <c r="E31" s="199" t="s">
        <v>217</v>
      </c>
      <c r="F31" s="202">
        <v>31500</v>
      </c>
      <c r="G31" s="202">
        <v>0</v>
      </c>
      <c r="H31" s="202">
        <v>0</v>
      </c>
      <c r="I31" s="202">
        <v>0</v>
      </c>
      <c r="J31" s="202">
        <v>0</v>
      </c>
      <c r="K31" s="202">
        <f>27-3</f>
        <v>24</v>
      </c>
      <c r="L31" s="202">
        <f t="shared" ref="L31" si="14">SUM(G31:K31)</f>
        <v>24</v>
      </c>
      <c r="M31" s="202">
        <f t="shared" ref="M31" si="15">F31+L31</f>
        <v>31524</v>
      </c>
      <c r="N31" s="199" t="s">
        <v>400</v>
      </c>
      <c r="O31" s="203">
        <v>31500</v>
      </c>
    </row>
    <row r="32" spans="1:15" ht="15" thickBot="1" x14ac:dyDescent="0.35">
      <c r="A32" s="295" t="s">
        <v>501</v>
      </c>
      <c r="B32" s="296"/>
      <c r="C32" s="296"/>
      <c r="D32" s="296"/>
      <c r="E32" s="297"/>
      <c r="F32" s="205">
        <f>SUM(F31)</f>
        <v>31500</v>
      </c>
      <c r="G32" s="205">
        <f t="shared" ref="G32:M32" si="16">SUM(G31)</f>
        <v>0</v>
      </c>
      <c r="H32" s="205">
        <f t="shared" si="16"/>
        <v>0</v>
      </c>
      <c r="I32" s="205">
        <f t="shared" si="16"/>
        <v>0</v>
      </c>
      <c r="J32" s="205">
        <f t="shared" si="16"/>
        <v>0</v>
      </c>
      <c r="K32" s="205">
        <f t="shared" ref="K32:L32" si="17">SUM(K26:K31)</f>
        <v>32403</v>
      </c>
      <c r="L32" s="205">
        <f t="shared" si="17"/>
        <v>89555</v>
      </c>
      <c r="M32" s="205">
        <f t="shared" si="16"/>
        <v>31524</v>
      </c>
      <c r="N32" s="204"/>
      <c r="O32" s="206">
        <f>SUM(O31)</f>
        <v>31500</v>
      </c>
    </row>
    <row r="33" spans="1:15" x14ac:dyDescent="0.3">
      <c r="B33" s="67"/>
      <c r="F33" s="66"/>
      <c r="G33" s="66"/>
      <c r="H33" s="66"/>
      <c r="I33" s="66"/>
      <c r="J33" s="66"/>
      <c r="K33" s="66"/>
      <c r="L33" s="66"/>
      <c r="M33" s="66"/>
      <c r="O33" s="66"/>
    </row>
    <row r="34" spans="1:15" x14ac:dyDescent="0.3">
      <c r="B34" s="79" t="s">
        <v>191</v>
      </c>
      <c r="F34" s="66"/>
      <c r="G34" s="66"/>
      <c r="H34" s="66"/>
      <c r="I34" s="66"/>
      <c r="J34" s="66"/>
      <c r="K34" s="66"/>
      <c r="L34" s="66"/>
      <c r="M34" s="66"/>
      <c r="O34" s="66"/>
    </row>
    <row r="35" spans="1:15" ht="15" thickBot="1" x14ac:dyDescent="0.35">
      <c r="A35" s="199">
        <v>19</v>
      </c>
      <c r="B35" s="200">
        <v>196013008039</v>
      </c>
      <c r="C35" s="199" t="s">
        <v>182</v>
      </c>
      <c r="D35" s="201">
        <v>7.0000000000000007E-2</v>
      </c>
      <c r="E35" s="199" t="s">
        <v>343</v>
      </c>
      <c r="F35" s="202">
        <v>15124</v>
      </c>
      <c r="G35" s="202">
        <v>0</v>
      </c>
      <c r="H35" s="202">
        <v>0</v>
      </c>
      <c r="I35" s="202">
        <v>0</v>
      </c>
      <c r="J35" s="202">
        <f>14-2</f>
        <v>12</v>
      </c>
      <c r="K35" s="202">
        <f>1088-109</f>
        <v>979</v>
      </c>
      <c r="L35" s="202">
        <f t="shared" ref="L35" si="18">SUM(G35:K35)</f>
        <v>991</v>
      </c>
      <c r="M35" s="202">
        <f t="shared" ref="M35" si="19">F35+L35</f>
        <v>16115</v>
      </c>
      <c r="N35" s="199" t="s">
        <v>398</v>
      </c>
      <c r="O35" s="203">
        <v>21362</v>
      </c>
    </row>
    <row r="36" spans="1:15" ht="15" thickBot="1" x14ac:dyDescent="0.35">
      <c r="A36" s="295" t="s">
        <v>501</v>
      </c>
      <c r="B36" s="296"/>
      <c r="C36" s="296"/>
      <c r="D36" s="296"/>
      <c r="E36" s="297"/>
      <c r="F36" s="205">
        <f>SUM(F35:F35)</f>
        <v>15124</v>
      </c>
      <c r="G36" s="205">
        <f>SUM(G35:G35)</f>
        <v>0</v>
      </c>
      <c r="H36" s="205">
        <f>SUM(H35:H35)</f>
        <v>0</v>
      </c>
      <c r="I36" s="205">
        <f>SUM(I35:I35)</f>
        <v>0</v>
      </c>
      <c r="J36" s="205">
        <f>SUM(J35:J35)</f>
        <v>12</v>
      </c>
      <c r="K36" s="205">
        <f>SUM(K31:K35)</f>
        <v>33406</v>
      </c>
      <c r="L36" s="205">
        <f>SUM(L31:L35)</f>
        <v>90570</v>
      </c>
      <c r="M36" s="205">
        <f>SUM(M35:M35)</f>
        <v>16115</v>
      </c>
      <c r="N36" s="204"/>
      <c r="O36" s="206">
        <f>SUM(O35:O35)</f>
        <v>21362</v>
      </c>
    </row>
    <row r="37" spans="1:15" x14ac:dyDescent="0.3">
      <c r="B37" s="67"/>
      <c r="F37" s="66"/>
      <c r="G37" s="66"/>
      <c r="H37" s="66"/>
      <c r="I37" s="66"/>
      <c r="J37" s="66"/>
      <c r="K37" s="66"/>
      <c r="L37" s="66"/>
      <c r="M37" s="66"/>
      <c r="O37" s="66"/>
    </row>
    <row r="38" spans="1:15" s="53" customFormat="1" x14ac:dyDescent="0.3">
      <c r="B38" s="79" t="s">
        <v>174</v>
      </c>
      <c r="F38" s="68"/>
      <c r="G38" s="68"/>
      <c r="H38" s="68"/>
      <c r="I38" s="68"/>
      <c r="J38" s="68"/>
      <c r="K38" s="68"/>
      <c r="L38" s="68"/>
      <c r="M38" s="68"/>
      <c r="O38" s="68"/>
    </row>
    <row r="39" spans="1:15" ht="15" thickBot="1" x14ac:dyDescent="0.35">
      <c r="A39" s="199">
        <v>20</v>
      </c>
      <c r="B39" s="200" t="s">
        <v>401</v>
      </c>
      <c r="C39" s="199" t="s">
        <v>182</v>
      </c>
      <c r="D39" s="201">
        <v>6.3E-2</v>
      </c>
      <c r="E39" s="199" t="s">
        <v>217</v>
      </c>
      <c r="F39" s="202">
        <v>255952</v>
      </c>
      <c r="G39" s="202">
        <v>0</v>
      </c>
      <c r="H39" s="202">
        <v>0</v>
      </c>
      <c r="I39" s="202">
        <v>0</v>
      </c>
      <c r="J39" s="202">
        <v>0</v>
      </c>
      <c r="K39" s="202">
        <f>217-21</f>
        <v>196</v>
      </c>
      <c r="L39" s="202">
        <f t="shared" ref="L39" si="20">SUM(G39:K39)</f>
        <v>196</v>
      </c>
      <c r="M39" s="202">
        <f t="shared" ref="M39" si="21">F39+L39</f>
        <v>256148</v>
      </c>
      <c r="N39" s="199" t="s">
        <v>400</v>
      </c>
      <c r="O39" s="203">
        <v>290034</v>
      </c>
    </row>
    <row r="40" spans="1:15" ht="15" thickBot="1" x14ac:dyDescent="0.35">
      <c r="A40" s="295" t="s">
        <v>501</v>
      </c>
      <c r="B40" s="296"/>
      <c r="C40" s="296"/>
      <c r="D40" s="296"/>
      <c r="E40" s="297"/>
      <c r="F40" s="205">
        <f>SUM(F39)</f>
        <v>255952</v>
      </c>
      <c r="G40" s="205">
        <f t="shared" ref="G40:M40" si="22">SUM(G39)</f>
        <v>0</v>
      </c>
      <c r="H40" s="205">
        <f t="shared" si="22"/>
        <v>0</v>
      </c>
      <c r="I40" s="205">
        <f t="shared" si="22"/>
        <v>0</v>
      </c>
      <c r="J40" s="205">
        <f t="shared" si="22"/>
        <v>0</v>
      </c>
      <c r="K40" s="205">
        <f>SUM(K35:K39)</f>
        <v>34581</v>
      </c>
      <c r="L40" s="205">
        <f>SUM(L35:L39)</f>
        <v>91757</v>
      </c>
      <c r="M40" s="205">
        <f t="shared" si="22"/>
        <v>256148</v>
      </c>
      <c r="N40" s="204"/>
      <c r="O40" s="206">
        <f>SUM(O39)</f>
        <v>290034</v>
      </c>
    </row>
    <row r="41" spans="1:15" ht="15" thickBot="1" x14ac:dyDescent="0.35">
      <c r="F41" s="66"/>
      <c r="G41" s="66"/>
      <c r="H41" s="66"/>
      <c r="I41" s="66"/>
      <c r="J41" s="66"/>
      <c r="K41" s="66"/>
      <c r="L41" s="66"/>
      <c r="M41" s="66"/>
      <c r="O41" s="66"/>
    </row>
    <row r="42" spans="1:15" ht="16.2" thickBot="1" x14ac:dyDescent="0.35">
      <c r="A42" s="295" t="s">
        <v>501</v>
      </c>
      <c r="B42" s="296"/>
      <c r="C42" s="296"/>
      <c r="D42" s="296"/>
      <c r="E42" s="297"/>
      <c r="F42" s="209">
        <f t="shared" ref="F42:M42" si="23">F13+F19+F28+F32+F36+F40</f>
        <v>4629712</v>
      </c>
      <c r="G42" s="209">
        <f t="shared" si="23"/>
        <v>436</v>
      </c>
      <c r="H42" s="209">
        <f t="shared" si="23"/>
        <v>97429</v>
      </c>
      <c r="I42" s="209">
        <f t="shared" si="23"/>
        <v>138171</v>
      </c>
      <c r="J42" s="209">
        <f t="shared" si="23"/>
        <v>148547</v>
      </c>
      <c r="K42" s="209">
        <f t="shared" si="23"/>
        <v>369207</v>
      </c>
      <c r="L42" s="209">
        <f t="shared" si="23"/>
        <v>1032500</v>
      </c>
      <c r="M42" s="209">
        <f t="shared" si="23"/>
        <v>5206674</v>
      </c>
      <c r="N42" s="208"/>
      <c r="O42" s="210">
        <f>O13+O19+O28+O32+O36+O40</f>
        <v>5887716</v>
      </c>
    </row>
  </sheetData>
  <mergeCells count="9">
    <mergeCell ref="A1:O1"/>
    <mergeCell ref="A2:O2"/>
    <mergeCell ref="A42:E42"/>
    <mergeCell ref="A13:E13"/>
    <mergeCell ref="A19:E19"/>
    <mergeCell ref="A28:E28"/>
    <mergeCell ref="A32:E32"/>
    <mergeCell ref="A36:E36"/>
    <mergeCell ref="A40:E40"/>
  </mergeCells>
  <printOptions horizontalCentered="1"/>
  <pageMargins left="0.39370078740157483" right="0.19685039370078741" top="0.39370078740157483" bottom="0.19685039370078741" header="0.19685039370078741" footer="0.19685039370078741"/>
  <pageSetup paperSize="9" scale="7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view="pageBreakPreview" zoomScaleNormal="100" zoomScaleSheetLayoutView="100" workbookViewId="0">
      <selection activeCell="K28" sqref="K28"/>
    </sheetView>
  </sheetViews>
  <sheetFormatPr defaultRowHeight="14.4" x14ac:dyDescent="0.3"/>
  <cols>
    <col min="1" max="1" width="3.33203125" style="12" bestFit="1" customWidth="1"/>
    <col min="2" max="2" width="28.109375" style="12" bestFit="1" customWidth="1"/>
    <col min="3" max="6" width="14.77734375" style="19" customWidth="1"/>
    <col min="7" max="7" width="8.5546875" style="19" bestFit="1" customWidth="1"/>
    <col min="8" max="9" width="14.77734375" style="19" customWidth="1"/>
    <col min="10" max="10" width="8.88671875" style="12"/>
    <col min="11" max="11" width="10" style="12" bestFit="1" customWidth="1"/>
    <col min="12" max="16384" width="8.88671875" style="12"/>
  </cols>
  <sheetData>
    <row r="1" spans="1:11" ht="18" x14ac:dyDescent="0.3">
      <c r="A1" s="300" t="str">
        <f>BS!A1</f>
        <v>JEEVAN HEIGHTS  CO-OPERATIVE HOUSING SOCIETY LTD</v>
      </c>
      <c r="B1" s="301"/>
      <c r="C1" s="301"/>
      <c r="D1" s="301"/>
      <c r="E1" s="301"/>
      <c r="F1" s="301"/>
      <c r="G1" s="301"/>
      <c r="H1" s="301"/>
      <c r="I1" s="302"/>
    </row>
    <row r="2" spans="1:11" x14ac:dyDescent="0.3">
      <c r="A2" s="214"/>
      <c r="C2" s="215"/>
      <c r="D2" s="215"/>
      <c r="E2" s="215"/>
      <c r="F2" s="215"/>
      <c r="G2" s="215"/>
      <c r="H2" s="215"/>
      <c r="I2" s="216"/>
    </row>
    <row r="3" spans="1:11" ht="15" thickBot="1" x14ac:dyDescent="0.35">
      <c r="A3" s="303" t="s">
        <v>383</v>
      </c>
      <c r="B3" s="304"/>
      <c r="C3" s="304"/>
      <c r="D3" s="304"/>
      <c r="E3" s="304"/>
      <c r="F3" s="304"/>
      <c r="G3" s="304"/>
      <c r="H3" s="304"/>
      <c r="I3" s="305"/>
    </row>
    <row r="4" spans="1:11" x14ac:dyDescent="0.3">
      <c r="A4" s="309" t="s">
        <v>59</v>
      </c>
      <c r="B4" s="309" t="s">
        <v>77</v>
      </c>
      <c r="C4" s="306" t="s">
        <v>80</v>
      </c>
      <c r="D4" s="306"/>
      <c r="E4" s="306"/>
      <c r="F4" s="306"/>
      <c r="G4" s="306" t="s">
        <v>38</v>
      </c>
      <c r="H4" s="306"/>
      <c r="I4" s="307" t="s">
        <v>79</v>
      </c>
    </row>
    <row r="5" spans="1:11" s="20" customFormat="1" ht="58.2" thickBot="1" x14ac:dyDescent="0.35">
      <c r="A5" s="310"/>
      <c r="B5" s="310"/>
      <c r="C5" s="212" t="s">
        <v>281</v>
      </c>
      <c r="D5" s="212" t="s">
        <v>380</v>
      </c>
      <c r="E5" s="212" t="s">
        <v>381</v>
      </c>
      <c r="F5" s="212" t="s">
        <v>382</v>
      </c>
      <c r="G5" s="212" t="s">
        <v>78</v>
      </c>
      <c r="H5" s="212" t="s">
        <v>376</v>
      </c>
      <c r="I5" s="308"/>
      <c r="K5" s="111" t="s">
        <v>282</v>
      </c>
    </row>
    <row r="6" spans="1:11" ht="22.05" customHeight="1" thickTop="1" x14ac:dyDescent="0.3">
      <c r="A6" s="217">
        <v>1</v>
      </c>
      <c r="B6" s="223" t="s">
        <v>74</v>
      </c>
      <c r="C6" s="218">
        <v>17729</v>
      </c>
      <c r="D6" s="218">
        <v>0</v>
      </c>
      <c r="E6" s="218">
        <f>11653</f>
        <v>11653</v>
      </c>
      <c r="F6" s="218">
        <f>C6+D6+E6</f>
        <v>29382</v>
      </c>
      <c r="G6" s="219">
        <v>0.4</v>
      </c>
      <c r="H6" s="218">
        <f>ROUND(SUM(C6:D6,E6/2)*G6,)</f>
        <v>9422</v>
      </c>
      <c r="I6" s="218">
        <f>F6-H6</f>
        <v>19960</v>
      </c>
      <c r="K6" s="19">
        <v>11820</v>
      </c>
    </row>
    <row r="7" spans="1:11" ht="22.05" customHeight="1" x14ac:dyDescent="0.3">
      <c r="A7" s="21">
        <v>2</v>
      </c>
      <c r="B7" s="224" t="s">
        <v>472</v>
      </c>
      <c r="C7" s="22">
        <v>2224</v>
      </c>
      <c r="D7" s="22">
        <v>0</v>
      </c>
      <c r="E7" s="22">
        <f>53389</f>
        <v>53389</v>
      </c>
      <c r="F7" s="22">
        <f t="shared" ref="F7:F13" si="0">C7+D7+E7</f>
        <v>55613</v>
      </c>
      <c r="G7" s="220">
        <v>0.15</v>
      </c>
      <c r="H7" s="22">
        <f t="shared" ref="H7:H12" si="1">ROUND(SUM(C7:D7,E7/2)*G7,)</f>
        <v>4338</v>
      </c>
      <c r="I7" s="22">
        <f t="shared" ref="I7:I13" si="2">F7-H7</f>
        <v>51275</v>
      </c>
      <c r="K7" s="19">
        <v>393</v>
      </c>
    </row>
    <row r="8" spans="1:11" ht="22.05" customHeight="1" x14ac:dyDescent="0.3">
      <c r="A8" s="21">
        <v>3</v>
      </c>
      <c r="B8" s="224" t="s">
        <v>75</v>
      </c>
      <c r="C8" s="22">
        <v>79317</v>
      </c>
      <c r="D8" s="22">
        <v>0</v>
      </c>
      <c r="E8" s="22">
        <f>5160+7250+66550</f>
        <v>78960</v>
      </c>
      <c r="F8" s="22">
        <f t="shared" si="0"/>
        <v>158277</v>
      </c>
      <c r="G8" s="220">
        <v>0.15</v>
      </c>
      <c r="H8" s="22">
        <f t="shared" si="1"/>
        <v>17820</v>
      </c>
      <c r="I8" s="22">
        <f t="shared" si="2"/>
        <v>140457</v>
      </c>
      <c r="K8" s="19">
        <v>9608</v>
      </c>
    </row>
    <row r="9" spans="1:11" ht="22.05" customHeight="1" x14ac:dyDescent="0.3">
      <c r="A9" s="21">
        <v>4</v>
      </c>
      <c r="B9" s="224" t="s">
        <v>178</v>
      </c>
      <c r="C9" s="22">
        <v>8956</v>
      </c>
      <c r="D9" s="22">
        <v>0</v>
      </c>
      <c r="E9" s="22">
        <v>0</v>
      </c>
      <c r="F9" s="22">
        <f t="shared" si="0"/>
        <v>8956</v>
      </c>
      <c r="G9" s="220">
        <v>0.15</v>
      </c>
      <c r="H9" s="22">
        <f t="shared" si="1"/>
        <v>1343</v>
      </c>
      <c r="I9" s="22">
        <f t="shared" si="2"/>
        <v>7613</v>
      </c>
      <c r="K9" s="19">
        <v>1580</v>
      </c>
    </row>
    <row r="10" spans="1:11" ht="22.05" customHeight="1" x14ac:dyDescent="0.3">
      <c r="A10" s="21">
        <v>5</v>
      </c>
      <c r="B10" s="224" t="s">
        <v>177</v>
      </c>
      <c r="C10" s="22">
        <v>35586</v>
      </c>
      <c r="D10" s="22">
        <f>8950</f>
        <v>8950</v>
      </c>
      <c r="E10" s="22">
        <v>0</v>
      </c>
      <c r="F10" s="22">
        <f t="shared" si="0"/>
        <v>44536</v>
      </c>
      <c r="G10" s="220">
        <v>0.15</v>
      </c>
      <c r="H10" s="22">
        <f t="shared" si="1"/>
        <v>6680</v>
      </c>
      <c r="I10" s="22">
        <f t="shared" si="2"/>
        <v>37856</v>
      </c>
      <c r="K10" s="19">
        <v>6280</v>
      </c>
    </row>
    <row r="11" spans="1:11" ht="22.05" customHeight="1" x14ac:dyDescent="0.3">
      <c r="A11" s="21">
        <v>6</v>
      </c>
      <c r="B11" s="224" t="s">
        <v>175</v>
      </c>
      <c r="C11" s="22">
        <v>14949</v>
      </c>
      <c r="D11" s="22">
        <v>0</v>
      </c>
      <c r="E11" s="22">
        <v>0</v>
      </c>
      <c r="F11" s="22">
        <f t="shared" si="0"/>
        <v>14949</v>
      </c>
      <c r="G11" s="220">
        <v>0.15</v>
      </c>
      <c r="H11" s="22">
        <f t="shared" si="1"/>
        <v>2242</v>
      </c>
      <c r="I11" s="22">
        <f t="shared" si="2"/>
        <v>12707</v>
      </c>
      <c r="K11" s="19">
        <v>2638</v>
      </c>
    </row>
    <row r="12" spans="1:11" ht="22.05" customHeight="1" x14ac:dyDescent="0.3">
      <c r="A12" s="21">
        <v>7</v>
      </c>
      <c r="B12" s="224" t="s">
        <v>176</v>
      </c>
      <c r="C12" s="22">
        <v>28403</v>
      </c>
      <c r="D12" s="22">
        <v>0</v>
      </c>
      <c r="E12" s="22">
        <v>0</v>
      </c>
      <c r="F12" s="22">
        <f t="shared" si="0"/>
        <v>28403</v>
      </c>
      <c r="G12" s="220">
        <v>0.15</v>
      </c>
      <c r="H12" s="22">
        <f t="shared" si="1"/>
        <v>4260</v>
      </c>
      <c r="I12" s="22">
        <f t="shared" si="2"/>
        <v>24143</v>
      </c>
      <c r="K12" s="19">
        <v>5012</v>
      </c>
    </row>
    <row r="13" spans="1:11" ht="22.05" customHeight="1" x14ac:dyDescent="0.3">
      <c r="A13" s="21">
        <v>8</v>
      </c>
      <c r="B13" s="224" t="s">
        <v>76</v>
      </c>
      <c r="C13" s="22">
        <v>346149</v>
      </c>
      <c r="D13" s="22">
        <v>0</v>
      </c>
      <c r="E13" s="22">
        <f>35800</f>
        <v>35800</v>
      </c>
      <c r="F13" s="22">
        <f t="shared" si="0"/>
        <v>381949</v>
      </c>
      <c r="G13" s="220">
        <v>0.1</v>
      </c>
      <c r="H13" s="22">
        <f>ROUND(SUM(C13:D13,E13/2)*G13,)</f>
        <v>36405</v>
      </c>
      <c r="I13" s="22">
        <f t="shared" si="2"/>
        <v>345544</v>
      </c>
      <c r="K13" s="19">
        <v>32839.4</v>
      </c>
    </row>
    <row r="14" spans="1:11" ht="22.05" customHeight="1" thickBot="1" x14ac:dyDescent="0.35">
      <c r="A14" s="199">
        <v>9</v>
      </c>
      <c r="B14" s="225" t="s">
        <v>471</v>
      </c>
      <c r="C14" s="202">
        <v>0</v>
      </c>
      <c r="D14" s="202">
        <v>0</v>
      </c>
      <c r="E14" s="202">
        <f>168500+75000</f>
        <v>243500</v>
      </c>
      <c r="F14" s="202">
        <f t="shared" ref="F14" si="3">C14+D14+E14</f>
        <v>243500</v>
      </c>
      <c r="G14" s="221">
        <v>0.15</v>
      </c>
      <c r="H14" s="202">
        <f>ROUND(SUM(C14:D14,E14/2)*G14,)</f>
        <v>18263</v>
      </c>
      <c r="I14" s="202">
        <f t="shared" ref="I14" si="4">F14-H14</f>
        <v>225237</v>
      </c>
      <c r="K14" s="19">
        <v>32839.4</v>
      </c>
    </row>
    <row r="15" spans="1:11" ht="22.05" customHeight="1" thickBot="1" x14ac:dyDescent="0.35">
      <c r="A15" s="298" t="s">
        <v>9</v>
      </c>
      <c r="B15" s="299"/>
      <c r="C15" s="209">
        <f>SUM(C6:C14)</f>
        <v>533313</v>
      </c>
      <c r="D15" s="209">
        <f t="shared" ref="D15:F15" si="5">SUM(D6:D14)</f>
        <v>8950</v>
      </c>
      <c r="E15" s="209">
        <f t="shared" si="5"/>
        <v>423302</v>
      </c>
      <c r="F15" s="209">
        <f t="shared" si="5"/>
        <v>965565</v>
      </c>
      <c r="G15" s="209"/>
      <c r="H15" s="209">
        <f t="shared" ref="H15" si="6">SUM(H6:H14)</f>
        <v>100773</v>
      </c>
      <c r="I15" s="210">
        <f t="shared" ref="I15" si="7">SUM(I6:I14)</f>
        <v>864792</v>
      </c>
      <c r="K15" s="222">
        <f>SUM(K6:K13)</f>
        <v>70170.399999999994</v>
      </c>
    </row>
  </sheetData>
  <mergeCells count="8">
    <mergeCell ref="A15:B15"/>
    <mergeCell ref="A1:I1"/>
    <mergeCell ref="A3:I3"/>
    <mergeCell ref="C4:F4"/>
    <mergeCell ref="G4:H4"/>
    <mergeCell ref="I4:I5"/>
    <mergeCell ref="A4:A5"/>
    <mergeCell ref="B4:B5"/>
  </mergeCells>
  <printOptions horizontalCentered="1"/>
  <pageMargins left="0.51181102362204722" right="0.51181102362204722" top="0.51181102362204722" bottom="0.51181102362204722" header="0.31496062992125984" footer="0.31496062992125984"/>
  <pageSetup paperSize="9" scale="8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view="pageBreakPreview" zoomScaleNormal="100" zoomScaleSheetLayoutView="100" workbookViewId="0">
      <selection activeCell="K28" sqref="K28"/>
    </sheetView>
  </sheetViews>
  <sheetFormatPr defaultRowHeight="14.4" x14ac:dyDescent="0.3"/>
  <cols>
    <col min="1" max="1" width="6.88671875" style="113" bestFit="1" customWidth="1"/>
    <col min="2" max="2" width="11.5546875" style="113" bestFit="1" customWidth="1"/>
    <col min="3" max="3" width="76.6640625" style="113" bestFit="1" customWidth="1"/>
    <col min="4" max="4" width="14.77734375" style="232" customWidth="1"/>
    <col min="5" max="5" width="8.88671875" style="113"/>
    <col min="6" max="6" width="5.6640625" style="113" bestFit="1" customWidth="1"/>
    <col min="7" max="7" width="25.6640625" style="113" customWidth="1"/>
    <col min="8" max="8" width="11.5546875" style="113" customWidth="1"/>
    <col min="9" max="16384" width="8.88671875" style="113"/>
  </cols>
  <sheetData>
    <row r="1" spans="1:4" ht="18" x14ac:dyDescent="0.3">
      <c r="A1" s="293" t="str">
        <f>BS!A1</f>
        <v>JEEVAN HEIGHTS  CO-OPERATIVE HOUSING SOCIETY LTD</v>
      </c>
      <c r="B1" s="293"/>
      <c r="C1" s="293"/>
      <c r="D1" s="293"/>
    </row>
    <row r="2" spans="1:4" x14ac:dyDescent="0.3">
      <c r="A2" s="12"/>
      <c r="B2" s="12"/>
      <c r="C2" s="12"/>
      <c r="D2" s="226"/>
    </row>
    <row r="3" spans="1:4" ht="19.95" customHeight="1" x14ac:dyDescent="0.3">
      <c r="A3" s="294" t="s">
        <v>475</v>
      </c>
      <c r="B3" s="294"/>
      <c r="C3" s="294"/>
      <c r="D3" s="294"/>
    </row>
    <row r="4" spans="1:4" ht="19.95" customHeight="1" thickBot="1" x14ac:dyDescent="0.35">
      <c r="A4" s="234" t="s">
        <v>149</v>
      </c>
      <c r="B4" s="234" t="s">
        <v>64</v>
      </c>
      <c r="C4" s="234" t="s">
        <v>65</v>
      </c>
      <c r="D4" s="235" t="s">
        <v>40</v>
      </c>
    </row>
    <row r="5" spans="1:4" ht="19.95" customHeight="1" thickTop="1" x14ac:dyDescent="0.3">
      <c r="A5" s="217" t="s">
        <v>149</v>
      </c>
      <c r="B5" s="217">
        <v>1701</v>
      </c>
      <c r="C5" s="223" t="s">
        <v>476</v>
      </c>
      <c r="D5" s="233">
        <v>2950</v>
      </c>
    </row>
    <row r="6" spans="1:4" ht="19.95" customHeight="1" x14ac:dyDescent="0.3">
      <c r="A6" s="21" t="s">
        <v>149</v>
      </c>
      <c r="B6" s="21">
        <v>2001</v>
      </c>
      <c r="C6" s="224" t="s">
        <v>477</v>
      </c>
      <c r="D6" s="227">
        <v>151487</v>
      </c>
    </row>
    <row r="7" spans="1:4" ht="19.95" customHeight="1" x14ac:dyDescent="0.3">
      <c r="A7" s="21" t="s">
        <v>149</v>
      </c>
      <c r="B7" s="21">
        <v>3402</v>
      </c>
      <c r="C7" s="224" t="s">
        <v>337</v>
      </c>
      <c r="D7" s="227">
        <v>61155</v>
      </c>
    </row>
    <row r="8" spans="1:4" ht="19.95" customHeight="1" x14ac:dyDescent="0.3">
      <c r="A8" s="21" t="s">
        <v>328</v>
      </c>
      <c r="B8" s="21">
        <v>1102</v>
      </c>
      <c r="C8" s="224" t="s">
        <v>478</v>
      </c>
      <c r="D8" s="227">
        <v>1025</v>
      </c>
    </row>
    <row r="9" spans="1:4" ht="19.95" customHeight="1" x14ac:dyDescent="0.3">
      <c r="A9" s="21" t="s">
        <v>328</v>
      </c>
      <c r="B9" s="21">
        <v>1302</v>
      </c>
      <c r="C9" s="224" t="s">
        <v>479</v>
      </c>
      <c r="D9" s="227">
        <v>45</v>
      </c>
    </row>
    <row r="10" spans="1:4" ht="19.95" customHeight="1" x14ac:dyDescent="0.3">
      <c r="A10" s="21" t="s">
        <v>328</v>
      </c>
      <c r="B10" s="21">
        <v>2001</v>
      </c>
      <c r="C10" s="224" t="s">
        <v>329</v>
      </c>
      <c r="D10" s="227">
        <v>8075</v>
      </c>
    </row>
    <row r="11" spans="1:4" ht="19.95" customHeight="1" x14ac:dyDescent="0.3">
      <c r="A11" s="21" t="s">
        <v>328</v>
      </c>
      <c r="B11" s="21">
        <v>2701</v>
      </c>
      <c r="C11" s="224" t="s">
        <v>480</v>
      </c>
      <c r="D11" s="227">
        <v>289</v>
      </c>
    </row>
    <row r="12" spans="1:4" ht="19.95" customHeight="1" x14ac:dyDescent="0.3">
      <c r="A12" s="21" t="s">
        <v>328</v>
      </c>
      <c r="B12" s="21">
        <v>3402</v>
      </c>
      <c r="C12" s="224" t="s">
        <v>337</v>
      </c>
      <c r="D12" s="227">
        <v>8188</v>
      </c>
    </row>
    <row r="13" spans="1:4" ht="19.95" customHeight="1" x14ac:dyDescent="0.3">
      <c r="A13" s="228"/>
      <c r="B13" s="13"/>
      <c r="C13" s="13" t="s">
        <v>9</v>
      </c>
      <c r="D13" s="229">
        <f>SUM(D5:D12)</f>
        <v>233214</v>
      </c>
    </row>
    <row r="14" spans="1:4" ht="19.95" customHeight="1" x14ac:dyDescent="0.3">
      <c r="B14" s="71"/>
      <c r="C14" s="71"/>
      <c r="D14" s="230"/>
    </row>
    <row r="15" spans="1:4" ht="19.95" customHeight="1" x14ac:dyDescent="0.3">
      <c r="A15" s="311"/>
      <c r="B15" s="311"/>
      <c r="C15" s="311"/>
      <c r="D15" s="311"/>
    </row>
    <row r="16" spans="1:4" ht="19.95" customHeight="1" x14ac:dyDescent="0.3">
      <c r="A16" s="71"/>
      <c r="B16" s="71"/>
      <c r="C16" s="71"/>
      <c r="D16" s="66"/>
    </row>
    <row r="17" spans="1:4" ht="19.95" customHeight="1" x14ac:dyDescent="0.3">
      <c r="A17" s="294" t="s">
        <v>481</v>
      </c>
      <c r="B17" s="294"/>
      <c r="C17" s="294"/>
      <c r="D17" s="294"/>
    </row>
    <row r="18" spans="1:4" ht="19.95" customHeight="1" thickBot="1" x14ac:dyDescent="0.35">
      <c r="A18" s="234" t="s">
        <v>163</v>
      </c>
      <c r="B18" s="234" t="s">
        <v>64</v>
      </c>
      <c r="C18" s="234" t="s">
        <v>65</v>
      </c>
      <c r="D18" s="235" t="s">
        <v>40</v>
      </c>
    </row>
    <row r="19" spans="1:4" ht="19.95" customHeight="1" thickTop="1" x14ac:dyDescent="0.3">
      <c r="A19" s="217">
        <v>1</v>
      </c>
      <c r="B19" s="217">
        <v>402</v>
      </c>
      <c r="C19" s="236" t="s">
        <v>344</v>
      </c>
      <c r="D19" s="233">
        <f>85500</f>
        <v>85500</v>
      </c>
    </row>
    <row r="20" spans="1:4" ht="19.95" customHeight="1" x14ac:dyDescent="0.3">
      <c r="A20" s="21">
        <v>2</v>
      </c>
      <c r="B20" s="21">
        <v>2402</v>
      </c>
      <c r="C20" s="228" t="s">
        <v>482</v>
      </c>
      <c r="D20" s="227">
        <v>2950</v>
      </c>
    </row>
    <row r="21" spans="1:4" ht="19.95" customHeight="1" x14ac:dyDescent="0.3">
      <c r="A21" s="21">
        <v>3</v>
      </c>
      <c r="B21" s="21" t="s">
        <v>345</v>
      </c>
      <c r="C21" s="228" t="s">
        <v>344</v>
      </c>
      <c r="D21" s="227">
        <v>11931</v>
      </c>
    </row>
    <row r="22" spans="1:4" ht="19.95" customHeight="1" x14ac:dyDescent="0.3">
      <c r="A22" s="21"/>
      <c r="B22" s="228"/>
      <c r="C22" s="13" t="s">
        <v>9</v>
      </c>
      <c r="D22" s="231">
        <f>SUM(D19:D21)</f>
        <v>100381</v>
      </c>
    </row>
    <row r="23" spans="1:4" ht="19.95" customHeight="1" x14ac:dyDescent="0.3"/>
  </sheetData>
  <mergeCells count="4">
    <mergeCell ref="A3:D3"/>
    <mergeCell ref="A17:D17"/>
    <mergeCell ref="A1:D1"/>
    <mergeCell ref="A15:D15"/>
  </mergeCells>
  <printOptions horizontalCentered="1"/>
  <pageMargins left="0.51181102362204722" right="0.51181102362204722" top="0.51181102362204722" bottom="0.51181102362204722" header="0.31496062992125984" footer="0.31496062992125984"/>
  <pageSetup paperSize="9" scale="9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5"/>
  <sheetViews>
    <sheetView view="pageBreakPreview" topLeftCell="A21" zoomScaleNormal="100" zoomScaleSheetLayoutView="100" workbookViewId="0">
      <selection activeCell="K28" sqref="K28"/>
    </sheetView>
  </sheetViews>
  <sheetFormatPr defaultRowHeight="14.4" x14ac:dyDescent="0.3"/>
  <cols>
    <col min="1" max="1" width="6.88671875" bestFit="1" customWidth="1"/>
    <col min="2" max="2" width="14.77734375" style="9" customWidth="1"/>
    <col min="3" max="3" width="31.109375" bestFit="1" customWidth="1"/>
    <col min="4" max="4" width="14.77734375" customWidth="1"/>
    <col min="5" max="5" width="3.5546875" customWidth="1"/>
    <col min="6" max="6" width="10.5546875" bestFit="1" customWidth="1"/>
  </cols>
  <sheetData>
    <row r="1" spans="1:4" ht="18" x14ac:dyDescent="0.35">
      <c r="A1" s="280" t="str">
        <f>BS!A1</f>
        <v>JEEVAN HEIGHTS  CO-OPERATIVE HOUSING SOCIETY LTD</v>
      </c>
      <c r="B1" s="281"/>
      <c r="C1" s="281"/>
      <c r="D1" s="282"/>
    </row>
    <row r="2" spans="1:4" x14ac:dyDescent="0.3">
      <c r="A2" s="181"/>
      <c r="D2" s="29"/>
    </row>
    <row r="3" spans="1:4" ht="15.6" x14ac:dyDescent="0.3">
      <c r="A3" s="314" t="s">
        <v>224</v>
      </c>
      <c r="B3" s="315"/>
      <c r="C3" s="315"/>
      <c r="D3" s="316"/>
    </row>
    <row r="4" spans="1:4" ht="15" thickBot="1" x14ac:dyDescent="0.35">
      <c r="A4" s="239" t="s">
        <v>163</v>
      </c>
      <c r="B4" s="239" t="s">
        <v>282</v>
      </c>
      <c r="C4" s="185" t="s">
        <v>129</v>
      </c>
      <c r="D4" s="240" t="s">
        <v>376</v>
      </c>
    </row>
    <row r="5" spans="1:4" ht="15" thickTop="1" x14ac:dyDescent="0.3">
      <c r="A5" s="211">
        <v>2</v>
      </c>
      <c r="B5" s="237">
        <v>14071</v>
      </c>
      <c r="C5" s="238" t="s">
        <v>97</v>
      </c>
      <c r="D5" s="213">
        <f>-Workings!D37</f>
        <v>6821</v>
      </c>
    </row>
    <row r="6" spans="1:4" x14ac:dyDescent="0.3">
      <c r="A6" s="16">
        <v>3</v>
      </c>
      <c r="B6" s="46">
        <v>4110</v>
      </c>
      <c r="C6" s="45" t="s">
        <v>150</v>
      </c>
      <c r="D6" s="18">
        <v>0</v>
      </c>
    </row>
    <row r="7" spans="1:4" x14ac:dyDescent="0.3">
      <c r="A7" s="70">
        <v>4</v>
      </c>
      <c r="B7" s="46">
        <v>0</v>
      </c>
      <c r="C7" s="45" t="s">
        <v>339</v>
      </c>
      <c r="D7" s="18">
        <f>-Workings!D94</f>
        <v>41191</v>
      </c>
    </row>
    <row r="8" spans="1:4" x14ac:dyDescent="0.3">
      <c r="A8" s="16">
        <v>5</v>
      </c>
      <c r="B8" s="46">
        <v>15000</v>
      </c>
      <c r="C8" s="45" t="s">
        <v>98</v>
      </c>
      <c r="D8" s="18">
        <v>0</v>
      </c>
    </row>
    <row r="9" spans="1:4" x14ac:dyDescent="0.3">
      <c r="A9" s="16">
        <v>6</v>
      </c>
      <c r="B9" s="46">
        <v>10749</v>
      </c>
      <c r="C9" s="45" t="s">
        <v>110</v>
      </c>
      <c r="D9" s="18">
        <f>-Workings!D31</f>
        <v>27932</v>
      </c>
    </row>
    <row r="10" spans="1:4" x14ac:dyDescent="0.3">
      <c r="A10" s="70">
        <v>7</v>
      </c>
      <c r="B10" s="46">
        <v>49437</v>
      </c>
      <c r="C10" s="45" t="s">
        <v>99</v>
      </c>
      <c r="D10" s="18">
        <f>-Workings!D57</f>
        <v>52596</v>
      </c>
    </row>
    <row r="11" spans="1:4" x14ac:dyDescent="0.3">
      <c r="A11" s="16">
        <v>8</v>
      </c>
      <c r="B11" s="46">
        <v>4011</v>
      </c>
      <c r="C11" s="45" t="s">
        <v>118</v>
      </c>
      <c r="D11" s="18">
        <f>-Workings!D15</f>
        <v>5000</v>
      </c>
    </row>
    <row r="12" spans="1:4" x14ac:dyDescent="0.3">
      <c r="A12" s="16">
        <v>9</v>
      </c>
      <c r="B12" s="46">
        <v>10500</v>
      </c>
      <c r="C12" s="45" t="s">
        <v>121</v>
      </c>
      <c r="D12" s="18">
        <f>-Workings!D66</f>
        <v>10500</v>
      </c>
    </row>
    <row r="13" spans="1:4" ht="15" thickBot="1" x14ac:dyDescent="0.35">
      <c r="A13" s="244"/>
      <c r="B13" s="240">
        <f>SUM(B5:B12)</f>
        <v>107878</v>
      </c>
      <c r="C13" s="247" t="s">
        <v>9</v>
      </c>
      <c r="D13" s="240">
        <f>SUM(D5:D12)</f>
        <v>144040</v>
      </c>
    </row>
    <row r="14" spans="1:4" ht="15" thickTop="1" x14ac:dyDescent="0.3"/>
    <row r="15" spans="1:4" x14ac:dyDescent="0.3">
      <c r="A15" s="312" t="s">
        <v>379</v>
      </c>
      <c r="B15" s="313"/>
      <c r="C15" s="313"/>
      <c r="D15" s="313"/>
    </row>
    <row r="16" spans="1:4" ht="15" thickBot="1" x14ac:dyDescent="0.35">
      <c r="A16" s="239" t="s">
        <v>163</v>
      </c>
      <c r="B16" s="239" t="str">
        <f>B4</f>
        <v>FY 2024-25</v>
      </c>
      <c r="C16" s="185" t="s">
        <v>57</v>
      </c>
      <c r="D16" s="185" t="str">
        <f>D4</f>
        <v>FY 2025-26</v>
      </c>
    </row>
    <row r="17" spans="1:5" ht="15" thickTop="1" x14ac:dyDescent="0.3">
      <c r="A17" s="241">
        <v>1</v>
      </c>
      <c r="B17" s="242">
        <v>0</v>
      </c>
      <c r="C17" s="43" t="s">
        <v>483</v>
      </c>
      <c r="D17" s="243">
        <v>1860</v>
      </c>
    </row>
    <row r="18" spans="1:5" x14ac:dyDescent="0.3">
      <c r="A18" s="16">
        <v>2</v>
      </c>
      <c r="B18" s="81">
        <v>139200</v>
      </c>
      <c r="C18" s="14" t="s">
        <v>154</v>
      </c>
      <c r="D18" s="81">
        <v>149320</v>
      </c>
    </row>
    <row r="19" spans="1:5" x14ac:dyDescent="0.3">
      <c r="A19" s="16">
        <v>3</v>
      </c>
      <c r="B19" s="81">
        <v>101970</v>
      </c>
      <c r="C19" s="14" t="s">
        <v>148</v>
      </c>
      <c r="D19" s="81">
        <v>31029</v>
      </c>
    </row>
    <row r="20" spans="1:5" x14ac:dyDescent="0.3">
      <c r="A20" s="70">
        <v>4</v>
      </c>
      <c r="B20" s="115">
        <v>5500</v>
      </c>
      <c r="C20" s="14" t="s">
        <v>199</v>
      </c>
      <c r="D20" s="81">
        <v>6000</v>
      </c>
    </row>
    <row r="21" spans="1:5" x14ac:dyDescent="0.3">
      <c r="A21" s="16">
        <v>5</v>
      </c>
      <c r="B21" s="115">
        <v>11886</v>
      </c>
      <c r="C21" s="14" t="s">
        <v>341</v>
      </c>
      <c r="D21" s="81">
        <v>0</v>
      </c>
    </row>
    <row r="22" spans="1:5" x14ac:dyDescent="0.3">
      <c r="A22" s="16">
        <v>6</v>
      </c>
      <c r="B22" s="115">
        <v>86955</v>
      </c>
      <c r="C22" s="14" t="s">
        <v>155</v>
      </c>
      <c r="D22" s="81">
        <v>0</v>
      </c>
    </row>
    <row r="23" spans="1:5" x14ac:dyDescent="0.3">
      <c r="A23" s="70">
        <v>7</v>
      </c>
      <c r="B23" s="81">
        <v>10733</v>
      </c>
      <c r="C23" s="14" t="s">
        <v>156</v>
      </c>
      <c r="D23" s="81">
        <v>5434</v>
      </c>
    </row>
    <row r="24" spans="1:5" x14ac:dyDescent="0.3">
      <c r="A24" s="16">
        <v>8</v>
      </c>
      <c r="B24" s="81">
        <v>0</v>
      </c>
      <c r="C24" s="14" t="s">
        <v>484</v>
      </c>
      <c r="D24" s="81">
        <v>11421</v>
      </c>
    </row>
    <row r="25" spans="1:5" x14ac:dyDescent="0.3">
      <c r="A25" s="16">
        <v>9</v>
      </c>
      <c r="B25" s="115">
        <v>0</v>
      </c>
      <c r="C25" s="14" t="s">
        <v>334</v>
      </c>
      <c r="D25" s="81">
        <v>2000</v>
      </c>
    </row>
    <row r="26" spans="1:5" x14ac:dyDescent="0.3">
      <c r="A26" s="70">
        <v>10</v>
      </c>
      <c r="B26" s="81">
        <v>24360</v>
      </c>
      <c r="C26" s="14" t="s">
        <v>158</v>
      </c>
      <c r="D26" s="81">
        <v>0</v>
      </c>
    </row>
    <row r="27" spans="1:5" x14ac:dyDescent="0.3">
      <c r="A27" s="70">
        <v>11</v>
      </c>
      <c r="B27" s="115">
        <v>8350</v>
      </c>
      <c r="C27" s="14" t="s">
        <v>198</v>
      </c>
      <c r="D27" s="81">
        <v>8750</v>
      </c>
    </row>
    <row r="28" spans="1:5" x14ac:dyDescent="0.3">
      <c r="A28" s="70">
        <v>12</v>
      </c>
      <c r="B28" s="115">
        <v>10725</v>
      </c>
      <c r="C28" s="14" t="s">
        <v>348</v>
      </c>
      <c r="D28" s="81">
        <v>0</v>
      </c>
    </row>
    <row r="29" spans="1:5" x14ac:dyDescent="0.3">
      <c r="A29" s="70">
        <v>13</v>
      </c>
      <c r="B29" s="115">
        <v>24681</v>
      </c>
      <c r="C29" s="14" t="s">
        <v>336</v>
      </c>
      <c r="D29" s="81">
        <v>0</v>
      </c>
    </row>
    <row r="30" spans="1:5" x14ac:dyDescent="0.3">
      <c r="A30" s="70">
        <v>14</v>
      </c>
      <c r="B30" s="81">
        <v>52746</v>
      </c>
      <c r="C30" s="14" t="s">
        <v>157</v>
      </c>
      <c r="D30" s="81">
        <v>49932</v>
      </c>
    </row>
    <row r="31" spans="1:5" x14ac:dyDescent="0.3">
      <c r="A31" s="70">
        <v>15</v>
      </c>
      <c r="B31" s="115">
        <v>30680</v>
      </c>
      <c r="C31" s="14" t="s">
        <v>159</v>
      </c>
      <c r="D31" s="81">
        <v>33660</v>
      </c>
    </row>
    <row r="32" spans="1:5" ht="15" thickBot="1" x14ac:dyDescent="0.35">
      <c r="A32" s="244"/>
      <c r="B32" s="248">
        <f>SUM(B17:B31)</f>
        <v>507786</v>
      </c>
      <c r="C32" s="184" t="s">
        <v>58</v>
      </c>
      <c r="D32" s="248">
        <f>SUM(D17:D31)</f>
        <v>299406</v>
      </c>
      <c r="E32" s="106"/>
    </row>
    <row r="33" spans="1:4" ht="15" thickTop="1" x14ac:dyDescent="0.3">
      <c r="A33" s="9"/>
      <c r="B33"/>
    </row>
    <row r="34" spans="1:4" ht="15" thickBot="1" x14ac:dyDescent="0.35">
      <c r="A34" s="239" t="s">
        <v>163</v>
      </c>
      <c r="B34" s="239" t="str">
        <f>B4</f>
        <v>FY 2024-25</v>
      </c>
      <c r="C34" s="185" t="s">
        <v>60</v>
      </c>
      <c r="D34" s="185" t="str">
        <f>D4</f>
        <v>FY 2025-26</v>
      </c>
    </row>
    <row r="35" spans="1:4" ht="15" thickTop="1" x14ac:dyDescent="0.3">
      <c r="A35" s="241">
        <v>1</v>
      </c>
      <c r="B35" s="242">
        <v>4879</v>
      </c>
      <c r="C35" s="43" t="s">
        <v>62</v>
      </c>
      <c r="D35" s="213">
        <v>4816</v>
      </c>
    </row>
    <row r="36" spans="1:4" x14ac:dyDescent="0.3">
      <c r="A36" s="70">
        <v>2</v>
      </c>
      <c r="B36" s="115">
        <v>18397</v>
      </c>
      <c r="C36" s="14" t="s">
        <v>355</v>
      </c>
      <c r="D36" s="18">
        <v>12881</v>
      </c>
    </row>
    <row r="37" spans="1:4" x14ac:dyDescent="0.3">
      <c r="A37" s="70">
        <v>3</v>
      </c>
      <c r="B37" s="115">
        <v>11125</v>
      </c>
      <c r="C37" s="14" t="s">
        <v>354</v>
      </c>
      <c r="D37" s="18">
        <v>42990</v>
      </c>
    </row>
    <row r="38" spans="1:4" x14ac:dyDescent="0.3">
      <c r="A38" s="70">
        <v>4</v>
      </c>
      <c r="B38" s="115">
        <v>80000</v>
      </c>
      <c r="C38" s="14" t="s">
        <v>161</v>
      </c>
      <c r="D38" s="18">
        <v>112630</v>
      </c>
    </row>
    <row r="39" spans="1:4" ht="15" thickBot="1" x14ac:dyDescent="0.35">
      <c r="A39" s="244"/>
      <c r="B39" s="245">
        <f>SUM(B35:B38)</f>
        <v>114401</v>
      </c>
      <c r="C39" s="247" t="s">
        <v>61</v>
      </c>
      <c r="D39" s="240">
        <f>SUM(D35:D38)</f>
        <v>173317</v>
      </c>
    </row>
    <row r="40" spans="1:4" ht="15" thickTop="1" x14ac:dyDescent="0.3">
      <c r="A40" s="246"/>
      <c r="B40" s="246"/>
      <c r="C40" s="246"/>
      <c r="D40" s="17"/>
    </row>
    <row r="41" spans="1:4" ht="15" thickBot="1" x14ac:dyDescent="0.35">
      <c r="A41" s="239" t="s">
        <v>163</v>
      </c>
      <c r="B41" s="239" t="str">
        <f>B4</f>
        <v>FY 2024-25</v>
      </c>
      <c r="C41" s="185" t="s">
        <v>82</v>
      </c>
      <c r="D41" s="185" t="str">
        <f>D4</f>
        <v>FY 2025-26</v>
      </c>
    </row>
    <row r="42" spans="1:4" ht="15" thickTop="1" x14ac:dyDescent="0.3">
      <c r="A42" s="241">
        <v>1</v>
      </c>
      <c r="B42" s="154">
        <v>6300</v>
      </c>
      <c r="C42" s="43" t="s">
        <v>25</v>
      </c>
      <c r="D42" s="154">
        <v>6300</v>
      </c>
    </row>
    <row r="43" spans="1:4" x14ac:dyDescent="0.3">
      <c r="A43" s="70">
        <v>2</v>
      </c>
      <c r="B43" s="82">
        <v>42992</v>
      </c>
      <c r="C43" s="14" t="s">
        <v>252</v>
      </c>
      <c r="D43" s="82">
        <f>Workings!D8</f>
        <v>102719</v>
      </c>
    </row>
    <row r="44" spans="1:4" x14ac:dyDescent="0.3">
      <c r="A44" s="70">
        <v>3</v>
      </c>
      <c r="B44" s="82">
        <v>0</v>
      </c>
      <c r="C44" s="14" t="s">
        <v>254</v>
      </c>
      <c r="D44" s="82">
        <v>11000</v>
      </c>
    </row>
    <row r="45" spans="1:4" x14ac:dyDescent="0.3">
      <c r="A45" s="70">
        <v>4</v>
      </c>
      <c r="B45" s="82">
        <v>0</v>
      </c>
      <c r="C45" s="14" t="s">
        <v>491</v>
      </c>
      <c r="D45" s="82">
        <v>6000</v>
      </c>
    </row>
    <row r="46" spans="1:4" x14ac:dyDescent="0.3">
      <c r="A46" s="70">
        <v>5</v>
      </c>
      <c r="B46" s="82">
        <v>9438</v>
      </c>
      <c r="C46" s="14" t="s">
        <v>339</v>
      </c>
      <c r="D46" s="82">
        <v>0</v>
      </c>
    </row>
    <row r="47" spans="1:4" ht="15" thickBot="1" x14ac:dyDescent="0.35">
      <c r="A47" s="244"/>
      <c r="B47" s="245">
        <f>SUM(B42:B46)</f>
        <v>58730</v>
      </c>
      <c r="C47" s="185" t="s">
        <v>63</v>
      </c>
      <c r="D47" s="245">
        <f>SUM(D42:D46)</f>
        <v>126019</v>
      </c>
    </row>
    <row r="48" spans="1:4" ht="15" thickTop="1" x14ac:dyDescent="0.3">
      <c r="A48" s="9"/>
      <c r="B48"/>
    </row>
    <row r="49" spans="1:4" ht="15" thickBot="1" x14ac:dyDescent="0.35">
      <c r="A49" s="239" t="s">
        <v>163</v>
      </c>
      <c r="B49" s="239" t="str">
        <f>B4</f>
        <v>FY 2024-25</v>
      </c>
      <c r="C49" s="185" t="s">
        <v>330</v>
      </c>
      <c r="D49" s="185" t="str">
        <f>D4</f>
        <v>FY 2025-26</v>
      </c>
    </row>
    <row r="50" spans="1:4" ht="15" thickTop="1" x14ac:dyDescent="0.3">
      <c r="A50" s="211">
        <v>1</v>
      </c>
      <c r="B50" s="242">
        <v>14800</v>
      </c>
      <c r="C50" s="43" t="s">
        <v>332</v>
      </c>
      <c r="D50" s="154">
        <v>0</v>
      </c>
    </row>
    <row r="51" spans="1:4" x14ac:dyDescent="0.3">
      <c r="A51" s="16">
        <v>2</v>
      </c>
      <c r="B51" s="115">
        <v>633</v>
      </c>
      <c r="C51" s="14" t="s">
        <v>333</v>
      </c>
      <c r="D51" s="82">
        <v>0</v>
      </c>
    </row>
    <row r="52" spans="1:4" x14ac:dyDescent="0.3">
      <c r="A52" s="16">
        <v>3</v>
      </c>
      <c r="B52" s="115">
        <v>5000</v>
      </c>
      <c r="C52" s="14" t="s">
        <v>334</v>
      </c>
      <c r="D52" s="82">
        <v>0</v>
      </c>
    </row>
    <row r="53" spans="1:4" x14ac:dyDescent="0.3">
      <c r="A53" s="16">
        <v>4</v>
      </c>
      <c r="B53" s="115">
        <v>0</v>
      </c>
      <c r="C53" s="14" t="s">
        <v>473</v>
      </c>
      <c r="D53" s="82">
        <v>35000</v>
      </c>
    </row>
    <row r="54" spans="1:4" ht="15" thickBot="1" x14ac:dyDescent="0.35">
      <c r="A54" s="244"/>
      <c r="B54" s="245">
        <f>SUM(B49:B53)</f>
        <v>20433</v>
      </c>
      <c r="C54" s="185" t="s">
        <v>331</v>
      </c>
      <c r="D54" s="245">
        <f>SUM(D49:D53)</f>
        <v>35000</v>
      </c>
    </row>
    <row r="55" spans="1:4" ht="15" thickTop="1" x14ac:dyDescent="0.3">
      <c r="A55" s="9"/>
      <c r="B55"/>
    </row>
  </sheetData>
  <mergeCells count="3">
    <mergeCell ref="A15:D15"/>
    <mergeCell ref="A3:D3"/>
    <mergeCell ref="A1:D1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view="pageBreakPreview" topLeftCell="A15" zoomScaleNormal="100" zoomScaleSheetLayoutView="100" workbookViewId="0">
      <selection activeCell="K28" sqref="K28"/>
    </sheetView>
  </sheetViews>
  <sheetFormatPr defaultRowHeight="14.4" x14ac:dyDescent="0.3"/>
  <cols>
    <col min="1" max="1" width="6.88671875" bestFit="1" customWidth="1"/>
    <col min="2" max="2" width="14.77734375" customWidth="1"/>
    <col min="3" max="3" width="37" bestFit="1" customWidth="1"/>
    <col min="4" max="5" width="14.77734375" customWidth="1"/>
    <col min="7" max="7" width="13.33203125" bestFit="1" customWidth="1"/>
  </cols>
  <sheetData>
    <row r="1" spans="1:8" ht="18" x14ac:dyDescent="0.3">
      <c r="A1" s="317" t="str">
        <f>+'Sch 3&amp;7'!A1:D1</f>
        <v>JEEVAN HEIGHTS  CO-OPERATIVE HOUSING SOCIETY LTD</v>
      </c>
      <c r="B1" s="318"/>
      <c r="C1" s="318"/>
      <c r="D1" s="318"/>
      <c r="E1" s="319"/>
    </row>
    <row r="2" spans="1:8" ht="15.6" x14ac:dyDescent="0.3">
      <c r="A2" s="320" t="s">
        <v>384</v>
      </c>
      <c r="B2" s="321"/>
      <c r="C2" s="321"/>
      <c r="D2" s="321"/>
      <c r="E2" s="322"/>
    </row>
    <row r="3" spans="1:8" x14ac:dyDescent="0.3">
      <c r="A3" s="3" t="s">
        <v>163</v>
      </c>
      <c r="B3" s="3" t="s">
        <v>282</v>
      </c>
      <c r="C3" s="3" t="s">
        <v>164</v>
      </c>
      <c r="D3" s="3"/>
      <c r="E3" s="3" t="s">
        <v>376</v>
      </c>
    </row>
    <row r="4" spans="1:8" x14ac:dyDescent="0.3">
      <c r="A4" s="72">
        <v>1</v>
      </c>
      <c r="B4" s="47"/>
      <c r="C4" s="48" t="s">
        <v>165</v>
      </c>
      <c r="D4" s="49"/>
      <c r="E4" s="50"/>
    </row>
    <row r="5" spans="1:8" x14ac:dyDescent="0.3">
      <c r="A5" s="72"/>
      <c r="B5" s="51">
        <v>527238</v>
      </c>
      <c r="C5" s="52" t="s">
        <v>166</v>
      </c>
      <c r="D5" s="40">
        <v>765534</v>
      </c>
      <c r="E5" s="50"/>
    </row>
    <row r="6" spans="1:8" x14ac:dyDescent="0.3">
      <c r="A6" s="72"/>
      <c r="B6" s="51">
        <v>200</v>
      </c>
      <c r="C6" s="53" t="s">
        <v>211</v>
      </c>
      <c r="D6" s="40">
        <f>300</f>
        <v>300</v>
      </c>
      <c r="E6" s="50"/>
    </row>
    <row r="7" spans="1:8" x14ac:dyDescent="0.3">
      <c r="A7" s="72"/>
      <c r="B7" s="51">
        <v>500</v>
      </c>
      <c r="C7" s="53" t="s">
        <v>212</v>
      </c>
      <c r="D7" s="40">
        <f>1500</f>
        <v>1500</v>
      </c>
      <c r="E7" s="55"/>
      <c r="G7" s="140"/>
    </row>
    <row r="8" spans="1:8" x14ac:dyDescent="0.3">
      <c r="A8" s="72"/>
      <c r="B8" s="51">
        <f>PL!A47</f>
        <v>171150</v>
      </c>
      <c r="C8" s="53" t="s">
        <v>216</v>
      </c>
      <c r="D8" s="40">
        <f>PL!D47</f>
        <v>182865</v>
      </c>
      <c r="E8" s="55"/>
    </row>
    <row r="9" spans="1:8" x14ac:dyDescent="0.3">
      <c r="A9" s="72"/>
      <c r="B9" s="51">
        <f>-PL!E28</f>
        <v>66446</v>
      </c>
      <c r="C9" s="53" t="s">
        <v>168</v>
      </c>
      <c r="D9" s="83">
        <f>PL!G28</f>
        <v>74652</v>
      </c>
      <c r="E9" s="55">
        <f>SUM(D5:D9)</f>
        <v>1024851</v>
      </c>
      <c r="G9" s="24">
        <f>E9-'Sch 1'!M28</f>
        <v>-128719</v>
      </c>
      <c r="H9" t="s">
        <v>356</v>
      </c>
    </row>
    <row r="10" spans="1:8" x14ac:dyDescent="0.3">
      <c r="A10" s="72"/>
      <c r="B10" s="40"/>
      <c r="D10" s="40"/>
      <c r="E10" s="50"/>
    </row>
    <row r="11" spans="1:8" x14ac:dyDescent="0.3">
      <c r="A11" s="72">
        <v>2</v>
      </c>
      <c r="B11" s="51"/>
      <c r="C11" s="56" t="s">
        <v>169</v>
      </c>
      <c r="D11" s="51"/>
      <c r="E11" s="57"/>
    </row>
    <row r="12" spans="1:8" x14ac:dyDescent="0.3">
      <c r="A12" s="72"/>
      <c r="B12" s="51">
        <v>1088565</v>
      </c>
      <c r="C12" s="52" t="s">
        <v>166</v>
      </c>
      <c r="D12" s="51">
        <f>1449372</f>
        <v>1449372</v>
      </c>
      <c r="E12" s="57"/>
    </row>
    <row r="13" spans="1:8" x14ac:dyDescent="0.3">
      <c r="A13" s="72"/>
      <c r="B13" s="51">
        <v>290008</v>
      </c>
      <c r="C13" s="54" t="s">
        <v>167</v>
      </c>
      <c r="D13" s="51">
        <v>290008</v>
      </c>
      <c r="E13" s="57"/>
    </row>
    <row r="14" spans="1:8" x14ac:dyDescent="0.3">
      <c r="A14" s="72"/>
      <c r="B14" s="51">
        <f>-PL!E29</f>
        <v>70799</v>
      </c>
      <c r="C14" s="53" t="s">
        <v>168</v>
      </c>
      <c r="D14" s="58">
        <f>PL!G29</f>
        <v>108976</v>
      </c>
      <c r="E14" s="59">
        <f>SUM(D12:D14)</f>
        <v>1848356</v>
      </c>
      <c r="G14" s="24">
        <f>E14-'Sch 1'!M13</f>
        <v>-42398</v>
      </c>
      <c r="H14" t="s">
        <v>230</v>
      </c>
    </row>
    <row r="15" spans="1:8" x14ac:dyDescent="0.3">
      <c r="A15" s="72"/>
      <c r="B15" s="51"/>
      <c r="C15" s="54"/>
      <c r="D15" s="51"/>
      <c r="E15" s="57"/>
    </row>
    <row r="16" spans="1:8" x14ac:dyDescent="0.3">
      <c r="A16" s="72">
        <v>3</v>
      </c>
      <c r="B16" s="51"/>
      <c r="C16" s="56" t="s">
        <v>170</v>
      </c>
      <c r="D16" s="51"/>
      <c r="E16" s="57"/>
    </row>
    <row r="17" spans="1:8" x14ac:dyDescent="0.3">
      <c r="A17" s="72"/>
      <c r="B17" s="51">
        <v>1492214.09</v>
      </c>
      <c r="C17" s="52" t="s">
        <v>166</v>
      </c>
      <c r="D17" s="51">
        <v>1488681.09</v>
      </c>
      <c r="E17" s="57"/>
    </row>
    <row r="18" spans="1:8" x14ac:dyDescent="0.3">
      <c r="A18" s="72"/>
      <c r="B18" s="51">
        <v>869892</v>
      </c>
      <c r="C18" s="54" t="s">
        <v>167</v>
      </c>
      <c r="D18" s="51">
        <v>869892</v>
      </c>
      <c r="E18" s="57"/>
    </row>
    <row r="19" spans="1:8" x14ac:dyDescent="0.3">
      <c r="A19" s="72"/>
      <c r="B19" s="51">
        <f>PL!A19+'Sch 8 &amp; 9'!B25+'Sch 8 &amp; 9'!B28</f>
        <v>-973032</v>
      </c>
      <c r="C19" s="54" t="s">
        <v>213</v>
      </c>
      <c r="D19" s="51">
        <f>PL!C19+'Sch 8 &amp; 9'!D25+'Sch 8 &amp; 9'!D28</f>
        <v>-1063146</v>
      </c>
      <c r="E19" s="57"/>
    </row>
    <row r="20" spans="1:8" x14ac:dyDescent="0.3">
      <c r="A20" s="72"/>
      <c r="B20" s="51">
        <f>-PL!E30</f>
        <v>99607</v>
      </c>
      <c r="C20" s="53" t="s">
        <v>168</v>
      </c>
      <c r="D20" s="58">
        <f>PL!G30</f>
        <v>104952</v>
      </c>
      <c r="E20" s="59">
        <f>SUM(D17:D20)</f>
        <v>1400379.0899999999</v>
      </c>
      <c r="G20" s="24">
        <f>E20-'Sch 1'!M19</f>
        <v>-458183.91000000015</v>
      </c>
      <c r="H20" t="s">
        <v>356</v>
      </c>
    </row>
    <row r="21" spans="1:8" x14ac:dyDescent="0.3">
      <c r="A21" s="72"/>
      <c r="B21" s="51"/>
      <c r="C21" s="54"/>
      <c r="D21" s="51"/>
      <c r="E21" s="57"/>
    </row>
    <row r="22" spans="1:8" x14ac:dyDescent="0.3">
      <c r="A22" s="72">
        <v>4</v>
      </c>
      <c r="B22" s="51"/>
      <c r="C22" s="56" t="s">
        <v>171</v>
      </c>
      <c r="D22" s="60"/>
      <c r="E22" s="61"/>
    </row>
    <row r="23" spans="1:8" x14ac:dyDescent="0.3">
      <c r="A23" s="72"/>
      <c r="B23" s="51">
        <v>22702</v>
      </c>
      <c r="C23" s="52" t="s">
        <v>166</v>
      </c>
      <c r="D23" s="51">
        <f>SUM(B23:B26)</f>
        <v>31955</v>
      </c>
      <c r="E23" s="61"/>
    </row>
    <row r="24" spans="1:8" x14ac:dyDescent="0.3">
      <c r="A24" s="72"/>
      <c r="B24" s="51">
        <v>7560</v>
      </c>
      <c r="C24" s="54" t="s">
        <v>167</v>
      </c>
      <c r="D24" s="51">
        <v>7560</v>
      </c>
      <c r="E24" s="61"/>
    </row>
    <row r="25" spans="1:8" x14ac:dyDescent="0.3">
      <c r="A25" s="72"/>
      <c r="B25" s="51">
        <f>-PL!E31</f>
        <v>1693</v>
      </c>
      <c r="C25" s="53" t="s">
        <v>168</v>
      </c>
      <c r="D25" s="51">
        <f>PL!G31</f>
        <v>2854</v>
      </c>
      <c r="E25" s="61"/>
    </row>
    <row r="26" spans="1:8" x14ac:dyDescent="0.3">
      <c r="A26" s="72"/>
      <c r="B26" s="51">
        <v>0</v>
      </c>
      <c r="C26" s="54" t="s">
        <v>172</v>
      </c>
      <c r="D26" s="58">
        <v>0</v>
      </c>
      <c r="E26" s="62">
        <f>SUM(D23:D26)</f>
        <v>42369</v>
      </c>
      <c r="G26" s="24">
        <f>E26-'Sch 1'!M36</f>
        <v>26254</v>
      </c>
      <c r="H26" t="s">
        <v>230</v>
      </c>
    </row>
    <row r="27" spans="1:8" x14ac:dyDescent="0.3">
      <c r="A27" s="72"/>
      <c r="B27" s="51"/>
      <c r="C27" s="54"/>
      <c r="D27" s="51"/>
      <c r="E27" s="62"/>
    </row>
    <row r="28" spans="1:8" x14ac:dyDescent="0.3">
      <c r="A28" s="73"/>
      <c r="B28" s="51"/>
      <c r="C28" s="56" t="s">
        <v>174</v>
      </c>
      <c r="D28" s="60"/>
      <c r="E28" s="61"/>
    </row>
    <row r="29" spans="1:8" x14ac:dyDescent="0.3">
      <c r="A29" s="73"/>
      <c r="B29" s="51">
        <v>225218</v>
      </c>
      <c r="C29" s="52" t="s">
        <v>166</v>
      </c>
      <c r="D29" s="51">
        <f>SUM(B29:B30)</f>
        <v>241875</v>
      </c>
      <c r="E29" s="61"/>
    </row>
    <row r="30" spans="1:8" x14ac:dyDescent="0.3">
      <c r="A30" s="42"/>
      <c r="B30" s="51">
        <f>-PL!E32</f>
        <v>16657</v>
      </c>
      <c r="C30" s="53" t="s">
        <v>168</v>
      </c>
      <c r="D30" s="58">
        <f>PL!G32</f>
        <v>17733</v>
      </c>
      <c r="E30" s="62">
        <f>SUM(D29:D30)</f>
        <v>259608</v>
      </c>
      <c r="G30" s="24">
        <f>E30-'Sch 1'!M40</f>
        <v>3460</v>
      </c>
      <c r="H30" t="s">
        <v>230</v>
      </c>
    </row>
    <row r="31" spans="1:8" ht="15" thickBot="1" x14ac:dyDescent="0.35">
      <c r="A31" s="42"/>
      <c r="B31" s="51"/>
      <c r="C31" s="54"/>
      <c r="D31" s="51"/>
      <c r="E31" s="62"/>
    </row>
    <row r="32" spans="1:8" ht="15" thickBot="1" x14ac:dyDescent="0.35">
      <c r="A32" s="249"/>
      <c r="B32" s="250">
        <f>SUM(B4:B31)</f>
        <v>3977417.09</v>
      </c>
      <c r="C32" s="251" t="s">
        <v>173</v>
      </c>
      <c r="D32" s="252"/>
      <c r="E32" s="253">
        <f>SUM(E4:E31)</f>
        <v>4575563.09</v>
      </c>
    </row>
    <row r="34" spans="5:5" x14ac:dyDescent="0.3">
      <c r="E34" s="140">
        <f>E32-D8</f>
        <v>4392698.09</v>
      </c>
    </row>
  </sheetData>
  <mergeCells count="2">
    <mergeCell ref="A1:E1"/>
    <mergeCell ref="A2:E2"/>
  </mergeCells>
  <printOptions horizontalCentered="1"/>
  <pageMargins left="0.70866141732283472" right="0.70866141732283472" top="0.59055118110236227" bottom="0.19685039370078741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4"/>
  <sheetViews>
    <sheetView view="pageBreakPreview" zoomScaleNormal="100" zoomScaleSheetLayoutView="100" workbookViewId="0">
      <selection activeCell="K28" sqref="K28"/>
    </sheetView>
  </sheetViews>
  <sheetFormatPr defaultColWidth="9.109375" defaultRowHeight="14.4" x14ac:dyDescent="0.3"/>
  <cols>
    <col min="1" max="1" width="6.33203125" style="113" bestFit="1" customWidth="1"/>
    <col min="2" max="2" width="14.77734375" style="113" customWidth="1"/>
    <col min="3" max="3" width="43.109375" style="113" bestFit="1" customWidth="1"/>
    <col min="4" max="4" width="14.77734375" style="113" customWidth="1"/>
    <col min="5" max="5" width="9.109375" style="113"/>
    <col min="6" max="6" width="10" style="113" bestFit="1" customWidth="1"/>
    <col min="7" max="16384" width="9.109375" style="113"/>
  </cols>
  <sheetData>
    <row r="1" spans="1:4" ht="18" x14ac:dyDescent="0.3">
      <c r="A1" s="326" t="str">
        <f>BS!A1</f>
        <v>JEEVAN HEIGHTS  CO-OPERATIVE HOUSING SOCIETY LTD</v>
      </c>
      <c r="B1" s="327"/>
      <c r="C1" s="327"/>
      <c r="D1" s="328"/>
    </row>
    <row r="2" spans="1:4" x14ac:dyDescent="0.3">
      <c r="A2" s="254"/>
      <c r="D2" s="255"/>
    </row>
    <row r="3" spans="1:4" x14ac:dyDescent="0.3">
      <c r="A3" s="323" t="s">
        <v>387</v>
      </c>
      <c r="B3" s="324"/>
      <c r="C3" s="324"/>
      <c r="D3" s="325"/>
    </row>
    <row r="4" spans="1:4" ht="19.95" customHeight="1" thickBot="1" x14ac:dyDescent="0.35">
      <c r="A4" s="256" t="s">
        <v>128</v>
      </c>
      <c r="B4" s="256" t="str">
        <f>'Sch 4,6'!B4</f>
        <v>FY 2024-25</v>
      </c>
      <c r="C4" s="234" t="s">
        <v>129</v>
      </c>
      <c r="D4" s="257" t="str">
        <f>'Sch 4,6'!D4</f>
        <v>FY 2025-26</v>
      </c>
    </row>
    <row r="5" spans="1:4" ht="19.95" customHeight="1" thickTop="1" x14ac:dyDescent="0.3">
      <c r="A5" s="258">
        <v>1</v>
      </c>
      <c r="B5" s="259">
        <f>11341+3875</f>
        <v>15216</v>
      </c>
      <c r="C5" s="236" t="s">
        <v>284</v>
      </c>
      <c r="D5" s="260">
        <f>11562</f>
        <v>11562</v>
      </c>
    </row>
    <row r="6" spans="1:4" ht="19.95" customHeight="1" x14ac:dyDescent="0.3">
      <c r="A6" s="261">
        <v>2</v>
      </c>
      <c r="B6" s="262">
        <f>6000+20000</f>
        <v>26000</v>
      </c>
      <c r="C6" s="228" t="s">
        <v>131</v>
      </c>
      <c r="D6" s="263">
        <f>15000</f>
        <v>15000</v>
      </c>
    </row>
    <row r="7" spans="1:4" ht="19.95" customHeight="1" x14ac:dyDescent="0.3">
      <c r="A7" s="261">
        <v>3</v>
      </c>
      <c r="B7" s="262">
        <v>71483</v>
      </c>
      <c r="C7" s="228" t="s">
        <v>132</v>
      </c>
      <c r="D7" s="263">
        <v>0</v>
      </c>
    </row>
    <row r="8" spans="1:4" ht="19.95" customHeight="1" x14ac:dyDescent="0.3">
      <c r="A8" s="261">
        <v>5</v>
      </c>
      <c r="B8" s="262">
        <v>8800</v>
      </c>
      <c r="C8" s="228" t="s">
        <v>133</v>
      </c>
      <c r="D8" s="263">
        <v>0</v>
      </c>
    </row>
    <row r="9" spans="1:4" ht="19.95" customHeight="1" x14ac:dyDescent="0.3">
      <c r="A9" s="261">
        <v>6</v>
      </c>
      <c r="B9" s="262">
        <v>850</v>
      </c>
      <c r="C9" s="228" t="s">
        <v>285</v>
      </c>
      <c r="D9" s="263">
        <f>8357</f>
        <v>8357</v>
      </c>
    </row>
    <row r="10" spans="1:4" ht="19.95" customHeight="1" x14ac:dyDescent="0.3">
      <c r="A10" s="261">
        <v>7</v>
      </c>
      <c r="B10" s="262">
        <f>72508+599</f>
        <v>73107</v>
      </c>
      <c r="C10" s="228" t="s">
        <v>136</v>
      </c>
      <c r="D10" s="263">
        <f>195877</f>
        <v>195877</v>
      </c>
    </row>
    <row r="11" spans="1:4" ht="19.95" customHeight="1" x14ac:dyDescent="0.3">
      <c r="A11" s="261">
        <v>8</v>
      </c>
      <c r="B11" s="262">
        <f>118471+9089</f>
        <v>127560</v>
      </c>
      <c r="C11" s="228" t="s">
        <v>137</v>
      </c>
      <c r="D11" s="263">
        <f>93777</f>
        <v>93777</v>
      </c>
    </row>
    <row r="12" spans="1:4" ht="19.95" customHeight="1" x14ac:dyDescent="0.3">
      <c r="A12" s="261">
        <v>9</v>
      </c>
      <c r="B12" s="262">
        <v>61370</v>
      </c>
      <c r="C12" s="228" t="s">
        <v>141</v>
      </c>
      <c r="D12" s="263">
        <f>26880</f>
        <v>26880</v>
      </c>
    </row>
    <row r="13" spans="1:4" ht="19.95" customHeight="1" x14ac:dyDescent="0.3">
      <c r="A13" s="261">
        <v>10</v>
      </c>
      <c r="B13" s="262">
        <v>2450</v>
      </c>
      <c r="C13" s="228" t="s">
        <v>143</v>
      </c>
      <c r="D13" s="263">
        <f>29581+1314+1000</f>
        <v>31895</v>
      </c>
    </row>
    <row r="14" spans="1:4" ht="19.95" customHeight="1" x14ac:dyDescent="0.3">
      <c r="A14" s="261">
        <v>11</v>
      </c>
      <c r="B14" s="262">
        <f>28407+5000</f>
        <v>33407</v>
      </c>
      <c r="C14" s="228" t="s">
        <v>135</v>
      </c>
      <c r="D14" s="263">
        <v>4750</v>
      </c>
    </row>
    <row r="15" spans="1:4" ht="19.95" customHeight="1" thickBot="1" x14ac:dyDescent="0.35">
      <c r="A15" s="264">
        <v>12</v>
      </c>
      <c r="B15" s="265">
        <v>0</v>
      </c>
      <c r="C15" s="266" t="s">
        <v>140</v>
      </c>
      <c r="D15" s="267">
        <v>36800</v>
      </c>
    </row>
    <row r="16" spans="1:4" ht="19.95" customHeight="1" thickBot="1" x14ac:dyDescent="0.35">
      <c r="A16" s="268"/>
      <c r="B16" s="269">
        <f>SUM(B5:B15)</f>
        <v>420243</v>
      </c>
      <c r="C16" s="270" t="s">
        <v>58</v>
      </c>
      <c r="D16" s="271">
        <f>SUM(D5:D15)</f>
        <v>424898</v>
      </c>
    </row>
    <row r="17" spans="1:4" ht="19.95" customHeight="1" x14ac:dyDescent="0.3"/>
    <row r="18" spans="1:4" ht="19.95" customHeight="1" x14ac:dyDescent="0.3">
      <c r="A18" s="323" t="s">
        <v>386</v>
      </c>
      <c r="B18" s="324"/>
      <c r="C18" s="324"/>
      <c r="D18" s="324"/>
    </row>
    <row r="19" spans="1:4" ht="19.95" customHeight="1" thickBot="1" x14ac:dyDescent="0.35">
      <c r="A19" s="256" t="s">
        <v>128</v>
      </c>
      <c r="B19" s="256" t="str">
        <f>B4</f>
        <v>FY 2024-25</v>
      </c>
      <c r="C19" s="234" t="s">
        <v>129</v>
      </c>
      <c r="D19" s="234" t="str">
        <f>D4</f>
        <v>FY 2025-26</v>
      </c>
    </row>
    <row r="20" spans="1:4" ht="19.95" customHeight="1" thickTop="1" x14ac:dyDescent="0.3">
      <c r="A20" s="258">
        <v>1</v>
      </c>
      <c r="B20" s="259">
        <v>6444</v>
      </c>
      <c r="C20" s="236" t="s">
        <v>130</v>
      </c>
      <c r="D20" s="260">
        <f>Workings!D16</f>
        <v>5011</v>
      </c>
    </row>
    <row r="21" spans="1:4" ht="19.95" customHeight="1" x14ac:dyDescent="0.3">
      <c r="A21" s="261">
        <v>2</v>
      </c>
      <c r="B21" s="262">
        <v>10738</v>
      </c>
      <c r="C21" s="228" t="s">
        <v>134</v>
      </c>
      <c r="D21" s="263">
        <f>Workings!D21</f>
        <v>11250</v>
      </c>
    </row>
    <row r="22" spans="1:4" ht="19.95" customHeight="1" x14ac:dyDescent="0.3">
      <c r="A22" s="261">
        <v>3</v>
      </c>
      <c r="B22" s="262">
        <v>14442</v>
      </c>
      <c r="C22" s="228" t="s">
        <v>138</v>
      </c>
      <c r="D22" s="263">
        <f>Workings!D26</f>
        <v>18310</v>
      </c>
    </row>
    <row r="23" spans="1:4" ht="10.050000000000001" customHeight="1" x14ac:dyDescent="0.3">
      <c r="A23" s="261"/>
      <c r="B23" s="262"/>
      <c r="C23" s="228"/>
      <c r="D23" s="263"/>
    </row>
    <row r="24" spans="1:4" ht="19.95" customHeight="1" x14ac:dyDescent="0.3">
      <c r="A24" s="261">
        <v>4</v>
      </c>
      <c r="B24" s="262">
        <f>129885</f>
        <v>129885</v>
      </c>
      <c r="C24" s="228" t="s">
        <v>139</v>
      </c>
      <c r="D24" s="263">
        <f>Workings!D67</f>
        <v>132000</v>
      </c>
    </row>
    <row r="25" spans="1:4" ht="19.95" customHeight="1" x14ac:dyDescent="0.3">
      <c r="A25" s="261"/>
      <c r="B25" s="262">
        <f>-B24</f>
        <v>-129885</v>
      </c>
      <c r="C25" s="228" t="s">
        <v>214</v>
      </c>
      <c r="D25" s="263">
        <f>-D24</f>
        <v>-132000</v>
      </c>
    </row>
    <row r="26" spans="1:4" ht="10.050000000000001" customHeight="1" x14ac:dyDescent="0.3">
      <c r="A26" s="261"/>
      <c r="B26" s="262"/>
      <c r="C26" s="228"/>
      <c r="D26" s="263"/>
    </row>
    <row r="27" spans="1:4" ht="19.95" customHeight="1" x14ac:dyDescent="0.3">
      <c r="A27" s="261">
        <v>5</v>
      </c>
      <c r="B27" s="262">
        <f>186702</f>
        <v>186702</v>
      </c>
      <c r="C27" s="228" t="s">
        <v>142</v>
      </c>
      <c r="D27" s="263">
        <f>Workings!D98</f>
        <v>232407</v>
      </c>
    </row>
    <row r="28" spans="1:4" ht="19.95" customHeight="1" x14ac:dyDescent="0.3">
      <c r="A28" s="261"/>
      <c r="B28" s="262">
        <f>-B27</f>
        <v>-186702</v>
      </c>
      <c r="C28" s="228" t="s">
        <v>214</v>
      </c>
      <c r="D28" s="263">
        <f>-D27</f>
        <v>-232407</v>
      </c>
    </row>
    <row r="29" spans="1:4" ht="10.050000000000001" customHeight="1" x14ac:dyDescent="0.3">
      <c r="A29" s="261"/>
      <c r="B29" s="262"/>
      <c r="C29" s="228"/>
      <c r="D29" s="263"/>
    </row>
    <row r="30" spans="1:4" ht="19.95" customHeight="1" x14ac:dyDescent="0.3">
      <c r="A30" s="261">
        <v>6</v>
      </c>
      <c r="B30" s="262">
        <f>23625*2</f>
        <v>47250</v>
      </c>
      <c r="C30" s="228" t="s">
        <v>144</v>
      </c>
      <c r="D30" s="263">
        <f>23625*2</f>
        <v>47250</v>
      </c>
    </row>
    <row r="31" spans="1:4" ht="19.95" customHeight="1" thickBot="1" x14ac:dyDescent="0.35">
      <c r="A31" s="264">
        <v>7</v>
      </c>
      <c r="B31" s="265">
        <f>25000</f>
        <v>25000</v>
      </c>
      <c r="C31" s="266" t="s">
        <v>210</v>
      </c>
      <c r="D31" s="267">
        <f>Workings!D43</f>
        <v>26000</v>
      </c>
    </row>
    <row r="32" spans="1:4" ht="19.95" customHeight="1" thickBot="1" x14ac:dyDescent="0.35">
      <c r="A32" s="268"/>
      <c r="B32" s="269">
        <f>SUM(B20:B31)</f>
        <v>103874</v>
      </c>
      <c r="C32" s="270" t="s">
        <v>61</v>
      </c>
      <c r="D32" s="271">
        <f>SUM(D20:D31)</f>
        <v>107821</v>
      </c>
    </row>
    <row r="33" spans="1:4" ht="10.050000000000001" customHeight="1" thickBot="1" x14ac:dyDescent="0.35">
      <c r="B33" s="272"/>
      <c r="D33" s="272"/>
    </row>
    <row r="34" spans="1:4" ht="19.95" customHeight="1" thickBot="1" x14ac:dyDescent="0.35">
      <c r="A34" s="273"/>
      <c r="B34" s="274">
        <f>B16+B32</f>
        <v>524117</v>
      </c>
      <c r="C34" s="207" t="s">
        <v>229</v>
      </c>
      <c r="D34" s="275">
        <f>D16+D32</f>
        <v>532719</v>
      </c>
    </row>
  </sheetData>
  <mergeCells count="3">
    <mergeCell ref="A3:D3"/>
    <mergeCell ref="A1:D1"/>
    <mergeCell ref="A18:D18"/>
  </mergeCells>
  <printOptions horizontalCentered="1"/>
  <pageMargins left="0.70866141732283472" right="0.70866141732283472" top="0.74803149606299213" bottom="0.19685039370078741" header="0.31496062992125984" footer="0.31496062992125984"/>
  <pageSetup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45"/>
  <sheetViews>
    <sheetView tabSelected="1" topLeftCell="A18" workbookViewId="0">
      <selection activeCell="D42" sqref="D42"/>
    </sheetView>
  </sheetViews>
  <sheetFormatPr defaultRowHeight="14.4" x14ac:dyDescent="0.3"/>
  <cols>
    <col min="1" max="1" width="12.5546875" bestFit="1" customWidth="1"/>
    <col min="2" max="2" width="4.6640625" customWidth="1"/>
    <col min="3" max="3" width="40.109375" customWidth="1"/>
    <col min="4" max="4" width="12.5546875" style="1" bestFit="1" customWidth="1"/>
    <col min="5" max="5" width="2.5546875" customWidth="1"/>
    <col min="6" max="6" width="2.6640625" bestFit="1" customWidth="1"/>
    <col min="7" max="7" width="27.33203125" bestFit="1" customWidth="1"/>
    <col min="8" max="8" width="10.109375" bestFit="1" customWidth="1"/>
    <col min="9" max="9" width="13.44140625" bestFit="1" customWidth="1"/>
    <col min="10" max="10" width="11.33203125" bestFit="1" customWidth="1"/>
    <col min="11" max="11" width="10" bestFit="1" customWidth="1"/>
    <col min="12" max="12" width="12.44140625" bestFit="1" customWidth="1"/>
    <col min="13" max="13" width="12.44140625" customWidth="1"/>
    <col min="15" max="15" width="10.44140625" bestFit="1" customWidth="1"/>
    <col min="17" max="17" width="10.6640625" bestFit="1" customWidth="1"/>
    <col min="18" max="18" width="15.6640625" bestFit="1" customWidth="1"/>
    <col min="19" max="19" width="58.88671875" bestFit="1" customWidth="1"/>
  </cols>
  <sheetData>
    <row r="1" spans="1:19" x14ac:dyDescent="0.3">
      <c r="B1" s="291" t="str">
        <f>BS!A1</f>
        <v>JEEVAN HEIGHTS  CO-OPERATIVE HOUSING SOCIETY LTD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80"/>
    </row>
    <row r="3" spans="1:19" x14ac:dyDescent="0.3">
      <c r="A3" s="291" t="s">
        <v>378</v>
      </c>
      <c r="B3" s="291"/>
      <c r="C3" s="291"/>
      <c r="D3" s="291"/>
      <c r="F3" s="13" t="s">
        <v>46</v>
      </c>
      <c r="G3" s="13" t="s">
        <v>47</v>
      </c>
      <c r="H3" s="13" t="s">
        <v>52</v>
      </c>
      <c r="I3" s="13" t="s">
        <v>48</v>
      </c>
      <c r="J3" s="13" t="s">
        <v>49</v>
      </c>
      <c r="K3" s="13" t="s">
        <v>50</v>
      </c>
      <c r="L3" s="13" t="s">
        <v>51</v>
      </c>
      <c r="M3" s="71"/>
      <c r="O3" s="329" t="s">
        <v>294</v>
      </c>
      <c r="P3" s="330"/>
      <c r="Q3" s="330"/>
      <c r="R3" s="330"/>
      <c r="S3" s="331"/>
    </row>
    <row r="4" spans="1:19" x14ac:dyDescent="0.3">
      <c r="F4" s="16">
        <v>1</v>
      </c>
      <c r="G4" s="14" t="s">
        <v>485</v>
      </c>
      <c r="H4" s="16" t="s">
        <v>486</v>
      </c>
      <c r="I4" s="16">
        <v>1086</v>
      </c>
      <c r="J4" s="15">
        <v>880</v>
      </c>
      <c r="K4" s="15">
        <v>0</v>
      </c>
      <c r="L4" s="16" t="s">
        <v>488</v>
      </c>
      <c r="M4" s="9"/>
      <c r="N4" s="3" t="s">
        <v>163</v>
      </c>
      <c r="O4" s="141" t="s">
        <v>295</v>
      </c>
      <c r="P4" s="131" t="s">
        <v>262</v>
      </c>
      <c r="Q4" s="131" t="s">
        <v>296</v>
      </c>
      <c r="R4" s="131" t="s">
        <v>297</v>
      </c>
      <c r="S4" s="131" t="s">
        <v>298</v>
      </c>
    </row>
    <row r="5" spans="1:19" x14ac:dyDescent="0.3">
      <c r="A5" s="17" t="s">
        <v>282</v>
      </c>
      <c r="B5" s="313" t="s">
        <v>39</v>
      </c>
      <c r="C5" s="313"/>
      <c r="D5" s="17" t="s">
        <v>376</v>
      </c>
      <c r="F5" s="16">
        <v>2</v>
      </c>
      <c r="G5" s="14" t="s">
        <v>158</v>
      </c>
      <c r="H5" s="16" t="s">
        <v>487</v>
      </c>
      <c r="I5" s="16">
        <v>1090</v>
      </c>
      <c r="J5" s="15">
        <v>24360</v>
      </c>
      <c r="K5" s="15">
        <v>0</v>
      </c>
      <c r="L5" s="16" t="s">
        <v>489</v>
      </c>
      <c r="M5" s="9"/>
      <c r="N5" s="16">
        <v>1</v>
      </c>
      <c r="O5" s="142" t="s">
        <v>299</v>
      </c>
      <c r="P5" s="133">
        <v>2950</v>
      </c>
      <c r="Q5" s="133"/>
      <c r="R5" s="146" t="s">
        <v>300</v>
      </c>
      <c r="S5" s="132"/>
    </row>
    <row r="6" spans="1:19" x14ac:dyDescent="0.3">
      <c r="F6" s="16"/>
      <c r="G6" s="14"/>
      <c r="H6" s="16"/>
      <c r="I6" s="16"/>
      <c r="J6" s="15"/>
      <c r="K6" s="15"/>
      <c r="L6" s="16"/>
      <c r="M6" s="9"/>
      <c r="N6" s="16">
        <v>2</v>
      </c>
      <c r="O6" s="142" t="s">
        <v>301</v>
      </c>
      <c r="P6" s="133"/>
      <c r="Q6" s="133">
        <v>15000</v>
      </c>
      <c r="R6" s="146">
        <v>420516260238</v>
      </c>
      <c r="S6" s="132" t="s">
        <v>302</v>
      </c>
    </row>
    <row r="7" spans="1:19" x14ac:dyDescent="0.3">
      <c r="A7" s="1">
        <v>922186.04</v>
      </c>
      <c r="B7" t="s">
        <v>41</v>
      </c>
      <c r="D7" s="1">
        <f>866516.04</f>
        <v>866516.04</v>
      </c>
      <c r="F7" s="16"/>
      <c r="G7" s="14"/>
      <c r="H7" s="16"/>
      <c r="I7" s="16"/>
      <c r="J7" s="15"/>
      <c r="K7" s="15"/>
      <c r="L7" s="16"/>
      <c r="M7" s="9"/>
      <c r="N7" s="16">
        <v>3</v>
      </c>
      <c r="O7" s="142" t="s">
        <v>303</v>
      </c>
      <c r="P7" s="134"/>
      <c r="Q7" s="133">
        <v>10000</v>
      </c>
      <c r="R7" s="146">
        <v>422616257456</v>
      </c>
      <c r="S7" s="132" t="s">
        <v>304</v>
      </c>
    </row>
    <row r="8" spans="1:19" x14ac:dyDescent="0.3">
      <c r="A8" s="1"/>
      <c r="F8" s="16"/>
      <c r="G8" s="14"/>
      <c r="H8" s="16"/>
      <c r="I8" s="16"/>
      <c r="J8" s="15"/>
      <c r="K8" s="15"/>
      <c r="L8" s="16"/>
      <c r="M8" s="9"/>
      <c r="N8" s="16">
        <v>4</v>
      </c>
      <c r="O8" s="142" t="s">
        <v>305</v>
      </c>
      <c r="P8" s="133"/>
      <c r="Q8" s="133">
        <v>28000</v>
      </c>
      <c r="R8" s="146">
        <v>423311708126</v>
      </c>
      <c r="S8" s="132" t="s">
        <v>304</v>
      </c>
    </row>
    <row r="9" spans="1:19" x14ac:dyDescent="0.3">
      <c r="A9" s="1">
        <v>125013</v>
      </c>
      <c r="B9" t="s">
        <v>42</v>
      </c>
      <c r="C9" t="s">
        <v>43</v>
      </c>
      <c r="D9" s="1">
        <f>J11</f>
        <v>25240</v>
      </c>
      <c r="F9" s="16"/>
      <c r="G9" s="14"/>
      <c r="H9" s="16"/>
      <c r="I9" s="16"/>
      <c r="J9" s="15"/>
      <c r="K9" s="15"/>
      <c r="L9" s="16"/>
      <c r="M9" s="9"/>
      <c r="N9" s="16">
        <v>5</v>
      </c>
      <c r="O9" s="142" t="s">
        <v>306</v>
      </c>
      <c r="P9" s="133"/>
      <c r="Q9" s="133">
        <v>6151</v>
      </c>
      <c r="R9" s="146">
        <v>423519916224</v>
      </c>
      <c r="S9" s="132" t="s">
        <v>307</v>
      </c>
    </row>
    <row r="10" spans="1:19" x14ac:dyDescent="0.3">
      <c r="A10" s="1"/>
      <c r="C10" t="s">
        <v>44</v>
      </c>
      <c r="F10" s="16"/>
      <c r="G10" s="14"/>
      <c r="H10" s="16"/>
      <c r="I10" s="16"/>
      <c r="J10" s="15"/>
      <c r="K10" s="15"/>
      <c r="L10" s="16"/>
      <c r="M10" s="9"/>
      <c r="N10" s="16">
        <v>6</v>
      </c>
      <c r="O10" s="142" t="s">
        <v>308</v>
      </c>
      <c r="P10" s="133"/>
      <c r="Q10" s="133">
        <v>7000</v>
      </c>
      <c r="R10" s="146">
        <v>425419583184</v>
      </c>
      <c r="S10" s="132"/>
    </row>
    <row r="11" spans="1:19" x14ac:dyDescent="0.3">
      <c r="A11" s="1"/>
      <c r="J11" s="2">
        <f>SUM(J4:J10)</f>
        <v>25240</v>
      </c>
      <c r="K11" s="2">
        <f>SUM(K4:K10)</f>
        <v>0</v>
      </c>
      <c r="N11" s="16">
        <v>7</v>
      </c>
      <c r="O11" s="142" t="s">
        <v>308</v>
      </c>
      <c r="P11" s="133"/>
      <c r="Q11" s="133">
        <v>11000</v>
      </c>
      <c r="R11" s="146">
        <v>425419606720</v>
      </c>
      <c r="S11" s="132"/>
    </row>
    <row r="12" spans="1:19" x14ac:dyDescent="0.3">
      <c r="A12" s="1">
        <v>0</v>
      </c>
      <c r="B12" t="s">
        <v>53</v>
      </c>
      <c r="C12" t="s">
        <v>54</v>
      </c>
      <c r="D12" s="1">
        <f>-K11</f>
        <v>0</v>
      </c>
      <c r="N12" s="16">
        <v>8</v>
      </c>
      <c r="O12" s="142" t="s">
        <v>309</v>
      </c>
      <c r="P12" s="133"/>
      <c r="Q12" s="133">
        <v>40000</v>
      </c>
      <c r="R12" s="147">
        <v>427519911428</v>
      </c>
      <c r="S12" s="132" t="s">
        <v>310</v>
      </c>
    </row>
    <row r="13" spans="1:19" x14ac:dyDescent="0.3">
      <c r="A13" s="1"/>
      <c r="C13" t="s">
        <v>55</v>
      </c>
      <c r="N13" s="16">
        <v>9</v>
      </c>
      <c r="O13" s="143" t="s">
        <v>311</v>
      </c>
      <c r="P13" s="136">
        <v>29500</v>
      </c>
      <c r="Q13" s="136"/>
      <c r="R13" s="148" t="s">
        <v>312</v>
      </c>
      <c r="S13" s="135" t="s">
        <v>313</v>
      </c>
    </row>
    <row r="14" spans="1:19" x14ac:dyDescent="0.3">
      <c r="A14" s="1"/>
      <c r="N14" s="16">
        <v>10</v>
      </c>
      <c r="O14" s="142" t="s">
        <v>314</v>
      </c>
      <c r="P14" s="133"/>
      <c r="Q14" s="133">
        <v>7800</v>
      </c>
      <c r="R14" s="146">
        <v>428619230968</v>
      </c>
      <c r="S14" s="132" t="s">
        <v>315</v>
      </c>
    </row>
    <row r="15" spans="1:19" ht="15" thickBot="1" x14ac:dyDescent="0.35">
      <c r="A15" s="10">
        <f>SUM(A7:A14)</f>
        <v>1047199.04</v>
      </c>
      <c r="B15" s="11" t="s">
        <v>45</v>
      </c>
      <c r="C15" s="11"/>
      <c r="D15" s="10">
        <f>SUM(D7:D14)</f>
        <v>891756.04</v>
      </c>
      <c r="N15" s="16">
        <v>11</v>
      </c>
      <c r="O15" s="142" t="s">
        <v>316</v>
      </c>
      <c r="P15" s="133"/>
      <c r="Q15" s="133">
        <v>25000</v>
      </c>
      <c r="R15" s="146">
        <v>429221038015</v>
      </c>
      <c r="S15" s="132" t="s">
        <v>317</v>
      </c>
    </row>
    <row r="16" spans="1:19" ht="15" thickTop="1" x14ac:dyDescent="0.3">
      <c r="N16" s="16">
        <v>12</v>
      </c>
      <c r="O16" s="144" t="s">
        <v>318</v>
      </c>
      <c r="P16" s="138"/>
      <c r="Q16" s="138">
        <v>110000</v>
      </c>
      <c r="R16" s="149">
        <v>196013007647</v>
      </c>
      <c r="S16" s="137" t="s">
        <v>319</v>
      </c>
    </row>
    <row r="17" spans="1:19" x14ac:dyDescent="0.3">
      <c r="N17" s="16">
        <v>13</v>
      </c>
      <c r="O17" s="142" t="s">
        <v>320</v>
      </c>
      <c r="P17" s="133">
        <v>5900</v>
      </c>
      <c r="Q17" s="133"/>
      <c r="R17" s="150" t="s">
        <v>321</v>
      </c>
      <c r="S17" s="132" t="s">
        <v>322</v>
      </c>
    </row>
    <row r="18" spans="1:19" x14ac:dyDescent="0.3">
      <c r="A18" s="291" t="s">
        <v>377</v>
      </c>
      <c r="B18" s="291"/>
      <c r="C18" s="291"/>
      <c r="D18" s="291"/>
      <c r="N18" s="16">
        <v>14</v>
      </c>
      <c r="O18" s="145" t="s">
        <v>323</v>
      </c>
      <c r="P18" s="134"/>
      <c r="Q18" s="133">
        <v>20800</v>
      </c>
      <c r="R18" s="151">
        <v>502710621242</v>
      </c>
      <c r="S18" s="139" t="s">
        <v>324</v>
      </c>
    </row>
    <row r="19" spans="1:19" x14ac:dyDescent="0.3">
      <c r="N19" s="16">
        <v>15</v>
      </c>
      <c r="O19" s="145" t="s">
        <v>323</v>
      </c>
      <c r="P19" s="134"/>
      <c r="Q19" s="134">
        <v>1</v>
      </c>
      <c r="R19" s="151">
        <v>502709532027</v>
      </c>
      <c r="S19" s="139" t="s">
        <v>325</v>
      </c>
    </row>
    <row r="20" spans="1:19" x14ac:dyDescent="0.3">
      <c r="A20" s="159" t="str">
        <f>A5</f>
        <v>FY 2024-25</v>
      </c>
      <c r="B20" s="313" t="s">
        <v>39</v>
      </c>
      <c r="C20" s="313"/>
      <c r="D20" s="159" t="str">
        <f>D5</f>
        <v>FY 2025-26</v>
      </c>
      <c r="N20" s="16">
        <v>16</v>
      </c>
      <c r="O20" s="142" t="s">
        <v>293</v>
      </c>
      <c r="P20" s="133"/>
      <c r="Q20" s="133">
        <v>4670</v>
      </c>
      <c r="R20" s="146">
        <v>506509096201</v>
      </c>
      <c r="S20" s="132" t="s">
        <v>326</v>
      </c>
    </row>
    <row r="21" spans="1:19" x14ac:dyDescent="0.3">
      <c r="N21" s="16">
        <v>17</v>
      </c>
      <c r="O21" s="142" t="s">
        <v>293</v>
      </c>
      <c r="P21" s="133"/>
      <c r="Q21" s="133">
        <v>2500</v>
      </c>
      <c r="R21" s="146">
        <v>506509095408</v>
      </c>
      <c r="S21" s="132" t="s">
        <v>327</v>
      </c>
    </row>
    <row r="22" spans="1:19" x14ac:dyDescent="0.3">
      <c r="A22" s="1">
        <v>55753.279999999999</v>
      </c>
      <c r="B22" t="s">
        <v>41</v>
      </c>
      <c r="D22" s="1">
        <v>57533.279999999999</v>
      </c>
    </row>
    <row r="24" spans="1:19" x14ac:dyDescent="0.3">
      <c r="A24" s="1">
        <v>0</v>
      </c>
      <c r="B24" t="s">
        <v>42</v>
      </c>
      <c r="C24" t="s">
        <v>43</v>
      </c>
      <c r="D24" s="1">
        <f>J26</f>
        <v>0</v>
      </c>
    </row>
    <row r="25" spans="1:19" x14ac:dyDescent="0.3">
      <c r="A25" s="1"/>
      <c r="C25" t="s">
        <v>44</v>
      </c>
    </row>
    <row r="26" spans="1:19" x14ac:dyDescent="0.3">
      <c r="A26" s="1"/>
    </row>
    <row r="27" spans="1:19" x14ac:dyDescent="0.3">
      <c r="A27" s="1">
        <v>0</v>
      </c>
      <c r="B27" t="s">
        <v>53</v>
      </c>
      <c r="C27" t="s">
        <v>54</v>
      </c>
      <c r="D27" s="1">
        <v>-352</v>
      </c>
    </row>
    <row r="28" spans="1:19" x14ac:dyDescent="0.3">
      <c r="A28" s="1"/>
      <c r="C28" t="s">
        <v>55</v>
      </c>
    </row>
    <row r="29" spans="1:19" x14ac:dyDescent="0.3">
      <c r="A29" s="1"/>
    </row>
    <row r="30" spans="1:19" ht="15" thickBot="1" x14ac:dyDescent="0.35">
      <c r="A30" s="10">
        <f>SUM(A22:A29)</f>
        <v>55753.279999999999</v>
      </c>
      <c r="B30" s="11" t="s">
        <v>45</v>
      </c>
      <c r="C30" s="11"/>
      <c r="D30" s="10">
        <f>SUM(D22:D29)</f>
        <v>57181.279999999999</v>
      </c>
    </row>
    <row r="31" spans="1:19" ht="15" thickTop="1" x14ac:dyDescent="0.3"/>
    <row r="32" spans="1:19" x14ac:dyDescent="0.3">
      <c r="A32" s="291" t="s">
        <v>495</v>
      </c>
      <c r="B32" s="291"/>
      <c r="C32" s="291"/>
      <c r="D32" s="291"/>
    </row>
    <row r="34" spans="1:4" x14ac:dyDescent="0.3">
      <c r="A34" s="159" t="str">
        <f>A5</f>
        <v>FY 2024-25</v>
      </c>
      <c r="B34" s="313" t="s">
        <v>39</v>
      </c>
      <c r="C34" s="313"/>
      <c r="D34" s="159" t="str">
        <f>D5</f>
        <v>FY 2025-26</v>
      </c>
    </row>
    <row r="36" spans="1:4" x14ac:dyDescent="0.3">
      <c r="A36" s="1">
        <v>54399</v>
      </c>
      <c r="B36" t="s">
        <v>41</v>
      </c>
      <c r="D36" s="1">
        <v>6956</v>
      </c>
    </row>
    <row r="38" spans="1:4" x14ac:dyDescent="0.3">
      <c r="A38" s="1">
        <v>0</v>
      </c>
      <c r="B38" t="s">
        <v>42</v>
      </c>
      <c r="C38" t="s">
        <v>43</v>
      </c>
      <c r="D38" s="1">
        <f>J40</f>
        <v>0</v>
      </c>
    </row>
    <row r="39" spans="1:4" x14ac:dyDescent="0.3">
      <c r="A39" s="1"/>
      <c r="C39" t="s">
        <v>44</v>
      </c>
    </row>
    <row r="40" spans="1:4" x14ac:dyDescent="0.3">
      <c r="A40" s="1"/>
    </row>
    <row r="41" spans="1:4" x14ac:dyDescent="0.3">
      <c r="A41" s="1">
        <v>0</v>
      </c>
      <c r="B41" t="s">
        <v>53</v>
      </c>
      <c r="C41" t="s">
        <v>54</v>
      </c>
      <c r="D41" s="1">
        <v>0</v>
      </c>
    </row>
    <row r="42" spans="1:4" x14ac:dyDescent="0.3">
      <c r="A42" s="1"/>
      <c r="C42" t="s">
        <v>55</v>
      </c>
    </row>
    <row r="43" spans="1:4" x14ac:dyDescent="0.3">
      <c r="A43" s="1"/>
    </row>
    <row r="44" spans="1:4" ht="15" thickBot="1" x14ac:dyDescent="0.35">
      <c r="A44" s="10">
        <f>SUM(A36:A43)</f>
        <v>54399</v>
      </c>
      <c r="B44" s="11" t="s">
        <v>45</v>
      </c>
      <c r="C44" s="11"/>
      <c r="D44" s="10">
        <f>SUM(D36:D43)</f>
        <v>6956</v>
      </c>
    </row>
    <row r="45" spans="1:4" ht="15" thickTop="1" x14ac:dyDescent="0.3"/>
  </sheetData>
  <mergeCells count="8">
    <mergeCell ref="B34:C34"/>
    <mergeCell ref="B20:C20"/>
    <mergeCell ref="B5:C5"/>
    <mergeCell ref="B1:L1"/>
    <mergeCell ref="O3:S3"/>
    <mergeCell ref="A18:D18"/>
    <mergeCell ref="A3:D3"/>
    <mergeCell ref="A32:D32"/>
  </mergeCells>
  <printOptions horizontalCentered="1"/>
  <pageMargins left="0.5" right="0.5" top="0.5" bottom="0.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C98"/>
  <sheetViews>
    <sheetView topLeftCell="A69" workbookViewId="0">
      <selection activeCell="D83" sqref="D83"/>
    </sheetView>
  </sheetViews>
  <sheetFormatPr defaultRowHeight="14.4" x14ac:dyDescent="0.3"/>
  <cols>
    <col min="1" max="1" width="6.88671875" style="9" bestFit="1" customWidth="1"/>
    <col min="2" max="2" width="24.44140625" bestFit="1" customWidth="1"/>
    <col min="3" max="3" width="7.88671875" bestFit="1" customWidth="1"/>
    <col min="4" max="4" width="13.33203125" style="96" customWidth="1"/>
    <col min="5" max="5" width="10.5546875" bestFit="1" customWidth="1"/>
    <col min="6" max="6" width="12.33203125" bestFit="1" customWidth="1"/>
    <col min="7" max="7" width="16.88671875" bestFit="1" customWidth="1"/>
    <col min="8" max="8" width="10.44140625" bestFit="1" customWidth="1"/>
    <col min="9" max="9" width="10" bestFit="1" customWidth="1"/>
    <col min="10" max="11" width="7.44140625" bestFit="1" customWidth="1"/>
    <col min="12" max="12" width="8.88671875" bestFit="1" customWidth="1"/>
    <col min="13" max="13" width="9" bestFit="1" customWidth="1"/>
    <col min="15" max="15" width="22.44140625" bestFit="1" customWidth="1"/>
    <col min="17" max="17" width="13.5546875" customWidth="1"/>
    <col min="18" max="20" width="10" bestFit="1" customWidth="1"/>
    <col min="22" max="22" width="10.6640625" customWidth="1"/>
    <col min="24" max="24" width="35.88671875" bestFit="1" customWidth="1"/>
    <col min="25" max="25" width="16.33203125" bestFit="1" customWidth="1"/>
    <col min="26" max="26" width="6" bestFit="1" customWidth="1"/>
    <col min="27" max="27" width="5" bestFit="1" customWidth="1"/>
    <col min="28" max="28" width="6" bestFit="1" customWidth="1"/>
    <col min="29" max="29" width="11.33203125" bestFit="1" customWidth="1"/>
  </cols>
  <sheetData>
    <row r="2" spans="1:29" s="113" customFormat="1" ht="28.8" x14ac:dyDescent="0.3">
      <c r="A2" s="71" t="s">
        <v>163</v>
      </c>
      <c r="B2" s="71" t="s">
        <v>39</v>
      </c>
      <c r="C2" s="111" t="s">
        <v>263</v>
      </c>
      <c r="D2" s="112" t="s">
        <v>40</v>
      </c>
      <c r="G2" s="294" t="s">
        <v>215</v>
      </c>
      <c r="H2" s="294"/>
      <c r="I2" s="294"/>
      <c r="J2" s="294"/>
      <c r="K2" s="294"/>
      <c r="L2" s="294"/>
      <c r="M2" s="294"/>
      <c r="N2" s="76" t="s">
        <v>439</v>
      </c>
      <c r="O2" s="160" t="s">
        <v>47</v>
      </c>
      <c r="P2" s="160" t="s">
        <v>438</v>
      </c>
      <c r="Q2" s="160" t="s">
        <v>437</v>
      </c>
      <c r="R2" s="160" t="s">
        <v>233</v>
      </c>
      <c r="S2" s="160" t="s">
        <v>232</v>
      </c>
      <c r="T2" s="76" t="s">
        <v>234</v>
      </c>
      <c r="U2" s="76" t="s">
        <v>440</v>
      </c>
      <c r="V2" s="76" t="s">
        <v>441</v>
      </c>
      <c r="X2" s="164" t="s">
        <v>467</v>
      </c>
      <c r="Y2" s="164" t="s">
        <v>468</v>
      </c>
      <c r="Z2"/>
      <c r="AA2"/>
      <c r="AB2"/>
      <c r="AC2"/>
    </row>
    <row r="3" spans="1:29" x14ac:dyDescent="0.3">
      <c r="G3" s="3" t="s">
        <v>47</v>
      </c>
      <c r="H3" s="3" t="s">
        <v>295</v>
      </c>
      <c r="I3" s="3" t="s">
        <v>231</v>
      </c>
      <c r="J3" s="3" t="s">
        <v>232</v>
      </c>
      <c r="K3" s="3" t="s">
        <v>233</v>
      </c>
      <c r="L3" s="3" t="s">
        <v>234</v>
      </c>
      <c r="M3" s="3" t="s">
        <v>9</v>
      </c>
      <c r="N3" s="9">
        <v>1</v>
      </c>
      <c r="O3" s="162" t="s">
        <v>442</v>
      </c>
      <c r="P3" s="162" t="s">
        <v>436</v>
      </c>
      <c r="Q3" s="162" t="s">
        <v>450</v>
      </c>
      <c r="R3" s="163">
        <v>6632.2</v>
      </c>
      <c r="S3" s="163">
        <v>6632.2</v>
      </c>
      <c r="T3" s="98">
        <f>SUM(R3:S3)</f>
        <v>13264.4</v>
      </c>
      <c r="U3" s="161">
        <f>100%-16.04%</f>
        <v>0.83960000000000001</v>
      </c>
      <c r="V3" s="96">
        <f>ROUND(T3*U3,0)</f>
        <v>11137</v>
      </c>
      <c r="X3" s="164" t="s">
        <v>465</v>
      </c>
      <c r="Y3">
        <v>1</v>
      </c>
      <c r="Z3">
        <v>2</v>
      </c>
      <c r="AA3">
        <v>3</v>
      </c>
      <c r="AB3">
        <v>4</v>
      </c>
      <c r="AC3" t="s">
        <v>466</v>
      </c>
    </row>
    <row r="4" spans="1:29" x14ac:dyDescent="0.3">
      <c r="A4" s="9">
        <v>1</v>
      </c>
      <c r="B4" s="32" t="s">
        <v>22</v>
      </c>
      <c r="G4" s="153" t="s">
        <v>349</v>
      </c>
      <c r="H4" t="s">
        <v>350</v>
      </c>
      <c r="I4" s="152">
        <f>ROUND(J4*100/9,)</f>
        <v>75450</v>
      </c>
      <c r="J4" s="82">
        <f>L4/2</f>
        <v>6790.5</v>
      </c>
      <c r="K4" s="82">
        <f>L4/2</f>
        <v>6790.5</v>
      </c>
      <c r="L4" s="82">
        <v>13581</v>
      </c>
      <c r="M4" s="82">
        <f>I4+L4</f>
        <v>89031</v>
      </c>
      <c r="N4" s="9">
        <v>1</v>
      </c>
      <c r="O4" s="162" t="s">
        <v>443</v>
      </c>
      <c r="P4" s="162" t="s">
        <v>451</v>
      </c>
      <c r="Q4" s="162" t="s">
        <v>452</v>
      </c>
      <c r="R4" s="163">
        <v>4341.49</v>
      </c>
      <c r="S4" s="163">
        <v>4341.49</v>
      </c>
      <c r="T4" s="98">
        <f>SUM(R4:S4)</f>
        <v>8682.98</v>
      </c>
      <c r="U4" s="161">
        <f>100%-16.04%</f>
        <v>0.83960000000000001</v>
      </c>
      <c r="V4" s="96">
        <f>ROUND(T4*U4,0)</f>
        <v>7290</v>
      </c>
      <c r="X4" s="91" t="s">
        <v>442</v>
      </c>
      <c r="Y4">
        <v>22274</v>
      </c>
      <c r="Z4">
        <v>22240</v>
      </c>
      <c r="AB4">
        <v>47044</v>
      </c>
      <c r="AC4">
        <v>91558</v>
      </c>
    </row>
    <row r="5" spans="1:29" x14ac:dyDescent="0.3">
      <c r="B5" t="s">
        <v>408</v>
      </c>
      <c r="C5">
        <f>25+28+31+30+31+30+7</f>
        <v>182</v>
      </c>
      <c r="D5" s="96">
        <f>80694</f>
        <v>80694</v>
      </c>
      <c r="G5" s="14" t="s">
        <v>235</v>
      </c>
      <c r="H5" s="14" t="s">
        <v>351</v>
      </c>
      <c r="I5" s="152">
        <f t="shared" ref="I5:I6" si="0">ROUND(J5*100/9,)</f>
        <v>3500</v>
      </c>
      <c r="J5" s="82">
        <f t="shared" ref="J5:J6" si="1">L5/2</f>
        <v>315</v>
      </c>
      <c r="K5" s="82">
        <f t="shared" ref="K5:K6" si="2">L5/2</f>
        <v>315</v>
      </c>
      <c r="L5" s="82">
        <f>630</f>
        <v>630</v>
      </c>
      <c r="M5" s="82">
        <f t="shared" ref="M5:M6" si="3">I5+L5</f>
        <v>4130</v>
      </c>
      <c r="N5" s="9">
        <v>1</v>
      </c>
      <c r="O5" s="162" t="s">
        <v>443</v>
      </c>
      <c r="P5" s="162" t="s">
        <v>453</v>
      </c>
      <c r="Q5" s="162" t="s">
        <v>454</v>
      </c>
      <c r="R5" s="163">
        <v>4341.49</v>
      </c>
      <c r="S5" s="163">
        <v>4341.49</v>
      </c>
      <c r="T5" s="98">
        <f>SUM(R5:S5)</f>
        <v>8682.98</v>
      </c>
      <c r="U5" s="161">
        <f>100%-16.04%</f>
        <v>0.83960000000000001</v>
      </c>
      <c r="V5" s="96">
        <f>ROUND(T5*U5,0)</f>
        <v>7290</v>
      </c>
      <c r="X5" s="91" t="s">
        <v>443</v>
      </c>
      <c r="Y5">
        <v>14580</v>
      </c>
      <c r="Z5">
        <v>7279</v>
      </c>
      <c r="AA5">
        <v>7602</v>
      </c>
      <c r="AB5">
        <v>7551</v>
      </c>
      <c r="AC5">
        <v>37012</v>
      </c>
    </row>
    <row r="6" spans="1:29" x14ac:dyDescent="0.3">
      <c r="A6" s="9" t="s">
        <v>53</v>
      </c>
      <c r="B6" t="s">
        <v>283</v>
      </c>
      <c r="C6" s="93">
        <f>-(25+28+31)</f>
        <v>-84</v>
      </c>
      <c r="D6" s="97">
        <v>-42992</v>
      </c>
      <c r="G6" s="14" t="s">
        <v>235</v>
      </c>
      <c r="H6" s="14" t="s">
        <v>352</v>
      </c>
      <c r="I6" s="152">
        <f t="shared" si="0"/>
        <v>4528</v>
      </c>
      <c r="J6" s="82">
        <f t="shared" si="1"/>
        <v>407.5</v>
      </c>
      <c r="K6" s="82">
        <f t="shared" si="2"/>
        <v>407.5</v>
      </c>
      <c r="L6" s="82">
        <v>815</v>
      </c>
      <c r="M6" s="82">
        <f t="shared" si="3"/>
        <v>5343</v>
      </c>
      <c r="N6" s="9">
        <v>1</v>
      </c>
      <c r="O6" s="162" t="s">
        <v>442</v>
      </c>
      <c r="P6" s="162" t="s">
        <v>455</v>
      </c>
      <c r="Q6" s="162" t="s">
        <v>456</v>
      </c>
      <c r="R6" s="163">
        <v>6632.2</v>
      </c>
      <c r="S6" s="163">
        <v>6632.2</v>
      </c>
      <c r="T6" s="98">
        <f t="shared" ref="T6" si="4">SUM(R6:S6)</f>
        <v>13264.4</v>
      </c>
      <c r="U6" s="161">
        <f>100%-16.04%</f>
        <v>0.83960000000000001</v>
      </c>
      <c r="V6" s="96">
        <f t="shared" ref="V6" si="5">ROUND(T6*U6,0)</f>
        <v>11137</v>
      </c>
      <c r="X6" s="91" t="s">
        <v>466</v>
      </c>
      <c r="Y6">
        <v>36854</v>
      </c>
      <c r="Z6">
        <v>29519</v>
      </c>
      <c r="AA6">
        <v>7602</v>
      </c>
      <c r="AB6">
        <v>54595</v>
      </c>
      <c r="AC6">
        <v>128570</v>
      </c>
    </row>
    <row r="7" spans="1:29" x14ac:dyDescent="0.3">
      <c r="B7" t="s">
        <v>409</v>
      </c>
      <c r="C7">
        <f>SUM(C5:C6)</f>
        <v>98</v>
      </c>
      <c r="D7" s="96">
        <f>SUM(D5:D6)</f>
        <v>37702</v>
      </c>
      <c r="G7" s="14" t="s">
        <v>235</v>
      </c>
      <c r="H7" s="14" t="s">
        <v>353</v>
      </c>
      <c r="I7" s="82">
        <f t="shared" ref="I7" si="6">ROUND(J7*100/9,)</f>
        <v>7928</v>
      </c>
      <c r="J7" s="82">
        <f t="shared" ref="J7" si="7">L7/2</f>
        <v>713.5</v>
      </c>
      <c r="K7" s="82">
        <f t="shared" ref="K7" si="8">L7/2</f>
        <v>713.5</v>
      </c>
      <c r="L7" s="82">
        <v>1427</v>
      </c>
      <c r="M7" s="82">
        <f t="shared" ref="M7" si="9">I7+L7</f>
        <v>9355</v>
      </c>
      <c r="N7" s="9">
        <v>2</v>
      </c>
      <c r="O7" s="162" t="s">
        <v>442</v>
      </c>
      <c r="P7" s="162" t="s">
        <v>444</v>
      </c>
      <c r="Q7" s="162" t="s">
        <v>445</v>
      </c>
      <c r="R7" s="163">
        <v>6632.2</v>
      </c>
      <c r="S7" s="163">
        <v>6632.2</v>
      </c>
      <c r="T7" s="98">
        <f t="shared" ref="T7:T13" si="10">SUM(R7:S7)</f>
        <v>13264.4</v>
      </c>
      <c r="U7" s="161">
        <f>100%-16.17%</f>
        <v>0.83830000000000005</v>
      </c>
      <c r="V7" s="96">
        <f t="shared" ref="V7:V13" si="11">ROUND(T7*U7,0)</f>
        <v>11120</v>
      </c>
    </row>
    <row r="8" spans="1:29" x14ac:dyDescent="0.3">
      <c r="A8" s="9" t="s">
        <v>42</v>
      </c>
      <c r="B8" t="s">
        <v>410</v>
      </c>
      <c r="C8" s="93">
        <f>24+31+30+31+30+31+31+28+31</f>
        <v>267</v>
      </c>
      <c r="D8" s="97">
        <f>ROUND(C8*D7/C7,0)</f>
        <v>102719</v>
      </c>
      <c r="E8" s="32" t="s">
        <v>122</v>
      </c>
      <c r="G8" s="14" t="s">
        <v>335</v>
      </c>
      <c r="H8" s="14" t="s">
        <v>357</v>
      </c>
      <c r="I8" s="82">
        <f>ROUND(J8*100/6,)</f>
        <v>46500</v>
      </c>
      <c r="J8" s="82">
        <f t="shared" ref="J8" si="12">L8/2</f>
        <v>2790</v>
      </c>
      <c r="K8" s="82">
        <f t="shared" ref="K8" si="13">L8/2</f>
        <v>2790</v>
      </c>
      <c r="L8" s="154">
        <v>5580</v>
      </c>
      <c r="M8" s="82">
        <f>I8+L8</f>
        <v>52080</v>
      </c>
      <c r="N8" s="9">
        <v>2</v>
      </c>
      <c r="O8" s="162" t="s">
        <v>442</v>
      </c>
      <c r="P8" s="162" t="s">
        <v>446</v>
      </c>
      <c r="Q8" s="162" t="s">
        <v>447</v>
      </c>
      <c r="R8" s="163">
        <v>6632.2</v>
      </c>
      <c r="S8" s="163">
        <v>6632.2</v>
      </c>
      <c r="T8" s="98">
        <f t="shared" si="10"/>
        <v>13264.4</v>
      </c>
      <c r="U8" s="161">
        <f>100%-16.17%</f>
        <v>0.83830000000000005</v>
      </c>
      <c r="V8" s="96">
        <f t="shared" si="11"/>
        <v>11120</v>
      </c>
    </row>
    <row r="9" spans="1:29" x14ac:dyDescent="0.3">
      <c r="B9" s="32" t="s">
        <v>411</v>
      </c>
      <c r="C9" s="32">
        <f>SUM(C7:C8)</f>
        <v>365</v>
      </c>
      <c r="D9" s="98">
        <f>SUM(D7:D8)</f>
        <v>140421</v>
      </c>
      <c r="I9" s="110">
        <f>SUM(I4:I8)</f>
        <v>137906</v>
      </c>
      <c r="J9" s="110">
        <f>SUM(J4:J8)</f>
        <v>11016.5</v>
      </c>
      <c r="K9" s="110">
        <f>SUM(K4:K8)</f>
        <v>11016.5</v>
      </c>
      <c r="L9" s="110">
        <f>SUM(L4:L8)</f>
        <v>22033</v>
      </c>
      <c r="M9" s="110">
        <f>SUM(M4:M8)</f>
        <v>159939</v>
      </c>
      <c r="N9" s="9">
        <v>2</v>
      </c>
      <c r="O9" s="162" t="s">
        <v>443</v>
      </c>
      <c r="P9" s="162" t="s">
        <v>448</v>
      </c>
      <c r="Q9" s="162" t="s">
        <v>449</v>
      </c>
      <c r="R9" s="163">
        <v>4341.49</v>
      </c>
      <c r="S9" s="163">
        <v>4341.49</v>
      </c>
      <c r="T9" s="98">
        <f t="shared" si="10"/>
        <v>8682.98</v>
      </c>
      <c r="U9" s="161">
        <f>100%-16.17%</f>
        <v>0.83830000000000005</v>
      </c>
      <c r="V9" s="96">
        <f t="shared" si="11"/>
        <v>7279</v>
      </c>
    </row>
    <row r="10" spans="1:29" x14ac:dyDescent="0.3">
      <c r="N10" s="9">
        <v>3</v>
      </c>
      <c r="O10" s="162" t="s">
        <v>443</v>
      </c>
      <c r="P10" s="162" t="s">
        <v>457</v>
      </c>
      <c r="Q10" s="162" t="s">
        <v>458</v>
      </c>
      <c r="R10" s="163">
        <v>4558.84</v>
      </c>
      <c r="S10" s="163">
        <v>4558.84</v>
      </c>
      <c r="T10" s="98">
        <f t="shared" si="10"/>
        <v>9117.68</v>
      </c>
      <c r="U10" s="161">
        <f>100%-16.62%</f>
        <v>0.83379999999999999</v>
      </c>
      <c r="V10" s="96">
        <f t="shared" si="11"/>
        <v>7602</v>
      </c>
    </row>
    <row r="11" spans="1:29" x14ac:dyDescent="0.3">
      <c r="N11" s="9">
        <v>4</v>
      </c>
      <c r="O11" s="162" t="s">
        <v>442</v>
      </c>
      <c r="P11" s="162" t="s">
        <v>459</v>
      </c>
      <c r="Q11" s="162" t="s">
        <v>460</v>
      </c>
      <c r="R11" s="163">
        <v>14200.88</v>
      </c>
      <c r="S11" s="163">
        <v>14200.88</v>
      </c>
      <c r="T11" s="98">
        <f t="shared" si="10"/>
        <v>28401.759999999998</v>
      </c>
      <c r="U11" s="161">
        <f>100%-17.18%</f>
        <v>0.82820000000000005</v>
      </c>
      <c r="V11" s="96">
        <f t="shared" si="11"/>
        <v>23522</v>
      </c>
    </row>
    <row r="12" spans="1:29" x14ac:dyDescent="0.3">
      <c r="A12" s="9">
        <v>2</v>
      </c>
      <c r="B12" s="32" t="s">
        <v>118</v>
      </c>
      <c r="G12" t="s">
        <v>261</v>
      </c>
      <c r="I12" t="s">
        <v>262</v>
      </c>
      <c r="N12" s="9">
        <v>4</v>
      </c>
      <c r="O12" s="162" t="s">
        <v>443</v>
      </c>
      <c r="P12" s="162" t="s">
        <v>461</v>
      </c>
      <c r="Q12" s="162" t="s">
        <v>463</v>
      </c>
      <c r="R12" s="163">
        <v>4558.84</v>
      </c>
      <c r="S12" s="163">
        <v>4558.84</v>
      </c>
      <c r="T12" s="98">
        <f t="shared" si="10"/>
        <v>9117.68</v>
      </c>
      <c r="U12" s="161">
        <f>100%-17.18%</f>
        <v>0.82820000000000005</v>
      </c>
      <c r="V12" s="96">
        <f t="shared" si="11"/>
        <v>7551</v>
      </c>
    </row>
    <row r="13" spans="1:29" x14ac:dyDescent="0.3">
      <c r="B13" t="s">
        <v>420</v>
      </c>
      <c r="C13">
        <v>9</v>
      </c>
      <c r="D13" s="96">
        <v>4011</v>
      </c>
      <c r="G13">
        <v>153245551</v>
      </c>
      <c r="I13">
        <v>92562.72</v>
      </c>
      <c r="N13" s="9">
        <v>4</v>
      </c>
      <c r="O13" s="162" t="s">
        <v>442</v>
      </c>
      <c r="P13" s="162" t="s">
        <v>462</v>
      </c>
      <c r="Q13" s="162" t="s">
        <v>464</v>
      </c>
      <c r="R13" s="163">
        <v>14200.88</v>
      </c>
      <c r="S13" s="163">
        <v>14200.88</v>
      </c>
      <c r="T13" s="98">
        <f t="shared" si="10"/>
        <v>28401.759999999998</v>
      </c>
      <c r="U13" s="161">
        <f>100%-17.18%</f>
        <v>0.82820000000000005</v>
      </c>
      <c r="V13" s="96">
        <f t="shared" si="11"/>
        <v>23522</v>
      </c>
    </row>
    <row r="14" spans="1:29" x14ac:dyDescent="0.3">
      <c r="B14" t="s">
        <v>421</v>
      </c>
      <c r="C14">
        <v>12</v>
      </c>
      <c r="D14" s="96">
        <v>6000</v>
      </c>
      <c r="T14" s="116">
        <f>SUM(T3:T13)</f>
        <v>154145.42000000001</v>
      </c>
      <c r="V14" s="116">
        <f>SUM(V3:V13)</f>
        <v>128570</v>
      </c>
    </row>
    <row r="15" spans="1:29" x14ac:dyDescent="0.3">
      <c r="A15" s="9" t="s">
        <v>53</v>
      </c>
      <c r="B15" t="s">
        <v>422</v>
      </c>
      <c r="C15" s="93">
        <v>-10</v>
      </c>
      <c r="D15" s="104">
        <f>ROUND(D14*C15/C14,0)</f>
        <v>-5000</v>
      </c>
      <c r="E15" s="32" t="s">
        <v>116</v>
      </c>
      <c r="G15">
        <v>153243268</v>
      </c>
      <c r="I15">
        <v>0</v>
      </c>
    </row>
    <row r="16" spans="1:29" x14ac:dyDescent="0.3">
      <c r="B16" t="s">
        <v>411</v>
      </c>
      <c r="C16" s="32">
        <f>SUM(C13:C15)</f>
        <v>11</v>
      </c>
      <c r="D16" s="116">
        <f>SUM(D13:D15)</f>
        <v>5011</v>
      </c>
      <c r="I16" s="1">
        <f>SUM(I13:I15)</f>
        <v>92562.72</v>
      </c>
    </row>
    <row r="17" spans="1:17" x14ac:dyDescent="0.3">
      <c r="D17"/>
      <c r="I17" s="1">
        <v>73765</v>
      </c>
    </row>
    <row r="18" spans="1:17" x14ac:dyDescent="0.3">
      <c r="A18" s="9">
        <v>3</v>
      </c>
      <c r="B18" s="32" t="s">
        <v>119</v>
      </c>
      <c r="I18" s="24">
        <f>I16-I17</f>
        <v>18797.72</v>
      </c>
    </row>
    <row r="19" spans="1:17" x14ac:dyDescent="0.3">
      <c r="B19" t="s">
        <v>423</v>
      </c>
      <c r="C19">
        <v>9</v>
      </c>
      <c r="D19" s="96">
        <v>11250</v>
      </c>
    </row>
    <row r="20" spans="1:17" x14ac:dyDescent="0.3">
      <c r="C20" s="93">
        <v>0</v>
      </c>
      <c r="D20" s="104">
        <v>0</v>
      </c>
      <c r="E20" s="32"/>
    </row>
    <row r="21" spans="1:17" x14ac:dyDescent="0.3">
      <c r="C21" s="32">
        <f>SUM(C19:C20)</f>
        <v>9</v>
      </c>
      <c r="D21" s="98">
        <f>SUM(D19:D20)</f>
        <v>11250</v>
      </c>
      <c r="E21" s="32"/>
    </row>
    <row r="22" spans="1:17" ht="28.8" x14ac:dyDescent="0.3">
      <c r="N22" s="155" t="s">
        <v>358</v>
      </c>
      <c r="O22" s="156" t="s">
        <v>359</v>
      </c>
      <c r="P22" s="156" t="s">
        <v>360</v>
      </c>
      <c r="Q22" s="156" t="s">
        <v>369</v>
      </c>
    </row>
    <row r="23" spans="1:17" x14ac:dyDescent="0.3">
      <c r="A23" s="9">
        <v>4</v>
      </c>
      <c r="B23" s="32" t="s">
        <v>120</v>
      </c>
      <c r="N23" s="157">
        <v>1</v>
      </c>
      <c r="O23" s="158" t="s">
        <v>361</v>
      </c>
      <c r="P23" s="157">
        <v>2902</v>
      </c>
      <c r="Q23" s="158" t="s">
        <v>370</v>
      </c>
    </row>
    <row r="24" spans="1:17" x14ac:dyDescent="0.3">
      <c r="B24" t="s">
        <v>286</v>
      </c>
      <c r="C24">
        <f>(30+31+30+9)</f>
        <v>100</v>
      </c>
      <c r="D24" s="96">
        <v>4110</v>
      </c>
      <c r="N24" s="157">
        <v>2</v>
      </c>
      <c r="O24" s="158" t="s">
        <v>362</v>
      </c>
      <c r="P24" s="157">
        <v>2602</v>
      </c>
      <c r="Q24" s="158" t="s">
        <v>371</v>
      </c>
    </row>
    <row r="25" spans="1:17" x14ac:dyDescent="0.3">
      <c r="B25" t="s">
        <v>424</v>
      </c>
      <c r="C25" s="93">
        <v>8</v>
      </c>
      <c r="D25" s="97">
        <f>12000+2200</f>
        <v>14200</v>
      </c>
      <c r="N25" s="157">
        <v>3</v>
      </c>
      <c r="O25" s="158" t="s">
        <v>363</v>
      </c>
      <c r="P25" s="157">
        <v>3302</v>
      </c>
      <c r="Q25" s="158" t="s">
        <v>372</v>
      </c>
    </row>
    <row r="26" spans="1:17" x14ac:dyDescent="0.3">
      <c r="B26" s="32" t="s">
        <v>411</v>
      </c>
      <c r="C26">
        <f>SUM(C24:C25)</f>
        <v>108</v>
      </c>
      <c r="D26" s="98">
        <f>SUM(D24:D25)</f>
        <v>18310</v>
      </c>
      <c r="E26" s="32"/>
      <c r="N26" s="157">
        <v>4</v>
      </c>
      <c r="O26" s="158" t="s">
        <v>364</v>
      </c>
      <c r="P26" s="157">
        <v>3202</v>
      </c>
      <c r="Q26" s="158" t="s">
        <v>373</v>
      </c>
    </row>
    <row r="27" spans="1:17" x14ac:dyDescent="0.3">
      <c r="N27" s="157">
        <v>5</v>
      </c>
      <c r="O27" s="158" t="s">
        <v>365</v>
      </c>
      <c r="P27" s="157">
        <v>1502</v>
      </c>
      <c r="Q27" s="158" t="s">
        <v>373</v>
      </c>
    </row>
    <row r="28" spans="1:17" x14ac:dyDescent="0.3">
      <c r="A28" s="9">
        <v>5</v>
      </c>
      <c r="B28" s="32" t="s">
        <v>253</v>
      </c>
      <c r="N28" s="157">
        <v>6</v>
      </c>
      <c r="O28" s="158" t="s">
        <v>366</v>
      </c>
      <c r="P28" s="157">
        <v>1701</v>
      </c>
      <c r="Q28" s="158" t="s">
        <v>373</v>
      </c>
    </row>
    <row r="29" spans="1:17" x14ac:dyDescent="0.3">
      <c r="B29" t="s">
        <v>287</v>
      </c>
      <c r="C29">
        <f>30+22</f>
        <v>52</v>
      </c>
      <c r="D29" s="105">
        <v>10749</v>
      </c>
      <c r="E29" s="106"/>
      <c r="N29" s="157">
        <v>7</v>
      </c>
      <c r="O29" s="158" t="s">
        <v>367</v>
      </c>
      <c r="P29" s="157">
        <v>3102</v>
      </c>
      <c r="Q29" s="158" t="s">
        <v>373</v>
      </c>
    </row>
    <row r="30" spans="1:17" x14ac:dyDescent="0.3">
      <c r="B30" t="s">
        <v>427</v>
      </c>
      <c r="C30">
        <v>365</v>
      </c>
      <c r="D30" s="96">
        <f>84960</f>
        <v>84960</v>
      </c>
      <c r="E30" s="140"/>
      <c r="N30" s="157">
        <v>8</v>
      </c>
      <c r="O30" s="158" t="s">
        <v>368</v>
      </c>
      <c r="P30" s="157">
        <v>3002</v>
      </c>
      <c r="Q30" s="158" t="s">
        <v>373</v>
      </c>
    </row>
    <row r="31" spans="1:17" x14ac:dyDescent="0.3">
      <c r="A31" s="9" t="s">
        <v>53</v>
      </c>
      <c r="B31" t="s">
        <v>428</v>
      </c>
      <c r="C31" s="93">
        <f>-(30+31+30+29)</f>
        <v>-120</v>
      </c>
      <c r="D31" s="104">
        <f>ROUND(D30*C31/C30,0)</f>
        <v>-27932</v>
      </c>
      <c r="E31" s="32" t="s">
        <v>116</v>
      </c>
    </row>
    <row r="32" spans="1:17" x14ac:dyDescent="0.3">
      <c r="B32" s="32" t="s">
        <v>411</v>
      </c>
      <c r="C32" s="32">
        <f>SUM(C29:C31)</f>
        <v>297</v>
      </c>
      <c r="D32" s="98">
        <f>SUM(D29:D31)</f>
        <v>67777</v>
      </c>
    </row>
    <row r="34" spans="1:5" x14ac:dyDescent="0.3">
      <c r="A34" s="9">
        <v>6</v>
      </c>
      <c r="B34" s="32" t="s">
        <v>123</v>
      </c>
    </row>
    <row r="35" spans="1:5" x14ac:dyDescent="0.3">
      <c r="B35" t="s">
        <v>288</v>
      </c>
      <c r="C35">
        <v>3</v>
      </c>
      <c r="D35" s="105">
        <f>14071+240</f>
        <v>14311</v>
      </c>
    </row>
    <row r="36" spans="1:5" x14ac:dyDescent="0.3">
      <c r="B36" t="s">
        <v>429</v>
      </c>
      <c r="C36">
        <v>12</v>
      </c>
      <c r="D36" s="96">
        <v>27285</v>
      </c>
    </row>
    <row r="37" spans="1:5" x14ac:dyDescent="0.3">
      <c r="A37" s="9" t="s">
        <v>53</v>
      </c>
      <c r="B37" t="s">
        <v>430</v>
      </c>
      <c r="C37" s="93">
        <v>-3</v>
      </c>
      <c r="D37" s="104">
        <f>ROUND(D36*C37/C36,0)</f>
        <v>-6821</v>
      </c>
      <c r="E37" s="32" t="s">
        <v>116</v>
      </c>
    </row>
    <row r="38" spans="1:5" x14ac:dyDescent="0.3">
      <c r="B38" t="s">
        <v>411</v>
      </c>
      <c r="C38">
        <f>SUM(C35:C37)</f>
        <v>12</v>
      </c>
      <c r="D38" s="98">
        <f>SUM(D35:D37)</f>
        <v>34775</v>
      </c>
      <c r="E38" s="32"/>
    </row>
    <row r="40" spans="1:5" x14ac:dyDescent="0.3">
      <c r="A40" s="9">
        <v>7</v>
      </c>
      <c r="B40" s="32" t="s">
        <v>254</v>
      </c>
    </row>
    <row r="41" spans="1:5" x14ac:dyDescent="0.3">
      <c r="B41" t="s">
        <v>290</v>
      </c>
      <c r="C41">
        <v>6</v>
      </c>
      <c r="D41" s="96">
        <v>15000</v>
      </c>
    </row>
    <row r="42" spans="1:5" x14ac:dyDescent="0.3">
      <c r="A42" s="9" t="s">
        <v>42</v>
      </c>
      <c r="B42" t="s">
        <v>431</v>
      </c>
      <c r="C42" s="93">
        <v>6</v>
      </c>
      <c r="D42" s="104">
        <v>11000</v>
      </c>
      <c r="E42" s="32" t="s">
        <v>122</v>
      </c>
    </row>
    <row r="43" spans="1:5" x14ac:dyDescent="0.3">
      <c r="B43" s="32" t="s">
        <v>411</v>
      </c>
      <c r="C43" s="32">
        <f>SUM(C41:C42)</f>
        <v>12</v>
      </c>
      <c r="D43" s="98">
        <f>SUM(D41:D42)</f>
        <v>26000</v>
      </c>
      <c r="E43" s="32"/>
    </row>
    <row r="45" spans="1:5" x14ac:dyDescent="0.3">
      <c r="A45" s="9">
        <v>8</v>
      </c>
      <c r="B45" s="32" t="s">
        <v>99</v>
      </c>
      <c r="D45" s="80" t="s">
        <v>115</v>
      </c>
    </row>
    <row r="46" spans="1:5" x14ac:dyDescent="0.3">
      <c r="A46" s="9" t="s">
        <v>256</v>
      </c>
      <c r="B46" t="s">
        <v>338</v>
      </c>
      <c r="C46">
        <v>14</v>
      </c>
      <c r="D46" s="95">
        <v>10986</v>
      </c>
    </row>
    <row r="47" spans="1:5" x14ac:dyDescent="0.3">
      <c r="B47" t="s">
        <v>412</v>
      </c>
      <c r="C47">
        <f>16+31+30+31+31+30+14</f>
        <v>183</v>
      </c>
      <c r="D47" s="96">
        <f>73691+73691</f>
        <v>147382</v>
      </c>
    </row>
    <row r="48" spans="1:5" x14ac:dyDescent="0.3">
      <c r="B48" s="32"/>
      <c r="C48" s="32">
        <f>SUM(C46:C47)</f>
        <v>197</v>
      </c>
      <c r="D48" s="98">
        <f>SUM(D46:D47)</f>
        <v>158368</v>
      </c>
    </row>
    <row r="49" spans="1:5" x14ac:dyDescent="0.3">
      <c r="D49"/>
    </row>
    <row r="50" spans="1:5" x14ac:dyDescent="0.3">
      <c r="D50" s="80" t="s">
        <v>117</v>
      </c>
    </row>
    <row r="51" spans="1:5" x14ac:dyDescent="0.3">
      <c r="A51" s="9" t="s">
        <v>257</v>
      </c>
      <c r="B51" t="s">
        <v>347</v>
      </c>
      <c r="C51">
        <f>30+19</f>
        <v>49</v>
      </c>
      <c r="D51" s="95">
        <f>38451</f>
        <v>38451</v>
      </c>
    </row>
    <row r="52" spans="1:5" x14ac:dyDescent="0.3">
      <c r="B52" t="s">
        <v>413</v>
      </c>
      <c r="C52">
        <f>12+30+31+31+30+31+19</f>
        <v>184</v>
      </c>
      <c r="D52" s="96">
        <f>73691+73691</f>
        <v>147382</v>
      </c>
    </row>
    <row r="53" spans="1:5" x14ac:dyDescent="0.3">
      <c r="B53" s="32"/>
      <c r="C53" s="32">
        <f>SUM(C51:C52)</f>
        <v>233</v>
      </c>
      <c r="D53" s="98">
        <f>SUM(D51:D52)</f>
        <v>185833</v>
      </c>
    </row>
    <row r="55" spans="1:5" x14ac:dyDescent="0.3">
      <c r="D55" s="98" t="s">
        <v>415</v>
      </c>
    </row>
    <row r="56" spans="1:5" x14ac:dyDescent="0.3">
      <c r="A56" s="9" t="s">
        <v>414</v>
      </c>
      <c r="B56" t="s">
        <v>416</v>
      </c>
      <c r="C56">
        <f>6</f>
        <v>6</v>
      </c>
      <c r="D56" s="96">
        <f>157788*2</f>
        <v>315576</v>
      </c>
    </row>
    <row r="57" spans="1:5" x14ac:dyDescent="0.3">
      <c r="A57" s="9" t="s">
        <v>53</v>
      </c>
      <c r="B57" t="s">
        <v>417</v>
      </c>
      <c r="C57" s="93">
        <v>-1</v>
      </c>
      <c r="D57" s="97">
        <f>ROUND(C57*D56/C56,0)</f>
        <v>-52596</v>
      </c>
      <c r="E57" s="32" t="s">
        <v>419</v>
      </c>
    </row>
    <row r="58" spans="1:5" x14ac:dyDescent="0.3">
      <c r="B58" s="32" t="s">
        <v>418</v>
      </c>
      <c r="C58" s="32">
        <f>SUM(C56:C57)</f>
        <v>5</v>
      </c>
      <c r="D58" s="98">
        <f>SUM(D56:D57)</f>
        <v>262980</v>
      </c>
    </row>
    <row r="60" spans="1:5" x14ac:dyDescent="0.3">
      <c r="B60" s="32" t="s">
        <v>255</v>
      </c>
      <c r="D60" s="98">
        <f>22274+22240+47044</f>
        <v>91558</v>
      </c>
    </row>
    <row r="61" spans="1:5" ht="15" thickBot="1" x14ac:dyDescent="0.35">
      <c r="D61" s="102">
        <f>D48+D53+D58+D60</f>
        <v>698739</v>
      </c>
    </row>
    <row r="62" spans="1:5" ht="15" thickTop="1" x14ac:dyDescent="0.3">
      <c r="D62" s="107"/>
    </row>
    <row r="63" spans="1:5" x14ac:dyDescent="0.3">
      <c r="A63" s="9">
        <v>9</v>
      </c>
      <c r="B63" s="32" t="s">
        <v>121</v>
      </c>
      <c r="D63" s="103" t="s">
        <v>258</v>
      </c>
    </row>
    <row r="64" spans="1:5" x14ac:dyDescent="0.3">
      <c r="B64" t="s">
        <v>425</v>
      </c>
      <c r="C64">
        <v>1</v>
      </c>
      <c r="D64" s="96">
        <f>10500+6000</f>
        <v>16500</v>
      </c>
    </row>
    <row r="65" spans="1:8" x14ac:dyDescent="0.3">
      <c r="B65" t="s">
        <v>426</v>
      </c>
      <c r="C65">
        <v>12</v>
      </c>
      <c r="D65" s="96">
        <f>21000*6</f>
        <v>126000</v>
      </c>
    </row>
    <row r="66" spans="1:8" x14ac:dyDescent="0.3">
      <c r="A66" s="9" t="s">
        <v>53</v>
      </c>
      <c r="B66" t="s">
        <v>417</v>
      </c>
      <c r="C66" s="93">
        <v>-1</v>
      </c>
      <c r="D66" s="104">
        <f>ROUND(D65*C66/C65,0)</f>
        <v>-10500</v>
      </c>
      <c r="E66" s="32" t="s">
        <v>116</v>
      </c>
    </row>
    <row r="67" spans="1:8" x14ac:dyDescent="0.3">
      <c r="B67" s="32" t="s">
        <v>411</v>
      </c>
      <c r="C67" s="32">
        <f>SUM(C64:C66)</f>
        <v>12</v>
      </c>
      <c r="D67" s="98">
        <f>SUM(D64:D66)</f>
        <v>132000</v>
      </c>
      <c r="E67" s="32"/>
      <c r="F67" s="106"/>
    </row>
    <row r="68" spans="1:8" x14ac:dyDescent="0.3">
      <c r="D68" s="105"/>
      <c r="E68" s="32"/>
      <c r="F68" s="106"/>
    </row>
    <row r="69" spans="1:8" x14ac:dyDescent="0.3">
      <c r="A69" s="9">
        <v>10</v>
      </c>
      <c r="B69" s="32" t="s">
        <v>25</v>
      </c>
      <c r="F69" s="106"/>
    </row>
    <row r="70" spans="1:8" x14ac:dyDescent="0.3">
      <c r="B70" t="s">
        <v>282</v>
      </c>
      <c r="D70" s="98">
        <v>6300</v>
      </c>
      <c r="E70" s="32" t="s">
        <v>122</v>
      </c>
    </row>
    <row r="72" spans="1:8" x14ac:dyDescent="0.3">
      <c r="A72" s="9">
        <v>11</v>
      </c>
      <c r="B72" s="87" t="s">
        <v>236</v>
      </c>
      <c r="D72" s="98" t="s">
        <v>247</v>
      </c>
      <c r="F72" s="32" t="s">
        <v>248</v>
      </c>
    </row>
    <row r="73" spans="1:8" x14ac:dyDescent="0.3">
      <c r="B73" t="s">
        <v>237</v>
      </c>
      <c r="D73" s="96">
        <f>PL!H26</f>
        <v>2337</v>
      </c>
      <c r="F73" s="24">
        <f>D73</f>
        <v>2337</v>
      </c>
    </row>
    <row r="74" spans="1:8" x14ac:dyDescent="0.3">
      <c r="B74" t="s">
        <v>264</v>
      </c>
      <c r="D74" s="96">
        <f>PL!G27+PL!G33</f>
        <v>311421</v>
      </c>
      <c r="F74" s="24">
        <f t="shared" ref="F74:F76" si="14">D74</f>
        <v>311421</v>
      </c>
    </row>
    <row r="75" spans="1:8" x14ac:dyDescent="0.3">
      <c r="B75" t="s">
        <v>265</v>
      </c>
      <c r="D75" s="97">
        <f>PL!H36</f>
        <v>17500</v>
      </c>
      <c r="F75" s="92">
        <f t="shared" si="14"/>
        <v>17500</v>
      </c>
    </row>
    <row r="76" spans="1:8" x14ac:dyDescent="0.3">
      <c r="B76" s="32" t="s">
        <v>238</v>
      </c>
      <c r="D76" s="99">
        <f>SUM(D73:D75)</f>
        <v>331258</v>
      </c>
      <c r="F76" s="92">
        <f t="shared" si="14"/>
        <v>331258</v>
      </c>
    </row>
    <row r="77" spans="1:8" x14ac:dyDescent="0.3">
      <c r="B77" t="s">
        <v>239</v>
      </c>
      <c r="C77" s="89">
        <v>0.1</v>
      </c>
      <c r="D77" s="96">
        <v>1000</v>
      </c>
      <c r="F77" s="24"/>
    </row>
    <row r="78" spans="1:8" x14ac:dyDescent="0.3">
      <c r="B78" t="s">
        <v>240</v>
      </c>
      <c r="C78" s="89">
        <v>0.2</v>
      </c>
      <c r="D78" s="96">
        <v>2000</v>
      </c>
      <c r="G78" s="24">
        <f>F83-5280</f>
        <v>70510</v>
      </c>
      <c r="H78" s="24"/>
    </row>
    <row r="79" spans="1:8" x14ac:dyDescent="0.3">
      <c r="B79" t="s">
        <v>241</v>
      </c>
      <c r="C79" s="89">
        <v>0.3</v>
      </c>
      <c r="D79" s="97">
        <f>ROUND((D76-20000)*30%,0)</f>
        <v>93377</v>
      </c>
      <c r="E79" s="89">
        <v>0.22</v>
      </c>
      <c r="F79" s="88">
        <f>ROUND(F76*E79,0)</f>
        <v>72877</v>
      </c>
    </row>
    <row r="80" spans="1:8" x14ac:dyDescent="0.3">
      <c r="B80" t="s">
        <v>242</v>
      </c>
      <c r="D80" s="96">
        <f>SUM(D77:D79)</f>
        <v>96377</v>
      </c>
      <c r="F80" s="24">
        <f>SUM(F77:F79)</f>
        <v>72877</v>
      </c>
    </row>
    <row r="81" spans="1:6" x14ac:dyDescent="0.3">
      <c r="B81" t="s">
        <v>243</v>
      </c>
      <c r="C81" s="89">
        <v>0.04</v>
      </c>
      <c r="D81" s="97">
        <f>ROUND(D80*C81,0)</f>
        <v>3855</v>
      </c>
      <c r="E81" s="89">
        <v>0.04</v>
      </c>
      <c r="F81" s="88">
        <f>ROUND(F80*E81,0)</f>
        <v>2915</v>
      </c>
    </row>
    <row r="82" spans="1:6" x14ac:dyDescent="0.3">
      <c r="B82" t="s">
        <v>234</v>
      </c>
      <c r="D82" s="100">
        <f>SUM(D80:D81)</f>
        <v>100232</v>
      </c>
      <c r="F82" s="90">
        <f>SUM(F80:F81)</f>
        <v>75792</v>
      </c>
    </row>
    <row r="83" spans="1:6" ht="15" thickBot="1" x14ac:dyDescent="0.35">
      <c r="B83" s="87" t="s">
        <v>244</v>
      </c>
      <c r="D83" s="101">
        <f>ROUND(D82,-1)+660</f>
        <v>100890</v>
      </c>
      <c r="F83" s="94">
        <f>ROUND(F82,-1)</f>
        <v>75790</v>
      </c>
    </row>
    <row r="84" spans="1:6" ht="15" thickTop="1" x14ac:dyDescent="0.3">
      <c r="B84" s="91" t="s">
        <v>245</v>
      </c>
      <c r="D84" s="96">
        <f>BS!G30</f>
        <v>72000</v>
      </c>
      <c r="F84" s="24">
        <f>D84</f>
        <v>72000</v>
      </c>
    </row>
    <row r="85" spans="1:6" x14ac:dyDescent="0.3">
      <c r="B85" s="91" t="s">
        <v>246</v>
      </c>
      <c r="D85" s="97">
        <f>BS!G29</f>
        <v>30828</v>
      </c>
      <c r="F85" s="92">
        <f>D85</f>
        <v>30828</v>
      </c>
    </row>
    <row r="86" spans="1:6" x14ac:dyDescent="0.3">
      <c r="B86" s="91" t="s">
        <v>251</v>
      </c>
      <c r="D86" s="98">
        <f>SUM(D84:D85)</f>
        <v>102828</v>
      </c>
      <c r="F86" s="2">
        <f>SUM(F84:F85)</f>
        <v>102828</v>
      </c>
    </row>
    <row r="87" spans="1:6" ht="15" thickBot="1" x14ac:dyDescent="0.35">
      <c r="B87" s="87" t="s">
        <v>249</v>
      </c>
      <c r="C87" s="32"/>
      <c r="D87" s="102">
        <f>D83-D86</f>
        <v>-1938</v>
      </c>
      <c r="E87" s="32" t="s">
        <v>250</v>
      </c>
      <c r="F87" s="86">
        <f>F83-F86</f>
        <v>-27038</v>
      </c>
    </row>
    <row r="88" spans="1:6" ht="15" thickTop="1" x14ac:dyDescent="0.3"/>
    <row r="90" spans="1:6" x14ac:dyDescent="0.3">
      <c r="A90" s="9">
        <v>12</v>
      </c>
      <c r="B90" s="32" t="s">
        <v>339</v>
      </c>
    </row>
    <row r="91" spans="1:6" x14ac:dyDescent="0.3">
      <c r="B91" t="s">
        <v>432</v>
      </c>
      <c r="C91">
        <f>18+30+31+30+31+31+30+31+30+13</f>
        <v>275</v>
      </c>
      <c r="D91" s="105">
        <f>48239*3</f>
        <v>144717</v>
      </c>
    </row>
    <row r="92" spans="1:6" x14ac:dyDescent="0.3">
      <c r="B92" t="s">
        <v>340</v>
      </c>
      <c r="C92">
        <v>-18</v>
      </c>
      <c r="D92" s="96">
        <v>-9438</v>
      </c>
      <c r="E92" s="32" t="s">
        <v>435</v>
      </c>
    </row>
    <row r="93" spans="1:6" x14ac:dyDescent="0.3">
      <c r="B93" t="s">
        <v>433</v>
      </c>
      <c r="C93">
        <f>18+31+28+31+30+31+13</f>
        <v>182</v>
      </c>
      <c r="D93" s="105">
        <f>50654+50653</f>
        <v>101307</v>
      </c>
    </row>
    <row r="94" spans="1:6" x14ac:dyDescent="0.3">
      <c r="B94" t="s">
        <v>434</v>
      </c>
      <c r="C94" s="93">
        <f>-(30+31+13)</f>
        <v>-74</v>
      </c>
      <c r="D94" s="97">
        <f>ROUND(C94*D93/C93,0)</f>
        <v>-41191</v>
      </c>
      <c r="E94" s="32" t="s">
        <v>116</v>
      </c>
    </row>
    <row r="95" spans="1:6" x14ac:dyDescent="0.3">
      <c r="B95" s="32" t="s">
        <v>411</v>
      </c>
      <c r="C95" s="32">
        <f>SUM(C91:C94)</f>
        <v>365</v>
      </c>
      <c r="D95" s="98">
        <f>SUM(D91:D94)</f>
        <v>195395</v>
      </c>
    </row>
    <row r="97" spans="2:4" x14ac:dyDescent="0.3">
      <c r="B97" s="32" t="s">
        <v>469</v>
      </c>
      <c r="D97" s="165">
        <f>14580+7279+7602+7551</f>
        <v>37012</v>
      </c>
    </row>
    <row r="98" spans="2:4" x14ac:dyDescent="0.3">
      <c r="B98" s="32" t="s">
        <v>470</v>
      </c>
      <c r="D98" s="98">
        <f>D95+D97</f>
        <v>232407</v>
      </c>
    </row>
  </sheetData>
  <mergeCells count="1">
    <mergeCell ref="G2:M2"/>
  </mergeCells>
  <hyperlinks>
    <hyperlink ref="N22" r:id="rId2" display="http://sr.no/" xr:uid="{3F7738C1-D276-4C13-B63F-0E2DA446732B}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4"/>
  <sheetViews>
    <sheetView workbookViewId="0">
      <selection activeCell="E9" sqref="E9"/>
    </sheetView>
  </sheetViews>
  <sheetFormatPr defaultRowHeight="14.4" x14ac:dyDescent="0.3"/>
  <cols>
    <col min="1" max="1" width="6.33203125" bestFit="1" customWidth="1"/>
    <col min="2" max="2" width="9" bestFit="1" customWidth="1"/>
    <col min="3" max="3" width="7.44140625" bestFit="1" customWidth="1"/>
    <col min="4" max="4" width="9" bestFit="1" customWidth="1"/>
    <col min="5" max="5" width="8.33203125" bestFit="1" customWidth="1"/>
    <col min="12" max="12" width="24.44140625" bestFit="1" customWidth="1"/>
    <col min="13" max="13" width="6.5546875" bestFit="1" customWidth="1"/>
    <col min="14" max="14" width="11.5546875" bestFit="1" customWidth="1"/>
    <col min="15" max="15" width="7.44140625" bestFit="1" customWidth="1"/>
    <col min="16" max="16" width="12.33203125" bestFit="1" customWidth="1"/>
  </cols>
  <sheetData>
    <row r="1" spans="1:16" x14ac:dyDescent="0.3">
      <c r="A1" s="3" t="s">
        <v>192</v>
      </c>
      <c r="B1" s="3" t="s">
        <v>193</v>
      </c>
      <c r="C1" s="3" t="s">
        <v>200</v>
      </c>
      <c r="D1" s="3" t="s">
        <v>201</v>
      </c>
      <c r="E1" s="3" t="s">
        <v>260</v>
      </c>
    </row>
    <row r="2" spans="1:16" x14ac:dyDescent="0.3">
      <c r="A2" s="3">
        <v>5669</v>
      </c>
      <c r="B2" s="82">
        <v>11</v>
      </c>
      <c r="C2" s="82">
        <v>0</v>
      </c>
      <c r="D2" s="82">
        <f>+B2-C2</f>
        <v>11</v>
      </c>
      <c r="E2" s="14" t="s">
        <v>259</v>
      </c>
      <c r="L2" s="32" t="s">
        <v>278</v>
      </c>
      <c r="M2" s="32"/>
      <c r="N2" s="32" t="s">
        <v>247</v>
      </c>
      <c r="O2" s="32"/>
      <c r="P2" s="32" t="s">
        <v>248</v>
      </c>
    </row>
    <row r="3" spans="1:16" x14ac:dyDescent="0.3">
      <c r="A3" s="3">
        <v>5669</v>
      </c>
      <c r="B3" s="82">
        <v>9</v>
      </c>
      <c r="C3" s="82">
        <v>0</v>
      </c>
      <c r="D3" s="82">
        <f t="shared" ref="D3:D22" si="0">+B3-C3</f>
        <v>9</v>
      </c>
      <c r="E3" s="14" t="s">
        <v>259</v>
      </c>
      <c r="L3" t="s">
        <v>237</v>
      </c>
      <c r="N3" s="1">
        <v>2245</v>
      </c>
      <c r="P3" s="1">
        <v>2245</v>
      </c>
    </row>
    <row r="4" spans="1:16" x14ac:dyDescent="0.3">
      <c r="A4" s="3">
        <v>5669</v>
      </c>
      <c r="B4" s="82">
        <v>25</v>
      </c>
      <c r="C4" s="82">
        <v>0</v>
      </c>
      <c r="D4" s="82">
        <f t="shared" si="0"/>
        <v>25</v>
      </c>
      <c r="E4" s="14" t="s">
        <v>259</v>
      </c>
      <c r="L4" t="s">
        <v>264</v>
      </c>
      <c r="N4" s="1">
        <v>186979</v>
      </c>
      <c r="P4" s="1">
        <v>186979</v>
      </c>
    </row>
    <row r="5" spans="1:16" x14ac:dyDescent="0.3">
      <c r="A5" s="3">
        <v>5669</v>
      </c>
      <c r="B5" s="82">
        <v>8</v>
      </c>
      <c r="C5" s="82">
        <v>0</v>
      </c>
      <c r="D5" s="82">
        <f t="shared" si="0"/>
        <v>8</v>
      </c>
      <c r="E5" s="14" t="s">
        <v>259</v>
      </c>
      <c r="L5" t="s">
        <v>265</v>
      </c>
      <c r="N5" s="88">
        <v>25001.699999999997</v>
      </c>
      <c r="P5" s="88">
        <v>25001.699999999997</v>
      </c>
    </row>
    <row r="6" spans="1:16" x14ac:dyDescent="0.3">
      <c r="A6" s="3">
        <v>4076</v>
      </c>
      <c r="B6" s="82">
        <v>16995</v>
      </c>
      <c r="C6" s="82">
        <v>0</v>
      </c>
      <c r="D6" s="82">
        <f t="shared" si="0"/>
        <v>16995</v>
      </c>
      <c r="E6" s="14" t="s">
        <v>194</v>
      </c>
      <c r="L6" t="s">
        <v>238</v>
      </c>
      <c r="N6" s="1">
        <f>SUM(N3:N5)</f>
        <v>214225.7</v>
      </c>
      <c r="P6" s="1">
        <f>SUM(P3:P5)</f>
        <v>214225.7</v>
      </c>
    </row>
    <row r="7" spans="1:16" x14ac:dyDescent="0.3">
      <c r="A7" s="3">
        <v>4075</v>
      </c>
      <c r="B7" s="82">
        <v>5670</v>
      </c>
      <c r="C7" s="82">
        <v>0</v>
      </c>
      <c r="D7" s="82">
        <f t="shared" si="0"/>
        <v>5670</v>
      </c>
      <c r="E7" s="14" t="s">
        <v>197</v>
      </c>
      <c r="L7" t="s">
        <v>239</v>
      </c>
      <c r="M7" s="114">
        <v>0.1</v>
      </c>
      <c r="N7" s="1">
        <v>1000</v>
      </c>
      <c r="P7" s="1"/>
    </row>
    <row r="8" spans="1:16" x14ac:dyDescent="0.3">
      <c r="A8" s="3">
        <v>5097</v>
      </c>
      <c r="B8" s="82">
        <v>12831</v>
      </c>
      <c r="C8" s="82">
        <v>0</v>
      </c>
      <c r="D8" s="82">
        <f t="shared" si="0"/>
        <v>12831</v>
      </c>
      <c r="E8" s="14" t="s">
        <v>197</v>
      </c>
      <c r="L8" t="s">
        <v>240</v>
      </c>
      <c r="M8" s="114">
        <v>0.2</v>
      </c>
      <c r="N8" s="1">
        <v>2000</v>
      </c>
      <c r="P8" s="1"/>
    </row>
    <row r="9" spans="1:16" x14ac:dyDescent="0.3">
      <c r="A9" s="3">
        <v>6861</v>
      </c>
      <c r="B9" s="82">
        <v>287</v>
      </c>
      <c r="C9" s="82">
        <v>0</v>
      </c>
      <c r="D9" s="82">
        <f t="shared" si="0"/>
        <v>287</v>
      </c>
      <c r="E9" s="14" t="s">
        <v>197</v>
      </c>
      <c r="L9" t="s">
        <v>241</v>
      </c>
      <c r="M9" s="114">
        <v>0.3</v>
      </c>
      <c r="N9" s="88">
        <v>58268</v>
      </c>
      <c r="O9" s="114">
        <v>0.22</v>
      </c>
      <c r="P9" s="88">
        <v>47130</v>
      </c>
    </row>
    <row r="10" spans="1:16" x14ac:dyDescent="0.3">
      <c r="A10" s="3">
        <v>3673</v>
      </c>
      <c r="B10" s="82">
        <v>21568</v>
      </c>
      <c r="C10" s="82">
        <v>5741</v>
      </c>
      <c r="D10" s="82">
        <f t="shared" si="0"/>
        <v>15827</v>
      </c>
      <c r="E10" s="14" t="s">
        <v>197</v>
      </c>
      <c r="L10" t="s">
        <v>242</v>
      </c>
      <c r="M10" s="114"/>
      <c r="N10" s="1">
        <f>SUM(N7:N9)</f>
        <v>61268</v>
      </c>
      <c r="P10" s="1">
        <f>SUM(P7:P9)</f>
        <v>47130</v>
      </c>
    </row>
    <row r="11" spans="1:16" x14ac:dyDescent="0.3">
      <c r="A11" s="3">
        <v>6860</v>
      </c>
      <c r="B11" s="82">
        <v>168</v>
      </c>
      <c r="C11" s="82">
        <v>17</v>
      </c>
      <c r="D11" s="82">
        <f t="shared" si="0"/>
        <v>151</v>
      </c>
      <c r="E11" s="14" t="s">
        <v>194</v>
      </c>
      <c r="L11" t="s">
        <v>275</v>
      </c>
      <c r="M11" s="114">
        <v>0.1</v>
      </c>
      <c r="N11" s="88">
        <v>0</v>
      </c>
      <c r="P11" s="88">
        <f>ROUND(P10*10%,0)</f>
        <v>4713</v>
      </c>
    </row>
    <row r="12" spans="1:16" x14ac:dyDescent="0.3">
      <c r="A12" s="3">
        <v>5098</v>
      </c>
      <c r="B12" s="82">
        <v>8456</v>
      </c>
      <c r="C12" s="82">
        <v>845</v>
      </c>
      <c r="D12" s="82">
        <f t="shared" si="0"/>
        <v>7611</v>
      </c>
      <c r="E12" s="14" t="s">
        <v>196</v>
      </c>
      <c r="M12" s="114"/>
      <c r="N12" s="1">
        <f>SUM(N10:N11)</f>
        <v>61268</v>
      </c>
      <c r="P12" s="1">
        <f>SUM(P10:P11)</f>
        <v>51843</v>
      </c>
    </row>
    <row r="13" spans="1:16" x14ac:dyDescent="0.3">
      <c r="A13" s="3">
        <v>6862</v>
      </c>
      <c r="B13" s="82">
        <v>271</v>
      </c>
      <c r="C13" s="82">
        <v>27</v>
      </c>
      <c r="D13" s="82">
        <f t="shared" si="0"/>
        <v>244</v>
      </c>
      <c r="E13" s="14" t="s">
        <v>196</v>
      </c>
      <c r="L13" t="s">
        <v>243</v>
      </c>
      <c r="M13" s="114">
        <v>0.04</v>
      </c>
      <c r="N13" s="88">
        <f>ROUND(N12*4%,0)</f>
        <v>2451</v>
      </c>
      <c r="O13" s="114">
        <v>0.04</v>
      </c>
      <c r="P13" s="88">
        <f>ROUND(P12*4%,0)</f>
        <v>2074</v>
      </c>
    </row>
    <row r="14" spans="1:16" x14ac:dyDescent="0.3">
      <c r="A14" s="3">
        <v>4077</v>
      </c>
      <c r="B14" s="82">
        <v>5670</v>
      </c>
      <c r="C14" s="82">
        <v>567</v>
      </c>
      <c r="D14" s="82">
        <f t="shared" si="0"/>
        <v>5103</v>
      </c>
      <c r="E14" s="14" t="s">
        <v>197</v>
      </c>
      <c r="L14" t="s">
        <v>234</v>
      </c>
      <c r="N14" s="1">
        <f>SUM(N12:N13)</f>
        <v>63719</v>
      </c>
      <c r="P14" s="1">
        <f>SUM(P12:P13)</f>
        <v>53917</v>
      </c>
    </row>
    <row r="15" spans="1:16" ht="15" thickBot="1" x14ac:dyDescent="0.35">
      <c r="A15" s="3">
        <v>6864</v>
      </c>
      <c r="B15" s="82">
        <v>218</v>
      </c>
      <c r="C15" s="82">
        <v>22</v>
      </c>
      <c r="D15" s="82">
        <f t="shared" si="0"/>
        <v>196</v>
      </c>
      <c r="E15" s="14" t="s">
        <v>202</v>
      </c>
      <c r="L15" t="s">
        <v>244</v>
      </c>
      <c r="N15" s="10">
        <f>ROUND(N14,-1)</f>
        <v>63720</v>
      </c>
      <c r="O15" s="32"/>
      <c r="P15" s="10">
        <f>ROUND(P14,-1)</f>
        <v>53920</v>
      </c>
    </row>
    <row r="16" spans="1:16" ht="15" thickTop="1" x14ac:dyDescent="0.3">
      <c r="A16" s="3">
        <v>4078</v>
      </c>
      <c r="B16" s="82">
        <v>16995</v>
      </c>
      <c r="C16" s="82">
        <v>1700</v>
      </c>
      <c r="D16" s="82">
        <f t="shared" si="0"/>
        <v>15295</v>
      </c>
      <c r="E16" s="14" t="s">
        <v>196</v>
      </c>
      <c r="K16" t="s">
        <v>53</v>
      </c>
      <c r="L16" t="s">
        <v>246</v>
      </c>
      <c r="N16" s="1">
        <v>18698</v>
      </c>
      <c r="P16" s="1">
        <v>18698</v>
      </c>
    </row>
    <row r="17" spans="1:16" x14ac:dyDescent="0.3">
      <c r="A17" s="3">
        <v>5107</v>
      </c>
      <c r="B17" s="82">
        <v>7292</v>
      </c>
      <c r="C17" s="82">
        <v>729</v>
      </c>
      <c r="D17" s="82">
        <f t="shared" si="0"/>
        <v>6563</v>
      </c>
      <c r="E17" s="14" t="s">
        <v>196</v>
      </c>
      <c r="K17" t="s">
        <v>53</v>
      </c>
      <c r="L17" t="s">
        <v>276</v>
      </c>
      <c r="N17" s="88">
        <v>32800</v>
      </c>
      <c r="P17" s="88">
        <v>32800</v>
      </c>
    </row>
    <row r="18" spans="1:16" x14ac:dyDescent="0.3">
      <c r="A18" s="3">
        <v>6863</v>
      </c>
      <c r="B18" s="82">
        <v>22</v>
      </c>
      <c r="C18" s="82">
        <v>2</v>
      </c>
      <c r="D18" s="82">
        <f t="shared" si="0"/>
        <v>20</v>
      </c>
      <c r="E18" s="14" t="s">
        <v>203</v>
      </c>
      <c r="N18" s="1">
        <f>SUM(N16:N17)</f>
        <v>51498</v>
      </c>
      <c r="P18" s="1">
        <f>SUM(P16:P17)</f>
        <v>51498</v>
      </c>
    </row>
    <row r="19" spans="1:16" ht="15" thickBot="1" x14ac:dyDescent="0.35">
      <c r="A19" s="3">
        <v>5108</v>
      </c>
      <c r="B19" s="82">
        <v>7292</v>
      </c>
      <c r="C19" s="82">
        <v>729</v>
      </c>
      <c r="D19" s="82">
        <f t="shared" si="0"/>
        <v>6563</v>
      </c>
      <c r="E19" s="14" t="s">
        <v>196</v>
      </c>
      <c r="L19" t="s">
        <v>277</v>
      </c>
      <c r="N19" s="10">
        <f>N15-N18</f>
        <v>12222</v>
      </c>
      <c r="P19" s="10">
        <f>P15-P18</f>
        <v>2422</v>
      </c>
    </row>
    <row r="20" spans="1:16" ht="15" thickTop="1" x14ac:dyDescent="0.3">
      <c r="A20" s="3">
        <v>5669</v>
      </c>
      <c r="B20" s="109">
        <v>17785</v>
      </c>
      <c r="C20" s="109">
        <v>1779</v>
      </c>
      <c r="D20" s="109">
        <f t="shared" si="0"/>
        <v>16006</v>
      </c>
      <c r="E20" s="14" t="s">
        <v>259</v>
      </c>
    </row>
    <row r="21" spans="1:16" x14ac:dyDescent="0.3">
      <c r="A21" s="3">
        <v>2984</v>
      </c>
      <c r="B21" s="82">
        <v>30</v>
      </c>
      <c r="C21" s="82">
        <v>3</v>
      </c>
      <c r="D21" s="82">
        <f t="shared" si="0"/>
        <v>27</v>
      </c>
      <c r="E21" s="14" t="s">
        <v>195</v>
      </c>
    </row>
    <row r="22" spans="1:16" x14ac:dyDescent="0.3">
      <c r="A22" s="3">
        <v>405</v>
      </c>
      <c r="B22" s="82">
        <v>65376</v>
      </c>
      <c r="C22" s="82">
        <v>6537</v>
      </c>
      <c r="D22" s="82">
        <f t="shared" si="0"/>
        <v>58839</v>
      </c>
      <c r="E22" s="14" t="s">
        <v>194</v>
      </c>
    </row>
    <row r="23" spans="1:16" x14ac:dyDescent="0.3">
      <c r="A23" s="108" t="s">
        <v>9</v>
      </c>
      <c r="B23" s="110">
        <f>SUM(B2:B22)</f>
        <v>186979</v>
      </c>
      <c r="C23" s="110">
        <f t="shared" ref="C23:D23" si="1">SUM(C2:C22)</f>
        <v>18698</v>
      </c>
      <c r="D23" s="110">
        <f t="shared" si="1"/>
        <v>168281</v>
      </c>
    </row>
    <row r="24" spans="1:16" x14ac:dyDescent="0.3">
      <c r="B24" s="32"/>
      <c r="C24" s="3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BS</vt:lpstr>
      <vt:lpstr>PL</vt:lpstr>
      <vt:lpstr>Sch 1</vt:lpstr>
      <vt:lpstr>Sch 2</vt:lpstr>
      <vt:lpstr>Sch 3&amp;7</vt:lpstr>
      <vt:lpstr>Sch 4,6</vt:lpstr>
      <vt:lpstr>Sch 5</vt:lpstr>
      <vt:lpstr>Sch 8 &amp; 9</vt:lpstr>
      <vt:lpstr>BRS</vt:lpstr>
      <vt:lpstr>Workings</vt:lpstr>
      <vt:lpstr>Fd int Working</vt:lpstr>
      <vt:lpstr>BS!Print_Area</vt:lpstr>
      <vt:lpstr>PL!Print_Area</vt:lpstr>
      <vt:lpstr>'Sch 1'!Print_Area</vt:lpstr>
      <vt:lpstr>'Sch 2'!Print_Area</vt:lpstr>
      <vt:lpstr>'Sch 3&amp;7'!Print_Area</vt:lpstr>
      <vt:lpstr>'Sch 4,6'!Print_Area</vt:lpstr>
      <vt:lpstr>'Sch 5'!Print_Area</vt:lpstr>
      <vt:lpstr>'Sch 8 &amp; 9'!Print_Area</vt:lpstr>
      <vt:lpstr>'Sch 3&amp;7'!Print_Titles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2026-07-16T10:55:25Z</cp:lastPrinted>
  <dcterms:created xsi:type="dcterms:W3CDTF">2015-06-05T18:17:20Z</dcterms:created>
  <dcterms:modified xsi:type="dcterms:W3CDTF">2026-07-16T10:55:52Z</dcterms:modified>
</cp:coreProperties>
</file>