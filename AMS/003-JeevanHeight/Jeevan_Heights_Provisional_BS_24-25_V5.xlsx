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BHARAT\2024-2025\AMS\008-JeevanHeight\"/>
    </mc:Choice>
  </mc:AlternateContent>
  <bookViews>
    <workbookView xWindow="-120" yWindow="-120" windowWidth="20730" windowHeight="11040" tabRatio="797"/>
  </bookViews>
  <sheets>
    <sheet name="BS" sheetId="1" r:id="rId1"/>
    <sheet name="PL" sheetId="2" r:id="rId2"/>
    <sheet name="Sch 1" sheetId="6" r:id="rId3"/>
    <sheet name="Sch 2" sheetId="5" r:id="rId4"/>
    <sheet name="Sch 3&amp;7" sheetId="7" r:id="rId5"/>
    <sheet name="Sch 4,6" sheetId="13" r:id="rId6"/>
    <sheet name="Sch 5" sheetId="14" r:id="rId7"/>
    <sheet name="Sch 8 &amp; 9" sheetId="11" r:id="rId8"/>
    <sheet name="BRS" sheetId="3" r:id="rId9"/>
    <sheet name="Workings" sheetId="8" r:id="rId10"/>
    <sheet name="Fd int Working" sheetId="15" state="hidden" r:id="rId11"/>
  </sheets>
  <definedNames>
    <definedName name="_xlnm._FilterDatabase" localSheetId="10" hidden="1">'Fd int Working'!$A$1:$E$23</definedName>
    <definedName name="_xlnm.Print_Area" localSheetId="0">BS!$A$1:$H$47</definedName>
    <definedName name="_xlnm.Print_Area" localSheetId="1">PL!$A$1:$H$59</definedName>
    <definedName name="_xlnm.Print_Area" localSheetId="2">'Sch 1'!$A$1:$N$42</definedName>
    <definedName name="_xlnm.Print_Area" localSheetId="3">'Sch 2'!$A$1:$J$16</definedName>
    <definedName name="_xlnm.Print_Area" localSheetId="4">'Sch 3&amp;7'!$A$1:$E$18</definedName>
    <definedName name="_xlnm.Print_Area" localSheetId="5">'Sch 4,6'!$A$1:$E$52</definedName>
    <definedName name="_xlnm.Print_Area" localSheetId="6">'Sch 5'!$A$1:$F$34</definedName>
    <definedName name="_xlnm.Print_Area" localSheetId="7">'Sch 8 &amp; 9'!$A$1:$E$35</definedName>
    <definedName name="_xlnm.Print_Titles" localSheetId="4">'Sch 3&amp;7'!$1:$1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7" i="2" l="1"/>
  <c r="H33" i="14" l="1"/>
  <c r="D37" i="13" l="1"/>
  <c r="G14" i="2"/>
  <c r="C44" i="2" l="1"/>
  <c r="C31" i="2"/>
  <c r="D14" i="11"/>
  <c r="H26" i="2"/>
  <c r="D17" i="7"/>
  <c r="G11" i="1"/>
  <c r="C27" i="3"/>
  <c r="C24" i="3"/>
  <c r="C30" i="3" s="1"/>
  <c r="D4" i="11"/>
  <c r="D10" i="11"/>
  <c r="K8" i="8"/>
  <c r="J8" i="8"/>
  <c r="I8" i="8" s="1"/>
  <c r="M8" i="8" s="1"/>
  <c r="E13" i="5"/>
  <c r="D65" i="8"/>
  <c r="D64" i="8"/>
  <c r="L5" i="8"/>
  <c r="J5" i="8" s="1"/>
  <c r="I5" i="8" s="1"/>
  <c r="M5" i="8" s="1"/>
  <c r="K5" i="8"/>
  <c r="J6" i="8"/>
  <c r="I6" i="8" s="1"/>
  <c r="M6" i="8" s="1"/>
  <c r="K6" i="8"/>
  <c r="K4" i="8"/>
  <c r="J4" i="8"/>
  <c r="I4" i="8" s="1"/>
  <c r="M4" i="8" s="1"/>
  <c r="D11" i="11"/>
  <c r="D45" i="8"/>
  <c r="D60" i="8"/>
  <c r="C57" i="8"/>
  <c r="D56" i="8"/>
  <c r="C56" i="8"/>
  <c r="D5" i="11"/>
  <c r="C16" i="2"/>
  <c r="D85" i="8"/>
  <c r="D75" i="8"/>
  <c r="L9" i="8" l="1"/>
  <c r="D57" i="8"/>
  <c r="D10" i="14"/>
  <c r="D15" i="14"/>
  <c r="D21" i="14"/>
  <c r="D31" i="14"/>
  <c r="D26" i="14"/>
  <c r="G27" i="2"/>
  <c r="H33" i="2" s="1"/>
  <c r="G32" i="1"/>
  <c r="G33" i="1"/>
  <c r="J21" i="6"/>
  <c r="J10" i="6"/>
  <c r="J34" i="6"/>
  <c r="J20" i="6"/>
  <c r="J7" i="6"/>
  <c r="J22" i="6"/>
  <c r="J26" i="6" s="1"/>
  <c r="J23" i="6"/>
  <c r="J6" i="6"/>
  <c r="J11" i="6" s="1"/>
  <c r="J33" i="6"/>
  <c r="K33" i="6" s="1"/>
  <c r="J9" i="6"/>
  <c r="J24" i="6"/>
  <c r="K24" i="6" s="1"/>
  <c r="J16" i="6"/>
  <c r="K16" i="6" s="1"/>
  <c r="J38" i="6"/>
  <c r="J15" i="6"/>
  <c r="J8" i="6"/>
  <c r="J5" i="6"/>
  <c r="J25" i="6"/>
  <c r="K25" i="6" s="1"/>
  <c r="K38" i="6"/>
  <c r="K34" i="6"/>
  <c r="K29" i="6"/>
  <c r="K23" i="6"/>
  <c r="K22" i="6"/>
  <c r="K21" i="6"/>
  <c r="K20" i="6"/>
  <c r="K15" i="6"/>
  <c r="K6" i="6"/>
  <c r="K7" i="6"/>
  <c r="K8" i="6"/>
  <c r="K9" i="6"/>
  <c r="K10" i="6"/>
  <c r="K5" i="6"/>
  <c r="J14" i="6"/>
  <c r="M26" i="6"/>
  <c r="G26" i="6"/>
  <c r="H26" i="6"/>
  <c r="I26" i="6"/>
  <c r="F26" i="6"/>
  <c r="M35" i="6"/>
  <c r="G35" i="6"/>
  <c r="H35" i="6"/>
  <c r="I35" i="6"/>
  <c r="J35" i="6"/>
  <c r="F35" i="6"/>
  <c r="M11" i="6"/>
  <c r="G11" i="6"/>
  <c r="H11" i="6"/>
  <c r="I11" i="6"/>
  <c r="F11" i="6"/>
  <c r="D31" i="13"/>
  <c r="D23" i="13"/>
  <c r="G21" i="2"/>
  <c r="C24" i="2"/>
  <c r="B45" i="13"/>
  <c r="C91" i="8"/>
  <c r="D92" i="8" s="1"/>
  <c r="D44" i="13" s="1"/>
  <c r="D66" i="8"/>
  <c r="D12" i="13" s="1"/>
  <c r="D50" i="8"/>
  <c r="B32" i="13"/>
  <c r="A16" i="1" s="1"/>
  <c r="D47" i="13"/>
  <c r="D51" i="13" s="1"/>
  <c r="H17" i="1" s="1"/>
  <c r="B47" i="13"/>
  <c r="B51" i="13" s="1"/>
  <c r="D8" i="7"/>
  <c r="G10" i="1"/>
  <c r="B16" i="11"/>
  <c r="D16" i="11"/>
  <c r="J39" i="6"/>
  <c r="J30" i="6"/>
  <c r="E8" i="5"/>
  <c r="H6" i="5"/>
  <c r="H13" i="5"/>
  <c r="D13" i="5"/>
  <c r="G11" i="2"/>
  <c r="D30" i="11"/>
  <c r="D37" i="8"/>
  <c r="D38" i="8"/>
  <c r="A18" i="1"/>
  <c r="C25" i="8"/>
  <c r="C19" i="8"/>
  <c r="C15" i="8"/>
  <c r="C16" i="8" s="1"/>
  <c r="D55" i="8"/>
  <c r="D58" i="8" s="1"/>
  <c r="C9" i="2"/>
  <c r="C5" i="8"/>
  <c r="C8" i="8"/>
  <c r="C6" i="8"/>
  <c r="E32" i="1"/>
  <c r="E20" i="1"/>
  <c r="G20" i="1"/>
  <c r="A24" i="2"/>
  <c r="A13" i="2"/>
  <c r="E36" i="2"/>
  <c r="B20" i="14"/>
  <c r="D3" i="11"/>
  <c r="D19" i="11" s="1"/>
  <c r="B3" i="11"/>
  <c r="B19" i="11" s="1"/>
  <c r="B32" i="11"/>
  <c r="B34" i="11" s="1"/>
  <c r="A21" i="2" s="1"/>
  <c r="B31" i="14"/>
  <c r="B26" i="14"/>
  <c r="B18" i="14"/>
  <c r="B21" i="14"/>
  <c r="B15" i="14"/>
  <c r="D41" i="13"/>
  <c r="D34" i="13"/>
  <c r="B41" i="13"/>
  <c r="B34" i="13"/>
  <c r="B39" i="13"/>
  <c r="A17" i="1" s="1"/>
  <c r="D16" i="13"/>
  <c r="B16" i="13"/>
  <c r="D6" i="2"/>
  <c r="A6" i="2"/>
  <c r="E6" i="1"/>
  <c r="P19" i="15"/>
  <c r="N19" i="15"/>
  <c r="P18" i="15"/>
  <c r="N18" i="15"/>
  <c r="P13" i="15"/>
  <c r="P14" i="15"/>
  <c r="N14" i="15"/>
  <c r="N13" i="15"/>
  <c r="P12" i="15"/>
  <c r="N12" i="15"/>
  <c r="P11" i="15"/>
  <c r="P10" i="15"/>
  <c r="N10" i="15"/>
  <c r="P6" i="15"/>
  <c r="N6" i="15"/>
  <c r="O20" i="2"/>
  <c r="N20" i="2"/>
  <c r="N13" i="2"/>
  <c r="O11" i="2"/>
  <c r="D32" i="13" l="1"/>
  <c r="D27" i="11"/>
  <c r="J17" i="6"/>
  <c r="K14" i="6"/>
  <c r="K26" i="6"/>
  <c r="J41" i="6"/>
  <c r="N21" i="2"/>
  <c r="N15" i="15"/>
  <c r="P15" i="15"/>
  <c r="P14" i="2"/>
  <c r="P11" i="2"/>
  <c r="P12" i="2"/>
  <c r="P15" i="2"/>
  <c r="P16" i="2"/>
  <c r="P17" i="2"/>
  <c r="P18" i="2"/>
  <c r="P19" i="2"/>
  <c r="O6" i="2"/>
  <c r="P6" i="2" s="1"/>
  <c r="I16" i="8"/>
  <c r="I18" i="8" s="1"/>
  <c r="P20" i="2" l="1"/>
  <c r="O8" i="2"/>
  <c r="P8" i="2" s="1"/>
  <c r="O10" i="2"/>
  <c r="P10" i="2" s="1"/>
  <c r="C67" i="8"/>
  <c r="C55" i="8"/>
  <c r="C52" i="8"/>
  <c r="C46" i="8"/>
  <c r="D46" i="8"/>
  <c r="D31" i="11" s="1"/>
  <c r="C40" i="8"/>
  <c r="D39" i="8"/>
  <c r="D5" i="13" s="1"/>
  <c r="C33" i="8"/>
  <c r="C31" i="8"/>
  <c r="C27" i="8"/>
  <c r="C28" i="8" s="1"/>
  <c r="D15" i="8"/>
  <c r="P3" i="8"/>
  <c r="P4" i="8"/>
  <c r="D7" i="8"/>
  <c r="D16" i="8" l="1"/>
  <c r="D20" i="11" s="1"/>
  <c r="C58" i="8"/>
  <c r="D51" i="8"/>
  <c r="D10" i="13" s="1"/>
  <c r="D8" i="13"/>
  <c r="D40" i="8"/>
  <c r="C29" i="2" s="1"/>
  <c r="C34" i="8"/>
  <c r="C22" i="8"/>
  <c r="D11" i="13"/>
  <c r="Q4" i="8"/>
  <c r="C7" i="8"/>
  <c r="C9" i="8" s="1"/>
  <c r="F85" i="8"/>
  <c r="D84" i="8"/>
  <c r="D86" i="8" s="1"/>
  <c r="D74" i="8"/>
  <c r="F74" i="8" s="1"/>
  <c r="D73" i="8"/>
  <c r="F73" i="8" s="1"/>
  <c r="D8" i="8" l="1"/>
  <c r="D43" i="13" s="1"/>
  <c r="D45" i="13" s="1"/>
  <c r="D52" i="8"/>
  <c r="C18" i="2" s="1"/>
  <c r="F84" i="8"/>
  <c r="F86" i="8" s="1"/>
  <c r="D9" i="8" l="1"/>
  <c r="C15" i="2" s="1"/>
  <c r="D61" i="8"/>
  <c r="K7" i="8"/>
  <c r="K9" i="8" s="1"/>
  <c r="D21" i="1"/>
  <c r="H12" i="1"/>
  <c r="D19" i="2"/>
  <c r="B10" i="14"/>
  <c r="C16" i="1"/>
  <c r="G26" i="1"/>
  <c r="F75" i="8" l="1"/>
  <c r="D76" i="8"/>
  <c r="J7" i="8"/>
  <c r="J9" i="8" s="1"/>
  <c r="G28" i="1"/>
  <c r="H33" i="1" s="1"/>
  <c r="E15" i="14"/>
  <c r="G39" i="6"/>
  <c r="H39" i="6"/>
  <c r="I39" i="6"/>
  <c r="G30" i="6"/>
  <c r="H30" i="6"/>
  <c r="I30" i="6"/>
  <c r="M17" i="6"/>
  <c r="G17" i="6"/>
  <c r="H17" i="6"/>
  <c r="I17" i="6"/>
  <c r="I41" i="6"/>
  <c r="F17" i="6"/>
  <c r="C23" i="15"/>
  <c r="B2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" i="15"/>
  <c r="D79" i="8" l="1"/>
  <c r="D80" i="8" s="1"/>
  <c r="D81" i="8" s="1"/>
  <c r="D82" i="8" s="1"/>
  <c r="D83" i="8" s="1"/>
  <c r="I7" i="8"/>
  <c r="I9" i="8" s="1"/>
  <c r="F76" i="8"/>
  <c r="F79" i="8" s="1"/>
  <c r="F80" i="8" s="1"/>
  <c r="G41" i="6"/>
  <c r="H41" i="6"/>
  <c r="D23" i="15"/>
  <c r="D33" i="8"/>
  <c r="M39" i="6"/>
  <c r="F39" i="6"/>
  <c r="M30" i="6"/>
  <c r="F30" i="6"/>
  <c r="K39" i="6"/>
  <c r="K35" i="6"/>
  <c r="K30" i="6"/>
  <c r="K17" i="6"/>
  <c r="D38" i="13" l="1"/>
  <c r="C42" i="2"/>
  <c r="M7" i="8"/>
  <c r="M9" i="8" s="1"/>
  <c r="D87" i="8"/>
  <c r="K11" i="6"/>
  <c r="G15" i="14" s="1"/>
  <c r="D9" i="13"/>
  <c r="D34" i="8"/>
  <c r="C26" i="2" s="1"/>
  <c r="O9" i="2" s="1"/>
  <c r="P9" i="2" s="1"/>
  <c r="F81" i="8"/>
  <c r="F82" i="8" s="1"/>
  <c r="M41" i="6"/>
  <c r="F41" i="6"/>
  <c r="H7" i="5"/>
  <c r="H8" i="5"/>
  <c r="H9" i="5"/>
  <c r="H10" i="5"/>
  <c r="H11" i="5"/>
  <c r="H12" i="5"/>
  <c r="D14" i="5"/>
  <c r="E14" i="5"/>
  <c r="F7" i="5"/>
  <c r="I7" i="5" s="1"/>
  <c r="F8" i="5"/>
  <c r="F9" i="5"/>
  <c r="I9" i="5" s="1"/>
  <c r="F10" i="5"/>
  <c r="F11" i="5"/>
  <c r="F12" i="5"/>
  <c r="F13" i="5"/>
  <c r="D30" i="14"/>
  <c r="E31" i="14" s="1"/>
  <c r="G31" i="14" s="1"/>
  <c r="D24" i="14"/>
  <c r="E27" i="14" s="1"/>
  <c r="G27" i="14" s="1"/>
  <c r="K41" i="6" l="1"/>
  <c r="H14" i="1" s="1"/>
  <c r="I12" i="5"/>
  <c r="F83" i="8"/>
  <c r="G76" i="8" s="1"/>
  <c r="I8" i="5"/>
  <c r="I11" i="5"/>
  <c r="I13" i="5"/>
  <c r="I10" i="5"/>
  <c r="H21" i="1"/>
  <c r="B13" i="13"/>
  <c r="E35" i="1" s="1"/>
  <c r="A1" i="13"/>
  <c r="D44" i="2" l="1"/>
  <c r="D39" i="13"/>
  <c r="F87" i="8"/>
  <c r="A1" i="11"/>
  <c r="D16" i="2"/>
  <c r="O7" i="2" s="1"/>
  <c r="P7" i="2" s="1"/>
  <c r="D9" i="2"/>
  <c r="H23" i="2"/>
  <c r="H18" i="2"/>
  <c r="H14" i="2"/>
  <c r="D27" i="8"/>
  <c r="D28" i="8" s="1"/>
  <c r="D67" i="8" l="1"/>
  <c r="D24" i="11" s="1"/>
  <c r="D25" i="11" s="1"/>
  <c r="D20" i="14" s="1"/>
  <c r="E21" i="14" s="1"/>
  <c r="G21" i="14" s="1"/>
  <c r="D6" i="13"/>
  <c r="D22" i="11"/>
  <c r="D7" i="13"/>
  <c r="D22" i="8"/>
  <c r="D21" i="11" s="1"/>
  <c r="A1" i="3"/>
  <c r="A1" i="5"/>
  <c r="A1" i="6"/>
  <c r="A1" i="7"/>
  <c r="A1" i="14" s="1"/>
  <c r="A2" i="2"/>
  <c r="A1" i="2"/>
  <c r="A8" i="1"/>
  <c r="E48" i="2"/>
  <c r="H6" i="2"/>
  <c r="E6" i="2"/>
  <c r="H6" i="1"/>
  <c r="C18" i="1"/>
  <c r="F6" i="5"/>
  <c r="F14" i="5" s="1"/>
  <c r="C14" i="5"/>
  <c r="E23" i="1" s="1"/>
  <c r="E37" i="1" s="1"/>
  <c r="C17" i="1"/>
  <c r="J11" i="3"/>
  <c r="C12" i="3" s="1"/>
  <c r="I11" i="3"/>
  <c r="C9" i="3" s="1"/>
  <c r="A46" i="2" l="1"/>
  <c r="A47" i="2" s="1"/>
  <c r="A27" i="1" s="1"/>
  <c r="D13" i="13"/>
  <c r="H35" i="1" s="1"/>
  <c r="D32" i="11"/>
  <c r="D34" i="11" s="1"/>
  <c r="D21" i="2" s="1"/>
  <c r="C15" i="3"/>
  <c r="D18" i="1"/>
  <c r="I6" i="5"/>
  <c r="I14" i="5" s="1"/>
  <c r="H23" i="1" s="1"/>
  <c r="H14" i="5"/>
  <c r="H48" i="2"/>
  <c r="H37" i="1" l="1"/>
  <c r="B9" i="14"/>
  <c r="B33" i="14" s="1"/>
  <c r="A13" i="1" s="1"/>
  <c r="A37" i="1" s="1"/>
  <c r="A38" i="1" s="1"/>
  <c r="A48" i="2"/>
  <c r="A49" i="2" s="1"/>
  <c r="C25" i="2"/>
  <c r="D29" i="2" s="1"/>
  <c r="O5" i="2" s="1"/>
  <c r="O13" i="2" s="1"/>
  <c r="O21" i="2" s="1"/>
  <c r="P5" i="2" l="1"/>
  <c r="P13" i="2" s="1"/>
  <c r="P21" i="2" s="1"/>
  <c r="D46" i="2"/>
  <c r="D47" i="2" l="1"/>
  <c r="C27" i="1" s="1"/>
  <c r="D27" i="1" s="1"/>
  <c r="D9" i="14"/>
  <c r="E10" i="14" s="1"/>
  <c r="D48" i="2" l="1"/>
  <c r="E33" i="14"/>
  <c r="G10" i="14"/>
  <c r="D13" i="1" l="1"/>
  <c r="D37" i="1" s="1"/>
</calcChain>
</file>

<file path=xl/sharedStrings.xml><?xml version="1.0" encoding="utf-8"?>
<sst xmlns="http://schemas.openxmlformats.org/spreadsheetml/2006/main" count="659" uniqueCount="446">
  <si>
    <t xml:space="preserve"> LIABILITIES </t>
  </si>
  <si>
    <t xml:space="preserve"> ASSETS </t>
  </si>
  <si>
    <t>Cash and Bank Balances:</t>
  </si>
  <si>
    <t>Share Application Money Pending Allotment</t>
  </si>
  <si>
    <t>Provisions</t>
  </si>
  <si>
    <t>Cash in Hand</t>
  </si>
  <si>
    <t>Other Current Assets:</t>
  </si>
  <si>
    <t>Advance Income Tax</t>
  </si>
  <si>
    <t>Retained Earnings:</t>
  </si>
  <si>
    <t>Surplus/(Deficit) for the year</t>
  </si>
  <si>
    <t>Total</t>
  </si>
  <si>
    <t>EXPENDITURE</t>
  </si>
  <si>
    <t>INCOME</t>
  </si>
  <si>
    <t>Maintenance Income:</t>
  </si>
  <si>
    <t>Common Electricity Charges</t>
  </si>
  <si>
    <t>Water Charges</t>
  </si>
  <si>
    <t>Non-Occupancy Charges</t>
  </si>
  <si>
    <t>Interest Income:</t>
  </si>
  <si>
    <t>Interest on Savings Account</t>
  </si>
  <si>
    <t>Interest on Fixed Deposits</t>
  </si>
  <si>
    <t>Other Income:</t>
  </si>
  <si>
    <t>Misc. Income</t>
  </si>
  <si>
    <t>25% of Surplus transferred to General Fund</t>
  </si>
  <si>
    <t>Water Expenses</t>
  </si>
  <si>
    <t>Security Expenses</t>
  </si>
  <si>
    <t>Pest Control Expense</t>
  </si>
  <si>
    <t>Audit Fees</t>
  </si>
  <si>
    <t>Service Expenses:</t>
  </si>
  <si>
    <t>General Expenses:</t>
  </si>
  <si>
    <t>Telephone and Internet Expenses</t>
  </si>
  <si>
    <t>Accounting Charges</t>
  </si>
  <si>
    <t>Printing and Stationary</t>
  </si>
  <si>
    <t>Meeting Expenses</t>
  </si>
  <si>
    <t>Conveyance Charges</t>
  </si>
  <si>
    <t>Bank Charges</t>
  </si>
  <si>
    <t>Miscellaneous Expenses</t>
  </si>
  <si>
    <t>Income Tax Expenses</t>
  </si>
  <si>
    <t>GST Expenses</t>
  </si>
  <si>
    <t>Festival Expenses</t>
  </si>
  <si>
    <t>Depreciation</t>
  </si>
  <si>
    <t>Particulars</t>
  </si>
  <si>
    <t>Amount</t>
  </si>
  <si>
    <t>Closing book balance (as per system)</t>
  </si>
  <si>
    <t>Add:</t>
  </si>
  <si>
    <t>Cheques issued and presented for payment</t>
  </si>
  <si>
    <t>but not cleared</t>
  </si>
  <si>
    <t>Closing bank balance (as per bank)</t>
  </si>
  <si>
    <t>Sr</t>
  </si>
  <si>
    <t>Vendor</t>
  </si>
  <si>
    <t>Instr No.</t>
  </si>
  <si>
    <t>Outflow</t>
  </si>
  <si>
    <t>Inflow</t>
  </si>
  <si>
    <t>Clearing Date</t>
  </si>
  <si>
    <t>Issue Date</t>
  </si>
  <si>
    <t>Less:</t>
  </si>
  <si>
    <t>Cheques collected and deposited but not</t>
  </si>
  <si>
    <t>cleared</t>
  </si>
  <si>
    <t>Sinking Fund:</t>
  </si>
  <si>
    <t>A - Vendor Payables</t>
  </si>
  <si>
    <t>Total (a)</t>
  </si>
  <si>
    <t>Sr.</t>
  </si>
  <si>
    <t>B - Statutory Dues Payable</t>
  </si>
  <si>
    <t>Total (b)</t>
  </si>
  <si>
    <t>TDS Payable</t>
  </si>
  <si>
    <t>Total (c)</t>
  </si>
  <si>
    <t>Flat</t>
  </si>
  <si>
    <t>Members Name</t>
  </si>
  <si>
    <t>FD Account No.</t>
  </si>
  <si>
    <t>Bank</t>
  </si>
  <si>
    <t>Date of Issue</t>
  </si>
  <si>
    <t>Principal Invested</t>
  </si>
  <si>
    <t>Total Amt Invested</t>
  </si>
  <si>
    <t>Date of Maturity</t>
  </si>
  <si>
    <t>Value at Maturity</t>
  </si>
  <si>
    <t>Repair Fund:</t>
  </si>
  <si>
    <t>Computer</t>
  </si>
  <si>
    <t>CCTV System</t>
  </si>
  <si>
    <t xml:space="preserve">Furniture and Fixtures </t>
  </si>
  <si>
    <t>Assets</t>
  </si>
  <si>
    <t>Rate of Dep. (%)</t>
  </si>
  <si>
    <t>Charged for the Year</t>
  </si>
  <si>
    <t>Net Block</t>
  </si>
  <si>
    <t>Gross Blosk</t>
  </si>
  <si>
    <t>ROI %</t>
  </si>
  <si>
    <t>C - Provisions</t>
  </si>
  <si>
    <t>Housekeeping Expenses, incl material</t>
  </si>
  <si>
    <t>(Amounts in ₹)</t>
  </si>
  <si>
    <t>Share Capital:</t>
  </si>
  <si>
    <t xml:space="preserve"> March 31, 2024</t>
  </si>
  <si>
    <t>JEEVAN HEIGHTS  CO-OPERATIVE HOUSING SOCIETY LTD</t>
  </si>
  <si>
    <t>Authorised: 4,000 shares of ₹ 50/- each</t>
  </si>
  <si>
    <t>630 Shares of Rs. 50/- each</t>
  </si>
  <si>
    <r>
      <t>Members' Payables:</t>
    </r>
    <r>
      <rPr>
        <sz val="11"/>
        <color theme="1"/>
        <rFont val="Calibri"/>
        <family val="2"/>
        <scheme val="minor"/>
      </rPr>
      <t xml:space="preserve"> </t>
    </r>
  </si>
  <si>
    <t>MDCC  Bank</t>
  </si>
  <si>
    <t>ICICI  Bank</t>
  </si>
  <si>
    <t>Loan &amp; Advances</t>
  </si>
  <si>
    <t>Deposits</t>
  </si>
  <si>
    <t>Adani electricity</t>
  </si>
  <si>
    <t>MCGM -water</t>
  </si>
  <si>
    <t>TDS receivables</t>
  </si>
  <si>
    <t>Software</t>
  </si>
  <si>
    <t>Pest Control</t>
  </si>
  <si>
    <t>DG Set</t>
  </si>
  <si>
    <t>Lift AMC</t>
  </si>
  <si>
    <t>Salary Expenses</t>
  </si>
  <si>
    <t>Diwali Bonus</t>
  </si>
  <si>
    <t>Property Tax</t>
  </si>
  <si>
    <t>Property Tax Members</t>
  </si>
  <si>
    <t>Common electricity expenses</t>
  </si>
  <si>
    <t>Electricity Expenses</t>
  </si>
  <si>
    <t>MCGM water expenses</t>
  </si>
  <si>
    <t>Water Tanker Expenses</t>
  </si>
  <si>
    <t>Lift Maintenance</t>
  </si>
  <si>
    <t>Lift AMC Expenses</t>
  </si>
  <si>
    <t>Insurance</t>
  </si>
  <si>
    <t>Gym Expenses</t>
  </si>
  <si>
    <t>Common Area maintenance Charges</t>
  </si>
  <si>
    <t>Common area property Tax</t>
  </si>
  <si>
    <t>Other Member Income</t>
  </si>
  <si>
    <t>PL-01</t>
  </si>
  <si>
    <t>01.04.2024 to 14.04.2024</t>
  </si>
  <si>
    <t>Prepaid</t>
  </si>
  <si>
    <t>SL-01</t>
  </si>
  <si>
    <t>01.04.2024 to 19.05.2024</t>
  </si>
  <si>
    <t>AC AMC</t>
  </si>
  <si>
    <t>01.04.2024 to 21.02.2025</t>
  </si>
  <si>
    <t>Gym Equipment AMC</t>
  </si>
  <si>
    <t>19.12.2023 to 18.12.2024</t>
  </si>
  <si>
    <t>01.04.2024 to 18.12.2024</t>
  </si>
  <si>
    <t>Intercom AMC Exp</t>
  </si>
  <si>
    <t>01.04.2024 to 09.07.2024</t>
  </si>
  <si>
    <t>Fire Fighting System AMC</t>
  </si>
  <si>
    <t>01.04.2024 to 30.04.2024</t>
  </si>
  <si>
    <t>Provision</t>
  </si>
  <si>
    <t>Pest Control AMC</t>
  </si>
  <si>
    <t>01.04.2024 to 30.06.2024</t>
  </si>
  <si>
    <t xml:space="preserve">Insurance Charges </t>
  </si>
  <si>
    <t xml:space="preserve">Society Welfare Charges </t>
  </si>
  <si>
    <t xml:space="preserve">Shifting Charges Move In And Move Out </t>
  </si>
  <si>
    <t xml:space="preserve">Interest on Sweep </t>
  </si>
  <si>
    <t>Sr. No</t>
  </si>
  <si>
    <t>Expenses</t>
  </si>
  <si>
    <t>AMC - AC</t>
  </si>
  <si>
    <t xml:space="preserve">Water Tank Cleaning Expenses </t>
  </si>
  <si>
    <t xml:space="preserve">Water Pump Repair Charges </t>
  </si>
  <si>
    <t xml:space="preserve">Garden Maintenance Expenses </t>
  </si>
  <si>
    <t xml:space="preserve">AC Repair and Maintenance </t>
  </si>
  <si>
    <t xml:space="preserve">AMC - Gym Equipment </t>
  </si>
  <si>
    <t xml:space="preserve">DG Set Repair and Maintenance Expenses </t>
  </si>
  <si>
    <t xml:space="preserve">Repair and Maintenance Electrical </t>
  </si>
  <si>
    <t xml:space="preserve">Other Repair Maintenance </t>
  </si>
  <si>
    <t>AMC - Intercom</t>
  </si>
  <si>
    <t>AMC - Fire Fighting System</t>
  </si>
  <si>
    <t xml:space="preserve">Fire Fighting System Repairs and Maintenance </t>
  </si>
  <si>
    <t xml:space="preserve">Repair and Maintenance Plumbing </t>
  </si>
  <si>
    <t xml:space="preserve">AMC - Stack Parking </t>
  </si>
  <si>
    <t xml:space="preserve">Repair and Maintenance (Intercom/CCTV) </t>
  </si>
  <si>
    <t>AMC - CCTV</t>
  </si>
  <si>
    <t xml:space="preserve">As per schedule </t>
  </si>
  <si>
    <t>General Expenses</t>
  </si>
  <si>
    <t>Software Charges</t>
  </si>
  <si>
    <t>ICICI Sweep Account</t>
  </si>
  <si>
    <t>Ashtabhuja Security Guard</t>
  </si>
  <si>
    <t>Block</t>
  </si>
  <si>
    <t>FY 2023-24</t>
  </si>
  <si>
    <t>Intercome/CCTV</t>
  </si>
  <si>
    <t>Gym Equipments</t>
  </si>
  <si>
    <t>Retained Earnings</t>
  </si>
  <si>
    <t xml:space="preserve">Surplus / (Deficit) for the Period </t>
  </si>
  <si>
    <t>Vendors Payable</t>
  </si>
  <si>
    <t>Adani Electricity</t>
  </si>
  <si>
    <t>Hitachi Lift India Private Limited</t>
  </si>
  <si>
    <t>Irene Rosario</t>
  </si>
  <si>
    <t>Rajesh Soni</t>
  </si>
  <si>
    <t>Soneji Water Tanker</t>
  </si>
  <si>
    <t>Sparkling Cleaning Services</t>
  </si>
  <si>
    <t>Vision Fire &amp; Safety Engineers</t>
  </si>
  <si>
    <t>Yashwant Kamble</t>
  </si>
  <si>
    <t>Mahavir Enterprises</t>
  </si>
  <si>
    <t>Integrated GST</t>
  </si>
  <si>
    <t>Income Tax Payable</t>
  </si>
  <si>
    <t>Statutory Dues Payable</t>
  </si>
  <si>
    <t>Sr. No.</t>
  </si>
  <si>
    <t>Account Head</t>
  </si>
  <si>
    <t>Reserve Fund</t>
  </si>
  <si>
    <t>As per last year BS</t>
  </si>
  <si>
    <t>Add: Collection during the year</t>
  </si>
  <si>
    <t>Add: Int. acc./recd during the year</t>
  </si>
  <si>
    <t>Sinking Fund</t>
  </si>
  <si>
    <t>Repair  and  Maintenance Fund</t>
  </si>
  <si>
    <t>Education Training Fund</t>
  </si>
  <si>
    <t>Less : Expenses incurred during the year</t>
  </si>
  <si>
    <t>TOTAL</t>
  </si>
  <si>
    <t>Common Amenities Fund</t>
  </si>
  <si>
    <t>Submersible Pump</t>
  </si>
  <si>
    <t>Sound System</t>
  </si>
  <si>
    <t>Fan</t>
  </si>
  <si>
    <t>Telephone</t>
  </si>
  <si>
    <t>Battery</t>
  </si>
  <si>
    <t>30.03.2022</t>
  </si>
  <si>
    <t>20.08.2022</t>
  </si>
  <si>
    <t>30.03.2023</t>
  </si>
  <si>
    <t>ICICI</t>
  </si>
  <si>
    <t>Accrued Interest 2021-22</t>
  </si>
  <si>
    <t>Accrued Interest 2022-23</t>
  </si>
  <si>
    <t>Accrued Interest 2023-24</t>
  </si>
  <si>
    <t>31.03.2027</t>
  </si>
  <si>
    <t>14.09.2027</t>
  </si>
  <si>
    <t>01.05.2028</t>
  </si>
  <si>
    <t>General Fund</t>
  </si>
  <si>
    <t>31.03.2023</t>
  </si>
  <si>
    <t>31.07.2024</t>
  </si>
  <si>
    <t>Share Capital</t>
  </si>
  <si>
    <t>Education &amp; Training Fund</t>
  </si>
  <si>
    <t>FD No</t>
  </si>
  <si>
    <t>Int</t>
  </si>
  <si>
    <t>RF</t>
  </si>
  <si>
    <t>SC</t>
  </si>
  <si>
    <t>GF</t>
  </si>
  <si>
    <t>SF</t>
  </si>
  <si>
    <t>01.04.2024 to 22.05.2024</t>
  </si>
  <si>
    <t>Sakshi Bhosle</t>
  </si>
  <si>
    <t>Dhanji Solanki</t>
  </si>
  <si>
    <t>TDS</t>
  </si>
  <si>
    <t>Acc</t>
  </si>
  <si>
    <t>CA Fund</t>
  </si>
  <si>
    <t>Edu</t>
  </si>
  <si>
    <t>Less: Trf to Reserve Fund</t>
  </si>
  <si>
    <t>Less: Trf to Sinking Fund</t>
  </si>
  <si>
    <t>Less: Trf to Repair Fund</t>
  </si>
  <si>
    <t>Less: Trf to Edu &amp; Trng Fund</t>
  </si>
  <si>
    <t>Less: Trf to Common Amenities</t>
  </si>
  <si>
    <t>Interest on IT, TDS &amp; GST</t>
  </si>
  <si>
    <t>AMC - DG</t>
  </si>
  <si>
    <t>Add: Transfer Premium</t>
  </si>
  <si>
    <t>Add: Entrance Fees</t>
  </si>
  <si>
    <t>Add: Share Transfer Fees</t>
  </si>
  <si>
    <t>Less: Spent during the year</t>
  </si>
  <si>
    <t>Less: Trfd to Repair Fund</t>
  </si>
  <si>
    <t>Unclaimed ITC</t>
  </si>
  <si>
    <t>Add: 25% of Surplus</t>
  </si>
  <si>
    <t>27.03.2024</t>
  </si>
  <si>
    <t>27.03.2026</t>
  </si>
  <si>
    <t>Union Bank of India</t>
  </si>
  <si>
    <t>Fixed Deposit (Sch 1)</t>
  </si>
  <si>
    <t>Advance Payment to Vendor</t>
  </si>
  <si>
    <r>
      <rPr>
        <b/>
        <sz val="11"/>
        <color theme="1"/>
        <rFont val="Calibri"/>
        <family val="2"/>
        <scheme val="minor"/>
      </rPr>
      <t>Fixed Assets: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2)</t>
    </r>
  </si>
  <si>
    <r>
      <t xml:space="preserve">Member receivables </t>
    </r>
    <r>
      <rPr>
        <b/>
        <sz val="11"/>
        <color theme="1"/>
        <rFont val="Calibri"/>
        <family val="2"/>
        <scheme val="minor"/>
      </rPr>
      <t>(Sch 3)</t>
    </r>
  </si>
  <si>
    <t>Prepaid Expenses (Sch 4)</t>
  </si>
  <si>
    <t>Schedule 4: Prepaid Expenses</t>
  </si>
  <si>
    <t>Reserves and Surplus (Sch 5)</t>
  </si>
  <si>
    <r>
      <t>Current Liabilities &amp; Provision: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(Sch 6)</t>
    </r>
  </si>
  <si>
    <t>Advance Members (Sch 7)</t>
  </si>
  <si>
    <t>Repair and Maintenance Expense (Sch 8)</t>
  </si>
  <si>
    <t>Total ( C)</t>
  </si>
  <si>
    <t>FD Short</t>
  </si>
  <si>
    <t>Basic</t>
  </si>
  <si>
    <t>CGST</t>
  </si>
  <si>
    <t>SGST</t>
  </si>
  <si>
    <t>Total Tax</t>
  </si>
  <si>
    <t>Manoj Electricals</t>
  </si>
  <si>
    <t>Central GST</t>
  </si>
  <si>
    <t>State GST</t>
  </si>
  <si>
    <t>Income Tax Provision</t>
  </si>
  <si>
    <t>Income from Savings A/c.</t>
  </si>
  <si>
    <t>Net Taxable Income</t>
  </si>
  <si>
    <t>0-10000</t>
  </si>
  <si>
    <t>10000-20000</t>
  </si>
  <si>
    <t>20000 or More</t>
  </si>
  <si>
    <t>Tax</t>
  </si>
  <si>
    <t>Education cess</t>
  </si>
  <si>
    <t>Say</t>
  </si>
  <si>
    <t>Advance Tax</t>
  </si>
  <si>
    <t>TDS Receivables</t>
  </si>
  <si>
    <t>Old Regime</t>
  </si>
  <si>
    <t>New Regime</t>
  </si>
  <si>
    <t>Payable</t>
  </si>
  <si>
    <t>Refund</t>
  </si>
  <si>
    <t>Total Claimed</t>
  </si>
  <si>
    <t>05.01.2024 to 31.03.2024</t>
  </si>
  <si>
    <t>04.01.2024 to 04.04.2024</t>
  </si>
  <si>
    <t>04.01.2024 to 31.03.2024</t>
  </si>
  <si>
    <t>01.04.2023 to 31.03.2024</t>
  </si>
  <si>
    <t>Water Charges payable</t>
  </si>
  <si>
    <t>Insurance Expenses</t>
  </si>
  <si>
    <t>DG Set AMC</t>
  </si>
  <si>
    <t>01.04.2024 to 30.09.2024</t>
  </si>
  <si>
    <t>GST reversed for Lift AMC</t>
  </si>
  <si>
    <t>a)</t>
  </si>
  <si>
    <t>b)</t>
  </si>
  <si>
    <t>Regular</t>
  </si>
  <si>
    <t>Sweep</t>
  </si>
  <si>
    <t>Type</t>
  </si>
  <si>
    <t>Account No.</t>
  </si>
  <si>
    <t>Deposit</t>
  </si>
  <si>
    <t>Days/ Months</t>
  </si>
  <si>
    <t>Income from FD &amp; Sweep</t>
  </si>
  <si>
    <t>Scrap Sales &amp; Promotional</t>
  </si>
  <si>
    <t>Less: Advance to Vendors (TDS)</t>
  </si>
  <si>
    <t xml:space="preserve">Usage charges </t>
  </si>
  <si>
    <t>Function Charges (Ground /Terrace)</t>
  </si>
  <si>
    <t>Parking Property tax</t>
  </si>
  <si>
    <t>Society Reg No : TNA/TNA/HSG/TC/13111/Year 2021</t>
  </si>
  <si>
    <t>Income</t>
  </si>
  <si>
    <t>(A)</t>
  </si>
  <si>
    <t>(B)</t>
  </si>
  <si>
    <t>Surplus/ (Deficit)</t>
  </si>
  <si>
    <t>C = (A+B)</t>
  </si>
  <si>
    <t>Surcharge</t>
  </si>
  <si>
    <t>Advance Taxes paid</t>
  </si>
  <si>
    <t>Net Payable/ (Refund)</t>
  </si>
  <si>
    <t>Income Tax</t>
  </si>
  <si>
    <t>Society Address: Bandar, Pakhadi Road  ,Kandivali (W), Mumbai - 400067.</t>
  </si>
  <si>
    <t>Balance Sheet as at March 31, 2025</t>
  </si>
  <si>
    <t xml:space="preserve"> March 31, 2025</t>
  </si>
  <si>
    <t>Income and Expenditure Account for the year ended March 31, 2025</t>
  </si>
  <si>
    <t>Schedule 2: Fixed Assets Details as at March 31, 2025</t>
  </si>
  <si>
    <t>Opening Balance 01.04.2024</t>
  </si>
  <si>
    <t>Additions during the year before 30.09.2024</t>
  </si>
  <si>
    <t>Additions during the year after 30.09.2024</t>
  </si>
  <si>
    <t>Cost at 31.03.2025</t>
  </si>
  <si>
    <t>Schedule 3: Members Receivables March 31, 2025</t>
  </si>
  <si>
    <t>Schedule 7 : Advance from Members March 31, 2025</t>
  </si>
  <si>
    <t>FY 2024-25</t>
  </si>
  <si>
    <t>Schedule 6: Payable to Vendors March 31, 2025</t>
  </si>
  <si>
    <t>Schedule - 5 : Reserves and Surplus as on 31.03.2025</t>
  </si>
  <si>
    <t>Schedule 8 : R &amp; M Expenses for the year ended March 31, 2025</t>
  </si>
  <si>
    <t>AMC Expenses for the year ended March 31, 2025</t>
  </si>
  <si>
    <t>04.01.2024 to 06.01.2025</t>
  </si>
  <si>
    <t>01.04.2024 to 06.01.2025</t>
  </si>
  <si>
    <t>07.01.2025 to 31.03.2025</t>
  </si>
  <si>
    <t>01.04.2024 to 31.03.2025</t>
  </si>
  <si>
    <t>Repair and Maintenance Lift</t>
  </si>
  <si>
    <t>01.12.2025 to 30.11.2026</t>
  </si>
  <si>
    <t>01.04.2025 to 30.11.2026</t>
  </si>
  <si>
    <t>Repair and Maintenance Gym</t>
  </si>
  <si>
    <t>10.07.2024 to 09.07.2025</t>
  </si>
  <si>
    <t>01.04.2025 to 09.07.2025</t>
  </si>
  <si>
    <t>23.05.2024 to 22.05.2025</t>
  </si>
  <si>
    <t>01.04.2025 to 22.05.2025</t>
  </si>
  <si>
    <t>01.07.2024 to 30.06.2025</t>
  </si>
  <si>
    <t>01.04.2025 to 30.06.2025</t>
  </si>
  <si>
    <t>Postage and Courier</t>
  </si>
  <si>
    <t>01.10.2024 to 30.09.2025</t>
  </si>
  <si>
    <t>01.04.2025 to 30.09.2025</t>
  </si>
  <si>
    <t>Late Payment Interest</t>
  </si>
  <si>
    <t>Schedule 1: Fixed Deposit Statement as at March 31, 2025</t>
  </si>
  <si>
    <t>Accrued Interest 2024-25</t>
  </si>
  <si>
    <t>ICICI Bank Reconciliation Statement as at March 31, 2025</t>
  </si>
  <si>
    <t>06.03.2025</t>
  </si>
  <si>
    <t>Amount cleared by the bank but not entered in the system</t>
  </si>
  <si>
    <t>Date</t>
  </si>
  <si>
    <t>Issued</t>
  </si>
  <si>
    <t>Instr.no</t>
  </si>
  <si>
    <t>Remarks</t>
  </si>
  <si>
    <t>09.04.2024</t>
  </si>
  <si>
    <t>DDD2292856</t>
  </si>
  <si>
    <t>23.07.2024</t>
  </si>
  <si>
    <t>15th Aug Catering</t>
  </si>
  <si>
    <t>13.08.2024</t>
  </si>
  <si>
    <t xml:space="preserve">Sadhan Catering </t>
  </si>
  <si>
    <t>20.08.2024</t>
  </si>
  <si>
    <t>22-08-2024</t>
  </si>
  <si>
    <t>Garage Bag</t>
  </si>
  <si>
    <t>10.09.2024</t>
  </si>
  <si>
    <t>01.10.2024</t>
  </si>
  <si>
    <t>MMT/IMPS/427519911428/GANPATIDECOR/NIAHANT/BARB0MA</t>
  </si>
  <si>
    <t>10.10.2024</t>
  </si>
  <si>
    <t>037909985891</t>
  </si>
  <si>
    <t>INF/INFT/037909985891/43253953/MUMBAI SPACER</t>
  </si>
  <si>
    <t>12.10.2024</t>
  </si>
  <si>
    <t>MMT/IMPS/428619230968/WAFFELDUSSERA/WAFFELPRIY/BKI</t>
  </si>
  <si>
    <t>18.10.2024</t>
  </si>
  <si>
    <t>MMT/IMPS/429221038015/NAVRATRICATERIN/KAJALCATER/C</t>
  </si>
  <si>
    <t>14.11.2024</t>
  </si>
  <si>
    <t>Funding</t>
  </si>
  <si>
    <t>26.12.2024</t>
  </si>
  <si>
    <t>047422</t>
  </si>
  <si>
    <t>Vipul</t>
  </si>
  <si>
    <t>27.01.25</t>
  </si>
  <si>
    <t>Sudhakar do</t>
  </si>
  <si>
    <t>IMPS</t>
  </si>
  <si>
    <t>Holigulal</t>
  </si>
  <si>
    <t>virendra</t>
  </si>
  <si>
    <t>Utility</t>
  </si>
  <si>
    <t xml:space="preserve"> Mrs.Sneha Ashok Rathod</t>
  </si>
  <si>
    <t>Mrs. Saroj Girish Kanakia, Mr. Ankit Girishbhai Kanakia &amp; Mrs. Chanika Ankit Kanakia</t>
  </si>
  <si>
    <t xml:space="preserve"> Mr.Vipul Pravinbhai Kapasi Mrs. Vaishali Vipul Kapasi &amp;  Mr.Priyansh Vipul Kapasi</t>
  </si>
  <si>
    <t>A - Vendor Advances</t>
  </si>
  <si>
    <t>Total (d)</t>
  </si>
  <si>
    <t>Aman Traders</t>
  </si>
  <si>
    <t>Athlon</t>
  </si>
  <si>
    <t>Supriya</t>
  </si>
  <si>
    <t>HVT Interiors</t>
  </si>
  <si>
    <t xml:space="preserve">Shreeji Water Pump &amp; Services	</t>
  </si>
  <si>
    <t>Mr.Manoj Kanaiyalal Kanakia &amp; Mrs.Nisha Manoj Kanakia</t>
  </si>
  <si>
    <t>15.04.2024 to 14.04.2025</t>
  </si>
  <si>
    <t>01.04.2025 to 14.04.2025</t>
  </si>
  <si>
    <t>Stack Parking AMC</t>
  </si>
  <si>
    <t>14.03.2025 to 13.06.2025</t>
  </si>
  <si>
    <t>14.03.2025 to 31.03.2025</t>
  </si>
  <si>
    <t>07.01.2025</t>
  </si>
  <si>
    <t>Maharashtra Plywood</t>
  </si>
  <si>
    <t>08.03.2025</t>
  </si>
  <si>
    <t>Ramdev Enterprises</t>
  </si>
  <si>
    <t>11.03.2025</t>
  </si>
  <si>
    <t>Kajal Catering</t>
  </si>
  <si>
    <t>30.03.2025</t>
  </si>
  <si>
    <t>Himanshu Agarwal</t>
  </si>
  <si>
    <t>03.06.2025</t>
  </si>
  <si>
    <t>30.04.2025</t>
  </si>
  <si>
    <t>29.04.2025</t>
  </si>
  <si>
    <t>08.05.2025</t>
  </si>
  <si>
    <t>Flow Chem Pumps Pvt. Ltd.</t>
  </si>
  <si>
    <t>20.03.2025</t>
  </si>
  <si>
    <t>27.03.2025</t>
  </si>
  <si>
    <t>Mrs.Khyati Namit Turakhia &amp; Mr.Namit Mahendra Turakhia</t>
  </si>
  <si>
    <t>U - 3402</t>
  </si>
  <si>
    <t>U - 402</t>
  </si>
  <si>
    <t>Add: Prior period Adjustment</t>
  </si>
  <si>
    <t>20.05.2024 to 19.05.2025</t>
  </si>
  <si>
    <t>01.04.2025 to 19.05.2025</t>
  </si>
  <si>
    <t>Tax invoice required</t>
  </si>
  <si>
    <t>Shivant Hardare</t>
  </si>
  <si>
    <t>Bajaj Allianz</t>
  </si>
  <si>
    <t>30-07-2024</t>
  </si>
  <si>
    <t>03-04-2024</t>
  </si>
  <si>
    <t>05-08-2024</t>
  </si>
  <si>
    <t>01-12-2024</t>
  </si>
  <si>
    <t>GST Payable - Regular</t>
  </si>
  <si>
    <t>GST Payable - RCM</t>
  </si>
  <si>
    <t>Accrued interest on sweep</t>
  </si>
  <si>
    <t>01.05.2024 to 30.04.2025</t>
  </si>
  <si>
    <t>01.04.2025 to 30.04.2024</t>
  </si>
  <si>
    <t>FD Excess</t>
  </si>
  <si>
    <t>Income tax Provision</t>
  </si>
  <si>
    <t>Income tax expenses</t>
  </si>
  <si>
    <t>31-03-2025</t>
  </si>
  <si>
    <t>Union Bank Reconciliation Statement as at March 31, 2025</t>
  </si>
  <si>
    <t>As per my report of even date</t>
  </si>
  <si>
    <t>Shri. Bharat C. Boridkar</t>
  </si>
  <si>
    <t>Govt. Certified Panel Auditor</t>
  </si>
  <si>
    <t>Chairman                        Secretary                        Treasurer</t>
  </si>
  <si>
    <t>[Panel No.: Mumbai-4/B2/1011404]</t>
  </si>
  <si>
    <t>FOR JEEVAN HEIGHTS  CO-OPERATIVE HOUSING SOCIETY LTD</t>
  </si>
  <si>
    <t>Total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</si>
</sst>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#,##0.00;\(#,##0.00\)"/>
    <numFmt numFmtId="167" formatCode="&quot;Mumbai: &quot;dd&quot;th&quot;\ mmmm\,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8" fillId="0" borderId="0"/>
  </cellStyleXfs>
  <cellXfs count="375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13" xfId="0" applyFont="1" applyBorder="1"/>
    <xf numFmtId="43" fontId="0" fillId="0" borderId="13" xfId="1" applyFont="1" applyBorder="1"/>
    <xf numFmtId="43" fontId="0" fillId="0" borderId="14" xfId="1" applyFont="1" applyBorder="1"/>
    <xf numFmtId="43" fontId="2" fillId="0" borderId="13" xfId="1" applyFont="1" applyBorder="1"/>
    <xf numFmtId="43" fontId="1" fillId="0" borderId="13" xfId="1" applyFont="1" applyBorder="1"/>
    <xf numFmtId="0" fontId="0" fillId="0" borderId="0" xfId="0" applyAlignment="1">
      <alignment horizontal="center"/>
    </xf>
    <xf numFmtId="43" fontId="2" fillId="0" borderId="15" xfId="1" applyFont="1" applyBorder="1"/>
    <xf numFmtId="0" fontId="0" fillId="0" borderId="15" xfId="0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1" fillId="0" borderId="0" xfId="1" applyFont="1" applyBorder="1"/>
    <xf numFmtId="43" fontId="0" fillId="0" borderId="0" xfId="0" applyNumberFormat="1"/>
    <xf numFmtId="43" fontId="2" fillId="0" borderId="0" xfId="1" applyFont="1" applyBorder="1"/>
    <xf numFmtId="0" fontId="0" fillId="0" borderId="6" xfId="0" applyBorder="1"/>
    <xf numFmtId="0" fontId="2" fillId="0" borderId="6" xfId="0" applyFont="1" applyBorder="1"/>
    <xf numFmtId="43" fontId="0" fillId="0" borderId="6" xfId="1" applyFont="1" applyBorder="1"/>
    <xf numFmtId="0" fontId="2" fillId="0" borderId="6" xfId="1" applyNumberFormat="1" applyFont="1" applyBorder="1"/>
    <xf numFmtId="0" fontId="0" fillId="0" borderId="0" xfId="0" applyBorder="1"/>
    <xf numFmtId="43" fontId="0" fillId="0" borderId="0" xfId="1" applyFont="1" applyBorder="1"/>
    <xf numFmtId="0" fontId="2" fillId="0" borderId="0" xfId="0" applyFont="1" applyBorder="1"/>
    <xf numFmtId="43" fontId="2" fillId="0" borderId="17" xfId="1" applyFont="1" applyBorder="1"/>
    <xf numFmtId="43" fontId="1" fillId="0" borderId="13" xfId="1" applyFont="1" applyFill="1" applyBorder="1"/>
    <xf numFmtId="43" fontId="1" fillId="0" borderId="6" xfId="1" applyFont="1" applyBorder="1"/>
    <xf numFmtId="43" fontId="2" fillId="0" borderId="6" xfId="1" applyFont="1" applyBorder="1"/>
    <xf numFmtId="43" fontId="0" fillId="0" borderId="0" xfId="1" applyFont="1" applyFill="1" applyBorder="1"/>
    <xf numFmtId="43" fontId="0" fillId="0" borderId="13" xfId="1" applyFont="1" applyFill="1" applyBorder="1"/>
    <xf numFmtId="43" fontId="2" fillId="0" borderId="13" xfId="1" applyFont="1" applyFill="1" applyBorder="1"/>
    <xf numFmtId="0" fontId="0" fillId="0" borderId="13" xfId="0" applyBorder="1"/>
    <xf numFmtId="0" fontId="0" fillId="0" borderId="13" xfId="0" applyFill="1" applyBorder="1"/>
    <xf numFmtId="0" fontId="0" fillId="0" borderId="14" xfId="0" applyBorder="1"/>
    <xf numFmtId="0" fontId="2" fillId="0" borderId="0" xfId="0" applyFont="1"/>
    <xf numFmtId="0" fontId="0" fillId="0" borderId="1" xfId="0" applyFont="1" applyBorder="1" applyAlignment="1">
      <alignment horizontal="left"/>
    </xf>
    <xf numFmtId="43" fontId="0" fillId="0" borderId="9" xfId="1" applyFont="1" applyBorder="1" applyAlignment="1">
      <alignment horizontal="center"/>
    </xf>
    <xf numFmtId="0" fontId="0" fillId="0" borderId="6" xfId="0" applyFont="1" applyBorder="1"/>
    <xf numFmtId="0" fontId="4" fillId="0" borderId="0" xfId="0" applyFont="1"/>
    <xf numFmtId="43" fontId="0" fillId="0" borderId="6" xfId="1" applyFont="1" applyFill="1" applyBorder="1"/>
    <xf numFmtId="43" fontId="0" fillId="0" borderId="13" xfId="1" applyFont="1" applyFill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43" fontId="2" fillId="0" borderId="6" xfId="1" applyFont="1" applyFill="1" applyBorder="1"/>
    <xf numFmtId="0" fontId="4" fillId="0" borderId="0" xfId="0" applyFont="1" applyAlignment="1">
      <alignment wrapText="1"/>
    </xf>
    <xf numFmtId="43" fontId="0" fillId="0" borderId="6" xfId="1" applyFont="1" applyFill="1" applyBorder="1" applyAlignment="1">
      <alignment wrapText="1"/>
    </xf>
    <xf numFmtId="43" fontId="0" fillId="0" borderId="14" xfId="1" applyFont="1" applyFill="1" applyBorder="1" applyAlignment="1">
      <alignment horizontal="right"/>
    </xf>
    <xf numFmtId="43" fontId="2" fillId="0" borderId="6" xfId="1" applyFont="1" applyFill="1" applyBorder="1" applyAlignment="1">
      <alignment wrapText="1"/>
    </xf>
    <xf numFmtId="43" fontId="0" fillId="0" borderId="13" xfId="1" applyFont="1" applyFill="1" applyBorder="1" applyAlignment="1">
      <alignment wrapText="1"/>
    </xf>
    <xf numFmtId="43" fontId="0" fillId="0" borderId="6" xfId="1" applyFont="1" applyFill="1" applyBorder="1" applyAlignment="1">
      <alignment horizontal="right"/>
    </xf>
    <xf numFmtId="43" fontId="2" fillId="0" borderId="6" xfId="1" applyFont="1" applyFill="1" applyBorder="1" applyAlignment="1">
      <alignment horizontal="right"/>
    </xf>
    <xf numFmtId="43" fontId="2" fillId="0" borderId="1" xfId="1" applyFont="1" applyFill="1" applyBorder="1"/>
    <xf numFmtId="43" fontId="0" fillId="0" borderId="1" xfId="1" applyFont="1" applyFill="1" applyBorder="1"/>
    <xf numFmtId="0" fontId="0" fillId="0" borderId="0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43" fontId="2" fillId="0" borderId="0" xfId="1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43" fontId="0" fillId="0" borderId="14" xfId="1" applyFont="1" applyFill="1" applyBorder="1"/>
    <xf numFmtId="43" fontId="0" fillId="0" borderId="1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43" fontId="2" fillId="0" borderId="15" xfId="0" applyNumberFormat="1" applyFont="1" applyBorder="1"/>
    <xf numFmtId="0" fontId="2" fillId="0" borderId="0" xfId="0" applyFont="1" applyAlignment="1">
      <alignment horizontal="left"/>
    </xf>
    <xf numFmtId="43" fontId="0" fillId="0" borderId="7" xfId="1" applyFont="1" applyBorder="1"/>
    <xf numFmtId="9" fontId="0" fillId="0" borderId="0" xfId="0" applyNumberFormat="1"/>
    <xf numFmtId="43" fontId="2" fillId="0" borderId="10" xfId="1" applyFont="1" applyBorder="1"/>
    <xf numFmtId="0" fontId="0" fillId="0" borderId="0" xfId="0" applyAlignment="1">
      <alignment horizontal="left"/>
    </xf>
    <xf numFmtId="43" fontId="0" fillId="0" borderId="7" xfId="0" applyNumberFormat="1" applyBorder="1"/>
    <xf numFmtId="0" fontId="0" fillId="0" borderId="7" xfId="0" applyBorder="1"/>
    <xf numFmtId="164" fontId="2" fillId="2" borderId="15" xfId="0" applyNumberFormat="1" applyFont="1" applyFill="1" applyBorder="1"/>
    <xf numFmtId="0" fontId="2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7" xfId="1" applyNumberFormat="1" applyFont="1" applyBorder="1"/>
    <xf numFmtId="165" fontId="2" fillId="0" borderId="0" xfId="1" applyNumberFormat="1" applyFont="1"/>
    <xf numFmtId="165" fontId="0" fillId="0" borderId="10" xfId="1" applyNumberFormat="1" applyFont="1" applyBorder="1"/>
    <xf numFmtId="165" fontId="2" fillId="0" borderId="10" xfId="1" applyNumberFormat="1" applyFont="1" applyBorder="1"/>
    <xf numFmtId="165" fontId="2" fillId="2" borderId="15" xfId="1" applyNumberFormat="1" applyFont="1" applyFill="1" applyBorder="1"/>
    <xf numFmtId="165" fontId="2" fillId="0" borderId="15" xfId="1" applyNumberFormat="1" applyFont="1" applyBorder="1"/>
    <xf numFmtId="165" fontId="2" fillId="0" borderId="0" xfId="1" applyNumberFormat="1" applyFont="1" applyAlignment="1">
      <alignment horizontal="center"/>
    </xf>
    <xf numFmtId="165" fontId="1" fillId="0" borderId="7" xfId="1" applyNumberFormat="1" applyFont="1" applyBorder="1"/>
    <xf numFmtId="0" fontId="0" fillId="0" borderId="0" xfId="0" applyFont="1"/>
    <xf numFmtId="165" fontId="1" fillId="0" borderId="0" xfId="1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/>
    <xf numFmtId="165" fontId="2" fillId="0" borderId="0" xfId="1" applyNumberFormat="1" applyFont="1" applyBorder="1"/>
    <xf numFmtId="165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5" fontId="0" fillId="0" borderId="1" xfId="1" applyNumberFormat="1" applyFont="1" applyFill="1" applyBorder="1"/>
    <xf numFmtId="165" fontId="2" fillId="0" borderId="14" xfId="1" applyNumberFormat="1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9" fontId="0" fillId="0" borderId="0" xfId="2" applyFont="1"/>
    <xf numFmtId="165" fontId="0" fillId="0" borderId="9" xfId="1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0" fillId="0" borderId="0" xfId="0" applyFill="1"/>
    <xf numFmtId="0" fontId="2" fillId="0" borderId="1" xfId="0" applyFont="1" applyFill="1" applyBorder="1"/>
    <xf numFmtId="0" fontId="0" fillId="0" borderId="1" xfId="0" applyFill="1" applyBorder="1"/>
    <xf numFmtId="43" fontId="1" fillId="0" borderId="6" xfId="1" applyFont="1" applyFill="1" applyBorder="1"/>
    <xf numFmtId="43" fontId="2" fillId="0" borderId="0" xfId="1" applyFont="1" applyFill="1" applyBorder="1"/>
    <xf numFmtId="43" fontId="1" fillId="0" borderId="0" xfId="1" applyFont="1" applyFill="1" applyBorder="1"/>
    <xf numFmtId="43" fontId="1" fillId="0" borderId="14" xfId="1" applyFont="1" applyFill="1" applyBorder="1"/>
    <xf numFmtId="0" fontId="2" fillId="0" borderId="13" xfId="0" applyFont="1" applyFill="1" applyBorder="1"/>
    <xf numFmtId="43" fontId="2" fillId="0" borderId="19" xfId="1" applyFont="1" applyFill="1" applyBorder="1"/>
    <xf numFmtId="43" fontId="0" fillId="0" borderId="0" xfId="0" applyNumberFormat="1" applyFill="1"/>
    <xf numFmtId="43" fontId="2" fillId="0" borderId="0" xfId="1" applyFont="1" applyFill="1"/>
    <xf numFmtId="0" fontId="0" fillId="0" borderId="13" xfId="1" applyNumberFormat="1" applyFont="1" applyFill="1" applyBorder="1"/>
    <xf numFmtId="0" fontId="1" fillId="0" borderId="14" xfId="1" applyNumberFormat="1" applyFont="1" applyFill="1" applyBorder="1"/>
    <xf numFmtId="43" fontId="1" fillId="0" borderId="8" xfId="1" applyFont="1" applyFill="1" applyBorder="1"/>
    <xf numFmtId="43" fontId="2" fillId="0" borderId="17" xfId="1" applyFont="1" applyFill="1" applyBorder="1"/>
    <xf numFmtId="43" fontId="0" fillId="0" borderId="0" xfId="1" applyFont="1" applyFill="1"/>
    <xf numFmtId="0" fontId="5" fillId="0" borderId="23" xfId="0" applyFont="1" applyBorder="1" applyAlignment="1">
      <alignment horizontal="center"/>
    </xf>
    <xf numFmtId="0" fontId="7" fillId="0" borderId="23" xfId="0" applyFont="1" applyBorder="1"/>
    <xf numFmtId="166" fontId="7" fillId="0" borderId="23" xfId="0" applyNumberFormat="1" applyFont="1" applyBorder="1"/>
    <xf numFmtId="166" fontId="8" fillId="0" borderId="23" xfId="0" applyNumberFormat="1" applyFont="1" applyBorder="1"/>
    <xf numFmtId="0" fontId="7" fillId="3" borderId="23" xfId="0" applyFont="1" applyFill="1" applyBorder="1"/>
    <xf numFmtId="166" fontId="7" fillId="3" borderId="23" xfId="0" applyNumberFormat="1" applyFont="1" applyFill="1" applyBorder="1"/>
    <xf numFmtId="0" fontId="7" fillId="4" borderId="23" xfId="0" applyFont="1" applyFill="1" applyBorder="1"/>
    <xf numFmtId="166" fontId="7" fillId="4" borderId="23" xfId="0" applyNumberFormat="1" applyFont="1" applyFill="1" applyBorder="1"/>
    <xf numFmtId="0" fontId="8" fillId="0" borderId="23" xfId="0" applyFont="1" applyBorder="1"/>
    <xf numFmtId="164" fontId="0" fillId="0" borderId="0" xfId="0" applyNumberFormat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7" fillId="0" borderId="22" xfId="0" applyFont="1" applyBorder="1"/>
    <xf numFmtId="0" fontId="7" fillId="3" borderId="22" xfId="0" applyFont="1" applyFill="1" applyBorder="1"/>
    <xf numFmtId="0" fontId="7" fillId="4" borderId="22" xfId="0" applyFont="1" applyFill="1" applyBorder="1"/>
    <xf numFmtId="0" fontId="8" fillId="0" borderId="22" xfId="0" applyFont="1" applyBorder="1"/>
    <xf numFmtId="0" fontId="0" fillId="0" borderId="1" xfId="0" applyFill="1" applyBorder="1" applyAlignment="1">
      <alignment horizontal="center"/>
    </xf>
    <xf numFmtId="2" fontId="7" fillId="0" borderId="23" xfId="0" applyNumberFormat="1" applyFont="1" applyBorder="1" applyAlignment="1">
      <alignment horizontal="right"/>
    </xf>
    <xf numFmtId="2" fontId="9" fillId="3" borderId="23" xfId="0" applyNumberFormat="1" applyFont="1" applyFill="1" applyBorder="1" applyAlignment="1">
      <alignment horizontal="right"/>
    </xf>
    <xf numFmtId="2" fontId="9" fillId="3" borderId="23" xfId="0" quotePrefix="1" applyNumberFormat="1" applyFont="1" applyFill="1" applyBorder="1" applyAlignment="1">
      <alignment horizontal="right"/>
    </xf>
    <xf numFmtId="2" fontId="7" fillId="4" borderId="23" xfId="0" applyNumberFormat="1" applyFont="1" applyFill="1" applyBorder="1" applyAlignment="1">
      <alignment horizontal="right"/>
    </xf>
    <xf numFmtId="2" fontId="7" fillId="0" borderId="23" xfId="0" quotePrefix="1" applyNumberFormat="1" applyFont="1" applyBorder="1" applyAlignment="1">
      <alignment horizontal="right"/>
    </xf>
    <xf numFmtId="2" fontId="8" fillId="0" borderId="2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5" fontId="0" fillId="0" borderId="12" xfId="1" applyNumberFormat="1" applyFont="1" applyBorder="1"/>
    <xf numFmtId="0" fontId="0" fillId="2" borderId="1" xfId="0" applyFill="1" applyBorder="1"/>
    <xf numFmtId="165" fontId="0" fillId="0" borderId="14" xfId="1" applyNumberFormat="1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43" fontId="11" fillId="0" borderId="5" xfId="0" applyNumberFormat="1" applyFont="1" applyBorder="1"/>
    <xf numFmtId="0" fontId="11" fillId="0" borderId="0" xfId="0" applyFont="1" applyBorder="1"/>
    <xf numFmtId="43" fontId="11" fillId="0" borderId="0" xfId="1" applyFont="1" applyBorder="1"/>
    <xf numFmtId="43" fontId="11" fillId="0" borderId="6" xfId="1" applyFont="1" applyBorder="1"/>
    <xf numFmtId="43" fontId="12" fillId="0" borderId="0" xfId="1" applyFont="1" applyBorder="1"/>
    <xf numFmtId="0" fontId="12" fillId="0" borderId="0" xfId="0" applyFont="1"/>
    <xf numFmtId="0" fontId="13" fillId="0" borderId="0" xfId="0" applyFont="1"/>
    <xf numFmtId="0" fontId="13" fillId="0" borderId="5" xfId="0" applyFont="1" applyBorder="1"/>
    <xf numFmtId="0" fontId="13" fillId="0" borderId="0" xfId="0" applyFont="1" applyBorder="1"/>
    <xf numFmtId="43" fontId="13" fillId="0" borderId="0" xfId="1" applyFont="1" applyBorder="1"/>
    <xf numFmtId="0" fontId="11" fillId="0" borderId="0" xfId="0" applyFont="1"/>
    <xf numFmtId="0" fontId="14" fillId="0" borderId="5" xfId="0" applyFont="1" applyBorder="1"/>
    <xf numFmtId="0" fontId="13" fillId="0" borderId="6" xfId="0" applyFont="1" applyBorder="1"/>
    <xf numFmtId="43" fontId="13" fillId="0" borderId="0" xfId="1" applyFont="1" applyFill="1" applyBorder="1"/>
    <xf numFmtId="43" fontId="13" fillId="0" borderId="6" xfId="1" applyFont="1" applyBorder="1"/>
    <xf numFmtId="1" fontId="16" fillId="0" borderId="5" xfId="3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2" fontId="17" fillId="0" borderId="0" xfId="0" applyNumberFormat="1" applyFont="1" applyFill="1" applyBorder="1" applyAlignment="1">
      <alignment vertical="center"/>
    </xf>
    <xf numFmtId="1" fontId="17" fillId="0" borderId="5" xfId="3" applyNumberFormat="1" applyFont="1" applyFill="1" applyBorder="1" applyAlignment="1">
      <alignment vertical="center"/>
    </xf>
    <xf numFmtId="0" fontId="13" fillId="0" borderId="18" xfId="0" applyFont="1" applyBorder="1"/>
    <xf numFmtId="0" fontId="13" fillId="0" borderId="7" xfId="0" applyFont="1" applyBorder="1"/>
    <xf numFmtId="43" fontId="13" fillId="0" borderId="7" xfId="1" applyFont="1" applyBorder="1"/>
    <xf numFmtId="0" fontId="13" fillId="0" borderId="8" xfId="0" applyFont="1" applyBorder="1"/>
    <xf numFmtId="0" fontId="0" fillId="0" borderId="5" xfId="0" applyBorder="1"/>
    <xf numFmtId="0" fontId="0" fillId="0" borderId="8" xfId="0" applyBorder="1" applyAlignment="1">
      <alignment horizontal="right"/>
    </xf>
    <xf numFmtId="43" fontId="2" fillId="0" borderId="24" xfId="1" applyFont="1" applyBorder="1"/>
    <xf numFmtId="43" fontId="0" fillId="0" borderId="18" xfId="1" applyFont="1" applyFill="1" applyBorder="1"/>
    <xf numFmtId="0" fontId="0" fillId="0" borderId="8" xfId="0" applyFill="1" applyBorder="1" applyAlignment="1">
      <alignment horizontal="right"/>
    </xf>
    <xf numFmtId="43" fontId="0" fillId="0" borderId="5" xfId="1" applyFont="1" applyFill="1" applyBorder="1"/>
    <xf numFmtId="43" fontId="2" fillId="0" borderId="25" xfId="1" applyFont="1" applyFill="1" applyBorder="1"/>
    <xf numFmtId="43" fontId="2" fillId="0" borderId="16" xfId="1" applyFont="1" applyFill="1" applyBorder="1"/>
    <xf numFmtId="43" fontId="2" fillId="0" borderId="26" xfId="1" applyFont="1" applyFill="1" applyBorder="1"/>
    <xf numFmtId="43" fontId="2" fillId="0" borderId="27" xfId="1" applyFont="1" applyFill="1" applyBorder="1"/>
    <xf numFmtId="43" fontId="2" fillId="0" borderId="16" xfId="1" applyFont="1" applyBorder="1"/>
    <xf numFmtId="43" fontId="2" fillId="0" borderId="28" xfId="1" applyFont="1" applyBorder="1"/>
    <xf numFmtId="43" fontId="2" fillId="0" borderId="27" xfId="1" applyFont="1" applyBorder="1"/>
    <xf numFmtId="43" fontId="2" fillId="0" borderId="29" xfId="1" applyFont="1" applyBorder="1"/>
    <xf numFmtId="43" fontId="2" fillId="0" borderId="26" xfId="1" applyFont="1" applyBorder="1"/>
    <xf numFmtId="43" fontId="2" fillId="0" borderId="19" xfId="1" applyFont="1" applyBorder="1"/>
    <xf numFmtId="43" fontId="2" fillId="0" borderId="31" xfId="1" applyFont="1" applyBorder="1"/>
    <xf numFmtId="43" fontId="2" fillId="0" borderId="30" xfId="1" applyFont="1" applyBorder="1"/>
    <xf numFmtId="43" fontId="2" fillId="0" borderId="31" xfId="1" applyFont="1" applyFill="1" applyBorder="1"/>
    <xf numFmtId="43" fontId="2" fillId="0" borderId="30" xfId="1" applyFont="1" applyFill="1" applyBorder="1"/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3" fontId="2" fillId="0" borderId="6" xfId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  <xf numFmtId="43" fontId="2" fillId="0" borderId="17" xfId="1" applyFont="1" applyBorder="1" applyAlignment="1">
      <alignment horizontal="center" vertical="top" wrapText="1"/>
    </xf>
    <xf numFmtId="0" fontId="0" fillId="0" borderId="17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43" fontId="2" fillId="0" borderId="34" xfId="1" applyFont="1" applyBorder="1" applyAlignment="1">
      <alignment horizontal="center" vertical="center"/>
    </xf>
    <xf numFmtId="43" fontId="2" fillId="0" borderId="35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43" fontId="0" fillId="0" borderId="7" xfId="1" applyFont="1" applyBorder="1" applyAlignment="1">
      <alignment vertical="center"/>
    </xf>
    <xf numFmtId="43" fontId="0" fillId="0" borderId="8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43" fontId="0" fillId="0" borderId="14" xfId="1" applyFont="1" applyBorder="1" applyAlignment="1">
      <alignment vertical="center"/>
    </xf>
    <xf numFmtId="9" fontId="0" fillId="0" borderId="14" xfId="2" applyFont="1" applyBorder="1" applyAlignment="1">
      <alignment horizontal="center" vertical="center"/>
    </xf>
    <xf numFmtId="43" fontId="2" fillId="0" borderId="17" xfId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43" fontId="0" fillId="0" borderId="12" xfId="1" applyFont="1" applyBorder="1" applyAlignment="1">
      <alignment vertical="center"/>
    </xf>
    <xf numFmtId="9" fontId="0" fillId="0" borderId="12" xfId="2" applyFont="1" applyBorder="1" applyAlignment="1">
      <alignment horizontal="center" vertical="center"/>
    </xf>
    <xf numFmtId="43" fontId="2" fillId="0" borderId="34" xfId="1" applyFont="1" applyBorder="1" applyAlignment="1">
      <alignment vertical="center"/>
    </xf>
    <xf numFmtId="43" fontId="2" fillId="0" borderId="35" xfId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/>
    </xf>
    <xf numFmtId="43" fontId="2" fillId="0" borderId="0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43" fontId="2" fillId="0" borderId="17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43" fontId="2" fillId="0" borderId="17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5" fontId="2" fillId="0" borderId="17" xfId="1" applyNumberFormat="1" applyFont="1" applyBorder="1" applyAlignment="1"/>
    <xf numFmtId="165" fontId="2" fillId="0" borderId="17" xfId="1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43" fontId="0" fillId="0" borderId="18" xfId="1" applyFont="1" applyBorder="1" applyAlignment="1">
      <alignment horizontal="center"/>
    </xf>
    <xf numFmtId="0" fontId="0" fillId="0" borderId="14" xfId="0" applyFont="1" applyBorder="1" applyAlignment="1">
      <alignment horizontal="left"/>
    </xf>
    <xf numFmtId="43" fontId="0" fillId="0" borderId="14" xfId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3" xfId="0" applyBorder="1"/>
    <xf numFmtId="43" fontId="2" fillId="0" borderId="34" xfId="1" applyFont="1" applyFill="1" applyBorder="1"/>
    <xf numFmtId="0" fontId="2" fillId="0" borderId="36" xfId="0" applyFont="1" applyBorder="1" applyAlignment="1">
      <alignment horizontal="center"/>
    </xf>
    <xf numFmtId="43" fontId="0" fillId="0" borderId="34" xfId="1" applyFont="1" applyFill="1" applyBorder="1"/>
    <xf numFmtId="43" fontId="2" fillId="0" borderId="41" xfId="1" applyFont="1" applyFill="1" applyBorder="1"/>
    <xf numFmtId="0" fontId="0" fillId="0" borderId="0" xfId="0" applyFill="1" applyAlignment="1">
      <alignment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65" fontId="0" fillId="0" borderId="18" xfId="1" applyNumberFormat="1" applyFon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165" fontId="0" fillId="0" borderId="14" xfId="1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5" fontId="0" fillId="0" borderId="9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vertical="center"/>
    </xf>
    <xf numFmtId="165" fontId="2" fillId="0" borderId="17" xfId="1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65" fontId="0" fillId="0" borderId="0" xfId="1" applyNumberFormat="1" applyFont="1" applyFill="1" applyAlignment="1">
      <alignment vertical="center"/>
    </xf>
    <xf numFmtId="0" fontId="0" fillId="0" borderId="38" xfId="0" applyFill="1" applyBorder="1" applyAlignment="1">
      <alignment vertical="center"/>
    </xf>
    <xf numFmtId="165" fontId="2" fillId="0" borderId="33" xfId="1" applyNumberFormat="1" applyFont="1" applyFill="1" applyBorder="1" applyAlignment="1">
      <alignment vertical="center"/>
    </xf>
    <xf numFmtId="0" fontId="2" fillId="0" borderId="34" xfId="0" applyFont="1" applyFill="1" applyBorder="1" applyAlignment="1">
      <alignment horizontal="center" vertical="center"/>
    </xf>
    <xf numFmtId="165" fontId="2" fillId="0" borderId="35" xfId="1" applyNumberFormat="1" applyFont="1" applyFill="1" applyBorder="1" applyAlignment="1">
      <alignment vertical="center"/>
    </xf>
    <xf numFmtId="0" fontId="14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67" fontId="17" fillId="0" borderId="5" xfId="4" applyNumberFormat="1" applyFont="1" applyFill="1" applyBorder="1" applyAlignment="1">
      <alignment horizontal="left" vertical="center"/>
    </xf>
    <xf numFmtId="167" fontId="17" fillId="0" borderId="0" xfId="4" applyNumberFormat="1" applyFont="1" applyFill="1" applyBorder="1" applyAlignment="1">
      <alignment horizontal="left" vertic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9" fillId="0" borderId="2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19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 wrapText="1"/>
    </xf>
    <xf numFmtId="43" fontId="2" fillId="0" borderId="17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21" xfId="0" applyFont="1" applyBorder="1"/>
    <xf numFmtId="0" fontId="6" fillId="0" borderId="22" xfId="0" applyFont="1" applyBorder="1"/>
  </cellXfs>
  <cellStyles count="5">
    <cellStyle name="Comma" xfId="1" builtinId="3"/>
    <cellStyle name="Normal" xfId="0" builtinId="0"/>
    <cellStyle name="Normal_BSPL 2004 NS" xfId="4"/>
    <cellStyle name="Normal_FY 2003-2004  2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view="pageBreakPreview" zoomScaleNormal="100" zoomScaleSheetLayoutView="100" workbookViewId="0">
      <selection activeCell="B18" sqref="B18"/>
    </sheetView>
  </sheetViews>
  <sheetFormatPr defaultRowHeight="15"/>
  <cols>
    <col min="1" max="1" width="14.7109375" customWidth="1"/>
    <col min="2" max="2" width="40.28515625" bestFit="1" customWidth="1"/>
    <col min="3" max="3" width="14.7109375" style="1" customWidth="1"/>
    <col min="4" max="5" width="14.7109375" style="2" customWidth="1"/>
    <col min="6" max="6" width="40" customWidth="1"/>
    <col min="7" max="7" width="14.7109375" style="1" customWidth="1"/>
    <col min="8" max="8" width="14.7109375" style="2" customWidth="1"/>
    <col min="9" max="9" width="8.7109375" bestFit="1" customWidth="1"/>
    <col min="10" max="10" width="13.28515625" bestFit="1" customWidth="1"/>
    <col min="11" max="11" width="12.28515625" bestFit="1" customWidth="1"/>
    <col min="12" max="12" width="9.5703125" bestFit="1" customWidth="1"/>
  </cols>
  <sheetData>
    <row r="1" spans="1:12" ht="21">
      <c r="A1" s="315" t="s">
        <v>89</v>
      </c>
      <c r="B1" s="316"/>
      <c r="C1" s="316"/>
      <c r="D1" s="316"/>
      <c r="E1" s="316"/>
      <c r="F1" s="316"/>
      <c r="G1" s="316"/>
      <c r="H1" s="317"/>
    </row>
    <row r="2" spans="1:12">
      <c r="A2" s="325" t="s">
        <v>312</v>
      </c>
      <c r="B2" s="326"/>
      <c r="C2" s="326"/>
      <c r="D2" s="326"/>
      <c r="E2" s="326"/>
      <c r="F2" s="326"/>
      <c r="G2" s="326"/>
      <c r="H2" s="327"/>
    </row>
    <row r="3" spans="1:12">
      <c r="A3" s="325" t="s">
        <v>302</v>
      </c>
      <c r="B3" s="326"/>
      <c r="C3" s="326"/>
      <c r="D3" s="326"/>
      <c r="E3" s="326"/>
      <c r="F3" s="326"/>
      <c r="G3" s="326"/>
      <c r="H3" s="327"/>
    </row>
    <row r="4" spans="1:12" ht="15.75">
      <c r="A4" s="322" t="s">
        <v>313</v>
      </c>
      <c r="B4" s="323"/>
      <c r="C4" s="323"/>
      <c r="D4" s="323"/>
      <c r="E4" s="323"/>
      <c r="F4" s="323"/>
      <c r="G4" s="323"/>
      <c r="H4" s="324"/>
    </row>
    <row r="5" spans="1:12">
      <c r="A5" s="204"/>
      <c r="B5" s="179"/>
      <c r="C5" s="179"/>
      <c r="D5" s="179"/>
      <c r="E5" s="179"/>
      <c r="F5" s="179"/>
      <c r="G5" s="179"/>
      <c r="H5" s="205" t="s">
        <v>86</v>
      </c>
    </row>
    <row r="6" spans="1:12" ht="15.75" thickBot="1">
      <c r="A6" s="32" t="s">
        <v>88</v>
      </c>
      <c r="B6" s="320" t="s">
        <v>0</v>
      </c>
      <c r="C6" s="321"/>
      <c r="D6" s="218" t="s">
        <v>314</v>
      </c>
      <c r="E6" s="214" t="str">
        <f>A6</f>
        <v xml:space="preserve"> March 31, 2024</v>
      </c>
      <c r="F6" s="320" t="s">
        <v>1</v>
      </c>
      <c r="G6" s="321"/>
      <c r="H6" s="32" t="str">
        <f>D6</f>
        <v xml:space="preserve"> March 31, 2025</v>
      </c>
    </row>
    <row r="7" spans="1:12">
      <c r="A7" s="7"/>
      <c r="B7" s="26" t="s">
        <v>87</v>
      </c>
      <c r="C7" s="30"/>
      <c r="D7" s="216"/>
      <c r="E7" s="35"/>
      <c r="F7" s="31" t="s">
        <v>2</v>
      </c>
      <c r="G7" s="4"/>
      <c r="H7" s="6"/>
    </row>
    <row r="8" spans="1:12" ht="15.75" thickBot="1">
      <c r="A8" s="206">
        <f>4000*50</f>
        <v>200000</v>
      </c>
      <c r="B8" s="25" t="s">
        <v>90</v>
      </c>
      <c r="C8" s="30"/>
      <c r="D8" s="215">
        <v>200000</v>
      </c>
      <c r="E8" s="34">
        <v>8954</v>
      </c>
      <c r="F8" s="30" t="s">
        <v>5</v>
      </c>
      <c r="G8" s="4">
        <v>1546</v>
      </c>
      <c r="H8" s="6"/>
    </row>
    <row r="9" spans="1:12" ht="15.75" thickTop="1">
      <c r="A9" s="7"/>
      <c r="B9" s="25"/>
      <c r="C9" s="30"/>
      <c r="D9" s="216"/>
      <c r="E9" s="34">
        <v>52596</v>
      </c>
      <c r="F9" s="30" t="s">
        <v>93</v>
      </c>
      <c r="G9" s="4">
        <v>54399</v>
      </c>
      <c r="H9" s="6"/>
    </row>
    <row r="10" spans="1:12">
      <c r="A10" s="38">
        <v>31500</v>
      </c>
      <c r="B10" s="26" t="s">
        <v>3</v>
      </c>
      <c r="C10" s="30"/>
      <c r="D10" s="213">
        <v>31500</v>
      </c>
      <c r="E10" s="135">
        <v>192784.03</v>
      </c>
      <c r="F10" s="30" t="s">
        <v>94</v>
      </c>
      <c r="G10" s="4">
        <f>BRS!C7</f>
        <v>922186.04</v>
      </c>
      <c r="H10" s="6"/>
      <c r="K10" s="29"/>
      <c r="L10" s="29"/>
    </row>
    <row r="11" spans="1:12">
      <c r="A11" s="7"/>
      <c r="B11" s="25" t="s">
        <v>91</v>
      </c>
      <c r="C11" s="30"/>
      <c r="D11" s="216"/>
      <c r="E11" s="34">
        <v>22158.28</v>
      </c>
      <c r="F11" s="36" t="s">
        <v>243</v>
      </c>
      <c r="G11" s="4">
        <f>BRS!C22</f>
        <v>55753.279999999999</v>
      </c>
      <c r="H11" s="6"/>
      <c r="K11" s="29"/>
      <c r="L11" s="29"/>
    </row>
    <row r="12" spans="1:12">
      <c r="A12" s="7"/>
      <c r="B12" s="25"/>
      <c r="C12" s="30"/>
      <c r="D12" s="216"/>
      <c r="E12" s="34">
        <v>325712.01</v>
      </c>
      <c r="F12" s="36" t="s">
        <v>161</v>
      </c>
      <c r="G12" s="81">
        <v>0</v>
      </c>
      <c r="H12" s="6">
        <f>SUM(G8:G12)</f>
        <v>1033884.3200000001</v>
      </c>
      <c r="K12" s="29"/>
      <c r="L12" s="29"/>
    </row>
    <row r="13" spans="1:12">
      <c r="A13" s="6">
        <f>+'Sch 5'!B33</f>
        <v>3355937.09</v>
      </c>
      <c r="B13" s="26" t="s">
        <v>250</v>
      </c>
      <c r="C13" s="30"/>
      <c r="D13" s="216">
        <f>+'Sch 5'!E33</f>
        <v>3977417.09</v>
      </c>
      <c r="E13" s="35"/>
      <c r="F13" s="29"/>
      <c r="G13" s="4"/>
      <c r="H13" s="6"/>
      <c r="J13" s="23"/>
    </row>
    <row r="14" spans="1:12">
      <c r="A14" s="7"/>
      <c r="B14" s="26"/>
      <c r="C14" s="30"/>
      <c r="D14" s="216"/>
      <c r="E14" s="34">
        <v>3953747</v>
      </c>
      <c r="F14" s="31" t="s">
        <v>244</v>
      </c>
      <c r="G14" s="4"/>
      <c r="H14" s="38">
        <f>+'Sch 1'!K41</f>
        <v>4604276</v>
      </c>
    </row>
    <row r="15" spans="1:12">
      <c r="A15" s="7"/>
      <c r="B15" s="26" t="s">
        <v>251</v>
      </c>
      <c r="C15" s="30"/>
      <c r="D15" s="216"/>
      <c r="E15" s="22"/>
      <c r="F15" s="37"/>
      <c r="G15" s="4"/>
      <c r="H15" s="35"/>
    </row>
    <row r="16" spans="1:12">
      <c r="A16" s="6">
        <f>'Sch 4,6'!B32</f>
        <v>483654</v>
      </c>
      <c r="B16" s="27" t="s">
        <v>169</v>
      </c>
      <c r="C16" s="30">
        <f>'Sch 4,6'!D32</f>
        <v>507786</v>
      </c>
      <c r="D16" s="216"/>
      <c r="E16" s="22"/>
      <c r="F16" s="38" t="s">
        <v>95</v>
      </c>
      <c r="G16" s="4"/>
      <c r="H16" s="35"/>
    </row>
    <row r="17" spans="1:12">
      <c r="A17" s="6">
        <f>'Sch 4,6'!B39</f>
        <v>99548</v>
      </c>
      <c r="B17" s="27" t="s">
        <v>181</v>
      </c>
      <c r="C17" s="30">
        <f>+'Sch 4,6'!D39</f>
        <v>114401</v>
      </c>
      <c r="D17" s="216"/>
      <c r="E17" s="22">
        <v>0</v>
      </c>
      <c r="F17" s="37" t="s">
        <v>245</v>
      </c>
      <c r="G17" s="4"/>
      <c r="H17" s="35">
        <f>'Sch 4,6'!D51</f>
        <v>20433</v>
      </c>
      <c r="J17" s="157"/>
      <c r="K17" s="157"/>
      <c r="L17" s="157"/>
    </row>
    <row r="18" spans="1:12">
      <c r="A18" s="6">
        <f>'Sch 4,6'!B45</f>
        <v>59866</v>
      </c>
      <c r="B18" s="27" t="s">
        <v>4</v>
      </c>
      <c r="C18" s="5">
        <f>+'Sch 4,6'!D45</f>
        <v>58730</v>
      </c>
      <c r="D18" s="216">
        <f>SUM(C16:C18)</f>
        <v>680917</v>
      </c>
      <c r="E18" s="24"/>
      <c r="F18" s="39"/>
      <c r="G18" s="4"/>
      <c r="H18" s="35"/>
    </row>
    <row r="19" spans="1:12">
      <c r="A19" s="6"/>
      <c r="B19" s="34"/>
      <c r="C19" s="30"/>
      <c r="D19" s="216"/>
      <c r="E19" s="24"/>
      <c r="F19" s="38" t="s">
        <v>96</v>
      </c>
      <c r="G19" s="4"/>
      <c r="H19" s="35"/>
    </row>
    <row r="20" spans="1:12">
      <c r="A20" s="7"/>
      <c r="B20" s="28" t="s">
        <v>92</v>
      </c>
      <c r="C20" s="30"/>
      <c r="D20" s="216"/>
      <c r="E20" s="22">
        <f>73765+18798</f>
        <v>92563</v>
      </c>
      <c r="F20" s="37" t="s">
        <v>97</v>
      </c>
      <c r="G20" s="4">
        <f>73765+18798</f>
        <v>92563</v>
      </c>
      <c r="H20" s="35"/>
    </row>
    <row r="21" spans="1:12">
      <c r="A21" s="7">
        <v>9160</v>
      </c>
      <c r="B21" s="45" t="s">
        <v>252</v>
      </c>
      <c r="C21" s="30"/>
      <c r="D21" s="216">
        <f>'Sch 3&amp;7'!D17</f>
        <v>101874</v>
      </c>
      <c r="E21" s="22">
        <v>2721</v>
      </c>
      <c r="F21" s="37" t="s">
        <v>98</v>
      </c>
      <c r="G21" s="5">
        <v>2721</v>
      </c>
      <c r="H21" s="35">
        <f>SUM(G20:G21)</f>
        <v>95284</v>
      </c>
    </row>
    <row r="22" spans="1:12">
      <c r="A22" s="7"/>
      <c r="B22" s="27"/>
      <c r="C22" s="30"/>
      <c r="D22" s="216"/>
      <c r="E22" s="24"/>
      <c r="F22" s="39"/>
      <c r="G22" s="4"/>
      <c r="H22" s="35"/>
    </row>
    <row r="23" spans="1:12">
      <c r="A23" s="7"/>
      <c r="B23" s="26" t="s">
        <v>8</v>
      </c>
      <c r="C23" s="30"/>
      <c r="D23" s="216"/>
      <c r="E23" s="24">
        <f>'Sch 2'!C14</f>
        <v>401831.4</v>
      </c>
      <c r="F23" s="39" t="s">
        <v>246</v>
      </c>
      <c r="G23" s="4"/>
      <c r="H23" s="52">
        <f>+'Sch 2'!I14</f>
        <v>533313</v>
      </c>
    </row>
    <row r="24" spans="1:12">
      <c r="A24" s="7">
        <v>561971.93000000005</v>
      </c>
      <c r="B24" s="27" t="s">
        <v>167</v>
      </c>
      <c r="C24" s="30">
        <v>1259516.6299999999</v>
      </c>
      <c r="D24" s="216"/>
      <c r="E24" s="22"/>
      <c r="F24" s="39"/>
      <c r="G24" s="4"/>
      <c r="H24" s="52"/>
    </row>
    <row r="25" spans="1:12">
      <c r="A25" s="7">
        <v>83475</v>
      </c>
      <c r="B25" s="27" t="s">
        <v>419</v>
      </c>
      <c r="C25" s="30">
        <v>-2484</v>
      </c>
      <c r="D25" s="216"/>
      <c r="E25" s="22"/>
      <c r="F25" s="3" t="s">
        <v>6</v>
      </c>
      <c r="G25" s="4"/>
      <c r="H25" s="35"/>
    </row>
    <row r="26" spans="1:12">
      <c r="A26" s="7">
        <v>-6383</v>
      </c>
      <c r="B26" s="27" t="s">
        <v>298</v>
      </c>
      <c r="C26" s="30">
        <v>0</v>
      </c>
      <c r="D26" s="216"/>
      <c r="E26" s="22">
        <v>42381</v>
      </c>
      <c r="F26" s="4" t="s">
        <v>247</v>
      </c>
      <c r="G26" s="4">
        <f>'Sch 3&amp;7'!D8</f>
        <v>65424</v>
      </c>
      <c r="H26" s="35"/>
    </row>
    <row r="27" spans="1:12">
      <c r="A27" s="7">
        <f>PL!A47</f>
        <v>620452.70000000019</v>
      </c>
      <c r="B27" s="45" t="s">
        <v>168</v>
      </c>
      <c r="C27" s="5">
        <f>+PL!D47</f>
        <v>513449.59999999963</v>
      </c>
      <c r="D27" s="216">
        <f>SUM(C24:C27)</f>
        <v>1770482.2299999995</v>
      </c>
      <c r="E27" s="22">
        <v>16006</v>
      </c>
      <c r="F27" s="4" t="s">
        <v>431</v>
      </c>
      <c r="G27" s="4">
        <v>0</v>
      </c>
      <c r="H27" s="35"/>
    </row>
    <row r="28" spans="1:12">
      <c r="A28" s="6"/>
      <c r="B28" s="35"/>
      <c r="C28" s="30"/>
      <c r="D28" s="216"/>
      <c r="E28" s="22">
        <v>13318</v>
      </c>
      <c r="F28" s="4" t="s">
        <v>239</v>
      </c>
      <c r="G28" s="4">
        <f>Workings!L9</f>
        <v>22033</v>
      </c>
      <c r="H28" s="35"/>
    </row>
    <row r="29" spans="1:12">
      <c r="A29" s="6"/>
      <c r="B29" s="35"/>
      <c r="C29" s="30"/>
      <c r="D29" s="216"/>
      <c r="E29" s="22">
        <v>3010.5</v>
      </c>
      <c r="F29" s="4" t="s">
        <v>261</v>
      </c>
      <c r="G29" s="4">
        <v>0</v>
      </c>
      <c r="H29" s="35"/>
    </row>
    <row r="30" spans="1:12">
      <c r="A30" s="7"/>
      <c r="B30" s="27"/>
      <c r="C30" s="30"/>
      <c r="D30" s="216"/>
      <c r="E30" s="22">
        <v>3010.5</v>
      </c>
      <c r="F30" s="4" t="s">
        <v>262</v>
      </c>
      <c r="G30" s="4">
        <v>0</v>
      </c>
      <c r="H30" s="35"/>
    </row>
    <row r="31" spans="1:12">
      <c r="A31" s="7"/>
      <c r="B31" s="27"/>
      <c r="C31" s="30"/>
      <c r="D31" s="216"/>
      <c r="E31" s="22">
        <v>249</v>
      </c>
      <c r="F31" s="4" t="s">
        <v>179</v>
      </c>
      <c r="G31" s="4">
        <v>550</v>
      </c>
      <c r="H31" s="35"/>
    </row>
    <row r="32" spans="1:12">
      <c r="A32" s="7"/>
      <c r="B32" s="27"/>
      <c r="C32" s="30"/>
      <c r="D32" s="216"/>
      <c r="E32" s="22">
        <f>16919+1779</f>
        <v>18698</v>
      </c>
      <c r="F32" s="4" t="s">
        <v>99</v>
      </c>
      <c r="G32" s="4">
        <f>26115</f>
        <v>26115</v>
      </c>
      <c r="H32" s="35"/>
    </row>
    <row r="33" spans="1:16">
      <c r="A33" s="7"/>
      <c r="B33" s="27"/>
      <c r="C33" s="30"/>
      <c r="D33" s="216"/>
      <c r="E33" s="22">
        <v>32800</v>
      </c>
      <c r="F33" s="4" t="s">
        <v>7</v>
      </c>
      <c r="G33" s="5">
        <f>85800-32800</f>
        <v>53000</v>
      </c>
      <c r="H33" s="35">
        <f>SUM(G26:G33)</f>
        <v>167122</v>
      </c>
      <c r="J33" s="23"/>
    </row>
    <row r="34" spans="1:16">
      <c r="A34" s="7"/>
      <c r="B34" s="27"/>
      <c r="C34" s="30"/>
      <c r="D34" s="216"/>
      <c r="E34" s="24"/>
      <c r="F34" s="39"/>
      <c r="G34" s="4"/>
      <c r="H34" s="35"/>
    </row>
    <row r="35" spans="1:16">
      <c r="A35" s="7"/>
      <c r="B35" s="27"/>
      <c r="C35" s="30"/>
      <c r="D35" s="216"/>
      <c r="E35" s="22">
        <f>+'Sch 4,6'!B13</f>
        <v>116642</v>
      </c>
      <c r="F35" s="3" t="s">
        <v>248</v>
      </c>
      <c r="G35" s="4"/>
      <c r="H35" s="35">
        <f>+'Sch 4,6'!D13</f>
        <v>107878</v>
      </c>
      <c r="K35" s="23"/>
    </row>
    <row r="36" spans="1:16">
      <c r="A36" s="7"/>
      <c r="B36" s="27"/>
      <c r="C36" s="30"/>
      <c r="D36" s="217"/>
      <c r="E36" s="24"/>
      <c r="F36" s="40"/>
      <c r="G36" s="4"/>
      <c r="H36" s="35"/>
    </row>
    <row r="37" spans="1:16" ht="15.75" thickBot="1">
      <c r="A37" s="219">
        <f>SUM(A10:A36)</f>
        <v>5299181.72</v>
      </c>
      <c r="B37" s="318" t="s">
        <v>10</v>
      </c>
      <c r="C37" s="319"/>
      <c r="D37" s="220">
        <f>SUM(D10:D36)</f>
        <v>6562190.3199999994</v>
      </c>
      <c r="E37" s="221">
        <f>SUM(E7:E36)</f>
        <v>5299181.7200000007</v>
      </c>
      <c r="F37" s="319" t="s">
        <v>10</v>
      </c>
      <c r="G37" s="319"/>
      <c r="H37" s="219">
        <f>SUM(H7:H36)</f>
        <v>6562190.3200000003</v>
      </c>
      <c r="J37" s="157"/>
      <c r="O37" s="29"/>
      <c r="P37" s="29"/>
    </row>
    <row r="38" spans="1:16" s="187" customFormat="1" ht="9.9499999999999993" customHeight="1" thickTop="1">
      <c r="A38" s="181">
        <f>A37-E37</f>
        <v>0</v>
      </c>
      <c r="B38" s="182"/>
      <c r="C38" s="183"/>
      <c r="D38" s="182"/>
      <c r="E38" s="183"/>
      <c r="F38" s="182"/>
      <c r="G38" s="183"/>
      <c r="H38" s="184"/>
      <c r="I38" s="185"/>
      <c r="J38" s="186"/>
      <c r="K38" s="186"/>
      <c r="L38"/>
      <c r="M38"/>
    </row>
    <row r="39" spans="1:16" s="191" customFormat="1">
      <c r="A39" s="188" t="s">
        <v>439</v>
      </c>
      <c r="B39" s="189"/>
      <c r="C39" s="190"/>
      <c r="D39" s="189"/>
      <c r="E39" s="311" t="s">
        <v>444</v>
      </c>
      <c r="F39" s="311"/>
      <c r="G39" s="311"/>
      <c r="H39" s="312"/>
      <c r="I39" s="190"/>
      <c r="J39" s="187"/>
      <c r="K39" s="187"/>
      <c r="L39" s="186"/>
      <c r="M39" s="186"/>
    </row>
    <row r="40" spans="1:16" s="187" customFormat="1">
      <c r="A40" s="192"/>
      <c r="B40" s="189"/>
      <c r="C40" s="190"/>
      <c r="D40" s="189"/>
      <c r="E40" s="189"/>
      <c r="F40" s="189"/>
      <c r="G40" s="189"/>
      <c r="H40" s="193"/>
      <c r="I40" s="190"/>
    </row>
    <row r="41" spans="1:16" s="187" customFormat="1">
      <c r="A41" s="192"/>
      <c r="B41" s="189"/>
      <c r="C41" s="190"/>
      <c r="D41" s="189"/>
      <c r="E41" s="189"/>
      <c r="F41" s="194"/>
      <c r="G41" s="194"/>
      <c r="H41" s="195"/>
      <c r="I41" s="190"/>
    </row>
    <row r="42" spans="1:16" s="187" customFormat="1">
      <c r="A42" s="192"/>
      <c r="B42" s="189"/>
      <c r="C42" s="190"/>
      <c r="D42" s="189"/>
      <c r="E42" s="189"/>
      <c r="F42" s="194"/>
      <c r="G42" s="194"/>
      <c r="H42" s="195"/>
      <c r="I42" s="190"/>
    </row>
    <row r="43" spans="1:16" s="187" customFormat="1" ht="17.100000000000001" customHeight="1">
      <c r="A43" s="196" t="s">
        <v>440</v>
      </c>
      <c r="B43" s="197"/>
      <c r="C43" s="198"/>
      <c r="D43" s="189"/>
      <c r="E43" s="189"/>
      <c r="F43" s="194"/>
      <c r="G43" s="194"/>
      <c r="H43" s="195"/>
      <c r="I43" s="190"/>
    </row>
    <row r="44" spans="1:16" s="187" customFormat="1" ht="15.75">
      <c r="A44" s="199" t="s">
        <v>441</v>
      </c>
      <c r="B44" s="197"/>
      <c r="C44" s="198"/>
      <c r="D44" s="189"/>
      <c r="E44" s="311" t="s">
        <v>442</v>
      </c>
      <c r="F44" s="311"/>
      <c r="G44" s="311"/>
      <c r="H44" s="312"/>
      <c r="I44" s="190"/>
    </row>
    <row r="45" spans="1:16" s="187" customFormat="1" ht="15.75">
      <c r="A45" s="199" t="s">
        <v>443</v>
      </c>
      <c r="B45" s="197"/>
      <c r="C45" s="198"/>
      <c r="D45" s="189"/>
      <c r="E45" s="194"/>
      <c r="F45" s="194"/>
      <c r="G45" s="194"/>
      <c r="H45" s="195"/>
      <c r="I45" s="190"/>
    </row>
    <row r="46" spans="1:16" s="187" customFormat="1" ht="15.75">
      <c r="A46" s="313">
        <v>45884</v>
      </c>
      <c r="B46" s="314"/>
      <c r="C46" s="314"/>
      <c r="D46" s="189"/>
      <c r="E46" s="189"/>
      <c r="F46" s="189"/>
      <c r="G46" s="189"/>
      <c r="H46" s="193"/>
      <c r="I46" s="190"/>
    </row>
    <row r="47" spans="1:16" s="187" customFormat="1" ht="8.1" customHeight="1">
      <c r="A47" s="200"/>
      <c r="B47" s="201"/>
      <c r="C47" s="202"/>
      <c r="D47" s="201"/>
      <c r="E47" s="202"/>
      <c r="F47" s="201"/>
      <c r="G47" s="201"/>
      <c r="H47" s="203"/>
      <c r="I47" s="190"/>
    </row>
  </sheetData>
  <mergeCells count="11">
    <mergeCell ref="E39:H39"/>
    <mergeCell ref="E44:H44"/>
    <mergeCell ref="A46:C46"/>
    <mergeCell ref="A1:H1"/>
    <mergeCell ref="B37:C37"/>
    <mergeCell ref="F37:G37"/>
    <mergeCell ref="B6:C6"/>
    <mergeCell ref="F6:G6"/>
    <mergeCell ref="A4:H4"/>
    <mergeCell ref="A3:H3"/>
    <mergeCell ref="A2:H2"/>
  </mergeCells>
  <printOptions horizontalCentered="1"/>
  <pageMargins left="0.39370078740157483" right="0.39370078740157483" top="0.59055118110236227" bottom="0.39370078740157483" header="0.19685039370078741" footer="0.19685039370078741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view="pageBreakPreview" topLeftCell="A30" zoomScaleNormal="100" zoomScaleSheetLayoutView="100" workbookViewId="0">
      <selection activeCell="B18" sqref="B18"/>
    </sheetView>
  </sheetViews>
  <sheetFormatPr defaultRowHeight="15"/>
  <cols>
    <col min="1" max="1" width="15.28515625" style="36" bestFit="1" customWidth="1"/>
    <col min="2" max="2" width="40.28515625" style="132" bestFit="1" customWidth="1"/>
    <col min="3" max="3" width="12.5703125" style="147" bestFit="1" customWidth="1"/>
    <col min="4" max="5" width="15.28515625" style="142" customWidth="1"/>
    <col min="6" max="6" width="40" style="132" customWidth="1"/>
    <col min="7" max="7" width="13.140625" style="147" bestFit="1" customWidth="1"/>
    <col min="8" max="8" width="15.28515625" style="142" bestFit="1" customWidth="1"/>
    <col min="9" max="9" width="8.7109375" style="132" bestFit="1" customWidth="1"/>
    <col min="10" max="10" width="16.28515625" style="132" bestFit="1" customWidth="1"/>
    <col min="11" max="12" width="9.140625" style="132"/>
    <col min="13" max="13" width="37.28515625" style="132" bestFit="1" customWidth="1"/>
    <col min="14" max="15" width="12.5703125" style="132" bestFit="1" customWidth="1"/>
    <col min="16" max="16" width="16.28515625" style="132" bestFit="1" customWidth="1"/>
    <col min="17" max="16384" width="9.140625" style="132"/>
  </cols>
  <sheetData>
    <row r="1" spans="1:16" ht="21">
      <c r="A1" s="328" t="str">
        <f>BS!A1</f>
        <v>JEEVAN HEIGHTS  CO-OPERATIVE HOUSING SOCIETY LTD</v>
      </c>
      <c r="B1" s="329"/>
      <c r="C1" s="329"/>
      <c r="D1" s="329"/>
      <c r="E1" s="329"/>
      <c r="F1" s="329"/>
      <c r="G1" s="329"/>
      <c r="H1" s="330"/>
    </row>
    <row r="2" spans="1:16">
      <c r="A2" s="331" t="str">
        <f>BS!A2</f>
        <v>Society Address: Bandar, Pakhadi Road  ,Kandivali (W), Mumbai - 400067.</v>
      </c>
      <c r="B2" s="332"/>
      <c r="C2" s="332"/>
      <c r="D2" s="332"/>
      <c r="E2" s="332"/>
      <c r="F2" s="332"/>
      <c r="G2" s="332"/>
      <c r="H2" s="333"/>
    </row>
    <row r="3" spans="1:16">
      <c r="A3" s="331" t="s">
        <v>302</v>
      </c>
      <c r="B3" s="332"/>
      <c r="C3" s="332"/>
      <c r="D3" s="332"/>
      <c r="E3" s="332"/>
      <c r="F3" s="332"/>
      <c r="G3" s="332"/>
      <c r="H3" s="333"/>
    </row>
    <row r="4" spans="1:16" ht="15.75">
      <c r="A4" s="336" t="s">
        <v>315</v>
      </c>
      <c r="B4" s="337"/>
      <c r="C4" s="337"/>
      <c r="D4" s="337"/>
      <c r="E4" s="337"/>
      <c r="F4" s="337"/>
      <c r="G4" s="337"/>
      <c r="H4" s="338"/>
      <c r="M4" s="158" t="s">
        <v>183</v>
      </c>
      <c r="N4" s="158" t="s">
        <v>303</v>
      </c>
      <c r="O4" s="133" t="s">
        <v>141</v>
      </c>
      <c r="P4" s="133" t="s">
        <v>306</v>
      </c>
    </row>
    <row r="5" spans="1:16">
      <c r="A5" s="207"/>
      <c r="B5" s="178"/>
      <c r="C5" s="178"/>
      <c r="D5" s="178"/>
      <c r="E5" s="178"/>
      <c r="F5" s="178"/>
      <c r="G5" s="178"/>
      <c r="H5" s="208" t="s">
        <v>86</v>
      </c>
      <c r="M5" s="134" t="s">
        <v>116</v>
      </c>
      <c r="N5" s="61">
        <v>3575880</v>
      </c>
      <c r="O5" s="61">
        <f>D9+D21+D29-C24-C26+D44-C44</f>
        <v>3266811.4</v>
      </c>
      <c r="P5" s="60">
        <f>N5-O5</f>
        <v>309068.60000000009</v>
      </c>
    </row>
    <row r="6" spans="1:16" ht="15.75" thickBot="1">
      <c r="A6" s="210" t="str">
        <f>BS!A6</f>
        <v xml:space="preserve"> March 31, 2024</v>
      </c>
      <c r="B6" s="335" t="s">
        <v>11</v>
      </c>
      <c r="C6" s="335"/>
      <c r="D6" s="212" t="str">
        <f>BS!D6</f>
        <v xml:space="preserve"> March 31, 2025</v>
      </c>
      <c r="E6" s="211" t="str">
        <f>A6</f>
        <v xml:space="preserve"> March 31, 2024</v>
      </c>
      <c r="F6" s="335" t="s">
        <v>12</v>
      </c>
      <c r="G6" s="335"/>
      <c r="H6" s="146" t="str">
        <f>D6</f>
        <v xml:space="preserve"> March 31, 2025</v>
      </c>
      <c r="M6" s="134" t="s">
        <v>14</v>
      </c>
      <c r="N6" s="61">
        <v>1388772</v>
      </c>
      <c r="O6" s="61">
        <f>D13</f>
        <v>1595680</v>
      </c>
      <c r="P6" s="60">
        <f t="shared" ref="P6:P19" si="0">N6-O6</f>
        <v>-206908</v>
      </c>
    </row>
    <row r="7" spans="1:16" ht="15.6" customHeight="1">
      <c r="A7" s="209"/>
      <c r="B7" s="139" t="s">
        <v>104</v>
      </c>
      <c r="C7" s="135"/>
      <c r="D7" s="213"/>
      <c r="E7" s="136"/>
      <c r="F7" s="139" t="s">
        <v>13</v>
      </c>
      <c r="G7" s="33"/>
      <c r="H7" s="38"/>
      <c r="M7" s="134" t="s">
        <v>15</v>
      </c>
      <c r="N7" s="61">
        <v>401940</v>
      </c>
      <c r="O7" s="61">
        <f>D16</f>
        <v>213810</v>
      </c>
      <c r="P7" s="60">
        <f t="shared" si="0"/>
        <v>188130</v>
      </c>
    </row>
    <row r="8" spans="1:16" ht="15.6" customHeight="1">
      <c r="A8" s="209">
        <v>195100</v>
      </c>
      <c r="B8" s="37" t="s">
        <v>104</v>
      </c>
      <c r="C8" s="135">
        <v>166200</v>
      </c>
      <c r="D8" s="213"/>
      <c r="E8" s="137">
        <v>3575880</v>
      </c>
      <c r="F8" s="37" t="s">
        <v>116</v>
      </c>
      <c r="G8" s="33">
        <v>3575880</v>
      </c>
      <c r="H8" s="38"/>
      <c r="M8" s="134" t="s">
        <v>299</v>
      </c>
      <c r="N8" s="61">
        <v>896988</v>
      </c>
      <c r="O8" s="61">
        <f>C24</f>
        <v>603030</v>
      </c>
      <c r="P8" s="60">
        <f>N8-O8</f>
        <v>293958</v>
      </c>
    </row>
    <row r="9" spans="1:16" ht="15.6" customHeight="1">
      <c r="A9" s="209">
        <v>39450</v>
      </c>
      <c r="B9" s="37" t="s">
        <v>105</v>
      </c>
      <c r="C9" s="138">
        <f>49600</f>
        <v>49600</v>
      </c>
      <c r="D9" s="213">
        <f>SUM(C8:C9)</f>
        <v>215800</v>
      </c>
      <c r="E9" s="137">
        <v>1388772</v>
      </c>
      <c r="F9" s="40" t="s">
        <v>14</v>
      </c>
      <c r="G9" s="33">
        <v>1388772</v>
      </c>
      <c r="H9" s="38"/>
      <c r="M9" s="134" t="s">
        <v>136</v>
      </c>
      <c r="N9" s="61">
        <v>84952</v>
      </c>
      <c r="O9" s="61">
        <f>C26</f>
        <v>77350</v>
      </c>
      <c r="P9" s="60">
        <f>N9-O9</f>
        <v>7602</v>
      </c>
    </row>
    <row r="10" spans="1:16" ht="15.6" customHeight="1">
      <c r="A10" s="209"/>
      <c r="B10" s="38" t="s">
        <v>106</v>
      </c>
      <c r="C10" s="135"/>
      <c r="D10" s="213"/>
      <c r="E10" s="137">
        <v>401940</v>
      </c>
      <c r="F10" s="37" t="s">
        <v>15</v>
      </c>
      <c r="G10" s="33">
        <v>401940</v>
      </c>
      <c r="H10" s="38"/>
      <c r="M10" s="134" t="s">
        <v>137</v>
      </c>
      <c r="N10" s="61">
        <v>226800</v>
      </c>
      <c r="O10" s="61">
        <f>C44</f>
        <v>261187</v>
      </c>
      <c r="P10" s="60">
        <f>N10-O10</f>
        <v>-34387</v>
      </c>
    </row>
    <row r="11" spans="1:16" ht="15.6" customHeight="1">
      <c r="A11" s="209">
        <v>111260</v>
      </c>
      <c r="B11" s="37" t="s">
        <v>107</v>
      </c>
      <c r="C11" s="33"/>
      <c r="D11" s="213">
        <v>111260</v>
      </c>
      <c r="E11" s="137">
        <v>45310</v>
      </c>
      <c r="F11" s="37" t="s">
        <v>16</v>
      </c>
      <c r="G11" s="33">
        <f>47280</f>
        <v>47280</v>
      </c>
      <c r="H11" s="38"/>
      <c r="M11" s="134" t="s">
        <v>117</v>
      </c>
      <c r="N11" s="61">
        <v>47628</v>
      </c>
      <c r="O11" s="61">
        <f>D11</f>
        <v>111260</v>
      </c>
      <c r="P11" s="60">
        <f>N11-O11</f>
        <v>-63632</v>
      </c>
    </row>
    <row r="12" spans="1:16" ht="15.6" customHeight="1">
      <c r="A12" s="209"/>
      <c r="B12" s="38" t="s">
        <v>108</v>
      </c>
      <c r="C12" s="135"/>
      <c r="D12" s="213"/>
      <c r="E12" s="137">
        <v>84952</v>
      </c>
      <c r="F12" s="37" t="s">
        <v>136</v>
      </c>
      <c r="G12" s="33">
        <v>84952</v>
      </c>
      <c r="H12" s="38"/>
      <c r="M12" s="134" t="s">
        <v>301</v>
      </c>
      <c r="N12" s="61">
        <v>65412</v>
      </c>
      <c r="O12" s="61">
        <v>0</v>
      </c>
      <c r="P12" s="60">
        <f>N12-O12</f>
        <v>65412</v>
      </c>
    </row>
    <row r="13" spans="1:16" ht="15.6" customHeight="1">
      <c r="A13" s="209">
        <f>1439410-18798</f>
        <v>1420612</v>
      </c>
      <c r="B13" s="37" t="s">
        <v>109</v>
      </c>
      <c r="C13" s="33"/>
      <c r="D13" s="213">
        <v>1595680</v>
      </c>
      <c r="E13" s="137">
        <v>226800</v>
      </c>
      <c r="F13" s="37" t="s">
        <v>137</v>
      </c>
      <c r="G13" s="33">
        <v>226800</v>
      </c>
      <c r="H13" s="38"/>
      <c r="M13" s="158" t="s">
        <v>304</v>
      </c>
      <c r="N13" s="60">
        <f>SUM(N5:N12)</f>
        <v>6688372</v>
      </c>
      <c r="O13" s="60">
        <f t="shared" ref="O13:P13" si="1">SUM(O5:O12)</f>
        <v>6129128.4000000004</v>
      </c>
      <c r="P13" s="60">
        <f t="shared" si="1"/>
        <v>559243.60000000009</v>
      </c>
    </row>
    <row r="14" spans="1:16" ht="15.6" customHeight="1">
      <c r="A14" s="209"/>
      <c r="B14" s="38" t="s">
        <v>23</v>
      </c>
      <c r="C14" s="135"/>
      <c r="D14" s="213"/>
      <c r="E14" s="137">
        <v>0</v>
      </c>
      <c r="F14" s="37" t="s">
        <v>345</v>
      </c>
      <c r="G14" s="138">
        <f>24207</f>
        <v>24207</v>
      </c>
      <c r="H14" s="38">
        <f>SUM(G8:G14)</f>
        <v>5749831</v>
      </c>
      <c r="M14" s="134" t="s">
        <v>16</v>
      </c>
      <c r="N14" s="61">
        <v>45310</v>
      </c>
      <c r="O14" s="61">
        <v>0</v>
      </c>
      <c r="P14" s="60">
        <f t="shared" si="0"/>
        <v>45310</v>
      </c>
    </row>
    <row r="15" spans="1:16" ht="15.6" customHeight="1">
      <c r="A15" s="209">
        <v>220611</v>
      </c>
      <c r="B15" s="37" t="s">
        <v>110</v>
      </c>
      <c r="C15" s="135">
        <f>Workings!D9</f>
        <v>186810</v>
      </c>
      <c r="D15" s="213"/>
      <c r="E15" s="137"/>
      <c r="F15" s="40"/>
      <c r="G15" s="33"/>
      <c r="H15" s="38"/>
      <c r="M15" s="134" t="s">
        <v>300</v>
      </c>
      <c r="N15" s="61">
        <v>37500</v>
      </c>
      <c r="O15" s="61">
        <v>0</v>
      </c>
      <c r="P15" s="60">
        <f t="shared" si="0"/>
        <v>37500</v>
      </c>
    </row>
    <row r="16" spans="1:16" ht="15.6" customHeight="1">
      <c r="A16" s="209">
        <v>109400</v>
      </c>
      <c r="B16" s="37" t="s">
        <v>111</v>
      </c>
      <c r="C16" s="138">
        <f>47000-20000</f>
        <v>27000</v>
      </c>
      <c r="D16" s="213">
        <f>SUM(C15:C16)</f>
        <v>213810</v>
      </c>
      <c r="E16" s="137"/>
      <c r="F16" s="38" t="s">
        <v>106</v>
      </c>
      <c r="G16" s="33"/>
      <c r="H16" s="38"/>
      <c r="M16" s="134" t="s">
        <v>138</v>
      </c>
      <c r="N16" s="61">
        <v>20000</v>
      </c>
      <c r="O16" s="61">
        <v>0</v>
      </c>
      <c r="P16" s="60">
        <f t="shared" si="0"/>
        <v>20000</v>
      </c>
    </row>
    <row r="17" spans="1:16" ht="15.6" customHeight="1">
      <c r="A17" s="209"/>
      <c r="B17" s="38" t="s">
        <v>112</v>
      </c>
      <c r="C17" s="135"/>
      <c r="D17" s="213"/>
      <c r="E17" s="137">
        <v>47628</v>
      </c>
      <c r="F17" s="37" t="s">
        <v>117</v>
      </c>
      <c r="G17" s="33">
        <v>47628</v>
      </c>
      <c r="H17" s="38"/>
      <c r="M17" s="61" t="s">
        <v>18</v>
      </c>
      <c r="N17" s="61">
        <v>2245</v>
      </c>
      <c r="O17" s="61">
        <v>0</v>
      </c>
      <c r="P17" s="60">
        <f t="shared" si="0"/>
        <v>2245</v>
      </c>
    </row>
    <row r="18" spans="1:16" ht="15" customHeight="1">
      <c r="A18" s="209">
        <v>600893</v>
      </c>
      <c r="B18" s="37" t="s">
        <v>113</v>
      </c>
      <c r="C18" s="33">
        <f>Workings!D52+Workings!D58+Workings!D60</f>
        <v>656445</v>
      </c>
      <c r="D18" s="213"/>
      <c r="E18" s="137">
        <v>65412</v>
      </c>
      <c r="F18" s="37" t="s">
        <v>301</v>
      </c>
      <c r="G18" s="138">
        <v>65412</v>
      </c>
      <c r="H18" s="38">
        <f>SUM(G17:G18)</f>
        <v>113040</v>
      </c>
      <c r="M18" s="61" t="s">
        <v>19</v>
      </c>
      <c r="N18" s="61">
        <v>17868</v>
      </c>
      <c r="O18" s="61">
        <v>0</v>
      </c>
      <c r="P18" s="60">
        <f t="shared" si="0"/>
        <v>17868</v>
      </c>
    </row>
    <row r="19" spans="1:16" ht="15" customHeight="1">
      <c r="A19" s="209">
        <v>-600893</v>
      </c>
      <c r="B19" s="37" t="s">
        <v>238</v>
      </c>
      <c r="C19" s="138">
        <v>-656445</v>
      </c>
      <c r="D19" s="213">
        <f>SUM(C18:C19)</f>
        <v>0</v>
      </c>
      <c r="E19" s="137"/>
      <c r="F19" s="40"/>
      <c r="G19" s="33"/>
      <c r="H19" s="38"/>
      <c r="M19" s="134" t="s">
        <v>21</v>
      </c>
      <c r="N19" s="61">
        <v>25001.7</v>
      </c>
      <c r="O19" s="61">
        <v>0</v>
      </c>
      <c r="P19" s="60">
        <f t="shared" si="0"/>
        <v>25001.7</v>
      </c>
    </row>
    <row r="20" spans="1:16" ht="15" customHeight="1">
      <c r="A20" s="209"/>
      <c r="B20" s="139" t="s">
        <v>253</v>
      </c>
      <c r="C20" s="135"/>
      <c r="D20" s="213"/>
      <c r="E20" s="137"/>
      <c r="F20" s="139" t="s">
        <v>118</v>
      </c>
      <c r="G20" s="33"/>
      <c r="H20" s="38"/>
      <c r="M20" s="158" t="s">
        <v>305</v>
      </c>
      <c r="N20" s="60">
        <f>SUM(N14:N19)</f>
        <v>147924.70000000001</v>
      </c>
      <c r="O20" s="60">
        <f t="shared" ref="O20:P20" si="2">SUM(O14:O19)</f>
        <v>0</v>
      </c>
      <c r="P20" s="60">
        <f t="shared" si="2"/>
        <v>147924.70000000001</v>
      </c>
    </row>
    <row r="21" spans="1:16" ht="15" customHeight="1" thickBot="1">
      <c r="A21" s="209">
        <f>'Sch 8 &amp; 9'!B34</f>
        <v>374025</v>
      </c>
      <c r="B21" s="37" t="s">
        <v>158</v>
      </c>
      <c r="C21" s="33"/>
      <c r="D21" s="213">
        <f>'Sch 8 &amp; 9'!D34</f>
        <v>524117</v>
      </c>
      <c r="E21" s="137">
        <v>37500</v>
      </c>
      <c r="F21" s="40" t="s">
        <v>300</v>
      </c>
      <c r="G21" s="33">
        <f>37500+5000</f>
        <v>42500</v>
      </c>
      <c r="H21" s="38"/>
      <c r="M21" s="158" t="s">
        <v>307</v>
      </c>
      <c r="N21" s="140">
        <f>N13+N20</f>
        <v>6836296.7000000002</v>
      </c>
      <c r="O21" s="140">
        <f t="shared" ref="O21:P21" si="3">O13+O20</f>
        <v>6129128.4000000004</v>
      </c>
      <c r="P21" s="140">
        <f t="shared" si="3"/>
        <v>707168.3</v>
      </c>
    </row>
    <row r="22" spans="1:16" ht="15" customHeight="1" thickTop="1">
      <c r="A22" s="209"/>
      <c r="B22" s="139" t="s">
        <v>27</v>
      </c>
      <c r="C22" s="135"/>
      <c r="D22" s="213"/>
      <c r="E22" s="137">
        <v>20000</v>
      </c>
      <c r="F22" s="40" t="s">
        <v>138</v>
      </c>
      <c r="G22" s="33">
        <v>0</v>
      </c>
      <c r="H22" s="38"/>
    </row>
    <row r="23" spans="1:16" ht="15" customHeight="1">
      <c r="A23" s="209">
        <v>1513557</v>
      </c>
      <c r="B23" s="37" t="s">
        <v>24</v>
      </c>
      <c r="C23" s="135">
        <v>1342948</v>
      </c>
      <c r="D23" s="213"/>
      <c r="E23" s="137">
        <v>896988</v>
      </c>
      <c r="F23" s="37" t="s">
        <v>299</v>
      </c>
      <c r="G23" s="138">
        <v>896988</v>
      </c>
      <c r="H23" s="38">
        <f>SUM(G21:G23)</f>
        <v>939488</v>
      </c>
    </row>
    <row r="24" spans="1:16" ht="15" customHeight="1">
      <c r="A24" s="209">
        <f>541931+62092</f>
        <v>604023</v>
      </c>
      <c r="B24" s="37" t="s">
        <v>85</v>
      </c>
      <c r="C24" s="135">
        <f>538285+64745</f>
        <v>603030</v>
      </c>
      <c r="D24" s="213"/>
      <c r="E24" s="137"/>
      <c r="F24" s="37"/>
      <c r="G24" s="33"/>
      <c r="H24" s="38"/>
    </row>
    <row r="25" spans="1:16" ht="15" customHeight="1">
      <c r="A25" s="209">
        <v>54288</v>
      </c>
      <c r="B25" s="37" t="s">
        <v>39</v>
      </c>
      <c r="C25" s="135">
        <f>+'Sch 2'!H14</f>
        <v>70170.399999999994</v>
      </c>
      <c r="D25" s="213"/>
      <c r="E25" s="136"/>
      <c r="F25" s="139" t="s">
        <v>17</v>
      </c>
      <c r="G25" s="33"/>
      <c r="H25" s="38"/>
    </row>
    <row r="26" spans="1:16" ht="15" customHeight="1">
      <c r="A26" s="209">
        <v>90844</v>
      </c>
      <c r="B26" s="37" t="s">
        <v>114</v>
      </c>
      <c r="C26" s="135">
        <f>Workings!D34</f>
        <v>77350</v>
      </c>
      <c r="D26" s="213"/>
      <c r="E26" s="137">
        <v>2245</v>
      </c>
      <c r="F26" s="37" t="s">
        <v>18</v>
      </c>
      <c r="G26" s="33"/>
      <c r="H26" s="38">
        <f>1955+466</f>
        <v>2421</v>
      </c>
    </row>
    <row r="27" spans="1:16" ht="15" customHeight="1">
      <c r="A27" s="209">
        <v>7080</v>
      </c>
      <c r="B27" s="37" t="s">
        <v>160</v>
      </c>
      <c r="C27" s="135">
        <v>7080</v>
      </c>
      <c r="D27" s="213"/>
      <c r="E27" s="137">
        <v>169141</v>
      </c>
      <c r="F27" s="37" t="s">
        <v>19</v>
      </c>
      <c r="G27" s="33">
        <f>257457</f>
        <v>257457</v>
      </c>
      <c r="H27" s="38"/>
    </row>
    <row r="28" spans="1:16" ht="15" customHeight="1">
      <c r="A28" s="209">
        <v>6300</v>
      </c>
      <c r="B28" s="37" t="s">
        <v>26</v>
      </c>
      <c r="C28" s="135">
        <v>6300</v>
      </c>
      <c r="D28" s="213"/>
      <c r="E28" s="137">
        <v>-40306</v>
      </c>
      <c r="F28" s="37" t="s">
        <v>227</v>
      </c>
      <c r="G28" s="33">
        <v>66446</v>
      </c>
      <c r="H28" s="38"/>
    </row>
    <row r="29" spans="1:16" ht="15" customHeight="1">
      <c r="A29" s="209">
        <v>34806</v>
      </c>
      <c r="B29" s="37" t="s">
        <v>25</v>
      </c>
      <c r="C29" s="138">
        <f>Workings!D40</f>
        <v>49235</v>
      </c>
      <c r="D29" s="213">
        <f>SUM(C23:C29)</f>
        <v>2156113.4</v>
      </c>
      <c r="E29" s="137">
        <v>-46026</v>
      </c>
      <c r="F29" s="37" t="s">
        <v>228</v>
      </c>
      <c r="G29" s="33">
        <v>70799</v>
      </c>
      <c r="H29" s="38"/>
      <c r="J29" s="141"/>
    </row>
    <row r="30" spans="1:16" ht="15" customHeight="1">
      <c r="A30" s="209"/>
      <c r="B30" s="139" t="s">
        <v>28</v>
      </c>
      <c r="C30" s="135"/>
      <c r="D30" s="213"/>
      <c r="E30" s="137">
        <v>-82539</v>
      </c>
      <c r="F30" s="37" t="s">
        <v>229</v>
      </c>
      <c r="G30" s="33">
        <v>99607</v>
      </c>
      <c r="H30" s="38"/>
    </row>
    <row r="31" spans="1:16" ht="15" customHeight="1">
      <c r="A31" s="209">
        <v>38495</v>
      </c>
      <c r="B31" s="37" t="s">
        <v>159</v>
      </c>
      <c r="C31" s="135">
        <f>6596+51304-11000</f>
        <v>46900</v>
      </c>
      <c r="D31" s="213"/>
      <c r="E31" s="137">
        <v>-22</v>
      </c>
      <c r="F31" s="37" t="s">
        <v>230</v>
      </c>
      <c r="G31" s="33">
        <v>1693</v>
      </c>
      <c r="H31" s="38"/>
    </row>
    <row r="32" spans="1:16" ht="15" customHeight="1">
      <c r="A32" s="209">
        <v>362375</v>
      </c>
      <c r="B32" s="37" t="s">
        <v>115</v>
      </c>
      <c r="C32" s="135">
        <v>378184</v>
      </c>
      <c r="D32" s="213"/>
      <c r="E32" s="137">
        <v>-218</v>
      </c>
      <c r="F32" s="37" t="s">
        <v>231</v>
      </c>
      <c r="G32" s="33">
        <v>16657</v>
      </c>
      <c r="H32" s="38"/>
    </row>
    <row r="33" spans="1:8" ht="15" customHeight="1">
      <c r="A33" s="209">
        <v>500</v>
      </c>
      <c r="B33" s="37" t="s">
        <v>29</v>
      </c>
      <c r="C33" s="135">
        <v>3750</v>
      </c>
      <c r="D33" s="213"/>
      <c r="E33" s="137">
        <v>17838</v>
      </c>
      <c r="F33" s="37" t="s">
        <v>139</v>
      </c>
      <c r="G33" s="138">
        <v>3693</v>
      </c>
      <c r="H33" s="38">
        <f>G27-SUM(G28:G32)+G33</f>
        <v>5948</v>
      </c>
    </row>
    <row r="34" spans="1:8" ht="15" customHeight="1">
      <c r="A34" s="209">
        <v>70509</v>
      </c>
      <c r="B34" s="37" t="s">
        <v>30</v>
      </c>
      <c r="C34" s="135">
        <v>69000</v>
      </c>
      <c r="D34" s="213"/>
      <c r="E34" s="137"/>
      <c r="F34" s="37"/>
      <c r="G34" s="33"/>
      <c r="H34" s="38"/>
    </row>
    <row r="35" spans="1:8" ht="15" customHeight="1">
      <c r="A35" s="209">
        <v>7018</v>
      </c>
      <c r="B35" s="37" t="s">
        <v>31</v>
      </c>
      <c r="C35" s="135">
        <v>9502</v>
      </c>
      <c r="D35" s="213"/>
      <c r="E35" s="136"/>
      <c r="F35" s="139" t="s">
        <v>20</v>
      </c>
      <c r="G35" s="33"/>
      <c r="H35" s="38"/>
    </row>
    <row r="36" spans="1:8" ht="15" customHeight="1">
      <c r="A36" s="209">
        <v>0</v>
      </c>
      <c r="B36" s="37" t="s">
        <v>342</v>
      </c>
      <c r="C36" s="135">
        <v>80</v>
      </c>
      <c r="D36" s="213"/>
      <c r="E36" s="137">
        <f>25000.03+0.67+1</f>
        <v>25001.699999999997</v>
      </c>
      <c r="F36" s="40" t="s">
        <v>21</v>
      </c>
      <c r="G36" s="33"/>
      <c r="H36" s="38">
        <v>3000</v>
      </c>
    </row>
    <row r="37" spans="1:8" ht="15" customHeight="1">
      <c r="A37" s="209">
        <v>24936</v>
      </c>
      <c r="B37" s="37" t="s">
        <v>32</v>
      </c>
      <c r="C37" s="135">
        <v>53000</v>
      </c>
      <c r="D37" s="213"/>
      <c r="E37" s="136"/>
      <c r="F37" s="40"/>
      <c r="G37" s="33"/>
      <c r="H37" s="38"/>
    </row>
    <row r="38" spans="1:8" ht="15" customHeight="1">
      <c r="A38" s="209">
        <v>2090</v>
      </c>
      <c r="B38" s="37" t="s">
        <v>33</v>
      </c>
      <c r="C38" s="135">
        <v>1350</v>
      </c>
      <c r="D38" s="213"/>
      <c r="E38" s="136"/>
      <c r="F38" s="40"/>
      <c r="G38" s="33"/>
      <c r="H38" s="38"/>
    </row>
    <row r="39" spans="1:8" ht="15" customHeight="1">
      <c r="A39" s="209">
        <v>1187</v>
      </c>
      <c r="B39" s="37" t="s">
        <v>34</v>
      </c>
      <c r="C39" s="135">
        <v>1298</v>
      </c>
      <c r="D39" s="213"/>
      <c r="E39" s="136"/>
      <c r="F39" s="40"/>
      <c r="G39" s="33"/>
      <c r="H39" s="38"/>
    </row>
    <row r="40" spans="1:8" ht="15" customHeight="1">
      <c r="A40" s="209">
        <v>654</v>
      </c>
      <c r="B40" s="37" t="s">
        <v>35</v>
      </c>
      <c r="C40" s="135">
        <v>1000</v>
      </c>
      <c r="D40" s="213"/>
      <c r="E40" s="136"/>
      <c r="F40" s="40"/>
      <c r="G40" s="33"/>
      <c r="H40" s="38"/>
    </row>
    <row r="41" spans="1:8" ht="15" customHeight="1">
      <c r="A41" s="209">
        <v>4416</v>
      </c>
      <c r="B41" s="37" t="s">
        <v>232</v>
      </c>
      <c r="C41" s="135">
        <v>0</v>
      </c>
      <c r="D41" s="213"/>
      <c r="E41" s="136"/>
      <c r="F41" s="40"/>
      <c r="G41" s="33"/>
      <c r="H41" s="38"/>
    </row>
    <row r="42" spans="1:8" ht="15" customHeight="1">
      <c r="A42" s="209">
        <v>43740</v>
      </c>
      <c r="B42" s="37" t="s">
        <v>36</v>
      </c>
      <c r="C42" s="135">
        <f>Workings!D83+15788-710</f>
        <v>95788</v>
      </c>
      <c r="D42" s="213"/>
      <c r="E42" s="136"/>
      <c r="F42" s="40"/>
      <c r="G42" s="33"/>
      <c r="H42" s="38"/>
    </row>
    <row r="43" spans="1:8" ht="15" customHeight="1">
      <c r="A43" s="209">
        <v>482167</v>
      </c>
      <c r="B43" s="37" t="s">
        <v>37</v>
      </c>
      <c r="C43" s="33">
        <v>391309</v>
      </c>
      <c r="D43" s="213"/>
      <c r="E43" s="136"/>
      <c r="F43" s="40"/>
      <c r="G43" s="33"/>
      <c r="H43" s="38"/>
    </row>
    <row r="44" spans="1:8" ht="15" customHeight="1">
      <c r="A44" s="209">
        <v>189584</v>
      </c>
      <c r="B44" s="37" t="s">
        <v>38</v>
      </c>
      <c r="C44" s="138">
        <f>307687-29500+11000+25000-53000</f>
        <v>261187</v>
      </c>
      <c r="D44" s="213">
        <f>SUM(C31:C44)</f>
        <v>1312348</v>
      </c>
      <c r="E44" s="136"/>
      <c r="F44" s="40"/>
      <c r="G44" s="33"/>
      <c r="H44" s="38"/>
    </row>
    <row r="45" spans="1:8" ht="9.9499999999999993" customHeight="1">
      <c r="A45" s="209"/>
      <c r="B45" s="37"/>
      <c r="C45" s="135"/>
      <c r="D45" s="213"/>
      <c r="E45" s="136"/>
      <c r="F45" s="40"/>
      <c r="G45" s="33"/>
      <c r="H45" s="38"/>
    </row>
    <row r="46" spans="1:8" ht="15" customHeight="1">
      <c r="A46" s="209">
        <f>ROUND((E48-SUM(A7:A45))*25%,0)</f>
        <v>206817</v>
      </c>
      <c r="B46" s="143" t="s">
        <v>22</v>
      </c>
      <c r="C46" s="135"/>
      <c r="D46" s="213">
        <f>ROUND((H48-SUM(D7:D45))*25%,0)</f>
        <v>171150</v>
      </c>
      <c r="E46" s="136"/>
      <c r="F46" s="40"/>
      <c r="G46" s="33"/>
      <c r="H46" s="38"/>
    </row>
    <row r="47" spans="1:8" ht="15" customHeight="1">
      <c r="A47" s="209">
        <f>E48-SUM(A7:A46)</f>
        <v>620452.70000000019</v>
      </c>
      <c r="B47" s="144" t="s">
        <v>9</v>
      </c>
      <c r="C47" s="145"/>
      <c r="D47" s="213">
        <f>H48-SUM(D7:D46)</f>
        <v>513449.59999999963</v>
      </c>
      <c r="E47" s="136"/>
      <c r="F47" s="40"/>
      <c r="G47" s="33"/>
      <c r="H47" s="38"/>
    </row>
    <row r="48" spans="1:8" ht="15.6" customHeight="1" thickBot="1">
      <c r="A48" s="140">
        <f>SUM(A7:A47)</f>
        <v>6836296.7000000002</v>
      </c>
      <c r="B48" s="334" t="s">
        <v>10</v>
      </c>
      <c r="C48" s="334"/>
      <c r="D48" s="222">
        <f>SUM(D7:D47)</f>
        <v>6813728</v>
      </c>
      <c r="E48" s="223">
        <f>SUM(E7:E47)</f>
        <v>6836296.7000000002</v>
      </c>
      <c r="F48" s="334" t="s">
        <v>10</v>
      </c>
      <c r="G48" s="334"/>
      <c r="H48" s="140">
        <f>SUM(H7:H47)</f>
        <v>6813728</v>
      </c>
    </row>
    <row r="49" spans="1:13" ht="9.9499999999999993" customHeight="1" thickTop="1">
      <c r="A49" s="181">
        <f>A48-E48</f>
        <v>0</v>
      </c>
      <c r="B49" s="182"/>
      <c r="C49" s="183"/>
      <c r="D49" s="182"/>
      <c r="E49" s="183"/>
      <c r="F49" s="182"/>
      <c r="G49" s="183"/>
      <c r="H49" s="184"/>
    </row>
    <row r="50" spans="1:13" ht="15" customHeight="1">
      <c r="A50" s="188" t="s">
        <v>439</v>
      </c>
      <c r="B50" s="189"/>
      <c r="C50" s="190"/>
      <c r="D50" s="189"/>
      <c r="E50" s="311" t="s">
        <v>444</v>
      </c>
      <c r="F50" s="311"/>
      <c r="G50" s="311"/>
      <c r="H50" s="312"/>
    </row>
    <row r="51" spans="1:13" ht="15" customHeight="1">
      <c r="A51" s="192"/>
      <c r="B51" s="189"/>
      <c r="C51" s="190"/>
      <c r="D51" s="189"/>
      <c r="E51" s="189"/>
      <c r="F51" s="189"/>
      <c r="G51" s="189"/>
      <c r="H51" s="193"/>
    </row>
    <row r="52" spans="1:13" ht="15" customHeight="1">
      <c r="A52" s="192"/>
      <c r="B52" s="189"/>
      <c r="C52" s="190"/>
      <c r="D52" s="189"/>
      <c r="E52" s="189"/>
      <c r="F52" s="194"/>
      <c r="G52" s="194"/>
      <c r="H52" s="195"/>
    </row>
    <row r="53" spans="1:13" ht="15" customHeight="1">
      <c r="A53" s="192"/>
      <c r="B53" s="189"/>
      <c r="C53" s="190"/>
      <c r="D53" s="189"/>
      <c r="E53" s="189"/>
      <c r="F53" s="194"/>
      <c r="G53" s="194"/>
      <c r="H53" s="195"/>
    </row>
    <row r="54" spans="1:13" ht="15" customHeight="1">
      <c r="A54" s="196" t="s">
        <v>440</v>
      </c>
      <c r="B54" s="197"/>
      <c r="C54" s="198"/>
      <c r="D54" s="189"/>
      <c r="E54" s="189"/>
      <c r="F54" s="194"/>
      <c r="G54" s="194"/>
      <c r="H54" s="195"/>
    </row>
    <row r="55" spans="1:13" ht="15" customHeight="1">
      <c r="A55" s="199" t="s">
        <v>441</v>
      </c>
      <c r="B55" s="197"/>
      <c r="C55" s="198"/>
      <c r="D55" s="189"/>
      <c r="E55" s="311" t="s">
        <v>442</v>
      </c>
      <c r="F55" s="311"/>
      <c r="G55" s="311"/>
      <c r="H55" s="312"/>
    </row>
    <row r="56" spans="1:13" s="187" customFormat="1" ht="15" customHeight="1">
      <c r="A56" s="199" t="s">
        <v>443</v>
      </c>
      <c r="B56" s="197"/>
      <c r="C56" s="198"/>
      <c r="D56" s="189"/>
      <c r="E56" s="194"/>
      <c r="F56" s="194"/>
      <c r="G56" s="194"/>
      <c r="H56" s="195"/>
      <c r="I56" s="185"/>
      <c r="J56" s="186"/>
      <c r="K56" s="186"/>
      <c r="L56"/>
      <c r="M56"/>
    </row>
    <row r="57" spans="1:13" s="191" customFormat="1" ht="15" customHeight="1">
      <c r="A57" s="313">
        <f>+BS!A46</f>
        <v>45884</v>
      </c>
      <c r="B57" s="314"/>
      <c r="C57" s="314"/>
      <c r="D57" s="189"/>
      <c r="E57" s="189"/>
      <c r="F57" s="189"/>
      <c r="G57" s="189"/>
      <c r="H57" s="193"/>
      <c r="I57" s="190"/>
      <c r="J57" s="187"/>
      <c r="K57" s="187"/>
      <c r="L57" s="186"/>
      <c r="M57" s="186"/>
    </row>
    <row r="58" spans="1:13" s="187" customFormat="1" ht="8.1" customHeight="1">
      <c r="A58" s="200"/>
      <c r="B58" s="201"/>
      <c r="C58" s="202"/>
      <c r="D58" s="201"/>
      <c r="E58" s="202"/>
      <c r="F58" s="201"/>
      <c r="G58" s="201"/>
      <c r="H58" s="203"/>
      <c r="I58" s="190"/>
    </row>
    <row r="59" spans="1:13" s="187" customFormat="1" ht="8.1" customHeight="1">
      <c r="A59" s="36"/>
      <c r="B59" s="132"/>
      <c r="C59" s="147"/>
      <c r="D59" s="142"/>
      <c r="E59" s="142"/>
      <c r="F59" s="132"/>
      <c r="G59" s="147"/>
      <c r="H59" s="142"/>
      <c r="I59" s="190"/>
    </row>
  </sheetData>
  <mergeCells count="11">
    <mergeCell ref="E50:H50"/>
    <mergeCell ref="E55:H55"/>
    <mergeCell ref="A57:C57"/>
    <mergeCell ref="A1:H1"/>
    <mergeCell ref="A2:H2"/>
    <mergeCell ref="A3:H3"/>
    <mergeCell ref="B48:C48"/>
    <mergeCell ref="F48:G48"/>
    <mergeCell ref="B6:C6"/>
    <mergeCell ref="F6:G6"/>
    <mergeCell ref="A4:H4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view="pageBreakPreview" topLeftCell="A15" zoomScaleNormal="100" zoomScaleSheetLayoutView="100" workbookViewId="0">
      <selection activeCell="B18" sqref="B18"/>
    </sheetView>
  </sheetViews>
  <sheetFormatPr defaultColWidth="8.85546875" defaultRowHeight="15"/>
  <cols>
    <col min="1" max="1" width="3.28515625" style="11" bestFit="1" customWidth="1"/>
    <col min="2" max="2" width="14.5703125" style="11" bestFit="1" customWidth="1"/>
    <col min="3" max="3" width="5.140625" style="11" bestFit="1" customWidth="1"/>
    <col min="4" max="4" width="6" style="86" bestFit="1" customWidth="1"/>
    <col min="5" max="5" width="10.140625" style="86" bestFit="1" customWidth="1"/>
    <col min="6" max="6" width="12.5703125" style="18" bestFit="1" customWidth="1"/>
    <col min="7" max="7" width="8.85546875" style="18" bestFit="1" customWidth="1"/>
    <col min="8" max="8" width="10" style="18" bestFit="1" customWidth="1"/>
    <col min="9" max="9" width="11.5703125" style="18" bestFit="1" customWidth="1"/>
    <col min="10" max="10" width="11.5703125" style="18" customWidth="1"/>
    <col min="11" max="11" width="12.5703125" style="18" bestFit="1" customWidth="1"/>
    <col min="12" max="12" width="10.140625" style="86" bestFit="1" customWidth="1"/>
    <col min="13" max="13" width="12.5703125" style="18" bestFit="1" customWidth="1"/>
    <col min="14" max="14" width="3" style="11" customWidth="1"/>
    <col min="15" max="16384" width="8.85546875" style="11"/>
  </cols>
  <sheetData>
    <row r="1" spans="1:13" ht="18.75">
      <c r="A1" s="339" t="str">
        <f>BS!A1</f>
        <v>JEEVAN HEIGHTS  CO-OPERATIVE HOUSING SOCIETY LTD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1"/>
    </row>
    <row r="2" spans="1:13" ht="15.75">
      <c r="A2" s="342" t="s">
        <v>346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</row>
    <row r="3" spans="1:13" s="73" customFormat="1" ht="45.75" thickBot="1">
      <c r="A3" s="231" t="s">
        <v>60</v>
      </c>
      <c r="B3" s="231" t="s">
        <v>67</v>
      </c>
      <c r="C3" s="231" t="s">
        <v>68</v>
      </c>
      <c r="D3" s="232" t="s">
        <v>83</v>
      </c>
      <c r="E3" s="232" t="s">
        <v>69</v>
      </c>
      <c r="F3" s="233" t="s">
        <v>70</v>
      </c>
      <c r="G3" s="233" t="s">
        <v>203</v>
      </c>
      <c r="H3" s="233" t="s">
        <v>204</v>
      </c>
      <c r="I3" s="233" t="s">
        <v>205</v>
      </c>
      <c r="J3" s="233" t="s">
        <v>347</v>
      </c>
      <c r="K3" s="233" t="s">
        <v>71</v>
      </c>
      <c r="L3" s="232" t="s">
        <v>72</v>
      </c>
      <c r="M3" s="233" t="s">
        <v>73</v>
      </c>
    </row>
    <row r="4" spans="1:13">
      <c r="A4" s="224"/>
      <c r="B4" s="225" t="s">
        <v>57</v>
      </c>
      <c r="C4" s="62"/>
      <c r="D4" s="83"/>
      <c r="E4" s="83"/>
      <c r="F4" s="226"/>
      <c r="G4" s="226"/>
      <c r="H4" s="226"/>
      <c r="I4" s="226"/>
      <c r="J4" s="226"/>
      <c r="K4" s="226"/>
      <c r="L4" s="83"/>
      <c r="M4" s="227"/>
    </row>
    <row r="5" spans="1:13">
      <c r="A5" s="20">
        <v>1</v>
      </c>
      <c r="B5" s="63">
        <v>196013003673</v>
      </c>
      <c r="C5" s="20" t="s">
        <v>202</v>
      </c>
      <c r="D5" s="87">
        <v>5.6000000000000001E-2</v>
      </c>
      <c r="E5" s="84" t="s">
        <v>199</v>
      </c>
      <c r="F5" s="21">
        <v>362304</v>
      </c>
      <c r="G5" s="21">
        <v>109</v>
      </c>
      <c r="H5" s="21">
        <v>14738</v>
      </c>
      <c r="I5" s="21">
        <v>15827</v>
      </c>
      <c r="J5" s="21">
        <f>22473</f>
        <v>22473</v>
      </c>
      <c r="K5" s="21">
        <f>SUM(F5:J5)</f>
        <v>415451</v>
      </c>
      <c r="L5" s="84" t="s">
        <v>206</v>
      </c>
      <c r="M5" s="21">
        <v>371164</v>
      </c>
    </row>
    <row r="6" spans="1:13">
      <c r="A6" s="20">
        <v>2</v>
      </c>
      <c r="B6" s="63">
        <v>196013004075</v>
      </c>
      <c r="C6" s="20" t="s">
        <v>202</v>
      </c>
      <c r="D6" s="87">
        <v>5.8999999999999997E-2</v>
      </c>
      <c r="E6" s="84" t="s">
        <v>200</v>
      </c>
      <c r="F6" s="21">
        <v>90666</v>
      </c>
      <c r="G6" s="21">
        <v>0</v>
      </c>
      <c r="H6" s="21">
        <v>3331</v>
      </c>
      <c r="I6" s="21">
        <v>5670</v>
      </c>
      <c r="J6" s="21">
        <f>6012-601</f>
        <v>5411</v>
      </c>
      <c r="K6" s="21">
        <f t="shared" ref="K6:K10" si="0">SUM(F6:J6)</f>
        <v>105078</v>
      </c>
      <c r="L6" s="84" t="s">
        <v>207</v>
      </c>
      <c r="M6" s="21">
        <v>93997</v>
      </c>
    </row>
    <row r="7" spans="1:13">
      <c r="A7" s="20">
        <v>3</v>
      </c>
      <c r="B7" s="63">
        <v>196013005097</v>
      </c>
      <c r="C7" s="20" t="s">
        <v>202</v>
      </c>
      <c r="D7" s="87">
        <v>6.9000000000000006E-2</v>
      </c>
      <c r="E7" s="84" t="s">
        <v>201</v>
      </c>
      <c r="F7" s="21">
        <v>181152</v>
      </c>
      <c r="G7" s="21">
        <v>0</v>
      </c>
      <c r="H7" s="21">
        <v>60</v>
      </c>
      <c r="I7" s="21">
        <v>12831</v>
      </c>
      <c r="J7" s="21">
        <f>13739-1374</f>
        <v>12365</v>
      </c>
      <c r="K7" s="21">
        <f t="shared" si="0"/>
        <v>206408</v>
      </c>
      <c r="L7" s="84" t="s">
        <v>208</v>
      </c>
      <c r="M7" s="21">
        <v>181205</v>
      </c>
    </row>
    <row r="8" spans="1:13">
      <c r="A8" s="20">
        <v>4</v>
      </c>
      <c r="B8" s="63">
        <v>196013004077</v>
      </c>
      <c r="C8" s="20" t="s">
        <v>202</v>
      </c>
      <c r="D8" s="87">
        <v>5.8999999999999997E-2</v>
      </c>
      <c r="E8" s="84" t="s">
        <v>200</v>
      </c>
      <c r="F8" s="21">
        <v>90666</v>
      </c>
      <c r="G8" s="21">
        <v>0</v>
      </c>
      <c r="H8" s="21">
        <v>3331</v>
      </c>
      <c r="I8" s="21">
        <v>5103</v>
      </c>
      <c r="J8" s="21">
        <f>5977-598</f>
        <v>5379</v>
      </c>
      <c r="K8" s="21">
        <f t="shared" si="0"/>
        <v>104479</v>
      </c>
      <c r="L8" s="84" t="s">
        <v>207</v>
      </c>
      <c r="M8" s="21">
        <v>93997</v>
      </c>
    </row>
    <row r="9" spans="1:13">
      <c r="A9" s="20">
        <v>5</v>
      </c>
      <c r="B9" s="63">
        <v>196013006861</v>
      </c>
      <c r="C9" s="20" t="s">
        <v>202</v>
      </c>
      <c r="D9" s="87">
        <v>7.1999999999999995E-2</v>
      </c>
      <c r="E9" s="84" t="s">
        <v>241</v>
      </c>
      <c r="F9" s="21">
        <v>296182</v>
      </c>
      <c r="G9" s="21">
        <v>0</v>
      </c>
      <c r="H9" s="21">
        <v>0</v>
      </c>
      <c r="I9" s="21">
        <v>287</v>
      </c>
      <c r="J9" s="21">
        <f>21929-2193</f>
        <v>19736</v>
      </c>
      <c r="K9" s="21">
        <f t="shared" si="0"/>
        <v>316205</v>
      </c>
      <c r="L9" s="84" t="s">
        <v>242</v>
      </c>
      <c r="M9" s="82">
        <v>341618</v>
      </c>
    </row>
    <row r="10" spans="1:13">
      <c r="A10" s="20">
        <v>6</v>
      </c>
      <c r="B10" s="63">
        <v>196013008007</v>
      </c>
      <c r="C10" s="20" t="s">
        <v>202</v>
      </c>
      <c r="D10" s="87"/>
      <c r="E10" s="84" t="s">
        <v>414</v>
      </c>
      <c r="F10" s="21">
        <v>296316</v>
      </c>
      <c r="G10" s="21">
        <v>0</v>
      </c>
      <c r="H10" s="21">
        <v>0</v>
      </c>
      <c r="I10" s="21">
        <v>0</v>
      </c>
      <c r="J10" s="21">
        <f>669-67</f>
        <v>602</v>
      </c>
      <c r="K10" s="21">
        <f t="shared" si="0"/>
        <v>296918</v>
      </c>
      <c r="L10" s="84"/>
      <c r="M10" s="82"/>
    </row>
    <row r="11" spans="1:13" ht="15.75" thickBot="1">
      <c r="A11" s="234"/>
      <c r="B11" s="235"/>
      <c r="C11" s="234"/>
      <c r="D11" s="236"/>
      <c r="E11" s="236"/>
      <c r="F11" s="237">
        <f>SUM(F5:F10)</f>
        <v>1317286</v>
      </c>
      <c r="G11" s="237">
        <f t="shared" ref="G11:M11" si="1">SUM(G5:G10)</f>
        <v>109</v>
      </c>
      <c r="H11" s="237">
        <f t="shared" si="1"/>
        <v>21460</v>
      </c>
      <c r="I11" s="237">
        <f t="shared" si="1"/>
        <v>39718</v>
      </c>
      <c r="J11" s="237">
        <f t="shared" si="1"/>
        <v>65966</v>
      </c>
      <c r="K11" s="237">
        <f t="shared" si="1"/>
        <v>1444539</v>
      </c>
      <c r="L11" s="236"/>
      <c r="M11" s="237">
        <f t="shared" si="1"/>
        <v>1081981</v>
      </c>
    </row>
    <row r="12" spans="1:13">
      <c r="A12" s="224"/>
      <c r="B12" s="62"/>
      <c r="C12" s="62"/>
      <c r="D12" s="83"/>
      <c r="E12" s="83"/>
      <c r="F12" s="226"/>
      <c r="G12" s="226"/>
      <c r="H12" s="226"/>
      <c r="I12" s="226"/>
      <c r="J12" s="226"/>
      <c r="K12" s="226"/>
      <c r="L12" s="83"/>
      <c r="M12" s="227"/>
    </row>
    <row r="13" spans="1:13">
      <c r="A13" s="224"/>
      <c r="B13" s="225" t="s">
        <v>74</v>
      </c>
      <c r="C13" s="62"/>
      <c r="D13" s="83"/>
      <c r="E13" s="83"/>
      <c r="F13" s="226"/>
      <c r="G13" s="226"/>
      <c r="H13" s="226"/>
      <c r="I13" s="226"/>
      <c r="J13" s="226"/>
      <c r="K13" s="226"/>
      <c r="L13" s="83"/>
      <c r="M13" s="227"/>
    </row>
    <row r="14" spans="1:13">
      <c r="A14" s="20">
        <v>7</v>
      </c>
      <c r="B14" s="63">
        <v>195913010405</v>
      </c>
      <c r="C14" s="20" t="s">
        <v>202</v>
      </c>
      <c r="D14" s="87">
        <v>5.6000000000000001E-2</v>
      </c>
      <c r="E14" s="84" t="s">
        <v>199</v>
      </c>
      <c r="F14" s="21">
        <v>1086912</v>
      </c>
      <c r="G14" s="21">
        <v>327</v>
      </c>
      <c r="H14" s="21">
        <v>55959</v>
      </c>
      <c r="I14" s="21">
        <v>58839</v>
      </c>
      <c r="J14" s="21">
        <f>68741-6875</f>
        <v>61866</v>
      </c>
      <c r="K14" s="21">
        <f t="shared" ref="K14:K16" si="2">SUM(F14:J14)</f>
        <v>1263903</v>
      </c>
      <c r="L14" s="84" t="s">
        <v>206</v>
      </c>
      <c r="M14" s="21">
        <v>1136981</v>
      </c>
    </row>
    <row r="15" spans="1:13">
      <c r="A15" s="20">
        <v>8</v>
      </c>
      <c r="B15" s="63">
        <v>196013004076</v>
      </c>
      <c r="C15" s="20" t="s">
        <v>202</v>
      </c>
      <c r="D15" s="87">
        <v>5.8999999999999997E-2</v>
      </c>
      <c r="E15" s="84" t="s">
        <v>200</v>
      </c>
      <c r="F15" s="21">
        <v>271772</v>
      </c>
      <c r="G15" s="21">
        <v>0</v>
      </c>
      <c r="H15" s="21">
        <v>9985</v>
      </c>
      <c r="I15" s="21">
        <v>16995</v>
      </c>
      <c r="J15" s="21">
        <f>18020-1802</f>
        <v>16218</v>
      </c>
      <c r="K15" s="21">
        <f t="shared" si="2"/>
        <v>314970</v>
      </c>
      <c r="L15" s="84" t="s">
        <v>207</v>
      </c>
      <c r="M15" s="21">
        <v>281757</v>
      </c>
    </row>
    <row r="16" spans="1:13">
      <c r="A16" s="20">
        <v>9</v>
      </c>
      <c r="B16" s="63">
        <v>196013006860</v>
      </c>
      <c r="C16" s="20" t="s">
        <v>202</v>
      </c>
      <c r="D16" s="87">
        <v>7.1999999999999995E-2</v>
      </c>
      <c r="E16" s="84" t="s">
        <v>241</v>
      </c>
      <c r="F16" s="21">
        <v>173521</v>
      </c>
      <c r="G16" s="21">
        <v>0</v>
      </c>
      <c r="H16" s="21">
        <v>0</v>
      </c>
      <c r="I16" s="21">
        <v>151</v>
      </c>
      <c r="J16" s="21">
        <f>12846-1285</f>
        <v>11561</v>
      </c>
      <c r="K16" s="21">
        <f t="shared" si="2"/>
        <v>185233</v>
      </c>
      <c r="L16" s="84" t="s">
        <v>242</v>
      </c>
      <c r="M16" s="82">
        <v>200138</v>
      </c>
    </row>
    <row r="17" spans="1:13" ht="15.75" thickBot="1">
      <c r="A17" s="238"/>
      <c r="B17" s="239"/>
      <c r="C17" s="239"/>
      <c r="D17" s="240"/>
      <c r="E17" s="240"/>
      <c r="F17" s="237">
        <f>SUM(F14:F16)</f>
        <v>1532205</v>
      </c>
      <c r="G17" s="237">
        <f t="shared" ref="G17:K17" si="3">SUM(G14:G16)</f>
        <v>327</v>
      </c>
      <c r="H17" s="237">
        <f t="shared" si="3"/>
        <v>65944</v>
      </c>
      <c r="I17" s="237">
        <f t="shared" si="3"/>
        <v>75985</v>
      </c>
      <c r="J17" s="237">
        <f t="shared" si="3"/>
        <v>89645</v>
      </c>
      <c r="K17" s="237">
        <f t="shared" si="3"/>
        <v>1764106</v>
      </c>
      <c r="L17" s="240"/>
      <c r="M17" s="237">
        <f>SUM(M14:M16)</f>
        <v>1618876</v>
      </c>
    </row>
    <row r="18" spans="1:13">
      <c r="A18" s="224"/>
      <c r="B18" s="62"/>
      <c r="C18" s="62"/>
      <c r="D18" s="83"/>
      <c r="E18" s="83"/>
      <c r="F18" s="64"/>
      <c r="G18" s="64"/>
      <c r="H18" s="64"/>
      <c r="I18" s="64"/>
      <c r="J18" s="64"/>
      <c r="K18" s="64"/>
      <c r="L18" s="83"/>
      <c r="M18" s="228"/>
    </row>
    <row r="19" spans="1:13">
      <c r="A19" s="224"/>
      <c r="B19" s="74" t="s">
        <v>209</v>
      </c>
      <c r="C19" s="62"/>
      <c r="D19" s="83"/>
      <c r="E19" s="83"/>
      <c r="F19" s="64"/>
      <c r="G19" s="64"/>
      <c r="H19" s="64"/>
      <c r="I19" s="64"/>
      <c r="J19" s="64"/>
      <c r="K19" s="64"/>
      <c r="L19" s="83"/>
      <c r="M19" s="228"/>
    </row>
    <row r="20" spans="1:13">
      <c r="A20" s="20">
        <v>10</v>
      </c>
      <c r="B20" s="63">
        <v>196013005098</v>
      </c>
      <c r="C20" s="20" t="s">
        <v>202</v>
      </c>
      <c r="D20" s="87">
        <v>6.9000000000000006E-2</v>
      </c>
      <c r="E20" s="84" t="s">
        <v>201</v>
      </c>
      <c r="F20" s="21">
        <v>119378</v>
      </c>
      <c r="G20" s="21">
        <v>0</v>
      </c>
      <c r="H20" s="21">
        <v>40</v>
      </c>
      <c r="I20" s="21">
        <v>7611</v>
      </c>
      <c r="J20" s="21">
        <f>8994-899</f>
        <v>8095</v>
      </c>
      <c r="K20" s="21">
        <f t="shared" ref="K20:K25" si="4">SUM(F20:J20)</f>
        <v>135124</v>
      </c>
      <c r="L20" s="84" t="s">
        <v>208</v>
      </c>
      <c r="M20" s="21">
        <v>119414</v>
      </c>
    </row>
    <row r="21" spans="1:13">
      <c r="A21" s="20">
        <v>11</v>
      </c>
      <c r="B21" s="63">
        <v>196013004078</v>
      </c>
      <c r="C21" s="20" t="s">
        <v>202</v>
      </c>
      <c r="D21" s="87">
        <v>5.8999999999999997E-2</v>
      </c>
      <c r="E21" s="84" t="s">
        <v>200</v>
      </c>
      <c r="F21" s="21">
        <v>271772</v>
      </c>
      <c r="G21" s="21">
        <v>0</v>
      </c>
      <c r="H21" s="21">
        <v>9985</v>
      </c>
      <c r="I21" s="21">
        <v>15295</v>
      </c>
      <c r="J21" s="21">
        <f>17918-1792</f>
        <v>16126</v>
      </c>
      <c r="K21" s="21">
        <f t="shared" si="4"/>
        <v>313178</v>
      </c>
      <c r="L21" s="84" t="s">
        <v>207</v>
      </c>
      <c r="M21" s="21">
        <v>281757</v>
      </c>
    </row>
    <row r="22" spans="1:13">
      <c r="A22" s="20">
        <v>12</v>
      </c>
      <c r="B22" s="63">
        <v>196013005107</v>
      </c>
      <c r="C22" s="20" t="s">
        <v>202</v>
      </c>
      <c r="D22" s="87">
        <v>7.0999999999999994E-2</v>
      </c>
      <c r="E22" s="84" t="s">
        <v>210</v>
      </c>
      <c r="F22" s="21">
        <v>100000</v>
      </c>
      <c r="G22" s="21">
        <v>0</v>
      </c>
      <c r="H22" s="21">
        <v>20</v>
      </c>
      <c r="I22" s="21">
        <v>6563</v>
      </c>
      <c r="J22" s="21">
        <f>7867-534</f>
        <v>7333</v>
      </c>
      <c r="K22" s="21">
        <f t="shared" si="4"/>
        <v>113916</v>
      </c>
      <c r="L22" s="84" t="s">
        <v>211</v>
      </c>
      <c r="M22" s="21">
        <v>100020</v>
      </c>
    </row>
    <row r="23" spans="1:13">
      <c r="A23" s="20">
        <v>13</v>
      </c>
      <c r="B23" s="63">
        <v>196013005108</v>
      </c>
      <c r="C23" s="20" t="s">
        <v>202</v>
      </c>
      <c r="D23" s="87">
        <v>7.0999999999999994E-2</v>
      </c>
      <c r="E23" s="84" t="s">
        <v>210</v>
      </c>
      <c r="F23" s="21">
        <v>100000</v>
      </c>
      <c r="G23" s="21">
        <v>0</v>
      </c>
      <c r="H23" s="21">
        <v>20</v>
      </c>
      <c r="I23" s="21">
        <v>6563</v>
      </c>
      <c r="J23" s="21">
        <f>7867-4185</f>
        <v>3682</v>
      </c>
      <c r="K23" s="21">
        <f t="shared" si="4"/>
        <v>110265</v>
      </c>
      <c r="L23" s="84" t="s">
        <v>211</v>
      </c>
      <c r="M23" s="21">
        <v>100020</v>
      </c>
    </row>
    <row r="24" spans="1:13">
      <c r="A24" s="20">
        <v>14</v>
      </c>
      <c r="B24" s="63">
        <v>196013006862</v>
      </c>
      <c r="C24" s="20" t="s">
        <v>202</v>
      </c>
      <c r="D24" s="87">
        <v>7.1999999999999995E-2</v>
      </c>
      <c r="E24" s="84" t="s">
        <v>241</v>
      </c>
      <c r="F24" s="21">
        <v>280115</v>
      </c>
      <c r="G24" s="21">
        <v>0</v>
      </c>
      <c r="H24" s="21">
        <v>0</v>
      </c>
      <c r="I24" s="21">
        <v>244</v>
      </c>
      <c r="J24" s="21">
        <f>20737-2073</f>
        <v>18664</v>
      </c>
      <c r="K24" s="21">
        <f t="shared" si="4"/>
        <v>299023</v>
      </c>
      <c r="L24" s="82" t="s">
        <v>242</v>
      </c>
      <c r="M24" s="82">
        <v>323082</v>
      </c>
    </row>
    <row r="25" spans="1:13">
      <c r="A25" s="20">
        <v>15</v>
      </c>
      <c r="B25" s="63">
        <v>196013007647</v>
      </c>
      <c r="C25" s="20" t="s">
        <v>202</v>
      </c>
      <c r="D25" s="87"/>
      <c r="E25" s="84" t="s">
        <v>374</v>
      </c>
      <c r="F25" s="21">
        <v>110000</v>
      </c>
      <c r="G25" s="21">
        <v>0</v>
      </c>
      <c r="H25" s="21">
        <v>0</v>
      </c>
      <c r="I25" s="21">
        <v>0</v>
      </c>
      <c r="J25" s="21">
        <f>3063</f>
        <v>3063</v>
      </c>
      <c r="K25" s="21">
        <f t="shared" si="4"/>
        <v>113063</v>
      </c>
      <c r="L25" s="82"/>
      <c r="M25" s="82"/>
    </row>
    <row r="26" spans="1:13" ht="15.75" thickBot="1">
      <c r="A26" s="238"/>
      <c r="B26" s="241"/>
      <c r="C26" s="239"/>
      <c r="D26" s="240"/>
      <c r="E26" s="240"/>
      <c r="F26" s="237">
        <f>SUM(F20:F25)</f>
        <v>981265</v>
      </c>
      <c r="G26" s="237">
        <f t="shared" ref="G26:M26" si="5">SUM(G20:G25)</f>
        <v>0</v>
      </c>
      <c r="H26" s="237">
        <f t="shared" si="5"/>
        <v>10065</v>
      </c>
      <c r="I26" s="237">
        <f t="shared" si="5"/>
        <v>36276</v>
      </c>
      <c r="J26" s="237">
        <f t="shared" si="5"/>
        <v>56963</v>
      </c>
      <c r="K26" s="237">
        <f t="shared" si="5"/>
        <v>1084569</v>
      </c>
      <c r="L26" s="240"/>
      <c r="M26" s="237">
        <f t="shared" si="5"/>
        <v>924293</v>
      </c>
    </row>
    <row r="27" spans="1:13">
      <c r="A27" s="224"/>
      <c r="B27" s="65"/>
      <c r="C27" s="62"/>
      <c r="D27" s="83"/>
      <c r="E27" s="83"/>
      <c r="F27" s="64"/>
      <c r="G27" s="64"/>
      <c r="H27" s="64"/>
      <c r="I27" s="64"/>
      <c r="J27" s="64"/>
      <c r="K27" s="64"/>
      <c r="L27" s="83"/>
      <c r="M27" s="228"/>
    </row>
    <row r="28" spans="1:13">
      <c r="A28" s="224"/>
      <c r="B28" s="75" t="s">
        <v>212</v>
      </c>
      <c r="C28" s="62"/>
      <c r="D28" s="83"/>
      <c r="E28" s="83"/>
      <c r="F28" s="64"/>
      <c r="G28" s="64"/>
      <c r="H28" s="64"/>
      <c r="I28" s="64"/>
      <c r="J28" s="64"/>
      <c r="K28" s="64"/>
      <c r="L28" s="83"/>
      <c r="M28" s="228"/>
    </row>
    <row r="29" spans="1:13">
      <c r="A29" s="20">
        <v>16</v>
      </c>
      <c r="B29" s="63">
        <v>196010002984</v>
      </c>
      <c r="C29" s="20" t="s">
        <v>202</v>
      </c>
      <c r="D29" s="87">
        <v>7.1999999999999995E-2</v>
      </c>
      <c r="E29" s="84" t="s">
        <v>241</v>
      </c>
      <c r="F29" s="21">
        <v>31500</v>
      </c>
      <c r="G29" s="21">
        <v>0</v>
      </c>
      <c r="H29" s="21">
        <v>0</v>
      </c>
      <c r="I29" s="21">
        <v>27</v>
      </c>
      <c r="J29" s="21">
        <v>0</v>
      </c>
      <c r="K29" s="21">
        <f t="shared" ref="K29" si="6">SUM(F29:J29)</f>
        <v>31527</v>
      </c>
      <c r="L29" s="84" t="s">
        <v>242</v>
      </c>
      <c r="M29" s="82">
        <v>31500</v>
      </c>
    </row>
    <row r="30" spans="1:13" ht="15.75" thickBot="1">
      <c r="A30" s="238"/>
      <c r="B30" s="241"/>
      <c r="C30" s="239"/>
      <c r="D30" s="240"/>
      <c r="E30" s="240"/>
      <c r="F30" s="237">
        <f>SUM(F29)</f>
        <v>31500</v>
      </c>
      <c r="G30" s="237">
        <f t="shared" ref="G30:K30" si="7">SUM(G29)</f>
        <v>0</v>
      </c>
      <c r="H30" s="237">
        <f t="shared" si="7"/>
        <v>0</v>
      </c>
      <c r="I30" s="237">
        <f t="shared" si="7"/>
        <v>27</v>
      </c>
      <c r="J30" s="237">
        <f t="shared" si="7"/>
        <v>0</v>
      </c>
      <c r="K30" s="237">
        <f t="shared" si="7"/>
        <v>31527</v>
      </c>
      <c r="L30" s="240"/>
      <c r="M30" s="237">
        <f>SUM(M29)</f>
        <v>31500</v>
      </c>
    </row>
    <row r="31" spans="1:13">
      <c r="A31" s="224"/>
      <c r="B31" s="65"/>
      <c r="C31" s="62"/>
      <c r="D31" s="83"/>
      <c r="E31" s="83"/>
      <c r="F31" s="64"/>
      <c r="G31" s="64"/>
      <c r="H31" s="64"/>
      <c r="I31" s="64"/>
      <c r="J31" s="64"/>
      <c r="K31" s="64"/>
      <c r="L31" s="83"/>
      <c r="M31" s="228"/>
    </row>
    <row r="32" spans="1:13">
      <c r="A32" s="224"/>
      <c r="B32" s="76" t="s">
        <v>213</v>
      </c>
      <c r="C32" s="62"/>
      <c r="D32" s="83"/>
      <c r="E32" s="83"/>
      <c r="F32" s="64"/>
      <c r="G32" s="64"/>
      <c r="H32" s="64"/>
      <c r="I32" s="64"/>
      <c r="J32" s="64"/>
      <c r="K32" s="64"/>
      <c r="L32" s="83"/>
      <c r="M32" s="228"/>
    </row>
    <row r="33" spans="1:13">
      <c r="A33" s="20">
        <v>17</v>
      </c>
      <c r="B33" s="63">
        <v>196013006863</v>
      </c>
      <c r="C33" s="20" t="s">
        <v>202</v>
      </c>
      <c r="D33" s="87">
        <v>7.1999999999999995E-2</v>
      </c>
      <c r="E33" s="84" t="s">
        <v>241</v>
      </c>
      <c r="F33" s="21">
        <v>22680</v>
      </c>
      <c r="G33" s="21">
        <v>0</v>
      </c>
      <c r="H33" s="21">
        <v>0</v>
      </c>
      <c r="I33" s="21">
        <v>20</v>
      </c>
      <c r="J33" s="21">
        <f>1679-168</f>
        <v>1511</v>
      </c>
      <c r="K33" s="21">
        <f t="shared" ref="K33:K34" si="8">SUM(F33:J33)</f>
        <v>24211</v>
      </c>
      <c r="L33" s="84" t="s">
        <v>242</v>
      </c>
      <c r="M33" s="82">
        <v>26159</v>
      </c>
    </row>
    <row r="34" spans="1:13">
      <c r="A34" s="20">
        <v>18</v>
      </c>
      <c r="B34" s="63">
        <v>196013008039</v>
      </c>
      <c r="C34" s="20" t="s">
        <v>202</v>
      </c>
      <c r="D34" s="87"/>
      <c r="E34" s="84" t="s">
        <v>415</v>
      </c>
      <c r="F34" s="21">
        <v>15124</v>
      </c>
      <c r="G34" s="21">
        <v>0</v>
      </c>
      <c r="H34" s="21">
        <v>0</v>
      </c>
      <c r="I34" s="21">
        <v>0</v>
      </c>
      <c r="J34" s="21">
        <f>14-2</f>
        <v>12</v>
      </c>
      <c r="K34" s="21">
        <f t="shared" si="8"/>
        <v>15136</v>
      </c>
      <c r="L34" s="84"/>
      <c r="M34" s="82"/>
    </row>
    <row r="35" spans="1:13" ht="15.75" thickBot="1">
      <c r="A35" s="238"/>
      <c r="B35" s="241"/>
      <c r="C35" s="239"/>
      <c r="D35" s="240"/>
      <c r="E35" s="240"/>
      <c r="F35" s="237">
        <f>SUM(F33:F34)</f>
        <v>37804</v>
      </c>
      <c r="G35" s="237">
        <f t="shared" ref="G35:M35" si="9">SUM(G33:G34)</f>
        <v>0</v>
      </c>
      <c r="H35" s="237">
        <f t="shared" si="9"/>
        <v>0</v>
      </c>
      <c r="I35" s="237">
        <f t="shared" si="9"/>
        <v>20</v>
      </c>
      <c r="J35" s="237">
        <f t="shared" si="9"/>
        <v>1523</v>
      </c>
      <c r="K35" s="237">
        <f t="shared" si="9"/>
        <v>39347</v>
      </c>
      <c r="L35" s="240"/>
      <c r="M35" s="237">
        <f t="shared" si="9"/>
        <v>26159</v>
      </c>
    </row>
    <row r="36" spans="1:13">
      <c r="A36" s="224"/>
      <c r="B36" s="65"/>
      <c r="C36" s="62"/>
      <c r="D36" s="83"/>
      <c r="E36" s="83"/>
      <c r="F36" s="64"/>
      <c r="G36" s="64"/>
      <c r="H36" s="64"/>
      <c r="I36" s="64"/>
      <c r="J36" s="64"/>
      <c r="K36" s="64"/>
      <c r="L36" s="83"/>
      <c r="M36" s="228"/>
    </row>
    <row r="37" spans="1:13" s="50" customFormat="1">
      <c r="A37" s="229"/>
      <c r="B37" s="76" t="s">
        <v>193</v>
      </c>
      <c r="C37" s="66"/>
      <c r="D37" s="85"/>
      <c r="E37" s="85"/>
      <c r="F37" s="67"/>
      <c r="G37" s="67"/>
      <c r="H37" s="67"/>
      <c r="I37" s="67"/>
      <c r="J37" s="67"/>
      <c r="K37" s="67"/>
      <c r="L37" s="85"/>
      <c r="M37" s="230"/>
    </row>
    <row r="38" spans="1:13">
      <c r="A38" s="20">
        <v>19</v>
      </c>
      <c r="B38" s="63">
        <v>196013006864</v>
      </c>
      <c r="C38" s="20" t="s">
        <v>202</v>
      </c>
      <c r="D38" s="87">
        <v>7.1999999999999995E-2</v>
      </c>
      <c r="E38" s="84" t="s">
        <v>241</v>
      </c>
      <c r="F38" s="21">
        <v>225000</v>
      </c>
      <c r="G38" s="21">
        <v>0</v>
      </c>
      <c r="H38" s="21">
        <v>0</v>
      </c>
      <c r="I38" s="21">
        <v>196</v>
      </c>
      <c r="J38" s="21">
        <f>16657-1665</f>
        <v>14992</v>
      </c>
      <c r="K38" s="21">
        <f t="shared" ref="K38" si="10">SUM(F38:J38)</f>
        <v>240188</v>
      </c>
      <c r="L38" s="84" t="s">
        <v>242</v>
      </c>
      <c r="M38" s="82">
        <v>259513</v>
      </c>
    </row>
    <row r="39" spans="1:13" ht="15.75" thickBot="1">
      <c r="A39" s="238"/>
      <c r="B39" s="241"/>
      <c r="C39" s="239"/>
      <c r="D39" s="240"/>
      <c r="E39" s="240"/>
      <c r="F39" s="237">
        <f>SUM(F38)</f>
        <v>225000</v>
      </c>
      <c r="G39" s="237">
        <f t="shared" ref="G39:K39" si="11">SUM(G38)</f>
        <v>0</v>
      </c>
      <c r="H39" s="237">
        <f t="shared" si="11"/>
        <v>0</v>
      </c>
      <c r="I39" s="237">
        <f t="shared" si="11"/>
        <v>196</v>
      </c>
      <c r="J39" s="237">
        <f t="shared" si="11"/>
        <v>14992</v>
      </c>
      <c r="K39" s="237">
        <f t="shared" si="11"/>
        <v>240188</v>
      </c>
      <c r="L39" s="240"/>
      <c r="M39" s="237">
        <f>SUM(M38)</f>
        <v>259513</v>
      </c>
    </row>
    <row r="40" spans="1:13" ht="15.75" thickBot="1">
      <c r="A40" s="224"/>
      <c r="B40" s="62"/>
      <c r="C40" s="62"/>
      <c r="D40" s="83"/>
      <c r="E40" s="83"/>
      <c r="F40" s="64"/>
      <c r="G40" s="64"/>
      <c r="H40" s="64"/>
      <c r="I40" s="64"/>
      <c r="J40" s="64"/>
      <c r="K40" s="64"/>
      <c r="L40" s="83"/>
      <c r="M40" s="228"/>
    </row>
    <row r="41" spans="1:13" ht="15.75" thickBot="1">
      <c r="A41" s="343" t="s">
        <v>445</v>
      </c>
      <c r="B41" s="344"/>
      <c r="C41" s="344"/>
      <c r="D41" s="344"/>
      <c r="E41" s="345"/>
      <c r="F41" s="243">
        <f>F11+F17+F26+F30+F35+F39</f>
        <v>4125060</v>
      </c>
      <c r="G41" s="243">
        <f t="shared" ref="G41:M41" si="12">G11+G17+G26+G30+G35+G39</f>
        <v>436</v>
      </c>
      <c r="H41" s="243">
        <f t="shared" si="12"/>
        <v>97469</v>
      </c>
      <c r="I41" s="243">
        <f t="shared" si="12"/>
        <v>152222</v>
      </c>
      <c r="J41" s="243">
        <f t="shared" si="12"/>
        <v>229089</v>
      </c>
      <c r="K41" s="243">
        <f t="shared" si="12"/>
        <v>4604276</v>
      </c>
      <c r="L41" s="242"/>
      <c r="M41" s="244">
        <f t="shared" si="12"/>
        <v>3942322</v>
      </c>
    </row>
  </sheetData>
  <mergeCells count="3">
    <mergeCell ref="A1:M1"/>
    <mergeCell ref="A2:M2"/>
    <mergeCell ref="A41:E41"/>
  </mergeCells>
  <printOptions horizontalCentered="1"/>
  <pageMargins left="0.39370078740157483" right="0.19685039370078741" top="0.51181102362204722" bottom="0.19685039370078741" header="0.19685039370078741" footer="0.19685039370078741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view="pageBreakPreview" zoomScaleNormal="100" zoomScaleSheetLayoutView="100" workbookViewId="0">
      <selection activeCell="B18" sqref="B18"/>
    </sheetView>
  </sheetViews>
  <sheetFormatPr defaultRowHeight="15"/>
  <cols>
    <col min="1" max="1" width="5.28515625" style="11" customWidth="1"/>
    <col min="2" max="2" width="23.42578125" style="122" customWidth="1"/>
    <col min="3" max="9" width="14.7109375" style="248" customWidth="1"/>
    <col min="10" max="10" width="2.85546875" style="122" customWidth="1"/>
    <col min="11" max="16384" width="9.140625" style="122"/>
  </cols>
  <sheetData>
    <row r="1" spans="1:9" ht="18.75">
      <c r="A1" s="339" t="str">
        <f>BS!A1</f>
        <v>JEEVAN HEIGHTS  CO-OPERATIVE HOUSING SOCIETY LTD</v>
      </c>
      <c r="B1" s="340"/>
      <c r="C1" s="340"/>
      <c r="D1" s="340"/>
      <c r="E1" s="340"/>
      <c r="F1" s="340"/>
      <c r="G1" s="340"/>
      <c r="H1" s="340"/>
      <c r="I1" s="341"/>
    </row>
    <row r="2" spans="1:9">
      <c r="A2" s="249"/>
      <c r="B2" s="250"/>
      <c r="C2" s="251"/>
      <c r="D2" s="251"/>
      <c r="E2" s="251"/>
      <c r="F2" s="251"/>
      <c r="G2" s="251"/>
      <c r="H2" s="251"/>
      <c r="I2" s="252"/>
    </row>
    <row r="3" spans="1:9">
      <c r="A3" s="348" t="s">
        <v>316</v>
      </c>
      <c r="B3" s="348"/>
      <c r="C3" s="348"/>
      <c r="D3" s="348"/>
      <c r="E3" s="348"/>
      <c r="F3" s="348"/>
      <c r="G3" s="348"/>
      <c r="H3" s="348"/>
      <c r="I3" s="348"/>
    </row>
    <row r="4" spans="1:9">
      <c r="A4" s="352" t="s">
        <v>60</v>
      </c>
      <c r="B4" s="352" t="s">
        <v>78</v>
      </c>
      <c r="C4" s="349" t="s">
        <v>82</v>
      </c>
      <c r="D4" s="349"/>
      <c r="E4" s="349"/>
      <c r="F4" s="349"/>
      <c r="G4" s="349" t="s">
        <v>39</v>
      </c>
      <c r="H4" s="349"/>
      <c r="I4" s="350" t="s">
        <v>81</v>
      </c>
    </row>
    <row r="5" spans="1:9" s="19" customFormat="1" ht="60.75" thickBot="1">
      <c r="A5" s="353"/>
      <c r="B5" s="353"/>
      <c r="C5" s="257" t="s">
        <v>317</v>
      </c>
      <c r="D5" s="257" t="s">
        <v>318</v>
      </c>
      <c r="E5" s="257" t="s">
        <v>319</v>
      </c>
      <c r="F5" s="257" t="s">
        <v>320</v>
      </c>
      <c r="G5" s="257" t="s">
        <v>79</v>
      </c>
      <c r="H5" s="257" t="s">
        <v>80</v>
      </c>
      <c r="I5" s="351"/>
    </row>
    <row r="6" spans="1:9" ht="30" customHeight="1">
      <c r="A6" s="253">
        <v>1</v>
      </c>
      <c r="B6" s="254" t="s">
        <v>75</v>
      </c>
      <c r="C6" s="255">
        <v>29549</v>
      </c>
      <c r="D6" s="255">
        <v>0</v>
      </c>
      <c r="E6" s="255">
        <v>0</v>
      </c>
      <c r="F6" s="255">
        <f>C6+D6+E6</f>
        <v>29549</v>
      </c>
      <c r="G6" s="256">
        <v>0.4</v>
      </c>
      <c r="H6" s="255">
        <f>ROUND(SUM(C6:D6,E6/2)*G6,)</f>
        <v>11820</v>
      </c>
      <c r="I6" s="255">
        <f>F6-H6</f>
        <v>17729</v>
      </c>
    </row>
    <row r="7" spans="1:9" ht="30" customHeight="1">
      <c r="A7" s="20">
        <v>2</v>
      </c>
      <c r="B7" s="245" t="s">
        <v>197</v>
      </c>
      <c r="C7" s="246">
        <v>2617</v>
      </c>
      <c r="D7" s="246">
        <v>0</v>
      </c>
      <c r="E7" s="246">
        <v>0</v>
      </c>
      <c r="F7" s="246">
        <f t="shared" ref="F7:F13" si="0">C7+D7+E7</f>
        <v>2617</v>
      </c>
      <c r="G7" s="247">
        <v>0.15</v>
      </c>
      <c r="H7" s="246">
        <f t="shared" ref="H7:H12" si="1">ROUND(SUM(C7:D7,E7/2)*G7,)</f>
        <v>393</v>
      </c>
      <c r="I7" s="246">
        <f t="shared" ref="I7:I13" si="2">F7-H7</f>
        <v>2224</v>
      </c>
    </row>
    <row r="8" spans="1:9" ht="30" customHeight="1">
      <c r="A8" s="20">
        <v>3</v>
      </c>
      <c r="B8" s="245" t="s">
        <v>76</v>
      </c>
      <c r="C8" s="246">
        <v>39175</v>
      </c>
      <c r="D8" s="246">
        <v>0</v>
      </c>
      <c r="E8" s="246">
        <f>22250+27500</f>
        <v>49750</v>
      </c>
      <c r="F8" s="246">
        <f t="shared" si="0"/>
        <v>88925</v>
      </c>
      <c r="G8" s="247">
        <v>0.15</v>
      </c>
      <c r="H8" s="246">
        <f t="shared" si="1"/>
        <v>9608</v>
      </c>
      <c r="I8" s="246">
        <f t="shared" si="2"/>
        <v>79317</v>
      </c>
    </row>
    <row r="9" spans="1:9" ht="30" customHeight="1">
      <c r="A9" s="20">
        <v>4</v>
      </c>
      <c r="B9" s="245" t="s">
        <v>198</v>
      </c>
      <c r="C9" s="246">
        <v>10536</v>
      </c>
      <c r="D9" s="246">
        <v>0</v>
      </c>
      <c r="E9" s="246">
        <v>0</v>
      </c>
      <c r="F9" s="246">
        <f t="shared" si="0"/>
        <v>10536</v>
      </c>
      <c r="G9" s="247">
        <v>0.15</v>
      </c>
      <c r="H9" s="246">
        <f t="shared" si="1"/>
        <v>1580</v>
      </c>
      <c r="I9" s="246">
        <f t="shared" si="2"/>
        <v>8956</v>
      </c>
    </row>
    <row r="10" spans="1:9" ht="30" customHeight="1">
      <c r="A10" s="20">
        <v>5</v>
      </c>
      <c r="B10" s="245" t="s">
        <v>196</v>
      </c>
      <c r="C10" s="246">
        <v>41866</v>
      </c>
      <c r="D10" s="246">
        <v>0</v>
      </c>
      <c r="E10" s="246">
        <v>0</v>
      </c>
      <c r="F10" s="246">
        <f t="shared" si="0"/>
        <v>41866</v>
      </c>
      <c r="G10" s="247">
        <v>0.15</v>
      </c>
      <c r="H10" s="246">
        <f t="shared" si="1"/>
        <v>6280</v>
      </c>
      <c r="I10" s="246">
        <f t="shared" si="2"/>
        <v>35586</v>
      </c>
    </row>
    <row r="11" spans="1:9" ht="30" customHeight="1">
      <c r="A11" s="20">
        <v>6</v>
      </c>
      <c r="B11" s="245" t="s">
        <v>194</v>
      </c>
      <c r="C11" s="246">
        <v>17587</v>
      </c>
      <c r="D11" s="246">
        <v>0</v>
      </c>
      <c r="E11" s="246">
        <v>0</v>
      </c>
      <c r="F11" s="246">
        <f t="shared" si="0"/>
        <v>17587</v>
      </c>
      <c r="G11" s="247">
        <v>0.15</v>
      </c>
      <c r="H11" s="246">
        <f t="shared" si="1"/>
        <v>2638</v>
      </c>
      <c r="I11" s="246">
        <f t="shared" si="2"/>
        <v>14949</v>
      </c>
    </row>
    <row r="12" spans="1:9" ht="30" customHeight="1">
      <c r="A12" s="20">
        <v>7</v>
      </c>
      <c r="B12" s="245" t="s">
        <v>195</v>
      </c>
      <c r="C12" s="246">
        <v>33415</v>
      </c>
      <c r="D12" s="246">
        <v>0</v>
      </c>
      <c r="E12" s="246">
        <v>0</v>
      </c>
      <c r="F12" s="246">
        <f t="shared" si="0"/>
        <v>33415</v>
      </c>
      <c r="G12" s="247">
        <v>0.15</v>
      </c>
      <c r="H12" s="246">
        <f t="shared" si="1"/>
        <v>5012</v>
      </c>
      <c r="I12" s="246">
        <f t="shared" si="2"/>
        <v>28403</v>
      </c>
    </row>
    <row r="13" spans="1:9" ht="30" customHeight="1" thickBot="1">
      <c r="A13" s="258">
        <v>8</v>
      </c>
      <c r="B13" s="259" t="s">
        <v>77</v>
      </c>
      <c r="C13" s="260">
        <v>227086.4</v>
      </c>
      <c r="D13" s="260">
        <f>15500+35212</f>
        <v>50712</v>
      </c>
      <c r="E13" s="260">
        <f>54690+46500</f>
        <v>101190</v>
      </c>
      <c r="F13" s="260">
        <f t="shared" si="0"/>
        <v>378988.4</v>
      </c>
      <c r="G13" s="261">
        <v>0.1</v>
      </c>
      <c r="H13" s="260">
        <f>ROUND(SUM(C13:D13,E13/2)*G13,)+0.4</f>
        <v>32839.4</v>
      </c>
      <c r="I13" s="260">
        <f t="shared" si="2"/>
        <v>346149</v>
      </c>
    </row>
    <row r="14" spans="1:9" ht="30" customHeight="1" thickBot="1">
      <c r="A14" s="346" t="s">
        <v>10</v>
      </c>
      <c r="B14" s="347"/>
      <c r="C14" s="262">
        <f>SUM(C6:C13)</f>
        <v>401831.4</v>
      </c>
      <c r="D14" s="262">
        <f t="shared" ref="D14:F14" si="3">SUM(D6:D13)</f>
        <v>50712</v>
      </c>
      <c r="E14" s="262">
        <f t="shared" si="3"/>
        <v>150940</v>
      </c>
      <c r="F14" s="262">
        <f t="shared" si="3"/>
        <v>603483.4</v>
      </c>
      <c r="G14" s="262"/>
      <c r="H14" s="262">
        <f t="shared" ref="H14:I14" si="4">SUM(H6:H13)</f>
        <v>70170.399999999994</v>
      </c>
      <c r="I14" s="263">
        <f t="shared" si="4"/>
        <v>533313</v>
      </c>
    </row>
  </sheetData>
  <mergeCells count="8">
    <mergeCell ref="A14:B14"/>
    <mergeCell ref="A1:I1"/>
    <mergeCell ref="A3:I3"/>
    <mergeCell ref="C4:F4"/>
    <mergeCell ref="G4:H4"/>
    <mergeCell ref="I4:I5"/>
    <mergeCell ref="A4:A5"/>
    <mergeCell ref="B4:B5"/>
  </mergeCells>
  <printOptions horizontalCentered="1"/>
  <pageMargins left="0.39370078740157483" right="0.19685039370078741" top="0.51181102362204722" bottom="0.19685039370078741" header="0.19685039370078741" footer="0.19685039370078741"/>
  <pageSetup paperSize="9" scale="9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view="pageBreakPreview" zoomScaleNormal="100" zoomScaleSheetLayoutView="100" workbookViewId="0">
      <selection activeCell="B18" sqref="B18"/>
    </sheetView>
  </sheetViews>
  <sheetFormatPr defaultRowHeight="15"/>
  <cols>
    <col min="1" max="1" width="9.42578125" style="122" customWidth="1"/>
    <col min="2" max="2" width="11.5703125" style="122" bestFit="1" customWidth="1"/>
    <col min="3" max="3" width="76.7109375" style="122" bestFit="1" customWidth="1"/>
    <col min="4" max="4" width="17.140625" style="248" customWidth="1"/>
    <col min="5" max="5" width="3.140625" style="122" customWidth="1"/>
    <col min="6" max="6" width="5.7109375" style="122" bestFit="1" customWidth="1"/>
    <col min="7" max="7" width="25.7109375" style="122" customWidth="1"/>
    <col min="8" max="8" width="11.5703125" style="122" customWidth="1"/>
    <col min="9" max="16384" width="9.140625" style="122"/>
  </cols>
  <sheetData>
    <row r="1" spans="1:4" ht="21.95" customHeight="1">
      <c r="A1" s="339" t="str">
        <f>BS!A1</f>
        <v>JEEVAN HEIGHTS  CO-OPERATIVE HOUSING SOCIETY LTD</v>
      </c>
      <c r="B1" s="340"/>
      <c r="C1" s="340"/>
      <c r="D1" s="341"/>
    </row>
    <row r="2" spans="1:4" ht="21.95" customHeight="1">
      <c r="A2" s="342" t="s">
        <v>321</v>
      </c>
      <c r="B2" s="342"/>
      <c r="C2" s="342"/>
      <c r="D2" s="342"/>
    </row>
    <row r="3" spans="1:4" ht="21.95" customHeight="1" thickBot="1">
      <c r="A3" s="268" t="s">
        <v>163</v>
      </c>
      <c r="B3" s="268" t="s">
        <v>65</v>
      </c>
      <c r="C3" s="268" t="s">
        <v>66</v>
      </c>
      <c r="D3" s="237" t="s">
        <v>41</v>
      </c>
    </row>
    <row r="4" spans="1:4" ht="21.95" customHeight="1">
      <c r="A4" s="253" t="s">
        <v>163</v>
      </c>
      <c r="B4" s="253">
        <v>2001</v>
      </c>
      <c r="C4" s="267" t="s">
        <v>385</v>
      </c>
      <c r="D4" s="255">
        <v>57606</v>
      </c>
    </row>
    <row r="5" spans="1:4" ht="21.95" customHeight="1">
      <c r="A5" s="20" t="s">
        <v>163</v>
      </c>
      <c r="B5" s="20">
        <v>2602</v>
      </c>
      <c r="C5" s="264" t="s">
        <v>386</v>
      </c>
      <c r="D5" s="246">
        <v>2950</v>
      </c>
    </row>
    <row r="6" spans="1:4" ht="21.95" customHeight="1">
      <c r="A6" s="20" t="s">
        <v>384</v>
      </c>
      <c r="B6" s="20">
        <v>2001</v>
      </c>
      <c r="C6" s="264" t="s">
        <v>385</v>
      </c>
      <c r="D6" s="246">
        <v>3975</v>
      </c>
    </row>
    <row r="7" spans="1:4" ht="21.95" customHeight="1">
      <c r="A7" s="20" t="s">
        <v>384</v>
      </c>
      <c r="B7" s="20">
        <v>3002</v>
      </c>
      <c r="C7" s="264" t="s">
        <v>387</v>
      </c>
      <c r="D7" s="246">
        <v>893</v>
      </c>
    </row>
    <row r="8" spans="1:4" ht="21.95" customHeight="1" thickBot="1">
      <c r="A8" s="269"/>
      <c r="B8" s="268"/>
      <c r="C8" s="268" t="s">
        <v>10</v>
      </c>
      <c r="D8" s="270">
        <f>SUM(D4:D7)</f>
        <v>65424</v>
      </c>
    </row>
    <row r="9" spans="1:4" s="265" customFormat="1" ht="21.95" customHeight="1">
      <c r="B9" s="74"/>
      <c r="C9" s="74"/>
      <c r="D9" s="266"/>
    </row>
    <row r="10" spans="1:4" ht="21.95" customHeight="1">
      <c r="A10" s="354"/>
      <c r="B10" s="354"/>
      <c r="C10" s="354"/>
      <c r="D10" s="354"/>
    </row>
    <row r="11" spans="1:4" ht="21.95" customHeight="1">
      <c r="A11" s="74"/>
      <c r="B11" s="74"/>
      <c r="C11" s="74"/>
      <c r="D11" s="64"/>
    </row>
    <row r="12" spans="1:4" ht="21.95" customHeight="1">
      <c r="A12" s="342" t="s">
        <v>322</v>
      </c>
      <c r="B12" s="342"/>
      <c r="C12" s="342"/>
      <c r="D12" s="342"/>
    </row>
    <row r="13" spans="1:4" ht="21.95" customHeight="1" thickBot="1">
      <c r="A13" s="268" t="s">
        <v>182</v>
      </c>
      <c r="B13" s="268" t="s">
        <v>65</v>
      </c>
      <c r="C13" s="268" t="s">
        <v>66</v>
      </c>
      <c r="D13" s="237" t="s">
        <v>41</v>
      </c>
    </row>
    <row r="14" spans="1:4" ht="21.95" customHeight="1">
      <c r="A14" s="20">
        <v>1</v>
      </c>
      <c r="B14" s="20">
        <v>402</v>
      </c>
      <c r="C14" s="245" t="s">
        <v>416</v>
      </c>
      <c r="D14" s="246">
        <v>85224</v>
      </c>
    </row>
    <row r="15" spans="1:4" ht="21.95" customHeight="1">
      <c r="A15" s="20">
        <v>2</v>
      </c>
      <c r="B15" s="20" t="s">
        <v>418</v>
      </c>
      <c r="C15" s="245" t="s">
        <v>416</v>
      </c>
      <c r="D15" s="246">
        <v>11925</v>
      </c>
    </row>
    <row r="16" spans="1:4" ht="21.95" customHeight="1">
      <c r="A16" s="20">
        <v>4</v>
      </c>
      <c r="B16" s="20" t="s">
        <v>417</v>
      </c>
      <c r="C16" s="245" t="s">
        <v>395</v>
      </c>
      <c r="D16" s="246">
        <v>4725</v>
      </c>
    </row>
    <row r="17" spans="1:4" ht="21.95" customHeight="1" thickBot="1">
      <c r="A17" s="269"/>
      <c r="B17" s="268"/>
      <c r="C17" s="268" t="s">
        <v>10</v>
      </c>
      <c r="D17" s="270">
        <f>SUM(D14:D16)</f>
        <v>101874</v>
      </c>
    </row>
    <row r="18" spans="1:4" ht="21.95" customHeight="1"/>
  </sheetData>
  <mergeCells count="4">
    <mergeCell ref="A2:D2"/>
    <mergeCell ref="A12:D12"/>
    <mergeCell ref="A1:D1"/>
    <mergeCell ref="A10:D10"/>
  </mergeCells>
  <printOptions horizontalCentered="1"/>
  <pageMargins left="0.39370078740157483" right="0.19685039370078741" top="0.51181102362204722" bottom="0.19685039370078741" header="0.19685039370078741" footer="0.19685039370078741"/>
  <pageSetup paperSize="9" scale="9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view="pageBreakPreview" topLeftCell="A33" zoomScaleNormal="100" zoomScaleSheetLayoutView="100" workbookViewId="0">
      <selection activeCell="B18" sqref="B18"/>
    </sheetView>
  </sheetViews>
  <sheetFormatPr defaultRowHeight="15"/>
  <cols>
    <col min="1" max="1" width="9.5703125" customWidth="1"/>
    <col min="2" max="2" width="14.7109375" style="8" customWidth="1"/>
    <col min="3" max="3" width="34.28515625" customWidth="1"/>
    <col min="4" max="4" width="14.7109375" customWidth="1"/>
    <col min="5" max="5" width="3.28515625" customWidth="1"/>
    <col min="6" max="6" width="10.5703125" bestFit="1" customWidth="1"/>
  </cols>
  <sheetData>
    <row r="1" spans="1:5" ht="18.75">
      <c r="A1" s="357" t="str">
        <f>BS!A1</f>
        <v>JEEVAN HEIGHTS  CO-OPERATIVE HOUSING SOCIETY LTD</v>
      </c>
      <c r="B1" s="357"/>
      <c r="C1" s="357"/>
      <c r="D1" s="357"/>
    </row>
    <row r="2" spans="1:5" ht="15.75">
      <c r="A2" s="356" t="s">
        <v>249</v>
      </c>
      <c r="B2" s="356"/>
      <c r="C2" s="356"/>
      <c r="D2" s="356"/>
      <c r="E2" s="29"/>
    </row>
    <row r="3" spans="1:5" ht="15.75" thickBot="1">
      <c r="A3" s="280" t="s">
        <v>182</v>
      </c>
      <c r="B3" s="280" t="s">
        <v>164</v>
      </c>
      <c r="C3" s="281" t="s">
        <v>141</v>
      </c>
      <c r="D3" s="282" t="s">
        <v>323</v>
      </c>
    </row>
    <row r="4" spans="1:5" ht="15.75" thickTop="1">
      <c r="A4" s="276">
        <v>1</v>
      </c>
      <c r="B4" s="277">
        <v>7080</v>
      </c>
      <c r="C4" s="278" t="s">
        <v>100</v>
      </c>
      <c r="D4" s="279">
        <v>0</v>
      </c>
    </row>
    <row r="5" spans="1:5">
      <c r="A5" s="123">
        <v>2</v>
      </c>
      <c r="B5" s="44">
        <v>6821</v>
      </c>
      <c r="C5" s="43" t="s">
        <v>101</v>
      </c>
      <c r="D5" s="17">
        <f>-Workings!D39</f>
        <v>14071</v>
      </c>
    </row>
    <row r="6" spans="1:5">
      <c r="A6" s="123">
        <v>3</v>
      </c>
      <c r="B6" s="44">
        <v>3552</v>
      </c>
      <c r="C6" s="43" t="s">
        <v>165</v>
      </c>
      <c r="D6" s="17">
        <f>-Workings!D27</f>
        <v>4110</v>
      </c>
    </row>
    <row r="7" spans="1:5">
      <c r="A7" s="77">
        <v>4</v>
      </c>
      <c r="B7" s="44">
        <v>10738</v>
      </c>
      <c r="C7" s="43" t="s">
        <v>166</v>
      </c>
      <c r="D7" s="17">
        <f>-Workings!D21</f>
        <v>0</v>
      </c>
    </row>
    <row r="8" spans="1:5">
      <c r="A8" s="123">
        <v>5</v>
      </c>
      <c r="B8" s="44">
        <v>10000</v>
      </c>
      <c r="C8" s="43" t="s">
        <v>102</v>
      </c>
      <c r="D8" s="17">
        <f>-Workings!D45</f>
        <v>15000</v>
      </c>
    </row>
    <row r="9" spans="1:5">
      <c r="A9" s="123">
        <v>6</v>
      </c>
      <c r="B9" s="44">
        <v>12649</v>
      </c>
      <c r="C9" s="43" t="s">
        <v>114</v>
      </c>
      <c r="D9" s="17">
        <f>-Workings!D33</f>
        <v>10749</v>
      </c>
    </row>
    <row r="10" spans="1:5">
      <c r="A10" s="77">
        <v>7</v>
      </c>
      <c r="B10" s="44">
        <v>46962</v>
      </c>
      <c r="C10" s="43" t="s">
        <v>103</v>
      </c>
      <c r="D10" s="17">
        <f>-Workings!D51-Workings!D57</f>
        <v>49437</v>
      </c>
    </row>
    <row r="11" spans="1:5">
      <c r="A11" s="123">
        <v>8</v>
      </c>
      <c r="B11" s="44">
        <v>4455</v>
      </c>
      <c r="C11" s="43" t="s">
        <v>124</v>
      </c>
      <c r="D11" s="17">
        <f>-Workings!D15</f>
        <v>4011</v>
      </c>
    </row>
    <row r="12" spans="1:5">
      <c r="A12" s="123">
        <v>9</v>
      </c>
      <c r="B12" s="44">
        <v>14385</v>
      </c>
      <c r="C12" s="43" t="s">
        <v>131</v>
      </c>
      <c r="D12" s="17">
        <f>-Workings!D66</f>
        <v>10500</v>
      </c>
    </row>
    <row r="13" spans="1:5" ht="15.75" thickBot="1">
      <c r="A13" s="271"/>
      <c r="B13" s="272">
        <f>SUM(B4:B12)</f>
        <v>116642</v>
      </c>
      <c r="C13" s="273" t="s">
        <v>10</v>
      </c>
      <c r="D13" s="272">
        <f>SUM(D4:D12)</f>
        <v>107878</v>
      </c>
    </row>
    <row r="14" spans="1:5" ht="9.9499999999999993" customHeight="1"/>
    <row r="15" spans="1:5" ht="15.75">
      <c r="A15" s="355" t="s">
        <v>324</v>
      </c>
      <c r="B15" s="356"/>
      <c r="C15" s="356"/>
      <c r="D15" s="356"/>
    </row>
    <row r="16" spans="1:5" ht="15.75" thickBot="1">
      <c r="A16" s="280" t="s">
        <v>182</v>
      </c>
      <c r="B16" s="280" t="str">
        <f>B3</f>
        <v>FY 2023-24</v>
      </c>
      <c r="C16" s="281" t="s">
        <v>58</v>
      </c>
      <c r="D16" s="281" t="str">
        <f>D3</f>
        <v>FY 2024-25</v>
      </c>
    </row>
    <row r="17" spans="1:5" ht="15.75" thickTop="1">
      <c r="A17" s="276">
        <v>1</v>
      </c>
      <c r="B17" s="283">
        <v>24000</v>
      </c>
      <c r="C17" s="41" t="s">
        <v>178</v>
      </c>
      <c r="D17" s="284">
        <v>0</v>
      </c>
    </row>
    <row r="18" spans="1:5">
      <c r="A18" s="69">
        <v>2</v>
      </c>
      <c r="B18" s="79">
        <v>128500</v>
      </c>
      <c r="C18" s="13" t="s">
        <v>170</v>
      </c>
      <c r="D18" s="80">
        <v>139200</v>
      </c>
    </row>
    <row r="19" spans="1:5">
      <c r="A19" s="69">
        <v>3</v>
      </c>
      <c r="B19" s="79">
        <v>110076</v>
      </c>
      <c r="C19" s="13" t="s">
        <v>162</v>
      </c>
      <c r="D19" s="80">
        <v>101970</v>
      </c>
    </row>
    <row r="20" spans="1:5">
      <c r="A20" s="77">
        <v>4</v>
      </c>
      <c r="B20" s="125">
        <v>0</v>
      </c>
      <c r="C20" s="13" t="s">
        <v>222</v>
      </c>
      <c r="D20" s="80">
        <v>5500</v>
      </c>
    </row>
    <row r="21" spans="1:5">
      <c r="A21" s="159">
        <v>5</v>
      </c>
      <c r="B21" s="125">
        <v>0</v>
      </c>
      <c r="C21" s="13" t="s">
        <v>413</v>
      </c>
      <c r="D21" s="80">
        <v>11886</v>
      </c>
    </row>
    <row r="22" spans="1:5">
      <c r="A22" s="159">
        <v>6</v>
      </c>
      <c r="B22" s="125">
        <v>80642</v>
      </c>
      <c r="C22" s="13" t="s">
        <v>171</v>
      </c>
      <c r="D22" s="80">
        <v>86955</v>
      </c>
    </row>
    <row r="23" spans="1:5">
      <c r="A23" s="77">
        <v>7</v>
      </c>
      <c r="B23" s="79">
        <v>5175</v>
      </c>
      <c r="C23" s="13" t="s">
        <v>172</v>
      </c>
      <c r="D23" s="80">
        <f>5175+5558</f>
        <v>10733</v>
      </c>
    </row>
    <row r="24" spans="1:5">
      <c r="A24" s="159">
        <v>8</v>
      </c>
      <c r="B24" s="79">
        <v>5000</v>
      </c>
      <c r="C24" s="13" t="s">
        <v>173</v>
      </c>
      <c r="D24" s="80">
        <v>0</v>
      </c>
    </row>
    <row r="25" spans="1:5">
      <c r="A25" s="159">
        <v>9</v>
      </c>
      <c r="B25" s="125">
        <v>21000</v>
      </c>
      <c r="C25" s="13" t="s">
        <v>174</v>
      </c>
      <c r="D25" s="80">
        <v>0</v>
      </c>
    </row>
    <row r="26" spans="1:5">
      <c r="A26" s="77">
        <v>10</v>
      </c>
      <c r="B26" s="79">
        <v>24360</v>
      </c>
      <c r="C26" s="13" t="s">
        <v>176</v>
      </c>
      <c r="D26" s="80">
        <v>24360</v>
      </c>
    </row>
    <row r="27" spans="1:5">
      <c r="A27" s="77">
        <v>11</v>
      </c>
      <c r="B27" s="125">
        <v>0</v>
      </c>
      <c r="C27" s="13" t="s">
        <v>221</v>
      </c>
      <c r="D27" s="80">
        <v>8350</v>
      </c>
    </row>
    <row r="28" spans="1:5">
      <c r="A28" s="77">
        <v>12</v>
      </c>
      <c r="B28" s="125"/>
      <c r="C28" s="13" t="s">
        <v>423</v>
      </c>
      <c r="D28" s="80">
        <v>10725</v>
      </c>
    </row>
    <row r="29" spans="1:5">
      <c r="A29" s="77">
        <v>13</v>
      </c>
      <c r="B29" s="125">
        <v>0</v>
      </c>
      <c r="C29" s="13" t="s">
        <v>394</v>
      </c>
      <c r="D29" s="80">
        <v>24681</v>
      </c>
    </row>
    <row r="30" spans="1:5">
      <c r="A30" s="77">
        <v>14</v>
      </c>
      <c r="B30" s="79">
        <v>53592</v>
      </c>
      <c r="C30" s="13" t="s">
        <v>175</v>
      </c>
      <c r="D30" s="80">
        <v>52746</v>
      </c>
    </row>
    <row r="31" spans="1:5">
      <c r="A31" s="77">
        <v>15</v>
      </c>
      <c r="B31" s="125">
        <v>31309</v>
      </c>
      <c r="C31" s="13" t="s">
        <v>177</v>
      </c>
      <c r="D31" s="80">
        <f>30996-316</f>
        <v>30680</v>
      </c>
    </row>
    <row r="32" spans="1:5" ht="15.75" thickBot="1">
      <c r="A32" s="271"/>
      <c r="B32" s="274">
        <f>SUM(B17:B31)</f>
        <v>483654</v>
      </c>
      <c r="C32" s="176" t="s">
        <v>59</v>
      </c>
      <c r="D32" s="274">
        <f>SUM(D17:D31)</f>
        <v>507786</v>
      </c>
      <c r="E32" s="113"/>
    </row>
    <row r="33" spans="1:4" ht="9.9499999999999993" customHeight="1">
      <c r="A33" s="8"/>
      <c r="B33"/>
    </row>
    <row r="34" spans="1:4" ht="15.75" thickBot="1">
      <c r="A34" s="280" t="s">
        <v>182</v>
      </c>
      <c r="B34" s="280" t="str">
        <f>B3</f>
        <v>FY 2023-24</v>
      </c>
      <c r="C34" s="281" t="s">
        <v>61</v>
      </c>
      <c r="D34" s="281" t="str">
        <f>D3</f>
        <v>FY 2024-25</v>
      </c>
    </row>
    <row r="35" spans="1:4" ht="15.75" thickTop="1">
      <c r="A35" s="276">
        <v>1</v>
      </c>
      <c r="B35" s="283">
        <v>9002</v>
      </c>
      <c r="C35" s="41" t="s">
        <v>63</v>
      </c>
      <c r="D35" s="279">
        <v>4879</v>
      </c>
    </row>
    <row r="36" spans="1:4">
      <c r="A36" s="70">
        <v>2</v>
      </c>
      <c r="B36" s="125">
        <v>41526</v>
      </c>
      <c r="C36" s="13" t="s">
        <v>430</v>
      </c>
      <c r="D36" s="17">
        <v>18397</v>
      </c>
    </row>
    <row r="37" spans="1:4">
      <c r="A37" s="77">
        <v>3</v>
      </c>
      <c r="B37" s="125">
        <v>0</v>
      </c>
      <c r="C37" s="13" t="s">
        <v>429</v>
      </c>
      <c r="D37" s="17">
        <f>5562.5*2</f>
        <v>11125</v>
      </c>
    </row>
    <row r="38" spans="1:4">
      <c r="A38" s="70">
        <v>4</v>
      </c>
      <c r="B38" s="125">
        <v>49020</v>
      </c>
      <c r="C38" s="13" t="s">
        <v>180</v>
      </c>
      <c r="D38" s="17">
        <f>Workings!D83-710</f>
        <v>80000</v>
      </c>
    </row>
    <row r="39" spans="1:4" ht="15.75" thickBot="1">
      <c r="A39" s="271"/>
      <c r="B39" s="275">
        <f>SUM(B35:B38)</f>
        <v>99548</v>
      </c>
      <c r="C39" s="273" t="s">
        <v>62</v>
      </c>
      <c r="D39" s="272">
        <f>SUM(D35:D38)</f>
        <v>114401</v>
      </c>
    </row>
    <row r="40" spans="1:4" ht="9.9499999999999993" customHeight="1">
      <c r="A40" s="180"/>
      <c r="B40" s="180"/>
      <c r="C40" s="180"/>
      <c r="D40" s="16"/>
    </row>
    <row r="41" spans="1:4" ht="15.75" thickBot="1">
      <c r="A41" s="280" t="s">
        <v>182</v>
      </c>
      <c r="B41" s="280" t="str">
        <f>B3</f>
        <v>FY 2023-24</v>
      </c>
      <c r="C41" s="281" t="s">
        <v>84</v>
      </c>
      <c r="D41" s="281" t="str">
        <f>D3</f>
        <v>FY 2024-25</v>
      </c>
    </row>
    <row r="42" spans="1:4" ht="15.75" thickTop="1">
      <c r="A42" s="276">
        <v>1</v>
      </c>
      <c r="B42" s="175">
        <v>6300</v>
      </c>
      <c r="C42" s="41" t="s">
        <v>26</v>
      </c>
      <c r="D42" s="175">
        <v>6300</v>
      </c>
    </row>
    <row r="43" spans="1:4">
      <c r="A43" s="77">
        <v>2</v>
      </c>
      <c r="B43" s="80">
        <v>53566</v>
      </c>
      <c r="C43" s="13" t="s">
        <v>283</v>
      </c>
      <c r="D43" s="80">
        <f>Workings!D8</f>
        <v>42992</v>
      </c>
    </row>
    <row r="44" spans="1:4">
      <c r="A44" s="77">
        <v>3</v>
      </c>
      <c r="B44" s="80">
        <v>0</v>
      </c>
      <c r="C44" s="13" t="s">
        <v>398</v>
      </c>
      <c r="D44" s="80">
        <f>Workings!D92</f>
        <v>9438</v>
      </c>
    </row>
    <row r="45" spans="1:4" ht="15.75" thickBot="1">
      <c r="A45" s="271"/>
      <c r="B45" s="275">
        <f>SUM(B42:B44)</f>
        <v>59866</v>
      </c>
      <c r="C45" s="177" t="s">
        <v>64</v>
      </c>
      <c r="D45" s="275">
        <f>SUM(D42:D44)</f>
        <v>58730</v>
      </c>
    </row>
    <row r="46" spans="1:4" ht="9.9499999999999993" customHeight="1">
      <c r="A46" s="8"/>
      <c r="B46"/>
    </row>
    <row r="47" spans="1:4" ht="15.75" thickBot="1">
      <c r="A47" s="280" t="s">
        <v>182</v>
      </c>
      <c r="B47" s="280" t="str">
        <f>B3</f>
        <v>FY 2023-24</v>
      </c>
      <c r="C47" s="281" t="s">
        <v>388</v>
      </c>
      <c r="D47" s="281" t="str">
        <f>D3</f>
        <v>FY 2024-25</v>
      </c>
    </row>
    <row r="48" spans="1:4" ht="15.75" thickTop="1">
      <c r="A48" s="285">
        <v>2</v>
      </c>
      <c r="B48" s="283">
        <v>0</v>
      </c>
      <c r="C48" s="41" t="s">
        <v>390</v>
      </c>
      <c r="D48" s="175">
        <v>14800</v>
      </c>
    </row>
    <row r="49" spans="1:6">
      <c r="A49" s="127">
        <v>3</v>
      </c>
      <c r="B49" s="125">
        <v>0</v>
      </c>
      <c r="C49" s="13" t="s">
        <v>391</v>
      </c>
      <c r="D49" s="80">
        <v>633</v>
      </c>
      <c r="F49" t="s">
        <v>422</v>
      </c>
    </row>
    <row r="50" spans="1:6">
      <c r="A50" s="127">
        <v>4</v>
      </c>
      <c r="B50" s="125">
        <v>0</v>
      </c>
      <c r="C50" s="13" t="s">
        <v>392</v>
      </c>
      <c r="D50" s="80">
        <v>5000</v>
      </c>
    </row>
    <row r="51" spans="1:6" ht="15.75" thickBot="1">
      <c r="A51" s="271"/>
      <c r="B51" s="275">
        <f>SUM(B47:B50)</f>
        <v>0</v>
      </c>
      <c r="C51" s="177" t="s">
        <v>389</v>
      </c>
      <c r="D51" s="275">
        <f>SUM(D47:D50)</f>
        <v>20433</v>
      </c>
    </row>
    <row r="52" spans="1:6">
      <c r="A52" s="8"/>
      <c r="B52"/>
    </row>
  </sheetData>
  <mergeCells count="3">
    <mergeCell ref="A15:D15"/>
    <mergeCell ref="A2:D2"/>
    <mergeCell ref="A1:D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tabSelected="1" view="pageBreakPreview" topLeftCell="A7" zoomScaleNormal="100" zoomScaleSheetLayoutView="100" workbookViewId="0">
      <selection activeCell="B18" sqref="B18"/>
    </sheetView>
  </sheetViews>
  <sheetFormatPr defaultRowHeight="15"/>
  <cols>
    <col min="1" max="1" width="6.85546875" bestFit="1" customWidth="1"/>
    <col min="2" max="2" width="14.7109375" customWidth="1"/>
    <col min="3" max="3" width="37" bestFit="1" customWidth="1"/>
    <col min="4" max="5" width="14.7109375" customWidth="1"/>
    <col min="6" max="6" width="3.28515625" customWidth="1"/>
    <col min="7" max="7" width="13.28515625" bestFit="1" customWidth="1"/>
    <col min="8" max="8" width="12.5703125" bestFit="1" customWidth="1"/>
  </cols>
  <sheetData>
    <row r="1" spans="1:8" ht="18.75">
      <c r="A1" s="358" t="str">
        <f>+'Sch 3&amp;7'!A1:D1</f>
        <v>JEEVAN HEIGHTS  CO-OPERATIVE HOUSING SOCIETY LTD</v>
      </c>
      <c r="B1" s="359"/>
      <c r="C1" s="359"/>
      <c r="D1" s="359"/>
      <c r="E1" s="360"/>
    </row>
    <row r="2" spans="1:8" ht="15.75">
      <c r="A2" s="361" t="s">
        <v>325</v>
      </c>
      <c r="B2" s="362"/>
      <c r="C2" s="362"/>
      <c r="D2" s="362"/>
      <c r="E2" s="363"/>
    </row>
    <row r="3" spans="1:8" ht="15.75" thickBot="1">
      <c r="A3" s="177" t="s">
        <v>182</v>
      </c>
      <c r="B3" s="177" t="s">
        <v>164</v>
      </c>
      <c r="C3" s="177" t="s">
        <v>183</v>
      </c>
      <c r="D3" s="177"/>
      <c r="E3" s="177" t="s">
        <v>323</v>
      </c>
    </row>
    <row r="4" spans="1:8">
      <c r="A4" s="71">
        <v>1</v>
      </c>
      <c r="B4" s="39"/>
      <c r="C4" s="46" t="s">
        <v>184</v>
      </c>
      <c r="D4" s="37"/>
      <c r="E4" s="47"/>
    </row>
    <row r="5" spans="1:8">
      <c r="A5" s="71"/>
      <c r="B5" s="48">
        <v>280115</v>
      </c>
      <c r="C5" s="49" t="s">
        <v>185</v>
      </c>
      <c r="D5" s="37">
        <v>527238</v>
      </c>
      <c r="E5" s="47"/>
    </row>
    <row r="6" spans="1:8">
      <c r="A6" s="71"/>
      <c r="B6" s="48">
        <v>0</v>
      </c>
      <c r="C6" s="50" t="s">
        <v>234</v>
      </c>
      <c r="D6" s="37">
        <v>0</v>
      </c>
      <c r="E6" s="47"/>
    </row>
    <row r="7" spans="1:8">
      <c r="A7" s="71"/>
      <c r="B7" s="48">
        <v>0</v>
      </c>
      <c r="C7" s="50" t="s">
        <v>235</v>
      </c>
      <c r="D7" s="37">
        <v>200</v>
      </c>
      <c r="E7" s="47"/>
    </row>
    <row r="8" spans="1:8">
      <c r="A8" s="71"/>
      <c r="B8" s="48">
        <v>0</v>
      </c>
      <c r="C8" s="50" t="s">
        <v>236</v>
      </c>
      <c r="D8" s="37">
        <v>500</v>
      </c>
      <c r="E8" s="52"/>
    </row>
    <row r="9" spans="1:8">
      <c r="A9" s="71"/>
      <c r="B9" s="48">
        <f>PL!A46</f>
        <v>206817</v>
      </c>
      <c r="C9" s="50" t="s">
        <v>240</v>
      </c>
      <c r="D9" s="37">
        <f>PL!D46</f>
        <v>171150</v>
      </c>
      <c r="E9" s="52"/>
    </row>
    <row r="10" spans="1:8">
      <c r="A10" s="71"/>
      <c r="B10" s="48">
        <f>-PL!E28</f>
        <v>40306</v>
      </c>
      <c r="C10" s="50" t="s">
        <v>187</v>
      </c>
      <c r="D10" s="81">
        <f>PL!G28</f>
        <v>66446</v>
      </c>
      <c r="E10" s="52">
        <f>SUM(D5:D10)</f>
        <v>765534</v>
      </c>
      <c r="G10" s="23">
        <f>E10-'Sch 1'!K26</f>
        <v>-319035</v>
      </c>
      <c r="H10" t="s">
        <v>434</v>
      </c>
    </row>
    <row r="11" spans="1:8">
      <c r="A11" s="71"/>
      <c r="B11" s="37"/>
      <c r="D11" s="37"/>
      <c r="E11" s="47"/>
    </row>
    <row r="12" spans="1:8">
      <c r="A12" s="71">
        <v>2</v>
      </c>
      <c r="B12" s="48"/>
      <c r="C12" s="53" t="s">
        <v>188</v>
      </c>
      <c r="D12" s="48"/>
      <c r="E12" s="54"/>
    </row>
    <row r="13" spans="1:8">
      <c r="A13" s="71"/>
      <c r="B13" s="48">
        <v>752531</v>
      </c>
      <c r="C13" s="49" t="s">
        <v>185</v>
      </c>
      <c r="D13" s="48">
        <v>1088565</v>
      </c>
      <c r="E13" s="54"/>
    </row>
    <row r="14" spans="1:8">
      <c r="A14" s="71"/>
      <c r="B14" s="48">
        <v>290008</v>
      </c>
      <c r="C14" s="51" t="s">
        <v>186</v>
      </c>
      <c r="D14" s="48">
        <v>290008</v>
      </c>
      <c r="E14" s="54"/>
    </row>
    <row r="15" spans="1:8">
      <c r="A15" s="71"/>
      <c r="B15" s="48">
        <f>-PL!E29</f>
        <v>46026</v>
      </c>
      <c r="C15" s="50" t="s">
        <v>187</v>
      </c>
      <c r="D15" s="55">
        <f>PL!G29</f>
        <v>70799</v>
      </c>
      <c r="E15" s="56">
        <f>SUM(D13:D15)</f>
        <v>1449372</v>
      </c>
      <c r="G15" s="23">
        <f>E15-'Sch 1'!K11</f>
        <v>4833</v>
      </c>
      <c r="H15" t="s">
        <v>255</v>
      </c>
    </row>
    <row r="16" spans="1:8">
      <c r="A16" s="71"/>
      <c r="B16" s="48"/>
      <c r="C16" s="51"/>
      <c r="D16" s="48"/>
      <c r="E16" s="54"/>
    </row>
    <row r="17" spans="1:8">
      <c r="A17" s="71">
        <v>3</v>
      </c>
      <c r="B17" s="48"/>
      <c r="C17" s="53" t="s">
        <v>189</v>
      </c>
      <c r="D17" s="48"/>
      <c r="E17" s="54"/>
    </row>
    <row r="18" spans="1:8">
      <c r="A18" s="71"/>
      <c r="B18" s="48">
        <f>1324774.09+82517</f>
        <v>1407291.09</v>
      </c>
      <c r="C18" s="49" t="s">
        <v>185</v>
      </c>
      <c r="D18" s="48">
        <v>1492214.09</v>
      </c>
      <c r="E18" s="54"/>
    </row>
    <row r="19" spans="1:8">
      <c r="A19" s="71"/>
      <c r="B19" s="48">
        <v>869892</v>
      </c>
      <c r="C19" s="51" t="s">
        <v>186</v>
      </c>
      <c r="D19" s="48">
        <v>869892</v>
      </c>
      <c r="E19" s="54"/>
    </row>
    <row r="20" spans="1:8">
      <c r="A20" s="71"/>
      <c r="B20" s="48">
        <f>PL!A19+'Sch 8 &amp; 9'!B25+'Sch 8 &amp; 9'!B28</f>
        <v>-867508</v>
      </c>
      <c r="C20" s="51" t="s">
        <v>237</v>
      </c>
      <c r="D20" s="48">
        <f>PL!C19+'Sch 8 &amp; 9'!D25+'Sch 8 &amp; 9'!D28</f>
        <v>-973032</v>
      </c>
      <c r="E20" s="54"/>
    </row>
    <row r="21" spans="1:8">
      <c r="A21" s="71"/>
      <c r="B21" s="48">
        <f>-PL!E30</f>
        <v>82539</v>
      </c>
      <c r="C21" s="50" t="s">
        <v>187</v>
      </c>
      <c r="D21" s="55">
        <f>PL!G30</f>
        <v>99607</v>
      </c>
      <c r="E21" s="56">
        <f>SUM(D18:D21)</f>
        <v>1488681.0899999999</v>
      </c>
      <c r="G21" s="23">
        <f>E21-'Sch 1'!K17</f>
        <v>-275424.91000000015</v>
      </c>
      <c r="H21" t="s">
        <v>434</v>
      </c>
    </row>
    <row r="22" spans="1:8">
      <c r="A22" s="71"/>
      <c r="B22" s="48"/>
      <c r="C22" s="51"/>
      <c r="D22" s="48"/>
      <c r="E22" s="54"/>
    </row>
    <row r="23" spans="1:8">
      <c r="A23" s="71">
        <v>4</v>
      </c>
      <c r="B23" s="48"/>
      <c r="C23" s="53" t="s">
        <v>190</v>
      </c>
      <c r="D23" s="57"/>
      <c r="E23" s="58"/>
    </row>
    <row r="24" spans="1:8">
      <c r="A24" s="71"/>
      <c r="B24" s="48">
        <v>15120</v>
      </c>
      <c r="C24" s="49" t="s">
        <v>185</v>
      </c>
      <c r="D24" s="48">
        <f>SUM(B24:B27)</f>
        <v>22702</v>
      </c>
      <c r="E24" s="58"/>
    </row>
    <row r="25" spans="1:8">
      <c r="A25" s="71"/>
      <c r="B25" s="48">
        <v>7560</v>
      </c>
      <c r="C25" s="51" t="s">
        <v>186</v>
      </c>
      <c r="D25" s="48">
        <v>7560</v>
      </c>
      <c r="E25" s="58"/>
    </row>
    <row r="26" spans="1:8">
      <c r="A26" s="71"/>
      <c r="B26" s="48">
        <f>-PL!E31</f>
        <v>22</v>
      </c>
      <c r="C26" s="50" t="s">
        <v>187</v>
      </c>
      <c r="D26" s="48">
        <f>PL!G31</f>
        <v>1693</v>
      </c>
      <c r="E26" s="58"/>
    </row>
    <row r="27" spans="1:8">
      <c r="A27" s="71"/>
      <c r="B27" s="48">
        <v>0</v>
      </c>
      <c r="C27" s="51" t="s">
        <v>191</v>
      </c>
      <c r="D27" s="55">
        <v>0</v>
      </c>
      <c r="E27" s="59">
        <f>SUM(D24:D27)</f>
        <v>31955</v>
      </c>
      <c r="G27" s="23">
        <f>E27-'Sch 1'!K35</f>
        <v>-7392</v>
      </c>
      <c r="H27" t="s">
        <v>434</v>
      </c>
    </row>
    <row r="28" spans="1:8">
      <c r="A28" s="71"/>
      <c r="B28" s="48"/>
      <c r="C28" s="51"/>
      <c r="D28" s="48"/>
      <c r="E28" s="59"/>
    </row>
    <row r="29" spans="1:8">
      <c r="A29" s="72"/>
      <c r="B29" s="48"/>
      <c r="C29" s="53" t="s">
        <v>193</v>
      </c>
      <c r="D29" s="57"/>
      <c r="E29" s="58"/>
    </row>
    <row r="30" spans="1:8">
      <c r="A30" s="72"/>
      <c r="B30" s="48">
        <v>225000</v>
      </c>
      <c r="C30" s="49" t="s">
        <v>185</v>
      </c>
      <c r="D30" s="48">
        <f>SUM(B30:B31)</f>
        <v>225218</v>
      </c>
      <c r="E30" s="58"/>
    </row>
    <row r="31" spans="1:8">
      <c r="A31" s="39"/>
      <c r="B31" s="48">
        <f>-PL!E32</f>
        <v>218</v>
      </c>
      <c r="C31" s="50" t="s">
        <v>187</v>
      </c>
      <c r="D31" s="55">
        <f>PL!G32</f>
        <v>16657</v>
      </c>
      <c r="E31" s="59">
        <f>SUM(D30:D31)</f>
        <v>241875</v>
      </c>
      <c r="G31" s="23">
        <f>E31-'Sch 1'!K39</f>
        <v>1687</v>
      </c>
      <c r="H31" t="s">
        <v>255</v>
      </c>
    </row>
    <row r="32" spans="1:8" ht="15.75" thickBot="1">
      <c r="A32" s="39"/>
      <c r="B32" s="48"/>
      <c r="C32" s="51"/>
      <c r="D32" s="48"/>
      <c r="E32" s="59"/>
    </row>
    <row r="33" spans="1:8" ht="15.75" thickBot="1">
      <c r="A33" s="286"/>
      <c r="B33" s="287">
        <f>SUM(B4:B32)</f>
        <v>3355937.09</v>
      </c>
      <c r="C33" s="288" t="s">
        <v>192</v>
      </c>
      <c r="D33" s="289"/>
      <c r="E33" s="290">
        <f>SUM(E4:E32)</f>
        <v>3977417.09</v>
      </c>
      <c r="H33" s="23">
        <f>+E33+31500</f>
        <v>4008917.09</v>
      </c>
    </row>
    <row r="35" spans="1:8">
      <c r="E35" s="157"/>
    </row>
  </sheetData>
  <mergeCells count="2">
    <mergeCell ref="A1:E1"/>
    <mergeCell ref="A2:E2"/>
  </mergeCells>
  <printOptions horizontalCentered="1"/>
  <pageMargins left="0.39370078740157483" right="0.19685039370078741" top="0.59055118110236227" bottom="0.19685039370078741" header="0.19685039370078741" footer="0.19685039370078741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view="pageBreakPreview" topLeftCell="A17" zoomScaleNormal="100" zoomScaleSheetLayoutView="100" workbookViewId="0">
      <selection activeCell="B18" sqref="B18"/>
    </sheetView>
  </sheetViews>
  <sheetFormatPr defaultRowHeight="15"/>
  <cols>
    <col min="1" max="1" width="7.5703125" style="291" customWidth="1"/>
    <col min="2" max="2" width="14.7109375" style="291" customWidth="1"/>
    <col min="3" max="3" width="43.140625" style="291" bestFit="1" customWidth="1"/>
    <col min="4" max="4" width="14.7109375" style="291" customWidth="1"/>
    <col min="5" max="5" width="3.5703125" style="291" customWidth="1"/>
    <col min="6" max="6" width="10" style="291" bestFit="1" customWidth="1"/>
    <col min="7" max="16384" width="9.140625" style="291"/>
  </cols>
  <sheetData>
    <row r="1" spans="1:4" ht="18.75">
      <c r="A1" s="367" t="str">
        <f>BS!A1</f>
        <v>JEEVAN HEIGHTS  CO-OPERATIVE HOUSING SOCIETY LTD</v>
      </c>
      <c r="B1" s="368"/>
      <c r="C1" s="368"/>
      <c r="D1" s="369"/>
    </row>
    <row r="2" spans="1:4" ht="20.100000000000001" customHeight="1">
      <c r="A2" s="364" t="s">
        <v>326</v>
      </c>
      <c r="B2" s="365"/>
      <c r="C2" s="365"/>
      <c r="D2" s="366"/>
    </row>
    <row r="3" spans="1:4" ht="20.100000000000001" customHeight="1" thickBot="1">
      <c r="A3" s="292" t="s">
        <v>140</v>
      </c>
      <c r="B3" s="292" t="str">
        <f>'Sch 4,6'!B3</f>
        <v>FY 2023-24</v>
      </c>
      <c r="C3" s="293" t="s">
        <v>141</v>
      </c>
      <c r="D3" s="294" t="str">
        <f>'Sch 4,6'!D3</f>
        <v>FY 2024-25</v>
      </c>
    </row>
    <row r="4" spans="1:4" ht="20.100000000000001" customHeight="1">
      <c r="A4" s="295">
        <v>1</v>
      </c>
      <c r="B4" s="296">
        <v>0</v>
      </c>
      <c r="C4" s="297" t="s">
        <v>332</v>
      </c>
      <c r="D4" s="298">
        <f>11341+3875</f>
        <v>15216</v>
      </c>
    </row>
    <row r="5" spans="1:4" ht="20.100000000000001" customHeight="1">
      <c r="A5" s="299">
        <v>2</v>
      </c>
      <c r="B5" s="300">
        <v>29500</v>
      </c>
      <c r="C5" s="301" t="s">
        <v>143</v>
      </c>
      <c r="D5" s="302">
        <f>6000+20000</f>
        <v>26000</v>
      </c>
    </row>
    <row r="6" spans="1:4" ht="20.100000000000001" customHeight="1">
      <c r="A6" s="299">
        <v>3</v>
      </c>
      <c r="B6" s="300">
        <v>69525</v>
      </c>
      <c r="C6" s="301" t="s">
        <v>144</v>
      </c>
      <c r="D6" s="302">
        <v>71483</v>
      </c>
    </row>
    <row r="7" spans="1:4" ht="20.100000000000001" customHeight="1">
      <c r="A7" s="299">
        <v>4</v>
      </c>
      <c r="B7" s="300">
        <v>500</v>
      </c>
      <c r="C7" s="301" t="s">
        <v>145</v>
      </c>
      <c r="D7" s="302">
        <v>0</v>
      </c>
    </row>
    <row r="8" spans="1:4" ht="20.100000000000001" customHeight="1">
      <c r="A8" s="299">
        <v>5</v>
      </c>
      <c r="B8" s="300">
        <v>13900</v>
      </c>
      <c r="C8" s="301" t="s">
        <v>146</v>
      </c>
      <c r="D8" s="302">
        <v>8800</v>
      </c>
    </row>
    <row r="9" spans="1:4" ht="20.100000000000001" customHeight="1">
      <c r="A9" s="299">
        <v>6</v>
      </c>
      <c r="B9" s="300">
        <v>0</v>
      </c>
      <c r="C9" s="301" t="s">
        <v>335</v>
      </c>
      <c r="D9" s="302">
        <v>850</v>
      </c>
    </row>
    <row r="10" spans="1:4" ht="20.100000000000001" customHeight="1">
      <c r="A10" s="299">
        <v>7</v>
      </c>
      <c r="B10" s="300">
        <v>26722</v>
      </c>
      <c r="C10" s="301" t="s">
        <v>149</v>
      </c>
      <c r="D10" s="302">
        <f>72508+599</f>
        <v>73107</v>
      </c>
    </row>
    <row r="11" spans="1:4" ht="20.100000000000001" customHeight="1">
      <c r="A11" s="299">
        <v>8</v>
      </c>
      <c r="B11" s="300">
        <v>6880</v>
      </c>
      <c r="C11" s="301" t="s">
        <v>150</v>
      </c>
      <c r="D11" s="302">
        <f>118471+9089</f>
        <v>127560</v>
      </c>
    </row>
    <row r="12" spans="1:4" ht="20.100000000000001" customHeight="1">
      <c r="A12" s="299">
        <v>9</v>
      </c>
      <c r="B12" s="300">
        <v>72520</v>
      </c>
      <c r="C12" s="301" t="s">
        <v>154</v>
      </c>
      <c r="D12" s="302">
        <v>61370</v>
      </c>
    </row>
    <row r="13" spans="1:4" ht="20.100000000000001" customHeight="1">
      <c r="A13" s="299">
        <v>10</v>
      </c>
      <c r="B13" s="300">
        <v>6500</v>
      </c>
      <c r="C13" s="301" t="s">
        <v>156</v>
      </c>
      <c r="D13" s="302">
        <v>2450</v>
      </c>
    </row>
    <row r="14" spans="1:4" ht="20.100000000000001" customHeight="1">
      <c r="A14" s="299">
        <v>11</v>
      </c>
      <c r="B14" s="300">
        <v>26055</v>
      </c>
      <c r="C14" s="301" t="s">
        <v>148</v>
      </c>
      <c r="D14" s="302">
        <f>28407+5000</f>
        <v>33407</v>
      </c>
    </row>
    <row r="15" spans="1:4" ht="20.100000000000001" customHeight="1">
      <c r="A15" s="299">
        <v>12</v>
      </c>
      <c r="B15" s="300">
        <v>900</v>
      </c>
      <c r="C15" s="301" t="s">
        <v>153</v>
      </c>
      <c r="D15" s="302">
        <v>0</v>
      </c>
    </row>
    <row r="16" spans="1:4" ht="20.100000000000001" customHeight="1" thickBot="1">
      <c r="A16" s="303"/>
      <c r="B16" s="304">
        <f>SUM(B4:B15)</f>
        <v>253002</v>
      </c>
      <c r="C16" s="293" t="s">
        <v>59</v>
      </c>
      <c r="D16" s="304">
        <f>SUM(D4:D15)</f>
        <v>420243</v>
      </c>
    </row>
    <row r="17" spans="1:5" ht="20.100000000000001" customHeight="1"/>
    <row r="18" spans="1:5" ht="20.100000000000001" customHeight="1">
      <c r="A18" s="364" t="s">
        <v>327</v>
      </c>
      <c r="B18" s="365"/>
      <c r="C18" s="365"/>
      <c r="D18" s="365"/>
    </row>
    <row r="19" spans="1:5" ht="20.100000000000001" customHeight="1" thickBot="1">
      <c r="A19" s="292" t="s">
        <v>140</v>
      </c>
      <c r="B19" s="292" t="str">
        <f>B3</f>
        <v>FY 2023-24</v>
      </c>
      <c r="C19" s="293" t="s">
        <v>141</v>
      </c>
      <c r="D19" s="293" t="str">
        <f>D3</f>
        <v>FY 2024-25</v>
      </c>
      <c r="E19" s="305"/>
    </row>
    <row r="20" spans="1:5" ht="20.100000000000001" customHeight="1">
      <c r="A20" s="295">
        <v>1</v>
      </c>
      <c r="B20" s="296">
        <v>545</v>
      </c>
      <c r="C20" s="297" t="s">
        <v>142</v>
      </c>
      <c r="D20" s="298">
        <f>Workings!D16</f>
        <v>6444</v>
      </c>
    </row>
    <row r="21" spans="1:5" ht="20.100000000000001" customHeight="1">
      <c r="A21" s="299">
        <v>2</v>
      </c>
      <c r="B21" s="300">
        <v>10929</v>
      </c>
      <c r="C21" s="301" t="s">
        <v>147</v>
      </c>
      <c r="D21" s="302">
        <f>Workings!D22</f>
        <v>10738</v>
      </c>
    </row>
    <row r="22" spans="1:5" ht="20.100000000000001" customHeight="1">
      <c r="A22" s="299">
        <v>3</v>
      </c>
      <c r="B22" s="300">
        <v>9448</v>
      </c>
      <c r="C22" s="301" t="s">
        <v>151</v>
      </c>
      <c r="D22" s="302">
        <f>Workings!D28</f>
        <v>14442</v>
      </c>
    </row>
    <row r="23" spans="1:5" ht="20.100000000000001" customHeight="1">
      <c r="A23" s="299"/>
      <c r="B23" s="300"/>
      <c r="C23" s="301"/>
      <c r="D23" s="302"/>
    </row>
    <row r="24" spans="1:5" ht="20.100000000000001" customHeight="1">
      <c r="A24" s="299">
        <v>4</v>
      </c>
      <c r="B24" s="300">
        <v>117615</v>
      </c>
      <c r="C24" s="301" t="s">
        <v>152</v>
      </c>
      <c r="D24" s="302">
        <f>Workings!D67</f>
        <v>129885</v>
      </c>
    </row>
    <row r="25" spans="1:5" ht="20.100000000000001" customHeight="1">
      <c r="A25" s="299"/>
      <c r="B25" s="300">
        <v>-117615</v>
      </c>
      <c r="C25" s="301" t="s">
        <v>238</v>
      </c>
      <c r="D25" s="302">
        <f>-D24</f>
        <v>-129885</v>
      </c>
    </row>
    <row r="26" spans="1:5" ht="20.100000000000001" customHeight="1">
      <c r="A26" s="299"/>
      <c r="B26" s="300"/>
      <c r="C26" s="301"/>
      <c r="D26" s="302"/>
    </row>
    <row r="27" spans="1:5" ht="20.100000000000001" customHeight="1">
      <c r="A27" s="299">
        <v>5</v>
      </c>
      <c r="B27" s="300">
        <v>184101</v>
      </c>
      <c r="C27" s="301" t="s">
        <v>155</v>
      </c>
      <c r="D27" s="302">
        <f>45686+45686+37653+48239+Workings!D92</f>
        <v>186702</v>
      </c>
    </row>
    <row r="28" spans="1:5" ht="20.100000000000001" customHeight="1">
      <c r="A28" s="299"/>
      <c r="B28" s="300">
        <v>-149000</v>
      </c>
      <c r="C28" s="301" t="s">
        <v>238</v>
      </c>
      <c r="D28" s="302">
        <v>-186702</v>
      </c>
    </row>
    <row r="29" spans="1:5" ht="20.100000000000001" customHeight="1">
      <c r="A29" s="299"/>
      <c r="B29" s="300"/>
      <c r="C29" s="301"/>
      <c r="D29" s="302"/>
    </row>
    <row r="30" spans="1:5" ht="20.100000000000001" customHeight="1">
      <c r="A30" s="299">
        <v>6</v>
      </c>
      <c r="B30" s="300">
        <v>45000</v>
      </c>
      <c r="C30" s="301" t="s">
        <v>157</v>
      </c>
      <c r="D30" s="302">
        <f>23625*2</f>
        <v>47250</v>
      </c>
    </row>
    <row r="31" spans="1:5" ht="20.100000000000001" customHeight="1">
      <c r="A31" s="299">
        <v>7</v>
      </c>
      <c r="B31" s="300">
        <v>20000</v>
      </c>
      <c r="C31" s="301" t="s">
        <v>233</v>
      </c>
      <c r="D31" s="302">
        <f>Workings!D46</f>
        <v>25000</v>
      </c>
    </row>
    <row r="32" spans="1:5" ht="20.100000000000001" customHeight="1" thickBot="1">
      <c r="A32" s="303"/>
      <c r="B32" s="304">
        <f>SUM(B20:B31)</f>
        <v>121023</v>
      </c>
      <c r="C32" s="293" t="s">
        <v>62</v>
      </c>
      <c r="D32" s="304">
        <f>SUM(D20:D31)</f>
        <v>103874</v>
      </c>
    </row>
    <row r="33" spans="1:4" ht="20.100000000000001" customHeight="1" thickBot="1">
      <c r="B33" s="306"/>
      <c r="D33" s="306"/>
    </row>
    <row r="34" spans="1:4" ht="20.100000000000001" customHeight="1" thickBot="1">
      <c r="A34" s="307"/>
      <c r="B34" s="308">
        <f>B16+B32</f>
        <v>374025</v>
      </c>
      <c r="C34" s="309" t="s">
        <v>254</v>
      </c>
      <c r="D34" s="310">
        <f>D16+D32</f>
        <v>524117</v>
      </c>
    </row>
  </sheetData>
  <mergeCells count="3">
    <mergeCell ref="A2:D2"/>
    <mergeCell ref="A1:D1"/>
    <mergeCell ref="A18:D18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8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workbookViewId="0">
      <selection activeCell="C7" sqref="C7"/>
    </sheetView>
  </sheetViews>
  <sheetFormatPr defaultRowHeight="15"/>
  <cols>
    <col min="1" max="1" width="4.7109375" customWidth="1"/>
    <col min="2" max="2" width="40.140625" customWidth="1"/>
    <col min="3" max="3" width="12.5703125" style="1" bestFit="1" customWidth="1"/>
    <col min="4" max="4" width="2.5703125" customWidth="1"/>
    <col min="5" max="5" width="2.7109375" bestFit="1" customWidth="1"/>
    <col min="6" max="6" width="27.28515625" bestFit="1" customWidth="1"/>
    <col min="7" max="7" width="10.140625" bestFit="1" customWidth="1"/>
    <col min="8" max="8" width="13.42578125" bestFit="1" customWidth="1"/>
    <col min="9" max="9" width="11.28515625" bestFit="1" customWidth="1"/>
    <col min="10" max="10" width="10" bestFit="1" customWidth="1"/>
    <col min="11" max="11" width="12.42578125" bestFit="1" customWidth="1"/>
    <col min="12" max="12" width="12.42578125" customWidth="1"/>
    <col min="14" max="14" width="10.42578125" bestFit="1" customWidth="1"/>
    <col min="16" max="16" width="10.7109375" bestFit="1" customWidth="1"/>
    <col min="17" max="17" width="15.7109375" bestFit="1" customWidth="1"/>
    <col min="18" max="18" width="58.85546875" bestFit="1" customWidth="1"/>
  </cols>
  <sheetData>
    <row r="1" spans="1:18">
      <c r="A1" s="371" t="str">
        <f>BS!A1</f>
        <v>JEEVAN HEIGHTS  CO-OPERATIVE HOUSING SOCIETY LTD</v>
      </c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130"/>
    </row>
    <row r="3" spans="1:18">
      <c r="A3" s="371" t="s">
        <v>348</v>
      </c>
      <c r="B3" s="371"/>
      <c r="C3" s="371"/>
      <c r="E3" s="12" t="s">
        <v>47</v>
      </c>
      <c r="F3" s="12" t="s">
        <v>48</v>
      </c>
      <c r="G3" s="12" t="s">
        <v>53</v>
      </c>
      <c r="H3" s="12" t="s">
        <v>49</v>
      </c>
      <c r="I3" s="12" t="s">
        <v>50</v>
      </c>
      <c r="J3" s="12" t="s">
        <v>51</v>
      </c>
      <c r="K3" s="12" t="s">
        <v>52</v>
      </c>
      <c r="L3" s="74"/>
      <c r="N3" s="372" t="s">
        <v>350</v>
      </c>
      <c r="O3" s="373"/>
      <c r="P3" s="373"/>
      <c r="Q3" s="373"/>
      <c r="R3" s="374"/>
    </row>
    <row r="4" spans="1:18">
      <c r="E4" s="15">
        <v>1</v>
      </c>
      <c r="F4" s="13" t="s">
        <v>174</v>
      </c>
      <c r="G4" s="15" t="s">
        <v>401</v>
      </c>
      <c r="H4" s="15">
        <v>879</v>
      </c>
      <c r="I4" s="14">
        <v>1500</v>
      </c>
      <c r="J4" s="14">
        <v>0</v>
      </c>
      <c r="K4" s="15" t="s">
        <v>409</v>
      </c>
      <c r="L4" s="68"/>
      <c r="M4" s="128" t="s">
        <v>182</v>
      </c>
      <c r="N4" s="160" t="s">
        <v>351</v>
      </c>
      <c r="O4" s="148" t="s">
        <v>294</v>
      </c>
      <c r="P4" s="148" t="s">
        <v>352</v>
      </c>
      <c r="Q4" s="148" t="s">
        <v>353</v>
      </c>
      <c r="R4" s="148" t="s">
        <v>354</v>
      </c>
    </row>
    <row r="5" spans="1:18">
      <c r="A5" s="370" t="s">
        <v>40</v>
      </c>
      <c r="B5" s="370"/>
      <c r="C5" s="16" t="s">
        <v>41</v>
      </c>
      <c r="E5" s="15">
        <v>2</v>
      </c>
      <c r="F5" s="13" t="s">
        <v>402</v>
      </c>
      <c r="G5" s="127" t="s">
        <v>403</v>
      </c>
      <c r="H5" s="15">
        <v>825</v>
      </c>
      <c r="I5" s="14">
        <v>79713</v>
      </c>
      <c r="J5" s="14">
        <v>0</v>
      </c>
      <c r="K5" s="15" t="s">
        <v>410</v>
      </c>
      <c r="L5" s="68"/>
      <c r="M5" s="165">
        <v>1</v>
      </c>
      <c r="N5" s="161" t="s">
        <v>355</v>
      </c>
      <c r="O5" s="150">
        <v>2950</v>
      </c>
      <c r="P5" s="150"/>
      <c r="Q5" s="166" t="s">
        <v>356</v>
      </c>
      <c r="R5" s="149"/>
    </row>
    <row r="6" spans="1:18">
      <c r="E6" s="15">
        <v>3</v>
      </c>
      <c r="F6" s="13" t="s">
        <v>404</v>
      </c>
      <c r="G6" s="15" t="s">
        <v>405</v>
      </c>
      <c r="H6" s="15">
        <v>827</v>
      </c>
      <c r="I6" s="14">
        <v>2800</v>
      </c>
      <c r="J6" s="14">
        <v>0</v>
      </c>
      <c r="K6" s="15" t="s">
        <v>411</v>
      </c>
      <c r="L6" s="68"/>
      <c r="M6" s="129">
        <v>2</v>
      </c>
      <c r="N6" s="161" t="s">
        <v>357</v>
      </c>
      <c r="O6" s="150"/>
      <c r="P6" s="150">
        <v>15000</v>
      </c>
      <c r="Q6" s="166">
        <v>420516260238</v>
      </c>
      <c r="R6" s="149" t="s">
        <v>358</v>
      </c>
    </row>
    <row r="7" spans="1:18">
      <c r="A7" t="s">
        <v>42</v>
      </c>
      <c r="C7" s="1">
        <v>922186.04</v>
      </c>
      <c r="E7" s="15">
        <v>4</v>
      </c>
      <c r="F7" s="13" t="s">
        <v>406</v>
      </c>
      <c r="G7" s="15" t="s">
        <v>407</v>
      </c>
      <c r="H7" s="15">
        <v>916</v>
      </c>
      <c r="I7" s="14">
        <v>18000</v>
      </c>
      <c r="J7" s="14">
        <v>0</v>
      </c>
      <c r="K7" s="15" t="s">
        <v>412</v>
      </c>
      <c r="L7" s="68"/>
      <c r="M7" s="129">
        <v>3</v>
      </c>
      <c r="N7" s="161" t="s">
        <v>359</v>
      </c>
      <c r="O7" s="151"/>
      <c r="P7" s="150">
        <v>10000</v>
      </c>
      <c r="Q7" s="166">
        <v>422616257456</v>
      </c>
      <c r="R7" s="149" t="s">
        <v>360</v>
      </c>
    </row>
    <row r="8" spans="1:18">
      <c r="E8" s="15">
        <v>5</v>
      </c>
      <c r="F8" s="13" t="s">
        <v>408</v>
      </c>
      <c r="G8" s="159" t="s">
        <v>407</v>
      </c>
      <c r="H8" s="15">
        <v>917</v>
      </c>
      <c r="I8" s="14">
        <v>23000</v>
      </c>
      <c r="J8" s="14">
        <v>0</v>
      </c>
      <c r="K8" s="159" t="s">
        <v>412</v>
      </c>
      <c r="L8" s="68"/>
      <c r="M8" s="165">
        <v>4</v>
      </c>
      <c r="N8" s="161" t="s">
        <v>361</v>
      </c>
      <c r="O8" s="150"/>
      <c r="P8" s="150">
        <v>28000</v>
      </c>
      <c r="Q8" s="166">
        <v>423311708126</v>
      </c>
      <c r="R8" s="149" t="s">
        <v>360</v>
      </c>
    </row>
    <row r="9" spans="1:18">
      <c r="A9" t="s">
        <v>43</v>
      </c>
      <c r="B9" t="s">
        <v>44</v>
      </c>
      <c r="C9" s="1">
        <f>I11</f>
        <v>125013</v>
      </c>
      <c r="E9" s="15"/>
      <c r="F9" s="13"/>
      <c r="G9" s="15"/>
      <c r="H9" s="15"/>
      <c r="I9" s="14"/>
      <c r="J9" s="14"/>
      <c r="K9" s="15"/>
      <c r="L9" s="68"/>
      <c r="M9" s="129">
        <v>5</v>
      </c>
      <c r="N9" s="161" t="s">
        <v>362</v>
      </c>
      <c r="O9" s="150"/>
      <c r="P9" s="150">
        <v>6151</v>
      </c>
      <c r="Q9" s="166">
        <v>423519916224</v>
      </c>
      <c r="R9" s="149" t="s">
        <v>363</v>
      </c>
    </row>
    <row r="10" spans="1:18">
      <c r="B10" t="s">
        <v>45</v>
      </c>
      <c r="E10" s="15"/>
      <c r="F10" s="13"/>
      <c r="G10" s="15"/>
      <c r="H10" s="15"/>
      <c r="I10" s="14"/>
      <c r="J10" s="14"/>
      <c r="K10" s="15"/>
      <c r="L10" s="68"/>
      <c r="M10" s="129">
        <v>6</v>
      </c>
      <c r="N10" s="161" t="s">
        <v>364</v>
      </c>
      <c r="O10" s="150"/>
      <c r="P10" s="150">
        <v>7000</v>
      </c>
      <c r="Q10" s="166">
        <v>425419583184</v>
      </c>
      <c r="R10" s="149"/>
    </row>
    <row r="11" spans="1:18">
      <c r="I11" s="2">
        <f>SUM(I4:I10)</f>
        <v>125013</v>
      </c>
      <c r="J11" s="2">
        <f>SUM(J4:J10)</f>
        <v>0</v>
      </c>
      <c r="M11" s="165">
        <v>7</v>
      </c>
      <c r="N11" s="161" t="s">
        <v>364</v>
      </c>
      <c r="O11" s="150"/>
      <c r="P11" s="150">
        <v>11000</v>
      </c>
      <c r="Q11" s="166">
        <v>425419606720</v>
      </c>
      <c r="R11" s="149"/>
    </row>
    <row r="12" spans="1:18">
      <c r="A12" t="s">
        <v>54</v>
      </c>
      <c r="B12" t="s">
        <v>55</v>
      </c>
      <c r="C12" s="1">
        <f>-J11</f>
        <v>0</v>
      </c>
      <c r="M12" s="129">
        <v>8</v>
      </c>
      <c r="N12" s="161" t="s">
        <v>365</v>
      </c>
      <c r="O12" s="150"/>
      <c r="P12" s="150">
        <v>40000</v>
      </c>
      <c r="Q12" s="167">
        <v>427519911428</v>
      </c>
      <c r="R12" s="149" t="s">
        <v>366</v>
      </c>
    </row>
    <row r="13" spans="1:18">
      <c r="B13" t="s">
        <v>56</v>
      </c>
      <c r="M13" s="129">
        <v>9</v>
      </c>
      <c r="N13" s="162" t="s">
        <v>367</v>
      </c>
      <c r="O13" s="153">
        <v>29500</v>
      </c>
      <c r="P13" s="153"/>
      <c r="Q13" s="168" t="s">
        <v>368</v>
      </c>
      <c r="R13" s="152" t="s">
        <v>369</v>
      </c>
    </row>
    <row r="14" spans="1:18">
      <c r="M14" s="165">
        <v>10</v>
      </c>
      <c r="N14" s="161" t="s">
        <v>370</v>
      </c>
      <c r="O14" s="150"/>
      <c r="P14" s="150">
        <v>7800</v>
      </c>
      <c r="Q14" s="166">
        <v>428619230968</v>
      </c>
      <c r="R14" s="149" t="s">
        <v>371</v>
      </c>
    </row>
    <row r="15" spans="1:18" ht="15.75" thickBot="1">
      <c r="A15" s="10" t="s">
        <v>46</v>
      </c>
      <c r="B15" s="10"/>
      <c r="C15" s="9">
        <f>SUM(C7:C14)</f>
        <v>1047199.04</v>
      </c>
      <c r="M15" s="129">
        <v>11</v>
      </c>
      <c r="N15" s="161" t="s">
        <v>372</v>
      </c>
      <c r="O15" s="150"/>
      <c r="P15" s="150">
        <v>25000</v>
      </c>
      <c r="Q15" s="166">
        <v>429221038015</v>
      </c>
      <c r="R15" s="149" t="s">
        <v>373</v>
      </c>
    </row>
    <row r="16" spans="1:18" ht="15.75" thickTop="1">
      <c r="M16" s="129">
        <v>12</v>
      </c>
      <c r="N16" s="163" t="s">
        <v>374</v>
      </c>
      <c r="O16" s="155"/>
      <c r="P16" s="155">
        <v>110000</v>
      </c>
      <c r="Q16" s="169">
        <v>196013007647</v>
      </c>
      <c r="R16" s="154" t="s">
        <v>375</v>
      </c>
    </row>
    <row r="17" spans="1:18">
      <c r="M17" s="165">
        <v>13</v>
      </c>
      <c r="N17" s="161" t="s">
        <v>376</v>
      </c>
      <c r="O17" s="150">
        <v>5900</v>
      </c>
      <c r="P17" s="150"/>
      <c r="Q17" s="170" t="s">
        <v>377</v>
      </c>
      <c r="R17" s="149" t="s">
        <v>378</v>
      </c>
    </row>
    <row r="18" spans="1:18">
      <c r="A18" s="371" t="s">
        <v>438</v>
      </c>
      <c r="B18" s="371"/>
      <c r="C18" s="371"/>
      <c r="M18" s="129">
        <v>14</v>
      </c>
      <c r="N18" s="164" t="s">
        <v>379</v>
      </c>
      <c r="O18" s="151"/>
      <c r="P18" s="150">
        <v>20800</v>
      </c>
      <c r="Q18" s="171">
        <v>502710621242</v>
      </c>
      <c r="R18" s="156" t="s">
        <v>380</v>
      </c>
    </row>
    <row r="19" spans="1:18">
      <c r="M19" s="129">
        <v>15</v>
      </c>
      <c r="N19" s="164" t="s">
        <v>379</v>
      </c>
      <c r="O19" s="151"/>
      <c r="P19" s="151">
        <v>1</v>
      </c>
      <c r="Q19" s="171">
        <v>502709532027</v>
      </c>
      <c r="R19" s="156" t="s">
        <v>381</v>
      </c>
    </row>
    <row r="20" spans="1:18">
      <c r="A20" s="370" t="s">
        <v>40</v>
      </c>
      <c r="B20" s="370"/>
      <c r="C20" s="16" t="s">
        <v>41</v>
      </c>
      <c r="M20" s="165">
        <v>16</v>
      </c>
      <c r="N20" s="161" t="s">
        <v>349</v>
      </c>
      <c r="O20" s="150"/>
      <c r="P20" s="150">
        <v>4670</v>
      </c>
      <c r="Q20" s="166">
        <v>506509096201</v>
      </c>
      <c r="R20" s="149" t="s">
        <v>382</v>
      </c>
    </row>
    <row r="21" spans="1:18">
      <c r="M21" s="129">
        <v>17</v>
      </c>
      <c r="N21" s="161" t="s">
        <v>349</v>
      </c>
      <c r="O21" s="150"/>
      <c r="P21" s="150">
        <v>2500</v>
      </c>
      <c r="Q21" s="166">
        <v>506509095408</v>
      </c>
      <c r="R21" s="149" t="s">
        <v>383</v>
      </c>
    </row>
    <row r="22" spans="1:18">
      <c r="A22" t="s">
        <v>42</v>
      </c>
      <c r="C22" s="1">
        <v>55753.279999999999</v>
      </c>
    </row>
    <row r="24" spans="1:18">
      <c r="A24" t="s">
        <v>43</v>
      </c>
      <c r="B24" t="s">
        <v>44</v>
      </c>
      <c r="C24" s="1">
        <f>I26</f>
        <v>0</v>
      </c>
    </row>
    <row r="25" spans="1:18">
      <c r="B25" t="s">
        <v>45</v>
      </c>
    </row>
    <row r="27" spans="1:18">
      <c r="A27" t="s">
        <v>54</v>
      </c>
      <c r="B27" t="s">
        <v>55</v>
      </c>
      <c r="C27" s="1">
        <f>-J26</f>
        <v>0</v>
      </c>
    </row>
    <row r="28" spans="1:18">
      <c r="B28" t="s">
        <v>56</v>
      </c>
    </row>
    <row r="30" spans="1:18" ht="15.75" thickBot="1">
      <c r="A30" s="10" t="s">
        <v>46</v>
      </c>
      <c r="B30" s="10"/>
      <c r="C30" s="9">
        <f>SUM(C22:C29)</f>
        <v>55753.279999999999</v>
      </c>
    </row>
    <row r="31" spans="1:18" ht="15.75" thickTop="1"/>
  </sheetData>
  <mergeCells count="6">
    <mergeCell ref="A20:B20"/>
    <mergeCell ref="A5:B5"/>
    <mergeCell ref="A3:C3"/>
    <mergeCell ref="A1:K1"/>
    <mergeCell ref="N3:R3"/>
    <mergeCell ref="A18:C18"/>
  </mergeCells>
  <printOptions horizontalCentered="1"/>
  <pageMargins left="0.5" right="0.5" top="0.5" bottom="0.5" header="0.3" footer="0.3"/>
  <pageSetup paperSize="9" scale="9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92"/>
  <sheetViews>
    <sheetView topLeftCell="A71" workbookViewId="0">
      <selection activeCell="D83" sqref="D83"/>
    </sheetView>
  </sheetViews>
  <sheetFormatPr defaultRowHeight="15"/>
  <cols>
    <col min="1" max="1" width="6.85546875" style="8" bestFit="1" customWidth="1"/>
    <col min="2" max="2" width="24.42578125" bestFit="1" customWidth="1"/>
    <col min="3" max="3" width="7.85546875" bestFit="1" customWidth="1"/>
    <col min="4" max="4" width="12.140625" style="99" bestFit="1" customWidth="1"/>
    <col min="5" max="5" width="9.28515625" bestFit="1" customWidth="1"/>
    <col min="6" max="6" width="12.28515625" bestFit="1" customWidth="1"/>
    <col min="7" max="7" width="16.85546875" bestFit="1" customWidth="1"/>
    <col min="8" max="8" width="10.42578125" bestFit="1" customWidth="1"/>
    <col min="9" max="9" width="10" bestFit="1" customWidth="1"/>
    <col min="10" max="11" width="7.42578125" bestFit="1" customWidth="1"/>
    <col min="12" max="12" width="8.85546875" bestFit="1" customWidth="1"/>
    <col min="13" max="13" width="9" bestFit="1" customWidth="1"/>
    <col min="15" max="15" width="22.42578125" bestFit="1" customWidth="1"/>
  </cols>
  <sheetData>
    <row r="2" spans="1:17" s="122" customFormat="1" ht="30">
      <c r="A2" s="119" t="s">
        <v>182</v>
      </c>
      <c r="B2" s="119" t="s">
        <v>40</v>
      </c>
      <c r="C2" s="120" t="s">
        <v>295</v>
      </c>
      <c r="D2" s="121" t="s">
        <v>41</v>
      </c>
      <c r="G2" s="348" t="s">
        <v>239</v>
      </c>
      <c r="H2" s="348"/>
      <c r="I2" s="348"/>
      <c r="J2" s="348"/>
      <c r="K2" s="348"/>
      <c r="L2" s="348"/>
      <c r="M2" s="348"/>
    </row>
    <row r="3" spans="1:17">
      <c r="G3" s="78" t="s">
        <v>48</v>
      </c>
      <c r="H3" s="172" t="s">
        <v>351</v>
      </c>
      <c r="I3" s="78" t="s">
        <v>256</v>
      </c>
      <c r="J3" s="78" t="s">
        <v>257</v>
      </c>
      <c r="K3" s="78" t="s">
        <v>258</v>
      </c>
      <c r="L3" s="78" t="s">
        <v>259</v>
      </c>
      <c r="M3" s="78" t="s">
        <v>10</v>
      </c>
      <c r="O3" s="126" t="s">
        <v>280</v>
      </c>
      <c r="P3">
        <f>27+29+31+4</f>
        <v>91</v>
      </c>
      <c r="Q3">
        <v>0</v>
      </c>
    </row>
    <row r="4" spans="1:17">
      <c r="A4" s="8">
        <v>1</v>
      </c>
      <c r="B4" s="42" t="s">
        <v>23</v>
      </c>
      <c r="G4" s="174" t="s">
        <v>424</v>
      </c>
      <c r="H4" t="s">
        <v>425</v>
      </c>
      <c r="I4" s="173">
        <f>ROUND(J4*100/9,)</f>
        <v>75450</v>
      </c>
      <c r="J4" s="80">
        <f>L4/2</f>
        <v>6790.5</v>
      </c>
      <c r="K4" s="80">
        <f>L4/2</f>
        <v>6790.5</v>
      </c>
      <c r="L4" s="80">
        <v>13581</v>
      </c>
      <c r="M4" s="80">
        <f>I4+L4</f>
        <v>89031</v>
      </c>
      <c r="O4" s="29" t="s">
        <v>281</v>
      </c>
      <c r="P4">
        <f>27+29+31</f>
        <v>87</v>
      </c>
      <c r="Q4">
        <f>ROUND(P4*Q3/P3,0)</f>
        <v>0</v>
      </c>
    </row>
    <row r="5" spans="1:17">
      <c r="B5" t="s">
        <v>328</v>
      </c>
      <c r="C5">
        <f>27+29+31+4+91+97+89</f>
        <v>368</v>
      </c>
      <c r="D5" s="99">
        <v>197384</v>
      </c>
      <c r="G5" s="13" t="s">
        <v>260</v>
      </c>
      <c r="H5" s="13" t="s">
        <v>426</v>
      </c>
      <c r="I5" s="173">
        <f t="shared" ref="I5:I6" si="0">ROUND(J5*100/9,)</f>
        <v>3500</v>
      </c>
      <c r="J5" s="80">
        <f t="shared" ref="J5:J6" si="1">L5/2</f>
        <v>315</v>
      </c>
      <c r="K5" s="80">
        <f t="shared" ref="K5:K6" si="2">L5/2</f>
        <v>315</v>
      </c>
      <c r="L5" s="80">
        <f>630</f>
        <v>630</v>
      </c>
      <c r="M5" s="80">
        <f t="shared" ref="M5:M6" si="3">I5+L5</f>
        <v>4130</v>
      </c>
    </row>
    <row r="6" spans="1:17">
      <c r="A6" s="8" t="s">
        <v>54</v>
      </c>
      <c r="B6" t="s">
        <v>279</v>
      </c>
      <c r="C6" s="95">
        <f>-(27+29+31)</f>
        <v>-87</v>
      </c>
      <c r="D6" s="100">
        <v>-53566</v>
      </c>
      <c r="G6" s="13" t="s">
        <v>260</v>
      </c>
      <c r="H6" s="13" t="s">
        <v>427</v>
      </c>
      <c r="I6" s="173">
        <f t="shared" si="0"/>
        <v>4528</v>
      </c>
      <c r="J6" s="80">
        <f t="shared" si="1"/>
        <v>407.5</v>
      </c>
      <c r="K6" s="80">
        <f t="shared" si="2"/>
        <v>407.5</v>
      </c>
      <c r="L6" s="80">
        <v>815</v>
      </c>
      <c r="M6" s="80">
        <f t="shared" si="3"/>
        <v>5343</v>
      </c>
    </row>
    <row r="7" spans="1:17">
      <c r="B7" t="s">
        <v>329</v>
      </c>
      <c r="C7">
        <f>SUM(C5:C6)</f>
        <v>281</v>
      </c>
      <c r="D7" s="99">
        <f>SUM(D5:D6)</f>
        <v>143818</v>
      </c>
      <c r="G7" s="13" t="s">
        <v>260</v>
      </c>
      <c r="H7" s="13" t="s">
        <v>428</v>
      </c>
      <c r="I7" s="80">
        <f t="shared" ref="I7" si="4">ROUND(J7*100/9,)</f>
        <v>7928</v>
      </c>
      <c r="J7" s="80">
        <f t="shared" ref="J7" si="5">L7/2</f>
        <v>713.5</v>
      </c>
      <c r="K7" s="80">
        <f t="shared" ref="K7" si="6">L7/2</f>
        <v>713.5</v>
      </c>
      <c r="L7" s="80">
        <v>1427</v>
      </c>
      <c r="M7" s="80">
        <f t="shared" ref="M7" si="7">I7+L7</f>
        <v>9355</v>
      </c>
    </row>
    <row r="8" spans="1:17">
      <c r="A8" s="8" t="s">
        <v>43</v>
      </c>
      <c r="B8" t="s">
        <v>330</v>
      </c>
      <c r="C8" s="95">
        <f>25+28+31</f>
        <v>84</v>
      </c>
      <c r="D8" s="100">
        <f>ROUND(C8*D7/C7,0)</f>
        <v>42992</v>
      </c>
      <c r="G8" s="13" t="s">
        <v>393</v>
      </c>
      <c r="H8" s="13" t="s">
        <v>437</v>
      </c>
      <c r="I8" s="80">
        <f>ROUND(J8*100/6,)</f>
        <v>46500</v>
      </c>
      <c r="J8" s="80">
        <f t="shared" ref="J8" si="8">L8/2</f>
        <v>2790</v>
      </c>
      <c r="K8" s="80">
        <f t="shared" ref="K8" si="9">L8/2</f>
        <v>2790</v>
      </c>
      <c r="L8" s="175">
        <v>5580</v>
      </c>
      <c r="M8" s="80">
        <f>I8+L8</f>
        <v>52080</v>
      </c>
    </row>
    <row r="9" spans="1:17">
      <c r="B9" s="42" t="s">
        <v>282</v>
      </c>
      <c r="C9" s="42">
        <f>SUM(C7:C8)</f>
        <v>365</v>
      </c>
      <c r="D9" s="101">
        <f>SUM(D7:D8)</f>
        <v>186810</v>
      </c>
      <c r="I9" s="118">
        <f>SUM(I4:I8)</f>
        <v>137906</v>
      </c>
      <c r="J9" s="118">
        <f>SUM(J4:J8)</f>
        <v>11016.5</v>
      </c>
      <c r="K9" s="118">
        <f>SUM(K4:K8)</f>
        <v>11016.5</v>
      </c>
      <c r="L9" s="118">
        <f>SUM(L4:L8)</f>
        <v>22033</v>
      </c>
      <c r="M9" s="118">
        <f>SUM(M4:M8)</f>
        <v>159939</v>
      </c>
    </row>
    <row r="12" spans="1:17">
      <c r="A12" s="8">
        <v>2</v>
      </c>
      <c r="B12" s="42" t="s">
        <v>124</v>
      </c>
      <c r="G12" t="s">
        <v>293</v>
      </c>
      <c r="I12" t="s">
        <v>294</v>
      </c>
    </row>
    <row r="13" spans="1:17">
      <c r="B13" t="s">
        <v>125</v>
      </c>
      <c r="C13">
        <v>367</v>
      </c>
      <c r="D13" s="99">
        <v>4455</v>
      </c>
      <c r="G13">
        <v>153245551</v>
      </c>
      <c r="I13">
        <v>92562.72</v>
      </c>
      <c r="O13" t="s">
        <v>114</v>
      </c>
    </row>
    <row r="14" spans="1:17">
      <c r="B14" t="s">
        <v>333</v>
      </c>
      <c r="C14">
        <v>365</v>
      </c>
      <c r="D14" s="99">
        <v>6000</v>
      </c>
      <c r="O14" t="s">
        <v>121</v>
      </c>
    </row>
    <row r="15" spans="1:17">
      <c r="A15" s="8" t="s">
        <v>54</v>
      </c>
      <c r="B15" t="s">
        <v>334</v>
      </c>
      <c r="C15" s="95">
        <f>-(30+31+30+31+31+30+31+30)</f>
        <v>-244</v>
      </c>
      <c r="D15" s="107">
        <f>ROUND(D14*C15/C14,0)</f>
        <v>-4011</v>
      </c>
      <c r="E15" s="42" t="s">
        <v>121</v>
      </c>
      <c r="G15">
        <v>153243268</v>
      </c>
      <c r="I15">
        <v>0</v>
      </c>
      <c r="O15" t="s">
        <v>435</v>
      </c>
    </row>
    <row r="16" spans="1:17">
      <c r="B16" t="s">
        <v>334</v>
      </c>
      <c r="C16" s="42">
        <f>SUM(C13:C15)</f>
        <v>488</v>
      </c>
      <c r="D16" s="131">
        <f>SUM(D13:D15)</f>
        <v>6444</v>
      </c>
      <c r="I16" s="1">
        <f>SUM(I13:I15)</f>
        <v>92562.72</v>
      </c>
      <c r="O16" t="s">
        <v>436</v>
      </c>
    </row>
    <row r="17" spans="1:21">
      <c r="D17"/>
      <c r="I17" s="1">
        <v>73765</v>
      </c>
    </row>
    <row r="18" spans="1:21">
      <c r="A18" s="8">
        <v>3</v>
      </c>
      <c r="B18" s="42" t="s">
        <v>126</v>
      </c>
      <c r="I18" s="23">
        <f>I16-I17</f>
        <v>18797.72</v>
      </c>
    </row>
    <row r="19" spans="1:21">
      <c r="B19" s="108" t="s">
        <v>128</v>
      </c>
      <c r="C19">
        <f>(30+31+30+31+31+30+31+30+18)</f>
        <v>262</v>
      </c>
      <c r="D19" s="99">
        <v>10738</v>
      </c>
    </row>
    <row r="20" spans="1:21">
      <c r="B20" t="s">
        <v>127</v>
      </c>
      <c r="C20">
        <v>0</v>
      </c>
      <c r="D20" s="99">
        <v>0</v>
      </c>
    </row>
    <row r="21" spans="1:21">
      <c r="A21" s="8" t="s">
        <v>54</v>
      </c>
      <c r="B21" t="s">
        <v>128</v>
      </c>
      <c r="C21" s="95">
        <v>0</v>
      </c>
      <c r="D21" s="107">
        <v>0</v>
      </c>
      <c r="E21" s="42" t="s">
        <v>121</v>
      </c>
    </row>
    <row r="22" spans="1:21">
      <c r="C22" s="42">
        <f>SUM(C19:C21)</f>
        <v>262</v>
      </c>
      <c r="D22" s="101">
        <f>SUM(D19:D21)</f>
        <v>10738</v>
      </c>
      <c r="E22" s="42"/>
    </row>
    <row r="24" spans="1:21">
      <c r="A24" s="8">
        <v>4</v>
      </c>
      <c r="B24" s="42" t="s">
        <v>129</v>
      </c>
    </row>
    <row r="25" spans="1:21">
      <c r="B25" t="s">
        <v>130</v>
      </c>
      <c r="C25">
        <f>(30+31+30+9)</f>
        <v>100</v>
      </c>
      <c r="D25" s="99">
        <v>3552</v>
      </c>
    </row>
    <row r="26" spans="1:21">
      <c r="B26" t="s">
        <v>336</v>
      </c>
      <c r="C26">
        <v>365</v>
      </c>
      <c r="D26" s="99">
        <v>15000</v>
      </c>
    </row>
    <row r="27" spans="1:21">
      <c r="A27" s="8" t="s">
        <v>54</v>
      </c>
      <c r="B27" t="s">
        <v>337</v>
      </c>
      <c r="C27" s="95">
        <f>-(30+31+30+9)</f>
        <v>-100</v>
      </c>
      <c r="D27" s="107">
        <f>ROUND(D26*C27/C26,0)</f>
        <v>-4110</v>
      </c>
      <c r="E27" s="42" t="s">
        <v>121</v>
      </c>
    </row>
    <row r="28" spans="1:21">
      <c r="B28" s="42" t="s">
        <v>331</v>
      </c>
      <c r="C28">
        <f>SUM(C25:C27)</f>
        <v>365</v>
      </c>
      <c r="D28" s="101">
        <f>SUM(D25:D27)</f>
        <v>14442</v>
      </c>
      <c r="E28" s="42"/>
    </row>
    <row r="30" spans="1:21">
      <c r="A30" s="8">
        <v>5</v>
      </c>
      <c r="B30" s="42" t="s">
        <v>284</v>
      </c>
      <c r="N30" s="108"/>
      <c r="T30" s="108"/>
      <c r="U30" s="108"/>
    </row>
    <row r="31" spans="1:21" s="108" customFormat="1">
      <c r="A31" s="110"/>
      <c r="B31" t="s">
        <v>220</v>
      </c>
      <c r="C31" s="108">
        <f>30+22</f>
        <v>52</v>
      </c>
      <c r="D31" s="109">
        <v>12649</v>
      </c>
      <c r="E31" s="111"/>
      <c r="F31"/>
      <c r="G31"/>
      <c r="H31"/>
      <c r="I31"/>
      <c r="J31"/>
      <c r="K31"/>
      <c r="L31"/>
      <c r="M31"/>
      <c r="N31"/>
      <c r="O31"/>
      <c r="P31"/>
      <c r="Q31"/>
      <c r="T31"/>
      <c r="U31"/>
    </row>
    <row r="32" spans="1:21">
      <c r="B32" t="s">
        <v>338</v>
      </c>
      <c r="C32">
        <v>365</v>
      </c>
      <c r="D32" s="99">
        <v>75450</v>
      </c>
      <c r="F32" s="108"/>
      <c r="G32" s="108"/>
      <c r="H32" s="108"/>
      <c r="I32" s="108"/>
      <c r="J32" s="108"/>
      <c r="K32" s="108"/>
      <c r="L32" s="108"/>
      <c r="M32" s="108"/>
    </row>
    <row r="33" spans="1:21">
      <c r="A33" s="8" t="s">
        <v>54</v>
      </c>
      <c r="B33" t="s">
        <v>339</v>
      </c>
      <c r="C33" s="95">
        <f>-(30+22)</f>
        <v>-52</v>
      </c>
      <c r="D33" s="107">
        <f>ROUND(D32*C33/C32,0)</f>
        <v>-10749</v>
      </c>
      <c r="E33" s="42" t="s">
        <v>121</v>
      </c>
    </row>
    <row r="34" spans="1:21">
      <c r="B34" s="42" t="s">
        <v>331</v>
      </c>
      <c r="C34" s="42">
        <f>SUM(C31:C33)</f>
        <v>365</v>
      </c>
      <c r="D34" s="101">
        <f>SUM(D31:D33)</f>
        <v>77350</v>
      </c>
      <c r="O34" s="108"/>
      <c r="P34" s="108"/>
      <c r="Q34" s="108"/>
    </row>
    <row r="36" spans="1:21">
      <c r="A36" s="8">
        <v>6</v>
      </c>
      <c r="B36" s="42" t="s">
        <v>134</v>
      </c>
      <c r="N36" s="108"/>
      <c r="T36" s="108"/>
      <c r="U36" s="108"/>
    </row>
    <row r="37" spans="1:21" s="108" customFormat="1">
      <c r="A37" s="110"/>
      <c r="B37" t="s">
        <v>135</v>
      </c>
      <c r="C37" s="108">
        <v>3</v>
      </c>
      <c r="D37" s="109">
        <f>6821+200</f>
        <v>7021</v>
      </c>
      <c r="F37"/>
      <c r="G37"/>
      <c r="H37"/>
      <c r="I37"/>
      <c r="J37"/>
      <c r="K37"/>
      <c r="L37"/>
      <c r="M37"/>
      <c r="N37"/>
      <c r="O37"/>
      <c r="P37"/>
      <c r="Q37"/>
      <c r="T37"/>
      <c r="U37"/>
    </row>
    <row r="38" spans="1:21">
      <c r="B38" t="s">
        <v>340</v>
      </c>
      <c r="C38">
        <v>12</v>
      </c>
      <c r="D38" s="99">
        <f>27285+29000</f>
        <v>56285</v>
      </c>
      <c r="F38" s="108"/>
      <c r="G38" s="108"/>
      <c r="H38" s="108"/>
      <c r="I38" s="108"/>
      <c r="J38" s="108"/>
      <c r="K38" s="108"/>
      <c r="L38" s="108"/>
      <c r="M38" s="108"/>
    </row>
    <row r="39" spans="1:21">
      <c r="A39" s="8" t="s">
        <v>54</v>
      </c>
      <c r="B39" t="s">
        <v>341</v>
      </c>
      <c r="C39" s="95">
        <v>-3</v>
      </c>
      <c r="D39" s="107">
        <f>ROUND(D38*C39/C38,0)</f>
        <v>-14071</v>
      </c>
      <c r="E39" s="42" t="s">
        <v>121</v>
      </c>
    </row>
    <row r="40" spans="1:21">
      <c r="B40" t="s">
        <v>331</v>
      </c>
      <c r="C40">
        <f>SUM(C37:C39)</f>
        <v>12</v>
      </c>
      <c r="D40" s="101">
        <f>SUM(D37:D39)</f>
        <v>49235</v>
      </c>
      <c r="E40" s="42"/>
      <c r="O40" s="108"/>
      <c r="P40" s="108"/>
      <c r="Q40" s="108"/>
    </row>
    <row r="42" spans="1:21">
      <c r="A42" s="8">
        <v>7</v>
      </c>
      <c r="B42" s="42" t="s">
        <v>285</v>
      </c>
    </row>
    <row r="43" spans="1:21">
      <c r="A43" s="110"/>
      <c r="B43" t="s">
        <v>286</v>
      </c>
      <c r="C43" s="108">
        <v>6</v>
      </c>
      <c r="D43" s="109">
        <v>10000</v>
      </c>
      <c r="E43" s="108"/>
    </row>
    <row r="44" spans="1:21">
      <c r="B44" t="s">
        <v>343</v>
      </c>
      <c r="C44">
        <v>12</v>
      </c>
      <c r="D44" s="99">
        <v>30000</v>
      </c>
      <c r="F44" s="108"/>
    </row>
    <row r="45" spans="1:21">
      <c r="A45" s="8" t="s">
        <v>54</v>
      </c>
      <c r="B45" t="s">
        <v>344</v>
      </c>
      <c r="C45" s="95">
        <v>-6</v>
      </c>
      <c r="D45" s="107">
        <f>ROUND(D44*C45/C44,0)</f>
        <v>-15000</v>
      </c>
      <c r="E45" s="42" t="s">
        <v>121</v>
      </c>
    </row>
    <row r="46" spans="1:21">
      <c r="B46" s="42" t="s">
        <v>331</v>
      </c>
      <c r="C46" s="42">
        <f>SUM(C43:C45)</f>
        <v>12</v>
      </c>
      <c r="D46" s="101">
        <f>SUM(D43:D45)</f>
        <v>25000</v>
      </c>
      <c r="E46" s="42"/>
    </row>
    <row r="48" spans="1:21">
      <c r="A48" s="8">
        <v>8</v>
      </c>
      <c r="B48" s="42" t="s">
        <v>103</v>
      </c>
      <c r="D48" s="97" t="s">
        <v>119</v>
      </c>
      <c r="N48" s="108"/>
      <c r="T48" s="108"/>
      <c r="U48" s="108"/>
    </row>
    <row r="49" spans="1:21" s="108" customFormat="1">
      <c r="A49" s="110" t="s">
        <v>288</v>
      </c>
      <c r="B49" s="108" t="s">
        <v>120</v>
      </c>
      <c r="C49" s="108">
        <v>14</v>
      </c>
      <c r="D49" s="98">
        <v>10787</v>
      </c>
      <c r="F49"/>
      <c r="G49"/>
      <c r="H49"/>
      <c r="I49"/>
      <c r="J49"/>
      <c r="K49"/>
      <c r="L49"/>
      <c r="M49"/>
      <c r="N49"/>
      <c r="O49"/>
      <c r="P49"/>
      <c r="Q49"/>
      <c r="T49"/>
      <c r="U49"/>
    </row>
    <row r="50" spans="1:21">
      <c r="B50" t="s">
        <v>396</v>
      </c>
      <c r="C50">
        <v>365</v>
      </c>
      <c r="D50" s="99">
        <f>69520+69520+73691+73691</f>
        <v>286422</v>
      </c>
      <c r="F50" s="108"/>
      <c r="G50" s="108"/>
      <c r="H50" s="108"/>
      <c r="I50" s="108"/>
      <c r="J50" s="108"/>
      <c r="K50" s="108"/>
      <c r="L50" s="108"/>
      <c r="M50" s="108"/>
    </row>
    <row r="51" spans="1:21">
      <c r="A51" s="8" t="s">
        <v>54</v>
      </c>
      <c r="B51" s="108" t="s">
        <v>397</v>
      </c>
      <c r="C51" s="95">
        <v>-14</v>
      </c>
      <c r="D51" s="107">
        <f>ROUND(D50*C51/C50,0)</f>
        <v>-10986</v>
      </c>
      <c r="E51" s="42" t="s">
        <v>121</v>
      </c>
    </row>
    <row r="52" spans="1:21">
      <c r="B52" s="42" t="s">
        <v>331</v>
      </c>
      <c r="C52" s="42">
        <f>SUM(C49:C51)</f>
        <v>365</v>
      </c>
      <c r="D52" s="101">
        <f>SUM(D49:D51)</f>
        <v>286223</v>
      </c>
      <c r="O52" s="108"/>
      <c r="P52" s="108"/>
      <c r="Q52" s="108"/>
    </row>
    <row r="53" spans="1:21">
      <c r="D53"/>
    </row>
    <row r="54" spans="1:21">
      <c r="D54" s="97" t="s">
        <v>122</v>
      </c>
    </row>
    <row r="55" spans="1:21">
      <c r="A55" s="8" t="s">
        <v>289</v>
      </c>
      <c r="B55" t="s">
        <v>123</v>
      </c>
      <c r="C55">
        <f>30+19</f>
        <v>49</v>
      </c>
      <c r="D55" s="98">
        <f>36175</f>
        <v>36175</v>
      </c>
    </row>
    <row r="56" spans="1:21">
      <c r="B56" t="s">
        <v>420</v>
      </c>
      <c r="C56">
        <f>12+30+31+31+30+31+30+31+31+28+31+30+19</f>
        <v>365</v>
      </c>
      <c r="D56" s="99">
        <f>69520+69520+73691+73691</f>
        <v>286422</v>
      </c>
    </row>
    <row r="57" spans="1:21">
      <c r="A57" s="8" t="s">
        <v>43</v>
      </c>
      <c r="B57" t="s">
        <v>421</v>
      </c>
      <c r="C57" s="95">
        <f>-(30+19)</f>
        <v>-49</v>
      </c>
      <c r="D57" s="107">
        <f>ROUND(D56*C57/C56,0)</f>
        <v>-38451</v>
      </c>
      <c r="E57" s="42" t="s">
        <v>121</v>
      </c>
    </row>
    <row r="58" spans="1:21">
      <c r="B58" s="42" t="s">
        <v>331</v>
      </c>
      <c r="C58" s="42">
        <f>SUM(C55:C57)</f>
        <v>365</v>
      </c>
      <c r="D58" s="101">
        <f>SUM(D55:D57)</f>
        <v>284146</v>
      </c>
    </row>
    <row r="60" spans="1:21">
      <c r="B60" s="42" t="s">
        <v>287</v>
      </c>
      <c r="D60" s="101">
        <f>21020*2+44036</f>
        <v>86076</v>
      </c>
    </row>
    <row r="61" spans="1:21" ht="15.75" thickBot="1">
      <c r="D61" s="105">
        <f>D52+D58+D60</f>
        <v>656445</v>
      </c>
    </row>
    <row r="62" spans="1:21" ht="15.75" thickTop="1">
      <c r="D62" s="112"/>
    </row>
    <row r="63" spans="1:21">
      <c r="A63" s="8">
        <v>9</v>
      </c>
      <c r="B63" s="42" t="s">
        <v>131</v>
      </c>
      <c r="D63" s="106" t="s">
        <v>290</v>
      </c>
    </row>
    <row r="64" spans="1:21">
      <c r="B64" t="s">
        <v>132</v>
      </c>
      <c r="C64">
        <v>1</v>
      </c>
      <c r="D64" s="99">
        <f>9385+5000</f>
        <v>14385</v>
      </c>
    </row>
    <row r="65" spans="1:8">
      <c r="B65" t="s">
        <v>432</v>
      </c>
      <c r="C65">
        <v>12</v>
      </c>
      <c r="D65" s="99">
        <f>21000*6</f>
        <v>126000</v>
      </c>
    </row>
    <row r="66" spans="1:8">
      <c r="A66" s="8" t="s">
        <v>54</v>
      </c>
      <c r="B66" t="s">
        <v>433</v>
      </c>
      <c r="C66" s="95">
        <v>-1</v>
      </c>
      <c r="D66" s="107">
        <f>ROUND(D65*C66/C65,0)</f>
        <v>-10500</v>
      </c>
      <c r="E66" s="42" t="s">
        <v>121</v>
      </c>
    </row>
    <row r="67" spans="1:8">
      <c r="B67" s="42" t="s">
        <v>282</v>
      </c>
      <c r="C67" s="42">
        <f>SUM(C64:C66)</f>
        <v>12</v>
      </c>
      <c r="D67" s="101">
        <f>SUM(D64:D66)</f>
        <v>129885</v>
      </c>
      <c r="E67" s="42"/>
      <c r="F67" s="113"/>
    </row>
    <row r="68" spans="1:8">
      <c r="D68" s="109"/>
      <c r="E68" s="42"/>
      <c r="F68" s="113"/>
    </row>
    <row r="69" spans="1:8">
      <c r="A69" s="8">
        <v>10</v>
      </c>
      <c r="B69" s="42" t="s">
        <v>26</v>
      </c>
      <c r="F69" s="113"/>
    </row>
    <row r="70" spans="1:8">
      <c r="B70" t="s">
        <v>323</v>
      </c>
      <c r="D70" s="101">
        <v>6300</v>
      </c>
      <c r="E70" s="42" t="s">
        <v>133</v>
      </c>
    </row>
    <row r="72" spans="1:8">
      <c r="A72" s="8">
        <v>11</v>
      </c>
      <c r="B72" s="89" t="s">
        <v>263</v>
      </c>
      <c r="D72" s="101" t="s">
        <v>274</v>
      </c>
      <c r="F72" s="42" t="s">
        <v>275</v>
      </c>
    </row>
    <row r="73" spans="1:8">
      <c r="B73" t="s">
        <v>264</v>
      </c>
      <c r="D73" s="99">
        <f>PL!H26</f>
        <v>2421</v>
      </c>
      <c r="F73" s="23">
        <f>D73</f>
        <v>2421</v>
      </c>
    </row>
    <row r="74" spans="1:8">
      <c r="B74" t="s">
        <v>296</v>
      </c>
      <c r="D74" s="99">
        <f>PL!G27+PL!G33</f>
        <v>261150</v>
      </c>
      <c r="F74" s="23">
        <f t="shared" ref="F74:F76" si="10">D74</f>
        <v>261150</v>
      </c>
    </row>
    <row r="75" spans="1:8">
      <c r="B75" t="s">
        <v>297</v>
      </c>
      <c r="D75" s="100">
        <f>PL!H36</f>
        <v>3000</v>
      </c>
      <c r="F75" s="94">
        <f t="shared" si="10"/>
        <v>3000</v>
      </c>
    </row>
    <row r="76" spans="1:8">
      <c r="B76" s="42" t="s">
        <v>265</v>
      </c>
      <c r="D76" s="102">
        <f>SUM(D73:D75)</f>
        <v>266571</v>
      </c>
      <c r="F76" s="94">
        <f t="shared" si="10"/>
        <v>266571</v>
      </c>
      <c r="G76" s="23">
        <f>F83-5280</f>
        <v>55710</v>
      </c>
      <c r="H76" s="23"/>
    </row>
    <row r="77" spans="1:8">
      <c r="B77" t="s">
        <v>266</v>
      </c>
      <c r="C77" s="91">
        <v>0.1</v>
      </c>
      <c r="D77" s="99">
        <v>1000</v>
      </c>
      <c r="F77" s="23"/>
    </row>
    <row r="78" spans="1:8">
      <c r="B78" t="s">
        <v>267</v>
      </c>
      <c r="C78" s="91">
        <v>0.2</v>
      </c>
      <c r="D78" s="99">
        <v>2000</v>
      </c>
    </row>
    <row r="79" spans="1:8">
      <c r="B79" t="s">
        <v>268</v>
      </c>
      <c r="C79" s="91">
        <v>0.3</v>
      </c>
      <c r="D79" s="100">
        <f>ROUND((D76-20000)*30%,0)</f>
        <v>73971</v>
      </c>
      <c r="E79" s="91">
        <v>0.22</v>
      </c>
      <c r="F79" s="90">
        <f>ROUND(F76*E79,0)</f>
        <v>58646</v>
      </c>
    </row>
    <row r="80" spans="1:8">
      <c r="B80" t="s">
        <v>269</v>
      </c>
      <c r="D80" s="99">
        <f>SUM(D77:D79)</f>
        <v>76971</v>
      </c>
      <c r="F80" s="23">
        <f>SUM(F77:F79)</f>
        <v>58646</v>
      </c>
    </row>
    <row r="81" spans="1:6">
      <c r="B81" t="s">
        <v>270</v>
      </c>
      <c r="C81" s="91">
        <v>0.04</v>
      </c>
      <c r="D81" s="100">
        <f>ROUND(D80*C81,0)</f>
        <v>3079</v>
      </c>
      <c r="E81" s="91">
        <v>0.04</v>
      </c>
      <c r="F81" s="90">
        <f>ROUND(F80*E81,0)</f>
        <v>2346</v>
      </c>
    </row>
    <row r="82" spans="1:6">
      <c r="B82" t="s">
        <v>259</v>
      </c>
      <c r="D82" s="103">
        <f>SUM(D80:D81)</f>
        <v>80050</v>
      </c>
      <c r="F82" s="92">
        <f>SUM(F80:F81)</f>
        <v>60992</v>
      </c>
    </row>
    <row r="83" spans="1:6" ht="15.75" thickBot="1">
      <c r="B83" s="89" t="s">
        <v>271</v>
      </c>
      <c r="D83" s="104">
        <f>ROUND(D82,-1)+660</f>
        <v>80710</v>
      </c>
      <c r="F83" s="96">
        <f>ROUND(F82,-1)</f>
        <v>60990</v>
      </c>
    </row>
    <row r="84" spans="1:6" ht="15.75" thickTop="1">
      <c r="B84" s="93" t="s">
        <v>272</v>
      </c>
      <c r="D84" s="99">
        <f>BS!G33</f>
        <v>53000</v>
      </c>
      <c r="F84" s="23">
        <f>D84</f>
        <v>53000</v>
      </c>
    </row>
    <row r="85" spans="1:6">
      <c r="B85" s="93" t="s">
        <v>273</v>
      </c>
      <c r="D85" s="100">
        <f>BS!G32</f>
        <v>26115</v>
      </c>
      <c r="F85" s="94">
        <f>D85</f>
        <v>26115</v>
      </c>
    </row>
    <row r="86" spans="1:6">
      <c r="B86" s="93" t="s">
        <v>278</v>
      </c>
      <c r="D86" s="101">
        <f>SUM(D84:D85)</f>
        <v>79115</v>
      </c>
      <c r="F86" s="2">
        <f>SUM(F84:F85)</f>
        <v>79115</v>
      </c>
    </row>
    <row r="87" spans="1:6" ht="15.75" thickBot="1">
      <c r="B87" s="89" t="s">
        <v>276</v>
      </c>
      <c r="C87" s="42"/>
      <c r="D87" s="105">
        <f>D83-D86</f>
        <v>1595</v>
      </c>
      <c r="E87" s="42" t="s">
        <v>277</v>
      </c>
      <c r="F87" s="88">
        <f>F83-F86</f>
        <v>-18125</v>
      </c>
    </row>
    <row r="88" spans="1:6" ht="15.75" thickTop="1"/>
    <row r="90" spans="1:6">
      <c r="A90" s="8">
        <v>12</v>
      </c>
      <c r="B90" s="42" t="s">
        <v>398</v>
      </c>
    </row>
    <row r="91" spans="1:6">
      <c r="B91" t="s">
        <v>399</v>
      </c>
      <c r="C91">
        <f>18+30+31+13</f>
        <v>92</v>
      </c>
      <c r="D91" s="109">
        <v>48240</v>
      </c>
    </row>
    <row r="92" spans="1:6">
      <c r="B92" t="s">
        <v>400</v>
      </c>
      <c r="C92">
        <v>18</v>
      </c>
      <c r="D92" s="99">
        <f>ROUND(C92*D91/C91,0)</f>
        <v>9438</v>
      </c>
      <c r="E92" s="42" t="s">
        <v>133</v>
      </c>
    </row>
  </sheetData>
  <mergeCells count="1">
    <mergeCell ref="G2:M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opLeftCell="A3" workbookViewId="0">
      <selection activeCell="G6" sqref="G6"/>
    </sheetView>
  </sheetViews>
  <sheetFormatPr defaultRowHeight="15"/>
  <cols>
    <col min="1" max="1" width="6.28515625" bestFit="1" customWidth="1"/>
    <col min="2" max="2" width="9" bestFit="1" customWidth="1"/>
    <col min="3" max="3" width="7.42578125" bestFit="1" customWidth="1"/>
    <col min="4" max="4" width="9" bestFit="1" customWidth="1"/>
    <col min="5" max="5" width="8.28515625" bestFit="1" customWidth="1"/>
    <col min="12" max="12" width="24.42578125" bestFit="1" customWidth="1"/>
    <col min="13" max="13" width="6.5703125" bestFit="1" customWidth="1"/>
    <col min="14" max="14" width="11.5703125" bestFit="1" customWidth="1"/>
    <col min="15" max="15" width="7.42578125" bestFit="1" customWidth="1"/>
    <col min="16" max="16" width="12.28515625" bestFit="1" customWidth="1"/>
  </cols>
  <sheetData>
    <row r="1" spans="1:16">
      <c r="A1" s="114" t="s">
        <v>214</v>
      </c>
      <c r="B1" s="114" t="s">
        <v>215</v>
      </c>
      <c r="C1" s="114" t="s">
        <v>223</v>
      </c>
      <c r="D1" s="114" t="s">
        <v>224</v>
      </c>
      <c r="E1" s="114" t="s">
        <v>292</v>
      </c>
    </row>
    <row r="2" spans="1:16">
      <c r="A2" s="114">
        <v>5669</v>
      </c>
      <c r="B2" s="80">
        <v>11</v>
      </c>
      <c r="C2" s="80">
        <v>0</v>
      </c>
      <c r="D2" s="80">
        <f>+B2-C2</f>
        <v>11</v>
      </c>
      <c r="E2" s="13" t="s">
        <v>291</v>
      </c>
      <c r="L2" s="42" t="s">
        <v>311</v>
      </c>
      <c r="M2" s="42"/>
      <c r="N2" s="42" t="s">
        <v>274</v>
      </c>
      <c r="O2" s="42"/>
      <c r="P2" s="42" t="s">
        <v>275</v>
      </c>
    </row>
    <row r="3" spans="1:16">
      <c r="A3" s="114">
        <v>5669</v>
      </c>
      <c r="B3" s="80">
        <v>9</v>
      </c>
      <c r="C3" s="80">
        <v>0</v>
      </c>
      <c r="D3" s="80">
        <f t="shared" ref="D3:D22" si="0">+B3-C3</f>
        <v>9</v>
      </c>
      <c r="E3" s="13" t="s">
        <v>291</v>
      </c>
      <c r="L3" t="s">
        <v>264</v>
      </c>
      <c r="N3" s="1">
        <v>2245</v>
      </c>
      <c r="P3" s="1">
        <v>2245</v>
      </c>
    </row>
    <row r="4" spans="1:16">
      <c r="A4" s="114">
        <v>5669</v>
      </c>
      <c r="B4" s="80">
        <v>25</v>
      </c>
      <c r="C4" s="80">
        <v>0</v>
      </c>
      <c r="D4" s="80">
        <f t="shared" si="0"/>
        <v>25</v>
      </c>
      <c r="E4" s="13" t="s">
        <v>291</v>
      </c>
      <c r="L4" t="s">
        <v>296</v>
      </c>
      <c r="N4" s="1">
        <v>186979</v>
      </c>
      <c r="P4" s="1">
        <v>186979</v>
      </c>
    </row>
    <row r="5" spans="1:16">
      <c r="A5" s="114">
        <v>5669</v>
      </c>
      <c r="B5" s="80">
        <v>8</v>
      </c>
      <c r="C5" s="80">
        <v>0</v>
      </c>
      <c r="D5" s="80">
        <f t="shared" si="0"/>
        <v>8</v>
      </c>
      <c r="E5" s="13" t="s">
        <v>291</v>
      </c>
      <c r="L5" t="s">
        <v>297</v>
      </c>
      <c r="N5" s="90">
        <v>25001.699999999997</v>
      </c>
      <c r="P5" s="90">
        <v>25001.699999999997</v>
      </c>
    </row>
    <row r="6" spans="1:16">
      <c r="A6" s="114">
        <v>4076</v>
      </c>
      <c r="B6" s="80">
        <v>16995</v>
      </c>
      <c r="C6" s="80">
        <v>0</v>
      </c>
      <c r="D6" s="80">
        <f t="shared" si="0"/>
        <v>16995</v>
      </c>
      <c r="E6" s="13" t="s">
        <v>216</v>
      </c>
      <c r="L6" t="s">
        <v>265</v>
      </c>
      <c r="N6" s="1">
        <f>SUM(N3:N5)</f>
        <v>214225.7</v>
      </c>
      <c r="P6" s="1">
        <f>SUM(P3:P5)</f>
        <v>214225.7</v>
      </c>
    </row>
    <row r="7" spans="1:16">
      <c r="A7" s="114">
        <v>4075</v>
      </c>
      <c r="B7" s="80">
        <v>5670</v>
      </c>
      <c r="C7" s="80">
        <v>0</v>
      </c>
      <c r="D7" s="80">
        <f t="shared" si="0"/>
        <v>5670</v>
      </c>
      <c r="E7" s="13" t="s">
        <v>219</v>
      </c>
      <c r="L7" t="s">
        <v>266</v>
      </c>
      <c r="M7" s="124">
        <v>0.1</v>
      </c>
      <c r="N7" s="1">
        <v>1000</v>
      </c>
      <c r="P7" s="1"/>
    </row>
    <row r="8" spans="1:16">
      <c r="A8" s="114">
        <v>5097</v>
      </c>
      <c r="B8" s="80">
        <v>12831</v>
      </c>
      <c r="C8" s="80">
        <v>0</v>
      </c>
      <c r="D8" s="80">
        <f t="shared" si="0"/>
        <v>12831</v>
      </c>
      <c r="E8" s="13" t="s">
        <v>219</v>
      </c>
      <c r="L8" t="s">
        <v>267</v>
      </c>
      <c r="M8" s="124">
        <v>0.2</v>
      </c>
      <c r="N8" s="1">
        <v>2000</v>
      </c>
      <c r="P8" s="1"/>
    </row>
    <row r="9" spans="1:16">
      <c r="A9" s="114">
        <v>6861</v>
      </c>
      <c r="B9" s="80">
        <v>287</v>
      </c>
      <c r="C9" s="80">
        <v>0</v>
      </c>
      <c r="D9" s="80">
        <f t="shared" si="0"/>
        <v>287</v>
      </c>
      <c r="E9" s="13" t="s">
        <v>219</v>
      </c>
      <c r="L9" t="s">
        <v>268</v>
      </c>
      <c r="M9" s="124">
        <v>0.3</v>
      </c>
      <c r="N9" s="90">
        <v>58268</v>
      </c>
      <c r="O9" s="124">
        <v>0.22</v>
      </c>
      <c r="P9" s="90">
        <v>47130</v>
      </c>
    </row>
    <row r="10" spans="1:16">
      <c r="A10" s="114">
        <v>3673</v>
      </c>
      <c r="B10" s="80">
        <v>21568</v>
      </c>
      <c r="C10" s="80">
        <v>5741</v>
      </c>
      <c r="D10" s="80">
        <f t="shared" si="0"/>
        <v>15827</v>
      </c>
      <c r="E10" s="13" t="s">
        <v>219</v>
      </c>
      <c r="L10" t="s">
        <v>269</v>
      </c>
      <c r="M10" s="124"/>
      <c r="N10" s="1">
        <f>SUM(N7:N9)</f>
        <v>61268</v>
      </c>
      <c r="P10" s="1">
        <f>SUM(P7:P9)</f>
        <v>47130</v>
      </c>
    </row>
    <row r="11" spans="1:16">
      <c r="A11" s="114">
        <v>6860</v>
      </c>
      <c r="B11" s="80">
        <v>168</v>
      </c>
      <c r="C11" s="80">
        <v>17</v>
      </c>
      <c r="D11" s="80">
        <f t="shared" si="0"/>
        <v>151</v>
      </c>
      <c r="E11" s="13" t="s">
        <v>216</v>
      </c>
      <c r="L11" t="s">
        <v>308</v>
      </c>
      <c r="M11" s="124">
        <v>0.1</v>
      </c>
      <c r="N11" s="90">
        <v>0</v>
      </c>
      <c r="P11" s="90">
        <f>ROUND(P10*10%,0)</f>
        <v>4713</v>
      </c>
    </row>
    <row r="12" spans="1:16">
      <c r="A12" s="114">
        <v>5098</v>
      </c>
      <c r="B12" s="80">
        <v>8456</v>
      </c>
      <c r="C12" s="80">
        <v>845</v>
      </c>
      <c r="D12" s="80">
        <f t="shared" si="0"/>
        <v>7611</v>
      </c>
      <c r="E12" s="13" t="s">
        <v>218</v>
      </c>
      <c r="M12" s="124"/>
      <c r="N12" s="1">
        <f>SUM(N10:N11)</f>
        <v>61268</v>
      </c>
      <c r="P12" s="1">
        <f>SUM(P10:P11)</f>
        <v>51843</v>
      </c>
    </row>
    <row r="13" spans="1:16">
      <c r="A13" s="114">
        <v>6862</v>
      </c>
      <c r="B13" s="80">
        <v>271</v>
      </c>
      <c r="C13" s="80">
        <v>27</v>
      </c>
      <c r="D13" s="80">
        <f t="shared" si="0"/>
        <v>244</v>
      </c>
      <c r="E13" s="13" t="s">
        <v>218</v>
      </c>
      <c r="L13" t="s">
        <v>270</v>
      </c>
      <c r="M13" s="124">
        <v>0.04</v>
      </c>
      <c r="N13" s="90">
        <f>ROUND(N12*4%,0)</f>
        <v>2451</v>
      </c>
      <c r="O13" s="124">
        <v>0.04</v>
      </c>
      <c r="P13" s="90">
        <f>ROUND(P12*4%,0)</f>
        <v>2074</v>
      </c>
    </row>
    <row r="14" spans="1:16">
      <c r="A14" s="114">
        <v>4077</v>
      </c>
      <c r="B14" s="80">
        <v>5670</v>
      </c>
      <c r="C14" s="80">
        <v>567</v>
      </c>
      <c r="D14" s="80">
        <f t="shared" si="0"/>
        <v>5103</v>
      </c>
      <c r="E14" s="13" t="s">
        <v>219</v>
      </c>
      <c r="L14" t="s">
        <v>259</v>
      </c>
      <c r="N14" s="1">
        <f>SUM(N12:N13)</f>
        <v>63719</v>
      </c>
      <c r="P14" s="1">
        <f>SUM(P12:P13)</f>
        <v>53917</v>
      </c>
    </row>
    <row r="15" spans="1:16" ht="15.75" thickBot="1">
      <c r="A15" s="114">
        <v>6864</v>
      </c>
      <c r="B15" s="80">
        <v>218</v>
      </c>
      <c r="C15" s="80">
        <v>22</v>
      </c>
      <c r="D15" s="80">
        <f t="shared" si="0"/>
        <v>196</v>
      </c>
      <c r="E15" s="13" t="s">
        <v>225</v>
      </c>
      <c r="L15" t="s">
        <v>271</v>
      </c>
      <c r="N15" s="9">
        <f>ROUND(N14,-1)</f>
        <v>63720</v>
      </c>
      <c r="O15" s="42"/>
      <c r="P15" s="9">
        <f>ROUND(P14,-1)</f>
        <v>53920</v>
      </c>
    </row>
    <row r="16" spans="1:16" ht="15.75" thickTop="1">
      <c r="A16" s="114">
        <v>4078</v>
      </c>
      <c r="B16" s="80">
        <v>16995</v>
      </c>
      <c r="C16" s="80">
        <v>1700</v>
      </c>
      <c r="D16" s="80">
        <f t="shared" si="0"/>
        <v>15295</v>
      </c>
      <c r="E16" s="13" t="s">
        <v>218</v>
      </c>
      <c r="K16" t="s">
        <v>54</v>
      </c>
      <c r="L16" t="s">
        <v>273</v>
      </c>
      <c r="N16" s="1">
        <v>18698</v>
      </c>
      <c r="P16" s="1">
        <v>18698</v>
      </c>
    </row>
    <row r="17" spans="1:16">
      <c r="A17" s="114">
        <v>5107</v>
      </c>
      <c r="B17" s="80">
        <v>7292</v>
      </c>
      <c r="C17" s="80">
        <v>729</v>
      </c>
      <c r="D17" s="80">
        <f t="shared" si="0"/>
        <v>6563</v>
      </c>
      <c r="E17" s="13" t="s">
        <v>218</v>
      </c>
      <c r="K17" t="s">
        <v>54</v>
      </c>
      <c r="L17" t="s">
        <v>309</v>
      </c>
      <c r="N17" s="90">
        <v>32800</v>
      </c>
      <c r="P17" s="90">
        <v>32800</v>
      </c>
    </row>
    <row r="18" spans="1:16">
      <c r="A18" s="114">
        <v>6863</v>
      </c>
      <c r="B18" s="80">
        <v>22</v>
      </c>
      <c r="C18" s="80">
        <v>2</v>
      </c>
      <c r="D18" s="80">
        <f t="shared" si="0"/>
        <v>20</v>
      </c>
      <c r="E18" s="13" t="s">
        <v>226</v>
      </c>
      <c r="N18" s="1">
        <f>SUM(N16:N17)</f>
        <v>51498</v>
      </c>
      <c r="P18" s="1">
        <f>SUM(P16:P17)</f>
        <v>51498</v>
      </c>
    </row>
    <row r="19" spans="1:16" ht="15.75" thickBot="1">
      <c r="A19" s="114">
        <v>5108</v>
      </c>
      <c r="B19" s="80">
        <v>7292</v>
      </c>
      <c r="C19" s="80">
        <v>729</v>
      </c>
      <c r="D19" s="80">
        <f t="shared" si="0"/>
        <v>6563</v>
      </c>
      <c r="E19" s="13" t="s">
        <v>218</v>
      </c>
      <c r="L19" t="s">
        <v>310</v>
      </c>
      <c r="N19" s="9">
        <f>N15-N18</f>
        <v>12222</v>
      </c>
      <c r="P19" s="9">
        <f>P15-P18</f>
        <v>2422</v>
      </c>
    </row>
    <row r="20" spans="1:16" ht="15.75" thickTop="1">
      <c r="A20" s="116">
        <v>5669</v>
      </c>
      <c r="B20" s="117">
        <v>17785</v>
      </c>
      <c r="C20" s="117">
        <v>1779</v>
      </c>
      <c r="D20" s="117">
        <f t="shared" si="0"/>
        <v>16006</v>
      </c>
      <c r="E20" s="13" t="s">
        <v>291</v>
      </c>
    </row>
    <row r="21" spans="1:16">
      <c r="A21" s="114">
        <v>2984</v>
      </c>
      <c r="B21" s="80">
        <v>30</v>
      </c>
      <c r="C21" s="80">
        <v>3</v>
      </c>
      <c r="D21" s="80">
        <f t="shared" si="0"/>
        <v>27</v>
      </c>
      <c r="E21" s="13" t="s">
        <v>217</v>
      </c>
    </row>
    <row r="22" spans="1:16">
      <c r="A22" s="114">
        <v>405</v>
      </c>
      <c r="B22" s="80">
        <v>65376</v>
      </c>
      <c r="C22" s="80">
        <v>6537</v>
      </c>
      <c r="D22" s="80">
        <f t="shared" si="0"/>
        <v>58839</v>
      </c>
      <c r="E22" s="13" t="s">
        <v>216</v>
      </c>
    </row>
    <row r="23" spans="1:16">
      <c r="A23" s="115" t="s">
        <v>10</v>
      </c>
      <c r="B23" s="118">
        <f>SUM(B2:B22)</f>
        <v>186979</v>
      </c>
      <c r="C23" s="118">
        <f t="shared" ref="C23:D23" si="1">SUM(C2:C22)</f>
        <v>18698</v>
      </c>
      <c r="D23" s="118">
        <f t="shared" si="1"/>
        <v>168281</v>
      </c>
    </row>
    <row r="24" spans="1:16">
      <c r="B24" s="42"/>
      <c r="C24" s="4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BS</vt:lpstr>
      <vt:lpstr>PL</vt:lpstr>
      <vt:lpstr>Sch 1</vt:lpstr>
      <vt:lpstr>Sch 2</vt:lpstr>
      <vt:lpstr>Sch 3&amp;7</vt:lpstr>
      <vt:lpstr>Sch 4,6</vt:lpstr>
      <vt:lpstr>Sch 5</vt:lpstr>
      <vt:lpstr>Sch 8 &amp; 9</vt:lpstr>
      <vt:lpstr>BRS</vt:lpstr>
      <vt:lpstr>Workings</vt:lpstr>
      <vt:lpstr>Fd int Working</vt:lpstr>
      <vt:lpstr>BS!Print_Area</vt:lpstr>
      <vt:lpstr>PL!Print_Area</vt:lpstr>
      <vt:lpstr>'Sch 1'!Print_Area</vt:lpstr>
      <vt:lpstr>'Sch 2'!Print_Area</vt:lpstr>
      <vt:lpstr>'Sch 3&amp;7'!Print_Area</vt:lpstr>
      <vt:lpstr>'Sch 4,6'!Print_Area</vt:lpstr>
      <vt:lpstr>'Sch 5'!Print_Area</vt:lpstr>
      <vt:lpstr>'Sch 8 &amp; 9'!Print_Area</vt:lpstr>
      <vt:lpstr>'Sch 3&amp;7'!Print_Titles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</cp:lastModifiedBy>
  <cp:lastPrinted>2025-08-19T18:17:56Z</cp:lastPrinted>
  <dcterms:created xsi:type="dcterms:W3CDTF">2015-06-05T18:17:20Z</dcterms:created>
  <dcterms:modified xsi:type="dcterms:W3CDTF">2025-08-20T06:52:47Z</dcterms:modified>
</cp:coreProperties>
</file>