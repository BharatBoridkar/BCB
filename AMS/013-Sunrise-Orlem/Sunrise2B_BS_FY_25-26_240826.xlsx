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HARAT\2025-2026\BCB\AMS\013-Sunrise-Orlem\"/>
    </mc:Choice>
  </mc:AlternateContent>
  <xr:revisionPtr revIDLastSave="0" documentId="13_ncr:1_{FFDC210A-E161-470E-B58D-0BD3823FC7F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BS 25-26" sheetId="2" r:id="rId1"/>
    <sheet name="I&amp;E 25-26" sheetId="1" r:id="rId2"/>
    <sheet name="Fixed Deposit" sheetId="13" r:id="rId3"/>
    <sheet name="Assets " sheetId="11" r:id="rId4"/>
    <sheet name="Mem os" sheetId="14" r:id="rId5"/>
    <sheet name="Sch" sheetId="15" r:id="rId6"/>
    <sheet name="BRS" sheetId="16" r:id="rId7"/>
    <sheet name="Builder Ac" sheetId="17" r:id="rId8"/>
    <sheet name="working" sheetId="12" r:id="rId9"/>
    <sheet name="Assets" sheetId="5" state="hidden" r:id="rId10"/>
    <sheet name="Sheet2" sheetId="10" state="hidden" r:id="rId11"/>
    <sheet name="Sheet1" sheetId="9" state="hidden" r:id="rId12"/>
    <sheet name="Interest" sheetId="6" state="hidden" r:id="rId13"/>
  </sheets>
  <definedNames>
    <definedName name="_xlnm._FilterDatabase" localSheetId="11" hidden="1">Sheet1!$A$3:$E$61</definedName>
    <definedName name="_xlnm.Print_Area" localSheetId="3">'Assets '!$A$1:$I$14</definedName>
    <definedName name="_xlnm.Print_Area" localSheetId="0">'BS 25-26'!$A$1:$P$50</definedName>
    <definedName name="_xlnm.Print_Area" localSheetId="1">'I&amp;E 25-26'!$A$1:$P$107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1" l="1"/>
  <c r="F14" i="2"/>
  <c r="H10" i="17" l="1"/>
  <c r="E8" i="17" s="1"/>
  <c r="H9" i="17"/>
  <c r="H11" i="17" s="1"/>
  <c r="H7" i="17"/>
  <c r="L22" i="12"/>
  <c r="D19" i="15"/>
  <c r="E30" i="17"/>
  <c r="E28" i="17"/>
  <c r="E29" i="17"/>
  <c r="E18" i="17"/>
  <c r="E23" i="17"/>
  <c r="E20" i="17"/>
  <c r="E19" i="17"/>
  <c r="E26" i="17"/>
  <c r="E25" i="17"/>
  <c r="G39" i="1"/>
  <c r="G44" i="1"/>
  <c r="G45" i="1" l="1"/>
  <c r="G48" i="1"/>
  <c r="G46" i="1"/>
  <c r="G43" i="1"/>
  <c r="G40" i="1"/>
  <c r="G42" i="1"/>
  <c r="F13" i="2" l="1"/>
  <c r="J12" i="13"/>
  <c r="E12" i="13"/>
  <c r="F12" i="13"/>
  <c r="D12" i="13"/>
  <c r="J28" i="13"/>
  <c r="E28" i="13"/>
  <c r="F28" i="13"/>
  <c r="D28" i="13"/>
  <c r="J23" i="13"/>
  <c r="E23" i="13"/>
  <c r="O39" i="1" s="1"/>
  <c r="F17" i="2" s="1"/>
  <c r="F23" i="13"/>
  <c r="D23" i="13"/>
  <c r="F7" i="13"/>
  <c r="E7" i="13"/>
  <c r="D7" i="13"/>
  <c r="P31" i="2" l="1"/>
  <c r="D31" i="17"/>
  <c r="E31" i="17"/>
  <c r="E32" i="13"/>
  <c r="F32" i="13"/>
  <c r="G32" i="13"/>
  <c r="F48" i="13"/>
  <c r="E46" i="13"/>
  <c r="E32" i="17" l="1"/>
  <c r="P32" i="2"/>
  <c r="G43" i="2" l="1"/>
  <c r="O19" i="1"/>
  <c r="F47" i="2" l="1"/>
  <c r="G41" i="1"/>
  <c r="D15" i="15" l="1"/>
  <c r="K22" i="12"/>
  <c r="M22" i="12" s="1"/>
  <c r="F47" i="13"/>
  <c r="E34" i="13" l="1"/>
  <c r="D20" i="15"/>
  <c r="H10" i="11"/>
  <c r="H8" i="11"/>
  <c r="H7" i="11"/>
  <c r="A50" i="2" l="1"/>
  <c r="O9" i="2"/>
  <c r="O8" i="2"/>
  <c r="O7" i="2"/>
  <c r="P9" i="2" l="1"/>
  <c r="G56" i="1"/>
  <c r="G55" i="1"/>
  <c r="G54" i="1"/>
  <c r="G53" i="1"/>
  <c r="G52" i="1"/>
  <c r="H48" i="1"/>
  <c r="H56" i="1" l="1"/>
  <c r="D26" i="16"/>
  <c r="D18" i="16"/>
  <c r="H8" i="16" l="1"/>
  <c r="D7" i="16" s="1"/>
  <c r="G8" i="16"/>
  <c r="D9" i="16" s="1"/>
  <c r="D11" i="16" l="1"/>
  <c r="O16" i="1"/>
  <c r="O18" i="1"/>
  <c r="G15" i="13"/>
  <c r="P23" i="1" l="1"/>
  <c r="C20" i="15"/>
  <c r="G41" i="2"/>
  <c r="F15" i="2"/>
  <c r="D20" i="14" l="1"/>
  <c r="G39" i="2" s="1"/>
  <c r="P38" i="2"/>
  <c r="P24" i="2"/>
  <c r="D9" i="14"/>
  <c r="P30" i="2" s="1"/>
  <c r="I10" i="11"/>
  <c r="G12" i="1"/>
  <c r="B5" i="12"/>
  <c r="D5" i="12" s="1"/>
  <c r="E4" i="12"/>
  <c r="G10" i="11"/>
  <c r="O38" i="1"/>
  <c r="O37" i="1"/>
  <c r="O36" i="1"/>
  <c r="F34" i="13"/>
  <c r="F11" i="11"/>
  <c r="E11" i="11"/>
  <c r="D11" i="11"/>
  <c r="E9" i="11"/>
  <c r="H9" i="11" s="1"/>
  <c r="H11" i="11" s="1"/>
  <c r="C22" i="12"/>
  <c r="D22" i="12" s="1"/>
  <c r="D21" i="12"/>
  <c r="D18" i="12"/>
  <c r="C19" i="12"/>
  <c r="D19" i="12" s="1"/>
  <c r="C13" i="12"/>
  <c r="D13" i="12" s="1"/>
  <c r="C10" i="12"/>
  <c r="D10" i="12" s="1"/>
  <c r="C16" i="12"/>
  <c r="D16" i="12" s="1"/>
  <c r="D15" i="12"/>
  <c r="D12" i="12"/>
  <c r="D9" i="12"/>
  <c r="D2" i="12"/>
  <c r="B3" i="12"/>
  <c r="D3" i="12" s="1"/>
  <c r="E19" i="12" l="1"/>
  <c r="E10" i="12"/>
  <c r="F22" i="2"/>
  <c r="F27" i="2"/>
  <c r="F32" i="2"/>
  <c r="P39" i="1"/>
  <c r="G36" i="1"/>
  <c r="D4" i="12"/>
  <c r="E5" i="12" s="1"/>
  <c r="G9" i="11"/>
  <c r="E22" i="12"/>
  <c r="E16" i="12"/>
  <c r="E13" i="12"/>
  <c r="G50" i="13"/>
  <c r="G51" i="13" s="1"/>
  <c r="F50" i="13"/>
  <c r="F51" i="13" s="1"/>
  <c r="P62" i="1" l="1"/>
  <c r="I9" i="11"/>
  <c r="G27" i="13"/>
  <c r="G28" i="13" s="1"/>
  <c r="O15" i="2"/>
  <c r="H48" i="13"/>
  <c r="G48" i="13"/>
  <c r="H27" i="13" l="1"/>
  <c r="H28" i="13" s="1"/>
  <c r="G47" i="13"/>
  <c r="H15" i="13"/>
  <c r="K40" i="13"/>
  <c r="H40" i="13"/>
  <c r="D40" i="13"/>
  <c r="K39" i="13"/>
  <c r="H39" i="13"/>
  <c r="D39" i="13"/>
  <c r="K38" i="13"/>
  <c r="H38" i="13"/>
  <c r="D38" i="13"/>
  <c r="J32" i="13"/>
  <c r="D32" i="13"/>
  <c r="O12" i="2"/>
  <c r="G22" i="13"/>
  <c r="H22" i="13" s="1"/>
  <c r="G21" i="13"/>
  <c r="H21" i="13" s="1"/>
  <c r="G20" i="13"/>
  <c r="H20" i="13" s="1"/>
  <c r="G19" i="13"/>
  <c r="H19" i="13" s="1"/>
  <c r="G18" i="13"/>
  <c r="H18" i="13" s="1"/>
  <c r="G17" i="13"/>
  <c r="O14" i="2"/>
  <c r="G11" i="13"/>
  <c r="H11" i="13" s="1"/>
  <c r="G10" i="13"/>
  <c r="J7" i="13"/>
  <c r="G6" i="13"/>
  <c r="H6" i="13" s="1"/>
  <c r="G5" i="13"/>
  <c r="G12" i="13" l="1"/>
  <c r="O16" i="2"/>
  <c r="D34" i="13"/>
  <c r="H5" i="13"/>
  <c r="G7" i="13"/>
  <c r="G23" i="13"/>
  <c r="H10" i="13"/>
  <c r="H12" i="13" s="1"/>
  <c r="P6" i="13" s="1"/>
  <c r="O13" i="2"/>
  <c r="J34" i="13"/>
  <c r="H17" i="13"/>
  <c r="H31" i="13"/>
  <c r="H32" i="13" s="1"/>
  <c r="P8" i="13" s="1"/>
  <c r="H7" i="13"/>
  <c r="P5" i="13" s="1"/>
  <c r="G34" i="13" l="1"/>
  <c r="H23" i="13"/>
  <c r="P7" i="13" s="1"/>
  <c r="P9" i="13" s="1"/>
  <c r="O18" i="2"/>
  <c r="P18" i="2" s="1"/>
  <c r="H34" i="13" l="1"/>
  <c r="F46" i="2"/>
  <c r="F30" i="2"/>
  <c r="F25" i="2"/>
  <c r="F20" i="2"/>
  <c r="G8" i="11"/>
  <c r="G11" i="11" s="1"/>
  <c r="G7" i="11"/>
  <c r="I7" i="11" l="1"/>
  <c r="I8" i="11"/>
  <c r="I11" i="11" l="1"/>
  <c r="P27" i="2" s="1"/>
  <c r="P50" i="2" s="1"/>
  <c r="H36" i="1" l="1"/>
  <c r="I50" i="2" l="1"/>
  <c r="V50" i="2" s="1"/>
  <c r="G36" i="2"/>
  <c r="G9" i="2"/>
  <c r="Q8" i="13" s="1"/>
  <c r="R8" i="13" s="1"/>
  <c r="G7" i="2"/>
  <c r="F31" i="2"/>
  <c r="G33" i="2" s="1"/>
  <c r="F16" i="2"/>
  <c r="A62" i="1"/>
  <c r="E9" i="5" l="1"/>
  <c r="E5" i="5"/>
  <c r="G19" i="5" l="1"/>
  <c r="E19" i="5"/>
  <c r="G18" i="5" l="1"/>
  <c r="G17" i="5"/>
  <c r="G16" i="5"/>
  <c r="G15" i="5"/>
  <c r="G14" i="5"/>
  <c r="G13" i="5"/>
  <c r="G12" i="5"/>
  <c r="G11" i="5"/>
  <c r="G10" i="5"/>
  <c r="G9" i="5"/>
  <c r="G8" i="5"/>
  <c r="G7" i="5"/>
  <c r="G6" i="5"/>
  <c r="R74" i="2" l="1"/>
  <c r="Q74" i="2"/>
  <c r="E20" i="5" l="1"/>
  <c r="F19" i="5"/>
  <c r="D20" i="5"/>
  <c r="M11" i="5"/>
  <c r="L12" i="5"/>
  <c r="M12" i="5" s="1"/>
  <c r="F26" i="2"/>
  <c r="G27" i="2" s="1"/>
  <c r="Q6" i="13" s="1"/>
  <c r="R6" i="13" s="1"/>
  <c r="C43" i="6"/>
  <c r="C44" i="6" s="1"/>
  <c r="H41" i="6"/>
  <c r="E41" i="6"/>
  <c r="H40" i="6"/>
  <c r="E40" i="6"/>
  <c r="H39" i="6"/>
  <c r="E39" i="6"/>
  <c r="E38" i="6"/>
  <c r="F38" i="6" s="1"/>
  <c r="G38" i="6" s="1"/>
  <c r="E37" i="6"/>
  <c r="F37" i="6" s="1"/>
  <c r="G37" i="6" s="1"/>
  <c r="H36" i="6"/>
  <c r="E36" i="6"/>
  <c r="F36" i="6" s="1"/>
  <c r="G36" i="6" s="1"/>
  <c r="E35" i="6"/>
  <c r="E34" i="6"/>
  <c r="E33" i="6"/>
  <c r="F33" i="6" s="1"/>
  <c r="G33" i="6" s="1"/>
  <c r="E32" i="6"/>
  <c r="F32" i="6" s="1"/>
  <c r="G32" i="6" s="1"/>
  <c r="E31" i="6"/>
  <c r="F31" i="6" s="1"/>
  <c r="E30" i="6"/>
  <c r="E29" i="6"/>
  <c r="F29" i="6" s="1"/>
  <c r="G29" i="6" s="1"/>
  <c r="E28" i="6"/>
  <c r="F28" i="6" s="1"/>
  <c r="G28" i="6" s="1"/>
  <c r="E27" i="6"/>
  <c r="D26" i="6"/>
  <c r="E25" i="6"/>
  <c r="F25" i="6" s="1"/>
  <c r="G25" i="6" s="1"/>
  <c r="E24" i="6"/>
  <c r="E23" i="6"/>
  <c r="E22" i="6"/>
  <c r="F22" i="6" s="1"/>
  <c r="G22" i="6" s="1"/>
  <c r="E21" i="6"/>
  <c r="F21" i="6" s="1"/>
  <c r="G21" i="6" s="1"/>
  <c r="E20" i="6"/>
  <c r="E19" i="6"/>
  <c r="E18" i="6"/>
  <c r="F18" i="6" s="1"/>
  <c r="G18" i="6" s="1"/>
  <c r="E17" i="6"/>
  <c r="F17" i="6" s="1"/>
  <c r="G17" i="6" s="1"/>
  <c r="E16" i="6"/>
  <c r="E15" i="6"/>
  <c r="E14" i="6"/>
  <c r="F14" i="6" s="1"/>
  <c r="G14" i="6" s="1"/>
  <c r="E13" i="6"/>
  <c r="F13" i="6" s="1"/>
  <c r="G13" i="6" s="1"/>
  <c r="E12" i="6"/>
  <c r="E11" i="6"/>
  <c r="E10" i="6"/>
  <c r="F10" i="6" s="1"/>
  <c r="G10" i="6" s="1"/>
  <c r="E9" i="6"/>
  <c r="F9" i="6" s="1"/>
  <c r="G9" i="6" s="1"/>
  <c r="E8" i="6"/>
  <c r="E7" i="6"/>
  <c r="E6" i="6"/>
  <c r="F6" i="6" s="1"/>
  <c r="F21" i="2" l="1"/>
  <c r="G22" i="2" s="1"/>
  <c r="Q5" i="13" s="1"/>
  <c r="R5" i="13" s="1"/>
  <c r="M13" i="5"/>
  <c r="R8" i="2"/>
  <c r="H19" i="5"/>
  <c r="G16" i="6"/>
  <c r="G6" i="6"/>
  <c r="G20" i="6"/>
  <c r="F12" i="6"/>
  <c r="G12" i="6" s="1"/>
  <c r="F20" i="6"/>
  <c r="F7" i="6"/>
  <c r="F15" i="6"/>
  <c r="G15" i="6" s="1"/>
  <c r="F23" i="6"/>
  <c r="G23" i="6" s="1"/>
  <c r="G31" i="6"/>
  <c r="F34" i="6"/>
  <c r="G34" i="6" s="1"/>
  <c r="F39" i="6"/>
  <c r="G39" i="6" s="1"/>
  <c r="F41" i="6"/>
  <c r="G41" i="6" s="1"/>
  <c r="F16" i="6"/>
  <c r="F24" i="6"/>
  <c r="G24" i="6" s="1"/>
  <c r="F27" i="6"/>
  <c r="G27" i="6" s="1"/>
  <c r="F35" i="6"/>
  <c r="G35" i="6" s="1"/>
  <c r="F8" i="6"/>
  <c r="G8" i="6" s="1"/>
  <c r="F11" i="6"/>
  <c r="G11" i="6" s="1"/>
  <c r="F19" i="6"/>
  <c r="G19" i="6" s="1"/>
  <c r="F30" i="6"/>
  <c r="G30" i="6" s="1"/>
  <c r="F40" i="6"/>
  <c r="G40" i="6" s="1"/>
  <c r="E43" i="6"/>
  <c r="F18" i="5"/>
  <c r="H18" i="5" s="1"/>
  <c r="F17" i="5"/>
  <c r="F16" i="5"/>
  <c r="F15" i="5"/>
  <c r="F14" i="5"/>
  <c r="H14" i="5" s="1"/>
  <c r="F13" i="5"/>
  <c r="F12" i="5"/>
  <c r="F11" i="5"/>
  <c r="H11" i="5" s="1"/>
  <c r="F10" i="5"/>
  <c r="H10" i="5" s="1"/>
  <c r="F9" i="5"/>
  <c r="F8" i="5"/>
  <c r="F7" i="5"/>
  <c r="H7" i="5" s="1"/>
  <c r="F6" i="5"/>
  <c r="H6" i="5" s="1"/>
  <c r="F5" i="5"/>
  <c r="G5" i="5" s="1"/>
  <c r="G20" i="5" s="1"/>
  <c r="H60" i="1" l="1"/>
  <c r="F43" i="6"/>
  <c r="G7" i="6"/>
  <c r="F20" i="5"/>
  <c r="G43" i="6"/>
  <c r="H16" i="5"/>
  <c r="H12" i="5"/>
  <c r="H8" i="5"/>
  <c r="H5" i="5"/>
  <c r="H13" i="5"/>
  <c r="H15" i="5"/>
  <c r="H9" i="5"/>
  <c r="H17" i="5"/>
  <c r="H20" i="5" l="1"/>
  <c r="J62" i="1"/>
  <c r="G60" i="1" l="1"/>
  <c r="F48" i="2" s="1"/>
  <c r="G17" i="2"/>
  <c r="Q7" i="13" s="1"/>
  <c r="R7" i="13" s="1"/>
  <c r="Q102" i="2"/>
  <c r="Q70" i="2"/>
  <c r="Q9" i="13" l="1"/>
  <c r="R9" i="13"/>
  <c r="V100" i="2"/>
  <c r="R107" i="2"/>
  <c r="Q107" i="2"/>
  <c r="Q104" i="2"/>
  <c r="R105" i="2"/>
  <c r="G48" i="2" l="1"/>
  <c r="G50" i="2" l="1"/>
  <c r="W50" i="2" s="1"/>
  <c r="H62" i="1"/>
  <c r="V99" i="2" l="1"/>
  <c r="Q103" i="2"/>
</calcChain>
</file>

<file path=xl/sharedStrings.xml><?xml version="1.0" encoding="utf-8"?>
<sst xmlns="http://schemas.openxmlformats.org/spreadsheetml/2006/main" count="851" uniqueCount="605">
  <si>
    <t>EXPENDITURE</t>
  </si>
  <si>
    <t>INCOME</t>
  </si>
  <si>
    <t>Previous Year           Rs.</t>
  </si>
  <si>
    <t>Current Year  Rs.</t>
  </si>
  <si>
    <t>Property Expenses</t>
  </si>
  <si>
    <t>Members Contribution Towards</t>
  </si>
  <si>
    <t>Municipal Taxes</t>
  </si>
  <si>
    <t>Maintenance Charges</t>
  </si>
  <si>
    <t xml:space="preserve">Training &amp; Education </t>
  </si>
  <si>
    <t xml:space="preserve">Water Tanker Charges </t>
  </si>
  <si>
    <t xml:space="preserve">Non Occupancy Charges </t>
  </si>
  <si>
    <t xml:space="preserve">Pest Control Charges </t>
  </si>
  <si>
    <t xml:space="preserve">Sinking Fund </t>
  </si>
  <si>
    <t>Repair Fund</t>
  </si>
  <si>
    <t xml:space="preserve">Security Charges </t>
  </si>
  <si>
    <t>Insurance Charges</t>
  </si>
  <si>
    <t>Audit Fees</t>
  </si>
  <si>
    <t>Printing &amp; Stationery</t>
  </si>
  <si>
    <t xml:space="preserve">Postage &amp; Courier Charges </t>
  </si>
  <si>
    <t xml:space="preserve">Accounting Charges </t>
  </si>
  <si>
    <t>Meeting Expenses</t>
  </si>
  <si>
    <t>Depreciation</t>
  </si>
  <si>
    <t>Training &amp; Education Fund</t>
  </si>
  <si>
    <t>AS PER OUR REPORT OF EVEN DATE</t>
  </si>
  <si>
    <t>Chairman              Secretary             Treasurer</t>
  </si>
  <si>
    <t>LIABILITIES</t>
  </si>
  <si>
    <t>ASSETS</t>
  </si>
  <si>
    <t>Previous Year     Rs.</t>
  </si>
  <si>
    <t>Share Capital</t>
  </si>
  <si>
    <t>Cash &amp; Bank Balance</t>
  </si>
  <si>
    <t>Authorised Share Capital</t>
  </si>
  <si>
    <t>Cash in Hand</t>
  </si>
  <si>
    <t>Issued,Subscribed &amp; Paidup</t>
  </si>
  <si>
    <t>Investments</t>
  </si>
  <si>
    <t>Reserve Fund &amp; Others</t>
  </si>
  <si>
    <t>Reserve Fund</t>
  </si>
  <si>
    <t>As per last B/s.</t>
  </si>
  <si>
    <t>Advances &amp; Deposits</t>
  </si>
  <si>
    <t>Security Deposit with (BMC-Water)</t>
  </si>
  <si>
    <t>Sinking Fund</t>
  </si>
  <si>
    <t>Add:Addition during the year</t>
  </si>
  <si>
    <t>Legal Fund</t>
  </si>
  <si>
    <t>Water Pump</t>
  </si>
  <si>
    <t>Fire Fighting Equipments</t>
  </si>
  <si>
    <t>Water Meter</t>
  </si>
  <si>
    <t>Sundry Debtors</t>
  </si>
  <si>
    <t xml:space="preserve">House Keeping Charges </t>
  </si>
  <si>
    <t>Prepaid Expenses</t>
  </si>
  <si>
    <t>Insurance</t>
  </si>
  <si>
    <t>Income &amp; Expenditure Account</t>
  </si>
  <si>
    <t>Total</t>
  </si>
  <si>
    <t>Common Amenity Fund</t>
  </si>
  <si>
    <t>F0303</t>
  </si>
  <si>
    <t>F0605</t>
  </si>
  <si>
    <t>Mr. Jayendra T. Acharekar</t>
  </si>
  <si>
    <t>F0705</t>
  </si>
  <si>
    <t>F1002</t>
  </si>
  <si>
    <t>Ms. Karen Stephen</t>
  </si>
  <si>
    <t>F1401</t>
  </si>
  <si>
    <t>Mr. Deepak Joshi</t>
  </si>
  <si>
    <t>F1502</t>
  </si>
  <si>
    <t>F1804</t>
  </si>
  <si>
    <t>Mr. Alex Chetty</t>
  </si>
  <si>
    <t>F1903</t>
  </si>
  <si>
    <t>Mr. Satyandra Yadav</t>
  </si>
  <si>
    <t>F2302</t>
  </si>
  <si>
    <t>Mr. Surendra Jain</t>
  </si>
  <si>
    <t>F2503</t>
  </si>
  <si>
    <t>Mrs. Rajani Manohar Pahuja</t>
  </si>
  <si>
    <t>F2703</t>
  </si>
  <si>
    <t>Mr. Glenn Garfield Croning</t>
  </si>
  <si>
    <t>ok</t>
  </si>
  <si>
    <t>Mrs. Malini Karmancherry</t>
  </si>
  <si>
    <t>F0504</t>
  </si>
  <si>
    <t>Mrs. Margaret Mascarenhas</t>
  </si>
  <si>
    <t>F0901</t>
  </si>
  <si>
    <t>F1101</t>
  </si>
  <si>
    <t>Mr. Bharat R. Sharma</t>
  </si>
  <si>
    <t>F1203</t>
  </si>
  <si>
    <t>F1204</t>
  </si>
  <si>
    <t>F1206</t>
  </si>
  <si>
    <t>F2105</t>
  </si>
  <si>
    <t>F2403</t>
  </si>
  <si>
    <t>Mr. Faisal Yusuf</t>
  </si>
  <si>
    <t>DHRUV PARK (ATT)CO.OP.HSG.SOCIETY LTD.</t>
  </si>
  <si>
    <t xml:space="preserve">SCHEDULE -    B                                                               FIXED ASSETS             </t>
  </si>
  <si>
    <t>SR.NO.</t>
  </si>
  <si>
    <t>PARTICULARS</t>
  </si>
  <si>
    <t>RATE OF DEPN. %</t>
  </si>
  <si>
    <t>OPENING BALANCE AS ON 01.04.2023</t>
  </si>
  <si>
    <t>ADDITIONS DURING THE YEAR</t>
  </si>
  <si>
    <t>CLOSING BALNCE AS ON 31.03.2024</t>
  </si>
  <si>
    <t>A</t>
  </si>
  <si>
    <t>B</t>
  </si>
  <si>
    <t>C</t>
  </si>
  <si>
    <t xml:space="preserve">D </t>
  </si>
  <si>
    <t>(C - D)</t>
  </si>
  <si>
    <t>LAND &amp; BUILDING</t>
  </si>
  <si>
    <t>CYCLE STAND &amp; COMPOUND GATE</t>
  </si>
  <si>
    <t>CCTV</t>
  </si>
  <si>
    <t>BOREWELL &amp; WATER HARVESTING</t>
  </si>
  <si>
    <t>SPORTS EQUIPMENTS</t>
  </si>
  <si>
    <t xml:space="preserve">COMPUTER &amp; PRINTER </t>
  </si>
  <si>
    <t>SOUND SYSTEM</t>
  </si>
  <si>
    <t xml:space="preserve">TOOLS &amp; EQUIPMENTS </t>
  </si>
  <si>
    <t>GENERATOR</t>
  </si>
  <si>
    <t>FOGGING MACHINE</t>
  </si>
  <si>
    <t xml:space="preserve">TOTAL Rs. </t>
  </si>
  <si>
    <t>Interest Income</t>
  </si>
  <si>
    <t>DHRUV PARK (A.T.T) CO-OP  HSG. SOC.LTD.</t>
  </si>
  <si>
    <t>Particulars</t>
  </si>
  <si>
    <t>1-Apr-23 to 31-Mar-24</t>
  </si>
  <si>
    <t>Closing Balance</t>
  </si>
  <si>
    <t>Debit</t>
  </si>
  <si>
    <t>Credit</t>
  </si>
  <si>
    <t>Accrued Int. CAFD 466702</t>
  </si>
  <si>
    <t>Accrued Interest FD-17889- MDCC</t>
  </si>
  <si>
    <t>Accrued Interest on FD-14735 (MDCC)</t>
  </si>
  <si>
    <t>Accrued Interest on FD-14951-MDCC</t>
  </si>
  <si>
    <t>Accrued Interest on FD-18266 (MDCC)</t>
  </si>
  <si>
    <t>Accrued Interest on FD-18267</t>
  </si>
  <si>
    <t>Accrued Interest on FD-731037</t>
  </si>
  <si>
    <t>Accrued Interest on FD-801981</t>
  </si>
  <si>
    <t>Accrued Interest on FD-801989</t>
  </si>
  <si>
    <t>Accrued Interest on FD-802027</t>
  </si>
  <si>
    <t>Accrued Interest on Property TAXFD-1001112822-MDCC</t>
  </si>
  <si>
    <t>Accrued Int on LFFD 678753</t>
  </si>
  <si>
    <t>Accrued Int. on Reserve FD 414106</t>
  </si>
  <si>
    <t>Accrued Int. on RFFD 414104</t>
  </si>
  <si>
    <t>Accrued Int. on RFFD 414123</t>
  </si>
  <si>
    <t>Accrued Int. on RFFD 629155</t>
  </si>
  <si>
    <t>Accrued Int. on RFFD 667528</t>
  </si>
  <si>
    <t>Accrued Int. Reserve FD 414124</t>
  </si>
  <si>
    <t>Accrued Int. T&amp;EFD 16241</t>
  </si>
  <si>
    <t>Interest on Bank</t>
  </si>
  <si>
    <t>Interest Received FD-13536-MDCC</t>
  </si>
  <si>
    <t>Interest Received on FD-125944</t>
  </si>
  <si>
    <t>Interest Received on FD-16373(MDCC)</t>
  </si>
  <si>
    <t>Interest Received on FD - 304939</t>
  </si>
  <si>
    <t>Interest Received on FD-414103</t>
  </si>
  <si>
    <t>Interest Received on FD-41434</t>
  </si>
  <si>
    <t>Interest Received on FD-466702</t>
  </si>
  <si>
    <t>Interest Received on FD - 563</t>
  </si>
  <si>
    <t>Interest Received on FD - 698962</t>
  </si>
  <si>
    <t>Interest Received on FD-TD1001005266</t>
  </si>
  <si>
    <t>Interest Received on RFFD - 400559</t>
  </si>
  <si>
    <t>Interest Received on RFFD - 400560</t>
  </si>
  <si>
    <t>Interest Received on RFFD-400561</t>
  </si>
  <si>
    <t>Interest Received on  SFFD-14735 (MDCC Bank)</t>
  </si>
  <si>
    <t>Grand Total</t>
  </si>
  <si>
    <t>NET</t>
  </si>
  <si>
    <t>TDS</t>
  </si>
  <si>
    <t>Gross</t>
  </si>
  <si>
    <t>General Prop</t>
  </si>
  <si>
    <t>Training</t>
  </si>
  <si>
    <t>Closed</t>
  </si>
  <si>
    <t>Interest Received on FD-414104</t>
  </si>
  <si>
    <t>Interest Received on FD-414106</t>
  </si>
  <si>
    <t>Water Connection</t>
  </si>
  <si>
    <t>Before 3 Oct</t>
  </si>
  <si>
    <t>After 3 Oct</t>
  </si>
  <si>
    <t xml:space="preserve">TDS Payable </t>
  </si>
  <si>
    <t>F0201 Mrs. Flavia Fernandes</t>
  </si>
  <si>
    <t>F0202 Mr. Sanjay Kumar &amp; Smt. Kante Prasad</t>
  </si>
  <si>
    <t>F0203 - Mrs. Malini Karmancherry</t>
  </si>
  <si>
    <t>F0204 Mr. T.K. Ananthakrishnan</t>
  </si>
  <si>
    <t>F0303 - Mr. Jerome Henery Fernandes</t>
  </si>
  <si>
    <t>F0405 - Mr. Alex Crasta &amp; Mrs. Theresa Crasta</t>
  </si>
  <si>
    <t>F0504 - Mrs. Margaret Mascarenhas</t>
  </si>
  <si>
    <t>F0505 - Mr. Jiju George</t>
  </si>
  <si>
    <t>F0601 Mr. Linus P.D.'Souza &amp; Mr. Lawrence P.D'Souza</t>
  </si>
  <si>
    <t>F0602 - Mr. Mohammed Shaikh &amp; Pakeeza Shaikh</t>
  </si>
  <si>
    <t>F0605 - Mr. Jayendra T. Acharekar</t>
  </si>
  <si>
    <t>F0705 - Mr. Lenzon &amp; Mrs. Immelda Mendes</t>
  </si>
  <si>
    <t>F0706 - Mr. Dhruv P.Dave</t>
  </si>
  <si>
    <t>F0901 -Mr. Wilbur Almeida &amp; Mrs. Mrs. Dolly Almeida</t>
  </si>
  <si>
    <t>F0906 - Mr. Atit Kamlesh Shah</t>
  </si>
  <si>
    <t>F1002 - Ms. Karen Stephen</t>
  </si>
  <si>
    <t>F1005 - Mrs. Tannvi Tapan Jagtap</t>
  </si>
  <si>
    <t>F1101 - Mr. Bharat R. Sharma</t>
  </si>
  <si>
    <t>F1203 - Mr. Glenn Garfield Croning</t>
  </si>
  <si>
    <t>F1204 - Mrs. Avencia P. Cordeiro/Mrs. Daniella Gay</t>
  </si>
  <si>
    <t>F1206 - Mrs. Deepika N. &amp; Mr. Naresh M. Vaswani</t>
  </si>
  <si>
    <t>F1305 - Mrs. Madhurni Aggarwal</t>
  </si>
  <si>
    <t>F1306 - Mrs. Flavia Fernandes/ Mr. Jerson Fernandes</t>
  </si>
  <si>
    <t>F1401 - Mr. Deepak Joshi</t>
  </si>
  <si>
    <t>F1405 - Mrs. Cynthia Machado</t>
  </si>
  <si>
    <t>F1502 -Mr. Anthony S. Chetty &amp; Mr. Devraj S. Chetty</t>
  </si>
  <si>
    <t>F1505 - Mr. Marlon Silva Lobo</t>
  </si>
  <si>
    <t>F1702 - Mr. Kalpesh Shah/Mrs. Neha Shah/Anila Shah</t>
  </si>
  <si>
    <t>F1705 - Mrs. Nitya Chatterjee</t>
  </si>
  <si>
    <t>F1803 - Mrs. Leena D'Souza</t>
  </si>
  <si>
    <t>F1804 - Mr. Alex Chetty</t>
  </si>
  <si>
    <t>F1902-Mrs. Gail M. Fernandes/Mr. Fritz A. Fernandes</t>
  </si>
  <si>
    <t>F1903 - Mr. Satyandra Yadav</t>
  </si>
  <si>
    <t>F1904 - Mrs. Madhumita / Mr. Prashantkumar Lata</t>
  </si>
  <si>
    <t>F2002 - Mr. Nirbhay R. Desai</t>
  </si>
  <si>
    <t>F2101 - Mr. Rajeev M. Sherry</t>
  </si>
  <si>
    <t>F2102 - Rati Pandey</t>
  </si>
  <si>
    <t>F2105-Mr. Merrill G. &amp; Mrs. Anuja M.Mascarenhas</t>
  </si>
  <si>
    <t>F2201 - Mr. Rufus Cardoza &amp; Mrs. Philomena Cardoza</t>
  </si>
  <si>
    <t>F2301 - Mr. Diomed Saldanha</t>
  </si>
  <si>
    <t>F2302 - Mr. Surendra Jain</t>
  </si>
  <si>
    <t>F2306 - Mr. Vinode Sobraj Gajria</t>
  </si>
  <si>
    <t>F2401 - Mrs. Sunita Agrawal</t>
  </si>
  <si>
    <t>F2403 - Mr. Faisal Yusuf</t>
  </si>
  <si>
    <t>F2503 - Mrs. Rajani Manohar Pahuja</t>
  </si>
  <si>
    <t>F2604 - Mrs. Asha Shroff</t>
  </si>
  <si>
    <t>F2703 - Mrs. C.A.Amita &amp; Mr. C.D. Appaiah</t>
  </si>
  <si>
    <t>F2704 - Mr. Roshan J. Shetty</t>
  </si>
  <si>
    <t>Mrs. Harvinder Kaur/Mr. Jagtarsingh&amp; Mr.S.S.Bhamra</t>
  </si>
  <si>
    <t>Municipal Tax (19-20)</t>
  </si>
  <si>
    <t>Property Tax Receivable From Members (19-20)</t>
  </si>
  <si>
    <t>RF1203 - Glenn Croning</t>
  </si>
  <si>
    <t>RF1406-Seema Thapliyal</t>
  </si>
  <si>
    <t>RF1903-Stayandra Yadav</t>
  </si>
  <si>
    <t>RF2303 - Dr. Jignesh Jatania</t>
  </si>
  <si>
    <t>RF2304 - Jignesh Jatania</t>
  </si>
  <si>
    <t>RF2703- C.A. Amita &amp; C.D. Appaiah</t>
  </si>
  <si>
    <t>RF2705 - Iqbal Khan</t>
  </si>
  <si>
    <t>F0201</t>
  </si>
  <si>
    <t>F0202</t>
  </si>
  <si>
    <t>F0203</t>
  </si>
  <si>
    <t>F0204</t>
  </si>
  <si>
    <t>F0405</t>
  </si>
  <si>
    <t>F0505</t>
  </si>
  <si>
    <t>F0601</t>
  </si>
  <si>
    <t>F0602</t>
  </si>
  <si>
    <t>F0706</t>
  </si>
  <si>
    <t>F0906</t>
  </si>
  <si>
    <t>F1005</t>
  </si>
  <si>
    <t>F1305</t>
  </si>
  <si>
    <t>F1306</t>
  </si>
  <si>
    <t>F1405</t>
  </si>
  <si>
    <t>F1505</t>
  </si>
  <si>
    <t>F1702</t>
  </si>
  <si>
    <t>F1705</t>
  </si>
  <si>
    <t>F1803</t>
  </si>
  <si>
    <t>F1902</t>
  </si>
  <si>
    <t>F1904</t>
  </si>
  <si>
    <t>F2002</t>
  </si>
  <si>
    <t>F2101</t>
  </si>
  <si>
    <t>F2102</t>
  </si>
  <si>
    <t>F2201</t>
  </si>
  <si>
    <t>F2301</t>
  </si>
  <si>
    <t>F2306</t>
  </si>
  <si>
    <t>F2401</t>
  </si>
  <si>
    <t>F2604</t>
  </si>
  <si>
    <t>F2704</t>
  </si>
  <si>
    <t xml:space="preserve">Mrs. </t>
  </si>
  <si>
    <t>Munic</t>
  </si>
  <si>
    <t>Prope</t>
  </si>
  <si>
    <t>RF1203</t>
  </si>
  <si>
    <t>RF1406</t>
  </si>
  <si>
    <t>RF1903</t>
  </si>
  <si>
    <t>RF2303</t>
  </si>
  <si>
    <t>RF2304</t>
  </si>
  <si>
    <t>RF2703</t>
  </si>
  <si>
    <t>RF2705</t>
  </si>
  <si>
    <t>Mrs. Flavia Fernandes</t>
  </si>
  <si>
    <t>Mr. Sanjay Kumar &amp; Smt. Kante Prasad</t>
  </si>
  <si>
    <t>Mr. T.K. Ananthakrishnan</t>
  </si>
  <si>
    <t>Mr. Jerome Henery Fernandes</t>
  </si>
  <si>
    <t>Mr. Alex Crasta &amp; Mrs. Theresa Crasta</t>
  </si>
  <si>
    <t>Mr. Jiju George</t>
  </si>
  <si>
    <t>Mr. Linus P.D.'Souza &amp; Mr. Lawrence P.D'Souza</t>
  </si>
  <si>
    <t>Mr. Mohammed Shaikh &amp; Pakeeza Shaikh</t>
  </si>
  <si>
    <t>Mr. Lenzon &amp; Mrs. Immelda Mendes</t>
  </si>
  <si>
    <t>Mr. Dhruv P.Dave</t>
  </si>
  <si>
    <t>Mr. Wilbur Almeida &amp; Mrs. Mrs. Dolly Almeida</t>
  </si>
  <si>
    <t>Mr. Atit Kamlesh Shah</t>
  </si>
  <si>
    <t>Mrs. Tannvi Tapan Jagtap</t>
  </si>
  <si>
    <t>Mrs. Avencia P. Cordeiro/Mrs. Daniella Gay</t>
  </si>
  <si>
    <t>Mrs. Deepika N. &amp; Mr. Naresh M. Vaswani</t>
  </si>
  <si>
    <t>Mrs. Madhurni Aggarwal</t>
  </si>
  <si>
    <t>Mrs. Flavia Fernandes/ Mr. Jerson Fernandes</t>
  </si>
  <si>
    <t>Mrs. Cynthia Machado</t>
  </si>
  <si>
    <t>Mr. Anthony S. Chetty &amp; Mr. Devraj S. Chetty</t>
  </si>
  <si>
    <t>Mr. Marlon Silva Lobo</t>
  </si>
  <si>
    <t>Mr. Kalpesh Shah/Mrs. Neha Shah/Anila Shah</t>
  </si>
  <si>
    <t>Mrs. Nitya Chatterjee</t>
  </si>
  <si>
    <t>Mrs. Leena D'Souza</t>
  </si>
  <si>
    <t>Mrs. Gail M. Fernandes/Mr. Fritz A. Fernandes</t>
  </si>
  <si>
    <t>Mrs. Madhumita / Mr. Prashantkumar Lata</t>
  </si>
  <si>
    <t>Mr. Nirbhay R. Desai</t>
  </si>
  <si>
    <t>Mr. Rajeev M. Sherry</t>
  </si>
  <si>
    <t>Rati Pandey</t>
  </si>
  <si>
    <t>Mr. Merrill G. &amp; Mrs. Anuja M.Mascarenhas</t>
  </si>
  <si>
    <t>Mr. Rufus Cardoza &amp; Mrs. Philomena Cardoza</t>
  </si>
  <si>
    <t>Mr. Diomed Saldanha</t>
  </si>
  <si>
    <t>Mr. Vinode Sobraj Gajria</t>
  </si>
  <si>
    <t>Mrs. Sunita Agrawal</t>
  </si>
  <si>
    <t>Mrs. Asha Shroff</t>
  </si>
  <si>
    <t>Mrs. C.A.Amita &amp; Mr. C.D. Appaiah</t>
  </si>
  <si>
    <t>Mr. Roshan J. Shetty</t>
  </si>
  <si>
    <t>Harvinder Kaur/Mr. Jagtarsingh&amp; Mr.S.S.Bhamra</t>
  </si>
  <si>
    <t>Tax (19-20)</t>
  </si>
  <si>
    <t>Tax Receivable From Members (19-20)</t>
  </si>
  <si>
    <t>Glenn Croning</t>
  </si>
  <si>
    <t>Seema Thapliyal</t>
  </si>
  <si>
    <t>Stayandra Yadav</t>
  </si>
  <si>
    <t>Dr. Jignesh Jatania</t>
  </si>
  <si>
    <t>Jignesh Jatania</t>
  </si>
  <si>
    <t>C.A. Amita &amp; C.D. Appaiah</t>
  </si>
  <si>
    <t>Iqbal Khan</t>
  </si>
  <si>
    <t>FURNITURE &amp; FIXTURE</t>
  </si>
  <si>
    <t>Tally</t>
  </si>
  <si>
    <t>Diff due to Building Contro</t>
  </si>
  <si>
    <t>Excess of Income over Expenditure</t>
  </si>
  <si>
    <t>Add:Excess of Income over Expenditure</t>
  </si>
  <si>
    <t>Misc Income</t>
  </si>
  <si>
    <t>Accounting charges</t>
  </si>
  <si>
    <t>agm fine</t>
  </si>
  <si>
    <t>Insuarnce prepaid calculation</t>
  </si>
  <si>
    <t>Discard related to subregistrat</t>
  </si>
  <si>
    <t>W-off anuual day against common aminties fund</t>
  </si>
  <si>
    <t>Fetival Day</t>
  </si>
  <si>
    <t xml:space="preserve">shares, </t>
  </si>
  <si>
    <t>Davi sir</t>
  </si>
  <si>
    <t>training and education</t>
  </si>
  <si>
    <t>5k o/s- whre to put</t>
  </si>
  <si>
    <t>10k adjust aginst misc</t>
  </si>
  <si>
    <t>sahakar bharti</t>
  </si>
  <si>
    <t>137K</t>
  </si>
  <si>
    <t>next yr</t>
  </si>
  <si>
    <t>agm resolution</t>
  </si>
  <si>
    <t>Transfer/Appropraition of Funds</t>
  </si>
  <si>
    <t>Members contribution</t>
  </si>
  <si>
    <t>Share Transfer Premium</t>
  </si>
  <si>
    <t>Admission Fees</t>
  </si>
  <si>
    <t>Common Electricity Charges</t>
  </si>
  <si>
    <t>Alternate Fire Fighting Electricity Charges</t>
  </si>
  <si>
    <t>Lift Maintenance</t>
  </si>
  <si>
    <t>GYM Electricity</t>
  </si>
  <si>
    <t>House Keeping Material</t>
  </si>
  <si>
    <t>Professional Fees</t>
  </si>
  <si>
    <t>Rent Income</t>
  </si>
  <si>
    <t>1000 shares of Rs.50/- each</t>
  </si>
  <si>
    <t>420 shares of Rs.50/- each</t>
  </si>
  <si>
    <t>Transfer to reserve and surplus fund</t>
  </si>
  <si>
    <t>Add: Admission Fees</t>
  </si>
  <si>
    <t>Add: Share Transfer Premium</t>
  </si>
  <si>
    <t xml:space="preserve">Current Liabilities </t>
  </si>
  <si>
    <t>Expenses incurred by Members</t>
  </si>
  <si>
    <t>Pest Control</t>
  </si>
  <si>
    <t>Professional fees</t>
  </si>
  <si>
    <t>Federation Expenses Payable</t>
  </si>
  <si>
    <t>HDFC Bank</t>
  </si>
  <si>
    <t xml:space="preserve">Deposits Electricity </t>
  </si>
  <si>
    <t>Festival Expenses</t>
  </si>
  <si>
    <t>My Gate</t>
  </si>
  <si>
    <t>Tower Parking Operator Charges</t>
  </si>
  <si>
    <t>Fire Extinguisher</t>
  </si>
  <si>
    <t>Deprepciation</t>
  </si>
  <si>
    <t>Fire Fighting AMC</t>
  </si>
  <si>
    <t>FIXED ASSETS</t>
  </si>
  <si>
    <t>DELETIONS
DURING THE YEAR</t>
  </si>
  <si>
    <t>Furniture &amp; Fixtures</t>
  </si>
  <si>
    <t>Computer &amp; Printer</t>
  </si>
  <si>
    <t xml:space="preserve">Water Charges </t>
  </si>
  <si>
    <t>Water Charges</t>
  </si>
  <si>
    <t>prepaid</t>
  </si>
  <si>
    <t>Accrued Interest on FD</t>
  </si>
  <si>
    <t>As on 31st March 2026</t>
  </si>
  <si>
    <t>For the year ended on 31st March 2026</t>
  </si>
  <si>
    <t>SCHEDULES FORMING PART OF BALANCE SHEET AS ON 31.03.2026</t>
  </si>
  <si>
    <t>Schedule I - Details of Fixed Deposits as on 31st March 2026</t>
  </si>
  <si>
    <t>Certificate No.</t>
  </si>
  <si>
    <t>Date</t>
  </si>
  <si>
    <t>Amount Invested</t>
  </si>
  <si>
    <t>Accrued Int. 25-26</t>
  </si>
  <si>
    <t>Total Accrued Interest</t>
  </si>
  <si>
    <t>Maturity Date</t>
  </si>
  <si>
    <t>Maturity Value</t>
  </si>
  <si>
    <t>Interest %</t>
  </si>
  <si>
    <t>Bank</t>
  </si>
  <si>
    <t>Assets</t>
  </si>
  <si>
    <t>Liabilities</t>
  </si>
  <si>
    <t>(Shortfall)</t>
  </si>
  <si>
    <t>Funds</t>
  </si>
  <si>
    <t>Excess</t>
  </si>
  <si>
    <t>MDCC</t>
  </si>
  <si>
    <t>GRAND TOTALS</t>
  </si>
  <si>
    <t>Note :</t>
  </si>
  <si>
    <t xml:space="preserve">Renewed on 06.06.18 - Not reflected in Bank certiciate Accrued Interest provided  for these Fd as under </t>
  </si>
  <si>
    <t>31.03.18</t>
  </si>
  <si>
    <t>Accrued Int</t>
  </si>
  <si>
    <t>Date of renewal</t>
  </si>
  <si>
    <t>Amount Renewed</t>
  </si>
  <si>
    <t>06.06.18</t>
  </si>
  <si>
    <t>10.3.18 to 06.06.18</t>
  </si>
  <si>
    <t>23.03.18 to 06.06.18</t>
  </si>
  <si>
    <t xml:space="preserve"> </t>
  </si>
  <si>
    <t>50301067120830</t>
  </si>
  <si>
    <t>01.04.2025</t>
  </si>
  <si>
    <t>HDFC</t>
  </si>
  <si>
    <t>HDFC BK</t>
  </si>
  <si>
    <t>006601200007701</t>
  </si>
  <si>
    <t>27.03.2026</t>
  </si>
  <si>
    <t>6605300019841</t>
  </si>
  <si>
    <t>27.03.2031</t>
  </si>
  <si>
    <t>MDCC BK</t>
  </si>
  <si>
    <t>TD1001809298</t>
  </si>
  <si>
    <t>03.09.2025</t>
  </si>
  <si>
    <t>SCB</t>
  </si>
  <si>
    <t>TD1001809347</t>
  </si>
  <si>
    <t>TD1001809417</t>
  </si>
  <si>
    <t>TD1001812588</t>
  </si>
  <si>
    <t>05.09.2025</t>
  </si>
  <si>
    <t>TD1001820321</t>
  </si>
  <si>
    <t>07.09.2025</t>
  </si>
  <si>
    <t>TD1001820341</t>
  </si>
  <si>
    <t>TD1001902668</t>
  </si>
  <si>
    <t>04.11.2025</t>
  </si>
  <si>
    <t>TD1001902699</t>
  </si>
  <si>
    <t>TD1001913684</t>
  </si>
  <si>
    <t>TD1002054962</t>
  </si>
  <si>
    <t>SCB SWEEP</t>
  </si>
  <si>
    <t>SCB FD</t>
  </si>
  <si>
    <t>SCB TOTAL</t>
  </si>
  <si>
    <t>MCGM WATER CHARGES</t>
  </si>
  <si>
    <t>PN 0061354</t>
  </si>
  <si>
    <t>paid</t>
  </si>
  <si>
    <t>LIFT AMC</t>
  </si>
  <si>
    <t>ADDA Subscription</t>
  </si>
  <si>
    <t>Pump</t>
  </si>
  <si>
    <t>Mobile</t>
  </si>
  <si>
    <t>07.03.2026</t>
  </si>
  <si>
    <t>Education &amp; Training Fund</t>
  </si>
  <si>
    <t>PROVISION</t>
  </si>
  <si>
    <t>Electricity Charges</t>
  </si>
  <si>
    <t>Service Charges</t>
  </si>
  <si>
    <t>Contribution Towards Cultural Expenses</t>
  </si>
  <si>
    <t>Late Payment Interest</t>
  </si>
  <si>
    <t xml:space="preserve">Property Tax </t>
  </si>
  <si>
    <t>Federation Electricity - Tower Parking/GYM</t>
  </si>
  <si>
    <t>Federation Service Charges</t>
  </si>
  <si>
    <t>Federation Property Tax - Common area / gym</t>
  </si>
  <si>
    <t>Interest - Saving Account</t>
  </si>
  <si>
    <t>Interest - Fixed Deposit</t>
  </si>
  <si>
    <t>Interest - Sweep Account</t>
  </si>
  <si>
    <t>Electrical Repair Maintenance</t>
  </si>
  <si>
    <t>Other Repairs &amp; Maintenance</t>
  </si>
  <si>
    <t>Water Tank Cleaning Expenses</t>
  </si>
  <si>
    <t>Water Pump Repair charges</t>
  </si>
  <si>
    <t>Plumbing Repair &amp; Maintenance</t>
  </si>
  <si>
    <t>Conveyance charges</t>
  </si>
  <si>
    <t>Bank Charges</t>
  </si>
  <si>
    <t>Adda Subscription Charges</t>
  </si>
  <si>
    <t>MDCC Bank A/c</t>
  </si>
  <si>
    <t>Saraswat Bank</t>
  </si>
  <si>
    <t>Fixed Deposits - Reserve Fund</t>
  </si>
  <si>
    <t>Fixed Deposits - Sinking Fund</t>
  </si>
  <si>
    <t>Fixed Deposits - Repair Fund</t>
  </si>
  <si>
    <t>Fixed Deposits - Education &amp; Training Fund</t>
  </si>
  <si>
    <t>Sweep A/c - Saraswat bank</t>
  </si>
  <si>
    <t>Receivable Dhawal Housing</t>
  </si>
  <si>
    <t>TDS Receivable</t>
  </si>
  <si>
    <t>Sl.No</t>
  </si>
  <si>
    <t>Unit</t>
  </si>
  <si>
    <t>Primary Contact</t>
  </si>
  <si>
    <t>Receivable Amount</t>
  </si>
  <si>
    <t>0101</t>
  </si>
  <si>
    <t>MR.SAHEBRAO ABAJI BHISE  &amp; MRS. REKHA SAHEBRAO BHISE &amp; MRS. KOMAL PRAVIN NERKAR ALIAS MS. KOMAL SAHEBRAO BHISE</t>
  </si>
  <si>
    <t>MR. EVERTON JOHN PEREIRA &amp; MRS. ALICE PEREIRA</t>
  </si>
  <si>
    <t> </t>
  </si>
  <si>
    <t>Self Assessment Tax Paid</t>
  </si>
  <si>
    <t>Lift AMC</t>
  </si>
  <si>
    <t>Pest Control AMC</t>
  </si>
  <si>
    <t>Less:Expenses during the year</t>
  </si>
  <si>
    <t>TOTAL</t>
  </si>
  <si>
    <t>Advance Amount</t>
  </si>
  <si>
    <t>MRS. VANDANA GIRDHARILAL NAVANI  &amp; MR. NITIN GIRDHARILAL NAVANI</t>
  </si>
  <si>
    <t>MR. NELSON GEORGE DSOUZA  &amp; MRS. ROSHANI DSOUZA</t>
  </si>
  <si>
    <t>Sunrise Orlem Tower 2B Co Operative Housing Society Limited</t>
  </si>
  <si>
    <t>Receipt on Flat Transfer</t>
  </si>
  <si>
    <t>Other Income</t>
  </si>
  <si>
    <t>Less: Interest on Repair Fund</t>
  </si>
  <si>
    <t>Less: Interest on Sinking Fund</t>
  </si>
  <si>
    <t>Less: Interest on Education Fund</t>
  </si>
  <si>
    <t>Add: Interest during the year</t>
  </si>
  <si>
    <t>2025-26</t>
  </si>
  <si>
    <t>2024-25</t>
  </si>
  <si>
    <t>Current Liabilities/Provisions</t>
  </si>
  <si>
    <t>Sr. No</t>
  </si>
  <si>
    <t>Member Payable</t>
  </si>
  <si>
    <t>02.09.2027</t>
  </si>
  <si>
    <t>04.11.2027</t>
  </si>
  <si>
    <t>05.09.2027</t>
  </si>
  <si>
    <t>08.09.2027</t>
  </si>
  <si>
    <t>06.12.2026</t>
  </si>
  <si>
    <t>07.03.2028</t>
  </si>
  <si>
    <t>Total Value as on 31.03.2026</t>
  </si>
  <si>
    <t>Amt</t>
  </si>
  <si>
    <t>Balance as per Book Balance (System)</t>
  </si>
  <si>
    <t>Less:</t>
  </si>
  <si>
    <t>Balance as per Bank Passbook</t>
  </si>
  <si>
    <t>HDFC Bank Reconciliation Statement as on 31.03.2026</t>
  </si>
  <si>
    <t>Deposit</t>
  </si>
  <si>
    <t>Issued</t>
  </si>
  <si>
    <t>Instru. No.</t>
  </si>
  <si>
    <t>Remarks</t>
  </si>
  <si>
    <t>06.03.2026</t>
  </si>
  <si>
    <t>31.03.2026</t>
  </si>
  <si>
    <t>000041</t>
  </si>
  <si>
    <t>SOZ013147542</t>
  </si>
  <si>
    <t>000046</t>
  </si>
  <si>
    <t>PCI Pest Control</t>
  </si>
  <si>
    <t>Cleared on</t>
  </si>
  <si>
    <t>02.04.2026</t>
  </si>
  <si>
    <t>07.04.2026</t>
  </si>
  <si>
    <t>Flat 2001 - Maintenance</t>
  </si>
  <si>
    <t>Pump Care Services</t>
  </si>
  <si>
    <t>Add:</t>
  </si>
  <si>
    <t>Cheques issued but not cleared</t>
  </si>
  <si>
    <t>Cheques deposited but not cleared</t>
  </si>
  <si>
    <t>Saraswat Bank Reconciliation Statement as on 31.03.2026</t>
  </si>
  <si>
    <t>MDCC Bank Reconciliation Statement as on 31.03.2026</t>
  </si>
  <si>
    <t>Federation Expense</t>
  </si>
  <si>
    <t>Gym Trainer/Operator</t>
  </si>
  <si>
    <t>GYM R &amp; M</t>
  </si>
  <si>
    <t>Electricity Tower Parking</t>
  </si>
  <si>
    <t>Electricity Car Wash</t>
  </si>
  <si>
    <t>Insurance Tower Parking</t>
  </si>
  <si>
    <t>Property Tax Common Area</t>
  </si>
  <si>
    <t>Intercom Repair &amp; Maintenance</t>
  </si>
  <si>
    <t>Less: Interest on Reserve Fund</t>
  </si>
  <si>
    <t>Posted Date</t>
  </si>
  <si>
    <t>Comments</t>
  </si>
  <si>
    <t>01-04-2025</t>
  </si>
  <si>
    <t>Opening Balance</t>
  </si>
  <si>
    <t>Being provision towards Federation Insurance Tower Parking for FY 2024-25</t>
  </si>
  <si>
    <t>Being prov for Security Exp - Federation reversed</t>
  </si>
  <si>
    <t>Being prov for Security exp - Federation for FY 2024-25 reversed</t>
  </si>
  <si>
    <t>Being provision towards Federation Property Tax CA for FY 2024-25</t>
  </si>
  <si>
    <t>Being provision towards Federation electricity tower parking account   153461716 &amp; 153461715 for FY 2024-25</t>
  </si>
  <si>
    <t>Being provision towards Federation Electricity car wash for FY 2024-25</t>
  </si>
  <si>
    <t>31-03-2026</t>
  </si>
  <si>
    <t>Being provision towards Federation electricity tower parking account   153461716 &amp; 153461715 for FY 2025-26</t>
  </si>
  <si>
    <t>Being provision towards Federation Insurance Tower Parking for FY 2025-26</t>
  </si>
  <si>
    <t>Being provision towards Federation Property Tax CA for FY 2025-26</t>
  </si>
  <si>
    <t>Being provision towards Federation Electricity car wash for FY 2025-26</t>
  </si>
  <si>
    <t>Being provision towards Federation Gym electricity for FY 2025-26</t>
  </si>
  <si>
    <t>Being provision towards Federation stack parking operator for FY 2025-26</t>
  </si>
  <si>
    <t>Being provision towards Federation Gym R &amp; M for FY 2025-26</t>
  </si>
  <si>
    <t>Being provision towards Federation Gym Trainer operator for FY 2025-26</t>
  </si>
  <si>
    <t>Builder A/c</t>
  </si>
  <si>
    <t>Electricity Charges - Adani</t>
  </si>
  <si>
    <t xml:space="preserve">Security Charges - Ashtabhuja </t>
  </si>
  <si>
    <t>Security Charges - Shera Security</t>
  </si>
  <si>
    <t>Vendor payables &amp; Provision as of 31st March 2026</t>
  </si>
  <si>
    <t>Federation Charges</t>
  </si>
  <si>
    <t>FY 2024-25</t>
  </si>
  <si>
    <t>Less: LY Provision for Federation Expense</t>
  </si>
  <si>
    <t>Other Charges - Stilt Area</t>
  </si>
  <si>
    <t>Parking charges/ Stilt Area</t>
  </si>
  <si>
    <t>MDCC Promotors a/c Reconciliation Statement as on 06.01.26</t>
  </si>
  <si>
    <t>A/c closed</t>
  </si>
  <si>
    <t>22.10.2026</t>
  </si>
  <si>
    <t>Credited in bank</t>
  </si>
  <si>
    <t>Builder Account Statement</t>
  </si>
  <si>
    <t>Particular</t>
  </si>
  <si>
    <t>Opening Balance as of 01.04.2025</t>
  </si>
  <si>
    <t>Receivable from Builder</t>
  </si>
  <si>
    <t>Transfer Premium of 602 &amp; Share money received from Builder &amp; initail deposit</t>
  </si>
  <si>
    <t>07.04.2025</t>
  </si>
  <si>
    <t>Amount received from Dhaval Housing</t>
  </si>
  <si>
    <t>16.05.2025</t>
  </si>
  <si>
    <t>Debit Notes</t>
  </si>
  <si>
    <t>29.01.2026</t>
  </si>
  <si>
    <t>Parking charges from Dhaval DN no.1</t>
  </si>
  <si>
    <t>Purchase of 2 cupboard &amp; installation of grills window as per DN no.2</t>
  </si>
  <si>
    <t>Towards civil works - Dr. Note . 3</t>
  </si>
  <si>
    <t>16.03.2026</t>
  </si>
  <si>
    <t>Electrical work done on terrace as per DN no.4</t>
  </si>
  <si>
    <t>Provision for Federation</t>
  </si>
  <si>
    <t>Net Payable to Builder</t>
  </si>
  <si>
    <t>Fixed Deposits - Share Capital</t>
  </si>
  <si>
    <t>Investments Sch-I</t>
  </si>
  <si>
    <t>Schedule (II)</t>
  </si>
  <si>
    <t>OPENING BALANCE AS ON 01.04.2025</t>
  </si>
  <si>
    <t>CLOSING BALNCE AS ON 31.03.2026</t>
  </si>
  <si>
    <t>Fixed Assets (Sch-II)</t>
  </si>
  <si>
    <t xml:space="preserve"> Receivable - Members as of 31st March 2026 </t>
  </si>
  <si>
    <t>Advance-Members as of 31st March 2026</t>
  </si>
  <si>
    <t>Sch-IV</t>
  </si>
  <si>
    <r>
      <t xml:space="preserve">Dues from Members </t>
    </r>
    <r>
      <rPr>
        <b/>
        <sz val="11"/>
        <rFont val="Book Antiqua"/>
        <family val="1"/>
      </rPr>
      <t>(Sch-III)</t>
    </r>
  </si>
  <si>
    <r>
      <t xml:space="preserve">Advance from members </t>
    </r>
    <r>
      <rPr>
        <b/>
        <sz val="11"/>
        <rFont val="Book Antiqua"/>
        <family val="1"/>
      </rPr>
      <t>(Sch-IV)</t>
    </r>
  </si>
  <si>
    <t>Sch-V</t>
  </si>
  <si>
    <t>Sch-VI</t>
  </si>
  <si>
    <t>Sch-III</t>
  </si>
  <si>
    <t>Provisions &amp; Payables (Sch-V)</t>
  </si>
  <si>
    <t>SUNRISE ORLEM TOWER 2B CO OPERATIVE HOUSING SOCIETY</t>
  </si>
  <si>
    <t>Regn.No.MUM/SRA/HSG/(TC)/13509/2024 Dt.13/03/2024</t>
  </si>
  <si>
    <t>Sr. no.</t>
  </si>
  <si>
    <t>Payable to Builder (Sch-VI)</t>
  </si>
  <si>
    <t>SUNRISE Orlem Tower 2B CHS LTD</t>
  </si>
  <si>
    <t>Property Tax Gym</t>
  </si>
  <si>
    <t>Share Money</t>
  </si>
  <si>
    <t>602 Transfer Premium</t>
  </si>
  <si>
    <t>Total receipt from member</t>
  </si>
  <si>
    <t>Actual received from Builder</t>
  </si>
  <si>
    <t>(Partially paid &amp; initial deposit)</t>
  </si>
  <si>
    <t>Still receivable agst share money</t>
  </si>
  <si>
    <t>Add: Surplus of I&amp;E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</si>
</sst>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&quot;$&quot;#,##0_);\(&quot;$&quot;#,##0\)"/>
    <numFmt numFmtId="165" formatCode="_(* #,##0.00_);_(* \(#,##0.00\);_(* &quot;-&quot;??_);_(@_)"/>
    <numFmt numFmtId="166" formatCode="_ * #,##0_ ;_ * \-#,##0_ ;_ * &quot;-&quot;??_ ;_ @_ "/>
    <numFmt numFmtId="167" formatCode="_(* #,##0_);_(* \(#,##0\);_(* &quot;-&quot;??_);_(@_)"/>
    <numFmt numFmtId="168" formatCode="#,##0.00_ ;\-#,##0.00\ "/>
  </numFmts>
  <fonts count="34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haroni"/>
      <charset val="177"/>
    </font>
    <font>
      <b/>
      <sz val="11"/>
      <color theme="1"/>
      <name val="Arial Black"/>
      <family val="2"/>
    </font>
    <font>
      <b/>
      <sz val="11"/>
      <color theme="1"/>
      <name val="Aharoni"/>
      <charset val="177"/>
    </font>
    <font>
      <b/>
      <sz val="16"/>
      <color theme="1"/>
      <name val="Agency FB"/>
      <family val="2"/>
    </font>
    <font>
      <sz val="16"/>
      <color theme="1"/>
      <name val="Adobe Devanagari"/>
      <family val="1"/>
    </font>
    <font>
      <b/>
      <sz val="11"/>
      <color rgb="FFFF0000"/>
      <name val="Calibri"/>
      <family val="2"/>
      <scheme val="minor"/>
    </font>
    <font>
      <b/>
      <sz val="11"/>
      <color rgb="FFFF0000"/>
      <name val="Cambria"/>
      <family val="1"/>
    </font>
    <font>
      <b/>
      <sz val="11"/>
      <color theme="1"/>
      <name val="Cambria"/>
      <family val="1"/>
    </font>
    <font>
      <b/>
      <sz val="14"/>
      <color theme="1"/>
      <name val="Book Antiqua"/>
      <family val="1"/>
    </font>
    <font>
      <sz val="11"/>
      <color theme="1"/>
      <name val="Book Antiqua"/>
      <family val="1"/>
    </font>
    <font>
      <b/>
      <sz val="12"/>
      <name val="Book Antiqua"/>
      <family val="1"/>
    </font>
    <font>
      <b/>
      <sz val="11"/>
      <color theme="1"/>
      <name val="Book Antiqua"/>
      <family val="1"/>
    </font>
    <font>
      <b/>
      <u/>
      <sz val="11"/>
      <name val="Book Antiqua"/>
      <family val="1"/>
    </font>
    <font>
      <sz val="11"/>
      <name val="Book Antiqua"/>
      <family val="1"/>
    </font>
    <font>
      <b/>
      <sz val="11"/>
      <name val="Book Antiqua"/>
      <family val="1"/>
    </font>
    <font>
      <b/>
      <u val="singleAccounting"/>
      <sz val="11"/>
      <name val="Book Antiqua"/>
      <family val="1"/>
    </font>
    <font>
      <sz val="11"/>
      <color rgb="FFFF0000"/>
      <name val="Book Antiqua"/>
      <family val="1"/>
    </font>
    <font>
      <u/>
      <sz val="11"/>
      <name val="Book Antiqua"/>
      <family val="1"/>
    </font>
    <font>
      <b/>
      <u/>
      <sz val="14"/>
      <color indexed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3" fillId="0" borderId="0"/>
    <xf numFmtId="0" fontId="2" fillId="0" borderId="0"/>
  </cellStyleXfs>
  <cellXfs count="290">
    <xf numFmtId="0" fontId="0" fillId="0" borderId="0" xfId="0"/>
    <xf numFmtId="0" fontId="6" fillId="0" borderId="0" xfId="0" applyFont="1"/>
    <xf numFmtId="0" fontId="0" fillId="0" borderId="12" xfId="0" applyBorder="1"/>
    <xf numFmtId="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7" fillId="0" borderId="0" xfId="0" applyFont="1"/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vertical="center"/>
    </xf>
    <xf numFmtId="0" fontId="9" fillId="0" borderId="12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textRotation="255"/>
    </xf>
    <xf numFmtId="0" fontId="14" fillId="0" borderId="0" xfId="0" applyFont="1"/>
    <xf numFmtId="0" fontId="15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165" fontId="16" fillId="0" borderId="12" xfId="8" applyFont="1" applyBorder="1" applyAlignment="1">
      <alignment horizontal="center" vertical="center"/>
    </xf>
    <xf numFmtId="165" fontId="16" fillId="0" borderId="12" xfId="0" applyNumberFormat="1" applyFont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165" fontId="17" fillId="0" borderId="12" xfId="8" applyFont="1" applyBorder="1" applyAlignment="1">
      <alignment horizontal="center" vertical="center"/>
    </xf>
    <xf numFmtId="165" fontId="17" fillId="0" borderId="12" xfId="0" applyNumberFormat="1" applyFont="1" applyBorder="1" applyAlignment="1">
      <alignment horizontal="center" vertical="center"/>
    </xf>
    <xf numFmtId="2" fontId="17" fillId="0" borderId="12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165" fontId="17" fillId="2" borderId="12" xfId="8" applyFont="1" applyFill="1" applyBorder="1" applyAlignment="1">
      <alignment horizontal="center"/>
    </xf>
    <xf numFmtId="1" fontId="0" fillId="0" borderId="0" xfId="0" applyNumberFormat="1"/>
    <xf numFmtId="166" fontId="0" fillId="0" borderId="0" xfId="8" applyNumberFormat="1" applyFont="1"/>
    <xf numFmtId="4" fontId="16" fillId="0" borderId="12" xfId="0" applyNumberFormat="1" applyFont="1" applyBorder="1" applyAlignment="1">
      <alignment horizontal="center" vertical="center"/>
    </xf>
    <xf numFmtId="14" fontId="0" fillId="0" borderId="0" xfId="0" applyNumberFormat="1"/>
    <xf numFmtId="165" fontId="0" fillId="0" borderId="0" xfId="8" applyFont="1" applyBorder="1"/>
    <xf numFmtId="165" fontId="6" fillId="0" borderId="0" xfId="8" applyFont="1" applyBorder="1"/>
    <xf numFmtId="0" fontId="19" fillId="0" borderId="0" xfId="0" applyFont="1"/>
    <xf numFmtId="0" fontId="19" fillId="0" borderId="1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textRotation="255"/>
    </xf>
    <xf numFmtId="3" fontId="19" fillId="0" borderId="12" xfId="0" applyNumberFormat="1" applyFont="1" applyBorder="1" applyAlignment="1">
      <alignment horizontal="right" vertical="center"/>
    </xf>
    <xf numFmtId="165" fontId="19" fillId="0" borderId="12" xfId="8" applyFont="1" applyBorder="1" applyAlignment="1">
      <alignment horizontal="right" vertical="center"/>
    </xf>
    <xf numFmtId="3" fontId="19" fillId="0" borderId="12" xfId="8" applyNumberFormat="1" applyFont="1" applyBorder="1" applyAlignment="1">
      <alignment horizontal="right" vertical="center"/>
    </xf>
    <xf numFmtId="0" fontId="19" fillId="2" borderId="12" xfId="0" applyFont="1" applyFill="1" applyBorder="1" applyAlignment="1">
      <alignment horizontal="left" vertical="center"/>
    </xf>
    <xf numFmtId="167" fontId="19" fillId="0" borderId="12" xfId="8" applyNumberFormat="1" applyFont="1" applyBorder="1" applyAlignment="1">
      <alignment horizontal="center" vertical="center"/>
    </xf>
    <xf numFmtId="4" fontId="19" fillId="0" borderId="0" xfId="0" applyNumberFormat="1" applyFont="1"/>
    <xf numFmtId="43" fontId="19" fillId="0" borderId="0" xfId="0" applyNumberFormat="1" applyFont="1"/>
    <xf numFmtId="0" fontId="19" fillId="0" borderId="12" xfId="0" applyFont="1" applyBorder="1"/>
    <xf numFmtId="167" fontId="21" fillId="0" borderId="12" xfId="0" applyNumberFormat="1" applyFont="1" applyBorder="1" applyAlignment="1">
      <alignment horizontal="center" vertical="center"/>
    </xf>
    <xf numFmtId="3" fontId="19" fillId="0" borderId="0" xfId="0" applyNumberFormat="1" applyFont="1"/>
    <xf numFmtId="167" fontId="21" fillId="0" borderId="0" xfId="0" applyNumberFormat="1" applyFont="1" applyAlignment="1">
      <alignment horizontal="center" vertical="center"/>
    </xf>
    <xf numFmtId="165" fontId="24" fillId="0" borderId="13" xfId="1" applyNumberFormat="1" applyFont="1" applyFill="1" applyBorder="1" applyAlignment="1">
      <alignment horizontal="right"/>
    </xf>
    <xf numFmtId="165" fontId="24" fillId="0" borderId="0" xfId="1" applyNumberFormat="1" applyFont="1" applyFill="1" applyBorder="1" applyAlignment="1">
      <alignment horizontal="right"/>
    </xf>
    <xf numFmtId="165" fontId="25" fillId="0" borderId="12" xfId="6" applyNumberFormat="1" applyFont="1" applyFill="1" applyBorder="1" applyAlignment="1">
      <alignment horizontal="center" wrapText="1"/>
    </xf>
    <xf numFmtId="165" fontId="23" fillId="0" borderId="13" xfId="6" applyNumberFormat="1" applyFont="1" applyFill="1" applyBorder="1"/>
    <xf numFmtId="165" fontId="23" fillId="0" borderId="13" xfId="6" applyNumberFormat="1" applyFont="1" applyFill="1" applyBorder="1" applyAlignment="1">
      <alignment horizontal="right"/>
    </xf>
    <xf numFmtId="0" fontId="2" fillId="0" borderId="0" xfId="12"/>
    <xf numFmtId="0" fontId="21" fillId="0" borderId="12" xfId="0" applyFont="1" applyBorder="1"/>
    <xf numFmtId="14" fontId="2" fillId="0" borderId="0" xfId="12" applyNumberFormat="1"/>
    <xf numFmtId="165" fontId="0" fillId="0" borderId="12" xfId="8" applyFont="1" applyFill="1" applyBorder="1" applyAlignment="1">
      <alignment horizontal="left"/>
    </xf>
    <xf numFmtId="165" fontId="0" fillId="0" borderId="12" xfId="8" applyFont="1" applyFill="1" applyBorder="1" applyAlignment="1">
      <alignment horizontal="center"/>
    </xf>
    <xf numFmtId="165" fontId="31" fillId="0" borderId="12" xfId="8" applyFont="1" applyFill="1" applyBorder="1" applyAlignment="1">
      <alignment horizontal="center"/>
    </xf>
    <xf numFmtId="167" fontId="0" fillId="0" borderId="12" xfId="8" applyNumberFormat="1" applyFont="1" applyFill="1" applyBorder="1"/>
    <xf numFmtId="165" fontId="0" fillId="0" borderId="14" xfId="8" applyFont="1" applyFill="1" applyBorder="1" applyAlignment="1">
      <alignment horizontal="left"/>
    </xf>
    <xf numFmtId="165" fontId="0" fillId="0" borderId="14" xfId="8" applyFont="1" applyFill="1" applyBorder="1" applyAlignment="1">
      <alignment horizontal="center"/>
    </xf>
    <xf numFmtId="165" fontId="31" fillId="0" borderId="14" xfId="8" applyFont="1" applyFill="1" applyBorder="1" applyAlignment="1">
      <alignment horizontal="center"/>
    </xf>
    <xf numFmtId="165" fontId="9" fillId="0" borderId="15" xfId="8" applyFont="1" applyFill="1" applyBorder="1"/>
    <xf numFmtId="165" fontId="0" fillId="0" borderId="21" xfId="8" applyFont="1" applyFill="1" applyBorder="1" applyAlignment="1">
      <alignment horizontal="center"/>
    </xf>
    <xf numFmtId="165" fontId="0" fillId="0" borderId="22" xfId="8" applyFont="1" applyFill="1" applyBorder="1" applyAlignment="1">
      <alignment horizontal="center"/>
    </xf>
    <xf numFmtId="165" fontId="9" fillId="0" borderId="0" xfId="8" applyFont="1" applyFill="1" applyBorder="1"/>
    <xf numFmtId="165" fontId="0" fillId="0" borderId="0" xfId="8" applyFont="1" applyFill="1" applyBorder="1" applyAlignment="1">
      <alignment horizontal="center"/>
    </xf>
    <xf numFmtId="165" fontId="0" fillId="0" borderId="0" xfId="8" applyFont="1" applyFill="1" applyBorder="1"/>
    <xf numFmtId="165" fontId="0" fillId="0" borderId="11" xfId="8" applyFont="1" applyFill="1" applyBorder="1" applyAlignment="1">
      <alignment horizontal="center"/>
    </xf>
    <xf numFmtId="165" fontId="0" fillId="0" borderId="14" xfId="8" applyFont="1" applyFill="1" applyBorder="1"/>
    <xf numFmtId="165" fontId="0" fillId="0" borderId="12" xfId="8" applyFont="1" applyFill="1" applyBorder="1"/>
    <xf numFmtId="165" fontId="0" fillId="0" borderId="23" xfId="8" applyFont="1" applyFill="1" applyBorder="1"/>
    <xf numFmtId="165" fontId="0" fillId="0" borderId="23" xfId="8" applyFont="1" applyFill="1" applyBorder="1" applyAlignment="1">
      <alignment horizontal="left"/>
    </xf>
    <xf numFmtId="165" fontId="0" fillId="0" borderId="18" xfId="8" applyFont="1" applyFill="1" applyBorder="1" applyAlignment="1">
      <alignment horizontal="center"/>
    </xf>
    <xf numFmtId="165" fontId="0" fillId="0" borderId="19" xfId="8" applyFont="1" applyFill="1" applyBorder="1" applyAlignment="1">
      <alignment horizontal="center"/>
    </xf>
    <xf numFmtId="165" fontId="0" fillId="0" borderId="18" xfId="8" applyFont="1" applyFill="1" applyBorder="1"/>
    <xf numFmtId="167" fontId="0" fillId="0" borderId="0" xfId="8" applyNumberFormat="1" applyFont="1" applyFill="1"/>
    <xf numFmtId="165" fontId="0" fillId="0" borderId="0" xfId="8" applyFont="1" applyFill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31" fillId="0" borderId="12" xfId="0" applyFon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67" fontId="0" fillId="0" borderId="12" xfId="0" applyNumberFormat="1" applyBorder="1"/>
    <xf numFmtId="0" fontId="31" fillId="0" borderId="14" xfId="0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167" fontId="9" fillId="0" borderId="12" xfId="0" applyNumberFormat="1" applyFont="1" applyBorder="1"/>
    <xf numFmtId="43" fontId="0" fillId="0" borderId="0" xfId="0" applyNumberFormat="1"/>
    <xf numFmtId="168" fontId="0" fillId="0" borderId="12" xfId="0" applyNumberFormat="1" applyBorder="1"/>
    <xf numFmtId="49" fontId="0" fillId="0" borderId="0" xfId="0" applyNumberFormat="1"/>
    <xf numFmtId="0" fontId="31" fillId="0" borderId="18" xfId="0" applyFont="1" applyBorder="1" applyAlignment="1">
      <alignment horizontal="center"/>
    </xf>
    <xf numFmtId="165" fontId="9" fillId="0" borderId="15" xfId="0" applyNumberFormat="1" applyFont="1" applyBorder="1"/>
    <xf numFmtId="0" fontId="0" fillId="0" borderId="2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49" fontId="30" fillId="0" borderId="10" xfId="0" applyNumberFormat="1" applyFont="1" applyBorder="1"/>
    <xf numFmtId="49" fontId="31" fillId="0" borderId="12" xfId="0" applyNumberFormat="1" applyFont="1" applyBorder="1" applyAlignment="1">
      <alignment horizontal="left"/>
    </xf>
    <xf numFmtId="49" fontId="31" fillId="0" borderId="14" xfId="0" applyNumberFormat="1" applyFont="1" applyBorder="1" applyAlignment="1">
      <alignment horizontal="left"/>
    </xf>
    <xf numFmtId="49" fontId="30" fillId="0" borderId="17" xfId="0" applyNumberFormat="1" applyFont="1" applyBorder="1"/>
    <xf numFmtId="49" fontId="0" fillId="0" borderId="20" xfId="0" applyNumberFormat="1" applyBorder="1" applyAlignment="1">
      <alignment horizontal="left"/>
    </xf>
    <xf numFmtId="49" fontId="0" fillId="0" borderId="10" xfId="0" applyNumberFormat="1" applyBorder="1" applyAlignment="1">
      <alignment horizontal="left"/>
    </xf>
    <xf numFmtId="49" fontId="31" fillId="0" borderId="23" xfId="0" applyNumberFormat="1" applyFont="1" applyBorder="1" applyAlignment="1">
      <alignment horizontal="left"/>
    </xf>
    <xf numFmtId="49" fontId="0" fillId="0" borderId="20" xfId="0" applyNumberFormat="1" applyBorder="1"/>
    <xf numFmtId="49" fontId="0" fillId="0" borderId="10" xfId="0" applyNumberFormat="1" applyBorder="1"/>
    <xf numFmtId="49" fontId="0" fillId="0" borderId="7" xfId="0" applyNumberFormat="1" applyBorder="1"/>
    <xf numFmtId="49" fontId="0" fillId="0" borderId="0" xfId="0" applyNumberFormat="1" applyAlignment="1">
      <alignment wrapText="1"/>
    </xf>
    <xf numFmtId="49" fontId="0" fillId="0" borderId="12" xfId="0" applyNumberFormat="1" applyBorder="1" applyAlignment="1">
      <alignment horizontal="left"/>
    </xf>
    <xf numFmtId="49" fontId="0" fillId="0" borderId="13" xfId="0" applyNumberFormat="1" applyBorder="1" applyAlignment="1">
      <alignment horizontal="left"/>
    </xf>
    <xf numFmtId="49" fontId="0" fillId="0" borderId="14" xfId="0" applyNumberFormat="1" applyBorder="1" applyAlignment="1">
      <alignment horizontal="left"/>
    </xf>
    <xf numFmtId="0" fontId="1" fillId="0" borderId="0" xfId="12" applyFont="1"/>
    <xf numFmtId="0" fontId="7" fillId="0" borderId="0" xfId="12" applyFont="1"/>
    <xf numFmtId="4" fontId="19" fillId="0" borderId="12" xfId="0" applyNumberFormat="1" applyFont="1" applyBorder="1" applyAlignment="1">
      <alignment horizontal="right" vertical="center"/>
    </xf>
    <xf numFmtId="0" fontId="32" fillId="0" borderId="12" xfId="0" applyFont="1" applyBorder="1"/>
    <xf numFmtId="1" fontId="0" fillId="0" borderId="12" xfId="0" applyNumberFormat="1" applyBorder="1"/>
    <xf numFmtId="4" fontId="0" fillId="0" borderId="12" xfId="0" applyNumberFormat="1" applyBorder="1"/>
    <xf numFmtId="4" fontId="32" fillId="0" borderId="12" xfId="0" applyNumberFormat="1" applyFont="1" applyBorder="1"/>
    <xf numFmtId="1" fontId="0" fillId="0" borderId="12" xfId="0" applyNumberFormat="1" applyBorder="1" applyAlignment="1">
      <alignment vertical="center"/>
    </xf>
    <xf numFmtId="4" fontId="0" fillId="0" borderId="12" xfId="0" applyNumberFormat="1" applyBorder="1" applyAlignment="1">
      <alignment vertical="center"/>
    </xf>
    <xf numFmtId="2" fontId="0" fillId="0" borderId="12" xfId="0" applyNumberFormat="1" applyBorder="1" applyAlignment="1">
      <alignment vertical="center"/>
    </xf>
    <xf numFmtId="0" fontId="0" fillId="0" borderId="12" xfId="0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43" fontId="0" fillId="0" borderId="12" xfId="0" applyNumberFormat="1" applyBorder="1"/>
    <xf numFmtId="43" fontId="0" fillId="0" borderId="12" xfId="8" applyNumberFormat="1" applyFont="1" applyFill="1" applyBorder="1"/>
    <xf numFmtId="43" fontId="9" fillId="0" borderId="12" xfId="8" applyNumberFormat="1" applyFont="1" applyFill="1" applyBorder="1"/>
    <xf numFmtId="0" fontId="23" fillId="0" borderId="0" xfId="0" applyFont="1"/>
    <xf numFmtId="0" fontId="23" fillId="0" borderId="2" xfId="0" applyFont="1" applyBorder="1"/>
    <xf numFmtId="0" fontId="23" fillId="0" borderId="2" xfId="0" applyFont="1" applyBorder="1" applyAlignment="1">
      <alignment horizontal="left"/>
    </xf>
    <xf numFmtId="0" fontId="23" fillId="0" borderId="12" xfId="0" applyFont="1" applyBorder="1"/>
    <xf numFmtId="4" fontId="23" fillId="0" borderId="13" xfId="0" applyNumberFormat="1" applyFont="1" applyBorder="1"/>
    <xf numFmtId="0" fontId="22" fillId="0" borderId="0" xfId="0" applyFont="1" applyAlignment="1">
      <alignment horizontal="left"/>
    </xf>
    <xf numFmtId="0" fontId="23" fillId="0" borderId="13" xfId="0" applyFont="1" applyBorder="1"/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4" fontId="23" fillId="0" borderId="0" xfId="0" applyNumberFormat="1" applyFont="1"/>
    <xf numFmtId="165" fontId="23" fillId="0" borderId="0" xfId="8" applyFont="1" applyFill="1"/>
    <xf numFmtId="0" fontId="27" fillId="0" borderId="0" xfId="0" applyFont="1" applyAlignment="1">
      <alignment horizontal="left"/>
    </xf>
    <xf numFmtId="4" fontId="23" fillId="0" borderId="10" xfId="0" applyNumberFormat="1" applyFont="1" applyBorder="1"/>
    <xf numFmtId="4" fontId="23" fillId="0" borderId="10" xfId="0" applyNumberFormat="1" applyFont="1" applyBorder="1" applyAlignment="1">
      <alignment horizontal="right"/>
    </xf>
    <xf numFmtId="0" fontId="23" fillId="0" borderId="10" xfId="0" applyFont="1" applyBorder="1"/>
    <xf numFmtId="0" fontId="23" fillId="0" borderId="0" xfId="0" applyFont="1" applyAlignment="1">
      <alignment wrapText="1"/>
    </xf>
    <xf numFmtId="0" fontId="23" fillId="0" borderId="11" xfId="0" applyFont="1" applyBorder="1" applyAlignment="1">
      <alignment wrapText="1"/>
    </xf>
    <xf numFmtId="0" fontId="24" fillId="0" borderId="0" xfId="0" applyFont="1"/>
    <xf numFmtId="165" fontId="23" fillId="0" borderId="0" xfId="0" applyNumberFormat="1" applyFont="1"/>
    <xf numFmtId="43" fontId="23" fillId="0" borderId="13" xfId="0" applyNumberFormat="1" applyFont="1" applyBorder="1" applyAlignment="1">
      <alignment horizontal="right"/>
    </xf>
    <xf numFmtId="0" fontId="23" fillId="0" borderId="11" xfId="0" applyFont="1" applyBorder="1"/>
    <xf numFmtId="2" fontId="23" fillId="0" borderId="0" xfId="0" applyNumberFormat="1" applyFont="1"/>
    <xf numFmtId="2" fontId="23" fillId="0" borderId="10" xfId="0" applyNumberFormat="1" applyFont="1" applyBorder="1"/>
    <xf numFmtId="0" fontId="23" fillId="0" borderId="7" xfId="0" applyFont="1" applyBorder="1"/>
    <xf numFmtId="0" fontId="23" fillId="0" borderId="8" xfId="0" applyFont="1" applyBorder="1"/>
    <xf numFmtId="0" fontId="23" fillId="0" borderId="9" xfId="0" applyFont="1" applyBorder="1"/>
    <xf numFmtId="43" fontId="25" fillId="0" borderId="12" xfId="6" applyNumberFormat="1" applyFont="1" applyFill="1" applyBorder="1" applyAlignment="1">
      <alignment horizontal="center" wrapText="1"/>
    </xf>
    <xf numFmtId="43" fontId="23" fillId="0" borderId="13" xfId="0" applyNumberFormat="1" applyFont="1" applyBorder="1"/>
    <xf numFmtId="43" fontId="23" fillId="0" borderId="16" xfId="0" applyNumberFormat="1" applyFont="1" applyBorder="1"/>
    <xf numFmtId="43" fontId="23" fillId="0" borderId="14" xfId="0" applyNumberFormat="1" applyFont="1" applyBorder="1"/>
    <xf numFmtId="43" fontId="24" fillId="0" borderId="15" xfId="0" applyNumberFormat="1" applyFont="1" applyBorder="1" applyAlignment="1">
      <alignment horizontal="right"/>
    </xf>
    <xf numFmtId="165" fontId="25" fillId="0" borderId="12" xfId="1" applyNumberFormat="1" applyFont="1" applyFill="1" applyBorder="1" applyAlignment="1">
      <alignment horizontal="center" wrapText="1"/>
    </xf>
    <xf numFmtId="4" fontId="24" fillId="0" borderId="13" xfId="0" applyNumberFormat="1" applyFont="1" applyBorder="1" applyAlignment="1">
      <alignment horizontal="right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3" fillId="0" borderId="13" xfId="0" applyFont="1" applyBorder="1" applyAlignment="1">
      <alignment horizontal="center"/>
    </xf>
    <xf numFmtId="0" fontId="22" fillId="0" borderId="13" xfId="0" applyFont="1" applyBorder="1" applyAlignment="1">
      <alignment horizontal="right"/>
    </xf>
    <xf numFmtId="4" fontId="23" fillId="0" borderId="0" xfId="2" applyNumberFormat="1" applyFont="1" applyAlignment="1">
      <alignment horizontal="left"/>
    </xf>
    <xf numFmtId="4" fontId="22" fillId="0" borderId="0" xfId="2" applyNumberFormat="1" applyFont="1" applyAlignment="1">
      <alignment horizontal="left"/>
    </xf>
    <xf numFmtId="0" fontId="23" fillId="0" borderId="10" xfId="0" applyFont="1" applyBorder="1" applyAlignment="1">
      <alignment horizontal="center"/>
    </xf>
    <xf numFmtId="0" fontId="26" fillId="0" borderId="0" xfId="0" applyFont="1" applyAlignment="1">
      <alignment horizontal="left"/>
    </xf>
    <xf numFmtId="4" fontId="23" fillId="0" borderId="0" xfId="0" applyNumberFormat="1" applyFont="1" applyAlignment="1">
      <alignment horizontal="left"/>
    </xf>
    <xf numFmtId="4" fontId="23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4" fontId="23" fillId="0" borderId="0" xfId="2" applyNumberFormat="1" applyFont="1" applyAlignment="1">
      <alignment horizontal="center"/>
    </xf>
    <xf numFmtId="4" fontId="24" fillId="0" borderId="0" xfId="2" applyNumberFormat="1" applyFont="1" applyAlignment="1">
      <alignment horizontal="center"/>
    </xf>
    <xf numFmtId="0" fontId="23" fillId="0" borderId="2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2" fontId="23" fillId="0" borderId="7" xfId="0" applyNumberFormat="1" applyFont="1" applyBorder="1"/>
    <xf numFmtId="0" fontId="23" fillId="0" borderId="8" xfId="0" applyFont="1" applyBorder="1" applyAlignment="1">
      <alignment horizontal="left"/>
    </xf>
    <xf numFmtId="43" fontId="23" fillId="0" borderId="13" xfId="6" applyNumberFormat="1" applyFont="1" applyFill="1" applyBorder="1" applyAlignment="1">
      <alignment horizontal="right"/>
    </xf>
    <xf numFmtId="43" fontId="23" fillId="0" borderId="10" xfId="0" applyNumberFormat="1" applyFont="1" applyBorder="1"/>
    <xf numFmtId="43" fontId="23" fillId="0" borderId="14" xfId="0" applyNumberFormat="1" applyFont="1" applyBorder="1" applyAlignment="1">
      <alignment horizontal="right"/>
    </xf>
    <xf numFmtId="43" fontId="23" fillId="0" borderId="12" xfId="0" applyNumberFormat="1" applyFont="1" applyBorder="1"/>
    <xf numFmtId="43" fontId="24" fillId="0" borderId="15" xfId="0" applyNumberFormat="1" applyFont="1" applyBorder="1"/>
    <xf numFmtId="43" fontId="23" fillId="0" borderId="14" xfId="6" applyNumberFormat="1" applyFont="1" applyFill="1" applyBorder="1" applyAlignment="1">
      <alignment horizontal="right"/>
    </xf>
    <xf numFmtId="43" fontId="23" fillId="0" borderId="14" xfId="6" applyNumberFormat="1" applyFont="1" applyFill="1" applyBorder="1" applyAlignment="1"/>
    <xf numFmtId="43" fontId="23" fillId="0" borderId="10" xfId="6" applyNumberFormat="1" applyFont="1" applyFill="1" applyBorder="1" applyAlignment="1">
      <alignment horizontal="right"/>
    </xf>
    <xf numFmtId="43" fontId="23" fillId="0" borderId="10" xfId="0" applyNumberFormat="1" applyFont="1" applyBorder="1" applyAlignment="1">
      <alignment horizontal="right"/>
    </xf>
    <xf numFmtId="43" fontId="23" fillId="0" borderId="13" xfId="8" applyNumberFormat="1" applyFont="1" applyFill="1" applyBorder="1"/>
    <xf numFmtId="43" fontId="23" fillId="0" borderId="10" xfId="8" applyNumberFormat="1" applyFont="1" applyFill="1" applyBorder="1"/>
    <xf numFmtId="43" fontId="24" fillId="0" borderId="15" xfId="6" applyNumberFormat="1" applyFont="1" applyFill="1" applyBorder="1"/>
    <xf numFmtId="43" fontId="23" fillId="0" borderId="13" xfId="1" applyNumberFormat="1" applyFont="1" applyFill="1" applyBorder="1" applyAlignment="1">
      <alignment horizontal="right"/>
    </xf>
    <xf numFmtId="43" fontId="23" fillId="0" borderId="10" xfId="1" applyNumberFormat="1" applyFont="1" applyFill="1" applyBorder="1" applyAlignment="1">
      <alignment horizontal="right"/>
    </xf>
    <xf numFmtId="43" fontId="23" fillId="0" borderId="13" xfId="2" applyNumberFormat="1" applyFont="1" applyBorder="1"/>
    <xf numFmtId="43" fontId="23" fillId="0" borderId="13" xfId="1" applyNumberFormat="1" applyFont="1" applyFill="1" applyBorder="1"/>
    <xf numFmtId="43" fontId="24" fillId="0" borderId="13" xfId="1" applyNumberFormat="1" applyFont="1" applyFill="1" applyBorder="1" applyAlignment="1">
      <alignment horizontal="right"/>
    </xf>
    <xf numFmtId="43" fontId="23" fillId="0" borderId="14" xfId="1" applyNumberFormat="1" applyFont="1" applyFill="1" applyBorder="1" applyAlignment="1">
      <alignment horizontal="right"/>
    </xf>
    <xf numFmtId="43" fontId="23" fillId="0" borderId="12" xfId="0" applyNumberFormat="1" applyFont="1" applyBorder="1" applyAlignment="1">
      <alignment horizontal="center"/>
    </xf>
    <xf numFmtId="43" fontId="24" fillId="0" borderId="15" xfId="1" applyNumberFormat="1" applyFont="1" applyFill="1" applyBorder="1" applyAlignment="1">
      <alignment horizontal="right"/>
    </xf>
    <xf numFmtId="0" fontId="22" fillId="0" borderId="0" xfId="0" applyFont="1"/>
    <xf numFmtId="0" fontId="26" fillId="0" borderId="0" xfId="0" applyFont="1"/>
    <xf numFmtId="1" fontId="0" fillId="0" borderId="1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/>
    </xf>
    <xf numFmtId="0" fontId="23" fillId="0" borderId="12" xfId="0" applyFont="1" applyBorder="1" applyAlignment="1">
      <alignment horizontal="center"/>
    </xf>
    <xf numFmtId="165" fontId="0" fillId="0" borderId="8" xfId="8" applyFont="1" applyBorder="1" applyAlignment="1">
      <alignment horizontal="center"/>
    </xf>
    <xf numFmtId="165" fontId="0" fillId="0" borderId="0" xfId="8" applyFont="1"/>
    <xf numFmtId="0" fontId="9" fillId="0" borderId="21" xfId="0" applyFont="1" applyBorder="1"/>
    <xf numFmtId="0" fontId="0" fillId="0" borderId="21" xfId="0" applyBorder="1"/>
    <xf numFmtId="165" fontId="9" fillId="0" borderId="21" xfId="8" applyFont="1" applyBorder="1"/>
    <xf numFmtId="0" fontId="6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167" fontId="0" fillId="0" borderId="0" xfId="8" applyNumberFormat="1" applyFont="1"/>
    <xf numFmtId="167" fontId="0" fillId="0" borderId="21" xfId="8" applyNumberFormat="1" applyFont="1" applyBorder="1"/>
    <xf numFmtId="167" fontId="0" fillId="0" borderId="0" xfId="8" applyNumberFormat="1" applyFont="1" applyBorder="1"/>
    <xf numFmtId="0" fontId="0" fillId="0" borderId="0" xfId="0" applyAlignment="1">
      <alignment horizontal="right"/>
    </xf>
    <xf numFmtId="0" fontId="24" fillId="0" borderId="11" xfId="0" applyFont="1" applyBorder="1"/>
    <xf numFmtId="43" fontId="24" fillId="0" borderId="13" xfId="0" applyNumberFormat="1" applyFont="1" applyBorder="1"/>
    <xf numFmtId="4" fontId="24" fillId="0" borderId="0" xfId="0" applyNumberFormat="1" applyFont="1"/>
    <xf numFmtId="4" fontId="24" fillId="0" borderId="8" xfId="0" applyNumberFormat="1" applyFont="1" applyBorder="1"/>
    <xf numFmtId="4" fontId="24" fillId="0" borderId="11" xfId="0" applyNumberFormat="1" applyFont="1" applyBorder="1"/>
    <xf numFmtId="0" fontId="24" fillId="0" borderId="9" xfId="0" applyFont="1" applyBorder="1"/>
    <xf numFmtId="43" fontId="23" fillId="0" borderId="0" xfId="0" applyNumberFormat="1" applyFont="1"/>
    <xf numFmtId="4" fontId="21" fillId="0" borderId="12" xfId="0" applyNumberFormat="1" applyFont="1" applyBorder="1" applyAlignment="1">
      <alignment horizontal="right" vertical="center"/>
    </xf>
    <xf numFmtId="43" fontId="19" fillId="0" borderId="13" xfId="0" applyNumberFormat="1" applyFont="1" applyBorder="1"/>
    <xf numFmtId="0" fontId="32" fillId="0" borderId="0" xfId="0" applyFont="1"/>
    <xf numFmtId="2" fontId="32" fillId="0" borderId="0" xfId="0" applyNumberFormat="1" applyFont="1"/>
    <xf numFmtId="43" fontId="23" fillId="0" borderId="11" xfId="0" applyNumberFormat="1" applyFont="1" applyBorder="1"/>
    <xf numFmtId="43" fontId="19" fillId="0" borderId="13" xfId="6" applyNumberFormat="1" applyFont="1" applyFill="1" applyBorder="1" applyAlignment="1">
      <alignment horizontal="right"/>
    </xf>
    <xf numFmtId="0" fontId="21" fillId="0" borderId="1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4" fontId="0" fillId="3" borderId="0" xfId="0" applyNumberFormat="1" applyFill="1"/>
    <xf numFmtId="0" fontId="9" fillId="3" borderId="0" xfId="12" applyFont="1" applyFill="1"/>
    <xf numFmtId="4" fontId="2" fillId="0" borderId="0" xfId="12" applyNumberFormat="1"/>
    <xf numFmtId="2" fontId="2" fillId="0" borderId="0" xfId="12" applyNumberFormat="1"/>
    <xf numFmtId="167" fontId="0" fillId="0" borderId="12" xfId="8" applyNumberFormat="1" applyFont="1" applyFill="1" applyBorder="1" applyAlignment="1">
      <alignment horizontal="left"/>
    </xf>
    <xf numFmtId="0" fontId="6" fillId="0" borderId="12" xfId="0" applyFont="1" applyBorder="1" applyAlignment="1">
      <alignment horizontal="center"/>
    </xf>
    <xf numFmtId="49" fontId="9" fillId="0" borderId="15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20" xfId="0" applyFont="1" applyBorder="1"/>
    <xf numFmtId="0" fontId="9" fillId="0" borderId="22" xfId="0" applyFont="1" applyBorder="1"/>
    <xf numFmtId="2" fontId="9" fillId="0" borderId="15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0" borderId="12" xfId="8" applyNumberFormat="1" applyFont="1" applyFill="1" applyBorder="1" applyAlignment="1">
      <alignment horizontal="center"/>
    </xf>
    <xf numFmtId="2" fontId="0" fillId="0" borderId="21" xfId="8" applyNumberFormat="1" applyFont="1" applyFill="1" applyBorder="1" applyAlignment="1">
      <alignment horizontal="center"/>
    </xf>
    <xf numFmtId="2" fontId="0" fillId="0" borderId="0" xfId="8" applyNumberFormat="1" applyFont="1" applyFill="1" applyBorder="1" applyAlignment="1">
      <alignment horizontal="center"/>
    </xf>
    <xf numFmtId="2" fontId="0" fillId="0" borderId="18" xfId="8" applyNumberFormat="1" applyFont="1" applyFill="1" applyBorder="1" applyAlignment="1">
      <alignment horizontal="center"/>
    </xf>
    <xf numFmtId="2" fontId="0" fillId="0" borderId="14" xfId="8" applyNumberFormat="1" applyFont="1" applyFill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0" xfId="0" applyNumberFormat="1" applyAlignment="1">
      <alignment horizontal="center" wrapText="1"/>
    </xf>
    <xf numFmtId="0" fontId="33" fillId="0" borderId="12" xfId="0" applyFont="1" applyBorder="1"/>
    <xf numFmtId="0" fontId="9" fillId="0" borderId="12" xfId="0" applyFont="1" applyBorder="1"/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3" fillId="0" borderId="2" xfId="0" applyFont="1" applyBorder="1"/>
    <xf numFmtId="0" fontId="23" fillId="0" borderId="3" xfId="0" applyFont="1" applyBorder="1"/>
    <xf numFmtId="2" fontId="24" fillId="0" borderId="4" xfId="0" applyNumberFormat="1" applyFont="1" applyBorder="1" applyAlignment="1">
      <alignment horizontal="center"/>
    </xf>
    <xf numFmtId="2" fontId="24" fillId="0" borderId="5" xfId="0" applyNumberFormat="1" applyFont="1" applyBorder="1" applyAlignment="1">
      <alignment horizontal="center"/>
    </xf>
    <xf numFmtId="2" fontId="24" fillId="0" borderId="6" xfId="0" applyNumberFormat="1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4" fillId="0" borderId="12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top"/>
    </xf>
    <xf numFmtId="0" fontId="20" fillId="0" borderId="0" xfId="0" applyFont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7" xfId="0" applyFont="1" applyBorder="1" applyAlignment="1">
      <alignment horizontal="center" vertical="top"/>
    </xf>
    <xf numFmtId="0" fontId="20" fillId="0" borderId="8" xfId="0" applyFont="1" applyBorder="1" applyAlignment="1">
      <alignment horizontal="center" vertical="top"/>
    </xf>
    <xf numFmtId="0" fontId="20" fillId="0" borderId="9" xfId="0" applyFont="1" applyBorder="1" applyAlignment="1">
      <alignment horizontal="center" vertical="top"/>
    </xf>
    <xf numFmtId="0" fontId="6" fillId="0" borderId="14" xfId="0" applyFont="1" applyBorder="1" applyAlignment="1">
      <alignment horizontal="center"/>
    </xf>
    <xf numFmtId="0" fontId="6" fillId="0" borderId="14" xfId="0" applyFont="1" applyBorder="1"/>
    <xf numFmtId="0" fontId="6" fillId="0" borderId="1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165" fontId="9" fillId="0" borderId="0" xfId="8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</cellXfs>
  <cellStyles count="13">
    <cellStyle name="Comma" xfId="8" builtinId="3"/>
    <cellStyle name="Comma 2" xfId="3" xr:uid="{00000000-0005-0000-0000-000001000000}"/>
    <cellStyle name="Comma 3" xfId="1" xr:uid="{00000000-0005-0000-0000-000002000000}"/>
    <cellStyle name="Comma 3 2" xfId="6" xr:uid="{00000000-0005-0000-0000-000003000000}"/>
    <cellStyle name="Comma 3 3" xfId="7" xr:uid="{00000000-0005-0000-0000-000004000000}"/>
    <cellStyle name="Comma 4" xfId="10" xr:uid="{00000000-0005-0000-0000-000005000000}"/>
    <cellStyle name="Comma 6" xfId="4" xr:uid="{00000000-0005-0000-0000-000006000000}"/>
    <cellStyle name="Normal" xfId="0" builtinId="0"/>
    <cellStyle name="Normal 2" xfId="5" xr:uid="{00000000-0005-0000-0000-000008000000}"/>
    <cellStyle name="Normal 3" xfId="2" xr:uid="{00000000-0005-0000-0000-000009000000}"/>
    <cellStyle name="Normal 4" xfId="9" xr:uid="{00000000-0005-0000-0000-00000A000000}"/>
    <cellStyle name="Normal 4 2" xfId="11" xr:uid="{00000000-0005-0000-0000-00000B000000}"/>
    <cellStyle name="Normal 5" xfId="12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7"/>
  <sheetViews>
    <sheetView topLeftCell="A33" workbookViewId="0">
      <selection sqref="A1:P50"/>
    </sheetView>
  </sheetViews>
  <sheetFormatPr defaultColWidth="8.88671875" defaultRowHeight="14.4"/>
  <cols>
    <col min="1" max="1" width="14.77734375" style="133" customWidth="1"/>
    <col min="2" max="2" width="2.21875" style="133" customWidth="1"/>
    <col min="3" max="3" width="14.21875" style="133" customWidth="1"/>
    <col min="4" max="4" width="9" style="133" customWidth="1"/>
    <col min="5" max="5" width="16.21875" style="133" customWidth="1"/>
    <col min="6" max="6" width="14.33203125" style="133" bestFit="1" customWidth="1"/>
    <col min="7" max="7" width="14.21875" style="133" customWidth="1"/>
    <col min="8" max="8" width="1.109375" style="133" customWidth="1"/>
    <col min="9" max="9" width="14" style="133" customWidth="1"/>
    <col min="10" max="10" width="2.77734375" style="133" customWidth="1"/>
    <col min="11" max="13" width="8.88671875" style="133"/>
    <col min="14" max="14" width="12.21875" style="133" customWidth="1"/>
    <col min="15" max="15" width="14" style="133" bestFit="1" customWidth="1"/>
    <col min="16" max="16" width="14.77734375" style="133" customWidth="1"/>
    <col min="17" max="17" width="14.6640625" style="133" hidden="1" customWidth="1"/>
    <col min="18" max="18" width="15" style="133" hidden="1" customWidth="1"/>
    <col min="19" max="21" width="0" style="133" hidden="1" customWidth="1"/>
    <col min="22" max="22" width="13.33203125" style="133" bestFit="1" customWidth="1"/>
    <col min="23" max="23" width="13.5546875" style="133" bestFit="1" customWidth="1"/>
    <col min="24" max="16384" width="8.88671875" style="133"/>
  </cols>
  <sheetData>
    <row r="1" spans="1:23">
      <c r="A1" s="260" t="s">
        <v>592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2"/>
    </row>
    <row r="2" spans="1:23">
      <c r="A2" s="263" t="s">
        <v>593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5"/>
    </row>
    <row r="3" spans="1:23">
      <c r="A3" s="266" t="s">
        <v>363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8"/>
    </row>
    <row r="4" spans="1:23" ht="32.4">
      <c r="A4" s="159" t="s">
        <v>27</v>
      </c>
      <c r="B4" s="257" t="s">
        <v>25</v>
      </c>
      <c r="C4" s="258"/>
      <c r="D4" s="258"/>
      <c r="E4" s="259"/>
      <c r="F4" s="136"/>
      <c r="G4" s="53" t="s">
        <v>3</v>
      </c>
      <c r="H4" s="134"/>
      <c r="I4" s="53" t="s">
        <v>27</v>
      </c>
      <c r="J4" s="257" t="s">
        <v>26</v>
      </c>
      <c r="K4" s="258"/>
      <c r="L4" s="258"/>
      <c r="M4" s="258"/>
      <c r="N4" s="259"/>
      <c r="O4" s="136"/>
      <c r="P4" s="53" t="s">
        <v>3</v>
      </c>
    </row>
    <row r="5" spans="1:23">
      <c r="A5" s="160"/>
      <c r="C5" s="138" t="s">
        <v>28</v>
      </c>
      <c r="F5" s="137"/>
      <c r="G5" s="137"/>
      <c r="I5" s="54"/>
      <c r="K5" s="138" t="s">
        <v>29</v>
      </c>
      <c r="O5" s="139"/>
      <c r="P5" s="55"/>
    </row>
    <row r="6" spans="1:23">
      <c r="A6" s="160"/>
      <c r="C6" s="138" t="s">
        <v>30</v>
      </c>
      <c r="F6" s="137"/>
      <c r="G6" s="137"/>
      <c r="I6" s="183">
        <v>3000</v>
      </c>
      <c r="K6" s="140" t="s">
        <v>31</v>
      </c>
      <c r="O6" s="183">
        <v>2452</v>
      </c>
      <c r="P6" s="183"/>
    </row>
    <row r="7" spans="1:23" ht="15" thickBot="1">
      <c r="A7" s="161">
        <v>50000</v>
      </c>
      <c r="C7" s="141" t="s">
        <v>337</v>
      </c>
      <c r="F7" s="160"/>
      <c r="G7" s="161">
        <f>1000*50</f>
        <v>50000</v>
      </c>
      <c r="I7" s="183">
        <v>0</v>
      </c>
      <c r="K7" s="140" t="s">
        <v>449</v>
      </c>
      <c r="O7" s="231">
        <f>BRS!D24</f>
        <v>6401</v>
      </c>
      <c r="P7" s="183"/>
      <c r="V7" s="204"/>
    </row>
    <row r="8" spans="1:23" ht="15" thickTop="1">
      <c r="A8" s="160"/>
      <c r="C8" s="138" t="s">
        <v>32</v>
      </c>
      <c r="F8" s="183"/>
      <c r="G8" s="160"/>
      <c r="I8" s="183">
        <v>0</v>
      </c>
      <c r="K8" s="140" t="s">
        <v>450</v>
      </c>
      <c r="O8" s="183">
        <f>BRS!D16</f>
        <v>212558.15</v>
      </c>
      <c r="P8" s="183"/>
      <c r="Q8" s="143">
        <v>32439501.420000002</v>
      </c>
      <c r="R8" s="142" t="e">
        <f>+Q8-#REF!</f>
        <v>#REF!</v>
      </c>
    </row>
    <row r="9" spans="1:23">
      <c r="A9" s="160">
        <v>21000</v>
      </c>
      <c r="C9" s="140" t="s">
        <v>338</v>
      </c>
      <c r="F9" s="183"/>
      <c r="G9" s="160">
        <f>420*50</f>
        <v>21000</v>
      </c>
      <c r="I9" s="183">
        <v>911944</v>
      </c>
      <c r="K9" s="140" t="s">
        <v>347</v>
      </c>
      <c r="O9" s="189">
        <f>BRS!D5</f>
        <v>218208.75</v>
      </c>
      <c r="P9" s="183">
        <f>SUM(O6:O9)</f>
        <v>439619.9</v>
      </c>
    </row>
    <row r="10" spans="1:23">
      <c r="A10" s="152"/>
      <c r="C10" s="140"/>
      <c r="F10" s="183"/>
      <c r="G10" s="160"/>
      <c r="I10" s="183"/>
      <c r="K10" s="140"/>
      <c r="O10" s="183"/>
      <c r="P10" s="183"/>
    </row>
    <row r="11" spans="1:23">
      <c r="A11" s="152"/>
      <c r="C11" s="138" t="s">
        <v>34</v>
      </c>
      <c r="F11" s="160"/>
      <c r="G11" s="160"/>
      <c r="I11" s="183"/>
      <c r="K11" s="138" t="s">
        <v>578</v>
      </c>
      <c r="O11" s="183"/>
      <c r="P11" s="183"/>
      <c r="W11" s="142"/>
    </row>
    <row r="12" spans="1:23">
      <c r="A12" s="152"/>
      <c r="C12" s="144" t="s">
        <v>35</v>
      </c>
      <c r="F12" s="160"/>
      <c r="G12" s="183"/>
      <c r="I12" s="183">
        <v>200000</v>
      </c>
      <c r="K12" s="140" t="s">
        <v>451</v>
      </c>
      <c r="O12" s="183">
        <f>'Fixed Deposit'!D23</f>
        <v>1393766.26</v>
      </c>
      <c r="P12" s="183"/>
    </row>
    <row r="13" spans="1:23" ht="13.2" customHeight="1">
      <c r="A13" s="152">
        <v>0</v>
      </c>
      <c r="C13" s="133" t="s">
        <v>36</v>
      </c>
      <c r="F13" s="152">
        <f>SUM(A13:A16)</f>
        <v>361766.26</v>
      </c>
      <c r="G13" s="183"/>
      <c r="I13" s="183">
        <v>0</v>
      </c>
      <c r="K13" s="140" t="s">
        <v>452</v>
      </c>
      <c r="O13" s="183">
        <f>'Fixed Deposit'!D7</f>
        <v>362880</v>
      </c>
      <c r="P13" s="183"/>
    </row>
    <row r="14" spans="1:23">
      <c r="A14" s="160">
        <v>329166.26</v>
      </c>
      <c r="C14" s="140" t="s">
        <v>604</v>
      </c>
      <c r="F14" s="160">
        <f>'I&amp;E 25-26'!G59</f>
        <v>1019372</v>
      </c>
      <c r="G14" s="183"/>
      <c r="I14" s="183">
        <v>0</v>
      </c>
      <c r="K14" s="140" t="s">
        <v>453</v>
      </c>
      <c r="O14" s="183">
        <f>'Fixed Deposit'!D12</f>
        <v>1088640</v>
      </c>
      <c r="P14" s="183"/>
    </row>
    <row r="15" spans="1:23">
      <c r="A15" s="160">
        <v>7600</v>
      </c>
      <c r="C15" s="140" t="s">
        <v>340</v>
      </c>
      <c r="F15" s="160">
        <f>'I&amp;E 25-26'!G56</f>
        <v>0</v>
      </c>
      <c r="G15" s="183"/>
      <c r="I15" s="183">
        <v>0</v>
      </c>
      <c r="K15" s="140" t="s">
        <v>454</v>
      </c>
      <c r="O15" s="183">
        <f>'Fixed Deposit'!D28</f>
        <v>5040</v>
      </c>
      <c r="P15" s="183"/>
    </row>
    <row r="16" spans="1:23">
      <c r="A16" s="160">
        <v>25000</v>
      </c>
      <c r="C16" s="140" t="s">
        <v>341</v>
      </c>
      <c r="F16" s="160">
        <f>+'I&amp;E 25-26'!G55</f>
        <v>0</v>
      </c>
      <c r="G16" s="183"/>
      <c r="H16" s="139"/>
      <c r="I16" s="183">
        <v>0</v>
      </c>
      <c r="K16" s="140" t="s">
        <v>577</v>
      </c>
      <c r="O16" s="183">
        <f>'Fixed Deposit'!D32</f>
        <v>21000</v>
      </c>
      <c r="P16" s="183"/>
    </row>
    <row r="17" spans="1:17">
      <c r="A17" s="160">
        <v>0</v>
      </c>
      <c r="C17" s="140" t="s">
        <v>480</v>
      </c>
      <c r="F17" s="162">
        <f>-'I&amp;E 25-26'!O39</f>
        <v>50018</v>
      </c>
      <c r="G17" s="183">
        <f>SUM(F13:F17)</f>
        <v>1431156.26</v>
      </c>
      <c r="I17" s="183">
        <v>0</v>
      </c>
      <c r="K17" s="140" t="s">
        <v>455</v>
      </c>
      <c r="O17" s="183">
        <v>1450000</v>
      </c>
      <c r="P17" s="183"/>
    </row>
    <row r="18" spans="1:17">
      <c r="A18" s="152"/>
      <c r="C18" s="140"/>
      <c r="F18" s="160"/>
      <c r="G18" s="160"/>
      <c r="I18" s="185">
        <v>5087</v>
      </c>
      <c r="K18" s="144" t="s">
        <v>362</v>
      </c>
      <c r="O18" s="188">
        <f>'Fixed Deposit'!G34</f>
        <v>82677</v>
      </c>
      <c r="P18" s="183">
        <f>SUM(O12:O18)</f>
        <v>4404003.26</v>
      </c>
    </row>
    <row r="19" spans="1:17">
      <c r="A19" s="152"/>
      <c r="C19" s="138" t="s">
        <v>39</v>
      </c>
      <c r="F19" s="160"/>
      <c r="G19" s="160"/>
      <c r="I19" s="160"/>
      <c r="K19" s="138"/>
      <c r="O19" s="190"/>
      <c r="P19" s="183"/>
    </row>
    <row r="20" spans="1:17">
      <c r="A20" s="160">
        <v>0</v>
      </c>
      <c r="C20" s="140" t="s">
        <v>36</v>
      </c>
      <c r="F20" s="160">
        <f>SUM(A20:A21)</f>
        <v>181440</v>
      </c>
      <c r="G20" s="160"/>
      <c r="I20" s="183"/>
      <c r="K20" s="138" t="s">
        <v>37</v>
      </c>
      <c r="O20" s="183"/>
      <c r="P20" s="183"/>
    </row>
    <row r="21" spans="1:17">
      <c r="A21" s="160">
        <v>181440</v>
      </c>
      <c r="C21" s="140" t="s">
        <v>40</v>
      </c>
      <c r="F21" s="160">
        <f>+'I&amp;E 25-26'!G52</f>
        <v>181440</v>
      </c>
      <c r="G21" s="160"/>
      <c r="I21" s="183">
        <v>10800</v>
      </c>
      <c r="K21" s="133" t="s">
        <v>348</v>
      </c>
      <c r="L21" s="148"/>
      <c r="M21" s="148"/>
      <c r="N21" s="149"/>
      <c r="O21" s="183">
        <v>10800</v>
      </c>
      <c r="P21" s="160"/>
    </row>
    <row r="22" spans="1:17">
      <c r="A22" s="160">
        <v>0</v>
      </c>
      <c r="C22" s="140" t="s">
        <v>480</v>
      </c>
      <c r="F22" s="162">
        <f>'Fixed Deposit'!E7</f>
        <v>12528</v>
      </c>
      <c r="G22" s="160">
        <f>SUM(F20:F22)</f>
        <v>375408</v>
      </c>
      <c r="I22" s="183">
        <v>43661</v>
      </c>
      <c r="K22" s="140" t="s">
        <v>38</v>
      </c>
      <c r="L22" s="148"/>
      <c r="M22" s="148"/>
      <c r="N22" s="148"/>
      <c r="O22" s="183">
        <v>43661</v>
      </c>
      <c r="P22" s="160"/>
    </row>
    <row r="23" spans="1:17">
      <c r="A23" s="152"/>
      <c r="C23" s="140"/>
      <c r="F23" s="184"/>
      <c r="G23" s="160"/>
      <c r="I23" s="183">
        <v>0</v>
      </c>
      <c r="K23" s="140" t="s">
        <v>466</v>
      </c>
      <c r="L23" s="148"/>
      <c r="M23" s="148"/>
      <c r="N23" s="148"/>
      <c r="O23" s="183">
        <v>530</v>
      </c>
      <c r="P23" s="160"/>
    </row>
    <row r="24" spans="1:17">
      <c r="A24" s="152"/>
      <c r="C24" s="138" t="s">
        <v>13</v>
      </c>
      <c r="F24" s="160"/>
      <c r="G24" s="160"/>
      <c r="I24" s="188">
        <v>0</v>
      </c>
      <c r="K24" s="140" t="s">
        <v>457</v>
      </c>
      <c r="O24" s="188">
        <v>10579</v>
      </c>
      <c r="P24" s="160">
        <f>SUM(O21:O24)</f>
        <v>65570</v>
      </c>
    </row>
    <row r="25" spans="1:17">
      <c r="A25" s="152">
        <v>0</v>
      </c>
      <c r="C25" s="140" t="s">
        <v>36</v>
      </c>
      <c r="F25" s="152">
        <f>SUM(A25:A26)</f>
        <v>544320</v>
      </c>
      <c r="G25" s="160"/>
      <c r="I25" s="183"/>
      <c r="K25" s="140"/>
      <c r="O25" s="190"/>
      <c r="P25" s="160"/>
    </row>
    <row r="26" spans="1:17">
      <c r="A26" s="152">
        <v>544320</v>
      </c>
      <c r="C26" s="140" t="s">
        <v>40</v>
      </c>
      <c r="F26" s="152">
        <f>+'I&amp;E 25-26'!G53</f>
        <v>544320</v>
      </c>
      <c r="G26" s="160"/>
      <c r="I26" s="183"/>
      <c r="K26" s="138"/>
      <c r="O26" s="191"/>
      <c r="P26" s="183"/>
      <c r="Q26" s="142"/>
    </row>
    <row r="27" spans="1:17">
      <c r="A27" s="152">
        <v>0</v>
      </c>
      <c r="C27" s="140" t="s">
        <v>480</v>
      </c>
      <c r="F27" s="185">
        <f>'Fixed Deposit'!E12</f>
        <v>37585</v>
      </c>
      <c r="G27" s="160">
        <f>SUM(F25:F27)</f>
        <v>1126225</v>
      </c>
      <c r="I27" s="152">
        <v>37562.6</v>
      </c>
      <c r="K27" s="141" t="s">
        <v>582</v>
      </c>
      <c r="M27" s="150"/>
      <c r="O27" s="152"/>
      <c r="P27" s="152">
        <f>+'Assets '!I11+0.1</f>
        <v>85735.73000000001</v>
      </c>
      <c r="Q27" s="151"/>
    </row>
    <row r="28" spans="1:17">
      <c r="A28" s="152"/>
      <c r="C28" s="140"/>
      <c r="F28" s="152"/>
      <c r="G28" s="160"/>
      <c r="I28" s="152"/>
      <c r="K28" s="138"/>
      <c r="M28" s="150"/>
      <c r="O28" s="152"/>
      <c r="P28" s="152"/>
    </row>
    <row r="29" spans="1:17">
      <c r="A29" s="152"/>
      <c r="C29" s="138" t="s">
        <v>22</v>
      </c>
      <c r="F29" s="152"/>
      <c r="G29" s="160"/>
      <c r="I29" s="152"/>
      <c r="K29" s="138" t="s">
        <v>45</v>
      </c>
      <c r="O29" s="152"/>
      <c r="P29" s="183"/>
    </row>
    <row r="30" spans="1:17">
      <c r="A30" s="152">
        <v>0</v>
      </c>
      <c r="C30" s="140" t="s">
        <v>36</v>
      </c>
      <c r="F30" s="152">
        <f>SUM(A30:A33)</f>
        <v>5040</v>
      </c>
      <c r="G30" s="160"/>
      <c r="I30" s="183">
        <v>70364.25</v>
      </c>
      <c r="K30" s="140" t="s">
        <v>586</v>
      </c>
      <c r="O30" s="192"/>
      <c r="P30" s="152">
        <f>'Mem os'!D9</f>
        <v>15452</v>
      </c>
    </row>
    <row r="31" spans="1:17">
      <c r="A31" s="152">
        <v>5040</v>
      </c>
      <c r="C31" s="140" t="s">
        <v>40</v>
      </c>
      <c r="F31" s="152">
        <f>'I&amp;E 25-26'!G54</f>
        <v>5040</v>
      </c>
      <c r="G31" s="160"/>
      <c r="I31" s="183">
        <v>0</v>
      </c>
      <c r="K31" s="140" t="s">
        <v>456</v>
      </c>
      <c r="O31" s="193"/>
      <c r="P31" s="160">
        <f>9600-'Builder Ac'!D12</f>
        <v>1800</v>
      </c>
    </row>
    <row r="32" spans="1:17">
      <c r="A32" s="152">
        <v>0</v>
      </c>
      <c r="C32" s="140" t="s">
        <v>480</v>
      </c>
      <c r="F32" s="152">
        <f>'Fixed Deposit'!E28</f>
        <v>207</v>
      </c>
      <c r="G32" s="160"/>
      <c r="I32" s="183">
        <v>1373364</v>
      </c>
      <c r="K32" s="140" t="s">
        <v>546</v>
      </c>
      <c r="O32" s="193"/>
      <c r="P32" s="227">
        <f>(1373364-23200-22200-1000000-250000+25500)*0</f>
        <v>0</v>
      </c>
    </row>
    <row r="33" spans="1:16">
      <c r="A33" s="152">
        <v>0</v>
      </c>
      <c r="C33" s="140" t="s">
        <v>469</v>
      </c>
      <c r="F33" s="185">
        <v>5947</v>
      </c>
      <c r="G33" s="160">
        <f>SUM(F30:F32)-F33</f>
        <v>4340</v>
      </c>
      <c r="I33" s="152"/>
      <c r="K33" s="140"/>
      <c r="O33" s="152"/>
      <c r="P33" s="183"/>
    </row>
    <row r="34" spans="1:16">
      <c r="A34" s="152"/>
      <c r="C34" s="138"/>
      <c r="F34" s="160"/>
      <c r="G34" s="160"/>
      <c r="I34" s="183"/>
      <c r="K34" s="138" t="s">
        <v>47</v>
      </c>
      <c r="O34" s="152"/>
      <c r="P34" s="183"/>
    </row>
    <row r="35" spans="1:16">
      <c r="A35" s="152"/>
      <c r="C35" s="138" t="s">
        <v>342</v>
      </c>
      <c r="F35" s="160"/>
      <c r="G35" s="152"/>
      <c r="I35" s="183">
        <v>27878</v>
      </c>
      <c r="K35" s="140" t="s">
        <v>48</v>
      </c>
      <c r="O35" s="152"/>
      <c r="P35" s="183">
        <v>24671</v>
      </c>
    </row>
    <row r="36" spans="1:16">
      <c r="A36" s="160">
        <v>59982</v>
      </c>
      <c r="C36" s="140" t="s">
        <v>343</v>
      </c>
      <c r="F36" s="160"/>
      <c r="G36" s="230">
        <f>+F36</f>
        <v>0</v>
      </c>
      <c r="I36" s="152">
        <v>0</v>
      </c>
      <c r="K36" s="140" t="s">
        <v>467</v>
      </c>
      <c r="M36" s="150"/>
      <c r="O36" s="152"/>
      <c r="P36" s="152">
        <v>30987</v>
      </c>
    </row>
    <row r="37" spans="1:16">
      <c r="A37" s="160"/>
      <c r="F37" s="160"/>
      <c r="G37" s="160"/>
      <c r="I37" s="152">
        <v>0</v>
      </c>
      <c r="K37" s="140" t="s">
        <v>448</v>
      </c>
      <c r="M37" s="150"/>
      <c r="O37" s="152"/>
      <c r="P37" s="152">
        <v>6064</v>
      </c>
    </row>
    <row r="38" spans="1:16">
      <c r="A38" s="160"/>
      <c r="C38" s="203" t="s">
        <v>485</v>
      </c>
      <c r="F38" s="160"/>
      <c r="G38" s="160"/>
      <c r="I38" s="152">
        <v>0</v>
      </c>
      <c r="K38" s="140" t="s">
        <v>468</v>
      </c>
      <c r="M38" s="150"/>
      <c r="O38" s="152"/>
      <c r="P38" s="152">
        <f>1721+38321</f>
        <v>40042</v>
      </c>
    </row>
    <row r="39" spans="1:16">
      <c r="A39" s="160">
        <v>0</v>
      </c>
      <c r="C39" s="133" t="s">
        <v>587</v>
      </c>
      <c r="F39" s="160"/>
      <c r="G39" s="160">
        <f>'Mem os'!D20</f>
        <v>52771</v>
      </c>
      <c r="I39" s="152"/>
      <c r="K39" s="144"/>
      <c r="M39" s="150"/>
      <c r="O39" s="152"/>
      <c r="P39" s="152"/>
    </row>
    <row r="40" spans="1:16">
      <c r="A40" s="160"/>
      <c r="F40" s="160"/>
      <c r="G40" s="160"/>
      <c r="I40" s="152"/>
      <c r="K40" s="144"/>
      <c r="M40" s="150"/>
      <c r="O40" s="152"/>
      <c r="P40" s="152"/>
    </row>
    <row r="41" spans="1:16">
      <c r="A41" s="160">
        <v>522613.72</v>
      </c>
      <c r="C41" s="138" t="s">
        <v>591</v>
      </c>
      <c r="F41" s="160"/>
      <c r="G41" s="152">
        <f>Sch!D20</f>
        <v>566495</v>
      </c>
      <c r="I41" s="152"/>
      <c r="K41" s="144"/>
      <c r="M41" s="150"/>
      <c r="O41" s="152"/>
      <c r="P41" s="152"/>
    </row>
    <row r="42" spans="1:16">
      <c r="A42" s="152"/>
      <c r="C42" s="140"/>
      <c r="F42" s="160"/>
      <c r="G42" s="160"/>
      <c r="I42" s="152"/>
      <c r="K42" s="144"/>
      <c r="M42" s="150"/>
      <c r="O42" s="152"/>
      <c r="P42" s="152"/>
    </row>
    <row r="43" spans="1:16">
      <c r="A43" s="152">
        <v>0</v>
      </c>
      <c r="C43" s="138" t="s">
        <v>595</v>
      </c>
      <c r="F43" s="160"/>
      <c r="G43" s="160">
        <f>-'Builder Ac'!E32</f>
        <v>602324</v>
      </c>
      <c r="I43" s="152"/>
      <c r="K43" s="144"/>
      <c r="M43" s="150"/>
      <c r="O43" s="152"/>
      <c r="P43" s="152"/>
    </row>
    <row r="44" spans="1:16">
      <c r="A44" s="152"/>
      <c r="C44" s="140"/>
      <c r="F44" s="160"/>
      <c r="G44" s="160"/>
      <c r="I44" s="152"/>
      <c r="K44" s="144"/>
      <c r="M44" s="150"/>
      <c r="O44" s="152"/>
      <c r="P44" s="152"/>
    </row>
    <row r="45" spans="1:16">
      <c r="A45" s="152"/>
      <c r="C45" s="138" t="s">
        <v>49</v>
      </c>
      <c r="F45" s="160"/>
      <c r="G45" s="160"/>
      <c r="I45" s="152"/>
      <c r="K45" s="144"/>
      <c r="M45" s="150"/>
      <c r="O45" s="152"/>
      <c r="P45" s="152"/>
    </row>
    <row r="46" spans="1:16">
      <c r="A46" s="152">
        <v>0</v>
      </c>
      <c r="C46" s="140" t="s">
        <v>36</v>
      </c>
      <c r="F46" s="152">
        <f>SUM(A46:A48)</f>
        <v>987498.87</v>
      </c>
      <c r="G46" s="160"/>
      <c r="I46" s="152"/>
      <c r="K46" s="144"/>
      <c r="M46" s="150"/>
      <c r="O46" s="152"/>
      <c r="P46" s="152"/>
    </row>
    <row r="47" spans="1:16">
      <c r="A47" s="152"/>
      <c r="C47" s="140" t="s">
        <v>553</v>
      </c>
      <c r="F47" s="152">
        <f>-(working!L6+working!L9+working!L10+working!L11+working!L12)</f>
        <v>-133021</v>
      </c>
      <c r="G47" s="160"/>
      <c r="I47" s="152"/>
      <c r="K47" s="144"/>
      <c r="M47" s="150"/>
      <c r="O47" s="152"/>
      <c r="P47" s="152"/>
    </row>
    <row r="48" spans="1:16">
      <c r="A48" s="162">
        <v>987498.87</v>
      </c>
      <c r="C48" s="140" t="s">
        <v>309</v>
      </c>
      <c r="F48" s="185">
        <f>'I&amp;E 25-26'!G60</f>
        <v>79747.759999999776</v>
      </c>
      <c r="G48" s="160">
        <f>SUM(F46:F48)</f>
        <v>934225.62999999977</v>
      </c>
      <c r="I48" s="183"/>
      <c r="K48" s="140"/>
      <c r="O48" s="152"/>
      <c r="P48" s="183"/>
    </row>
    <row r="49" spans="1:23">
      <c r="A49" s="160"/>
      <c r="F49" s="160"/>
      <c r="G49" s="160"/>
      <c r="I49" s="183"/>
      <c r="K49" s="140"/>
      <c r="O49" s="152"/>
      <c r="P49" s="183"/>
    </row>
    <row r="50" spans="1:23" ht="15" thickBot="1">
      <c r="A50" s="163">
        <f>SUM(A9:A49)</f>
        <v>2683660.85</v>
      </c>
      <c r="B50" s="134"/>
      <c r="C50" s="135"/>
      <c r="D50" s="134"/>
      <c r="E50" s="134"/>
      <c r="F50" s="186"/>
      <c r="G50" s="187">
        <f>SUM(G9:G49)</f>
        <v>5113944.8899999997</v>
      </c>
      <c r="I50" s="163">
        <f>SUM(I5:I49)</f>
        <v>2683660.85</v>
      </c>
      <c r="J50" s="134"/>
      <c r="K50" s="135"/>
      <c r="L50" s="134"/>
      <c r="M50" s="134"/>
      <c r="N50" s="134"/>
      <c r="O50" s="186"/>
      <c r="P50" s="194">
        <f>SUM(P9:P49)</f>
        <v>5113944.8900000006</v>
      </c>
      <c r="V50" s="143">
        <f>A50-I50</f>
        <v>0</v>
      </c>
      <c r="W50" s="225">
        <f>G50-P50</f>
        <v>0</v>
      </c>
    </row>
    <row r="51" spans="1:23" ht="15" thickTop="1">
      <c r="A51" s="145"/>
      <c r="C51" s="140"/>
      <c r="F51" s="142"/>
      <c r="G51" s="142"/>
      <c r="P51" s="153"/>
    </row>
    <row r="52" spans="1:23">
      <c r="A52" s="147" t="s">
        <v>23</v>
      </c>
      <c r="C52" s="140"/>
      <c r="G52" s="142"/>
      <c r="L52" s="150"/>
      <c r="M52" s="150"/>
      <c r="N52" s="150"/>
      <c r="O52" s="150"/>
      <c r="P52" s="153"/>
    </row>
    <row r="53" spans="1:23">
      <c r="A53" s="147"/>
      <c r="C53" s="140"/>
      <c r="G53" s="142"/>
      <c r="O53" s="154"/>
      <c r="P53" s="153"/>
    </row>
    <row r="54" spans="1:23">
      <c r="A54" s="147"/>
      <c r="C54" s="140"/>
      <c r="G54" s="142"/>
      <c r="O54" s="154"/>
      <c r="P54" s="153"/>
    </row>
    <row r="55" spans="1:23">
      <c r="A55" s="155"/>
      <c r="C55" s="140"/>
      <c r="O55" s="154"/>
      <c r="P55" s="153"/>
    </row>
    <row r="56" spans="1:23">
      <c r="A56" s="147"/>
      <c r="O56" s="154"/>
      <c r="P56" s="153"/>
    </row>
    <row r="57" spans="1:23">
      <c r="A57" s="156"/>
      <c r="B57" s="157"/>
      <c r="C57" s="157"/>
      <c r="D57" s="157"/>
      <c r="E57" s="157"/>
      <c r="F57" s="157"/>
      <c r="G57" s="157"/>
      <c r="I57" s="157"/>
      <c r="J57" s="157"/>
      <c r="K57" s="157"/>
      <c r="L57" s="157" t="s">
        <v>24</v>
      </c>
      <c r="M57" s="157"/>
      <c r="N57" s="157"/>
      <c r="O57" s="157"/>
      <c r="P57" s="158"/>
    </row>
    <row r="61" spans="1:23">
      <c r="G61" s="142"/>
    </row>
    <row r="62" spans="1:23">
      <c r="G62" s="142"/>
    </row>
    <row r="63" spans="1:23">
      <c r="G63" s="142"/>
      <c r="U63" s="133">
        <v>0</v>
      </c>
    </row>
    <row r="64" spans="1:23">
      <c r="H64" s="157"/>
    </row>
    <row r="70" spans="17:18">
      <c r="Q70" s="142">
        <f>+SUM(P36:P39)</f>
        <v>77093</v>
      </c>
    </row>
    <row r="74" spans="17:18">
      <c r="Q74" s="142">
        <f>-F36</f>
        <v>0</v>
      </c>
      <c r="R74" s="133">
        <f>995028.5-544344</f>
        <v>450684.5</v>
      </c>
    </row>
    <row r="91" spans="17:17">
      <c r="Q91" s="142"/>
    </row>
    <row r="99" spans="17:22">
      <c r="V99" s="142">
        <f>+P50-G50</f>
        <v>0</v>
      </c>
    </row>
    <row r="100" spans="17:22">
      <c r="V100" s="142">
        <f>+I50-A50</f>
        <v>0</v>
      </c>
    </row>
    <row r="102" spans="17:22">
      <c r="Q102" s="142">
        <f>+Assets!H20</f>
        <v>533350261.85000002</v>
      </c>
    </row>
    <row r="103" spans="17:22">
      <c r="Q103" s="142">
        <f>+P50-G50</f>
        <v>0</v>
      </c>
      <c r="R103" s="142"/>
    </row>
    <row r="104" spans="17:22">
      <c r="Q104" s="142">
        <f>+I50-A50</f>
        <v>0</v>
      </c>
      <c r="R104" s="143">
        <v>41266837.219999999</v>
      </c>
      <c r="S104" s="133" t="s">
        <v>306</v>
      </c>
    </row>
    <row r="105" spans="17:22">
      <c r="Q105" s="142"/>
      <c r="R105" s="142">
        <f>+R104-P50</f>
        <v>36152892.329999998</v>
      </c>
      <c r="S105" s="133" t="s">
        <v>307</v>
      </c>
    </row>
    <row r="107" spans="17:22">
      <c r="Q107" s="142">
        <f>+I50-A50</f>
        <v>0</v>
      </c>
      <c r="R107" s="142">
        <f>+I50-A50</f>
        <v>0</v>
      </c>
    </row>
  </sheetData>
  <mergeCells count="5">
    <mergeCell ref="B4:E4"/>
    <mergeCell ref="J4:N4"/>
    <mergeCell ref="A1:P1"/>
    <mergeCell ref="A2:P2"/>
    <mergeCell ref="A3:P3"/>
  </mergeCells>
  <printOptions horizontalCentered="1"/>
  <pageMargins left="0.196850393700787" right="0.196850393700787" top="0.196850393700787" bottom="0" header="0.31496062992126" footer="0.44685039399999998"/>
  <pageSetup paperSize="9" scale="70" fitToHeight="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01"/>
  <sheetViews>
    <sheetView topLeftCell="A50" workbookViewId="0">
      <selection sqref="A1:P62"/>
    </sheetView>
  </sheetViews>
  <sheetFormatPr defaultColWidth="8.88671875" defaultRowHeight="14.4"/>
  <cols>
    <col min="1" max="1" width="14.33203125" style="133" customWidth="1"/>
    <col min="2" max="2" width="2.5546875" style="133" customWidth="1"/>
    <col min="3" max="3" width="11.21875" style="133" customWidth="1"/>
    <col min="4" max="4" width="9" style="133" customWidth="1"/>
    <col min="5" max="5" width="12.5546875" style="133" customWidth="1"/>
    <col min="6" max="6" width="10.44140625" style="133" customWidth="1"/>
    <col min="7" max="7" width="14.21875" style="133" customWidth="1"/>
    <col min="8" max="8" width="13.5546875" style="150" customWidth="1"/>
    <col min="9" max="9" width="1.6640625" style="133" customWidth="1"/>
    <col min="10" max="10" width="12.5546875" style="133" bestFit="1" customWidth="1"/>
    <col min="11" max="11" width="2.5546875" style="133" customWidth="1"/>
    <col min="12" max="12" width="8.88671875" style="133"/>
    <col min="13" max="13" width="11.6640625" style="133" bestFit="1" customWidth="1"/>
    <col min="14" max="14" width="16.77734375" style="133" customWidth="1"/>
    <col min="15" max="15" width="12.77734375" style="133" bestFit="1" customWidth="1"/>
    <col min="16" max="16" width="13.44140625" style="150" bestFit="1" customWidth="1"/>
    <col min="17" max="17" width="13.33203125" style="133" bestFit="1" customWidth="1"/>
    <col min="18" max="18" width="13.5546875" style="133" bestFit="1" customWidth="1"/>
    <col min="19" max="19" width="14" style="133" bestFit="1" customWidth="1"/>
    <col min="20" max="20" width="10.6640625" style="133" bestFit="1" customWidth="1"/>
    <col min="21" max="16384" width="8.88671875" style="133"/>
  </cols>
  <sheetData>
    <row r="1" spans="1:18">
      <c r="A1" s="260" t="s">
        <v>592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2"/>
    </row>
    <row r="2" spans="1:18">
      <c r="A2" s="263" t="s">
        <v>593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5"/>
    </row>
    <row r="3" spans="1:18">
      <c r="A3" s="266" t="s">
        <v>364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8"/>
    </row>
    <row r="4" spans="1:18" ht="48.6">
      <c r="A4" s="164" t="s">
        <v>2</v>
      </c>
      <c r="B4" s="269" t="s">
        <v>0</v>
      </c>
      <c r="C4" s="269"/>
      <c r="D4" s="269"/>
      <c r="E4" s="269"/>
      <c r="F4" s="269"/>
      <c r="G4" s="136"/>
      <c r="H4" s="164" t="s">
        <v>3</v>
      </c>
      <c r="I4" s="134"/>
      <c r="J4" s="164" t="s">
        <v>2</v>
      </c>
      <c r="K4" s="257" t="s">
        <v>1</v>
      </c>
      <c r="L4" s="258"/>
      <c r="M4" s="258"/>
      <c r="N4" s="259"/>
      <c r="O4" s="136"/>
      <c r="P4" s="164" t="s">
        <v>3</v>
      </c>
    </row>
    <row r="5" spans="1:18">
      <c r="A5" s="165"/>
      <c r="B5" s="166"/>
      <c r="C5" s="138" t="s">
        <v>4</v>
      </c>
      <c r="D5" s="166"/>
      <c r="E5" s="167"/>
      <c r="F5" s="167"/>
      <c r="G5" s="168"/>
      <c r="H5" s="51"/>
      <c r="J5" s="169"/>
      <c r="L5" s="138" t="s">
        <v>5</v>
      </c>
      <c r="O5" s="139"/>
      <c r="P5" s="169"/>
    </row>
    <row r="6" spans="1:18">
      <c r="A6" s="195">
        <v>18280</v>
      </c>
      <c r="B6" s="166"/>
      <c r="C6" s="140" t="s">
        <v>6</v>
      </c>
      <c r="D6" s="166"/>
      <c r="E6" s="167"/>
      <c r="F6" s="167"/>
      <c r="G6" s="195">
        <v>20102</v>
      </c>
      <c r="H6" s="220"/>
      <c r="J6" s="195">
        <v>3608640</v>
      </c>
      <c r="L6" s="140" t="s">
        <v>7</v>
      </c>
      <c r="O6" s="195">
        <v>1208592</v>
      </c>
      <c r="P6" s="199"/>
      <c r="Q6" s="142"/>
    </row>
    <row r="7" spans="1:18">
      <c r="A7" s="195">
        <v>514814</v>
      </c>
      <c r="B7" s="166"/>
      <c r="C7" s="140" t="s">
        <v>330</v>
      </c>
      <c r="D7" s="166"/>
      <c r="E7" s="167"/>
      <c r="F7" s="167"/>
      <c r="G7" s="195">
        <v>631730</v>
      </c>
      <c r="H7" s="220"/>
      <c r="J7" s="195">
        <v>0</v>
      </c>
      <c r="L7" s="140" t="s">
        <v>430</v>
      </c>
      <c r="O7" s="195">
        <v>576072</v>
      </c>
      <c r="P7" s="199"/>
      <c r="R7" s="142"/>
    </row>
    <row r="8" spans="1:18">
      <c r="A8" s="195">
        <v>33690</v>
      </c>
      <c r="B8" s="166"/>
      <c r="C8" s="140" t="s">
        <v>331</v>
      </c>
      <c r="D8" s="166"/>
      <c r="E8" s="167"/>
      <c r="F8" s="167"/>
      <c r="G8" s="195">
        <v>0</v>
      </c>
      <c r="H8" s="220"/>
      <c r="J8" s="195">
        <v>0</v>
      </c>
      <c r="L8" s="140" t="s">
        <v>360</v>
      </c>
      <c r="O8" s="195">
        <v>105336</v>
      </c>
      <c r="P8" s="199"/>
      <c r="Q8" s="142"/>
      <c r="R8" s="142"/>
    </row>
    <row r="9" spans="1:18">
      <c r="A9" s="195">
        <v>29500</v>
      </c>
      <c r="B9" s="166"/>
      <c r="C9" s="140" t="s">
        <v>9</v>
      </c>
      <c r="D9" s="166"/>
      <c r="E9" s="167"/>
      <c r="F9" s="167"/>
      <c r="G9" s="195">
        <v>36000</v>
      </c>
      <c r="H9" s="220"/>
      <c r="J9" s="195">
        <v>0</v>
      </c>
      <c r="L9" s="140" t="s">
        <v>431</v>
      </c>
      <c r="O9" s="195">
        <v>838656</v>
      </c>
      <c r="P9" s="199"/>
    </row>
    <row r="10" spans="1:18">
      <c r="A10" s="195">
        <v>59568</v>
      </c>
      <c r="B10" s="166"/>
      <c r="C10" s="140" t="s">
        <v>359</v>
      </c>
      <c r="D10" s="166"/>
      <c r="E10" s="167"/>
      <c r="F10" s="167"/>
      <c r="G10" s="195">
        <v>58451</v>
      </c>
      <c r="H10" s="220"/>
      <c r="J10" s="195">
        <v>70364.25</v>
      </c>
      <c r="L10" s="140" t="s">
        <v>10</v>
      </c>
      <c r="O10" s="195">
        <v>65160</v>
      </c>
      <c r="P10" s="199"/>
    </row>
    <row r="11" spans="1:18">
      <c r="A11" s="195">
        <v>0</v>
      </c>
      <c r="B11" s="166"/>
      <c r="C11" s="140" t="s">
        <v>443</v>
      </c>
      <c r="D11" s="166"/>
      <c r="E11" s="167"/>
      <c r="F11" s="167"/>
      <c r="G11" s="195">
        <v>8500</v>
      </c>
      <c r="H11" s="220"/>
      <c r="J11" s="195">
        <v>181440</v>
      </c>
      <c r="L11" s="140" t="s">
        <v>12</v>
      </c>
      <c r="M11" s="166"/>
      <c r="N11" s="167"/>
      <c r="O11" s="160">
        <v>181440</v>
      </c>
      <c r="P11" s="220"/>
    </row>
    <row r="12" spans="1:18">
      <c r="A12" s="195">
        <v>354000</v>
      </c>
      <c r="B12" s="166"/>
      <c r="C12" s="140" t="s">
        <v>332</v>
      </c>
      <c r="D12" s="166"/>
      <c r="E12" s="167"/>
      <c r="F12" s="167"/>
      <c r="G12" s="195">
        <f>346023+12931.2</f>
        <v>358954.2</v>
      </c>
      <c r="H12" s="220"/>
      <c r="J12" s="160">
        <v>544320</v>
      </c>
      <c r="L12" s="140" t="s">
        <v>13</v>
      </c>
      <c r="M12" s="166"/>
      <c r="N12" s="167"/>
      <c r="O12" s="160">
        <v>544320</v>
      </c>
      <c r="P12" s="220"/>
      <c r="Q12" s="142"/>
    </row>
    <row r="13" spans="1:18">
      <c r="A13" s="195">
        <v>0</v>
      </c>
      <c r="B13" s="166"/>
      <c r="C13" s="140" t="s">
        <v>441</v>
      </c>
      <c r="D13" s="166"/>
      <c r="E13" s="167"/>
      <c r="F13" s="167"/>
      <c r="G13" s="195">
        <v>10549</v>
      </c>
      <c r="H13" s="220"/>
      <c r="J13" s="160">
        <v>0</v>
      </c>
      <c r="L13" s="140" t="s">
        <v>432</v>
      </c>
      <c r="M13" s="166"/>
      <c r="N13" s="167"/>
      <c r="O13" s="160">
        <v>63000</v>
      </c>
      <c r="P13" s="220"/>
    </row>
    <row r="14" spans="1:18">
      <c r="A14" s="195">
        <v>22000</v>
      </c>
      <c r="B14" s="166"/>
      <c r="C14" s="140" t="s">
        <v>442</v>
      </c>
      <c r="D14" s="166"/>
      <c r="E14" s="167"/>
      <c r="F14" s="167"/>
      <c r="G14" s="195">
        <v>48822</v>
      </c>
      <c r="H14" s="220"/>
      <c r="J14" s="160">
        <v>0</v>
      </c>
      <c r="L14" s="140" t="s">
        <v>554</v>
      </c>
      <c r="M14" s="166"/>
      <c r="N14" s="167"/>
      <c r="O14" s="160">
        <v>9600</v>
      </c>
      <c r="P14" s="220"/>
    </row>
    <row r="15" spans="1:18">
      <c r="A15" s="195">
        <v>0</v>
      </c>
      <c r="B15" s="166"/>
      <c r="C15" s="140" t="s">
        <v>525</v>
      </c>
      <c r="D15" s="166"/>
      <c r="E15" s="167"/>
      <c r="F15" s="167"/>
      <c r="G15" s="195">
        <v>2360</v>
      </c>
      <c r="H15" s="220"/>
      <c r="J15" s="160">
        <v>5040</v>
      </c>
      <c r="L15" s="140" t="s">
        <v>8</v>
      </c>
      <c r="O15" s="195">
        <v>5040</v>
      </c>
      <c r="P15" s="199"/>
    </row>
    <row r="16" spans="1:18">
      <c r="A16" s="195">
        <v>0</v>
      </c>
      <c r="B16" s="166"/>
      <c r="C16" s="140" t="s">
        <v>444</v>
      </c>
      <c r="D16" s="166"/>
      <c r="E16" s="167"/>
      <c r="F16" s="167"/>
      <c r="G16" s="195">
        <v>58290</v>
      </c>
      <c r="H16" s="220"/>
      <c r="J16" s="160">
        <v>0</v>
      </c>
      <c r="L16" s="140" t="s">
        <v>433</v>
      </c>
      <c r="O16" s="195">
        <f>11158+2</f>
        <v>11160</v>
      </c>
      <c r="P16" s="199"/>
    </row>
    <row r="17" spans="1:20">
      <c r="A17" s="195">
        <v>0</v>
      </c>
      <c r="B17" s="166"/>
      <c r="C17" s="140" t="s">
        <v>445</v>
      </c>
      <c r="D17" s="166"/>
      <c r="E17" s="167"/>
      <c r="F17" s="167"/>
      <c r="G17" s="195">
        <v>26213</v>
      </c>
      <c r="H17" s="220"/>
      <c r="J17" s="160">
        <v>0</v>
      </c>
      <c r="L17" s="140" t="s">
        <v>15</v>
      </c>
      <c r="O17" s="195">
        <v>22428</v>
      </c>
      <c r="P17" s="199"/>
      <c r="Q17" s="142"/>
    </row>
    <row r="18" spans="1:20">
      <c r="A18" s="195">
        <v>38000</v>
      </c>
      <c r="B18" s="166"/>
      <c r="C18" s="140" t="s">
        <v>354</v>
      </c>
      <c r="D18" s="166"/>
      <c r="E18" s="167"/>
      <c r="F18" s="167"/>
      <c r="G18" s="195">
        <v>0</v>
      </c>
      <c r="H18" s="220"/>
      <c r="J18" s="160">
        <v>0</v>
      </c>
      <c r="L18" s="140" t="s">
        <v>434</v>
      </c>
      <c r="O18" s="195">
        <f>1620+7308</f>
        <v>8928</v>
      </c>
      <c r="P18" s="199"/>
    </row>
    <row r="19" spans="1:20">
      <c r="A19" s="195">
        <v>28206.720000000001</v>
      </c>
      <c r="B19" s="166"/>
      <c r="C19" s="140" t="s">
        <v>11</v>
      </c>
      <c r="D19" s="166"/>
      <c r="E19" s="167"/>
      <c r="F19" s="167"/>
      <c r="G19" s="195">
        <v>31336.2</v>
      </c>
      <c r="H19" s="199"/>
      <c r="J19" s="160">
        <v>0</v>
      </c>
      <c r="L19" s="140" t="s">
        <v>555</v>
      </c>
      <c r="O19" s="195">
        <f>9000+3780</f>
        <v>12780</v>
      </c>
      <c r="P19" s="199"/>
    </row>
    <row r="20" spans="1:20">
      <c r="A20" s="195">
        <v>371500</v>
      </c>
      <c r="B20" s="166"/>
      <c r="C20" s="140" t="s">
        <v>14</v>
      </c>
      <c r="D20" s="166"/>
      <c r="E20" s="167"/>
      <c r="F20" s="167"/>
      <c r="G20" s="195">
        <v>350311.2</v>
      </c>
      <c r="H20" s="199"/>
      <c r="J20" s="195">
        <v>0</v>
      </c>
      <c r="L20" s="140" t="s">
        <v>435</v>
      </c>
      <c r="O20" s="195">
        <v>65016</v>
      </c>
      <c r="P20" s="199"/>
    </row>
    <row r="21" spans="1:20">
      <c r="A21" s="195">
        <v>10401</v>
      </c>
      <c r="B21" s="166"/>
      <c r="C21" s="140" t="s">
        <v>334</v>
      </c>
      <c r="D21" s="166"/>
      <c r="E21" s="167"/>
      <c r="F21" s="167"/>
      <c r="G21" s="195">
        <v>9638</v>
      </c>
      <c r="H21" s="199"/>
      <c r="J21" s="195">
        <v>0</v>
      </c>
      <c r="L21" s="140" t="s">
        <v>436</v>
      </c>
      <c r="O21" s="195">
        <v>541296</v>
      </c>
      <c r="P21" s="199"/>
    </row>
    <row r="22" spans="1:20">
      <c r="A22" s="195">
        <v>118399</v>
      </c>
      <c r="B22" s="166"/>
      <c r="C22" s="140" t="s">
        <v>46</v>
      </c>
      <c r="D22" s="166"/>
      <c r="E22" s="167"/>
      <c r="F22" s="167"/>
      <c r="G22" s="195">
        <v>273650.78999999998</v>
      </c>
      <c r="H22" s="199"/>
      <c r="J22" s="195">
        <v>0</v>
      </c>
      <c r="L22" s="140" t="s">
        <v>437</v>
      </c>
      <c r="O22" s="195">
        <v>36288</v>
      </c>
      <c r="P22" s="199"/>
    </row>
    <row r="23" spans="1:20">
      <c r="A23" s="195">
        <v>16948</v>
      </c>
      <c r="B23" s="166"/>
      <c r="C23" s="140" t="s">
        <v>15</v>
      </c>
      <c r="D23" s="166"/>
      <c r="E23" s="167"/>
      <c r="F23" s="167"/>
      <c r="G23" s="195">
        <v>41203</v>
      </c>
      <c r="H23" s="199"/>
      <c r="I23" s="139"/>
      <c r="J23" s="195">
        <v>0</v>
      </c>
      <c r="L23" s="140" t="s">
        <v>551</v>
      </c>
      <c r="O23" s="200">
        <v>642600</v>
      </c>
      <c r="P23" s="199">
        <f>SUM(O6:O23)</f>
        <v>4937712</v>
      </c>
    </row>
    <row r="24" spans="1:20">
      <c r="A24" s="195">
        <v>4500</v>
      </c>
      <c r="B24" s="166"/>
      <c r="C24" s="140" t="s">
        <v>16</v>
      </c>
      <c r="D24" s="166"/>
      <c r="E24" s="167"/>
      <c r="F24" s="167"/>
      <c r="G24" s="195">
        <v>4500</v>
      </c>
      <c r="H24" s="199"/>
      <c r="J24" s="160"/>
      <c r="L24" s="140"/>
      <c r="O24" s="139"/>
      <c r="P24" s="199"/>
      <c r="Q24" s="142"/>
      <c r="R24" s="142"/>
      <c r="T24" s="142"/>
    </row>
    <row r="25" spans="1:20">
      <c r="A25" s="195">
        <v>4670</v>
      </c>
      <c r="B25" s="166"/>
      <c r="C25" s="140" t="s">
        <v>17</v>
      </c>
      <c r="D25" s="166"/>
      <c r="E25" s="167"/>
      <c r="F25" s="167"/>
      <c r="G25" s="195">
        <v>18529</v>
      </c>
      <c r="H25" s="199"/>
      <c r="J25" s="160"/>
      <c r="L25" s="138" t="s">
        <v>475</v>
      </c>
      <c r="O25" s="139"/>
      <c r="P25" s="199"/>
    </row>
    <row r="26" spans="1:20">
      <c r="A26" s="195">
        <v>179</v>
      </c>
      <c r="B26" s="166"/>
      <c r="C26" s="140" t="s">
        <v>18</v>
      </c>
      <c r="D26" s="166"/>
      <c r="E26" s="167"/>
      <c r="F26" s="167"/>
      <c r="G26" s="195">
        <v>175</v>
      </c>
      <c r="H26" s="199"/>
      <c r="J26" s="160">
        <v>25000</v>
      </c>
      <c r="L26" s="170" t="s">
        <v>328</v>
      </c>
      <c r="O26" s="139"/>
      <c r="P26" s="199">
        <v>0</v>
      </c>
    </row>
    <row r="27" spans="1:20">
      <c r="A27" s="195">
        <v>8000</v>
      </c>
      <c r="B27" s="166"/>
      <c r="C27" s="140" t="s">
        <v>19</v>
      </c>
      <c r="D27" s="166"/>
      <c r="E27" s="167"/>
      <c r="F27" s="167"/>
      <c r="G27" s="195">
        <v>34280</v>
      </c>
      <c r="H27" s="199"/>
      <c r="J27" s="195">
        <v>7600</v>
      </c>
      <c r="L27" s="170" t="s">
        <v>329</v>
      </c>
      <c r="O27" s="139"/>
      <c r="P27" s="199">
        <v>0</v>
      </c>
    </row>
    <row r="28" spans="1:20">
      <c r="A28" s="195">
        <v>888</v>
      </c>
      <c r="B28" s="166"/>
      <c r="C28" s="140" t="s">
        <v>20</v>
      </c>
      <c r="D28" s="166"/>
      <c r="E28" s="167"/>
      <c r="F28" s="167"/>
      <c r="G28" s="195">
        <v>9021</v>
      </c>
      <c r="H28" s="199"/>
      <c r="J28" s="195"/>
      <c r="L28" s="170"/>
      <c r="O28" s="139"/>
      <c r="P28" s="199"/>
    </row>
    <row r="29" spans="1:20">
      <c r="A29" s="196">
        <v>6500</v>
      </c>
      <c r="B29" s="172"/>
      <c r="C29" s="140" t="s">
        <v>335</v>
      </c>
      <c r="D29" s="166"/>
      <c r="E29" s="167"/>
      <c r="F29" s="167"/>
      <c r="G29" s="195">
        <v>24000</v>
      </c>
      <c r="H29" s="199"/>
      <c r="J29" s="195"/>
      <c r="L29" s="171" t="s">
        <v>476</v>
      </c>
      <c r="O29" s="139"/>
      <c r="P29" s="199"/>
    </row>
    <row r="30" spans="1:20">
      <c r="A30" s="196">
        <v>0</v>
      </c>
      <c r="B30" s="172"/>
      <c r="C30" s="140" t="s">
        <v>446</v>
      </c>
      <c r="D30" s="166"/>
      <c r="E30" s="167"/>
      <c r="F30" s="167"/>
      <c r="G30" s="195">
        <v>550</v>
      </c>
      <c r="H30" s="199"/>
      <c r="J30" s="195">
        <v>3000</v>
      </c>
      <c r="L30" s="140" t="s">
        <v>336</v>
      </c>
      <c r="O30" s="139"/>
      <c r="P30" s="199">
        <v>0</v>
      </c>
    </row>
    <row r="31" spans="1:20">
      <c r="A31" s="196">
        <v>0</v>
      </c>
      <c r="B31" s="172"/>
      <c r="C31" s="140" t="s">
        <v>447</v>
      </c>
      <c r="D31" s="166"/>
      <c r="E31" s="167"/>
      <c r="F31" s="167"/>
      <c r="G31" s="195">
        <v>3.85</v>
      </c>
      <c r="H31" s="199"/>
      <c r="J31" s="195"/>
      <c r="L31" s="140"/>
      <c r="O31" s="139"/>
      <c r="P31" s="199"/>
    </row>
    <row r="32" spans="1:20">
      <c r="A32" s="196">
        <v>26062</v>
      </c>
      <c r="B32" s="172"/>
      <c r="C32" s="140" t="s">
        <v>349</v>
      </c>
      <c r="D32" s="166"/>
      <c r="E32" s="167"/>
      <c r="F32" s="167"/>
      <c r="G32" s="195">
        <v>90147</v>
      </c>
      <c r="H32" s="199"/>
      <c r="J32" s="195"/>
      <c r="L32" s="138" t="s">
        <v>108</v>
      </c>
      <c r="O32" s="139"/>
      <c r="P32" s="199"/>
    </row>
    <row r="33" spans="1:16">
      <c r="A33" s="195">
        <v>0</v>
      </c>
      <c r="B33" s="166"/>
      <c r="C33" s="140" t="s">
        <v>448</v>
      </c>
      <c r="D33" s="166"/>
      <c r="E33" s="167"/>
      <c r="F33" s="167"/>
      <c r="G33" s="195">
        <v>563</v>
      </c>
      <c r="H33" s="199"/>
      <c r="J33" s="195">
        <v>0</v>
      </c>
      <c r="L33" s="140" t="s">
        <v>438</v>
      </c>
      <c r="O33" s="195">
        <v>3983</v>
      </c>
      <c r="P33" s="199"/>
    </row>
    <row r="34" spans="1:16">
      <c r="A34" s="195">
        <v>12150</v>
      </c>
      <c r="B34" s="166"/>
      <c r="C34" s="140" t="s">
        <v>352</v>
      </c>
      <c r="D34" s="166"/>
      <c r="E34" s="167"/>
      <c r="F34" s="167"/>
      <c r="G34" s="195">
        <v>12150</v>
      </c>
      <c r="H34" s="199"/>
      <c r="J34" s="195">
        <v>0</v>
      </c>
      <c r="L34" s="140" t="s">
        <v>440</v>
      </c>
      <c r="O34" s="195">
        <v>13957</v>
      </c>
      <c r="P34" s="199"/>
    </row>
    <row r="35" spans="1:16">
      <c r="A35" s="195">
        <v>28320</v>
      </c>
      <c r="B35" s="166"/>
      <c r="C35" s="140" t="s">
        <v>350</v>
      </c>
      <c r="D35" s="166"/>
      <c r="E35" s="167"/>
      <c r="F35" s="167"/>
      <c r="G35" s="195">
        <v>0</v>
      </c>
      <c r="H35" s="199"/>
      <c r="J35" s="195">
        <v>5087</v>
      </c>
      <c r="L35" s="140" t="s">
        <v>439</v>
      </c>
      <c r="O35" s="195">
        <v>100356</v>
      </c>
      <c r="P35" s="199"/>
    </row>
    <row r="36" spans="1:16">
      <c r="A36" s="195">
        <v>3925.5</v>
      </c>
      <c r="B36" s="166"/>
      <c r="C36" s="140" t="s">
        <v>353</v>
      </c>
      <c r="G36" s="200">
        <f>'Assets '!H11</f>
        <v>19457</v>
      </c>
      <c r="H36" s="199">
        <f>SUM(G6:G36)</f>
        <v>2179486.2400000002</v>
      </c>
      <c r="J36" s="195">
        <v>0</v>
      </c>
      <c r="L36" s="140" t="s">
        <v>478</v>
      </c>
      <c r="O36" s="195">
        <f>-'Fixed Deposit'!E7</f>
        <v>-12528</v>
      </c>
      <c r="P36" s="199"/>
    </row>
    <row r="37" spans="1:16">
      <c r="A37" s="195"/>
      <c r="B37" s="166"/>
      <c r="C37" s="173"/>
      <c r="D37" s="166"/>
      <c r="E37" s="167"/>
      <c r="F37" s="167"/>
      <c r="G37" s="199"/>
      <c r="H37" s="199"/>
      <c r="J37" s="195">
        <v>0</v>
      </c>
      <c r="L37" s="140" t="s">
        <v>477</v>
      </c>
      <c r="O37" s="195">
        <f>-'Fixed Deposit'!E12</f>
        <v>-37585</v>
      </c>
      <c r="P37" s="199"/>
    </row>
    <row r="38" spans="1:16">
      <c r="A38" s="195"/>
      <c r="B38" s="166"/>
      <c r="C38" s="138" t="s">
        <v>518</v>
      </c>
      <c r="D38" s="166"/>
      <c r="E38" s="167"/>
      <c r="F38" s="167"/>
      <c r="G38" s="199"/>
      <c r="H38" s="199"/>
      <c r="J38" s="195">
        <v>0</v>
      </c>
      <c r="L38" s="140" t="s">
        <v>479</v>
      </c>
      <c r="O38" s="195">
        <f>-'Fixed Deposit'!E28</f>
        <v>-207</v>
      </c>
      <c r="P38" s="199"/>
    </row>
    <row r="39" spans="1:16">
      <c r="A39" s="195">
        <v>44247</v>
      </c>
      <c r="B39" s="166"/>
      <c r="C39" s="140" t="s">
        <v>333</v>
      </c>
      <c r="D39" s="166"/>
      <c r="E39" s="167"/>
      <c r="F39" s="167"/>
      <c r="G39" s="195">
        <f>55359+6926</f>
        <v>62285</v>
      </c>
      <c r="H39" s="220"/>
      <c r="J39" s="195">
        <v>0</v>
      </c>
      <c r="L39" s="140" t="s">
        <v>526</v>
      </c>
      <c r="O39" s="200">
        <f>-'Fixed Deposit'!E23-'Fixed Deposit'!E15</f>
        <v>-50018</v>
      </c>
      <c r="P39" s="199">
        <f>SUM(O33:O39)</f>
        <v>17958</v>
      </c>
    </row>
    <row r="40" spans="1:16">
      <c r="A40" s="195">
        <v>0</v>
      </c>
      <c r="B40" s="166"/>
      <c r="C40" s="140" t="s">
        <v>520</v>
      </c>
      <c r="D40" s="166"/>
      <c r="E40" s="167"/>
      <c r="F40" s="167"/>
      <c r="G40" s="195">
        <f>1000+125</f>
        <v>1125</v>
      </c>
      <c r="H40" s="220"/>
      <c r="J40" s="195"/>
      <c r="O40" s="139"/>
      <c r="P40" s="199"/>
    </row>
    <row r="41" spans="1:16">
      <c r="A41" s="195">
        <v>282667</v>
      </c>
      <c r="B41" s="166"/>
      <c r="C41" s="140" t="s">
        <v>14</v>
      </c>
      <c r="D41" s="166"/>
      <c r="E41" s="167"/>
      <c r="F41" s="167"/>
      <c r="G41" s="195">
        <f>135707+180540</f>
        <v>316247</v>
      </c>
      <c r="H41" s="199"/>
      <c r="J41" s="195"/>
      <c r="O41" s="139"/>
      <c r="P41" s="199"/>
    </row>
    <row r="42" spans="1:16">
      <c r="A42" s="195">
        <v>178004</v>
      </c>
      <c r="B42" s="166"/>
      <c r="C42" s="140" t="s">
        <v>351</v>
      </c>
      <c r="D42" s="166"/>
      <c r="E42" s="167"/>
      <c r="F42" s="167"/>
      <c r="G42" s="195">
        <f>176004+22020</f>
        <v>198024</v>
      </c>
      <c r="H42" s="199"/>
      <c r="J42" s="195"/>
      <c r="O42" s="139"/>
      <c r="P42" s="199"/>
    </row>
    <row r="43" spans="1:16">
      <c r="A43" s="195">
        <v>155007</v>
      </c>
      <c r="B43" s="166"/>
      <c r="C43" s="140" t="s">
        <v>519</v>
      </c>
      <c r="D43" s="166"/>
      <c r="E43" s="167"/>
      <c r="F43" s="167"/>
      <c r="G43" s="195">
        <f>160008+20019</f>
        <v>180027</v>
      </c>
      <c r="H43" s="199"/>
      <c r="J43" s="195"/>
      <c r="O43" s="139"/>
      <c r="P43" s="199"/>
    </row>
    <row r="44" spans="1:16">
      <c r="A44" s="195">
        <v>0</v>
      </c>
      <c r="B44" s="166"/>
      <c r="C44" s="140" t="s">
        <v>521</v>
      </c>
      <c r="D44" s="166"/>
      <c r="E44" s="167"/>
      <c r="F44" s="167"/>
      <c r="G44" s="195">
        <f>64950+4737+3390</f>
        <v>73077</v>
      </c>
      <c r="H44" s="199"/>
      <c r="J44" s="195"/>
      <c r="O44" s="139"/>
      <c r="P44" s="199"/>
    </row>
    <row r="45" spans="1:16">
      <c r="A45" s="195">
        <v>0</v>
      </c>
      <c r="B45" s="166"/>
      <c r="C45" s="140" t="s">
        <v>522</v>
      </c>
      <c r="D45" s="166"/>
      <c r="E45" s="167"/>
      <c r="F45" s="167"/>
      <c r="G45" s="195">
        <f>7623+954</f>
        <v>8577</v>
      </c>
      <c r="H45" s="199"/>
      <c r="J45" s="195"/>
      <c r="O45" s="139"/>
      <c r="P45" s="199"/>
    </row>
    <row r="46" spans="1:16">
      <c r="A46" s="195">
        <v>0</v>
      </c>
      <c r="B46" s="166"/>
      <c r="C46" s="140" t="s">
        <v>523</v>
      </c>
      <c r="D46" s="166"/>
      <c r="E46" s="167"/>
      <c r="F46" s="167"/>
      <c r="G46" s="195">
        <f>26871+3362</f>
        <v>30233</v>
      </c>
      <c r="H46" s="199"/>
      <c r="J46" s="195"/>
      <c r="O46" s="139"/>
      <c r="P46" s="199"/>
    </row>
    <row r="47" spans="1:16">
      <c r="A47" s="195">
        <v>0</v>
      </c>
      <c r="B47" s="166"/>
      <c r="C47" s="140" t="s">
        <v>597</v>
      </c>
      <c r="D47" s="166"/>
      <c r="E47" s="167"/>
      <c r="F47" s="167"/>
      <c r="G47" s="195">
        <v>12750</v>
      </c>
      <c r="H47" s="199"/>
      <c r="J47" s="195"/>
      <c r="O47" s="139"/>
      <c r="P47" s="199"/>
    </row>
    <row r="48" spans="1:16">
      <c r="A48" s="195">
        <v>0</v>
      </c>
      <c r="B48" s="166"/>
      <c r="C48" s="140" t="s">
        <v>524</v>
      </c>
      <c r="D48" s="166"/>
      <c r="E48" s="167"/>
      <c r="F48" s="167"/>
      <c r="G48" s="200">
        <f>56811+7108</f>
        <v>63919</v>
      </c>
      <c r="H48" s="199">
        <f>SUM(G39:G48)</f>
        <v>946264</v>
      </c>
      <c r="J48" s="195"/>
      <c r="O48" s="139"/>
      <c r="P48" s="199"/>
    </row>
    <row r="49" spans="1:18">
      <c r="A49" s="195"/>
      <c r="B49" s="166"/>
      <c r="C49" s="173"/>
      <c r="D49" s="166"/>
      <c r="E49" s="167"/>
      <c r="F49" s="167"/>
      <c r="G49" s="199"/>
      <c r="H49" s="199"/>
      <c r="J49" s="195"/>
      <c r="O49" s="139"/>
      <c r="P49" s="199"/>
    </row>
    <row r="50" spans="1:18">
      <c r="A50" s="160"/>
      <c r="B50" s="166"/>
      <c r="C50" s="138" t="s">
        <v>326</v>
      </c>
      <c r="D50" s="166"/>
      <c r="E50" s="167"/>
      <c r="F50" s="167"/>
      <c r="G50" s="199"/>
      <c r="H50" s="199"/>
      <c r="J50" s="195"/>
      <c r="O50" s="139"/>
      <c r="P50" s="199"/>
    </row>
    <row r="51" spans="1:18">
      <c r="A51" s="160"/>
      <c r="B51" s="166"/>
      <c r="C51" s="144" t="s">
        <v>327</v>
      </c>
      <c r="D51" s="166"/>
      <c r="E51" s="167"/>
      <c r="F51" s="167"/>
      <c r="G51" s="199"/>
      <c r="H51" s="199"/>
      <c r="J51" s="195"/>
      <c r="L51" s="140"/>
      <c r="O51" s="139"/>
      <c r="P51" s="199"/>
    </row>
    <row r="52" spans="1:18">
      <c r="A52" s="160">
        <v>181440</v>
      </c>
      <c r="B52" s="166"/>
      <c r="C52" s="174" t="s">
        <v>12</v>
      </c>
      <c r="D52" s="175"/>
      <c r="E52" s="176"/>
      <c r="F52" s="176"/>
      <c r="G52" s="160">
        <f>+O11</f>
        <v>181440</v>
      </c>
      <c r="H52" s="199"/>
      <c r="J52" s="195"/>
      <c r="L52" s="140"/>
      <c r="O52" s="139"/>
      <c r="P52" s="199"/>
    </row>
    <row r="53" spans="1:18">
      <c r="A53" s="160">
        <v>544320</v>
      </c>
      <c r="B53" s="166"/>
      <c r="C53" s="174" t="s">
        <v>13</v>
      </c>
      <c r="D53" s="175"/>
      <c r="E53" s="176"/>
      <c r="F53" s="176"/>
      <c r="G53" s="160">
        <f>+O12</f>
        <v>544320</v>
      </c>
      <c r="H53" s="199"/>
      <c r="J53" s="195"/>
      <c r="L53" s="140"/>
      <c r="O53" s="139"/>
      <c r="P53" s="199"/>
    </row>
    <row r="54" spans="1:18">
      <c r="A54" s="160">
        <v>5040</v>
      </c>
      <c r="B54" s="166"/>
      <c r="C54" s="174" t="s">
        <v>22</v>
      </c>
      <c r="D54" s="175"/>
      <c r="E54" s="176"/>
      <c r="F54" s="176"/>
      <c r="G54" s="160">
        <f>+O15</f>
        <v>5040</v>
      </c>
      <c r="H54" s="199"/>
      <c r="J54" s="160"/>
      <c r="O54" s="139"/>
      <c r="P54" s="220"/>
    </row>
    <row r="55" spans="1:18">
      <c r="A55" s="160">
        <v>25000</v>
      </c>
      <c r="B55" s="166"/>
      <c r="C55" s="170" t="s">
        <v>328</v>
      </c>
      <c r="D55" s="175"/>
      <c r="E55" s="176"/>
      <c r="F55" s="176"/>
      <c r="G55" s="160">
        <f>+O26</f>
        <v>0</v>
      </c>
      <c r="H55" s="199"/>
      <c r="J55" s="160"/>
      <c r="O55" s="139"/>
      <c r="P55" s="220"/>
    </row>
    <row r="56" spans="1:18">
      <c r="A56" s="197">
        <v>7600</v>
      </c>
      <c r="B56" s="166"/>
      <c r="C56" s="170" t="s">
        <v>329</v>
      </c>
      <c r="D56" s="175"/>
      <c r="E56" s="176"/>
      <c r="F56" s="176"/>
      <c r="G56" s="162">
        <f>O27</f>
        <v>0</v>
      </c>
      <c r="H56" s="199">
        <f>SUM(G52:G56)</f>
        <v>730800</v>
      </c>
      <c r="J56" s="160"/>
      <c r="O56" s="139"/>
      <c r="P56" s="220"/>
    </row>
    <row r="57" spans="1:18">
      <c r="A57" s="197"/>
      <c r="B57" s="166"/>
      <c r="C57" s="170"/>
      <c r="D57" s="177"/>
      <c r="E57" s="178"/>
      <c r="F57" s="178"/>
      <c r="G57" s="160"/>
      <c r="H57" s="199"/>
      <c r="J57" s="160"/>
      <c r="O57" s="139"/>
      <c r="P57" s="220"/>
    </row>
    <row r="58" spans="1:18">
      <c r="A58" s="197"/>
      <c r="B58" s="166"/>
      <c r="C58" s="138" t="s">
        <v>308</v>
      </c>
      <c r="D58" s="177"/>
      <c r="E58" s="178"/>
      <c r="F58" s="178"/>
      <c r="G58" s="160"/>
      <c r="H58" s="199"/>
      <c r="J58" s="160"/>
      <c r="O58" s="139"/>
      <c r="P58" s="220"/>
      <c r="Q58" s="142"/>
      <c r="R58" s="142"/>
    </row>
    <row r="59" spans="1:18">
      <c r="A59" s="198">
        <v>329166.26</v>
      </c>
      <c r="B59" s="166"/>
      <c r="C59" s="140" t="s">
        <v>339</v>
      </c>
      <c r="G59" s="198">
        <f>1019372</f>
        <v>1019372</v>
      </c>
      <c r="H59" s="199"/>
      <c r="J59" s="160"/>
      <c r="O59" s="139"/>
      <c r="P59" s="220"/>
    </row>
    <row r="60" spans="1:18">
      <c r="A60" s="198">
        <v>987498.77000000025</v>
      </c>
      <c r="B60" s="166"/>
      <c r="C60" s="140" t="s">
        <v>308</v>
      </c>
      <c r="G60" s="185">
        <f>H60-G59</f>
        <v>79747.759999999776</v>
      </c>
      <c r="H60" s="199">
        <f>P62-SUM(H5:H57)</f>
        <v>1099119.7599999998</v>
      </c>
      <c r="J60" s="160"/>
      <c r="O60" s="139"/>
      <c r="P60" s="220"/>
      <c r="Q60" s="225"/>
      <c r="R60" s="142"/>
    </row>
    <row r="61" spans="1:18">
      <c r="A61" s="195"/>
      <c r="B61" s="166"/>
      <c r="C61" s="140"/>
      <c r="D61" s="166"/>
      <c r="E61" s="167"/>
      <c r="F61" s="167"/>
      <c r="G61" s="195"/>
      <c r="H61" s="199"/>
      <c r="J61" s="160"/>
      <c r="O61" s="139"/>
      <c r="P61" s="220"/>
      <c r="Q61" s="225"/>
      <c r="R61" s="225"/>
    </row>
    <row r="62" spans="1:18" ht="15" thickBot="1">
      <c r="A62" s="187">
        <f>SUM(A5:A61)</f>
        <v>4450491.25</v>
      </c>
      <c r="B62" s="179"/>
      <c r="C62" s="135"/>
      <c r="D62" s="179"/>
      <c r="E62" s="180"/>
      <c r="F62" s="180"/>
      <c r="G62" s="201"/>
      <c r="H62" s="202">
        <f>SUM(H5:H61)</f>
        <v>4955670</v>
      </c>
      <c r="J62" s="163">
        <f>SUM(J6:J53)</f>
        <v>4450491.25</v>
      </c>
      <c r="K62" s="179"/>
      <c r="L62" s="135"/>
      <c r="M62" s="179"/>
      <c r="N62" s="180"/>
      <c r="O62" s="207"/>
      <c r="P62" s="202">
        <f>SUM(P6:P61)</f>
        <v>4955670</v>
      </c>
      <c r="Q62" s="142"/>
      <c r="R62" s="142"/>
    </row>
    <row r="63" spans="1:18" ht="15" thickTop="1">
      <c r="A63" s="146"/>
      <c r="B63" s="166"/>
      <c r="C63" s="140"/>
      <c r="D63" s="166"/>
      <c r="E63" s="167"/>
      <c r="F63" s="167"/>
      <c r="G63" s="166"/>
      <c r="H63" s="52"/>
      <c r="P63" s="219"/>
      <c r="Q63" s="142"/>
    </row>
    <row r="64" spans="1:18">
      <c r="A64" s="147" t="s">
        <v>23</v>
      </c>
      <c r="C64" s="140"/>
      <c r="H64" s="221"/>
      <c r="L64" s="150"/>
      <c r="M64" s="150"/>
      <c r="N64" s="150"/>
      <c r="O64" s="150"/>
      <c r="P64" s="223"/>
    </row>
    <row r="65" spans="1:19">
      <c r="A65" s="147"/>
      <c r="C65" s="140"/>
      <c r="H65" s="221"/>
      <c r="O65" s="154"/>
      <c r="P65" s="219"/>
    </row>
    <row r="66" spans="1:19">
      <c r="A66" s="155"/>
      <c r="C66" s="140"/>
      <c r="H66" s="221"/>
      <c r="J66" s="142"/>
      <c r="O66" s="154"/>
      <c r="P66" s="219"/>
    </row>
    <row r="67" spans="1:19">
      <c r="A67" s="155"/>
      <c r="C67" s="140"/>
      <c r="H67" s="221"/>
      <c r="O67" s="154"/>
      <c r="P67" s="219"/>
    </row>
    <row r="68" spans="1:19">
      <c r="A68" s="155"/>
      <c r="C68" s="140"/>
      <c r="H68" s="221"/>
      <c r="P68" s="219"/>
      <c r="Q68" s="142"/>
    </row>
    <row r="69" spans="1:19">
      <c r="A69" s="181"/>
      <c r="B69" s="157"/>
      <c r="C69" s="182"/>
      <c r="D69" s="157"/>
      <c r="E69" s="157"/>
      <c r="F69" s="157"/>
      <c r="G69" s="157"/>
      <c r="H69" s="222"/>
      <c r="I69" s="157"/>
      <c r="J69" s="157"/>
      <c r="K69" s="157"/>
      <c r="L69" s="157" t="s">
        <v>24</v>
      </c>
      <c r="M69" s="157"/>
      <c r="N69" s="157"/>
      <c r="O69" s="157"/>
      <c r="P69" s="224"/>
    </row>
    <row r="70" spans="1:19">
      <c r="R70" s="142"/>
    </row>
    <row r="73" spans="1:19">
      <c r="J73" s="142"/>
    </row>
    <row r="74" spans="1:19">
      <c r="J74" s="142"/>
    </row>
    <row r="79" spans="1:19">
      <c r="Q79" s="142"/>
      <c r="R79" s="142"/>
    </row>
    <row r="80" spans="1:19">
      <c r="Q80" s="142"/>
      <c r="S80" s="142"/>
    </row>
    <row r="83" spans="17:18">
      <c r="Q83" s="142"/>
    </row>
    <row r="84" spans="17:18">
      <c r="Q84" s="142"/>
    </row>
    <row r="85" spans="17:18">
      <c r="Q85" s="142"/>
    </row>
    <row r="86" spans="17:18">
      <c r="Q86" s="142"/>
    </row>
    <row r="87" spans="17:18">
      <c r="Q87" s="142"/>
      <c r="R87" s="142"/>
    </row>
    <row r="88" spans="17:18">
      <c r="R88" s="142"/>
    </row>
    <row r="101" spans="17:17">
      <c r="Q101" s="142"/>
    </row>
  </sheetData>
  <mergeCells count="5">
    <mergeCell ref="A1:P1"/>
    <mergeCell ref="A2:P2"/>
    <mergeCell ref="A3:P3"/>
    <mergeCell ref="B4:F4"/>
    <mergeCell ref="K4:N4"/>
  </mergeCells>
  <pageMargins left="0.62992125984251968" right="0.27559055118110237" top="0.51181102362204722" bottom="0" header="0.31496062992125984" footer="0.55118110236220474"/>
  <pageSetup paperSize="9" scale="54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51"/>
  <sheetViews>
    <sheetView topLeftCell="D1" workbookViewId="0">
      <pane ySplit="3" topLeftCell="A25" activePane="bottomLeft" state="frozen"/>
      <selection pane="bottomLeft" activeCell="B1" sqref="B1:M35"/>
    </sheetView>
  </sheetViews>
  <sheetFormatPr defaultColWidth="9.109375" defaultRowHeight="13.2"/>
  <cols>
    <col min="1" max="1" width="9.109375" style="82"/>
    <col min="2" max="2" width="15.88671875" style="94" bestFit="1" customWidth="1"/>
    <col min="3" max="3" width="12.5546875" style="82" customWidth="1"/>
    <col min="4" max="4" width="13.33203125" bestFit="1" customWidth="1"/>
    <col min="5" max="5" width="16.109375" bestFit="1" customWidth="1"/>
    <col min="6" max="7" width="12.109375" customWidth="1"/>
    <col min="8" max="8" width="13.109375" bestFit="1" customWidth="1"/>
    <col min="9" max="9" width="13.33203125" bestFit="1" customWidth="1"/>
    <col min="10" max="10" width="13.109375" style="82" bestFit="1" customWidth="1"/>
    <col min="11" max="11" width="9.33203125" style="246" bestFit="1" customWidth="1"/>
    <col min="12" max="12" width="8.44140625" style="82" customWidth="1"/>
    <col min="13" max="13" width="8.33203125" style="82" customWidth="1"/>
    <col min="14" max="14" width="11.77734375" bestFit="1" customWidth="1"/>
    <col min="15" max="15" width="12.21875" bestFit="1" customWidth="1"/>
    <col min="16" max="16" width="12" bestFit="1" customWidth="1"/>
    <col min="17" max="17" width="11.33203125" bestFit="1" customWidth="1"/>
    <col min="18" max="18" width="10.44140625" bestFit="1" customWidth="1"/>
    <col min="19" max="19" width="11.109375" bestFit="1" customWidth="1"/>
  </cols>
  <sheetData>
    <row r="1" spans="1:19" ht="18">
      <c r="B1" s="270" t="s">
        <v>592</v>
      </c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</row>
    <row r="2" spans="1:19" ht="15.6">
      <c r="B2" s="271" t="s">
        <v>366</v>
      </c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</row>
    <row r="3" spans="1:19" s="12" customFormat="1" ht="43.8" thickBot="1">
      <c r="A3" s="240" t="s">
        <v>594</v>
      </c>
      <c r="B3" s="240" t="s">
        <v>367</v>
      </c>
      <c r="C3" s="241" t="s">
        <v>368</v>
      </c>
      <c r="D3" s="242" t="s">
        <v>369</v>
      </c>
      <c r="E3" s="242" t="s">
        <v>370</v>
      </c>
      <c r="F3" s="242" t="s">
        <v>151</v>
      </c>
      <c r="G3" s="242" t="s">
        <v>371</v>
      </c>
      <c r="H3" s="242" t="s">
        <v>492</v>
      </c>
      <c r="I3" s="242" t="s">
        <v>372</v>
      </c>
      <c r="J3" s="242" t="s">
        <v>373</v>
      </c>
      <c r="K3" s="245" t="s">
        <v>374</v>
      </c>
      <c r="L3" s="241" t="s">
        <v>375</v>
      </c>
      <c r="O3" s="8"/>
      <c r="P3" s="23" t="s">
        <v>376</v>
      </c>
      <c r="Q3" s="23" t="s">
        <v>377</v>
      </c>
      <c r="R3" s="23" t="s">
        <v>378</v>
      </c>
    </row>
    <row r="4" spans="1:19" ht="15" thickTop="1">
      <c r="B4" s="103" t="s">
        <v>39</v>
      </c>
      <c r="I4" s="82"/>
      <c r="J4"/>
      <c r="L4" s="83"/>
      <c r="M4"/>
      <c r="O4" s="2"/>
      <c r="P4" s="27" t="s">
        <v>33</v>
      </c>
      <c r="Q4" s="27" t="s">
        <v>379</v>
      </c>
      <c r="R4" s="27" t="s">
        <v>380</v>
      </c>
    </row>
    <row r="5" spans="1:19" ht="14.4">
      <c r="A5" s="127">
        <v>1</v>
      </c>
      <c r="B5" s="104" t="s">
        <v>402</v>
      </c>
      <c r="C5" s="84" t="s">
        <v>403</v>
      </c>
      <c r="D5" s="59">
        <v>181440</v>
      </c>
      <c r="E5" s="59">
        <v>7457</v>
      </c>
      <c r="F5" s="59">
        <v>746</v>
      </c>
      <c r="G5" s="59">
        <f>SUM(E5:E5)-F5</f>
        <v>6711</v>
      </c>
      <c r="H5" s="59">
        <f>D5+G5</f>
        <v>188151</v>
      </c>
      <c r="I5" s="85" t="s">
        <v>486</v>
      </c>
      <c r="J5" s="59">
        <v>208453</v>
      </c>
      <c r="K5" s="247">
        <v>7</v>
      </c>
      <c r="L5" s="61" t="s">
        <v>404</v>
      </c>
      <c r="M5"/>
      <c r="O5" s="2" t="s">
        <v>39</v>
      </c>
      <c r="P5" s="62">
        <f>H7</f>
        <v>374155</v>
      </c>
      <c r="Q5" s="62">
        <f>'BS 25-26'!G22</f>
        <v>375408</v>
      </c>
      <c r="R5" s="86">
        <f>P5-Q5</f>
        <v>-1253</v>
      </c>
    </row>
    <row r="6" spans="1:19" ht="14.4">
      <c r="A6" s="127">
        <v>2</v>
      </c>
      <c r="B6" s="104" t="s">
        <v>412</v>
      </c>
      <c r="C6" s="84" t="s">
        <v>413</v>
      </c>
      <c r="D6" s="59">
        <v>181440</v>
      </c>
      <c r="E6" s="59">
        <v>5071</v>
      </c>
      <c r="F6" s="59">
        <v>507</v>
      </c>
      <c r="G6" s="59">
        <f>SUM(E6:E6)-F6</f>
        <v>4564</v>
      </c>
      <c r="H6" s="59">
        <f>D6+G6</f>
        <v>186004</v>
      </c>
      <c r="I6" s="85" t="s">
        <v>487</v>
      </c>
      <c r="J6" s="59">
        <v>207635</v>
      </c>
      <c r="K6" s="247">
        <v>6.8</v>
      </c>
      <c r="L6" s="61" t="s">
        <v>404</v>
      </c>
      <c r="M6"/>
      <c r="O6" s="2" t="s">
        <v>13</v>
      </c>
      <c r="P6" s="62">
        <f>H12</f>
        <v>1122466</v>
      </c>
      <c r="Q6" s="62">
        <f>'BS 25-26'!G27</f>
        <v>1126225</v>
      </c>
      <c r="R6" s="86">
        <f t="shared" ref="R6:R8" si="0">P6-Q6</f>
        <v>-3759</v>
      </c>
    </row>
    <row r="7" spans="1:19" ht="15" thickBot="1">
      <c r="A7" s="107"/>
      <c r="B7" s="107"/>
      <c r="C7" s="90"/>
      <c r="D7" s="66">
        <f>SUM(D5:D6)</f>
        <v>362880</v>
      </c>
      <c r="E7" s="66">
        <f>SUM(E5:E6)</f>
        <v>12528</v>
      </c>
      <c r="F7" s="66">
        <f>SUM(F5:F6)</f>
        <v>1253</v>
      </c>
      <c r="G7" s="66">
        <f>SUM(G5:G6)</f>
        <v>11275</v>
      </c>
      <c r="H7" s="66">
        <f t="shared" ref="H7" si="1">SUM(H5:H6)</f>
        <v>374155</v>
      </c>
      <c r="I7" s="67"/>
      <c r="J7" s="66">
        <f>SUM(J5:J6)</f>
        <v>416088</v>
      </c>
      <c r="K7" s="248"/>
      <c r="L7" s="68"/>
      <c r="M7"/>
      <c r="O7" s="2" t="s">
        <v>35</v>
      </c>
      <c r="P7" s="62">
        <f>H23</f>
        <v>1431156.26</v>
      </c>
      <c r="Q7" s="62">
        <f>'BS 25-26'!G17</f>
        <v>1431156.26</v>
      </c>
      <c r="R7" s="86">
        <f>P7-Q7</f>
        <v>0</v>
      </c>
      <c r="S7">
        <v>1019372</v>
      </c>
    </row>
    <row r="8" spans="1:19" ht="15" thickTop="1">
      <c r="B8" s="108"/>
      <c r="D8" s="69"/>
      <c r="E8" s="69"/>
      <c r="F8" s="69"/>
      <c r="G8" s="69"/>
      <c r="H8" s="69"/>
      <c r="I8" s="70"/>
      <c r="J8" s="71"/>
      <c r="K8" s="249"/>
      <c r="L8" s="72"/>
      <c r="M8"/>
      <c r="O8" s="2" t="s">
        <v>28</v>
      </c>
      <c r="P8" s="62">
        <f>H32</f>
        <v>21000</v>
      </c>
      <c r="Q8" s="62">
        <f>'BS 25-26'!G9</f>
        <v>21000</v>
      </c>
      <c r="R8" s="86">
        <f t="shared" si="0"/>
        <v>0</v>
      </c>
    </row>
    <row r="9" spans="1:19" ht="14.4">
      <c r="B9" s="103" t="s">
        <v>13</v>
      </c>
      <c r="D9" s="71"/>
      <c r="E9" s="71"/>
      <c r="F9" s="71"/>
      <c r="G9" s="71"/>
      <c r="H9" s="71"/>
      <c r="I9" s="70"/>
      <c r="J9" s="71"/>
      <c r="K9" s="249"/>
      <c r="L9" s="72"/>
      <c r="M9"/>
      <c r="P9" s="91">
        <f>SUM(P5:P8)</f>
        <v>2948777.26</v>
      </c>
      <c r="Q9" s="91">
        <f>SUM(Q5:Q8)</f>
        <v>2953789.26</v>
      </c>
      <c r="R9" s="91">
        <f>SUM(R5:R8)</f>
        <v>-5012</v>
      </c>
    </row>
    <row r="10" spans="1:19" ht="14.4">
      <c r="A10" s="127">
        <v>3</v>
      </c>
      <c r="B10" s="104" t="s">
        <v>405</v>
      </c>
      <c r="C10" s="84" t="s">
        <v>403</v>
      </c>
      <c r="D10" s="74">
        <v>544320</v>
      </c>
      <c r="E10" s="74">
        <v>22371</v>
      </c>
      <c r="F10" s="74">
        <v>2237</v>
      </c>
      <c r="G10" s="59">
        <f>SUM(E10:E10)-F10</f>
        <v>20134</v>
      </c>
      <c r="H10" s="59">
        <f>D10+G10</f>
        <v>564454</v>
      </c>
      <c r="I10" s="60" t="s">
        <v>486</v>
      </c>
      <c r="J10" s="74">
        <v>625097</v>
      </c>
      <c r="K10" s="247">
        <v>7</v>
      </c>
      <c r="L10" s="60" t="s">
        <v>404</v>
      </c>
      <c r="M10"/>
    </row>
    <row r="11" spans="1:19" ht="14.4">
      <c r="A11" s="127">
        <v>4</v>
      </c>
      <c r="B11" s="104" t="s">
        <v>414</v>
      </c>
      <c r="C11" s="84" t="s">
        <v>413</v>
      </c>
      <c r="D11" s="74">
        <v>544320</v>
      </c>
      <c r="E11" s="74">
        <v>15214</v>
      </c>
      <c r="F11" s="74">
        <v>1522</v>
      </c>
      <c r="G11" s="59">
        <f>SUM(E11:E11)-F11</f>
        <v>13692</v>
      </c>
      <c r="H11" s="59">
        <f>D11+G11</f>
        <v>558012</v>
      </c>
      <c r="I11" s="60" t="s">
        <v>487</v>
      </c>
      <c r="J11" s="93">
        <v>622905</v>
      </c>
      <c r="K11" s="247">
        <v>6.8</v>
      </c>
      <c r="L11" s="64" t="s">
        <v>404</v>
      </c>
      <c r="M11"/>
    </row>
    <row r="12" spans="1:19" ht="15" thickBot="1">
      <c r="A12" s="107"/>
      <c r="B12" s="107"/>
      <c r="C12" s="90"/>
      <c r="D12" s="66">
        <f>SUM(D10:D11)</f>
        <v>1088640</v>
      </c>
      <c r="E12" s="66">
        <f t="shared" ref="E12:J12" si="2">SUM(E10:E11)</f>
        <v>37585</v>
      </c>
      <c r="F12" s="66">
        <f t="shared" si="2"/>
        <v>3759</v>
      </c>
      <c r="G12" s="66">
        <f t="shared" si="2"/>
        <v>33826</v>
      </c>
      <c r="H12" s="66">
        <f t="shared" si="2"/>
        <v>1122466</v>
      </c>
      <c r="I12" s="67"/>
      <c r="J12" s="66">
        <f t="shared" si="2"/>
        <v>1248002</v>
      </c>
      <c r="K12" s="248"/>
      <c r="L12" s="68"/>
      <c r="M12"/>
    </row>
    <row r="13" spans="1:19" ht="15" thickTop="1">
      <c r="B13" s="108"/>
      <c r="D13" s="69"/>
      <c r="E13" s="69"/>
      <c r="F13" s="69"/>
      <c r="G13" s="69"/>
      <c r="H13" s="69"/>
      <c r="I13" s="70"/>
      <c r="J13" s="71"/>
      <c r="K13" s="249"/>
      <c r="L13" s="72"/>
      <c r="M13"/>
    </row>
    <row r="14" spans="1:19" ht="11.4" customHeight="1">
      <c r="B14" s="103" t="s">
        <v>35</v>
      </c>
      <c r="D14" s="69"/>
      <c r="E14" s="69"/>
      <c r="F14" s="69"/>
      <c r="G14" s="69"/>
      <c r="H14" s="69"/>
      <c r="I14" s="70"/>
      <c r="J14" s="71"/>
      <c r="K14" s="249"/>
      <c r="L14" s="72"/>
      <c r="M14"/>
    </row>
    <row r="15" spans="1:19" ht="14.4" hidden="1">
      <c r="B15" s="104" t="s">
        <v>393</v>
      </c>
      <c r="C15" s="84" t="s">
        <v>394</v>
      </c>
      <c r="D15" s="74">
        <v>200000</v>
      </c>
      <c r="E15" s="74">
        <v>8477</v>
      </c>
      <c r="F15" s="74"/>
      <c r="G15" s="59">
        <f>SUM(E15:E15)-F15</f>
        <v>8477</v>
      </c>
      <c r="H15" s="59">
        <f>D15+G15</f>
        <v>208477</v>
      </c>
      <c r="I15" s="60"/>
      <c r="J15" s="74"/>
      <c r="K15" s="247"/>
      <c r="L15" s="60" t="s">
        <v>395</v>
      </c>
      <c r="M15"/>
    </row>
    <row r="16" spans="1:19" ht="15" hidden="1" thickBot="1">
      <c r="B16" s="109"/>
      <c r="C16" s="95"/>
      <c r="D16" s="75"/>
      <c r="E16" s="75"/>
      <c r="F16" s="75"/>
      <c r="G16" s="76"/>
      <c r="H16" s="76"/>
      <c r="I16" s="77"/>
      <c r="J16" s="75"/>
      <c r="K16" s="250"/>
      <c r="L16" s="78"/>
      <c r="M16"/>
    </row>
    <row r="17" spans="1:13" ht="14.4">
      <c r="A17" s="127">
        <v>5</v>
      </c>
      <c r="B17" s="105" t="s">
        <v>399</v>
      </c>
      <c r="C17" s="87" t="s">
        <v>398</v>
      </c>
      <c r="D17" s="73">
        <v>32000</v>
      </c>
      <c r="E17" s="73">
        <v>28</v>
      </c>
      <c r="F17" s="73">
        <v>0</v>
      </c>
      <c r="G17" s="63">
        <f t="shared" ref="G17:G22" si="3">SUM(E17:E17)-F17</f>
        <v>28</v>
      </c>
      <c r="H17" s="63">
        <f t="shared" ref="H17:H22" si="4">D17+G17</f>
        <v>32028</v>
      </c>
      <c r="I17" s="88" t="s">
        <v>400</v>
      </c>
      <c r="J17" s="73">
        <v>44173</v>
      </c>
      <c r="K17" s="251">
        <v>6.5</v>
      </c>
      <c r="L17" s="65" t="s">
        <v>381</v>
      </c>
      <c r="M17"/>
    </row>
    <row r="18" spans="1:13" ht="14.4">
      <c r="A18" s="127">
        <v>6</v>
      </c>
      <c r="B18" s="105" t="s">
        <v>407</v>
      </c>
      <c r="C18" s="87" t="s">
        <v>408</v>
      </c>
      <c r="D18" s="73">
        <v>361766.26</v>
      </c>
      <c r="E18" s="73">
        <v>14658</v>
      </c>
      <c r="F18" s="73">
        <v>1466</v>
      </c>
      <c r="G18" s="63">
        <f t="shared" si="3"/>
        <v>13192</v>
      </c>
      <c r="H18" s="63">
        <f t="shared" si="4"/>
        <v>374958.26</v>
      </c>
      <c r="I18" s="88" t="s">
        <v>488</v>
      </c>
      <c r="J18" s="73">
        <v>415626.26</v>
      </c>
      <c r="K18" s="251">
        <v>7</v>
      </c>
      <c r="L18" s="65" t="s">
        <v>404</v>
      </c>
      <c r="M18"/>
    </row>
    <row r="19" spans="1:13" ht="14.4">
      <c r="A19" s="127">
        <v>7</v>
      </c>
      <c r="B19" s="105" t="s">
        <v>409</v>
      </c>
      <c r="C19" s="87" t="s">
        <v>410</v>
      </c>
      <c r="D19" s="73">
        <v>250000</v>
      </c>
      <c r="E19" s="73">
        <v>9984</v>
      </c>
      <c r="F19" s="73">
        <v>998</v>
      </c>
      <c r="G19" s="63">
        <f t="shared" si="3"/>
        <v>8986</v>
      </c>
      <c r="H19" s="63">
        <f t="shared" si="4"/>
        <v>258986</v>
      </c>
      <c r="I19" s="88" t="s">
        <v>489</v>
      </c>
      <c r="J19" s="73">
        <v>287220</v>
      </c>
      <c r="K19" s="251">
        <v>7</v>
      </c>
      <c r="L19" s="65" t="s">
        <v>404</v>
      </c>
      <c r="M19"/>
    </row>
    <row r="20" spans="1:13" ht="14.4">
      <c r="A20" s="127">
        <v>8</v>
      </c>
      <c r="B20" s="105" t="s">
        <v>411</v>
      </c>
      <c r="C20" s="87" t="s">
        <v>410</v>
      </c>
      <c r="D20" s="73">
        <v>250000</v>
      </c>
      <c r="E20" s="73">
        <v>9984</v>
      </c>
      <c r="F20" s="73">
        <v>998</v>
      </c>
      <c r="G20" s="63">
        <f t="shared" si="3"/>
        <v>8986</v>
      </c>
      <c r="H20" s="63">
        <f t="shared" si="4"/>
        <v>258986</v>
      </c>
      <c r="I20" s="88" t="s">
        <v>489</v>
      </c>
      <c r="J20" s="73">
        <v>287220</v>
      </c>
      <c r="K20" s="251">
        <v>7</v>
      </c>
      <c r="L20" s="65" t="s">
        <v>404</v>
      </c>
      <c r="M20"/>
    </row>
    <row r="21" spans="1:13" ht="14.4">
      <c r="A21" s="127">
        <v>9</v>
      </c>
      <c r="B21" s="105" t="s">
        <v>415</v>
      </c>
      <c r="C21" s="87" t="s">
        <v>413</v>
      </c>
      <c r="D21" s="73">
        <v>200000</v>
      </c>
      <c r="E21" s="73">
        <v>5516</v>
      </c>
      <c r="F21" s="73">
        <v>552</v>
      </c>
      <c r="G21" s="63">
        <f t="shared" si="3"/>
        <v>4964</v>
      </c>
      <c r="H21" s="63">
        <f t="shared" si="4"/>
        <v>204964</v>
      </c>
      <c r="I21" s="88" t="s">
        <v>490</v>
      </c>
      <c r="J21" s="73">
        <v>215147</v>
      </c>
      <c r="K21" s="251">
        <v>6.8</v>
      </c>
      <c r="L21" s="65" t="s">
        <v>404</v>
      </c>
      <c r="M21"/>
    </row>
    <row r="22" spans="1:13" ht="14.4">
      <c r="A22" s="127">
        <v>10</v>
      </c>
      <c r="B22" s="104" t="s">
        <v>416</v>
      </c>
      <c r="C22" s="84" t="s">
        <v>427</v>
      </c>
      <c r="D22" s="74">
        <v>300000</v>
      </c>
      <c r="E22" s="74">
        <v>1371</v>
      </c>
      <c r="F22" s="74">
        <v>137</v>
      </c>
      <c r="G22" s="59">
        <f t="shared" si="3"/>
        <v>1234</v>
      </c>
      <c r="H22" s="59">
        <f t="shared" si="4"/>
        <v>301234</v>
      </c>
      <c r="I22" s="60" t="s">
        <v>491</v>
      </c>
      <c r="J22" s="74">
        <v>343312</v>
      </c>
      <c r="K22" s="247">
        <v>6.8</v>
      </c>
      <c r="L22" s="60" t="s">
        <v>404</v>
      </c>
      <c r="M22"/>
    </row>
    <row r="23" spans="1:13" ht="15" thickBot="1">
      <c r="A23" s="107"/>
      <c r="B23" s="107"/>
      <c r="C23" s="90"/>
      <c r="D23" s="66">
        <f>SUM(D17:D22)</f>
        <v>1393766.26</v>
      </c>
      <c r="E23" s="66">
        <f t="shared" ref="E23:J23" si="5">SUM(E17:E22)</f>
        <v>41541</v>
      </c>
      <c r="F23" s="66">
        <f t="shared" si="5"/>
        <v>4151</v>
      </c>
      <c r="G23" s="66">
        <f t="shared" si="5"/>
        <v>37390</v>
      </c>
      <c r="H23" s="66">
        <f t="shared" si="5"/>
        <v>1431156.26</v>
      </c>
      <c r="I23" s="67"/>
      <c r="J23" s="66">
        <f t="shared" si="5"/>
        <v>1592698.26</v>
      </c>
      <c r="K23" s="248"/>
      <c r="L23" s="68"/>
      <c r="M23"/>
    </row>
    <row r="24" spans="1:13" ht="15" thickTop="1">
      <c r="B24" s="108"/>
      <c r="D24" s="69"/>
      <c r="E24" s="69"/>
      <c r="F24" s="69"/>
      <c r="G24" s="69"/>
      <c r="H24" s="69"/>
      <c r="I24" s="70"/>
      <c r="J24" s="71"/>
      <c r="K24" s="249"/>
      <c r="L24" s="72"/>
      <c r="M24"/>
    </row>
    <row r="25" spans="1:13" ht="14.4">
      <c r="B25" s="103" t="s">
        <v>428</v>
      </c>
      <c r="D25" s="71"/>
      <c r="E25" s="71"/>
      <c r="F25" s="71"/>
      <c r="G25" s="71"/>
      <c r="H25" s="71"/>
      <c r="I25" s="70"/>
      <c r="J25" s="71"/>
      <c r="K25" s="249"/>
      <c r="L25" s="72"/>
      <c r="M25"/>
    </row>
    <row r="26" spans="1:13" ht="1.8" customHeight="1" thickBot="1">
      <c r="B26" s="106"/>
      <c r="C26" s="89"/>
      <c r="D26" s="79"/>
      <c r="E26" s="79"/>
      <c r="F26" s="79"/>
      <c r="G26" s="79"/>
      <c r="H26" s="79"/>
      <c r="I26" s="77"/>
      <c r="J26" s="79"/>
      <c r="K26" s="250"/>
      <c r="L26" s="78"/>
      <c r="M26"/>
    </row>
    <row r="27" spans="1:13" ht="14.4">
      <c r="A27" s="127">
        <v>11</v>
      </c>
      <c r="B27" s="105" t="s">
        <v>406</v>
      </c>
      <c r="C27" s="87" t="s">
        <v>403</v>
      </c>
      <c r="D27" s="73">
        <v>5040</v>
      </c>
      <c r="E27" s="73">
        <v>207</v>
      </c>
      <c r="F27" s="73">
        <v>21</v>
      </c>
      <c r="G27" s="63">
        <f>SUM(E27:E27)-F27</f>
        <v>186</v>
      </c>
      <c r="H27" s="63">
        <f>D27+G27</f>
        <v>5226</v>
      </c>
      <c r="I27" s="64" t="s">
        <v>558</v>
      </c>
      <c r="J27" s="73">
        <v>5433</v>
      </c>
      <c r="K27" s="251">
        <v>7</v>
      </c>
      <c r="L27" s="64" t="s">
        <v>404</v>
      </c>
      <c r="M27"/>
    </row>
    <row r="28" spans="1:13" ht="15" thickBot="1">
      <c r="A28" s="110"/>
      <c r="B28" s="110"/>
      <c r="C28" s="90"/>
      <c r="D28" s="66">
        <f>SUM(D27)</f>
        <v>5040</v>
      </c>
      <c r="E28" s="66">
        <f t="shared" ref="E28:J28" si="6">SUM(E27)</f>
        <v>207</v>
      </c>
      <c r="F28" s="66">
        <f t="shared" si="6"/>
        <v>21</v>
      </c>
      <c r="G28" s="66">
        <f t="shared" si="6"/>
        <v>186</v>
      </c>
      <c r="H28" s="66">
        <f t="shared" si="6"/>
        <v>5226</v>
      </c>
      <c r="I28" s="67"/>
      <c r="J28" s="66">
        <f t="shared" si="6"/>
        <v>5433</v>
      </c>
      <c r="K28" s="248"/>
      <c r="L28" s="68"/>
      <c r="M28"/>
    </row>
    <row r="29" spans="1:13" ht="15" thickTop="1">
      <c r="B29" s="111"/>
      <c r="D29" s="69"/>
      <c r="E29" s="69"/>
      <c r="F29" s="69"/>
      <c r="G29" s="69"/>
      <c r="H29" s="69"/>
      <c r="I29" s="70"/>
      <c r="J29" s="69"/>
      <c r="K29" s="249"/>
      <c r="L29" s="72"/>
      <c r="M29"/>
    </row>
    <row r="30" spans="1:13" ht="14.4">
      <c r="B30" s="103" t="s">
        <v>28</v>
      </c>
      <c r="D30" s="71"/>
      <c r="E30" s="71"/>
      <c r="F30" s="71"/>
      <c r="G30" s="71"/>
      <c r="H30" s="71"/>
      <c r="I30" s="70"/>
      <c r="J30" s="71"/>
      <c r="K30" s="249"/>
      <c r="L30" s="72"/>
      <c r="M30"/>
    </row>
    <row r="31" spans="1:13" ht="14.4">
      <c r="A31" s="127">
        <v>12</v>
      </c>
      <c r="B31" s="104" t="s">
        <v>397</v>
      </c>
      <c r="C31" s="84" t="s">
        <v>398</v>
      </c>
      <c r="D31" s="74">
        <v>21000</v>
      </c>
      <c r="E31" s="62">
        <v>0</v>
      </c>
      <c r="F31" s="62">
        <v>0</v>
      </c>
      <c r="G31" s="238">
        <v>0</v>
      </c>
      <c r="H31" s="59">
        <f>D31+G31</f>
        <v>21000</v>
      </c>
      <c r="I31" s="60" t="s">
        <v>400</v>
      </c>
      <c r="J31" s="74">
        <v>21000</v>
      </c>
      <c r="K31" s="247">
        <v>6.5</v>
      </c>
      <c r="L31" s="60" t="s">
        <v>381</v>
      </c>
      <c r="M31"/>
    </row>
    <row r="32" spans="1:13" ht="15" thickBot="1">
      <c r="A32" s="110"/>
      <c r="B32" s="110"/>
      <c r="C32" s="90"/>
      <c r="D32" s="66">
        <f>SUM(D31)</f>
        <v>21000</v>
      </c>
      <c r="E32" s="66">
        <f t="shared" ref="E32:G32" si="7">SUM(E31)</f>
        <v>0</v>
      </c>
      <c r="F32" s="66">
        <f t="shared" si="7"/>
        <v>0</v>
      </c>
      <c r="G32" s="66">
        <f t="shared" si="7"/>
        <v>0</v>
      </c>
      <c r="H32" s="66">
        <f t="shared" ref="H32:J32" si="8">SUM(H31)</f>
        <v>21000</v>
      </c>
      <c r="I32" s="67"/>
      <c r="J32" s="66">
        <f t="shared" si="8"/>
        <v>21000</v>
      </c>
      <c r="K32" s="248"/>
      <c r="L32" s="68"/>
      <c r="M32"/>
    </row>
    <row r="33" spans="1:18" ht="15" thickTop="1">
      <c r="B33" s="111"/>
      <c r="D33" s="69"/>
      <c r="E33" s="69"/>
      <c r="F33" s="69"/>
      <c r="G33" s="69"/>
      <c r="H33" s="69"/>
      <c r="I33" s="70"/>
      <c r="J33" s="71"/>
      <c r="K33" s="249"/>
      <c r="L33" s="72"/>
      <c r="M33"/>
    </row>
    <row r="34" spans="1:18" ht="15" thickBot="1">
      <c r="B34" s="243" t="s">
        <v>382</v>
      </c>
      <c r="C34" s="244"/>
      <c r="D34" s="96">
        <f>D7+D23+D12+D32+D28</f>
        <v>2871326.26</v>
      </c>
      <c r="E34" s="96">
        <f>E7+E23+E12+E32+E28+F46</f>
        <v>91879</v>
      </c>
      <c r="F34" s="96">
        <f>F7+F23+F12+F32+F28+G46</f>
        <v>9184</v>
      </c>
      <c r="G34" s="96">
        <f>G7+G23+G12+G32+G28</f>
        <v>82677</v>
      </c>
      <c r="H34" s="96">
        <f t="shared" ref="H34" si="9">H7+H23+H12+H32+H28</f>
        <v>2954003.26</v>
      </c>
      <c r="I34" s="90"/>
      <c r="J34" s="96">
        <f>J7+J23+J12+J32+J28</f>
        <v>3283221.26</v>
      </c>
      <c r="K34" s="252"/>
      <c r="L34" s="97"/>
      <c r="M34"/>
    </row>
    <row r="35" spans="1:18" ht="13.8" thickTop="1">
      <c r="B35" s="112"/>
      <c r="C35" s="98"/>
      <c r="D35" s="99"/>
      <c r="E35" s="99"/>
      <c r="F35" s="99"/>
      <c r="G35" s="99"/>
      <c r="H35" s="99"/>
      <c r="I35" s="98"/>
      <c r="J35" s="99"/>
      <c r="K35" s="253"/>
      <c r="L35" s="100"/>
      <c r="M35"/>
    </row>
    <row r="36" spans="1:18" ht="15" hidden="1" customHeight="1">
      <c r="B36" s="94" t="s">
        <v>383</v>
      </c>
      <c r="C36" s="82" t="s">
        <v>384</v>
      </c>
      <c r="I36" s="82"/>
      <c r="J36"/>
      <c r="M36"/>
    </row>
    <row r="37" spans="1:18" s="101" customFormat="1" ht="30" hidden="1" customHeight="1">
      <c r="A37" s="102"/>
      <c r="B37" s="113"/>
      <c r="C37" s="82" t="s">
        <v>385</v>
      </c>
      <c r="D37" s="101" t="s">
        <v>386</v>
      </c>
      <c r="H37" s="101" t="s">
        <v>386</v>
      </c>
      <c r="I37" s="102" t="s">
        <v>387</v>
      </c>
      <c r="J37" s="101" t="s">
        <v>388</v>
      </c>
      <c r="K37" s="254"/>
      <c r="L37" s="102"/>
      <c r="O37"/>
      <c r="P37"/>
      <c r="Q37"/>
      <c r="R37"/>
    </row>
    <row r="38" spans="1:18" ht="30" hidden="1" customHeight="1">
      <c r="B38" s="114">
        <v>1017085</v>
      </c>
      <c r="C38" s="82">
        <v>28242</v>
      </c>
      <c r="D38" t="e">
        <f>+#REF!-C38</f>
        <v>#REF!</v>
      </c>
      <c r="H38" s="80" t="e">
        <f>+#REF!*#REF!</f>
        <v>#REF!</v>
      </c>
      <c r="I38" s="82" t="s">
        <v>389</v>
      </c>
      <c r="J38" s="81">
        <v>30476</v>
      </c>
      <c r="K38" s="246" t="e">
        <f>+J38-#REF!</f>
        <v>#REF!</v>
      </c>
      <c r="L38" s="102" t="s">
        <v>390</v>
      </c>
      <c r="M38"/>
      <c r="O38" s="101"/>
      <c r="P38" s="101"/>
      <c r="Q38" s="101"/>
      <c r="R38" s="101"/>
    </row>
    <row r="39" spans="1:18" ht="45" hidden="1" customHeight="1">
      <c r="B39" s="115">
        <v>1017317</v>
      </c>
      <c r="C39" s="82">
        <v>81142</v>
      </c>
      <c r="D39" t="e">
        <f>+#REF!-C39</f>
        <v>#REF!</v>
      </c>
      <c r="H39" s="80" t="e">
        <f>+#REF!*#REF!</f>
        <v>#REF!</v>
      </c>
      <c r="I39" s="82" t="s">
        <v>389</v>
      </c>
      <c r="J39" s="81">
        <v>87647</v>
      </c>
      <c r="K39" s="246" t="e">
        <f>+J39-#REF!</f>
        <v>#REF!</v>
      </c>
      <c r="L39" s="102" t="s">
        <v>391</v>
      </c>
      <c r="M39"/>
    </row>
    <row r="40" spans="1:18" ht="15" hidden="1" customHeight="1">
      <c r="B40" s="116">
        <v>1017316</v>
      </c>
      <c r="C40" s="82">
        <v>271014</v>
      </c>
      <c r="D40" t="e">
        <f>+#REF!-C40</f>
        <v>#REF!</v>
      </c>
      <c r="H40" s="80" t="e">
        <f>+#REF!*#REF!</f>
        <v>#REF!</v>
      </c>
      <c r="I40" s="82" t="s">
        <v>389</v>
      </c>
      <c r="J40" s="81">
        <v>292735</v>
      </c>
      <c r="K40" s="246" t="e">
        <f>+J40-#REF!</f>
        <v>#REF!</v>
      </c>
      <c r="L40" s="102" t="s">
        <v>391</v>
      </c>
      <c r="M40"/>
    </row>
    <row r="41" spans="1:18">
      <c r="E41" s="92"/>
      <c r="F41" s="92"/>
      <c r="G41" s="92"/>
      <c r="H41" s="80" t="s">
        <v>392</v>
      </c>
      <c r="I41" s="82"/>
      <c r="J41" s="92" t="s">
        <v>392</v>
      </c>
      <c r="M41"/>
    </row>
    <row r="42" spans="1:18">
      <c r="E42" s="92"/>
      <c r="F42" s="92"/>
      <c r="G42" s="92"/>
      <c r="H42" s="80"/>
      <c r="I42" s="82"/>
      <c r="J42" s="92"/>
      <c r="M42"/>
    </row>
    <row r="43" spans="1:18">
      <c r="E43" s="92"/>
      <c r="F43" s="92"/>
      <c r="G43" s="92"/>
      <c r="H43" s="80"/>
      <c r="I43" s="82"/>
      <c r="J43" s="92"/>
      <c r="M43"/>
    </row>
    <row r="44" spans="1:18">
      <c r="E44" s="92"/>
      <c r="F44" s="92"/>
      <c r="G44" s="92"/>
      <c r="H44" s="92"/>
      <c r="I44" s="80"/>
    </row>
    <row r="45" spans="1:18">
      <c r="E45" s="92"/>
      <c r="F45" s="92"/>
      <c r="G45" s="92"/>
      <c r="H45" s="92"/>
      <c r="I45" s="80"/>
    </row>
    <row r="46" spans="1:18">
      <c r="E46" s="94" t="str">
        <f>B31</f>
        <v>006601200007701</v>
      </c>
      <c r="F46" s="92">
        <v>18</v>
      </c>
      <c r="G46" s="92"/>
      <c r="I46" s="82" t="s">
        <v>559</v>
      </c>
      <c r="K46" s="246" t="s">
        <v>392</v>
      </c>
    </row>
    <row r="47" spans="1:18">
      <c r="E47" t="s">
        <v>396</v>
      </c>
      <c r="F47" s="92">
        <f>E15</f>
        <v>8477</v>
      </c>
      <c r="G47" s="92">
        <f>F15</f>
        <v>0</v>
      </c>
      <c r="H47" s="92">
        <v>8477</v>
      </c>
      <c r="I47" s="92">
        <v>0</v>
      </c>
    </row>
    <row r="48" spans="1:18">
      <c r="E48" t="s">
        <v>401</v>
      </c>
      <c r="F48" s="5">
        <f>F46+E17</f>
        <v>46</v>
      </c>
      <c r="G48" s="5">
        <f>G46+F17</f>
        <v>0</v>
      </c>
      <c r="H48" s="5">
        <f>18+28</f>
        <v>46</v>
      </c>
      <c r="I48" s="5">
        <v>0</v>
      </c>
    </row>
    <row r="49" spans="5:9">
      <c r="E49" t="s">
        <v>417</v>
      </c>
      <c r="F49" s="5">
        <v>13957</v>
      </c>
      <c r="G49" s="5">
        <v>1395</v>
      </c>
    </row>
    <row r="50" spans="5:9">
      <c r="E50" t="s">
        <v>418</v>
      </c>
      <c r="F50" s="5">
        <f>SUM(E5:E6,E10:E11,E18:E22,E27)</f>
        <v>91833</v>
      </c>
      <c r="G50" s="5">
        <f>SUM(F5:F6,F10:F11,F18:F22,F27)</f>
        <v>9184</v>
      </c>
    </row>
    <row r="51" spans="5:9">
      <c r="E51" t="s">
        <v>419</v>
      </c>
      <c r="F51" s="5">
        <f>SUM(F49:F50)</f>
        <v>105790</v>
      </c>
      <c r="G51" s="5">
        <f>SUM(G49:G50)</f>
        <v>10579</v>
      </c>
      <c r="H51" s="5">
        <v>105790</v>
      </c>
      <c r="I51" s="5">
        <v>10579</v>
      </c>
    </row>
  </sheetData>
  <mergeCells count="2">
    <mergeCell ref="B1:M1"/>
    <mergeCell ref="B2:M2"/>
  </mergeCells>
  <pageMargins left="0.70866141732283472" right="0.70866141732283472" top="0.74803149606299213" bottom="0.74803149606299213" header="0.31496062992125984" footer="0.31496062992125984"/>
  <pageSetup paperSize="9" scale="5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zoomScaleNormal="100" workbookViewId="0">
      <selection activeCell="A2" sqref="A2:I2"/>
    </sheetView>
  </sheetViews>
  <sheetFormatPr defaultColWidth="9.109375" defaultRowHeight="14.4"/>
  <cols>
    <col min="1" max="1" width="4.6640625" style="35" bestFit="1" customWidth="1"/>
    <col min="2" max="2" width="19.21875" style="35" bestFit="1" customWidth="1"/>
    <col min="3" max="3" width="7" style="35" customWidth="1"/>
    <col min="4" max="4" width="16.5546875" style="35" customWidth="1"/>
    <col min="5" max="6" width="14.33203125" style="35" bestFit="1" customWidth="1"/>
    <col min="7" max="7" width="9.88671875" style="35" bestFit="1" customWidth="1"/>
    <col min="8" max="8" width="12.5546875" style="35" bestFit="1" customWidth="1"/>
    <col min="9" max="9" width="14.109375" style="35" bestFit="1" customWidth="1"/>
    <col min="10" max="10" width="11.33203125" style="35" bestFit="1" customWidth="1"/>
    <col min="11" max="11" width="6.77734375" style="35" bestFit="1" customWidth="1"/>
    <col min="12" max="12" width="7.77734375" style="35" bestFit="1" customWidth="1"/>
    <col min="13" max="13" width="11.77734375" style="35" bestFit="1" customWidth="1"/>
    <col min="14" max="14" width="8" style="35" bestFit="1" customWidth="1"/>
    <col min="15" max="15" width="0" style="35" hidden="1" customWidth="1"/>
    <col min="16" max="16" width="30.21875" style="35" bestFit="1" customWidth="1"/>
    <col min="17" max="16384" width="9.109375" style="35"/>
  </cols>
  <sheetData>
    <row r="1" spans="1:11" ht="18">
      <c r="A1" s="272" t="s">
        <v>592</v>
      </c>
      <c r="B1" s="273"/>
      <c r="C1" s="273"/>
      <c r="D1" s="273"/>
      <c r="E1" s="273"/>
      <c r="F1" s="273"/>
      <c r="G1" s="273"/>
      <c r="H1" s="273"/>
      <c r="I1" s="274"/>
    </row>
    <row r="2" spans="1:11" ht="15.6">
      <c r="A2" s="275" t="s">
        <v>365</v>
      </c>
      <c r="B2" s="276"/>
      <c r="C2" s="276"/>
      <c r="D2" s="276"/>
      <c r="E2" s="276"/>
      <c r="F2" s="276"/>
      <c r="G2" s="276"/>
      <c r="H2" s="276"/>
      <c r="I2" s="277"/>
    </row>
    <row r="3" spans="1:11" ht="15.6">
      <c r="A3" s="275" t="s">
        <v>355</v>
      </c>
      <c r="B3" s="276"/>
      <c r="C3" s="276"/>
      <c r="D3" s="276"/>
      <c r="E3" s="276"/>
      <c r="F3" s="276"/>
      <c r="G3" s="276"/>
      <c r="H3" s="276"/>
      <c r="I3" s="277"/>
    </row>
    <row r="4" spans="1:11" ht="15.6">
      <c r="A4" s="278" t="s">
        <v>579</v>
      </c>
      <c r="B4" s="279"/>
      <c r="C4" s="279"/>
      <c r="D4" s="279"/>
      <c r="E4" s="279"/>
      <c r="F4" s="279"/>
      <c r="G4" s="279"/>
      <c r="H4" s="279"/>
      <c r="I4" s="280"/>
    </row>
    <row r="5" spans="1:11" s="233" customFormat="1" ht="57.6">
      <c r="A5" s="38" t="s">
        <v>86</v>
      </c>
      <c r="B5" s="232" t="s">
        <v>87</v>
      </c>
      <c r="C5" s="38" t="s">
        <v>88</v>
      </c>
      <c r="D5" s="38" t="s">
        <v>580</v>
      </c>
      <c r="E5" s="38" t="s">
        <v>90</v>
      </c>
      <c r="F5" s="38" t="s">
        <v>356</v>
      </c>
      <c r="G5" s="38" t="s">
        <v>50</v>
      </c>
      <c r="H5" s="232" t="s">
        <v>21</v>
      </c>
      <c r="I5" s="38" t="s">
        <v>581</v>
      </c>
    </row>
    <row r="6" spans="1:11" ht="30">
      <c r="A6" s="36"/>
      <c r="B6" s="37"/>
      <c r="C6" s="36"/>
      <c r="D6" s="38" t="s">
        <v>92</v>
      </c>
      <c r="E6" s="38" t="s">
        <v>93</v>
      </c>
      <c r="F6" s="38"/>
      <c r="G6" s="38" t="s">
        <v>94</v>
      </c>
      <c r="H6" s="39" t="s">
        <v>95</v>
      </c>
      <c r="I6" s="38" t="s">
        <v>96</v>
      </c>
    </row>
    <row r="7" spans="1:11">
      <c r="A7" s="37">
        <v>1</v>
      </c>
      <c r="B7" s="43" t="s">
        <v>357</v>
      </c>
      <c r="C7" s="37">
        <v>10</v>
      </c>
      <c r="D7" s="44">
        <v>27690.5</v>
      </c>
      <c r="E7" s="41">
        <v>4990</v>
      </c>
      <c r="F7" s="41">
        <v>0</v>
      </c>
      <c r="G7" s="40">
        <f t="shared" ref="G7:G10" si="0">D7+E7-F7</f>
        <v>32680.5</v>
      </c>
      <c r="H7" s="119">
        <f>ROUND((D7+E7-F7)*C7%,0)</f>
        <v>3268</v>
      </c>
      <c r="I7" s="42">
        <f>G7-H7</f>
        <v>29412.5</v>
      </c>
      <c r="J7" s="45"/>
      <c r="K7" s="46"/>
    </row>
    <row r="8" spans="1:11">
      <c r="A8" s="37">
        <v>2</v>
      </c>
      <c r="B8" s="43" t="s">
        <v>358</v>
      </c>
      <c r="C8" s="37">
        <v>40</v>
      </c>
      <c r="D8" s="44">
        <v>9872</v>
      </c>
      <c r="E8" s="41">
        <v>0</v>
      </c>
      <c r="F8" s="41">
        <v>0</v>
      </c>
      <c r="G8" s="40">
        <f t="shared" si="0"/>
        <v>9872</v>
      </c>
      <c r="H8" s="119">
        <f>ROUND((D8+E8-F8)*C8%,0)</f>
        <v>3949</v>
      </c>
      <c r="I8" s="42">
        <f t="shared" ref="I8:I10" si="1">G8-H8</f>
        <v>5923</v>
      </c>
      <c r="J8" s="45"/>
      <c r="K8" s="46"/>
    </row>
    <row r="9" spans="1:11">
      <c r="A9" s="37">
        <v>3</v>
      </c>
      <c r="B9" s="43" t="s">
        <v>425</v>
      </c>
      <c r="C9" s="37">
        <v>15</v>
      </c>
      <c r="D9" s="44">
        <v>0</v>
      </c>
      <c r="E9" s="41">
        <f>17000+9250+25016</f>
        <v>51266</v>
      </c>
      <c r="F9" s="41"/>
      <c r="G9" s="40">
        <f t="shared" si="0"/>
        <v>51266</v>
      </c>
      <c r="H9" s="119">
        <f>ROUND((D9+E9-F9)*C9%,0)</f>
        <v>7690</v>
      </c>
      <c r="I9" s="42">
        <f t="shared" si="1"/>
        <v>43576</v>
      </c>
      <c r="J9" s="45"/>
      <c r="K9" s="46"/>
    </row>
    <row r="10" spans="1:11">
      <c r="A10" s="37">
        <v>4</v>
      </c>
      <c r="B10" s="43" t="s">
        <v>426</v>
      </c>
      <c r="C10" s="37">
        <v>40</v>
      </c>
      <c r="D10" s="44">
        <v>0</v>
      </c>
      <c r="E10" s="41">
        <v>11374.13</v>
      </c>
      <c r="F10" s="41"/>
      <c r="G10" s="40">
        <f t="shared" si="0"/>
        <v>11374.13</v>
      </c>
      <c r="H10" s="119">
        <f>ROUND((D10+E10-F10)*C10%,0)</f>
        <v>4550</v>
      </c>
      <c r="I10" s="42">
        <f t="shared" si="1"/>
        <v>6824.1299999999992</v>
      </c>
      <c r="J10" s="45"/>
      <c r="K10" s="46"/>
    </row>
    <row r="11" spans="1:11">
      <c r="A11" s="47"/>
      <c r="B11" s="57" t="s">
        <v>107</v>
      </c>
      <c r="C11" s="47"/>
      <c r="D11" s="48">
        <f t="shared" ref="D11:I11" si="2">SUM(D7:D10)</f>
        <v>37562.5</v>
      </c>
      <c r="E11" s="48">
        <f t="shared" si="2"/>
        <v>67630.13</v>
      </c>
      <c r="F11" s="48">
        <f t="shared" si="2"/>
        <v>0</v>
      </c>
      <c r="G11" s="48">
        <f t="shared" si="2"/>
        <v>105192.63</v>
      </c>
      <c r="H11" s="226">
        <f>SUM(H7:H10)</f>
        <v>19457</v>
      </c>
      <c r="I11" s="48">
        <f t="shared" si="2"/>
        <v>85735.63</v>
      </c>
    </row>
    <row r="12" spans="1:11">
      <c r="D12" s="50"/>
      <c r="E12" s="50"/>
      <c r="F12" s="50"/>
      <c r="G12" s="50"/>
      <c r="H12" s="50"/>
      <c r="I12" s="50"/>
    </row>
    <row r="13" spans="1:11">
      <c r="D13" s="50"/>
      <c r="E13" s="50"/>
      <c r="F13" s="50"/>
      <c r="G13" s="50"/>
      <c r="H13" s="50"/>
      <c r="I13" s="50"/>
    </row>
    <row r="15" spans="1:11">
      <c r="E15" s="49"/>
    </row>
  </sheetData>
  <mergeCells count="4">
    <mergeCell ref="A1:I1"/>
    <mergeCell ref="A2:I2"/>
    <mergeCell ref="A3:I3"/>
    <mergeCell ref="A4:I4"/>
  </mergeCells>
  <printOptions horizontalCentered="1"/>
  <pageMargins left="0.196850393700787" right="0.196850393700787" top="0.59055118110236204" bottom="0.196850393700787" header="0.31496062992126" footer="0.31496062992126"/>
  <pageSetup paperSize="9" scale="80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D20"/>
  <sheetViews>
    <sheetView workbookViewId="0">
      <selection activeCell="A15" sqref="A15:D15"/>
    </sheetView>
  </sheetViews>
  <sheetFormatPr defaultRowHeight="13.2"/>
  <cols>
    <col min="1" max="1" width="5.109375" bestFit="1" customWidth="1"/>
    <col min="2" max="2" width="4.77734375" bestFit="1" customWidth="1"/>
    <col min="3" max="3" width="62.109375" customWidth="1"/>
    <col min="4" max="4" width="17.109375" bestFit="1" customWidth="1"/>
  </cols>
  <sheetData>
    <row r="3" spans="1:4">
      <c r="A3" s="1" t="s">
        <v>590</v>
      </c>
    </row>
    <row r="4" spans="1:4">
      <c r="A4" s="283" t="s">
        <v>474</v>
      </c>
      <c r="B4" s="283"/>
      <c r="C4" s="283"/>
      <c r="D4" s="283"/>
    </row>
    <row r="5" spans="1:4">
      <c r="A5" s="281" t="s">
        <v>583</v>
      </c>
      <c r="B5" s="282"/>
      <c r="C5" s="282"/>
      <c r="D5" s="282"/>
    </row>
    <row r="6" spans="1:4" ht="14.4">
      <c r="A6" s="120" t="s">
        <v>458</v>
      </c>
      <c r="B6" s="120" t="s">
        <v>459</v>
      </c>
      <c r="C6" s="120" t="s">
        <v>460</v>
      </c>
      <c r="D6" s="120" t="s">
        <v>461</v>
      </c>
    </row>
    <row r="7" spans="1:4" ht="26.4">
      <c r="A7" s="205">
        <v>1</v>
      </c>
      <c r="B7" s="8" t="s">
        <v>462</v>
      </c>
      <c r="C7" s="7" t="s">
        <v>463</v>
      </c>
      <c r="D7" s="125">
        <v>15436</v>
      </c>
    </row>
    <row r="8" spans="1:4">
      <c r="A8" s="205">
        <v>2</v>
      </c>
      <c r="B8" s="124">
        <v>1502</v>
      </c>
      <c r="C8" s="7" t="s">
        <v>464</v>
      </c>
      <c r="D8" s="126">
        <v>16</v>
      </c>
    </row>
    <row r="9" spans="1:4" ht="14.4">
      <c r="A9" s="120" t="s">
        <v>465</v>
      </c>
      <c r="B9" s="120" t="s">
        <v>465</v>
      </c>
      <c r="C9" s="127" t="s">
        <v>470</v>
      </c>
      <c r="D9" s="123">
        <f>SUM(D7:D8)</f>
        <v>15452</v>
      </c>
    </row>
    <row r="14" spans="1:4">
      <c r="A14" s="1" t="s">
        <v>585</v>
      </c>
    </row>
    <row r="15" spans="1:4">
      <c r="A15" s="283" t="s">
        <v>474</v>
      </c>
      <c r="B15" s="283"/>
      <c r="C15" s="283"/>
      <c r="D15" s="283"/>
    </row>
    <row r="16" spans="1:4">
      <c r="A16" s="283" t="s">
        <v>584</v>
      </c>
      <c r="B16" s="283"/>
      <c r="C16" s="283"/>
      <c r="D16" s="283"/>
    </row>
    <row r="17" spans="1:4" ht="14.4">
      <c r="A17" s="120" t="s">
        <v>458</v>
      </c>
      <c r="B17" s="120" t="s">
        <v>459</v>
      </c>
      <c r="C17" s="120" t="s">
        <v>460</v>
      </c>
      <c r="D17" s="120" t="s">
        <v>471</v>
      </c>
    </row>
    <row r="18" spans="1:4">
      <c r="A18" s="206">
        <v>1</v>
      </c>
      <c r="B18" s="121">
        <v>1801</v>
      </c>
      <c r="C18" s="2" t="s">
        <v>472</v>
      </c>
      <c r="D18" s="122">
        <v>43521</v>
      </c>
    </row>
    <row r="19" spans="1:4">
      <c r="A19" s="206">
        <v>2</v>
      </c>
      <c r="B19" s="121">
        <v>2001</v>
      </c>
      <c r="C19" s="2" t="s">
        <v>473</v>
      </c>
      <c r="D19" s="122">
        <v>9250</v>
      </c>
    </row>
    <row r="20" spans="1:4" ht="14.4">
      <c r="A20" s="120" t="s">
        <v>465</v>
      </c>
      <c r="B20" s="120" t="s">
        <v>465</v>
      </c>
      <c r="C20" s="127" t="s">
        <v>470</v>
      </c>
      <c r="D20" s="123">
        <f>SUM(D18:D19)</f>
        <v>52771</v>
      </c>
    </row>
  </sheetData>
  <mergeCells count="4">
    <mergeCell ref="A5:D5"/>
    <mergeCell ref="A16:D16"/>
    <mergeCell ref="A4:D4"/>
    <mergeCell ref="A15:D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20"/>
  <sheetViews>
    <sheetView tabSelected="1" workbookViewId="0">
      <selection activeCell="D20" sqref="D20"/>
    </sheetView>
  </sheetViews>
  <sheetFormatPr defaultRowHeight="13.2"/>
  <cols>
    <col min="1" max="1" width="9.21875" customWidth="1"/>
    <col min="2" max="2" width="42.21875" customWidth="1"/>
    <col min="3" max="3" width="11.5546875" bestFit="1" customWidth="1"/>
    <col min="4" max="4" width="12.5546875" bestFit="1" customWidth="1"/>
  </cols>
  <sheetData>
    <row r="2" spans="1:4">
      <c r="A2" s="1" t="s">
        <v>588</v>
      </c>
    </row>
    <row r="3" spans="1:4">
      <c r="A3" s="283" t="s">
        <v>474</v>
      </c>
      <c r="B3" s="283"/>
      <c r="C3" s="283"/>
      <c r="D3" s="283"/>
    </row>
    <row r="4" spans="1:4" ht="14.4">
      <c r="A4" s="284" t="s">
        <v>550</v>
      </c>
      <c r="B4" s="285"/>
      <c r="C4" s="285"/>
      <c r="D4" s="285"/>
    </row>
    <row r="5" spans="1:4" ht="14.4">
      <c r="A5" s="128"/>
      <c r="B5" s="129"/>
      <c r="C5" s="129"/>
      <c r="D5" s="129"/>
    </row>
    <row r="6" spans="1:4" ht="14.4">
      <c r="A6" s="286" t="s">
        <v>483</v>
      </c>
      <c r="B6" s="286"/>
      <c r="C6" s="286"/>
      <c r="D6" s="286"/>
    </row>
    <row r="7" spans="1:4" ht="14.4">
      <c r="A7" s="27" t="s">
        <v>484</v>
      </c>
      <c r="B7" s="27" t="s">
        <v>110</v>
      </c>
      <c r="C7" s="27" t="s">
        <v>482</v>
      </c>
      <c r="D7" s="27" t="s">
        <v>481</v>
      </c>
    </row>
    <row r="8" spans="1:4">
      <c r="A8" s="127">
        <v>1</v>
      </c>
      <c r="B8" s="2" t="s">
        <v>16</v>
      </c>
      <c r="C8" s="130">
        <v>4500</v>
      </c>
      <c r="D8" s="131">
        <v>4500</v>
      </c>
    </row>
    <row r="9" spans="1:4">
      <c r="A9" s="127">
        <v>2</v>
      </c>
      <c r="B9" s="2" t="s">
        <v>344</v>
      </c>
      <c r="C9" s="130">
        <v>28206.720000000001</v>
      </c>
      <c r="D9" s="131">
        <v>0</v>
      </c>
    </row>
    <row r="10" spans="1:4">
      <c r="A10" s="127">
        <v>3</v>
      </c>
      <c r="B10" s="2" t="s">
        <v>46</v>
      </c>
      <c r="C10" s="130">
        <v>23180</v>
      </c>
      <c r="D10" s="131">
        <v>20234</v>
      </c>
    </row>
    <row r="11" spans="1:4">
      <c r="A11" s="127"/>
      <c r="B11" s="2" t="s">
        <v>549</v>
      </c>
      <c r="C11" s="130">
        <v>0</v>
      </c>
      <c r="D11" s="131">
        <v>66221</v>
      </c>
    </row>
    <row r="12" spans="1:4">
      <c r="A12" s="127">
        <v>4</v>
      </c>
      <c r="B12" s="2" t="s">
        <v>548</v>
      </c>
      <c r="C12" s="130">
        <v>83661</v>
      </c>
      <c r="D12" s="131">
        <v>68279</v>
      </c>
    </row>
    <row r="13" spans="1:4">
      <c r="A13" s="127">
        <v>5</v>
      </c>
      <c r="B13" s="2" t="s">
        <v>345</v>
      </c>
      <c r="C13" s="130">
        <v>5500</v>
      </c>
      <c r="D13" s="131">
        <v>0</v>
      </c>
    </row>
    <row r="14" spans="1:4">
      <c r="A14" s="127">
        <v>6</v>
      </c>
      <c r="B14" s="2" t="s">
        <v>19</v>
      </c>
      <c r="C14" s="130">
        <v>8000</v>
      </c>
      <c r="D14" s="131">
        <v>0</v>
      </c>
    </row>
    <row r="15" spans="1:4">
      <c r="A15" s="127">
        <v>7</v>
      </c>
      <c r="B15" s="2" t="s">
        <v>547</v>
      </c>
      <c r="C15" s="130">
        <v>55030</v>
      </c>
      <c r="D15" s="131">
        <f>50590+3830</f>
        <v>54420</v>
      </c>
    </row>
    <row r="16" spans="1:4">
      <c r="A16" s="127">
        <v>8</v>
      </c>
      <c r="B16" s="2" t="s">
        <v>9</v>
      </c>
      <c r="C16" s="130">
        <v>12000</v>
      </c>
      <c r="D16" s="131">
        <v>0</v>
      </c>
    </row>
    <row r="17" spans="1:4">
      <c r="A17" s="127">
        <v>9</v>
      </c>
      <c r="B17" s="2" t="s">
        <v>360</v>
      </c>
      <c r="C17" s="130">
        <v>14892</v>
      </c>
      <c r="D17" s="131">
        <v>28530</v>
      </c>
    </row>
    <row r="18" spans="1:4">
      <c r="A18" s="127">
        <v>10</v>
      </c>
      <c r="B18" s="2" t="s">
        <v>161</v>
      </c>
      <c r="C18" s="130">
        <v>4977</v>
      </c>
      <c r="D18" s="131">
        <v>354</v>
      </c>
    </row>
    <row r="19" spans="1:4">
      <c r="A19" s="127">
        <v>11</v>
      </c>
      <c r="B19" s="2" t="s">
        <v>346</v>
      </c>
      <c r="C19" s="130">
        <v>282667</v>
      </c>
      <c r="D19" s="131">
        <f>977064-833647+180540</f>
        <v>323957</v>
      </c>
    </row>
    <row r="20" spans="1:4" ht="14.4">
      <c r="A20" s="286" t="s">
        <v>50</v>
      </c>
      <c r="B20" s="286"/>
      <c r="C20" s="132">
        <f>SUM(C8:C19)</f>
        <v>522613.72</v>
      </c>
      <c r="D20" s="132">
        <f>SUM(D8:D19)</f>
        <v>566495</v>
      </c>
    </row>
  </sheetData>
  <mergeCells count="4">
    <mergeCell ref="A3:D3"/>
    <mergeCell ref="A4:D4"/>
    <mergeCell ref="A6:D6"/>
    <mergeCell ref="A20:B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K35"/>
  <sheetViews>
    <sheetView workbookViewId="0">
      <selection activeCell="G27" sqref="G27"/>
    </sheetView>
  </sheetViews>
  <sheetFormatPr defaultRowHeight="13.2"/>
  <cols>
    <col min="2" max="2" width="33.44140625" bestFit="1" customWidth="1"/>
    <col min="3" max="3" width="10.44140625" customWidth="1"/>
    <col min="4" max="4" width="12" bestFit="1" customWidth="1"/>
    <col min="6" max="6" width="10.109375" bestFit="1" customWidth="1"/>
    <col min="7" max="7" width="7.6640625" bestFit="1" customWidth="1"/>
    <col min="8" max="8" width="7.88671875" bestFit="1" customWidth="1"/>
    <col min="9" max="9" width="13.6640625" bestFit="1" customWidth="1"/>
    <col min="10" max="10" width="20.77734375" bestFit="1" customWidth="1"/>
    <col min="11" max="11" width="10.44140625" bestFit="1" customWidth="1"/>
  </cols>
  <sheetData>
    <row r="2" spans="1:11" ht="14.4">
      <c r="B2" s="287" t="s">
        <v>596</v>
      </c>
      <c r="C2" s="287"/>
      <c r="D2" s="287"/>
    </row>
    <row r="3" spans="1:11" ht="14.4">
      <c r="B3" s="287" t="s">
        <v>497</v>
      </c>
      <c r="C3" s="287"/>
      <c r="D3" s="287"/>
    </row>
    <row r="4" spans="1:11">
      <c r="D4" s="208" t="s">
        <v>493</v>
      </c>
      <c r="F4" s="213" t="s">
        <v>368</v>
      </c>
      <c r="G4" s="213" t="s">
        <v>498</v>
      </c>
      <c r="H4" s="213" t="s">
        <v>499</v>
      </c>
      <c r="I4" s="213" t="s">
        <v>500</v>
      </c>
      <c r="J4" s="213" t="s">
        <v>501</v>
      </c>
      <c r="K4" s="213" t="s">
        <v>508</v>
      </c>
    </row>
    <row r="5" spans="1:11">
      <c r="B5" t="s">
        <v>494</v>
      </c>
      <c r="D5" s="209">
        <v>218208.75</v>
      </c>
      <c r="F5" t="s">
        <v>502</v>
      </c>
      <c r="G5" s="215">
        <v>0</v>
      </c>
      <c r="H5" s="215">
        <v>29500</v>
      </c>
      <c r="I5" s="214" t="s">
        <v>504</v>
      </c>
      <c r="J5" t="s">
        <v>507</v>
      </c>
      <c r="K5" t="s">
        <v>509</v>
      </c>
    </row>
    <row r="6" spans="1:11">
      <c r="D6" s="209"/>
      <c r="F6" t="s">
        <v>503</v>
      </c>
      <c r="G6" s="215">
        <v>9250</v>
      </c>
      <c r="H6" s="215">
        <v>0</v>
      </c>
      <c r="I6" s="82" t="s">
        <v>505</v>
      </c>
      <c r="J6" t="s">
        <v>511</v>
      </c>
      <c r="K6" t="s">
        <v>509</v>
      </c>
    </row>
    <row r="7" spans="1:11">
      <c r="A7" s="218" t="s">
        <v>513</v>
      </c>
      <c r="B7" t="s">
        <v>514</v>
      </c>
      <c r="D7" s="209">
        <f>H8</f>
        <v>33000</v>
      </c>
      <c r="F7" t="s">
        <v>503</v>
      </c>
      <c r="G7" s="215">
        <v>0</v>
      </c>
      <c r="H7" s="215">
        <v>3500</v>
      </c>
      <c r="I7" s="214" t="s">
        <v>506</v>
      </c>
      <c r="J7" t="s">
        <v>512</v>
      </c>
      <c r="K7" t="s">
        <v>510</v>
      </c>
    </row>
    <row r="8" spans="1:11" ht="13.8" thickBot="1">
      <c r="A8" s="218"/>
      <c r="D8" s="209"/>
      <c r="G8" s="216">
        <f>SUM(G5:G7)</f>
        <v>9250</v>
      </c>
      <c r="H8" s="216">
        <f>SUM(H5:H7)</f>
        <v>33000</v>
      </c>
      <c r="I8" s="82"/>
    </row>
    <row r="9" spans="1:11" ht="13.8" thickTop="1">
      <c r="A9" s="218" t="s">
        <v>495</v>
      </c>
      <c r="B9" t="s">
        <v>515</v>
      </c>
      <c r="D9" s="209">
        <f>G8</f>
        <v>9250</v>
      </c>
      <c r="G9" s="217"/>
      <c r="H9" s="217"/>
      <c r="I9" s="82"/>
    </row>
    <row r="10" spans="1:11">
      <c r="D10" s="209"/>
      <c r="G10" s="217"/>
      <c r="H10" s="217"/>
      <c r="I10" s="82"/>
    </row>
    <row r="11" spans="1:11" ht="15" thickBot="1">
      <c r="B11" s="210" t="s">
        <v>496</v>
      </c>
      <c r="C11" s="211"/>
      <c r="D11" s="212">
        <f>D5+D7-D9</f>
        <v>241958.75</v>
      </c>
    </row>
    <row r="12" spans="1:11" ht="13.8" thickTop="1"/>
    <row r="14" spans="1:11" ht="14.4">
      <c r="B14" s="287" t="s">
        <v>516</v>
      </c>
      <c r="C14" s="287"/>
      <c r="D14" s="287"/>
    </row>
    <row r="15" spans="1:11">
      <c r="D15" s="208" t="s">
        <v>493</v>
      </c>
    </row>
    <row r="16" spans="1:11">
      <c r="B16" t="s">
        <v>494</v>
      </c>
      <c r="D16" s="209">
        <v>212558.15</v>
      </c>
    </row>
    <row r="17" spans="2:4">
      <c r="D17" s="209"/>
    </row>
    <row r="18" spans="2:4" ht="15" thickBot="1">
      <c r="B18" s="210" t="s">
        <v>496</v>
      </c>
      <c r="C18" s="211"/>
      <c r="D18" s="212">
        <f>D16</f>
        <v>212558.15</v>
      </c>
    </row>
    <row r="19" spans="2:4" ht="13.8" thickTop="1"/>
    <row r="22" spans="2:4" ht="14.4">
      <c r="B22" s="287" t="s">
        <v>517</v>
      </c>
      <c r="C22" s="287"/>
      <c r="D22" s="287"/>
    </row>
    <row r="23" spans="2:4">
      <c r="D23" s="208" t="s">
        <v>493</v>
      </c>
    </row>
    <row r="24" spans="2:4">
      <c r="B24" t="s">
        <v>494</v>
      </c>
      <c r="D24" s="209">
        <v>6401</v>
      </c>
    </row>
    <row r="25" spans="2:4">
      <c r="D25" s="209"/>
    </row>
    <row r="26" spans="2:4" ht="15" thickBot="1">
      <c r="B26" s="210" t="s">
        <v>496</v>
      </c>
      <c r="C26" s="211"/>
      <c r="D26" s="212">
        <f>D24</f>
        <v>6401</v>
      </c>
    </row>
    <row r="27" spans="2:4" ht="13.8" thickTop="1"/>
    <row r="30" spans="2:4" ht="14.4">
      <c r="B30" s="287" t="s">
        <v>556</v>
      </c>
      <c r="C30" s="287"/>
      <c r="D30" s="287"/>
    </row>
    <row r="31" spans="2:4">
      <c r="D31" s="208" t="s">
        <v>493</v>
      </c>
    </row>
    <row r="32" spans="2:4">
      <c r="B32" t="s">
        <v>494</v>
      </c>
      <c r="D32" s="209">
        <v>0</v>
      </c>
    </row>
    <row r="33" spans="2:5">
      <c r="D33" s="209"/>
    </row>
    <row r="34" spans="2:5" ht="15" thickBot="1">
      <c r="B34" s="210" t="s">
        <v>496</v>
      </c>
      <c r="C34" s="211"/>
      <c r="D34" s="212">
        <v>0</v>
      </c>
      <c r="E34" t="s">
        <v>557</v>
      </c>
    </row>
    <row r="35" spans="2:5" ht="13.8" thickTop="1"/>
  </sheetData>
  <mergeCells count="5">
    <mergeCell ref="B2:D2"/>
    <mergeCell ref="B3:D3"/>
    <mergeCell ref="B14:D14"/>
    <mergeCell ref="B22:D22"/>
    <mergeCell ref="B30:D3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I32"/>
  <sheetViews>
    <sheetView topLeftCell="A3" workbookViewId="0">
      <selection activeCell="E30" sqref="E30"/>
    </sheetView>
  </sheetViews>
  <sheetFormatPr defaultRowHeight="13.2"/>
  <cols>
    <col min="2" max="2" width="10.33203125" bestFit="1" customWidth="1"/>
    <col min="3" max="3" width="93.33203125" bestFit="1" customWidth="1"/>
    <col min="4" max="5" width="8" bestFit="1" customWidth="1"/>
    <col min="7" max="7" width="24.21875" bestFit="1" customWidth="1"/>
  </cols>
  <sheetData>
    <row r="3" spans="2:9">
      <c r="C3" s="1" t="s">
        <v>589</v>
      </c>
    </row>
    <row r="4" spans="2:9" ht="14.4">
      <c r="B4" s="286" t="s">
        <v>560</v>
      </c>
      <c r="C4" s="286"/>
      <c r="D4" s="286"/>
      <c r="E4" s="286"/>
    </row>
    <row r="5" spans="2:9" ht="14.4">
      <c r="B5" s="27" t="s">
        <v>368</v>
      </c>
      <c r="C5" s="27" t="s">
        <v>561</v>
      </c>
      <c r="D5" s="27" t="s">
        <v>113</v>
      </c>
      <c r="E5" s="27" t="s">
        <v>114</v>
      </c>
    </row>
    <row r="6" spans="2:9">
      <c r="B6" s="2" t="s">
        <v>394</v>
      </c>
      <c r="C6" s="2" t="s">
        <v>562</v>
      </c>
      <c r="D6" s="2"/>
      <c r="E6" s="2"/>
    </row>
    <row r="7" spans="2:9">
      <c r="B7" s="2" t="s">
        <v>394</v>
      </c>
      <c r="C7" s="2" t="s">
        <v>563</v>
      </c>
      <c r="D7" s="2">
        <v>1373364</v>
      </c>
      <c r="E7" s="2"/>
      <c r="G7" t="s">
        <v>598</v>
      </c>
      <c r="H7">
        <f>21000+7600</f>
        <v>28600</v>
      </c>
    </row>
    <row r="8" spans="2:9">
      <c r="B8" s="2" t="s">
        <v>394</v>
      </c>
      <c r="C8" s="2" t="s">
        <v>564</v>
      </c>
      <c r="D8" s="2"/>
      <c r="E8" s="2">
        <f>H10</f>
        <v>50400</v>
      </c>
      <c r="G8" t="s">
        <v>599</v>
      </c>
      <c r="H8" s="99">
        <v>25000</v>
      </c>
    </row>
    <row r="9" spans="2:9">
      <c r="B9" s="2" t="s">
        <v>565</v>
      </c>
      <c r="C9" s="2" t="s">
        <v>566</v>
      </c>
      <c r="D9" s="2"/>
      <c r="E9" s="2">
        <v>1000000</v>
      </c>
      <c r="G9" t="s">
        <v>600</v>
      </c>
      <c r="H9" s="99">
        <f>SUM(H7:H8)</f>
        <v>53600</v>
      </c>
    </row>
    <row r="10" spans="2:9">
      <c r="B10" s="2" t="s">
        <v>567</v>
      </c>
      <c r="C10" s="2" t="s">
        <v>566</v>
      </c>
      <c r="D10" s="2"/>
      <c r="E10" s="2">
        <v>250000</v>
      </c>
      <c r="G10" t="s">
        <v>601</v>
      </c>
      <c r="H10">
        <f>22200+23200+5000</f>
        <v>50400</v>
      </c>
      <c r="I10" t="s">
        <v>602</v>
      </c>
    </row>
    <row r="11" spans="2:9" ht="14.4">
      <c r="B11" s="2"/>
      <c r="C11" s="255" t="s">
        <v>568</v>
      </c>
      <c r="D11" s="2"/>
      <c r="E11" s="2"/>
      <c r="H11">
        <f>H9-H10</f>
        <v>3200</v>
      </c>
      <c r="I11" t="s">
        <v>603</v>
      </c>
    </row>
    <row r="12" spans="2:9">
      <c r="B12" s="2" t="s">
        <v>569</v>
      </c>
      <c r="C12" s="2" t="s">
        <v>570</v>
      </c>
      <c r="D12" s="2">
        <v>7800</v>
      </c>
      <c r="E12" s="2"/>
    </row>
    <row r="13" spans="2:9">
      <c r="B13" s="2" t="s">
        <v>569</v>
      </c>
      <c r="C13" s="2" t="s">
        <v>571</v>
      </c>
      <c r="D13" s="2">
        <v>31500</v>
      </c>
      <c r="E13" s="2"/>
    </row>
    <row r="14" spans="2:9">
      <c r="B14" s="2" t="s">
        <v>569</v>
      </c>
      <c r="C14" s="2" t="s">
        <v>572</v>
      </c>
      <c r="D14" s="2">
        <v>25500</v>
      </c>
      <c r="E14" s="2"/>
    </row>
    <row r="15" spans="2:9">
      <c r="B15" s="2" t="s">
        <v>573</v>
      </c>
      <c r="C15" s="2" t="s">
        <v>574</v>
      </c>
      <c r="D15" s="2">
        <v>10200</v>
      </c>
      <c r="E15" s="2"/>
    </row>
    <row r="16" spans="2:9" ht="14.4">
      <c r="B16" s="2"/>
      <c r="C16" s="255" t="s">
        <v>575</v>
      </c>
      <c r="D16" s="2"/>
      <c r="E16" s="2"/>
    </row>
    <row r="17" spans="2:5">
      <c r="B17" s="2" t="s">
        <v>529</v>
      </c>
      <c r="C17" s="2" t="s">
        <v>531</v>
      </c>
      <c r="D17" s="2" t="s">
        <v>465</v>
      </c>
      <c r="E17" s="2">
        <v>16061</v>
      </c>
    </row>
    <row r="18" spans="2:5">
      <c r="B18" s="2" t="s">
        <v>529</v>
      </c>
      <c r="C18" s="2" t="s">
        <v>534</v>
      </c>
      <c r="D18" s="2" t="s">
        <v>465</v>
      </c>
      <c r="E18" s="2">
        <f>51644+7108</f>
        <v>58752</v>
      </c>
    </row>
    <row r="19" spans="2:5">
      <c r="B19" s="2" t="s">
        <v>529</v>
      </c>
      <c r="C19" s="2" t="s">
        <v>535</v>
      </c>
      <c r="D19" s="2" t="s">
        <v>465</v>
      </c>
      <c r="E19" s="2">
        <f>24737+4737</f>
        <v>29474</v>
      </c>
    </row>
    <row r="20" spans="2:5">
      <c r="B20" s="2" t="s">
        <v>529</v>
      </c>
      <c r="C20" s="2" t="s">
        <v>535</v>
      </c>
      <c r="D20" s="2" t="s">
        <v>465</v>
      </c>
      <c r="E20" s="2">
        <f>36204+3390</f>
        <v>39594</v>
      </c>
    </row>
    <row r="21" spans="2:5">
      <c r="B21" s="2" t="s">
        <v>529</v>
      </c>
      <c r="C21" s="2" t="s">
        <v>536</v>
      </c>
      <c r="D21" s="2" t="s">
        <v>465</v>
      </c>
      <c r="E21" s="2">
        <v>4375</v>
      </c>
    </row>
    <row r="22" spans="2:5">
      <c r="B22" s="2" t="s">
        <v>537</v>
      </c>
      <c r="C22" s="2" t="s">
        <v>538</v>
      </c>
      <c r="D22" s="2" t="s">
        <v>465</v>
      </c>
      <c r="E22" s="2">
        <v>27092</v>
      </c>
    </row>
    <row r="23" spans="2:5">
      <c r="B23" s="2" t="s">
        <v>537</v>
      </c>
      <c r="C23" s="2" t="s">
        <v>539</v>
      </c>
      <c r="D23" s="2" t="s">
        <v>465</v>
      </c>
      <c r="E23" s="2">
        <f>26871+3362</f>
        <v>30233</v>
      </c>
    </row>
    <row r="24" spans="2:5">
      <c r="B24" s="2" t="s">
        <v>537</v>
      </c>
      <c r="C24" s="2" t="s">
        <v>540</v>
      </c>
      <c r="D24" s="2" t="s">
        <v>465</v>
      </c>
      <c r="E24" s="2">
        <v>56811</v>
      </c>
    </row>
    <row r="25" spans="2:5">
      <c r="B25" s="2" t="s">
        <v>537</v>
      </c>
      <c r="C25" s="2" t="s">
        <v>541</v>
      </c>
      <c r="D25" s="2" t="s">
        <v>465</v>
      </c>
      <c r="E25" s="2">
        <f>7623+954</f>
        <v>8577</v>
      </c>
    </row>
    <row r="26" spans="2:5">
      <c r="B26" s="2" t="s">
        <v>537</v>
      </c>
      <c r="C26" s="2" t="s">
        <v>542</v>
      </c>
      <c r="D26" s="2" t="s">
        <v>465</v>
      </c>
      <c r="E26" s="2">
        <f>55359+6926</f>
        <v>62285</v>
      </c>
    </row>
    <row r="27" spans="2:5">
      <c r="B27" s="2" t="s">
        <v>537</v>
      </c>
      <c r="C27" s="2" t="s">
        <v>538</v>
      </c>
      <c r="D27" s="2" t="s">
        <v>465</v>
      </c>
      <c r="E27" s="2">
        <v>37858</v>
      </c>
    </row>
    <row r="28" spans="2:5">
      <c r="B28" s="2" t="s">
        <v>537</v>
      </c>
      <c r="C28" s="2" t="s">
        <v>543</v>
      </c>
      <c r="D28" s="2" t="s">
        <v>465</v>
      </c>
      <c r="E28" s="2">
        <f>176004+22020</f>
        <v>198024</v>
      </c>
    </row>
    <row r="29" spans="2:5">
      <c r="B29" s="2" t="s">
        <v>537</v>
      </c>
      <c r="C29" s="2" t="s">
        <v>544</v>
      </c>
      <c r="D29" s="2" t="s">
        <v>465</v>
      </c>
      <c r="E29" s="2">
        <f>1000+125</f>
        <v>1125</v>
      </c>
    </row>
    <row r="30" spans="2:5">
      <c r="B30" s="2" t="s">
        <v>537</v>
      </c>
      <c r="C30" s="2" t="s">
        <v>545</v>
      </c>
      <c r="D30" s="2" t="s">
        <v>465</v>
      </c>
      <c r="E30" s="2">
        <f>160008+20019</f>
        <v>180027</v>
      </c>
    </row>
    <row r="31" spans="2:5" ht="14.4">
      <c r="B31" s="2" t="s">
        <v>465</v>
      </c>
      <c r="C31" s="239" t="s">
        <v>50</v>
      </c>
      <c r="D31" s="256">
        <f>SUM(D7:D30)</f>
        <v>1448364</v>
      </c>
      <c r="E31" s="256">
        <f>SUM(E7:E30)</f>
        <v>2050688</v>
      </c>
    </row>
    <row r="32" spans="2:5" ht="14.4">
      <c r="B32" s="2"/>
      <c r="C32" s="256" t="s">
        <v>576</v>
      </c>
      <c r="D32" s="2"/>
      <c r="E32" s="256">
        <f>D31-E31</f>
        <v>-602324</v>
      </c>
    </row>
  </sheetData>
  <mergeCells count="1">
    <mergeCell ref="B4:E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2"/>
  <sheetViews>
    <sheetView topLeftCell="D1" workbookViewId="0">
      <selection activeCell="L21" sqref="L21"/>
    </sheetView>
  </sheetViews>
  <sheetFormatPr defaultColWidth="8.88671875" defaultRowHeight="14.4"/>
  <cols>
    <col min="1" max="1" width="11.6640625" style="56" bestFit="1" customWidth="1"/>
    <col min="2" max="4" width="10.5546875" style="56" bestFit="1" customWidth="1"/>
    <col min="5" max="8" width="8.88671875" style="56"/>
    <col min="9" max="9" width="12.5546875" style="56" bestFit="1" customWidth="1"/>
    <col min="10" max="10" width="93.33203125" style="56" bestFit="1" customWidth="1"/>
    <col min="11" max="11" width="17.33203125" style="56" bestFit="1" customWidth="1"/>
    <col min="12" max="12" width="10.6640625" style="56" bestFit="1" customWidth="1"/>
    <col min="13" max="13" width="10" style="56" bestFit="1" customWidth="1"/>
    <col min="14" max="14" width="10.44140625" style="56" bestFit="1" customWidth="1"/>
    <col min="15" max="16384" width="8.88671875" style="56"/>
  </cols>
  <sheetData>
    <row r="1" spans="1:14">
      <c r="A1" s="117" t="s">
        <v>420</v>
      </c>
    </row>
    <row r="2" spans="1:14">
      <c r="A2" s="117" t="s">
        <v>421</v>
      </c>
      <c r="B2" s="58">
        <v>45751</v>
      </c>
      <c r="C2" s="58">
        <v>45845</v>
      </c>
      <c r="D2" s="56">
        <f>C2-B2</f>
        <v>94</v>
      </c>
      <c r="E2" s="56">
        <v>15177</v>
      </c>
      <c r="F2" s="117" t="s">
        <v>422</v>
      </c>
    </row>
    <row r="3" spans="1:14">
      <c r="B3" s="58">
        <f>C2</f>
        <v>45845</v>
      </c>
      <c r="C3" s="58">
        <v>45936</v>
      </c>
      <c r="D3" s="56">
        <f>C3-B3</f>
        <v>91</v>
      </c>
      <c r="E3" s="56">
        <v>14812</v>
      </c>
      <c r="F3" s="117" t="s">
        <v>422</v>
      </c>
    </row>
    <row r="4" spans="1:14">
      <c r="B4" s="58"/>
      <c r="C4" s="58"/>
      <c r="D4" s="56">
        <f>SUM(D2:D3)</f>
        <v>185</v>
      </c>
      <c r="E4" s="56">
        <f>SUM(E2:E3)</f>
        <v>29989</v>
      </c>
      <c r="F4" s="117"/>
      <c r="I4" s="228" t="s">
        <v>527</v>
      </c>
      <c r="J4" s="228" t="s">
        <v>528</v>
      </c>
      <c r="K4" s="228" t="s">
        <v>113</v>
      </c>
      <c r="L4" s="228" t="s">
        <v>114</v>
      </c>
      <c r="M4" s="235" t="s">
        <v>552</v>
      </c>
    </row>
    <row r="5" spans="1:14">
      <c r="B5" s="58">
        <f>C3</f>
        <v>45936</v>
      </c>
      <c r="C5" s="58">
        <v>46112</v>
      </c>
      <c r="D5" s="56">
        <f>C5-B5</f>
        <v>176</v>
      </c>
      <c r="E5" s="56">
        <f>ROUND(E4/D4*D5,0)</f>
        <v>28530</v>
      </c>
      <c r="F5" s="118" t="s">
        <v>429</v>
      </c>
      <c r="I5" t="s">
        <v>529</v>
      </c>
      <c r="J5" t="s">
        <v>530</v>
      </c>
      <c r="K5" s="4">
        <v>0</v>
      </c>
      <c r="L5" s="3">
        <v>282667</v>
      </c>
    </row>
    <row r="6" spans="1:14">
      <c r="B6" s="58"/>
      <c r="C6" s="58"/>
      <c r="F6" s="117"/>
      <c r="I6" t="s">
        <v>529</v>
      </c>
      <c r="J6" t="s">
        <v>531</v>
      </c>
      <c r="K6" t="s">
        <v>465</v>
      </c>
      <c r="L6" s="234">
        <v>16061</v>
      </c>
    </row>
    <row r="7" spans="1:14">
      <c r="B7" s="58"/>
      <c r="C7" s="58"/>
      <c r="F7" s="117"/>
      <c r="I7" t="s">
        <v>529</v>
      </c>
      <c r="J7" t="s">
        <v>532</v>
      </c>
      <c r="K7" s="3">
        <v>52000</v>
      </c>
      <c r="L7" t="s">
        <v>465</v>
      </c>
    </row>
    <row r="8" spans="1:14">
      <c r="I8" t="s">
        <v>529</v>
      </c>
      <c r="J8" t="s">
        <v>533</v>
      </c>
      <c r="K8" s="3">
        <v>100000</v>
      </c>
      <c r="L8" t="s">
        <v>465</v>
      </c>
      <c r="N8" s="236"/>
    </row>
    <row r="9" spans="1:14">
      <c r="A9" s="117" t="s">
        <v>423</v>
      </c>
      <c r="B9" s="58">
        <v>45778</v>
      </c>
      <c r="C9" s="58">
        <v>46142</v>
      </c>
      <c r="D9" s="56">
        <f>C9-B9+1</f>
        <v>365</v>
      </c>
      <c r="E9" s="56">
        <v>377010</v>
      </c>
      <c r="I9" t="s">
        <v>529</v>
      </c>
      <c r="J9" t="s">
        <v>534</v>
      </c>
      <c r="K9" t="s">
        <v>465</v>
      </c>
      <c r="L9" s="234">
        <v>51644</v>
      </c>
    </row>
    <row r="10" spans="1:14">
      <c r="B10" s="58">
        <v>46113</v>
      </c>
      <c r="C10" s="58">
        <f>C9</f>
        <v>46142</v>
      </c>
      <c r="D10" s="56">
        <f>C10-B10+1</f>
        <v>30</v>
      </c>
      <c r="E10" s="56">
        <f>ROUND(E9/D9*D10,0)</f>
        <v>30987</v>
      </c>
      <c r="F10" s="118" t="s">
        <v>361</v>
      </c>
      <c r="I10" t="s">
        <v>529</v>
      </c>
      <c r="J10" t="s">
        <v>535</v>
      </c>
      <c r="K10" t="s">
        <v>465</v>
      </c>
      <c r="L10" s="234">
        <v>24737</v>
      </c>
    </row>
    <row r="11" spans="1:14">
      <c r="I11" t="s">
        <v>529</v>
      </c>
      <c r="J11" t="s">
        <v>535</v>
      </c>
      <c r="K11" t="s">
        <v>465</v>
      </c>
      <c r="L11" s="234">
        <v>36204</v>
      </c>
    </row>
    <row r="12" spans="1:14">
      <c r="A12" s="117" t="s">
        <v>424</v>
      </c>
      <c r="B12" s="58">
        <v>46082</v>
      </c>
      <c r="C12" s="58">
        <v>46446</v>
      </c>
      <c r="D12" s="56">
        <f>C12-B12+1</f>
        <v>365</v>
      </c>
      <c r="E12" s="56">
        <v>6627</v>
      </c>
      <c r="I12" t="s">
        <v>529</v>
      </c>
      <c r="J12" t="s">
        <v>536</v>
      </c>
      <c r="K12" t="s">
        <v>465</v>
      </c>
      <c r="L12" s="234">
        <v>4375</v>
      </c>
    </row>
    <row r="13" spans="1:14">
      <c r="B13" s="58">
        <v>46113</v>
      </c>
      <c r="C13" s="58">
        <f>C12</f>
        <v>46446</v>
      </c>
      <c r="D13" s="56">
        <f>C13-B13+1</f>
        <v>334</v>
      </c>
      <c r="E13" s="56">
        <f>ROUND(E12/D12*D13,0)</f>
        <v>6064</v>
      </c>
      <c r="F13" s="118" t="s">
        <v>361</v>
      </c>
      <c r="I13" t="s">
        <v>537</v>
      </c>
      <c r="J13" t="s">
        <v>538</v>
      </c>
      <c r="K13" t="s">
        <v>465</v>
      </c>
      <c r="L13" s="3">
        <v>27092</v>
      </c>
    </row>
    <row r="14" spans="1:14">
      <c r="I14" t="s">
        <v>537</v>
      </c>
      <c r="J14" t="s">
        <v>539</v>
      </c>
      <c r="K14" t="s">
        <v>465</v>
      </c>
      <c r="L14" s="3">
        <v>26871</v>
      </c>
    </row>
    <row r="15" spans="1:14">
      <c r="A15" s="117" t="s">
        <v>48</v>
      </c>
      <c r="B15" s="58">
        <v>45985</v>
      </c>
      <c r="C15" s="58">
        <v>46349</v>
      </c>
      <c r="D15" s="56">
        <f>C15-B15+1</f>
        <v>365</v>
      </c>
      <c r="E15" s="56">
        <v>37996</v>
      </c>
      <c r="I15" t="s">
        <v>537</v>
      </c>
      <c r="J15" t="s">
        <v>540</v>
      </c>
      <c r="K15" t="s">
        <v>465</v>
      </c>
      <c r="L15" s="3">
        <v>56811</v>
      </c>
    </row>
    <row r="16" spans="1:14">
      <c r="B16" s="58">
        <v>46113</v>
      </c>
      <c r="C16" s="58">
        <f>C15</f>
        <v>46349</v>
      </c>
      <c r="D16" s="56">
        <f>C16-B16+1</f>
        <v>237</v>
      </c>
      <c r="E16" s="56">
        <f>ROUND(E15/D15*D16,0)</f>
        <v>24671</v>
      </c>
      <c r="F16" s="118" t="s">
        <v>361</v>
      </c>
      <c r="I16" t="s">
        <v>537</v>
      </c>
      <c r="J16" t="s">
        <v>541</v>
      </c>
      <c r="K16" t="s">
        <v>465</v>
      </c>
      <c r="L16" s="3">
        <v>7623</v>
      </c>
    </row>
    <row r="17" spans="1:13">
      <c r="I17" t="s">
        <v>537</v>
      </c>
      <c r="J17" t="s">
        <v>542</v>
      </c>
      <c r="K17" t="s">
        <v>465</v>
      </c>
      <c r="L17" s="3">
        <v>55359</v>
      </c>
    </row>
    <row r="18" spans="1:13">
      <c r="A18" s="117" t="s">
        <v>344</v>
      </c>
      <c r="B18" s="58">
        <v>45763</v>
      </c>
      <c r="C18" s="58">
        <v>46127</v>
      </c>
      <c r="D18" s="56">
        <f>C18-B18+1</f>
        <v>365</v>
      </c>
      <c r="E18" s="56">
        <v>41878.199999999997</v>
      </c>
      <c r="I18" t="s">
        <v>537</v>
      </c>
      <c r="J18" t="s">
        <v>538</v>
      </c>
      <c r="K18" t="s">
        <v>465</v>
      </c>
      <c r="L18" s="3">
        <v>37858</v>
      </c>
    </row>
    <row r="19" spans="1:13">
      <c r="B19" s="58">
        <v>46113</v>
      </c>
      <c r="C19" s="58">
        <f>C18</f>
        <v>46127</v>
      </c>
      <c r="D19" s="56">
        <f>C19-B19+1</f>
        <v>15</v>
      </c>
      <c r="E19" s="56">
        <f>ROUND(E18/D18*D19,0)</f>
        <v>1721</v>
      </c>
      <c r="F19" s="118" t="s">
        <v>361</v>
      </c>
      <c r="I19" t="s">
        <v>537</v>
      </c>
      <c r="J19" t="s">
        <v>543</v>
      </c>
      <c r="K19" t="s">
        <v>465</v>
      </c>
      <c r="L19" s="3">
        <v>176004</v>
      </c>
    </row>
    <row r="20" spans="1:13">
      <c r="I20" t="s">
        <v>537</v>
      </c>
      <c r="J20" t="s">
        <v>544</v>
      </c>
      <c r="K20" t="s">
        <v>465</v>
      </c>
      <c r="L20" s="3">
        <v>1000</v>
      </c>
    </row>
    <row r="21" spans="1:13">
      <c r="A21" s="117" t="s">
        <v>344</v>
      </c>
      <c r="B21" s="58">
        <v>46082</v>
      </c>
      <c r="C21" s="58">
        <v>46446</v>
      </c>
      <c r="D21" s="56">
        <f>C21-B21+1</f>
        <v>365</v>
      </c>
      <c r="E21" s="56">
        <v>41878.199999999997</v>
      </c>
      <c r="I21" t="s">
        <v>537</v>
      </c>
      <c r="J21" t="s">
        <v>545</v>
      </c>
      <c r="K21" t="s">
        <v>465</v>
      </c>
      <c r="L21" s="3">
        <v>160008</v>
      </c>
    </row>
    <row r="22" spans="1:13">
      <c r="B22" s="58">
        <v>46113</v>
      </c>
      <c r="C22" s="58">
        <f>C21</f>
        <v>46446</v>
      </c>
      <c r="D22" s="56">
        <f>C22-B22+1</f>
        <v>334</v>
      </c>
      <c r="E22" s="56">
        <f>ROUND(E21/D21*D22,0)</f>
        <v>38321</v>
      </c>
      <c r="F22" s="118" t="s">
        <v>361</v>
      </c>
      <c r="I22" s="228" t="s">
        <v>465</v>
      </c>
      <c r="J22" s="228" t="s">
        <v>465</v>
      </c>
      <c r="K22" s="229">
        <f>SUM(K5:K21)</f>
        <v>152000</v>
      </c>
      <c r="L22" s="229">
        <f>SUM(L5:L21)</f>
        <v>964314</v>
      </c>
      <c r="M22" s="237">
        <f>L22-K22</f>
        <v>812314</v>
      </c>
    </row>
  </sheetData>
  <pageMargins left="0.7" right="0.7" top="0.75" bottom="0.75" header="0.3" footer="0.3"/>
  <pageSetup scale="80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0"/>
  <sheetViews>
    <sheetView workbookViewId="0">
      <selection activeCell="E5" sqref="E5"/>
    </sheetView>
  </sheetViews>
  <sheetFormatPr defaultRowHeight="13.2"/>
  <cols>
    <col min="1" max="1" width="4.21875" customWidth="1"/>
    <col min="2" max="2" width="33.5546875" customWidth="1"/>
    <col min="3" max="3" width="7.44140625" customWidth="1"/>
    <col min="4" max="4" width="18.21875" bestFit="1" customWidth="1"/>
    <col min="5" max="5" width="18" bestFit="1" customWidth="1"/>
    <col min="6" max="6" width="17.77734375" customWidth="1"/>
    <col min="7" max="7" width="17.21875" customWidth="1"/>
    <col min="8" max="8" width="18.21875" customWidth="1"/>
    <col min="9" max="9" width="10.6640625" bestFit="1" customWidth="1"/>
    <col min="10" max="10" width="11.77734375" bestFit="1" customWidth="1"/>
    <col min="11" max="11" width="15.88671875" hidden="1" customWidth="1"/>
    <col min="12" max="14" width="0" hidden="1" customWidth="1"/>
  </cols>
  <sheetData>
    <row r="1" spans="1:16" ht="21">
      <c r="A1" s="288" t="s">
        <v>84</v>
      </c>
      <c r="B1" s="288"/>
      <c r="C1" s="288"/>
      <c r="D1" s="288"/>
      <c r="E1" s="288"/>
      <c r="F1" s="288"/>
      <c r="G1" s="288"/>
      <c r="H1" s="288"/>
    </row>
    <row r="2" spans="1:16" ht="18">
      <c r="A2" s="289" t="s">
        <v>85</v>
      </c>
      <c r="B2" s="289"/>
      <c r="C2" s="289"/>
      <c r="D2" s="289"/>
      <c r="E2" s="289"/>
      <c r="F2" s="289"/>
      <c r="G2" s="289"/>
      <c r="H2" s="289"/>
    </row>
    <row r="3" spans="1:16" s="12" customFormat="1" ht="52.8">
      <c r="A3" s="7" t="s">
        <v>86</v>
      </c>
      <c r="B3" s="8" t="s">
        <v>87</v>
      </c>
      <c r="C3" s="7" t="s">
        <v>88</v>
      </c>
      <c r="D3" s="9" t="s">
        <v>89</v>
      </c>
      <c r="E3" s="7" t="s">
        <v>90</v>
      </c>
      <c r="F3" s="10" t="s">
        <v>50</v>
      </c>
      <c r="G3" s="11" t="s">
        <v>21</v>
      </c>
      <c r="H3" s="9" t="s">
        <v>91</v>
      </c>
    </row>
    <row r="4" spans="1:16" ht="44.4">
      <c r="A4" s="13"/>
      <c r="B4" s="14"/>
      <c r="C4" s="13"/>
      <c r="D4" s="15" t="s">
        <v>92</v>
      </c>
      <c r="E4" s="15" t="s">
        <v>93</v>
      </c>
      <c r="F4" s="15" t="s">
        <v>94</v>
      </c>
      <c r="G4" s="16" t="s">
        <v>95</v>
      </c>
      <c r="H4" s="15" t="s">
        <v>96</v>
      </c>
      <c r="I4" s="17"/>
      <c r="J4" s="17"/>
      <c r="K4" s="17"/>
      <c r="L4" s="17"/>
      <c r="M4" s="17"/>
      <c r="N4" s="17"/>
      <c r="O4" s="17"/>
      <c r="P4" s="17"/>
    </row>
    <row r="5" spans="1:16" ht="14.4">
      <c r="A5" s="14">
        <v>1</v>
      </c>
      <c r="B5" s="18" t="s">
        <v>97</v>
      </c>
      <c r="C5" s="19">
        <v>0</v>
      </c>
      <c r="D5" s="20"/>
      <c r="E5" s="31">
        <f>531916093</f>
        <v>531916093</v>
      </c>
      <c r="F5" s="21">
        <f>D5+E5</f>
        <v>531916093</v>
      </c>
      <c r="G5" s="21">
        <f>F5*0%</f>
        <v>0</v>
      </c>
      <c r="H5" s="20">
        <f>F5-G5</f>
        <v>531916093</v>
      </c>
    </row>
    <row r="6" spans="1:16" ht="14.4">
      <c r="A6" s="14">
        <v>2</v>
      </c>
      <c r="B6" s="22" t="s">
        <v>305</v>
      </c>
      <c r="C6" s="23">
        <v>10</v>
      </c>
      <c r="D6" s="24">
        <v>87543</v>
      </c>
      <c r="E6" s="26">
        <v>0</v>
      </c>
      <c r="F6" s="25">
        <f t="shared" ref="F6:F14" si="0">D6+E6</f>
        <v>87543</v>
      </c>
      <c r="G6" s="25">
        <f t="shared" ref="G6:G8" si="1">+(D6+E6)*C6%</f>
        <v>8754.3000000000011</v>
      </c>
      <c r="H6" s="24">
        <f>F6-G6</f>
        <v>78788.7</v>
      </c>
      <c r="I6" s="3"/>
      <c r="J6" s="5"/>
    </row>
    <row r="7" spans="1:16" ht="14.4">
      <c r="A7" s="14">
        <v>3</v>
      </c>
      <c r="B7" s="22" t="s">
        <v>98</v>
      </c>
      <c r="C7" s="23">
        <v>10</v>
      </c>
      <c r="D7" s="24">
        <v>78354</v>
      </c>
      <c r="E7" s="26">
        <v>0</v>
      </c>
      <c r="F7" s="25">
        <f t="shared" si="0"/>
        <v>78354</v>
      </c>
      <c r="G7" s="25">
        <f t="shared" si="1"/>
        <v>7835.4000000000005</v>
      </c>
      <c r="H7" s="24">
        <f t="shared" ref="H7:H14" si="2">F7-G7</f>
        <v>70518.600000000006</v>
      </c>
      <c r="I7" s="3"/>
      <c r="J7" s="5"/>
    </row>
    <row r="8" spans="1:16" ht="14.4">
      <c r="A8" s="14">
        <v>4</v>
      </c>
      <c r="B8" s="22" t="s">
        <v>42</v>
      </c>
      <c r="C8" s="23">
        <v>15</v>
      </c>
      <c r="D8" s="24">
        <v>55853</v>
      </c>
      <c r="E8" s="26">
        <v>0</v>
      </c>
      <c r="F8" s="25">
        <f t="shared" si="0"/>
        <v>55853</v>
      </c>
      <c r="G8" s="25">
        <f t="shared" si="1"/>
        <v>8377.9499999999989</v>
      </c>
      <c r="H8" s="24">
        <f t="shared" si="2"/>
        <v>47475.05</v>
      </c>
      <c r="I8" s="3"/>
      <c r="J8" s="5"/>
    </row>
    <row r="9" spans="1:16" ht="14.4">
      <c r="A9" s="14">
        <v>5</v>
      </c>
      <c r="B9" s="22" t="s">
        <v>99</v>
      </c>
      <c r="C9" s="23">
        <v>20</v>
      </c>
      <c r="D9" s="24">
        <v>34134</v>
      </c>
      <c r="E9" s="24">
        <f>407990+30236+21500</f>
        <v>459726</v>
      </c>
      <c r="F9" s="25">
        <f t="shared" si="0"/>
        <v>493860</v>
      </c>
      <c r="G9" s="25">
        <f>+(D9+E9)*C9%</f>
        <v>98772</v>
      </c>
      <c r="H9" s="24">
        <f t="shared" si="2"/>
        <v>395088</v>
      </c>
      <c r="I9" s="3"/>
      <c r="J9" s="5"/>
    </row>
    <row r="10" spans="1:16" ht="14.4">
      <c r="A10" s="14">
        <v>6</v>
      </c>
      <c r="B10" s="22" t="s">
        <v>43</v>
      </c>
      <c r="C10" s="23">
        <v>10</v>
      </c>
      <c r="D10" s="24">
        <v>115437</v>
      </c>
      <c r="E10" s="26">
        <v>0</v>
      </c>
      <c r="F10" s="25">
        <f t="shared" si="0"/>
        <v>115437</v>
      </c>
      <c r="G10" s="25">
        <f t="shared" ref="G10:G18" si="3">+(D10+E10)*C10%</f>
        <v>11543.7</v>
      </c>
      <c r="H10" s="24">
        <f t="shared" si="2"/>
        <v>103893.3</v>
      </c>
      <c r="I10" s="3"/>
      <c r="J10" s="5"/>
      <c r="K10" t="s">
        <v>158</v>
      </c>
    </row>
    <row r="11" spans="1:16" ht="14.4">
      <c r="A11" s="14">
        <v>7</v>
      </c>
      <c r="B11" s="22" t="s">
        <v>100</v>
      </c>
      <c r="C11" s="23">
        <v>15</v>
      </c>
      <c r="D11" s="24">
        <v>73977</v>
      </c>
      <c r="E11" s="26">
        <v>0</v>
      </c>
      <c r="F11" s="25">
        <f t="shared" si="0"/>
        <v>73977</v>
      </c>
      <c r="G11" s="25">
        <f t="shared" si="3"/>
        <v>11096.55</v>
      </c>
      <c r="H11" s="24">
        <f t="shared" si="2"/>
        <v>62880.45</v>
      </c>
      <c r="I11" s="3"/>
      <c r="J11" s="5"/>
      <c r="K11" t="s">
        <v>159</v>
      </c>
      <c r="L11">
        <v>250000</v>
      </c>
      <c r="M11">
        <f>+L11*15%</f>
        <v>37500</v>
      </c>
    </row>
    <row r="12" spans="1:16" ht="14.4">
      <c r="A12" s="14">
        <v>8</v>
      </c>
      <c r="B12" s="22" t="s">
        <v>44</v>
      </c>
      <c r="C12" s="23">
        <v>15</v>
      </c>
      <c r="D12" s="24">
        <v>30035</v>
      </c>
      <c r="E12" s="26">
        <v>0</v>
      </c>
      <c r="F12" s="25">
        <f t="shared" si="0"/>
        <v>30035</v>
      </c>
      <c r="G12" s="25">
        <f t="shared" si="3"/>
        <v>4505.25</v>
      </c>
      <c r="H12" s="24">
        <f t="shared" si="2"/>
        <v>25529.75</v>
      </c>
      <c r="I12" s="3"/>
      <c r="J12" s="5"/>
      <c r="K12" t="s">
        <v>160</v>
      </c>
      <c r="L12">
        <f>250000+71880+50500</f>
        <v>372380</v>
      </c>
      <c r="M12">
        <f>+L12*15%/2</f>
        <v>27928.5</v>
      </c>
    </row>
    <row r="13" spans="1:16" ht="14.4">
      <c r="A13" s="14">
        <v>9</v>
      </c>
      <c r="B13" s="22" t="s">
        <v>101</v>
      </c>
      <c r="C13" s="23">
        <v>10</v>
      </c>
      <c r="D13" s="24">
        <v>2202</v>
      </c>
      <c r="E13" s="26">
        <v>0</v>
      </c>
      <c r="F13" s="25">
        <f t="shared" si="0"/>
        <v>2202</v>
      </c>
      <c r="G13" s="25">
        <f t="shared" si="3"/>
        <v>220.20000000000002</v>
      </c>
      <c r="H13" s="24">
        <f t="shared" si="2"/>
        <v>1981.8</v>
      </c>
      <c r="I13" s="3"/>
      <c r="J13" s="5"/>
      <c r="M13">
        <f>SUM(M11:M12)</f>
        <v>65428.5</v>
      </c>
    </row>
    <row r="14" spans="1:16" ht="14.4">
      <c r="A14" s="14">
        <v>10</v>
      </c>
      <c r="B14" s="22" t="s">
        <v>102</v>
      </c>
      <c r="C14" s="23">
        <v>40</v>
      </c>
      <c r="D14" s="24">
        <v>13055</v>
      </c>
      <c r="E14" s="26">
        <v>0</v>
      </c>
      <c r="F14" s="25">
        <f t="shared" si="0"/>
        <v>13055</v>
      </c>
      <c r="G14" s="25">
        <f t="shared" si="3"/>
        <v>5222</v>
      </c>
      <c r="H14" s="24">
        <f t="shared" si="2"/>
        <v>7833</v>
      </c>
      <c r="I14" s="3"/>
      <c r="J14" s="5"/>
    </row>
    <row r="15" spans="1:16" ht="14.4">
      <c r="A15" s="14">
        <v>11</v>
      </c>
      <c r="B15" s="22" t="s">
        <v>103</v>
      </c>
      <c r="C15" s="27">
        <v>10</v>
      </c>
      <c r="D15" s="28">
        <v>5843</v>
      </c>
      <c r="E15" s="26">
        <v>0</v>
      </c>
      <c r="F15" s="25">
        <f>D15+E15</f>
        <v>5843</v>
      </c>
      <c r="G15" s="25">
        <f t="shared" si="3"/>
        <v>584.30000000000007</v>
      </c>
      <c r="H15" s="24">
        <f>F15-G15</f>
        <v>5258.7</v>
      </c>
      <c r="I15" s="3"/>
      <c r="J15" s="5"/>
    </row>
    <row r="16" spans="1:16" ht="14.4">
      <c r="A16" s="14">
        <v>12</v>
      </c>
      <c r="B16" s="22" t="s">
        <v>104</v>
      </c>
      <c r="C16" s="27">
        <v>10</v>
      </c>
      <c r="D16" s="28">
        <v>6313</v>
      </c>
      <c r="E16" s="26">
        <v>0</v>
      </c>
      <c r="F16" s="25">
        <f>D16+E16</f>
        <v>6313</v>
      </c>
      <c r="G16" s="25">
        <f t="shared" si="3"/>
        <v>631.30000000000007</v>
      </c>
      <c r="H16" s="24">
        <f>F16-G16</f>
        <v>5681.7</v>
      </c>
      <c r="I16" s="3"/>
      <c r="J16" s="5"/>
    </row>
    <row r="17" spans="1:10" ht="14.4">
      <c r="A17" s="14">
        <v>13</v>
      </c>
      <c r="B17" s="22" t="s">
        <v>105</v>
      </c>
      <c r="C17" s="27">
        <v>10</v>
      </c>
      <c r="D17" s="28">
        <v>29637</v>
      </c>
      <c r="E17" s="26">
        <v>0</v>
      </c>
      <c r="F17" s="25">
        <f>D17+E17</f>
        <v>29637</v>
      </c>
      <c r="G17" s="25">
        <f t="shared" si="3"/>
        <v>2963.7000000000003</v>
      </c>
      <c r="H17" s="24">
        <f>F17-G17</f>
        <v>26673.3</v>
      </c>
      <c r="I17" s="3"/>
      <c r="J17" s="5"/>
    </row>
    <row r="18" spans="1:10" ht="14.4">
      <c r="A18" s="14">
        <v>14</v>
      </c>
      <c r="B18" s="22" t="s">
        <v>106</v>
      </c>
      <c r="C18" s="27">
        <v>15</v>
      </c>
      <c r="D18" s="28">
        <v>10440</v>
      </c>
      <c r="E18" s="26">
        <v>0</v>
      </c>
      <c r="F18" s="25">
        <f>D18+E18</f>
        <v>10440</v>
      </c>
      <c r="G18" s="25">
        <f t="shared" si="3"/>
        <v>1566</v>
      </c>
      <c r="H18" s="24">
        <f>F18-G18</f>
        <v>8874</v>
      </c>
      <c r="I18" s="3"/>
      <c r="J18" s="5"/>
    </row>
    <row r="19" spans="1:10" ht="14.4">
      <c r="A19" s="14">
        <v>15</v>
      </c>
      <c r="B19" s="22" t="s">
        <v>158</v>
      </c>
      <c r="C19" s="27">
        <v>15</v>
      </c>
      <c r="D19" s="26">
        <v>0</v>
      </c>
      <c r="E19" s="24">
        <f>622380-46880+86600</f>
        <v>662100</v>
      </c>
      <c r="F19" s="25">
        <f>D19+E19</f>
        <v>662100</v>
      </c>
      <c r="G19" s="25">
        <f>+(250000*15%)+(412100*7.5%)</f>
        <v>68407.5</v>
      </c>
      <c r="H19" s="24">
        <f>F19-G19</f>
        <v>593692.5</v>
      </c>
    </row>
    <row r="20" spans="1:10" ht="13.8">
      <c r="A20" s="2"/>
      <c r="B20" s="2" t="s">
        <v>107</v>
      </c>
      <c r="C20" s="2"/>
      <c r="D20" s="25">
        <f>SUM(D5:D19)</f>
        <v>542823</v>
      </c>
      <c r="E20" s="24">
        <f>SUM(E5:E19)</f>
        <v>533037919</v>
      </c>
      <c r="F20" s="24">
        <f>SUM(F5:F19)</f>
        <v>533580742</v>
      </c>
      <c r="G20" s="24">
        <f>SUM(G5:G19)</f>
        <v>230480.15</v>
      </c>
      <c r="H20" s="24">
        <f>SUM(H5:H19)</f>
        <v>533350261.85000002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G4:O27"/>
  <sheetViews>
    <sheetView workbookViewId="0">
      <selection activeCell="H1" sqref="A1:XFD1048576"/>
    </sheetView>
  </sheetViews>
  <sheetFormatPr defaultRowHeight="13.2"/>
  <cols>
    <col min="14" max="14" width="10.33203125" bestFit="1" customWidth="1"/>
    <col min="15" max="15" width="11.109375" bestFit="1" customWidth="1"/>
  </cols>
  <sheetData>
    <row r="4" spans="8:15">
      <c r="N4" s="4"/>
    </row>
    <row r="5" spans="8:15">
      <c r="N5" s="32"/>
    </row>
    <row r="6" spans="8:15">
      <c r="N6" s="32"/>
      <c r="O6" s="1"/>
    </row>
    <row r="7" spans="8:15">
      <c r="O7" s="33"/>
    </row>
    <row r="8" spans="8:15">
      <c r="O8" s="33"/>
    </row>
    <row r="9" spans="8:15">
      <c r="O9" s="33"/>
    </row>
    <row r="10" spans="8:15">
      <c r="H10" t="s">
        <v>71</v>
      </c>
      <c r="I10" t="s">
        <v>312</v>
      </c>
      <c r="O10" s="34"/>
    </row>
    <row r="11" spans="8:15">
      <c r="H11" t="s">
        <v>71</v>
      </c>
      <c r="I11" t="s">
        <v>310</v>
      </c>
    </row>
    <row r="12" spans="8:15">
      <c r="H12" t="s">
        <v>71</v>
      </c>
      <c r="I12" t="s">
        <v>311</v>
      </c>
    </row>
    <row r="13" spans="8:15">
      <c r="H13" t="s">
        <v>71</v>
      </c>
      <c r="I13" t="s">
        <v>313</v>
      </c>
    </row>
    <row r="15" spans="8:15">
      <c r="H15" t="s">
        <v>321</v>
      </c>
      <c r="I15" t="s">
        <v>316</v>
      </c>
    </row>
    <row r="17" spans="7:9">
      <c r="H17" t="s">
        <v>71</v>
      </c>
      <c r="I17" t="s">
        <v>315</v>
      </c>
    </row>
    <row r="21" spans="7:9">
      <c r="H21" t="s">
        <v>71</v>
      </c>
      <c r="I21" t="s">
        <v>317</v>
      </c>
    </row>
    <row r="22" spans="7:9">
      <c r="I22" t="s">
        <v>318</v>
      </c>
    </row>
    <row r="23" spans="7:9">
      <c r="G23" t="s">
        <v>322</v>
      </c>
      <c r="H23" t="s">
        <v>71</v>
      </c>
      <c r="I23" t="s">
        <v>319</v>
      </c>
    </row>
    <row r="24" spans="7:9">
      <c r="G24" t="s">
        <v>325</v>
      </c>
      <c r="H24" t="s">
        <v>324</v>
      </c>
      <c r="I24" t="s">
        <v>314</v>
      </c>
    </row>
    <row r="26" spans="7:9">
      <c r="I26" t="s">
        <v>320</v>
      </c>
    </row>
    <row r="27" spans="7:9">
      <c r="I27" t="s">
        <v>323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E61"/>
  <sheetViews>
    <sheetView workbookViewId="0">
      <selection activeCell="D1" sqref="D1"/>
    </sheetView>
  </sheetViews>
  <sheetFormatPr defaultRowHeight="13.2"/>
  <cols>
    <col min="1" max="1" width="47.44140625" bestFit="1" customWidth="1"/>
    <col min="2" max="3" width="47.44140625" customWidth="1"/>
  </cols>
  <sheetData>
    <row r="3" spans="1:5">
      <c r="A3">
        <v>1</v>
      </c>
      <c r="C3">
        <v>2</v>
      </c>
      <c r="D3">
        <v>3</v>
      </c>
      <c r="E3">
        <v>4</v>
      </c>
    </row>
    <row r="4" spans="1:5">
      <c r="A4" t="s">
        <v>162</v>
      </c>
      <c r="B4" t="s">
        <v>259</v>
      </c>
      <c r="C4" t="s">
        <v>220</v>
      </c>
      <c r="D4">
        <v>5000</v>
      </c>
    </row>
    <row r="5" spans="1:5">
      <c r="A5" t="s">
        <v>163</v>
      </c>
      <c r="B5" t="s">
        <v>260</v>
      </c>
      <c r="C5" t="s">
        <v>221</v>
      </c>
      <c r="D5">
        <v>5000</v>
      </c>
    </row>
    <row r="6" spans="1:5">
      <c r="A6" t="s">
        <v>164</v>
      </c>
      <c r="B6" t="s">
        <v>72</v>
      </c>
      <c r="C6" t="s">
        <v>222</v>
      </c>
      <c r="E6">
        <v>12211</v>
      </c>
    </row>
    <row r="7" spans="1:5">
      <c r="A7" t="s">
        <v>165</v>
      </c>
      <c r="B7" t="s">
        <v>261</v>
      </c>
      <c r="C7" t="s">
        <v>223</v>
      </c>
      <c r="D7">
        <v>5000</v>
      </c>
    </row>
    <row r="8" spans="1:5">
      <c r="A8" t="s">
        <v>166</v>
      </c>
      <c r="B8" t="s">
        <v>262</v>
      </c>
      <c r="C8" t="s">
        <v>52</v>
      </c>
      <c r="E8">
        <v>370</v>
      </c>
    </row>
    <row r="9" spans="1:5">
      <c r="A9" t="s">
        <v>167</v>
      </c>
      <c r="B9" t="s">
        <v>263</v>
      </c>
      <c r="C9" t="s">
        <v>224</v>
      </c>
      <c r="D9">
        <v>5000</v>
      </c>
    </row>
    <row r="10" spans="1:5">
      <c r="A10" t="s">
        <v>168</v>
      </c>
      <c r="B10" t="s">
        <v>74</v>
      </c>
      <c r="C10" t="s">
        <v>73</v>
      </c>
      <c r="E10">
        <v>10</v>
      </c>
    </row>
    <row r="11" spans="1:5">
      <c r="A11" t="s">
        <v>169</v>
      </c>
      <c r="B11" t="s">
        <v>264</v>
      </c>
      <c r="C11" t="s">
        <v>225</v>
      </c>
      <c r="D11">
        <v>5000</v>
      </c>
    </row>
    <row r="12" spans="1:5">
      <c r="A12" t="s">
        <v>170</v>
      </c>
      <c r="B12" t="s">
        <v>265</v>
      </c>
      <c r="C12" t="s">
        <v>226</v>
      </c>
      <c r="D12">
        <v>5000</v>
      </c>
    </row>
    <row r="13" spans="1:5">
      <c r="A13" t="s">
        <v>171</v>
      </c>
      <c r="B13" t="s">
        <v>266</v>
      </c>
      <c r="C13" t="s">
        <v>227</v>
      </c>
      <c r="D13">
        <v>5240</v>
      </c>
    </row>
    <row r="14" spans="1:5">
      <c r="A14" t="s">
        <v>172</v>
      </c>
      <c r="B14" t="s">
        <v>54</v>
      </c>
      <c r="C14" t="s">
        <v>53</v>
      </c>
      <c r="E14">
        <v>1496</v>
      </c>
    </row>
    <row r="15" spans="1:5">
      <c r="A15" t="s">
        <v>173</v>
      </c>
      <c r="B15" t="s">
        <v>267</v>
      </c>
      <c r="C15" t="s">
        <v>55</v>
      </c>
      <c r="E15">
        <v>0.5</v>
      </c>
    </row>
    <row r="16" spans="1:5">
      <c r="A16" t="s">
        <v>174</v>
      </c>
      <c r="B16" t="s">
        <v>268</v>
      </c>
      <c r="C16" t="s">
        <v>228</v>
      </c>
      <c r="D16">
        <v>180</v>
      </c>
    </row>
    <row r="17" spans="1:5">
      <c r="A17" t="s">
        <v>175</v>
      </c>
      <c r="B17" t="s">
        <v>269</v>
      </c>
      <c r="C17" t="s">
        <v>75</v>
      </c>
      <c r="D17">
        <v>6000</v>
      </c>
    </row>
    <row r="18" spans="1:5">
      <c r="A18" t="s">
        <v>176</v>
      </c>
      <c r="B18" t="s">
        <v>270</v>
      </c>
      <c r="C18" t="s">
        <v>229</v>
      </c>
      <c r="D18">
        <v>5000</v>
      </c>
    </row>
    <row r="19" spans="1:5">
      <c r="A19" t="s">
        <v>177</v>
      </c>
      <c r="B19" t="s">
        <v>57</v>
      </c>
      <c r="C19" t="s">
        <v>56</v>
      </c>
      <c r="E19">
        <v>516.5</v>
      </c>
    </row>
    <row r="20" spans="1:5">
      <c r="A20" t="s">
        <v>178</v>
      </c>
      <c r="B20" t="s">
        <v>271</v>
      </c>
      <c r="C20" t="s">
        <v>230</v>
      </c>
      <c r="D20">
        <v>5000</v>
      </c>
    </row>
    <row r="21" spans="1:5">
      <c r="A21" t="s">
        <v>179</v>
      </c>
      <c r="B21" t="s">
        <v>77</v>
      </c>
      <c r="C21" t="s">
        <v>76</v>
      </c>
      <c r="D21">
        <v>4978</v>
      </c>
    </row>
    <row r="22" spans="1:5">
      <c r="A22" t="s">
        <v>180</v>
      </c>
      <c r="B22" t="s">
        <v>70</v>
      </c>
      <c r="C22" t="s">
        <v>78</v>
      </c>
      <c r="D22">
        <v>73299</v>
      </c>
    </row>
    <row r="23" spans="1:5">
      <c r="A23" t="s">
        <v>181</v>
      </c>
      <c r="B23" t="s">
        <v>272</v>
      </c>
      <c r="C23" t="s">
        <v>79</v>
      </c>
      <c r="D23">
        <v>17</v>
      </c>
    </row>
    <row r="24" spans="1:5">
      <c r="A24" t="s">
        <v>182</v>
      </c>
      <c r="B24" t="s">
        <v>273</v>
      </c>
      <c r="C24" t="s">
        <v>80</v>
      </c>
      <c r="D24">
        <v>305</v>
      </c>
    </row>
    <row r="25" spans="1:5">
      <c r="A25" t="s">
        <v>183</v>
      </c>
      <c r="B25" t="s">
        <v>274</v>
      </c>
      <c r="C25" t="s">
        <v>231</v>
      </c>
      <c r="D25">
        <v>5000</v>
      </c>
    </row>
    <row r="26" spans="1:5">
      <c r="A26" t="s">
        <v>184</v>
      </c>
      <c r="B26" t="s">
        <v>275</v>
      </c>
      <c r="C26" t="s">
        <v>232</v>
      </c>
      <c r="D26">
        <v>5000</v>
      </c>
    </row>
    <row r="27" spans="1:5">
      <c r="A27" t="s">
        <v>185</v>
      </c>
      <c r="B27" t="s">
        <v>59</v>
      </c>
      <c r="C27" t="s">
        <v>58</v>
      </c>
      <c r="E27">
        <v>1</v>
      </c>
    </row>
    <row r="28" spans="1:5">
      <c r="A28" t="s">
        <v>186</v>
      </c>
      <c r="B28" t="s">
        <v>276</v>
      </c>
      <c r="C28" t="s">
        <v>233</v>
      </c>
      <c r="D28">
        <v>5000</v>
      </c>
    </row>
    <row r="29" spans="1:5">
      <c r="A29" t="s">
        <v>187</v>
      </c>
      <c r="B29" t="s">
        <v>277</v>
      </c>
      <c r="C29" t="s">
        <v>60</v>
      </c>
      <c r="E29">
        <v>6520</v>
      </c>
    </row>
    <row r="30" spans="1:5">
      <c r="A30" t="s">
        <v>188</v>
      </c>
      <c r="B30" t="s">
        <v>278</v>
      </c>
      <c r="C30" t="s">
        <v>234</v>
      </c>
      <c r="D30">
        <v>5308</v>
      </c>
    </row>
    <row r="31" spans="1:5">
      <c r="A31" t="s">
        <v>189</v>
      </c>
      <c r="B31" t="s">
        <v>279</v>
      </c>
      <c r="C31" t="s">
        <v>235</v>
      </c>
      <c r="D31">
        <v>5000</v>
      </c>
    </row>
    <row r="32" spans="1:5">
      <c r="A32" t="s">
        <v>190</v>
      </c>
      <c r="B32" t="s">
        <v>280</v>
      </c>
      <c r="C32" t="s">
        <v>236</v>
      </c>
      <c r="D32">
        <v>5000</v>
      </c>
    </row>
    <row r="33" spans="1:5">
      <c r="A33" t="s">
        <v>191</v>
      </c>
      <c r="B33" t="s">
        <v>281</v>
      </c>
      <c r="C33" t="s">
        <v>237</v>
      </c>
      <c r="D33">
        <v>5000</v>
      </c>
    </row>
    <row r="34" spans="1:5">
      <c r="A34" t="s">
        <v>192</v>
      </c>
      <c r="B34" t="s">
        <v>62</v>
      </c>
      <c r="C34" t="s">
        <v>61</v>
      </c>
      <c r="E34">
        <v>48</v>
      </c>
    </row>
    <row r="35" spans="1:5">
      <c r="A35" t="s">
        <v>193</v>
      </c>
      <c r="B35" t="s">
        <v>282</v>
      </c>
      <c r="C35" t="s">
        <v>238</v>
      </c>
      <c r="D35">
        <v>5000</v>
      </c>
    </row>
    <row r="36" spans="1:5">
      <c r="A36" t="s">
        <v>194</v>
      </c>
      <c r="B36" t="s">
        <v>64</v>
      </c>
      <c r="C36" t="s">
        <v>63</v>
      </c>
      <c r="D36">
        <v>17382</v>
      </c>
    </row>
    <row r="37" spans="1:5">
      <c r="A37" t="s">
        <v>195</v>
      </c>
      <c r="B37" t="s">
        <v>283</v>
      </c>
      <c r="C37" t="s">
        <v>239</v>
      </c>
      <c r="D37">
        <v>5000</v>
      </c>
    </row>
    <row r="38" spans="1:5">
      <c r="A38" t="s">
        <v>196</v>
      </c>
      <c r="B38" t="s">
        <v>284</v>
      </c>
      <c r="C38" t="s">
        <v>240</v>
      </c>
      <c r="D38">
        <v>5000</v>
      </c>
    </row>
    <row r="39" spans="1:5">
      <c r="A39" t="s">
        <v>197</v>
      </c>
      <c r="B39" t="s">
        <v>285</v>
      </c>
      <c r="C39" t="s">
        <v>241</v>
      </c>
      <c r="D39">
        <v>5000</v>
      </c>
    </row>
    <row r="40" spans="1:5">
      <c r="A40" t="s">
        <v>198</v>
      </c>
      <c r="B40" t="s">
        <v>286</v>
      </c>
      <c r="C40" t="s">
        <v>242</v>
      </c>
      <c r="D40">
        <v>5000</v>
      </c>
    </row>
    <row r="41" spans="1:5">
      <c r="A41" t="s">
        <v>199</v>
      </c>
      <c r="B41" t="s">
        <v>287</v>
      </c>
      <c r="C41" t="s">
        <v>81</v>
      </c>
      <c r="E41">
        <v>42635</v>
      </c>
    </row>
    <row r="42" spans="1:5">
      <c r="A42" t="s">
        <v>200</v>
      </c>
      <c r="B42" t="s">
        <v>288</v>
      </c>
      <c r="C42" t="s">
        <v>243</v>
      </c>
      <c r="D42">
        <v>4997.5</v>
      </c>
    </row>
    <row r="43" spans="1:5">
      <c r="A43" t="s">
        <v>201</v>
      </c>
      <c r="B43" t="s">
        <v>289</v>
      </c>
      <c r="C43" t="s">
        <v>244</v>
      </c>
      <c r="D43">
        <v>5000</v>
      </c>
    </row>
    <row r="44" spans="1:5">
      <c r="A44" t="s">
        <v>202</v>
      </c>
      <c r="B44" t="s">
        <v>66</v>
      </c>
      <c r="C44" t="s">
        <v>65</v>
      </c>
      <c r="D44">
        <v>4241.5</v>
      </c>
    </row>
    <row r="45" spans="1:5">
      <c r="A45" t="s">
        <v>203</v>
      </c>
      <c r="B45" t="s">
        <v>290</v>
      </c>
      <c r="C45" t="s">
        <v>245</v>
      </c>
      <c r="E45">
        <v>250</v>
      </c>
    </row>
    <row r="46" spans="1:5">
      <c r="A46" t="s">
        <v>204</v>
      </c>
      <c r="B46" t="s">
        <v>291</v>
      </c>
      <c r="C46" t="s">
        <v>246</v>
      </c>
      <c r="D46">
        <v>393</v>
      </c>
    </row>
    <row r="47" spans="1:5">
      <c r="A47" t="s">
        <v>205</v>
      </c>
      <c r="B47" t="s">
        <v>83</v>
      </c>
      <c r="C47" t="s">
        <v>82</v>
      </c>
      <c r="E47">
        <v>886</v>
      </c>
    </row>
    <row r="48" spans="1:5">
      <c r="A48" t="s">
        <v>206</v>
      </c>
      <c r="B48" t="s">
        <v>68</v>
      </c>
      <c r="C48" t="s">
        <v>67</v>
      </c>
      <c r="D48">
        <v>1085</v>
      </c>
    </row>
    <row r="49" spans="1:5">
      <c r="A49" t="s">
        <v>207</v>
      </c>
      <c r="B49" t="s">
        <v>292</v>
      </c>
      <c r="C49" t="s">
        <v>247</v>
      </c>
      <c r="D49">
        <v>5000</v>
      </c>
    </row>
    <row r="50" spans="1:5">
      <c r="A50" t="s">
        <v>208</v>
      </c>
      <c r="B50" t="s">
        <v>293</v>
      </c>
      <c r="C50" t="s">
        <v>69</v>
      </c>
      <c r="D50">
        <v>246302.5</v>
      </c>
    </row>
    <row r="51" spans="1:5">
      <c r="A51" t="s">
        <v>209</v>
      </c>
      <c r="B51" t="s">
        <v>294</v>
      </c>
      <c r="C51" t="s">
        <v>248</v>
      </c>
      <c r="D51">
        <v>5000</v>
      </c>
    </row>
    <row r="52" spans="1:5">
      <c r="A52" t="s">
        <v>210</v>
      </c>
      <c r="B52" t="s">
        <v>295</v>
      </c>
      <c r="C52" t="s">
        <v>249</v>
      </c>
      <c r="D52">
        <v>5000</v>
      </c>
    </row>
    <row r="53" spans="1:5">
      <c r="A53" t="s">
        <v>211</v>
      </c>
      <c r="B53" t="s">
        <v>296</v>
      </c>
      <c r="C53" t="s">
        <v>250</v>
      </c>
      <c r="E53">
        <v>464400</v>
      </c>
    </row>
    <row r="54" spans="1:5">
      <c r="A54" t="s">
        <v>212</v>
      </c>
      <c r="B54" t="s">
        <v>297</v>
      </c>
      <c r="C54" t="s">
        <v>251</v>
      </c>
      <c r="D54">
        <v>465300</v>
      </c>
    </row>
    <row r="55" spans="1:5">
      <c r="A55" t="s">
        <v>213</v>
      </c>
      <c r="B55" t="s">
        <v>298</v>
      </c>
      <c r="C55" t="s">
        <v>252</v>
      </c>
      <c r="D55">
        <v>10000</v>
      </c>
    </row>
    <row r="56" spans="1:5">
      <c r="A56" t="s">
        <v>214</v>
      </c>
      <c r="B56" t="s">
        <v>299</v>
      </c>
      <c r="C56" t="s">
        <v>253</v>
      </c>
      <c r="E56">
        <v>5000</v>
      </c>
    </row>
    <row r="57" spans="1:5">
      <c r="A57" t="s">
        <v>215</v>
      </c>
      <c r="B57" t="s">
        <v>300</v>
      </c>
      <c r="C57" t="s">
        <v>254</v>
      </c>
      <c r="D57">
        <v>10000</v>
      </c>
    </row>
    <row r="58" spans="1:5">
      <c r="A58" t="s">
        <v>216</v>
      </c>
      <c r="B58" t="s">
        <v>301</v>
      </c>
      <c r="C58" t="s">
        <v>255</v>
      </c>
      <c r="E58">
        <v>5000</v>
      </c>
    </row>
    <row r="59" spans="1:5">
      <c r="A59" t="s">
        <v>217</v>
      </c>
      <c r="B59" t="s">
        <v>302</v>
      </c>
      <c r="C59" t="s">
        <v>256</v>
      </c>
      <c r="E59">
        <v>5000</v>
      </c>
    </row>
    <row r="60" spans="1:5">
      <c r="A60" t="s">
        <v>218</v>
      </c>
      <c r="B60" t="s">
        <v>303</v>
      </c>
      <c r="C60" t="s">
        <v>257</v>
      </c>
      <c r="D60">
        <v>15000</v>
      </c>
    </row>
    <row r="61" spans="1:5">
      <c r="A61" t="s">
        <v>219</v>
      </c>
      <c r="B61" t="s">
        <v>304</v>
      </c>
      <c r="C61" t="s">
        <v>258</v>
      </c>
      <c r="D61">
        <v>10000</v>
      </c>
    </row>
  </sheetData>
  <autoFilter ref="A3:E61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4"/>
  <sheetViews>
    <sheetView workbookViewId="0">
      <selection activeCell="G15" sqref="G15"/>
    </sheetView>
  </sheetViews>
  <sheetFormatPr defaultRowHeight="13.2"/>
  <cols>
    <col min="1" max="1" width="48.77734375" bestFit="1" customWidth="1"/>
    <col min="2" max="2" width="40.44140625" bestFit="1" customWidth="1"/>
    <col min="3" max="3" width="7.77734375" bestFit="1" customWidth="1"/>
    <col min="4" max="4" width="19.6640625" bestFit="1" customWidth="1"/>
    <col min="5" max="5" width="11.33203125" style="29" bestFit="1" customWidth="1"/>
    <col min="6" max="6" width="9.77734375" style="29" bestFit="1" customWidth="1"/>
    <col min="7" max="7" width="11.33203125" style="29" bestFit="1" customWidth="1"/>
  </cols>
  <sheetData>
    <row r="1" spans="1:7">
      <c r="B1" t="s">
        <v>108</v>
      </c>
    </row>
    <row r="2" spans="1:7">
      <c r="B2" t="s">
        <v>109</v>
      </c>
    </row>
    <row r="3" spans="1:7">
      <c r="A3" t="s">
        <v>110</v>
      </c>
      <c r="B3" t="s">
        <v>111</v>
      </c>
    </row>
    <row r="4" spans="1:7">
      <c r="B4" t="s">
        <v>112</v>
      </c>
    </row>
    <row r="5" spans="1:7">
      <c r="B5" t="s">
        <v>113</v>
      </c>
      <c r="C5" t="s">
        <v>114</v>
      </c>
      <c r="E5" s="29" t="s">
        <v>150</v>
      </c>
      <c r="F5" s="29" t="s">
        <v>151</v>
      </c>
      <c r="G5" s="29" t="s">
        <v>152</v>
      </c>
    </row>
    <row r="6" spans="1:7" ht="14.4">
      <c r="A6" t="s">
        <v>115</v>
      </c>
      <c r="C6" s="6">
        <v>3720</v>
      </c>
      <c r="D6" t="s">
        <v>51</v>
      </c>
      <c r="E6" s="29">
        <f>4133-413</f>
        <v>3720</v>
      </c>
      <c r="F6" s="29">
        <f>+E6/90*10</f>
        <v>413.33333333333337</v>
      </c>
      <c r="G6" s="29">
        <f>+E6+F6</f>
        <v>4133.333333333333</v>
      </c>
    </row>
    <row r="7" spans="1:7" ht="14.4">
      <c r="A7" t="s">
        <v>116</v>
      </c>
      <c r="C7" s="6">
        <v>16605</v>
      </c>
      <c r="D7" t="s">
        <v>13</v>
      </c>
      <c r="E7" s="29">
        <f>18450-1845</f>
        <v>16605</v>
      </c>
      <c r="F7" s="29">
        <f t="shared" ref="F7:F41" si="0">+E7/90*10</f>
        <v>1845</v>
      </c>
      <c r="G7" s="29">
        <f t="shared" ref="G7:G41" si="1">+E7+F7</f>
        <v>18450</v>
      </c>
    </row>
    <row r="8" spans="1:7" ht="14.4">
      <c r="A8" t="s">
        <v>117</v>
      </c>
      <c r="C8" s="6">
        <v>1908</v>
      </c>
      <c r="D8" t="s">
        <v>39</v>
      </c>
      <c r="E8" s="29">
        <f>2120-212</f>
        <v>1908</v>
      </c>
      <c r="F8" s="29">
        <f t="shared" si="0"/>
        <v>212</v>
      </c>
      <c r="G8" s="29">
        <f t="shared" si="1"/>
        <v>2120</v>
      </c>
    </row>
    <row r="9" spans="1:7" ht="14.4">
      <c r="A9" t="s">
        <v>148</v>
      </c>
      <c r="C9" s="6">
        <v>8655</v>
      </c>
      <c r="D9" t="s">
        <v>39</v>
      </c>
      <c r="E9" s="29">
        <f>9617-962</f>
        <v>8655</v>
      </c>
      <c r="F9" s="29">
        <f t="shared" si="0"/>
        <v>961.66666666666674</v>
      </c>
      <c r="G9" s="29">
        <f t="shared" si="1"/>
        <v>9616.6666666666661</v>
      </c>
    </row>
    <row r="10" spans="1:7" ht="14.4">
      <c r="A10" t="s">
        <v>118</v>
      </c>
      <c r="C10" s="6">
        <v>29106</v>
      </c>
      <c r="D10" t="s">
        <v>39</v>
      </c>
      <c r="E10" s="29">
        <f>32340-3234</f>
        <v>29106</v>
      </c>
      <c r="F10" s="29">
        <f t="shared" si="0"/>
        <v>3234</v>
      </c>
      <c r="G10" s="29">
        <f t="shared" si="1"/>
        <v>32340</v>
      </c>
    </row>
    <row r="11" spans="1:7" ht="14.4">
      <c r="A11" t="s">
        <v>119</v>
      </c>
      <c r="C11" s="6">
        <v>754</v>
      </c>
      <c r="D11" t="s">
        <v>28</v>
      </c>
      <c r="E11" s="29">
        <f>838-84</f>
        <v>754</v>
      </c>
      <c r="F11" s="29">
        <f t="shared" si="0"/>
        <v>83.777777777777786</v>
      </c>
      <c r="G11" s="29">
        <f t="shared" si="1"/>
        <v>837.77777777777783</v>
      </c>
    </row>
    <row r="12" spans="1:7" ht="14.4">
      <c r="A12" t="s">
        <v>120</v>
      </c>
      <c r="C12" s="6">
        <v>1771</v>
      </c>
      <c r="D12" t="s">
        <v>13</v>
      </c>
      <c r="E12" s="29">
        <f>1968-196</f>
        <v>1772</v>
      </c>
      <c r="F12" s="29">
        <f t="shared" si="0"/>
        <v>196.88888888888891</v>
      </c>
      <c r="G12" s="29">
        <f t="shared" si="1"/>
        <v>1968.8888888888889</v>
      </c>
    </row>
    <row r="13" spans="1:7" ht="14.4">
      <c r="A13" t="s">
        <v>121</v>
      </c>
      <c r="C13" s="6">
        <v>53645</v>
      </c>
      <c r="D13" t="s">
        <v>35</v>
      </c>
      <c r="E13" s="29">
        <f>59606-5961</f>
        <v>53645</v>
      </c>
      <c r="F13" s="29">
        <f t="shared" si="0"/>
        <v>5960.5555555555557</v>
      </c>
      <c r="G13" s="29">
        <f t="shared" si="1"/>
        <v>59605.555555555555</v>
      </c>
    </row>
    <row r="14" spans="1:7" ht="14.4">
      <c r="A14" t="s">
        <v>122</v>
      </c>
      <c r="C14" s="6">
        <v>12151</v>
      </c>
      <c r="D14" t="s">
        <v>13</v>
      </c>
      <c r="E14" s="29">
        <f>13503-1352</f>
        <v>12151</v>
      </c>
      <c r="F14" s="29">
        <f t="shared" si="0"/>
        <v>1350.1111111111113</v>
      </c>
      <c r="G14" s="29">
        <f t="shared" si="1"/>
        <v>13501.111111111111</v>
      </c>
    </row>
    <row r="15" spans="1:7" ht="14.4">
      <c r="A15" t="s">
        <v>123</v>
      </c>
      <c r="C15" s="6">
        <v>19659</v>
      </c>
      <c r="D15" t="s">
        <v>35</v>
      </c>
      <c r="E15" s="29">
        <f>21841-2182</f>
        <v>19659</v>
      </c>
      <c r="F15" s="29">
        <f t="shared" si="0"/>
        <v>2184.3333333333335</v>
      </c>
      <c r="G15" s="29">
        <f t="shared" si="1"/>
        <v>21843.333333333332</v>
      </c>
    </row>
    <row r="16" spans="1:7" ht="14.4">
      <c r="A16" t="s">
        <v>124</v>
      </c>
      <c r="C16" s="6">
        <v>9995</v>
      </c>
      <c r="D16" t="s">
        <v>39</v>
      </c>
      <c r="E16" s="29">
        <f>11106-1111</f>
        <v>9995</v>
      </c>
      <c r="F16" s="29">
        <f t="shared" si="0"/>
        <v>1110.5555555555557</v>
      </c>
      <c r="G16" s="29">
        <f t="shared" si="1"/>
        <v>11105.555555555555</v>
      </c>
    </row>
    <row r="17" spans="1:8" ht="14.4">
      <c r="A17" t="s">
        <v>125</v>
      </c>
      <c r="C17" s="6">
        <v>3812</v>
      </c>
      <c r="D17" t="s">
        <v>153</v>
      </c>
      <c r="E17" s="29">
        <f>4236-424</f>
        <v>3812</v>
      </c>
      <c r="F17" s="29">
        <f t="shared" si="0"/>
        <v>423.55555555555554</v>
      </c>
      <c r="G17" s="29">
        <f t="shared" si="1"/>
        <v>4235.5555555555557</v>
      </c>
    </row>
    <row r="18" spans="1:8" ht="14.4">
      <c r="A18" t="s">
        <v>126</v>
      </c>
      <c r="C18" s="6">
        <v>81562</v>
      </c>
      <c r="D18" t="s">
        <v>41</v>
      </c>
      <c r="E18" s="29">
        <f>90625-9063</f>
        <v>81562</v>
      </c>
      <c r="F18" s="29">
        <f t="shared" si="0"/>
        <v>9062.4444444444434</v>
      </c>
      <c r="G18" s="29">
        <f t="shared" si="1"/>
        <v>90624.444444444438</v>
      </c>
    </row>
    <row r="19" spans="1:8" ht="14.4">
      <c r="A19" t="s">
        <v>127</v>
      </c>
      <c r="C19" s="6">
        <v>43811</v>
      </c>
      <c r="D19" t="s">
        <v>35</v>
      </c>
      <c r="E19" s="29">
        <f>48678-4867</f>
        <v>43811</v>
      </c>
      <c r="F19" s="29">
        <f t="shared" si="0"/>
        <v>4867.8888888888887</v>
      </c>
      <c r="G19" s="29">
        <f t="shared" si="1"/>
        <v>48678.888888888891</v>
      </c>
    </row>
    <row r="20" spans="1:8" ht="14.4">
      <c r="A20" t="s">
        <v>128</v>
      </c>
      <c r="C20" s="6">
        <v>7342</v>
      </c>
      <c r="D20" t="s">
        <v>13</v>
      </c>
      <c r="E20" s="29">
        <f>8156-814</f>
        <v>7342</v>
      </c>
      <c r="F20" s="29">
        <f t="shared" si="0"/>
        <v>815.77777777777783</v>
      </c>
      <c r="G20" s="29">
        <f t="shared" si="1"/>
        <v>8157.7777777777774</v>
      </c>
    </row>
    <row r="21" spans="1:8" ht="14.4">
      <c r="A21" t="s">
        <v>129</v>
      </c>
      <c r="C21" s="6">
        <v>11391</v>
      </c>
      <c r="D21" t="s">
        <v>13</v>
      </c>
      <c r="E21" s="29">
        <f>12657-1266</f>
        <v>11391</v>
      </c>
      <c r="F21" s="29">
        <f t="shared" si="0"/>
        <v>1265.6666666666665</v>
      </c>
      <c r="G21" s="29">
        <f t="shared" si="1"/>
        <v>12656.666666666666</v>
      </c>
    </row>
    <row r="22" spans="1:8" ht="14.4">
      <c r="A22" t="s">
        <v>130</v>
      </c>
      <c r="C22" s="6">
        <v>34342</v>
      </c>
      <c r="D22" t="s">
        <v>13</v>
      </c>
      <c r="E22" s="29">
        <f>38158-3816</f>
        <v>34342</v>
      </c>
      <c r="F22" s="29">
        <f t="shared" si="0"/>
        <v>3815.7777777777778</v>
      </c>
      <c r="G22" s="29">
        <f t="shared" si="1"/>
        <v>38157.777777777781</v>
      </c>
    </row>
    <row r="23" spans="1:8" ht="14.4">
      <c r="A23" t="s">
        <v>131</v>
      </c>
      <c r="C23" s="6">
        <v>9675</v>
      </c>
      <c r="D23" t="s">
        <v>13</v>
      </c>
      <c r="E23" s="29">
        <f>10749-1074</f>
        <v>9675</v>
      </c>
      <c r="F23" s="29">
        <f t="shared" si="0"/>
        <v>1075</v>
      </c>
      <c r="G23" s="29">
        <f t="shared" si="1"/>
        <v>10750</v>
      </c>
    </row>
    <row r="24" spans="1:8" ht="14.4">
      <c r="A24" t="s">
        <v>132</v>
      </c>
      <c r="C24" s="6">
        <v>15705</v>
      </c>
      <c r="D24" t="s">
        <v>35</v>
      </c>
      <c r="E24" s="29">
        <f>17451-1747</f>
        <v>15704</v>
      </c>
      <c r="F24" s="29">
        <f t="shared" si="0"/>
        <v>1744.8888888888887</v>
      </c>
      <c r="G24" s="29">
        <f t="shared" si="1"/>
        <v>17448.888888888891</v>
      </c>
    </row>
    <row r="25" spans="1:8" ht="14.4">
      <c r="A25" t="s">
        <v>133</v>
      </c>
      <c r="C25" s="6">
        <v>1712</v>
      </c>
      <c r="D25" t="s">
        <v>154</v>
      </c>
      <c r="E25" s="29">
        <f>1749+153-190</f>
        <v>1712</v>
      </c>
      <c r="F25" s="29">
        <f t="shared" si="0"/>
        <v>190.22222222222223</v>
      </c>
      <c r="G25" s="29">
        <f t="shared" si="1"/>
        <v>1902.2222222222222</v>
      </c>
    </row>
    <row r="26" spans="1:8">
      <c r="A26" t="s">
        <v>134</v>
      </c>
      <c r="C26">
        <v>28300</v>
      </c>
      <c r="D26">
        <f>21630+6670</f>
        <v>28300</v>
      </c>
      <c r="G26" s="29">
        <v>28300</v>
      </c>
    </row>
    <row r="27" spans="1:8">
      <c r="A27" t="s">
        <v>135</v>
      </c>
      <c r="C27">
        <v>7485</v>
      </c>
      <c r="D27" t="s">
        <v>39</v>
      </c>
      <c r="E27" s="29">
        <f>8317-832</f>
        <v>7485</v>
      </c>
      <c r="F27" s="29">
        <f t="shared" si="0"/>
        <v>831.66666666666674</v>
      </c>
      <c r="G27" s="29">
        <f t="shared" si="1"/>
        <v>8316.6666666666661</v>
      </c>
      <c r="H27" t="s">
        <v>155</v>
      </c>
    </row>
    <row r="28" spans="1:8">
      <c r="A28" t="s">
        <v>136</v>
      </c>
      <c r="C28">
        <v>4147</v>
      </c>
      <c r="D28" t="s">
        <v>51</v>
      </c>
      <c r="E28" s="29">
        <f>4608-461</f>
        <v>4147</v>
      </c>
      <c r="F28" s="29">
        <f t="shared" si="0"/>
        <v>460.77777777777777</v>
      </c>
      <c r="G28" s="29">
        <f t="shared" si="1"/>
        <v>4607.7777777777774</v>
      </c>
      <c r="H28" t="s">
        <v>155</v>
      </c>
    </row>
    <row r="29" spans="1:8">
      <c r="A29" t="s">
        <v>137</v>
      </c>
      <c r="C29">
        <v>3163</v>
      </c>
      <c r="D29" t="s">
        <v>13</v>
      </c>
      <c r="E29" s="29">
        <f>3163-316</f>
        <v>2847</v>
      </c>
      <c r="F29" s="29">
        <f t="shared" si="0"/>
        <v>316.33333333333331</v>
      </c>
      <c r="G29" s="29">
        <f t="shared" si="1"/>
        <v>3163.3333333333335</v>
      </c>
      <c r="H29" t="s">
        <v>155</v>
      </c>
    </row>
    <row r="30" spans="1:8">
      <c r="A30" t="s">
        <v>138</v>
      </c>
      <c r="C30">
        <v>1675</v>
      </c>
      <c r="D30" t="s">
        <v>35</v>
      </c>
      <c r="E30" s="29">
        <f>1861-186</f>
        <v>1675</v>
      </c>
      <c r="F30" s="29">
        <f t="shared" si="0"/>
        <v>186.11111111111111</v>
      </c>
      <c r="G30" s="29">
        <f t="shared" si="1"/>
        <v>1861.1111111111111</v>
      </c>
      <c r="H30" t="s">
        <v>155</v>
      </c>
    </row>
    <row r="31" spans="1:8">
      <c r="A31" t="s">
        <v>156</v>
      </c>
      <c r="C31">
        <v>58</v>
      </c>
      <c r="D31" t="s">
        <v>13</v>
      </c>
      <c r="E31" s="29">
        <f>65-7</f>
        <v>58</v>
      </c>
      <c r="F31" s="29">
        <f t="shared" si="0"/>
        <v>6.4444444444444446</v>
      </c>
      <c r="G31" s="29">
        <f t="shared" si="1"/>
        <v>64.444444444444443</v>
      </c>
    </row>
    <row r="32" spans="1:8">
      <c r="A32" t="s">
        <v>157</v>
      </c>
      <c r="C32">
        <v>349</v>
      </c>
      <c r="D32" t="s">
        <v>35</v>
      </c>
      <c r="E32" s="29">
        <f>387-38</f>
        <v>349</v>
      </c>
      <c r="F32" s="29">
        <f t="shared" si="0"/>
        <v>38.777777777777779</v>
      </c>
      <c r="G32" s="29">
        <f t="shared" si="1"/>
        <v>387.77777777777777</v>
      </c>
    </row>
    <row r="33" spans="1:8">
      <c r="A33" t="s">
        <v>139</v>
      </c>
      <c r="C33">
        <v>105</v>
      </c>
      <c r="D33" t="s">
        <v>13</v>
      </c>
      <c r="E33" s="29">
        <f>116-11</f>
        <v>105</v>
      </c>
      <c r="F33" s="29">
        <f t="shared" si="0"/>
        <v>11.666666666666668</v>
      </c>
      <c r="G33" s="29">
        <f t="shared" si="1"/>
        <v>116.66666666666667</v>
      </c>
      <c r="H33" t="s">
        <v>155</v>
      </c>
    </row>
    <row r="34" spans="1:8">
      <c r="A34" t="s">
        <v>140</v>
      </c>
      <c r="C34">
        <v>1883</v>
      </c>
      <c r="D34" t="s">
        <v>28</v>
      </c>
      <c r="E34" s="29">
        <f>2092-209</f>
        <v>1883</v>
      </c>
      <c r="F34" s="29">
        <f t="shared" si="0"/>
        <v>209.2222222222222</v>
      </c>
      <c r="G34" s="29">
        <f t="shared" si="1"/>
        <v>2092.2222222222222</v>
      </c>
    </row>
    <row r="35" spans="1:8">
      <c r="A35" t="s">
        <v>141</v>
      </c>
      <c r="C35">
        <v>2657</v>
      </c>
      <c r="D35" t="s">
        <v>51</v>
      </c>
      <c r="E35" s="29">
        <f>2953-296</f>
        <v>2657</v>
      </c>
      <c r="F35" s="29">
        <f t="shared" si="0"/>
        <v>295.22222222222223</v>
      </c>
      <c r="G35" s="29">
        <f t="shared" si="1"/>
        <v>2952.2222222222222</v>
      </c>
    </row>
    <row r="36" spans="1:8">
      <c r="A36" t="s">
        <v>142</v>
      </c>
      <c r="C36">
        <v>1123</v>
      </c>
      <c r="D36" t="s">
        <v>13</v>
      </c>
      <c r="E36" s="29">
        <f>1248-125</f>
        <v>1123</v>
      </c>
      <c r="F36" s="29">
        <f t="shared" si="0"/>
        <v>124.77777777777777</v>
      </c>
      <c r="G36" s="29">
        <f t="shared" si="1"/>
        <v>1247.7777777777778</v>
      </c>
      <c r="H36">
        <f>1248-125</f>
        <v>1123</v>
      </c>
    </row>
    <row r="37" spans="1:8">
      <c r="A37" t="s">
        <v>143</v>
      </c>
      <c r="C37">
        <v>703</v>
      </c>
      <c r="D37" t="s">
        <v>35</v>
      </c>
      <c r="E37" s="29">
        <f>781-78</f>
        <v>703</v>
      </c>
      <c r="F37" s="29">
        <f t="shared" si="0"/>
        <v>78.111111111111114</v>
      </c>
      <c r="G37" s="29">
        <f t="shared" si="1"/>
        <v>781.11111111111109</v>
      </c>
    </row>
    <row r="38" spans="1:8">
      <c r="A38" t="s">
        <v>144</v>
      </c>
      <c r="C38">
        <v>2676</v>
      </c>
      <c r="D38" t="s">
        <v>153</v>
      </c>
      <c r="E38" s="29">
        <f>2973-297</f>
        <v>2676</v>
      </c>
      <c r="F38" s="29">
        <f t="shared" si="0"/>
        <v>297.33333333333337</v>
      </c>
      <c r="G38" s="29">
        <f t="shared" si="1"/>
        <v>2973.3333333333335</v>
      </c>
    </row>
    <row r="39" spans="1:8">
      <c r="A39" t="s">
        <v>145</v>
      </c>
      <c r="C39">
        <v>11249</v>
      </c>
      <c r="D39" t="s">
        <v>13</v>
      </c>
      <c r="E39" s="29">
        <f>10878+1622-1089-162</f>
        <v>11249</v>
      </c>
      <c r="F39" s="29">
        <f t="shared" si="0"/>
        <v>1249.8888888888889</v>
      </c>
      <c r="G39" s="29">
        <f t="shared" si="1"/>
        <v>12498.888888888889</v>
      </c>
      <c r="H39">
        <f>10878+1622-1089-162</f>
        <v>11249</v>
      </c>
    </row>
    <row r="40" spans="1:8">
      <c r="A40" t="s">
        <v>146</v>
      </c>
      <c r="C40">
        <v>12543</v>
      </c>
      <c r="D40" t="s">
        <v>13</v>
      </c>
      <c r="E40" s="29">
        <f>12128+1809-1213-181</f>
        <v>12543</v>
      </c>
      <c r="F40" s="29">
        <f t="shared" si="0"/>
        <v>1393.6666666666667</v>
      </c>
      <c r="G40" s="29">
        <f t="shared" si="1"/>
        <v>13936.666666666666</v>
      </c>
      <c r="H40">
        <f>12128+1809-1213-181</f>
        <v>12543</v>
      </c>
    </row>
    <row r="41" spans="1:8">
      <c r="A41" t="s">
        <v>147</v>
      </c>
      <c r="C41">
        <v>11070</v>
      </c>
      <c r="D41" t="s">
        <v>13</v>
      </c>
      <c r="E41" s="29">
        <f>12299-1229</f>
        <v>11070</v>
      </c>
      <c r="F41" s="29">
        <f t="shared" si="0"/>
        <v>1230</v>
      </c>
      <c r="G41" s="29">
        <f t="shared" si="1"/>
        <v>12300</v>
      </c>
      <c r="H41">
        <f>12299-1229</f>
        <v>11070</v>
      </c>
    </row>
    <row r="43" spans="1:8">
      <c r="A43" t="s">
        <v>149</v>
      </c>
      <c r="C43">
        <f>SUM(C6:C41)</f>
        <v>456507</v>
      </c>
      <c r="E43" s="30">
        <f t="shared" ref="E43:G43" si="2">SUM(E6:E41)</f>
        <v>427891</v>
      </c>
      <c r="F43" s="30">
        <f t="shared" si="2"/>
        <v>47543.444444444445</v>
      </c>
      <c r="G43" s="30">
        <f t="shared" si="2"/>
        <v>503734.4444444445</v>
      </c>
    </row>
    <row r="44" spans="1:8">
      <c r="C44">
        <f>+C43-C26</f>
        <v>428207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BS 25-26</vt:lpstr>
      <vt:lpstr>I&amp;E 25-26</vt:lpstr>
      <vt:lpstr>Fixed Deposit</vt:lpstr>
      <vt:lpstr>Assets </vt:lpstr>
      <vt:lpstr>Mem os</vt:lpstr>
      <vt:lpstr>Sch</vt:lpstr>
      <vt:lpstr>BRS</vt:lpstr>
      <vt:lpstr>Builder Ac</vt:lpstr>
      <vt:lpstr>working</vt:lpstr>
      <vt:lpstr>Assets</vt:lpstr>
      <vt:lpstr>Sheet2</vt:lpstr>
      <vt:lpstr>Sheet1</vt:lpstr>
      <vt:lpstr>Interest</vt:lpstr>
      <vt:lpstr>'Assets '!Print_Area</vt:lpstr>
      <vt:lpstr>'BS 25-26'!Print_Area</vt:lpstr>
      <vt:lpstr>'I&amp;E 25-26'!Print_Area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</dc:creator>
  <cp:lastModifiedBy>bharatboridkar@gmail.com</cp:lastModifiedBy>
  <cp:lastPrinted>2026-08-24T16:56:48Z</cp:lastPrinted>
  <dcterms:created xsi:type="dcterms:W3CDTF">2023-08-24T08:58:01Z</dcterms:created>
  <dcterms:modified xsi:type="dcterms:W3CDTF">2026-08-24T17:54:11Z</dcterms:modified>
</cp:coreProperties>
</file>