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BHARAT\2025-2026\BCB\AMS\007-Farry\"/>
    </mc:Choice>
  </mc:AlternateContent>
  <xr:revisionPtr revIDLastSave="0" documentId="13_ncr:1_{E9BCBD96-6767-48B5-9C47-279A990A91F5}" xr6:coauthVersionLast="47" xr6:coauthVersionMax="47" xr10:uidLastSave="{00000000-0000-0000-0000-000000000000}"/>
  <bookViews>
    <workbookView xWindow="-108" yWindow="-108" windowWidth="23256" windowHeight="12456" tabRatio="719" activeTab="4" xr2:uid="{00000000-000D-0000-FFFF-FFFF00000000}"/>
  </bookViews>
  <sheets>
    <sheet name="BS" sheetId="1" r:id="rId1"/>
    <sheet name="IE" sheetId="2" r:id="rId2"/>
    <sheet name="FD-Sch" sheetId="3" r:id="rId3"/>
    <sheet name="FA-Sh" sheetId="11" r:id="rId4"/>
    <sheet name="Member Receivable &amp; Advances" sheetId="13" r:id="rId5"/>
    <sheet name="Vendor Payable &amp; Adavnce" sheetId="15" r:id="rId6"/>
    <sheet name="BRS" sheetId="7" r:id="rId7"/>
    <sheet name="Workings" sheetId="8" r:id="rId8"/>
  </sheets>
  <definedNames>
    <definedName name="_xlnm.Print_Area" localSheetId="0">BS!$A$1:$H$58</definedName>
    <definedName name="_xlnm.Print_Area" localSheetId="3">'FA-Sh'!$A$1:$I$12</definedName>
    <definedName name="_xlnm.Print_Area" localSheetId="2">'FD-Sch'!$A$1:$L$33</definedName>
    <definedName name="_xlnm.Print_Area" localSheetId="1">IE!$A$1:$H$58</definedName>
    <definedName name="_xlnm.Print_Area" localSheetId="4">'Member Receivable &amp; Advances'!$A$1:$D$40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3" l="1"/>
  <c r="H14" i="3"/>
  <c r="C48" i="1"/>
  <c r="C48" i="2"/>
  <c r="C14" i="1"/>
  <c r="D39" i="13"/>
  <c r="D31" i="13"/>
  <c r="A1" i="13"/>
  <c r="E51" i="1"/>
  <c r="G8" i="1" l="1"/>
  <c r="H32" i="2" l="1"/>
  <c r="H27" i="2"/>
  <c r="J16" i="3" l="1"/>
  <c r="G5" i="3"/>
  <c r="D44" i="2"/>
  <c r="J31" i="3"/>
  <c r="J33" i="3"/>
  <c r="H31" i="3"/>
  <c r="H16" i="3"/>
  <c r="C19" i="15"/>
  <c r="C12" i="2"/>
  <c r="D20" i="2" s="1"/>
  <c r="D10" i="2"/>
  <c r="C15" i="1"/>
  <c r="C13" i="1"/>
  <c r="D7" i="13"/>
  <c r="C16" i="1"/>
  <c r="C24" i="1"/>
  <c r="C20" i="1"/>
  <c r="E49" i="1"/>
  <c r="G16" i="3"/>
  <c r="G15" i="3"/>
  <c r="G14" i="3"/>
  <c r="H13" i="3"/>
  <c r="G13" i="3"/>
  <c r="G19" i="3"/>
  <c r="G7" i="3"/>
  <c r="G33" i="3" s="1"/>
  <c r="G30" i="3"/>
  <c r="G29" i="3"/>
  <c r="G28" i="3"/>
  <c r="G27" i="3"/>
  <c r="G26" i="3"/>
  <c r="G25" i="3"/>
  <c r="E19" i="3"/>
  <c r="G9" i="3"/>
  <c r="G11" i="3"/>
  <c r="G12" i="3"/>
  <c r="G24" i="3"/>
  <c r="G10" i="3"/>
  <c r="G22" i="3"/>
  <c r="G21" i="3"/>
  <c r="G23" i="3"/>
  <c r="H23" i="3"/>
  <c r="D28" i="2"/>
  <c r="G7" i="2"/>
  <c r="G11" i="2"/>
  <c r="A49" i="2"/>
  <c r="G31" i="3" l="1"/>
  <c r="K7" i="8"/>
  <c r="K6" i="8"/>
  <c r="K9" i="8"/>
  <c r="K10" i="8" l="1"/>
  <c r="H6" i="3"/>
  <c r="D10" i="7"/>
  <c r="G23" i="1"/>
  <c r="C11" i="15"/>
  <c r="C34" i="1" s="1"/>
  <c r="G10" i="11"/>
  <c r="G13" i="2" l="1"/>
  <c r="H18" i="2" s="1"/>
  <c r="F15" i="3"/>
  <c r="E16" i="3"/>
  <c r="D16" i="3"/>
  <c r="F14" i="3"/>
  <c r="F30" i="3"/>
  <c r="H30" i="3" s="1"/>
  <c r="E31" i="3"/>
  <c r="D31" i="3"/>
  <c r="F29" i="3"/>
  <c r="H29" i="3" s="1"/>
  <c r="F28" i="3"/>
  <c r="H28" i="3" s="1"/>
  <c r="F27" i="3"/>
  <c r="H27" i="3" s="1"/>
  <c r="F26" i="3"/>
  <c r="H26" i="3" s="1"/>
  <c r="F25" i="3"/>
  <c r="H25" i="3" s="1"/>
  <c r="F5" i="3"/>
  <c r="H5" i="3" s="1"/>
  <c r="H7" i="3" s="1"/>
  <c r="H11" i="3" l="1"/>
  <c r="H12" i="3"/>
  <c r="H24" i="3"/>
  <c r="H10" i="3"/>
  <c r="H9" i="3"/>
  <c r="F16" i="3" l="1"/>
  <c r="H22" i="3"/>
  <c r="H21" i="3"/>
  <c r="E27" i="8"/>
  <c r="D26" i="8"/>
  <c r="D28" i="8"/>
  <c r="D25" i="8"/>
  <c r="D27" i="8" s="1"/>
  <c r="C22" i="8"/>
  <c r="D22" i="8" s="1"/>
  <c r="D21" i="8"/>
  <c r="D9" i="8"/>
  <c r="D8" i="8"/>
  <c r="D19" i="13"/>
  <c r="C33" i="1" s="1"/>
  <c r="D36" i="1" s="1"/>
  <c r="E12" i="11"/>
  <c r="D12" i="11"/>
  <c r="F12" i="11"/>
  <c r="G11" i="11"/>
  <c r="H11" i="11" s="1"/>
  <c r="I11" i="11" s="1"/>
  <c r="H49" i="2"/>
  <c r="A49" i="1"/>
  <c r="D44" i="1"/>
  <c r="D42" i="1"/>
  <c r="C22" i="1"/>
  <c r="D25" i="1" s="1"/>
  <c r="C18" i="1"/>
  <c r="D48" i="2" l="1"/>
  <c r="C47" i="2" s="1"/>
  <c r="E9" i="8"/>
  <c r="E28" i="8"/>
  <c r="H10" i="11"/>
  <c r="I10" i="11" s="1"/>
  <c r="F31" i="3"/>
  <c r="E22" i="8"/>
  <c r="D49" i="2" l="1"/>
  <c r="D48" i="1"/>
  <c r="K11" i="8"/>
  <c r="K12" i="8" s="1"/>
  <c r="F19" i="3"/>
  <c r="K15" i="8" l="1"/>
  <c r="K16" i="8" s="1"/>
  <c r="K17" i="8" s="1"/>
  <c r="G22" i="1"/>
  <c r="H27" i="1" s="1"/>
  <c r="H18" i="3"/>
  <c r="F7" i="3"/>
  <c r="F33" i="3" l="1"/>
  <c r="D19" i="7" l="1"/>
  <c r="C27" i="1" l="1"/>
  <c r="C14" i="8"/>
  <c r="D6" i="8"/>
  <c r="D5" i="8"/>
  <c r="E6" i="8" l="1"/>
  <c r="D29" i="1"/>
  <c r="E7" i="3" l="1"/>
  <c r="E33" i="3" s="1"/>
  <c r="D5" i="2"/>
  <c r="H5" i="2" s="1"/>
  <c r="H5" i="1"/>
  <c r="E5" i="1"/>
  <c r="A5" i="2" s="1"/>
  <c r="E5" i="2" s="1"/>
  <c r="D20" i="1"/>
  <c r="G9" i="11"/>
  <c r="G8" i="11"/>
  <c r="H8" i="11" s="1"/>
  <c r="G7" i="11"/>
  <c r="H7" i="11" s="1"/>
  <c r="G6" i="11"/>
  <c r="H6" i="11" s="1"/>
  <c r="G5" i="11"/>
  <c r="G4" i="11"/>
  <c r="H4" i="11" s="1"/>
  <c r="J7" i="3"/>
  <c r="J19" i="3"/>
  <c r="H10" i="1"/>
  <c r="G12" i="11" l="1"/>
  <c r="H33" i="3"/>
  <c r="I4" i="11"/>
  <c r="I8" i="11"/>
  <c r="I6" i="11"/>
  <c r="H5" i="11"/>
  <c r="I5" i="11" s="1"/>
  <c r="H9" i="11"/>
  <c r="I7" i="11"/>
  <c r="D7" i="3"/>
  <c r="D19" i="3"/>
  <c r="H19" i="3"/>
  <c r="A1" i="2"/>
  <c r="E51" i="2" s="1"/>
  <c r="I9" i="11" l="1"/>
  <c r="I12" i="11" s="1"/>
  <c r="H19" i="1" s="1"/>
  <c r="H12" i="11"/>
  <c r="D33" i="3"/>
  <c r="G15" i="1" s="1"/>
  <c r="H17" i="1" l="1"/>
  <c r="D14" i="8"/>
  <c r="D13" i="8"/>
  <c r="E49" i="2"/>
  <c r="E14" i="8" l="1"/>
  <c r="H49" i="1" l="1"/>
  <c r="D16" i="1"/>
  <c r="D49" i="1" s="1"/>
  <c r="J49" i="2" l="1"/>
  <c r="I52" i="1" l="1"/>
</calcChain>
</file>

<file path=xl/sharedStrings.xml><?xml version="1.0" encoding="utf-8"?>
<sst xmlns="http://schemas.openxmlformats.org/spreadsheetml/2006/main" count="362" uniqueCount="261">
  <si>
    <t>LIABILITIES</t>
  </si>
  <si>
    <t>ASSETS</t>
  </si>
  <si>
    <t>Note: Workings Page is not the be printed</t>
  </si>
  <si>
    <t>Cash and Bank Balances:</t>
  </si>
  <si>
    <t>Sinking Fund</t>
  </si>
  <si>
    <t>Certificate No.</t>
  </si>
  <si>
    <t>Bank</t>
  </si>
  <si>
    <t>Reserve Fund</t>
  </si>
  <si>
    <t>Maturity Date</t>
  </si>
  <si>
    <t>Authorised Share Capital</t>
  </si>
  <si>
    <t>Maturity Value</t>
  </si>
  <si>
    <t>Date</t>
  </si>
  <si>
    <t>Amount Invested</t>
  </si>
  <si>
    <t>Total</t>
  </si>
  <si>
    <t>Repair Fund</t>
  </si>
  <si>
    <t>Share Capital</t>
  </si>
  <si>
    <t>Balance as per last balance sheet</t>
  </si>
  <si>
    <t>Water Charges Payable</t>
  </si>
  <si>
    <t>Income and Expenditure Account:</t>
  </si>
  <si>
    <t>As per my report of even date</t>
  </si>
  <si>
    <t>Amount</t>
  </si>
  <si>
    <t>EXPENDITURE</t>
  </si>
  <si>
    <t>INCOME</t>
  </si>
  <si>
    <t>Water Charges</t>
  </si>
  <si>
    <t>Insurance Charges</t>
  </si>
  <si>
    <t>Sr.</t>
  </si>
  <si>
    <t>Int %</t>
  </si>
  <si>
    <t>Balance as per system (Book Balance)</t>
  </si>
  <si>
    <t>Balance as per passbook</t>
  </si>
  <si>
    <t>MDCC</t>
  </si>
  <si>
    <t>Electricity Charges</t>
  </si>
  <si>
    <t>Non Occupancy Charges</t>
  </si>
  <si>
    <t>Parking Charges</t>
  </si>
  <si>
    <t>Other Charges</t>
  </si>
  <si>
    <t>Late Payment Interest</t>
  </si>
  <si>
    <t>Interest Income</t>
  </si>
  <si>
    <t>Less: trf to Repair Fund</t>
  </si>
  <si>
    <t>Less: trf to Sinking Fund</t>
  </si>
  <si>
    <t>Other Income</t>
  </si>
  <si>
    <t>Scrap Sale</t>
  </si>
  <si>
    <t>Property Expenses</t>
  </si>
  <si>
    <t>Property Tax</t>
  </si>
  <si>
    <t>Electricity Expenses</t>
  </si>
  <si>
    <t>Water Expenses</t>
  </si>
  <si>
    <t>Service Expenses</t>
  </si>
  <si>
    <t>Subscription Federation</t>
  </si>
  <si>
    <t>Accounting Charges</t>
  </si>
  <si>
    <t>Office Expenses</t>
  </si>
  <si>
    <t>Meeting Expenses</t>
  </si>
  <si>
    <t>Professional Fees</t>
  </si>
  <si>
    <t>Printing and Stationary</t>
  </si>
  <si>
    <t>MDCC Bank</t>
  </si>
  <si>
    <t>Issued, Subscribed and Paid-Up</t>
  </si>
  <si>
    <t>Add: Additions during the year</t>
  </si>
  <si>
    <t>As per last balance sheet</t>
  </si>
  <si>
    <t>Add: Interest earned during the year</t>
  </si>
  <si>
    <t>Reserve Fund and Others:</t>
  </si>
  <si>
    <t>Investments:</t>
  </si>
  <si>
    <t>Fixed Deposits (As per Schedule I)</t>
  </si>
  <si>
    <t>Land and Building</t>
  </si>
  <si>
    <r>
      <t>Fixed Assets</t>
    </r>
    <r>
      <rPr>
        <sz val="11"/>
        <color theme="1"/>
        <rFont val="Calibri"/>
        <family val="2"/>
        <scheme val="minor"/>
      </rPr>
      <t xml:space="preserve"> (As per Schedule II)</t>
    </r>
  </si>
  <si>
    <t>TDS Receivable</t>
  </si>
  <si>
    <t>Current Liabilities and Provisions:</t>
  </si>
  <si>
    <t>Other Current Assets</t>
  </si>
  <si>
    <t>Grand Total</t>
  </si>
  <si>
    <t>Total Amount Invested</t>
  </si>
  <si>
    <t>Name</t>
  </si>
  <si>
    <t>Particulars</t>
  </si>
  <si>
    <t>Rate %</t>
  </si>
  <si>
    <t>Depreciation for the year</t>
  </si>
  <si>
    <t>Accrued Interest on Fixed Deposits</t>
  </si>
  <si>
    <t>Accrued Interest on Recurring Deposits</t>
  </si>
  <si>
    <t>Accrued Int 23-24</t>
  </si>
  <si>
    <t>Education &amp; Training Fund</t>
  </si>
  <si>
    <t>Add</t>
  </si>
  <si>
    <t>Less</t>
  </si>
  <si>
    <t>Cheque deposited but not cleared in Adda</t>
  </si>
  <si>
    <t>Cheque issued but not cleared in Adda</t>
  </si>
  <si>
    <t>Amount in Adda but not reconciled in Adda</t>
  </si>
  <si>
    <t>Provision</t>
  </si>
  <si>
    <t>Bank Charges</t>
  </si>
  <si>
    <t>Accrued Int 24-25</t>
  </si>
  <si>
    <t>Prepaid</t>
  </si>
  <si>
    <t>Postage &amp; Courier</t>
  </si>
  <si>
    <t>Interest on IT refund</t>
  </si>
  <si>
    <t>Interest on FD/RD</t>
  </si>
  <si>
    <t>80P2D Benefit</t>
  </si>
  <si>
    <t>0 To 10000</t>
  </si>
  <si>
    <t>10001 To 20000</t>
  </si>
  <si>
    <t>20001 Or more</t>
  </si>
  <si>
    <t>Education Cess</t>
  </si>
  <si>
    <t>Total Tax</t>
  </si>
  <si>
    <t>Rounded Off</t>
  </si>
  <si>
    <t>Income Tax Provision</t>
  </si>
  <si>
    <t>(Regd No : BOM/WP/HSG/TC/8669 of 1993-94)</t>
  </si>
  <si>
    <t>Opp. Bank of Baroda, Marve Road, Orlem, Malad(West), Mumbai, Maharashtra-400064</t>
  </si>
  <si>
    <t>24,000 shares of ₹50/- each</t>
  </si>
  <si>
    <t>290 shares of ₹50/- each</t>
  </si>
  <si>
    <t>Add: 25% Surplus transferd from I&amp;E</t>
  </si>
  <si>
    <t>Less:Repair expenses incurred</t>
  </si>
  <si>
    <t>TDS Payable</t>
  </si>
  <si>
    <t>Adavnce From Member - (Sch - 4)</t>
  </si>
  <si>
    <t>Payable to vendor - (Sch - 5)</t>
  </si>
  <si>
    <t>Retention Monery(R. Reddy)</t>
  </si>
  <si>
    <t>Retention Monery(Jessica)</t>
  </si>
  <si>
    <t>Audit Fee Payable</t>
  </si>
  <si>
    <t>Professional Fee Payable</t>
  </si>
  <si>
    <t>Income Tax Payable</t>
  </si>
  <si>
    <t>Other Liabilities</t>
  </si>
  <si>
    <t>Member's Contribution towards Land and Building</t>
  </si>
  <si>
    <t>Add: Excess of Income over Expenditure</t>
  </si>
  <si>
    <t>Cash Balance</t>
  </si>
  <si>
    <t>Saraswat Bank - Saving Account</t>
  </si>
  <si>
    <t>Saraswat Bank - Sweep Account</t>
  </si>
  <si>
    <t>1 Share of MDHF</t>
  </si>
  <si>
    <t>10 Shares of MDCC Bank</t>
  </si>
  <si>
    <t>Advance to Vendor - (Sch - 6)</t>
  </si>
  <si>
    <t>Member's Receivable (Sch - 3)</t>
  </si>
  <si>
    <t>Prepaid Insurance Charges</t>
  </si>
  <si>
    <t>Prepaid Intercom AMC</t>
  </si>
  <si>
    <t>Security Deposit with Tata Power</t>
  </si>
  <si>
    <t>R&amp;M - Water Tank Cleaning</t>
  </si>
  <si>
    <t>Arrears Property Tax</t>
  </si>
  <si>
    <t>To Repair and Maintenance Expenses</t>
  </si>
  <si>
    <t>R&amp;M - Lift AMC</t>
  </si>
  <si>
    <t>R&amp;M - Plumbing</t>
  </si>
  <si>
    <t>R&amp;M - Electrical</t>
  </si>
  <si>
    <t>R&amp;M - Other</t>
  </si>
  <si>
    <t>R&amp;M - Intercom AMC</t>
  </si>
  <si>
    <t>R&amp;M - Building</t>
  </si>
  <si>
    <t>Misc. Expenses</t>
  </si>
  <si>
    <t>Festival Expenses</t>
  </si>
  <si>
    <t>Election Expenses</t>
  </si>
  <si>
    <t>Salaries</t>
  </si>
  <si>
    <t>To Excess of Income over Expenditure</t>
  </si>
  <si>
    <t>25% transferred to Reserve Fund</t>
  </si>
  <si>
    <t>Excess of Incme Over Expenditure</t>
  </si>
  <si>
    <t>Security charges</t>
  </si>
  <si>
    <t>Depreciation on Fixed Assets</t>
  </si>
  <si>
    <t>Insurance Expenses</t>
  </si>
  <si>
    <t>Audit Fees</t>
  </si>
  <si>
    <t>By Contribution from member towards:-</t>
  </si>
  <si>
    <t>Maintenance Charges</t>
  </si>
  <si>
    <t>Shifting Charges</t>
  </si>
  <si>
    <t>Legal Charges</t>
  </si>
  <si>
    <t>Interest income - Savings Account</t>
  </si>
  <si>
    <t>Interest income - Sweep Deposit</t>
  </si>
  <si>
    <t>Interest on Income Tax Refund</t>
  </si>
  <si>
    <t>Interest Income - Fixed Deposit</t>
  </si>
  <si>
    <t>FARRY APARTMENTS CO-OP.HSG.SOC.LTD</t>
  </si>
  <si>
    <t>SVC</t>
  </si>
  <si>
    <t>SCB</t>
  </si>
  <si>
    <t>23.09.2024</t>
  </si>
  <si>
    <t>28.01.2026</t>
  </si>
  <si>
    <t>21.09.2025</t>
  </si>
  <si>
    <t>15.07.2025</t>
  </si>
  <si>
    <t>14.07.2025</t>
  </si>
  <si>
    <t>01.01.2026</t>
  </si>
  <si>
    <t>General Reserve Fund</t>
  </si>
  <si>
    <t>26.05.2025</t>
  </si>
  <si>
    <t>14.05.2025</t>
  </si>
  <si>
    <t>17.07.2025</t>
  </si>
  <si>
    <t>Sr.No</t>
  </si>
  <si>
    <t>Office Premises</t>
  </si>
  <si>
    <t>Furniture and Fixtures</t>
  </si>
  <si>
    <t>Borewell</t>
  </si>
  <si>
    <t>Intercome System</t>
  </si>
  <si>
    <t>CCTV</t>
  </si>
  <si>
    <t>Garden Equipment</t>
  </si>
  <si>
    <t>Fogging Machine</t>
  </si>
  <si>
    <t>Unit</t>
  </si>
  <si>
    <t>Name The Member</t>
  </si>
  <si>
    <t>Sl.No</t>
  </si>
  <si>
    <t>R&amp;M - Garden Expenses</t>
  </si>
  <si>
    <t>Intercom Expenses</t>
  </si>
  <si>
    <t>Housekeeping Expenses</t>
  </si>
  <si>
    <t>Interest on TDS</t>
  </si>
  <si>
    <t>TDS Filing</t>
  </si>
  <si>
    <t>TD1001264532</t>
  </si>
  <si>
    <t>12.07.2024</t>
  </si>
  <si>
    <t>TD1001264534</t>
  </si>
  <si>
    <t>TD1001264542</t>
  </si>
  <si>
    <t>TD1001264563</t>
  </si>
  <si>
    <t xml:space="preserve">TD1001538948 </t>
  </si>
  <si>
    <t>17.02.2025</t>
  </si>
  <si>
    <t>TD1001575057</t>
  </si>
  <si>
    <t>24.03.2025</t>
  </si>
  <si>
    <t>300001000184534</t>
  </si>
  <si>
    <t>24.09.2024</t>
  </si>
  <si>
    <t>300000100148176</t>
  </si>
  <si>
    <t>Ms. Sheila Seth</t>
  </si>
  <si>
    <t>Mr. K. K. Francis &amp; Mrs. Kumari Francis</t>
  </si>
  <si>
    <t>Ms. Zita Arthur Rodrigues &amp; Mr. Arthur J. Rodrigues</t>
  </si>
  <si>
    <t>Mr. Sydney Joe Lobo &amp; Mrs. Karen Maria Rodrigues</t>
  </si>
  <si>
    <t>Name The Vendor</t>
  </si>
  <si>
    <t>BMC Property Tax</t>
  </si>
  <si>
    <t>BMC Water Tax</t>
  </si>
  <si>
    <t>Chitra Parmar</t>
  </si>
  <si>
    <t>Deepak Security Service</t>
  </si>
  <si>
    <t>Gardner</t>
  </si>
  <si>
    <t>Shantaram Kulkar</t>
  </si>
  <si>
    <t>TATA Power</t>
  </si>
  <si>
    <t>Amount not enter in Adda</t>
  </si>
  <si>
    <t>Amount Reconciled in FY2025-26</t>
  </si>
  <si>
    <t>Interest on Sweep</t>
  </si>
  <si>
    <t>Interest on Saving</t>
  </si>
  <si>
    <t>Bank charges of prematured FD Penalty</t>
  </si>
  <si>
    <t>TDS Reimbursement to Irene Rosario</t>
  </si>
  <si>
    <t>Provision already made</t>
  </si>
  <si>
    <t>FY 2023-24</t>
  </si>
  <si>
    <t>Cheque Return Charges</t>
  </si>
  <si>
    <t>Penalty</t>
  </si>
  <si>
    <t>Pest Control Charges</t>
  </si>
  <si>
    <t>Conveyance Charges</t>
  </si>
  <si>
    <t>Structural Audit</t>
  </si>
  <si>
    <t>DG Diesel Exp</t>
  </si>
  <si>
    <t>Schedule 2: Details of Fixed Assets as on 31.03.2026</t>
  </si>
  <si>
    <t>Closing W.D.V. as of 31.03.2026</t>
  </si>
  <si>
    <t>Opening W.D.V. as of 01.04.2025</t>
  </si>
  <si>
    <t>Gross Block (at cost) as of 31.03.26</t>
  </si>
  <si>
    <t>Additions during the year before 30.09.25</t>
  </si>
  <si>
    <t>Additions during the year after 30.09.25</t>
  </si>
  <si>
    <t>Accrued Int 25-26</t>
  </si>
  <si>
    <t>TD0000412508_04</t>
  </si>
  <si>
    <t>TD0000412510_04</t>
  </si>
  <si>
    <t>TD0000412511_04</t>
  </si>
  <si>
    <t>TD0000412515_03</t>
  </si>
  <si>
    <t>TD1000854262_01</t>
  </si>
  <si>
    <t>TD1000854263_1</t>
  </si>
  <si>
    <t>TD1000855564_01</t>
  </si>
  <si>
    <t>TD0000412514_03</t>
  </si>
  <si>
    <t>01.01.2028</t>
  </si>
  <si>
    <t>TD1002022122</t>
  </si>
  <si>
    <t>13.02.2026</t>
  </si>
  <si>
    <t>13.02.2028</t>
  </si>
  <si>
    <t>Ms. Asha Arun Kala &amp; Mrs. Namita Sandeep Chabra</t>
  </si>
  <si>
    <t>G001</t>
  </si>
  <si>
    <t>Mrs Nerissa Aaguiar</t>
  </si>
  <si>
    <t>Mr. Prakash Godwin Rodrigues &amp; Mrs. Nancy Rodrigues</t>
  </si>
  <si>
    <t>Ms. Charmaine E. Lobo &amp; Mrs. Agnes N. Lobo</t>
  </si>
  <si>
    <t>Mr. Valerian J Henriques</t>
  </si>
  <si>
    <t>Schedule 3 : Member's Receivable as on 31.03.2026</t>
  </si>
  <si>
    <t>Schedule 4 : Member's Adavances as on 31.03.2026</t>
  </si>
  <si>
    <t>Wise Construction</t>
  </si>
  <si>
    <t>Shankar Majhi</t>
  </si>
  <si>
    <t>Schedule 5 : Vendor Payable as on 31.03.2026</t>
  </si>
  <si>
    <t>Schedule 6 : Advance to Vendor as on 31.03.2026</t>
  </si>
  <si>
    <t>Saraswat Bank Reconciliation Statement as on 31.03.2026</t>
  </si>
  <si>
    <t>MDCC Bank Reconciliation Statement as on 31.03.2026</t>
  </si>
  <si>
    <t>Miscellaneous Income</t>
  </si>
  <si>
    <t>Ivan Rosario</t>
  </si>
  <si>
    <t>Schedule 1: Details of Fixed Deposits as on 31.03.2026</t>
  </si>
  <si>
    <t>Income and Expenditure Account for the year ended March 31, 2026</t>
  </si>
  <si>
    <t>Balance Sheet as at March 31, 2026</t>
  </si>
  <si>
    <t>FARRY APARTMENT CO-OPERATIVE HOUSING SOCIETY LTD.</t>
  </si>
  <si>
    <t>Shri. Bharat C. Boridkar</t>
  </si>
  <si>
    <t>Govt. Certified Panel Auditor</t>
  </si>
  <si>
    <t>Secretary                                 Chairman                                Treasurer</t>
  </si>
  <si>
    <t>[Panel No.: Mumbai-4/C1/1011404]</t>
  </si>
  <si>
    <t>Total :-</t>
  </si>
  <si>
    <t>Less: trf  to Reserve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</si>
</sst>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&quot;Mumbai: &quot;dd&quot;th&quot;\ mmmm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42626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2" fillId="0" borderId="0"/>
  </cellStyleXfs>
  <cellXfs count="186">
    <xf numFmtId="0" fontId="0" fillId="0" borderId="0" xfId="0"/>
    <xf numFmtId="43" fontId="0" fillId="0" borderId="0" xfId="1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0" fillId="0" borderId="1" xfId="0" applyBorder="1"/>
    <xf numFmtId="43" fontId="2" fillId="0" borderId="13" xfId="1" applyFont="1" applyBorder="1"/>
    <xf numFmtId="0" fontId="0" fillId="0" borderId="14" xfId="0" applyBorder="1" applyAlignment="1">
      <alignment horizontal="center"/>
    </xf>
    <xf numFmtId="43" fontId="0" fillId="0" borderId="0" xfId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43" fontId="0" fillId="0" borderId="6" xfId="1" applyFont="1" applyFill="1" applyBorder="1" applyAlignment="1">
      <alignment vertical="center"/>
    </xf>
    <xf numFmtId="0" fontId="2" fillId="0" borderId="1" xfId="0" applyFont="1" applyBorder="1"/>
    <xf numFmtId="43" fontId="0" fillId="0" borderId="7" xfId="1" applyFont="1" applyFill="1" applyBorder="1" applyAlignment="1">
      <alignment vertical="center"/>
    </xf>
    <xf numFmtId="43" fontId="0" fillId="0" borderId="0" xfId="0" applyNumberFormat="1"/>
    <xf numFmtId="164" fontId="0" fillId="0" borderId="0" xfId="1" applyNumberFormat="1" applyFont="1" applyFill="1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43" fontId="0" fillId="0" borderId="11" xfId="1" applyFont="1" applyFill="1" applyBorder="1" applyAlignment="1">
      <alignment vertical="center"/>
    </xf>
    <xf numFmtId="43" fontId="2" fillId="0" borderId="11" xfId="1" applyFont="1" applyFill="1" applyBorder="1" applyAlignment="1">
      <alignment vertical="center"/>
    </xf>
    <xf numFmtId="164" fontId="2" fillId="0" borderId="0" xfId="1" applyNumberFormat="1" applyFon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/>
    <xf numFmtId="43" fontId="0" fillId="0" borderId="1" xfId="1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64" fontId="1" fillId="0" borderId="1" xfId="1" applyNumberFormat="1" applyFont="1" applyFill="1" applyBorder="1" applyAlignment="1">
      <alignment horizontal="center"/>
    </xf>
    <xf numFmtId="4" fontId="3" fillId="0" borderId="0" xfId="0" applyNumberFormat="1" applyFont="1"/>
    <xf numFmtId="10" fontId="0" fillId="0" borderId="0" xfId="1" applyNumberFormat="1" applyFont="1" applyFill="1" applyBorder="1" applyAlignment="1">
      <alignment horizontal="center"/>
    </xf>
    <xf numFmtId="164" fontId="0" fillId="0" borderId="16" xfId="1" applyNumberFormat="1" applyFont="1" applyFill="1" applyBorder="1" applyAlignment="1">
      <alignment horizontal="center"/>
    </xf>
    <xf numFmtId="164" fontId="0" fillId="0" borderId="16" xfId="1" applyNumberFormat="1" applyFont="1" applyFill="1" applyBorder="1"/>
    <xf numFmtId="43" fontId="0" fillId="0" borderId="16" xfId="1" applyFont="1" applyFill="1" applyBorder="1" applyAlignment="1">
      <alignment horizontal="center"/>
    </xf>
    <xf numFmtId="164" fontId="0" fillId="0" borderId="11" xfId="1" applyNumberFormat="1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43" fontId="0" fillId="0" borderId="0" xfId="1" applyFont="1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0" fontId="2" fillId="0" borderId="5" xfId="1" applyNumberFormat="1" applyFont="1" applyFill="1" applyBorder="1" applyAlignment="1">
      <alignment vertical="center"/>
    </xf>
    <xf numFmtId="43" fontId="2" fillId="0" borderId="12" xfId="1" applyFont="1" applyFill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43" fontId="1" fillId="0" borderId="5" xfId="1" applyFont="1" applyFill="1" applyBorder="1" applyAlignment="1">
      <alignment vertical="center"/>
    </xf>
    <xf numFmtId="43" fontId="2" fillId="0" borderId="0" xfId="1" applyFont="1" applyFill="1" applyAlignment="1">
      <alignment vertical="center"/>
    </xf>
    <xf numFmtId="43" fontId="0" fillId="0" borderId="0" xfId="1" applyFont="1" applyFill="1" applyBorder="1" applyAlignment="1">
      <alignment vertical="center"/>
    </xf>
    <xf numFmtId="43" fontId="2" fillId="0" borderId="5" xfId="1" applyFont="1" applyFill="1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164" fontId="0" fillId="0" borderId="6" xfId="1" applyNumberFormat="1" applyFont="1" applyFill="1" applyBorder="1" applyAlignment="1">
      <alignment vertical="center"/>
    </xf>
    <xf numFmtId="14" fontId="0" fillId="0" borderId="0" xfId="0" applyNumberFormat="1"/>
    <xf numFmtId="164" fontId="2" fillId="0" borderId="0" xfId="1" applyNumberFormat="1" applyFont="1" applyFill="1" applyBorder="1"/>
    <xf numFmtId="43" fontId="0" fillId="0" borderId="14" xfId="0" applyNumberFormat="1" applyBorder="1"/>
    <xf numFmtId="43" fontId="0" fillId="0" borderId="0" xfId="1" applyFont="1" applyFill="1" applyBorder="1"/>
    <xf numFmtId="9" fontId="0" fillId="0" borderId="0" xfId="0" applyNumberFormat="1"/>
    <xf numFmtId="0" fontId="2" fillId="0" borderId="3" xfId="0" applyFont="1" applyBorder="1"/>
    <xf numFmtId="2" fontId="2" fillId="0" borderId="3" xfId="0" applyNumberFormat="1" applyFont="1" applyBorder="1"/>
    <xf numFmtId="165" fontId="0" fillId="0" borderId="0" xfId="1" applyNumberFormat="1" applyFont="1" applyFill="1"/>
    <xf numFmtId="14" fontId="0" fillId="0" borderId="0" xfId="0" applyNumberFormat="1" applyAlignment="1">
      <alignment horizontal="right"/>
    </xf>
    <xf numFmtId="164" fontId="2" fillId="2" borderId="0" xfId="1" applyNumberFormat="1" applyFont="1" applyFill="1" applyBorder="1"/>
    <xf numFmtId="1" fontId="0" fillId="0" borderId="1" xfId="0" quotePrefix="1" applyNumberForma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6" xfId="0" quotePrefix="1" applyBorder="1" applyAlignment="1">
      <alignment horizontal="left"/>
    </xf>
    <xf numFmtId="0" fontId="0" fillId="0" borderId="16" xfId="0" applyBorder="1" applyAlignment="1">
      <alignment horizontal="center"/>
    </xf>
    <xf numFmtId="164" fontId="1" fillId="0" borderId="1" xfId="1" applyNumberFormat="1" applyFont="1" applyBorder="1"/>
    <xf numFmtId="43" fontId="1" fillId="0" borderId="6" xfId="1" applyFont="1" applyFill="1" applyBorder="1" applyAlignment="1">
      <alignment vertical="center"/>
    </xf>
    <xf numFmtId="0" fontId="2" fillId="0" borderId="17" xfId="1" applyNumberFormat="1" applyFont="1" applyFill="1" applyBorder="1" applyAlignment="1">
      <alignment vertical="center"/>
    </xf>
    <xf numFmtId="43" fontId="2" fillId="0" borderId="17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3" fontId="8" fillId="0" borderId="0" xfId="1" applyFont="1" applyFill="1" applyBorder="1" applyAlignment="1">
      <alignment vertical="center"/>
    </xf>
    <xf numFmtId="43" fontId="8" fillId="0" borderId="14" xfId="1" applyFont="1" applyFill="1" applyBorder="1" applyAlignment="1">
      <alignment vertical="center"/>
    </xf>
    <xf numFmtId="43" fontId="0" fillId="0" borderId="14" xfId="1" applyFont="1" applyFill="1" applyBorder="1" applyAlignment="1">
      <alignment vertical="center"/>
    </xf>
    <xf numFmtId="43" fontId="2" fillId="0" borderId="7" xfId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18" xfId="1" applyFont="1" applyFill="1" applyBorder="1" applyAlignment="1">
      <alignment vertical="center"/>
    </xf>
    <xf numFmtId="15" fontId="2" fillId="0" borderId="21" xfId="1" quotePrefix="1" applyNumberFormat="1" applyFont="1" applyFill="1" applyBorder="1" applyAlignment="1">
      <alignment horizontal="center" vertical="center"/>
    </xf>
    <xf numFmtId="15" fontId="2" fillId="0" borderId="21" xfId="1" applyNumberFormat="1" applyFont="1" applyFill="1" applyBorder="1" applyAlignment="1">
      <alignment horizontal="center" vertical="center"/>
    </xf>
    <xf numFmtId="15" fontId="2" fillId="0" borderId="23" xfId="1" applyNumberFormat="1" applyFont="1" applyFill="1" applyBorder="1" applyAlignment="1">
      <alignment horizontal="center" vertical="center"/>
    </xf>
    <xf numFmtId="43" fontId="2" fillId="0" borderId="20" xfId="1" applyFont="1" applyFill="1" applyBorder="1" applyAlignment="1">
      <alignment vertical="center"/>
    </xf>
    <xf numFmtId="15" fontId="2" fillId="0" borderId="25" xfId="1" quotePrefix="1" applyNumberFormat="1" applyFont="1" applyFill="1" applyBorder="1" applyAlignment="1">
      <alignment horizontal="center" vertical="center"/>
    </xf>
    <xf numFmtId="43" fontId="2" fillId="0" borderId="26" xfId="1" applyFont="1" applyFill="1" applyBorder="1" applyAlignment="1">
      <alignment vertical="center"/>
    </xf>
    <xf numFmtId="43" fontId="2" fillId="0" borderId="27" xfId="1" applyFont="1" applyFill="1" applyBorder="1" applyAlignment="1">
      <alignment vertical="center"/>
    </xf>
    <xf numFmtId="43" fontId="0" fillId="0" borderId="26" xfId="1" applyFont="1" applyFill="1" applyBorder="1" applyAlignment="1">
      <alignment vertical="center"/>
    </xf>
    <xf numFmtId="43" fontId="1" fillId="0" borderId="0" xfId="1" applyFont="1" applyFill="1" applyBorder="1" applyAlignment="1">
      <alignment vertical="center"/>
    </xf>
    <xf numFmtId="43" fontId="2" fillId="0" borderId="24" xfId="1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164" fontId="2" fillId="0" borderId="21" xfId="1" applyNumberFormat="1" applyFont="1" applyFill="1" applyBorder="1" applyAlignment="1">
      <alignment horizontal="center" vertical="center" wrapText="1"/>
    </xf>
    <xf numFmtId="43" fontId="2" fillId="0" borderId="21" xfId="1" applyFont="1" applyFill="1" applyBorder="1" applyAlignment="1">
      <alignment horizontal="center" vertical="center" wrapText="1"/>
    </xf>
    <xf numFmtId="10" fontId="2" fillId="0" borderId="21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64" fontId="2" fillId="0" borderId="18" xfId="1" applyNumberFormat="1" applyFont="1" applyFill="1" applyBorder="1"/>
    <xf numFmtId="43" fontId="0" fillId="0" borderId="13" xfId="1" applyFont="1" applyFill="1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164" fontId="2" fillId="0" borderId="18" xfId="1" applyNumberFormat="1" applyFont="1" applyFill="1" applyBorder="1" applyAlignment="1">
      <alignment horizontal="center"/>
    </xf>
    <xf numFmtId="164" fontId="2" fillId="0" borderId="30" xfId="1" applyNumberFormat="1" applyFont="1" applyFill="1" applyBorder="1" applyAlignment="1">
      <alignment horizontal="center"/>
    </xf>
    <xf numFmtId="43" fontId="0" fillId="0" borderId="30" xfId="1" applyFont="1" applyFill="1" applyBorder="1" applyAlignment="1">
      <alignment horizontal="center"/>
    </xf>
    <xf numFmtId="10" fontId="0" fillId="0" borderId="30" xfId="1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43" fontId="0" fillId="0" borderId="1" xfId="1" applyFont="1" applyBorder="1" applyAlignment="1">
      <alignment vertical="center"/>
    </xf>
    <xf numFmtId="43" fontId="0" fillId="0" borderId="16" xfId="1" applyFont="1" applyBorder="1" applyAlignment="1">
      <alignment vertical="center"/>
    </xf>
    <xf numFmtId="43" fontId="0" fillId="0" borderId="15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43" fontId="0" fillId="0" borderId="21" xfId="1" applyFont="1" applyBorder="1" applyAlignment="1">
      <alignment vertical="center"/>
    </xf>
    <xf numFmtId="43" fontId="0" fillId="0" borderId="21" xfId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43" fontId="0" fillId="0" borderId="30" xfId="1" applyFont="1" applyBorder="1" applyAlignment="1">
      <alignment vertical="center"/>
    </xf>
    <xf numFmtId="43" fontId="2" fillId="0" borderId="30" xfId="1" applyFont="1" applyBorder="1" applyAlignment="1">
      <alignment vertical="center"/>
    </xf>
    <xf numFmtId="43" fontId="2" fillId="0" borderId="31" xfId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43" fontId="7" fillId="0" borderId="5" xfId="1" applyFont="1" applyFill="1" applyBorder="1" applyAlignment="1">
      <alignment vertical="center"/>
    </xf>
    <xf numFmtId="1" fontId="10" fillId="0" borderId="5" xfId="2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1" fontId="11" fillId="0" borderId="5" xfId="2" applyNumberFormat="1" applyFont="1" applyBorder="1" applyAlignment="1">
      <alignment vertical="center"/>
    </xf>
    <xf numFmtId="15" fontId="2" fillId="0" borderId="25" xfId="1" applyNumberFormat="1" applyFont="1" applyFill="1" applyBorder="1" applyAlignment="1">
      <alignment horizontal="center" vertical="center"/>
    </xf>
    <xf numFmtId="0" fontId="0" fillId="0" borderId="5" xfId="1" applyNumberFormat="1" applyFont="1" applyFill="1" applyBorder="1" applyAlignment="1">
      <alignment vertical="center"/>
    </xf>
    <xf numFmtId="43" fontId="1" fillId="0" borderId="11" xfId="1" applyFont="1" applyFill="1" applyBorder="1" applyAlignment="1">
      <alignment vertical="center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43" fontId="6" fillId="0" borderId="2" xfId="1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/>
    </xf>
    <xf numFmtId="43" fontId="6" fillId="0" borderId="4" xfId="1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center"/>
    </xf>
    <xf numFmtId="43" fontId="1" fillId="0" borderId="0" xfId="1" applyFont="1" applyFill="1" applyBorder="1" applyAlignment="1">
      <alignment horizontal="center" vertical="center"/>
    </xf>
    <xf numFmtId="43" fontId="1" fillId="0" borderId="6" xfId="1" applyFont="1" applyFill="1" applyBorder="1" applyAlignment="1">
      <alignment horizontal="center" vertical="center"/>
    </xf>
    <xf numFmtId="43" fontId="5" fillId="0" borderId="8" xfId="1" applyFont="1" applyFill="1" applyBorder="1" applyAlignment="1">
      <alignment horizontal="center" vertical="center"/>
    </xf>
    <xf numFmtId="43" fontId="5" fillId="0" borderId="9" xfId="1" applyFont="1" applyFill="1" applyBorder="1" applyAlignment="1">
      <alignment horizontal="center" vertical="center"/>
    </xf>
    <xf numFmtId="43" fontId="5" fillId="0" borderId="10" xfId="1" applyFont="1" applyFill="1" applyBorder="1" applyAlignment="1">
      <alignment horizontal="center" vertical="center"/>
    </xf>
    <xf numFmtId="43" fontId="2" fillId="0" borderId="22" xfId="1" applyFont="1" applyFill="1" applyBorder="1" applyAlignment="1">
      <alignment horizontal="center" vertical="center"/>
    </xf>
    <xf numFmtId="43" fontId="2" fillId="0" borderId="23" xfId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43" fontId="4" fillId="0" borderId="6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166" fontId="11" fillId="0" borderId="17" xfId="3" applyNumberFormat="1" applyFont="1" applyBorder="1" applyAlignment="1">
      <alignment horizontal="left" vertical="center"/>
    </xf>
    <xf numFmtId="166" fontId="11" fillId="0" borderId="14" xfId="3" applyNumberFormat="1" applyFont="1" applyBorder="1" applyAlignment="1">
      <alignment horizontal="left" vertical="center"/>
    </xf>
    <xf numFmtId="43" fontId="2" fillId="0" borderId="18" xfId="1" applyFont="1" applyFill="1" applyBorder="1" applyAlignment="1">
      <alignment horizontal="center" vertical="center"/>
    </xf>
    <xf numFmtId="43" fontId="2" fillId="0" borderId="21" xfId="1" applyFont="1" applyFill="1" applyBorder="1" applyAlignment="1">
      <alignment horizontal="center" vertical="center"/>
    </xf>
    <xf numFmtId="43" fontId="2" fillId="0" borderId="19" xfId="1" applyFont="1" applyFill="1" applyBorder="1" applyAlignment="1">
      <alignment horizontal="center" vertical="center"/>
    </xf>
    <xf numFmtId="43" fontId="2" fillId="0" borderId="2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3" fontId="2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BSPL 2004 NS" xfId="3" xr:uid="{A5BC8D3F-A00C-45FD-B2B4-68C7D4BF9DB3}"/>
    <cellStyle name="Normal_FY 2003-2004  2 2" xfId="2" xr:uid="{EF906300-F166-40B7-B5A8-A3649F1D0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view="pageBreakPreview" topLeftCell="A5" zoomScaleNormal="112" zoomScaleSheetLayoutView="100" workbookViewId="0">
      <selection activeCell="J19" sqref="J19"/>
    </sheetView>
  </sheetViews>
  <sheetFormatPr defaultColWidth="12.5546875" defaultRowHeight="14.4" x14ac:dyDescent="0.3"/>
  <cols>
    <col min="1" max="1" width="14.77734375" style="43" customWidth="1"/>
    <col min="2" max="2" width="47.33203125" style="43" bestFit="1" customWidth="1"/>
    <col min="3" max="3" width="14.77734375" style="43" customWidth="1"/>
    <col min="4" max="4" width="14.77734375" style="49" customWidth="1"/>
    <col min="5" max="5" width="14.77734375" style="43" customWidth="1"/>
    <col min="6" max="6" width="41.109375" style="43" bestFit="1" customWidth="1"/>
    <col min="7" max="7" width="14.77734375" style="43" customWidth="1"/>
    <col min="8" max="8" width="14.77734375" style="49" customWidth="1"/>
    <col min="9" max="9" width="16" style="43" bestFit="1" customWidth="1"/>
    <col min="10" max="10" width="17.6640625" style="43" bestFit="1" customWidth="1"/>
    <col min="11" max="16384" width="12.5546875" style="43"/>
  </cols>
  <sheetData>
    <row r="1" spans="1:10" ht="21" x14ac:dyDescent="0.3">
      <c r="A1" s="152" t="s">
        <v>254</v>
      </c>
      <c r="B1" s="153"/>
      <c r="C1" s="153"/>
      <c r="D1" s="153"/>
      <c r="E1" s="153"/>
      <c r="F1" s="153"/>
      <c r="G1" s="153"/>
      <c r="H1" s="154"/>
    </row>
    <row r="2" spans="1:10" x14ac:dyDescent="0.3">
      <c r="A2" s="155" t="s">
        <v>94</v>
      </c>
      <c r="B2" s="156"/>
      <c r="C2" s="156"/>
      <c r="D2" s="156"/>
      <c r="E2" s="156"/>
      <c r="F2" s="156"/>
      <c r="G2" s="156"/>
      <c r="H2" s="157"/>
    </row>
    <row r="3" spans="1:10" x14ac:dyDescent="0.3">
      <c r="A3" s="155" t="s">
        <v>95</v>
      </c>
      <c r="B3" s="156"/>
      <c r="C3" s="156"/>
      <c r="D3" s="156"/>
      <c r="E3" s="156"/>
      <c r="F3" s="156"/>
      <c r="G3" s="156"/>
      <c r="H3" s="157"/>
    </row>
    <row r="4" spans="1:10" ht="18" x14ac:dyDescent="0.3">
      <c r="A4" s="158" t="s">
        <v>253</v>
      </c>
      <c r="B4" s="159"/>
      <c r="C4" s="159"/>
      <c r="D4" s="159"/>
      <c r="E4" s="159"/>
      <c r="F4" s="159"/>
      <c r="G4" s="159"/>
      <c r="H4" s="160"/>
    </row>
    <row r="5" spans="1:10" s="44" customFormat="1" ht="15" thickBot="1" x14ac:dyDescent="0.35">
      <c r="A5" s="83">
        <v>45747</v>
      </c>
      <c r="B5" s="161" t="s">
        <v>0</v>
      </c>
      <c r="C5" s="162"/>
      <c r="D5" s="87">
        <v>46112</v>
      </c>
      <c r="E5" s="85">
        <f>+A5</f>
        <v>45747</v>
      </c>
      <c r="F5" s="161" t="s">
        <v>1</v>
      </c>
      <c r="G5" s="162"/>
      <c r="H5" s="84">
        <f>+D5</f>
        <v>46112</v>
      </c>
    </row>
    <row r="6" spans="1:10" x14ac:dyDescent="0.3">
      <c r="A6" s="22"/>
      <c r="B6" s="45" t="s">
        <v>9</v>
      </c>
      <c r="C6" s="10"/>
      <c r="D6" s="88"/>
      <c r="E6" s="10"/>
      <c r="F6" s="45" t="s">
        <v>3</v>
      </c>
      <c r="G6" s="10"/>
      <c r="H6" s="23"/>
    </row>
    <row r="7" spans="1:10" ht="15" thickBot="1" x14ac:dyDescent="0.35">
      <c r="A7" s="46">
        <v>1200000</v>
      </c>
      <c r="B7" s="47" t="s">
        <v>96</v>
      </c>
      <c r="C7" s="10"/>
      <c r="D7" s="89">
        <v>1200000</v>
      </c>
      <c r="E7" s="10">
        <v>288</v>
      </c>
      <c r="F7" s="47" t="s">
        <v>111</v>
      </c>
      <c r="G7" s="73">
        <v>107</v>
      </c>
      <c r="H7" s="23"/>
    </row>
    <row r="8" spans="1:10" ht="15" thickTop="1" x14ac:dyDescent="0.3">
      <c r="A8" s="22"/>
      <c r="B8" s="48"/>
      <c r="C8" s="10"/>
      <c r="D8" s="88"/>
      <c r="E8" s="10">
        <v>110575.29</v>
      </c>
      <c r="F8" s="47" t="s">
        <v>112</v>
      </c>
      <c r="G8" s="10">
        <f>BRS!D5</f>
        <v>246018.67</v>
      </c>
      <c r="H8" s="23"/>
    </row>
    <row r="9" spans="1:10" x14ac:dyDescent="0.3">
      <c r="A9" s="22"/>
      <c r="B9" s="45" t="s">
        <v>52</v>
      </c>
      <c r="C9" s="10"/>
      <c r="D9" s="88"/>
      <c r="E9" s="10">
        <v>0</v>
      </c>
      <c r="F9" s="47" t="s">
        <v>113</v>
      </c>
      <c r="G9" s="10">
        <v>50000</v>
      </c>
      <c r="H9" s="23"/>
    </row>
    <row r="10" spans="1:10" x14ac:dyDescent="0.3">
      <c r="A10" s="22">
        <v>14500</v>
      </c>
      <c r="B10" s="47" t="s">
        <v>97</v>
      </c>
      <c r="C10" s="10"/>
      <c r="D10" s="88">
        <v>14500</v>
      </c>
      <c r="E10" s="10">
        <v>26652</v>
      </c>
      <c r="F10" s="48" t="s">
        <v>51</v>
      </c>
      <c r="G10" s="12">
        <v>29158</v>
      </c>
      <c r="H10" s="23">
        <f>SUM(G7:G10)</f>
        <v>325283.67000000004</v>
      </c>
    </row>
    <row r="11" spans="1:10" x14ac:dyDescent="0.3">
      <c r="A11" s="22"/>
      <c r="B11" s="45" t="s">
        <v>56</v>
      </c>
      <c r="C11" s="50"/>
      <c r="D11" s="88"/>
      <c r="E11" s="10"/>
      <c r="F11" s="48"/>
      <c r="G11" s="10"/>
      <c r="H11" s="23"/>
    </row>
    <row r="12" spans="1:10" x14ac:dyDescent="0.3">
      <c r="A12" s="22"/>
      <c r="B12" s="81" t="s">
        <v>7</v>
      </c>
      <c r="C12" s="50"/>
      <c r="D12" s="88"/>
      <c r="E12" s="10"/>
      <c r="F12" s="45" t="s">
        <v>57</v>
      </c>
      <c r="G12" s="10"/>
      <c r="H12" s="23"/>
    </row>
    <row r="13" spans="1:10" x14ac:dyDescent="0.3">
      <c r="A13" s="22">
        <v>928711</v>
      </c>
      <c r="B13" s="50" t="s">
        <v>54</v>
      </c>
      <c r="C13" s="50">
        <f>SUM(A13:A16)</f>
        <v>1202968</v>
      </c>
      <c r="D13" s="88"/>
      <c r="E13" s="10">
        <v>100</v>
      </c>
      <c r="F13" s="47" t="s">
        <v>114</v>
      </c>
      <c r="G13" s="10">
        <v>100</v>
      </c>
      <c r="H13" s="23"/>
      <c r="J13" s="50"/>
    </row>
    <row r="14" spans="1:10" x14ac:dyDescent="0.3">
      <c r="A14" s="22">
        <v>17594</v>
      </c>
      <c r="B14" s="50" t="s">
        <v>98</v>
      </c>
      <c r="C14" s="50">
        <f>+IE!C47</f>
        <v>35449.844999999972</v>
      </c>
      <c r="D14" s="88"/>
      <c r="E14" s="10">
        <v>1000</v>
      </c>
      <c r="F14" s="47" t="s">
        <v>115</v>
      </c>
      <c r="G14" s="10">
        <v>1000</v>
      </c>
      <c r="H14" s="23"/>
    </row>
    <row r="15" spans="1:10" x14ac:dyDescent="0.3">
      <c r="A15" s="22">
        <v>26400</v>
      </c>
      <c r="B15" s="50" t="s">
        <v>53</v>
      </c>
      <c r="C15" s="50">
        <f>1500+600+75000</f>
        <v>77100</v>
      </c>
      <c r="D15" s="88"/>
      <c r="E15" s="10">
        <v>5564421</v>
      </c>
      <c r="F15" s="51" t="s">
        <v>58</v>
      </c>
      <c r="G15" s="10">
        <f>'FD-Sch'!D33</f>
        <v>6002500</v>
      </c>
      <c r="H15" s="23"/>
    </row>
    <row r="16" spans="1:10" x14ac:dyDescent="0.3">
      <c r="A16" s="22">
        <v>230263</v>
      </c>
      <c r="B16" s="50" t="s">
        <v>55</v>
      </c>
      <c r="C16" s="12">
        <f>IE!G27</f>
        <v>316041</v>
      </c>
      <c r="D16" s="88">
        <f>SUM(C13:C16)</f>
        <v>1631558.845</v>
      </c>
      <c r="E16" s="10">
        <v>382990</v>
      </c>
      <c r="F16" s="48" t="s">
        <v>70</v>
      </c>
      <c r="G16" s="10">
        <v>433409</v>
      </c>
      <c r="H16" s="23"/>
    </row>
    <row r="17" spans="1:11" x14ac:dyDescent="0.3">
      <c r="A17" s="22"/>
      <c r="B17" s="81" t="s">
        <v>4</v>
      </c>
      <c r="C17" s="50"/>
      <c r="D17" s="88"/>
      <c r="E17" s="10">
        <v>0</v>
      </c>
      <c r="F17" s="48" t="s">
        <v>71</v>
      </c>
      <c r="G17" s="12">
        <v>0</v>
      </c>
      <c r="H17" s="23">
        <f>SUM(G13:G17)</f>
        <v>6437009</v>
      </c>
    </row>
    <row r="18" spans="1:11" x14ac:dyDescent="0.3">
      <c r="A18" s="22">
        <v>1574492.92</v>
      </c>
      <c r="B18" s="50" t="s">
        <v>54</v>
      </c>
      <c r="C18" s="50">
        <f>SUM(A18:A20)</f>
        <v>1645023.92</v>
      </c>
      <c r="D18" s="88"/>
      <c r="E18" s="10"/>
      <c r="F18" s="48"/>
      <c r="G18" s="10"/>
      <c r="H18" s="23"/>
      <c r="K18" s="50"/>
    </row>
    <row r="19" spans="1:11" x14ac:dyDescent="0.3">
      <c r="A19" s="22">
        <v>45456</v>
      </c>
      <c r="B19" s="50" t="s">
        <v>53</v>
      </c>
      <c r="C19" s="50">
        <v>45456</v>
      </c>
      <c r="D19" s="88"/>
      <c r="E19" s="10">
        <v>18213609</v>
      </c>
      <c r="F19" s="45" t="s">
        <v>60</v>
      </c>
      <c r="G19" s="10"/>
      <c r="H19" s="23">
        <f>'FA-Sh'!I12</f>
        <v>18204522</v>
      </c>
      <c r="K19" s="50"/>
    </row>
    <row r="20" spans="1:11" x14ac:dyDescent="0.3">
      <c r="A20" s="22">
        <v>25075</v>
      </c>
      <c r="B20" s="50" t="s">
        <v>55</v>
      </c>
      <c r="C20" s="12">
        <f>IE!G25</f>
        <v>26799</v>
      </c>
      <c r="D20" s="88">
        <f>SUM(C18:C20)</f>
        <v>1717278.92</v>
      </c>
      <c r="E20" s="10"/>
      <c r="F20" s="48"/>
      <c r="G20" s="10"/>
      <c r="H20" s="23"/>
      <c r="K20" s="50"/>
    </row>
    <row r="21" spans="1:11" x14ac:dyDescent="0.3">
      <c r="A21" s="22"/>
      <c r="B21" s="81" t="s">
        <v>14</v>
      </c>
      <c r="C21" s="52"/>
      <c r="D21" s="88"/>
      <c r="E21" s="10"/>
      <c r="F21" s="45" t="s">
        <v>63</v>
      </c>
      <c r="G21" s="10"/>
      <c r="H21" s="23"/>
      <c r="K21" s="50"/>
    </row>
    <row r="22" spans="1:11" x14ac:dyDescent="0.3">
      <c r="A22" s="22">
        <v>1194134</v>
      </c>
      <c r="B22" s="50" t="s">
        <v>54</v>
      </c>
      <c r="C22" s="10">
        <f>SUM(A22:A25)</f>
        <v>1428275</v>
      </c>
      <c r="D22" s="88"/>
      <c r="E22" s="10">
        <v>14044</v>
      </c>
      <c r="F22" s="51" t="s">
        <v>117</v>
      </c>
      <c r="G22" s="10">
        <f>'Member Receivable &amp; Advances'!D7</f>
        <v>35637</v>
      </c>
      <c r="H22" s="23"/>
      <c r="K22" s="50"/>
    </row>
    <row r="23" spans="1:11" x14ac:dyDescent="0.3">
      <c r="A23" s="22">
        <v>249641</v>
      </c>
      <c r="B23" s="50" t="s">
        <v>53</v>
      </c>
      <c r="C23" s="10">
        <v>0</v>
      </c>
      <c r="D23" s="88"/>
      <c r="E23" s="10">
        <v>7500</v>
      </c>
      <c r="F23" s="51" t="s">
        <v>116</v>
      </c>
      <c r="G23" s="10">
        <f>'Vendor Payable &amp; Adavnce'!C19</f>
        <v>32600</v>
      </c>
      <c r="H23" s="23"/>
      <c r="K23" s="50"/>
    </row>
    <row r="24" spans="1:11" x14ac:dyDescent="0.3">
      <c r="A24" s="22">
        <v>0</v>
      </c>
      <c r="B24" s="50" t="s">
        <v>55</v>
      </c>
      <c r="C24" s="10">
        <f>IE!G26</f>
        <v>88443</v>
      </c>
      <c r="D24" s="88"/>
      <c r="E24" s="10">
        <v>54023</v>
      </c>
      <c r="F24" s="48" t="s">
        <v>61</v>
      </c>
      <c r="G24" s="10">
        <v>61308</v>
      </c>
      <c r="H24" s="23"/>
      <c r="K24" s="50"/>
    </row>
    <row r="25" spans="1:11" x14ac:dyDescent="0.3">
      <c r="A25" s="22">
        <v>-15500</v>
      </c>
      <c r="B25" s="50" t="s">
        <v>99</v>
      </c>
      <c r="C25" s="12">
        <v>0</v>
      </c>
      <c r="D25" s="88">
        <f>SUM(C22:C25)</f>
        <v>1516718</v>
      </c>
      <c r="E25" s="10">
        <v>8884</v>
      </c>
      <c r="F25" s="47" t="s">
        <v>118</v>
      </c>
      <c r="G25" s="10">
        <v>13520</v>
      </c>
      <c r="H25" s="23"/>
      <c r="K25" s="50"/>
    </row>
    <row r="26" spans="1:11" x14ac:dyDescent="0.3">
      <c r="A26" s="22"/>
      <c r="B26" s="81" t="s">
        <v>73</v>
      </c>
      <c r="C26" s="10"/>
      <c r="D26" s="90"/>
      <c r="E26" s="10">
        <v>9779</v>
      </c>
      <c r="F26" s="47" t="s">
        <v>119</v>
      </c>
      <c r="G26" s="10">
        <v>9779</v>
      </c>
      <c r="H26" s="23"/>
      <c r="K26" s="50"/>
    </row>
    <row r="27" spans="1:11" x14ac:dyDescent="0.3">
      <c r="A27" s="22">
        <v>30514</v>
      </c>
      <c r="B27" s="50" t="s">
        <v>54</v>
      </c>
      <c r="C27" s="50">
        <f>SUM(A27:A29)</f>
        <v>33754</v>
      </c>
      <c r="D27" s="88"/>
      <c r="E27" s="10">
        <v>8530</v>
      </c>
      <c r="F27" s="47" t="s">
        <v>120</v>
      </c>
      <c r="G27" s="12">
        <v>8530</v>
      </c>
      <c r="H27" s="23">
        <f>SUM(G22:G27)</f>
        <v>161374</v>
      </c>
      <c r="K27" s="50"/>
    </row>
    <row r="28" spans="1:11" x14ac:dyDescent="0.3">
      <c r="A28" s="22">
        <v>3240</v>
      </c>
      <c r="B28" s="50" t="s">
        <v>53</v>
      </c>
      <c r="C28" s="50">
        <v>3240</v>
      </c>
      <c r="D28" s="88"/>
      <c r="E28" s="10"/>
      <c r="F28" s="48"/>
      <c r="G28" s="10"/>
      <c r="H28" s="23"/>
      <c r="K28" s="50"/>
    </row>
    <row r="29" spans="1:11" x14ac:dyDescent="0.3">
      <c r="A29" s="22">
        <v>0</v>
      </c>
      <c r="B29" s="50" t="s">
        <v>55</v>
      </c>
      <c r="C29" s="12">
        <v>0</v>
      </c>
      <c r="D29" s="88">
        <f>SUM(C27:C29)</f>
        <v>36994</v>
      </c>
      <c r="E29" s="10"/>
      <c r="F29" s="45"/>
      <c r="G29" s="10"/>
      <c r="H29" s="23"/>
      <c r="K29" s="50"/>
    </row>
    <row r="30" spans="1:11" x14ac:dyDescent="0.3">
      <c r="A30" s="22"/>
      <c r="B30" s="54"/>
      <c r="C30" s="10"/>
      <c r="D30" s="88"/>
      <c r="E30" s="10"/>
      <c r="F30" s="48"/>
      <c r="G30" s="55"/>
      <c r="H30" s="23"/>
      <c r="K30" s="50"/>
    </row>
    <row r="31" spans="1:11" x14ac:dyDescent="0.3">
      <c r="A31" s="22"/>
      <c r="B31" s="45" t="s">
        <v>62</v>
      </c>
      <c r="C31" s="50"/>
      <c r="D31" s="88"/>
      <c r="E31" s="10"/>
      <c r="F31" s="48"/>
      <c r="G31" s="55"/>
      <c r="H31" s="53"/>
      <c r="K31" s="50"/>
    </row>
    <row r="32" spans="1:11" x14ac:dyDescent="0.3">
      <c r="A32" s="22">
        <v>300</v>
      </c>
      <c r="B32" s="50" t="s">
        <v>100</v>
      </c>
      <c r="C32" s="50">
        <v>1792</v>
      </c>
      <c r="D32" s="88"/>
      <c r="E32" s="10"/>
      <c r="F32" s="48"/>
      <c r="G32" s="10"/>
      <c r="H32" s="23"/>
      <c r="K32" s="50"/>
    </row>
    <row r="33" spans="1:11" x14ac:dyDescent="0.3">
      <c r="A33" s="22">
        <v>15978</v>
      </c>
      <c r="B33" s="81" t="s">
        <v>101</v>
      </c>
      <c r="C33" s="50">
        <f>'Member Receivable &amp; Advances'!D19</f>
        <v>25525</v>
      </c>
      <c r="D33" s="88"/>
      <c r="E33" s="10"/>
      <c r="F33" s="48"/>
      <c r="G33" s="10"/>
      <c r="H33" s="23"/>
      <c r="K33" s="50"/>
    </row>
    <row r="34" spans="1:11" x14ac:dyDescent="0.3">
      <c r="A34" s="22">
        <v>65073</v>
      </c>
      <c r="B34" s="81" t="s">
        <v>102</v>
      </c>
      <c r="C34" s="50">
        <f>'Vendor Payable &amp; Adavnce'!C11</f>
        <v>73966</v>
      </c>
      <c r="D34" s="88"/>
      <c r="E34" s="10"/>
      <c r="F34" s="48"/>
      <c r="G34" s="10"/>
      <c r="H34" s="23"/>
      <c r="K34" s="50"/>
    </row>
    <row r="35" spans="1:11" x14ac:dyDescent="0.3">
      <c r="A35" s="22">
        <v>0</v>
      </c>
      <c r="B35" s="91" t="s">
        <v>103</v>
      </c>
      <c r="C35" s="50">
        <v>0</v>
      </c>
      <c r="D35" s="88"/>
      <c r="E35" s="10"/>
      <c r="F35" s="48"/>
      <c r="G35" s="10"/>
      <c r="H35" s="23"/>
      <c r="K35" s="50"/>
    </row>
    <row r="36" spans="1:11" x14ac:dyDescent="0.3">
      <c r="A36" s="22">
        <v>0</v>
      </c>
      <c r="B36" s="50" t="s">
        <v>104</v>
      </c>
      <c r="C36" s="12">
        <v>0</v>
      </c>
      <c r="D36" s="88">
        <f>SUM(C32:C36)</f>
        <v>101283</v>
      </c>
      <c r="E36" s="10"/>
      <c r="F36" s="48"/>
      <c r="G36" s="10"/>
      <c r="H36" s="23"/>
      <c r="K36" s="50"/>
    </row>
    <row r="37" spans="1:11" x14ac:dyDescent="0.3">
      <c r="A37" s="22"/>
      <c r="B37" s="81" t="s">
        <v>79</v>
      </c>
      <c r="C37" s="50"/>
      <c r="D37" s="88"/>
      <c r="E37" s="10"/>
      <c r="F37" s="48"/>
      <c r="G37" s="10"/>
      <c r="H37" s="23"/>
      <c r="K37" s="50"/>
    </row>
    <row r="38" spans="1:11" x14ac:dyDescent="0.3">
      <c r="A38" s="22">
        <v>2900</v>
      </c>
      <c r="B38" s="91" t="s">
        <v>105</v>
      </c>
      <c r="C38" s="50">
        <v>3200</v>
      </c>
      <c r="D38" s="88"/>
      <c r="E38" s="10"/>
      <c r="F38" s="48"/>
      <c r="G38" s="10"/>
      <c r="H38" s="23"/>
      <c r="K38" s="50"/>
    </row>
    <row r="39" spans="1:11" x14ac:dyDescent="0.3">
      <c r="A39" s="22">
        <v>2000</v>
      </c>
      <c r="B39" s="50" t="s">
        <v>106</v>
      </c>
      <c r="C39" s="50">
        <v>0</v>
      </c>
      <c r="D39" s="88"/>
      <c r="E39" s="10"/>
      <c r="F39" s="48"/>
      <c r="G39" s="10"/>
      <c r="H39" s="23"/>
      <c r="K39" s="50"/>
    </row>
    <row r="40" spans="1:11" x14ac:dyDescent="0.3">
      <c r="A40" s="22">
        <v>6669</v>
      </c>
      <c r="B40" s="50" t="s">
        <v>17</v>
      </c>
      <c r="C40" s="50">
        <v>15970</v>
      </c>
      <c r="D40" s="88"/>
      <c r="E40" s="10"/>
      <c r="F40" s="48"/>
      <c r="G40" s="10"/>
      <c r="H40" s="23"/>
      <c r="K40" s="50"/>
    </row>
    <row r="41" spans="1:11" x14ac:dyDescent="0.3">
      <c r="A41" s="22">
        <v>500</v>
      </c>
      <c r="B41" s="50" t="s">
        <v>207</v>
      </c>
      <c r="C41" s="50">
        <v>0</v>
      </c>
      <c r="D41" s="88"/>
      <c r="E41" s="10"/>
      <c r="F41" s="48"/>
      <c r="G41" s="10"/>
      <c r="H41" s="23"/>
      <c r="K41" s="50"/>
    </row>
    <row r="42" spans="1:11" x14ac:dyDescent="0.3">
      <c r="A42" s="22">
        <v>201</v>
      </c>
      <c r="B42" s="50" t="s">
        <v>107</v>
      </c>
      <c r="C42" s="12">
        <v>83</v>
      </c>
      <c r="D42" s="88">
        <f>SUM(C38:C42)</f>
        <v>19253</v>
      </c>
      <c r="E42" s="10"/>
      <c r="F42" s="48"/>
      <c r="G42" s="10"/>
      <c r="H42" s="23"/>
      <c r="K42" s="50"/>
    </row>
    <row r="43" spans="1:11" x14ac:dyDescent="0.3">
      <c r="A43" s="22"/>
      <c r="B43" s="81" t="s">
        <v>108</v>
      </c>
      <c r="C43" s="50"/>
      <c r="D43" s="88"/>
      <c r="E43" s="10"/>
      <c r="F43" s="48"/>
      <c r="G43" s="10"/>
      <c r="H43" s="23"/>
      <c r="K43" s="50"/>
    </row>
    <row r="44" spans="1:11" x14ac:dyDescent="0.3">
      <c r="A44" s="22">
        <v>18080000</v>
      </c>
      <c r="B44" s="50" t="s">
        <v>109</v>
      </c>
      <c r="C44" s="12">
        <v>18080000</v>
      </c>
      <c r="D44" s="88">
        <f>C44</f>
        <v>18080000</v>
      </c>
      <c r="E44" s="10"/>
      <c r="F44" s="48"/>
      <c r="G44" s="10"/>
      <c r="H44" s="23"/>
      <c r="K44" s="50"/>
    </row>
    <row r="45" spans="1:11" x14ac:dyDescent="0.3">
      <c r="A45" s="22"/>
      <c r="B45" s="81"/>
      <c r="C45" s="50"/>
      <c r="D45" s="88"/>
      <c r="E45" s="10"/>
      <c r="F45" s="48"/>
      <c r="G45" s="10"/>
      <c r="H45" s="23"/>
      <c r="K45" s="50"/>
    </row>
    <row r="46" spans="1:11" x14ac:dyDescent="0.3">
      <c r="A46" s="22"/>
      <c r="B46" s="45" t="s">
        <v>18</v>
      </c>
      <c r="C46" s="10"/>
      <c r="D46" s="88"/>
      <c r="E46" s="10"/>
      <c r="F46" s="48"/>
      <c r="G46" s="10"/>
      <c r="H46" s="23"/>
      <c r="K46" s="50"/>
    </row>
    <row r="47" spans="1:11" x14ac:dyDescent="0.3">
      <c r="A47" s="22">
        <v>1851470.63</v>
      </c>
      <c r="B47" s="50" t="s">
        <v>16</v>
      </c>
      <c r="C47" s="10">
        <v>1904253.37</v>
      </c>
      <c r="D47" s="88"/>
      <c r="E47" s="10"/>
      <c r="F47" s="48"/>
      <c r="G47" s="10"/>
      <c r="H47" s="23"/>
      <c r="K47" s="50"/>
    </row>
    <row r="48" spans="1:11" x14ac:dyDescent="0.3">
      <c r="A48" s="22">
        <v>52782.74</v>
      </c>
      <c r="B48" s="47" t="s">
        <v>110</v>
      </c>
      <c r="C48" s="12">
        <f>+IE!C48</f>
        <v>106349.53499999992</v>
      </c>
      <c r="D48" s="88">
        <f>SUM(C47:C48)</f>
        <v>2010602.905</v>
      </c>
      <c r="E48" s="10"/>
      <c r="F48" s="48"/>
      <c r="G48" s="10"/>
      <c r="H48" s="23"/>
    </row>
    <row r="49" spans="1:17" ht="18" customHeight="1" thickBot="1" x14ac:dyDescent="0.35">
      <c r="A49" s="82">
        <f>SUM(A9:A48)</f>
        <v>24402395.289999999</v>
      </c>
      <c r="B49" s="169" t="s">
        <v>13</v>
      </c>
      <c r="C49" s="169"/>
      <c r="D49" s="92">
        <f>SUM(D10:D48)</f>
        <v>25128188.670000002</v>
      </c>
      <c r="E49" s="86">
        <f>SUM(E6:E48)</f>
        <v>24402395.289999999</v>
      </c>
      <c r="F49" s="169" t="s">
        <v>13</v>
      </c>
      <c r="G49" s="169"/>
      <c r="H49" s="82">
        <f>SUM(H6:H48)</f>
        <v>25128188.670000002</v>
      </c>
    </row>
    <row r="50" spans="1:17" ht="15" thickTop="1" x14ac:dyDescent="0.3">
      <c r="A50" s="47"/>
      <c r="B50" s="50"/>
      <c r="C50" s="50"/>
      <c r="D50" s="81"/>
      <c r="E50" s="50"/>
      <c r="F50" s="50"/>
      <c r="G50" s="50"/>
      <c r="H50" s="53"/>
    </row>
    <row r="51" spans="1:17" ht="15.6" x14ac:dyDescent="0.3">
      <c r="A51" s="131" t="s">
        <v>19</v>
      </c>
      <c r="B51" s="132"/>
      <c r="C51" s="132"/>
      <c r="D51" s="77"/>
      <c r="E51" s="163" t="str">
        <f>"For "&amp;A1</f>
        <v>For FARRY APARTMENT CO-OPERATIVE HOUSING SOCIETY LTD.</v>
      </c>
      <c r="F51" s="163"/>
      <c r="G51" s="163"/>
      <c r="H51" s="164"/>
    </row>
    <row r="52" spans="1:17" x14ac:dyDescent="0.3">
      <c r="A52" s="133"/>
      <c r="B52" s="132"/>
      <c r="C52" s="132"/>
      <c r="D52" s="77"/>
      <c r="E52" s="50"/>
      <c r="F52" s="50"/>
      <c r="G52" s="50"/>
      <c r="H52" s="53"/>
      <c r="I52" s="43">
        <f>H49-D49</f>
        <v>0</v>
      </c>
    </row>
    <row r="53" spans="1:17" x14ac:dyDescent="0.3">
      <c r="A53" s="134"/>
      <c r="B53" s="132"/>
      <c r="C53" s="132"/>
      <c r="D53" s="77"/>
      <c r="E53" s="50"/>
      <c r="F53" s="50"/>
      <c r="G53" s="50"/>
      <c r="H53" s="53"/>
    </row>
    <row r="54" spans="1:17" x14ac:dyDescent="0.3">
      <c r="A54" s="133"/>
      <c r="B54" s="132"/>
      <c r="C54" s="132"/>
      <c r="D54" s="77"/>
      <c r="E54" s="50"/>
      <c r="F54" s="50"/>
      <c r="G54" s="50"/>
      <c r="H54" s="53"/>
      <c r="J54" s="50"/>
      <c r="L54" s="50"/>
    </row>
    <row r="55" spans="1:17" ht="15.6" x14ac:dyDescent="0.3">
      <c r="A55" s="135" t="s">
        <v>255</v>
      </c>
      <c r="B55" s="136"/>
      <c r="C55" s="137"/>
      <c r="D55" s="77"/>
      <c r="E55" s="165"/>
      <c r="F55" s="165"/>
      <c r="G55" s="165"/>
      <c r="H55" s="166"/>
      <c r="J55" s="50"/>
      <c r="L55" s="50"/>
      <c r="P55" s="50"/>
    </row>
    <row r="56" spans="1:17" ht="15.6" x14ac:dyDescent="0.3">
      <c r="A56" s="138" t="s">
        <v>256</v>
      </c>
      <c r="B56" s="136"/>
      <c r="C56" s="137"/>
      <c r="D56" s="77"/>
      <c r="E56" s="165" t="s">
        <v>257</v>
      </c>
      <c r="F56" s="165"/>
      <c r="G56" s="165"/>
      <c r="H56" s="166"/>
      <c r="J56" s="50"/>
      <c r="N56" s="50"/>
      <c r="O56" s="50"/>
      <c r="P56" s="50"/>
      <c r="Q56" s="50"/>
    </row>
    <row r="57" spans="1:17" ht="15.6" x14ac:dyDescent="0.3">
      <c r="A57" s="138" t="s">
        <v>258</v>
      </c>
      <c r="B57" s="136"/>
      <c r="C57" s="137"/>
      <c r="D57" s="77"/>
      <c r="E57" s="50"/>
      <c r="F57" s="50"/>
      <c r="G57" s="50"/>
      <c r="H57" s="53"/>
      <c r="I57" s="50"/>
      <c r="O57" s="50"/>
      <c r="Q57" s="50"/>
    </row>
    <row r="58" spans="1:17" s="50" customFormat="1" ht="15.6" x14ac:dyDescent="0.3">
      <c r="A58" s="167">
        <v>46228</v>
      </c>
      <c r="B58" s="168"/>
      <c r="C58" s="168"/>
      <c r="D58" s="78"/>
      <c r="E58" s="79"/>
      <c r="F58" s="79"/>
      <c r="G58" s="79"/>
      <c r="H58" s="80"/>
      <c r="J58" s="43"/>
      <c r="K58" s="43"/>
      <c r="L58" s="43"/>
      <c r="M58" s="43"/>
      <c r="N58" s="43"/>
      <c r="O58" s="43"/>
      <c r="P58" s="43"/>
      <c r="Q58" s="43"/>
    </row>
  </sheetData>
  <mergeCells count="12">
    <mergeCell ref="E51:H51"/>
    <mergeCell ref="E55:H55"/>
    <mergeCell ref="E56:H56"/>
    <mergeCell ref="A58:C58"/>
    <mergeCell ref="B49:C49"/>
    <mergeCell ref="F49:G49"/>
    <mergeCell ref="A1:H1"/>
    <mergeCell ref="A2:H2"/>
    <mergeCell ref="A3:H3"/>
    <mergeCell ref="A4:H4"/>
    <mergeCell ref="B5:C5"/>
    <mergeCell ref="F5:G5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view="pageBreakPreview" topLeftCell="A30" zoomScaleNormal="100" zoomScaleSheetLayoutView="100" workbookViewId="0">
      <selection activeCell="C48" sqref="C48"/>
    </sheetView>
  </sheetViews>
  <sheetFormatPr defaultColWidth="8.88671875" defaultRowHeight="14.4" x14ac:dyDescent="0.3"/>
  <cols>
    <col min="1" max="1" width="14.77734375" style="43" customWidth="1"/>
    <col min="2" max="2" width="35.5546875" style="43" customWidth="1"/>
    <col min="3" max="3" width="13.33203125" style="43" bestFit="1" customWidth="1"/>
    <col min="4" max="4" width="14.77734375" style="49" customWidth="1"/>
    <col min="5" max="5" width="14.77734375" style="43" customWidth="1"/>
    <col min="6" max="6" width="35.5546875" style="43" customWidth="1"/>
    <col min="7" max="7" width="12.33203125" style="43" bestFit="1" customWidth="1"/>
    <col min="8" max="8" width="14.77734375" style="49" customWidth="1"/>
    <col min="9" max="9" width="10.6640625" style="43" customWidth="1"/>
    <col min="10" max="10" width="11.6640625" style="43" bestFit="1" customWidth="1"/>
    <col min="11" max="11" width="11.33203125" style="43" bestFit="1" customWidth="1"/>
    <col min="12" max="16384" width="8.88671875" style="43"/>
  </cols>
  <sheetData>
    <row r="1" spans="1:8" ht="21" x14ac:dyDescent="0.3">
      <c r="A1" s="152" t="str">
        <f>BS!A1</f>
        <v>FARRY APARTMENT CO-OPERATIVE HOUSING SOCIETY LTD.</v>
      </c>
      <c r="B1" s="153"/>
      <c r="C1" s="153"/>
      <c r="D1" s="153"/>
      <c r="E1" s="153"/>
      <c r="F1" s="153"/>
      <c r="G1" s="153"/>
      <c r="H1" s="154"/>
    </row>
    <row r="2" spans="1:8" x14ac:dyDescent="0.3">
      <c r="A2" s="155" t="s">
        <v>94</v>
      </c>
      <c r="B2" s="156"/>
      <c r="C2" s="156"/>
      <c r="D2" s="156"/>
      <c r="E2" s="156"/>
      <c r="F2" s="156"/>
      <c r="G2" s="156"/>
      <c r="H2" s="157"/>
    </row>
    <row r="3" spans="1:8" x14ac:dyDescent="0.3">
      <c r="A3" s="155" t="s">
        <v>95</v>
      </c>
      <c r="B3" s="156"/>
      <c r="C3" s="156"/>
      <c r="D3" s="156"/>
      <c r="E3" s="156"/>
      <c r="F3" s="156"/>
      <c r="G3" s="156"/>
      <c r="H3" s="157"/>
    </row>
    <row r="4" spans="1:8" ht="18" x14ac:dyDescent="0.3">
      <c r="A4" s="158" t="s">
        <v>252</v>
      </c>
      <c r="B4" s="159"/>
      <c r="C4" s="159"/>
      <c r="D4" s="159"/>
      <c r="E4" s="159"/>
      <c r="F4" s="159"/>
      <c r="G4" s="159"/>
      <c r="H4" s="160"/>
    </row>
    <row r="5" spans="1:8" s="44" customFormat="1" ht="15" thickBot="1" x14ac:dyDescent="0.35">
      <c r="A5" s="84">
        <f>+BS!E5</f>
        <v>45747</v>
      </c>
      <c r="B5" s="170" t="s">
        <v>21</v>
      </c>
      <c r="C5" s="170"/>
      <c r="D5" s="139">
        <f>BS!D5</f>
        <v>46112</v>
      </c>
      <c r="E5" s="85">
        <f>+A5</f>
        <v>45747</v>
      </c>
      <c r="F5" s="170" t="s">
        <v>22</v>
      </c>
      <c r="G5" s="170"/>
      <c r="H5" s="84">
        <f>+D5</f>
        <v>46112</v>
      </c>
    </row>
    <row r="6" spans="1:8" x14ac:dyDescent="0.3">
      <c r="A6" s="22"/>
      <c r="B6" s="45" t="s">
        <v>40</v>
      </c>
      <c r="C6" s="10"/>
      <c r="D6" s="88"/>
      <c r="E6" s="10"/>
      <c r="F6" s="45" t="s">
        <v>141</v>
      </c>
      <c r="G6" s="10"/>
      <c r="H6" s="23"/>
    </row>
    <row r="7" spans="1:8" x14ac:dyDescent="0.3">
      <c r="A7" s="22">
        <v>426284</v>
      </c>
      <c r="B7" s="47" t="s">
        <v>41</v>
      </c>
      <c r="C7" s="10"/>
      <c r="D7" s="88">
        <v>550328</v>
      </c>
      <c r="E7" s="10">
        <v>418824</v>
      </c>
      <c r="F7" s="47" t="s">
        <v>41</v>
      </c>
      <c r="G7" s="10">
        <f>54792+495558</f>
        <v>550350</v>
      </c>
      <c r="H7" s="23"/>
    </row>
    <row r="8" spans="1:8" x14ac:dyDescent="0.3">
      <c r="A8" s="22">
        <v>0</v>
      </c>
      <c r="B8" s="47" t="s">
        <v>122</v>
      </c>
      <c r="C8" s="10"/>
      <c r="D8" s="88">
        <v>0</v>
      </c>
      <c r="E8" s="10">
        <v>111600</v>
      </c>
      <c r="F8" s="47" t="s">
        <v>30</v>
      </c>
      <c r="G8" s="10">
        <v>111600</v>
      </c>
      <c r="H8" s="23"/>
    </row>
    <row r="9" spans="1:8" x14ac:dyDescent="0.3">
      <c r="A9" s="22">
        <v>113939</v>
      </c>
      <c r="B9" s="47" t="s">
        <v>42</v>
      </c>
      <c r="C9" s="10"/>
      <c r="D9" s="88">
        <v>133169</v>
      </c>
      <c r="E9" s="10">
        <v>47500</v>
      </c>
      <c r="F9" s="47" t="s">
        <v>23</v>
      </c>
      <c r="G9" s="10">
        <v>60000</v>
      </c>
      <c r="H9" s="23"/>
    </row>
    <row r="10" spans="1:8" x14ac:dyDescent="0.3">
      <c r="A10" s="22">
        <v>77447</v>
      </c>
      <c r="B10" s="47" t="s">
        <v>43</v>
      </c>
      <c r="C10" s="10"/>
      <c r="D10" s="88">
        <f>73416+5400</f>
        <v>78816</v>
      </c>
      <c r="E10" s="10">
        <v>601400</v>
      </c>
      <c r="F10" s="43" t="s">
        <v>142</v>
      </c>
      <c r="G10" s="43">
        <v>660300</v>
      </c>
      <c r="H10" s="23"/>
    </row>
    <row r="11" spans="1:8" x14ac:dyDescent="0.3">
      <c r="A11" s="22"/>
      <c r="B11" s="45" t="s">
        <v>123</v>
      </c>
      <c r="C11" s="10"/>
      <c r="D11" s="88"/>
      <c r="E11" s="10">
        <v>66400</v>
      </c>
      <c r="F11" s="47" t="s">
        <v>32</v>
      </c>
      <c r="G11" s="43">
        <f>43600+20200+1500+450</f>
        <v>65750</v>
      </c>
      <c r="H11" s="23"/>
    </row>
    <row r="12" spans="1:8" x14ac:dyDescent="0.3">
      <c r="A12" s="22">
        <v>36576</v>
      </c>
      <c r="B12" s="140" t="s">
        <v>124</v>
      </c>
      <c r="C12" s="10">
        <f>34692+200</f>
        <v>34892</v>
      </c>
      <c r="D12" s="88"/>
      <c r="E12" s="10">
        <v>9200</v>
      </c>
      <c r="F12" s="47" t="s">
        <v>31</v>
      </c>
      <c r="G12" s="10">
        <v>7210</v>
      </c>
      <c r="H12" s="23"/>
    </row>
    <row r="13" spans="1:8" x14ac:dyDescent="0.3">
      <c r="A13" s="22">
        <v>110</v>
      </c>
      <c r="B13" s="140" t="s">
        <v>125</v>
      </c>
      <c r="C13" s="10">
        <v>1680</v>
      </c>
      <c r="D13" s="88"/>
      <c r="E13" s="10">
        <v>197064</v>
      </c>
      <c r="F13" s="47" t="s">
        <v>33</v>
      </c>
      <c r="G13" s="10">
        <f>197064</f>
        <v>197064</v>
      </c>
      <c r="H13" s="23"/>
    </row>
    <row r="14" spans="1:8" x14ac:dyDescent="0.3">
      <c r="A14" s="22">
        <v>15210</v>
      </c>
      <c r="B14" s="140" t="s">
        <v>126</v>
      </c>
      <c r="C14" s="10">
        <v>6215</v>
      </c>
      <c r="D14" s="88"/>
      <c r="E14" s="10">
        <v>2413</v>
      </c>
      <c r="F14" s="47" t="s">
        <v>34</v>
      </c>
      <c r="G14" s="10">
        <v>4408</v>
      </c>
      <c r="H14" s="23"/>
    </row>
    <row r="15" spans="1:8" x14ac:dyDescent="0.3">
      <c r="A15" s="22">
        <v>59673</v>
      </c>
      <c r="B15" s="140" t="s">
        <v>127</v>
      </c>
      <c r="C15" s="10">
        <v>52000</v>
      </c>
      <c r="D15" s="88"/>
      <c r="E15" s="10">
        <v>1000</v>
      </c>
      <c r="F15" s="47" t="s">
        <v>143</v>
      </c>
      <c r="G15" s="10">
        <v>4000</v>
      </c>
      <c r="H15" s="23"/>
    </row>
    <row r="16" spans="1:8" x14ac:dyDescent="0.3">
      <c r="A16" s="22">
        <v>12936</v>
      </c>
      <c r="B16" s="140" t="s">
        <v>128</v>
      </c>
      <c r="C16" s="10">
        <v>12980</v>
      </c>
      <c r="D16" s="88"/>
      <c r="E16" s="10">
        <v>0</v>
      </c>
      <c r="F16" s="47" t="s">
        <v>210</v>
      </c>
      <c r="G16" s="10">
        <v>300</v>
      </c>
      <c r="H16" s="23"/>
    </row>
    <row r="17" spans="1:8" x14ac:dyDescent="0.3">
      <c r="A17" s="22">
        <v>8250</v>
      </c>
      <c r="B17" s="140" t="s">
        <v>121</v>
      </c>
      <c r="C17" s="10">
        <v>0</v>
      </c>
      <c r="D17" s="88"/>
      <c r="E17" s="10">
        <v>0</v>
      </c>
      <c r="F17" s="47" t="s">
        <v>211</v>
      </c>
      <c r="G17" s="10">
        <v>1000</v>
      </c>
      <c r="H17" s="23"/>
    </row>
    <row r="18" spans="1:8" x14ac:dyDescent="0.3">
      <c r="A18" s="22">
        <v>7570</v>
      </c>
      <c r="B18" s="140" t="s">
        <v>173</v>
      </c>
      <c r="C18" s="10">
        <v>10350</v>
      </c>
      <c r="D18" s="88"/>
      <c r="E18" s="10">
        <v>0</v>
      </c>
      <c r="F18" s="47" t="s">
        <v>144</v>
      </c>
      <c r="G18" s="12">
        <v>2000</v>
      </c>
      <c r="H18" s="23">
        <f>SUM(G7:G18)</f>
        <v>1663982</v>
      </c>
    </row>
    <row r="19" spans="1:8" x14ac:dyDescent="0.3">
      <c r="A19" s="22">
        <v>15500</v>
      </c>
      <c r="B19" s="140" t="s">
        <v>129</v>
      </c>
      <c r="C19" s="10">
        <v>35000</v>
      </c>
      <c r="D19" s="88"/>
      <c r="E19" s="10"/>
      <c r="F19" s="47"/>
      <c r="G19" s="10"/>
      <c r="H19" s="23"/>
    </row>
    <row r="20" spans="1:8" x14ac:dyDescent="0.3">
      <c r="A20" s="22">
        <v>-15500</v>
      </c>
      <c r="B20" s="47" t="s">
        <v>36</v>
      </c>
      <c r="C20" s="12">
        <v>0</v>
      </c>
      <c r="D20" s="88">
        <f>SUM(C12:C20)</f>
        <v>153117</v>
      </c>
      <c r="E20" s="10"/>
      <c r="F20" s="74" t="s">
        <v>35</v>
      </c>
      <c r="G20" s="10"/>
      <c r="H20" s="23"/>
    </row>
    <row r="21" spans="1:8" x14ac:dyDescent="0.3">
      <c r="A21" s="22"/>
      <c r="B21" s="45" t="s">
        <v>44</v>
      </c>
      <c r="C21" s="10"/>
      <c r="D21" s="88"/>
      <c r="E21" s="10">
        <v>4735</v>
      </c>
      <c r="F21" s="47" t="s">
        <v>145</v>
      </c>
      <c r="G21" s="10"/>
      <c r="H21" s="23">
        <v>6094</v>
      </c>
    </row>
    <row r="22" spans="1:8" x14ac:dyDescent="0.3">
      <c r="A22" s="22">
        <v>357345</v>
      </c>
      <c r="B22" s="47" t="s">
        <v>137</v>
      </c>
      <c r="C22" s="10">
        <v>359339</v>
      </c>
      <c r="D22" s="88"/>
      <c r="E22" s="10">
        <v>3744</v>
      </c>
      <c r="F22" s="47" t="s">
        <v>146</v>
      </c>
      <c r="G22" s="10"/>
      <c r="H22" s="23">
        <v>1381</v>
      </c>
    </row>
    <row r="23" spans="1:8" x14ac:dyDescent="0.3">
      <c r="A23" s="22">
        <v>17414</v>
      </c>
      <c r="B23" s="47" t="s">
        <v>138</v>
      </c>
      <c r="C23" s="10">
        <v>15990</v>
      </c>
      <c r="D23" s="88"/>
      <c r="E23" s="10">
        <v>1131</v>
      </c>
      <c r="F23" s="47" t="s">
        <v>147</v>
      </c>
      <c r="G23" s="10"/>
      <c r="H23" s="23">
        <v>1966</v>
      </c>
    </row>
    <row r="24" spans="1:8" x14ac:dyDescent="0.3">
      <c r="A24" s="22">
        <v>29708</v>
      </c>
      <c r="B24" s="47" t="s">
        <v>139</v>
      </c>
      <c r="C24" s="10">
        <v>19554</v>
      </c>
      <c r="D24" s="88"/>
      <c r="E24" s="10">
        <v>357269</v>
      </c>
      <c r="F24" s="75" t="s">
        <v>148</v>
      </c>
      <c r="G24" s="10">
        <v>432443</v>
      </c>
      <c r="H24" s="23"/>
    </row>
    <row r="25" spans="1:8" x14ac:dyDescent="0.3">
      <c r="A25" s="22">
        <v>826</v>
      </c>
      <c r="B25" s="47" t="s">
        <v>45</v>
      </c>
      <c r="C25" s="10">
        <v>0</v>
      </c>
      <c r="D25" s="88"/>
      <c r="E25" s="10">
        <v>-25075</v>
      </c>
      <c r="F25" s="47" t="s">
        <v>37</v>
      </c>
      <c r="G25" s="10">
        <v>26799</v>
      </c>
      <c r="H25" s="23"/>
    </row>
    <row r="26" spans="1:8" x14ac:dyDescent="0.3">
      <c r="A26" s="22"/>
      <c r="B26" s="47" t="s">
        <v>212</v>
      </c>
      <c r="C26" s="10">
        <v>2450</v>
      </c>
      <c r="D26" s="88"/>
      <c r="E26" s="10">
        <v>-100731</v>
      </c>
      <c r="F26" s="47" t="s">
        <v>36</v>
      </c>
      <c r="G26" s="10">
        <v>88443</v>
      </c>
      <c r="H26" s="23"/>
    </row>
    <row r="27" spans="1:8" x14ac:dyDescent="0.3">
      <c r="A27" s="22">
        <v>6685</v>
      </c>
      <c r="B27" s="47" t="s">
        <v>175</v>
      </c>
      <c r="C27" s="10">
        <v>7208</v>
      </c>
      <c r="D27" s="88"/>
      <c r="E27" s="10">
        <v>-230263</v>
      </c>
      <c r="F27" s="47" t="s">
        <v>260</v>
      </c>
      <c r="G27" s="12">
        <v>316041</v>
      </c>
      <c r="H27" s="23">
        <f>G24-G25-G26-G27</f>
        <v>1160</v>
      </c>
    </row>
    <row r="28" spans="1:8" x14ac:dyDescent="0.3">
      <c r="A28" s="22">
        <v>2900</v>
      </c>
      <c r="B28" s="47" t="s">
        <v>140</v>
      </c>
      <c r="C28" s="12">
        <v>5500</v>
      </c>
      <c r="D28" s="88">
        <f>SUM(C22:C28)</f>
        <v>410041</v>
      </c>
      <c r="E28" s="10"/>
      <c r="F28" s="47"/>
      <c r="G28" s="10"/>
      <c r="H28" s="23"/>
    </row>
    <row r="29" spans="1:8" x14ac:dyDescent="0.3">
      <c r="A29" s="22"/>
      <c r="B29" s="45" t="s">
        <v>47</v>
      </c>
      <c r="C29" s="10"/>
      <c r="D29" s="88"/>
      <c r="E29" s="10"/>
      <c r="F29" s="47"/>
      <c r="G29" s="10"/>
      <c r="H29" s="23"/>
    </row>
    <row r="30" spans="1:8" x14ac:dyDescent="0.3">
      <c r="A30" s="22">
        <v>84000</v>
      </c>
      <c r="B30" s="47" t="s">
        <v>133</v>
      </c>
      <c r="C30" s="10">
        <v>89250</v>
      </c>
      <c r="D30" s="88"/>
      <c r="E30" s="10"/>
      <c r="F30" s="45" t="s">
        <v>38</v>
      </c>
      <c r="G30" s="10"/>
      <c r="H30" s="23"/>
    </row>
    <row r="31" spans="1:8" x14ac:dyDescent="0.3">
      <c r="A31" s="22">
        <v>62</v>
      </c>
      <c r="B31" s="47" t="s">
        <v>176</v>
      </c>
      <c r="C31" s="10">
        <v>0</v>
      </c>
      <c r="D31" s="88"/>
      <c r="E31" s="10">
        <v>1742</v>
      </c>
      <c r="F31" s="47" t="s">
        <v>39</v>
      </c>
      <c r="G31" s="10">
        <v>0</v>
      </c>
      <c r="H31" s="23"/>
    </row>
    <row r="32" spans="1:8" x14ac:dyDescent="0.3">
      <c r="A32" s="22">
        <v>18532</v>
      </c>
      <c r="B32" s="47" t="s">
        <v>46</v>
      </c>
      <c r="C32" s="10">
        <v>18532</v>
      </c>
      <c r="D32" s="88"/>
      <c r="E32" s="10">
        <v>0</v>
      </c>
      <c r="F32" s="47" t="s">
        <v>249</v>
      </c>
      <c r="G32" s="12">
        <v>725</v>
      </c>
      <c r="H32" s="53">
        <f>SUM(G31:G32)</f>
        <v>725</v>
      </c>
    </row>
    <row r="33" spans="1:8" x14ac:dyDescent="0.3">
      <c r="A33" s="22">
        <v>1393</v>
      </c>
      <c r="B33" s="47" t="s">
        <v>50</v>
      </c>
      <c r="C33" s="10">
        <v>3059</v>
      </c>
      <c r="D33" s="88"/>
      <c r="E33" s="10"/>
      <c r="F33" s="47"/>
      <c r="G33" s="10"/>
      <c r="H33" s="23"/>
    </row>
    <row r="34" spans="1:8" x14ac:dyDescent="0.3">
      <c r="A34" s="22">
        <v>200</v>
      </c>
      <c r="B34" s="47" t="s">
        <v>48</v>
      </c>
      <c r="C34" s="10">
        <v>0</v>
      </c>
      <c r="D34" s="88"/>
      <c r="E34" s="10"/>
      <c r="F34" s="47"/>
      <c r="G34" s="10"/>
      <c r="H34" s="23"/>
    </row>
    <row r="35" spans="1:8" x14ac:dyDescent="0.3">
      <c r="A35" s="22">
        <v>2700</v>
      </c>
      <c r="B35" s="47" t="s">
        <v>49</v>
      </c>
      <c r="C35" s="10">
        <v>6500</v>
      </c>
      <c r="D35" s="88"/>
      <c r="E35" s="10"/>
      <c r="F35" s="47"/>
      <c r="G35" s="10"/>
      <c r="H35" s="23"/>
    </row>
    <row r="36" spans="1:8" x14ac:dyDescent="0.3">
      <c r="A36" s="22">
        <v>137.26000000000002</v>
      </c>
      <c r="B36" s="47" t="s">
        <v>80</v>
      </c>
      <c r="C36" s="10">
        <v>182.62</v>
      </c>
      <c r="D36" s="88"/>
      <c r="E36" s="10"/>
      <c r="F36" s="47"/>
      <c r="G36" s="10"/>
      <c r="H36" s="23"/>
    </row>
    <row r="37" spans="1:8" x14ac:dyDescent="0.3">
      <c r="A37" s="22">
        <v>44406</v>
      </c>
      <c r="B37" s="47" t="s">
        <v>206</v>
      </c>
      <c r="C37" s="10">
        <v>0</v>
      </c>
      <c r="D37" s="88"/>
      <c r="E37" s="10"/>
      <c r="F37" s="47"/>
      <c r="G37" s="10"/>
      <c r="H37" s="23"/>
    </row>
    <row r="38" spans="1:8" x14ac:dyDescent="0.3">
      <c r="A38" s="22">
        <v>3574</v>
      </c>
      <c r="B38" s="47" t="s">
        <v>130</v>
      </c>
      <c r="C38" s="10">
        <v>4954</v>
      </c>
      <c r="D38" s="88"/>
      <c r="E38" s="10"/>
      <c r="F38" s="47"/>
      <c r="G38" s="10"/>
      <c r="H38" s="23"/>
    </row>
    <row r="39" spans="1:8" x14ac:dyDescent="0.3">
      <c r="A39" s="22">
        <v>69676</v>
      </c>
      <c r="B39" s="47" t="s">
        <v>131</v>
      </c>
      <c r="C39" s="10">
        <v>63895</v>
      </c>
      <c r="D39" s="88"/>
      <c r="E39" s="10"/>
      <c r="F39" s="47"/>
      <c r="G39" s="10"/>
      <c r="H39" s="23"/>
    </row>
    <row r="40" spans="1:8" x14ac:dyDescent="0.3">
      <c r="A40" s="22">
        <v>0</v>
      </c>
      <c r="B40" s="47" t="s">
        <v>132</v>
      </c>
      <c r="C40" s="10">
        <v>0</v>
      </c>
      <c r="D40" s="88"/>
      <c r="E40" s="10"/>
      <c r="F40" s="47"/>
      <c r="G40" s="10"/>
      <c r="H40" s="23"/>
    </row>
    <row r="41" spans="1:8" x14ac:dyDescent="0.3">
      <c r="A41" s="22">
        <v>0</v>
      </c>
      <c r="B41" s="47" t="s">
        <v>213</v>
      </c>
      <c r="C41" s="10">
        <v>405</v>
      </c>
      <c r="D41" s="88"/>
      <c r="E41" s="10"/>
      <c r="F41" s="47"/>
      <c r="G41" s="10"/>
      <c r="H41" s="23"/>
    </row>
    <row r="42" spans="1:8" x14ac:dyDescent="0.3">
      <c r="A42" s="22">
        <v>0</v>
      </c>
      <c r="B42" s="47" t="s">
        <v>214</v>
      </c>
      <c r="C42" s="10">
        <v>20060</v>
      </c>
      <c r="D42" s="88"/>
      <c r="E42" s="10"/>
      <c r="F42" s="47"/>
      <c r="G42" s="10"/>
      <c r="H42" s="23"/>
    </row>
    <row r="43" spans="1:8" x14ac:dyDescent="0.3">
      <c r="A43" s="22">
        <v>0</v>
      </c>
      <c r="B43" s="47" t="s">
        <v>215</v>
      </c>
      <c r="C43" s="10">
        <v>1200</v>
      </c>
      <c r="D43" s="88"/>
      <c r="E43" s="10"/>
      <c r="F43" s="47"/>
      <c r="G43" s="10"/>
      <c r="H43" s="23"/>
    </row>
    <row r="44" spans="1:8" x14ac:dyDescent="0.3">
      <c r="A44" s="22">
        <v>23</v>
      </c>
      <c r="B44" s="47" t="s">
        <v>83</v>
      </c>
      <c r="C44" s="10">
        <v>0</v>
      </c>
      <c r="D44" s="88">
        <f>SUM(C30:C44)</f>
        <v>208037.62</v>
      </c>
      <c r="E44" s="10"/>
      <c r="F44" s="47"/>
      <c r="G44" s="10"/>
      <c r="H44" s="23"/>
    </row>
    <row r="45" spans="1:8" x14ac:dyDescent="0.3">
      <c r="A45" s="22"/>
      <c r="B45" s="50"/>
      <c r="C45" s="10"/>
      <c r="D45" s="88"/>
      <c r="E45" s="10"/>
      <c r="F45" s="47"/>
      <c r="G45" s="10"/>
      <c r="H45" s="23"/>
    </row>
    <row r="46" spans="1:8" x14ac:dyDescent="0.3">
      <c r="A46" s="22"/>
      <c r="B46" s="51" t="s">
        <v>134</v>
      </c>
      <c r="C46" s="10"/>
      <c r="D46" s="88"/>
      <c r="E46" s="10"/>
      <c r="F46" s="47"/>
      <c r="G46" s="10"/>
      <c r="H46" s="23"/>
    </row>
    <row r="47" spans="1:8" x14ac:dyDescent="0.3">
      <c r="A47" s="141">
        <v>17594</v>
      </c>
      <c r="B47" s="47" t="s">
        <v>135</v>
      </c>
      <c r="C47" s="10">
        <f>D48*25%</f>
        <v>35449.844999999972</v>
      </c>
      <c r="D47" s="88"/>
      <c r="E47" s="10"/>
      <c r="F47" s="47"/>
      <c r="G47" s="10"/>
      <c r="H47" s="23"/>
    </row>
    <row r="48" spans="1:8" x14ac:dyDescent="0.3">
      <c r="A48" s="22">
        <v>52782.74</v>
      </c>
      <c r="B48" s="47" t="s">
        <v>136</v>
      </c>
      <c r="C48" s="12">
        <f>+D48-C47</f>
        <v>106349.53499999992</v>
      </c>
      <c r="D48" s="88">
        <f>H49-SUM(D7:D44)</f>
        <v>141799.37999999989</v>
      </c>
      <c r="E48" s="10"/>
      <c r="F48" s="47"/>
      <c r="G48" s="10"/>
      <c r="H48" s="23"/>
    </row>
    <row r="49" spans="1:17" ht="15" thickBot="1" x14ac:dyDescent="0.35">
      <c r="A49" s="82">
        <f>SUM(A6:A48)</f>
        <v>1467953</v>
      </c>
      <c r="B49" s="171" t="s">
        <v>13</v>
      </c>
      <c r="C49" s="172"/>
      <c r="D49" s="92">
        <f>SUM(D6:D48)</f>
        <v>1675308</v>
      </c>
      <c r="E49" s="86">
        <f>SUM(E6:E48)</f>
        <v>1467953</v>
      </c>
      <c r="F49" s="171" t="s">
        <v>13</v>
      </c>
      <c r="G49" s="172"/>
      <c r="H49" s="82">
        <f>SUM(H7:H48)</f>
        <v>1675308</v>
      </c>
      <c r="J49" s="43">
        <f>H49-D49</f>
        <v>0</v>
      </c>
    </row>
    <row r="50" spans="1:17" ht="15" thickTop="1" x14ac:dyDescent="0.3">
      <c r="A50" s="47"/>
      <c r="B50" s="50"/>
      <c r="C50" s="50"/>
      <c r="D50" s="81"/>
      <c r="E50" s="50"/>
      <c r="F50" s="50"/>
      <c r="G50" s="50"/>
      <c r="H50" s="53"/>
    </row>
    <row r="51" spans="1:17" ht="15.6" x14ac:dyDescent="0.3">
      <c r="A51" s="131" t="s">
        <v>19</v>
      </c>
      <c r="B51" s="132"/>
      <c r="C51" s="132"/>
      <c r="D51" s="77"/>
      <c r="E51" s="163" t="str">
        <f>"For "&amp;A1</f>
        <v>For FARRY APARTMENT CO-OPERATIVE HOUSING SOCIETY LTD.</v>
      </c>
      <c r="F51" s="163"/>
      <c r="G51" s="163"/>
      <c r="H51" s="164"/>
    </row>
    <row r="52" spans="1:17" ht="18" customHeight="1" x14ac:dyDescent="0.3">
      <c r="A52" s="133"/>
      <c r="B52" s="132"/>
      <c r="C52" s="132"/>
      <c r="D52" s="77"/>
      <c r="E52" s="50"/>
      <c r="F52" s="50"/>
      <c r="G52" s="50"/>
      <c r="H52" s="53"/>
    </row>
    <row r="53" spans="1:17" x14ac:dyDescent="0.3">
      <c r="A53" s="134"/>
      <c r="B53" s="132"/>
      <c r="C53" s="132"/>
      <c r="D53" s="77"/>
      <c r="E53" s="50"/>
      <c r="F53" s="50"/>
      <c r="G53" s="50"/>
      <c r="H53" s="53"/>
    </row>
    <row r="54" spans="1:17" x14ac:dyDescent="0.3">
      <c r="A54" s="133"/>
      <c r="B54" s="132"/>
      <c r="C54" s="132"/>
      <c r="D54" s="77"/>
      <c r="E54" s="50"/>
      <c r="F54" s="50"/>
      <c r="G54" s="50"/>
      <c r="H54" s="53"/>
      <c r="J54" s="50"/>
      <c r="L54" s="50"/>
    </row>
    <row r="55" spans="1:17" ht="15.6" x14ac:dyDescent="0.3">
      <c r="A55" s="135" t="s">
        <v>255</v>
      </c>
      <c r="B55" s="136"/>
      <c r="C55" s="137"/>
      <c r="D55" s="77"/>
      <c r="E55" s="165"/>
      <c r="F55" s="165"/>
      <c r="G55" s="165"/>
      <c r="H55" s="166"/>
      <c r="J55" s="50"/>
      <c r="L55" s="50"/>
      <c r="P55" s="50"/>
    </row>
    <row r="56" spans="1:17" ht="15.6" x14ac:dyDescent="0.3">
      <c r="A56" s="138" t="s">
        <v>256</v>
      </c>
      <c r="B56" s="136"/>
      <c r="C56" s="137"/>
      <c r="D56" s="77"/>
      <c r="E56" s="165" t="s">
        <v>257</v>
      </c>
      <c r="F56" s="165"/>
      <c r="G56" s="165"/>
      <c r="H56" s="166"/>
      <c r="J56" s="50"/>
      <c r="N56" s="50"/>
      <c r="O56" s="50"/>
      <c r="P56" s="50"/>
      <c r="Q56" s="50"/>
    </row>
    <row r="57" spans="1:17" ht="15.6" x14ac:dyDescent="0.3">
      <c r="A57" s="138" t="s">
        <v>258</v>
      </c>
      <c r="B57" s="136"/>
      <c r="C57" s="137"/>
      <c r="D57" s="77"/>
      <c r="E57" s="50"/>
      <c r="F57" s="50"/>
      <c r="G57" s="50"/>
      <c r="H57" s="53"/>
      <c r="I57" s="50"/>
      <c r="O57" s="50"/>
      <c r="Q57" s="50"/>
    </row>
    <row r="58" spans="1:17" s="50" customFormat="1" ht="15.6" x14ac:dyDescent="0.3">
      <c r="A58" s="167">
        <v>46228</v>
      </c>
      <c r="B58" s="168"/>
      <c r="C58" s="168"/>
      <c r="D58" s="78"/>
      <c r="E58" s="79"/>
      <c r="F58" s="79"/>
      <c r="G58" s="79"/>
      <c r="H58" s="80"/>
      <c r="J58" s="43"/>
      <c r="K58" s="43"/>
      <c r="L58" s="43"/>
      <c r="M58" s="43"/>
      <c r="N58" s="43"/>
      <c r="O58" s="43"/>
      <c r="P58" s="43"/>
      <c r="Q58" s="43"/>
    </row>
  </sheetData>
  <mergeCells count="12">
    <mergeCell ref="E51:H51"/>
    <mergeCell ref="E55:H55"/>
    <mergeCell ref="E56:H56"/>
    <mergeCell ref="A58:C58"/>
    <mergeCell ref="B49:C49"/>
    <mergeCell ref="F49:G49"/>
    <mergeCell ref="A1:H1"/>
    <mergeCell ref="A2:H2"/>
    <mergeCell ref="A3:H3"/>
    <mergeCell ref="A4:H4"/>
    <mergeCell ref="B5:C5"/>
    <mergeCell ref="F5:G5"/>
  </mergeCells>
  <printOptions horizontalCentered="1"/>
  <pageMargins left="0.39370078740157483" right="0.19685039370078741" top="0.39370078740157483" bottom="0.19685039370078741" header="0.31496062992125984" footer="0.31496062992125984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3"/>
  <sheetViews>
    <sheetView view="pageBreakPreview" zoomScaleNormal="116" zoomScaleSheetLayoutView="100" workbookViewId="0">
      <pane xSplit="2" ySplit="3" topLeftCell="C4" activePane="bottomRight" state="frozen"/>
      <selection activeCell="D16" sqref="D16"/>
      <selection pane="topRight" activeCell="D16" sqref="D16"/>
      <selection pane="bottomLeft" activeCell="D16" sqref="D16"/>
      <selection pane="bottomRight" activeCell="I38" sqref="I38"/>
    </sheetView>
  </sheetViews>
  <sheetFormatPr defaultColWidth="9.109375" defaultRowHeight="14.4" x14ac:dyDescent="0.3"/>
  <cols>
    <col min="1" max="1" width="3.33203125" style="2" bestFit="1" customWidth="1"/>
    <col min="2" max="2" width="20.109375" style="19" bestFit="1" customWidth="1"/>
    <col min="3" max="3" width="12.77734375" style="2" customWidth="1"/>
    <col min="4" max="4" width="12.77734375" style="20" customWidth="1"/>
    <col min="5" max="8" width="12.77734375" style="14" customWidth="1"/>
    <col min="9" max="9" width="12.77734375" style="8" customWidth="1"/>
    <col min="10" max="10" width="12.77734375" style="14" customWidth="1"/>
    <col min="11" max="11" width="6.21875" style="9" bestFit="1" customWidth="1"/>
    <col min="12" max="12" width="6.21875" style="2" bestFit="1" customWidth="1"/>
    <col min="13" max="13" width="9.44140625" bestFit="1" customWidth="1"/>
  </cols>
  <sheetData>
    <row r="1" spans="1:18" ht="18" x14ac:dyDescent="0.35">
      <c r="A1" s="146" t="s">
        <v>149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</row>
    <row r="2" spans="1:18" x14ac:dyDescent="0.3">
      <c r="A2" s="149" t="s">
        <v>251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1"/>
    </row>
    <row r="3" spans="1:18" ht="43.8" thickBot="1" x14ac:dyDescent="0.35">
      <c r="A3" s="93" t="s">
        <v>25</v>
      </c>
      <c r="B3" s="93" t="s">
        <v>5</v>
      </c>
      <c r="C3" s="93" t="s">
        <v>11</v>
      </c>
      <c r="D3" s="94" t="s">
        <v>12</v>
      </c>
      <c r="E3" s="94" t="s">
        <v>72</v>
      </c>
      <c r="F3" s="94" t="s">
        <v>81</v>
      </c>
      <c r="G3" s="94" t="s">
        <v>222</v>
      </c>
      <c r="H3" s="94" t="s">
        <v>65</v>
      </c>
      <c r="I3" s="95" t="s">
        <v>8</v>
      </c>
      <c r="J3" s="94" t="s">
        <v>10</v>
      </c>
      <c r="K3" s="96" t="s">
        <v>26</v>
      </c>
      <c r="L3" s="93" t="s">
        <v>6</v>
      </c>
    </row>
    <row r="4" spans="1:18" x14ac:dyDescent="0.3">
      <c r="A4" s="15"/>
      <c r="B4" s="15" t="s">
        <v>4</v>
      </c>
      <c r="C4" s="15"/>
      <c r="D4" s="16"/>
      <c r="E4" s="16"/>
      <c r="F4" s="16"/>
      <c r="G4" s="16"/>
      <c r="H4" s="16"/>
      <c r="I4" s="17"/>
      <c r="J4" s="16"/>
      <c r="K4" s="18"/>
      <c r="L4" s="15"/>
    </row>
    <row r="5" spans="1:18" x14ac:dyDescent="0.3">
      <c r="A5" s="27">
        <v>1</v>
      </c>
      <c r="B5" s="66">
        <v>102101040040150</v>
      </c>
      <c r="C5" s="27" t="s">
        <v>152</v>
      </c>
      <c r="D5" s="28">
        <v>36829</v>
      </c>
      <c r="E5" s="29">
        <v>0</v>
      </c>
      <c r="F5" s="29">
        <f>1340-782</f>
        <v>558</v>
      </c>
      <c r="G5" s="29">
        <f>649+666+683+689-69</f>
        <v>2618</v>
      </c>
      <c r="H5" s="29">
        <f>SUM(D5:G5)</f>
        <v>40005</v>
      </c>
      <c r="I5" s="30">
        <v>0</v>
      </c>
      <c r="J5" s="29">
        <v>0</v>
      </c>
      <c r="K5" s="31">
        <v>0</v>
      </c>
      <c r="L5" s="27" t="s">
        <v>150</v>
      </c>
    </row>
    <row r="6" spans="1:18" x14ac:dyDescent="0.3">
      <c r="A6" s="27">
        <v>2</v>
      </c>
      <c r="B6" s="66">
        <v>300001000468048</v>
      </c>
      <c r="C6" s="27" t="s">
        <v>153</v>
      </c>
      <c r="D6" s="28">
        <v>346591</v>
      </c>
      <c r="E6" s="29">
        <v>0</v>
      </c>
      <c r="F6" s="29">
        <v>0</v>
      </c>
      <c r="G6" s="29">
        <v>0</v>
      </c>
      <c r="H6" s="29">
        <f>SUM(D6:G6)</f>
        <v>346591</v>
      </c>
      <c r="I6" s="30" t="s">
        <v>153</v>
      </c>
      <c r="J6" s="29">
        <v>348454</v>
      </c>
      <c r="K6" s="31">
        <v>7.2499999999999995E-2</v>
      </c>
      <c r="L6" s="27" t="s">
        <v>150</v>
      </c>
      <c r="Q6" s="2"/>
      <c r="R6" s="2"/>
    </row>
    <row r="7" spans="1:18" ht="15" thickBot="1" x14ac:dyDescent="0.35">
      <c r="A7" s="142" t="s">
        <v>259</v>
      </c>
      <c r="B7" s="142"/>
      <c r="C7" s="143"/>
      <c r="D7" s="98">
        <f>SUM(D5:D6)</f>
        <v>383420</v>
      </c>
      <c r="E7" s="98">
        <f>SUM(E5:E6)</f>
        <v>0</v>
      </c>
      <c r="F7" s="98">
        <f>SUM(F5:F6)</f>
        <v>558</v>
      </c>
      <c r="G7" s="98">
        <f>SUM(G5:G6)</f>
        <v>2618</v>
      </c>
      <c r="H7" s="98">
        <f>SUM(H5:H6)</f>
        <v>386596</v>
      </c>
      <c r="I7" s="99"/>
      <c r="J7" s="98">
        <f>SUM(J5:J6)</f>
        <v>348454</v>
      </c>
      <c r="K7" s="100"/>
      <c r="L7" s="97"/>
    </row>
    <row r="8" spans="1:18" ht="15" thickTop="1" x14ac:dyDescent="0.3">
      <c r="B8" s="67" t="s">
        <v>14</v>
      </c>
    </row>
    <row r="9" spans="1:18" x14ac:dyDescent="0.3">
      <c r="A9" s="27">
        <v>3</v>
      </c>
      <c r="B9" s="68" t="s">
        <v>230</v>
      </c>
      <c r="C9" s="27" t="s">
        <v>154</v>
      </c>
      <c r="D9" s="28">
        <v>283439</v>
      </c>
      <c r="E9" s="29">
        <v>0</v>
      </c>
      <c r="F9" s="29">
        <v>0</v>
      </c>
      <c r="G9" s="29">
        <f>10298-1030</f>
        <v>9268</v>
      </c>
      <c r="H9" s="29">
        <f>SUM(D9:G9)</f>
        <v>292707</v>
      </c>
      <c r="I9" s="30"/>
      <c r="J9" s="29"/>
      <c r="K9" s="31"/>
      <c r="L9" s="27" t="s">
        <v>151</v>
      </c>
    </row>
    <row r="10" spans="1:18" x14ac:dyDescent="0.3">
      <c r="A10" s="27">
        <v>4</v>
      </c>
      <c r="B10" s="68" t="s">
        <v>226</v>
      </c>
      <c r="C10" s="27" t="s">
        <v>154</v>
      </c>
      <c r="D10" s="28">
        <v>283327</v>
      </c>
      <c r="E10" s="29">
        <v>0</v>
      </c>
      <c r="F10" s="29">
        <v>0</v>
      </c>
      <c r="G10" s="29">
        <f>10294-1029</f>
        <v>9265</v>
      </c>
      <c r="H10" s="29">
        <f t="shared" ref="H10:H15" si="0">SUM(D10:G10)</f>
        <v>292592</v>
      </c>
      <c r="I10" s="30"/>
      <c r="J10" s="29"/>
      <c r="K10" s="31"/>
      <c r="L10" s="27" t="s">
        <v>151</v>
      </c>
    </row>
    <row r="11" spans="1:18" x14ac:dyDescent="0.3">
      <c r="A11" s="27">
        <v>5</v>
      </c>
      <c r="B11" s="69" t="s">
        <v>229</v>
      </c>
      <c r="C11" s="27" t="s">
        <v>155</v>
      </c>
      <c r="D11" s="28">
        <v>341459</v>
      </c>
      <c r="E11" s="29">
        <v>0</v>
      </c>
      <c r="F11" s="29">
        <v>0</v>
      </c>
      <c r="G11" s="29">
        <f>17282-1728</f>
        <v>15554</v>
      </c>
      <c r="H11" s="29">
        <f t="shared" si="0"/>
        <v>357013</v>
      </c>
      <c r="I11" s="30"/>
      <c r="J11" s="29"/>
      <c r="K11" s="31"/>
      <c r="L11" s="27" t="s">
        <v>151</v>
      </c>
    </row>
    <row r="12" spans="1:18" x14ac:dyDescent="0.3">
      <c r="A12" s="27">
        <v>6</v>
      </c>
      <c r="B12" s="69" t="s">
        <v>228</v>
      </c>
      <c r="C12" s="27" t="s">
        <v>156</v>
      </c>
      <c r="D12" s="28">
        <v>341457</v>
      </c>
      <c r="E12" s="32">
        <v>0</v>
      </c>
      <c r="F12" s="32">
        <v>0</v>
      </c>
      <c r="G12" s="32">
        <f>17348-1735</f>
        <v>15613</v>
      </c>
      <c r="H12" s="29">
        <f t="shared" si="0"/>
        <v>357070</v>
      </c>
      <c r="I12" s="30"/>
      <c r="J12" s="29"/>
      <c r="K12" s="31"/>
      <c r="L12" s="27" t="s">
        <v>151</v>
      </c>
    </row>
    <row r="13" spans="1:18" x14ac:dyDescent="0.3">
      <c r="A13" s="27">
        <v>7</v>
      </c>
      <c r="B13" s="69" t="s">
        <v>232</v>
      </c>
      <c r="C13" s="27" t="s">
        <v>233</v>
      </c>
      <c r="D13" s="28">
        <v>100000</v>
      </c>
      <c r="E13" s="32">
        <v>0</v>
      </c>
      <c r="F13" s="32">
        <v>0</v>
      </c>
      <c r="G13" s="32">
        <f>914-92</f>
        <v>822</v>
      </c>
      <c r="H13" s="29">
        <f t="shared" si="0"/>
        <v>100822</v>
      </c>
      <c r="I13" s="30" t="s">
        <v>234</v>
      </c>
      <c r="J13" s="29">
        <v>114437</v>
      </c>
      <c r="K13" s="31">
        <v>6.8000000000000005E-2</v>
      </c>
      <c r="L13" s="27" t="s">
        <v>151</v>
      </c>
    </row>
    <row r="14" spans="1:18" x14ac:dyDescent="0.3">
      <c r="A14" s="27">
        <v>8</v>
      </c>
      <c r="B14" s="68" t="s">
        <v>189</v>
      </c>
      <c r="C14" s="27" t="s">
        <v>179</v>
      </c>
      <c r="D14" s="28">
        <v>200000</v>
      </c>
      <c r="E14" s="32">
        <v>0</v>
      </c>
      <c r="F14" s="32">
        <f>10239-1024</f>
        <v>9215</v>
      </c>
      <c r="G14" s="32">
        <f>15034-386</f>
        <v>14648</v>
      </c>
      <c r="H14" s="29">
        <f t="shared" si="0"/>
        <v>223863</v>
      </c>
      <c r="I14" s="30"/>
      <c r="J14" s="29"/>
      <c r="K14" s="31"/>
      <c r="L14" s="27"/>
    </row>
    <row r="15" spans="1:18" x14ac:dyDescent="0.3">
      <c r="A15" s="27">
        <v>9</v>
      </c>
      <c r="B15" s="68" t="s">
        <v>187</v>
      </c>
      <c r="C15" s="27" t="s">
        <v>188</v>
      </c>
      <c r="D15" s="28">
        <v>150000</v>
      </c>
      <c r="E15" s="32">
        <v>0</v>
      </c>
      <c r="F15" s="32">
        <f>5524-553</f>
        <v>4971</v>
      </c>
      <c r="G15" s="32">
        <f>11136-285</f>
        <v>10851</v>
      </c>
      <c r="H15" s="29">
        <f t="shared" si="0"/>
        <v>165822</v>
      </c>
      <c r="I15" s="30"/>
      <c r="J15" s="29"/>
      <c r="K15" s="31"/>
      <c r="L15" s="27"/>
    </row>
    <row r="16" spans="1:18" ht="15" thickBot="1" x14ac:dyDescent="0.35">
      <c r="A16" s="142" t="s">
        <v>259</v>
      </c>
      <c r="B16" s="142"/>
      <c r="C16" s="143"/>
      <c r="D16" s="101">
        <f>SUM(D9:D15)</f>
        <v>1699682</v>
      </c>
      <c r="E16" s="101">
        <f>SUM(E9:E15)</f>
        <v>0</v>
      </c>
      <c r="F16" s="101">
        <f>SUM(F9:F15)</f>
        <v>14186</v>
      </c>
      <c r="G16" s="101">
        <f>SUM(G9:G15)</f>
        <v>76021</v>
      </c>
      <c r="H16" s="101">
        <f>SUM(H9:H15)</f>
        <v>1789889</v>
      </c>
      <c r="I16" s="99"/>
      <c r="J16" s="101">
        <f>SUM(J9:J15)</f>
        <v>114437</v>
      </c>
      <c r="K16" s="100"/>
      <c r="L16" s="97"/>
    </row>
    <row r="17" spans="1:13" ht="15" thickTop="1" x14ac:dyDescent="0.3">
      <c r="B17" s="67" t="s">
        <v>15</v>
      </c>
      <c r="E17" s="20"/>
      <c r="F17" s="20"/>
      <c r="G17" s="20"/>
      <c r="H17" s="20"/>
    </row>
    <row r="18" spans="1:13" x14ac:dyDescent="0.3">
      <c r="A18" s="27">
        <v>10</v>
      </c>
      <c r="B18" s="69">
        <v>1200007559</v>
      </c>
      <c r="C18" s="27" t="s">
        <v>157</v>
      </c>
      <c r="D18" s="28">
        <v>15500</v>
      </c>
      <c r="E18" s="28">
        <v>0</v>
      </c>
      <c r="F18" s="28">
        <v>0</v>
      </c>
      <c r="G18" s="28"/>
      <c r="H18" s="29">
        <f>SUM(D18:F18)</f>
        <v>15500</v>
      </c>
      <c r="I18" s="30" t="s">
        <v>231</v>
      </c>
      <c r="J18" s="29">
        <v>15500</v>
      </c>
      <c r="K18" s="31">
        <v>7.7499999999999999E-2</v>
      </c>
      <c r="L18" s="27" t="s">
        <v>29</v>
      </c>
    </row>
    <row r="19" spans="1:13" ht="15" thickBot="1" x14ac:dyDescent="0.35">
      <c r="A19" s="142" t="s">
        <v>259</v>
      </c>
      <c r="B19" s="142"/>
      <c r="C19" s="143"/>
      <c r="D19" s="101">
        <f>SUM(D18)</f>
        <v>15500</v>
      </c>
      <c r="E19" s="101">
        <f>SUM(E18)</f>
        <v>0</v>
      </c>
      <c r="F19" s="101">
        <f>SUM(F18)</f>
        <v>0</v>
      </c>
      <c r="G19" s="101">
        <f>SUM(G18)</f>
        <v>0</v>
      </c>
      <c r="H19" s="101">
        <f t="shared" ref="H19" si="1">SUM(H18)</f>
        <v>15500</v>
      </c>
      <c r="I19" s="99"/>
      <c r="J19" s="101">
        <f>SUM(J18)</f>
        <v>15500</v>
      </c>
      <c r="K19" s="100"/>
      <c r="L19" s="97"/>
    </row>
    <row r="20" spans="1:13" ht="15" thickTop="1" x14ac:dyDescent="0.3">
      <c r="B20" s="67" t="s">
        <v>158</v>
      </c>
    </row>
    <row r="21" spans="1:13" x14ac:dyDescent="0.3">
      <c r="A21" s="27">
        <v>11</v>
      </c>
      <c r="B21" s="68" t="s">
        <v>224</v>
      </c>
      <c r="C21" s="27" t="s">
        <v>159</v>
      </c>
      <c r="D21" s="28">
        <v>314543</v>
      </c>
      <c r="E21" s="29">
        <v>0</v>
      </c>
      <c r="F21" s="29">
        <v>0</v>
      </c>
      <c r="G21" s="29">
        <f>17147-1715</f>
        <v>15432</v>
      </c>
      <c r="H21" s="29">
        <f>SUM(D21:G21)</f>
        <v>329975</v>
      </c>
      <c r="I21" s="30"/>
      <c r="J21" s="29"/>
      <c r="K21" s="31"/>
      <c r="L21" s="27" t="s">
        <v>151</v>
      </c>
    </row>
    <row r="22" spans="1:13" x14ac:dyDescent="0.3">
      <c r="A22" s="27">
        <v>12</v>
      </c>
      <c r="B22" s="68" t="s">
        <v>225</v>
      </c>
      <c r="C22" s="27" t="s">
        <v>159</v>
      </c>
      <c r="D22" s="28">
        <v>314542</v>
      </c>
      <c r="E22" s="29">
        <v>0</v>
      </c>
      <c r="F22" s="29">
        <v>0</v>
      </c>
      <c r="G22" s="29">
        <f>17147-1714</f>
        <v>15433</v>
      </c>
      <c r="H22" s="29">
        <f t="shared" ref="H22:H30" si="2">SUM(D22:G22)</f>
        <v>329975</v>
      </c>
      <c r="I22" s="30"/>
      <c r="J22" s="29"/>
      <c r="K22" s="31"/>
      <c r="L22" s="27" t="s">
        <v>151</v>
      </c>
    </row>
    <row r="23" spans="1:13" x14ac:dyDescent="0.3">
      <c r="A23" s="27">
        <v>13</v>
      </c>
      <c r="B23" s="68" t="s">
        <v>223</v>
      </c>
      <c r="C23" s="27" t="s">
        <v>160</v>
      </c>
      <c r="D23" s="28">
        <v>583355</v>
      </c>
      <c r="E23" s="29">
        <v>0</v>
      </c>
      <c r="F23" s="29">
        <v>0</v>
      </c>
      <c r="G23" s="29">
        <f>38356-3835</f>
        <v>34521</v>
      </c>
      <c r="H23" s="29">
        <f t="shared" si="2"/>
        <v>617876</v>
      </c>
      <c r="I23" s="30"/>
      <c r="J23" s="29"/>
      <c r="K23" s="31"/>
      <c r="L23" s="27" t="s">
        <v>151</v>
      </c>
    </row>
    <row r="24" spans="1:13" x14ac:dyDescent="0.3">
      <c r="A24" s="27">
        <v>14</v>
      </c>
      <c r="B24" s="68" t="s">
        <v>227</v>
      </c>
      <c r="C24" s="27" t="s">
        <v>161</v>
      </c>
      <c r="D24" s="28">
        <v>341458</v>
      </c>
      <c r="E24" s="29">
        <v>0</v>
      </c>
      <c r="F24" s="29">
        <v>0</v>
      </c>
      <c r="G24" s="29">
        <f>17349-1735</f>
        <v>15614</v>
      </c>
      <c r="H24" s="29">
        <f t="shared" si="2"/>
        <v>357072</v>
      </c>
      <c r="I24" s="30"/>
      <c r="J24" s="29"/>
      <c r="K24" s="31"/>
      <c r="L24" s="27" t="s">
        <v>151</v>
      </c>
    </row>
    <row r="25" spans="1:13" x14ac:dyDescent="0.3">
      <c r="A25" s="27">
        <v>15</v>
      </c>
      <c r="B25" s="68" t="s">
        <v>178</v>
      </c>
      <c r="C25" s="27" t="s">
        <v>179</v>
      </c>
      <c r="D25" s="28">
        <v>600000</v>
      </c>
      <c r="E25" s="29">
        <v>0</v>
      </c>
      <c r="F25" s="29">
        <f>30750-2153</f>
        <v>28597</v>
      </c>
      <c r="G25" s="29">
        <f>45052-4506</f>
        <v>40546</v>
      </c>
      <c r="H25" s="29">
        <f t="shared" si="2"/>
        <v>669143</v>
      </c>
      <c r="I25" s="30"/>
      <c r="J25" s="29"/>
      <c r="K25" s="31"/>
      <c r="L25" s="27" t="s">
        <v>151</v>
      </c>
    </row>
    <row r="26" spans="1:13" x14ac:dyDescent="0.3">
      <c r="A26" s="27">
        <v>16</v>
      </c>
      <c r="B26" s="68" t="s">
        <v>180</v>
      </c>
      <c r="C26" s="27" t="s">
        <v>179</v>
      </c>
      <c r="D26" s="28">
        <v>500000</v>
      </c>
      <c r="E26" s="29">
        <v>0</v>
      </c>
      <c r="F26" s="29">
        <f>25625-1795</f>
        <v>23830</v>
      </c>
      <c r="G26" s="29">
        <f>37543-3755</f>
        <v>33788</v>
      </c>
      <c r="H26" s="29">
        <f t="shared" si="2"/>
        <v>557618</v>
      </c>
      <c r="I26" s="30"/>
      <c r="J26" s="29"/>
      <c r="K26" s="31"/>
      <c r="L26" s="27" t="s">
        <v>151</v>
      </c>
    </row>
    <row r="27" spans="1:13" x14ac:dyDescent="0.3">
      <c r="A27" s="27">
        <v>17</v>
      </c>
      <c r="B27" s="68" t="s">
        <v>181</v>
      </c>
      <c r="C27" s="27" t="s">
        <v>179</v>
      </c>
      <c r="D27" s="28">
        <v>500000</v>
      </c>
      <c r="E27" s="29">
        <v>0</v>
      </c>
      <c r="F27" s="29">
        <f>25608-2274</f>
        <v>23334</v>
      </c>
      <c r="G27" s="29">
        <f>37508-3750</f>
        <v>33758</v>
      </c>
      <c r="H27" s="29">
        <f t="shared" si="2"/>
        <v>557092</v>
      </c>
      <c r="I27" s="30"/>
      <c r="J27" s="29"/>
      <c r="K27" s="31"/>
      <c r="L27" s="27" t="s">
        <v>151</v>
      </c>
    </row>
    <row r="28" spans="1:13" x14ac:dyDescent="0.3">
      <c r="A28" s="27">
        <v>18</v>
      </c>
      <c r="B28" s="68" t="s">
        <v>182</v>
      </c>
      <c r="C28" s="27" t="s">
        <v>179</v>
      </c>
      <c r="D28" s="28">
        <v>500000</v>
      </c>
      <c r="E28" s="29">
        <v>0</v>
      </c>
      <c r="F28" s="29">
        <f>25598-2559</f>
        <v>23039</v>
      </c>
      <c r="G28" s="29">
        <f>37486-3749</f>
        <v>33737</v>
      </c>
      <c r="H28" s="29">
        <f t="shared" si="2"/>
        <v>556776</v>
      </c>
      <c r="I28" s="30"/>
      <c r="J28" s="29"/>
      <c r="K28" s="31"/>
      <c r="L28" s="27" t="s">
        <v>151</v>
      </c>
    </row>
    <row r="29" spans="1:13" x14ac:dyDescent="0.3">
      <c r="A29" s="27">
        <v>19</v>
      </c>
      <c r="B29" s="70" t="s">
        <v>183</v>
      </c>
      <c r="C29" s="71" t="s">
        <v>184</v>
      </c>
      <c r="D29" s="35">
        <v>150000</v>
      </c>
      <c r="E29" s="36">
        <v>0</v>
      </c>
      <c r="F29" s="36">
        <f>1345-135</f>
        <v>1210</v>
      </c>
      <c r="G29" s="36">
        <f>11234-1124</f>
        <v>10110</v>
      </c>
      <c r="H29" s="29">
        <f t="shared" si="2"/>
        <v>161320</v>
      </c>
      <c r="I29" s="37"/>
      <c r="J29" s="38"/>
      <c r="K29" s="34"/>
      <c r="L29" s="71" t="s">
        <v>151</v>
      </c>
      <c r="M29" s="42"/>
    </row>
    <row r="30" spans="1:13" x14ac:dyDescent="0.3">
      <c r="A30" s="27">
        <v>20</v>
      </c>
      <c r="B30" s="68" t="s">
        <v>185</v>
      </c>
      <c r="C30" s="27" t="s">
        <v>186</v>
      </c>
      <c r="D30" s="28">
        <v>100000</v>
      </c>
      <c r="E30" s="29">
        <v>0</v>
      </c>
      <c r="F30" s="29">
        <f>161-16</f>
        <v>145</v>
      </c>
      <c r="G30" s="29">
        <f>7703-771</f>
        <v>6932</v>
      </c>
      <c r="H30" s="29">
        <f t="shared" si="2"/>
        <v>107077</v>
      </c>
      <c r="I30" s="30"/>
      <c r="J30" s="29"/>
      <c r="K30" s="31"/>
      <c r="L30" s="27" t="s">
        <v>151</v>
      </c>
    </row>
    <row r="31" spans="1:13" ht="15" thickBot="1" x14ac:dyDescent="0.35">
      <c r="A31" s="142" t="s">
        <v>259</v>
      </c>
      <c r="B31" s="142"/>
      <c r="C31" s="143"/>
      <c r="D31" s="101">
        <f>SUM(D21:D30)</f>
        <v>3903898</v>
      </c>
      <c r="E31" s="101">
        <f>SUM(E21:E30)</f>
        <v>0</v>
      </c>
      <c r="F31" s="101">
        <f>SUM(F21:F30)</f>
        <v>100155</v>
      </c>
      <c r="G31" s="101">
        <f>SUM(G21:G30)</f>
        <v>239871</v>
      </c>
      <c r="H31" s="101">
        <f>SUM(H21:H30)</f>
        <v>4243924</v>
      </c>
      <c r="I31" s="99"/>
      <c r="J31" s="101">
        <f>SUM(J21:J30)</f>
        <v>0</v>
      </c>
      <c r="K31" s="100"/>
      <c r="L31" s="97"/>
    </row>
    <row r="32" spans="1:13" ht="15.6" thickTop="1" thickBot="1" x14ac:dyDescent="0.35">
      <c r="D32" s="21"/>
      <c r="E32" s="21"/>
      <c r="F32" s="21"/>
      <c r="G32" s="21"/>
      <c r="H32" s="21"/>
    </row>
    <row r="33" spans="1:12" ht="15" thickBot="1" x14ac:dyDescent="0.35">
      <c r="A33" s="144" t="s">
        <v>64</v>
      </c>
      <c r="B33" s="145"/>
      <c r="C33" s="145"/>
      <c r="D33" s="102">
        <f>D7+D16+D19+D31</f>
        <v>6002500</v>
      </c>
      <c r="E33" s="102">
        <f>E7+E16+E19+E31</f>
        <v>0</v>
      </c>
      <c r="F33" s="102">
        <f>F7+F16+F19+F31</f>
        <v>114899</v>
      </c>
      <c r="G33" s="102">
        <f>G7+G16+G19+G31</f>
        <v>318510</v>
      </c>
      <c r="H33" s="102">
        <f>H7+H16+H19+H31</f>
        <v>6435909</v>
      </c>
      <c r="I33" s="103"/>
      <c r="J33" s="102">
        <f>J7+J16+J19+J31</f>
        <v>478391</v>
      </c>
      <c r="K33" s="104"/>
      <c r="L33" s="105"/>
    </row>
  </sheetData>
  <mergeCells count="7">
    <mergeCell ref="A31:C31"/>
    <mergeCell ref="A33:C33"/>
    <mergeCell ref="A1:L1"/>
    <mergeCell ref="A2:L2"/>
    <mergeCell ref="A7:C7"/>
    <mergeCell ref="A16:C16"/>
    <mergeCell ref="A19:C19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view="pageBreakPreview" topLeftCell="A3" zoomScaleNormal="100" zoomScaleSheetLayoutView="100" workbookViewId="0">
      <selection activeCell="D16" sqref="D16"/>
    </sheetView>
  </sheetViews>
  <sheetFormatPr defaultRowHeight="14.4" x14ac:dyDescent="0.3"/>
  <cols>
    <col min="1" max="1" width="6.6640625" style="106" bestFit="1" customWidth="1"/>
    <col min="2" max="2" width="28.44140625" style="106" customWidth="1"/>
    <col min="3" max="3" width="5.44140625" style="1" bestFit="1" customWidth="1"/>
    <col min="4" max="9" width="14.77734375" style="1" customWidth="1"/>
    <col min="10" max="16384" width="8.88671875" style="106"/>
  </cols>
  <sheetData>
    <row r="1" spans="1:9" ht="21" x14ac:dyDescent="0.3">
      <c r="A1" s="174" t="s">
        <v>149</v>
      </c>
      <c r="B1" s="174"/>
      <c r="C1" s="174"/>
      <c r="D1" s="174"/>
      <c r="E1" s="174"/>
      <c r="F1" s="174"/>
      <c r="G1" s="174"/>
      <c r="H1" s="174"/>
      <c r="I1" s="174"/>
    </row>
    <row r="2" spans="1:9" x14ac:dyDescent="0.3">
      <c r="B2" s="173" t="s">
        <v>216</v>
      </c>
      <c r="C2" s="173"/>
      <c r="D2" s="173"/>
      <c r="E2" s="173"/>
      <c r="F2" s="173"/>
      <c r="G2" s="173"/>
      <c r="H2" s="173"/>
      <c r="I2" s="173"/>
    </row>
    <row r="3" spans="1:9" s="1" customFormat="1" ht="58.2" thickBot="1" x14ac:dyDescent="0.35">
      <c r="A3" s="114" t="s">
        <v>162</v>
      </c>
      <c r="B3" s="115" t="s">
        <v>67</v>
      </c>
      <c r="C3" s="115" t="s">
        <v>68</v>
      </c>
      <c r="D3" s="115" t="s">
        <v>218</v>
      </c>
      <c r="E3" s="115" t="s">
        <v>220</v>
      </c>
      <c r="F3" s="115" t="s">
        <v>221</v>
      </c>
      <c r="G3" s="115" t="s">
        <v>219</v>
      </c>
      <c r="H3" s="115" t="s">
        <v>69</v>
      </c>
      <c r="I3" s="115" t="s">
        <v>217</v>
      </c>
    </row>
    <row r="4" spans="1:9" ht="31.95" customHeight="1" x14ac:dyDescent="0.3">
      <c r="A4" s="112">
        <v>1</v>
      </c>
      <c r="B4" s="113" t="s">
        <v>59</v>
      </c>
      <c r="C4" s="110">
        <v>0</v>
      </c>
      <c r="D4" s="110">
        <v>18080000</v>
      </c>
      <c r="E4" s="110">
        <v>0</v>
      </c>
      <c r="F4" s="110">
        <v>0</v>
      </c>
      <c r="G4" s="110">
        <f t="shared" ref="G4:G11" si="0">D4+E4+F4</f>
        <v>18080000</v>
      </c>
      <c r="H4" s="110">
        <f t="shared" ref="H4:H10" si="1">ROUND(G4*C4,)</f>
        <v>0</v>
      </c>
      <c r="I4" s="110">
        <f t="shared" ref="I4:I11" si="2">G4-H4</f>
        <v>18080000</v>
      </c>
    </row>
    <row r="5" spans="1:9" ht="31.95" customHeight="1" x14ac:dyDescent="0.3">
      <c r="A5" s="39">
        <v>2</v>
      </c>
      <c r="B5" s="111" t="s">
        <v>163</v>
      </c>
      <c r="C5" s="108">
        <v>0</v>
      </c>
      <c r="D5" s="108">
        <v>23225</v>
      </c>
      <c r="E5" s="108">
        <v>0</v>
      </c>
      <c r="F5" s="108">
        <v>0</v>
      </c>
      <c r="G5" s="108">
        <f t="shared" si="0"/>
        <v>23225</v>
      </c>
      <c r="H5" s="108">
        <f t="shared" si="1"/>
        <v>0</v>
      </c>
      <c r="I5" s="108">
        <f t="shared" si="2"/>
        <v>23225</v>
      </c>
    </row>
    <row r="6" spans="1:9" ht="31.95" customHeight="1" x14ac:dyDescent="0.3">
      <c r="A6" s="39">
        <v>3</v>
      </c>
      <c r="B6" s="111" t="s">
        <v>164</v>
      </c>
      <c r="C6" s="108">
        <v>0.1</v>
      </c>
      <c r="D6" s="108">
        <v>14997</v>
      </c>
      <c r="E6" s="108">
        <v>0</v>
      </c>
      <c r="F6" s="108">
        <v>0</v>
      </c>
      <c r="G6" s="108">
        <f t="shared" si="0"/>
        <v>14997</v>
      </c>
      <c r="H6" s="108">
        <f t="shared" si="1"/>
        <v>1500</v>
      </c>
      <c r="I6" s="108">
        <f t="shared" si="2"/>
        <v>13497</v>
      </c>
    </row>
    <row r="7" spans="1:9" ht="31.95" customHeight="1" x14ac:dyDescent="0.3">
      <c r="A7" s="39">
        <v>4</v>
      </c>
      <c r="B7" s="111" t="s">
        <v>165</v>
      </c>
      <c r="C7" s="108">
        <v>0.15</v>
      </c>
      <c r="D7" s="108">
        <v>26619</v>
      </c>
      <c r="E7" s="108">
        <v>0</v>
      </c>
      <c r="F7" s="108">
        <v>0</v>
      </c>
      <c r="G7" s="108">
        <f t="shared" si="0"/>
        <v>26619</v>
      </c>
      <c r="H7" s="108">
        <f t="shared" si="1"/>
        <v>3993</v>
      </c>
      <c r="I7" s="108">
        <f t="shared" si="2"/>
        <v>22626</v>
      </c>
    </row>
    <row r="8" spans="1:9" ht="31.95" customHeight="1" x14ac:dyDescent="0.3">
      <c r="A8" s="39">
        <v>5</v>
      </c>
      <c r="B8" s="111" t="s">
        <v>166</v>
      </c>
      <c r="C8" s="108">
        <v>0.15</v>
      </c>
      <c r="D8" s="108">
        <v>5341</v>
      </c>
      <c r="E8" s="108">
        <v>0</v>
      </c>
      <c r="F8" s="108">
        <v>0</v>
      </c>
      <c r="G8" s="108">
        <f t="shared" si="0"/>
        <v>5341</v>
      </c>
      <c r="H8" s="108">
        <f t="shared" si="1"/>
        <v>801</v>
      </c>
      <c r="I8" s="108">
        <f t="shared" si="2"/>
        <v>4540</v>
      </c>
    </row>
    <row r="9" spans="1:9" ht="31.95" customHeight="1" x14ac:dyDescent="0.3">
      <c r="A9" s="39">
        <v>6</v>
      </c>
      <c r="B9" s="111" t="s">
        <v>167</v>
      </c>
      <c r="C9" s="108">
        <v>0.15</v>
      </c>
      <c r="D9" s="108">
        <v>49637</v>
      </c>
      <c r="E9" s="108">
        <v>6903</v>
      </c>
      <c r="F9" s="108">
        <v>0</v>
      </c>
      <c r="G9" s="108">
        <f t="shared" si="0"/>
        <v>56540</v>
      </c>
      <c r="H9" s="108">
        <f t="shared" si="1"/>
        <v>8481</v>
      </c>
      <c r="I9" s="108">
        <f t="shared" si="2"/>
        <v>48059</v>
      </c>
    </row>
    <row r="10" spans="1:9" ht="31.95" customHeight="1" x14ac:dyDescent="0.3">
      <c r="A10" s="39">
        <v>7</v>
      </c>
      <c r="B10" s="111" t="s">
        <v>168</v>
      </c>
      <c r="C10" s="108">
        <v>0.15</v>
      </c>
      <c r="D10" s="108">
        <v>2411</v>
      </c>
      <c r="E10" s="108">
        <v>0</v>
      </c>
      <c r="F10" s="108">
        <v>0</v>
      </c>
      <c r="G10" s="108">
        <f t="shared" si="0"/>
        <v>2411</v>
      </c>
      <c r="H10" s="108">
        <f t="shared" si="1"/>
        <v>362</v>
      </c>
      <c r="I10" s="108">
        <f t="shared" si="2"/>
        <v>2049</v>
      </c>
    </row>
    <row r="11" spans="1:9" ht="31.95" customHeight="1" thickBot="1" x14ac:dyDescent="0.35">
      <c r="A11" s="116">
        <v>8</v>
      </c>
      <c r="B11" s="117" t="s">
        <v>169</v>
      </c>
      <c r="C11" s="109">
        <v>0.15</v>
      </c>
      <c r="D11" s="109">
        <v>11379</v>
      </c>
      <c r="E11" s="109">
        <v>0</v>
      </c>
      <c r="F11" s="109">
        <v>0</v>
      </c>
      <c r="G11" s="109">
        <f t="shared" si="0"/>
        <v>11379</v>
      </c>
      <c r="H11" s="109">
        <f>ROUND(G11*C11/2,)</f>
        <v>853</v>
      </c>
      <c r="I11" s="109">
        <f t="shared" si="2"/>
        <v>10526</v>
      </c>
    </row>
    <row r="12" spans="1:9" ht="31.95" customHeight="1" thickBot="1" x14ac:dyDescent="0.35">
      <c r="A12" s="118"/>
      <c r="B12" s="119" t="s">
        <v>259</v>
      </c>
      <c r="C12" s="120"/>
      <c r="D12" s="121">
        <f t="shared" ref="D12:I12" si="3">SUM(D4:D11)</f>
        <v>18213609</v>
      </c>
      <c r="E12" s="121">
        <f t="shared" si="3"/>
        <v>6903</v>
      </c>
      <c r="F12" s="121">
        <f t="shared" si="3"/>
        <v>0</v>
      </c>
      <c r="G12" s="121">
        <f t="shared" si="3"/>
        <v>18220512</v>
      </c>
      <c r="H12" s="121">
        <f t="shared" si="3"/>
        <v>15990</v>
      </c>
      <c r="I12" s="122">
        <f t="shared" si="3"/>
        <v>18204522</v>
      </c>
    </row>
  </sheetData>
  <mergeCells count="2">
    <mergeCell ref="B2:I2"/>
    <mergeCell ref="A1:I1"/>
  </mergeCells>
  <printOptions horizontalCentered="1"/>
  <pageMargins left="0.39370078740157483" right="0.19685039370078741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abSelected="1" view="pageBreakPreview" topLeftCell="A22" zoomScaleNormal="100" zoomScaleSheetLayoutView="100" workbookViewId="0">
      <selection activeCell="D16" sqref="D16"/>
    </sheetView>
  </sheetViews>
  <sheetFormatPr defaultRowHeight="14.4" x14ac:dyDescent="0.3"/>
  <cols>
    <col min="1" max="1" width="6.33203125" style="106" customWidth="1"/>
    <col min="2" max="2" width="8" style="106" customWidth="1"/>
    <col min="3" max="3" width="47" style="106" bestFit="1" customWidth="1"/>
    <col min="4" max="4" width="14.77734375" style="76" customWidth="1"/>
    <col min="5" max="16384" width="8.88671875" style="106"/>
  </cols>
  <sheetData>
    <row r="1" spans="1:5" ht="18" x14ac:dyDescent="0.3">
      <c r="A1" s="175" t="str">
        <f>+BS!A1</f>
        <v>FARRY APARTMENT CO-OPERATIVE HOUSING SOCIETY LTD.</v>
      </c>
      <c r="B1" s="176"/>
      <c r="C1" s="176"/>
      <c r="D1" s="177"/>
    </row>
    <row r="2" spans="1:5" ht="15.6" x14ac:dyDescent="0.3">
      <c r="A2" s="180" t="s">
        <v>241</v>
      </c>
      <c r="B2" s="178"/>
      <c r="C2" s="178"/>
      <c r="D2" s="181"/>
      <c r="E2" s="123"/>
    </row>
    <row r="3" spans="1:5" ht="18" customHeight="1" thickBot="1" x14ac:dyDescent="0.35">
      <c r="A3" s="124" t="s">
        <v>172</v>
      </c>
      <c r="B3" s="125" t="s">
        <v>170</v>
      </c>
      <c r="C3" s="124" t="s">
        <v>171</v>
      </c>
      <c r="D3" s="125" t="s">
        <v>20</v>
      </c>
    </row>
    <row r="4" spans="1:5" ht="18" customHeight="1" x14ac:dyDescent="0.3">
      <c r="A4" s="112">
        <v>1</v>
      </c>
      <c r="B4" s="112">
        <v>301</v>
      </c>
      <c r="C4" s="113" t="s">
        <v>190</v>
      </c>
      <c r="D4" s="126">
        <v>12297</v>
      </c>
    </row>
    <row r="5" spans="1:5" ht="18" customHeight="1" x14ac:dyDescent="0.3">
      <c r="A5" s="39">
        <v>2</v>
      </c>
      <c r="B5" s="39">
        <v>103</v>
      </c>
      <c r="C5" s="111" t="s">
        <v>191</v>
      </c>
      <c r="D5" s="127">
        <v>4407</v>
      </c>
    </row>
    <row r="6" spans="1:5" ht="18" customHeight="1" x14ac:dyDescent="0.3">
      <c r="A6" s="39">
        <v>3</v>
      </c>
      <c r="B6" s="39">
        <v>201</v>
      </c>
      <c r="C6" s="111" t="s">
        <v>235</v>
      </c>
      <c r="D6" s="127">
        <v>18933</v>
      </c>
    </row>
    <row r="7" spans="1:5" ht="18" customHeight="1" thickBot="1" x14ac:dyDescent="0.35">
      <c r="A7" s="179" t="s">
        <v>13</v>
      </c>
      <c r="B7" s="179"/>
      <c r="C7" s="179"/>
      <c r="D7" s="128">
        <f>SUM(D4:D6)</f>
        <v>35637</v>
      </c>
    </row>
    <row r="8" spans="1:5" ht="18" customHeight="1" thickTop="1" x14ac:dyDescent="0.3">
      <c r="A8" s="107"/>
      <c r="B8" s="107"/>
      <c r="C8" s="107"/>
      <c r="D8" s="129"/>
    </row>
    <row r="9" spans="1:5" ht="18" customHeight="1" x14ac:dyDescent="0.3">
      <c r="A9" s="107"/>
      <c r="B9" s="107"/>
      <c r="C9" s="107"/>
      <c r="D9" s="129"/>
    </row>
    <row r="10" spans="1:5" ht="18" customHeight="1" x14ac:dyDescent="0.3"/>
    <row r="11" spans="1:5" ht="18" customHeight="1" x14ac:dyDescent="0.3">
      <c r="A11" s="178" t="s">
        <v>242</v>
      </c>
      <c r="B11" s="178"/>
      <c r="C11" s="178"/>
      <c r="D11" s="178"/>
    </row>
    <row r="12" spans="1:5" ht="18" customHeight="1" thickBot="1" x14ac:dyDescent="0.35">
      <c r="A12" s="125" t="s">
        <v>172</v>
      </c>
      <c r="B12" s="125" t="s">
        <v>170</v>
      </c>
      <c r="C12" s="124" t="s">
        <v>66</v>
      </c>
      <c r="D12" s="125" t="s">
        <v>20</v>
      </c>
    </row>
    <row r="13" spans="1:5" ht="18" customHeight="1" x14ac:dyDescent="0.3">
      <c r="A13" s="112">
        <v>1</v>
      </c>
      <c r="B13" s="112">
        <v>203</v>
      </c>
      <c r="C13" s="113" t="s">
        <v>192</v>
      </c>
      <c r="D13" s="126">
        <v>11869</v>
      </c>
    </row>
    <row r="14" spans="1:5" ht="18" customHeight="1" x14ac:dyDescent="0.3">
      <c r="A14" s="39">
        <v>2</v>
      </c>
      <c r="B14" s="39">
        <v>402</v>
      </c>
      <c r="C14" s="111" t="s">
        <v>237</v>
      </c>
      <c r="D14" s="127">
        <v>3703</v>
      </c>
    </row>
    <row r="15" spans="1:5" ht="18" customHeight="1" x14ac:dyDescent="0.3">
      <c r="A15" s="39">
        <v>3</v>
      </c>
      <c r="B15" s="39">
        <v>501</v>
      </c>
      <c r="C15" s="111" t="s">
        <v>238</v>
      </c>
      <c r="D15" s="127">
        <v>3684</v>
      </c>
    </row>
    <row r="16" spans="1:5" ht="18" customHeight="1" x14ac:dyDescent="0.3">
      <c r="A16" s="39">
        <v>4</v>
      </c>
      <c r="B16" s="39">
        <v>502</v>
      </c>
      <c r="C16" s="111" t="s">
        <v>193</v>
      </c>
      <c r="D16" s="127">
        <v>6197</v>
      </c>
    </row>
    <row r="17" spans="1:4" ht="18" customHeight="1" x14ac:dyDescent="0.3">
      <c r="A17" s="39">
        <v>5</v>
      </c>
      <c r="B17" s="39">
        <v>503</v>
      </c>
      <c r="C17" s="111" t="s">
        <v>239</v>
      </c>
      <c r="D17" s="127">
        <v>22</v>
      </c>
    </row>
    <row r="18" spans="1:4" ht="18" customHeight="1" x14ac:dyDescent="0.3">
      <c r="A18" s="39">
        <v>6</v>
      </c>
      <c r="B18" s="39" t="s">
        <v>236</v>
      </c>
      <c r="C18" s="111" t="s">
        <v>240</v>
      </c>
      <c r="D18" s="127">
        <v>50</v>
      </c>
    </row>
    <row r="19" spans="1:4" ht="18" customHeight="1" thickBot="1" x14ac:dyDescent="0.35">
      <c r="A19" s="179" t="s">
        <v>13</v>
      </c>
      <c r="B19" s="179"/>
      <c r="C19" s="179"/>
      <c r="D19" s="128">
        <f>SUM(D13:D18)</f>
        <v>25525</v>
      </c>
    </row>
    <row r="20" spans="1:4" ht="15" thickTop="1" x14ac:dyDescent="0.3"/>
    <row r="21" spans="1:4" ht="18" customHeight="1" x14ac:dyDescent="0.3"/>
    <row r="22" spans="1:4" ht="18" customHeight="1" x14ac:dyDescent="0.3">
      <c r="B22" s="178" t="s">
        <v>245</v>
      </c>
      <c r="C22" s="178"/>
      <c r="D22" s="178"/>
    </row>
    <row r="23" spans="1:4" ht="18" customHeight="1" thickBot="1" x14ac:dyDescent="0.35">
      <c r="B23" s="125" t="s">
        <v>172</v>
      </c>
      <c r="C23" s="125" t="s">
        <v>194</v>
      </c>
      <c r="D23" s="125" t="s">
        <v>20</v>
      </c>
    </row>
    <row r="24" spans="1:4" ht="18" customHeight="1" x14ac:dyDescent="0.3">
      <c r="B24" s="112">
        <v>1</v>
      </c>
      <c r="C24" s="113" t="s">
        <v>196</v>
      </c>
      <c r="D24" s="126">
        <v>15970</v>
      </c>
    </row>
    <row r="25" spans="1:4" ht="18" customHeight="1" x14ac:dyDescent="0.3">
      <c r="B25" s="39">
        <v>2</v>
      </c>
      <c r="C25" s="111" t="s">
        <v>195</v>
      </c>
      <c r="D25" s="127">
        <v>7450</v>
      </c>
    </row>
    <row r="26" spans="1:4" ht="18" customHeight="1" x14ac:dyDescent="0.3">
      <c r="B26" s="39">
        <v>3</v>
      </c>
      <c r="C26" s="111" t="s">
        <v>197</v>
      </c>
      <c r="D26" s="127">
        <v>5000</v>
      </c>
    </row>
    <row r="27" spans="1:4" ht="18" customHeight="1" x14ac:dyDescent="0.3">
      <c r="B27" s="39">
        <v>4</v>
      </c>
      <c r="C27" s="111" t="s">
        <v>198</v>
      </c>
      <c r="D27" s="127">
        <v>31581</v>
      </c>
    </row>
    <row r="28" spans="1:4" ht="18" customHeight="1" x14ac:dyDescent="0.3">
      <c r="B28" s="39">
        <v>5</v>
      </c>
      <c r="C28" s="111" t="s">
        <v>199</v>
      </c>
      <c r="D28" s="127">
        <v>1250</v>
      </c>
    </row>
    <row r="29" spans="1:4" ht="18" customHeight="1" x14ac:dyDescent="0.3">
      <c r="B29" s="39">
        <v>7</v>
      </c>
      <c r="C29" s="111" t="s">
        <v>200</v>
      </c>
      <c r="D29" s="127">
        <v>2500</v>
      </c>
    </row>
    <row r="30" spans="1:4" ht="18" customHeight="1" x14ac:dyDescent="0.3">
      <c r="B30" s="39">
        <v>8</v>
      </c>
      <c r="C30" s="111" t="s">
        <v>201</v>
      </c>
      <c r="D30" s="127">
        <v>10215</v>
      </c>
    </row>
    <row r="31" spans="1:4" ht="18" customHeight="1" thickBot="1" x14ac:dyDescent="0.35">
      <c r="B31" s="179" t="s">
        <v>13</v>
      </c>
      <c r="C31" s="179"/>
      <c r="D31" s="128">
        <f>SUM(D24:D30)</f>
        <v>73966</v>
      </c>
    </row>
    <row r="32" spans="1:4" ht="18" customHeight="1" thickTop="1" x14ac:dyDescent="0.3">
      <c r="B32" s="107"/>
      <c r="C32" s="107"/>
      <c r="D32" s="129"/>
    </row>
    <row r="33" spans="2:4" ht="18" customHeight="1" x14ac:dyDescent="0.3"/>
    <row r="34" spans="2:4" ht="18" customHeight="1" x14ac:dyDescent="0.3">
      <c r="B34" s="178" t="s">
        <v>246</v>
      </c>
      <c r="C34" s="178"/>
      <c r="D34" s="178"/>
    </row>
    <row r="35" spans="2:4" ht="18" customHeight="1" thickBot="1" x14ac:dyDescent="0.35">
      <c r="B35" s="124" t="s">
        <v>172</v>
      </c>
      <c r="C35" s="124" t="s">
        <v>194</v>
      </c>
      <c r="D35" s="125" t="s">
        <v>20</v>
      </c>
    </row>
    <row r="36" spans="2:4" ht="18" customHeight="1" x14ac:dyDescent="0.3">
      <c r="B36" s="112">
        <v>1</v>
      </c>
      <c r="C36" s="113" t="s">
        <v>244</v>
      </c>
      <c r="D36" s="126">
        <v>7500</v>
      </c>
    </row>
    <row r="37" spans="2:4" ht="18" customHeight="1" x14ac:dyDescent="0.3">
      <c r="B37" s="39">
        <v>2</v>
      </c>
      <c r="C37" s="111" t="s">
        <v>250</v>
      </c>
      <c r="D37" s="127">
        <v>100</v>
      </c>
    </row>
    <row r="38" spans="2:4" ht="18" customHeight="1" x14ac:dyDescent="0.3">
      <c r="B38" s="39">
        <v>3</v>
      </c>
      <c r="C38" s="111" t="s">
        <v>243</v>
      </c>
      <c r="D38" s="130">
        <v>25000</v>
      </c>
    </row>
    <row r="39" spans="2:4" ht="18" customHeight="1" thickBot="1" x14ac:dyDescent="0.35">
      <c r="B39" s="179" t="s">
        <v>13</v>
      </c>
      <c r="C39" s="179"/>
      <c r="D39" s="128">
        <f>SUM(D36:D38)</f>
        <v>32600</v>
      </c>
    </row>
    <row r="40" spans="2:4" ht="15" thickTop="1" x14ac:dyDescent="0.3"/>
  </sheetData>
  <mergeCells count="9">
    <mergeCell ref="A1:D1"/>
    <mergeCell ref="B22:D22"/>
    <mergeCell ref="B31:C31"/>
    <mergeCell ref="B34:D34"/>
    <mergeCell ref="B39:C39"/>
    <mergeCell ref="A7:C7"/>
    <mergeCell ref="A19:C19"/>
    <mergeCell ref="A2:D2"/>
    <mergeCell ref="A11:D11"/>
  </mergeCells>
  <printOptions horizontalCentered="1"/>
  <pageMargins left="0.39370078740157483" right="0.19685039370078741" top="0.39370078740157483" bottom="0.19685039370078741" header="0.31496062992125984" footer="0.31496062992125984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9"/>
  <sheetViews>
    <sheetView workbookViewId="0">
      <selection activeCell="G16" sqref="G16"/>
    </sheetView>
  </sheetViews>
  <sheetFormatPr defaultRowHeight="14.4" x14ac:dyDescent="0.3"/>
  <cols>
    <col min="1" max="1" width="5.88671875" customWidth="1"/>
    <col min="2" max="2" width="47" bestFit="1" customWidth="1"/>
    <col min="3" max="3" width="10" bestFit="1" customWidth="1"/>
  </cols>
  <sheetData>
    <row r="2" spans="1:3" x14ac:dyDescent="0.3">
      <c r="A2" s="183" t="s">
        <v>245</v>
      </c>
      <c r="B2" s="183"/>
      <c r="C2" s="183"/>
    </row>
    <row r="3" spans="1:3" s="76" customFormat="1" x14ac:dyDescent="0.3">
      <c r="A3" s="40" t="s">
        <v>172</v>
      </c>
      <c r="B3" s="40" t="s">
        <v>194</v>
      </c>
      <c r="C3" s="40" t="s">
        <v>20</v>
      </c>
    </row>
    <row r="4" spans="1:3" x14ac:dyDescent="0.3">
      <c r="A4" s="27">
        <v>1</v>
      </c>
      <c r="B4" s="5" t="s">
        <v>196</v>
      </c>
      <c r="C4" s="25">
        <v>15970</v>
      </c>
    </row>
    <row r="5" spans="1:3" x14ac:dyDescent="0.3">
      <c r="A5" s="27">
        <v>2</v>
      </c>
      <c r="B5" s="5" t="s">
        <v>195</v>
      </c>
      <c r="C5" s="25">
        <v>7450</v>
      </c>
    </row>
    <row r="6" spans="1:3" x14ac:dyDescent="0.3">
      <c r="A6" s="27">
        <v>3</v>
      </c>
      <c r="B6" s="5" t="s">
        <v>197</v>
      </c>
      <c r="C6" s="25">
        <v>5000</v>
      </c>
    </row>
    <row r="7" spans="1:3" x14ac:dyDescent="0.3">
      <c r="A7" s="27">
        <v>4</v>
      </c>
      <c r="B7" s="5" t="s">
        <v>198</v>
      </c>
      <c r="C7" s="25">
        <v>31581</v>
      </c>
    </row>
    <row r="8" spans="1:3" x14ac:dyDescent="0.3">
      <c r="A8" s="27">
        <v>5</v>
      </c>
      <c r="B8" s="5" t="s">
        <v>199</v>
      </c>
      <c r="C8" s="25">
        <v>1250</v>
      </c>
    </row>
    <row r="9" spans="1:3" x14ac:dyDescent="0.3">
      <c r="A9" s="27">
        <v>7</v>
      </c>
      <c r="B9" s="5" t="s">
        <v>200</v>
      </c>
      <c r="C9" s="25">
        <v>2500</v>
      </c>
    </row>
    <row r="10" spans="1:3" x14ac:dyDescent="0.3">
      <c r="A10" s="27">
        <v>8</v>
      </c>
      <c r="B10" s="5" t="s">
        <v>201</v>
      </c>
      <c r="C10" s="25">
        <v>10215</v>
      </c>
    </row>
    <row r="11" spans="1:3" x14ac:dyDescent="0.3">
      <c r="A11" s="182" t="s">
        <v>13</v>
      </c>
      <c r="B11" s="182"/>
      <c r="C11" s="26">
        <f>SUM(C4:C10)</f>
        <v>73966</v>
      </c>
    </row>
    <row r="12" spans="1:3" x14ac:dyDescent="0.3">
      <c r="A12" s="41"/>
      <c r="B12" s="41"/>
      <c r="C12" s="24"/>
    </row>
    <row r="14" spans="1:3" x14ac:dyDescent="0.3">
      <c r="A14" s="183" t="s">
        <v>246</v>
      </c>
      <c r="B14" s="183"/>
      <c r="C14" s="183"/>
    </row>
    <row r="15" spans="1:3" x14ac:dyDescent="0.3">
      <c r="A15" s="11" t="s">
        <v>172</v>
      </c>
      <c r="B15" s="11" t="s">
        <v>194</v>
      </c>
      <c r="C15" s="11" t="s">
        <v>20</v>
      </c>
    </row>
    <row r="16" spans="1:3" x14ac:dyDescent="0.3">
      <c r="A16" s="27">
        <v>1</v>
      </c>
      <c r="B16" s="5" t="s">
        <v>244</v>
      </c>
      <c r="C16" s="25">
        <v>7500</v>
      </c>
    </row>
    <row r="17" spans="1:3" x14ac:dyDescent="0.3">
      <c r="A17" s="27">
        <v>2</v>
      </c>
      <c r="B17" s="5" t="s">
        <v>250</v>
      </c>
      <c r="C17" s="25">
        <v>100</v>
      </c>
    </row>
    <row r="18" spans="1:3" x14ac:dyDescent="0.3">
      <c r="A18" s="39">
        <v>3</v>
      </c>
      <c r="B18" s="5" t="s">
        <v>243</v>
      </c>
      <c r="C18" s="72">
        <v>25000</v>
      </c>
    </row>
    <row r="19" spans="1:3" x14ac:dyDescent="0.3">
      <c r="A19" s="182" t="s">
        <v>13</v>
      </c>
      <c r="B19" s="182"/>
      <c r="C19" s="26">
        <f>SUM(C16:C18)</f>
        <v>32600</v>
      </c>
    </row>
  </sheetData>
  <mergeCells count="4">
    <mergeCell ref="A19:B19"/>
    <mergeCell ref="A11:B11"/>
    <mergeCell ref="A2:C2"/>
    <mergeCell ref="A14:C14"/>
  </mergeCells>
  <printOptions horizontalCentered="1"/>
  <pageMargins left="0" right="0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activeCell="G20" sqref="G20"/>
    </sheetView>
  </sheetViews>
  <sheetFormatPr defaultRowHeight="14.4" x14ac:dyDescent="0.3"/>
  <cols>
    <col min="1" max="1" width="5.5546875" customWidth="1"/>
    <col min="2" max="2" width="4" customWidth="1"/>
    <col min="3" max="3" width="41.44140625" customWidth="1"/>
    <col min="4" max="4" width="14.44140625" style="3" customWidth="1"/>
    <col min="5" max="5" width="10.33203125" bestFit="1" customWidth="1"/>
    <col min="6" max="6" width="11.33203125" bestFit="1" customWidth="1"/>
    <col min="7" max="7" width="10.6640625" bestFit="1" customWidth="1"/>
    <col min="8" max="8" width="10" bestFit="1" customWidth="1"/>
    <col min="9" max="9" width="9.33203125" bestFit="1" customWidth="1"/>
    <col min="10" max="10" width="16.109375" bestFit="1" customWidth="1"/>
    <col min="11" max="11" width="17.6640625" bestFit="1" customWidth="1"/>
  </cols>
  <sheetData>
    <row r="1" spans="1:6" x14ac:dyDescent="0.3">
      <c r="A1" s="184" t="s">
        <v>149</v>
      </c>
      <c r="B1" s="184"/>
      <c r="C1" s="184"/>
      <c r="D1" s="184"/>
    </row>
    <row r="3" spans="1:6" x14ac:dyDescent="0.3">
      <c r="A3" s="185" t="s">
        <v>247</v>
      </c>
      <c r="B3" s="185"/>
      <c r="C3" s="185"/>
      <c r="D3" s="185"/>
    </row>
    <row r="4" spans="1:6" x14ac:dyDescent="0.3">
      <c r="A4" s="2"/>
      <c r="B4" s="2"/>
      <c r="C4" s="2"/>
      <c r="D4" s="7" t="s">
        <v>20</v>
      </c>
    </row>
    <row r="5" spans="1:6" x14ac:dyDescent="0.3">
      <c r="A5" t="s">
        <v>27</v>
      </c>
      <c r="D5" s="3">
        <v>246018.67</v>
      </c>
      <c r="E5" s="33"/>
    </row>
    <row r="6" spans="1:6" x14ac:dyDescent="0.3">
      <c r="A6" t="s">
        <v>74</v>
      </c>
      <c r="B6" t="s">
        <v>76</v>
      </c>
      <c r="D6" s="3">
        <v>0</v>
      </c>
    </row>
    <row r="7" spans="1:6" x14ac:dyDescent="0.3">
      <c r="A7" t="s">
        <v>74</v>
      </c>
      <c r="B7" t="s">
        <v>77</v>
      </c>
      <c r="D7" s="3">
        <v>2000</v>
      </c>
    </row>
    <row r="8" spans="1:6" x14ac:dyDescent="0.3">
      <c r="A8" t="s">
        <v>74</v>
      </c>
      <c r="B8" t="s">
        <v>203</v>
      </c>
      <c r="D8" s="3">
        <v>0</v>
      </c>
    </row>
    <row r="9" spans="1:6" x14ac:dyDescent="0.3">
      <c r="A9" t="s">
        <v>74</v>
      </c>
      <c r="B9" t="s">
        <v>202</v>
      </c>
    </row>
    <row r="10" spans="1:6" ht="15" thickBot="1" x14ac:dyDescent="0.35">
      <c r="A10" s="4" t="s">
        <v>28</v>
      </c>
      <c r="D10" s="6">
        <f>D5+D6+D7+D8+D9</f>
        <v>248018.67</v>
      </c>
      <c r="E10" s="13"/>
      <c r="F10" s="13"/>
    </row>
    <row r="11" spans="1:6" ht="15" thickTop="1" x14ac:dyDescent="0.3">
      <c r="F11" s="13"/>
    </row>
    <row r="12" spans="1:6" x14ac:dyDescent="0.3">
      <c r="A12" s="185" t="s">
        <v>248</v>
      </c>
      <c r="B12" s="185"/>
      <c r="C12" s="185"/>
      <c r="D12" s="185"/>
    </row>
    <row r="13" spans="1:6" x14ac:dyDescent="0.3">
      <c r="A13" s="2"/>
      <c r="B13" s="2"/>
      <c r="C13" s="2"/>
      <c r="D13" s="7" t="s">
        <v>20</v>
      </c>
    </row>
    <row r="14" spans="1:6" x14ac:dyDescent="0.3">
      <c r="A14" t="s">
        <v>27</v>
      </c>
      <c r="D14" s="3">
        <v>29158</v>
      </c>
    </row>
    <row r="15" spans="1:6" x14ac:dyDescent="0.3">
      <c r="A15" t="s">
        <v>74</v>
      </c>
      <c r="B15" t="s">
        <v>76</v>
      </c>
    </row>
    <row r="16" spans="1:6" x14ac:dyDescent="0.3">
      <c r="A16" t="s">
        <v>75</v>
      </c>
      <c r="B16" t="s">
        <v>77</v>
      </c>
      <c r="D16" s="3">
        <v>0</v>
      </c>
    </row>
    <row r="17" spans="1:4" x14ac:dyDescent="0.3">
      <c r="A17" t="s">
        <v>74</v>
      </c>
      <c r="B17" t="s">
        <v>78</v>
      </c>
      <c r="D17" s="3">
        <v>0</v>
      </c>
    </row>
    <row r="19" spans="1:4" ht="15" thickBot="1" x14ac:dyDescent="0.35">
      <c r="A19" s="4" t="s">
        <v>28</v>
      </c>
      <c r="D19" s="6">
        <f>D14+D15-D16+D17</f>
        <v>29158</v>
      </c>
    </row>
    <row r="20" spans="1:4" ht="15" thickTop="1" x14ac:dyDescent="0.3"/>
  </sheetData>
  <mergeCells count="3">
    <mergeCell ref="A1:D1"/>
    <mergeCell ref="A3:D3"/>
    <mergeCell ref="A12:D12"/>
  </mergeCells>
  <printOptions horizontalCentered="1"/>
  <pageMargins left="0" right="0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0"/>
  <sheetViews>
    <sheetView workbookViewId="0">
      <selection activeCell="I31" sqref="I31"/>
    </sheetView>
  </sheetViews>
  <sheetFormatPr defaultColWidth="9.109375" defaultRowHeight="14.4" x14ac:dyDescent="0.3"/>
  <cols>
    <col min="2" max="2" width="17.33203125" bestFit="1" customWidth="1"/>
    <col min="3" max="3" width="14" bestFit="1" customWidth="1"/>
    <col min="4" max="4" width="8.44140625" bestFit="1" customWidth="1"/>
    <col min="5" max="5" width="11.88671875" bestFit="1" customWidth="1"/>
    <col min="8" max="8" width="5.6640625" bestFit="1" customWidth="1"/>
    <col min="10" max="10" width="19.44140625" bestFit="1" customWidth="1"/>
    <col min="11" max="11" width="12.33203125" bestFit="1" customWidth="1"/>
  </cols>
  <sheetData>
    <row r="1" spans="1:12" x14ac:dyDescent="0.3">
      <c r="A1" t="s">
        <v>2</v>
      </c>
    </row>
    <row r="4" spans="1:12" x14ac:dyDescent="0.3">
      <c r="B4" t="s">
        <v>23</v>
      </c>
    </row>
    <row r="5" spans="1:12" x14ac:dyDescent="0.3">
      <c r="B5" s="56">
        <v>45968</v>
      </c>
      <c r="C5" s="56">
        <v>46059</v>
      </c>
      <c r="D5" s="14">
        <f>+C5-B5</f>
        <v>91</v>
      </c>
      <c r="E5">
        <v>9764</v>
      </c>
      <c r="J5" s="185" t="s">
        <v>93</v>
      </c>
      <c r="K5" s="185"/>
    </row>
    <row r="6" spans="1:12" x14ac:dyDescent="0.3">
      <c r="B6" s="56">
        <v>46059</v>
      </c>
      <c r="C6" s="56">
        <v>46112</v>
      </c>
      <c r="D6" s="14">
        <f>+C6-B6</f>
        <v>53</v>
      </c>
      <c r="E6" s="65">
        <f>ROUND(+E5*D6/D5,0)</f>
        <v>5687</v>
      </c>
      <c r="F6" t="s">
        <v>79</v>
      </c>
      <c r="J6" t="s">
        <v>205</v>
      </c>
      <c r="K6" s="13">
        <f>IE!H22</f>
        <v>1381</v>
      </c>
    </row>
    <row r="7" spans="1:12" x14ac:dyDescent="0.3">
      <c r="B7" s="56"/>
      <c r="C7" s="56"/>
      <c r="D7" s="14"/>
      <c r="E7" s="57"/>
      <c r="J7" t="s">
        <v>204</v>
      </c>
      <c r="K7" s="13">
        <f>IE!H23</f>
        <v>1966</v>
      </c>
    </row>
    <row r="8" spans="1:12" x14ac:dyDescent="0.3">
      <c r="B8" s="56">
        <v>45968</v>
      </c>
      <c r="C8" s="56">
        <v>46059</v>
      </c>
      <c r="D8" s="14">
        <f>+C8-B8</f>
        <v>91</v>
      </c>
      <c r="E8">
        <v>6206</v>
      </c>
      <c r="J8" t="s">
        <v>84</v>
      </c>
      <c r="K8" s="13">
        <v>1131</v>
      </c>
    </row>
    <row r="9" spans="1:12" x14ac:dyDescent="0.3">
      <c r="B9" s="56">
        <v>46059</v>
      </c>
      <c r="C9" s="56">
        <v>46112</v>
      </c>
      <c r="D9" s="14">
        <f>+C9-B9</f>
        <v>53</v>
      </c>
      <c r="E9" s="65">
        <f>ROUND(+E8*D9/D8,0)</f>
        <v>3614</v>
      </c>
      <c r="F9" t="s">
        <v>79</v>
      </c>
      <c r="J9" t="s">
        <v>85</v>
      </c>
      <c r="K9" s="13">
        <f>IE!G24</f>
        <v>432443</v>
      </c>
    </row>
    <row r="10" spans="1:12" x14ac:dyDescent="0.3">
      <c r="B10" s="56"/>
      <c r="C10" s="56"/>
      <c r="D10" s="14"/>
      <c r="E10" s="57"/>
      <c r="J10" t="s">
        <v>86</v>
      </c>
      <c r="K10" s="58">
        <f>-K9-K6-K7</f>
        <v>-435790</v>
      </c>
    </row>
    <row r="11" spans="1:12" x14ac:dyDescent="0.3">
      <c r="D11" s="42"/>
      <c r="E11" s="59"/>
      <c r="J11" t="s">
        <v>13</v>
      </c>
      <c r="K11" s="13">
        <f>SUM(K6:K10)</f>
        <v>1131</v>
      </c>
    </row>
    <row r="12" spans="1:12" x14ac:dyDescent="0.3">
      <c r="B12" t="s">
        <v>24</v>
      </c>
      <c r="J12" t="s">
        <v>87</v>
      </c>
      <c r="K12" s="13">
        <f>ROUND(K11*L12,0)</f>
        <v>113</v>
      </c>
      <c r="L12" s="60">
        <v>0.1</v>
      </c>
    </row>
    <row r="13" spans="1:12" x14ac:dyDescent="0.3">
      <c r="B13" s="56">
        <v>45952</v>
      </c>
      <c r="C13" s="56">
        <v>46316</v>
      </c>
      <c r="D13" s="14">
        <f>C13-B13+1</f>
        <v>365</v>
      </c>
      <c r="E13">
        <v>24190</v>
      </c>
      <c r="J13" t="s">
        <v>88</v>
      </c>
      <c r="K13">
        <v>0</v>
      </c>
      <c r="L13" s="60">
        <v>0.2</v>
      </c>
    </row>
    <row r="14" spans="1:12" x14ac:dyDescent="0.3">
      <c r="B14" s="56">
        <v>46113</v>
      </c>
      <c r="C14" s="56">
        <f>+C13</f>
        <v>46316</v>
      </c>
      <c r="D14" s="14">
        <f>C14-B14+1</f>
        <v>204</v>
      </c>
      <c r="E14" s="65">
        <f>ROUND(+E13*D14/D13,0)</f>
        <v>13520</v>
      </c>
      <c r="F14" t="s">
        <v>82</v>
      </c>
      <c r="J14" t="s">
        <v>89</v>
      </c>
      <c r="K14">
        <v>0</v>
      </c>
      <c r="L14" s="60">
        <v>0.3</v>
      </c>
    </row>
    <row r="15" spans="1:12" x14ac:dyDescent="0.3">
      <c r="J15" t="s">
        <v>90</v>
      </c>
      <c r="K15" s="58">
        <f>ROUND(SUM(K12:K14)*L15,0)</f>
        <v>5</v>
      </c>
      <c r="L15" s="60">
        <v>0.04</v>
      </c>
    </row>
    <row r="16" spans="1:12" x14ac:dyDescent="0.3">
      <c r="J16" t="s">
        <v>91</v>
      </c>
      <c r="K16" s="13">
        <f>SUM(K12:K15)</f>
        <v>118</v>
      </c>
    </row>
    <row r="17" spans="2:12" x14ac:dyDescent="0.3">
      <c r="B17" s="56"/>
      <c r="C17" s="56"/>
      <c r="D17" s="14"/>
      <c r="J17" s="61" t="s">
        <v>92</v>
      </c>
      <c r="K17" s="62">
        <f>ROUND(K16,-1)</f>
        <v>120</v>
      </c>
    </row>
    <row r="18" spans="2:12" x14ac:dyDescent="0.3">
      <c r="B18" s="56"/>
      <c r="C18" s="56"/>
      <c r="D18" s="14"/>
      <c r="E18" s="57"/>
      <c r="J18" t="s">
        <v>208</v>
      </c>
      <c r="K18" s="63">
        <v>201</v>
      </c>
      <c r="L18" t="s">
        <v>209</v>
      </c>
    </row>
    <row r="20" spans="2:12" x14ac:dyDescent="0.3">
      <c r="B20" t="s">
        <v>174</v>
      </c>
    </row>
    <row r="21" spans="2:12" x14ac:dyDescent="0.3">
      <c r="B21" s="64">
        <v>46023</v>
      </c>
      <c r="C21" s="56">
        <v>46387</v>
      </c>
      <c r="D21" s="14">
        <f>C21-B21+1</f>
        <v>365</v>
      </c>
      <c r="E21">
        <v>12980</v>
      </c>
    </row>
    <row r="22" spans="2:12" x14ac:dyDescent="0.3">
      <c r="B22" s="56">
        <v>46113</v>
      </c>
      <c r="C22" s="56">
        <f>+C21</f>
        <v>46387</v>
      </c>
      <c r="D22" s="14">
        <f>C22-B22+1</f>
        <v>275</v>
      </c>
      <c r="E22" s="65">
        <f>ROUND(+E21*D22/D21,0)</f>
        <v>9779</v>
      </c>
      <c r="F22" t="s">
        <v>82</v>
      </c>
    </row>
    <row r="24" spans="2:12" x14ac:dyDescent="0.3">
      <c r="B24" t="s">
        <v>177</v>
      </c>
    </row>
    <row r="25" spans="2:12" x14ac:dyDescent="0.3">
      <c r="B25" s="56">
        <v>45383</v>
      </c>
      <c r="C25" s="56">
        <v>45473</v>
      </c>
      <c r="D25" s="14">
        <f>C25-B25+1</f>
        <v>91</v>
      </c>
      <c r="E25">
        <v>1874</v>
      </c>
    </row>
    <row r="26" spans="2:12" x14ac:dyDescent="0.3">
      <c r="B26" s="56">
        <v>45474</v>
      </c>
      <c r="C26" s="56">
        <v>45565</v>
      </c>
      <c r="D26" s="14">
        <f>C26-B26+1</f>
        <v>92</v>
      </c>
      <c r="E26">
        <v>1900</v>
      </c>
    </row>
    <row r="27" spans="2:12" x14ac:dyDescent="0.3">
      <c r="B27" s="56"/>
      <c r="C27" s="56"/>
      <c r="D27" s="14">
        <f>SUM(D25:D26)</f>
        <v>183</v>
      </c>
      <c r="E27">
        <f>SUM(E25:E26)</f>
        <v>3774</v>
      </c>
    </row>
    <row r="28" spans="2:12" x14ac:dyDescent="0.3">
      <c r="B28" s="56">
        <v>45566</v>
      </c>
      <c r="C28" s="56">
        <v>45747</v>
      </c>
      <c r="D28" s="14">
        <f>C28-B28+1</f>
        <v>182</v>
      </c>
      <c r="E28" s="57">
        <f>ROUND(+E27*D28/D27,0)</f>
        <v>3753</v>
      </c>
      <c r="F28" t="s">
        <v>79</v>
      </c>
    </row>
    <row r="30" spans="2:12" x14ac:dyDescent="0.3">
      <c r="B30" t="s">
        <v>140</v>
      </c>
    </row>
  </sheetData>
  <mergeCells count="1">
    <mergeCell ref="J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BS</vt:lpstr>
      <vt:lpstr>IE</vt:lpstr>
      <vt:lpstr>FD-Sch</vt:lpstr>
      <vt:lpstr>FA-Sh</vt:lpstr>
      <vt:lpstr>Member Receivable &amp; Advances</vt:lpstr>
      <vt:lpstr>Vendor Payable &amp; Adavnce</vt:lpstr>
      <vt:lpstr>BRS</vt:lpstr>
      <vt:lpstr>Workings</vt:lpstr>
      <vt:lpstr>BS!Print_Area</vt:lpstr>
      <vt:lpstr>'FA-Sh'!Print_Area</vt:lpstr>
      <vt:lpstr>'FD-Sch'!Print_Area</vt:lpstr>
      <vt:lpstr>IE!Print_Area</vt:lpstr>
      <vt:lpstr>'Member Receivable &amp; Advances'!Print_Area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2026-07-25T10:25:24Z</cp:lastPrinted>
  <dcterms:created xsi:type="dcterms:W3CDTF">2015-06-05T18:17:20Z</dcterms:created>
  <dcterms:modified xsi:type="dcterms:W3CDTF">2026-07-25T10:25:48Z</dcterms:modified>
</cp:coreProperties>
</file>