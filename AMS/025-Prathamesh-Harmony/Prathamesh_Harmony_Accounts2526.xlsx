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BHARAT\2025-2026\BCB\AMS\025-Prathamesh-Harmony\"/>
    </mc:Choice>
  </mc:AlternateContent>
  <xr:revisionPtr revIDLastSave="0" documentId="13_ncr:1_{5D4C18D2-E721-4D1C-9EC5-7B74F4D1A942}" xr6:coauthVersionLast="47" xr6:coauthVersionMax="47" xr10:uidLastSave="{00000000-0000-0000-0000-000000000000}"/>
  <bookViews>
    <workbookView xWindow="-108" yWindow="-108" windowWidth="23256" windowHeight="12456" activeTab="3" xr2:uid="{00000000-000D-0000-FFFF-FFFF00000000}"/>
  </bookViews>
  <sheets>
    <sheet name="BS " sheetId="10" r:id="rId1"/>
    <sheet name="IE " sheetId="11" r:id="rId2"/>
    <sheet name="Sch I FD" sheetId="8" r:id="rId3"/>
    <sheet name="Sch Receivable &amp; Payable" sheetId="9" r:id="rId4"/>
    <sheet name="Sch IV Fixed Assets" sheetId="4" r:id="rId5"/>
    <sheet name="xx" sheetId="7" state="hidden" r:id="rId6"/>
    <sheet name="xxx" sheetId="1" state="hidden" r:id="rId7"/>
    <sheet name="xxxx" sheetId="3" state="hidden" r:id="rId8"/>
    <sheet name="FD Int Working" sheetId="6" state="hidden" r:id="rId9"/>
    <sheet name="Workings" sheetId="2" r:id="rId10"/>
    <sheet name="BRS" sheetId="13" r:id="rId11"/>
    <sheet name="Sheet1" sheetId="14" r:id="rId12"/>
  </sheets>
  <definedNames>
    <definedName name="_xlnm._FilterDatabase" localSheetId="8" hidden="1">'FD Int Working'!$A$2:$F$64</definedName>
    <definedName name="_xlnm.Print_Area" localSheetId="0">'BS '!$A$1:$H$63</definedName>
    <definedName name="_xlnm.Print_Area" localSheetId="1">'IE '!$A$1:$H$44</definedName>
    <definedName name="_xlnm.Print_Area" localSheetId="2">'Sch I FD'!$A$1:$K$44</definedName>
    <definedName name="_xlnm.Print_Area" localSheetId="4">'Sch IV Fixed Assets'!$A$1:$H$17</definedName>
    <definedName name="_xlnm.Print_Area" localSheetId="3">'Sch Receivable &amp; Payable'!$A$1:$G$51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5" i="8" l="1"/>
  <c r="G9" i="10" l="1"/>
  <c r="F10" i="8"/>
  <c r="F9" i="8"/>
  <c r="P10" i="8"/>
  <c r="O10" i="8"/>
  <c r="P9" i="8"/>
  <c r="O9" i="8"/>
  <c r="F8" i="8"/>
  <c r="F7" i="8"/>
  <c r="F19" i="8"/>
  <c r="F14" i="8"/>
  <c r="P14" i="8"/>
  <c r="O14" i="8"/>
  <c r="F27" i="8"/>
  <c r="P27" i="8"/>
  <c r="O27" i="8"/>
  <c r="F26" i="8"/>
  <c r="P26" i="8"/>
  <c r="O26" i="8"/>
  <c r="F25" i="8"/>
  <c r="F24" i="8"/>
  <c r="F32" i="8"/>
  <c r="P32" i="8"/>
  <c r="O32" i="8"/>
  <c r="F33" i="8"/>
  <c r="F31" i="8"/>
  <c r="F37" i="8"/>
  <c r="N44" i="8"/>
  <c r="O44" i="8"/>
  <c r="P44" i="8"/>
  <c r="Q6" i="8"/>
  <c r="R6" i="8"/>
  <c r="Q7" i="8"/>
  <c r="R7" i="8"/>
  <c r="Q8" i="8"/>
  <c r="R8" i="8"/>
  <c r="R9" i="8"/>
  <c r="R10" i="8"/>
  <c r="R11" i="8"/>
  <c r="Q12" i="8"/>
  <c r="R12" i="8"/>
  <c r="Q13" i="8"/>
  <c r="R13" i="8"/>
  <c r="R14" i="8"/>
  <c r="R15" i="8"/>
  <c r="Q16" i="8"/>
  <c r="R16" i="8"/>
  <c r="Q17" i="8"/>
  <c r="R17" i="8"/>
  <c r="Q18" i="8"/>
  <c r="R18" i="8"/>
  <c r="R19" i="8"/>
  <c r="R20" i="8"/>
  <c r="Q21" i="8"/>
  <c r="R21" i="8"/>
  <c r="Q22" i="8"/>
  <c r="R22" i="8"/>
  <c r="Q23" i="8"/>
  <c r="R23" i="8"/>
  <c r="Q24" i="8"/>
  <c r="R24" i="8"/>
  <c r="Q25" i="8"/>
  <c r="R25" i="8"/>
  <c r="R26" i="8"/>
  <c r="R27"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R5" i="8"/>
  <c r="Q5" i="8"/>
  <c r="C46" i="10"/>
  <c r="F42" i="8"/>
  <c r="G41" i="8"/>
  <c r="F38" i="8"/>
  <c r="G37" i="8"/>
  <c r="F34" i="8"/>
  <c r="G33" i="8"/>
  <c r="G32" i="8"/>
  <c r="G31" i="8"/>
  <c r="F28" i="8"/>
  <c r="G27" i="8"/>
  <c r="Q28" i="8" s="1"/>
  <c r="G26" i="8"/>
  <c r="G25" i="8"/>
  <c r="G24" i="8"/>
  <c r="G23" i="8"/>
  <c r="F20" i="8"/>
  <c r="G19" i="8"/>
  <c r="G18" i="8"/>
  <c r="G17" i="8"/>
  <c r="G16" i="8"/>
  <c r="G15" i="8"/>
  <c r="G14" i="8"/>
  <c r="F11" i="8"/>
  <c r="G7" i="8"/>
  <c r="G8" i="8"/>
  <c r="G9" i="8"/>
  <c r="G10" i="8"/>
  <c r="G6" i="8"/>
  <c r="F40" i="9"/>
  <c r="G13" i="11"/>
  <c r="G7" i="11"/>
  <c r="G15" i="11"/>
  <c r="G12" i="11"/>
  <c r="A17" i="10"/>
  <c r="G15" i="4"/>
  <c r="G13" i="4"/>
  <c r="G12" i="4"/>
  <c r="G11" i="4"/>
  <c r="G9" i="4"/>
  <c r="G7" i="4"/>
  <c r="B33" i="9"/>
  <c r="Q11" i="8" l="1"/>
  <c r="Q10" i="8"/>
  <c r="Q9" i="8"/>
  <c r="Q20" i="8"/>
  <c r="Q19" i="8"/>
  <c r="Q15" i="8"/>
  <c r="Q14" i="8"/>
  <c r="Q27" i="8"/>
  <c r="M44" i="8"/>
  <c r="Q26" i="8"/>
  <c r="Q44" i="8" s="1"/>
  <c r="F44" i="8"/>
  <c r="R44" i="8"/>
  <c r="D11" i="9"/>
  <c r="C14" i="10"/>
  <c r="H30" i="10"/>
  <c r="C50" i="9"/>
  <c r="C14" i="11"/>
  <c r="C31" i="10" l="1"/>
  <c r="C26" i="10"/>
  <c r="C16" i="10"/>
  <c r="C27" i="10"/>
  <c r="F50" i="9" l="1"/>
  <c r="C13" i="11"/>
  <c r="H29" i="11"/>
  <c r="D30" i="11"/>
  <c r="C20" i="8" l="1"/>
  <c r="K7" i="2" l="1"/>
  <c r="K8" i="2" s="1"/>
  <c r="K5" i="2"/>
  <c r="K9" i="2" l="1"/>
  <c r="K10" i="2" s="1"/>
  <c r="K13" i="2" l="1"/>
  <c r="K14" i="2" s="1"/>
  <c r="D21" i="13" l="1"/>
  <c r="D11" i="13"/>
  <c r="H26" i="11" l="1"/>
  <c r="D15" i="2"/>
  <c r="E15" i="2" s="1"/>
  <c r="D14" i="2"/>
  <c r="D3" i="2"/>
  <c r="H17" i="11" l="1"/>
  <c r="I20" i="8"/>
  <c r="I38" i="8"/>
  <c r="F15" i="9" l="1"/>
  <c r="F22" i="9" s="1"/>
  <c r="F38" i="9" s="1"/>
  <c r="D15" i="9"/>
  <c r="B22" i="9" s="1"/>
  <c r="C38" i="9" s="1"/>
  <c r="F18" i="9"/>
  <c r="C42" i="10" s="1"/>
  <c r="F11" i="9"/>
  <c r="G21" i="10" s="1"/>
  <c r="H16" i="10"/>
  <c r="C11" i="8"/>
  <c r="F30" i="9" l="1"/>
  <c r="F33" i="9" s="1"/>
  <c r="G22" i="10" s="1"/>
  <c r="H22" i="10" s="1"/>
  <c r="B30" i="9"/>
  <c r="C36" i="10"/>
  <c r="C33" i="10"/>
  <c r="C30" i="10"/>
  <c r="C24" i="10"/>
  <c r="D27" i="10" s="1"/>
  <c r="C29" i="10"/>
  <c r="C22" i="10"/>
  <c r="C20" i="10"/>
  <c r="C15" i="10"/>
  <c r="D31" i="10" l="1"/>
  <c r="D9" i="11"/>
  <c r="E20" i="8"/>
  <c r="E10" i="2"/>
  <c r="C10" i="2"/>
  <c r="D4" i="2"/>
  <c r="E11" i="8" l="1"/>
  <c r="D14" i="11"/>
  <c r="B26" i="9"/>
  <c r="E34" i="11"/>
  <c r="H5" i="11"/>
  <c r="E5" i="11"/>
  <c r="E54" i="10"/>
  <c r="D36" i="10"/>
  <c r="D22" i="10"/>
  <c r="H9" i="10"/>
  <c r="H5" i="10"/>
  <c r="E5" i="10"/>
  <c r="A33" i="11" l="1"/>
  <c r="A53" i="10" s="1"/>
  <c r="A34" i="11" l="1"/>
  <c r="I47" i="11" s="1"/>
  <c r="A8" i="3"/>
  <c r="H22" i="1"/>
  <c r="C42" i="8"/>
  <c r="C38" i="8"/>
  <c r="C34" i="8"/>
  <c r="C28" i="8"/>
  <c r="C6" i="3"/>
  <c r="C40" i="7"/>
  <c r="C34" i="7"/>
  <c r="C29" i="7"/>
  <c r="C24" i="7"/>
  <c r="C18" i="7"/>
  <c r="C51" i="7"/>
  <c r="F26" i="9"/>
  <c r="C43" i="10" s="1"/>
  <c r="A47" i="7"/>
  <c r="A57" i="7" s="1"/>
  <c r="D18" i="9"/>
  <c r="I42" i="8"/>
  <c r="D42" i="8"/>
  <c r="E42" i="8"/>
  <c r="G42" i="8"/>
  <c r="E38" i="8"/>
  <c r="I34" i="8"/>
  <c r="E34" i="8"/>
  <c r="I28" i="8"/>
  <c r="E28" i="8"/>
  <c r="G20" i="8"/>
  <c r="I11" i="8"/>
  <c r="H29" i="7"/>
  <c r="H22" i="7"/>
  <c r="H10" i="7"/>
  <c r="E57" i="7"/>
  <c r="C54" i="7"/>
  <c r="C38" i="7"/>
  <c r="D40" i="7" s="1"/>
  <c r="C32" i="7"/>
  <c r="D35" i="7" s="1"/>
  <c r="C27" i="7"/>
  <c r="C22" i="7"/>
  <c r="D24" i="7" s="1"/>
  <c r="C14" i="7"/>
  <c r="M4" i="6"/>
  <c r="M5" i="6"/>
  <c r="M6" i="6"/>
  <c r="M7" i="6"/>
  <c r="M8" i="6"/>
  <c r="M9" i="6"/>
  <c r="E16" i="4"/>
  <c r="D16" i="4"/>
  <c r="C16" i="4"/>
  <c r="F15" i="4"/>
  <c r="G14" i="4"/>
  <c r="F14" i="4"/>
  <c r="F13" i="4"/>
  <c r="F12" i="4"/>
  <c r="F11" i="4"/>
  <c r="G10" i="4"/>
  <c r="F10" i="4"/>
  <c r="F9" i="4"/>
  <c r="G8" i="4"/>
  <c r="F8" i="4"/>
  <c r="F7" i="4"/>
  <c r="F6" i="4"/>
  <c r="H6" i="4" s="1"/>
  <c r="H28" i="1"/>
  <c r="G16" i="1"/>
  <c r="G14" i="1"/>
  <c r="G13" i="1"/>
  <c r="C32" i="1"/>
  <c r="C4" i="3"/>
  <c r="D10" i="1"/>
  <c r="C34" i="1"/>
  <c r="E42" i="1"/>
  <c r="A40" i="1" s="1"/>
  <c r="E44" i="8" l="1"/>
  <c r="C44" i="8"/>
  <c r="D11" i="8"/>
  <c r="G11" i="8"/>
  <c r="D38" i="8"/>
  <c r="G38" i="8"/>
  <c r="C51" i="10"/>
  <c r="A54" i="10"/>
  <c r="I67" i="10" s="1"/>
  <c r="H7" i="4"/>
  <c r="H9" i="4"/>
  <c r="C47" i="7"/>
  <c r="D51" i="7" s="1"/>
  <c r="D43" i="10"/>
  <c r="D34" i="8"/>
  <c r="H12" i="4"/>
  <c r="H15" i="4"/>
  <c r="M10" i="6"/>
  <c r="I58" i="7"/>
  <c r="C8" i="3"/>
  <c r="C15" i="1" s="1"/>
  <c r="D16" i="1" s="1"/>
  <c r="D29" i="7"/>
  <c r="I44" i="8"/>
  <c r="D28" i="8"/>
  <c r="D20" i="8"/>
  <c r="G34" i="8"/>
  <c r="H19" i="1"/>
  <c r="H42" i="1" s="1"/>
  <c r="H8" i="4"/>
  <c r="H10" i="4"/>
  <c r="H14" i="4"/>
  <c r="G16" i="4"/>
  <c r="C17" i="11" s="1"/>
  <c r="H11" i="4"/>
  <c r="H13" i="4"/>
  <c r="F16" i="4"/>
  <c r="A41" i="1"/>
  <c r="A42" i="1" s="1"/>
  <c r="D38" i="1"/>
  <c r="G13" i="10" l="1"/>
  <c r="C20" i="1"/>
  <c r="D24" i="1" s="1"/>
  <c r="D40" i="1" s="1"/>
  <c r="C19" i="7" s="1"/>
  <c r="D19" i="7" s="1"/>
  <c r="D20" i="11"/>
  <c r="D44" i="8"/>
  <c r="H16" i="4"/>
  <c r="H25" i="10" s="1"/>
  <c r="G12" i="10"/>
  <c r="G13" i="7"/>
  <c r="E4" i="2"/>
  <c r="D48" i="10" s="1"/>
  <c r="G28" i="8"/>
  <c r="G44" i="8" l="1"/>
  <c r="H25" i="7"/>
  <c r="D41" i="1"/>
  <c r="D42" i="1" s="1"/>
  <c r="G14" i="7"/>
  <c r="H14" i="7" s="1"/>
  <c r="H13" i="10"/>
  <c r="H54" i="10" s="1"/>
  <c r="H57" i="7" l="1"/>
  <c r="C55" i="7"/>
  <c r="D56" i="7" s="1"/>
  <c r="D57" i="7" s="1"/>
  <c r="I57" i="7" s="1"/>
  <c r="D34" i="11" l="1"/>
  <c r="H33" i="11" l="1"/>
  <c r="C53" i="10" s="1"/>
  <c r="D53" i="10" s="1"/>
  <c r="C17" i="10"/>
  <c r="D17" i="10" s="1"/>
  <c r="H34" i="11" l="1"/>
  <c r="I46" i="11" s="1"/>
  <c r="D54" i="10"/>
  <c r="I66" i="10" s="1"/>
</calcChain>
</file>

<file path=xl/sharedStrings.xml><?xml version="1.0" encoding="utf-8"?>
<sst xmlns="http://schemas.openxmlformats.org/spreadsheetml/2006/main" count="895" uniqueCount="459">
  <si>
    <t>PRATHAMESH HARMONY "B" CO-OP. HOUSING SOCIETY LTD.</t>
  </si>
  <si>
    <t>(Regn. No.MUM/WP/HSG/TC/15332/2012-13)</t>
  </si>
  <si>
    <t>(Amt. In Rs.)</t>
  </si>
  <si>
    <t>Income</t>
  </si>
  <si>
    <t>To Property Expenses</t>
  </si>
  <si>
    <t>By Members Contribution Towards</t>
  </si>
  <si>
    <t>Municipal Tax</t>
  </si>
  <si>
    <t>Municipal Taxes</t>
  </si>
  <si>
    <t>Electricity Expenses</t>
  </si>
  <si>
    <t>Electricity Charges</t>
  </si>
  <si>
    <t>Water Expenses</t>
  </si>
  <si>
    <t>Water Charges</t>
  </si>
  <si>
    <t>Service Charges</t>
  </si>
  <si>
    <t>To Lift Maintenance</t>
  </si>
  <si>
    <t>Lift Maintenance Charges</t>
  </si>
  <si>
    <t>Lift  AMC</t>
  </si>
  <si>
    <t>Non Occupancy Charges</t>
  </si>
  <si>
    <t>Parking Charges</t>
  </si>
  <si>
    <t>Late Payment Expenses</t>
  </si>
  <si>
    <t>Less: Trfd to Major Repair Fund</t>
  </si>
  <si>
    <t>Penalty &amp; Fines</t>
  </si>
  <si>
    <t>To Service Charges</t>
  </si>
  <si>
    <t>Security Expenses</t>
  </si>
  <si>
    <t>Depreciation</t>
  </si>
  <si>
    <t>Shifting Charges</t>
  </si>
  <si>
    <t>Bank Charges</t>
  </si>
  <si>
    <t>Water Tanker Cleaning Exp</t>
  </si>
  <si>
    <t>By Interest Income</t>
  </si>
  <si>
    <t>Water Tanker Expenses</t>
  </si>
  <si>
    <t>Saving Bank Interest</t>
  </si>
  <si>
    <t>Pest Control Charges</t>
  </si>
  <si>
    <t xml:space="preserve">Interest Income - Fixed Deposit </t>
  </si>
  <si>
    <t>To Office Expenses</t>
  </si>
  <si>
    <t>Less: Trf to Reserve Fund</t>
  </si>
  <si>
    <t>Festival Expenses</t>
  </si>
  <si>
    <t>Less: Trf to Repair Fund</t>
  </si>
  <si>
    <t>Accounting Charges</t>
  </si>
  <si>
    <t>Less: Trf to Major Repair Fund</t>
  </si>
  <si>
    <t>Printing  and  Stationary</t>
  </si>
  <si>
    <t>Less: Trf to Sinking Fund</t>
  </si>
  <si>
    <t>Meeting Expenses</t>
  </si>
  <si>
    <t>Miscellaneous Expenses</t>
  </si>
  <si>
    <t>Legal &amp; Professional Fees</t>
  </si>
  <si>
    <t>Covid-19 Expenses</t>
  </si>
  <si>
    <t>Salary Expenses</t>
  </si>
  <si>
    <t>Gas Expenses</t>
  </si>
  <si>
    <t>Audit Fees</t>
  </si>
  <si>
    <t>To 1/4 th Trfd to Reserve Fund</t>
  </si>
  <si>
    <t>To Excess of Expenditure over Income</t>
  </si>
  <si>
    <t>Total</t>
  </si>
  <si>
    <t>As per my Report of even date attached herewith</t>
  </si>
  <si>
    <t>For Prathamesh Harmony " B "  Wing Co-op. Housing Society Ltd.</t>
  </si>
  <si>
    <t>(Shankar D. Gawde)</t>
  </si>
  <si>
    <t>(Govt. Certified Panel Auditor)</t>
  </si>
  <si>
    <t xml:space="preserve">         (Chairman               Hon. Secretary                 Hon. Treasurer)</t>
  </si>
  <si>
    <t>(Panel No. 14428, Grp B )</t>
  </si>
  <si>
    <t xml:space="preserve"> Place : Mumbai</t>
  </si>
  <si>
    <t>Income &amp; Expenditure Account for the year ended March 31, 2023</t>
  </si>
  <si>
    <t>Previous Year 2021-22</t>
  </si>
  <si>
    <t>Current Year 2022-23</t>
  </si>
  <si>
    <t>Expenditure</t>
  </si>
  <si>
    <t>R &amp; M Head</t>
  </si>
  <si>
    <t>FY 2021-22</t>
  </si>
  <si>
    <t>Electrical</t>
  </si>
  <si>
    <t>Others</t>
  </si>
  <si>
    <t>Plumbing</t>
  </si>
  <si>
    <t>Fire Fighting</t>
  </si>
  <si>
    <t>Repair &amp; Maintenace for FY 2022-23</t>
  </si>
  <si>
    <t>Lift Repairs</t>
  </si>
  <si>
    <t>Conveyance Expense</t>
  </si>
  <si>
    <r>
      <rPr>
        <b/>
        <sz val="11"/>
        <color theme="1"/>
        <rFont val="Calibri"/>
        <family val="2"/>
        <scheme val="minor"/>
      </rPr>
      <t>To Repair &amp; Maintenance</t>
    </r>
    <r>
      <rPr>
        <sz val="11"/>
        <color theme="1"/>
        <rFont val="Calibri"/>
        <family val="2"/>
        <scheme val="minor"/>
      </rPr>
      <t xml:space="preserve"> (As per Sch. VI)</t>
    </r>
  </si>
  <si>
    <t>Interest Income - Recurring Deposit</t>
  </si>
  <si>
    <t>Terrace Rent</t>
  </si>
  <si>
    <t>Legal Fees</t>
  </si>
  <si>
    <t>Interest Income - Security Deposit</t>
  </si>
  <si>
    <t>SCHEDULE IV : FIXED ASSETS</t>
  </si>
  <si>
    <t>Particulars</t>
  </si>
  <si>
    <t>Rate          %</t>
  </si>
  <si>
    <t>Depreciation for the year</t>
  </si>
  <si>
    <t>Land and Building at cost</t>
  </si>
  <si>
    <t>CCTV</t>
  </si>
  <si>
    <t>Cupboard</t>
  </si>
  <si>
    <t>Furniture &amp; Fixture</t>
  </si>
  <si>
    <t>Table</t>
  </si>
  <si>
    <t>Fire Fighting System</t>
  </si>
  <si>
    <t>Borewell Account</t>
  </si>
  <si>
    <t>Intercom System</t>
  </si>
  <si>
    <t>Water Pump</t>
  </si>
  <si>
    <t>Computer Account</t>
  </si>
  <si>
    <t>Less: Trf to Education Fund</t>
  </si>
  <si>
    <t>₹90,637.00</t>
  </si>
  <si>
    <t>                      ₹90,637.00(Credit)</t>
  </si>
  <si>
    <t>Balance :</t>
  </si>
  <si>
    <t>RMF</t>
  </si>
  <si>
    <t> </t>
  </si>
  <si>
    <t>Being int recd on FD 304621 CCB - RMF</t>
  </si>
  <si>
    <t>31-03-2023</t>
  </si>
  <si>
    <t>JE-2022-0000073</t>
  </si>
  <si>
    <t>Being int recd on FD 304620 CCB - RMF</t>
  </si>
  <si>
    <t>JE-2022-0000070</t>
  </si>
  <si>
    <t>SF</t>
  </si>
  <si>
    <t>Being int acd on FD 2357 - CCB SF</t>
  </si>
  <si>
    <t>JE-2022-0000046</t>
  </si>
  <si>
    <t>Being int recd on FD 304619 CCB - RMF</t>
  </si>
  <si>
    <t>JE-2022-0000067</t>
  </si>
  <si>
    <t>Being int recd on FD 304618 CCB - RMF</t>
  </si>
  <si>
    <t>JE-2022-0000064</t>
  </si>
  <si>
    <t>Being int acd on FD 310850 CCB - SF</t>
  </si>
  <si>
    <t>JE-2022-0000061</t>
  </si>
  <si>
    <t>Being int acd on FD 310849 CCB - SF</t>
  </si>
  <si>
    <t>JE-2022-0000059</t>
  </si>
  <si>
    <t>Being int acd on FD 32195 CCB - SF</t>
  </si>
  <si>
    <t>JE-2022-0000057</t>
  </si>
  <si>
    <t>SC</t>
  </si>
  <si>
    <t>Being int recd on 301240 CCB - SC</t>
  </si>
  <si>
    <t>JE-2022-0000035</t>
  </si>
  <si>
    <t>Being int acd on FD 31820 CCB - RMF</t>
  </si>
  <si>
    <t>JE-2022-0000055</t>
  </si>
  <si>
    <t>Being int acd on FD 3101035 CCB - RMF</t>
  </si>
  <si>
    <t>JE-2022-0000054</t>
  </si>
  <si>
    <t>GF</t>
  </si>
  <si>
    <t>Being int acd on FD 00181 CCB - Res F</t>
  </si>
  <si>
    <t>JE-2022-0000043</t>
  </si>
  <si>
    <t>Being int acd on FD 101034 CCB - GF</t>
  </si>
  <si>
    <t>JE-2022-0000053</t>
  </si>
  <si>
    <t>MRF</t>
  </si>
  <si>
    <t>Being int acd on FD 00194 CCB - PF</t>
  </si>
  <si>
    <t>JE-2022-0000042</t>
  </si>
  <si>
    <t>Being int acd on FD 32382 CCB - GF</t>
  </si>
  <si>
    <t>JE-2022-0000052</t>
  </si>
  <si>
    <t>Being int acd on FD 32383 CCB - GF</t>
  </si>
  <si>
    <t>JE-2022-0000051</t>
  </si>
  <si>
    <t>Being int acd on FD 31821 CCB - MRF</t>
  </si>
  <si>
    <t>JE-2022-0000050</t>
  </si>
  <si>
    <t>Being int acd on FD 32196 CCB - MRF</t>
  </si>
  <si>
    <t>JE-2022-0000049</t>
  </si>
  <si>
    <t>Being FD 2358 renewed and FD 2358 made CCB - RMF</t>
  </si>
  <si>
    <t>JE-2022-0000041</t>
  </si>
  <si>
    <t>Being int acd on FD 32225 CCB - MRF</t>
  </si>
  <si>
    <t>JE-2022-0000048</t>
  </si>
  <si>
    <t>Being int acd on FD 310851 CCB - Res F</t>
  </si>
  <si>
    <t>JE-2022-0000038</t>
  </si>
  <si>
    <t>ETF</t>
  </si>
  <si>
    <t>Being int acd on FD 1000173 CCB - ETF</t>
  </si>
  <si>
    <t>JE-2022-0000031</t>
  </si>
  <si>
    <t>Being int acd on FD 10834 CCB PF</t>
  </si>
  <si>
    <t>JE-2022-0000030</t>
  </si>
  <si>
    <t>Being int recd on FD 304626 CCB - SF</t>
  </si>
  <si>
    <t>JE-2022-0000079</t>
  </si>
  <si>
    <t>Being int recd on FD 304625 CCB - GF</t>
  </si>
  <si>
    <t>JE-2022-0000076</t>
  </si>
  <si>
    <t>Being FD 310850 renewed and FD 310850 1 made CCB - SF</t>
  </si>
  <si>
    <t>17-02-2023</t>
  </si>
  <si>
    <t>JE-2022-0000060</t>
  </si>
  <si>
    <t>Being FD 310849 renewed and FD 310849 1 made CCB - SF</t>
  </si>
  <si>
    <t>JE-2022-0000058</t>
  </si>
  <si>
    <t>31-12-2022</t>
  </si>
  <si>
    <t>JE-2022-0000072</t>
  </si>
  <si>
    <t>JE-2022-0000069</t>
  </si>
  <si>
    <t>JE-2022-0000066</t>
  </si>
  <si>
    <t>JE-2022-0000063</t>
  </si>
  <si>
    <t>JE-2022-0000034</t>
  </si>
  <si>
    <t>JE-2022-0000078</t>
  </si>
  <si>
    <t>JE-2022-0000075</t>
  </si>
  <si>
    <t>Being int recd on FD 301240 CCB - SC</t>
  </si>
  <si>
    <t>30-11-2022</t>
  </si>
  <si>
    <t>JE-2022-0000033</t>
  </si>
  <si>
    <t>JE-2022-0000077</t>
  </si>
  <si>
    <t>JE-2022-0000074</t>
  </si>
  <si>
    <t>01-11-2022</t>
  </si>
  <si>
    <t>JE-2022-0000071</t>
  </si>
  <si>
    <t>JE-2022-0000068</t>
  </si>
  <si>
    <t>JE-2022-0000065</t>
  </si>
  <si>
    <t>JE-2022-0000062</t>
  </si>
  <si>
    <t>Being FD 310834 renewed and FD 310834 made CCB - PF</t>
  </si>
  <si>
    <t>01-10-2022</t>
  </si>
  <si>
    <t>JE-2022-0000029</t>
  </si>
  <si>
    <t>Being Int recd on FD 301240 SC</t>
  </si>
  <si>
    <t>30-09-2022</t>
  </si>
  <si>
    <t>JE-2022-0000013</t>
  </si>
  <si>
    <t>Being Int recd on FD 304626</t>
  </si>
  <si>
    <t>JE-2022-0000012</t>
  </si>
  <si>
    <t>Being Int recd on FD 304625</t>
  </si>
  <si>
    <t>JE-2022-0000011</t>
  </si>
  <si>
    <t>Being Int recd on FD 304621</t>
  </si>
  <si>
    <t>JE-2022-0000010</t>
  </si>
  <si>
    <t>Being Int recd on FD 304620</t>
  </si>
  <si>
    <t>JE-2022-0000009</t>
  </si>
  <si>
    <t>Being Int recd on FD 304619</t>
  </si>
  <si>
    <t>JE-2022-0000008</t>
  </si>
  <si>
    <t>Being Int recd on FD 304618</t>
  </si>
  <si>
    <t>JE-2022-0000007</t>
  </si>
  <si>
    <t>Being FD 2225 renewed and FD 2225 made CCB - PF</t>
  </si>
  <si>
    <t>23-09-2022</t>
  </si>
  <si>
    <t>JE-2022-0000040</t>
  </si>
  <si>
    <t>Being FD 1821 renewed and FD 1821 made CCB - PF</t>
  </si>
  <si>
    <t>17-09-2022</t>
  </si>
  <si>
    <t>JE-2022-0000037</t>
  </si>
  <si>
    <t>Being FD 1820 renewed and FD 1820 made CCB - RMF</t>
  </si>
  <si>
    <t>JE-2022-0000036</t>
  </si>
  <si>
    <t>Being FD 2195 renewed and FD 2195 made CCB - SF</t>
  </si>
  <si>
    <t>04-08-2022</t>
  </si>
  <si>
    <t>JE-2022-0000044</t>
  </si>
  <si>
    <t>Being FD 2196 renewed and FD 2196 made CCB - PF</t>
  </si>
  <si>
    <t>JE-2022-0000039</t>
  </si>
  <si>
    <t>being int recd on FD 301240 R03 SC</t>
  </si>
  <si>
    <t>30-06-2022</t>
  </si>
  <si>
    <t>NE-2022-0000013</t>
  </si>
  <si>
    <t>being int recd on FD 304626 R03</t>
  </si>
  <si>
    <t>NE-2022-0000011</t>
  </si>
  <si>
    <t>being int recd on FD 304625 R03</t>
  </si>
  <si>
    <t>NE-2022-0000009</t>
  </si>
  <si>
    <t>being int recd on FD 304621 R03</t>
  </si>
  <si>
    <t>NE-2022-0000007</t>
  </si>
  <si>
    <t>Being int recd on FD 304620 R03</t>
  </si>
  <si>
    <t>NE-2022-0000005</t>
  </si>
  <si>
    <t>being int recd on FD 304619 R03</t>
  </si>
  <si>
    <t>NE-2022-0000003</t>
  </si>
  <si>
    <t>Being int recd on FD 304618 R03</t>
  </si>
  <si>
    <t>NE-2022-0000001</t>
  </si>
  <si>
    <t>Fund</t>
  </si>
  <si>
    <t>Credit</t>
  </si>
  <si>
    <t>Debit</t>
  </si>
  <si>
    <t>Comments</t>
  </si>
  <si>
    <t>Posted Date</t>
  </si>
  <si>
    <t>Journal No.</t>
  </si>
  <si>
    <t>Prathamesh Harmony B Wing CHS Ltd - Income - Non Members &gt; Interest Income - Fixed Deposit  ( 306002 ) &lt;br&gt;Transactions From 01-04-2022 to 31-03-2023</t>
  </si>
  <si>
    <t>Balance Sheet as at March 31, 2023</t>
  </si>
  <si>
    <t>LIABILITIES</t>
  </si>
  <si>
    <t>ASSETS</t>
  </si>
  <si>
    <t>Authorised Share Capital</t>
  </si>
  <si>
    <t>(2000 Shares of Rs.50/- each)</t>
  </si>
  <si>
    <t>Issued, Subscribed and Paid Up</t>
  </si>
  <si>
    <t>(180 Shares of Rs.50/- each)</t>
  </si>
  <si>
    <t>Reserve Fund</t>
  </si>
  <si>
    <t>As per last Balance Sheet</t>
  </si>
  <si>
    <t>Add: Entrance Fees</t>
  </si>
  <si>
    <t>Add: Share Transfer Fees</t>
  </si>
  <si>
    <t>Add: Transfer Premium</t>
  </si>
  <si>
    <t>Add: Int. During the year</t>
  </si>
  <si>
    <t>Add: 1/4 th Trfd from I &amp; Exp A/c.</t>
  </si>
  <si>
    <t>Sinking Fund</t>
  </si>
  <si>
    <t>Additional During the year</t>
  </si>
  <si>
    <t>Repair Fund</t>
  </si>
  <si>
    <t>Add: Additional During the year</t>
  </si>
  <si>
    <t>Major Repair Fund</t>
  </si>
  <si>
    <t>Less: Repair &amp; Maintenance Exp.</t>
  </si>
  <si>
    <t>Education &amp; Training Fund</t>
  </si>
  <si>
    <t>Add: Contribution from Members</t>
  </si>
  <si>
    <t>Members Contribution towards</t>
  </si>
  <si>
    <t>Towards Land  and  Building</t>
  </si>
  <si>
    <t>Current Liabilities &amp; Provisions</t>
  </si>
  <si>
    <t>Advance from Members - (Sch III )</t>
  </si>
  <si>
    <t>Payables Schedule V</t>
  </si>
  <si>
    <t>Provision for Electricity Expenses</t>
  </si>
  <si>
    <t>Provision for Audit Fees</t>
  </si>
  <si>
    <t>Provision for Water Expenses</t>
  </si>
  <si>
    <t>Income &amp; Expenditure Account</t>
  </si>
  <si>
    <t>Balanace as per last year</t>
  </si>
  <si>
    <t>Add: Surplus of current year</t>
  </si>
  <si>
    <t>Add: Prepaid Pest Control</t>
  </si>
  <si>
    <t>Cash &amp; Bank Balance</t>
  </si>
  <si>
    <t>Cash in Hand</t>
  </si>
  <si>
    <t>Mumbai District Central Co-op. Bank</t>
  </si>
  <si>
    <t>Citizencredit Co-Op Bank Ltd</t>
  </si>
  <si>
    <t>Investment</t>
  </si>
  <si>
    <t>Fixed Deposit - ( As per Schedule  I )</t>
  </si>
  <si>
    <t>Accrued Interest - FD</t>
  </si>
  <si>
    <t>Deposits</t>
  </si>
  <si>
    <t>Security Deposit - Adani Electricity</t>
  </si>
  <si>
    <t>Sundry Debtors, Loans &amp; Advances</t>
  </si>
  <si>
    <t>Receivables from Adani</t>
  </si>
  <si>
    <t>TDS Receivable</t>
  </si>
  <si>
    <t>Members Dues-(As per Schedule II )</t>
  </si>
  <si>
    <t>Fixed Asset</t>
  </si>
  <si>
    <t>(As per Schedule IV)</t>
  </si>
  <si>
    <t>Prepaid Expenses</t>
  </si>
  <si>
    <t>Lift Maintenance</t>
  </si>
  <si>
    <t>Pest Control</t>
  </si>
  <si>
    <t>1,00,000.00</t>
  </si>
  <si>
    <t>Certificate No.</t>
  </si>
  <si>
    <t>Date</t>
  </si>
  <si>
    <t>Amount Invested</t>
  </si>
  <si>
    <t>Maturity Date</t>
  </si>
  <si>
    <t>Maturity Value</t>
  </si>
  <si>
    <t>Interest %</t>
  </si>
  <si>
    <t>Bank</t>
  </si>
  <si>
    <t>Citizen Bank</t>
  </si>
  <si>
    <t>19.12.2024</t>
  </si>
  <si>
    <t>Share Capital Fund</t>
  </si>
  <si>
    <t>GRAND TOTALS</t>
  </si>
  <si>
    <t>Block</t>
  </si>
  <si>
    <t>Flat</t>
  </si>
  <si>
    <t>B</t>
  </si>
  <si>
    <t>Income Tax Expense</t>
  </si>
  <si>
    <t>Provision for Income Tax</t>
  </si>
  <si>
    <t>17.02.2025</t>
  </si>
  <si>
    <t>01.10.2024</t>
  </si>
  <si>
    <t>PRATHAMESH HARMONY "B" WING CO-OP. HOUSING SOCIETY LTD.</t>
  </si>
  <si>
    <t>(Amt in Rs.)</t>
  </si>
  <si>
    <t>Liabilities</t>
  </si>
  <si>
    <t>Assets</t>
  </si>
  <si>
    <t>Add: Arrs. collected from Members</t>
  </si>
  <si>
    <t>Provisions</t>
  </si>
  <si>
    <t xml:space="preserve">               (Chairman                Hon. Secretary                Hon. Treasurer)</t>
  </si>
  <si>
    <t xml:space="preserve">Lift Maintenance </t>
  </si>
  <si>
    <t>Pest Control Expenses</t>
  </si>
  <si>
    <t xml:space="preserve">        For Prathamesh Harmony " B " Wing Co-op. Housing Society Ltd.</t>
  </si>
  <si>
    <t>Bal as per last Balance Sheet</t>
  </si>
  <si>
    <t>(i) General Reserve Fund</t>
  </si>
  <si>
    <t>(ii) Sinking Fund</t>
  </si>
  <si>
    <t>(iii) Repair Fund</t>
  </si>
  <si>
    <t>(iv) Major Repair Fund</t>
  </si>
  <si>
    <t>(v) Education &amp; Training Fund</t>
  </si>
  <si>
    <t>Name of the Member</t>
  </si>
  <si>
    <t>Sr.No</t>
  </si>
  <si>
    <t>To 1/4 th Trfd to Gen. Reserve Fund</t>
  </si>
  <si>
    <t>Payables ( Schedule V )</t>
  </si>
  <si>
    <t>Issued, Subscribed and Paid Up Share Capital</t>
  </si>
  <si>
    <t>Cash &amp; Bank Balances</t>
  </si>
  <si>
    <t>Investments</t>
  </si>
  <si>
    <t>Other Assets</t>
  </si>
  <si>
    <t>Expenditures</t>
  </si>
  <si>
    <t>(Regd. No. MUM/WP/HSG/TC/15332/2012-13)</t>
  </si>
  <si>
    <t>Reserve and Other Funds</t>
  </si>
  <si>
    <t>Accrued Int. 23-24</t>
  </si>
  <si>
    <t>Scrap Sale</t>
  </si>
  <si>
    <t>Major Repairs</t>
  </si>
  <si>
    <t>Add: Surplus (Deficit) for the year</t>
  </si>
  <si>
    <t>To Excess of Income over Expenditure</t>
  </si>
  <si>
    <t>To Repair &amp; Maintenance (As per Sch. VII)</t>
  </si>
  <si>
    <t>Advance Payment to Vendors (Sch VI)</t>
  </si>
  <si>
    <t>FY 2024-25</t>
  </si>
  <si>
    <t>Previous Year 2024-25</t>
  </si>
  <si>
    <t>Current Year 2025-26</t>
  </si>
  <si>
    <t>Salary Expenses &amp; Bonus</t>
  </si>
  <si>
    <t>BMC</t>
  </si>
  <si>
    <t>Provision</t>
  </si>
  <si>
    <t>Lift AMC Expenses</t>
  </si>
  <si>
    <t>Prepaid</t>
  </si>
  <si>
    <t>Other Charges</t>
  </si>
  <si>
    <t>Amount</t>
  </si>
  <si>
    <t>Balance as per system (Book Balance)</t>
  </si>
  <si>
    <t>Add</t>
  </si>
  <si>
    <t>Cheque deposited but not cleared in Adda</t>
  </si>
  <si>
    <t>Less</t>
  </si>
  <si>
    <t>Cheque issued but not cleared in Adda</t>
  </si>
  <si>
    <t>Amount in Adda but not reconciled in Adda</t>
  </si>
  <si>
    <t>Balance as per passbook</t>
  </si>
  <si>
    <t>Prathamesh Harmony CHS</t>
  </si>
  <si>
    <t>Adani</t>
  </si>
  <si>
    <t>VNF Total Solution</t>
  </si>
  <si>
    <t>Mr.Edward D'Costa &amp; Mrs.Marleta S'Costa</t>
  </si>
  <si>
    <t>Mrs.Anuradha Shetty</t>
  </si>
  <si>
    <t xml:space="preserve">Shanmugam Jeyaram </t>
  </si>
  <si>
    <t>101043101000181-1</t>
  </si>
  <si>
    <t>101043101000173-1</t>
  </si>
  <si>
    <t>101043101000194-1</t>
  </si>
  <si>
    <t>Accrued Int. 24-25</t>
  </si>
  <si>
    <t>2090100000310834_1</t>
  </si>
  <si>
    <t>2090100000304618 R04</t>
  </si>
  <si>
    <t>2090100000304619 R04</t>
  </si>
  <si>
    <t>2090100000304620 R04</t>
  </si>
  <si>
    <t>2090100000304621 R04</t>
  </si>
  <si>
    <t>209010000304626 R04</t>
  </si>
  <si>
    <t>209010000304625 R04</t>
  </si>
  <si>
    <t>310849_02</t>
  </si>
  <si>
    <t>310850_02</t>
  </si>
  <si>
    <t>2090100000310851_1</t>
  </si>
  <si>
    <t>2090100000301240_1</t>
  </si>
  <si>
    <t>Mr.Aycod Raja Nadar &amp; Other</t>
  </si>
  <si>
    <t>Mr.Wilson D'Silva</t>
  </si>
  <si>
    <t>Mr.Mustaq and Sajida Patel</t>
  </si>
  <si>
    <t>Income Tax Provision</t>
  </si>
  <si>
    <t>Interest on saving</t>
  </si>
  <si>
    <t>Interest on IT refund</t>
  </si>
  <si>
    <t>Interest on FD/RD</t>
  </si>
  <si>
    <t>80P2D Benefit</t>
  </si>
  <si>
    <t>0 To 10000</t>
  </si>
  <si>
    <t>10001 To 20000</t>
  </si>
  <si>
    <t>20001 Or more</t>
  </si>
  <si>
    <t>Education Cess</t>
  </si>
  <si>
    <t>Total Tax</t>
  </si>
  <si>
    <t>Rounded Off</t>
  </si>
  <si>
    <t>Cheque issued but not cleared in Adda (As per BRS)</t>
  </si>
  <si>
    <t>Less: Int. During the year</t>
  </si>
  <si>
    <t>Less: Spent During the year</t>
  </si>
  <si>
    <t>Less: Accrued Interest Diffrence Adjusted</t>
  </si>
  <si>
    <t>FY 2025-26</t>
  </si>
  <si>
    <t>Garden Maintenance</t>
  </si>
  <si>
    <t>CCTV Repairs</t>
  </si>
  <si>
    <t xml:space="preserve"> BALANCE SHEET AS ON 31ST MARCH 2026</t>
  </si>
  <si>
    <t>Income &amp; Expenditure Account for the year ended March 31, 2026</t>
  </si>
  <si>
    <t>Schedule I -Details of Fixed Deposits as on 31st March 2026</t>
  </si>
  <si>
    <t>Accrued Int. 25-26</t>
  </si>
  <si>
    <t>Schedule II - Members Dues  as on 31.03.2026</t>
  </si>
  <si>
    <t>Mr. Ravi Nair</t>
  </si>
  <si>
    <t>Mr. Edward D'Costa</t>
  </si>
  <si>
    <t>Schedule III - Advance from Members as on 31.03.2026</t>
  </si>
  <si>
    <t>Schedule V - Payables as of 31.03.2026</t>
  </si>
  <si>
    <t>Schedule VI - Advance to Vendors as of 31.03.2026</t>
  </si>
  <si>
    <t>Schedule VII  - Repair &amp; Maintenace for FY 2025-26</t>
  </si>
  <si>
    <t>Opening W.D.V. as on 01.04.2025</t>
  </si>
  <si>
    <t>Additions during the year On or before 30.09.2025</t>
  </si>
  <si>
    <t>Additions during the year after 30.09.2025</t>
  </si>
  <si>
    <t>Gross Block (at cost) as on 31.03.2026</t>
  </si>
  <si>
    <t>Closing W.D.V. as on 31.03.2026</t>
  </si>
  <si>
    <t>Less: Training Costs incurred</t>
  </si>
  <si>
    <t>ren int</t>
  </si>
  <si>
    <t>rent tds</t>
  </si>
  <si>
    <t>accd int</t>
  </si>
  <si>
    <t>accd td</t>
  </si>
  <si>
    <t>net int</t>
  </si>
  <si>
    <t>net tds</t>
  </si>
  <si>
    <t>31.10.2025</t>
  </si>
  <si>
    <t>29.11.2025</t>
  </si>
  <si>
    <t>29.11.2026</t>
  </si>
  <si>
    <t>30.03.2026</t>
  </si>
  <si>
    <t>2090100003032196_03</t>
  </si>
  <si>
    <t>03.08.2025</t>
  </si>
  <si>
    <t>3032382_03</t>
  </si>
  <si>
    <t>28.04.2025</t>
  </si>
  <si>
    <t>3032383_03</t>
  </si>
  <si>
    <t>16.09.2025</t>
  </si>
  <si>
    <t>2090100003031820_03</t>
  </si>
  <si>
    <t>2090100003032358_03</t>
  </si>
  <si>
    <t>2090100003032195_03</t>
  </si>
  <si>
    <t>2090100003032357_03</t>
  </si>
  <si>
    <t>Citizen Credit Bank Reconciliation Statement as on 31.03.2026</t>
  </si>
  <si>
    <t>MDCC Bank Reconciliation Statement as on 31.03.2026</t>
  </si>
  <si>
    <t>.</t>
  </si>
  <si>
    <t>Ok</t>
  </si>
  <si>
    <t>30.03.2025</t>
  </si>
  <si>
    <t>17.02.2027</t>
  </si>
  <si>
    <t>19.12.2026</t>
  </si>
  <si>
    <t>31.10.2026</t>
  </si>
  <si>
    <t>03.08.2026</t>
  </si>
  <si>
    <t>01.10.2026</t>
  </si>
  <si>
    <t>28.04.2026</t>
  </si>
  <si>
    <t>MDCC account dormant</t>
  </si>
  <si>
    <t>The FY 2025-26 audit report workbook is built on last year's template, with the same eleven sheets, layout and print areas. Every formula recalculates clean, and the figures tie to the accounts you sent: Balance Sheet ₹2,02,30,863.87 on both sides, and the I&amp;E balancing at ₹12,27,925.10.</t>
  </si>
  <si>
    <r>
      <t>The headline change:</t>
    </r>
    <r>
      <rPr>
        <sz val="11"/>
        <color theme="1"/>
        <rFont val="Calibri"/>
        <family val="2"/>
        <scheme val="minor"/>
      </rPr>
      <t xml:space="preserve"> the Society is in </t>
    </r>
    <r>
      <rPr>
        <b/>
        <sz val="11"/>
        <color theme="1"/>
        <rFont val="Calibri"/>
        <family val="2"/>
        <scheme val="minor"/>
      </rPr>
      <t>deficit of ₹1,17,952.10</t>
    </r>
    <r>
      <rPr>
        <sz val="11"/>
        <color theme="1"/>
        <rFont val="Calibri"/>
        <family val="2"/>
        <scheme val="minor"/>
      </rPr>
      <t xml:space="preserve"> this year, against a surplus of ₹27,001.74 last year. The Independent Auditor's Report opinion paragraph has been switched to "Excess of Expenditure over Income" accordingly, and no 1/4th transfer to General Reserve has been made.</t>
    </r>
  </si>
  <si>
    <t>Main findings I've written into General Remarks (Part C), now 13 points:</t>
  </si>
  <si>
    <r>
      <t>Section 70 shortfall of ₹1,65,101.98.</t>
    </r>
    <r>
      <rPr>
        <sz val="11"/>
        <color theme="1"/>
        <rFont val="Calibri"/>
        <family val="2"/>
        <scheme val="minor"/>
      </rPr>
      <t xml:space="preserve"> Funds total ₹21,44,140.98 against investments of ₹19,79,039. Sinking Fund is short ₹1,13,650, Repair Fund ₹1,20,989, Education Fund ₹5,789; Reserve Fund is over-invested by ₹81,027.54. Last year the position was almost square (surplus ₹1,543), so this is a real deterioration.</t>
    </r>
  </si>
  <si>
    <r>
      <t>Repairs of ₹2,66,289 charged wholly to revenue</t>
    </r>
    <r>
      <rPr>
        <sz val="11"/>
        <color theme="1"/>
        <rFont val="Calibri"/>
        <family val="2"/>
        <scheme val="minor"/>
      </rPr>
      <t xml:space="preserve"> with no appropriation from the Repair Fund (₹7,23,478) or Major Repair Fund (₹8,40,967.52) — last year ₹11,36,120 was met out of those funds. This is the principal cause of the deficit.</t>
    </r>
  </si>
  <si>
    <r>
      <t>Income tax of ₹13,420 provided</t>
    </r>
    <r>
      <rPr>
        <sz val="11"/>
        <color theme="1"/>
        <rFont val="Calibri"/>
        <family val="2"/>
        <scheme val="minor"/>
      </rPr>
      <t xml:space="preserve"> although the Society's own Workings tab computes NIL after 80P(2)(d); the amount happens to equal the TDS deducted. That working also misses the ₹7,338 savings-bank interest, because it is keyed into column H of the I&amp;E instead of column G. TDS receivable has built up to ₹58,986.</t>
    </r>
  </si>
  <si>
    <r>
      <t>Municipal tax under-recovery of ₹29,086</t>
    </r>
    <r>
      <rPr>
        <sz val="11"/>
        <color theme="1"/>
        <rFont val="Calibri"/>
        <family val="2"/>
        <scheme val="minor"/>
      </rPr>
      <t xml:space="preserve"> (₹4,85,016 charged vs ₹4,55,930 recovered).</t>
    </r>
  </si>
  <si>
    <r>
      <t>MDCC account dormant</t>
    </r>
    <r>
      <rPr>
        <sz val="11"/>
        <color theme="1"/>
        <rFont val="Calibri"/>
        <family val="2"/>
        <scheme val="minor"/>
      </rPr>
      <t xml:space="preserve"> — ₹21,412 unchanged for two years, noted as dormant in the accounts file itself.</t>
    </r>
  </si>
  <si>
    <r>
      <t>Schedule comparative errors in the accounts file:</t>
    </r>
    <r>
      <rPr>
        <sz val="11"/>
        <color theme="1"/>
        <rFont val="Calibri"/>
        <family val="2"/>
        <scheme val="minor"/>
      </rPr>
      <t xml:space="preserve"> Schedule V previous-year total ₹4,33,155 omits VNF's ₹22,700, and Schedule III previous-year total ₹9,733 omits ₹15. Neither agrees with the 2024-25 audited Balance Sheet. The </t>
    </r>
    <r>
      <rPr>
        <sz val="10"/>
        <color theme="1"/>
        <rFont val="Arial Unicode MS"/>
      </rPr>
      <t>xx</t>
    </r>
    <r>
      <rPr>
        <sz val="11"/>
        <color theme="1"/>
        <rFont val="Calibri"/>
        <family val="2"/>
        <scheme val="minor"/>
      </rPr>
      <t xml:space="preserve">, </t>
    </r>
    <r>
      <rPr>
        <sz val="10"/>
        <color theme="1"/>
        <rFont val="Arial Unicode MS"/>
      </rPr>
      <t>xxx</t>
    </r>
    <r>
      <rPr>
        <sz val="11"/>
        <color theme="1"/>
        <rFont val="Calibri"/>
        <family val="2"/>
        <scheme val="minor"/>
      </rPr>
      <t xml:space="preserve">, </t>
    </r>
    <r>
      <rPr>
        <sz val="10"/>
        <color theme="1"/>
        <rFont val="Arial Unicode MS"/>
      </rPr>
      <t>xxxx</t>
    </r>
    <r>
      <rPr>
        <sz val="11"/>
        <color theme="1"/>
        <rFont val="Calibri"/>
        <family val="2"/>
        <scheme val="minor"/>
      </rPr>
      <t xml:space="preserve"> tabs are 2022-23 statements that now pull current-year schedule figures, and there's a live external link at BS!A70.</t>
    </r>
  </si>
  <si>
    <r>
      <t>The signature block on the Balance Sheet and I&amp;E names "(Shankar D. Gawde), Panel No. 14428, Grp B"</t>
    </r>
    <r>
      <rPr>
        <sz val="11"/>
        <color theme="1"/>
        <rFont val="Calibri"/>
        <family val="2"/>
        <scheme val="minor"/>
      </rPr>
      <t xml:space="preserve"> — not you. That must be corrected before signing.</t>
    </r>
  </si>
  <si>
    <t>Improvements worth noting: cash on hand down to ₹2,850 (within Bye-Law 144), members' dues down from ₹2,32,381 to ₹86,394, and ₹1,770 actually spent from the Education &amp; Training Fund.</t>
  </si>
  <si>
    <r>
      <t>What I could not fill in.</t>
    </r>
    <r>
      <rPr>
        <sz val="11"/>
        <color theme="1"/>
        <rFont val="Calibri"/>
        <family val="2"/>
        <scheme val="minor"/>
      </rPr>
      <t xml:space="preserve"> The accounts file carries no non-financial data, so AGM date, MC meeting dates and count, committee members' names, and the appointment/acceptance letter dates are placeholders. Every provisional cell is shaded yellow, and a new </t>
    </r>
    <r>
      <rPr>
        <b/>
        <sz val="11"/>
        <color theme="1"/>
        <rFont val="Calibri"/>
        <family val="2"/>
        <scheme val="minor"/>
      </rPr>
      <t>"Pending Inputs"</t>
    </r>
    <r>
      <rPr>
        <sz val="11"/>
        <color theme="1"/>
        <rFont val="Calibri"/>
        <family val="2"/>
        <scheme val="minor"/>
      </rPr>
      <t xml:space="preserve"> sheet lists each one with its cell reference. I've provisionally dated the report 17-09-2026 and carried classification "B" forward — both are your call. I also cleared the </t>
    </r>
    <r>
      <rPr>
        <sz val="10"/>
        <color theme="1"/>
        <rFont val="Arial Unicode MS"/>
      </rPr>
      <t>Meeting</t>
    </r>
    <r>
      <rPr>
        <sz val="11"/>
        <color theme="1"/>
        <rFont val="Calibri"/>
        <family val="2"/>
        <scheme val="minor"/>
      </rPr>
      <t xml:space="preserve"> sheet, which held eight attendees from an entirely different society, and stripped the SANA Apartment CHS content from the lower half of </t>
    </r>
    <r>
      <rPr>
        <sz val="10"/>
        <color theme="1"/>
        <rFont val="Arial Unicode MS"/>
      </rPr>
      <t>Audit-Remarks</t>
    </r>
    <r>
      <rPr>
        <sz val="11"/>
        <color theme="1"/>
        <rFont val="Calibri"/>
        <family val="2"/>
        <scheme val="minor"/>
      </rPr>
      <t>.</t>
    </r>
  </si>
  <si>
    <r>
      <t xml:space="preserve">One inconsistency to settle: the accounts call it </t>
    </r>
    <r>
      <rPr>
        <sz val="10"/>
        <color theme="1"/>
        <rFont val="Arial Unicode MS"/>
      </rPr>
      <t>PRATHAMESH HARMONY "B" WING CO-OP. HOUSING SOCIETY LTD.</t>
    </r>
    <r>
      <rPr>
        <sz val="11"/>
        <color theme="1"/>
        <rFont val="Calibri"/>
        <family val="2"/>
        <scheme val="minor"/>
      </rPr>
      <t xml:space="preserve"> while the report uses </t>
    </r>
    <r>
      <rPr>
        <sz val="10"/>
        <color theme="1"/>
        <rFont val="Arial Unicode MS"/>
      </rPr>
      <t>PRATHAMESH HARMONY "B" CO-OPERATIVE HOUSING SOCIETY LTD.</t>
    </r>
    <r>
      <rPr>
        <sz val="11"/>
        <color theme="1"/>
        <rFont val="Calibri"/>
        <family val="2"/>
        <scheme val="minor"/>
      </rPr>
      <t xml:space="preserve"> I kept last year's version throughout.</t>
    </r>
  </si>
  <si>
    <r>
      <t xml:space="preserve">I ran out of tool calls before presenting the file — say the word and I'll hand over </t>
    </r>
    <r>
      <rPr>
        <sz val="10"/>
        <color theme="1"/>
        <rFont val="Arial Unicode MS"/>
      </rPr>
      <t>/mnt/user-data/outputs/Prathamesh-Harmony-CHS-2025-26.xlsx</t>
    </r>
    <r>
      <rPr>
        <sz val="11"/>
        <color theme="1"/>
        <rFont val="Calibri"/>
        <family val="2"/>
        <scheme val="minor"/>
      </rPr>
      <t xml:space="preserve">, and I can also convert it back to </t>
    </r>
    <r>
      <rPr>
        <sz val="10"/>
        <color theme="1"/>
        <rFont val="Arial Unicode MS"/>
      </rPr>
      <t>.xls</t>
    </r>
    <r>
      <rPr>
        <sz val="11"/>
        <color theme="1"/>
        <rFont val="Calibri"/>
        <family val="2"/>
        <scheme val="minor"/>
      </rPr>
      <t xml:space="preserve"> or export a paginated PDF set if you want it in the same format as last year's.</t>
    </r>
  </si>
  <si>
    <t>As per my report of even date</t>
  </si>
  <si>
    <t>Shri. Bharat C. Boridkar</t>
  </si>
  <si>
    <t>Govt. Certified Panel Auditor</t>
  </si>
  <si>
    <t>[Panel No.: Mumbai-4/C1/1011404]</t>
  </si>
  <si>
    <t>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</si>
</sst>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 #,##0_ ;_ * \-#,##0_ ;_ * &quot;-&quot;??_ ;_ @_ "/>
    <numFmt numFmtId="166" formatCode="_(* #,##0_);_(* \(#,##0\);_(* &quot;-&quot;??_);_(@_)"/>
    <numFmt numFmtId="167" formatCode="m/d/yyyy"/>
    <numFmt numFmtId="168" formatCode="&quot;Mumbai: &quot;dd&quot;th&quot;\ mmmm\,\ yyyy"/>
  </numFmts>
  <fonts count="39">
    <font>
      <sz val="11"/>
      <color theme="1"/>
      <name val="Calibri"/>
      <family val="2"/>
      <scheme val="minor"/>
    </font>
    <font>
      <sz val="11"/>
      <color theme="1"/>
      <name val="Calibri"/>
      <family val="2"/>
      <scheme val="minor"/>
    </font>
    <font>
      <b/>
      <sz val="11"/>
      <color theme="1"/>
      <name val="Calibri"/>
      <family val="2"/>
      <scheme val="minor"/>
    </font>
    <font>
      <b/>
      <sz val="13"/>
      <color theme="1"/>
      <name val="Calibri"/>
      <family val="2"/>
      <scheme val="minor"/>
    </font>
    <font>
      <b/>
      <sz val="11"/>
      <name val="Calibri"/>
      <family val="2"/>
    </font>
    <font>
      <sz val="11"/>
      <color rgb="FF000000"/>
      <name val="Calibri"/>
      <family val="2"/>
    </font>
    <font>
      <sz val="11"/>
      <name val="Calibri"/>
      <family val="2"/>
    </font>
    <font>
      <b/>
      <sz val="11"/>
      <color rgb="FF000000"/>
      <name val="Calibri"/>
      <family val="2"/>
    </font>
    <font>
      <b/>
      <u/>
      <sz val="11"/>
      <color rgb="FF000000"/>
      <name val="Calibri"/>
      <family val="2"/>
    </font>
    <font>
      <b/>
      <sz val="14"/>
      <color rgb="FF000000"/>
      <name val="Calibri"/>
      <family val="2"/>
    </font>
    <font>
      <b/>
      <u/>
      <sz val="12"/>
      <color rgb="FF000000"/>
      <name val="Calibri"/>
      <family val="2"/>
    </font>
    <font>
      <b/>
      <sz val="12"/>
      <color rgb="FF000000"/>
      <name val="Calibri"/>
      <family val="2"/>
    </font>
    <font>
      <b/>
      <sz val="11"/>
      <name val="Calibri"/>
      <family val="2"/>
      <scheme val="minor"/>
    </font>
    <font>
      <sz val="12"/>
      <color rgb="FF000000"/>
      <name val="Calibri"/>
      <family val="2"/>
    </font>
    <font>
      <b/>
      <u/>
      <sz val="13"/>
      <color theme="1"/>
      <name val="Calibri"/>
      <family val="2"/>
      <scheme val="minor"/>
    </font>
    <font>
      <b/>
      <u/>
      <sz val="16"/>
      <color rgb="FF000000"/>
      <name val="Calibri"/>
      <family val="2"/>
    </font>
    <font>
      <sz val="12"/>
      <name val="Calibri"/>
      <family val="2"/>
    </font>
    <font>
      <b/>
      <sz val="12"/>
      <name val="Calibri"/>
      <family val="2"/>
    </font>
    <font>
      <b/>
      <sz val="14"/>
      <name val="Calibri"/>
      <family val="2"/>
    </font>
    <font>
      <sz val="12"/>
      <name val="Calibri"/>
      <family val="2"/>
      <scheme val="minor"/>
    </font>
    <font>
      <b/>
      <u/>
      <sz val="15"/>
      <color rgb="FF000000"/>
      <name val="Calibri"/>
      <family val="2"/>
    </font>
    <font>
      <sz val="10"/>
      <color rgb="FF000000"/>
      <name val="Calibri"/>
      <family val="2"/>
    </font>
    <font>
      <b/>
      <u/>
      <sz val="10.5"/>
      <color rgb="FF000000"/>
      <name val="Calibri"/>
      <family val="2"/>
    </font>
    <font>
      <b/>
      <sz val="13"/>
      <color rgb="FF000000"/>
      <name val="Calibri"/>
      <family val="2"/>
    </font>
    <font>
      <sz val="13"/>
      <color rgb="FF000000"/>
      <name val="Calibri"/>
      <family val="2"/>
    </font>
    <font>
      <sz val="8"/>
      <name val="Calibri"/>
      <family val="2"/>
    </font>
    <font>
      <b/>
      <u/>
      <sz val="14"/>
      <color rgb="FF000000"/>
      <name val="Calibri"/>
      <family val="2"/>
    </font>
    <font>
      <b/>
      <sz val="12"/>
      <color theme="1"/>
      <name val="Calibri"/>
      <family val="2"/>
      <scheme val="minor"/>
    </font>
    <font>
      <b/>
      <sz val="10"/>
      <color theme="1"/>
      <name val="Calibri"/>
      <family val="2"/>
      <scheme val="minor"/>
    </font>
    <font>
      <b/>
      <u/>
      <sz val="13"/>
      <color rgb="FF000000"/>
      <name val="Calibri"/>
      <family val="2"/>
    </font>
    <font>
      <b/>
      <u/>
      <sz val="13"/>
      <name val="Calibri"/>
      <family val="2"/>
    </font>
    <font>
      <u/>
      <sz val="12"/>
      <color rgb="FF000000"/>
      <name val="Calibri"/>
      <family val="2"/>
    </font>
    <font>
      <sz val="11"/>
      <color theme="1"/>
      <name val="Calibri"/>
      <family val="2"/>
    </font>
    <font>
      <sz val="10"/>
      <color theme="1"/>
      <name val="Arial Unicode MS"/>
    </font>
    <font>
      <b/>
      <sz val="11"/>
      <color theme="1"/>
      <name val="Calibri"/>
      <family val="2"/>
    </font>
    <font>
      <sz val="8"/>
      <color theme="1"/>
      <name val="Calibri"/>
      <family val="2"/>
      <scheme val="minor"/>
    </font>
    <font>
      <sz val="10"/>
      <name val="Arial"/>
      <family val="2"/>
    </font>
    <font>
      <b/>
      <sz val="14"/>
      <color theme="1"/>
      <name val="Calibri"/>
      <family val="2"/>
      <scheme val="minor"/>
    </font>
    <font>
      <b/>
      <u/>
      <sz val="16"/>
      <color theme="1"/>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double">
        <color indexed="64"/>
      </bottom>
      <diagonal/>
    </border>
    <border>
      <left style="thin">
        <color rgb="FF000000"/>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double">
        <color indexed="64"/>
      </right>
      <top style="thin">
        <color indexed="64"/>
      </top>
      <bottom style="double">
        <color indexed="64"/>
      </bottom>
      <diagonal/>
    </border>
    <border>
      <left/>
      <right style="double">
        <color indexed="64"/>
      </right>
      <top/>
      <bottom/>
      <diagonal/>
    </border>
    <border>
      <left/>
      <right style="double">
        <color indexed="64"/>
      </right>
      <top style="thin">
        <color indexed="64"/>
      </top>
      <bottom style="double">
        <color indexed="64"/>
      </bottom>
      <diagonal/>
    </border>
    <border>
      <left style="thin">
        <color indexed="64"/>
      </left>
      <right style="double">
        <color indexed="64"/>
      </right>
      <top style="double">
        <color indexed="64"/>
      </top>
      <bottom/>
      <diagonal/>
    </border>
    <border>
      <left style="thin">
        <color indexed="64"/>
      </left>
      <right style="double">
        <color indexed="64"/>
      </right>
      <top/>
      <bottom style="double">
        <color indexed="64"/>
      </bottom>
      <diagonal/>
    </border>
    <border>
      <left style="thin">
        <color indexed="64"/>
      </left>
      <right style="double">
        <color indexed="64"/>
      </right>
      <top/>
      <bottom/>
      <diagonal/>
    </border>
  </borders>
  <cellStyleXfs count="9">
    <xf numFmtId="0" fontId="0" fillId="0" borderId="0"/>
    <xf numFmtId="43" fontId="1" fillId="0" borderId="0" applyFont="0" applyFill="0" applyBorder="0" applyAlignment="0" applyProtection="0"/>
    <xf numFmtId="43" fontId="1" fillId="0" borderId="0" applyFont="0" applyFill="0" applyBorder="0" applyAlignment="0" applyProtection="0"/>
    <xf numFmtId="0" fontId="6" fillId="0" borderId="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6" fillId="0" borderId="0"/>
  </cellStyleXfs>
  <cellXfs count="376">
    <xf numFmtId="0" fontId="0" fillId="0" borderId="0" xfId="0"/>
    <xf numFmtId="0" fontId="0" fillId="0" borderId="0" xfId="0" applyAlignment="1">
      <alignment horizontal="center" vertical="center" wrapText="1"/>
    </xf>
    <xf numFmtId="43" fontId="0" fillId="0" borderId="0" xfId="1" applyFont="1"/>
    <xf numFmtId="43" fontId="2" fillId="0" borderId="1" xfId="1" applyFont="1" applyBorder="1" applyAlignment="1">
      <alignment horizontal="center" vertical="center" wrapText="1"/>
    </xf>
    <xf numFmtId="43" fontId="0" fillId="0" borderId="0" xfId="1" applyFont="1" applyAlignment="1">
      <alignment horizontal="right"/>
    </xf>
    <xf numFmtId="43" fontId="2" fillId="0" borderId="0" xfId="1" applyFont="1"/>
    <xf numFmtId="43" fontId="2" fillId="0" borderId="2" xfId="1" applyFont="1" applyBorder="1"/>
    <xf numFmtId="17" fontId="0" fillId="0" borderId="0" xfId="0" applyNumberFormat="1"/>
    <xf numFmtId="14" fontId="0" fillId="0" borderId="0" xfId="0" applyNumberFormat="1"/>
    <xf numFmtId="165" fontId="0" fillId="0" borderId="0" xfId="1" applyNumberFormat="1" applyFont="1"/>
    <xf numFmtId="0" fontId="2" fillId="0" borderId="0" xfId="0" applyFont="1"/>
    <xf numFmtId="0" fontId="4" fillId="0" borderId="1" xfId="0" applyFont="1" applyBorder="1" applyAlignment="1">
      <alignment horizontal="center" vertical="center"/>
    </xf>
    <xf numFmtId="166" fontId="1" fillId="0" borderId="1" xfId="1" applyNumberFormat="1" applyBorder="1" applyAlignment="1" applyProtection="1">
      <alignment vertical="top"/>
      <protection locked="0"/>
    </xf>
    <xf numFmtId="0" fontId="6" fillId="0" borderId="1" xfId="0" applyFont="1" applyBorder="1" applyAlignment="1">
      <alignment vertical="center"/>
    </xf>
    <xf numFmtId="166" fontId="7" fillId="0" borderId="1" xfId="1" applyNumberFormat="1" applyFont="1" applyBorder="1" applyAlignment="1" applyProtection="1">
      <alignment vertical="top"/>
      <protection locked="0"/>
    </xf>
    <xf numFmtId="0" fontId="0" fillId="0" borderId="0" xfId="0" applyAlignment="1">
      <alignment vertical="center"/>
    </xf>
    <xf numFmtId="43" fontId="1" fillId="0" borderId="0" xfId="1" applyAlignment="1" applyProtection="1">
      <alignment vertical="top"/>
      <protection locked="0"/>
    </xf>
    <xf numFmtId="43" fontId="0" fillId="0" borderId="13" xfId="1" applyFont="1" applyBorder="1"/>
    <xf numFmtId="43" fontId="0" fillId="0" borderId="4" xfId="1" applyFont="1" applyBorder="1"/>
    <xf numFmtId="43" fontId="0" fillId="0" borderId="14" xfId="1" applyFont="1" applyBorder="1"/>
    <xf numFmtId="0" fontId="6" fillId="0" borderId="0" xfId="3"/>
    <xf numFmtId="0" fontId="4" fillId="0" borderId="0" xfId="3" applyFont="1"/>
    <xf numFmtId="4" fontId="6" fillId="0" borderId="0" xfId="3" applyNumberFormat="1"/>
    <xf numFmtId="2" fontId="6" fillId="0" borderId="0" xfId="3" applyNumberFormat="1"/>
    <xf numFmtId="43" fontId="2" fillId="0" borderId="4" xfId="1" applyFont="1" applyBorder="1"/>
    <xf numFmtId="43" fontId="2" fillId="0" borderId="14" xfId="1" applyFont="1" applyBorder="1"/>
    <xf numFmtId="43" fontId="2" fillId="0" borderId="13" xfId="1" applyFont="1" applyBorder="1" applyAlignment="1">
      <alignment vertical="center"/>
    </xf>
    <xf numFmtId="0" fontId="2" fillId="0" borderId="0" xfId="0" applyFont="1" applyAlignment="1">
      <alignment vertical="center"/>
    </xf>
    <xf numFmtId="0" fontId="2" fillId="0" borderId="13" xfId="0" applyFont="1" applyBorder="1" applyAlignment="1">
      <alignment vertical="center"/>
    </xf>
    <xf numFmtId="43" fontId="2" fillId="0" borderId="0" xfId="1" applyFont="1" applyBorder="1" applyAlignment="1">
      <alignment vertical="center"/>
    </xf>
    <xf numFmtId="43" fontId="2" fillId="0" borderId="4" xfId="1" applyFont="1" applyBorder="1" applyAlignment="1">
      <alignment vertical="center"/>
    </xf>
    <xf numFmtId="0" fontId="2" fillId="0" borderId="4" xfId="0" applyFont="1" applyBorder="1" applyAlignment="1">
      <alignment vertical="center"/>
    </xf>
    <xf numFmtId="43" fontId="0" fillId="0" borderId="14" xfId="1" applyFont="1" applyBorder="1" applyAlignment="1">
      <alignment vertical="center"/>
    </xf>
    <xf numFmtId="43" fontId="0" fillId="0" borderId="4" xfId="1" applyFont="1" applyBorder="1" applyAlignment="1">
      <alignment vertical="center"/>
    </xf>
    <xf numFmtId="43" fontId="1" fillId="0" borderId="4" xfId="1" applyFont="1" applyBorder="1" applyAlignment="1">
      <alignment vertical="center"/>
    </xf>
    <xf numFmtId="0" fontId="0" fillId="0" borderId="4" xfId="0" applyBorder="1" applyAlignment="1">
      <alignment vertical="center"/>
    </xf>
    <xf numFmtId="43" fontId="2" fillId="0" borderId="15" xfId="1" quotePrefix="1" applyFont="1" applyBorder="1" applyAlignment="1">
      <alignment horizontal="right" vertical="center"/>
    </xf>
    <xf numFmtId="43" fontId="0" fillId="0" borderId="0" xfId="1" applyFont="1" applyBorder="1" applyAlignment="1">
      <alignment vertical="center"/>
    </xf>
    <xf numFmtId="43" fontId="5" fillId="0" borderId="0" xfId="1" applyFont="1" applyAlignment="1" applyProtection="1"/>
    <xf numFmtId="0" fontId="5" fillId="0" borderId="1" xfId="0" applyFont="1" applyBorder="1"/>
    <xf numFmtId="43" fontId="5" fillId="0" borderId="1" xfId="1" applyFont="1" applyBorder="1" applyAlignment="1" applyProtection="1"/>
    <xf numFmtId="43" fontId="5" fillId="0" borderId="14" xfId="1" applyFont="1" applyBorder="1" applyAlignment="1" applyProtection="1"/>
    <xf numFmtId="43" fontId="7" fillId="0" borderId="2" xfId="1" applyFont="1" applyBorder="1" applyAlignment="1" applyProtection="1"/>
    <xf numFmtId="0" fontId="7" fillId="0" borderId="11" xfId="0" applyFont="1" applyBorder="1"/>
    <xf numFmtId="0" fontId="5" fillId="0" borderId="1" xfId="0" applyFont="1" applyBorder="1" applyAlignment="1">
      <alignment horizontal="center"/>
    </xf>
    <xf numFmtId="0" fontId="7" fillId="0" borderId="5" xfId="0" applyFont="1" applyBorder="1"/>
    <xf numFmtId="0" fontId="7" fillId="0" borderId="12" xfId="0" applyFont="1" applyBorder="1"/>
    <xf numFmtId="0" fontId="7" fillId="0" borderId="5" xfId="0" applyFont="1" applyBorder="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0" fontId="7" fillId="0" borderId="2" xfId="0" applyFont="1" applyBorder="1" applyAlignment="1">
      <alignment horizontal="center"/>
    </xf>
    <xf numFmtId="0" fontId="5" fillId="0" borderId="14" xfId="0" applyFont="1" applyBorder="1" applyAlignment="1">
      <alignment horizontal="center"/>
    </xf>
    <xf numFmtId="0" fontId="5" fillId="0" borderId="14" xfId="0" applyFont="1" applyBorder="1"/>
    <xf numFmtId="0" fontId="2" fillId="0" borderId="0" xfId="0" applyFont="1" applyAlignment="1">
      <alignment horizontal="center" vertical="center"/>
    </xf>
    <xf numFmtId="43" fontId="1" fillId="0" borderId="14" xfId="1" applyBorder="1" applyAlignment="1" applyProtection="1">
      <alignment vertical="top"/>
      <protection locked="0"/>
    </xf>
    <xf numFmtId="43" fontId="1" fillId="0" borderId="1" xfId="1" applyBorder="1" applyAlignment="1" applyProtection="1">
      <alignment vertical="top"/>
      <protection locked="0"/>
    </xf>
    <xf numFmtId="43" fontId="5" fillId="0" borderId="14" xfId="1" applyFont="1" applyBorder="1" applyAlignment="1">
      <alignment horizontal="center"/>
    </xf>
    <xf numFmtId="43" fontId="5" fillId="0" borderId="1" xfId="1" applyFont="1" applyBorder="1" applyAlignment="1">
      <alignment horizontal="center"/>
    </xf>
    <xf numFmtId="43" fontId="7" fillId="0" borderId="11" xfId="1" applyFont="1" applyBorder="1" applyAlignment="1"/>
    <xf numFmtId="43" fontId="2" fillId="0" borderId="2" xfId="1" applyFont="1" applyBorder="1" applyAlignment="1" applyProtection="1">
      <alignment vertical="top"/>
      <protection locked="0"/>
    </xf>
    <xf numFmtId="43" fontId="2" fillId="0" borderId="4" xfId="1" applyFont="1" applyFill="1" applyBorder="1"/>
    <xf numFmtId="43" fontId="0" fillId="0" borderId="4" xfId="1" applyFont="1" applyFill="1" applyBorder="1"/>
    <xf numFmtId="0" fontId="0" fillId="0" borderId="0" xfId="0" applyAlignment="1">
      <alignment horizontal="left" vertical="center"/>
    </xf>
    <xf numFmtId="0" fontId="0" fillId="0" borderId="0" xfId="0" applyAlignment="1">
      <alignment horizontal="left"/>
    </xf>
    <xf numFmtId="43" fontId="0" fillId="0" borderId="0" xfId="1" applyFont="1" applyAlignment="1">
      <alignment horizontal="left"/>
    </xf>
    <xf numFmtId="43" fontId="0" fillId="0" borderId="0" xfId="1" applyFont="1" applyAlignment="1">
      <alignment horizontal="left" vertical="center"/>
    </xf>
    <xf numFmtId="43" fontId="0" fillId="0" borderId="0" xfId="0" applyNumberFormat="1" applyAlignment="1">
      <alignment horizontal="left" vertical="center"/>
    </xf>
    <xf numFmtId="43" fontId="0" fillId="0" borderId="0" xfId="0" applyNumberFormat="1" applyAlignment="1">
      <alignment horizontal="left"/>
    </xf>
    <xf numFmtId="0" fontId="2" fillId="0" borderId="0" xfId="0" applyFont="1" applyAlignment="1">
      <alignment horizontal="center"/>
    </xf>
    <xf numFmtId="0" fontId="7" fillId="0" borderId="12" xfId="0" applyFont="1" applyBorder="1" applyAlignment="1">
      <alignment horizontal="center"/>
    </xf>
    <xf numFmtId="0" fontId="2" fillId="0" borderId="2" xfId="0" applyFont="1" applyBorder="1" applyAlignment="1">
      <alignment horizontal="center" vertical="center" wrapText="1"/>
    </xf>
    <xf numFmtId="43" fontId="2" fillId="0" borderId="2" xfId="1" applyFont="1" applyBorder="1" applyAlignment="1">
      <alignment horizontal="center" vertical="center" wrapText="1"/>
    </xf>
    <xf numFmtId="43" fontId="2" fillId="0" borderId="2" xfId="1" applyFont="1" applyBorder="1" applyAlignment="1">
      <alignment vertical="center"/>
    </xf>
    <xf numFmtId="43" fontId="2" fillId="0" borderId="5" xfId="1" applyFont="1" applyBorder="1" applyAlignment="1">
      <alignment vertical="center"/>
    </xf>
    <xf numFmtId="43" fontId="28" fillId="0" borderId="2" xfId="1" applyFont="1" applyBorder="1" applyAlignment="1">
      <alignment horizontal="center" vertical="center" wrapText="1"/>
    </xf>
    <xf numFmtId="43" fontId="2" fillId="0" borderId="8" xfId="1" applyFont="1" applyBorder="1" applyAlignment="1">
      <alignment vertical="center"/>
    </xf>
    <xf numFmtId="0" fontId="4" fillId="0" borderId="0" xfId="0" applyFont="1" applyAlignment="1">
      <alignment horizontal="center" vertical="center"/>
    </xf>
    <xf numFmtId="0" fontId="6" fillId="0" borderId="14" xfId="0" applyFont="1" applyBorder="1" applyAlignment="1">
      <alignment vertical="center"/>
    </xf>
    <xf numFmtId="166" fontId="1" fillId="0" borderId="14" xfId="1" applyNumberFormat="1" applyBorder="1" applyAlignment="1" applyProtection="1">
      <alignment vertical="top"/>
      <protection locked="0"/>
    </xf>
    <xf numFmtId="0" fontId="4" fillId="0" borderId="2" xfId="0" applyFont="1" applyBorder="1" applyAlignment="1">
      <alignment horizontal="center" vertical="center"/>
    </xf>
    <xf numFmtId="43" fontId="7" fillId="0" borderId="2" xfId="1" applyFont="1" applyBorder="1" applyAlignment="1"/>
    <xf numFmtId="0" fontId="5" fillId="0" borderId="2" xfId="0" applyFont="1" applyBorder="1" applyAlignment="1">
      <alignment horizontal="center"/>
    </xf>
    <xf numFmtId="165" fontId="0" fillId="0" borderId="0" xfId="0" applyNumberFormat="1"/>
    <xf numFmtId="0" fontId="5" fillId="0" borderId="0" xfId="0" applyFont="1"/>
    <xf numFmtId="43" fontId="17" fillId="0" borderId="2" xfId="1" applyFont="1" applyFill="1" applyBorder="1" applyAlignment="1" applyProtection="1">
      <alignment horizontal="center" vertical="center" wrapText="1"/>
    </xf>
    <xf numFmtId="43" fontId="17" fillId="0" borderId="12" xfId="1" applyFont="1" applyFill="1" applyBorder="1" applyAlignment="1" applyProtection="1">
      <alignment horizontal="center" vertical="center" wrapText="1"/>
    </xf>
    <xf numFmtId="0" fontId="6" fillId="0" borderId="0" xfId="0" applyFont="1"/>
    <xf numFmtId="43" fontId="1" fillId="0" borderId="7" xfId="1" applyFill="1" applyBorder="1" applyAlignment="1" applyProtection="1">
      <alignment horizontal="left" vertical="center"/>
    </xf>
    <xf numFmtId="0" fontId="8" fillId="0" borderId="7" xfId="0" applyFont="1" applyBorder="1" applyAlignment="1">
      <alignment vertical="center"/>
    </xf>
    <xf numFmtId="43" fontId="5" fillId="0" borderId="8" xfId="1" applyFont="1" applyFill="1" applyBorder="1" applyAlignment="1" applyProtection="1"/>
    <xf numFmtId="43" fontId="7" fillId="0" borderId="8" xfId="1" applyFont="1" applyFill="1" applyBorder="1" applyAlignment="1" applyProtection="1">
      <alignment horizontal="left" vertical="center" wrapText="1"/>
    </xf>
    <xf numFmtId="0" fontId="8" fillId="0" borderId="7" xfId="0" applyFont="1" applyBorder="1"/>
    <xf numFmtId="0" fontId="5" fillId="0" borderId="7" xfId="0" applyFont="1" applyBorder="1" applyAlignment="1">
      <alignment vertical="center"/>
    </xf>
    <xf numFmtId="43" fontId="5" fillId="0" borderId="8" xfId="1" applyFont="1" applyFill="1" applyBorder="1" applyAlignment="1" applyProtection="1">
      <alignment horizontal="right"/>
    </xf>
    <xf numFmtId="0" fontId="5" fillId="0" borderId="7" xfId="0" applyFont="1" applyBorder="1"/>
    <xf numFmtId="0" fontId="5" fillId="0" borderId="8" xfId="0" applyFont="1" applyBorder="1"/>
    <xf numFmtId="43" fontId="5" fillId="0" borderId="0" xfId="0" applyNumberFormat="1" applyFont="1"/>
    <xf numFmtId="43" fontId="5" fillId="0" borderId="7" xfId="1" applyFont="1" applyFill="1" applyBorder="1" applyAlignment="1" applyProtection="1"/>
    <xf numFmtId="0" fontId="5" fillId="0" borderId="7" xfId="0" applyFont="1" applyBorder="1" applyAlignment="1">
      <alignment wrapText="1"/>
    </xf>
    <xf numFmtId="43" fontId="1" fillId="0" borderId="8" xfId="1" applyFill="1" applyBorder="1" applyAlignment="1" applyProtection="1">
      <alignment horizontal="left" vertical="center" wrapText="1"/>
    </xf>
    <xf numFmtId="43" fontId="7" fillId="0" borderId="8" xfId="1" applyFont="1" applyFill="1" applyBorder="1" applyAlignment="1" applyProtection="1"/>
    <xf numFmtId="43" fontId="1" fillId="0" borderId="10" xfId="1" applyFill="1" applyBorder="1" applyAlignment="1" applyProtection="1">
      <alignment horizontal="left" vertical="center" wrapText="1"/>
    </xf>
    <xf numFmtId="43" fontId="7" fillId="0" borderId="7" xfId="1" applyFont="1" applyFill="1" applyBorder="1" applyAlignment="1" applyProtection="1">
      <alignment horizontal="right"/>
    </xf>
    <xf numFmtId="0" fontId="8" fillId="0" borderId="7" xfId="0" applyFont="1" applyBorder="1" applyAlignment="1">
      <alignment wrapText="1"/>
    </xf>
    <xf numFmtId="164" fontId="7" fillId="0" borderId="8" xfId="0" applyNumberFormat="1" applyFont="1" applyBorder="1"/>
    <xf numFmtId="43" fontId="5" fillId="0" borderId="8" xfId="1" applyFont="1" applyFill="1" applyBorder="1" applyAlignment="1" applyProtection="1">
      <alignment wrapText="1"/>
    </xf>
    <xf numFmtId="43" fontId="5" fillId="0" borderId="7" xfId="1" applyFont="1" applyFill="1" applyBorder="1" applyAlignment="1" applyProtection="1">
      <alignment wrapText="1"/>
    </xf>
    <xf numFmtId="0" fontId="22" fillId="0" borderId="7" xfId="0" applyFont="1" applyBorder="1" applyAlignment="1">
      <alignment horizontal="left" vertical="center"/>
    </xf>
    <xf numFmtId="43" fontId="5" fillId="0" borderId="10" xfId="1" applyFont="1" applyFill="1" applyBorder="1" applyAlignment="1" applyProtection="1"/>
    <xf numFmtId="43" fontId="1" fillId="0" borderId="8" xfId="1" applyFill="1" applyBorder="1" applyAlignment="1" applyProtection="1">
      <alignment vertical="top"/>
      <protection locked="0"/>
    </xf>
    <xf numFmtId="0" fontId="8" fillId="0" borderId="7" xfId="0" applyFont="1" applyBorder="1" applyAlignment="1">
      <alignment horizontal="left" vertical="center" wrapText="1"/>
    </xf>
    <xf numFmtId="0" fontId="5" fillId="0" borderId="7" xfId="0" applyFont="1" applyBorder="1" applyAlignment="1">
      <alignment horizontal="left" vertical="center" wrapText="1"/>
    </xf>
    <xf numFmtId="43" fontId="1" fillId="0" borderId="10" xfId="1" applyFill="1" applyBorder="1" applyAlignment="1" applyProtection="1">
      <alignment vertical="top"/>
      <protection locked="0"/>
    </xf>
    <xf numFmtId="43" fontId="7" fillId="0" borderId="8" xfId="1" applyFont="1" applyFill="1" applyBorder="1"/>
    <xf numFmtId="43" fontId="7" fillId="0" borderId="8" xfId="1" applyFont="1" applyFill="1" applyBorder="1" applyAlignment="1" applyProtection="1">
      <alignment wrapText="1"/>
    </xf>
    <xf numFmtId="43" fontId="6" fillId="0" borderId="8" xfId="1" applyFont="1" applyFill="1" applyBorder="1" applyAlignment="1" applyProtection="1"/>
    <xf numFmtId="165" fontId="5" fillId="0" borderId="0" xfId="1" applyNumberFormat="1" applyFont="1" applyFill="1"/>
    <xf numFmtId="0" fontId="6" fillId="0" borderId="7" xfId="0" applyFont="1" applyBorder="1" applyAlignment="1">
      <alignment wrapText="1"/>
    </xf>
    <xf numFmtId="0" fontId="7" fillId="0" borderId="0" xfId="0" applyFont="1"/>
    <xf numFmtId="43" fontId="5" fillId="0" borderId="4" xfId="1" applyFont="1" applyFill="1" applyBorder="1" applyAlignment="1" applyProtection="1"/>
    <xf numFmtId="43" fontId="7" fillId="0" borderId="4" xfId="1" applyFont="1" applyFill="1" applyBorder="1" applyAlignment="1" applyProtection="1">
      <alignment wrapText="1"/>
    </xf>
    <xf numFmtId="0" fontId="7" fillId="0" borderId="7" xfId="0" applyFont="1" applyBorder="1" applyAlignment="1">
      <alignment wrapText="1"/>
    </xf>
    <xf numFmtId="0" fontId="7" fillId="0" borderId="7" xfId="0" applyFont="1" applyBorder="1"/>
    <xf numFmtId="43" fontId="7" fillId="0" borderId="2" xfId="1" applyFont="1" applyFill="1" applyBorder="1" applyAlignment="1" applyProtection="1">
      <alignment wrapText="1"/>
    </xf>
    <xf numFmtId="43" fontId="7" fillId="0" borderId="12" xfId="1" applyFont="1" applyFill="1" applyBorder="1" applyAlignment="1" applyProtection="1">
      <alignment wrapText="1"/>
    </xf>
    <xf numFmtId="164" fontId="5" fillId="0" borderId="0" xfId="0" applyNumberFormat="1" applyFont="1"/>
    <xf numFmtId="43" fontId="13" fillId="0" borderId="0" xfId="0" applyNumberFormat="1" applyFont="1"/>
    <xf numFmtId="164" fontId="13" fillId="0" borderId="0" xfId="0" applyNumberFormat="1" applyFont="1"/>
    <xf numFmtId="0" fontId="13" fillId="0" borderId="0" xfId="0" applyFont="1"/>
    <xf numFmtId="43" fontId="5" fillId="0" borderId="0" xfId="1" applyFont="1" applyFill="1" applyAlignment="1" applyProtection="1"/>
    <xf numFmtId="43" fontId="13" fillId="0" borderId="0" xfId="1" applyFont="1" applyFill="1" applyAlignment="1" applyProtection="1"/>
    <xf numFmtId="0" fontId="7" fillId="0" borderId="2" xfId="0" applyFont="1" applyBorder="1" applyAlignment="1">
      <alignment horizontal="center" vertical="center" wrapText="1"/>
    </xf>
    <xf numFmtId="43" fontId="7" fillId="0" borderId="2" xfId="1" applyFont="1" applyFill="1" applyBorder="1" applyAlignment="1" applyProtection="1">
      <alignment horizontal="center" vertical="center" wrapText="1"/>
    </xf>
    <xf numFmtId="10" fontId="7" fillId="0" borderId="2" xfId="4" applyNumberFormat="1" applyFont="1" applyFill="1" applyBorder="1" applyAlignment="1">
      <alignment horizontal="center" vertical="center" wrapText="1"/>
    </xf>
    <xf numFmtId="43" fontId="5" fillId="0" borderId="0" xfId="1" applyFont="1" applyFill="1" applyBorder="1" applyAlignment="1" applyProtection="1"/>
    <xf numFmtId="10" fontId="5" fillId="0" borderId="0" xfId="4" applyNumberFormat="1" applyFont="1" applyFill="1" applyAlignment="1">
      <alignment horizontal="center"/>
    </xf>
    <xf numFmtId="43" fontId="5" fillId="0" borderId="11" xfId="1" applyFont="1" applyFill="1" applyBorder="1" applyAlignment="1" applyProtection="1">
      <alignment horizontal="center" vertical="top"/>
    </xf>
    <xf numFmtId="43" fontId="7" fillId="0" borderId="2" xfId="1" applyFont="1" applyFill="1" applyBorder="1" applyAlignment="1" applyProtection="1"/>
    <xf numFmtId="10" fontId="5" fillId="0" borderId="11" xfId="4" applyNumberFormat="1" applyFont="1" applyFill="1" applyBorder="1" applyAlignment="1" applyProtection="1">
      <alignment horizontal="center"/>
    </xf>
    <xf numFmtId="43" fontId="5" fillId="0" borderId="0" xfId="1" applyFont="1" applyFill="1" applyBorder="1" applyAlignment="1" applyProtection="1">
      <alignment horizontal="center" vertical="top"/>
    </xf>
    <xf numFmtId="10" fontId="5" fillId="0" borderId="0" xfId="4" applyNumberFormat="1" applyFont="1" applyFill="1" applyBorder="1" applyAlignment="1" applyProtection="1">
      <alignment horizontal="center"/>
    </xf>
    <xf numFmtId="10" fontId="7" fillId="0" borderId="11" xfId="4" applyNumberFormat="1" applyFont="1" applyFill="1" applyBorder="1" applyAlignment="1">
      <alignment horizontal="center"/>
    </xf>
    <xf numFmtId="167" fontId="5" fillId="0" borderId="11" xfId="0" applyNumberFormat="1" applyFont="1" applyBorder="1"/>
    <xf numFmtId="10" fontId="5" fillId="0" borderId="11" xfId="4" applyNumberFormat="1" applyFont="1" applyFill="1" applyBorder="1" applyAlignment="1">
      <alignment horizontal="center"/>
    </xf>
    <xf numFmtId="167" fontId="5" fillId="0" borderId="0" xfId="0" applyNumberFormat="1" applyFont="1"/>
    <xf numFmtId="0" fontId="5" fillId="0" borderId="11" xfId="0" applyFont="1" applyBorder="1"/>
    <xf numFmtId="43" fontId="7" fillId="0" borderId="0" xfId="1" applyFont="1" applyFill="1" applyBorder="1" applyAlignment="1" applyProtection="1"/>
    <xf numFmtId="0" fontId="5" fillId="0" borderId="3" xfId="0" applyFont="1" applyBorder="1"/>
    <xf numFmtId="43" fontId="5" fillId="0" borderId="3" xfId="1" applyFont="1" applyFill="1" applyBorder="1" applyAlignment="1" applyProtection="1"/>
    <xf numFmtId="10" fontId="5" fillId="0" borderId="3" xfId="4" applyNumberFormat="1" applyFont="1" applyFill="1" applyBorder="1" applyAlignment="1">
      <alignment horizontal="center"/>
    </xf>
    <xf numFmtId="43" fontId="5" fillId="0" borderId="12" xfId="1" applyFont="1" applyFill="1" applyBorder="1" applyAlignment="1" applyProtection="1"/>
    <xf numFmtId="0" fontId="5" fillId="0" borderId="7" xfId="0" applyFont="1" applyBorder="1" applyAlignment="1">
      <alignment horizontal="left"/>
    </xf>
    <xf numFmtId="0" fontId="5" fillId="0" borderId="12" xfId="0" applyFont="1" applyBorder="1"/>
    <xf numFmtId="0" fontId="5" fillId="0" borderId="9" xfId="0" applyFont="1" applyBorder="1"/>
    <xf numFmtId="0" fontId="5" fillId="0" borderId="10" xfId="0" applyFont="1" applyBorder="1"/>
    <xf numFmtId="0" fontId="0" fillId="0" borderId="0" xfId="0" applyAlignment="1">
      <alignment horizontal="center"/>
    </xf>
    <xf numFmtId="0" fontId="0" fillId="0" borderId="3" xfId="0" applyBorder="1" applyAlignment="1">
      <alignment horizontal="center"/>
    </xf>
    <xf numFmtId="43" fontId="2" fillId="0" borderId="11" xfId="1" applyFont="1" applyBorder="1"/>
    <xf numFmtId="43" fontId="5" fillId="0" borderId="13" xfId="1" applyFont="1" applyBorder="1" applyAlignment="1">
      <alignment horizontal="center"/>
    </xf>
    <xf numFmtId="43" fontId="1" fillId="0" borderId="1" xfId="1" applyBorder="1" applyAlignment="1" applyProtection="1">
      <alignment horizontal="center"/>
      <protection locked="0"/>
    </xf>
    <xf numFmtId="43" fontId="2" fillId="0" borderId="2" xfId="1" applyFont="1" applyBorder="1" applyAlignment="1" applyProtection="1">
      <alignment horizontal="center" vertical="center"/>
      <protection locked="0"/>
    </xf>
    <xf numFmtId="0" fontId="0" fillId="0" borderId="6" xfId="0" applyBorder="1"/>
    <xf numFmtId="9" fontId="0" fillId="0" borderId="0" xfId="0" applyNumberFormat="1"/>
    <xf numFmtId="0" fontId="2" fillId="0" borderId="6" xfId="0" applyFont="1" applyBorder="1"/>
    <xf numFmtId="165" fontId="0" fillId="0" borderId="6" xfId="1" applyNumberFormat="1" applyFont="1" applyBorder="1"/>
    <xf numFmtId="165" fontId="2" fillId="0" borderId="6" xfId="1" applyNumberFormat="1" applyFont="1" applyBorder="1"/>
    <xf numFmtId="43" fontId="13" fillId="0" borderId="8" xfId="1" applyFont="1" applyFill="1" applyBorder="1" applyAlignment="1" applyProtection="1">
      <alignment horizontal="left" vertical="center" wrapText="1"/>
    </xf>
    <xf numFmtId="43" fontId="13" fillId="0" borderId="8" xfId="1" applyFont="1" applyFill="1" applyBorder="1" applyAlignment="1" applyProtection="1">
      <alignment horizontal="right"/>
    </xf>
    <xf numFmtId="43" fontId="13" fillId="0" borderId="10" xfId="1" applyFont="1" applyFill="1" applyBorder="1" applyAlignment="1" applyProtection="1">
      <alignment horizontal="right"/>
    </xf>
    <xf numFmtId="43" fontId="5" fillId="0" borderId="10" xfId="1" applyFont="1" applyFill="1" applyBorder="1" applyAlignment="1" applyProtection="1">
      <alignment horizontal="right"/>
    </xf>
    <xf numFmtId="0" fontId="5" fillId="0" borderId="1" xfId="0" quotePrefix="1" applyFont="1" applyBorder="1" applyAlignment="1">
      <alignment horizontal="left"/>
    </xf>
    <xf numFmtId="43" fontId="5" fillId="0" borderId="1" xfId="1" applyFont="1" applyFill="1" applyBorder="1" applyAlignment="1" applyProtection="1"/>
    <xf numFmtId="43" fontId="5" fillId="0" borderId="1" xfId="1" applyFont="1" applyFill="1" applyBorder="1" applyAlignment="1" applyProtection="1">
      <alignment horizontal="center" vertical="top"/>
    </xf>
    <xf numFmtId="10" fontId="5" fillId="0" borderId="1" xfId="4" applyNumberFormat="1" applyFont="1" applyFill="1" applyBorder="1" applyAlignment="1">
      <alignment horizontal="center"/>
    </xf>
    <xf numFmtId="43" fontId="5" fillId="0" borderId="14" xfId="1" applyFont="1" applyFill="1" applyBorder="1" applyAlignment="1" applyProtection="1"/>
    <xf numFmtId="167" fontId="5" fillId="0" borderId="1" xfId="0" applyNumberFormat="1" applyFont="1" applyBorder="1"/>
    <xf numFmtId="0" fontId="5" fillId="0" borderId="1" xfId="0" quotePrefix="1" applyFont="1" applyBorder="1"/>
    <xf numFmtId="167" fontId="5" fillId="0" borderId="6" xfId="0" applyNumberFormat="1" applyFont="1" applyBorder="1"/>
    <xf numFmtId="43" fontId="5" fillId="0" borderId="13" xfId="1" applyFont="1" applyFill="1" applyBorder="1" applyAlignment="1" applyProtection="1"/>
    <xf numFmtId="10" fontId="5" fillId="0" borderId="6" xfId="4" applyNumberFormat="1" applyFont="1" applyFill="1" applyBorder="1" applyAlignment="1">
      <alignment horizontal="center"/>
    </xf>
    <xf numFmtId="43" fontId="13" fillId="0" borderId="0" xfId="1" applyFont="1" applyFill="1" applyBorder="1" applyAlignment="1" applyProtection="1"/>
    <xf numFmtId="43" fontId="13" fillId="0" borderId="10" xfId="1" applyFont="1" applyFill="1" applyBorder="1" applyAlignment="1" applyProtection="1"/>
    <xf numFmtId="0" fontId="16" fillId="0" borderId="0" xfId="0" applyFont="1" applyAlignment="1">
      <alignment vertical="center"/>
    </xf>
    <xf numFmtId="0" fontId="16" fillId="0" borderId="0" xfId="0" applyFont="1"/>
    <xf numFmtId="43" fontId="11" fillId="0" borderId="4" xfId="1" applyFont="1" applyFill="1" applyBorder="1" applyAlignment="1" applyProtection="1">
      <alignment horizontal="left" vertical="center" wrapText="1"/>
    </xf>
    <xf numFmtId="0" fontId="10" fillId="0" borderId="7" xfId="0" applyFont="1" applyBorder="1"/>
    <xf numFmtId="43" fontId="11" fillId="0" borderId="22" xfId="1" applyFont="1" applyFill="1" applyBorder="1" applyAlignment="1" applyProtection="1">
      <alignment horizontal="left" vertical="center" wrapText="1"/>
    </xf>
    <xf numFmtId="43" fontId="11" fillId="0" borderId="8" xfId="1" applyFont="1" applyFill="1" applyBorder="1" applyAlignment="1" applyProtection="1">
      <alignment horizontal="left" vertical="center" wrapText="1"/>
    </xf>
    <xf numFmtId="43" fontId="11" fillId="0" borderId="15" xfId="1" applyFont="1" applyFill="1" applyBorder="1" applyAlignment="1" applyProtection="1"/>
    <xf numFmtId="0" fontId="13" fillId="0" borderId="7" xfId="0" applyFont="1" applyBorder="1" applyAlignment="1">
      <alignment wrapText="1"/>
    </xf>
    <xf numFmtId="43" fontId="11" fillId="0" borderId="4" xfId="1" applyFont="1" applyFill="1" applyBorder="1" applyAlignment="1" applyProtection="1"/>
    <xf numFmtId="43" fontId="13" fillId="0" borderId="8" xfId="1" applyFont="1" applyFill="1" applyBorder="1" applyAlignment="1" applyProtection="1">
      <alignment wrapText="1"/>
    </xf>
    <xf numFmtId="43" fontId="11" fillId="0" borderId="0" xfId="1" applyFont="1" applyFill="1" applyBorder="1" applyAlignment="1" applyProtection="1">
      <alignment horizontal="left" vertical="center" wrapText="1"/>
    </xf>
    <xf numFmtId="43" fontId="11" fillId="0" borderId="8" xfId="1" applyFont="1" applyFill="1" applyBorder="1" applyAlignment="1" applyProtection="1">
      <alignment wrapText="1"/>
    </xf>
    <xf numFmtId="43" fontId="13" fillId="0" borderId="4" xfId="1" applyFont="1" applyFill="1" applyBorder="1" applyAlignment="1" applyProtection="1"/>
    <xf numFmtId="43" fontId="13" fillId="0" borderId="0" xfId="1" applyFont="1" applyFill="1" applyBorder="1" applyAlignment="1" applyProtection="1">
      <alignment horizontal="right"/>
    </xf>
    <xf numFmtId="43" fontId="13" fillId="0" borderId="8" xfId="1" applyFont="1" applyFill="1" applyBorder="1" applyAlignment="1" applyProtection="1"/>
    <xf numFmtId="43" fontId="11" fillId="0" borderId="8" xfId="1" applyFont="1" applyFill="1" applyBorder="1" applyAlignment="1" applyProtection="1">
      <alignment horizontal="right"/>
    </xf>
    <xf numFmtId="43" fontId="13" fillId="0" borderId="4" xfId="1" applyFont="1" applyFill="1" applyBorder="1" applyAlignment="1" applyProtection="1">
      <alignment wrapText="1"/>
    </xf>
    <xf numFmtId="43" fontId="13" fillId="0" borderId="0" xfId="1" applyFont="1" applyFill="1" applyBorder="1" applyAlignment="1" applyProtection="1">
      <alignment wrapText="1"/>
    </xf>
    <xf numFmtId="43" fontId="13" fillId="0" borderId="4" xfId="1" applyFont="1" applyFill="1" applyBorder="1" applyAlignment="1" applyProtection="1">
      <alignment horizontal="right"/>
    </xf>
    <xf numFmtId="43" fontId="13" fillId="0" borderId="7" xfId="1" applyFont="1" applyFill="1" applyBorder="1" applyAlignment="1" applyProtection="1"/>
    <xf numFmtId="43" fontId="11" fillId="0" borderId="8" xfId="1" applyFont="1" applyFill="1" applyBorder="1" applyAlignment="1" applyProtection="1"/>
    <xf numFmtId="0" fontId="11" fillId="0" borderId="7" xfId="0" applyFont="1" applyBorder="1"/>
    <xf numFmtId="0" fontId="13" fillId="0" borderId="7" xfId="0" applyFont="1" applyBorder="1"/>
    <xf numFmtId="0" fontId="10" fillId="0" borderId="7" xfId="0" applyFont="1" applyBorder="1" applyAlignment="1">
      <alignment wrapText="1"/>
    </xf>
    <xf numFmtId="0" fontId="11" fillId="0" borderId="7" xfId="0" applyFont="1" applyBorder="1" applyAlignment="1">
      <alignment wrapText="1"/>
    </xf>
    <xf numFmtId="43" fontId="1" fillId="0" borderId="7" xfId="1" applyFill="1" applyBorder="1" applyAlignment="1" applyProtection="1">
      <alignment vertical="top"/>
      <protection locked="0"/>
    </xf>
    <xf numFmtId="43" fontId="13" fillId="0" borderId="4" xfId="1" applyFont="1" applyFill="1" applyBorder="1" applyAlignment="1" applyProtection="1">
      <alignment horizontal="right" vertical="center"/>
    </xf>
    <xf numFmtId="43" fontId="13" fillId="0" borderId="0" xfId="1" applyFont="1" applyFill="1" applyBorder="1" applyAlignment="1" applyProtection="1">
      <alignment horizontal="right" vertical="center"/>
    </xf>
    <xf numFmtId="43" fontId="25" fillId="0" borderId="0" xfId="0" applyNumberFormat="1" applyFont="1" applyAlignment="1">
      <alignment vertical="center"/>
    </xf>
    <xf numFmtId="43" fontId="11" fillId="0" borderId="2" xfId="1" applyFont="1" applyFill="1" applyBorder="1" applyAlignment="1" applyProtection="1">
      <alignment horizontal="right" vertical="center"/>
    </xf>
    <xf numFmtId="43" fontId="16" fillId="0" borderId="0" xfId="0" applyNumberFormat="1" applyFont="1"/>
    <xf numFmtId="43" fontId="2" fillId="0" borderId="0" xfId="1" applyFont="1" applyBorder="1" applyAlignment="1">
      <alignment horizontal="center"/>
    </xf>
    <xf numFmtId="165" fontId="2" fillId="0" borderId="0" xfId="1" applyNumberFormat="1" applyFont="1" applyBorder="1" applyAlignment="1">
      <alignment horizontal="center"/>
    </xf>
    <xf numFmtId="43" fontId="0" fillId="0" borderId="0" xfId="1" applyFont="1" applyBorder="1"/>
    <xf numFmtId="165" fontId="0" fillId="0" borderId="0" xfId="1" applyNumberFormat="1" applyFont="1" applyBorder="1"/>
    <xf numFmtId="0" fontId="0" fillId="0" borderId="0" xfId="0" applyAlignment="1">
      <alignment horizontal="center" vertical="center"/>
    </xf>
    <xf numFmtId="43" fontId="0" fillId="0" borderId="0" xfId="0" applyNumberFormat="1"/>
    <xf numFmtId="165" fontId="2" fillId="0" borderId="0" xfId="0" applyNumberFormat="1" applyFont="1"/>
    <xf numFmtId="43" fontId="5" fillId="0" borderId="8" xfId="1" applyFont="1" applyBorder="1" applyAlignment="1">
      <alignment horizontal="right"/>
    </xf>
    <xf numFmtId="43" fontId="7" fillId="0" borderId="8" xfId="1" applyFont="1" applyBorder="1"/>
    <xf numFmtId="43" fontId="5" fillId="0" borderId="0" xfId="1" applyFont="1"/>
    <xf numFmtId="43" fontId="7" fillId="0" borderId="0" xfId="1" applyFont="1"/>
    <xf numFmtId="0" fontId="5" fillId="0" borderId="0" xfId="0" applyFont="1" applyAlignment="1">
      <alignment horizontal="center" vertical="top"/>
    </xf>
    <xf numFmtId="167"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7" fillId="0" borderId="11" xfId="0" applyFont="1" applyBorder="1" applyAlignment="1">
      <alignment horizontal="center" vertical="top"/>
    </xf>
    <xf numFmtId="167" fontId="5" fillId="0" borderId="6" xfId="0" applyNumberFormat="1" applyFont="1" applyBorder="1" applyAlignment="1">
      <alignment horizontal="center" vertical="top"/>
    </xf>
    <xf numFmtId="167" fontId="5" fillId="0" borderId="1" xfId="0" applyNumberFormat="1" applyFont="1" applyBorder="1" applyAlignment="1">
      <alignment horizontal="center"/>
    </xf>
    <xf numFmtId="0" fontId="0" fillId="0" borderId="0" xfId="0" applyAlignment="1">
      <alignment horizontal="left" vertical="center" indent="1"/>
    </xf>
    <xf numFmtId="0" fontId="2" fillId="0" borderId="0" xfId="0" applyFont="1" applyAlignment="1">
      <alignment horizontal="left" vertical="center" indent="1"/>
    </xf>
    <xf numFmtId="43" fontId="32" fillId="0" borderId="7" xfId="0" applyNumberFormat="1" applyFont="1" applyBorder="1" applyAlignment="1">
      <alignment vertical="center"/>
    </xf>
    <xf numFmtId="43" fontId="34" fillId="0" borderId="8" xfId="0" applyNumberFormat="1" applyFont="1" applyBorder="1" applyAlignment="1">
      <alignment vertical="center"/>
    </xf>
    <xf numFmtId="43" fontId="32" fillId="0" borderId="8" xfId="0" applyNumberFormat="1" applyFont="1" applyBorder="1" applyAlignment="1">
      <alignment vertical="center"/>
    </xf>
    <xf numFmtId="164" fontId="0" fillId="0" borderId="0" xfId="0" applyNumberFormat="1"/>
    <xf numFmtId="1" fontId="0" fillId="0" borderId="0" xfId="0" applyNumberFormat="1"/>
    <xf numFmtId="43" fontId="34" fillId="0" borderId="7" xfId="0" applyNumberFormat="1" applyFont="1" applyBorder="1" applyAlignment="1">
      <alignment vertical="center"/>
    </xf>
    <xf numFmtId="43" fontId="0" fillId="0" borderId="0" xfId="1" applyFont="1" applyFill="1"/>
    <xf numFmtId="43" fontId="35" fillId="0" borderId="0" xfId="0" applyNumberFormat="1" applyFont="1"/>
    <xf numFmtId="0" fontId="35" fillId="0" borderId="0" xfId="0" applyFont="1"/>
    <xf numFmtId="43" fontId="34" fillId="0" borderId="3" xfId="0" applyNumberFormat="1" applyFont="1" applyBorder="1" applyAlignment="1">
      <alignment vertical="center"/>
    </xf>
    <xf numFmtId="43" fontId="32" fillId="0" borderId="3" xfId="0" applyNumberFormat="1" applyFont="1" applyBorder="1" applyAlignment="1">
      <alignment vertical="center"/>
    </xf>
    <xf numFmtId="43" fontId="34" fillId="0" borderId="10" xfId="0" applyNumberFormat="1" applyFont="1" applyBorder="1" applyAlignment="1">
      <alignment vertical="center"/>
    </xf>
    <xf numFmtId="43" fontId="0" fillId="0" borderId="0" xfId="7" applyFont="1" applyAlignment="1">
      <alignment vertical="center"/>
    </xf>
    <xf numFmtId="43" fontId="32" fillId="0" borderId="0" xfId="0" applyNumberFormat="1" applyFont="1" applyAlignment="1">
      <alignment vertical="center"/>
    </xf>
    <xf numFmtId="43" fontId="34" fillId="0" borderId="0" xfId="0" applyNumberFormat="1" applyFont="1" applyAlignment="1">
      <alignment vertical="center"/>
    </xf>
    <xf numFmtId="0" fontId="23" fillId="0" borderId="0" xfId="0" applyFont="1"/>
    <xf numFmtId="43" fontId="24" fillId="0" borderId="8" xfId="0" applyNumberFormat="1" applyFont="1" applyBorder="1"/>
    <xf numFmtId="43" fontId="23" fillId="0" borderId="0" xfId="0" applyNumberFormat="1" applyFont="1"/>
    <xf numFmtId="164" fontId="24" fillId="0" borderId="8" xfId="0" applyNumberFormat="1" applyFont="1" applyBorder="1"/>
    <xf numFmtId="0" fontId="24" fillId="0" borderId="8" xfId="0" applyFont="1" applyBorder="1"/>
    <xf numFmtId="0" fontId="11" fillId="0" borderId="9" xfId="0" applyFont="1" applyBorder="1" applyAlignment="1">
      <alignment horizontal="center" vertical="center"/>
    </xf>
    <xf numFmtId="0" fontId="11" fillId="0" borderId="3" xfId="0" applyFont="1" applyBorder="1" applyAlignment="1">
      <alignment horizontal="center" vertical="center"/>
    </xf>
    <xf numFmtId="0" fontId="5" fillId="0" borderId="10" xfId="0" applyFont="1" applyBorder="1" applyAlignment="1">
      <alignment horizontal="right" vertical="center"/>
    </xf>
    <xf numFmtId="0" fontId="7" fillId="0" borderId="9" xfId="0" applyFont="1" applyBorder="1" applyAlignment="1">
      <alignment horizontal="center" vertical="center"/>
    </xf>
    <xf numFmtId="0" fontId="7" fillId="0" borderId="3" xfId="0" applyFont="1" applyBorder="1" applyAlignment="1">
      <alignment horizontal="center" vertical="center"/>
    </xf>
    <xf numFmtId="0" fontId="21" fillId="0" borderId="10" xfId="0" applyFont="1" applyBorder="1" applyAlignment="1">
      <alignment horizontal="center" vertical="center"/>
    </xf>
    <xf numFmtId="0" fontId="10" fillId="0" borderId="0" xfId="0" applyFont="1"/>
    <xf numFmtId="0" fontId="13" fillId="0" borderId="0" xfId="0" applyFont="1" applyAlignment="1">
      <alignment wrapText="1"/>
    </xf>
    <xf numFmtId="0" fontId="10" fillId="0" borderId="0" xfId="0" applyFont="1" applyAlignment="1">
      <alignment horizontal="left" vertical="center" wrapText="1"/>
    </xf>
    <xf numFmtId="0" fontId="31" fillId="0" borderId="0" xfId="0" applyFont="1" applyAlignment="1">
      <alignment wrapText="1"/>
    </xf>
    <xf numFmtId="0" fontId="10" fillId="0" borderId="0" xfId="0" applyFont="1" applyAlignment="1">
      <alignment wrapText="1"/>
    </xf>
    <xf numFmtId="0" fontId="13" fillId="0" borderId="0" xfId="0" applyFont="1" applyAlignment="1">
      <alignment vertical="center" wrapText="1"/>
    </xf>
    <xf numFmtId="43" fontId="17" fillId="0" borderId="25" xfId="1" applyFont="1" applyFill="1" applyBorder="1" applyAlignment="1" applyProtection="1">
      <alignment horizontal="center" vertical="center" wrapText="1"/>
    </xf>
    <xf numFmtId="43" fontId="7" fillId="0" borderId="26" xfId="1" applyFont="1" applyFill="1" applyBorder="1" applyAlignment="1" applyProtection="1">
      <alignment horizontal="left" vertical="center"/>
    </xf>
    <xf numFmtId="43" fontId="7" fillId="0" borderId="26" xfId="1" applyFont="1" applyFill="1" applyBorder="1" applyAlignment="1" applyProtection="1"/>
    <xf numFmtId="43" fontId="7" fillId="0" borderId="26" xfId="1" applyFont="1" applyFill="1" applyBorder="1" applyAlignment="1" applyProtection="1">
      <alignment horizontal="right"/>
    </xf>
    <xf numFmtId="43" fontId="7" fillId="0" borderId="26" xfId="1" applyFont="1" applyFill="1" applyBorder="1" applyAlignment="1" applyProtection="1">
      <alignment horizontal="left" vertical="center" wrapText="1"/>
    </xf>
    <xf numFmtId="43" fontId="5" fillId="0" borderId="26" xfId="1" applyFont="1" applyFill="1" applyBorder="1" applyAlignment="1" applyProtection="1">
      <alignment wrapText="1"/>
    </xf>
    <xf numFmtId="43" fontId="7" fillId="0" borderId="26" xfId="1" applyFont="1" applyFill="1" applyBorder="1" applyAlignment="1" applyProtection="1">
      <alignment wrapText="1"/>
    </xf>
    <xf numFmtId="43" fontId="5" fillId="0" borderId="26" xfId="1" applyFont="1" applyFill="1" applyBorder="1" applyAlignment="1" applyProtection="1">
      <alignment horizontal="right"/>
    </xf>
    <xf numFmtId="43" fontId="7" fillId="0" borderId="26" xfId="1" quotePrefix="1" applyFont="1" applyFill="1" applyBorder="1" applyAlignment="1" applyProtection="1"/>
    <xf numFmtId="43" fontId="7" fillId="0" borderId="27" xfId="1" applyFont="1" applyFill="1" applyBorder="1" applyAlignment="1" applyProtection="1">
      <alignment wrapText="1"/>
    </xf>
    <xf numFmtId="43" fontId="13" fillId="0" borderId="0" xfId="1" applyFont="1" applyFill="1" applyBorder="1" applyAlignment="1" applyProtection="1">
      <alignment horizontal="center" wrapText="1"/>
    </xf>
    <xf numFmtId="43" fontId="13" fillId="0" borderId="0" xfId="1" applyFont="1" applyFill="1" applyBorder="1" applyAlignment="1" applyProtection="1">
      <alignment horizontal="left" vertical="center" wrapText="1"/>
    </xf>
    <xf numFmtId="43" fontId="11" fillId="0" borderId="12" xfId="1" applyFont="1" applyFill="1" applyBorder="1" applyAlignment="1" applyProtection="1">
      <alignment horizontal="right" vertical="center"/>
    </xf>
    <xf numFmtId="43" fontId="13" fillId="0" borderId="28" xfId="1" applyFont="1" applyFill="1" applyBorder="1" applyAlignment="1" applyProtection="1"/>
    <xf numFmtId="43" fontId="11" fillId="0" borderId="29" xfId="1" applyFont="1" applyFill="1" applyBorder="1" applyAlignment="1" applyProtection="1"/>
    <xf numFmtId="43" fontId="11" fillId="0" borderId="30" xfId="1" applyFont="1" applyFill="1" applyBorder="1" applyAlignment="1" applyProtection="1"/>
    <xf numFmtId="43" fontId="11" fillId="0" borderId="30" xfId="1" applyFont="1" applyFill="1" applyBorder="1" applyAlignment="1" applyProtection="1">
      <alignment horizontal="left" vertical="center" wrapText="1"/>
    </xf>
    <xf numFmtId="43" fontId="11" fillId="0" borderId="30" xfId="1" applyFont="1" applyFill="1" applyBorder="1" applyAlignment="1" applyProtection="1">
      <alignment horizontal="center"/>
    </xf>
    <xf numFmtId="43" fontId="13" fillId="0" borderId="30" xfId="1" applyFont="1" applyFill="1" applyBorder="1" applyAlignment="1" applyProtection="1">
      <alignment horizontal="right"/>
    </xf>
    <xf numFmtId="43" fontId="13" fillId="0" borderId="30" xfId="1" applyFont="1" applyFill="1" applyBorder="1" applyAlignment="1" applyProtection="1"/>
    <xf numFmtId="43" fontId="11" fillId="0" borderId="30" xfId="1" applyFont="1" applyFill="1" applyBorder="1" applyAlignment="1" applyProtection="1">
      <alignment wrapText="1"/>
    </xf>
    <xf numFmtId="43" fontId="11" fillId="0" borderId="30" xfId="1" applyFont="1" applyFill="1" applyBorder="1" applyAlignment="1" applyProtection="1">
      <alignment horizontal="right"/>
    </xf>
    <xf numFmtId="43" fontId="13" fillId="0" borderId="30" xfId="1" applyFont="1" applyFill="1" applyBorder="1" applyAlignment="1" applyProtection="1">
      <alignment wrapText="1"/>
    </xf>
    <xf numFmtId="43" fontId="11" fillId="0" borderId="25" xfId="1" applyFont="1" applyFill="1" applyBorder="1" applyAlignment="1" applyProtection="1">
      <alignment horizontal="right" vertical="center"/>
    </xf>
    <xf numFmtId="0" fontId="7" fillId="0" borderId="9" xfId="0" applyFont="1" applyBorder="1" applyAlignment="1">
      <alignment horizontal="center"/>
    </xf>
    <xf numFmtId="0" fontId="7" fillId="0" borderId="3" xfId="0" applyFont="1" applyBorder="1" applyAlignment="1">
      <alignment horizontal="center"/>
    </xf>
    <xf numFmtId="10" fontId="7" fillId="0" borderId="3" xfId="4" applyNumberFormat="1" applyFont="1" applyFill="1" applyBorder="1" applyAlignment="1">
      <alignment horizontal="center"/>
    </xf>
    <xf numFmtId="0" fontId="7" fillId="0" borderId="10" xfId="0" applyFont="1" applyBorder="1" applyAlignment="1">
      <alignment horizontal="center"/>
    </xf>
    <xf numFmtId="0" fontId="0" fillId="0" borderId="2" xfId="0" applyBorder="1" applyAlignment="1">
      <alignment vertical="center"/>
    </xf>
    <xf numFmtId="166" fontId="7" fillId="0" borderId="2" xfId="1" applyNumberFormat="1" applyFont="1" applyBorder="1" applyAlignment="1" applyProtection="1">
      <alignment vertical="top"/>
      <protection locked="0"/>
    </xf>
    <xf numFmtId="0" fontId="2" fillId="0" borderId="0" xfId="0" applyFont="1" applyAlignment="1">
      <alignment horizontal="center"/>
    </xf>
    <xf numFmtId="0" fontId="23" fillId="0" borderId="0" xfId="0" applyFont="1"/>
    <xf numFmtId="0" fontId="23" fillId="0" borderId="8" xfId="0" applyFont="1" applyBorder="1"/>
    <xf numFmtId="168" fontId="19" fillId="0" borderId="9" xfId="8" applyNumberFormat="1" applyFont="1" applyBorder="1" applyAlignment="1">
      <alignment horizontal="left" vertical="center"/>
    </xf>
    <xf numFmtId="168" fontId="19" fillId="0" borderId="3" xfId="8" applyNumberFormat="1" applyFont="1" applyBorder="1" applyAlignment="1">
      <alignment horizontal="left" vertical="center"/>
    </xf>
    <xf numFmtId="0" fontId="15" fillId="0" borderId="23" xfId="0" applyFont="1" applyBorder="1" applyAlignment="1">
      <alignment horizontal="center"/>
    </xf>
    <xf numFmtId="0" fontId="15" fillId="0" borderId="6" xfId="0" applyFont="1" applyBorder="1" applyAlignment="1">
      <alignment horizontal="center"/>
    </xf>
    <xf numFmtId="0" fontId="15" fillId="0" borderId="24" xfId="0" applyFont="1" applyBorder="1" applyAlignment="1">
      <alignment horizontal="center"/>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9" fillId="0" borderId="7" xfId="0" applyFont="1" applyBorder="1" applyAlignment="1">
      <alignment horizontal="center" vertical="center"/>
    </xf>
    <xf numFmtId="0" fontId="9" fillId="0" borderId="0" xfId="0" applyFont="1" applyAlignment="1">
      <alignment horizontal="center" vertical="center"/>
    </xf>
    <xf numFmtId="0" fontId="9" fillId="0" borderId="8" xfId="0" applyFont="1" applyBorder="1" applyAlignment="1">
      <alignment horizontal="center" vertical="center"/>
    </xf>
    <xf numFmtId="0" fontId="18"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2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43" fontId="2" fillId="0" borderId="0" xfId="1" applyFont="1" applyBorder="1" applyAlignment="1">
      <alignment horizontal="center"/>
    </xf>
    <xf numFmtId="43" fontId="2" fillId="0" borderId="8" xfId="1" applyFont="1" applyBorder="1" applyAlignment="1">
      <alignment horizontal="center"/>
    </xf>
    <xf numFmtId="0" fontId="37" fillId="0" borderId="23" xfId="0" applyFont="1" applyBorder="1" applyAlignment="1">
      <alignment horizontal="center"/>
    </xf>
    <xf numFmtId="0" fontId="37" fillId="0" borderId="6" xfId="0" applyFont="1" applyBorder="1" applyAlignment="1">
      <alignment horizontal="center"/>
    </xf>
    <xf numFmtId="0" fontId="37" fillId="0" borderId="24" xfId="0" applyFont="1" applyBorder="1" applyAlignment="1">
      <alignment horizontal="center"/>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7" fillId="0" borderId="5"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43" fontId="2" fillId="0" borderId="5" xfId="1" applyFont="1" applyBorder="1" applyAlignment="1">
      <alignment horizontal="center" vertical="center"/>
    </xf>
    <xf numFmtId="43" fontId="2" fillId="0" borderId="12" xfId="1" applyFont="1" applyBorder="1" applyAlignment="1">
      <alignment horizontal="center" vertical="center"/>
    </xf>
    <xf numFmtId="43" fontId="12" fillId="0" borderId="5" xfId="2" applyFont="1" applyFill="1" applyBorder="1" applyAlignment="1">
      <alignment horizontal="center" vertical="center" wrapText="1"/>
    </xf>
    <xf numFmtId="43" fontId="12" fillId="0" borderId="12" xfId="2" applyFont="1" applyFill="1" applyBorder="1" applyAlignment="1">
      <alignment horizontal="center" vertical="center" wrapText="1"/>
    </xf>
    <xf numFmtId="166" fontId="1" fillId="0" borderId="1" xfId="1" applyNumberFormat="1" applyBorder="1" applyAlignment="1" applyProtection="1">
      <alignment horizontal="center" vertical="top"/>
      <protection locked="0"/>
    </xf>
    <xf numFmtId="166" fontId="7" fillId="0" borderId="2" xfId="1" applyNumberFormat="1" applyFont="1" applyBorder="1" applyAlignment="1" applyProtection="1">
      <alignment horizontal="center" vertical="top"/>
      <protection locked="0"/>
    </xf>
    <xf numFmtId="0" fontId="30" fillId="0" borderId="0" xfId="0" applyFont="1" applyAlignment="1">
      <alignment horizontal="center" vertical="center"/>
    </xf>
    <xf numFmtId="0" fontId="4" fillId="0" borderId="2" xfId="0" applyFont="1" applyBorder="1" applyAlignment="1">
      <alignment horizontal="center" vertical="center"/>
    </xf>
    <xf numFmtId="166" fontId="1" fillId="0" borderId="14" xfId="1" applyNumberFormat="1" applyBorder="1" applyAlignment="1" applyProtection="1">
      <alignment horizontal="center" vertical="top"/>
      <protection locked="0"/>
    </xf>
    <xf numFmtId="0" fontId="2" fillId="0" borderId="5" xfId="0" applyFont="1" applyBorder="1" applyAlignment="1">
      <alignment horizontal="center"/>
    </xf>
    <xf numFmtId="0" fontId="2" fillId="0" borderId="12" xfId="0" applyFont="1" applyBorder="1" applyAlignment="1">
      <alignment horizontal="center"/>
    </xf>
    <xf numFmtId="43" fontId="1" fillId="0" borderId="18" xfId="1" applyBorder="1" applyAlignment="1" applyProtection="1">
      <alignment horizontal="center" vertical="center"/>
      <protection locked="0"/>
    </xf>
    <xf numFmtId="43" fontId="1" fillId="0" borderId="16" xfId="1" applyBorder="1" applyAlignment="1" applyProtection="1">
      <alignment horizontal="center" vertical="center"/>
      <protection locked="0"/>
    </xf>
    <xf numFmtId="43" fontId="1" fillId="0" borderId="19" xfId="1" applyBorder="1" applyAlignment="1" applyProtection="1">
      <alignment horizontal="center" vertical="center"/>
      <protection locked="0"/>
    </xf>
    <xf numFmtId="43" fontId="1" fillId="0" borderId="17" xfId="1" applyBorder="1" applyAlignment="1" applyProtection="1">
      <alignment horizontal="center" vertical="center"/>
      <protection locked="0"/>
    </xf>
    <xf numFmtId="0" fontId="26" fillId="0" borderId="0" xfId="0" applyFont="1" applyAlignment="1">
      <alignment horizontal="center" vertical="center"/>
    </xf>
    <xf numFmtId="0" fontId="29" fillId="0" borderId="0" xfId="0" applyFont="1" applyAlignment="1">
      <alignment horizontal="center" vertical="center"/>
    </xf>
    <xf numFmtId="0" fontId="0" fillId="0" borderId="18"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1" fillId="0" borderId="17" xfId="0" applyFont="1" applyBorder="1" applyAlignment="1">
      <alignment horizontal="center"/>
    </xf>
    <xf numFmtId="0" fontId="0" fillId="0" borderId="17" xfId="0" applyBorder="1" applyAlignment="1">
      <alignment horizontal="center"/>
    </xf>
    <xf numFmtId="0" fontId="38" fillId="0" borderId="0" xfId="0" applyFont="1" applyAlignment="1">
      <alignment horizontal="center"/>
    </xf>
    <xf numFmtId="0" fontId="27" fillId="0" borderId="0" xfId="0" applyFont="1" applyAlignment="1">
      <alignment horizontal="center"/>
    </xf>
    <xf numFmtId="0" fontId="2" fillId="0" borderId="5" xfId="0" applyFont="1" applyBorder="1" applyAlignment="1">
      <alignment horizontal="center" vertical="center"/>
    </xf>
    <xf numFmtId="0" fontId="2" fillId="0" borderId="11" xfId="0" applyFont="1" applyBorder="1" applyAlignment="1">
      <alignment horizontal="center" vertical="center"/>
    </xf>
    <xf numFmtId="0" fontId="2" fillId="0" borderId="2" xfId="0" applyFont="1" applyBorder="1" applyAlignment="1">
      <alignment horizontal="center"/>
    </xf>
    <xf numFmtId="0" fontId="14" fillId="0" borderId="0" xfId="0" applyFont="1" applyAlignment="1">
      <alignment horizontal="center"/>
    </xf>
    <xf numFmtId="0" fontId="2" fillId="0" borderId="1" xfId="0" applyFont="1" applyBorder="1" applyAlignment="1">
      <alignment horizontal="center" vertical="center" wrapText="1"/>
    </xf>
    <xf numFmtId="0" fontId="3" fillId="0" borderId="0" xfId="0" applyFont="1" applyAlignment="1">
      <alignment horizontal="center"/>
    </xf>
    <xf numFmtId="0" fontId="4" fillId="0" borderId="1" xfId="0" applyFont="1" applyBorder="1" applyAlignment="1">
      <alignment horizontal="center" vertical="center"/>
    </xf>
    <xf numFmtId="0" fontId="6" fillId="0" borderId="0" xfId="3" applyAlignment="1">
      <alignment horizontal="center"/>
    </xf>
    <xf numFmtId="0" fontId="6" fillId="0" borderId="0" xfId="3"/>
    <xf numFmtId="43" fontId="2" fillId="0" borderId="0" xfId="1" applyFont="1" applyBorder="1" applyAlignment="1">
      <alignment horizontal="center" vertical="center"/>
    </xf>
    <xf numFmtId="0" fontId="0" fillId="0" borderId="0" xfId="0" applyAlignment="1">
      <alignment horizontal="center"/>
    </xf>
    <xf numFmtId="0" fontId="7" fillId="0" borderId="1" xfId="0" applyFont="1" applyBorder="1" applyAlignment="1">
      <alignment horizontal="center"/>
    </xf>
    <xf numFmtId="0" fontId="7" fillId="0" borderId="14" xfId="0" applyFont="1" applyBorder="1" applyAlignment="1">
      <alignment horizontal="center"/>
    </xf>
    <xf numFmtId="43" fontId="7" fillId="0" borderId="1" xfId="1" applyFont="1" applyBorder="1" applyAlignment="1">
      <alignment horizontal="center"/>
    </xf>
    <xf numFmtId="0" fontId="7" fillId="0" borderId="1" xfId="0" applyFont="1" applyBorder="1"/>
    <xf numFmtId="43" fontId="7" fillId="0" borderId="1" xfId="1" applyFont="1" applyBorder="1" applyAlignment="1" applyProtection="1"/>
    <xf numFmtId="43" fontId="7" fillId="0" borderId="14" xfId="1" applyFont="1" applyBorder="1" applyAlignment="1">
      <alignment horizontal="center"/>
    </xf>
    <xf numFmtId="0" fontId="7" fillId="0" borderId="14" xfId="0" applyFont="1" applyBorder="1"/>
    <xf numFmtId="43" fontId="7" fillId="0" borderId="14" xfId="1" applyFont="1" applyBorder="1" applyAlignment="1" applyProtection="1"/>
  </cellXfs>
  <cellStyles count="9">
    <cellStyle name="Comma" xfId="1" builtinId="3"/>
    <cellStyle name="Comma 2" xfId="5" xr:uid="{00000000-0005-0000-0000-000001000000}"/>
    <cellStyle name="Comma 2 2" xfId="7" xr:uid="{00000000-0005-0000-0000-000002000000}"/>
    <cellStyle name="Comma 2 2 2" xfId="2" xr:uid="{00000000-0005-0000-0000-000003000000}"/>
    <cellStyle name="Comma 3" xfId="6" xr:uid="{00000000-0005-0000-0000-000004000000}"/>
    <cellStyle name="Normal" xfId="0" builtinId="0"/>
    <cellStyle name="Normal 2" xfId="3" xr:uid="{00000000-0005-0000-0000-000006000000}"/>
    <cellStyle name="Normal_BSPL 2004 NS" xfId="8" xr:uid="{3DCC5FC9-005F-4EF8-9888-7ABBDCC4C95F}"/>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67"/>
  <sheetViews>
    <sheetView view="pageBreakPreview" topLeftCell="A8" zoomScaleNormal="90" zoomScaleSheetLayoutView="100" workbookViewId="0">
      <selection activeCell="G22" sqref="G22"/>
    </sheetView>
  </sheetViews>
  <sheetFormatPr defaultColWidth="9" defaultRowHeight="15.6"/>
  <cols>
    <col min="1" max="1" width="15.77734375" style="130" customWidth="1"/>
    <col min="2" max="2" width="38.21875" style="128" customWidth="1"/>
    <col min="3" max="5" width="15.77734375" style="130" customWidth="1"/>
    <col min="6" max="6" width="36.88671875" style="128" customWidth="1"/>
    <col min="7" max="8" width="15.77734375" style="130" customWidth="1"/>
    <col min="9" max="9" width="14.33203125" style="128" bestFit="1" customWidth="1"/>
    <col min="10" max="10" width="10.109375" style="128" bestFit="1" customWidth="1"/>
    <col min="11" max="11" width="11.33203125" style="128" bestFit="1" customWidth="1"/>
    <col min="12" max="255" width="9.109375" style="128" customWidth="1"/>
    <col min="256" max="16384" width="9" style="182"/>
  </cols>
  <sheetData>
    <row r="1" spans="1:9" ht="21">
      <c r="A1" s="299" t="s">
        <v>298</v>
      </c>
      <c r="B1" s="300"/>
      <c r="C1" s="300"/>
      <c r="D1" s="300"/>
      <c r="E1" s="300"/>
      <c r="F1" s="300"/>
      <c r="G1" s="300"/>
      <c r="H1" s="301"/>
    </row>
    <row r="2" spans="1:9">
      <c r="A2" s="302" t="s">
        <v>323</v>
      </c>
      <c r="B2" s="303"/>
      <c r="C2" s="303"/>
      <c r="D2" s="303"/>
      <c r="E2" s="303"/>
      <c r="F2" s="303"/>
      <c r="G2" s="303"/>
      <c r="H2" s="304"/>
    </row>
    <row r="3" spans="1:9" ht="22.05" customHeight="1">
      <c r="A3" s="305" t="s">
        <v>391</v>
      </c>
      <c r="B3" s="306"/>
      <c r="C3" s="306"/>
      <c r="D3" s="306"/>
      <c r="E3" s="306"/>
      <c r="F3" s="306"/>
      <c r="G3" s="306"/>
      <c r="H3" s="307"/>
    </row>
    <row r="4" spans="1:9" ht="13.95" customHeight="1">
      <c r="A4" s="252"/>
      <c r="B4" s="253"/>
      <c r="C4" s="253"/>
      <c r="D4" s="253"/>
      <c r="E4" s="253"/>
      <c r="F4" s="253"/>
      <c r="G4" s="253"/>
      <c r="H4" s="254" t="s">
        <v>299</v>
      </c>
    </row>
    <row r="5" spans="1:9" s="183" customFormat="1" ht="31.8" thickBot="1">
      <c r="A5" s="84" t="s">
        <v>333</v>
      </c>
      <c r="B5" s="308" t="s">
        <v>300</v>
      </c>
      <c r="C5" s="309"/>
      <c r="D5" s="264" t="s">
        <v>334</v>
      </c>
      <c r="E5" s="85" t="str">
        <f>A5</f>
        <v>Previous Year 2024-25</v>
      </c>
      <c r="F5" s="310" t="s">
        <v>301</v>
      </c>
      <c r="G5" s="311"/>
      <c r="H5" s="84" t="str">
        <f>D5</f>
        <v>Current Year 2025-26</v>
      </c>
    </row>
    <row r="6" spans="1:9" ht="16.2" thickTop="1">
      <c r="A6" s="184"/>
      <c r="B6" s="258" t="s">
        <v>230</v>
      </c>
      <c r="C6" s="180"/>
      <c r="D6" s="277"/>
      <c r="E6" s="192"/>
      <c r="F6" s="185" t="s">
        <v>319</v>
      </c>
      <c r="G6" s="186"/>
      <c r="H6" s="187"/>
    </row>
    <row r="7" spans="1:9" ht="16.2" thickBot="1">
      <c r="A7" s="188">
        <v>100000</v>
      </c>
      <c r="B7" s="128" t="s">
        <v>231</v>
      </c>
      <c r="C7" s="180"/>
      <c r="D7" s="278">
        <v>100000</v>
      </c>
      <c r="E7" s="195">
        <v>6030</v>
      </c>
      <c r="F7" s="204" t="s">
        <v>262</v>
      </c>
      <c r="G7" s="166">
        <v>2850</v>
      </c>
      <c r="H7" s="187"/>
    </row>
    <row r="8" spans="1:9" ht="16.95" customHeight="1" thickTop="1">
      <c r="A8" s="190"/>
      <c r="C8" s="180"/>
      <c r="D8" s="279"/>
      <c r="E8" s="195">
        <v>21412</v>
      </c>
      <c r="F8" s="204" t="s">
        <v>263</v>
      </c>
      <c r="G8" s="167">
        <v>21412</v>
      </c>
      <c r="H8" s="191"/>
      <c r="I8" s="128" t="s">
        <v>439</v>
      </c>
    </row>
    <row r="9" spans="1:9">
      <c r="A9" s="184"/>
      <c r="B9" s="258" t="s">
        <v>318</v>
      </c>
      <c r="C9" s="192"/>
      <c r="D9" s="280"/>
      <c r="E9" s="195">
        <v>241182.94</v>
      </c>
      <c r="F9" s="189" t="s">
        <v>264</v>
      </c>
      <c r="G9" s="168">
        <f>BRS!D6</f>
        <v>112753.34</v>
      </c>
      <c r="H9" s="193">
        <f>SUM(G7:G9)</f>
        <v>137015.34</v>
      </c>
    </row>
    <row r="10" spans="1:9">
      <c r="A10" s="194">
        <v>9000</v>
      </c>
      <c r="B10" s="128" t="s">
        <v>233</v>
      </c>
      <c r="C10" s="195"/>
      <c r="D10" s="281">
        <v>9000</v>
      </c>
      <c r="E10" s="195"/>
      <c r="F10" s="189"/>
      <c r="G10" s="196"/>
      <c r="H10" s="197"/>
    </row>
    <row r="11" spans="1:9">
      <c r="A11" s="198"/>
      <c r="B11" s="259"/>
      <c r="C11" s="199"/>
      <c r="D11" s="282"/>
      <c r="E11" s="180"/>
      <c r="F11" s="185" t="s">
        <v>320</v>
      </c>
      <c r="G11" s="167"/>
      <c r="H11" s="202"/>
    </row>
    <row r="12" spans="1:9">
      <c r="A12" s="198"/>
      <c r="B12" s="258" t="s">
        <v>324</v>
      </c>
      <c r="C12" s="192"/>
      <c r="D12" s="280"/>
      <c r="E12" s="274">
        <v>1857802</v>
      </c>
      <c r="F12" s="203" t="s">
        <v>266</v>
      </c>
      <c r="G12" s="167">
        <f>'Sch I FD'!C44</f>
        <v>1887491</v>
      </c>
      <c r="H12" s="202"/>
    </row>
    <row r="13" spans="1:9">
      <c r="A13" s="198"/>
      <c r="B13" s="258" t="s">
        <v>309</v>
      </c>
      <c r="C13" s="180"/>
      <c r="D13" s="283"/>
      <c r="E13" s="274">
        <v>34561</v>
      </c>
      <c r="F13" s="204" t="s">
        <v>267</v>
      </c>
      <c r="G13" s="168">
        <f>'Sch I FD'!F45</f>
        <v>91548</v>
      </c>
      <c r="H13" s="202">
        <f>SUM(G12:G13)</f>
        <v>1979039</v>
      </c>
    </row>
    <row r="14" spans="1:9">
      <c r="A14" s="194">
        <v>368126.46</v>
      </c>
      <c r="B14" s="128" t="s">
        <v>308</v>
      </c>
      <c r="C14" s="180">
        <f>SUM(A14:A17)</f>
        <v>139617.46000000002</v>
      </c>
      <c r="D14" s="279"/>
      <c r="E14" s="274"/>
      <c r="F14" s="204"/>
      <c r="G14" s="167"/>
      <c r="H14" s="202"/>
    </row>
    <row r="15" spans="1:9">
      <c r="A15" s="194">
        <v>14761</v>
      </c>
      <c r="B15" s="259" t="s">
        <v>239</v>
      </c>
      <c r="C15" s="180">
        <f>-'IE '!G22</f>
        <v>15952</v>
      </c>
      <c r="D15" s="279"/>
      <c r="E15" s="180"/>
      <c r="F15" s="185" t="s">
        <v>268</v>
      </c>
      <c r="G15" s="167"/>
      <c r="H15" s="193"/>
    </row>
    <row r="16" spans="1:9">
      <c r="A16" s="194">
        <v>-252270</v>
      </c>
      <c r="B16" s="259" t="s">
        <v>386</v>
      </c>
      <c r="C16" s="180">
        <f>'Sch Receivable &amp; Payable'!F49</f>
        <v>0</v>
      </c>
      <c r="D16" s="279"/>
      <c r="E16" s="180">
        <v>11638.87</v>
      </c>
      <c r="F16" s="204" t="s">
        <v>269</v>
      </c>
      <c r="G16" s="167"/>
      <c r="H16" s="193">
        <f>11167.72+471.15</f>
        <v>11638.869999999999</v>
      </c>
      <c r="I16" s="126"/>
    </row>
    <row r="17" spans="1:10">
      <c r="A17" s="194">
        <f>'IE '!A32</f>
        <v>9000</v>
      </c>
      <c r="B17" s="259" t="s">
        <v>240</v>
      </c>
      <c r="C17" s="181">
        <f>'IE '!C32</f>
        <v>0</v>
      </c>
      <c r="D17" s="279">
        <f>SUM(C14:C17)</f>
        <v>155569.46000000002</v>
      </c>
      <c r="E17" s="199"/>
      <c r="F17" s="204"/>
      <c r="G17" s="196"/>
      <c r="H17" s="196"/>
    </row>
    <row r="18" spans="1:10" ht="17.25" customHeight="1">
      <c r="A18" s="194"/>
      <c r="C18" s="180"/>
      <c r="D18" s="283"/>
      <c r="E18" s="199"/>
      <c r="F18" s="205" t="s">
        <v>270</v>
      </c>
      <c r="G18" s="167"/>
      <c r="H18" s="191"/>
    </row>
    <row r="19" spans="1:10" ht="18" customHeight="1">
      <c r="A19" s="198"/>
      <c r="B19" s="258" t="s">
        <v>310</v>
      </c>
      <c r="C19" s="180"/>
      <c r="D19" s="283"/>
      <c r="E19" s="199">
        <v>10700.66</v>
      </c>
      <c r="F19" s="189" t="s">
        <v>271</v>
      </c>
      <c r="G19" s="167">
        <v>10700.66</v>
      </c>
      <c r="H19" s="193"/>
    </row>
    <row r="20" spans="1:10">
      <c r="A20" s="194">
        <v>292715</v>
      </c>
      <c r="B20" s="128" t="s">
        <v>308</v>
      </c>
      <c r="C20" s="180">
        <f>SUM(A20:A22)</f>
        <v>340852</v>
      </c>
      <c r="D20" s="279"/>
      <c r="E20" s="199">
        <v>45566</v>
      </c>
      <c r="F20" s="189" t="s">
        <v>272</v>
      </c>
      <c r="G20" s="167">
        <v>58986</v>
      </c>
      <c r="H20" s="193"/>
      <c r="I20" s="126"/>
      <c r="J20" s="127"/>
    </row>
    <row r="21" spans="1:10" ht="16.5" customHeight="1">
      <c r="A21" s="194">
        <v>29808</v>
      </c>
      <c r="B21" s="259" t="s">
        <v>242</v>
      </c>
      <c r="C21" s="180">
        <v>29808</v>
      </c>
      <c r="D21" s="279"/>
      <c r="E21" s="199">
        <v>232381</v>
      </c>
      <c r="F21" s="189" t="s">
        <v>273</v>
      </c>
      <c r="G21" s="167">
        <f>'Sch Receivable &amp; Payable'!F11</f>
        <v>86394</v>
      </c>
      <c r="H21" s="193"/>
    </row>
    <row r="22" spans="1:10">
      <c r="A22" s="194">
        <v>18329</v>
      </c>
      <c r="B22" s="259" t="s">
        <v>239</v>
      </c>
      <c r="C22" s="181">
        <f>-'IE '!G25</f>
        <v>18704</v>
      </c>
      <c r="D22" s="279">
        <f>SUM(C20:C22)</f>
        <v>389364</v>
      </c>
      <c r="E22" s="199">
        <v>86303</v>
      </c>
      <c r="F22" s="204" t="s">
        <v>331</v>
      </c>
      <c r="G22" s="181">
        <f>'Sch Receivable &amp; Payable'!F33</f>
        <v>85500</v>
      </c>
      <c r="H22" s="202">
        <f>SUM(G19:G22)</f>
        <v>241580.66</v>
      </c>
    </row>
    <row r="23" spans="1:10">
      <c r="A23" s="198"/>
      <c r="B23" s="258" t="s">
        <v>311</v>
      </c>
      <c r="C23" s="180"/>
      <c r="D23" s="279"/>
      <c r="E23" s="199"/>
      <c r="F23" s="204"/>
      <c r="G23" s="196"/>
      <c r="H23" s="196"/>
    </row>
    <row r="24" spans="1:10">
      <c r="A24" s="194">
        <v>1159188</v>
      </c>
      <c r="B24" s="128" t="s">
        <v>308</v>
      </c>
      <c r="C24" s="180">
        <f>SUM(A24:A27)</f>
        <v>593562</v>
      </c>
      <c r="D24" s="283"/>
      <c r="E24" s="275"/>
      <c r="F24" s="185" t="s">
        <v>274</v>
      </c>
      <c r="G24" s="167"/>
      <c r="H24" s="191"/>
    </row>
    <row r="25" spans="1:10">
      <c r="A25" s="194">
        <v>89640</v>
      </c>
      <c r="B25" s="259" t="s">
        <v>244</v>
      </c>
      <c r="C25" s="180">
        <v>89640</v>
      </c>
      <c r="D25" s="279"/>
      <c r="E25" s="195">
        <v>17867759.5</v>
      </c>
      <c r="F25" s="203" t="s">
        <v>275</v>
      </c>
      <c r="G25" s="167"/>
      <c r="H25" s="197">
        <f>'Sch IV Fixed Assets'!H16</f>
        <v>17858257</v>
      </c>
    </row>
    <row r="26" spans="1:10">
      <c r="A26" s="194">
        <v>-698000</v>
      </c>
      <c r="B26" s="259" t="s">
        <v>386</v>
      </c>
      <c r="C26" s="180">
        <f>'Sch Receivable &amp; Payable'!F47</f>
        <v>0</v>
      </c>
      <c r="D26" s="279"/>
      <c r="E26" s="199"/>
      <c r="F26" s="204"/>
      <c r="G26" s="196"/>
      <c r="H26" s="196"/>
    </row>
    <row r="27" spans="1:10">
      <c r="A27" s="194">
        <v>42734</v>
      </c>
      <c r="B27" s="259" t="s">
        <v>385</v>
      </c>
      <c r="C27" s="181">
        <f>-'IE '!G23</f>
        <v>40276</v>
      </c>
      <c r="D27" s="279">
        <f>SUM(C24:C27)</f>
        <v>723478</v>
      </c>
      <c r="E27" s="199"/>
      <c r="F27" s="185" t="s">
        <v>321</v>
      </c>
      <c r="G27" s="196"/>
      <c r="H27" s="196"/>
    </row>
    <row r="28" spans="1:10">
      <c r="A28" s="200"/>
      <c r="B28" s="258" t="s">
        <v>312</v>
      </c>
      <c r="C28" s="180"/>
      <c r="D28" s="284"/>
      <c r="E28" s="199"/>
      <c r="F28" s="205" t="s">
        <v>276</v>
      </c>
      <c r="G28" s="196"/>
      <c r="H28" s="196"/>
    </row>
    <row r="29" spans="1:10">
      <c r="A29" s="194">
        <v>922861.52</v>
      </c>
      <c r="B29" s="128" t="s">
        <v>308</v>
      </c>
      <c r="C29" s="180">
        <f>SUM(A29:A31)</f>
        <v>783825.52</v>
      </c>
      <c r="D29" s="279"/>
      <c r="E29" s="180">
        <v>3333</v>
      </c>
      <c r="F29" s="204" t="s">
        <v>305</v>
      </c>
      <c r="G29" s="196">
        <v>3333</v>
      </c>
      <c r="H29" s="202"/>
    </row>
    <row r="30" spans="1:10">
      <c r="A30" s="194">
        <v>46814</v>
      </c>
      <c r="B30" s="259" t="s">
        <v>239</v>
      </c>
      <c r="C30" s="180">
        <f>-'IE '!G24</f>
        <v>57142</v>
      </c>
      <c r="D30" s="279"/>
      <c r="E30" s="199">
        <v>6833</v>
      </c>
      <c r="F30" s="189" t="s">
        <v>306</v>
      </c>
      <c r="G30" s="181">
        <v>0</v>
      </c>
      <c r="H30" s="202">
        <f>SUM(G29:G30)</f>
        <v>3333</v>
      </c>
    </row>
    <row r="31" spans="1:10">
      <c r="A31" s="194">
        <v>-185850</v>
      </c>
      <c r="B31" s="259" t="s">
        <v>386</v>
      </c>
      <c r="C31" s="181">
        <f>'Sch Receivable &amp; Payable'!F48</f>
        <v>0</v>
      </c>
      <c r="D31" s="279">
        <f>SUM(C29:C31)</f>
        <v>840967.52</v>
      </c>
      <c r="E31" s="199"/>
      <c r="F31" s="206"/>
      <c r="G31" s="196"/>
      <c r="H31" s="196"/>
    </row>
    <row r="32" spans="1:10">
      <c r="A32" s="194"/>
      <c r="B32" s="258" t="s">
        <v>313</v>
      </c>
      <c r="C32" s="180"/>
      <c r="D32" s="283"/>
      <c r="E32" s="199"/>
      <c r="F32" s="206"/>
      <c r="G32" s="196"/>
      <c r="H32" s="196"/>
    </row>
    <row r="33" spans="1:8">
      <c r="A33" s="194">
        <v>20777</v>
      </c>
      <c r="B33" s="128" t="s">
        <v>308</v>
      </c>
      <c r="C33" s="180">
        <f>SUM(A33:A36)</f>
        <v>23963</v>
      </c>
      <c r="D33" s="279"/>
      <c r="E33" s="199"/>
      <c r="F33" s="206"/>
      <c r="G33" s="196"/>
      <c r="H33" s="196"/>
    </row>
    <row r="34" spans="1:8">
      <c r="A34" s="194">
        <v>2160</v>
      </c>
      <c r="B34" s="128" t="s">
        <v>248</v>
      </c>
      <c r="C34" s="180">
        <v>2160</v>
      </c>
      <c r="D34" s="279"/>
      <c r="E34" s="180"/>
      <c r="F34" s="189"/>
      <c r="G34" s="196"/>
      <c r="H34" s="196"/>
    </row>
    <row r="35" spans="1:8">
      <c r="A35" s="194">
        <v>0</v>
      </c>
      <c r="B35" s="128" t="s">
        <v>407</v>
      </c>
      <c r="C35" s="180">
        <v>-1770</v>
      </c>
      <c r="D35" s="279"/>
      <c r="E35" s="180"/>
      <c r="F35" s="189"/>
      <c r="G35" s="196"/>
      <c r="H35" s="196"/>
    </row>
    <row r="36" spans="1:8">
      <c r="A36" s="194">
        <v>1026</v>
      </c>
      <c r="B36" s="128" t="s">
        <v>302</v>
      </c>
      <c r="C36" s="181">
        <f>-'IE '!G26</f>
        <v>1409</v>
      </c>
      <c r="D36" s="279">
        <f>SUM(C33:C36)</f>
        <v>25762</v>
      </c>
      <c r="E36" s="180"/>
      <c r="F36" s="189"/>
      <c r="G36" s="196"/>
      <c r="H36" s="196"/>
    </row>
    <row r="37" spans="1:8" ht="7.95" customHeight="1">
      <c r="A37" s="194"/>
      <c r="C37" s="180"/>
      <c r="D37" s="283"/>
      <c r="E37" s="180"/>
      <c r="F37" s="189"/>
      <c r="G37" s="196"/>
      <c r="H37" s="196"/>
    </row>
    <row r="38" spans="1:8">
      <c r="A38" s="194"/>
      <c r="B38" s="260" t="s">
        <v>249</v>
      </c>
      <c r="C38" s="180"/>
      <c r="D38" s="279"/>
      <c r="E38" s="180"/>
      <c r="F38" s="189"/>
      <c r="G38" s="196"/>
      <c r="H38" s="196"/>
    </row>
    <row r="39" spans="1:8">
      <c r="A39" s="200">
        <v>17803000</v>
      </c>
      <c r="B39" s="259" t="s">
        <v>250</v>
      </c>
      <c r="C39" s="195"/>
      <c r="D39" s="285">
        <v>17803000</v>
      </c>
      <c r="E39" s="195"/>
      <c r="F39" s="189"/>
      <c r="G39" s="196"/>
      <c r="H39" s="196"/>
    </row>
    <row r="40" spans="1:8" ht="7.95" customHeight="1">
      <c r="A40" s="198"/>
      <c r="B40" s="258"/>
      <c r="C40" s="180"/>
      <c r="D40" s="279"/>
      <c r="E40" s="195"/>
      <c r="F40" s="189"/>
      <c r="G40" s="196"/>
      <c r="H40" s="196"/>
    </row>
    <row r="41" spans="1:8">
      <c r="A41" s="200"/>
      <c r="B41" s="258" t="s">
        <v>251</v>
      </c>
      <c r="C41" s="180"/>
      <c r="D41" s="279"/>
      <c r="E41" s="195"/>
      <c r="F41" s="189"/>
      <c r="G41" s="196"/>
      <c r="H41" s="196"/>
    </row>
    <row r="42" spans="1:8">
      <c r="A42" s="194">
        <v>9748</v>
      </c>
      <c r="B42" s="259" t="s">
        <v>252</v>
      </c>
      <c r="C42" s="180">
        <f>'Sch Receivable &amp; Payable'!F18</f>
        <v>1021</v>
      </c>
      <c r="D42" s="279"/>
      <c r="E42" s="195"/>
      <c r="F42" s="189"/>
      <c r="G42" s="196"/>
      <c r="H42" s="196"/>
    </row>
    <row r="43" spans="1:8">
      <c r="A43" s="194">
        <v>455855</v>
      </c>
      <c r="B43" s="261" t="s">
        <v>317</v>
      </c>
      <c r="C43" s="181">
        <f>'Sch Receivable &amp; Payable'!F26</f>
        <v>108929</v>
      </c>
      <c r="D43" s="279">
        <f>SUM(C42:C43)</f>
        <v>109950</v>
      </c>
      <c r="E43" s="195"/>
      <c r="F43" s="189"/>
      <c r="G43" s="196"/>
      <c r="H43" s="196"/>
    </row>
    <row r="44" spans="1:8" ht="18" customHeight="1">
      <c r="A44" s="184"/>
      <c r="B44" s="258" t="s">
        <v>303</v>
      </c>
      <c r="C44" s="180"/>
      <c r="D44" s="279"/>
      <c r="E44" s="195"/>
      <c r="F44" s="189"/>
      <c r="G44" s="167"/>
      <c r="H44" s="193"/>
    </row>
    <row r="45" spans="1:8">
      <c r="A45" s="207">
        <v>0</v>
      </c>
      <c r="B45" s="204" t="s">
        <v>254</v>
      </c>
      <c r="C45" s="180">
        <v>11080</v>
      </c>
      <c r="D45" s="279"/>
      <c r="E45" s="195"/>
      <c r="F45" s="189"/>
      <c r="G45" s="167"/>
      <c r="H45" s="193"/>
    </row>
    <row r="46" spans="1:8">
      <c r="A46" s="207">
        <v>14900</v>
      </c>
      <c r="B46" s="204" t="s">
        <v>295</v>
      </c>
      <c r="C46" s="180">
        <f>14900+13420</f>
        <v>28320</v>
      </c>
      <c r="D46" s="279"/>
      <c r="E46" s="195"/>
      <c r="F46" s="189"/>
      <c r="G46" s="167"/>
      <c r="H46" s="193"/>
    </row>
    <row r="47" spans="1:8">
      <c r="A47" s="207">
        <v>5000</v>
      </c>
      <c r="B47" s="204" t="s">
        <v>255</v>
      </c>
      <c r="C47" s="180">
        <v>5000</v>
      </c>
      <c r="D47" s="279"/>
      <c r="E47" s="195"/>
      <c r="F47" s="189"/>
      <c r="G47" s="167"/>
      <c r="H47" s="193"/>
    </row>
    <row r="48" spans="1:8">
      <c r="A48" s="201">
        <v>4764</v>
      </c>
      <c r="B48" s="204" t="s">
        <v>256</v>
      </c>
      <c r="C48" s="181">
        <v>5909</v>
      </c>
      <c r="D48" s="279">
        <f>SUM(C45:C48)</f>
        <v>50309</v>
      </c>
      <c r="E48" s="195"/>
      <c r="F48" s="204"/>
      <c r="G48" s="167"/>
      <c r="H48" s="196"/>
    </row>
    <row r="49" spans="1:11" ht="7.95" customHeight="1">
      <c r="A49" s="194"/>
      <c r="C49" s="180"/>
      <c r="D49" s="279"/>
      <c r="E49" s="180"/>
      <c r="F49" s="189"/>
      <c r="G49" s="167"/>
      <c r="H49" s="197"/>
    </row>
    <row r="50" spans="1:11">
      <c r="A50" s="198"/>
      <c r="B50" s="262" t="s">
        <v>257</v>
      </c>
      <c r="C50" s="195"/>
      <c r="D50" s="286"/>
      <c r="E50" s="180"/>
      <c r="F50" s="185"/>
      <c r="G50" s="196"/>
      <c r="H50" s="187"/>
    </row>
    <row r="51" spans="1:11">
      <c r="A51" s="200">
        <v>214709.25</v>
      </c>
      <c r="B51" s="128" t="s">
        <v>258</v>
      </c>
      <c r="C51" s="195">
        <f>SUM(A51:A53)</f>
        <v>241415.99</v>
      </c>
      <c r="D51" s="286"/>
      <c r="E51" s="199"/>
      <c r="F51" s="204"/>
      <c r="G51" s="196"/>
      <c r="H51" s="196"/>
    </row>
    <row r="52" spans="1:11">
      <c r="A52" s="200">
        <v>-295</v>
      </c>
      <c r="B52" s="128" t="s">
        <v>387</v>
      </c>
      <c r="C52" s="195">
        <v>0</v>
      </c>
      <c r="D52" s="286"/>
      <c r="E52" s="199"/>
      <c r="F52" s="204"/>
      <c r="G52" s="196"/>
      <c r="H52" s="196"/>
    </row>
    <row r="53" spans="1:11">
      <c r="A53" s="208">
        <f>'IE '!A33</f>
        <v>27001.739999999991</v>
      </c>
      <c r="B53" s="263" t="s">
        <v>328</v>
      </c>
      <c r="C53" s="209">
        <f>-'IE '!H33</f>
        <v>-117952.10000000009</v>
      </c>
      <c r="D53" s="284">
        <f>SUM(C51:C53)</f>
        <v>123463.8899999999</v>
      </c>
      <c r="E53" s="199"/>
      <c r="F53" s="204"/>
      <c r="G53" s="196"/>
      <c r="H53" s="196"/>
    </row>
    <row r="54" spans="1:11" ht="16.2" thickBot="1">
      <c r="A54" s="211">
        <f>SUM(A10:A53)</f>
        <v>20425502.969999999</v>
      </c>
      <c r="B54" s="312" t="s">
        <v>49</v>
      </c>
      <c r="C54" s="313"/>
      <c r="D54" s="287">
        <f>SUM(D9:D53)</f>
        <v>20230863.870000001</v>
      </c>
      <c r="E54" s="276">
        <f>SUM(E7:E53)</f>
        <v>20425502.969999999</v>
      </c>
      <c r="F54" s="312" t="s">
        <v>49</v>
      </c>
      <c r="G54" s="313"/>
      <c r="H54" s="211">
        <f>SUM(H6:H53)</f>
        <v>20230863.870000001</v>
      </c>
    </row>
    <row r="55" spans="1:11" ht="7.95" customHeight="1" thickTop="1">
      <c r="A55" s="232"/>
      <c r="B55" s="245"/>
      <c r="C55" s="245"/>
      <c r="D55" s="246"/>
      <c r="E55" s="245"/>
      <c r="F55" s="245"/>
      <c r="G55" s="245"/>
      <c r="H55" s="233"/>
    </row>
    <row r="56" spans="1:11">
      <c r="A56" s="232" t="s">
        <v>454</v>
      </c>
      <c r="B56" s="245"/>
      <c r="C56" s="245"/>
      <c r="D56" s="245"/>
      <c r="E56"/>
      <c r="F56"/>
      <c r="G56"/>
      <c r="H56" s="234"/>
    </row>
    <row r="57" spans="1:11" ht="17.399999999999999">
      <c r="A57" s="232"/>
      <c r="B57" s="245"/>
      <c r="C57" s="245"/>
      <c r="D57" s="246"/>
      <c r="E57" s="247" t="s">
        <v>307</v>
      </c>
      <c r="F57" s="247"/>
      <c r="G57" s="247"/>
      <c r="H57" s="248"/>
      <c r="I57" s="210"/>
    </row>
    <row r="58" spans="1:11" ht="17.399999999999999">
      <c r="A58" s="232"/>
      <c r="B58" s="245"/>
      <c r="C58" s="245"/>
      <c r="D58" s="246"/>
      <c r="E58" s="249"/>
      <c r="F58" s="247"/>
      <c r="G58" s="247"/>
      <c r="H58" s="248"/>
      <c r="I58" s="212"/>
    </row>
    <row r="59" spans="1:11" customFormat="1" ht="15.9" customHeight="1">
      <c r="A59" s="232"/>
      <c r="B59" s="245"/>
      <c r="C59" s="245"/>
      <c r="D59" s="246"/>
      <c r="E59" s="247"/>
      <c r="F59" s="247"/>
      <c r="G59" s="247"/>
      <c r="H59" s="250"/>
      <c r="I59" s="218"/>
      <c r="K59" s="235"/>
    </row>
    <row r="60" spans="1:11" customFormat="1" ht="15.9" customHeight="1">
      <c r="A60" s="237" t="s">
        <v>455</v>
      </c>
      <c r="B60" s="245"/>
      <c r="C60" s="245"/>
      <c r="D60" s="246"/>
      <c r="E60" s="247"/>
      <c r="F60" s="247"/>
      <c r="G60" s="247"/>
      <c r="H60" s="251"/>
      <c r="I60" s="218"/>
    </row>
    <row r="61" spans="1:11" customFormat="1" ht="15.9" customHeight="1">
      <c r="A61" s="232" t="s">
        <v>456</v>
      </c>
      <c r="B61" s="245"/>
      <c r="C61" s="245"/>
      <c r="D61" s="246"/>
      <c r="E61" s="295"/>
      <c r="F61" s="295"/>
      <c r="G61" s="295"/>
      <c r="H61" s="296"/>
      <c r="I61" s="218"/>
    </row>
    <row r="62" spans="1:11" customFormat="1" ht="15.9" customHeight="1">
      <c r="A62" s="232" t="s">
        <v>457</v>
      </c>
      <c r="B62" s="245"/>
      <c r="C62" s="245"/>
      <c r="D62" s="246"/>
      <c r="E62" s="295" t="s">
        <v>304</v>
      </c>
      <c r="F62" s="295"/>
      <c r="G62" s="295"/>
      <c r="H62" s="296"/>
      <c r="I62" s="218"/>
    </row>
    <row r="63" spans="1:11" customFormat="1" ht="15.9" customHeight="1">
      <c r="A63" s="297">
        <v>46277</v>
      </c>
      <c r="B63" s="298"/>
      <c r="C63" s="298"/>
      <c r="D63" s="241"/>
      <c r="E63" s="242"/>
      <c r="F63" s="242"/>
      <c r="G63" s="242"/>
      <c r="H63" s="243"/>
      <c r="I63" s="218"/>
      <c r="K63" s="236"/>
    </row>
    <row r="64" spans="1:11" customFormat="1" ht="15.9" customHeight="1">
      <c r="A64" s="130"/>
      <c r="B64" s="128"/>
      <c r="C64" s="130"/>
      <c r="D64" s="130"/>
      <c r="E64" s="130"/>
      <c r="F64" s="128"/>
      <c r="G64" s="130"/>
      <c r="H64" s="130"/>
      <c r="I64" s="218"/>
      <c r="K64" s="238"/>
    </row>
    <row r="65" spans="1:13" customFormat="1" ht="15.9" customHeight="1">
      <c r="A65" s="130"/>
      <c r="B65" s="128"/>
      <c r="C65" s="130"/>
      <c r="D65" s="130"/>
      <c r="E65" s="130"/>
      <c r="F65" s="128"/>
      <c r="G65" s="130"/>
      <c r="H65" s="130"/>
      <c r="I65" s="239"/>
      <c r="K65" s="238"/>
      <c r="L65" s="240"/>
      <c r="M65" s="240"/>
    </row>
    <row r="66" spans="1:13" customFormat="1" ht="15.9" customHeight="1">
      <c r="A66" s="130"/>
      <c r="B66" s="128"/>
      <c r="C66" s="130"/>
      <c r="D66" s="130"/>
      <c r="E66" s="130"/>
      <c r="F66" s="128"/>
      <c r="G66" s="130"/>
      <c r="H66" s="130"/>
      <c r="I66" s="218">
        <f>D54-H54</f>
        <v>0</v>
      </c>
      <c r="K66" s="235"/>
    </row>
    <row r="67" spans="1:13" s="244" customFormat="1" ht="15.9" customHeight="1">
      <c r="A67" s="130"/>
      <c r="B67" s="128"/>
      <c r="C67" s="130"/>
      <c r="D67" s="130"/>
      <c r="E67" s="130"/>
      <c r="F67" s="128"/>
      <c r="G67" s="130"/>
      <c r="H67" s="130"/>
      <c r="I67" s="244">
        <f>A54-E54</f>
        <v>0</v>
      </c>
    </row>
  </sheetData>
  <mergeCells count="10">
    <mergeCell ref="E62:H62"/>
    <mergeCell ref="A63:C63"/>
    <mergeCell ref="E61:H61"/>
    <mergeCell ref="A1:H1"/>
    <mergeCell ref="A2:H2"/>
    <mergeCell ref="A3:H3"/>
    <mergeCell ref="B5:C5"/>
    <mergeCell ref="F5:G5"/>
    <mergeCell ref="B54:C54"/>
    <mergeCell ref="F54:G54"/>
  </mergeCells>
  <printOptions horizontalCentered="1"/>
  <pageMargins left="0.31496062992125984" right="0.31496062992125984" top="0.39370078740157483" bottom="0.19685039370078741" header="0.31496062992125984" footer="0.31496062992125984"/>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47"/>
  <sheetViews>
    <sheetView view="pageBreakPreview" topLeftCell="A11" zoomScaleNormal="100" zoomScaleSheetLayoutView="100" workbookViewId="0">
      <selection activeCell="C29" sqref="C29"/>
    </sheetView>
  </sheetViews>
  <sheetFormatPr defaultColWidth="9" defaultRowHeight="14.4"/>
  <cols>
    <col min="1" max="1" width="14.77734375" style="129" customWidth="1"/>
    <col min="2" max="2" width="35.33203125" style="83" customWidth="1"/>
    <col min="3" max="5" width="14.77734375" style="129" customWidth="1"/>
    <col min="6" max="6" width="32.109375" style="83" bestFit="1" customWidth="1"/>
    <col min="7" max="7" width="14.77734375" style="129" customWidth="1"/>
    <col min="8" max="8" width="14.77734375" style="83" customWidth="1"/>
    <col min="9" max="9" width="5.109375" style="83" bestFit="1" customWidth="1"/>
    <col min="10" max="10" width="14" style="83" bestFit="1" customWidth="1"/>
    <col min="11" max="256" width="9.109375" style="83" customWidth="1"/>
    <col min="257" max="16384" width="9" style="15"/>
  </cols>
  <sheetData>
    <row r="1" spans="1:10" ht="19.8">
      <c r="A1" s="316" t="s">
        <v>298</v>
      </c>
      <c r="B1" s="317"/>
      <c r="C1" s="317"/>
      <c r="D1" s="317"/>
      <c r="E1" s="317"/>
      <c r="F1" s="317"/>
      <c r="G1" s="317"/>
      <c r="H1" s="318"/>
    </row>
    <row r="2" spans="1:10">
      <c r="A2" s="319" t="s">
        <v>323</v>
      </c>
      <c r="B2" s="320"/>
      <c r="C2" s="320"/>
      <c r="D2" s="320"/>
      <c r="E2" s="320"/>
      <c r="F2" s="320"/>
      <c r="G2" s="320"/>
      <c r="H2" s="321"/>
    </row>
    <row r="3" spans="1:10" ht="18">
      <c r="A3" s="305" t="s">
        <v>392</v>
      </c>
      <c r="B3" s="306"/>
      <c r="C3" s="306"/>
      <c r="D3" s="306"/>
      <c r="E3" s="306"/>
      <c r="F3" s="306"/>
      <c r="G3" s="306"/>
      <c r="H3" s="307"/>
    </row>
    <row r="4" spans="1:10" ht="13.95" customHeight="1">
      <c r="A4" s="255"/>
      <c r="B4" s="256"/>
      <c r="C4" s="256"/>
      <c r="D4" s="256"/>
      <c r="E4" s="256"/>
      <c r="F4" s="256"/>
      <c r="G4" s="256"/>
      <c r="H4" s="257" t="s">
        <v>2</v>
      </c>
    </row>
    <row r="5" spans="1:10" s="86" customFormat="1" ht="31.8" thickBot="1">
      <c r="A5" s="84" t="s">
        <v>333</v>
      </c>
      <c r="B5" s="310" t="s">
        <v>322</v>
      </c>
      <c r="C5" s="311"/>
      <c r="D5" s="264" t="s">
        <v>334</v>
      </c>
      <c r="E5" s="85" t="str">
        <f>A5</f>
        <v>Previous Year 2024-25</v>
      </c>
      <c r="F5" s="310" t="s">
        <v>3</v>
      </c>
      <c r="G5" s="311"/>
      <c r="H5" s="85" t="str">
        <f>D5</f>
        <v>Current Year 2025-26</v>
      </c>
    </row>
    <row r="6" spans="1:10" ht="15" thickTop="1">
      <c r="A6" s="87"/>
      <c r="B6" s="88" t="s">
        <v>4</v>
      </c>
      <c r="C6" s="89"/>
      <c r="D6" s="265"/>
      <c r="E6" s="90"/>
      <c r="F6" s="91" t="s">
        <v>5</v>
      </c>
      <c r="G6" s="90"/>
      <c r="H6" s="90"/>
    </row>
    <row r="7" spans="1:10">
      <c r="A7" s="87">
        <v>366242</v>
      </c>
      <c r="B7" s="92" t="s">
        <v>6</v>
      </c>
      <c r="C7" s="93">
        <v>485016</v>
      </c>
      <c r="D7" s="265"/>
      <c r="E7" s="89">
        <v>332784</v>
      </c>
      <c r="F7" s="94" t="s">
        <v>7</v>
      </c>
      <c r="G7" s="220">
        <f>414880+41050</f>
        <v>455930</v>
      </c>
      <c r="H7" s="95"/>
      <c r="J7" s="96"/>
    </row>
    <row r="8" spans="1:10">
      <c r="A8" s="97">
        <v>182570</v>
      </c>
      <c r="B8" s="98" t="s">
        <v>8</v>
      </c>
      <c r="C8" s="99">
        <v>126690</v>
      </c>
      <c r="D8" s="266"/>
      <c r="E8" s="89">
        <v>237600</v>
      </c>
      <c r="F8" s="98" t="s">
        <v>9</v>
      </c>
      <c r="G8" s="220">
        <v>237600</v>
      </c>
      <c r="H8" s="95"/>
      <c r="J8" s="96"/>
    </row>
    <row r="9" spans="1:10">
      <c r="A9" s="97">
        <v>84256</v>
      </c>
      <c r="B9" s="98" t="s">
        <v>10</v>
      </c>
      <c r="C9" s="101">
        <v>75765</v>
      </c>
      <c r="D9" s="266">
        <f>SUM(C7:C9)</f>
        <v>687471</v>
      </c>
      <c r="E9" s="89">
        <v>86400</v>
      </c>
      <c r="F9" s="98" t="s">
        <v>11</v>
      </c>
      <c r="G9" s="220">
        <v>86400</v>
      </c>
      <c r="H9" s="95"/>
      <c r="J9" s="96"/>
    </row>
    <row r="10" spans="1:10">
      <c r="A10" s="102"/>
      <c r="B10" s="103" t="s">
        <v>13</v>
      </c>
      <c r="C10" s="89"/>
      <c r="D10" s="267"/>
      <c r="E10" s="89">
        <v>172800</v>
      </c>
      <c r="F10" s="98" t="s">
        <v>12</v>
      </c>
      <c r="G10" s="220">
        <v>172800</v>
      </c>
      <c r="H10" s="95"/>
      <c r="J10" s="96"/>
    </row>
    <row r="11" spans="1:10">
      <c r="A11" s="97">
        <v>48334</v>
      </c>
      <c r="B11" s="98" t="s">
        <v>15</v>
      </c>
      <c r="C11" s="89"/>
      <c r="D11" s="267">
        <v>40000</v>
      </c>
      <c r="E11" s="89">
        <v>21600</v>
      </c>
      <c r="F11" s="98" t="s">
        <v>14</v>
      </c>
      <c r="G11" s="220">
        <v>21600</v>
      </c>
      <c r="H11" s="104"/>
    </row>
    <row r="12" spans="1:10">
      <c r="A12" s="97"/>
      <c r="B12" s="98"/>
      <c r="C12" s="89"/>
      <c r="D12" s="267"/>
      <c r="E12" s="89">
        <v>18000</v>
      </c>
      <c r="F12" s="98" t="s">
        <v>16</v>
      </c>
      <c r="G12" s="220">
        <f>15900</f>
        <v>15900</v>
      </c>
      <c r="H12" s="89"/>
    </row>
    <row r="13" spans="1:10">
      <c r="A13" s="106">
        <v>1217914</v>
      </c>
      <c r="B13" s="107" t="s">
        <v>330</v>
      </c>
      <c r="C13" s="105">
        <f>SUM('Sch Receivable &amp; Payable'!F39:F46)</f>
        <v>266289</v>
      </c>
      <c r="D13" s="267"/>
      <c r="E13" s="89">
        <v>85600</v>
      </c>
      <c r="F13" s="98" t="s">
        <v>17</v>
      </c>
      <c r="G13" s="220">
        <f>21300+19600+36000+200</f>
        <v>77100</v>
      </c>
      <c r="H13" s="105"/>
    </row>
    <row r="14" spans="1:10">
      <c r="A14" s="97">
        <v>-1136120</v>
      </c>
      <c r="B14" s="98" t="s">
        <v>19</v>
      </c>
      <c r="C14" s="108">
        <f>SUM('Sch Receivable &amp; Payable'!F47:F49)</f>
        <v>0</v>
      </c>
      <c r="D14" s="268">
        <f>SUM(C13:C14)</f>
        <v>266289</v>
      </c>
      <c r="E14" s="89">
        <v>43793</v>
      </c>
      <c r="F14" s="98" t="s">
        <v>18</v>
      </c>
      <c r="G14" s="220">
        <v>21806</v>
      </c>
      <c r="H14" s="95"/>
    </row>
    <row r="15" spans="1:10">
      <c r="A15" s="106"/>
      <c r="B15" s="110" t="s">
        <v>21</v>
      </c>
      <c r="C15" s="93"/>
      <c r="D15" s="269"/>
      <c r="E15" s="89">
        <v>9100</v>
      </c>
      <c r="F15" s="98" t="s">
        <v>20</v>
      </c>
      <c r="G15" s="220">
        <f>6100+3500</f>
        <v>9600</v>
      </c>
      <c r="H15" s="95"/>
      <c r="J15" s="96"/>
    </row>
    <row r="16" spans="1:10">
      <c r="A16" s="106">
        <v>133680</v>
      </c>
      <c r="B16" s="111" t="s">
        <v>22</v>
      </c>
      <c r="C16" s="93">
        <v>99984</v>
      </c>
      <c r="D16" s="269"/>
      <c r="E16" s="89">
        <v>1500</v>
      </c>
      <c r="F16" s="98" t="s">
        <v>24</v>
      </c>
      <c r="G16" s="220">
        <v>0</v>
      </c>
      <c r="H16" s="95"/>
    </row>
    <row r="17" spans="1:11">
      <c r="A17" s="97">
        <v>11189</v>
      </c>
      <c r="B17" s="98" t="s">
        <v>23</v>
      </c>
      <c r="C17" s="93">
        <f>'Sch IV Fixed Assets'!G16</f>
        <v>9502.5000000000018</v>
      </c>
      <c r="D17" s="270"/>
      <c r="E17" s="89">
        <v>3715</v>
      </c>
      <c r="F17" s="98" t="s">
        <v>340</v>
      </c>
      <c r="G17" s="112">
        <v>0</v>
      </c>
      <c r="H17" s="221">
        <f>SUM(G7:G17)</f>
        <v>1098736</v>
      </c>
    </row>
    <row r="18" spans="1:11">
      <c r="A18" s="97">
        <v>2588.2600000000002</v>
      </c>
      <c r="B18" s="98" t="s">
        <v>25</v>
      </c>
      <c r="C18" s="93">
        <v>849.6</v>
      </c>
      <c r="D18" s="271"/>
      <c r="E18" s="89"/>
      <c r="F18" s="98"/>
      <c r="G18" s="109"/>
      <c r="H18" s="113"/>
    </row>
    <row r="19" spans="1:11">
      <c r="A19" s="97">
        <v>0</v>
      </c>
      <c r="B19" s="98" t="s">
        <v>26</v>
      </c>
      <c r="C19" s="93">
        <v>9350</v>
      </c>
      <c r="D19" s="270"/>
      <c r="E19" s="89"/>
      <c r="F19" s="110" t="s">
        <v>27</v>
      </c>
      <c r="G19" s="93"/>
      <c r="H19" s="105"/>
    </row>
    <row r="20" spans="1:11">
      <c r="A20" s="97">
        <v>2077</v>
      </c>
      <c r="B20" s="94" t="s">
        <v>30</v>
      </c>
      <c r="C20" s="108">
        <v>6833</v>
      </c>
      <c r="D20" s="268">
        <f>SUM(C16:C20)</f>
        <v>126519.1</v>
      </c>
      <c r="E20" s="89">
        <v>10742</v>
      </c>
      <c r="F20" s="98" t="s">
        <v>29</v>
      </c>
      <c r="G20" s="115"/>
      <c r="H20" s="114">
        <v>7338</v>
      </c>
      <c r="J20" s="96"/>
      <c r="K20" s="116"/>
    </row>
    <row r="21" spans="1:11">
      <c r="A21" s="97"/>
      <c r="B21" s="110" t="s">
        <v>32</v>
      </c>
      <c r="C21" s="93"/>
      <c r="D21" s="270"/>
      <c r="E21" s="89">
        <v>124205</v>
      </c>
      <c r="F21" s="117" t="s">
        <v>31</v>
      </c>
      <c r="G21" s="115">
        <v>134082</v>
      </c>
      <c r="H21" s="114"/>
      <c r="I21" s="118"/>
    </row>
    <row r="22" spans="1:11">
      <c r="A22" s="97">
        <v>834</v>
      </c>
      <c r="B22" s="111" t="s">
        <v>34</v>
      </c>
      <c r="C22" s="93">
        <v>0</v>
      </c>
      <c r="D22" s="270"/>
      <c r="E22" s="89">
        <v>-14761</v>
      </c>
      <c r="F22" s="94" t="s">
        <v>33</v>
      </c>
      <c r="G22" s="115">
        <v>-15952</v>
      </c>
      <c r="H22" s="114"/>
      <c r="I22" s="118"/>
    </row>
    <row r="23" spans="1:11">
      <c r="A23" s="97">
        <v>12592</v>
      </c>
      <c r="B23" s="98" t="s">
        <v>36</v>
      </c>
      <c r="C23" s="93">
        <v>12592</v>
      </c>
      <c r="D23" s="271"/>
      <c r="E23" s="89">
        <v>-42734</v>
      </c>
      <c r="F23" s="94" t="s">
        <v>35</v>
      </c>
      <c r="G23" s="115">
        <v>-40276</v>
      </c>
      <c r="H23" s="114"/>
      <c r="I23" s="118"/>
      <c r="J23" s="96"/>
    </row>
    <row r="24" spans="1:11">
      <c r="A24" s="119">
        <v>5383</v>
      </c>
      <c r="B24" s="98" t="s">
        <v>38</v>
      </c>
      <c r="C24" s="93">
        <v>2231</v>
      </c>
      <c r="D24" s="268"/>
      <c r="E24" s="89">
        <v>-46814</v>
      </c>
      <c r="F24" s="94" t="s">
        <v>37</v>
      </c>
      <c r="G24" s="115">
        <v>-57142</v>
      </c>
      <c r="H24" s="114"/>
      <c r="I24" s="118"/>
    </row>
    <row r="25" spans="1:11">
      <c r="A25" s="119">
        <v>2450</v>
      </c>
      <c r="B25" s="98" t="s">
        <v>40</v>
      </c>
      <c r="C25" s="93">
        <v>820</v>
      </c>
      <c r="D25" s="269"/>
      <c r="E25" s="89">
        <v>-18329</v>
      </c>
      <c r="F25" s="94" t="s">
        <v>39</v>
      </c>
      <c r="G25" s="115">
        <v>-18704</v>
      </c>
      <c r="H25" s="114"/>
      <c r="I25" s="118"/>
    </row>
    <row r="26" spans="1:11">
      <c r="A26" s="119">
        <v>9184</v>
      </c>
      <c r="B26" s="98" t="s">
        <v>41</v>
      </c>
      <c r="C26" s="93">
        <v>874</v>
      </c>
      <c r="D26" s="269"/>
      <c r="E26" s="89">
        <v>-1026</v>
      </c>
      <c r="F26" s="94" t="s">
        <v>89</v>
      </c>
      <c r="G26" s="108">
        <v>-1409</v>
      </c>
      <c r="H26" s="114">
        <f>SUM(G20:G26)</f>
        <v>599</v>
      </c>
      <c r="J26" s="96"/>
    </row>
    <row r="27" spans="1:11">
      <c r="A27" s="119">
        <v>0</v>
      </c>
      <c r="B27" s="98" t="s">
        <v>42</v>
      </c>
      <c r="C27" s="93">
        <v>3000</v>
      </c>
      <c r="D27" s="270"/>
      <c r="E27" s="89"/>
      <c r="F27" s="94"/>
      <c r="G27" s="89"/>
      <c r="H27" s="114"/>
    </row>
    <row r="28" spans="1:11">
      <c r="A28" s="119">
        <v>42500</v>
      </c>
      <c r="B28" s="98" t="s">
        <v>335</v>
      </c>
      <c r="C28" s="93">
        <v>72209</v>
      </c>
      <c r="D28" s="266"/>
      <c r="E28" s="89">
        <v>0</v>
      </c>
      <c r="F28" s="94" t="s">
        <v>326</v>
      </c>
      <c r="G28" s="89">
        <v>3300</v>
      </c>
      <c r="H28" s="114"/>
      <c r="I28" s="94"/>
      <c r="J28" s="96"/>
    </row>
    <row r="29" spans="1:11" ht="17.25" customHeight="1">
      <c r="A29" s="119">
        <v>2500</v>
      </c>
      <c r="B29" s="98" t="s">
        <v>46</v>
      </c>
      <c r="C29" s="93">
        <v>2500</v>
      </c>
      <c r="D29" s="266"/>
      <c r="E29" s="99">
        <v>0</v>
      </c>
      <c r="F29" s="94" t="s">
        <v>74</v>
      </c>
      <c r="G29" s="108">
        <v>0</v>
      </c>
      <c r="H29" s="114">
        <f>SUM(G28:G29)</f>
        <v>3300</v>
      </c>
    </row>
    <row r="30" spans="1:11">
      <c r="A30" s="119">
        <v>0</v>
      </c>
      <c r="B30" s="98" t="s">
        <v>294</v>
      </c>
      <c r="C30" s="169">
        <v>13420</v>
      </c>
      <c r="D30" s="266">
        <f>SUM(C22:C30)</f>
        <v>107646</v>
      </c>
      <c r="E30" s="89"/>
      <c r="F30" s="94"/>
      <c r="G30" s="89"/>
      <c r="H30" s="100"/>
    </row>
    <row r="31" spans="1:11">
      <c r="A31" s="119"/>
      <c r="B31" s="98"/>
      <c r="C31" s="89"/>
      <c r="D31" s="270"/>
      <c r="E31" s="89"/>
      <c r="F31" s="94"/>
      <c r="G31" s="89"/>
      <c r="H31" s="100"/>
    </row>
    <row r="32" spans="1:11">
      <c r="A32" s="120">
        <v>9000</v>
      </c>
      <c r="B32" s="121" t="s">
        <v>316</v>
      </c>
      <c r="C32" s="89"/>
      <c r="D32" s="272"/>
      <c r="E32" s="105"/>
      <c r="F32" s="98"/>
      <c r="G32" s="93"/>
      <c r="H32" s="105"/>
    </row>
    <row r="33" spans="1:13">
      <c r="A33" s="120">
        <f>E34-SUM(A7:A32)</f>
        <v>27001.739999999991</v>
      </c>
      <c r="B33" s="122" t="s">
        <v>329</v>
      </c>
      <c r="C33" s="108"/>
      <c r="D33" s="266"/>
      <c r="E33" s="105"/>
      <c r="F33" s="122" t="s">
        <v>48</v>
      </c>
      <c r="G33" s="93"/>
      <c r="H33" s="105">
        <f>D34-SUM(H7:H32)</f>
        <v>117952.10000000009</v>
      </c>
    </row>
    <row r="34" spans="1:13" ht="15" thickBot="1">
      <c r="A34" s="123">
        <f>SUM(A6:A33)</f>
        <v>1024175</v>
      </c>
      <c r="B34" s="314" t="s">
        <v>49</v>
      </c>
      <c r="C34" s="315"/>
      <c r="D34" s="273">
        <f>SUM(D7:D33)</f>
        <v>1227925.1000000001</v>
      </c>
      <c r="E34" s="124">
        <f>SUM(E7:E32)</f>
        <v>1024175</v>
      </c>
      <c r="F34" s="314" t="s">
        <v>49</v>
      </c>
      <c r="G34" s="315"/>
      <c r="H34" s="124">
        <f>SUM(H7:H33)</f>
        <v>1227925.1000000001</v>
      </c>
    </row>
    <row r="35" spans="1:13" ht="15" thickTop="1">
      <c r="A35" s="232"/>
      <c r="B35" s="245"/>
      <c r="C35" s="245"/>
      <c r="D35" s="246"/>
      <c r="E35" s="245"/>
      <c r="F35" s="245"/>
      <c r="G35" s="245"/>
      <c r="H35" s="233"/>
    </row>
    <row r="36" spans="1:13">
      <c r="A36" s="232" t="s">
        <v>454</v>
      </c>
      <c r="B36" s="245"/>
      <c r="C36" s="245"/>
      <c r="D36" s="245"/>
      <c r="E36"/>
      <c r="F36"/>
      <c r="G36"/>
      <c r="H36" s="234"/>
      <c r="J36" s="125"/>
    </row>
    <row r="37" spans="1:13" ht="17.399999999999999">
      <c r="A37" s="232"/>
      <c r="B37" s="245"/>
      <c r="C37" s="245"/>
      <c r="D37" s="246"/>
      <c r="E37" s="247" t="s">
        <v>307</v>
      </c>
      <c r="F37" s="247"/>
      <c r="G37" s="247"/>
      <c r="H37" s="248"/>
      <c r="J37" s="125"/>
      <c r="K37" s="125"/>
    </row>
    <row r="38" spans="1:13" customFormat="1" ht="9.9" customHeight="1">
      <c r="A38" s="232"/>
      <c r="B38" s="245"/>
      <c r="C38" s="245"/>
      <c r="D38" s="246"/>
      <c r="E38" s="249"/>
      <c r="F38" s="247"/>
      <c r="G38" s="247"/>
      <c r="H38" s="248"/>
      <c r="I38" s="218"/>
    </row>
    <row r="39" spans="1:13" customFormat="1" ht="15.9" customHeight="1">
      <c r="A39" s="232"/>
      <c r="B39" s="245"/>
      <c r="C39" s="245"/>
      <c r="D39" s="246"/>
      <c r="E39" s="247"/>
      <c r="F39" s="247"/>
      <c r="G39" s="247"/>
      <c r="H39" s="248"/>
      <c r="I39" s="218"/>
      <c r="K39" s="235"/>
    </row>
    <row r="40" spans="1:13" customFormat="1" ht="15.9" customHeight="1">
      <c r="A40" s="232"/>
      <c r="B40" s="245"/>
      <c r="C40" s="245"/>
      <c r="D40" s="246"/>
      <c r="E40" s="247"/>
      <c r="F40" s="247"/>
      <c r="G40" s="247"/>
      <c r="H40" s="250"/>
      <c r="I40" s="218"/>
    </row>
    <row r="41" spans="1:13" customFormat="1" ht="15.9" customHeight="1">
      <c r="A41" s="237" t="s">
        <v>455</v>
      </c>
      <c r="B41" s="245"/>
      <c r="C41" s="245"/>
      <c r="D41" s="246"/>
      <c r="E41" s="247"/>
      <c r="F41" s="247"/>
      <c r="G41" s="247"/>
      <c r="H41" s="251"/>
      <c r="I41" s="218"/>
    </row>
    <row r="42" spans="1:13" customFormat="1" ht="15.9" customHeight="1">
      <c r="A42" s="232" t="s">
        <v>456</v>
      </c>
      <c r="B42" s="245"/>
      <c r="C42" s="245"/>
      <c r="D42" s="246"/>
      <c r="E42" s="295" t="s">
        <v>304</v>
      </c>
      <c r="F42" s="295"/>
      <c r="G42" s="295"/>
      <c r="H42" s="296"/>
      <c r="I42" s="218"/>
    </row>
    <row r="43" spans="1:13" customFormat="1" ht="15.9" customHeight="1">
      <c r="A43" s="232" t="s">
        <v>457</v>
      </c>
      <c r="B43" s="245"/>
      <c r="C43" s="245"/>
      <c r="D43" s="246"/>
      <c r="E43" s="322"/>
      <c r="F43" s="322"/>
      <c r="G43" s="322"/>
      <c r="H43" s="323"/>
      <c r="I43" s="218"/>
      <c r="K43" s="236"/>
    </row>
    <row r="44" spans="1:13" customFormat="1" ht="15.9" customHeight="1">
      <c r="A44" s="297">
        <v>46277</v>
      </c>
      <c r="B44" s="298"/>
      <c r="C44" s="298"/>
      <c r="D44" s="241"/>
      <c r="E44" s="242"/>
      <c r="F44" s="242"/>
      <c r="G44" s="242"/>
      <c r="H44" s="243"/>
      <c r="I44" s="218"/>
      <c r="K44" s="238"/>
    </row>
    <row r="45" spans="1:13" customFormat="1" ht="15.9" customHeight="1">
      <c r="A45" s="129"/>
      <c r="B45" s="83"/>
      <c r="C45" s="129"/>
      <c r="D45" s="129"/>
      <c r="E45" s="129"/>
      <c r="F45" s="83"/>
      <c r="G45" s="129"/>
      <c r="H45" s="83"/>
      <c r="I45" s="239"/>
      <c r="K45" s="238"/>
      <c r="L45" s="240"/>
      <c r="M45" s="240"/>
    </row>
    <row r="46" spans="1:13" customFormat="1" ht="15.9" customHeight="1">
      <c r="A46" s="129"/>
      <c r="B46" s="83"/>
      <c r="C46" s="129"/>
      <c r="D46" s="129"/>
      <c r="E46" s="129"/>
      <c r="F46" s="83"/>
      <c r="G46" s="129"/>
      <c r="H46" s="83"/>
      <c r="I46" s="218">
        <f>D34-H34</f>
        <v>0</v>
      </c>
      <c r="K46" s="235"/>
    </row>
    <row r="47" spans="1:13" s="244" customFormat="1" ht="15.9" customHeight="1">
      <c r="A47" s="129"/>
      <c r="B47" s="83"/>
      <c r="C47" s="129"/>
      <c r="D47" s="129"/>
      <c r="E47" s="129"/>
      <c r="F47" s="83"/>
      <c r="G47" s="129"/>
      <c r="H47" s="83"/>
      <c r="I47" s="244">
        <f>A34-E34</f>
        <v>0</v>
      </c>
    </row>
  </sheetData>
  <mergeCells count="10">
    <mergeCell ref="A44:C44"/>
    <mergeCell ref="F34:G34"/>
    <mergeCell ref="A1:H1"/>
    <mergeCell ref="A2:H2"/>
    <mergeCell ref="A3:H3"/>
    <mergeCell ref="B5:C5"/>
    <mergeCell ref="F5:G5"/>
    <mergeCell ref="B34:C34"/>
    <mergeCell ref="E42:H42"/>
    <mergeCell ref="E43:H43"/>
  </mergeCells>
  <printOptions horizontalCentered="1"/>
  <pageMargins left="0.31496062992125984" right="0.31496062992125984" top="0.59055118110236227" bottom="0.35433070866141736" header="0.31496062992125984" footer="0.31496062992125984"/>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X46"/>
  <sheetViews>
    <sheetView view="pageBreakPreview" topLeftCell="A32" zoomScaleNormal="100" zoomScaleSheetLayoutView="100" workbookViewId="0">
      <selection activeCell="F45" sqref="F45"/>
    </sheetView>
  </sheetViews>
  <sheetFormatPr defaultColWidth="9" defaultRowHeight="14.4"/>
  <cols>
    <col min="1" max="1" width="24.5546875" style="83" bestFit="1" customWidth="1"/>
    <col min="2" max="2" width="10.5546875" style="83" customWidth="1"/>
    <col min="3" max="3" width="13.33203125" style="129" bestFit="1" customWidth="1"/>
    <col min="4" max="6" width="10.5546875" style="129" customWidth="1"/>
    <col min="7" max="7" width="13.109375" style="129" customWidth="1"/>
    <col min="8" max="8" width="11" style="83" bestFit="1" customWidth="1"/>
    <col min="9" max="9" width="12.5546875" style="129" bestFit="1" customWidth="1"/>
    <col min="10" max="10" width="7.6640625" style="135" bestFit="1" customWidth="1"/>
    <col min="11" max="11" width="13.44140625" style="83" customWidth="1"/>
    <col min="12" max="12" width="8.77734375" style="83" customWidth="1"/>
    <col min="13" max="13" width="0.6640625" style="83" hidden="1" customWidth="1"/>
    <col min="14" max="14" width="9.109375" style="83" hidden="1" customWidth="1"/>
    <col min="15" max="15" width="11.5546875" style="83" hidden="1" customWidth="1"/>
    <col min="16" max="16" width="10" style="83" hidden="1" customWidth="1"/>
    <col min="17" max="17" width="11.5546875" style="83" hidden="1" customWidth="1"/>
    <col min="18" max="18" width="10" style="83" hidden="1" customWidth="1"/>
    <col min="19" max="19" width="0.109375" style="83" hidden="1" customWidth="1"/>
    <col min="20" max="206" width="9.109375" style="83" customWidth="1"/>
    <col min="207" max="16384" width="9" style="15"/>
  </cols>
  <sheetData>
    <row r="1" spans="1:20" ht="18" customHeight="1">
      <c r="A1" s="324" t="s">
        <v>298</v>
      </c>
      <c r="B1" s="325"/>
      <c r="C1" s="325"/>
      <c r="D1" s="325"/>
      <c r="E1" s="325"/>
      <c r="F1" s="325"/>
      <c r="G1" s="325"/>
      <c r="H1" s="325"/>
      <c r="I1" s="325"/>
      <c r="J1" s="325"/>
      <c r="K1" s="326"/>
    </row>
    <row r="2" spans="1:20">
      <c r="A2" s="327" t="s">
        <v>393</v>
      </c>
      <c r="B2" s="328"/>
      <c r="C2" s="328"/>
      <c r="D2" s="328"/>
      <c r="E2" s="328"/>
      <c r="F2" s="328"/>
      <c r="G2" s="328"/>
      <c r="H2" s="328"/>
      <c r="I2" s="328"/>
      <c r="J2" s="328"/>
      <c r="K2" s="329"/>
    </row>
    <row r="3" spans="1:20">
      <c r="A3" s="288"/>
      <c r="B3" s="289"/>
      <c r="C3" s="289"/>
      <c r="D3" s="289"/>
      <c r="E3" s="289"/>
      <c r="F3" s="289"/>
      <c r="G3" s="289"/>
      <c r="H3" s="289"/>
      <c r="I3" s="289"/>
      <c r="J3" s="290"/>
      <c r="K3" s="291"/>
    </row>
    <row r="4" spans="1:20" ht="29.4" thickBot="1">
      <c r="A4" s="131" t="s">
        <v>280</v>
      </c>
      <c r="B4" s="131" t="s">
        <v>281</v>
      </c>
      <c r="C4" s="132" t="s">
        <v>282</v>
      </c>
      <c r="D4" s="132" t="s">
        <v>325</v>
      </c>
      <c r="E4" s="132" t="s">
        <v>358</v>
      </c>
      <c r="F4" s="132" t="s">
        <v>394</v>
      </c>
      <c r="G4" s="132" t="s">
        <v>49</v>
      </c>
      <c r="H4" s="131" t="s">
        <v>283</v>
      </c>
      <c r="I4" s="132" t="s">
        <v>284</v>
      </c>
      <c r="J4" s="133" t="s">
        <v>285</v>
      </c>
      <c r="K4" s="131" t="s">
        <v>286</v>
      </c>
      <c r="M4" s="83" t="s">
        <v>408</v>
      </c>
      <c r="N4" s="83" t="s">
        <v>409</v>
      </c>
      <c r="O4" s="83" t="s">
        <v>410</v>
      </c>
      <c r="P4" s="83" t="s">
        <v>411</v>
      </c>
      <c r="Q4" s="83" t="s">
        <v>412</v>
      </c>
      <c r="R4" s="83" t="s">
        <v>413</v>
      </c>
      <c r="T4" s="83" t="s">
        <v>430</v>
      </c>
    </row>
    <row r="5" spans="1:20" ht="15" thickTop="1">
      <c r="A5" s="91" t="s">
        <v>241</v>
      </c>
      <c r="C5" s="134"/>
      <c r="D5" s="134"/>
      <c r="E5" s="134"/>
      <c r="F5" s="134"/>
      <c r="G5" s="134"/>
      <c r="I5" s="134"/>
      <c r="K5" s="119"/>
      <c r="M5" s="222"/>
      <c r="N5" s="222"/>
      <c r="O5" s="222"/>
      <c r="P5" s="222"/>
      <c r="Q5" s="222">
        <f>+M5+O5</f>
        <v>0</v>
      </c>
      <c r="R5" s="222">
        <f>+N5+P5</f>
        <v>0</v>
      </c>
    </row>
    <row r="6" spans="1:20">
      <c r="A6" s="170" t="s">
        <v>364</v>
      </c>
      <c r="B6" s="39" t="s">
        <v>415</v>
      </c>
      <c r="C6" s="171">
        <v>50000</v>
      </c>
      <c r="D6" s="171">
        <v>0</v>
      </c>
      <c r="E6" s="171">
        <v>0</v>
      </c>
      <c r="F6" s="171">
        <v>0</v>
      </c>
      <c r="G6" s="171">
        <f>SUM(C6:F6)</f>
        <v>50000</v>
      </c>
      <c r="H6" s="172" t="s">
        <v>416</v>
      </c>
      <c r="I6" s="171">
        <v>50000</v>
      </c>
      <c r="J6" s="173">
        <v>7.0999999999999994E-2</v>
      </c>
      <c r="K6" s="171" t="s">
        <v>287</v>
      </c>
      <c r="L6" s="83" t="s">
        <v>430</v>
      </c>
      <c r="M6" s="222"/>
      <c r="N6" s="222"/>
      <c r="O6" s="222">
        <v>3406</v>
      </c>
      <c r="P6" s="222">
        <v>342</v>
      </c>
      <c r="Q6" s="222">
        <f t="shared" ref="Q6:Q43" si="0">+M6+O6</f>
        <v>3406</v>
      </c>
      <c r="R6" s="222">
        <f t="shared" ref="R6:R43" si="1">+N6+P6</f>
        <v>342</v>
      </c>
    </row>
    <row r="7" spans="1:20">
      <c r="A7" s="170" t="s">
        <v>366</v>
      </c>
      <c r="B7" s="39" t="s">
        <v>296</v>
      </c>
      <c r="C7" s="171">
        <v>61451</v>
      </c>
      <c r="D7" s="174">
        <v>0</v>
      </c>
      <c r="E7" s="174">
        <v>487</v>
      </c>
      <c r="F7" s="174">
        <f>4602-462</f>
        <v>4140</v>
      </c>
      <c r="G7" s="171">
        <f t="shared" ref="G7:G10" si="2">SUM(C7:F7)</f>
        <v>66078</v>
      </c>
      <c r="H7" s="172" t="s">
        <v>433</v>
      </c>
      <c r="I7" s="174">
        <v>70948</v>
      </c>
      <c r="J7" s="173">
        <v>7.2499999999999995E-2</v>
      </c>
      <c r="K7" s="171" t="s">
        <v>287</v>
      </c>
      <c r="L7" s="83" t="s">
        <v>431</v>
      </c>
      <c r="M7" s="222"/>
      <c r="N7" s="222"/>
      <c r="O7" s="222">
        <v>4602</v>
      </c>
      <c r="P7" s="222">
        <v>462</v>
      </c>
      <c r="Q7" s="222">
        <f t="shared" si="0"/>
        <v>4602</v>
      </c>
      <c r="R7" s="222">
        <f t="shared" si="1"/>
        <v>462</v>
      </c>
    </row>
    <row r="8" spans="1:20">
      <c r="A8" s="170" t="s">
        <v>367</v>
      </c>
      <c r="B8" s="39" t="s">
        <v>296</v>
      </c>
      <c r="C8" s="171">
        <v>61451</v>
      </c>
      <c r="D8" s="174">
        <v>0</v>
      </c>
      <c r="E8" s="174">
        <v>487</v>
      </c>
      <c r="F8" s="174">
        <f>4602-462</f>
        <v>4140</v>
      </c>
      <c r="G8" s="171">
        <f t="shared" si="2"/>
        <v>66078</v>
      </c>
      <c r="H8" s="172" t="s">
        <v>433</v>
      </c>
      <c r="I8" s="174">
        <v>70948</v>
      </c>
      <c r="J8" s="173">
        <v>7.2499999999999995E-2</v>
      </c>
      <c r="K8" s="171" t="s">
        <v>287</v>
      </c>
      <c r="L8" s="83" t="s">
        <v>431</v>
      </c>
      <c r="M8" s="222"/>
      <c r="N8" s="222"/>
      <c r="O8" s="222">
        <v>4602</v>
      </c>
      <c r="P8" s="222">
        <v>462</v>
      </c>
      <c r="Q8" s="222">
        <f t="shared" si="0"/>
        <v>4602</v>
      </c>
      <c r="R8" s="222">
        <f t="shared" si="1"/>
        <v>462</v>
      </c>
    </row>
    <row r="9" spans="1:20">
      <c r="A9" s="170" t="s">
        <v>426</v>
      </c>
      <c r="B9" s="39" t="s">
        <v>419</v>
      </c>
      <c r="C9" s="171">
        <v>31825</v>
      </c>
      <c r="D9" s="174">
        <v>0</v>
      </c>
      <c r="E9" s="174">
        <v>0</v>
      </c>
      <c r="F9" s="174">
        <f>1327-133</f>
        <v>1194</v>
      </c>
      <c r="G9" s="171">
        <f t="shared" si="2"/>
        <v>33019</v>
      </c>
      <c r="H9" s="172" t="s">
        <v>436</v>
      </c>
      <c r="I9" s="174">
        <v>33846</v>
      </c>
      <c r="J9" s="173">
        <v>6.3500000000000001E-2</v>
      </c>
      <c r="K9" s="171" t="s">
        <v>287</v>
      </c>
      <c r="L9" s="83" t="s">
        <v>431</v>
      </c>
      <c r="M9" s="222">
        <v>729</v>
      </c>
      <c r="N9" s="222">
        <v>73</v>
      </c>
      <c r="O9" s="222">
        <f>2056-M9</f>
        <v>1327</v>
      </c>
      <c r="P9" s="222">
        <f>206-N9</f>
        <v>133</v>
      </c>
      <c r="Q9" s="222">
        <f t="shared" si="0"/>
        <v>2056</v>
      </c>
      <c r="R9" s="222">
        <f t="shared" si="1"/>
        <v>206</v>
      </c>
    </row>
    <row r="10" spans="1:20">
      <c r="A10" s="170" t="s">
        <v>427</v>
      </c>
      <c r="B10" s="39" t="s">
        <v>432</v>
      </c>
      <c r="C10" s="171">
        <v>60530</v>
      </c>
      <c r="D10" s="174">
        <v>0</v>
      </c>
      <c r="E10" s="174">
        <v>0</v>
      </c>
      <c r="F10" s="174">
        <f>6+3</f>
        <v>9</v>
      </c>
      <c r="G10" s="171">
        <f t="shared" si="2"/>
        <v>60539</v>
      </c>
      <c r="H10" s="172" t="s">
        <v>417</v>
      </c>
      <c r="I10" s="174">
        <v>60931</v>
      </c>
      <c r="J10" s="173">
        <v>7.0999999999999994E-2</v>
      </c>
      <c r="K10" s="171" t="s">
        <v>287</v>
      </c>
      <c r="L10" s="83" t="s">
        <v>430</v>
      </c>
      <c r="M10" s="222">
        <v>4032</v>
      </c>
      <c r="N10" s="222">
        <v>403</v>
      </c>
      <c r="O10" s="222">
        <f>4038-M10</f>
        <v>6</v>
      </c>
      <c r="P10" s="222">
        <f>400-N10</f>
        <v>-3</v>
      </c>
      <c r="Q10" s="222">
        <f t="shared" si="0"/>
        <v>4038</v>
      </c>
      <c r="R10" s="222">
        <f t="shared" si="1"/>
        <v>400</v>
      </c>
    </row>
    <row r="11" spans="1:20" ht="15" thickBot="1">
      <c r="A11" s="330" t="s">
        <v>458</v>
      </c>
      <c r="B11" s="332"/>
      <c r="C11" s="137">
        <f>SUM(C6:C10)</f>
        <v>265257</v>
      </c>
      <c r="D11" s="137">
        <f t="shared" ref="D11:G11" si="3">SUM(D6:D10)</f>
        <v>0</v>
      </c>
      <c r="E11" s="137">
        <f t="shared" si="3"/>
        <v>974</v>
      </c>
      <c r="F11" s="137">
        <f t="shared" si="3"/>
        <v>9483</v>
      </c>
      <c r="G11" s="137">
        <f t="shared" si="3"/>
        <v>275714</v>
      </c>
      <c r="H11" s="136"/>
      <c r="I11" s="137">
        <f t="shared" ref="I11" si="4">SUM(I6:I10)</f>
        <v>286673</v>
      </c>
      <c r="J11" s="138"/>
      <c r="K11" s="150"/>
      <c r="M11" s="222"/>
      <c r="N11" s="222"/>
      <c r="O11" s="222"/>
      <c r="P11" s="222"/>
      <c r="Q11" s="222">
        <f t="shared" si="0"/>
        <v>0</v>
      </c>
      <c r="R11" s="222">
        <f t="shared" si="1"/>
        <v>0</v>
      </c>
    </row>
    <row r="12" spans="1:20" ht="15" thickTop="1">
      <c r="A12" s="151"/>
      <c r="C12" s="146"/>
      <c r="D12" s="146"/>
      <c r="E12" s="146"/>
      <c r="F12" s="146"/>
      <c r="G12" s="146"/>
      <c r="H12" s="139"/>
      <c r="I12" s="134"/>
      <c r="J12" s="140"/>
      <c r="K12" s="89"/>
      <c r="M12" s="222"/>
      <c r="N12" s="222"/>
      <c r="O12" s="222"/>
      <c r="P12" s="222"/>
      <c r="Q12" s="222">
        <f t="shared" si="0"/>
        <v>0</v>
      </c>
      <c r="R12" s="222">
        <f t="shared" si="1"/>
        <v>0</v>
      </c>
    </row>
    <row r="13" spans="1:20">
      <c r="A13" s="91" t="s">
        <v>243</v>
      </c>
      <c r="C13" s="134"/>
      <c r="D13" s="134"/>
      <c r="E13" s="134"/>
      <c r="F13" s="134"/>
      <c r="G13" s="134"/>
      <c r="H13" s="224"/>
      <c r="I13" s="134"/>
      <c r="K13" s="95"/>
      <c r="M13" s="222"/>
      <c r="N13" s="222"/>
      <c r="O13" s="222"/>
      <c r="P13" s="222"/>
      <c r="Q13" s="222">
        <f t="shared" si="0"/>
        <v>0</v>
      </c>
      <c r="R13" s="222">
        <f t="shared" si="1"/>
        <v>0</v>
      </c>
    </row>
    <row r="14" spans="1:20">
      <c r="A14" s="170" t="s">
        <v>424</v>
      </c>
      <c r="B14" s="175" t="s">
        <v>423</v>
      </c>
      <c r="C14" s="171">
        <v>68384</v>
      </c>
      <c r="D14" s="171">
        <v>0</v>
      </c>
      <c r="E14" s="171">
        <v>0</v>
      </c>
      <c r="F14" s="171">
        <f>2339-235</f>
        <v>2104</v>
      </c>
      <c r="G14" s="171">
        <f t="shared" ref="G14:G19" si="5">SUM(C14:F14)</f>
        <v>70488</v>
      </c>
      <c r="H14" s="225"/>
      <c r="I14" s="171"/>
      <c r="J14" s="173">
        <v>7.0999999999999994E-2</v>
      </c>
      <c r="K14" s="171" t="s">
        <v>287</v>
      </c>
      <c r="L14" s="83" t="s">
        <v>430</v>
      </c>
      <c r="M14" s="222">
        <v>2107</v>
      </c>
      <c r="N14" s="222">
        <v>211</v>
      </c>
      <c r="O14" s="222">
        <f>4446-M14</f>
        <v>2339</v>
      </c>
      <c r="P14" s="222">
        <f>446-N14</f>
        <v>235</v>
      </c>
      <c r="Q14" s="222">
        <f t="shared" si="0"/>
        <v>4446</v>
      </c>
      <c r="R14" s="222">
        <f t="shared" si="1"/>
        <v>446</v>
      </c>
    </row>
    <row r="15" spans="1:20">
      <c r="A15" s="176" t="s">
        <v>360</v>
      </c>
      <c r="B15" s="175" t="s">
        <v>414</v>
      </c>
      <c r="C15" s="171">
        <v>100000</v>
      </c>
      <c r="D15" s="171">
        <v>0</v>
      </c>
      <c r="E15" s="171">
        <v>0</v>
      </c>
      <c r="F15" s="171">
        <v>0</v>
      </c>
      <c r="G15" s="171">
        <f t="shared" si="5"/>
        <v>100000</v>
      </c>
      <c r="H15" s="226" t="s">
        <v>435</v>
      </c>
      <c r="I15" s="171">
        <v>100000</v>
      </c>
      <c r="J15" s="173">
        <v>7.0999999999999994E-2</v>
      </c>
      <c r="K15" s="171" t="s">
        <v>287</v>
      </c>
      <c r="L15" s="83" t="s">
        <v>430</v>
      </c>
      <c r="M15" s="222"/>
      <c r="N15" s="222"/>
      <c r="O15" s="222">
        <v>6747</v>
      </c>
      <c r="P15" s="222">
        <v>676</v>
      </c>
      <c r="Q15" s="222">
        <f t="shared" si="0"/>
        <v>6747</v>
      </c>
      <c r="R15" s="222">
        <f t="shared" si="1"/>
        <v>676</v>
      </c>
    </row>
    <row r="16" spans="1:20">
      <c r="A16" s="176" t="s">
        <v>361</v>
      </c>
      <c r="B16" s="175" t="s">
        <v>414</v>
      </c>
      <c r="C16" s="171">
        <v>100000</v>
      </c>
      <c r="D16" s="171">
        <v>0</v>
      </c>
      <c r="E16" s="171">
        <v>0</v>
      </c>
      <c r="F16" s="171">
        <v>0</v>
      </c>
      <c r="G16" s="171">
        <f t="shared" si="5"/>
        <v>100000</v>
      </c>
      <c r="H16" s="226" t="s">
        <v>435</v>
      </c>
      <c r="I16" s="171">
        <v>100000</v>
      </c>
      <c r="J16" s="173">
        <v>7.0999999999999994E-2</v>
      </c>
      <c r="K16" s="171" t="s">
        <v>287</v>
      </c>
      <c r="L16" s="83" t="s">
        <v>430</v>
      </c>
      <c r="M16" s="222"/>
      <c r="N16" s="222"/>
      <c r="O16" s="222">
        <v>6747</v>
      </c>
      <c r="P16" s="222">
        <v>676</v>
      </c>
      <c r="Q16" s="222">
        <f t="shared" si="0"/>
        <v>6747</v>
      </c>
      <c r="R16" s="222">
        <f t="shared" si="1"/>
        <v>676</v>
      </c>
    </row>
    <row r="17" spans="1:18">
      <c r="A17" s="176" t="s">
        <v>362</v>
      </c>
      <c r="B17" s="175" t="s">
        <v>414</v>
      </c>
      <c r="C17" s="171">
        <v>100000</v>
      </c>
      <c r="D17" s="171">
        <v>0</v>
      </c>
      <c r="E17" s="171">
        <v>0</v>
      </c>
      <c r="F17" s="171">
        <v>0</v>
      </c>
      <c r="G17" s="171">
        <f t="shared" si="5"/>
        <v>100000</v>
      </c>
      <c r="H17" s="226" t="s">
        <v>435</v>
      </c>
      <c r="I17" s="171">
        <v>100000</v>
      </c>
      <c r="J17" s="173">
        <v>7.0999999999999994E-2</v>
      </c>
      <c r="K17" s="171" t="s">
        <v>287</v>
      </c>
      <c r="L17" s="83" t="s">
        <v>430</v>
      </c>
      <c r="M17" s="222"/>
      <c r="N17" s="222"/>
      <c r="O17" s="222">
        <v>6747</v>
      </c>
      <c r="P17" s="222">
        <v>676</v>
      </c>
      <c r="Q17" s="222">
        <f t="shared" si="0"/>
        <v>6747</v>
      </c>
      <c r="R17" s="222">
        <f t="shared" si="1"/>
        <v>676</v>
      </c>
    </row>
    <row r="18" spans="1:18">
      <c r="A18" s="176" t="s">
        <v>363</v>
      </c>
      <c r="B18" s="175" t="s">
        <v>414</v>
      </c>
      <c r="C18" s="171">
        <v>150000</v>
      </c>
      <c r="D18" s="171">
        <v>0</v>
      </c>
      <c r="E18" s="171">
        <v>0</v>
      </c>
      <c r="F18" s="171">
        <v>0</v>
      </c>
      <c r="G18" s="171">
        <f t="shared" si="5"/>
        <v>150000</v>
      </c>
      <c r="H18" s="226" t="s">
        <v>435</v>
      </c>
      <c r="I18" s="171">
        <v>150000</v>
      </c>
      <c r="J18" s="173">
        <v>7.0999999999999994E-2</v>
      </c>
      <c r="K18" s="171" t="s">
        <v>287</v>
      </c>
      <c r="L18" s="83" t="s">
        <v>431</v>
      </c>
      <c r="M18" s="222"/>
      <c r="N18" s="222"/>
      <c r="O18" s="222">
        <v>10119</v>
      </c>
      <c r="P18" s="222">
        <v>1012</v>
      </c>
      <c r="Q18" s="222">
        <f t="shared" si="0"/>
        <v>10119</v>
      </c>
      <c r="R18" s="222">
        <f t="shared" si="1"/>
        <v>1012</v>
      </c>
    </row>
    <row r="19" spans="1:18">
      <c r="A19" s="176" t="s">
        <v>425</v>
      </c>
      <c r="B19" s="175" t="s">
        <v>432</v>
      </c>
      <c r="C19" s="171">
        <v>81989</v>
      </c>
      <c r="D19" s="171">
        <v>0</v>
      </c>
      <c r="E19" s="171">
        <v>0</v>
      </c>
      <c r="F19" s="171">
        <f>10+2</f>
        <v>12</v>
      </c>
      <c r="G19" s="171">
        <f t="shared" si="5"/>
        <v>82001</v>
      </c>
      <c r="H19" s="226" t="s">
        <v>417</v>
      </c>
      <c r="I19" s="171">
        <v>82533</v>
      </c>
      <c r="J19" s="173">
        <v>7.0999999999999994E-2</v>
      </c>
      <c r="K19" s="171" t="s">
        <v>287</v>
      </c>
      <c r="L19" s="83" t="s">
        <v>431</v>
      </c>
      <c r="M19" s="222">
        <v>5460</v>
      </c>
      <c r="N19" s="222">
        <v>546</v>
      </c>
      <c r="O19" s="222">
        <v>10</v>
      </c>
      <c r="P19" s="222">
        <v>-2</v>
      </c>
      <c r="Q19" s="222">
        <f t="shared" si="0"/>
        <v>5470</v>
      </c>
      <c r="R19" s="222">
        <f t="shared" si="1"/>
        <v>544</v>
      </c>
    </row>
    <row r="20" spans="1:18" s="118" customFormat="1" ht="15" thickBot="1">
      <c r="A20" s="330" t="s">
        <v>458</v>
      </c>
      <c r="B20" s="332"/>
      <c r="C20" s="137">
        <f>SUM(C14:C19)</f>
        <v>600373</v>
      </c>
      <c r="D20" s="137">
        <f>SUM(D14:D19)</f>
        <v>0</v>
      </c>
      <c r="E20" s="137">
        <f>SUM(E14:E19)</f>
        <v>0</v>
      </c>
      <c r="F20" s="137">
        <f>SUM(F14:F19)</f>
        <v>2116</v>
      </c>
      <c r="G20" s="137">
        <f>SUM(G14:G19)</f>
        <v>602489</v>
      </c>
      <c r="H20" s="227"/>
      <c r="I20" s="137">
        <f>SUM(I14:I19)</f>
        <v>532533</v>
      </c>
      <c r="J20" s="141"/>
      <c r="K20" s="46"/>
      <c r="M20" s="223"/>
      <c r="N20" s="223"/>
      <c r="O20" s="223"/>
      <c r="P20" s="223"/>
      <c r="Q20" s="222">
        <f t="shared" si="0"/>
        <v>0</v>
      </c>
      <c r="R20" s="222">
        <f t="shared" si="1"/>
        <v>0</v>
      </c>
    </row>
    <row r="21" spans="1:18" ht="15" thickTop="1">
      <c r="A21" s="94"/>
      <c r="C21" s="134"/>
      <c r="D21" s="134"/>
      <c r="E21" s="134"/>
      <c r="F21" s="134"/>
      <c r="G21" s="134"/>
      <c r="H21" s="224"/>
      <c r="I21" s="134"/>
      <c r="K21" s="95"/>
      <c r="M21" s="222"/>
      <c r="N21" s="222"/>
      <c r="O21" s="222"/>
      <c r="P21" s="222"/>
      <c r="Q21" s="222">
        <f t="shared" si="0"/>
        <v>0</v>
      </c>
      <c r="R21" s="222">
        <f t="shared" si="1"/>
        <v>0</v>
      </c>
    </row>
    <row r="22" spans="1:18">
      <c r="A22" s="91" t="s">
        <v>234</v>
      </c>
      <c r="C22" s="134"/>
      <c r="D22" s="134"/>
      <c r="E22" s="134"/>
      <c r="F22" s="134"/>
      <c r="G22" s="134"/>
      <c r="H22" s="224"/>
      <c r="I22" s="134"/>
      <c r="K22" s="95"/>
      <c r="M22" s="222"/>
      <c r="N22" s="222"/>
      <c r="O22" s="222"/>
      <c r="P22" s="222"/>
      <c r="Q22" s="222">
        <f t="shared" si="0"/>
        <v>0</v>
      </c>
      <c r="R22" s="222">
        <f t="shared" si="1"/>
        <v>0</v>
      </c>
    </row>
    <row r="23" spans="1:18">
      <c r="A23" s="176" t="s">
        <v>365</v>
      </c>
      <c r="B23" s="175" t="s">
        <v>415</v>
      </c>
      <c r="C23" s="171">
        <v>50000</v>
      </c>
      <c r="D23" s="171">
        <v>0</v>
      </c>
      <c r="E23" s="171">
        <v>0</v>
      </c>
      <c r="F23" s="171">
        <v>0</v>
      </c>
      <c r="G23" s="171">
        <f t="shared" ref="G23:G27" si="6">SUM(C23:F23)</f>
        <v>50000</v>
      </c>
      <c r="H23" s="225" t="s">
        <v>416</v>
      </c>
      <c r="I23" s="171">
        <v>50000</v>
      </c>
      <c r="J23" s="173">
        <v>7.0999999999999994E-2</v>
      </c>
      <c r="K23" s="171" t="s">
        <v>287</v>
      </c>
      <c r="L23" s="83" t="s">
        <v>430</v>
      </c>
      <c r="M23" s="222"/>
      <c r="N23" s="222"/>
      <c r="O23" s="222">
        <v>3406</v>
      </c>
      <c r="P23" s="222">
        <v>342</v>
      </c>
      <c r="Q23" s="222">
        <f t="shared" si="0"/>
        <v>3406</v>
      </c>
      <c r="R23" s="222">
        <f t="shared" si="1"/>
        <v>342</v>
      </c>
    </row>
    <row r="24" spans="1:18">
      <c r="A24" s="176" t="s">
        <v>368</v>
      </c>
      <c r="B24" s="175" t="s">
        <v>296</v>
      </c>
      <c r="C24" s="171">
        <v>47921</v>
      </c>
      <c r="D24" s="171">
        <v>0</v>
      </c>
      <c r="E24" s="171">
        <v>380</v>
      </c>
      <c r="F24" s="171">
        <f>3588-360</f>
        <v>3228</v>
      </c>
      <c r="G24" s="171">
        <f t="shared" si="6"/>
        <v>51529</v>
      </c>
      <c r="H24" s="225" t="s">
        <v>433</v>
      </c>
      <c r="I24" s="171">
        <v>55327</v>
      </c>
      <c r="J24" s="173">
        <v>7.2499999999999995E-2</v>
      </c>
      <c r="K24" s="171" t="s">
        <v>287</v>
      </c>
      <c r="L24" s="83" t="s">
        <v>431</v>
      </c>
      <c r="M24" s="222"/>
      <c r="N24" s="222"/>
      <c r="O24" s="222">
        <v>3588</v>
      </c>
      <c r="P24" s="222">
        <v>360</v>
      </c>
      <c r="Q24" s="222">
        <f t="shared" si="0"/>
        <v>3588</v>
      </c>
      <c r="R24" s="222">
        <f t="shared" si="1"/>
        <v>360</v>
      </c>
    </row>
    <row r="25" spans="1:18">
      <c r="A25" s="170" t="s">
        <v>355</v>
      </c>
      <c r="B25" s="177" t="s">
        <v>288</v>
      </c>
      <c r="C25" s="178">
        <v>34434</v>
      </c>
      <c r="D25" s="178">
        <v>0</v>
      </c>
      <c r="E25" s="178">
        <v>644</v>
      </c>
      <c r="F25" s="178">
        <f>2643-266</f>
        <v>2377</v>
      </c>
      <c r="G25" s="171">
        <f t="shared" si="6"/>
        <v>37455</v>
      </c>
      <c r="H25" s="228" t="s">
        <v>434</v>
      </c>
      <c r="I25" s="178">
        <v>39834</v>
      </c>
      <c r="J25" s="179">
        <v>7.3499999999999996E-2</v>
      </c>
      <c r="K25" s="171" t="s">
        <v>287</v>
      </c>
      <c r="L25" s="83" t="s">
        <v>431</v>
      </c>
      <c r="M25" s="222"/>
      <c r="N25" s="222"/>
      <c r="O25" s="222">
        <v>2643</v>
      </c>
      <c r="P25" s="222">
        <v>266</v>
      </c>
      <c r="Q25" s="222">
        <f t="shared" si="0"/>
        <v>2643</v>
      </c>
      <c r="R25" s="222">
        <f t="shared" si="1"/>
        <v>266</v>
      </c>
    </row>
    <row r="26" spans="1:18">
      <c r="A26" s="170" t="s">
        <v>420</v>
      </c>
      <c r="B26" s="177" t="s">
        <v>421</v>
      </c>
      <c r="C26" s="178">
        <v>62920</v>
      </c>
      <c r="D26" s="178">
        <v>0</v>
      </c>
      <c r="E26" s="178">
        <v>0</v>
      </c>
      <c r="F26" s="178">
        <f>3976-399</f>
        <v>3577</v>
      </c>
      <c r="G26" s="171">
        <f t="shared" si="6"/>
        <v>66497</v>
      </c>
      <c r="H26" s="228" t="s">
        <v>438</v>
      </c>
      <c r="I26" s="178">
        <v>67230</v>
      </c>
      <c r="J26" s="173">
        <v>6.8500000000000005E-2</v>
      </c>
      <c r="K26" s="171" t="s">
        <v>287</v>
      </c>
      <c r="L26" s="83" t="s">
        <v>431</v>
      </c>
      <c r="M26" s="222">
        <v>326</v>
      </c>
      <c r="N26" s="222">
        <v>33</v>
      </c>
      <c r="O26" s="222">
        <f>4302-M26</f>
        <v>3976</v>
      </c>
      <c r="P26" s="222">
        <f>432-N26</f>
        <v>399</v>
      </c>
      <c r="Q26" s="222">
        <f t="shared" si="0"/>
        <v>4302</v>
      </c>
      <c r="R26" s="222">
        <f t="shared" si="1"/>
        <v>432</v>
      </c>
    </row>
    <row r="27" spans="1:18">
      <c r="A27" s="170" t="s">
        <v>422</v>
      </c>
      <c r="B27" s="177" t="s">
        <v>421</v>
      </c>
      <c r="C27" s="178">
        <v>29445</v>
      </c>
      <c r="D27" s="178">
        <v>0</v>
      </c>
      <c r="E27" s="178">
        <v>0</v>
      </c>
      <c r="F27" s="178">
        <f>1860-189</f>
        <v>1671</v>
      </c>
      <c r="G27" s="171">
        <f t="shared" si="6"/>
        <v>31116</v>
      </c>
      <c r="H27" s="226" t="s">
        <v>438</v>
      </c>
      <c r="I27" s="171">
        <v>31462</v>
      </c>
      <c r="J27" s="173">
        <v>6.8500000000000005E-2</v>
      </c>
      <c r="K27" s="171" t="s">
        <v>287</v>
      </c>
      <c r="L27" s="83" t="s">
        <v>431</v>
      </c>
      <c r="M27" s="222">
        <v>153</v>
      </c>
      <c r="N27" s="222">
        <v>15</v>
      </c>
      <c r="O27" s="222">
        <f>2013-M27</f>
        <v>1860</v>
      </c>
      <c r="P27" s="222">
        <f>204-N27</f>
        <v>189</v>
      </c>
      <c r="Q27" s="222">
        <f t="shared" si="0"/>
        <v>2013</v>
      </c>
      <c r="R27" s="222">
        <f t="shared" si="1"/>
        <v>204</v>
      </c>
    </row>
    <row r="28" spans="1:18" ht="15" thickBot="1">
      <c r="A28" s="330" t="s">
        <v>458</v>
      </c>
      <c r="B28" s="332"/>
      <c r="C28" s="137">
        <f>SUM(C23:C27)</f>
        <v>224720</v>
      </c>
      <c r="D28" s="137">
        <f>SUM(D23:D27)</f>
        <v>0</v>
      </c>
      <c r="E28" s="137">
        <f>SUM(E23:E27)</f>
        <v>1024</v>
      </c>
      <c r="F28" s="137">
        <f>SUM(F23:F27)</f>
        <v>10853</v>
      </c>
      <c r="G28" s="137">
        <f>SUM(G23:G27)</f>
        <v>236597</v>
      </c>
      <c r="H28" s="142"/>
      <c r="I28" s="137">
        <f>SUM(I23:I27)</f>
        <v>243853</v>
      </c>
      <c r="J28" s="143"/>
      <c r="K28" s="150"/>
      <c r="M28" s="222"/>
      <c r="N28" s="222"/>
      <c r="O28" s="222"/>
      <c r="P28" s="222"/>
      <c r="Q28" s="222">
        <f t="shared" si="0"/>
        <v>0</v>
      </c>
      <c r="R28" s="222">
        <f t="shared" si="1"/>
        <v>0</v>
      </c>
    </row>
    <row r="29" spans="1:18" ht="15" thickTop="1">
      <c r="A29" s="122"/>
      <c r="B29" s="144"/>
      <c r="C29" s="134"/>
      <c r="D29" s="134"/>
      <c r="E29" s="134"/>
      <c r="F29" s="134"/>
      <c r="G29" s="134"/>
      <c r="H29" s="144"/>
      <c r="I29" s="134"/>
      <c r="K29" s="89"/>
      <c r="M29" s="222"/>
      <c r="N29" s="222"/>
      <c r="O29" s="222"/>
      <c r="P29" s="222"/>
      <c r="Q29" s="222">
        <f t="shared" si="0"/>
        <v>0</v>
      </c>
      <c r="R29" s="222">
        <f t="shared" si="1"/>
        <v>0</v>
      </c>
    </row>
    <row r="30" spans="1:18">
      <c r="A30" s="91" t="s">
        <v>245</v>
      </c>
      <c r="B30" s="144"/>
      <c r="C30" s="134"/>
      <c r="D30" s="134"/>
      <c r="E30" s="134"/>
      <c r="F30" s="134"/>
      <c r="G30" s="134"/>
      <c r="H30" s="144"/>
      <c r="I30" s="134"/>
      <c r="K30" s="89"/>
      <c r="M30" s="222"/>
      <c r="N30" s="222"/>
      <c r="O30" s="222"/>
      <c r="P30" s="222"/>
      <c r="Q30" s="222">
        <f t="shared" si="0"/>
        <v>0</v>
      </c>
      <c r="R30" s="222">
        <f t="shared" si="1"/>
        <v>0</v>
      </c>
    </row>
    <row r="31" spans="1:18">
      <c r="A31" s="170" t="s">
        <v>359</v>
      </c>
      <c r="B31" s="175" t="s">
        <v>297</v>
      </c>
      <c r="C31" s="171">
        <v>419081</v>
      </c>
      <c r="D31" s="171">
        <v>0</v>
      </c>
      <c r="E31" s="171">
        <v>13752</v>
      </c>
      <c r="F31" s="171">
        <f>32156-3217</f>
        <v>28939</v>
      </c>
      <c r="G31" s="171">
        <f t="shared" ref="G31:G33" si="7">SUM(C31:F31)</f>
        <v>461772</v>
      </c>
      <c r="H31" s="226" t="s">
        <v>437</v>
      </c>
      <c r="I31" s="171">
        <v>483846</v>
      </c>
      <c r="J31" s="173">
        <v>7.2499999999999995E-2</v>
      </c>
      <c r="K31" s="171" t="s">
        <v>287</v>
      </c>
      <c r="L31" s="83" t="s">
        <v>431</v>
      </c>
      <c r="M31" s="222"/>
      <c r="N31" s="222"/>
      <c r="O31" s="222">
        <v>32156</v>
      </c>
      <c r="P31" s="222">
        <v>3217</v>
      </c>
      <c r="Q31" s="222">
        <f t="shared" si="0"/>
        <v>32156</v>
      </c>
      <c r="R31" s="222">
        <f t="shared" si="1"/>
        <v>3217</v>
      </c>
    </row>
    <row r="32" spans="1:18">
      <c r="A32" s="176" t="s">
        <v>418</v>
      </c>
      <c r="B32" s="175" t="s">
        <v>419</v>
      </c>
      <c r="C32" s="171">
        <v>159170</v>
      </c>
      <c r="D32" s="171">
        <v>0</v>
      </c>
      <c r="E32" s="171">
        <v>0</v>
      </c>
      <c r="F32" s="171">
        <f>6635-656</f>
        <v>5979</v>
      </c>
      <c r="G32" s="171">
        <f t="shared" si="7"/>
        <v>165149</v>
      </c>
      <c r="H32" s="226" t="s">
        <v>436</v>
      </c>
      <c r="I32" s="171">
        <v>169277</v>
      </c>
      <c r="J32" s="173">
        <v>6.3500000000000001E-2</v>
      </c>
      <c r="K32" s="171" t="s">
        <v>287</v>
      </c>
      <c r="L32" s="83" t="s">
        <v>431</v>
      </c>
      <c r="M32" s="222">
        <v>3650</v>
      </c>
      <c r="N32" s="222">
        <v>365</v>
      </c>
      <c r="O32" s="222">
        <f>10285-M32</f>
        <v>6635</v>
      </c>
      <c r="P32" s="222">
        <f>1021-N32</f>
        <v>656</v>
      </c>
      <c r="Q32" s="222">
        <f t="shared" si="0"/>
        <v>10285</v>
      </c>
      <c r="R32" s="222">
        <f t="shared" si="1"/>
        <v>1021</v>
      </c>
    </row>
    <row r="33" spans="1:18">
      <c r="A33" s="176" t="s">
        <v>357</v>
      </c>
      <c r="B33" s="175" t="s">
        <v>288</v>
      </c>
      <c r="C33" s="171">
        <v>191526</v>
      </c>
      <c r="D33" s="171">
        <v>0</v>
      </c>
      <c r="E33" s="171">
        <v>3590</v>
      </c>
      <c r="F33" s="171">
        <f>14701-1472</f>
        <v>13229</v>
      </c>
      <c r="G33" s="171">
        <f t="shared" si="7"/>
        <v>208345</v>
      </c>
      <c r="H33" s="226" t="s">
        <v>434</v>
      </c>
      <c r="I33" s="171">
        <v>221559</v>
      </c>
      <c r="J33" s="173">
        <v>7.3499999999999996E-2</v>
      </c>
      <c r="K33" s="171" t="s">
        <v>287</v>
      </c>
      <c r="L33" s="83" t="s">
        <v>431</v>
      </c>
      <c r="M33" s="222"/>
      <c r="N33" s="222"/>
      <c r="O33" s="222">
        <v>14701</v>
      </c>
      <c r="P33" s="222">
        <v>1472</v>
      </c>
      <c r="Q33" s="222">
        <f t="shared" si="0"/>
        <v>14701</v>
      </c>
      <c r="R33" s="222">
        <f t="shared" si="1"/>
        <v>1472</v>
      </c>
    </row>
    <row r="34" spans="1:18" ht="15" thickBot="1">
      <c r="A34" s="330" t="s">
        <v>458</v>
      </c>
      <c r="B34" s="332"/>
      <c r="C34" s="137">
        <f>SUM(C31:C33)</f>
        <v>769777</v>
      </c>
      <c r="D34" s="137">
        <f>SUM(D31:D33)</f>
        <v>0</v>
      </c>
      <c r="E34" s="137">
        <f>SUM(E31:E33)</f>
        <v>17342</v>
      </c>
      <c r="F34" s="137">
        <f>SUM(F31:F33)</f>
        <v>48147</v>
      </c>
      <c r="G34" s="137">
        <f>SUM(G31:G33)</f>
        <v>835266</v>
      </c>
      <c r="H34" s="145"/>
      <c r="I34" s="137">
        <f>SUM(I31:I33)</f>
        <v>874682</v>
      </c>
      <c r="J34" s="143"/>
      <c r="K34" s="152"/>
      <c r="M34" s="222"/>
      <c r="N34" s="222"/>
      <c r="O34" s="222"/>
      <c r="P34" s="222"/>
      <c r="Q34" s="222">
        <f t="shared" si="0"/>
        <v>0</v>
      </c>
      <c r="R34" s="222">
        <f t="shared" si="1"/>
        <v>0</v>
      </c>
    </row>
    <row r="35" spans="1:18" ht="15" thickTop="1">
      <c r="A35" s="94"/>
      <c r="C35" s="146"/>
      <c r="D35" s="146"/>
      <c r="E35" s="146"/>
      <c r="F35" s="146"/>
      <c r="G35" s="146"/>
      <c r="I35" s="146"/>
      <c r="K35" s="95"/>
      <c r="M35" s="222"/>
      <c r="N35" s="222"/>
      <c r="O35" s="222"/>
      <c r="P35" s="222"/>
      <c r="Q35" s="222">
        <f t="shared" si="0"/>
        <v>0</v>
      </c>
      <c r="R35" s="222">
        <f t="shared" si="1"/>
        <v>0</v>
      </c>
    </row>
    <row r="36" spans="1:18">
      <c r="A36" s="91" t="s">
        <v>247</v>
      </c>
      <c r="B36" s="144"/>
      <c r="C36" s="134"/>
      <c r="D36" s="134"/>
      <c r="E36" s="134"/>
      <c r="F36" s="134"/>
      <c r="G36" s="134"/>
      <c r="H36" s="144"/>
      <c r="I36" s="134"/>
      <c r="K36" s="89"/>
      <c r="M36" s="222"/>
      <c r="N36" s="222"/>
      <c r="O36" s="222"/>
      <c r="P36" s="222"/>
      <c r="Q36" s="222">
        <f t="shared" si="0"/>
        <v>0</v>
      </c>
      <c r="R36" s="222">
        <f t="shared" si="1"/>
        <v>0</v>
      </c>
    </row>
    <row r="37" spans="1:18">
      <c r="A37" s="176" t="s">
        <v>356</v>
      </c>
      <c r="B37" s="175" t="s">
        <v>288</v>
      </c>
      <c r="C37" s="171">
        <v>18364</v>
      </c>
      <c r="D37" s="171">
        <v>0</v>
      </c>
      <c r="E37" s="171">
        <v>343</v>
      </c>
      <c r="F37" s="171">
        <f>1409-143</f>
        <v>1266</v>
      </c>
      <c r="G37" s="171">
        <f t="shared" ref="G37" si="8">SUM(C37:F37)</f>
        <v>19973</v>
      </c>
      <c r="H37" s="229" t="s">
        <v>434</v>
      </c>
      <c r="I37" s="171">
        <v>21244</v>
      </c>
      <c r="J37" s="179">
        <v>7.3499999999999996E-2</v>
      </c>
      <c r="K37" s="171" t="s">
        <v>287</v>
      </c>
      <c r="L37" s="83" t="s">
        <v>431</v>
      </c>
      <c r="M37" s="222"/>
      <c r="N37" s="222"/>
      <c r="O37" s="222">
        <v>1409</v>
      </c>
      <c r="P37" s="222">
        <v>143</v>
      </c>
      <c r="Q37" s="222">
        <f t="shared" si="0"/>
        <v>1409</v>
      </c>
      <c r="R37" s="222">
        <f t="shared" si="1"/>
        <v>143</v>
      </c>
    </row>
    <row r="38" spans="1:18" ht="15" thickBot="1">
      <c r="A38" s="330" t="s">
        <v>458</v>
      </c>
      <c r="B38" s="332"/>
      <c r="C38" s="137">
        <f>SUM(C37)</f>
        <v>18364</v>
      </c>
      <c r="D38" s="137">
        <f>SUM(D37)</f>
        <v>0</v>
      </c>
      <c r="E38" s="137">
        <f t="shared" ref="E38:F38" si="9">SUM(E37)</f>
        <v>343</v>
      </c>
      <c r="F38" s="137">
        <f t="shared" si="9"/>
        <v>1266</v>
      </c>
      <c r="G38" s="137">
        <f>SUM(G37)</f>
        <v>19973</v>
      </c>
      <c r="H38" s="145"/>
      <c r="I38" s="137">
        <f>SUM(I37)</f>
        <v>21244</v>
      </c>
      <c r="J38" s="143"/>
      <c r="K38" s="152"/>
      <c r="M38" s="222"/>
      <c r="N38" s="222"/>
      <c r="O38" s="222"/>
      <c r="P38" s="222"/>
      <c r="Q38" s="222">
        <f t="shared" si="0"/>
        <v>0</v>
      </c>
      <c r="R38" s="222">
        <f t="shared" si="1"/>
        <v>0</v>
      </c>
    </row>
    <row r="39" spans="1:18" ht="15" thickTop="1">
      <c r="A39" s="94"/>
      <c r="C39" s="146"/>
      <c r="D39" s="146"/>
      <c r="E39" s="146"/>
      <c r="F39" s="146"/>
      <c r="G39" s="146"/>
      <c r="I39" s="146"/>
      <c r="K39" s="95"/>
      <c r="M39" s="222"/>
      <c r="N39" s="222"/>
      <c r="O39" s="222"/>
      <c r="P39" s="222"/>
      <c r="Q39" s="222">
        <f t="shared" si="0"/>
        <v>0</v>
      </c>
      <c r="R39" s="222">
        <f t="shared" si="1"/>
        <v>0</v>
      </c>
    </row>
    <row r="40" spans="1:18">
      <c r="A40" s="122" t="s">
        <v>289</v>
      </c>
      <c r="B40" s="144"/>
      <c r="C40" s="134"/>
      <c r="D40" s="134"/>
      <c r="E40" s="134"/>
      <c r="F40" s="134"/>
      <c r="G40" s="134"/>
      <c r="H40" s="144"/>
      <c r="I40" s="134"/>
      <c r="K40" s="89"/>
      <c r="M40" s="222"/>
      <c r="N40" s="222"/>
      <c r="O40" s="222"/>
      <c r="P40" s="222"/>
      <c r="Q40" s="222">
        <f t="shared" si="0"/>
        <v>0</v>
      </c>
      <c r="R40" s="222">
        <f t="shared" si="1"/>
        <v>0</v>
      </c>
    </row>
    <row r="41" spans="1:18">
      <c r="A41" s="176" t="s">
        <v>369</v>
      </c>
      <c r="B41" s="175" t="s">
        <v>415</v>
      </c>
      <c r="C41" s="171">
        <v>9000</v>
      </c>
      <c r="D41" s="171">
        <v>0</v>
      </c>
      <c r="E41" s="171">
        <v>0</v>
      </c>
      <c r="F41" s="171">
        <v>0</v>
      </c>
      <c r="G41" s="171">
        <f t="shared" ref="G41" si="10">SUM(C41:F41)</f>
        <v>9000</v>
      </c>
      <c r="H41" s="229" t="s">
        <v>416</v>
      </c>
      <c r="I41" s="171">
        <v>9000</v>
      </c>
      <c r="J41" s="173">
        <v>7.0999999999999994E-2</v>
      </c>
      <c r="K41" s="171" t="s">
        <v>287</v>
      </c>
      <c r="L41" s="83" t="s">
        <v>431</v>
      </c>
      <c r="M41" s="222">
        <v>0</v>
      </c>
      <c r="N41" s="222"/>
      <c r="O41" s="222">
        <v>599</v>
      </c>
      <c r="P41" s="222">
        <v>61</v>
      </c>
      <c r="Q41" s="222">
        <f t="shared" si="0"/>
        <v>599</v>
      </c>
      <c r="R41" s="222">
        <f t="shared" si="1"/>
        <v>61</v>
      </c>
    </row>
    <row r="42" spans="1:18" ht="15" thickBot="1">
      <c r="A42" s="330" t="s">
        <v>458</v>
      </c>
      <c r="B42" s="332"/>
      <c r="C42" s="137">
        <f>SUM(C41)</f>
        <v>9000</v>
      </c>
      <c r="D42" s="137">
        <f t="shared" ref="D42" si="11">SUM(D41)</f>
        <v>0</v>
      </c>
      <c r="E42" s="137">
        <f>SUM(E41)</f>
        <v>0</v>
      </c>
      <c r="F42" s="137">
        <f>SUM(F41)</f>
        <v>0</v>
      </c>
      <c r="G42" s="137">
        <f>SUM(G41)</f>
        <v>9000</v>
      </c>
      <c r="H42" s="145"/>
      <c r="I42" s="137">
        <f t="shared" ref="I42" si="12">SUM(I41)</f>
        <v>9000</v>
      </c>
      <c r="J42" s="143"/>
      <c r="K42" s="152"/>
      <c r="M42" s="222"/>
      <c r="N42" s="222"/>
      <c r="O42" s="222"/>
      <c r="P42" s="222"/>
      <c r="Q42" s="222">
        <f t="shared" si="0"/>
        <v>0</v>
      </c>
      <c r="R42" s="222">
        <f t="shared" si="1"/>
        <v>0</v>
      </c>
    </row>
    <row r="43" spans="1:18" ht="15" thickTop="1">
      <c r="A43" s="94"/>
      <c r="C43" s="134"/>
      <c r="D43" s="134"/>
      <c r="E43" s="134"/>
      <c r="F43" s="134"/>
      <c r="G43" s="134"/>
      <c r="I43" s="134"/>
      <c r="K43" s="95"/>
      <c r="M43" s="222"/>
      <c r="N43" s="222"/>
      <c r="O43" s="222"/>
      <c r="P43" s="222"/>
      <c r="Q43" s="222">
        <f t="shared" si="0"/>
        <v>0</v>
      </c>
      <c r="R43" s="222">
        <f t="shared" si="1"/>
        <v>0</v>
      </c>
    </row>
    <row r="44" spans="1:18" ht="15" thickBot="1">
      <c r="A44" s="330" t="s">
        <v>290</v>
      </c>
      <c r="B44" s="331"/>
      <c r="C44" s="137">
        <f>C11+C20+C28+C42+C34+C38</f>
        <v>1887491</v>
      </c>
      <c r="D44" s="137">
        <f>D11+D20+D28+D42+D34+D38</f>
        <v>0</v>
      </c>
      <c r="E44" s="137">
        <f>E11+E20+E28+E42+E34+E38</f>
        <v>19683</v>
      </c>
      <c r="F44" s="137">
        <f>F11+F20+F28+F42+F34+F38</f>
        <v>71865</v>
      </c>
      <c r="G44" s="137">
        <f>G11+G20+G28+G42+G34+G38</f>
        <v>1979039</v>
      </c>
      <c r="H44" s="145"/>
      <c r="I44" s="137">
        <f>I11+I20+I28+I42+I34</f>
        <v>1946741</v>
      </c>
      <c r="J44" s="143"/>
      <c r="K44" s="152"/>
      <c r="M44" s="223">
        <f>SUM(M5:M43)</f>
        <v>16457</v>
      </c>
      <c r="N44" s="223">
        <f t="shared" ref="N44:R44" si="13">SUM(N5:N43)</f>
        <v>1646</v>
      </c>
      <c r="O44" s="223">
        <f t="shared" si="13"/>
        <v>117625</v>
      </c>
      <c r="P44" s="223">
        <f t="shared" si="13"/>
        <v>11774</v>
      </c>
      <c r="Q44" s="223">
        <f t="shared" si="13"/>
        <v>134082</v>
      </c>
      <c r="R44" s="223">
        <f t="shared" si="13"/>
        <v>13420</v>
      </c>
    </row>
    <row r="45" spans="1:18" ht="15" thickTop="1">
      <c r="A45" s="153"/>
      <c r="B45" s="147"/>
      <c r="C45" s="148"/>
      <c r="D45" s="148"/>
      <c r="E45" s="148"/>
      <c r="F45" s="148">
        <f>+D44+E44+F44</f>
        <v>91548</v>
      </c>
      <c r="G45" s="148"/>
      <c r="H45" s="147"/>
      <c r="I45" s="148"/>
      <c r="J45" s="149"/>
      <c r="K45" s="154"/>
      <c r="Q45" s="96"/>
    </row>
    <row r="46" spans="1:18">
      <c r="Q46" s="96"/>
    </row>
  </sheetData>
  <mergeCells count="9">
    <mergeCell ref="A1:K1"/>
    <mergeCell ref="A2:K2"/>
    <mergeCell ref="A44:B44"/>
    <mergeCell ref="A11:B11"/>
    <mergeCell ref="A20:B20"/>
    <mergeCell ref="A28:B28"/>
    <mergeCell ref="A34:B34"/>
    <mergeCell ref="A38:B38"/>
    <mergeCell ref="A42:B42"/>
  </mergeCells>
  <printOptions horizontalCentered="1"/>
  <pageMargins left="0.39370078740157483" right="0.19685039370078741" top="0.59055118110236227" bottom="0.19685039370078741" header="0.31496062992125984" footer="0.31496062992125984"/>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1"/>
  <sheetViews>
    <sheetView tabSelected="1" view="pageBreakPreview" zoomScaleNormal="100" zoomScaleSheetLayoutView="100" workbookViewId="0">
      <selection activeCell="N13" sqref="N13"/>
    </sheetView>
  </sheetViews>
  <sheetFormatPr defaultColWidth="9" defaultRowHeight="14.4"/>
  <cols>
    <col min="1" max="1" width="5.6640625" style="15" customWidth="1"/>
    <col min="2" max="2" width="5.6640625" style="15" bestFit="1" customWidth="1"/>
    <col min="3" max="3" width="6.88671875" style="15" customWidth="1"/>
    <col min="4" max="4" width="11.5546875" style="15" bestFit="1" customWidth="1"/>
    <col min="5" max="5" width="36.109375" style="15" customWidth="1"/>
    <col min="6" max="6" width="15.77734375" style="38" customWidth="1"/>
    <col min="7" max="7" width="2.77734375" style="15" customWidth="1"/>
    <col min="8" max="246" width="9.109375" style="15" customWidth="1"/>
    <col min="247" max="16384" width="9" style="15"/>
  </cols>
  <sheetData>
    <row r="1" spans="1:6" ht="18">
      <c r="A1" s="348" t="s">
        <v>298</v>
      </c>
      <c r="B1" s="348"/>
      <c r="C1" s="348"/>
      <c r="D1" s="348"/>
      <c r="E1" s="348"/>
      <c r="F1" s="348"/>
    </row>
    <row r="2" spans="1:6" ht="7.2" customHeight="1">
      <c r="A2" s="48"/>
      <c r="B2" s="48"/>
      <c r="C2" s="48"/>
      <c r="D2" s="48"/>
      <c r="E2" s="48"/>
      <c r="F2" s="48"/>
    </row>
    <row r="3" spans="1:6" ht="17.399999999999999">
      <c r="A3" s="349" t="s">
        <v>395</v>
      </c>
      <c r="B3" s="349"/>
      <c r="C3" s="349"/>
      <c r="D3" s="349"/>
      <c r="E3" s="349"/>
      <c r="F3" s="349"/>
    </row>
    <row r="4" spans="1:6" ht="15.6">
      <c r="A4" s="49"/>
      <c r="B4" s="49"/>
      <c r="C4" s="49"/>
      <c r="D4" s="49"/>
      <c r="E4" s="49"/>
      <c r="F4" s="49"/>
    </row>
    <row r="5" spans="1:6" ht="16.95" customHeight="1" thickBot="1">
      <c r="A5" s="50" t="s">
        <v>315</v>
      </c>
      <c r="B5" s="50" t="s">
        <v>291</v>
      </c>
      <c r="C5" s="50" t="s">
        <v>292</v>
      </c>
      <c r="D5" s="50" t="s">
        <v>332</v>
      </c>
      <c r="E5" s="50" t="s">
        <v>314</v>
      </c>
      <c r="F5" s="50" t="s">
        <v>388</v>
      </c>
    </row>
    <row r="6" spans="1:6" ht="16.95" customHeight="1" thickTop="1">
      <c r="A6" s="369">
        <v>1</v>
      </c>
      <c r="B6" s="369" t="s">
        <v>293</v>
      </c>
      <c r="C6" s="369">
        <v>101</v>
      </c>
      <c r="D6" s="373">
        <v>120596</v>
      </c>
      <c r="E6" s="374" t="s">
        <v>371</v>
      </c>
      <c r="F6" s="375">
        <v>35424</v>
      </c>
    </row>
    <row r="7" spans="1:6" ht="16.95" customHeight="1">
      <c r="A7" s="51">
        <v>2</v>
      </c>
      <c r="B7" s="51" t="s">
        <v>293</v>
      </c>
      <c r="C7" s="51">
        <v>201</v>
      </c>
      <c r="D7" s="56">
        <v>0</v>
      </c>
      <c r="E7" s="52" t="s">
        <v>396</v>
      </c>
      <c r="F7" s="41">
        <v>5736</v>
      </c>
    </row>
    <row r="8" spans="1:6" ht="16.95" customHeight="1">
      <c r="A8" s="368">
        <v>3</v>
      </c>
      <c r="B8" s="369" t="s">
        <v>293</v>
      </c>
      <c r="C8" s="368">
        <v>502</v>
      </c>
      <c r="D8" s="370">
        <v>56227</v>
      </c>
      <c r="E8" s="371" t="s">
        <v>370</v>
      </c>
      <c r="F8" s="372">
        <v>45228</v>
      </c>
    </row>
    <row r="9" spans="1:6" ht="16.95" customHeight="1">
      <c r="A9" s="51">
        <v>4</v>
      </c>
      <c r="B9" s="51" t="s">
        <v>293</v>
      </c>
      <c r="C9" s="44">
        <v>602</v>
      </c>
      <c r="D9" s="56">
        <v>0</v>
      </c>
      <c r="E9" s="52" t="s">
        <v>397</v>
      </c>
      <c r="F9" s="41">
        <v>6</v>
      </c>
    </row>
    <row r="10" spans="1:6" ht="16.95" customHeight="1">
      <c r="A10" s="51">
        <v>5</v>
      </c>
      <c r="B10" s="51" t="s">
        <v>293</v>
      </c>
      <c r="C10" s="44">
        <v>801</v>
      </c>
      <c r="D10" s="56">
        <v>55558</v>
      </c>
      <c r="E10" s="52" t="s">
        <v>372</v>
      </c>
      <c r="F10" s="41">
        <v>0</v>
      </c>
    </row>
    <row r="11" spans="1:6" ht="16.95" customHeight="1" thickBot="1">
      <c r="A11" s="45"/>
      <c r="B11" s="43"/>
      <c r="C11" s="46"/>
      <c r="D11" s="58">
        <f>SUM(D6:D10)</f>
        <v>232381</v>
      </c>
      <c r="E11" s="47" t="s">
        <v>49</v>
      </c>
      <c r="F11" s="42">
        <f>SUM(F6:F10)</f>
        <v>86394</v>
      </c>
    </row>
    <row r="12" spans="1:6" ht="15" thickTop="1"/>
    <row r="13" spans="1:6" ht="17.399999999999999">
      <c r="A13" s="349" t="s">
        <v>398</v>
      </c>
      <c r="B13" s="349"/>
      <c r="C13" s="349"/>
      <c r="D13" s="349"/>
      <c r="E13" s="349"/>
      <c r="F13" s="349"/>
    </row>
    <row r="14" spans="1:6" ht="15.6">
      <c r="A14" s="49"/>
      <c r="B14" s="49"/>
      <c r="C14" s="49"/>
      <c r="D14" s="49"/>
      <c r="E14" s="49"/>
      <c r="F14" s="49"/>
    </row>
    <row r="15" spans="1:6" ht="16.95" customHeight="1" thickBot="1">
      <c r="A15" s="50" t="s">
        <v>315</v>
      </c>
      <c r="B15" s="50" t="s">
        <v>291</v>
      </c>
      <c r="C15" s="50" t="s">
        <v>292</v>
      </c>
      <c r="D15" s="50" t="str">
        <f>D5</f>
        <v>FY 2024-25</v>
      </c>
      <c r="E15" s="50" t="s">
        <v>314</v>
      </c>
      <c r="F15" s="50" t="str">
        <f>F5</f>
        <v>FY 2025-26</v>
      </c>
    </row>
    <row r="16" spans="1:6" ht="16.95" customHeight="1" thickTop="1">
      <c r="A16" s="51">
        <v>1</v>
      </c>
      <c r="B16" s="51" t="s">
        <v>293</v>
      </c>
      <c r="C16" s="51">
        <v>202</v>
      </c>
      <c r="D16" s="56">
        <v>9733</v>
      </c>
      <c r="E16" s="52" t="s">
        <v>353</v>
      </c>
      <c r="F16" s="41">
        <v>1015</v>
      </c>
    </row>
    <row r="17" spans="1:6" ht="16.95" customHeight="1">
      <c r="A17" s="44">
        <v>2</v>
      </c>
      <c r="B17" s="44" t="s">
        <v>293</v>
      </c>
      <c r="C17" s="44">
        <v>602</v>
      </c>
      <c r="D17" s="57">
        <v>15</v>
      </c>
      <c r="E17" s="39" t="s">
        <v>352</v>
      </c>
      <c r="F17" s="40">
        <v>6</v>
      </c>
    </row>
    <row r="18" spans="1:6" ht="16.95" customHeight="1" thickBot="1">
      <c r="A18" s="45"/>
      <c r="B18" s="43"/>
      <c r="C18" s="46"/>
      <c r="D18" s="80">
        <f>SUM(D16)</f>
        <v>9733</v>
      </c>
      <c r="E18" s="69" t="s">
        <v>49</v>
      </c>
      <c r="F18" s="42">
        <f>SUM(F16:F17)</f>
        <v>1021</v>
      </c>
    </row>
    <row r="19" spans="1:6" ht="15" thickTop="1"/>
    <row r="20" spans="1:6" ht="17.399999999999999">
      <c r="A20" s="349" t="s">
        <v>399</v>
      </c>
      <c r="B20" s="349"/>
      <c r="C20" s="349"/>
      <c r="D20" s="349"/>
      <c r="E20" s="349"/>
      <c r="F20" s="349"/>
    </row>
    <row r="21" spans="1:6">
      <c r="C21" s="53"/>
      <c r="D21" s="53"/>
      <c r="E21" s="53"/>
      <c r="F21" s="53"/>
    </row>
    <row r="22" spans="1:6" ht="16.95" customHeight="1" thickBot="1">
      <c r="A22" s="50" t="s">
        <v>315</v>
      </c>
      <c r="B22" s="330" t="str">
        <f>+D15</f>
        <v>FY 2024-25</v>
      </c>
      <c r="C22" s="332"/>
      <c r="D22" s="342" t="s">
        <v>76</v>
      </c>
      <c r="E22" s="343"/>
      <c r="F22" s="50" t="str">
        <f>F15</f>
        <v>FY 2025-26</v>
      </c>
    </row>
    <row r="23" spans="1:6" ht="16.95" customHeight="1" thickTop="1">
      <c r="A23" s="51">
        <v>1</v>
      </c>
      <c r="B23" s="344">
        <v>18390</v>
      </c>
      <c r="C23" s="345"/>
      <c r="D23" s="350" t="s">
        <v>350</v>
      </c>
      <c r="E23" s="351"/>
      <c r="F23" s="54">
        <v>1080</v>
      </c>
    </row>
    <row r="24" spans="1:6" ht="16.95" customHeight="1">
      <c r="A24" s="44">
        <v>2</v>
      </c>
      <c r="B24" s="346">
        <v>414765</v>
      </c>
      <c r="C24" s="347"/>
      <c r="D24" s="352" t="s">
        <v>336</v>
      </c>
      <c r="E24" s="354"/>
      <c r="F24" s="55">
        <v>85149</v>
      </c>
    </row>
    <row r="25" spans="1:6" ht="16.95" customHeight="1">
      <c r="A25" s="51">
        <v>3</v>
      </c>
      <c r="B25" s="346">
        <v>22700</v>
      </c>
      <c r="C25" s="347"/>
      <c r="D25" s="352" t="s">
        <v>351</v>
      </c>
      <c r="E25" s="354"/>
      <c r="F25" s="55">
        <v>22700</v>
      </c>
    </row>
    <row r="26" spans="1:6" ht="16.95" customHeight="1" thickBot="1">
      <c r="A26" s="81"/>
      <c r="B26" s="333">
        <f>B23+B24</f>
        <v>433155</v>
      </c>
      <c r="C26" s="334"/>
      <c r="D26" s="335" t="s">
        <v>49</v>
      </c>
      <c r="E26" s="336"/>
      <c r="F26" s="59">
        <f>SUM(F23:F25)</f>
        <v>108929</v>
      </c>
    </row>
    <row r="27" spans="1:6" ht="15" thickTop="1">
      <c r="F27" s="16"/>
    </row>
    <row r="28" spans="1:6" ht="17.399999999999999">
      <c r="A28" s="349" t="s">
        <v>400</v>
      </c>
      <c r="B28" s="349"/>
      <c r="C28" s="349"/>
      <c r="D28" s="349"/>
      <c r="E28" s="349"/>
      <c r="F28" s="349"/>
    </row>
    <row r="29" spans="1:6">
      <c r="F29" s="16"/>
    </row>
    <row r="30" spans="1:6" ht="16.95" customHeight="1" thickBot="1">
      <c r="A30" s="50" t="s">
        <v>315</v>
      </c>
      <c r="B30" s="330" t="str">
        <f>B22</f>
        <v>FY 2024-25</v>
      </c>
      <c r="C30" s="332"/>
      <c r="D30" s="342" t="s">
        <v>76</v>
      </c>
      <c r="E30" s="343"/>
      <c r="F30" s="50" t="str">
        <f>F22</f>
        <v>FY 2025-26</v>
      </c>
    </row>
    <row r="31" spans="1:6" ht="16.95" customHeight="1" thickTop="1">
      <c r="A31" s="51">
        <v>1</v>
      </c>
      <c r="B31" s="346">
        <v>803</v>
      </c>
      <c r="C31" s="347"/>
      <c r="D31" s="350" t="s">
        <v>336</v>
      </c>
      <c r="E31" s="351"/>
      <c r="F31" s="158">
        <v>0</v>
      </c>
    </row>
    <row r="32" spans="1:6" ht="16.95" customHeight="1">
      <c r="A32" s="44">
        <v>2</v>
      </c>
      <c r="B32" s="346">
        <v>85500</v>
      </c>
      <c r="C32" s="347"/>
      <c r="D32" s="352" t="s">
        <v>354</v>
      </c>
      <c r="E32" s="353"/>
      <c r="F32" s="159">
        <v>85500</v>
      </c>
    </row>
    <row r="33" spans="1:6" ht="16.95" customHeight="1" thickBot="1">
      <c r="A33" s="81"/>
      <c r="B33" s="333">
        <f>SUM(B31:C32)</f>
        <v>86303</v>
      </c>
      <c r="C33" s="334"/>
      <c r="D33" s="335" t="s">
        <v>49</v>
      </c>
      <c r="E33" s="336"/>
      <c r="F33" s="160">
        <f>SUM(F28:F32)</f>
        <v>85500</v>
      </c>
    </row>
    <row r="34" spans="1:6" ht="15" thickTop="1">
      <c r="F34" s="16"/>
    </row>
    <row r="36" spans="1:6" ht="17.399999999999999">
      <c r="C36" s="339" t="s">
        <v>401</v>
      </c>
      <c r="D36" s="339"/>
      <c r="E36" s="339"/>
      <c r="F36" s="339"/>
    </row>
    <row r="37" spans="1:6">
      <c r="C37" s="76"/>
      <c r="D37" s="76"/>
      <c r="E37" s="76"/>
      <c r="F37" s="76"/>
    </row>
    <row r="38" spans="1:6" ht="16.95" customHeight="1" thickBot="1">
      <c r="B38" s="50" t="s">
        <v>315</v>
      </c>
      <c r="C38" s="340" t="str">
        <f>B22</f>
        <v>FY 2024-25</v>
      </c>
      <c r="D38" s="340"/>
      <c r="E38" s="79" t="s">
        <v>61</v>
      </c>
      <c r="F38" s="79" t="str">
        <f>F22</f>
        <v>FY 2025-26</v>
      </c>
    </row>
    <row r="39" spans="1:6" ht="16.95" customHeight="1" thickTop="1">
      <c r="B39" s="51">
        <v>1</v>
      </c>
      <c r="C39" s="341">
        <v>11601</v>
      </c>
      <c r="D39" s="341"/>
      <c r="E39" s="77" t="s">
        <v>63</v>
      </c>
      <c r="F39" s="78">
        <v>11640</v>
      </c>
    </row>
    <row r="40" spans="1:6" ht="16.95" customHeight="1">
      <c r="B40" s="44">
        <v>2</v>
      </c>
      <c r="C40" s="337">
        <v>55180</v>
      </c>
      <c r="D40" s="337"/>
      <c r="E40" s="13" t="s">
        <v>64</v>
      </c>
      <c r="F40" s="78">
        <f>133974+1485</f>
        <v>135459</v>
      </c>
    </row>
    <row r="41" spans="1:6" ht="16.95" customHeight="1">
      <c r="B41" s="51">
        <v>3</v>
      </c>
      <c r="C41" s="337">
        <v>7013</v>
      </c>
      <c r="D41" s="337"/>
      <c r="E41" s="13" t="s">
        <v>65</v>
      </c>
      <c r="F41" s="78">
        <v>20590</v>
      </c>
    </row>
    <row r="42" spans="1:6" ht="16.95" customHeight="1">
      <c r="B42" s="44">
        <v>4</v>
      </c>
      <c r="C42" s="337">
        <v>0</v>
      </c>
      <c r="D42" s="337"/>
      <c r="E42" s="13" t="s">
        <v>68</v>
      </c>
      <c r="F42" s="78">
        <v>83500</v>
      </c>
    </row>
    <row r="43" spans="1:6" ht="16.95" customHeight="1">
      <c r="B43" s="44">
        <v>4</v>
      </c>
      <c r="C43" s="337">
        <v>0</v>
      </c>
      <c r="D43" s="337"/>
      <c r="E43" s="13" t="s">
        <v>389</v>
      </c>
      <c r="F43" s="78">
        <v>1200</v>
      </c>
    </row>
    <row r="44" spans="1:6" ht="16.95" customHeight="1">
      <c r="B44" s="44">
        <v>4</v>
      </c>
      <c r="C44" s="337">
        <v>0</v>
      </c>
      <c r="D44" s="337"/>
      <c r="E44" s="13" t="s">
        <v>390</v>
      </c>
      <c r="F44" s="78">
        <v>1500</v>
      </c>
    </row>
    <row r="45" spans="1:6" ht="16.95" customHeight="1">
      <c r="B45" s="51">
        <v>5</v>
      </c>
      <c r="C45" s="337">
        <v>8000</v>
      </c>
      <c r="D45" s="337"/>
      <c r="E45" s="13" t="s">
        <v>66</v>
      </c>
      <c r="F45" s="78">
        <v>12400</v>
      </c>
    </row>
    <row r="46" spans="1:6" ht="16.95" customHeight="1">
      <c r="B46" s="44">
        <v>6</v>
      </c>
      <c r="C46" s="337">
        <v>1136120</v>
      </c>
      <c r="D46" s="337"/>
      <c r="E46" s="13" t="s">
        <v>327</v>
      </c>
      <c r="F46" s="78">
        <v>0</v>
      </c>
    </row>
    <row r="47" spans="1:6" ht="16.95" customHeight="1">
      <c r="B47" s="44">
        <v>7</v>
      </c>
      <c r="C47" s="337">
        <v>-698000</v>
      </c>
      <c r="D47" s="337"/>
      <c r="E47" s="13" t="s">
        <v>35</v>
      </c>
      <c r="F47" s="78">
        <v>0</v>
      </c>
    </row>
    <row r="48" spans="1:6" ht="16.95" customHeight="1">
      <c r="B48" s="44">
        <v>8</v>
      </c>
      <c r="C48" s="337">
        <v>-185850</v>
      </c>
      <c r="D48" s="337"/>
      <c r="E48" s="13" t="s">
        <v>37</v>
      </c>
      <c r="F48" s="78">
        <v>0</v>
      </c>
    </row>
    <row r="49" spans="2:6" ht="16.95" customHeight="1">
      <c r="B49" s="44">
        <v>9</v>
      </c>
      <c r="C49" s="337">
        <v>-252270</v>
      </c>
      <c r="D49" s="337"/>
      <c r="E49" s="13" t="s">
        <v>33</v>
      </c>
      <c r="F49" s="78">
        <v>0</v>
      </c>
    </row>
    <row r="50" spans="2:6" ht="16.95" customHeight="1" thickBot="1">
      <c r="B50" s="292"/>
      <c r="C50" s="338">
        <f>SUM(C39:D49)</f>
        <v>81794</v>
      </c>
      <c r="D50" s="338"/>
      <c r="E50" s="79" t="s">
        <v>49</v>
      </c>
      <c r="F50" s="293">
        <f>SUM(F39:F49)</f>
        <v>266289</v>
      </c>
    </row>
    <row r="51" spans="2:6" ht="15" thickTop="1">
      <c r="D51"/>
      <c r="E51"/>
      <c r="F51"/>
    </row>
  </sheetData>
  <mergeCells count="37">
    <mergeCell ref="D32:E32"/>
    <mergeCell ref="D23:E23"/>
    <mergeCell ref="D24:E24"/>
    <mergeCell ref="D25:E25"/>
    <mergeCell ref="A28:F28"/>
    <mergeCell ref="B30:C30"/>
    <mergeCell ref="D30:E30"/>
    <mergeCell ref="B32:C32"/>
    <mergeCell ref="B31:C31"/>
    <mergeCell ref="A1:F1"/>
    <mergeCell ref="A3:F3"/>
    <mergeCell ref="A13:F13"/>
    <mergeCell ref="A20:F20"/>
    <mergeCell ref="D31:E31"/>
    <mergeCell ref="D22:E22"/>
    <mergeCell ref="D26:E26"/>
    <mergeCell ref="B22:C22"/>
    <mergeCell ref="B23:C23"/>
    <mergeCell ref="B24:C24"/>
    <mergeCell ref="B26:C26"/>
    <mergeCell ref="B25:C25"/>
    <mergeCell ref="B33:C33"/>
    <mergeCell ref="D33:E33"/>
    <mergeCell ref="C42:D42"/>
    <mergeCell ref="C45:D45"/>
    <mergeCell ref="C50:D50"/>
    <mergeCell ref="C36:F36"/>
    <mergeCell ref="C38:D38"/>
    <mergeCell ref="C39:D39"/>
    <mergeCell ref="C40:D40"/>
    <mergeCell ref="C41:D41"/>
    <mergeCell ref="C46:D46"/>
    <mergeCell ref="C47:D47"/>
    <mergeCell ref="C48:D48"/>
    <mergeCell ref="C49:D49"/>
    <mergeCell ref="C43:D43"/>
    <mergeCell ref="C44:D44"/>
  </mergeCells>
  <printOptions horizontalCentered="1"/>
  <pageMargins left="0.31496062992125984" right="0.31496062992125984" top="0.39370078740157483" bottom="0.35433070866141736" header="0.31496062992125984" footer="0.31496062992125984"/>
  <pageSetup paperSize="9"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view="pageBreakPreview" zoomScaleNormal="100" zoomScaleSheetLayoutView="100" workbookViewId="0">
      <selection sqref="A1:H1"/>
    </sheetView>
  </sheetViews>
  <sheetFormatPr defaultRowHeight="14.4"/>
  <cols>
    <col min="1" max="1" width="23.109375" bestFit="1" customWidth="1"/>
    <col min="2" max="2" width="5.44140625" bestFit="1" customWidth="1"/>
    <col min="3" max="8" width="15.77734375" style="2" customWidth="1"/>
    <col min="10" max="10" width="9.5546875" bestFit="1" customWidth="1"/>
  </cols>
  <sheetData>
    <row r="1" spans="1:8" ht="21">
      <c r="A1" s="355" t="s">
        <v>298</v>
      </c>
      <c r="B1" s="355"/>
      <c r="C1" s="355"/>
      <c r="D1" s="355"/>
      <c r="E1" s="355"/>
      <c r="F1" s="355"/>
      <c r="G1" s="355"/>
      <c r="H1" s="355"/>
    </row>
    <row r="2" spans="1:8">
      <c r="A2" s="68"/>
      <c r="B2" s="68"/>
      <c r="C2" s="68"/>
      <c r="D2" s="68"/>
      <c r="E2" s="68"/>
      <c r="F2" s="68"/>
      <c r="G2" s="68"/>
      <c r="H2" s="68"/>
    </row>
    <row r="3" spans="1:8" ht="15.6">
      <c r="A3" s="356" t="s">
        <v>75</v>
      </c>
      <c r="B3" s="356"/>
      <c r="C3" s="356"/>
      <c r="D3" s="356"/>
      <c r="E3" s="356"/>
      <c r="F3" s="356"/>
      <c r="G3" s="356"/>
      <c r="H3" s="356"/>
    </row>
    <row r="5" spans="1:8" s="15" customFormat="1" ht="55.5" customHeight="1" thickBot="1">
      <c r="A5" s="70" t="s">
        <v>76</v>
      </c>
      <c r="B5" s="70" t="s">
        <v>77</v>
      </c>
      <c r="C5" s="71" t="s">
        <v>402</v>
      </c>
      <c r="D5" s="74" t="s">
        <v>403</v>
      </c>
      <c r="E5" s="74" t="s">
        <v>404</v>
      </c>
      <c r="F5" s="71" t="s">
        <v>405</v>
      </c>
      <c r="G5" s="71" t="s">
        <v>78</v>
      </c>
      <c r="H5" s="71" t="s">
        <v>406</v>
      </c>
    </row>
    <row r="6" spans="1:8" s="15" customFormat="1" ht="30" customHeight="1" thickTop="1">
      <c r="A6" s="31" t="s">
        <v>79</v>
      </c>
      <c r="B6" s="37">
        <v>0</v>
      </c>
      <c r="C6" s="33">
        <v>17803000</v>
      </c>
      <c r="D6" s="37"/>
      <c r="E6" s="33"/>
      <c r="F6" s="37">
        <f t="shared" ref="F6:F15" si="0">C6+D6+E6</f>
        <v>17803000</v>
      </c>
      <c r="G6" s="33">
        <v>0</v>
      </c>
      <c r="H6" s="75">
        <f>F6-G6</f>
        <v>17803000</v>
      </c>
    </row>
    <row r="7" spans="1:8" s="15" customFormat="1" ht="30" customHeight="1">
      <c r="A7" s="31" t="s">
        <v>80</v>
      </c>
      <c r="B7" s="37">
        <v>0.15</v>
      </c>
      <c r="C7" s="33">
        <v>15724.3</v>
      </c>
      <c r="D7" s="37">
        <v>0</v>
      </c>
      <c r="E7" s="33">
        <v>0</v>
      </c>
      <c r="F7" s="37">
        <f t="shared" si="0"/>
        <v>15724.3</v>
      </c>
      <c r="G7" s="33">
        <f>ROUND(((C7+D7)*B7)+((E7*B7)/2),0)+0.3</f>
        <v>2359.3000000000002</v>
      </c>
      <c r="H7" s="75">
        <f t="shared" ref="H7:H15" si="1">F7-G7</f>
        <v>13365</v>
      </c>
    </row>
    <row r="8" spans="1:8" s="15" customFormat="1" ht="30" customHeight="1">
      <c r="A8" s="31" t="s">
        <v>81</v>
      </c>
      <c r="B8" s="37">
        <v>0.1</v>
      </c>
      <c r="C8" s="33">
        <v>1673</v>
      </c>
      <c r="D8" s="37">
        <v>0</v>
      </c>
      <c r="E8" s="33">
        <v>0</v>
      </c>
      <c r="F8" s="37">
        <f t="shared" si="0"/>
        <v>1673</v>
      </c>
      <c r="G8" s="33">
        <f>ROUND(((C8+D8)*B8)+((E8*B8)/2),0)</f>
        <v>167</v>
      </c>
      <c r="H8" s="75">
        <f t="shared" si="1"/>
        <v>1506</v>
      </c>
    </row>
    <row r="9" spans="1:8" s="15" customFormat="1" ht="30" customHeight="1">
      <c r="A9" s="31" t="s">
        <v>82</v>
      </c>
      <c r="B9" s="37">
        <v>0.1</v>
      </c>
      <c r="C9" s="33">
        <v>2880.8</v>
      </c>
      <c r="D9" s="37">
        <v>0</v>
      </c>
      <c r="E9" s="33">
        <v>0</v>
      </c>
      <c r="F9" s="37">
        <f t="shared" si="0"/>
        <v>2880.8</v>
      </c>
      <c r="G9" s="33">
        <f>ROUND(((C9+D9)*B9)+((E9*B9)/2),0)-0.2</f>
        <v>287.8</v>
      </c>
      <c r="H9" s="75">
        <f t="shared" ref="H9" si="2">F9-G9</f>
        <v>2593</v>
      </c>
    </row>
    <row r="10" spans="1:8" s="15" customFormat="1" ht="30" customHeight="1">
      <c r="A10" s="31" t="s">
        <v>83</v>
      </c>
      <c r="B10" s="37">
        <v>0.1</v>
      </c>
      <c r="C10" s="33">
        <v>693</v>
      </c>
      <c r="D10" s="37">
        <v>0</v>
      </c>
      <c r="E10" s="33">
        <v>0</v>
      </c>
      <c r="F10" s="37">
        <f t="shared" si="0"/>
        <v>693</v>
      </c>
      <c r="G10" s="33">
        <f>ROUND(((C10+D10)*B10)+((E10*B10)/2),0)</f>
        <v>69</v>
      </c>
      <c r="H10" s="75">
        <f t="shared" ref="H10" si="3">F10-G10</f>
        <v>624</v>
      </c>
    </row>
    <row r="11" spans="1:8" s="15" customFormat="1" ht="30" customHeight="1">
      <c r="A11" s="31" t="s">
        <v>84</v>
      </c>
      <c r="B11" s="37">
        <v>0.15</v>
      </c>
      <c r="C11" s="33">
        <v>6221.9</v>
      </c>
      <c r="D11" s="37">
        <v>0</v>
      </c>
      <c r="E11" s="33">
        <v>0</v>
      </c>
      <c r="F11" s="37">
        <f t="shared" si="0"/>
        <v>6221.9</v>
      </c>
      <c r="G11" s="33">
        <f>ROUND(((C11+D11)*B11)+((E11*B11)/2),0)-0.1</f>
        <v>932.9</v>
      </c>
      <c r="H11" s="75">
        <f t="shared" si="1"/>
        <v>5289</v>
      </c>
    </row>
    <row r="12" spans="1:8" s="15" customFormat="1" ht="30" customHeight="1">
      <c r="A12" s="31" t="s">
        <v>85</v>
      </c>
      <c r="B12" s="37">
        <v>0.15</v>
      </c>
      <c r="C12" s="33">
        <v>1873.3000000000002</v>
      </c>
      <c r="D12" s="37">
        <v>0</v>
      </c>
      <c r="E12" s="33">
        <v>0</v>
      </c>
      <c r="F12" s="37">
        <f t="shared" si="0"/>
        <v>1873.3000000000002</v>
      </c>
      <c r="G12" s="33">
        <f>ROUND(((C12+D12)*B12)+((E12*B12)/2),0)+0.3</f>
        <v>281.3</v>
      </c>
      <c r="H12" s="75">
        <f t="shared" si="1"/>
        <v>1592.0000000000002</v>
      </c>
    </row>
    <row r="13" spans="1:8" s="15" customFormat="1" ht="30" customHeight="1">
      <c r="A13" s="31" t="s">
        <v>86</v>
      </c>
      <c r="B13" s="37">
        <v>0.15</v>
      </c>
      <c r="C13" s="33">
        <v>6162.6</v>
      </c>
      <c r="D13" s="37">
        <v>0</v>
      </c>
      <c r="E13" s="33">
        <v>0</v>
      </c>
      <c r="F13" s="37">
        <f t="shared" si="0"/>
        <v>6162.6</v>
      </c>
      <c r="G13" s="33">
        <f>ROUND(((C13+D13)*B13)+((E13*B13)/2),0)-0.4</f>
        <v>923.6</v>
      </c>
      <c r="H13" s="75">
        <f t="shared" si="1"/>
        <v>5239</v>
      </c>
    </row>
    <row r="14" spans="1:8" s="15" customFormat="1" ht="30" customHeight="1">
      <c r="A14" s="31" t="s">
        <v>87</v>
      </c>
      <c r="B14" s="37">
        <v>0.15</v>
      </c>
      <c r="C14" s="33">
        <v>29320</v>
      </c>
      <c r="D14" s="37">
        <v>0</v>
      </c>
      <c r="E14" s="33">
        <v>0</v>
      </c>
      <c r="F14" s="37">
        <f t="shared" si="0"/>
        <v>29320</v>
      </c>
      <c r="G14" s="33">
        <f>ROUND(((C14+D14)*B14)+((E14*B14)/2),0)</f>
        <v>4398</v>
      </c>
      <c r="H14" s="75">
        <f t="shared" si="1"/>
        <v>24922</v>
      </c>
    </row>
    <row r="15" spans="1:8" s="15" customFormat="1" ht="30" customHeight="1">
      <c r="A15" s="31" t="s">
        <v>88</v>
      </c>
      <c r="B15" s="37">
        <v>0.4</v>
      </c>
      <c r="C15" s="33">
        <v>210.60000000000002</v>
      </c>
      <c r="D15" s="37">
        <v>0</v>
      </c>
      <c r="E15" s="33">
        <v>0</v>
      </c>
      <c r="F15" s="37">
        <f t="shared" si="0"/>
        <v>210.60000000000002</v>
      </c>
      <c r="G15" s="33">
        <f>ROUND(((C15+D15)*B15)+((E15*B15)/2),0)-0.4</f>
        <v>83.6</v>
      </c>
      <c r="H15" s="75">
        <f t="shared" si="1"/>
        <v>127.00000000000003</v>
      </c>
    </row>
    <row r="16" spans="1:8" s="15" customFormat="1" ht="30" customHeight="1" thickBot="1">
      <c r="A16" s="357" t="s">
        <v>49</v>
      </c>
      <c r="B16" s="358"/>
      <c r="C16" s="72">
        <f>SUM(C6:C15)</f>
        <v>17867759.500000004</v>
      </c>
      <c r="D16" s="73">
        <f>SUM(D7)</f>
        <v>0</v>
      </c>
      <c r="E16" s="73">
        <f>SUM(E6:E15)</f>
        <v>0</v>
      </c>
      <c r="F16" s="73">
        <f>SUM(F6:F15)</f>
        <v>17867759.500000004</v>
      </c>
      <c r="G16" s="73">
        <f>SUM(G6:G15)</f>
        <v>9502.5000000000018</v>
      </c>
      <c r="H16" s="72">
        <f>SUM(H6:H15)</f>
        <v>17858257</v>
      </c>
    </row>
    <row r="17" ht="15" thickTop="1"/>
  </sheetData>
  <mergeCells count="3">
    <mergeCell ref="A1:H1"/>
    <mergeCell ref="A3:H3"/>
    <mergeCell ref="A16:B16"/>
  </mergeCells>
  <printOptions horizontalCentered="1"/>
  <pageMargins left="0.31496062992125984" right="0.31496062992125984" top="0.59055118110236227" bottom="0.35433070866141736" header="0.31496062992125984" footer="0.31496062992125984"/>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7"/>
  <sheetViews>
    <sheetView workbookViewId="0">
      <selection activeCell="H25" sqref="H25"/>
    </sheetView>
  </sheetViews>
  <sheetFormatPr defaultColWidth="14.5546875" defaultRowHeight="14.4"/>
  <cols>
    <col min="1" max="1" width="14.5546875" style="2"/>
    <col min="2" max="2" width="36.6640625" bestFit="1" customWidth="1"/>
    <col min="3" max="5" width="14.5546875" style="2"/>
    <col min="6" max="6" width="32.6640625" bestFit="1" customWidth="1"/>
    <col min="7" max="8" width="14.5546875" style="2"/>
    <col min="9" max="9" width="14.5546875" style="63"/>
    <col min="10" max="10" width="30.6640625" style="63" bestFit="1" customWidth="1"/>
    <col min="11" max="11" width="14.5546875" style="64"/>
    <col min="12" max="16384" width="14.5546875" style="63"/>
  </cols>
  <sheetData>
    <row r="1" spans="1:11" ht="17.399999999999999">
      <c r="A1" s="360" t="s">
        <v>0</v>
      </c>
      <c r="B1" s="360"/>
      <c r="C1" s="360"/>
      <c r="D1" s="360"/>
      <c r="E1" s="360"/>
      <c r="F1" s="360"/>
      <c r="G1" s="360"/>
      <c r="H1" s="360"/>
    </row>
    <row r="2" spans="1:11">
      <c r="A2" s="294" t="s">
        <v>1</v>
      </c>
      <c r="B2" s="294"/>
      <c r="C2" s="294"/>
      <c r="D2" s="294"/>
      <c r="E2" s="294"/>
      <c r="F2" s="294"/>
      <c r="G2" s="294"/>
      <c r="H2" s="294"/>
    </row>
    <row r="4" spans="1:11">
      <c r="A4" s="294" t="s">
        <v>227</v>
      </c>
      <c r="B4" s="294"/>
      <c r="C4" s="294"/>
      <c r="D4" s="294"/>
      <c r="E4" s="294"/>
      <c r="F4" s="294"/>
      <c r="G4" s="294"/>
      <c r="H4" s="294"/>
    </row>
    <row r="5" spans="1:11">
      <c r="H5" s="4" t="s">
        <v>2</v>
      </c>
    </row>
    <row r="6" spans="1:11" s="62" customFormat="1" ht="28.8">
      <c r="A6" s="3" t="s">
        <v>58</v>
      </c>
      <c r="B6" s="361" t="s">
        <v>228</v>
      </c>
      <c r="C6" s="361"/>
      <c r="D6" s="3" t="s">
        <v>59</v>
      </c>
      <c r="E6" s="3" t="s">
        <v>58</v>
      </c>
      <c r="F6" s="361" t="s">
        <v>229</v>
      </c>
      <c r="G6" s="361"/>
      <c r="H6" s="3" t="s">
        <v>59</v>
      </c>
      <c r="K6" s="65"/>
    </row>
    <row r="7" spans="1:11" s="62" customFormat="1">
      <c r="A7" s="26"/>
      <c r="B7" s="27" t="s">
        <v>230</v>
      </c>
      <c r="C7" s="26"/>
      <c r="D7" s="29"/>
      <c r="E7" s="26"/>
      <c r="F7" s="28" t="s">
        <v>261</v>
      </c>
      <c r="G7" s="26"/>
      <c r="H7" s="26"/>
      <c r="K7" s="65"/>
    </row>
    <row r="8" spans="1:11" s="62" customFormat="1" ht="15" thickBot="1">
      <c r="A8" s="36" t="s">
        <v>279</v>
      </c>
      <c r="B8" s="15" t="s">
        <v>231</v>
      </c>
      <c r="C8" s="33"/>
      <c r="D8" s="36" t="s">
        <v>279</v>
      </c>
      <c r="E8" s="34">
        <v>1458</v>
      </c>
      <c r="F8" s="35" t="s">
        <v>262</v>
      </c>
      <c r="G8" s="37">
        <v>3253</v>
      </c>
      <c r="H8" s="30"/>
      <c r="K8" s="65"/>
    </row>
    <row r="9" spans="1:11" s="62" customFormat="1" ht="15" thickTop="1">
      <c r="A9" s="34"/>
      <c r="B9" s="15"/>
      <c r="C9" s="33"/>
      <c r="D9" s="29"/>
      <c r="E9" s="34">
        <v>18115</v>
      </c>
      <c r="F9" s="35" t="s">
        <v>263</v>
      </c>
      <c r="G9" s="37">
        <v>19996</v>
      </c>
      <c r="H9" s="30"/>
      <c r="I9" s="66"/>
      <c r="K9" s="65"/>
    </row>
    <row r="10" spans="1:11" s="62" customFormat="1">
      <c r="A10" s="34"/>
      <c r="B10" s="27" t="s">
        <v>232</v>
      </c>
      <c r="C10" s="33"/>
      <c r="D10" s="29"/>
      <c r="E10" s="34">
        <v>151805.28</v>
      </c>
      <c r="F10" s="35" t="s">
        <v>264</v>
      </c>
      <c r="G10" s="32">
        <v>371693.28</v>
      </c>
      <c r="H10" s="30">
        <f>SUM(G8:G10)</f>
        <v>394942.28</v>
      </c>
      <c r="K10" s="65"/>
    </row>
    <row r="11" spans="1:11" s="62" customFormat="1">
      <c r="A11" s="34">
        <v>9000</v>
      </c>
      <c r="B11" s="15" t="s">
        <v>233</v>
      </c>
      <c r="C11" s="33"/>
      <c r="D11" s="29">
        <v>9000</v>
      </c>
      <c r="E11" s="34"/>
      <c r="F11" s="31"/>
      <c r="G11" s="37"/>
      <c r="H11" s="30"/>
      <c r="K11" s="65"/>
    </row>
    <row r="12" spans="1:11" s="62" customFormat="1">
      <c r="A12" s="34"/>
      <c r="B12" s="15"/>
      <c r="C12" s="33"/>
      <c r="D12" s="29"/>
      <c r="E12" s="34"/>
      <c r="F12" s="31" t="s">
        <v>265</v>
      </c>
      <c r="G12" s="37"/>
      <c r="H12" s="30"/>
      <c r="K12" s="65"/>
    </row>
    <row r="13" spans="1:11" s="62" customFormat="1">
      <c r="A13" s="34"/>
      <c r="B13" s="27" t="s">
        <v>234</v>
      </c>
      <c r="C13" s="33"/>
      <c r="D13" s="29"/>
      <c r="E13" s="34">
        <v>1700752</v>
      </c>
      <c r="F13" s="35" t="s">
        <v>266</v>
      </c>
      <c r="G13" s="37">
        <f>'Sch I FD'!C44</f>
        <v>1887491</v>
      </c>
      <c r="H13" s="30"/>
      <c r="K13" s="65"/>
    </row>
    <row r="14" spans="1:11" s="62" customFormat="1">
      <c r="A14" s="34">
        <v>119852.46</v>
      </c>
      <c r="B14" s="15" t="s">
        <v>235</v>
      </c>
      <c r="C14" s="33">
        <f>SUM(A14:A19)</f>
        <v>206325.46000000002</v>
      </c>
      <c r="D14" s="29"/>
      <c r="E14" s="34">
        <v>45382</v>
      </c>
      <c r="F14" s="35" t="s">
        <v>267</v>
      </c>
      <c r="G14" s="32">
        <f>SUM('Sch I FD'!D44:D44)</f>
        <v>0</v>
      </c>
      <c r="H14" s="30">
        <f>SUM(G13:G14)</f>
        <v>1887491</v>
      </c>
      <c r="K14" s="65"/>
    </row>
    <row r="15" spans="1:11" s="62" customFormat="1">
      <c r="A15" s="34">
        <v>200</v>
      </c>
      <c r="B15" s="15" t="s">
        <v>236</v>
      </c>
      <c r="C15" s="33">
        <v>100</v>
      </c>
      <c r="D15" s="29"/>
      <c r="E15" s="34"/>
      <c r="F15" s="31"/>
      <c r="G15" s="37"/>
      <c r="H15" s="30"/>
      <c r="K15" s="65"/>
    </row>
    <row r="16" spans="1:11" s="62" customFormat="1">
      <c r="A16" s="34">
        <v>1000</v>
      </c>
      <c r="B16" s="15" t="s">
        <v>237</v>
      </c>
      <c r="C16" s="33">
        <v>500</v>
      </c>
      <c r="D16" s="29"/>
      <c r="E16" s="34"/>
      <c r="F16" s="31" t="s">
        <v>268</v>
      </c>
      <c r="G16" s="37"/>
      <c r="H16" s="30"/>
      <c r="K16" s="65"/>
    </row>
    <row r="17" spans="1:11" s="62" customFormat="1">
      <c r="A17" s="34">
        <v>25000</v>
      </c>
      <c r="B17" s="15" t="s">
        <v>238</v>
      </c>
      <c r="C17" s="33">
        <v>25000</v>
      </c>
      <c r="D17" s="29"/>
      <c r="E17" s="34">
        <v>10255</v>
      </c>
      <c r="F17" s="35" t="s">
        <v>269</v>
      </c>
      <c r="G17" s="37"/>
      <c r="H17" s="30">
        <v>11167.72</v>
      </c>
      <c r="K17" s="65"/>
    </row>
    <row r="18" spans="1:11" s="62" customFormat="1">
      <c r="A18" s="34">
        <v>4042</v>
      </c>
      <c r="B18" s="15" t="s">
        <v>239</v>
      </c>
      <c r="C18" s="33">
        <f>-xxx!G24</f>
        <v>8872</v>
      </c>
      <c r="D18" s="29"/>
      <c r="E18" s="34"/>
      <c r="F18" s="31"/>
      <c r="G18" s="37"/>
      <c r="H18" s="30"/>
      <c r="K18" s="65"/>
    </row>
    <row r="19" spans="1:11" s="62" customFormat="1">
      <c r="A19" s="34">
        <v>56231</v>
      </c>
      <c r="B19" s="15" t="s">
        <v>240</v>
      </c>
      <c r="C19" s="32">
        <f>xxx!D40</f>
        <v>50692</v>
      </c>
      <c r="D19" s="29">
        <f>SUM(C14:C19)</f>
        <v>291489.46000000002</v>
      </c>
      <c r="E19" s="34"/>
      <c r="F19" s="31" t="s">
        <v>270</v>
      </c>
      <c r="G19" s="37"/>
      <c r="H19" s="30"/>
      <c r="K19" s="65"/>
    </row>
    <row r="20" spans="1:11" s="62" customFormat="1">
      <c r="A20" s="34"/>
      <c r="B20" s="15"/>
      <c r="C20" s="33"/>
      <c r="D20" s="29"/>
      <c r="E20" s="34">
        <v>10700.66</v>
      </c>
      <c r="F20" s="35" t="s">
        <v>271</v>
      </c>
      <c r="G20" s="37">
        <v>10700.66</v>
      </c>
      <c r="H20" s="30"/>
      <c r="K20" s="65"/>
    </row>
    <row r="21" spans="1:11" s="62" customFormat="1">
      <c r="A21" s="34"/>
      <c r="B21" s="27" t="s">
        <v>241</v>
      </c>
      <c r="C21" s="33"/>
      <c r="D21" s="29"/>
      <c r="E21" s="34">
        <v>11172</v>
      </c>
      <c r="F21" s="35" t="s">
        <v>272</v>
      </c>
      <c r="G21" s="37">
        <v>19450</v>
      </c>
      <c r="H21" s="30"/>
      <c r="K21" s="65"/>
    </row>
    <row r="22" spans="1:11" s="62" customFormat="1">
      <c r="A22" s="34">
        <v>168968</v>
      </c>
      <c r="B22" s="15" t="s">
        <v>235</v>
      </c>
      <c r="C22" s="33">
        <f>SUM(A22:A24)</f>
        <v>206397</v>
      </c>
      <c r="D22" s="29"/>
      <c r="E22" s="34">
        <v>178153</v>
      </c>
      <c r="F22" s="35" t="s">
        <v>273</v>
      </c>
      <c r="G22" s="32">
        <v>246651</v>
      </c>
      <c r="H22" s="30">
        <f>SUM(G20:G22)</f>
        <v>276801.65999999997</v>
      </c>
      <c r="K22" s="65"/>
    </row>
    <row r="23" spans="1:11" s="62" customFormat="1">
      <c r="A23" s="34">
        <v>29808</v>
      </c>
      <c r="B23" s="15" t="s">
        <v>242</v>
      </c>
      <c r="C23" s="33">
        <v>29808</v>
      </c>
      <c r="D23" s="29"/>
      <c r="E23" s="34"/>
      <c r="F23" s="31"/>
      <c r="G23" s="37"/>
      <c r="H23" s="30"/>
      <c r="K23" s="65"/>
    </row>
    <row r="24" spans="1:11" s="62" customFormat="1">
      <c r="A24" s="34">
        <v>7621</v>
      </c>
      <c r="B24" s="15" t="s">
        <v>239</v>
      </c>
      <c r="C24" s="32">
        <f>-xxx!G27</f>
        <v>10796</v>
      </c>
      <c r="D24" s="29">
        <f>SUM(C22:C24)</f>
        <v>247001</v>
      </c>
      <c r="E24" s="34"/>
      <c r="F24" s="31" t="s">
        <v>274</v>
      </c>
      <c r="G24" s="37"/>
      <c r="H24" s="30"/>
      <c r="K24" s="65"/>
    </row>
    <row r="25" spans="1:11" s="62" customFormat="1">
      <c r="A25" s="34"/>
      <c r="B25" s="15"/>
      <c r="C25" s="33"/>
      <c r="D25" s="29"/>
      <c r="E25" s="34">
        <v>17907736.5</v>
      </c>
      <c r="F25" s="35" t="s">
        <v>275</v>
      </c>
      <c r="G25" s="37"/>
      <c r="H25" s="30">
        <f>'Sch IV Fixed Assets'!H16</f>
        <v>17858257</v>
      </c>
      <c r="K25" s="65"/>
    </row>
    <row r="26" spans="1:11" s="62" customFormat="1">
      <c r="A26" s="34"/>
      <c r="B26" s="27" t="s">
        <v>243</v>
      </c>
      <c r="C26" s="33"/>
      <c r="D26" s="29"/>
      <c r="E26" s="34"/>
      <c r="F26" s="31"/>
      <c r="G26" s="37"/>
      <c r="H26" s="30"/>
      <c r="K26" s="65"/>
    </row>
    <row r="27" spans="1:11" s="62" customFormat="1">
      <c r="A27" s="34">
        <v>799393</v>
      </c>
      <c r="B27" s="15" t="s">
        <v>235</v>
      </c>
      <c r="C27" s="33">
        <f>SUM(A27:A29)</f>
        <v>911836</v>
      </c>
      <c r="D27" s="29"/>
      <c r="E27" s="34"/>
      <c r="F27" s="31" t="s">
        <v>276</v>
      </c>
      <c r="G27" s="37"/>
      <c r="H27" s="30"/>
      <c r="K27" s="65"/>
    </row>
    <row r="28" spans="1:11" s="62" customFormat="1">
      <c r="A28" s="34">
        <v>89640</v>
      </c>
      <c r="B28" s="15" t="s">
        <v>244</v>
      </c>
      <c r="C28" s="33">
        <v>89640</v>
      </c>
      <c r="D28" s="29"/>
      <c r="E28" s="34">
        <v>1657</v>
      </c>
      <c r="F28" s="35" t="s">
        <v>277</v>
      </c>
      <c r="G28" s="37">
        <v>1667</v>
      </c>
      <c r="H28" s="30"/>
      <c r="K28" s="65"/>
    </row>
    <row r="29" spans="1:11" s="62" customFormat="1">
      <c r="A29" s="34">
        <v>22803</v>
      </c>
      <c r="B29" s="15" t="s">
        <v>239</v>
      </c>
      <c r="C29" s="32">
        <f>-xxx!G25</f>
        <v>29171</v>
      </c>
      <c r="D29" s="29">
        <f>SUM(C27:C29)</f>
        <v>1030647</v>
      </c>
      <c r="E29" s="34">
        <v>10704</v>
      </c>
      <c r="F29" s="35" t="s">
        <v>278</v>
      </c>
      <c r="G29" s="32">
        <v>3241</v>
      </c>
      <c r="H29" s="30">
        <f>SUM(G28:G29)</f>
        <v>4908</v>
      </c>
      <c r="K29" s="65"/>
    </row>
    <row r="30" spans="1:11" s="62" customFormat="1">
      <c r="A30" s="34"/>
      <c r="B30" s="15"/>
      <c r="C30" s="33"/>
      <c r="D30" s="29"/>
      <c r="E30" s="34"/>
      <c r="F30" s="31"/>
      <c r="G30" s="37"/>
      <c r="H30" s="30"/>
      <c r="K30" s="65"/>
    </row>
    <row r="31" spans="1:11" s="62" customFormat="1">
      <c r="A31" s="34"/>
      <c r="B31" s="27" t="s">
        <v>245</v>
      </c>
      <c r="C31" s="33"/>
      <c r="D31" s="29"/>
      <c r="E31" s="34"/>
      <c r="F31" s="31"/>
      <c r="G31" s="37"/>
      <c r="H31" s="30"/>
      <c r="K31" s="65"/>
    </row>
    <row r="32" spans="1:11" s="62" customFormat="1">
      <c r="A32" s="34">
        <v>562301</v>
      </c>
      <c r="B32" s="15" t="s">
        <v>235</v>
      </c>
      <c r="C32" s="33">
        <f>SUM(A32:A35)</f>
        <v>841478</v>
      </c>
      <c r="D32" s="29"/>
      <c r="E32" s="34"/>
      <c r="F32" s="31"/>
      <c r="G32" s="37"/>
      <c r="H32" s="30"/>
      <c r="K32" s="65"/>
    </row>
    <row r="33" spans="1:11" s="62" customFormat="1">
      <c r="A33" s="34">
        <v>360000</v>
      </c>
      <c r="B33" s="15" t="s">
        <v>244</v>
      </c>
      <c r="C33" s="33">
        <v>360000</v>
      </c>
      <c r="D33" s="29"/>
      <c r="E33" s="34"/>
      <c r="F33" s="31"/>
      <c r="G33" s="37"/>
      <c r="H33" s="30"/>
      <c r="K33" s="65"/>
    </row>
    <row r="34" spans="1:11" s="62" customFormat="1">
      <c r="A34" s="34">
        <v>33455</v>
      </c>
      <c r="B34" s="15" t="s">
        <v>239</v>
      </c>
      <c r="C34" s="33">
        <f>-xxx!G26</f>
        <v>41170</v>
      </c>
      <c r="D34" s="29"/>
      <c r="E34" s="34"/>
      <c r="F34" s="31"/>
      <c r="G34" s="37"/>
      <c r="H34" s="30"/>
      <c r="K34" s="65"/>
    </row>
    <row r="35" spans="1:11" s="62" customFormat="1">
      <c r="A35" s="34">
        <v>-114278</v>
      </c>
      <c r="B35" s="15" t="s">
        <v>246</v>
      </c>
      <c r="C35" s="32">
        <v>0</v>
      </c>
      <c r="D35" s="29">
        <f>SUM(C32:C35)</f>
        <v>1242648</v>
      </c>
      <c r="E35" s="34"/>
      <c r="F35" s="31"/>
      <c r="G35" s="37"/>
      <c r="H35" s="30"/>
      <c r="K35" s="65"/>
    </row>
    <row r="36" spans="1:11" s="62" customFormat="1">
      <c r="A36" s="34"/>
      <c r="B36" s="15"/>
      <c r="C36" s="33"/>
      <c r="D36" s="29"/>
      <c r="E36" s="34"/>
      <c r="F36" s="31"/>
      <c r="G36" s="37"/>
      <c r="H36" s="30"/>
      <c r="K36" s="65"/>
    </row>
    <row r="37" spans="1:11" s="62" customFormat="1">
      <c r="A37" s="34"/>
      <c r="B37" s="27" t="s">
        <v>247</v>
      </c>
      <c r="C37" s="33"/>
      <c r="D37" s="29"/>
      <c r="E37" s="34"/>
      <c r="F37" s="31"/>
      <c r="G37" s="37"/>
      <c r="H37" s="30"/>
      <c r="K37" s="65"/>
    </row>
    <row r="38" spans="1:11" s="62" customFormat="1">
      <c r="A38" s="34">
        <v>13194</v>
      </c>
      <c r="B38" s="15" t="s">
        <v>235</v>
      </c>
      <c r="C38" s="33">
        <f>SUM(A38:A40)</f>
        <v>15354</v>
      </c>
      <c r="D38" s="29"/>
      <c r="E38" s="34"/>
      <c r="F38" s="31"/>
      <c r="G38" s="37"/>
      <c r="H38" s="30"/>
      <c r="K38" s="65"/>
    </row>
    <row r="39" spans="1:11" s="62" customFormat="1">
      <c r="A39" s="34">
        <v>2160</v>
      </c>
      <c r="B39" s="15" t="s">
        <v>248</v>
      </c>
      <c r="C39" s="33">
        <v>2160</v>
      </c>
      <c r="D39" s="29"/>
      <c r="E39" s="34"/>
      <c r="F39" s="31"/>
      <c r="G39" s="37"/>
      <c r="H39" s="30"/>
      <c r="K39" s="65"/>
    </row>
    <row r="40" spans="1:11" s="62" customFormat="1">
      <c r="A40" s="34">
        <v>0</v>
      </c>
      <c r="B40" s="15" t="s">
        <v>239</v>
      </c>
      <c r="C40" s="32">
        <f>-xxx!G28</f>
        <v>238</v>
      </c>
      <c r="D40" s="29">
        <f>SUM(C38:C40)</f>
        <v>17752</v>
      </c>
      <c r="E40" s="34"/>
      <c r="F40" s="31"/>
      <c r="G40" s="37"/>
      <c r="H40" s="30"/>
      <c r="K40" s="65"/>
    </row>
    <row r="41" spans="1:11" s="62" customFormat="1">
      <c r="A41" s="34"/>
      <c r="B41" s="15"/>
      <c r="C41" s="33"/>
      <c r="D41" s="29"/>
      <c r="E41" s="34"/>
      <c r="F41" s="31"/>
      <c r="G41" s="37"/>
      <c r="H41" s="30"/>
      <c r="K41" s="65"/>
    </row>
    <row r="42" spans="1:11" s="62" customFormat="1">
      <c r="A42" s="34"/>
      <c r="B42" s="27" t="s">
        <v>249</v>
      </c>
      <c r="C42" s="33"/>
      <c r="D42" s="29"/>
      <c r="E42" s="34"/>
      <c r="F42" s="31"/>
      <c r="G42" s="37"/>
      <c r="H42" s="30"/>
      <c r="K42" s="65"/>
    </row>
    <row r="43" spans="1:11" s="62" customFormat="1">
      <c r="A43" s="34">
        <v>17803000</v>
      </c>
      <c r="B43" s="15" t="s">
        <v>250</v>
      </c>
      <c r="C43" s="33"/>
      <c r="D43" s="29">
        <v>17803000</v>
      </c>
      <c r="E43" s="34"/>
      <c r="F43" s="31"/>
      <c r="G43" s="37"/>
      <c r="H43" s="30"/>
      <c r="K43" s="65"/>
    </row>
    <row r="44" spans="1:11" s="62" customFormat="1">
      <c r="A44" s="34"/>
      <c r="B44" s="15"/>
      <c r="C44" s="33"/>
      <c r="D44" s="29"/>
      <c r="E44" s="34"/>
      <c r="F44" s="31"/>
      <c r="G44" s="37"/>
      <c r="H44" s="30"/>
      <c r="K44" s="65"/>
    </row>
    <row r="45" spans="1:11" s="62" customFormat="1">
      <c r="A45" s="34"/>
      <c r="B45" s="27" t="s">
        <v>251</v>
      </c>
      <c r="C45" s="33"/>
      <c r="D45" s="29"/>
      <c r="E45" s="34"/>
      <c r="F45" s="31"/>
      <c r="G45" s="37"/>
      <c r="H45" s="30"/>
      <c r="K45" s="65"/>
    </row>
    <row r="46" spans="1:11" s="62" customFormat="1">
      <c r="A46" s="34">
        <v>259</v>
      </c>
      <c r="B46" s="15" t="s">
        <v>252</v>
      </c>
      <c r="C46" s="33">
        <v>900</v>
      </c>
      <c r="D46" s="29"/>
      <c r="E46" s="34"/>
      <c r="F46" s="31"/>
      <c r="G46" s="37"/>
      <c r="H46" s="30"/>
      <c r="K46" s="65"/>
    </row>
    <row r="47" spans="1:11" s="62" customFormat="1">
      <c r="A47" s="34" t="e">
        <f>'Sch Receivable &amp; Payable'!#REF!</f>
        <v>#REF!</v>
      </c>
      <c r="B47" s="15" t="s">
        <v>253</v>
      </c>
      <c r="C47" s="33">
        <f>'Sch Receivable &amp; Payable'!F26</f>
        <v>108929</v>
      </c>
      <c r="D47" s="29"/>
      <c r="E47" s="34"/>
      <c r="F47" s="31"/>
      <c r="G47" s="37"/>
      <c r="H47" s="30"/>
      <c r="K47" s="65"/>
    </row>
    <row r="48" spans="1:11" s="62" customFormat="1">
      <c r="A48" s="34">
        <v>0</v>
      </c>
      <c r="B48" s="15" t="s">
        <v>254</v>
      </c>
      <c r="C48" s="33">
        <v>1340</v>
      </c>
      <c r="D48" s="29"/>
      <c r="E48" s="34"/>
      <c r="F48" s="31"/>
      <c r="G48" s="37"/>
      <c r="H48" s="30"/>
      <c r="K48" s="65"/>
    </row>
    <row r="49" spans="1:11" s="62" customFormat="1">
      <c r="A49" s="34">
        <v>0</v>
      </c>
      <c r="B49" s="15" t="s">
        <v>295</v>
      </c>
      <c r="C49" s="33">
        <v>1400</v>
      </c>
      <c r="D49" s="29"/>
      <c r="E49" s="34"/>
      <c r="F49" s="31"/>
      <c r="G49" s="37"/>
      <c r="H49" s="30"/>
      <c r="K49" s="65"/>
    </row>
    <row r="50" spans="1:11" s="62" customFormat="1">
      <c r="A50" s="34">
        <v>2500</v>
      </c>
      <c r="B50" s="15" t="s">
        <v>255</v>
      </c>
      <c r="C50" s="33">
        <v>2500</v>
      </c>
      <c r="D50" s="29"/>
      <c r="E50" s="34"/>
      <c r="F50" s="31"/>
      <c r="G50" s="37"/>
      <c r="H50" s="30"/>
      <c r="K50" s="65"/>
    </row>
    <row r="51" spans="1:11" s="62" customFormat="1">
      <c r="A51" s="34">
        <v>6061</v>
      </c>
      <c r="B51" s="15" t="s">
        <v>256</v>
      </c>
      <c r="C51" s="32">
        <f>5920+924</f>
        <v>6844</v>
      </c>
      <c r="D51" s="29">
        <f>SUM(C46:C51)</f>
        <v>121913</v>
      </c>
      <c r="E51" s="34"/>
      <c r="F51" s="31"/>
      <c r="G51" s="37"/>
      <c r="H51" s="30"/>
      <c r="K51" s="65"/>
    </row>
    <row r="52" spans="1:11" s="62" customFormat="1">
      <c r="A52" s="34"/>
      <c r="B52" s="15"/>
      <c r="C52" s="33"/>
      <c r="D52" s="29"/>
      <c r="E52" s="34"/>
      <c r="F52" s="31"/>
      <c r="G52" s="37"/>
      <c r="H52" s="30"/>
      <c r="K52" s="65"/>
    </row>
    <row r="53" spans="1:11" s="62" customFormat="1">
      <c r="A53" s="34"/>
      <c r="B53" s="27" t="s">
        <v>257</v>
      </c>
      <c r="C53" s="33"/>
      <c r="D53" s="29"/>
      <c r="E53" s="34"/>
      <c r="F53" s="31"/>
      <c r="G53" s="37"/>
      <c r="H53" s="30"/>
      <c r="K53" s="65"/>
    </row>
    <row r="54" spans="1:11" s="62" customFormat="1">
      <c r="A54" s="34">
        <v>-161786.22</v>
      </c>
      <c r="B54" s="15" t="s">
        <v>258</v>
      </c>
      <c r="C54" s="33">
        <f>SUM(A54:A56)</f>
        <v>13109.98000000001</v>
      </c>
      <c r="D54" s="29"/>
      <c r="E54" s="34"/>
      <c r="F54" s="31"/>
      <c r="G54" s="37"/>
      <c r="H54" s="30"/>
      <c r="K54" s="65"/>
    </row>
    <row r="55" spans="1:11" s="62" customFormat="1">
      <c r="A55" s="34">
        <v>168694.2</v>
      </c>
      <c r="B55" s="15" t="s">
        <v>259</v>
      </c>
      <c r="C55" s="33">
        <f>xxx!D41</f>
        <v>91148.219999999972</v>
      </c>
      <c r="D55" s="29"/>
      <c r="E55" s="34"/>
      <c r="F55" s="31"/>
      <c r="G55" s="37"/>
      <c r="H55" s="30"/>
      <c r="K55" s="65"/>
    </row>
    <row r="56" spans="1:11" s="62" customFormat="1">
      <c r="A56" s="34">
        <v>6202</v>
      </c>
      <c r="B56" s="15" t="s">
        <v>260</v>
      </c>
      <c r="C56" s="32">
        <v>0</v>
      </c>
      <c r="D56" s="29">
        <f>SUM(C54:C56)</f>
        <v>104258.19999999998</v>
      </c>
      <c r="E56" s="34"/>
      <c r="F56" s="31"/>
      <c r="G56" s="37"/>
      <c r="H56" s="30"/>
      <c r="K56" s="65"/>
    </row>
    <row r="57" spans="1:11" ht="15" thickBot="1">
      <c r="A57" s="6" t="e">
        <f>SUM(A11:A56)</f>
        <v>#REF!</v>
      </c>
      <c r="B57" s="359" t="s">
        <v>49</v>
      </c>
      <c r="C57" s="359"/>
      <c r="D57" s="6">
        <f>SUM(D11:D56)</f>
        <v>20867708.66</v>
      </c>
      <c r="E57" s="6">
        <f>SUM(E7:E56)</f>
        <v>20047890.440000001</v>
      </c>
      <c r="F57" s="359" t="s">
        <v>49</v>
      </c>
      <c r="G57" s="359"/>
      <c r="H57" s="6">
        <f>SUM(H7:H56)</f>
        <v>20433567.66</v>
      </c>
      <c r="I57" s="67">
        <f>H57-D57</f>
        <v>-434141</v>
      </c>
    </row>
    <row r="58" spans="1:11" ht="15" thickTop="1">
      <c r="A58" s="2" t="s">
        <v>50</v>
      </c>
      <c r="I58" s="67" t="e">
        <f>+A57-E57</f>
        <v>#REF!</v>
      </c>
    </row>
    <row r="59" spans="1:11">
      <c r="E59" s="2" t="s">
        <v>51</v>
      </c>
    </row>
    <row r="64" spans="1:11">
      <c r="A64" s="2" t="s">
        <v>52</v>
      </c>
    </row>
    <row r="65" spans="1:5">
      <c r="A65" s="2" t="s">
        <v>53</v>
      </c>
      <c r="E65" s="2" t="s">
        <v>54</v>
      </c>
    </row>
    <row r="66" spans="1:5">
      <c r="A66" s="2" t="s">
        <v>55</v>
      </c>
    </row>
    <row r="67" spans="1:5">
      <c r="A67" s="2" t="s">
        <v>56</v>
      </c>
    </row>
  </sheetData>
  <mergeCells count="7">
    <mergeCell ref="B57:C57"/>
    <mergeCell ref="F57:G57"/>
    <mergeCell ref="A1:H1"/>
    <mergeCell ref="A2:H2"/>
    <mergeCell ref="A4:H4"/>
    <mergeCell ref="B6:C6"/>
    <mergeCell ref="F6:G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2"/>
  <sheetViews>
    <sheetView workbookViewId="0">
      <selection activeCell="A5" sqref="A5"/>
    </sheetView>
  </sheetViews>
  <sheetFormatPr defaultColWidth="14.5546875" defaultRowHeight="14.4"/>
  <cols>
    <col min="1" max="1" width="14.5546875" style="2"/>
    <col min="2" max="2" width="36.6640625" bestFit="1" customWidth="1"/>
    <col min="3" max="5" width="14.5546875" style="2"/>
    <col min="6" max="6" width="31.33203125" bestFit="1" customWidth="1"/>
    <col min="7" max="8" width="14.5546875" style="2"/>
  </cols>
  <sheetData>
    <row r="1" spans="1:13" ht="17.399999999999999">
      <c r="A1" s="362" t="s">
        <v>0</v>
      </c>
      <c r="B1" s="362"/>
      <c r="C1" s="362"/>
      <c r="D1" s="362"/>
      <c r="E1" s="362"/>
      <c r="F1" s="362"/>
      <c r="G1" s="362"/>
      <c r="H1" s="362"/>
    </row>
    <row r="2" spans="1:13">
      <c r="A2" s="294" t="s">
        <v>1</v>
      </c>
      <c r="B2" s="294"/>
      <c r="C2" s="294"/>
      <c r="D2" s="294"/>
      <c r="E2" s="294"/>
      <c r="F2" s="294"/>
      <c r="G2" s="294"/>
      <c r="H2" s="294"/>
    </row>
    <row r="4" spans="1:13">
      <c r="A4" s="294" t="s">
        <v>57</v>
      </c>
      <c r="B4" s="294"/>
      <c r="C4" s="294"/>
      <c r="D4" s="294"/>
      <c r="E4" s="294"/>
      <c r="F4" s="294"/>
      <c r="G4" s="294"/>
      <c r="H4" s="294"/>
    </row>
    <row r="5" spans="1:13">
      <c r="H5" s="4" t="s">
        <v>2</v>
      </c>
    </row>
    <row r="6" spans="1:13" s="1" customFormat="1" ht="28.8">
      <c r="A6" s="3" t="s">
        <v>58</v>
      </c>
      <c r="B6" s="361" t="s">
        <v>60</v>
      </c>
      <c r="C6" s="361"/>
      <c r="D6" s="3" t="s">
        <v>59</v>
      </c>
      <c r="E6" s="3" t="s">
        <v>58</v>
      </c>
      <c r="F6" s="361" t="s">
        <v>3</v>
      </c>
      <c r="G6" s="361"/>
      <c r="H6" s="3" t="s">
        <v>59</v>
      </c>
    </row>
    <row r="7" spans="1:13">
      <c r="A7" s="17"/>
      <c r="B7" s="10" t="s">
        <v>4</v>
      </c>
      <c r="C7" s="17"/>
      <c r="E7" s="17"/>
      <c r="F7" s="10" t="s">
        <v>5</v>
      </c>
      <c r="G7" s="17"/>
      <c r="H7" s="17"/>
    </row>
    <row r="8" spans="1:13">
      <c r="A8" s="18">
        <v>346622</v>
      </c>
      <c r="B8" t="s">
        <v>6</v>
      </c>
      <c r="C8" s="18">
        <v>327872</v>
      </c>
      <c r="E8" s="18">
        <v>325092</v>
      </c>
      <c r="F8" t="s">
        <v>7</v>
      </c>
      <c r="G8" s="18">
        <v>325092</v>
      </c>
      <c r="H8" s="24"/>
    </row>
    <row r="9" spans="1:13">
      <c r="A9" s="18">
        <v>98000</v>
      </c>
      <c r="B9" t="s">
        <v>8</v>
      </c>
      <c r="C9" s="18">
        <v>130060</v>
      </c>
      <c r="E9" s="18">
        <v>237600</v>
      </c>
      <c r="F9" t="s">
        <v>9</v>
      </c>
      <c r="G9" s="18">
        <v>237600</v>
      </c>
      <c r="H9" s="24"/>
    </row>
    <row r="10" spans="1:13">
      <c r="A10" s="18">
        <v>92183</v>
      </c>
      <c r="B10" t="s">
        <v>10</v>
      </c>
      <c r="C10" s="19">
        <v>104088</v>
      </c>
      <c r="D10" s="5">
        <f>SUM(C8:C10)</f>
        <v>562020</v>
      </c>
      <c r="E10" s="18">
        <v>86400</v>
      </c>
      <c r="F10" t="s">
        <v>11</v>
      </c>
      <c r="G10" s="18">
        <v>86400</v>
      </c>
      <c r="H10" s="24"/>
    </row>
    <row r="11" spans="1:13">
      <c r="A11" s="18"/>
      <c r="C11" s="18"/>
      <c r="D11" s="5"/>
      <c r="E11" s="18">
        <v>172800</v>
      </c>
      <c r="F11" t="s">
        <v>12</v>
      </c>
      <c r="G11" s="18">
        <v>172800</v>
      </c>
      <c r="H11" s="24"/>
      <c r="K11" s="8"/>
      <c r="L11" s="8"/>
      <c r="M11" s="2"/>
    </row>
    <row r="12" spans="1:13">
      <c r="A12" s="18"/>
      <c r="B12" s="10" t="s">
        <v>13</v>
      </c>
      <c r="C12" s="18"/>
      <c r="D12" s="5"/>
      <c r="E12" s="18">
        <v>21600</v>
      </c>
      <c r="F12" t="s">
        <v>14</v>
      </c>
      <c r="G12" s="18">
        <v>21600</v>
      </c>
      <c r="H12" s="24"/>
      <c r="K12" s="8"/>
      <c r="L12" s="8"/>
      <c r="M12" s="2"/>
    </row>
    <row r="13" spans="1:13">
      <c r="A13" s="18">
        <v>10069</v>
      </c>
      <c r="B13" t="s">
        <v>15</v>
      </c>
      <c r="C13" s="18"/>
      <c r="D13" s="5">
        <v>19990</v>
      </c>
      <c r="E13" s="18">
        <v>27000</v>
      </c>
      <c r="F13" t="s">
        <v>16</v>
      </c>
      <c r="G13" s="18">
        <f>18600+900</f>
        <v>19500</v>
      </c>
      <c r="H13" s="24"/>
    </row>
    <row r="14" spans="1:13">
      <c r="A14" s="18"/>
      <c r="C14" s="18"/>
      <c r="D14" s="5"/>
      <c r="E14" s="18">
        <v>71900</v>
      </c>
      <c r="F14" t="s">
        <v>17</v>
      </c>
      <c r="G14" s="18">
        <f>25200+18400+18000+2700</f>
        <v>64300</v>
      </c>
      <c r="H14" s="24"/>
    </row>
    <row r="15" spans="1:13">
      <c r="A15" s="18">
        <v>114278</v>
      </c>
      <c r="B15" t="s">
        <v>70</v>
      </c>
      <c r="C15" s="61">
        <f>xxxx!C8</f>
        <v>83499</v>
      </c>
      <c r="D15" s="5"/>
      <c r="E15" s="18">
        <v>32804</v>
      </c>
      <c r="F15" t="s">
        <v>18</v>
      </c>
      <c r="G15" s="18">
        <v>36837</v>
      </c>
      <c r="H15" s="24"/>
    </row>
    <row r="16" spans="1:13">
      <c r="A16" s="18">
        <v>-114278</v>
      </c>
      <c r="B16" t="s">
        <v>19</v>
      </c>
      <c r="C16" s="19">
        <v>0</v>
      </c>
      <c r="D16" s="5">
        <f>SUM(C15:C16)</f>
        <v>83499</v>
      </c>
      <c r="E16" s="18">
        <v>5500</v>
      </c>
      <c r="F16" t="s">
        <v>20</v>
      </c>
      <c r="G16" s="18">
        <f>4500+2500</f>
        <v>7000</v>
      </c>
      <c r="H16" s="24"/>
    </row>
    <row r="17" spans="1:8">
      <c r="A17" s="18"/>
      <c r="C17" s="18"/>
      <c r="D17" s="5"/>
      <c r="E17" s="18">
        <v>6000</v>
      </c>
      <c r="F17" t="s">
        <v>24</v>
      </c>
      <c r="G17" s="18">
        <v>3000</v>
      </c>
      <c r="H17" s="24"/>
    </row>
    <row r="18" spans="1:8">
      <c r="A18" s="18"/>
      <c r="B18" s="10" t="s">
        <v>21</v>
      </c>
      <c r="C18" s="18"/>
      <c r="D18" s="5"/>
      <c r="E18" s="18">
        <v>0</v>
      </c>
      <c r="F18" t="s">
        <v>73</v>
      </c>
      <c r="G18" s="18">
        <v>500</v>
      </c>
      <c r="H18" s="24"/>
    </row>
    <row r="19" spans="1:8">
      <c r="A19" s="18">
        <v>113000</v>
      </c>
      <c r="B19" t="s">
        <v>22</v>
      </c>
      <c r="C19" s="18">
        <v>108000</v>
      </c>
      <c r="D19" s="5"/>
      <c r="E19" s="18">
        <v>0</v>
      </c>
      <c r="F19" t="s">
        <v>72</v>
      </c>
      <c r="G19" s="19">
        <v>6500</v>
      </c>
      <c r="H19" s="24">
        <f>SUM(G8:G19)</f>
        <v>981129</v>
      </c>
    </row>
    <row r="20" spans="1:8">
      <c r="A20" s="18">
        <v>18490</v>
      </c>
      <c r="B20" t="s">
        <v>23</v>
      </c>
      <c r="C20" s="18">
        <f>'Sch IV Fixed Assets'!G16</f>
        <v>9502.5000000000018</v>
      </c>
      <c r="D20" s="5"/>
      <c r="E20" s="18"/>
      <c r="G20" s="18"/>
      <c r="H20" s="24"/>
    </row>
    <row r="21" spans="1:8">
      <c r="A21" s="18">
        <v>188.8</v>
      </c>
      <c r="B21" t="s">
        <v>25</v>
      </c>
      <c r="C21" s="18">
        <v>0</v>
      </c>
      <c r="D21" s="5"/>
      <c r="E21" s="18"/>
      <c r="F21" s="10" t="s">
        <v>27</v>
      </c>
      <c r="G21" s="18"/>
      <c r="H21" s="24"/>
    </row>
    <row r="22" spans="1:8">
      <c r="A22" s="18">
        <v>5500</v>
      </c>
      <c r="B22" t="s">
        <v>26</v>
      </c>
      <c r="C22" s="18">
        <v>0</v>
      </c>
      <c r="D22" s="5"/>
      <c r="E22" s="18">
        <v>6385</v>
      </c>
      <c r="F22" t="s">
        <v>29</v>
      </c>
      <c r="G22" s="18"/>
      <c r="H22" s="60">
        <f>8930+1881</f>
        <v>10811</v>
      </c>
    </row>
    <row r="23" spans="1:8">
      <c r="A23" s="18">
        <v>6000</v>
      </c>
      <c r="B23" t="s">
        <v>28</v>
      </c>
      <c r="C23" s="18">
        <v>0</v>
      </c>
      <c r="D23" s="5"/>
      <c r="E23" s="18">
        <v>68295</v>
      </c>
      <c r="F23" t="s">
        <v>31</v>
      </c>
      <c r="G23" s="18">
        <v>90637</v>
      </c>
      <c r="H23" s="24"/>
    </row>
    <row r="24" spans="1:8">
      <c r="A24" s="18">
        <v>2998</v>
      </c>
      <c r="B24" t="s">
        <v>30</v>
      </c>
      <c r="C24" s="19">
        <v>7463</v>
      </c>
      <c r="D24" s="5">
        <f>SUM(C19:C24)</f>
        <v>124965.5</v>
      </c>
      <c r="E24" s="18">
        <v>-4042</v>
      </c>
      <c r="F24" t="s">
        <v>33</v>
      </c>
      <c r="G24" s="18">
        <v>-8872</v>
      </c>
      <c r="H24" s="24"/>
    </row>
    <row r="25" spans="1:8">
      <c r="A25" s="18"/>
      <c r="C25" s="18"/>
      <c r="D25" s="5"/>
      <c r="E25" s="18">
        <v>-22803</v>
      </c>
      <c r="F25" t="s">
        <v>35</v>
      </c>
      <c r="G25" s="18">
        <v>-29171</v>
      </c>
      <c r="H25" s="24"/>
    </row>
    <row r="26" spans="1:8">
      <c r="A26" s="18"/>
      <c r="B26" s="10" t="s">
        <v>32</v>
      </c>
      <c r="C26" s="18"/>
      <c r="D26" s="5"/>
      <c r="E26" s="18">
        <v>-33455</v>
      </c>
      <c r="F26" t="s">
        <v>37</v>
      </c>
      <c r="G26" s="18">
        <v>-41170</v>
      </c>
      <c r="H26" s="24"/>
    </row>
    <row r="27" spans="1:8">
      <c r="A27" s="18">
        <v>3250</v>
      </c>
      <c r="B27" t="s">
        <v>34</v>
      </c>
      <c r="C27" s="18">
        <v>770</v>
      </c>
      <c r="D27" s="5"/>
      <c r="E27" s="18">
        <v>-7621</v>
      </c>
      <c r="F27" t="s">
        <v>39</v>
      </c>
      <c r="G27" s="18">
        <v>-10796</v>
      </c>
      <c r="H27" s="24"/>
    </row>
    <row r="28" spans="1:8">
      <c r="A28" s="18">
        <v>10368</v>
      </c>
      <c r="B28" t="s">
        <v>36</v>
      </c>
      <c r="C28" s="18">
        <v>11448</v>
      </c>
      <c r="D28" s="5"/>
      <c r="E28" s="18">
        <v>0</v>
      </c>
      <c r="F28" t="s">
        <v>89</v>
      </c>
      <c r="G28" s="19">
        <v>-238</v>
      </c>
      <c r="H28" s="24">
        <f>SUM(G23:G28)</f>
        <v>390</v>
      </c>
    </row>
    <row r="29" spans="1:8">
      <c r="A29" s="18">
        <v>2769</v>
      </c>
      <c r="B29" t="s">
        <v>38</v>
      </c>
      <c r="C29" s="18">
        <v>1750</v>
      </c>
      <c r="D29" s="5"/>
      <c r="E29" s="18"/>
      <c r="G29" s="18"/>
      <c r="H29" s="24"/>
    </row>
    <row r="30" spans="1:8">
      <c r="A30" s="18">
        <v>929</v>
      </c>
      <c r="B30" t="s">
        <v>40</v>
      </c>
      <c r="C30" s="18">
        <v>4410</v>
      </c>
      <c r="D30" s="5"/>
      <c r="E30" s="18">
        <v>18</v>
      </c>
      <c r="F30" t="s">
        <v>71</v>
      </c>
      <c r="G30" s="18"/>
      <c r="H30" s="24">
        <v>0</v>
      </c>
    </row>
    <row r="31" spans="1:8">
      <c r="A31" s="18">
        <v>2061</v>
      </c>
      <c r="B31" t="s">
        <v>41</v>
      </c>
      <c r="C31" s="18">
        <v>0</v>
      </c>
      <c r="D31" s="5"/>
      <c r="E31" s="18">
        <v>0</v>
      </c>
      <c r="F31" t="s">
        <v>74</v>
      </c>
      <c r="G31" s="18"/>
      <c r="H31" s="24">
        <v>912.72</v>
      </c>
    </row>
    <row r="32" spans="1:8">
      <c r="A32" s="18">
        <v>1500</v>
      </c>
      <c r="B32" t="s">
        <v>42</v>
      </c>
      <c r="C32" s="18">
        <f>500+1500</f>
        <v>2000</v>
      </c>
      <c r="D32" s="5"/>
      <c r="E32" s="18"/>
      <c r="G32" s="18"/>
      <c r="H32" s="24"/>
    </row>
    <row r="33" spans="1:8">
      <c r="A33" s="18">
        <v>2120</v>
      </c>
      <c r="B33" t="s">
        <v>43</v>
      </c>
      <c r="C33" s="18">
        <v>0</v>
      </c>
      <c r="D33" s="5"/>
      <c r="E33" s="18"/>
      <c r="G33" s="18"/>
      <c r="H33" s="24"/>
    </row>
    <row r="34" spans="1:8">
      <c r="A34" s="18">
        <v>41000</v>
      </c>
      <c r="B34" t="s">
        <v>44</v>
      </c>
      <c r="C34" s="18">
        <f>36000+500</f>
        <v>36500</v>
      </c>
      <c r="D34" s="5"/>
      <c r="E34" s="18"/>
      <c r="G34" s="18"/>
      <c r="H34" s="24"/>
    </row>
    <row r="35" spans="1:8">
      <c r="A35" s="18">
        <v>9000</v>
      </c>
      <c r="B35" t="s">
        <v>45</v>
      </c>
      <c r="C35" s="18">
        <v>0</v>
      </c>
      <c r="D35" s="5"/>
      <c r="E35" s="18"/>
      <c r="G35" s="18"/>
      <c r="H35" s="24"/>
    </row>
    <row r="36" spans="1:8">
      <c r="A36" s="18">
        <v>2500</v>
      </c>
      <c r="B36" t="s">
        <v>46</v>
      </c>
      <c r="C36" s="18">
        <v>2500</v>
      </c>
      <c r="D36" s="5"/>
      <c r="E36" s="18"/>
      <c r="G36" s="18"/>
      <c r="H36" s="24"/>
    </row>
    <row r="37" spans="1:8">
      <c r="A37" s="18">
        <v>0</v>
      </c>
      <c r="B37" t="s">
        <v>294</v>
      </c>
      <c r="C37" s="18">
        <v>1400</v>
      </c>
      <c r="D37" s="5"/>
      <c r="E37" s="18"/>
      <c r="G37" s="18"/>
      <c r="H37" s="24"/>
    </row>
    <row r="38" spans="1:8">
      <c r="A38" s="18">
        <v>0</v>
      </c>
      <c r="B38" t="s">
        <v>69</v>
      </c>
      <c r="C38" s="19">
        <v>150</v>
      </c>
      <c r="D38" s="5">
        <f>SUM(C27:C38)</f>
        <v>60928</v>
      </c>
      <c r="E38" s="18"/>
      <c r="G38" s="18"/>
      <c r="H38" s="24"/>
    </row>
    <row r="39" spans="1:8">
      <c r="A39" s="18"/>
      <c r="C39" s="18"/>
      <c r="D39" s="5"/>
      <c r="E39" s="18"/>
      <c r="G39" s="18"/>
      <c r="H39" s="24"/>
    </row>
    <row r="40" spans="1:8">
      <c r="A40" s="18">
        <f>ROUND((E42-SUM(A7:A36))*0.25,)</f>
        <v>56231</v>
      </c>
      <c r="B40" s="10" t="s">
        <v>47</v>
      </c>
      <c r="C40" s="18"/>
      <c r="D40" s="5">
        <f>ROUND((H42-SUM(D7:D36))*0.25,)</f>
        <v>50692</v>
      </c>
      <c r="E40" s="18"/>
      <c r="G40" s="18"/>
      <c r="H40" s="24"/>
    </row>
    <row r="41" spans="1:8">
      <c r="A41" s="19">
        <f>E42-SUM(A7:A40)</f>
        <v>168694.19999999995</v>
      </c>
      <c r="B41" s="10" t="s">
        <v>48</v>
      </c>
      <c r="C41" s="19"/>
      <c r="D41" s="5">
        <f>H42-SUM(D7:D40)</f>
        <v>91148.219999999972</v>
      </c>
      <c r="E41" s="19"/>
      <c r="G41" s="19"/>
      <c r="H41" s="25"/>
    </row>
    <row r="42" spans="1:8" ht="15" thickBot="1">
      <c r="A42" s="6">
        <f>SUM(A7:A41)</f>
        <v>993473</v>
      </c>
      <c r="B42" s="359" t="s">
        <v>49</v>
      </c>
      <c r="C42" s="359"/>
      <c r="D42" s="6">
        <f>SUM(D7:D41)</f>
        <v>993242.72</v>
      </c>
      <c r="E42" s="6">
        <f>SUM(E7:E41)</f>
        <v>993473</v>
      </c>
      <c r="F42" s="359" t="s">
        <v>49</v>
      </c>
      <c r="G42" s="359"/>
      <c r="H42" s="6">
        <f>SUM(H7:H41)</f>
        <v>993242.72</v>
      </c>
    </row>
    <row r="43" spans="1:8" ht="15" thickTop="1">
      <c r="A43" s="2" t="s">
        <v>50</v>
      </c>
    </row>
    <row r="44" spans="1:8">
      <c r="E44" s="2" t="s">
        <v>51</v>
      </c>
    </row>
    <row r="49" spans="1:5">
      <c r="A49" s="2" t="s">
        <v>52</v>
      </c>
    </row>
    <row r="50" spans="1:5">
      <c r="A50" s="2" t="s">
        <v>53</v>
      </c>
      <c r="E50" s="2" t="s">
        <v>54</v>
      </c>
    </row>
    <row r="51" spans="1:5">
      <c r="A51" s="2" t="s">
        <v>55</v>
      </c>
    </row>
    <row r="52" spans="1:5">
      <c r="A52" s="2" t="s">
        <v>56</v>
      </c>
    </row>
  </sheetData>
  <mergeCells count="7">
    <mergeCell ref="B42:C42"/>
    <mergeCell ref="F42:G42"/>
    <mergeCell ref="A1:H1"/>
    <mergeCell ref="A2:H2"/>
    <mergeCell ref="A4:H4"/>
    <mergeCell ref="B6:C6"/>
    <mergeCell ref="F6:G6"/>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election activeCell="I21" sqref="I21"/>
    </sheetView>
  </sheetViews>
  <sheetFormatPr defaultRowHeight="14.4"/>
  <cols>
    <col min="1" max="1" width="10" bestFit="1" customWidth="1"/>
    <col min="2" max="2" width="19.109375" customWidth="1"/>
    <col min="3" max="3" width="10" bestFit="1" customWidth="1"/>
  </cols>
  <sheetData>
    <row r="1" spans="1:3">
      <c r="A1" s="363" t="s">
        <v>67</v>
      </c>
      <c r="B1" s="363"/>
      <c r="C1" s="363"/>
    </row>
    <row r="2" spans="1:3">
      <c r="A2" s="11" t="s">
        <v>62</v>
      </c>
      <c r="B2" s="11" t="s">
        <v>61</v>
      </c>
      <c r="C2" s="11" t="s">
        <v>62</v>
      </c>
    </row>
    <row r="3" spans="1:3">
      <c r="A3" s="12">
        <v>7619</v>
      </c>
      <c r="B3" s="13" t="s">
        <v>63</v>
      </c>
      <c r="C3" s="12">
        <v>9050</v>
      </c>
    </row>
    <row r="4" spans="1:3">
      <c r="A4" s="12">
        <v>42508</v>
      </c>
      <c r="B4" s="13" t="s">
        <v>64</v>
      </c>
      <c r="C4" s="12">
        <f>12385+568</f>
        <v>12953</v>
      </c>
    </row>
    <row r="5" spans="1:3">
      <c r="A5" s="12">
        <v>15855</v>
      </c>
      <c r="B5" s="13" t="s">
        <v>65</v>
      </c>
      <c r="C5" s="12">
        <v>20843</v>
      </c>
    </row>
    <row r="6" spans="1:3">
      <c r="A6" s="12">
        <v>0</v>
      </c>
      <c r="B6" s="13" t="s">
        <v>68</v>
      </c>
      <c r="C6" s="12">
        <f>12500+25000</f>
        <v>37500</v>
      </c>
    </row>
    <row r="7" spans="1:3">
      <c r="A7" s="12">
        <v>48296</v>
      </c>
      <c r="B7" s="13" t="s">
        <v>66</v>
      </c>
      <c r="C7" s="12">
        <v>3153</v>
      </c>
    </row>
    <row r="8" spans="1:3">
      <c r="A8" s="14">
        <f>SUM(A3:A7)</f>
        <v>114278</v>
      </c>
      <c r="B8" s="11" t="s">
        <v>49</v>
      </c>
      <c r="C8" s="14">
        <f>SUM(C3:C7)</f>
        <v>83499</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4"/>
  <sheetViews>
    <sheetView workbookViewId="0">
      <selection activeCell="H28" sqref="H28"/>
    </sheetView>
  </sheetViews>
  <sheetFormatPr defaultColWidth="8.88671875" defaultRowHeight="14.4"/>
  <cols>
    <col min="1" max="1" width="20.33203125" style="20" customWidth="1"/>
    <col min="2" max="2" width="24.33203125" style="20" customWidth="1"/>
    <col min="3" max="3" width="54" style="20" customWidth="1"/>
    <col min="4" max="4" width="6.6640625" style="20" customWidth="1"/>
    <col min="5" max="5" width="13.44140625" style="20" customWidth="1"/>
    <col min="6" max="16384" width="8.88671875" style="20"/>
  </cols>
  <sheetData>
    <row r="1" spans="1:13">
      <c r="A1" s="364" t="s">
        <v>226</v>
      </c>
      <c r="B1" s="365"/>
      <c r="C1" s="365"/>
      <c r="D1" s="365"/>
      <c r="E1" s="365"/>
    </row>
    <row r="2" spans="1:13">
      <c r="A2" s="21" t="s">
        <v>225</v>
      </c>
      <c r="B2" s="21" t="s">
        <v>224</v>
      </c>
      <c r="C2" s="21" t="s">
        <v>223</v>
      </c>
      <c r="D2" s="21" t="s">
        <v>222</v>
      </c>
      <c r="E2" s="21" t="s">
        <v>221</v>
      </c>
      <c r="F2" s="21" t="s">
        <v>220</v>
      </c>
    </row>
    <row r="3" spans="1:13">
      <c r="A3" s="20" t="s">
        <v>219</v>
      </c>
      <c r="B3" s="20" t="s">
        <v>206</v>
      </c>
      <c r="C3" s="20" t="s">
        <v>218</v>
      </c>
      <c r="D3" s="20" t="s">
        <v>94</v>
      </c>
      <c r="E3" s="22">
        <v>1122</v>
      </c>
      <c r="F3" s="20" t="s">
        <v>93</v>
      </c>
    </row>
    <row r="4" spans="1:13">
      <c r="A4" s="20" t="s">
        <v>217</v>
      </c>
      <c r="B4" s="20" t="s">
        <v>206</v>
      </c>
      <c r="C4" s="20" t="s">
        <v>216</v>
      </c>
      <c r="D4" s="20" t="s">
        <v>94</v>
      </c>
      <c r="E4" s="22">
        <v>1122</v>
      </c>
      <c r="F4" s="20" t="s">
        <v>93</v>
      </c>
      <c r="L4" s="20" t="s">
        <v>93</v>
      </c>
      <c r="M4" s="20">
        <f t="shared" ref="M4:M9" si="0">SUMIF($F$3:$F$63,L4,$E$3:$E$63)</f>
        <v>29171</v>
      </c>
    </row>
    <row r="5" spans="1:13">
      <c r="A5" s="20" t="s">
        <v>215</v>
      </c>
      <c r="B5" s="20" t="s">
        <v>206</v>
      </c>
      <c r="C5" s="20" t="s">
        <v>214</v>
      </c>
      <c r="D5" s="20" t="s">
        <v>94</v>
      </c>
      <c r="E5" s="22">
        <v>1122</v>
      </c>
      <c r="F5" s="20" t="s">
        <v>93</v>
      </c>
      <c r="L5" s="20" t="s">
        <v>100</v>
      </c>
      <c r="M5" s="20">
        <f t="shared" si="0"/>
        <v>10796</v>
      </c>
    </row>
    <row r="6" spans="1:13">
      <c r="A6" s="20" t="s">
        <v>213</v>
      </c>
      <c r="B6" s="20" t="s">
        <v>206</v>
      </c>
      <c r="C6" s="20" t="s">
        <v>212</v>
      </c>
      <c r="D6" s="20" t="s">
        <v>94</v>
      </c>
      <c r="E6" s="22">
        <v>1683</v>
      </c>
      <c r="F6" s="20" t="s">
        <v>93</v>
      </c>
      <c r="L6" s="20" t="s">
        <v>125</v>
      </c>
      <c r="M6" s="20">
        <f t="shared" si="0"/>
        <v>41170</v>
      </c>
    </row>
    <row r="7" spans="1:13">
      <c r="A7" s="20" t="s">
        <v>211</v>
      </c>
      <c r="B7" s="20" t="s">
        <v>206</v>
      </c>
      <c r="C7" s="20" t="s">
        <v>210</v>
      </c>
      <c r="D7" s="20" t="s">
        <v>94</v>
      </c>
      <c r="E7" s="23">
        <v>561</v>
      </c>
      <c r="F7" s="20" t="s">
        <v>120</v>
      </c>
      <c r="L7" s="20" t="s">
        <v>120</v>
      </c>
      <c r="M7" s="20">
        <f t="shared" si="0"/>
        <v>8872</v>
      </c>
    </row>
    <row r="8" spans="1:13">
      <c r="A8" s="20" t="s">
        <v>209</v>
      </c>
      <c r="B8" s="20" t="s">
        <v>206</v>
      </c>
      <c r="C8" s="20" t="s">
        <v>208</v>
      </c>
      <c r="D8" s="20" t="s">
        <v>94</v>
      </c>
      <c r="E8" s="23">
        <v>561</v>
      </c>
      <c r="F8" s="20" t="s">
        <v>100</v>
      </c>
      <c r="L8" s="20" t="s">
        <v>142</v>
      </c>
      <c r="M8" s="20">
        <f t="shared" si="0"/>
        <v>238</v>
      </c>
    </row>
    <row r="9" spans="1:13">
      <c r="A9" s="20" t="s">
        <v>207</v>
      </c>
      <c r="B9" s="20" t="s">
        <v>206</v>
      </c>
      <c r="C9" s="20" t="s">
        <v>205</v>
      </c>
      <c r="D9" s="20" t="s">
        <v>94</v>
      </c>
      <c r="E9" s="23">
        <v>93</v>
      </c>
      <c r="F9" s="20" t="s">
        <v>113</v>
      </c>
      <c r="L9" s="20" t="s">
        <v>113</v>
      </c>
      <c r="M9" s="20">
        <f t="shared" si="0"/>
        <v>390</v>
      </c>
    </row>
    <row r="10" spans="1:13">
      <c r="A10" s="20" t="s">
        <v>204</v>
      </c>
      <c r="B10" s="20" t="s">
        <v>201</v>
      </c>
      <c r="C10" s="20" t="s">
        <v>203</v>
      </c>
      <c r="D10" s="20" t="s">
        <v>94</v>
      </c>
      <c r="E10" s="22">
        <v>2003</v>
      </c>
      <c r="F10" s="20" t="s">
        <v>125</v>
      </c>
      <c r="M10" s="20">
        <f>SUM(M4:M9)</f>
        <v>90637</v>
      </c>
    </row>
    <row r="11" spans="1:13">
      <c r="A11" s="20" t="s">
        <v>202</v>
      </c>
      <c r="B11" s="20" t="s">
        <v>201</v>
      </c>
      <c r="C11" s="20" t="s">
        <v>200</v>
      </c>
      <c r="D11" s="20" t="s">
        <v>94</v>
      </c>
      <c r="E11" s="23">
        <v>401</v>
      </c>
      <c r="F11" s="20" t="s">
        <v>100</v>
      </c>
    </row>
    <row r="12" spans="1:13">
      <c r="A12" s="20" t="s">
        <v>199</v>
      </c>
      <c r="B12" s="20" t="s">
        <v>196</v>
      </c>
      <c r="C12" s="20" t="s">
        <v>198</v>
      </c>
      <c r="D12" s="20" t="s">
        <v>94</v>
      </c>
      <c r="E12" s="23">
        <v>530</v>
      </c>
      <c r="F12" s="20" t="s">
        <v>93</v>
      </c>
    </row>
    <row r="13" spans="1:13">
      <c r="A13" s="20" t="s">
        <v>197</v>
      </c>
      <c r="B13" s="20" t="s">
        <v>196</v>
      </c>
      <c r="C13" s="20" t="s">
        <v>195</v>
      </c>
      <c r="D13" s="20" t="s">
        <v>94</v>
      </c>
      <c r="E13" s="22">
        <v>1590</v>
      </c>
      <c r="F13" s="20" t="s">
        <v>125</v>
      </c>
    </row>
    <row r="14" spans="1:13">
      <c r="A14" s="20" t="s">
        <v>194</v>
      </c>
      <c r="B14" s="20" t="s">
        <v>193</v>
      </c>
      <c r="C14" s="20" t="s">
        <v>192</v>
      </c>
      <c r="D14" s="20" t="s">
        <v>94</v>
      </c>
      <c r="E14" s="22">
        <v>3452</v>
      </c>
      <c r="F14" s="20" t="s">
        <v>125</v>
      </c>
    </row>
    <row r="15" spans="1:13">
      <c r="A15" s="20" t="s">
        <v>191</v>
      </c>
      <c r="B15" s="20" t="s">
        <v>178</v>
      </c>
      <c r="C15" s="20" t="s">
        <v>190</v>
      </c>
      <c r="D15" s="20" t="s">
        <v>94</v>
      </c>
      <c r="E15" s="22">
        <v>1134</v>
      </c>
      <c r="F15" s="20" t="s">
        <v>93</v>
      </c>
    </row>
    <row r="16" spans="1:13">
      <c r="A16" s="20" t="s">
        <v>189</v>
      </c>
      <c r="B16" s="20" t="s">
        <v>178</v>
      </c>
      <c r="C16" s="20" t="s">
        <v>188</v>
      </c>
      <c r="D16" s="20" t="s">
        <v>94</v>
      </c>
      <c r="E16" s="22">
        <v>1134</v>
      </c>
      <c r="F16" s="20" t="s">
        <v>93</v>
      </c>
    </row>
    <row r="17" spans="1:6">
      <c r="A17" s="20" t="s">
        <v>187</v>
      </c>
      <c r="B17" s="20" t="s">
        <v>178</v>
      </c>
      <c r="C17" s="20" t="s">
        <v>186</v>
      </c>
      <c r="D17" s="20" t="s">
        <v>94</v>
      </c>
      <c r="E17" s="22">
        <v>1134</v>
      </c>
      <c r="F17" s="20" t="s">
        <v>93</v>
      </c>
    </row>
    <row r="18" spans="1:6">
      <c r="A18" s="20" t="s">
        <v>185</v>
      </c>
      <c r="B18" s="20" t="s">
        <v>178</v>
      </c>
      <c r="C18" s="20" t="s">
        <v>184</v>
      </c>
      <c r="D18" s="20" t="s">
        <v>94</v>
      </c>
      <c r="E18" s="22">
        <v>1701</v>
      </c>
      <c r="F18" s="20" t="s">
        <v>93</v>
      </c>
    </row>
    <row r="19" spans="1:6">
      <c r="A19" s="20" t="s">
        <v>183</v>
      </c>
      <c r="B19" s="20" t="s">
        <v>178</v>
      </c>
      <c r="C19" s="20" t="s">
        <v>182</v>
      </c>
      <c r="D19" s="20" t="s">
        <v>94</v>
      </c>
      <c r="E19" s="23">
        <v>567</v>
      </c>
      <c r="F19" s="20" t="s">
        <v>120</v>
      </c>
    </row>
    <row r="20" spans="1:6">
      <c r="A20" s="20" t="s">
        <v>181</v>
      </c>
      <c r="B20" s="20" t="s">
        <v>178</v>
      </c>
      <c r="C20" s="20" t="s">
        <v>180</v>
      </c>
      <c r="D20" s="20" t="s">
        <v>94</v>
      </c>
      <c r="E20" s="23">
        <v>567</v>
      </c>
      <c r="F20" s="20" t="s">
        <v>100</v>
      </c>
    </row>
    <row r="21" spans="1:6">
      <c r="A21" s="20" t="s">
        <v>179</v>
      </c>
      <c r="B21" s="20" t="s">
        <v>178</v>
      </c>
      <c r="C21" s="20" t="s">
        <v>177</v>
      </c>
      <c r="D21" s="20" t="s">
        <v>94</v>
      </c>
      <c r="E21" s="23">
        <v>94</v>
      </c>
      <c r="F21" s="20" t="s">
        <v>113</v>
      </c>
    </row>
    <row r="22" spans="1:6">
      <c r="A22" s="20" t="s">
        <v>176</v>
      </c>
      <c r="B22" s="20" t="s">
        <v>175</v>
      </c>
      <c r="C22" s="20" t="s">
        <v>174</v>
      </c>
      <c r="D22" s="20" t="s">
        <v>94</v>
      </c>
      <c r="E22" s="22">
        <v>9447</v>
      </c>
      <c r="F22" s="20" t="s">
        <v>125</v>
      </c>
    </row>
    <row r="23" spans="1:6">
      <c r="A23" s="20" t="s">
        <v>173</v>
      </c>
      <c r="B23" s="20" t="s">
        <v>169</v>
      </c>
      <c r="C23" s="20" t="s">
        <v>105</v>
      </c>
      <c r="D23" s="20" t="s">
        <v>94</v>
      </c>
      <c r="E23" s="23">
        <v>550</v>
      </c>
      <c r="F23" s="20" t="s">
        <v>93</v>
      </c>
    </row>
    <row r="24" spans="1:6">
      <c r="A24" s="20" t="s">
        <v>172</v>
      </c>
      <c r="B24" s="20" t="s">
        <v>169</v>
      </c>
      <c r="C24" s="20" t="s">
        <v>103</v>
      </c>
      <c r="D24" s="20" t="s">
        <v>94</v>
      </c>
      <c r="E24" s="23">
        <v>550</v>
      </c>
      <c r="F24" s="20" t="s">
        <v>93</v>
      </c>
    </row>
    <row r="25" spans="1:6">
      <c r="A25" s="20" t="s">
        <v>171</v>
      </c>
      <c r="B25" s="20" t="s">
        <v>169</v>
      </c>
      <c r="C25" s="20" t="s">
        <v>98</v>
      </c>
      <c r="D25" s="20" t="s">
        <v>94</v>
      </c>
      <c r="E25" s="23">
        <v>550</v>
      </c>
      <c r="F25" s="20" t="s">
        <v>93</v>
      </c>
    </row>
    <row r="26" spans="1:6">
      <c r="A26" s="20" t="s">
        <v>170</v>
      </c>
      <c r="B26" s="20" t="s">
        <v>169</v>
      </c>
      <c r="C26" s="20" t="s">
        <v>95</v>
      </c>
      <c r="D26" s="20" t="s">
        <v>94</v>
      </c>
      <c r="E26" s="23">
        <v>826</v>
      </c>
      <c r="F26" s="20" t="s">
        <v>93</v>
      </c>
    </row>
    <row r="27" spans="1:6">
      <c r="A27" s="20" t="s">
        <v>168</v>
      </c>
      <c r="B27" s="20" t="s">
        <v>165</v>
      </c>
      <c r="C27" s="20" t="s">
        <v>149</v>
      </c>
      <c r="D27" s="20" t="s">
        <v>94</v>
      </c>
      <c r="E27" s="23">
        <v>443</v>
      </c>
      <c r="F27" s="20" t="s">
        <v>120</v>
      </c>
    </row>
    <row r="28" spans="1:6">
      <c r="A28" s="20" t="s">
        <v>167</v>
      </c>
      <c r="B28" s="20" t="s">
        <v>165</v>
      </c>
      <c r="C28" s="20" t="s">
        <v>147</v>
      </c>
      <c r="D28" s="20" t="s">
        <v>94</v>
      </c>
      <c r="E28" s="23">
        <v>443</v>
      </c>
      <c r="F28" s="20" t="s">
        <v>100</v>
      </c>
    </row>
    <row r="29" spans="1:6">
      <c r="A29" s="20" t="s">
        <v>166</v>
      </c>
      <c r="B29" s="20" t="s">
        <v>165</v>
      </c>
      <c r="C29" s="20" t="s">
        <v>164</v>
      </c>
      <c r="D29" s="20" t="s">
        <v>94</v>
      </c>
      <c r="E29" s="23">
        <v>62</v>
      </c>
      <c r="F29" s="20" t="s">
        <v>113</v>
      </c>
    </row>
    <row r="30" spans="1:6">
      <c r="A30" s="20" t="s">
        <v>163</v>
      </c>
      <c r="B30" s="20" t="s">
        <v>156</v>
      </c>
      <c r="C30" s="20" t="s">
        <v>149</v>
      </c>
      <c r="D30" s="20" t="s">
        <v>94</v>
      </c>
      <c r="E30" s="23">
        <v>191</v>
      </c>
      <c r="F30" s="20" t="s">
        <v>120</v>
      </c>
    </row>
    <row r="31" spans="1:6">
      <c r="A31" s="20" t="s">
        <v>162</v>
      </c>
      <c r="B31" s="20" t="s">
        <v>156</v>
      </c>
      <c r="C31" s="20" t="s">
        <v>147</v>
      </c>
      <c r="D31" s="20" t="s">
        <v>94</v>
      </c>
      <c r="E31" s="23">
        <v>191</v>
      </c>
      <c r="F31" s="20" t="s">
        <v>100</v>
      </c>
    </row>
    <row r="32" spans="1:6">
      <c r="A32" s="20" t="s">
        <v>161</v>
      </c>
      <c r="B32" s="20" t="s">
        <v>156</v>
      </c>
      <c r="C32" s="20" t="s">
        <v>114</v>
      </c>
      <c r="D32" s="20" t="s">
        <v>94</v>
      </c>
      <c r="E32" s="23">
        <v>37</v>
      </c>
      <c r="F32" s="20" t="s">
        <v>113</v>
      </c>
    </row>
    <row r="33" spans="1:6">
      <c r="A33" s="20" t="s">
        <v>160</v>
      </c>
      <c r="B33" s="20" t="s">
        <v>156</v>
      </c>
      <c r="C33" s="20" t="s">
        <v>105</v>
      </c>
      <c r="D33" s="20" t="s">
        <v>94</v>
      </c>
      <c r="E33" s="23">
        <v>737</v>
      </c>
      <c r="F33" s="20" t="s">
        <v>93</v>
      </c>
    </row>
    <row r="34" spans="1:6">
      <c r="A34" s="20" t="s">
        <v>159</v>
      </c>
      <c r="B34" s="20" t="s">
        <v>156</v>
      </c>
      <c r="C34" s="20" t="s">
        <v>103</v>
      </c>
      <c r="D34" s="20" t="s">
        <v>94</v>
      </c>
      <c r="E34" s="23">
        <v>737</v>
      </c>
      <c r="F34" s="20" t="s">
        <v>93</v>
      </c>
    </row>
    <row r="35" spans="1:6">
      <c r="A35" s="20" t="s">
        <v>158</v>
      </c>
      <c r="B35" s="20" t="s">
        <v>156</v>
      </c>
      <c r="C35" s="20" t="s">
        <v>98</v>
      </c>
      <c r="D35" s="20" t="s">
        <v>94</v>
      </c>
      <c r="E35" s="23">
        <v>737</v>
      </c>
      <c r="F35" s="20" t="s">
        <v>93</v>
      </c>
    </row>
    <row r="36" spans="1:6">
      <c r="A36" s="20" t="s">
        <v>157</v>
      </c>
      <c r="B36" s="20" t="s">
        <v>156</v>
      </c>
      <c r="C36" s="20" t="s">
        <v>95</v>
      </c>
      <c r="D36" s="20" t="s">
        <v>94</v>
      </c>
      <c r="E36" s="22">
        <v>1106</v>
      </c>
      <c r="F36" s="20" t="s">
        <v>93</v>
      </c>
    </row>
    <row r="37" spans="1:6">
      <c r="A37" s="20" t="s">
        <v>155</v>
      </c>
      <c r="B37" s="20" t="s">
        <v>152</v>
      </c>
      <c r="C37" s="20" t="s">
        <v>154</v>
      </c>
      <c r="D37" s="20" t="s">
        <v>94</v>
      </c>
      <c r="E37" s="22">
        <v>1919</v>
      </c>
      <c r="F37" s="20" t="s">
        <v>100</v>
      </c>
    </row>
    <row r="38" spans="1:6">
      <c r="A38" s="20" t="s">
        <v>153</v>
      </c>
      <c r="B38" s="20" t="s">
        <v>152</v>
      </c>
      <c r="C38" s="20" t="s">
        <v>151</v>
      </c>
      <c r="D38" s="20" t="s">
        <v>94</v>
      </c>
      <c r="E38" s="22">
        <v>1919</v>
      </c>
      <c r="F38" s="20" t="s">
        <v>100</v>
      </c>
    </row>
    <row r="39" spans="1:6">
      <c r="A39" s="20" t="s">
        <v>150</v>
      </c>
      <c r="B39" s="20" t="s">
        <v>96</v>
      </c>
      <c r="C39" s="20" t="s">
        <v>149</v>
      </c>
      <c r="D39" s="20" t="s">
        <v>94</v>
      </c>
      <c r="E39" s="23">
        <v>534</v>
      </c>
      <c r="F39" s="20" t="s">
        <v>120</v>
      </c>
    </row>
    <row r="40" spans="1:6">
      <c r="A40" s="20" t="s">
        <v>148</v>
      </c>
      <c r="B40" s="20" t="s">
        <v>96</v>
      </c>
      <c r="C40" s="20" t="s">
        <v>147</v>
      </c>
      <c r="D40" s="20" t="s">
        <v>94</v>
      </c>
      <c r="E40" s="23">
        <v>534</v>
      </c>
      <c r="F40" s="20" t="s">
        <v>100</v>
      </c>
    </row>
    <row r="41" spans="1:6">
      <c r="A41" s="20" t="s">
        <v>146</v>
      </c>
      <c r="B41" s="20" t="s">
        <v>96</v>
      </c>
      <c r="C41" s="20" t="s">
        <v>145</v>
      </c>
      <c r="D41" s="20" t="s">
        <v>94</v>
      </c>
      <c r="E41" s="22">
        <v>9610</v>
      </c>
      <c r="F41" s="20" t="s">
        <v>125</v>
      </c>
    </row>
    <row r="42" spans="1:6">
      <c r="A42" s="20" t="s">
        <v>144</v>
      </c>
      <c r="B42" s="20" t="s">
        <v>96</v>
      </c>
      <c r="C42" s="20" t="s">
        <v>143</v>
      </c>
      <c r="D42" s="20" t="s">
        <v>94</v>
      </c>
      <c r="E42" s="23">
        <v>238</v>
      </c>
      <c r="F42" s="20" t="s">
        <v>142</v>
      </c>
    </row>
    <row r="43" spans="1:6">
      <c r="A43" s="20" t="s">
        <v>141</v>
      </c>
      <c r="B43" s="20" t="s">
        <v>96</v>
      </c>
      <c r="C43" s="20" t="s">
        <v>140</v>
      </c>
      <c r="D43" s="20" t="s">
        <v>94</v>
      </c>
      <c r="E43" s="22">
        <v>2000</v>
      </c>
      <c r="F43" s="20" t="s">
        <v>120</v>
      </c>
    </row>
    <row r="44" spans="1:6">
      <c r="A44" s="20" t="s">
        <v>139</v>
      </c>
      <c r="B44" s="20" t="s">
        <v>96</v>
      </c>
      <c r="C44" s="20" t="s">
        <v>138</v>
      </c>
      <c r="D44" s="20" t="s">
        <v>94</v>
      </c>
      <c r="E44" s="22">
        <v>4128</v>
      </c>
      <c r="F44" s="20" t="s">
        <v>125</v>
      </c>
    </row>
    <row r="45" spans="1:6">
      <c r="A45" s="20" t="s">
        <v>137</v>
      </c>
      <c r="B45" s="20" t="s">
        <v>96</v>
      </c>
      <c r="C45" s="20" t="s">
        <v>136</v>
      </c>
      <c r="D45" s="20" t="s">
        <v>94</v>
      </c>
      <c r="E45" s="22">
        <v>2935</v>
      </c>
      <c r="F45" s="20" t="s">
        <v>93</v>
      </c>
    </row>
    <row r="46" spans="1:6">
      <c r="A46" s="20" t="s">
        <v>135</v>
      </c>
      <c r="B46" s="20" t="s">
        <v>96</v>
      </c>
      <c r="C46" s="20" t="s">
        <v>134</v>
      </c>
      <c r="D46" s="20" t="s">
        <v>94</v>
      </c>
      <c r="E46" s="22">
        <v>4013</v>
      </c>
      <c r="F46" s="20" t="s">
        <v>125</v>
      </c>
    </row>
    <row r="47" spans="1:6">
      <c r="A47" s="20" t="s">
        <v>133</v>
      </c>
      <c r="B47" s="20" t="s">
        <v>96</v>
      </c>
      <c r="C47" s="20" t="s">
        <v>132</v>
      </c>
      <c r="D47" s="20" t="s">
        <v>94</v>
      </c>
      <c r="E47" s="22">
        <v>4447</v>
      </c>
      <c r="F47" s="20" t="s">
        <v>125</v>
      </c>
    </row>
    <row r="48" spans="1:6">
      <c r="A48" s="20" t="s">
        <v>131</v>
      </c>
      <c r="B48" s="20" t="s">
        <v>96</v>
      </c>
      <c r="C48" s="20" t="s">
        <v>130</v>
      </c>
      <c r="D48" s="20" t="s">
        <v>94</v>
      </c>
      <c r="E48" s="22">
        <v>1040</v>
      </c>
      <c r="F48" s="20" t="s">
        <v>120</v>
      </c>
    </row>
    <row r="49" spans="1:6">
      <c r="A49" s="20" t="s">
        <v>129</v>
      </c>
      <c r="B49" s="20" t="s">
        <v>96</v>
      </c>
      <c r="C49" s="20" t="s">
        <v>128</v>
      </c>
      <c r="D49" s="20" t="s">
        <v>94</v>
      </c>
      <c r="E49" s="22">
        <v>2223</v>
      </c>
      <c r="F49" s="20" t="s">
        <v>120</v>
      </c>
    </row>
    <row r="50" spans="1:6">
      <c r="A50" s="20" t="s">
        <v>127</v>
      </c>
      <c r="B50" s="20" t="s">
        <v>96</v>
      </c>
      <c r="C50" s="20" t="s">
        <v>126</v>
      </c>
      <c r="D50" s="20" t="s">
        <v>94</v>
      </c>
      <c r="E50" s="22">
        <v>2480</v>
      </c>
      <c r="F50" s="20" t="s">
        <v>125</v>
      </c>
    </row>
    <row r="51" spans="1:6">
      <c r="A51" s="20" t="s">
        <v>124</v>
      </c>
      <c r="B51" s="20" t="s">
        <v>96</v>
      </c>
      <c r="C51" s="20" t="s">
        <v>123</v>
      </c>
      <c r="D51" s="20" t="s">
        <v>94</v>
      </c>
      <c r="E51" s="23">
        <v>867</v>
      </c>
      <c r="F51" s="20" t="s">
        <v>120</v>
      </c>
    </row>
    <row r="52" spans="1:6">
      <c r="A52" s="20" t="s">
        <v>122</v>
      </c>
      <c r="B52" s="20" t="s">
        <v>96</v>
      </c>
      <c r="C52" s="20" t="s">
        <v>121</v>
      </c>
      <c r="D52" s="20" t="s">
        <v>94</v>
      </c>
      <c r="E52" s="23">
        <v>446</v>
      </c>
      <c r="F52" s="20" t="s">
        <v>120</v>
      </c>
    </row>
    <row r="53" spans="1:6">
      <c r="A53" s="20" t="s">
        <v>119</v>
      </c>
      <c r="B53" s="20" t="s">
        <v>96</v>
      </c>
      <c r="C53" s="20" t="s">
        <v>118</v>
      </c>
      <c r="D53" s="20" t="s">
        <v>94</v>
      </c>
      <c r="E53" s="22">
        <v>3470</v>
      </c>
      <c r="F53" s="20" t="s">
        <v>93</v>
      </c>
    </row>
    <row r="54" spans="1:6">
      <c r="A54" s="20" t="s">
        <v>117</v>
      </c>
      <c r="B54" s="20" t="s">
        <v>96</v>
      </c>
      <c r="C54" s="20" t="s">
        <v>116</v>
      </c>
      <c r="D54" s="20" t="s">
        <v>94</v>
      </c>
      <c r="E54" s="22">
        <v>1482</v>
      </c>
      <c r="F54" s="20" t="s">
        <v>93</v>
      </c>
    </row>
    <row r="55" spans="1:6">
      <c r="A55" s="20" t="s">
        <v>115</v>
      </c>
      <c r="B55" s="20" t="s">
        <v>96</v>
      </c>
      <c r="C55" s="20" t="s">
        <v>114</v>
      </c>
      <c r="D55" s="20" t="s">
        <v>94</v>
      </c>
      <c r="E55" s="23">
        <v>104</v>
      </c>
      <c r="F55" s="20" t="s">
        <v>113</v>
      </c>
    </row>
    <row r="56" spans="1:6">
      <c r="A56" s="20" t="s">
        <v>112</v>
      </c>
      <c r="B56" s="20" t="s">
        <v>96</v>
      </c>
      <c r="C56" s="20" t="s">
        <v>111</v>
      </c>
      <c r="D56" s="20" t="s">
        <v>94</v>
      </c>
      <c r="E56" s="23">
        <v>802</v>
      </c>
      <c r="F56" s="20" t="s">
        <v>100</v>
      </c>
    </row>
    <row r="57" spans="1:6">
      <c r="A57" s="20" t="s">
        <v>110</v>
      </c>
      <c r="B57" s="20" t="s">
        <v>96</v>
      </c>
      <c r="C57" s="20" t="s">
        <v>109</v>
      </c>
      <c r="D57" s="20" t="s">
        <v>94</v>
      </c>
      <c r="E57" s="23">
        <v>646</v>
      </c>
      <c r="F57" s="20" t="s">
        <v>100</v>
      </c>
    </row>
    <row r="58" spans="1:6">
      <c r="A58" s="20" t="s">
        <v>108</v>
      </c>
      <c r="B58" s="20" t="s">
        <v>96</v>
      </c>
      <c r="C58" s="20" t="s">
        <v>107</v>
      </c>
      <c r="D58" s="20" t="s">
        <v>94</v>
      </c>
      <c r="E58" s="23">
        <v>646</v>
      </c>
      <c r="F58" s="20" t="s">
        <v>100</v>
      </c>
    </row>
    <row r="59" spans="1:6">
      <c r="A59" s="20" t="s">
        <v>106</v>
      </c>
      <c r="B59" s="20" t="s">
        <v>96</v>
      </c>
      <c r="C59" s="20" t="s">
        <v>105</v>
      </c>
      <c r="D59" s="20" t="s">
        <v>94</v>
      </c>
      <c r="E59" s="22">
        <v>1069</v>
      </c>
      <c r="F59" s="20" t="s">
        <v>93</v>
      </c>
    </row>
    <row r="60" spans="1:6">
      <c r="A60" s="20" t="s">
        <v>104</v>
      </c>
      <c r="B60" s="20" t="s">
        <v>96</v>
      </c>
      <c r="C60" s="20" t="s">
        <v>103</v>
      </c>
      <c r="D60" s="20" t="s">
        <v>94</v>
      </c>
      <c r="E60" s="22">
        <v>1069</v>
      </c>
      <c r="F60" s="20" t="s">
        <v>93</v>
      </c>
    </row>
    <row r="61" spans="1:6">
      <c r="A61" s="20" t="s">
        <v>102</v>
      </c>
      <c r="B61" s="20" t="s">
        <v>96</v>
      </c>
      <c r="C61" s="20" t="s">
        <v>101</v>
      </c>
      <c r="D61" s="20" t="s">
        <v>94</v>
      </c>
      <c r="E61" s="22">
        <v>2167</v>
      </c>
      <c r="F61" s="20" t="s">
        <v>100</v>
      </c>
    </row>
    <row r="62" spans="1:6">
      <c r="A62" s="20" t="s">
        <v>99</v>
      </c>
      <c r="B62" s="20" t="s">
        <v>96</v>
      </c>
      <c r="C62" s="20" t="s">
        <v>98</v>
      </c>
      <c r="D62" s="20" t="s">
        <v>94</v>
      </c>
      <c r="E62" s="22">
        <v>1069</v>
      </c>
      <c r="F62" s="20" t="s">
        <v>93</v>
      </c>
    </row>
    <row r="63" spans="1:6">
      <c r="A63" s="20" t="s">
        <v>97</v>
      </c>
      <c r="B63" s="20" t="s">
        <v>96</v>
      </c>
      <c r="C63" s="20" t="s">
        <v>95</v>
      </c>
      <c r="D63" s="20" t="s">
        <v>94</v>
      </c>
      <c r="E63" s="22">
        <v>1602</v>
      </c>
      <c r="F63" s="20" t="s">
        <v>93</v>
      </c>
    </row>
    <row r="64" spans="1:6">
      <c r="A64" s="21" t="s">
        <v>92</v>
      </c>
      <c r="B64" s="21" t="s">
        <v>91</v>
      </c>
      <c r="E64" s="21" t="s">
        <v>90</v>
      </c>
    </row>
  </sheetData>
  <autoFilter ref="A2:F64" xr:uid="{00000000-0009-0000-0000-000008000000}"/>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L15"/>
  <sheetViews>
    <sheetView topLeftCell="A4" workbookViewId="0">
      <selection activeCell="B3" sqref="B3"/>
    </sheetView>
  </sheetViews>
  <sheetFormatPr defaultRowHeight="14.4"/>
  <cols>
    <col min="1" max="1" width="17.44140625" bestFit="1" customWidth="1"/>
    <col min="2" max="3" width="10.33203125" bestFit="1" customWidth="1"/>
    <col min="4" max="4" width="10.44140625" bestFit="1" customWidth="1"/>
    <col min="5" max="5" width="9.88671875" bestFit="1" customWidth="1"/>
    <col min="10" max="10" width="20" bestFit="1" customWidth="1"/>
    <col min="11" max="11" width="12.33203125" bestFit="1" customWidth="1"/>
  </cols>
  <sheetData>
    <row r="2" spans="1:12">
      <c r="A2" t="s">
        <v>10</v>
      </c>
    </row>
    <row r="3" spans="1:12">
      <c r="B3" s="8">
        <v>45631</v>
      </c>
      <c r="C3" s="8">
        <v>45721</v>
      </c>
      <c r="D3" s="9">
        <f>+C3-B3</f>
        <v>90</v>
      </c>
      <c r="E3" s="82">
        <v>16490</v>
      </c>
      <c r="F3" s="82"/>
    </row>
    <row r="4" spans="1:12">
      <c r="B4" s="8">
        <v>45722</v>
      </c>
      <c r="C4" s="8">
        <v>45747</v>
      </c>
      <c r="D4" s="9">
        <f>+C4-B4+1</f>
        <v>26</v>
      </c>
      <c r="E4" s="9">
        <f>ROUND(E3*D4/D3,)</f>
        <v>4764</v>
      </c>
      <c r="F4" s="9" t="s">
        <v>337</v>
      </c>
      <c r="J4" s="294" t="s">
        <v>373</v>
      </c>
      <c r="K4" s="294"/>
    </row>
    <row r="5" spans="1:12">
      <c r="J5" t="s">
        <v>374</v>
      </c>
      <c r="K5" s="9">
        <f>'IE '!G20</f>
        <v>0</v>
      </c>
    </row>
    <row r="6" spans="1:12">
      <c r="J6" t="s">
        <v>375</v>
      </c>
      <c r="K6" s="9">
        <v>0</v>
      </c>
    </row>
    <row r="7" spans="1:12">
      <c r="A7" t="s">
        <v>338</v>
      </c>
      <c r="J7" t="s">
        <v>376</v>
      </c>
      <c r="K7" s="9">
        <f>'IE '!G21</f>
        <v>134082</v>
      </c>
    </row>
    <row r="8" spans="1:12">
      <c r="B8" s="7">
        <v>45413</v>
      </c>
      <c r="C8" s="7">
        <v>45566</v>
      </c>
      <c r="D8">
        <v>6</v>
      </c>
      <c r="E8">
        <v>20000</v>
      </c>
      <c r="J8" t="s">
        <v>377</v>
      </c>
      <c r="K8" s="9">
        <f>-K7</f>
        <v>-134082</v>
      </c>
    </row>
    <row r="9" spans="1:12">
      <c r="B9" s="7">
        <v>45597</v>
      </c>
      <c r="C9" s="7">
        <v>45748</v>
      </c>
      <c r="D9">
        <v>6</v>
      </c>
      <c r="E9">
        <v>20000</v>
      </c>
      <c r="J9" s="161" t="s">
        <v>49</v>
      </c>
      <c r="K9" s="164">
        <f>SUM(K5:K8)</f>
        <v>0</v>
      </c>
    </row>
    <row r="10" spans="1:12">
      <c r="B10" s="7">
        <v>45748</v>
      </c>
      <c r="C10" s="7">
        <f>+C9</f>
        <v>45748</v>
      </c>
      <c r="D10">
        <v>1</v>
      </c>
      <c r="E10" s="9">
        <f>+E9*D10/D9</f>
        <v>3333.3333333333335</v>
      </c>
      <c r="F10" s="82" t="s">
        <v>339</v>
      </c>
      <c r="J10" t="s">
        <v>378</v>
      </c>
      <c r="K10" s="9">
        <f>ROUND(K9*L10,0)</f>
        <v>0</v>
      </c>
      <c r="L10" s="162">
        <v>0.1</v>
      </c>
    </row>
    <row r="11" spans="1:12">
      <c r="J11" t="s">
        <v>379</v>
      </c>
      <c r="K11" s="9"/>
      <c r="L11" s="162">
        <v>0.2</v>
      </c>
    </row>
    <row r="12" spans="1:12">
      <c r="J12" t="s">
        <v>380</v>
      </c>
      <c r="K12" s="9"/>
      <c r="L12" s="162">
        <v>0.3</v>
      </c>
    </row>
    <row r="13" spans="1:12">
      <c r="A13" t="s">
        <v>278</v>
      </c>
      <c r="J13" t="s">
        <v>381</v>
      </c>
      <c r="K13" s="9">
        <f>ROUND(K10*L13,0)</f>
        <v>0</v>
      </c>
      <c r="L13" s="162">
        <v>0.04</v>
      </c>
    </row>
    <row r="14" spans="1:12">
      <c r="B14" s="8">
        <v>45705</v>
      </c>
      <c r="C14" s="8">
        <v>46070</v>
      </c>
      <c r="D14" s="9">
        <f>+C14-B14</f>
        <v>365</v>
      </c>
      <c r="E14">
        <v>6930</v>
      </c>
      <c r="G14" s="82"/>
      <c r="J14" t="s">
        <v>382</v>
      </c>
      <c r="K14" s="9">
        <f>SUM(K10:K13)</f>
        <v>0</v>
      </c>
    </row>
    <row r="15" spans="1:12">
      <c r="B15" s="8">
        <v>45748</v>
      </c>
      <c r="C15" s="8">
        <v>46070</v>
      </c>
      <c r="D15" s="9">
        <f>+C15-B15</f>
        <v>322</v>
      </c>
      <c r="E15">
        <f>ROUND(E14*D15/D14,)</f>
        <v>6114</v>
      </c>
      <c r="F15" t="s">
        <v>339</v>
      </c>
      <c r="J15" s="163" t="s">
        <v>383</v>
      </c>
      <c r="K15" s="165">
        <v>1120</v>
      </c>
    </row>
  </sheetData>
  <mergeCells count="1">
    <mergeCell ref="J4:K4"/>
  </mergeCells>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workbookViewId="0">
      <selection activeCell="D9" sqref="D9"/>
    </sheetView>
  </sheetViews>
  <sheetFormatPr defaultRowHeight="14.4"/>
  <cols>
    <col min="1" max="1" width="10.44140625" customWidth="1"/>
    <col min="2" max="2" width="40" bestFit="1" customWidth="1"/>
    <col min="4" max="4" width="11.5546875" bestFit="1" customWidth="1"/>
    <col min="7" max="7" width="10.109375" bestFit="1" customWidth="1"/>
    <col min="8" max="8" width="9.33203125" bestFit="1" customWidth="1"/>
    <col min="9" max="9" width="7.5546875" bestFit="1" customWidth="1"/>
    <col min="10" max="10" width="10.5546875" bestFit="1" customWidth="1"/>
  </cols>
  <sheetData>
    <row r="1" spans="1:10">
      <c r="A1" s="366" t="s">
        <v>349</v>
      </c>
      <c r="B1" s="366"/>
      <c r="C1" s="366"/>
      <c r="D1" s="366"/>
    </row>
    <row r="2" spans="1:10">
      <c r="D2" s="2"/>
      <c r="G2" s="68"/>
      <c r="H2" s="68"/>
      <c r="I2" s="68"/>
      <c r="J2" s="68"/>
    </row>
    <row r="3" spans="1:10">
      <c r="A3" s="367" t="s">
        <v>428</v>
      </c>
      <c r="B3" s="367"/>
      <c r="C3" s="367"/>
      <c r="D3" s="367"/>
      <c r="G3" s="68"/>
      <c r="H3" s="213"/>
      <c r="I3" s="214"/>
      <c r="J3" s="68"/>
    </row>
    <row r="4" spans="1:10">
      <c r="A4" s="155"/>
      <c r="B4" s="155"/>
      <c r="C4" s="155"/>
      <c r="D4" s="156" t="s">
        <v>341</v>
      </c>
      <c r="H4" s="215"/>
      <c r="I4" s="216"/>
      <c r="J4" s="217"/>
    </row>
    <row r="5" spans="1:10">
      <c r="D5" s="2"/>
      <c r="H5" s="218"/>
      <c r="I5" s="82"/>
      <c r="J5" s="155"/>
    </row>
    <row r="6" spans="1:10">
      <c r="A6" t="s">
        <v>342</v>
      </c>
      <c r="D6" s="2">
        <v>112753.34</v>
      </c>
      <c r="G6" s="10"/>
      <c r="H6" s="10"/>
      <c r="I6" s="219"/>
      <c r="J6" s="10"/>
    </row>
    <row r="7" spans="1:10">
      <c r="A7" t="s">
        <v>343</v>
      </c>
      <c r="B7" t="s">
        <v>344</v>
      </c>
      <c r="D7" s="2">
        <v>0</v>
      </c>
    </row>
    <row r="8" spans="1:10">
      <c r="A8" t="s">
        <v>345</v>
      </c>
      <c r="B8" t="s">
        <v>384</v>
      </c>
      <c r="D8" s="2">
        <v>0</v>
      </c>
    </row>
    <row r="9" spans="1:10">
      <c r="A9" t="s">
        <v>343</v>
      </c>
      <c r="B9" t="s">
        <v>347</v>
      </c>
      <c r="D9" s="2"/>
    </row>
    <row r="10" spans="1:10">
      <c r="D10" s="2"/>
    </row>
    <row r="11" spans="1:10" ht="15" thickBot="1">
      <c r="A11" s="10" t="s">
        <v>348</v>
      </c>
      <c r="D11" s="157">
        <f>D6+D7-D8+D9</f>
        <v>112753.34</v>
      </c>
    </row>
    <row r="12" spans="1:10" ht="15" thickTop="1">
      <c r="D12" s="2"/>
    </row>
    <row r="13" spans="1:10">
      <c r="A13" s="367" t="s">
        <v>429</v>
      </c>
      <c r="B13" s="367"/>
      <c r="C13" s="367"/>
      <c r="D13" s="367"/>
    </row>
    <row r="14" spans="1:10">
      <c r="A14" s="155"/>
      <c r="B14" s="155"/>
      <c r="C14" s="155"/>
      <c r="D14" s="156" t="s">
        <v>341</v>
      </c>
    </row>
    <row r="15" spans="1:10">
      <c r="D15" s="2"/>
    </row>
    <row r="16" spans="1:10">
      <c r="A16" t="s">
        <v>342</v>
      </c>
      <c r="D16" s="2">
        <v>21412</v>
      </c>
    </row>
    <row r="17" spans="1:4">
      <c r="A17" t="s">
        <v>343</v>
      </c>
      <c r="B17" t="s">
        <v>344</v>
      </c>
      <c r="D17" s="2">
        <v>0</v>
      </c>
    </row>
    <row r="18" spans="1:4">
      <c r="A18" t="s">
        <v>345</v>
      </c>
      <c r="B18" t="s">
        <v>346</v>
      </c>
      <c r="D18" s="2">
        <v>0</v>
      </c>
    </row>
    <row r="19" spans="1:4">
      <c r="A19" t="s">
        <v>343</v>
      </c>
      <c r="B19" t="s">
        <v>347</v>
      </c>
      <c r="D19" s="2">
        <v>0</v>
      </c>
    </row>
    <row r="20" spans="1:4">
      <c r="D20" s="2"/>
    </row>
    <row r="21" spans="1:4" ht="15" thickBot="1">
      <c r="A21" s="10" t="s">
        <v>348</v>
      </c>
      <c r="D21" s="157">
        <f>D16+D17-D18+D19</f>
        <v>21412</v>
      </c>
    </row>
    <row r="22" spans="1:4" ht="15" thickTop="1">
      <c r="D22" s="2"/>
    </row>
    <row r="23" spans="1:4">
      <c r="D23" s="2"/>
    </row>
    <row r="24" spans="1:4">
      <c r="D24" s="2"/>
    </row>
    <row r="25" spans="1:4">
      <c r="D25" s="2"/>
    </row>
    <row r="26" spans="1:4">
      <c r="D26" s="2"/>
    </row>
    <row r="27" spans="1:4">
      <c r="D27" s="2"/>
    </row>
    <row r="28" spans="1:4">
      <c r="D28" s="2"/>
    </row>
  </sheetData>
  <mergeCells count="3">
    <mergeCell ref="A1:D1"/>
    <mergeCell ref="A3:D3"/>
    <mergeCell ref="A13:D13"/>
  </mergeCell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DE65-715B-48D0-909D-3F37D9D297D3}">
  <dimension ref="B2:B22"/>
  <sheetViews>
    <sheetView topLeftCell="A4" workbookViewId="0">
      <selection activeCell="F6" sqref="F6"/>
    </sheetView>
  </sheetViews>
  <sheetFormatPr defaultRowHeight="14.4"/>
  <sheetData>
    <row r="2" spans="2:2">
      <c r="B2" t="s">
        <v>440</v>
      </c>
    </row>
    <row r="4" spans="2:2">
      <c r="B4" s="10" t="s">
        <v>441</v>
      </c>
    </row>
    <row r="6" spans="2:2">
      <c r="B6" s="10" t="s">
        <v>442</v>
      </c>
    </row>
    <row r="7" spans="2:2">
      <c r="B7" s="230"/>
    </row>
    <row r="8" spans="2:2">
      <c r="B8" s="231" t="s">
        <v>443</v>
      </c>
    </row>
    <row r="9" spans="2:2">
      <c r="B9" s="231" t="s">
        <v>444</v>
      </c>
    </row>
    <row r="10" spans="2:2">
      <c r="B10" s="231" t="s">
        <v>445</v>
      </c>
    </row>
    <row r="11" spans="2:2">
      <c r="B11" s="231" t="s">
        <v>446</v>
      </c>
    </row>
    <row r="12" spans="2:2">
      <c r="B12" s="231" t="s">
        <v>447</v>
      </c>
    </row>
    <row r="13" spans="2:2">
      <c r="B13" s="231" t="s">
        <v>448</v>
      </c>
    </row>
    <row r="14" spans="2:2">
      <c r="B14" s="231" t="s">
        <v>449</v>
      </c>
    </row>
    <row r="16" spans="2:2">
      <c r="B16" t="s">
        <v>450</v>
      </c>
    </row>
    <row r="18" spans="2:2">
      <c r="B18" s="10" t="s">
        <v>451</v>
      </c>
    </row>
    <row r="20" spans="2:2">
      <c r="B20" t="s">
        <v>452</v>
      </c>
    </row>
    <row r="22" spans="2:2">
      <c r="B22"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BS </vt:lpstr>
      <vt:lpstr>IE </vt:lpstr>
      <vt:lpstr>Sch I FD</vt:lpstr>
      <vt:lpstr>Sch Receivable &amp; Payable</vt:lpstr>
      <vt:lpstr>Sch IV Fixed Assets</vt:lpstr>
      <vt:lpstr>xx</vt:lpstr>
      <vt:lpstr>xxx</vt:lpstr>
      <vt:lpstr>xxxx</vt:lpstr>
      <vt:lpstr>FD Int Working</vt:lpstr>
      <vt:lpstr>Workings</vt:lpstr>
      <vt:lpstr>BRS</vt:lpstr>
      <vt:lpstr>Sheet1</vt:lpstr>
      <vt:lpstr>'BS '!Print_Area</vt:lpstr>
      <vt:lpstr>'IE '!Print_Area</vt:lpstr>
      <vt:lpstr>'Sch I FD'!Print_Area</vt:lpstr>
      <vt:lpstr>'Sch IV Fixed Assets'!Print_Area</vt:lpstr>
      <vt:lpstr>'Sch Receivable &amp; Payable'!Print_Area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bharatboridkar@gmail.com</cp:lastModifiedBy>
  <cp:lastPrinted>2026-09-17T13:15:58Z</cp:lastPrinted>
  <dcterms:created xsi:type="dcterms:W3CDTF">2015-06-05T18:17:20Z</dcterms:created>
  <dcterms:modified xsi:type="dcterms:W3CDTF">2026-09-17T18:06:01Z</dcterms:modified>
</cp:coreProperties>
</file>