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HARAT\2025-2026\BCB\AMS\025-Prathamesh-Harmony\"/>
    </mc:Choice>
  </mc:AlternateContent>
  <xr:revisionPtr revIDLastSave="0" documentId="13_ncr:1_{F123C386-80F8-4916-B7FF-861445E2F462}" xr6:coauthVersionLast="47" xr6:coauthVersionMax="47" xr10:uidLastSave="{00000000-0000-0000-0000-000000000000}"/>
  <bookViews>
    <workbookView xWindow="-108" yWindow="-108" windowWidth="23256" windowHeight="12456" tabRatio="500" activeTab="7" xr2:uid="{00000000-000D-0000-FFFF-FFFF00000000}"/>
  </bookViews>
  <sheets>
    <sheet name="TIT" sheetId="1" r:id="rId1"/>
    <sheet name="FirstPage" sheetId="2" r:id="rId2"/>
    <sheet name="Sheet1" sheetId="3" r:id="rId3"/>
    <sheet name="AR" sheetId="4" r:id="rId4"/>
    <sheet name="Form-1" sheetId="5" r:id="rId5"/>
    <sheet name="Form-7" sheetId="6" r:id="rId6"/>
    <sheet name="SCHAR (2)" sheetId="7" r:id="rId7"/>
    <sheet name="GR" sheetId="8" r:id="rId8"/>
    <sheet name="SCH (2)" sheetId="9" r:id="rId9"/>
    <sheet name="Audit-Remarks" sheetId="10" r:id="rId10"/>
    <sheet name="Meeting" sheetId="11" r:id="rId11"/>
    <sheet name="Pending Inputs" sheetId="12" r:id="rId12"/>
  </sheets>
  <definedNames>
    <definedName name="_GoBack" localSheetId="4">'Form-1'!$C$58</definedName>
    <definedName name="_xlfn_SINGLE">none</definedName>
    <definedName name="_xlnm.Print_Area" localSheetId="3">AR!$A$1:$N$74</definedName>
    <definedName name="_xlnm.Print_Area" localSheetId="1">FirstPage!$A$1:$K$41</definedName>
    <definedName name="_xlnm.Print_Area" localSheetId="4">'Form-1'!$A$1:$E$207</definedName>
    <definedName name="_xlnm.Print_Area" localSheetId="5">'Form-7'!$A$1:$E$132</definedName>
    <definedName name="_xlnm.Print_Area" localSheetId="7">GR!$A$1:$S$294</definedName>
    <definedName name="_xlnm.Print_Area" localSheetId="8">'SCH (2)'!$A$1:$N$47</definedName>
    <definedName name="_xlnm.Print_Area" localSheetId="6">'SCHAR (2)'!$A$1:$N$49</definedName>
    <definedName name="_xlnm.Print_Area" localSheetId="2">Sheet1!$A$1:$N$40</definedName>
    <definedName name="_xlnm.Print_Area" localSheetId="0">TIT!$A$1:$K$32</definedName>
    <definedName name="_xlnm.Print_Titles" localSheetId="3">AR!$2:$5</definedName>
    <definedName name="_xlnm.Print_Titles" localSheetId="7">GR!$2:$2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134" i="8" l="1"/>
  <c r="P133" i="8"/>
  <c r="P132" i="8"/>
  <c r="P131" i="8"/>
  <c r="P130" i="8"/>
  <c r="P129" i="8"/>
  <c r="D32" i="5" l="1"/>
  <c r="D36" i="5"/>
  <c r="D37" i="5"/>
  <c r="D39" i="5"/>
  <c r="D46" i="9" l="1"/>
  <c r="D44" i="9"/>
  <c r="D43" i="9"/>
  <c r="H37" i="9"/>
  <c r="A1" i="9"/>
  <c r="A293" i="8"/>
  <c r="A257" i="8"/>
  <c r="M239" i="8"/>
  <c r="J239" i="8"/>
  <c r="P237" i="8"/>
  <c r="R237" i="8" s="1"/>
  <c r="P236" i="8"/>
  <c r="R236" i="8" s="1"/>
  <c r="R235" i="8"/>
  <c r="P235" i="8"/>
  <c r="P234" i="8"/>
  <c r="R234" i="8" s="1"/>
  <c r="P233" i="8"/>
  <c r="R233" i="8" s="1"/>
  <c r="R232" i="8"/>
  <c r="P232" i="8"/>
  <c r="P231" i="8"/>
  <c r="R231" i="8" s="1"/>
  <c r="P230" i="8"/>
  <c r="R230" i="8" s="1"/>
  <c r="P229" i="8"/>
  <c r="R229" i="8" s="1"/>
  <c r="P228" i="8"/>
  <c r="R228" i="8" s="1"/>
  <c r="P227" i="8"/>
  <c r="R227" i="8" s="1"/>
  <c r="P226" i="8"/>
  <c r="R226" i="8" s="1"/>
  <c r="R225" i="8"/>
  <c r="P225" i="8"/>
  <c r="P224" i="8"/>
  <c r="R224" i="8" s="1"/>
  <c r="P223" i="8"/>
  <c r="R223" i="8" s="1"/>
  <c r="P222" i="8"/>
  <c r="R222" i="8" s="1"/>
  <c r="P221" i="8"/>
  <c r="R221" i="8" s="1"/>
  <c r="P220" i="8"/>
  <c r="R220" i="8" s="1"/>
  <c r="P219" i="8"/>
  <c r="P218" i="8"/>
  <c r="R218" i="8" s="1"/>
  <c r="P217" i="8"/>
  <c r="R217" i="8" s="1"/>
  <c r="P216" i="8"/>
  <c r="R216" i="8" s="1"/>
  <c r="M214" i="8"/>
  <c r="J214" i="8"/>
  <c r="R213" i="8"/>
  <c r="P213" i="8"/>
  <c r="P212" i="8"/>
  <c r="R212" i="8" s="1"/>
  <c r="P211" i="8"/>
  <c r="R211" i="8" s="1"/>
  <c r="M203" i="8"/>
  <c r="S204" i="8" s="1"/>
  <c r="M193" i="8"/>
  <c r="M178" i="8"/>
  <c r="J178" i="8"/>
  <c r="P177" i="8"/>
  <c r="P176" i="8"/>
  <c r="P175" i="8"/>
  <c r="P174" i="8"/>
  <c r="P173" i="8"/>
  <c r="P172" i="8"/>
  <c r="J163" i="8"/>
  <c r="D162" i="8"/>
  <c r="D161" i="8"/>
  <c r="J152" i="8"/>
  <c r="J149" i="8"/>
  <c r="T139" i="8"/>
  <c r="M135" i="8"/>
  <c r="J135" i="8"/>
  <c r="M115" i="8"/>
  <c r="J115" i="8"/>
  <c r="P114" i="8"/>
  <c r="P113" i="8"/>
  <c r="P112" i="8"/>
  <c r="P111" i="8"/>
  <c r="P110" i="8"/>
  <c r="P109" i="8"/>
  <c r="M107" i="8"/>
  <c r="J107" i="8"/>
  <c r="P106" i="8"/>
  <c r="P105" i="8"/>
  <c r="P104" i="8"/>
  <c r="P103" i="8"/>
  <c r="P102" i="8"/>
  <c r="P101" i="8"/>
  <c r="C79" i="8"/>
  <c r="M76" i="8"/>
  <c r="M75" i="8"/>
  <c r="J74" i="8"/>
  <c r="B59" i="8"/>
  <c r="T57" i="8"/>
  <c r="A54" i="8"/>
  <c r="G9" i="8"/>
  <c r="G7" i="8"/>
  <c r="G5" i="8"/>
  <c r="A2" i="8"/>
  <c r="A1" i="8"/>
  <c r="C47" i="7"/>
  <c r="C45" i="7"/>
  <c r="C44" i="7"/>
  <c r="J7" i="7"/>
  <c r="A3" i="7"/>
  <c r="A2" i="7"/>
  <c r="A1" i="7"/>
  <c r="A131" i="6"/>
  <c r="D90" i="6"/>
  <c r="D91" i="6" s="1"/>
  <c r="D92" i="6" s="1"/>
  <c r="D93" i="6" s="1"/>
  <c r="D94" i="6" s="1"/>
  <c r="D95" i="6" s="1"/>
  <c r="D96" i="6" s="1"/>
  <c r="D97" i="6" s="1"/>
  <c r="D98" i="6" s="1"/>
  <c r="D99" i="6" s="1"/>
  <c r="D100" i="6" s="1"/>
  <c r="D101" i="6" s="1"/>
  <c r="D102" i="6" s="1"/>
  <c r="D103" i="6" s="1"/>
  <c r="D104" i="6" s="1"/>
  <c r="D105" i="6" s="1"/>
  <c r="D59" i="6"/>
  <c r="D7" i="6"/>
  <c r="A206" i="5"/>
  <c r="D163" i="5"/>
  <c r="D164" i="5" s="1"/>
  <c r="D165" i="5" s="1"/>
  <c r="D166" i="5" s="1"/>
  <c r="D160" i="5"/>
  <c r="D93" i="5"/>
  <c r="D79" i="5"/>
  <c r="D77" i="5"/>
  <c r="D76" i="5"/>
  <c r="D60" i="5"/>
  <c r="D31" i="5"/>
  <c r="D28" i="5"/>
  <c r="D25" i="5"/>
  <c r="D24" i="5"/>
  <c r="D13" i="5"/>
  <c r="D7" i="5"/>
  <c r="D6" i="5"/>
  <c r="C71" i="4"/>
  <c r="C70" i="4"/>
  <c r="P20" i="4"/>
  <c r="B13" i="4"/>
  <c r="B12" i="4"/>
  <c r="B31" i="3"/>
  <c r="B30" i="3"/>
  <c r="Q11" i="3"/>
  <c r="Q10" i="3"/>
  <c r="B10" i="3"/>
  <c r="Q9" i="3"/>
  <c r="B9" i="3"/>
  <c r="A36" i="2"/>
  <c r="A34" i="2"/>
  <c r="A17" i="2"/>
  <c r="A16" i="2"/>
  <c r="A14" i="2"/>
  <c r="M2" i="1"/>
  <c r="P135" i="8" l="1"/>
  <c r="P107" i="8"/>
  <c r="P115" i="8"/>
  <c r="P239" i="8"/>
  <c r="P178" i="8"/>
  <c r="P214" i="8"/>
  <c r="R21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3" authorId="0" shapeId="0" xr:uid="{BF06A139-A204-4288-A14B-CF29E0CC2135}">
      <text>
        <r>
          <rPr>
            <sz val="10"/>
            <rFont val="Arial"/>
            <family val="2"/>
          </rPr>
          <t>ASSUMED date carried from last year's pattern - please confirm actual appointment letter date for FY 2025-26.</t>
        </r>
      </text>
    </comment>
    <comment ref="D34" authorId="0" shapeId="0" xr:uid="{4F3FC3A7-4BA8-42A4-A1E1-C970A5487F86}">
      <text>
        <r>
          <rPr>
            <sz val="10"/>
            <rFont val="Arial"/>
            <family val="2"/>
          </rPr>
          <t>ASSUMED date carried from last year's pattern - please confirm actual acceptance letter date for FY 2025-26.</t>
        </r>
      </text>
    </comment>
    <comment ref="D35" authorId="0" shapeId="0" xr:uid="{2C4953B4-B9D1-416E-ACC7-2D1E6E586E50}">
      <text>
        <r>
          <rPr>
            <sz val="10"/>
            <rFont val="Arial"/>
            <family val="2"/>
          </rPr>
          <t>ASSUMED date carried from last year's pattern - please confirm actual acceptance received by society date for FY 2025-26.</t>
        </r>
      </text>
    </comment>
    <comment ref="D38" authorId="0" shapeId="0" xr:uid="{A6CFA21A-5AED-4C49-AC20-C956AA67519F}">
      <text>
        <r>
          <rPr>
            <sz val="10"/>
            <rFont val="Arial"/>
            <family val="2"/>
          </rPr>
          <t>Please provide date of Managing Committee meeting discussing the FY 2025-26 audit report.</t>
        </r>
      </text>
    </comment>
  </commentList>
</comments>
</file>

<file path=xl/sharedStrings.xml><?xml version="1.0" encoding="utf-8"?>
<sst xmlns="http://schemas.openxmlformats.org/spreadsheetml/2006/main" count="1184" uniqueCount="861">
  <si>
    <t>Name</t>
  </si>
  <si>
    <t>PRATHAMESH HARMONY "B"  CO-OPERATIVE HOUSING SOCIETY LTD.</t>
  </si>
  <si>
    <t>Registration No.</t>
  </si>
  <si>
    <t>MUM/WP/HSG/TC/15332/2012-13</t>
  </si>
  <si>
    <t xml:space="preserve">Date of Registration </t>
  </si>
  <si>
    <t>2012-2013</t>
  </si>
  <si>
    <t xml:space="preserve">Area of operation </t>
  </si>
  <si>
    <t>As Per Bye-Law</t>
  </si>
  <si>
    <t>Address</t>
  </si>
  <si>
    <t>CTS.No. 227,228 &amp; 216, Gautam Buddha Marg, Orlem, Malad - West, Mumbai - 400 064</t>
  </si>
  <si>
    <t>Plot No.7&amp;8,Sunder Lane, Orlem, Malad West, Mumbai 400 064.</t>
  </si>
  <si>
    <t>Accounting Year</t>
  </si>
  <si>
    <t>from</t>
  </si>
  <si>
    <t>1st April, 2025</t>
  </si>
  <si>
    <t>to</t>
  </si>
  <si>
    <t>31st March, 2026</t>
  </si>
  <si>
    <t>Auditor</t>
  </si>
  <si>
    <t>Shri. Bharat C. Boridkar</t>
  </si>
  <si>
    <t>Govt. Certified Panel Auditor</t>
  </si>
  <si>
    <t xml:space="preserve">                                                                       </t>
  </si>
  <si>
    <t>Panel No.</t>
  </si>
  <si>
    <t>Mumbai-4/C1/1011404</t>
  </si>
  <si>
    <t>Boridkar House, Pandurang Bhoir Road, Dahisar - West, Mumbai, Mumbai - 400 068</t>
  </si>
  <si>
    <t>DDR Order Generated</t>
  </si>
  <si>
    <t>Place &amp; Date of Report</t>
  </si>
  <si>
    <t>Sr.No. of the audit memo</t>
  </si>
  <si>
    <t>Date of commencment</t>
  </si>
  <si>
    <t>Date of completion</t>
  </si>
  <si>
    <t>Audit memo submitted.</t>
  </si>
  <si>
    <t>Annual General Meeting</t>
  </si>
  <si>
    <t>Members Present : ____</t>
  </si>
  <si>
    <t>Special General Meeting</t>
  </si>
  <si>
    <t>Nil</t>
  </si>
  <si>
    <t>Minutes not written</t>
  </si>
  <si>
    <t xml:space="preserve">M C Meetings </t>
  </si>
  <si>
    <t>Rectification of Reports:</t>
  </si>
  <si>
    <t>Submitted</t>
  </si>
  <si>
    <t>Date of submission</t>
  </si>
  <si>
    <t xml:space="preserve"> Audit Fees</t>
  </si>
  <si>
    <t>Amt</t>
  </si>
  <si>
    <t>Period</t>
  </si>
  <si>
    <t>01/04/2024 to 31/03/2025</t>
  </si>
  <si>
    <t>Paid on</t>
  </si>
  <si>
    <t>Secretary</t>
  </si>
  <si>
    <t>Hon-Secretary</t>
  </si>
  <si>
    <t>Pay drawn:</t>
  </si>
  <si>
    <t>Cash verification</t>
  </si>
  <si>
    <t>Date</t>
  </si>
  <si>
    <t>Designation</t>
  </si>
  <si>
    <t>Treasurer</t>
  </si>
  <si>
    <t>AGM</t>
  </si>
  <si>
    <t>STATUTORY AUDIT REPORT</t>
  </si>
  <si>
    <t>STATEMENT OF AUDIT REPORTS &amp; ACCOUNTS STATEMENTS FOR THE YEAR ENDED 31ST MARCH,2026</t>
  </si>
  <si>
    <t>===============================================================================</t>
  </si>
  <si>
    <t xml:space="preserve">The Dy.Registrar, Co-Operative Society, R  Ward, 2nd floor, C wing, Municipal Godown Bldg, Nr St Lwarence School, 90 feet Road, Sanskruiti Complex,, Kandivali East,, Mumbai- 400101 </t>
  </si>
  <si>
    <t>Boridkar House, Pandurang Bhoir Road, Dahisar - West, Mumbai, Mumbai - 400 068, )9769556665</t>
  </si>
  <si>
    <t>Date : 27/03/2019 18:24:30</t>
  </si>
  <si>
    <t>To,</t>
  </si>
  <si>
    <t>The Chairman, Members</t>
  </si>
  <si>
    <t>Name :</t>
  </si>
  <si>
    <t>Reg.No</t>
  </si>
  <si>
    <t>DDR Order</t>
  </si>
  <si>
    <t>Sub :-Statutory Audit of your Society for the Financial Year ending on 31st March 2026</t>
  </si>
  <si>
    <t>NINAAD CO-OPERATIVE HOUSING SOCIETY LTD</t>
  </si>
  <si>
    <t>Enclosed please find 3 [Three only] sets of duly audited, signed and sealed comprising Audit Report in Form-N2, Form -1 along with Sch 1 to 6, Form - 7, General Remarks, Balance Sheet, Income and Expenditure Account along with Schedules forming integral part of the same, Audit Report [Executive Summary] for the Financial Year ended on 31-Mar-2026 for record of the Society.</t>
  </si>
  <si>
    <t>H West Ward,, Above Bhandari Co-op. Bank Ltd., Bhavan Hetkari Mahajan Wadi, Ranade Road, Near P. L. Kale Guruji Marg, Dadar - West, Mumbai - 400 028</t>
  </si>
  <si>
    <t>It is advised that one set to be submitted to,  The Dy.Registrar, Co-Operative Society, Ward P , 2nd floor, C wing, Municipal Godown Bldg, Nr St Lwarence School, 90 feet Road, Sanskruiti Complex,, Kandivali East,, Mumbai- 400101 under the Societies covering letter at your earliest.</t>
  </si>
  <si>
    <t>It is advised that one set to be submitted to the Deputy Registrar of Co operative Societies, Ward P, 2nd floor, C wing, Municipal Godown Bldg, Nr St Lwarence School, 90 feet Road, Sanskruiti Complex,, Kandivali East,, Mumbai- 400101 under the Societies covering letter at your earliest.</t>
  </si>
  <si>
    <t>You are requested to upload mandatory returns as prescribed u/s 79 of the MCS Act i.e. 1] Annual Report of Activities, 2] Abridged Audit Report, 3] Balance Sheet, 4] Income and Expenditure Account, 5] Plan for Surplus Distribution, 6] List of Amendment to Bye-Laws, if any, 7] Date of holding AGBM and Election and  8] Name of Auditor for year ended 31-03-2026 and Return Consent on "www.mahasahakar.maharashtra.gov.in" within the time prescribed.</t>
  </si>
  <si>
    <t>The Office of the Deputy Registrar Co-operative Societies,K–West, Ground Floor, Room No. 69, MHADA Bldg.,Bandra (E), Mumbai – 400 051</t>
  </si>
  <si>
    <t>I am also enclosing herewith the invoice for audit fees, with a request to kindly arrange payment at the earliest.</t>
  </si>
  <si>
    <t>Please Note that the Audit rectification report in Form O duly approved by the managing committee to be submitted to the Registering Authorities within the time permitted i.e. 3 months from the date of audit report under section 82 of the MCS Act. Please make sure that authenticated copy of the same along with soft copy to be provided to me for my comments thereon and uploading thereafter on "www.mahasahakar.maharashtra.gov.in".</t>
  </si>
  <si>
    <t>In any case, any further information is required, feel free to contact me at your convenience.</t>
  </si>
  <si>
    <t>Inconvenience, if any, is regretted.</t>
  </si>
  <si>
    <t>Thanks a lot.</t>
  </si>
  <si>
    <t>Yours faithfully,</t>
  </si>
  <si>
    <t>Co-op Soc Empanelment Number : A-2 / 13395</t>
  </si>
  <si>
    <t>Encl:</t>
  </si>
  <si>
    <t>1] 3 [three only] sets as above</t>
  </si>
  <si>
    <t>INDEPENDENT AUDITOR'S REPORT</t>
  </si>
  <si>
    <t>[As prescribed under section 81 of the Maharashtra Co-operative Societies Act, 1960 and rule 69 (3) of the  Maharashtra Co-op Societies Rules.]</t>
  </si>
  <si>
    <t>Chairman</t>
  </si>
  <si>
    <t>Sub :-Statutory audit of your society for Financial Year ending on 31-Mar-2026</t>
  </si>
  <si>
    <t>Report on the Financial Statements as a Statutory Auditor</t>
  </si>
  <si>
    <t xml:space="preserve">1. </t>
  </si>
  <si>
    <t>Income and Expenditure</t>
  </si>
  <si>
    <t>1. We have audited the accompanying financial statements of-----------------------------------, Income and Expenditure Account and Receipt and payment for the year then ended, and a summary of significant accounting policies and other explanatory information incorporated in these financial statements of the society audited by us for the period 1st April 2019 to 31st March 2020.</t>
  </si>
  <si>
    <t>Management’s Responsibility for the Financial Statements</t>
  </si>
  <si>
    <t>2.</t>
  </si>
  <si>
    <t>Management is responsible for the preparation of these financial statements that give a true and fair view of the financial position and financial performance of the Society in accordance with the accounting principles generally accepted in India, the Maharashtra Co-operative Societies Act, 1960 and Rules there under. This responsibility includes maintenance of adequate accounting records in accordance provisions of the Act for safeguarding the assets of the society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t>
  </si>
  <si>
    <t>Auditor’s Responsibility</t>
  </si>
  <si>
    <t>3.</t>
  </si>
  <si>
    <t xml:space="preserve"> Our responsibility is to express an opinion on these financial statements based on our audit. We have taken into account the provisions of the Act, the accounting and auditing standards and matters which are required to be included in the audit report under the provisions of the Act and Rules made there under. We have conducted our audit in accordance with the applicable standards issued by the Institute of Chartered Accountants of India and under the Maharashtra Cooperative Societies (MCS) Act, 1960.  Those standards require that we comply with ethical requirements and plan and perform the audit to obtain reasonable assurance about whether the financial statements are free from material misstatement.</t>
  </si>
  <si>
    <t>4.</t>
  </si>
  <si>
    <t>An audit involves performing procedures to obtain audit evidence about the amounts and disclosures on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societies preparation and fair presentation of the financial statements in order to design audit procedures that are appropriate in the circumstances, but not for the purpose of expressing an opinion of the effectiveness of the societies internal control. An audit also includes evaluating the appropriateness of accounting policies used and the reasonableness of the accounting estimates made by management, as well as evaluating the overall presentation of the financial statements.</t>
  </si>
  <si>
    <t xml:space="preserve">5. </t>
  </si>
  <si>
    <t>We believe that the audit evidence we have obtained is sufficient and appropriate to provide a basis for our audit opinion on the financial statements.</t>
  </si>
  <si>
    <t>Opinion</t>
  </si>
  <si>
    <t xml:space="preserve">6. </t>
  </si>
  <si>
    <t>In our opinion and to the best of our information and according to the explanations given to us, the said financial statements  together with the notes thereon  give the information required as per the Maharashtra Cooperative Societies Act , 1960  and the Maharashtra Co-Operative Societies Rules 1961, and any other applicable Acts, and or circulars issued by the Registrar,  in the manner so required and give a true and fair view in conformity with the accounting principles generally accepted in India:</t>
  </si>
  <si>
    <t xml:space="preserve">i. </t>
  </si>
  <si>
    <t>In the case of the Balance Sheet, of the state of affairs of the Society as at 31st MARCH, 2026</t>
  </si>
  <si>
    <t xml:space="preserve">ii. </t>
  </si>
  <si>
    <t>In the case of the Statement of Income and Expenditure, of the Excess of Expenditure over Income of the Society for the year ended on that date; and</t>
  </si>
  <si>
    <t>Surplus / Deficit see F1 I132</t>
  </si>
  <si>
    <t>Report on Other Legal and Regulatory Matters</t>
  </si>
  <si>
    <t>As required by the Maharashtra Co-operative Societies Act, 1960 and Rules made there under and in terms of circular No 976/2014 Dated 28/10/2014 we give in part A, B &amp; C a statement on the matter specified in the said parts to the extent applicable.</t>
  </si>
  <si>
    <t xml:space="preserve">7. </t>
  </si>
  <si>
    <t>The Balance sheet, Income and Expenditure  Account have been drawn up in accordance with the provisions of the Maharashtra State Co-operative Act, 1960.</t>
  </si>
  <si>
    <t xml:space="preserve">8. </t>
  </si>
  <si>
    <t xml:space="preserve">We report that : </t>
  </si>
  <si>
    <t>(a)</t>
  </si>
  <si>
    <t>We have obtained all the information and explanations which to the best of our knowledge and belief were necessary for the purpose of our audit and have found them to be satisfactory.</t>
  </si>
  <si>
    <t>(b)</t>
  </si>
  <si>
    <t>The transactions of the Society, which have come to my notice, have been within the powers of the Society.</t>
  </si>
  <si>
    <t xml:space="preserve">9. </t>
  </si>
  <si>
    <t>In our opinion, the Balance sheet, Income and Expenditure account and Receipt and Payment Account comply with applicable Accounting Standards.</t>
  </si>
  <si>
    <t xml:space="preserve">10. </t>
  </si>
  <si>
    <t xml:space="preserve">We further report that : </t>
  </si>
  <si>
    <t>The Balance Sheet and Income and Expenditure Account dealt with by this report, are in agreement with the books of account and the returns and give true &amp; fair view of statements of affairs.</t>
  </si>
  <si>
    <t>N</t>
  </si>
  <si>
    <t>ii. in our opinion, proper books of account as required by law have been kept by the Society so far as appears from our examination of these books</t>
  </si>
  <si>
    <t>Audit Classification:-</t>
  </si>
  <si>
    <t>B</t>
  </si>
  <si>
    <t>Audit classification:-</t>
  </si>
  <si>
    <t>The Society has been awarded "B" Audit Classification for the Co-op. financial year 2025-2026.</t>
  </si>
  <si>
    <t>The Society has been awarded "C" Audit Classification for the Co-op. financial year 2019-2020.</t>
  </si>
  <si>
    <t xml:space="preserve"> </t>
  </si>
  <si>
    <t>FORM NO. 1</t>
  </si>
  <si>
    <t>FOR ALL TYPE OF CO-OPERATIVE SOCIETIES</t>
  </si>
  <si>
    <t>PART – A</t>
  </si>
  <si>
    <t>I</t>
  </si>
  <si>
    <t>SR. NO.</t>
  </si>
  <si>
    <t>SOCIETY INFORMATION</t>
  </si>
  <si>
    <t>PARTICULARS TO BE FILED BY THE AUDITOR</t>
  </si>
  <si>
    <t xml:space="preserve">Name of the Society                                                                              </t>
  </si>
  <si>
    <t>a) Society Registration Number and Date</t>
  </si>
  <si>
    <t xml:space="preserve">    Designation of Registering Officer</t>
  </si>
  <si>
    <t>b) Classification and Sub Classification as per Buy-laws</t>
  </si>
  <si>
    <t>Co-Operative Housing Society</t>
  </si>
  <si>
    <t>Area of Operation of the Society</t>
  </si>
  <si>
    <t>P Ward, Malad - West</t>
  </si>
  <si>
    <t>Types of Society as per Rules 1969</t>
  </si>
  <si>
    <t>Co-Partnership</t>
  </si>
  <si>
    <t>Number of Branches of Society</t>
  </si>
  <si>
    <t>Not Applicable</t>
  </si>
  <si>
    <t>Full address of Society with Pin Code Number</t>
  </si>
  <si>
    <t xml:space="preserve">Current Audit Period </t>
  </si>
  <si>
    <t>Date  01.04.2025  From</t>
  </si>
  <si>
    <t>Date  31.03.2026  To</t>
  </si>
  <si>
    <t>Class of previous Audits</t>
  </si>
  <si>
    <t xml:space="preserve">        F. Year              Class</t>
  </si>
  <si>
    <t>1.  2024-2025   :  B</t>
  </si>
  <si>
    <t>2.  2023-2024   :  B</t>
  </si>
  <si>
    <t>3.  2022-2023   :  B</t>
  </si>
  <si>
    <t>Class of current Audit, if necessary enclosed classification of marks chart.</t>
  </si>
  <si>
    <t>Class - B</t>
  </si>
  <si>
    <t>II</t>
  </si>
  <si>
    <t>AUDITOR INFORMATION</t>
  </si>
  <si>
    <t>Name of the Auditor / Firm Name</t>
  </si>
  <si>
    <t>Registered Address</t>
  </si>
  <si>
    <t>Firm Registration Number</t>
  </si>
  <si>
    <t>NA</t>
  </si>
  <si>
    <t>Individual Auditor’s Membership Number</t>
  </si>
  <si>
    <t>Panel Number</t>
  </si>
  <si>
    <t>Partnership: Partners Name, Address and Membership Number.</t>
  </si>
  <si>
    <t>Class of Auditor as per Panel</t>
  </si>
  <si>
    <t>Society AGBM date and Resolution Number</t>
  </si>
  <si>
    <t xml:space="preserve">Date of Auditor’s Appointment letter </t>
  </si>
  <si>
    <t xml:space="preserve">Date of Auditor’s Acceptance letter </t>
  </si>
  <si>
    <t xml:space="preserve">Date of Auditor’s Acceptance received by the Society </t>
  </si>
  <si>
    <t>Date of Audit Commenced</t>
  </si>
  <si>
    <t>Date of AuditCompleted</t>
  </si>
  <si>
    <t xml:space="preserve">Date of Managing Committee in which discussions on Audit Report </t>
  </si>
  <si>
    <t>Date of Audit Report Submitted to the Society.</t>
  </si>
  <si>
    <t>.</t>
  </si>
  <si>
    <t>Date of Special Report Submitted (if any)</t>
  </si>
  <si>
    <t>Date :  NA</t>
  </si>
  <si>
    <t>Government Report Submitted (if any)</t>
  </si>
  <si>
    <t>Date : NA</t>
  </si>
  <si>
    <t>Audit Fees and Other Charges</t>
  </si>
  <si>
    <t>Rs. 2500/-</t>
  </si>
  <si>
    <t>a) Audit Fees</t>
  </si>
  <si>
    <t>b) Other Expenses as per Guidelines</t>
  </si>
  <si>
    <t>-</t>
  </si>
  <si>
    <t xml:space="preserve">c) Other Expenses out of Guidelines </t>
  </si>
  <si>
    <t>d) LFAR Fees of Bank</t>
  </si>
  <si>
    <t>PART – B</t>
  </si>
  <si>
    <t>WORKING OF THE SOCIETY</t>
  </si>
  <si>
    <t>MEMBERSHIP</t>
  </si>
  <si>
    <t>For Admission of member entrance fees, application, required minimum share amount and resolution for membership of BOD / MC as the case may be complied with.</t>
  </si>
  <si>
    <t>Yes</t>
  </si>
  <si>
    <t>State the No. of  Members</t>
  </si>
  <si>
    <t>a) Shareholder Members</t>
  </si>
  <si>
    <t>b) Nominal Members</t>
  </si>
  <si>
    <t>Total Members</t>
  </si>
  <si>
    <t>Joint or Associates Members</t>
  </si>
  <si>
    <t>Classification of Members as per Maharashtra Co-operative Act – 1960.</t>
  </si>
  <si>
    <t>Not Applicable and hence no comments are necessary in Audit Report.</t>
  </si>
  <si>
    <t>a)  Active Member</t>
  </si>
  <si>
    <t>b) Non- Active Member</t>
  </si>
  <si>
    <t>Whether procedure for acceptance of resignation of members as per byelaws of the society is duly complied with. If not, give the remarks in audit report.</t>
  </si>
  <si>
    <t>If any members is expelled during the period of audit, whether due procedure as per Section 35 and Rule 28 &amp; 29 is followed or not. If not, comment in audit report</t>
  </si>
  <si>
    <t>SHARE CAPITAL</t>
  </si>
  <si>
    <t>Whether the limit of authorised share capital is adhered to or not? If not suggest the society to amend the byelaws accordingly. Comment report in audit the report</t>
  </si>
  <si>
    <t>If society has called the money for partially paid shares and the members have paid the said amount, if not, whether any action has been taken by the society as per bye-laws.</t>
  </si>
  <si>
    <t>If society has refunded the share capital, whether amount is refunded as per Rule 23 by valuing the shares as per last audited balance sheet. Whether any excess payment than the valuation has been recovered by the society, if not, comment in the audit report.</t>
  </si>
  <si>
    <t xml:space="preserve">No </t>
  </si>
  <si>
    <t>MANAGEMENT</t>
  </si>
  <si>
    <t xml:space="preserve">MEETINGS </t>
  </si>
  <si>
    <t>Date of Annual General Body Meeting</t>
  </si>
  <si>
    <t>Date of Special General Body Meeting</t>
  </si>
  <si>
    <t>Numbers of Meetings :-</t>
  </si>
  <si>
    <t>i) Managing Committee Meeting</t>
  </si>
  <si>
    <t xml:space="preserve">    ii) Working Committee Meeting</t>
  </si>
  <si>
    <t xml:space="preserve">   iii) Purchasing Committee Meeting</t>
  </si>
  <si>
    <t xml:space="preserve">   iv) Loan Committee Meeting</t>
  </si>
  <si>
    <t xml:space="preserve">   v) Investments Committee Meeting</t>
  </si>
  <si>
    <t xml:space="preserve">   vi) Audit Committee Meeting</t>
  </si>
  <si>
    <t xml:space="preserve">   vii) Other Committee if any</t>
  </si>
  <si>
    <t>Whether meetings are held as per the proper quorum, if not comment in the audit Report.</t>
  </si>
  <si>
    <t>As per Audit Remarks</t>
  </si>
  <si>
    <t xml:space="preserve">MANAGING COMMITTEE </t>
  </si>
  <si>
    <t>Date of Managing Committee Election held</t>
  </si>
  <si>
    <t>Details Not available for verification</t>
  </si>
  <si>
    <t xml:space="preserve">Period of Managing Committee </t>
  </si>
  <si>
    <t>Date :                   From</t>
  </si>
  <si>
    <t>Date :                        To</t>
  </si>
  <si>
    <t>Whether the management has informed to the Co-operative Election Authority about expiry of term of management committee, prior to 6 months.</t>
  </si>
  <si>
    <t>If the period of the committee is over and still it is working, whether the committee has informed the same to the State Co-operative Election Authority for further process or not?</t>
  </si>
  <si>
    <t>State the names of the members of Managing Committee during the period covered under audit.</t>
  </si>
  <si>
    <t>Whether the members of the Board have complied with the terms and conditions to be continued as member of board.</t>
  </si>
  <si>
    <t>DECISIONS OF THE MANAGING COMMITTEE</t>
  </si>
  <si>
    <t>Read the minutes of committees and offer comments regarding the decisions taken by the Managing Committee affecting financial irregularities and impact of it on the financial status of the society.</t>
  </si>
  <si>
    <t xml:space="preserve">Any losses / damages have been occurred from such decisions, whether special report is made or not. If yes, state the date of special report.    </t>
  </si>
  <si>
    <t>No</t>
  </si>
  <si>
    <t>Whether any decisions of BoD are in contravention of provisions of Act, Rules and Byelaws. If yes, comment in audit report.</t>
  </si>
  <si>
    <t>SUB COMMITTEES</t>
  </si>
  <si>
    <t>Whether the Sub Committees are delegated powers under bye-laws or by resolution of the Managing Committee.</t>
  </si>
  <si>
    <t>Powers delegated are according to the Act, Rules, Byelaws and directives issued by CRCS, RBI, NABARD or any competent authority under any Law.</t>
  </si>
  <si>
    <t>Read the minutes of sub committees and state whether the sub committees are working within the powers, duties assigned to them, if not comment in General Remarks.</t>
  </si>
  <si>
    <t>CHIEF EXECUTIVE OFFICER</t>
  </si>
  <si>
    <t>Name of the Chief Executive Officer.</t>
  </si>
  <si>
    <t>The Designation assigned him .</t>
  </si>
  <si>
    <t>Educational Qualification (Section 74).</t>
  </si>
  <si>
    <t>Whether he fulfils the criteria laid down by the competent authority for the post he has held.</t>
  </si>
  <si>
    <t>Details of Salary, Perks, Remuneration Allowance, Facilities details thereof.</t>
  </si>
  <si>
    <t>Whether any loans or advances are granted to him, give details of loans sanctioned, security offered, and outstanding, overdue, action taken for recovery.</t>
  </si>
  <si>
    <t>Whether he is doing his duties as per powers given to him by byelaws and power delegated by the board of directors, if not, comment in General remarks.</t>
  </si>
  <si>
    <t>Whether he is ex-officio member of Managing Committee as per bye-laws.</t>
  </si>
  <si>
    <t>STAFFING PATTERN AND STAFF (If applicable)</t>
  </si>
  <si>
    <t>What is strength sanctioned by the Board and approved by the competent authority.</t>
  </si>
  <si>
    <t>Whether the employees working are within the limit of staffing pattern? If not state the excess strength and its financial impact.</t>
  </si>
  <si>
    <t>Whether recruitment and promotion rules are framed and approved (if necessary) and the recruitment and promotions are according to the approved policy? If not, comment in the audit report.</t>
  </si>
  <si>
    <t>Necessary reservations for recruitment and promotions are filled by the Committee according to directives given by the Government.</t>
  </si>
  <si>
    <t>If powers are delegated to the subordinate authorities, implement is adhered to or not? If not, comment in the audit report. Report.</t>
  </si>
  <si>
    <t>FINANCIAL PARAMETERS</t>
  </si>
  <si>
    <t>Calculate the Net worth of the society as prescribed in explanation to Rule 23 and comment upon it if it is not correct.</t>
  </si>
  <si>
    <t>Calculate the value of the share as prescribed in Rule 23 of the M.S.C. Rules 1961 and comment upon it.</t>
  </si>
  <si>
    <t>Calculate various financial ratios regarding operational and financial efficiency, borrowing capacity as per Act, Rules, Byelaws, Circulars, Notifications and compare with financial indicators and comment on deviation with regards to adverse effects.</t>
  </si>
  <si>
    <t>Gross Profit and Net profit is calculated according to the Section 65 and Rule 49A. Comment on true and fairness of the profit or loss.</t>
  </si>
  <si>
    <t>All contingent liabilities are shown under the balance sheet as foot note or not? If not Comment in the Audit Report.</t>
  </si>
  <si>
    <t>Whether the financial statements are prepared in Form N as prescribed in Section 75 and Rule 62 (1) of M.S.C. Rules 1961.</t>
  </si>
  <si>
    <t>BUSINESS</t>
  </si>
  <si>
    <t>Whether the society is doing its business on sound business principles? Comment in General remarks about the working of the society.</t>
  </si>
  <si>
    <t>Whether the society is carrying on the business as provided in theByelaws. If not, comment in the audit report and if any loss has been incurred from such business, the same should be reported.</t>
  </si>
  <si>
    <t>Whether necessary permissions / licenses have been obtained by the Society for its business wherever necessary. If not, mention in the audit report</t>
  </si>
  <si>
    <t>If business is carried on at various places, whether required licenses/ permissions have been obtained in respect of those places.</t>
  </si>
  <si>
    <t>Whether the society has carried on the business beyond the area of operation as specified in the Bye-laws?</t>
  </si>
  <si>
    <t>STATUTORY RETURNS</t>
  </si>
  <si>
    <t>Whether the society has submitted statutory returns of the previous year as required by the Section 79 (1 A and 1B) and 75(2 A) of the M. C. S. Act 1960. in respect of</t>
  </si>
  <si>
    <t>A</t>
  </si>
  <si>
    <t>Annual report of activities</t>
  </si>
  <si>
    <t>Its Audited Statements of Accounts</t>
  </si>
  <si>
    <t>C</t>
  </si>
  <si>
    <t>Plan for disposal of surplus Funds</t>
  </si>
  <si>
    <t>D</t>
  </si>
  <si>
    <t>List of Amendment of Bye-laws (if any)</t>
  </si>
  <si>
    <t>E</t>
  </si>
  <si>
    <t>Declaration regarding date of holding AGBM and conduct of election when due.</t>
  </si>
  <si>
    <t>Details  not available for verification</t>
  </si>
  <si>
    <t>F</t>
  </si>
  <si>
    <t>Name of Auditor and his written consent.</t>
  </si>
  <si>
    <t>VIOLATION OF MCS ACT, RULES AND BYE-LAWS</t>
  </si>
  <si>
    <t>State the provisions of Act, Rules and Bye-laws which are violated by Society and comment them into the Audit Report.</t>
  </si>
  <si>
    <t>Details of violation</t>
  </si>
  <si>
    <t>Act Section</t>
  </si>
  <si>
    <t>Rules</t>
  </si>
  <si>
    <t>Bye-laws</t>
  </si>
  <si>
    <t>Banking Regulation Act, 1949</t>
  </si>
  <si>
    <t>Books of Accounts and Registers</t>
  </si>
  <si>
    <t>Whether the books of accounts as prescribed by Rule 65 are maintained by the Society as under. If not, comment in the audit report.</t>
  </si>
  <si>
    <t>i)</t>
  </si>
  <si>
    <t>A Register of members including persons nominated under Section 38 in Form I</t>
  </si>
  <si>
    <t>ii)</t>
  </si>
  <si>
    <t>A List of Active Members in Form J1</t>
  </si>
  <si>
    <t>iii)</t>
  </si>
  <si>
    <t>A List of Non-active members in Form J2</t>
  </si>
  <si>
    <t>iv)</t>
  </si>
  <si>
    <t>A Register of Shares</t>
  </si>
  <si>
    <t>v)</t>
  </si>
  <si>
    <t>A Register of debentures and bonds (Where capital is raised by debentures and bonds)</t>
  </si>
  <si>
    <t>vi)</t>
  </si>
  <si>
    <t>Minute Book regarding proceedings of General Body Meetings</t>
  </si>
  <si>
    <t>vii)</t>
  </si>
  <si>
    <t>Record of attendance of General Body Meetings.</t>
  </si>
  <si>
    <t>viii)</t>
  </si>
  <si>
    <t>Minute book recording proceedings of committee meeting and sub-committee meetings if any</t>
  </si>
  <si>
    <t>ix)</t>
  </si>
  <si>
    <t>Cash Book</t>
  </si>
  <si>
    <t>x)</t>
  </si>
  <si>
    <t>Day Book</t>
  </si>
  <si>
    <t>xi)</t>
  </si>
  <si>
    <t>Bank Book</t>
  </si>
  <si>
    <t>xii)</t>
  </si>
  <si>
    <t>General Ledger and Personal Ledger</t>
  </si>
  <si>
    <t>xiii)</t>
  </si>
  <si>
    <t>Stock register</t>
  </si>
  <si>
    <t>xiv)</t>
  </si>
  <si>
    <t>Property Register (in Form X 1)</t>
  </si>
  <si>
    <t>xv)</t>
  </si>
  <si>
    <t>Register of Auditors appointed and their written consent.</t>
  </si>
  <si>
    <t>xvi)</t>
  </si>
  <si>
    <t>Register of Audit Objections and their rectifications</t>
  </si>
  <si>
    <t>xvii)</t>
  </si>
  <si>
    <t>Returns of the Society ( in Form Y )</t>
  </si>
  <si>
    <t>xviii)</t>
  </si>
  <si>
    <t>Such other accounts and books as from time to time be specified by the State Government by Special or General order for any Society or Class of Societies.</t>
  </si>
  <si>
    <t>AUDIT RECTIFICATION REPORT</t>
  </si>
  <si>
    <t>Whether it is sent by Society within 3 months to the Registrar and to the Auditor.</t>
  </si>
  <si>
    <t>Whether the Registrar has communicated any uncompleted points to the Society and the Society has re-submitted it rectification within 6 months</t>
  </si>
  <si>
    <t>N.A.</t>
  </si>
  <si>
    <t>Whether the previous Audit Rectification Report is presented in AGBM during the period covered under the Audit.</t>
  </si>
  <si>
    <t>[Panel No.: Mumbai-4/C1/1011404]</t>
  </si>
  <si>
    <t>Address: Boridkar House, Pandurang Bhoir Road, Dahisar - West, Mumbai, Mumbai - 400 068</t>
  </si>
  <si>
    <t>FORM NO. 7</t>
  </si>
  <si>
    <t>FOR CO-OP. HOUSING SOCIETIES</t>
  </si>
  <si>
    <t>PART C</t>
  </si>
  <si>
    <t>Particulars to be filed by the Auditor</t>
  </si>
  <si>
    <t>Name of the Society</t>
  </si>
  <si>
    <t>Sub Classification of the Society</t>
  </si>
  <si>
    <t>Tenant Co-Partnership</t>
  </si>
  <si>
    <t>Tenant Ownership Housing Society</t>
  </si>
  <si>
    <t>Tenant Co-partnership Housing Society</t>
  </si>
  <si>
    <t>Other Housing Society</t>
  </si>
  <si>
    <t xml:space="preserve">Financial Management </t>
  </si>
  <si>
    <t>Government / Financial Institute – Assistance, Loan etc.</t>
  </si>
  <si>
    <t>Whether the society has obtained Government Assistance for the Construction of the houses / Flats / Bungalows etc.</t>
  </si>
  <si>
    <t>State the financial assistance not utilised and remained balance with the society, reasons of non-utilisation and action taken by the Society for its utilisation.</t>
  </si>
  <si>
    <t>If any financial assistance is mis-utilised for the purpose other than its sanction, state the amount, purpose of utilisation and persons responsible for mis-utilisation and modus operandious of mis-utilisation, persons benefited by such amount of financial assistance.</t>
  </si>
  <si>
    <t>Loan from government / government undertaking</t>
  </si>
  <si>
    <t>Sanctioned amount and date of sanction</t>
  </si>
  <si>
    <t>Amount actually received upto audit period</t>
  </si>
  <si>
    <t>Amount utilised upto audit period</t>
  </si>
  <si>
    <t>Amount remained with Society for utilisation</t>
  </si>
  <si>
    <t>Date of submission of utilisation certificates and amounts thereof</t>
  </si>
  <si>
    <t xml:space="preserve">i) </t>
  </si>
  <si>
    <t>Other financial assistance from government / government undertakings (Specify)....</t>
  </si>
  <si>
    <t>Finance from other financial institutions (individual loans taken by members which is not accounted in the Society’s books, no comments are required by auditor for the following points)</t>
  </si>
  <si>
    <t>a</t>
  </si>
  <si>
    <t>Sanctioned Amount</t>
  </si>
  <si>
    <t>b</t>
  </si>
  <si>
    <t>Amount actually received</t>
  </si>
  <si>
    <t>c</t>
  </si>
  <si>
    <t>Amount utilised</t>
  </si>
  <si>
    <t>d</t>
  </si>
  <si>
    <t>e</t>
  </si>
  <si>
    <t>State the financial assistance not utilised and remained balance with the Society, state the reasons of non-utilisation and action taken by the Society for its utilisation</t>
  </si>
  <si>
    <t>f</t>
  </si>
  <si>
    <t>If any financial assistance is mis-utilised for the purpose other than its sanction, state the amount, purpose of utilisation and persons responsible for mis-utilisation and modus operandious of mis-utilisation persons benefited by such amount of financial assistance.</t>
  </si>
  <si>
    <t>Whether the members of the society have availed loan from financial institutions in the personal capacity? Necessary permission from the society has been taken and the charge on the assets of the society has been created state the No. Of members and amount of loan and charge on the assets? Verify the register maintained for the same from the information submitted by the members and comments on them in the audit report.</t>
  </si>
  <si>
    <t>Whether the loans taken by the Society or by the members (in respect of government employees from the government / government undertakings) are repaid in time and verify the over dues and comment thereupon.</t>
  </si>
  <si>
    <t>Whether the necessary documents i.e. NOC of the Society, mortgage deed, etc. have been executed by the Society or members with the financial Institutions or the Government as the case may be. Verify them and comment in the audit report.</t>
  </si>
  <si>
    <t>Whether the term and conditions laid down by the Financial Institutions / Government have been followed by the Society / members or not? If not, comment in the audit report.</t>
  </si>
  <si>
    <t>Whether the Society has maintained loan register with details of sanction, disbursement, repayment, balance and NOC after full repayment.</t>
  </si>
  <si>
    <t>Whether the Society has obtained certificate regarding full payment of loan from concerned government department for release of mortgage?</t>
  </si>
  <si>
    <t>Land and Construction of the buildings</t>
  </si>
  <si>
    <t>Lands</t>
  </si>
  <si>
    <t>a)  Whether the land is owned by the Society ,state S. No. , Area, City Servey No., date of purchase, amount of purchase and amount spent on development of land. State the registration number of purchase deed and date.</t>
  </si>
  <si>
    <t>Required CTS No.</t>
  </si>
  <si>
    <t>b)  If the land is taken on lease, state the lesson, lease period, lease rent and amount of lease rent paid so for? Verify agreement for Lease comment on registration, terms and conditions of lease. Whether lease register is maintained or not? Whether tri-party agreements is executed for land originally lease by MHADA , HUDCO, CIDCO or any other such authority and such leased to Society?</t>
  </si>
  <si>
    <t>NO</t>
  </si>
  <si>
    <t xml:space="preserve">c) If the land belongs to owner and given to development to the developer, state the owner, developer agreement of development, its terms and conditions and whether sale deed  are made with member by the developer and owner or as per power of attorney, the auditor should verify the documents and comments in the audit report regarding title of land and building. (whether the Society has get its conveyance of land and building) </t>
  </si>
  <si>
    <t>d) If the Society has purchased land, necessary permission for non agricultural land has been obtained from the competent authority or not? If not comment in the audit report.</t>
  </si>
  <si>
    <t>Constructions</t>
  </si>
  <si>
    <t>(a)  Whether the construction has commenced or not and necessary permissions from local authority have been taken or not?</t>
  </si>
  <si>
    <t>(b)  State total number of flats / houses / bunglows / commercial units out of which are completed, under construction and constructions yet to be commenced.</t>
  </si>
  <si>
    <t xml:space="preserve">Residential 18 Flats </t>
  </si>
  <si>
    <t>(c) Whether flats / houses / bunglows / commercial units are allotted to the members? Whether allotment register is maintained or not? Whether any member is remained unalloted? What action has been taken against such members as per bye-laws?</t>
  </si>
  <si>
    <t>YES</t>
  </si>
  <si>
    <t>Whether building has been constructed on contract basis? Whether the terms and conditions of the contract are followed? Verify and comment in the audit report.</t>
  </si>
  <si>
    <t>Whether these contracts are sanctioned by competent authority (AGBM).</t>
  </si>
  <si>
    <t>Whether tender have been called by publishing in local newspaper with rates? If the tender is allotted to the contractor other than lowest bid. Reasons thereof are given in the proceeding of sanction of tender. Verify and comment in audit report.</t>
  </si>
  <si>
    <t>Whether the amount paid to the contractor on the basis of progress report by architect or not? Whether the running bills and final bill are taken before payment to the contractor.</t>
  </si>
  <si>
    <t>On what terms and conditions, an architect was appointed? Whether the appointment is permitted by AGBM?</t>
  </si>
  <si>
    <t>Whether there is any breach of terms and conditions by contractors or architect? Give remarks and state financial impact on the Society.</t>
  </si>
  <si>
    <t>Whether prior to construction, the Society has obtained certificates regarding drainage, water supply, roads and sanction to final layout.</t>
  </si>
  <si>
    <t>Whether Society has obtained completion / occupancy certificate from the local authorities / sanctioning authority?</t>
  </si>
  <si>
    <t>Whether any changes have been made to the sectional plans, approvals are obtained from the competent authority? If not, comment in audit report.</t>
  </si>
  <si>
    <t>Whether buildings and constructions are insured or not?</t>
  </si>
  <si>
    <t>Conveyance Deed</t>
  </si>
  <si>
    <t>Whether constructions are made by Builders / developers and sale agreement are executed with members?</t>
  </si>
  <si>
    <t>Whether the land has been transferred to the Society by the builder / developer or not?</t>
  </si>
  <si>
    <t>Whether for transfer of land in the name of Society, Conveyance Deed has been executed by the builders / developers or not? If not, what action has been taken for the Conveyance?</t>
  </si>
  <si>
    <t>Conveyance Deed Executed</t>
  </si>
  <si>
    <t>Redevelopment</t>
  </si>
  <si>
    <t>Whether the approval for redevelopment of the building as per bye-laws?</t>
  </si>
  <si>
    <t>Whether tender have been invited for redevelopment?</t>
  </si>
  <si>
    <t>Whether proposals of redevelopment have been considered by the AGBM with quorum required by bye-laws?</t>
  </si>
  <si>
    <t xml:space="preserve">Whether the Society has appointed an architect and legal advisor for preparation of redevelopment of plan and scrutiny of tenders received for redevelopment. </t>
  </si>
  <si>
    <t>Whether agreements have been executed between society and architect / legal advisor?</t>
  </si>
  <si>
    <t>Whether comparative study in terms of financial and technical aspects of all proposals has been made?</t>
  </si>
  <si>
    <t>State the criteria’s adopted by the board for approval of proposal out of proposals received</t>
  </si>
  <si>
    <t>Whether approval of AGBM has been obtained for the final proposal?</t>
  </si>
  <si>
    <t>Whether agreement for redevelopment is executed between the Society and Developer? Whether the certified copy of the agreement is available with the Society? Give list of other agreements / documents executed between the Society and the redeveloper.</t>
  </si>
  <si>
    <t xml:space="preserve">Check-up whether any terms and conditions of redevelopment agreements are prejudicial to the interest of the Society and its members, If yes, state the same. </t>
  </si>
  <si>
    <t>Comment upon progress of reconstruction as per the terms of redevelopment agreement.</t>
  </si>
  <si>
    <t>Whether there is any breach of terms and conditions of the agreement between the redeveloper and Society? If yes, comment upon the same along with its financial impact on Society and members.</t>
  </si>
  <si>
    <t>Whether any member of the Society is related with the redeveloper in any way and if yes, whether the interest has been disclosed by the said member to the AGBM?</t>
  </si>
  <si>
    <t>Whether the progress of construction is as per the schedule given in the redevelopment agreement? If not, state the action taken by the Society.</t>
  </si>
  <si>
    <t>Whether necessary permissions from local authority have been taken redevelopment agreement or not? If not, comment in audit report.</t>
  </si>
  <si>
    <t>Whether Society has obtained completion / occupation certificate from the local authorities / sanctioning authority?</t>
  </si>
  <si>
    <t>Whether any changes have been made to the sanctioned plans, approvals are obtained from the competent authority? If not, comment in audit report.</t>
  </si>
  <si>
    <t>Whether new members are admitted in process of redevelopment? If yes, whether procedure for admission of membership has been followed or not as per the bye-laws?</t>
  </si>
  <si>
    <t>Monthly Contribution for Maintenance</t>
  </si>
  <si>
    <t>Whether the Society has decided contribution for maintenance as per bye-laws and sanction of AGBM has been taken?</t>
  </si>
  <si>
    <t>Whether the contribution is according to parameters set in the bye-laws and as per directions of the Registrar?</t>
  </si>
  <si>
    <t>Whether any amount of such contribution is outstanding and overdue as per bye-laws? State the name of the concerned member and amount.</t>
  </si>
  <si>
    <t>Whether the Society has charged and recovered penal interest on the overdue contribution amount.</t>
  </si>
  <si>
    <t>Funds Management</t>
  </si>
  <si>
    <t>Whether the Society has provided for Sinking Fund, Repairs and Maintenance Fund, Election Fund as per bye-laws?</t>
  </si>
  <si>
    <t>Whether rules for utilisation of sinking fund and repairs and maintenance fund have been prepared and approved by the AGBM?</t>
  </si>
  <si>
    <t>Whether such funds are utilised during the period of audit, necessary permissions have been taken from the competent authority?</t>
  </si>
  <si>
    <t>Whether surplus funds are invested as per Act ,Rules and bye-laws separately or not? Comment in the Audit Report.</t>
  </si>
  <si>
    <t>Remarks in the Audit Report</t>
  </si>
  <si>
    <t>Transfer of Flats / Houses / Bunglows by members</t>
  </si>
  <si>
    <t>Whether during the period of audit any transfer of flats / houses / bunglows by members have been taken place?</t>
  </si>
  <si>
    <t>While transferring the flats / houses / bunglows, provisions of bye-laws has been followed? If not, comment in the Audit Report.</t>
  </si>
  <si>
    <t>Whether any premium / donation has been taken by the Society for such transfer is within the limit prescribed by the Government / Registrar.</t>
  </si>
  <si>
    <t>Period:-  01.04.2025 To 31.03.2026</t>
  </si>
  <si>
    <t>Schedules attached to and forming part of the Audit Report dated  :-</t>
  </si>
  <si>
    <t>Statutory Report as required  u/s 81 (2)</t>
  </si>
  <si>
    <t>SCHEDULE - I</t>
  </si>
  <si>
    <t>Transactions involving infringment of the provisions of the Act, the Rules &amp; the Bye-laws</t>
  </si>
  <si>
    <t>- Refer to Audit Memo 1 &amp; General Remarks.</t>
  </si>
  <si>
    <t>SCHEDULE - II</t>
  </si>
  <si>
    <t>Particulars of sums which ought to have been but have not been brought into account.</t>
  </si>
  <si>
    <t>- NIL</t>
  </si>
  <si>
    <t>SCHEDULE - III</t>
  </si>
  <si>
    <t>Improper &amp; Irregular payments.</t>
  </si>
  <si>
    <t>See General Remarks</t>
  </si>
  <si>
    <t>SCHEDULE - III-A</t>
  </si>
  <si>
    <t>Irregularities in the realisation of money</t>
  </si>
  <si>
    <t>SCHEDULE - IV</t>
  </si>
  <si>
    <t>List of doubtful &amp; bad debts</t>
  </si>
  <si>
    <t>SCHEDULE - V</t>
  </si>
  <si>
    <t>List of the movable &amp; immovable properties &amp; other assets considered doubtful of realisation</t>
  </si>
  <si>
    <t>SCHEDULE - VI</t>
  </si>
  <si>
    <t>Personal Expenditure debited to revenue</t>
  </si>
  <si>
    <t>INTRODUCTION</t>
  </si>
  <si>
    <t>Department of Cooperation, Marketing and Textile</t>
  </si>
  <si>
    <t xml:space="preserve">Name of the society </t>
  </si>
  <si>
    <t>:-</t>
  </si>
  <si>
    <t>Date : 18/07/2016 19:17:58</t>
  </si>
  <si>
    <t>Dear BHARAT CHANDRAKANT BORIDKAR,</t>
  </si>
  <si>
    <t>Register Address</t>
  </si>
  <si>
    <t>Audit Order is generated by following users:</t>
  </si>
  <si>
    <t>Auditor Name:BHARAT CHANDRAKANT</t>
  </si>
  <si>
    <t>Reg. No &amp; date</t>
  </si>
  <si>
    <t>BORIDKAR</t>
  </si>
  <si>
    <t xml:space="preserve">Period of audit </t>
  </si>
  <si>
    <t>01-Apr-2025 To 31-Mar-2026</t>
  </si>
  <si>
    <t>Society Name :JATIN CO OP HSG SOC LTD</t>
  </si>
  <si>
    <t>Audit classification</t>
  </si>
  <si>
    <t>"B"</t>
  </si>
  <si>
    <t>Auditor Type :Certified Auditor Individual</t>
  </si>
  <si>
    <t>Society Type :Housing societies having less than</t>
  </si>
  <si>
    <t>GENERAL REMARKS  (PART-A)</t>
  </si>
  <si>
    <t>100 members</t>
  </si>
  <si>
    <t>The following are the major discrepancies found during the audit.</t>
  </si>
  <si>
    <t>Auditor Empanelment Number :1011404 Society District :Mumbai 4</t>
  </si>
  <si>
    <t>Sr no</t>
  </si>
  <si>
    <t>Particulars</t>
  </si>
  <si>
    <t>Instances / Examples which requires reporting</t>
  </si>
  <si>
    <t>Auditor’s remarks</t>
  </si>
  <si>
    <t>Society Taluka:Ward R North</t>
  </si>
  <si>
    <t>Fraud</t>
  </si>
  <si>
    <t>1) Debiting excess amount than the voucher amount / bill amount.</t>
  </si>
  <si>
    <t>During the year under audit, I have not found any such instance.</t>
  </si>
  <si>
    <t>Society Village:Borivali</t>
  </si>
  <si>
    <t>2) Withdrawing the amount from bank but not crediting in cash book</t>
  </si>
  <si>
    <t>Regards,</t>
  </si>
  <si>
    <t>3) Debiting the bank account without depositing the amount in bank</t>
  </si>
  <si>
    <t xml:space="preserve">During the year under audit, I have not found any such instance. </t>
  </si>
  <si>
    <t>eSahakar</t>
  </si>
  <si>
    <t>4) Disbursing loans without sanction / without security / without loan documents / using forge documents</t>
  </si>
  <si>
    <t>During the year under audit, I have not found any such instance. The society is Housing Society.</t>
  </si>
  <si>
    <t>Online Audit Management System</t>
  </si>
  <si>
    <t>5) Any other transaction with the intention to defraud the society by any person.</t>
  </si>
  <si>
    <t>On the basis of verification of record made available to me, during the year under audit, I have not found any such instance.</t>
  </si>
  <si>
    <t>Misutilisation of funds and properties</t>
  </si>
  <si>
    <t>1) purchasing / constructing building without inviting the tenders</t>
  </si>
  <si>
    <t>2) purchasing the computers / fixed assets without inviting the tenders.</t>
  </si>
  <si>
    <t>3) selling the movable / immovable properties without inviting bids</t>
  </si>
  <si>
    <t>4) selling the movable / immovable properties below Reserve Price (Upset price)</t>
  </si>
  <si>
    <t>Misapplication of funds</t>
  </si>
  <si>
    <t>1) Use of sinking fund for day to day maintenance without passing required resolution in General Body.</t>
  </si>
  <si>
    <t>2) Use of revenue reserve / general reserve for creating Reserve for Bad and Doubtful Debts.</t>
  </si>
  <si>
    <t>Manipulation of accounts</t>
  </si>
  <si>
    <t>I have not found any manipulation of accounts during the year under audit.</t>
  </si>
  <si>
    <t>Falsification of accounts</t>
  </si>
  <si>
    <t>I have not found any Falsification of accounts during the year under audit.</t>
  </si>
  <si>
    <t>Shortfall in various provisions</t>
  </si>
  <si>
    <t>There is no material shortfall in recognition of liability for outstanding expenses/provisions</t>
  </si>
  <si>
    <t>Infringement of the M C S Act, 1960, Rules, 1961 and the Bye-Laws of the Society</t>
  </si>
  <si>
    <t>Srn</t>
  </si>
  <si>
    <t>Act</t>
  </si>
  <si>
    <t>Bye-laws @</t>
  </si>
  <si>
    <t>Descriptions</t>
  </si>
  <si>
    <t xml:space="preserve">54,55 </t>
  </si>
  <si>
    <t>Investment of Funds</t>
  </si>
  <si>
    <t>73b</t>
  </si>
  <si>
    <t>Strength, composition and quorum of the managing committee.</t>
  </si>
  <si>
    <t>107 C</t>
  </si>
  <si>
    <t>Cash in hand beyond the prescribed limit.</t>
  </si>
  <si>
    <t>107 D</t>
  </si>
  <si>
    <t>Payments made by means other than crossed account payee cheque</t>
  </si>
  <si>
    <t>The society shall insure its building necessarily against risk of fire and earthquake and flood</t>
  </si>
  <si>
    <t>A Sublette / licensee not applied for Nominal Membership of the Society.</t>
  </si>
  <si>
    <t>Nomination not fully received.</t>
  </si>
  <si>
    <t>153 (a)</t>
  </si>
  <si>
    <t>Audit rectification report in “O” form not placed in managing committee meeting and submission to Registering Authority and auditor for his comments.</t>
  </si>
  <si>
    <t>Personal expenses debited to Income and expenditure account.</t>
  </si>
  <si>
    <t>Transactions with relatives of members of managing committee, companies, firms in which members of managing committee are interested, which are not at the reasonable rates.</t>
  </si>
  <si>
    <t>No action against overdue in excess of one year</t>
  </si>
  <si>
    <t>GENERAL REMARKS  (PART-B)</t>
  </si>
  <si>
    <t>The audit has been conducted for the period 1st April 2025 to 31st March 2026. This statutory audit is based on the books of accounts, records, financial statements, annexures, and other relevant documents maintained in the computer system, and has been verified accordingly. Both written and oral information provided by the management at the time of the audit has been relied upon during the course of this work. It is assumed that all transactions have been carried out in compliance with the Maharashtra State Co-operative Societies Act, 1960, the Rules of 1961, and the Bye-Laws of the Society.</t>
  </si>
  <si>
    <t>It is presumed that the computer-generated entries and transactions are strictly accurate, in proper working order as per standard software/programming requirements, and free from internal defects. The Society shall be solely responsible for any subsequent changes made to the records.</t>
  </si>
  <si>
    <t xml:space="preserve">Information obtained and irregularities observed during the audit are presented in Parts A, B, and C of this report. Upon compliance with the irregularities noted, an Audit Compliance Report is to be submitted.
</t>
  </si>
  <si>
    <t>Management:</t>
  </si>
  <si>
    <t>The list of management committee as on 31st March 2026 is provided by the Society. The Office bearers for the audit period are as under:</t>
  </si>
  <si>
    <t>Member</t>
  </si>
  <si>
    <t>MEETINGS :-</t>
  </si>
  <si>
    <t>During the year of Audit following meetings were held.</t>
  </si>
  <si>
    <t>Sr. No.</t>
  </si>
  <si>
    <t>Meeting Name</t>
  </si>
  <si>
    <t>No. of Meetings</t>
  </si>
  <si>
    <t>Meetings Date</t>
  </si>
  <si>
    <t>Managing Committee Meetings</t>
  </si>
  <si>
    <t>Annual General Meetings</t>
  </si>
  <si>
    <t>Special General Meetings</t>
  </si>
  <si>
    <t>Annual General Meeting :-</t>
  </si>
  <si>
    <t>In the case of minutes by pasting of printout, it is advised to affix societies seal on each page with authentication by the chairman of the managing committee meeting in which the minutes are confirmed.</t>
  </si>
  <si>
    <t>The folios of the minute book are not serially numbered.</t>
  </si>
  <si>
    <t>Managing Committee</t>
  </si>
  <si>
    <t>The minutes of the above meetings are handwritten in the minute book.</t>
  </si>
  <si>
    <t>The resolution regarding reading and confirming the minutes of previous managing committee meeting and signing the same by the chairman of the meeting in which the minutes are read is not recorded in the minutes.</t>
  </si>
  <si>
    <t>The place and date of signing the minutes by the chairman are not recorded in the minutes.</t>
  </si>
  <si>
    <t>Managing committee resolution for approval of periodic expenditure incurred, acceptance of quotations of vendor, rectification report in form O, are not available in the minutes.</t>
  </si>
  <si>
    <t>MEMBERS</t>
  </si>
  <si>
    <t>Flat No. 401 transfer from Mr. Philip Lobo to Mrs. Aurora Lobo &amp; Ms. Annie Lobo by nomination after death of Original Member.</t>
  </si>
  <si>
    <t>The Society has 18 members as on date. However, the details of Transfers or Transmissions of shares, if any, effected during the year have not been provided by the Management.</t>
  </si>
  <si>
    <t xml:space="preserve">The Society has 18 members as on date. However, the details of Transfers or Transmissions of shares, if any, effected during the year have not been provided by the Management. </t>
  </si>
  <si>
    <t>FINANCIAL PERFORMANCE:</t>
  </si>
  <si>
    <t>During the year under audit the society has incurred a DEFICIT of Rs. 1,17,952.10/- for the year ending 31-Mar-2026, as against a surplus of Rs. 27,001.74/- in the preceding year.</t>
  </si>
  <si>
    <t>OBSERVATION ON THE BALANCE SHEET AS ON  31-03-2026</t>
  </si>
  <si>
    <t>Increase/Decrease</t>
  </si>
  <si>
    <t>LIABILITIES</t>
  </si>
  <si>
    <t>Issued,Subscribed &amp; Paid Up Share Capital</t>
  </si>
  <si>
    <t>Reserve and Other Funds</t>
  </si>
  <si>
    <t>Contribution from Members towards Bldg</t>
  </si>
  <si>
    <t>Current Liabilities &amp; provisions</t>
  </si>
  <si>
    <t>Advances from Members</t>
  </si>
  <si>
    <t>Income &amp; Expenditure Acount</t>
  </si>
  <si>
    <t>TOTAL :-</t>
  </si>
  <si>
    <t>ASSETS</t>
  </si>
  <si>
    <t>Cash &amp; Bank Balances</t>
  </si>
  <si>
    <t>Investments</t>
  </si>
  <si>
    <t>Contribution towards Building</t>
  </si>
  <si>
    <t>Other Fixed Assets</t>
  </si>
  <si>
    <t>Other Current Assets</t>
  </si>
  <si>
    <t>Prepaid Expenses</t>
  </si>
  <si>
    <t>ANALYSIS OF BALANCE SHEET :-</t>
  </si>
  <si>
    <t>SECTION I: CAPITAL AND LIABILITIES</t>
  </si>
  <si>
    <t xml:space="preserve"> AUTHORISED SHARE CAPITAL:</t>
  </si>
  <si>
    <t xml:space="preserve">As per approved Bye-Laws of society, Authorised Share Capital was Rs. 1,00,000/-  divided into 2000 shares of Rs.50/- each. </t>
  </si>
  <si>
    <t>PAID-UP SHARE CAPITAL:</t>
  </si>
  <si>
    <t xml:space="preserve">The amount of Paid Share Capital was Rs. 9000/- divided into 180 shares of Rs.50/- each. </t>
  </si>
  <si>
    <t>RESERVES AND SURPLUS:</t>
  </si>
  <si>
    <t xml:space="preserve">As on 31.03.2026 the funds of the Society are not fully invested, as shown below: </t>
  </si>
  <si>
    <t>Balance    (Rs.)</t>
  </si>
  <si>
    <t>Investment (Rs.)</t>
  </si>
  <si>
    <t>Reserve Fund</t>
  </si>
  <si>
    <t>Sinking Fund</t>
  </si>
  <si>
    <t>Repairs &amp; Maintenance Fund</t>
  </si>
  <si>
    <t>Major Repairs Fund</t>
  </si>
  <si>
    <t>Education &amp; Training Fund</t>
  </si>
  <si>
    <t>Share Capital</t>
  </si>
  <si>
    <t>Found to have remained unconfirmed as on the Balance Sheet date.</t>
  </si>
  <si>
    <t>CURRENT LIABILITIES &amp; PROVISIONS Rs. 1,59,238/-</t>
  </si>
  <si>
    <t xml:space="preserve">Details of Sundry Creditors &amp; Provisions made by Society as on 31st March, 2026 are as under: </t>
  </si>
  <si>
    <t>Adani Electricity</t>
  </si>
  <si>
    <t>BMC</t>
  </si>
  <si>
    <t>VNF Total Solution</t>
  </si>
  <si>
    <t>Provision for Electricity Expenses</t>
  </si>
  <si>
    <t>Provision for Income Tax</t>
  </si>
  <si>
    <t>Provision for Audit Fees</t>
  </si>
  <si>
    <t>Provision for Water Expenses</t>
  </si>
  <si>
    <t>Remark</t>
  </si>
  <si>
    <t>These are subject to confirmation by the respective member.</t>
  </si>
  <si>
    <t>SECTION II: ASSETS</t>
  </si>
  <si>
    <t>Cash on hand Rs. 2,850/-</t>
  </si>
  <si>
    <t>The Society is advised to approach at the earliest to the Registrar of Co operative Societies for the permission to operate Bank Accounts in other than Co-Operative banks.</t>
  </si>
  <si>
    <t>The cash balance as on 31st March 2026 was Rs. 2,850/-, which is within the limit prescribed by Bye-Law No. 144.</t>
  </si>
  <si>
    <t>Bank Balance  Rs. 1,34,165.34/-</t>
  </si>
  <si>
    <t>i</t>
  </si>
  <si>
    <t xml:space="preserve">The Society is maintaining accounts with Following Banks. </t>
  </si>
  <si>
    <t>Mumbai District Central Co-op. Bank</t>
  </si>
  <si>
    <t>Citizencredit Co-Op Bank Ltd</t>
  </si>
  <si>
    <t>Total :-</t>
  </si>
  <si>
    <t xml:space="preserve">The balance confirmation certificates at the year end are submitted for our audit and also the bank passbook submitted by the society from the aforesaid banks were verified and the balances were found to be in agreement with the balance as per the books of account by way of reconciliation of unadjusted entries, if any. </t>
  </si>
  <si>
    <t>INVESTMENTS:</t>
  </si>
  <si>
    <t>Investment portfolio mainly consists of Fixed Deposits. The details of the same as at 31/03/2026 are as under:</t>
  </si>
  <si>
    <t>Fixed Deposit with banks</t>
  </si>
  <si>
    <t>Repair Fund</t>
  </si>
  <si>
    <t>Common Benefit Fund</t>
  </si>
  <si>
    <t>FIXED ASSETS :</t>
  </si>
  <si>
    <t>Fixed Assets have been stated at value at the beginning of the year inclusive of incidental expenses incurred on acquisition less depreciation for the year and the same are depreciated on the Basis and the rates determined by the management. There were no additions to, or deletions from, the block during the year. The details of the Fixed Assets as on 31/03/2026 are as under:</t>
  </si>
  <si>
    <t>Amount (Rs.)</t>
  </si>
  <si>
    <t>Land and Building at cost</t>
  </si>
  <si>
    <t>CCTV                                    Less : Depreciation</t>
  </si>
  <si>
    <t>CCTV</t>
  </si>
  <si>
    <t>Cupboard                           Less : Depreciation</t>
  </si>
  <si>
    <t>Cupboard</t>
  </si>
  <si>
    <t>Furniture &amp; Fixtures        Less : Depreciation</t>
  </si>
  <si>
    <t>Furniture &amp; Fixture</t>
  </si>
  <si>
    <t>Table                                   Less : Depreciation</t>
  </si>
  <si>
    <t>Table</t>
  </si>
  <si>
    <t>Fire Fighting System        Less : Depreciation</t>
  </si>
  <si>
    <t>Fire Fighting System</t>
  </si>
  <si>
    <t>Borewell                            Less : Depreciation</t>
  </si>
  <si>
    <t>Borewell Account</t>
  </si>
  <si>
    <t>Intercom System              Less : Depreciation</t>
  </si>
  <si>
    <t>Intercom System</t>
  </si>
  <si>
    <t>Waterpump                      Less : Depreciation</t>
  </si>
  <si>
    <t>Water Pump</t>
  </si>
  <si>
    <t>Computer                          Less : Depreciation</t>
  </si>
  <si>
    <t>Computer Account</t>
  </si>
  <si>
    <t>OTHER CURRENT ASSETS:</t>
  </si>
  <si>
    <t>Details of Current Assets and Deposits &amp; Advances of the Society are as follows:</t>
  </si>
  <si>
    <t>Security Deposit - Adani Electricity</t>
  </si>
  <si>
    <t>Receivable from - Adani Electricity</t>
  </si>
  <si>
    <t>TDS Receivable</t>
  </si>
  <si>
    <t>Advance to Vendor - Shanmugam Jeyaram</t>
  </si>
  <si>
    <t xml:space="preserve">Shanmugam Jeyaram </t>
  </si>
  <si>
    <t xml:space="preserve">Dues from Members </t>
  </si>
  <si>
    <t>Rs.</t>
  </si>
  <si>
    <t>ANALYSIS OF PROFIT &amp; LOSS ACCOUNT</t>
  </si>
  <si>
    <t>Increase / Decrease</t>
  </si>
  <si>
    <t>%</t>
  </si>
  <si>
    <t>Income :-</t>
  </si>
  <si>
    <t>Contribution from members</t>
  </si>
  <si>
    <t>Interest on SB &amp; FD</t>
  </si>
  <si>
    <t>Other Income (Scrap Sale)</t>
  </si>
  <si>
    <t>Expenses:-</t>
  </si>
  <si>
    <t>Municipal Tax</t>
  </si>
  <si>
    <t>Electricity Expenses</t>
  </si>
  <si>
    <t>Water Expenses</t>
  </si>
  <si>
    <t>Lift  AMC</t>
  </si>
  <si>
    <t>To Repair &amp; Maintenance (As per Sch. VII)</t>
  </si>
  <si>
    <t>Less: Trfd to Major Repair Fund</t>
  </si>
  <si>
    <t>Security Expenses</t>
  </si>
  <si>
    <t>Depreciation</t>
  </si>
  <si>
    <t>Bank Charges</t>
  </si>
  <si>
    <t>Water Tanker Cleaning Exp</t>
  </si>
  <si>
    <t>Pest Control Charges</t>
  </si>
  <si>
    <t>Water Pump Repair Expenses</t>
  </si>
  <si>
    <t>Festival Expenses</t>
  </si>
  <si>
    <t>Accounting Charges</t>
  </si>
  <si>
    <t>Printing  and  Stationary</t>
  </si>
  <si>
    <t>Meeting Expenses</t>
  </si>
  <si>
    <t>Miscellaneous Expenses</t>
  </si>
  <si>
    <t>Legal &amp; Professional Fees</t>
  </si>
  <si>
    <t>Salary Expenses &amp; Bonus</t>
  </si>
  <si>
    <t>Audit Fees</t>
  </si>
  <si>
    <t>Income Tax Expense</t>
  </si>
  <si>
    <t>1/4 th of Surplus transferred to General Reserve Fund</t>
  </si>
  <si>
    <t>Surplus / (Deficit) during the year</t>
  </si>
  <si>
    <t>25% of Surplus transferred to General Fund</t>
  </si>
  <si>
    <t>Surplus / Deficit during the year</t>
  </si>
  <si>
    <t>CONCLUSION</t>
  </si>
  <si>
    <t>From the examination of the books of accounts and other records maintained and produced by the Society, I would like to place on record my appreciation for the co-operation received from time to time from the office bearers of the Society.</t>
  </si>
  <si>
    <t>No personal expenses have been recorded in the Income &amp; Expenditure Account.</t>
  </si>
  <si>
    <t>All expenses incurred are towards fulfilling the objectives of the Society.</t>
  </si>
  <si>
    <t>There are no transactions noted which are detrimental to the interest of the Society.</t>
  </si>
  <si>
    <t>The Society is fulfilling its liabilities towards its members.</t>
  </si>
  <si>
    <t xml:space="preserve"> There is not any loan kept overdue by the society.</t>
  </si>
  <si>
    <t>The amounts have been spent for fulfilling the objectives of the Society, restricted only to routine management expenses.</t>
  </si>
  <si>
    <t>The Society has not received any financial assistance from any external authority for the fulfillment of its objectives.</t>
  </si>
  <si>
    <t>GENERAL REMARKS  (PART-C)</t>
  </si>
  <si>
    <t>AUDIT OBJECTIONS &amp; GENERAL REMARKS</t>
  </si>
  <si>
    <t>It is observed that some members of the Society have still not submitted their nominations. It is in the interest of the members to file the nominations at the earliest as required by the Bye-Laws of the Society.</t>
  </si>
  <si>
    <t>Repairs and maintenance expenditure of Rs. 2,66,289/- has been charged wholly to the Income &amp; Expenditure Account without any appropriation from the Repairs &amp; Maintenance Fund (Rs. 7,23,478/-) or the Major Repairs Fund (Rs. 8,40,967.52/-), although both funds carry substantial balances and the preceding year’s expenditure was met out of these funds. This is a principal reason for the deficit of the year. The Managing Committee should place a fund-utilisation resolution before the General Body and follow a consistent policy of appropriation.</t>
  </si>
  <si>
    <t>Recovery of Municipal Taxes is short : taxes of Rs. 4,85,016/- have been charged to the Income &amp; Expenditure Account against recovery of Rs. 4,55,930/- from members, a shortfall of Rs. 29,086/-. The monthly contribution should be revised so that property taxes are fully recovered from the members.</t>
  </si>
  <si>
    <t>The account with the Mumbai District Central Co-operative Bank has shown an unchanged balance of Rs. 21,412/- with no transactions during the year and the preceding year. The Society should obtain a balance confirmation and either operate the account or close it after a resolution of the Managing Committee.</t>
  </si>
  <si>
    <t>An advance of Rs. 85,500/- to Shri Shanmugam Jeyaram remains outstanding and unadjusted since the preceding year, and the amount payable to VNF Total Solution of Rs. 22,700/- likewise remains unmoved. Both balances should be confirmed and settled or adjusted.</t>
  </si>
  <si>
    <t>The Society has not insured its building against fire, earthquake and flood as required by Bye-Law No. 160.</t>
  </si>
  <si>
    <t>Society has not adopted new Model Bye-Laws to give effect to the changes in the MCS Act, 1960 made by the Amendment Acts of 2013, 2014 and 2019 and the amended Rules, 2014.</t>
  </si>
  <si>
    <t>RECORDS</t>
  </si>
  <si>
    <t>Society has maintained the following  statutory registers, which are required as per Bye Laws No.142 should be  updated.</t>
  </si>
  <si>
    <t>Share  Register.</t>
  </si>
  <si>
    <t>Property Register</t>
  </si>
  <si>
    <t>The Audit Rectification Registered in "O" Form</t>
  </si>
  <si>
    <t>SUGGESTIONS :-</t>
  </si>
  <si>
    <t>The Society should charge maintenance and other applicable charges strictly in accordance with the Bye-Laws, relevant Acts, Rules, and Government Notifications issued from time to time.</t>
  </si>
  <si>
    <t>Statutory registers should be updated regularly.</t>
  </si>
  <si>
    <t>All single payments above ₹1,500/- should be made only by crossed account payee cheque.</t>
  </si>
  <si>
    <t>Utilise the Education and Training Fund to provide education and training to at least 20% of members every year, in accordance with Section 24A and Section 155-B(6) of the Maharashtra Co-operative Societies Act, 1960.</t>
  </si>
  <si>
    <t>Upload all mandatory returns prescribed under Section 79 of the MSC Act on or before 30th September every year.</t>
  </si>
  <si>
    <t>Deduct Income Tax at Source (TDS) in accordance with the relevant provisions of the Income Tax Act, 1961 — for example, when engaging contractors for repair and maintenance work — and file the quarterly TDS statements, issuing TDS certificates to deductees as required.</t>
  </si>
  <si>
    <t>Implement a more robust financial management system, including budget monitoring, variance analysis, and other related MIS reporting.</t>
  </si>
  <si>
    <t>Ensure that minutes of Managing Committee meetings as well as General Body meetings are clear, complete, and unambiguous. All resolutions should be serially numbered.</t>
  </si>
  <si>
    <t>Note that the Maharashtra Co-operative Societies Act, 1960 was amended on 13th August 2013. As per the amended provisions of Section 73CB(1), the State Co-operative Election Authority has been constituted. Elections of all Co-operative Societies must be conducted in accordance with the Maharashtra Co-operative Societies (Elections to Committee) Rules, 2014.</t>
  </si>
  <si>
    <t>Prepare the Audit Rectification Report within three months as required under Section 82 of the Maharashtra Co-operative Societies Act, 1960, using Form “O” prescribed under Rule 73. This report should be placed before the Managing Committee for approval, then submitted to the registering authorities along with a copy of the Managing Committee resolution. The same should also be forwarded to the auditor for comments.</t>
  </si>
  <si>
    <t>Schedules attached to and forming part of the Annual Account for the year ended 31st March, 2026</t>
  </si>
  <si>
    <t>Accounting Conventions:</t>
  </si>
  <si>
    <t>The financial statements have been prepared under the historical cost convention, in accordance with the generally accepted accounting policies and according to the provisions of the Maharashtra Co op Societies Act, 1960 and Rules framed there under and registered Bye-laws of the society and the same, unless specifically referred otherwise, are adopted consistently by the society.</t>
  </si>
  <si>
    <t>Recognition of Income and Expenditure:</t>
  </si>
  <si>
    <t>The society generally follows accrual system of accounting and recognises significant items of income and expenditure on accrual basis except contributions by members towards Non-Agricultural Tax and its payment,  annual contribution towards the education and training fund and its utilisations.</t>
  </si>
  <si>
    <t>Fixed Assets:</t>
  </si>
  <si>
    <t>Fixed assets are stated at cost less depreciation. Cost comprises of cost of acquisition and any attributable cost of bringing the asset to condition for its intended use.</t>
  </si>
  <si>
    <t>Depreciation:</t>
  </si>
  <si>
    <t>Depreciation is provided for number of days fixed assets put to use during the year, on written down value (WDV) at the rates prescribed under the Income Tax Act, 1961.</t>
  </si>
  <si>
    <t>Investments:</t>
  </si>
  <si>
    <t>Investments are stated at cost.</t>
  </si>
  <si>
    <t>Contingent Liabilities:</t>
  </si>
  <si>
    <t>Contingent liabilities are not provided for and, if any, the same is disclosed by way of note.</t>
  </si>
  <si>
    <t>Notes on Accounts:</t>
  </si>
  <si>
    <t>Previous year figures:</t>
  </si>
  <si>
    <t>Previous year figures have been re-worked, re-grouped, re-arranged and re-classified wherever necessary to facilitate comparison with the current year figure.</t>
  </si>
  <si>
    <t>The dues from members and credit balances of members security deposits with Adani Electricity  are subject to confirmation.</t>
  </si>
  <si>
    <t xml:space="preserve">In the opinion of the Managing Committee, the value of other assets is as stated in the financial statement, if realised in the ordinary course of operations of the Society. </t>
  </si>
  <si>
    <t>Chairman            Secretary          Treasurer</t>
  </si>
  <si>
    <t>INFRIGMENT OF THE M.C.S. ACT 1960 RULES 1961 &amp; THE BYE-LAWS OF THE SOCIETY</t>
  </si>
  <si>
    <t>Sr.No.</t>
  </si>
  <si>
    <t>Bye-Laws</t>
  </si>
  <si>
    <t>Details Of Infringements</t>
  </si>
  <si>
    <t>141(i)</t>
  </si>
  <si>
    <t>Member’s register in I form.</t>
  </si>
  <si>
    <t>--</t>
  </si>
  <si>
    <t>NOMINATION NOT FULLY RECEIVED</t>
  </si>
  <si>
    <t>Nomination Not Fully Received</t>
  </si>
  <si>
    <t>141(2)</t>
  </si>
  <si>
    <t xml:space="preserve">List of members in “j” form not kept on record </t>
  </si>
  <si>
    <t>Audit rectification report in prescribed “O” form submission to registrar witin prescribed limit.</t>
  </si>
  <si>
    <t>5&gt;&gt;&gt;</t>
  </si>
  <si>
    <t>Conveyance of the property</t>
  </si>
  <si>
    <t>6&gt;&gt;&gt;</t>
  </si>
  <si>
    <t>Insurance of building</t>
  </si>
  <si>
    <t>071 (a)</t>
  </si>
  <si>
    <t>Defaulter member 3 months</t>
  </si>
  <si>
    <t>127 (i)</t>
  </si>
  <si>
    <t>Managing committee meeting</t>
  </si>
  <si>
    <t>9&gt;&gt;&gt;</t>
  </si>
  <si>
    <t>Payment beyond the limit in cash</t>
  </si>
  <si>
    <t>75(iI)</t>
  </si>
  <si>
    <t>95(9)</t>
  </si>
  <si>
    <t>A G M within prescribed limit</t>
  </si>
  <si>
    <t>11&gt;&gt;&gt;</t>
  </si>
  <si>
    <t>24(a)</t>
  </si>
  <si>
    <t>Education &amp; Training fund collection</t>
  </si>
  <si>
    <t>12&gt;&gt;&gt;</t>
  </si>
  <si>
    <t>Investment of fund</t>
  </si>
  <si>
    <t xml:space="preserve">13&gt;&gt;&gt; </t>
  </si>
  <si>
    <t>141 (I to 16)</t>
  </si>
  <si>
    <t>Required registers to be kept (property reg.)</t>
  </si>
  <si>
    <t>Reservation for female member on the managing committee.</t>
  </si>
  <si>
    <t>73FF</t>
  </si>
  <si>
    <t>119 B</t>
  </si>
  <si>
    <t>Disqualification for membership of managing committee.</t>
  </si>
  <si>
    <t>Restriction of transfer of shares &amp; property.</t>
  </si>
  <si>
    <t>Issue of share certificates to the members witin the prescribed limit.</t>
  </si>
  <si>
    <t>146(a)</t>
  </si>
  <si>
    <t>Drafting financial statement after the prescribed limit.</t>
  </si>
  <si>
    <t>Cash in hand beyond the prescribed limit..</t>
  </si>
  <si>
    <t xml:space="preserve"> Handover the charge to new committee.</t>
  </si>
  <si>
    <t>22&gt;&gt;&gt;</t>
  </si>
  <si>
    <t>73 b 73 c</t>
  </si>
  <si>
    <t>Strength of the meeting.</t>
  </si>
  <si>
    <t>Managing Committee meeting attendance - FY 2025-26 (to be completed from the Minute Book)</t>
  </si>
  <si>
    <t>Meet-1</t>
  </si>
  <si>
    <t>Meet-2</t>
  </si>
  <si>
    <t>Meet-3</t>
  </si>
  <si>
    <t>Meet-4</t>
  </si>
  <si>
    <t>Meet-5</t>
  </si>
  <si>
    <t>Meet-6</t>
  </si>
  <si>
    <t>Meet-7</t>
  </si>
  <si>
    <t>Meet-8</t>
  </si>
  <si>
    <t>Meet-9</t>
  </si>
  <si>
    <t>Meet-10</t>
  </si>
  <si>
    <t>Meet-11</t>
  </si>
  <si>
    <t>Meet-12</t>
  </si>
  <si>
    <t>Member name</t>
  </si>
  <si>
    <t>PRATHAMESH HARMONY "B" CHS LTD. - FY 2025-26 : information to be filled in before the report is signed</t>
  </si>
  <si>
    <t>Sr.</t>
  </si>
  <si>
    <t>Sheet / Cell</t>
  </si>
  <si>
    <t>Provisional entry now in the file</t>
  </si>
  <si>
    <t>TIT!D13, D15, D16, D17</t>
  </si>
  <si>
    <t>Date of report, date of commencement, date of completion, date of submission of the audit memo</t>
  </si>
  <si>
    <t>17-09-2026 / 10-09-2026 / 17-09-2026 / 17-09-2026</t>
  </si>
  <si>
    <t>TIT!D18, F18</t>
  </si>
  <si>
    <t>Date of the AGBM held during 2025-26 and the number of members present</t>
  </si>
  <si>
    <t>30-09-2025 assumed; members present blank</t>
  </si>
  <si>
    <t>TIT!D19</t>
  </si>
  <si>
    <t>Special General Body Meeting, if any</t>
  </si>
  <si>
    <t>TIT!D20</t>
  </si>
  <si>
    <t>Number of Managing Committee meetings held during the year</t>
  </si>
  <si>
    <t>0 - to be entered</t>
  </si>
  <si>
    <t>TIT!D23, D24</t>
  </si>
  <si>
    <t>Audit fees for the previous audit and the period covered</t>
  </si>
  <si>
    <t>Rs. 2,500 for 2024-25</t>
  </si>
  <si>
    <t>Form-1!D33, D34, D35</t>
  </si>
  <si>
    <t>Dates of the auditor's appointment letter, acceptance letter and its receipt by the Society</t>
  </si>
  <si>
    <t>blank</t>
  </si>
  <si>
    <t>Form-1!D38</t>
  </si>
  <si>
    <t>Date of the Managing Committee meeting at which the audit report is discussed</t>
  </si>
  <si>
    <t>Form-1!D94:D97 and GR!H68:H71</t>
  </si>
  <si>
    <t>Names of the Chairman, Secretary and Committee members for 2025-26</t>
  </si>
  <si>
    <t>Form-1!D21, AR!C62, GR!G11</t>
  </si>
  <si>
    <t>Audit classification awarded for 2025-26</t>
  </si>
  <si>
    <t>"B" carried forward from last year - to be confirmed</t>
  </si>
  <si>
    <t>GR!M76 and GR!C91</t>
  </si>
  <si>
    <t>Dates of the Managing Committee meetings and the months in which no meeting was held</t>
  </si>
  <si>
    <t>GR!J78</t>
  </si>
  <si>
    <t>Number of Special General Body Meetings held</t>
  </si>
  <si>
    <t>0</t>
  </si>
  <si>
    <t>Meeting sheet</t>
  </si>
  <si>
    <t>Attendance record of Managing Committee meetings for 2025-26</t>
  </si>
  <si>
    <t>cleared - last year's sheet carried another society's names</t>
  </si>
  <si>
    <t>Form-1!D45, D47</t>
  </si>
  <si>
    <t>Audit fees fixed for 2025-26</t>
  </si>
  <si>
    <t>Rs. 2,500 as provided in the accounts</t>
  </si>
  <si>
    <t>Cells carrying a provisional entry are shaded yellow in the respective sheets. This sheet is a working note and is outside the print areas of the report.</t>
  </si>
  <si>
    <t>Date : 16-08-2026</t>
  </si>
  <si>
    <t>Date : 18-08-2026</t>
  </si>
  <si>
    <t>Date : 20-08-2026</t>
  </si>
  <si>
    <t>Date : 11-09-2026</t>
  </si>
  <si>
    <t>Secretary : Mrs. Nisha Fernandes</t>
  </si>
  <si>
    <t>Member : Ms. Shilpa Panchal</t>
  </si>
  <si>
    <t>Member : Mr. Wilson D'silva</t>
  </si>
  <si>
    <t>PRATHAMESH HARMONY "B"  WING CO-OPERATIVE HOUSING SOCIETY LTD.</t>
  </si>
  <si>
    <r>
      <t xml:space="preserve">We have audited the accompanying financial statements of </t>
    </r>
    <r>
      <rPr>
        <b/>
        <sz val="11"/>
        <rFont val="Calibri"/>
        <family val="2"/>
      </rPr>
      <t>PRATHAMESH HARMONY "B"  WING CO-OPERATIVE HOUSING SOCIETY LTD</t>
    </r>
    <r>
      <rPr>
        <sz val="11"/>
        <rFont val="Calibri"/>
        <family val="2"/>
        <charset val="1"/>
      </rPr>
      <t>., which comprise the Balance Sheet as at 31st MARCH, 2026 and the Statement of Income and Expenditure for the year ended on that date, and a summary of significant accounting policies and other explanatory information incorporated in these financial statements of the Society audited by us for the period 1st April 2025 to 31st March 2026.</t>
    </r>
  </si>
  <si>
    <t>Chairman : Mr. Aicod Raja</t>
  </si>
  <si>
    <t>Mr. Aicod Raja</t>
  </si>
  <si>
    <t>Mrs. Nisha Fernandes</t>
  </si>
  <si>
    <t>Mrs. Shilpa Panchal</t>
  </si>
  <si>
    <t>Mr. Wilson D'silva</t>
  </si>
  <si>
    <t>19-04-2025, 20-05-2025, 17-06-2025, 28-07-2025, 17-08-2025, 19-09-2025, 17-10-2025, 15-11-2025, 12-12-2025, 05-01-2026, 11-02-2026, 27-03-2026</t>
  </si>
  <si>
    <t>The Managing Committee should review the Society’s normal petty cash requirements and fix/maintain the cash balance accordingly, strictly in accordance with the applicable provisions of the Maharashtra Co-operative Societies Act, 1960, Rules and the registered Bye-laws of the Society.</t>
  </si>
  <si>
    <t>(Deficit)  / Surplus     (Rs.)</t>
  </si>
  <si>
    <t>Share Capital, Reserve Fund, Sinking Fund Repairs Fund amount should be invested separately.  It has been suggested to keep investment amount to the extent of fund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</si>
</sst>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quot;-£&quot;#,##0"/>
    <numFmt numFmtId="165" formatCode="0.00_)"/>
    <numFmt numFmtId="166" formatCode="_(* #,##0.00_);_(* \(#,##0.00\);_(* \-??_);_(@_)"/>
    <numFmt numFmtId="167" formatCode="_([$€-2]* #,##0.00_);_([$€-2]* \(#,##0.00\);_([$€-2]* \-??_)"/>
    <numFmt numFmtId="168" formatCode="d\-mmm\-yyyy"/>
    <numFmt numFmtId="169" formatCode="[$-409]m/d/yyyy\ h:mm"/>
    <numFmt numFmtId="170" formatCode="&quot;Mumbai: &quot;dd&quot;th &quot;mmmm&quot;, &quot;yyyy"/>
    <numFmt numFmtId="171" formatCode="[$-409]m/d/yyyy"/>
    <numFmt numFmtId="172" formatCode="&quot;Mumbai: &quot;dd/mm/yyyy"/>
    <numFmt numFmtId="173" formatCode="[$-F800]dddd&quot;, &quot;mmmm\ dd&quot;, &quot;yyyy"/>
    <numFmt numFmtId="174" formatCode="dd/mmm/yyyy"/>
    <numFmt numFmtId="175" formatCode="dd\-mm\-yyyy"/>
    <numFmt numFmtId="176" formatCode="0_);\(0\)"/>
    <numFmt numFmtId="177" formatCode="_ * #,##0_ ;_ * \-#,##0_ ;_ * \-??_ ;_ @_ "/>
    <numFmt numFmtId="178" formatCode="_-* #,##0.00_-;\-* #,##0.00_-;_-* \-??_-;_-@_-"/>
    <numFmt numFmtId="179" formatCode="[$-409]#,##0.00_);\(#,##0.00\)"/>
    <numFmt numFmtId="180" formatCode="_ * #,##0.00_ ;_ * \-#,##0.00_ ;_ * \-??_ ;_ @_ "/>
    <numFmt numFmtId="181" formatCode="_(* #,##0_);_(* \(#,##0\);_(* \-??_);_(@_)"/>
    <numFmt numFmtId="182" formatCode="[$-409]d\-mmm\-yy"/>
  </numFmts>
  <fonts count="72" x14ac:knownFonts="1">
    <font>
      <sz val="12"/>
      <name val="Times New Roman"/>
      <charset val="1"/>
    </font>
    <font>
      <u/>
      <sz val="11"/>
      <color rgb="FF0000FF"/>
      <name val="Calibri"/>
      <family val="2"/>
      <charset val="1"/>
    </font>
    <font>
      <sz val="12"/>
      <name val="Times New Roman"/>
      <family val="1"/>
      <charset val="1"/>
    </font>
    <font>
      <sz val="10"/>
      <name val="Arial"/>
      <family val="2"/>
      <charset val="1"/>
    </font>
    <font>
      <sz val="11"/>
      <name val="Times New Roman"/>
      <family val="1"/>
      <charset val="1"/>
    </font>
    <font>
      <sz val="10"/>
      <color rgb="FF000000"/>
      <name val="MS Sans Serif"/>
      <family val="2"/>
      <charset val="1"/>
    </font>
    <font>
      <b/>
      <sz val="10"/>
      <name val="Arial"/>
      <family val="2"/>
      <charset val="1"/>
    </font>
    <font>
      <sz val="10"/>
      <name val="Times New Roman"/>
      <family val="1"/>
      <charset val="1"/>
    </font>
    <font>
      <sz val="14"/>
      <name val="Calibri"/>
      <family val="2"/>
      <charset val="1"/>
    </font>
    <font>
      <sz val="22"/>
      <name val="Arial Black"/>
      <family val="2"/>
      <charset val="1"/>
    </font>
    <font>
      <sz val="16"/>
      <name val="Arial Black"/>
      <family val="2"/>
      <charset val="1"/>
    </font>
    <font>
      <sz val="18"/>
      <name val="Arial Black"/>
      <family val="2"/>
      <charset val="1"/>
    </font>
    <font>
      <sz val="12"/>
      <name val="Arial"/>
      <family val="2"/>
      <charset val="1"/>
    </font>
    <font>
      <b/>
      <sz val="16"/>
      <name val="Arial"/>
      <family val="2"/>
      <charset val="1"/>
    </font>
    <font>
      <sz val="24"/>
      <name val="Cooper Black"/>
      <family val="1"/>
      <charset val="1"/>
    </font>
    <font>
      <b/>
      <sz val="12"/>
      <name val="Arial"/>
      <family val="2"/>
      <charset val="1"/>
    </font>
    <font>
      <sz val="22"/>
      <name val="Cooper Black"/>
      <family val="1"/>
      <charset val="1"/>
    </font>
    <font>
      <sz val="20"/>
      <name val="Franklin Gothic Demi Cond"/>
      <family val="2"/>
      <charset val="1"/>
    </font>
    <font>
      <b/>
      <sz val="10"/>
      <name val="Calibri"/>
      <family val="2"/>
      <charset val="1"/>
    </font>
    <font>
      <b/>
      <sz val="9"/>
      <name val="Times New Roman"/>
      <family val="1"/>
      <charset val="1"/>
    </font>
    <font>
      <sz val="8"/>
      <name val="Times New Roman"/>
      <family val="1"/>
      <charset val="1"/>
    </font>
    <font>
      <sz val="11"/>
      <name val="Calibri"/>
      <family val="2"/>
      <charset val="1"/>
    </font>
    <font>
      <i/>
      <sz val="11"/>
      <name val="Calibri"/>
      <family val="2"/>
      <charset val="1"/>
    </font>
    <font>
      <b/>
      <i/>
      <sz val="11"/>
      <name val="Calibri"/>
      <family val="2"/>
      <charset val="1"/>
    </font>
    <font>
      <sz val="11"/>
      <name val="Arial"/>
      <family val="2"/>
      <charset val="1"/>
    </font>
    <font>
      <b/>
      <sz val="11"/>
      <name val="Calibri"/>
      <family val="2"/>
      <charset val="1"/>
    </font>
    <font>
      <sz val="10"/>
      <name val="Impact"/>
      <family val="2"/>
      <charset val="1"/>
    </font>
    <font>
      <b/>
      <sz val="12"/>
      <name val="Verdana"/>
      <family val="2"/>
      <charset val="1"/>
    </font>
    <font>
      <sz val="8"/>
      <name val="Arial"/>
      <family val="2"/>
      <charset val="1"/>
    </font>
    <font>
      <b/>
      <sz val="11"/>
      <name val="Times New Roman"/>
      <family val="1"/>
      <charset val="1"/>
    </font>
    <font>
      <sz val="11"/>
      <color rgb="FFFF0000"/>
      <name val="Verdana"/>
      <family val="2"/>
      <charset val="1"/>
    </font>
    <font>
      <sz val="10"/>
      <color rgb="FFFF0000"/>
      <name val="Verdana"/>
      <family val="2"/>
      <charset val="1"/>
    </font>
    <font>
      <sz val="11"/>
      <color rgb="FFFF0000"/>
      <name val="Times New Roman"/>
      <family val="1"/>
      <charset val="1"/>
    </font>
    <font>
      <sz val="12"/>
      <name val="Calibri"/>
      <family val="2"/>
      <charset val="1"/>
    </font>
    <font>
      <b/>
      <sz val="12"/>
      <name val="Calibri"/>
      <family val="2"/>
      <charset val="1"/>
    </font>
    <font>
      <sz val="5"/>
      <name val="Calibri"/>
      <family val="2"/>
      <charset val="1"/>
    </font>
    <font>
      <u/>
      <sz val="11"/>
      <name val="Calibri"/>
      <family val="2"/>
      <charset val="1"/>
    </font>
    <font>
      <b/>
      <sz val="5"/>
      <name val="Calibri"/>
      <family val="2"/>
      <charset val="1"/>
    </font>
    <font>
      <b/>
      <u/>
      <sz val="11"/>
      <name val="Calibri"/>
      <family val="2"/>
      <charset val="1"/>
    </font>
    <font>
      <sz val="11"/>
      <color rgb="FF000000"/>
      <name val="Calibri"/>
      <family val="2"/>
      <charset val="1"/>
    </font>
    <font>
      <b/>
      <u/>
      <sz val="11"/>
      <color rgb="FF000000"/>
      <name val="Calibri"/>
      <family val="2"/>
      <charset val="1"/>
    </font>
    <font>
      <sz val="10"/>
      <name val="Calibri"/>
      <family val="2"/>
      <charset val="1"/>
    </font>
    <font>
      <b/>
      <sz val="11"/>
      <name val="Bookman Old Style"/>
      <family val="1"/>
      <charset val="1"/>
    </font>
    <font>
      <b/>
      <u/>
      <sz val="11"/>
      <name val="Arial"/>
      <family val="2"/>
      <charset val="1"/>
    </font>
    <font>
      <shadow/>
      <sz val="10"/>
      <name val="Calibri"/>
      <family val="2"/>
      <charset val="1"/>
    </font>
    <font>
      <b/>
      <sz val="10"/>
      <color rgb="FF000000"/>
      <name val="Calibri"/>
      <family val="2"/>
      <charset val="1"/>
    </font>
    <font>
      <sz val="10"/>
      <color rgb="FF000000"/>
      <name val="Calibri"/>
      <family val="2"/>
      <charset val="1"/>
    </font>
    <font>
      <sz val="10"/>
      <color rgb="FF333333"/>
      <name val="Arial"/>
      <family val="2"/>
      <charset val="1"/>
    </font>
    <font>
      <b/>
      <u/>
      <sz val="10"/>
      <name val="Calibri"/>
      <family val="2"/>
      <charset val="1"/>
    </font>
    <font>
      <b/>
      <sz val="14"/>
      <name val="Calibri"/>
      <family val="2"/>
      <charset val="1"/>
    </font>
    <font>
      <b/>
      <u/>
      <sz val="10"/>
      <color rgb="FF000000"/>
      <name val="Calibri"/>
      <family val="2"/>
      <charset val="1"/>
    </font>
    <font>
      <u/>
      <sz val="10"/>
      <name val="Calibri"/>
      <family val="2"/>
      <charset val="1"/>
    </font>
    <font>
      <b/>
      <sz val="12"/>
      <color rgb="FF000000"/>
      <name val="Calibri"/>
      <family val="2"/>
      <charset val="1"/>
    </font>
    <font>
      <sz val="10"/>
      <color rgb="FF000000"/>
      <name val="Arial"/>
      <family val="2"/>
      <charset val="1"/>
    </font>
    <font>
      <sz val="9"/>
      <name val="Calibri"/>
      <family val="2"/>
      <charset val="1"/>
    </font>
    <font>
      <b/>
      <sz val="9"/>
      <name val="Calibri"/>
      <family val="2"/>
      <charset val="1"/>
    </font>
    <font>
      <b/>
      <sz val="11"/>
      <color rgb="FF0000FF"/>
      <name val="Calibri"/>
      <family val="2"/>
      <charset val="1"/>
    </font>
    <font>
      <b/>
      <u/>
      <sz val="10"/>
      <name val="Times New Roman"/>
      <family val="1"/>
      <charset val="1"/>
    </font>
    <font>
      <sz val="9"/>
      <name val="Arial"/>
      <family val="2"/>
      <charset val="1"/>
    </font>
    <font>
      <b/>
      <sz val="11"/>
      <name val="Arial"/>
      <family val="2"/>
      <charset val="1"/>
    </font>
    <font>
      <sz val="11"/>
      <color rgb="FF333333"/>
      <name val="Calibri"/>
      <family val="2"/>
      <charset val="1"/>
    </font>
    <font>
      <b/>
      <sz val="12"/>
      <name val="Cambria"/>
      <charset val="1"/>
    </font>
    <font>
      <b/>
      <sz val="11"/>
      <name val="Cambria"/>
      <charset val="1"/>
    </font>
    <font>
      <sz val="12"/>
      <name val="Times New Roman"/>
      <charset val="1"/>
    </font>
    <font>
      <b/>
      <sz val="11"/>
      <name val="Calibri"/>
      <family val="2"/>
    </font>
    <font>
      <sz val="10"/>
      <name val="Arial"/>
      <family val="2"/>
    </font>
    <font>
      <b/>
      <sz val="22"/>
      <name val="Arial Black"/>
      <family val="2"/>
    </font>
    <font>
      <b/>
      <sz val="10"/>
      <name val="Arial"/>
      <family val="2"/>
      <scheme val="minor"/>
    </font>
    <font>
      <sz val="10"/>
      <name val="Arial"/>
      <family val="2"/>
      <scheme val="minor"/>
    </font>
    <font>
      <sz val="10"/>
      <name val="Calibri"/>
      <family val="2"/>
    </font>
    <font>
      <b/>
      <sz val="10"/>
      <name val="Calibri"/>
      <family val="2"/>
    </font>
    <font>
      <sz val="12"/>
      <name val="Calibri"/>
      <family val="2"/>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42">
    <border>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s>
  <cellStyleXfs count="28">
    <xf numFmtId="0" fontId="0" fillId="0" borderId="0"/>
    <xf numFmtId="164" fontId="63" fillId="0" borderId="0"/>
    <xf numFmtId="165" fontId="63" fillId="0" borderId="0"/>
    <xf numFmtId="165" fontId="63" fillId="0" borderId="0"/>
    <xf numFmtId="166" fontId="63" fillId="0" borderId="0"/>
    <xf numFmtId="166" fontId="63" fillId="0" borderId="0"/>
    <xf numFmtId="166" fontId="63" fillId="0" borderId="0"/>
    <xf numFmtId="167" fontId="63" fillId="0" borderId="0"/>
    <xf numFmtId="0" fontId="1"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4" fillId="0" borderId="0"/>
    <xf numFmtId="0" fontId="3" fillId="0" borderId="0"/>
    <xf numFmtId="0" fontId="5" fillId="0" borderId="0"/>
    <xf numFmtId="0" fontId="3" fillId="0" borderId="0"/>
    <xf numFmtId="0" fontId="3" fillId="0" borderId="0"/>
    <xf numFmtId="0" fontId="4" fillId="0" borderId="0"/>
    <xf numFmtId="0" fontId="3" fillId="0" borderId="0"/>
    <xf numFmtId="0" fontId="3" fillId="0" borderId="0"/>
    <xf numFmtId="0" fontId="3" fillId="0" borderId="0"/>
    <xf numFmtId="0" fontId="65" fillId="0" borderId="0"/>
    <xf numFmtId="0" fontId="65" fillId="0" borderId="0"/>
  </cellStyleXfs>
  <cellXfs count="642">
    <xf numFmtId="0" fontId="0" fillId="0" borderId="0" xfId="0"/>
    <xf numFmtId="0" fontId="7" fillId="0" borderId="0" xfId="0" applyFont="1" applyAlignment="1">
      <alignment horizontal="left" vertical="center" wrapText="1"/>
    </xf>
    <xf numFmtId="0" fontId="3" fillId="0" borderId="0" xfId="0" applyFont="1"/>
    <xf numFmtId="0" fontId="3" fillId="0" borderId="1" xfId="0" applyFont="1" applyBorder="1"/>
    <xf numFmtId="0" fontId="3" fillId="0" borderId="2" xfId="0" applyFont="1" applyBorder="1"/>
    <xf numFmtId="0" fontId="6" fillId="0" borderId="0" xfId="0" applyFont="1"/>
    <xf numFmtId="0" fontId="3" fillId="0" borderId="3" xfId="0" applyFont="1" applyBorder="1"/>
    <xf numFmtId="0" fontId="7" fillId="0" borderId="0" xfId="0" applyFont="1"/>
    <xf numFmtId="168" fontId="3" fillId="0" borderId="0" xfId="0" applyNumberFormat="1" applyFont="1"/>
    <xf numFmtId="0" fontId="8" fillId="0" borderId="0" xfId="0" applyFont="1" applyAlignment="1">
      <alignment horizontal="left" vertical="top" indent="4"/>
    </xf>
    <xf numFmtId="0" fontId="3"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horizontal="left" indent="4"/>
    </xf>
    <xf numFmtId="0" fontId="3" fillId="0" borderId="0" xfId="0" applyFont="1" applyAlignment="1">
      <alignment horizontal="left" vertical="center"/>
    </xf>
    <xf numFmtId="169" fontId="4" fillId="0" borderId="0" xfId="0" applyNumberFormat="1" applyFont="1" applyAlignment="1">
      <alignment horizontal="left"/>
    </xf>
    <xf numFmtId="0" fontId="7" fillId="0" borderId="0" xfId="0" applyFont="1" applyAlignment="1">
      <alignment horizontal="left"/>
    </xf>
    <xf numFmtId="168" fontId="3" fillId="2" borderId="0" xfId="0" applyNumberFormat="1" applyFont="1" applyFill="1"/>
    <xf numFmtId="0" fontId="3" fillId="2" borderId="0" xfId="0" applyFont="1" applyFill="1"/>
    <xf numFmtId="168" fontId="3" fillId="2" borderId="0" xfId="0" applyNumberFormat="1" applyFont="1" applyFill="1" applyAlignment="1">
      <alignment horizontal="left"/>
    </xf>
    <xf numFmtId="171" fontId="3" fillId="0" borderId="0" xfId="0" applyNumberFormat="1" applyFont="1"/>
    <xf numFmtId="0" fontId="3" fillId="2" borderId="0" xfId="0" applyFont="1" applyFill="1" applyAlignment="1">
      <alignment horizontal="center" vertical="top"/>
    </xf>
    <xf numFmtId="171" fontId="3" fillId="2" borderId="0" xfId="0" applyNumberFormat="1" applyFont="1" applyFill="1"/>
    <xf numFmtId="0" fontId="3" fillId="2" borderId="0" xfId="0" applyFont="1" applyFill="1" applyAlignment="1">
      <alignment horizontal="center"/>
    </xf>
    <xf numFmtId="0" fontId="3" fillId="0" borderId="4" xfId="0" applyFont="1" applyBorder="1"/>
    <xf numFmtId="0" fontId="3" fillId="0" borderId="5"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22" applyFont="1"/>
    <xf numFmtId="0" fontId="2" fillId="0" borderId="9" xfId="22" applyFont="1" applyBorder="1"/>
    <xf numFmtId="0" fontId="2" fillId="0" borderId="10" xfId="22" applyFont="1" applyBorder="1"/>
    <xf numFmtId="0" fontId="12" fillId="0" borderId="9" xfId="0" applyFont="1" applyBorder="1" applyAlignment="1">
      <alignment vertical="center" wrapText="1"/>
    </xf>
    <xf numFmtId="0" fontId="12" fillId="0" borderId="0" xfId="0" applyFont="1" applyAlignment="1">
      <alignment vertical="center" wrapText="1"/>
    </xf>
    <xf numFmtId="0" fontId="12" fillId="0" borderId="10" xfId="0" applyFont="1" applyBorder="1" applyAlignment="1">
      <alignment vertical="center" wrapText="1"/>
    </xf>
    <xf numFmtId="0" fontId="0" fillId="0" borderId="12" xfId="0" applyBorder="1"/>
    <xf numFmtId="0" fontId="0" fillId="0" borderId="13" xfId="0" applyBorder="1"/>
    <xf numFmtId="0" fontId="0" fillId="0" borderId="14" xfId="0" applyBorder="1"/>
    <xf numFmtId="0" fontId="4" fillId="0" borderId="0" xfId="0" applyFont="1"/>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19" fillId="0" borderId="0" xfId="0" applyFont="1" applyAlignment="1">
      <alignment horizontal="center" vertical="center"/>
    </xf>
    <xf numFmtId="0" fontId="3" fillId="0" borderId="0" xfId="0" applyFont="1" applyAlignment="1">
      <alignment horizontal="center"/>
    </xf>
    <xf numFmtId="0" fontId="20" fillId="0" borderId="0" xfId="0" applyFont="1" applyAlignment="1">
      <alignment horizontal="center"/>
    </xf>
    <xf numFmtId="0" fontId="21" fillId="0" borderId="0" xfId="0" applyFont="1" applyAlignment="1">
      <alignment horizontal="left" vertical="top"/>
    </xf>
    <xf numFmtId="0" fontId="21" fillId="0" borderId="0" xfId="0" applyFont="1" applyAlignment="1">
      <alignment horizontal="center" vertical="top"/>
    </xf>
    <xf numFmtId="0" fontId="21" fillId="0" borderId="0" xfId="0" applyFont="1" applyAlignment="1">
      <alignment horizontal="center"/>
    </xf>
    <xf numFmtId="169" fontId="4" fillId="0" borderId="0" xfId="0" applyNumberFormat="1" applyFont="1"/>
    <xf numFmtId="0" fontId="22" fillId="0" borderId="0" xfId="0" applyFont="1"/>
    <xf numFmtId="0" fontId="21" fillId="0" borderId="0" xfId="0" applyFont="1"/>
    <xf numFmtId="0" fontId="6" fillId="0" borderId="0" xfId="0" applyFont="1" applyAlignment="1">
      <alignment vertical="center"/>
    </xf>
    <xf numFmtId="0" fontId="21" fillId="0" borderId="0" xfId="0" applyFont="1" applyAlignment="1">
      <alignment horizontal="justify" vertical="top" wrapText="1"/>
    </xf>
    <xf numFmtId="0" fontId="24" fillId="0" borderId="0" xfId="0" applyFont="1"/>
    <xf numFmtId="1" fontId="25" fillId="0" borderId="0" xfId="0" applyNumberFormat="1" applyFont="1"/>
    <xf numFmtId="1" fontId="21" fillId="0" borderId="0" xfId="0" applyNumberFormat="1" applyFont="1"/>
    <xf numFmtId="0" fontId="21" fillId="0" borderId="0" xfId="0" applyFont="1" applyAlignment="1">
      <alignment vertical="center"/>
    </xf>
    <xf numFmtId="170" fontId="21" fillId="0" borderId="0" xfId="0" applyNumberFormat="1" applyFont="1" applyAlignment="1">
      <alignment horizontal="left" vertical="center"/>
    </xf>
    <xf numFmtId="172" fontId="3" fillId="0" borderId="0" xfId="0" applyNumberFormat="1" applyFont="1" applyAlignment="1">
      <alignment horizontal="left"/>
    </xf>
    <xf numFmtId="0" fontId="4" fillId="0" borderId="12" xfId="0" applyFont="1" applyBorder="1"/>
    <xf numFmtId="0" fontId="21" fillId="0" borderId="13" xfId="0" applyFont="1" applyBorder="1"/>
    <xf numFmtId="170" fontId="21" fillId="0" borderId="13" xfId="0" applyNumberFormat="1" applyFont="1" applyBorder="1" applyAlignment="1">
      <alignment horizontal="left" vertical="center"/>
    </xf>
    <xf numFmtId="0" fontId="4" fillId="0" borderId="14" xfId="0" applyFont="1" applyBorder="1"/>
    <xf numFmtId="170" fontId="4" fillId="0" borderId="0" xfId="0" applyNumberFormat="1" applyFont="1" applyAlignment="1">
      <alignment horizontal="left" vertical="center"/>
    </xf>
    <xf numFmtId="0" fontId="3" fillId="0" borderId="0" xfId="23" applyAlignment="1">
      <alignment horizontal="center"/>
    </xf>
    <xf numFmtId="0" fontId="20" fillId="0" borderId="0" xfId="23" applyFont="1" applyAlignment="1">
      <alignment horizontal="center"/>
    </xf>
    <xf numFmtId="0" fontId="21" fillId="0" borderId="0" xfId="23" applyFont="1" applyAlignment="1">
      <alignment horizontal="left" vertical="top"/>
    </xf>
    <xf numFmtId="0" fontId="21" fillId="0" borderId="0" xfId="23" applyFont="1" applyAlignment="1">
      <alignment horizontal="center" vertical="top"/>
    </xf>
    <xf numFmtId="0" fontId="21" fillId="0" borderId="0" xfId="23" applyFont="1" applyAlignment="1">
      <alignment horizontal="center"/>
    </xf>
    <xf numFmtId="0" fontId="0" fillId="0" borderId="0" xfId="0" applyAlignment="1">
      <alignment vertical="top" wrapText="1"/>
    </xf>
    <xf numFmtId="0" fontId="22" fillId="0" borderId="0" xfId="23" applyFont="1"/>
    <xf numFmtId="0" fontId="21" fillId="0" borderId="0" xfId="23" applyFont="1"/>
    <xf numFmtId="0" fontId="25" fillId="0" borderId="0" xfId="23" applyFont="1" applyAlignment="1">
      <alignment horizontal="center" vertical="center"/>
    </xf>
    <xf numFmtId="0" fontId="25" fillId="0" borderId="0" xfId="23" applyFont="1" applyAlignment="1">
      <alignment horizontal="left" vertical="center"/>
    </xf>
    <xf numFmtId="0" fontId="21" fillId="0" borderId="0" xfId="23" applyFont="1" applyAlignment="1">
      <alignment horizontal="center" vertical="center"/>
    </xf>
    <xf numFmtId="0" fontId="29" fillId="0" borderId="0" xfId="0" applyFont="1"/>
    <xf numFmtId="49" fontId="21" fillId="0" borderId="0" xfId="0" applyNumberFormat="1" applyFont="1" applyAlignment="1">
      <alignment horizontal="right" vertical="top" wrapText="1"/>
    </xf>
    <xf numFmtId="0" fontId="21" fillId="0" borderId="0" xfId="23" applyFont="1" applyAlignment="1">
      <alignment horizontal="justify" vertical="top" wrapText="1"/>
    </xf>
    <xf numFmtId="0" fontId="4" fillId="0" borderId="0" xfId="0" applyFont="1" applyAlignment="1">
      <alignment vertical="top"/>
    </xf>
    <xf numFmtId="0" fontId="21" fillId="0" borderId="0" xfId="23" applyFont="1" applyAlignment="1">
      <alignment horizontal="right"/>
    </xf>
    <xf numFmtId="0" fontId="25" fillId="0" borderId="0" xfId="23" applyFont="1"/>
    <xf numFmtId="0" fontId="21" fillId="0" borderId="0" xfId="0" applyFont="1" applyAlignment="1">
      <alignment horizontal="right" vertical="top" wrapText="1"/>
    </xf>
    <xf numFmtId="49" fontId="21" fillId="0" borderId="13" xfId="0" applyNumberFormat="1" applyFont="1" applyBorder="1" applyAlignment="1">
      <alignment horizontal="right" vertical="top" wrapText="1"/>
    </xf>
    <xf numFmtId="0" fontId="21" fillId="0" borderId="13" xfId="23" applyFont="1" applyBorder="1" applyAlignment="1">
      <alignment horizontal="justify" vertical="top" wrapText="1"/>
    </xf>
    <xf numFmtId="0" fontId="21" fillId="0" borderId="0" xfId="0" applyFont="1" applyAlignment="1">
      <alignment horizontal="center" vertical="top" wrapText="1"/>
    </xf>
    <xf numFmtId="49" fontId="21" fillId="0" borderId="0" xfId="23" applyNumberFormat="1" applyFont="1" applyAlignment="1">
      <alignment horizontal="right" vertical="center"/>
    </xf>
    <xf numFmtId="0" fontId="21" fillId="0" borderId="0" xfId="23" applyFont="1" applyAlignment="1">
      <alignment horizontal="justify" vertical="center" wrapText="1"/>
    </xf>
    <xf numFmtId="49" fontId="21" fillId="0" borderId="0" xfId="23" applyNumberFormat="1" applyFont="1" applyAlignment="1">
      <alignment horizontal="right"/>
    </xf>
    <xf numFmtId="0" fontId="31" fillId="0" borderId="0" xfId="23" applyFont="1" applyAlignment="1">
      <alignment vertical="center" wrapText="1"/>
    </xf>
    <xf numFmtId="0" fontId="31" fillId="0" borderId="10" xfId="23" applyFont="1" applyBorder="1" applyAlignment="1">
      <alignment vertical="center" wrapText="1"/>
    </xf>
    <xf numFmtId="0" fontId="21" fillId="0" borderId="0" xfId="23" applyFont="1" applyAlignment="1">
      <alignment horizontal="center" wrapText="1"/>
    </xf>
    <xf numFmtId="0" fontId="21" fillId="0" borderId="0" xfId="23" applyFont="1" applyAlignment="1">
      <alignment horizontal="justify" wrapText="1"/>
    </xf>
    <xf numFmtId="0" fontId="21" fillId="0" borderId="0" xfId="23" applyFont="1" applyAlignment="1">
      <alignment horizontal="right" wrapText="1"/>
    </xf>
    <xf numFmtId="49" fontId="21" fillId="0" borderId="0" xfId="23" applyNumberFormat="1" applyFont="1" applyAlignment="1">
      <alignment horizontal="center" vertical="top"/>
    </xf>
    <xf numFmtId="0" fontId="32" fillId="0" borderId="0" xfId="0" applyFont="1"/>
    <xf numFmtId="0" fontId="4" fillId="0" borderId="10" xfId="23" applyFont="1" applyBorder="1"/>
    <xf numFmtId="170" fontId="21" fillId="0" borderId="0" xfId="23" applyNumberFormat="1" applyFont="1" applyAlignment="1">
      <alignment horizontal="left" vertical="center"/>
    </xf>
    <xf numFmtId="0" fontId="33" fillId="0" borderId="0" xfId="0" applyFont="1"/>
    <xf numFmtId="170" fontId="33" fillId="0" borderId="0" xfId="23" applyNumberFormat="1" applyFont="1" applyAlignment="1">
      <alignment horizontal="left" vertical="center"/>
    </xf>
    <xf numFmtId="170" fontId="21" fillId="0" borderId="13" xfId="23" applyNumberFormat="1" applyFont="1" applyBorder="1" applyAlignment="1">
      <alignment horizontal="left" vertical="center"/>
    </xf>
    <xf numFmtId="170" fontId="4" fillId="0" borderId="0" xfId="23" applyNumberFormat="1" applyFont="1" applyAlignment="1">
      <alignment horizontal="left" vertical="center"/>
    </xf>
    <xf numFmtId="0" fontId="0" fillId="0" borderId="0" xfId="0" applyAlignment="1">
      <alignment vertical="center"/>
    </xf>
    <xf numFmtId="0" fontId="0" fillId="0" borderId="0" xfId="0" applyAlignment="1">
      <alignment horizontal="center" vertical="top"/>
    </xf>
    <xf numFmtId="0" fontId="34" fillId="0" borderId="0" xfId="0" applyFont="1" applyAlignment="1">
      <alignment horizontal="center" vertical="center" wrapText="1"/>
    </xf>
    <xf numFmtId="0" fontId="33" fillId="0" borderId="0" xfId="0" applyFont="1" applyAlignment="1">
      <alignment vertical="center"/>
    </xf>
    <xf numFmtId="0" fontId="34" fillId="0" borderId="15"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14" xfId="0" applyFont="1" applyBorder="1" applyAlignment="1">
      <alignment horizontal="center" vertical="top" wrapText="1"/>
    </xf>
    <xf numFmtId="0" fontId="25" fillId="0" borderId="15" xfId="0" applyFont="1" applyBorder="1" applyAlignment="1">
      <alignment horizontal="center" vertical="center" wrapText="1"/>
    </xf>
    <xf numFmtId="0" fontId="34" fillId="0" borderId="15" xfId="0" applyFont="1" applyBorder="1" applyAlignment="1">
      <alignment vertical="center" wrapText="1"/>
    </xf>
    <xf numFmtId="0" fontId="21" fillId="0" borderId="14" xfId="0" applyFont="1" applyBorder="1" applyAlignment="1">
      <alignment horizontal="center" vertical="center" wrapText="1"/>
    </xf>
    <xf numFmtId="0" fontId="25" fillId="0" borderId="14" xfId="0" applyFont="1" applyBorder="1" applyAlignment="1">
      <alignment vertical="center" wrapText="1"/>
    </xf>
    <xf numFmtId="0" fontId="21" fillId="0" borderId="10" xfId="0" applyFont="1" applyBorder="1" applyAlignment="1">
      <alignment vertical="center" wrapText="1"/>
    </xf>
    <xf numFmtId="0" fontId="21" fillId="0" borderId="17" xfId="0" applyFont="1" applyBorder="1" applyAlignment="1">
      <alignment horizontal="center" vertical="top" wrapText="1"/>
    </xf>
    <xf numFmtId="0" fontId="21" fillId="0" borderId="14" xfId="0" applyFont="1" applyBorder="1" applyAlignment="1">
      <alignment vertical="center" wrapText="1"/>
    </xf>
    <xf numFmtId="173" fontId="21" fillId="0" borderId="15" xfId="0" applyNumberFormat="1" applyFont="1" applyBorder="1" applyAlignment="1">
      <alignment horizontal="center" vertical="top" wrapText="1"/>
    </xf>
    <xf numFmtId="0" fontId="21" fillId="0" borderId="15" xfId="0" applyFont="1" applyBorder="1" applyAlignment="1">
      <alignment vertical="center" wrapText="1"/>
    </xf>
    <xf numFmtId="0" fontId="21" fillId="0" borderId="14" xfId="0" applyFont="1" applyBorder="1" applyAlignment="1">
      <alignment horizontal="center" vertical="top" wrapText="1"/>
    </xf>
    <xf numFmtId="0" fontId="25" fillId="0" borderId="10" xfId="0" applyFont="1" applyBorder="1" applyAlignment="1">
      <alignment horizontal="center" vertical="top" wrapText="1"/>
    </xf>
    <xf numFmtId="0" fontId="21" fillId="0" borderId="14" xfId="0" applyFont="1" applyBorder="1" applyAlignment="1">
      <alignment horizontal="justify" vertical="center" wrapText="1"/>
    </xf>
    <xf numFmtId="0" fontId="34" fillId="0" borderId="16" xfId="0" applyFont="1" applyBorder="1" applyAlignment="1">
      <alignment vertical="center" wrapText="1"/>
    </xf>
    <xf numFmtId="0" fontId="21" fillId="0" borderId="10" xfId="0" applyFont="1" applyBorder="1" applyAlignment="1">
      <alignment horizontal="justify" vertical="center" wrapText="1"/>
    </xf>
    <xf numFmtId="0" fontId="35" fillId="0" borderId="14" xfId="0" applyFont="1" applyBorder="1" applyAlignment="1">
      <alignment horizontal="justify" vertical="center" wrapText="1"/>
    </xf>
    <xf numFmtId="0" fontId="21" fillId="0" borderId="17" xfId="0" applyFont="1" applyBorder="1" applyAlignment="1">
      <alignment vertical="top" wrapText="1"/>
    </xf>
    <xf numFmtId="0" fontId="21" fillId="0" borderId="11" xfId="0" applyFont="1" applyBorder="1" applyAlignment="1">
      <alignment horizontal="center" vertical="top" wrapText="1"/>
    </xf>
    <xf numFmtId="0" fontId="21" fillId="0" borderId="15" xfId="0" applyFont="1" applyBorder="1" applyAlignment="1">
      <alignment horizontal="center" vertical="top" wrapText="1"/>
    </xf>
    <xf numFmtId="0" fontId="34" fillId="0" borderId="9" xfId="0" applyFont="1" applyBorder="1" applyAlignment="1">
      <alignment horizontal="center" vertical="center" wrapText="1"/>
    </xf>
    <xf numFmtId="0" fontId="34" fillId="0" borderId="0" xfId="0" applyFont="1" applyAlignment="1">
      <alignment horizontal="center" vertical="top" wrapText="1"/>
    </xf>
    <xf numFmtId="0" fontId="25" fillId="0" borderId="10" xfId="0" applyFont="1" applyBorder="1" applyAlignment="1">
      <alignment horizontal="center" vertical="center" wrapText="1"/>
    </xf>
    <xf numFmtId="0" fontId="25" fillId="0" borderId="10" xfId="0" applyFont="1" applyBorder="1" applyAlignment="1">
      <alignment horizontal="justify" vertical="center" wrapText="1"/>
    </xf>
    <xf numFmtId="0" fontId="21" fillId="0" borderId="10" xfId="0" applyFont="1" applyBorder="1" applyAlignment="1">
      <alignment horizontal="center" vertical="center" wrapText="1"/>
    </xf>
    <xf numFmtId="174" fontId="21" fillId="0" borderId="11" xfId="0" applyNumberFormat="1" applyFont="1" applyBorder="1" applyAlignment="1">
      <alignment horizontal="center" vertical="top" wrapText="1"/>
    </xf>
    <xf numFmtId="0" fontId="36" fillId="0" borderId="10" xfId="0" applyFont="1" applyBorder="1" applyAlignment="1">
      <alignment horizontal="justify" vertical="center" wrapText="1"/>
    </xf>
    <xf numFmtId="0" fontId="21" fillId="0" borderId="11" xfId="0" applyFont="1" applyBorder="1" applyAlignment="1">
      <alignment vertical="top" wrapText="1"/>
    </xf>
    <xf numFmtId="0" fontId="33" fillId="0" borderId="10" xfId="0" applyFont="1" applyBorder="1" applyAlignment="1">
      <alignment vertical="center" wrapText="1"/>
    </xf>
    <xf numFmtId="0" fontId="33" fillId="0" borderId="14" xfId="0" applyFont="1" applyBorder="1" applyAlignment="1">
      <alignment vertical="center" wrapText="1"/>
    </xf>
    <xf numFmtId="0" fontId="21" fillId="0" borderId="15" xfId="0" applyFont="1" applyBorder="1" applyAlignment="1">
      <alignment vertical="top" wrapText="1"/>
    </xf>
    <xf numFmtId="0" fontId="25" fillId="0" borderId="14" xfId="0" applyFont="1" applyBorder="1" applyAlignment="1">
      <alignment horizontal="justify" vertical="center" wrapText="1"/>
    </xf>
    <xf numFmtId="0" fontId="21" fillId="0" borderId="10" xfId="0" applyFont="1" applyBorder="1" applyAlignment="1">
      <alignment horizontal="center" vertical="top" wrapText="1"/>
    </xf>
    <xf numFmtId="0" fontId="39" fillId="0" borderId="14" xfId="0" applyFont="1" applyBorder="1" applyAlignment="1">
      <alignment horizontal="justify" vertical="center" wrapText="1"/>
    </xf>
    <xf numFmtId="0" fontId="21" fillId="0" borderId="18" xfId="0" applyFont="1" applyBorder="1" applyAlignment="1">
      <alignment horizontal="center" vertical="center" wrapText="1"/>
    </xf>
    <xf numFmtId="0" fontId="21" fillId="0" borderId="18" xfId="0" applyFont="1" applyBorder="1" applyAlignment="1">
      <alignment horizontal="justify" vertical="center" wrapText="1"/>
    </xf>
    <xf numFmtId="0" fontId="21" fillId="0" borderId="18" xfId="0" applyFont="1" applyBorder="1" applyAlignment="1">
      <alignment horizontal="center" vertical="top" wrapText="1"/>
    </xf>
    <xf numFmtId="0" fontId="21" fillId="0" borderId="0" xfId="0" applyFont="1" applyAlignment="1">
      <alignment vertical="center" wrapText="1"/>
    </xf>
    <xf numFmtId="0" fontId="33" fillId="0" borderId="0" xfId="0" applyFont="1" applyAlignment="1">
      <alignment horizontal="center" vertical="top"/>
    </xf>
    <xf numFmtId="0" fontId="34" fillId="0" borderId="0" xfId="0" applyFont="1" applyAlignment="1">
      <alignment horizontal="center" vertical="top"/>
    </xf>
    <xf numFmtId="170" fontId="7" fillId="0" borderId="0" xfId="0" applyNumberFormat="1" applyFont="1" applyAlignment="1">
      <alignment horizontal="center" vertical="top"/>
    </xf>
    <xf numFmtId="170" fontId="7" fillId="0" borderId="0" xfId="0" applyNumberFormat="1" applyFont="1"/>
    <xf numFmtId="0" fontId="21" fillId="0" borderId="21" xfId="0" applyFont="1" applyBorder="1" applyAlignment="1">
      <alignment horizontal="center" wrapText="1"/>
    </xf>
    <xf numFmtId="0" fontId="21" fillId="0" borderId="21" xfId="0" applyFont="1" applyBorder="1" applyAlignment="1">
      <alignment horizontal="center" vertical="top" wrapText="1"/>
    </xf>
    <xf numFmtId="0" fontId="34" fillId="0" borderId="22" xfId="0" applyFont="1" applyBorder="1" applyAlignment="1">
      <alignment horizontal="center" vertical="top" wrapText="1"/>
    </xf>
    <xf numFmtId="0" fontId="21" fillId="0" borderId="22" xfId="0" applyFont="1" applyBorder="1" applyAlignment="1">
      <alignment horizontal="center" vertical="top" wrapText="1"/>
    </xf>
    <xf numFmtId="0" fontId="21" fillId="0" borderId="22" xfId="0" applyFont="1" applyBorder="1" applyAlignment="1">
      <alignment horizontal="justify" vertical="top" wrapText="1"/>
    </xf>
    <xf numFmtId="0" fontId="25" fillId="0" borderId="22" xfId="0" applyFont="1" applyBorder="1" applyAlignment="1">
      <alignment horizontal="center" vertical="top" wrapText="1"/>
    </xf>
    <xf numFmtId="0" fontId="21" fillId="0" borderId="23" xfId="0" applyFont="1" applyBorder="1" applyAlignment="1">
      <alignment vertical="top" wrapText="1"/>
    </xf>
    <xf numFmtId="0" fontId="21" fillId="0" borderId="23" xfId="0" applyFont="1" applyBorder="1" applyAlignment="1">
      <alignment horizontal="center" vertical="top" wrapText="1"/>
    </xf>
    <xf numFmtId="0" fontId="21" fillId="0" borderId="23" xfId="0" applyFont="1" applyBorder="1" applyAlignment="1">
      <alignment horizontal="justify" vertical="top" wrapText="1"/>
    </xf>
    <xf numFmtId="0" fontId="34" fillId="0" borderId="23" xfId="0" applyFont="1" applyBorder="1" applyAlignment="1">
      <alignment horizontal="center" vertical="top" wrapText="1"/>
    </xf>
    <xf numFmtId="0" fontId="33" fillId="0" borderId="23" xfId="0" applyFont="1" applyBorder="1" applyAlignment="1">
      <alignment horizontal="center" vertical="top" wrapText="1"/>
    </xf>
    <xf numFmtId="0" fontId="25" fillId="0" borderId="23" xfId="0" applyFont="1" applyBorder="1" applyAlignment="1">
      <alignment horizontal="center" vertical="top" wrapText="1"/>
    </xf>
    <xf numFmtId="0" fontId="25" fillId="0" borderId="26" xfId="0" applyFont="1" applyBorder="1" applyAlignment="1">
      <alignment horizontal="center"/>
    </xf>
    <xf numFmtId="0" fontId="25" fillId="0" borderId="0" xfId="0" applyFont="1" applyAlignment="1">
      <alignment horizontal="center"/>
    </xf>
    <xf numFmtId="0" fontId="25" fillId="0" borderId="3" xfId="0" applyFont="1" applyBorder="1" applyAlignment="1">
      <alignment horizontal="center"/>
    </xf>
    <xf numFmtId="0" fontId="25" fillId="0" borderId="26" xfId="0" applyFont="1" applyBorder="1"/>
    <xf numFmtId="0" fontId="25" fillId="0" borderId="0" xfId="0" applyFont="1"/>
    <xf numFmtId="168" fontId="21" fillId="0" borderId="0" xfId="0" applyNumberFormat="1" applyFont="1" applyAlignment="1">
      <alignment vertical="center"/>
    </xf>
    <xf numFmtId="0" fontId="21" fillId="0" borderId="3" xfId="0" applyFont="1" applyBorder="1"/>
    <xf numFmtId="0" fontId="21" fillId="0" borderId="26" xfId="0" applyFont="1" applyBorder="1"/>
    <xf numFmtId="0" fontId="42" fillId="0" borderId="0" xfId="21" applyFont="1"/>
    <xf numFmtId="0" fontId="2" fillId="0" borderId="0" xfId="21" applyFont="1"/>
    <xf numFmtId="0" fontId="43" fillId="0" borderId="0" xfId="21" applyFont="1" applyAlignment="1">
      <alignment horizontal="justify"/>
    </xf>
    <xf numFmtId="0" fontId="21" fillId="0" borderId="27" xfId="0" applyFont="1" applyBorder="1"/>
    <xf numFmtId="0" fontId="21" fillId="0" borderId="4" xfId="0" applyFont="1" applyBorder="1"/>
    <xf numFmtId="0" fontId="21" fillId="0" borderId="5" xfId="0" applyFont="1" applyBorder="1"/>
    <xf numFmtId="0" fontId="21" fillId="0" borderId="28" xfId="0" applyFont="1" applyBorder="1"/>
    <xf numFmtId="0" fontId="21" fillId="0" borderId="1" xfId="0" applyFont="1" applyBorder="1"/>
    <xf numFmtId="0" fontId="21" fillId="0" borderId="2" xfId="0" applyFont="1" applyBorder="1"/>
    <xf numFmtId="0" fontId="41" fillId="0" borderId="0" xfId="23" applyFont="1"/>
    <xf numFmtId="0" fontId="34" fillId="0" borderId="0" xfId="23" applyFont="1"/>
    <xf numFmtId="168" fontId="18" fillId="0" borderId="0" xfId="23" applyNumberFormat="1" applyFont="1" applyAlignment="1">
      <alignment horizontal="center"/>
    </xf>
    <xf numFmtId="0" fontId="21" fillId="0" borderId="0" xfId="23" applyFont="1" applyAlignment="1">
      <alignment horizontal="justify" vertical="top"/>
    </xf>
    <xf numFmtId="0" fontId="41" fillId="0" borderId="0" xfId="23" applyFont="1" applyAlignment="1">
      <alignment horizontal="justify" vertical="top"/>
    </xf>
    <xf numFmtId="0" fontId="25" fillId="0" borderId="0" xfId="23" applyFont="1" applyAlignment="1">
      <alignment horizontal="left" vertical="top"/>
    </xf>
    <xf numFmtId="0" fontId="41" fillId="0" borderId="0" xfId="23" applyFont="1" applyAlignment="1">
      <alignment horizontal="center" vertical="top"/>
    </xf>
    <xf numFmtId="0" fontId="41" fillId="0" borderId="0" xfId="23" applyFont="1" applyAlignment="1">
      <alignment vertical="top"/>
    </xf>
    <xf numFmtId="0" fontId="41" fillId="0" borderId="0" xfId="23" applyFont="1" applyAlignment="1">
      <alignment horizontal="left" vertical="top"/>
    </xf>
    <xf numFmtId="0" fontId="44" fillId="0" borderId="0" xfId="23" applyFont="1"/>
    <xf numFmtId="0" fontId="18" fillId="0" borderId="23" xfId="23" applyFont="1" applyBorder="1" applyAlignment="1">
      <alignment horizontal="center" vertical="top" wrapText="1"/>
    </xf>
    <xf numFmtId="0" fontId="41" fillId="0" borderId="23" xfId="23" applyFont="1" applyBorder="1" applyAlignment="1">
      <alignment horizontal="center" vertical="top" wrapText="1"/>
    </xf>
    <xf numFmtId="0" fontId="41" fillId="0" borderId="0" xfId="23" applyFont="1" applyAlignment="1">
      <alignment vertical="top" wrapText="1"/>
    </xf>
    <xf numFmtId="0" fontId="41" fillId="0" borderId="0" xfId="23" applyFont="1" applyAlignment="1">
      <alignment horizontal="center" vertical="top" wrapText="1"/>
    </xf>
    <xf numFmtId="0" fontId="41" fillId="0" borderId="0" xfId="23" applyFont="1" applyAlignment="1">
      <alignment horizontal="justify" vertical="top" wrapText="1"/>
    </xf>
    <xf numFmtId="0" fontId="38" fillId="0" borderId="0" xfId="23" applyFont="1" applyAlignment="1">
      <alignment horizontal="left" vertical="top"/>
    </xf>
    <xf numFmtId="0" fontId="18" fillId="0" borderId="29" xfId="23" applyFont="1" applyBorder="1" applyAlignment="1">
      <alignment horizontal="center" vertical="top" wrapText="1"/>
    </xf>
    <xf numFmtId="0" fontId="18" fillId="0" borderId="26" xfId="24" applyFont="1" applyBorder="1" applyAlignment="1">
      <alignment horizontal="center" vertical="top" wrapText="1"/>
    </xf>
    <xf numFmtId="0" fontId="41" fillId="0" borderId="23" xfId="24" applyFont="1" applyBorder="1" applyAlignment="1">
      <alignment horizontal="center" vertical="top" wrapText="1"/>
    </xf>
    <xf numFmtId="0" fontId="41" fillId="0" borderId="0" xfId="24" applyFont="1"/>
    <xf numFmtId="0" fontId="18" fillId="0" borderId="26" xfId="25" applyFont="1" applyBorder="1" applyAlignment="1">
      <alignment horizontal="center" vertical="top" wrapText="1"/>
    </xf>
    <xf numFmtId="0" fontId="41" fillId="0" borderId="23" xfId="25" applyFont="1" applyBorder="1" applyAlignment="1">
      <alignment horizontal="center" vertical="top" wrapText="1"/>
    </xf>
    <xf numFmtId="0" fontId="41" fillId="0" borderId="0" xfId="25" applyFont="1"/>
    <xf numFmtId="168" fontId="3" fillId="0" borderId="0" xfId="0" applyNumberFormat="1" applyFont="1" applyAlignment="1">
      <alignment vertical="center"/>
    </xf>
    <xf numFmtId="0" fontId="18" fillId="0" borderId="26" xfId="0" applyFont="1" applyBorder="1" applyAlignment="1">
      <alignment horizontal="center" vertical="top" wrapText="1"/>
    </xf>
    <xf numFmtId="0" fontId="41" fillId="0" borderId="23" xfId="0" applyFont="1" applyBorder="1" applyAlignment="1">
      <alignment horizontal="center" vertical="top" wrapText="1"/>
    </xf>
    <xf numFmtId="0" fontId="41" fillId="0" borderId="23" xfId="0" applyFont="1" applyBorder="1" applyAlignment="1">
      <alignment horizontal="center" vertical="top"/>
    </xf>
    <xf numFmtId="0" fontId="41" fillId="0" borderId="0" xfId="0" applyFont="1" applyAlignment="1">
      <alignment horizontal="justify" vertical="top" wrapText="1"/>
    </xf>
    <xf numFmtId="0" fontId="41" fillId="0" borderId="0" xfId="0" applyFont="1"/>
    <xf numFmtId="0" fontId="41" fillId="0" borderId="0" xfId="0" applyFont="1" applyAlignment="1">
      <alignment horizontal="center" vertical="top" wrapText="1"/>
    </xf>
    <xf numFmtId="0" fontId="18" fillId="0" borderId="27" xfId="25" applyFont="1" applyBorder="1" applyAlignment="1">
      <alignment horizontal="center" vertical="top" wrapText="1"/>
    </xf>
    <xf numFmtId="0" fontId="18" fillId="0" borderId="0" xfId="23" applyFont="1" applyAlignment="1">
      <alignment horizontal="center" vertical="top" wrapText="1"/>
    </xf>
    <xf numFmtId="0" fontId="18" fillId="0" borderId="4" xfId="23" applyFont="1" applyBorder="1" applyAlignment="1">
      <alignment horizontal="justify" vertical="top" wrapText="1"/>
    </xf>
    <xf numFmtId="0" fontId="41" fillId="0" borderId="4" xfId="23" applyFont="1" applyBorder="1" applyAlignment="1">
      <alignment horizontal="justify" vertical="top" wrapText="1"/>
    </xf>
    <xf numFmtId="0" fontId="41" fillId="0" borderId="0" xfId="0" applyFont="1" applyAlignment="1">
      <alignment vertical="center"/>
    </xf>
    <xf numFmtId="0" fontId="41" fillId="0" borderId="0" xfId="0" applyFont="1" applyAlignment="1">
      <alignment horizontal="left" vertical="top"/>
    </xf>
    <xf numFmtId="0" fontId="18" fillId="0" borderId="0" xfId="0" applyFont="1" applyAlignment="1">
      <alignment horizontal="left" vertical="top"/>
    </xf>
    <xf numFmtId="169" fontId="41" fillId="0" borderId="0" xfId="0" applyNumberFormat="1" applyFont="1" applyAlignment="1">
      <alignment vertical="center"/>
    </xf>
    <xf numFmtId="0" fontId="45" fillId="0" borderId="0" xfId="23" applyFont="1" applyAlignment="1">
      <alignment horizontal="center" wrapText="1"/>
    </xf>
    <xf numFmtId="0" fontId="18" fillId="0" borderId="0" xfId="0" applyFont="1" applyAlignment="1">
      <alignment vertical="top"/>
    </xf>
    <xf numFmtId="0" fontId="46" fillId="0" borderId="0" xfId="23" applyFont="1" applyAlignment="1">
      <alignment horizontal="right" wrapText="1"/>
    </xf>
    <xf numFmtId="0" fontId="18" fillId="0" borderId="0" xfId="0" applyFont="1" applyAlignment="1">
      <alignment horizontal="center" vertical="top"/>
    </xf>
    <xf numFmtId="0" fontId="41" fillId="0" borderId="0" xfId="0" applyFont="1" applyAlignment="1">
      <alignment vertical="top" wrapText="1"/>
    </xf>
    <xf numFmtId="3" fontId="46" fillId="0" borderId="0" xfId="23" applyNumberFormat="1" applyFont="1" applyAlignment="1">
      <alignment horizontal="right" wrapText="1"/>
    </xf>
    <xf numFmtId="0" fontId="41" fillId="0" borderId="0" xfId="0" applyFont="1" applyAlignment="1">
      <alignment horizontal="left" vertical="top" wrapText="1"/>
    </xf>
    <xf numFmtId="0" fontId="46" fillId="0" borderId="0" xfId="23" applyFont="1" applyAlignment="1">
      <alignment vertical="top" wrapText="1"/>
    </xf>
    <xf numFmtId="0" fontId="18" fillId="0" borderId="0" xfId="23" applyFont="1" applyAlignment="1">
      <alignment vertical="top"/>
    </xf>
    <xf numFmtId="0" fontId="18" fillId="0" borderId="0" xfId="24" applyFont="1" applyAlignment="1">
      <alignment vertical="top"/>
    </xf>
    <xf numFmtId="0" fontId="41" fillId="0" borderId="0" xfId="24" applyFont="1" applyAlignment="1">
      <alignment horizontal="justify" vertical="top" wrapText="1"/>
    </xf>
    <xf numFmtId="0" fontId="45" fillId="0" borderId="0" xfId="24" applyFont="1" applyAlignment="1">
      <alignment horizontal="center" vertical="top" wrapText="1"/>
    </xf>
    <xf numFmtId="0" fontId="46" fillId="0" borderId="0" xfId="24" applyFont="1" applyAlignment="1">
      <alignment horizontal="right" wrapText="1"/>
    </xf>
    <xf numFmtId="0" fontId="41" fillId="0" borderId="0" xfId="24" applyFont="1" applyAlignment="1">
      <alignment vertical="top"/>
    </xf>
    <xf numFmtId="0" fontId="46" fillId="0" borderId="0" xfId="24" applyFont="1" applyAlignment="1">
      <alignment vertical="top" wrapText="1"/>
    </xf>
    <xf numFmtId="3" fontId="46" fillId="0" borderId="0" xfId="24" applyNumberFormat="1" applyFont="1" applyAlignment="1">
      <alignment horizontal="right" wrapText="1"/>
    </xf>
    <xf numFmtId="0" fontId="41" fillId="0" borderId="0" xfId="0" applyFont="1" applyAlignment="1">
      <alignment vertical="center" wrapText="1"/>
    </xf>
    <xf numFmtId="0" fontId="41" fillId="0" borderId="20" xfId="0" applyFont="1" applyBorder="1" applyAlignment="1">
      <alignment vertical="center" wrapText="1"/>
    </xf>
    <xf numFmtId="0" fontId="41" fillId="0" borderId="22" xfId="0" applyFont="1" applyBorder="1" applyAlignment="1">
      <alignment horizontal="center" vertical="center" wrapText="1"/>
    </xf>
    <xf numFmtId="0" fontId="47" fillId="0" borderId="0" xfId="0" applyFont="1" applyAlignment="1">
      <alignment wrapText="1"/>
    </xf>
    <xf numFmtId="0" fontId="41" fillId="0" borderId="23" xfId="0" applyFont="1" applyBorder="1" applyAlignment="1">
      <alignment horizontal="center" vertical="center" wrapText="1"/>
    </xf>
    <xf numFmtId="0" fontId="46" fillId="0" borderId="0" xfId="0" applyFont="1" applyAlignment="1">
      <alignment vertical="top" wrapText="1"/>
    </xf>
    <xf numFmtId="3" fontId="46" fillId="0" borderId="0" xfId="0" applyNumberFormat="1" applyFont="1" applyAlignment="1">
      <alignment horizontal="right" wrapText="1"/>
    </xf>
    <xf numFmtId="0" fontId="41" fillId="0" borderId="0" xfId="0" applyFont="1" applyAlignment="1">
      <alignment vertical="top"/>
    </xf>
    <xf numFmtId="0" fontId="41" fillId="0" borderId="0" xfId="0" applyFont="1" applyAlignment="1">
      <alignment horizontal="center" vertical="top"/>
    </xf>
    <xf numFmtId="0" fontId="46" fillId="0" borderId="0" xfId="0" applyFont="1" applyAlignment="1">
      <alignment horizontal="right" wrapText="1"/>
    </xf>
    <xf numFmtId="0" fontId="6" fillId="0" borderId="0" xfId="0" applyFont="1" applyAlignment="1">
      <alignment vertical="top"/>
    </xf>
    <xf numFmtId="0" fontId="48" fillId="0" borderId="0" xfId="0" applyFont="1" applyAlignment="1">
      <alignment vertical="top"/>
    </xf>
    <xf numFmtId="0" fontId="18" fillId="0" borderId="0" xfId="0" applyFont="1" applyAlignment="1">
      <alignment horizontal="center" vertical="top" wrapText="1"/>
    </xf>
    <xf numFmtId="0" fontId="41" fillId="0" borderId="0" xfId="0" applyFont="1" applyAlignment="1">
      <alignment horizontal="left"/>
    </xf>
    <xf numFmtId="171" fontId="41" fillId="0" borderId="0" xfId="0" applyNumberFormat="1" applyFont="1" applyAlignment="1">
      <alignment vertical="center"/>
    </xf>
    <xf numFmtId="0" fontId="41" fillId="0" borderId="0" xfId="23" applyFont="1" applyAlignment="1">
      <alignment wrapText="1"/>
    </xf>
    <xf numFmtId="0" fontId="46" fillId="0" borderId="0" xfId="23" applyFont="1" applyAlignment="1">
      <alignment horizontal="center" vertical="top" wrapText="1"/>
    </xf>
    <xf numFmtId="0" fontId="45" fillId="0" borderId="0" xfId="23" applyFont="1" applyAlignment="1">
      <alignment wrapText="1"/>
    </xf>
    <xf numFmtId="0" fontId="18" fillId="0" borderId="0" xfId="0" applyFont="1" applyAlignment="1">
      <alignment vertical="center"/>
    </xf>
    <xf numFmtId="3" fontId="46" fillId="0" borderId="0" xfId="23" applyNumberFormat="1" applyFont="1" applyAlignment="1">
      <alignment horizontal="center" vertical="top" wrapText="1"/>
    </xf>
    <xf numFmtId="0" fontId="46" fillId="0" borderId="0" xfId="24" applyFont="1" applyAlignment="1">
      <alignment horizontal="center" vertical="top" wrapText="1"/>
    </xf>
    <xf numFmtId="3" fontId="46" fillId="0" borderId="0" xfId="24" applyNumberFormat="1" applyFont="1" applyAlignment="1">
      <alignment horizontal="center" vertical="top" wrapText="1"/>
    </xf>
    <xf numFmtId="1" fontId="41" fillId="0" borderId="0" xfId="24" applyNumberFormat="1" applyFont="1" applyAlignment="1">
      <alignment vertical="top"/>
    </xf>
    <xf numFmtId="1" fontId="18" fillId="0" borderId="0" xfId="24" applyNumberFormat="1" applyFont="1" applyAlignment="1">
      <alignment vertical="top"/>
    </xf>
    <xf numFmtId="0" fontId="45" fillId="0" borderId="0" xfId="24" applyFont="1" applyAlignment="1">
      <alignment horizontal="justify"/>
    </xf>
    <xf numFmtId="0" fontId="49" fillId="0" borderId="0" xfId="0" applyFont="1" applyAlignment="1">
      <alignment vertical="center"/>
    </xf>
    <xf numFmtId="0" fontId="41" fillId="0" borderId="0" xfId="24" applyFont="1" applyAlignment="1">
      <alignment horizontal="justify"/>
    </xf>
    <xf numFmtId="0" fontId="50" fillId="0" borderId="0" xfId="24" applyFont="1" applyAlignment="1">
      <alignment horizontal="justify"/>
    </xf>
    <xf numFmtId="0" fontId="25" fillId="0" borderId="0" xfId="0" applyFont="1" applyAlignment="1">
      <alignment vertical="center"/>
    </xf>
    <xf numFmtId="0" fontId="18" fillId="0" borderId="0" xfId="0" applyFont="1" applyAlignment="1">
      <alignment horizontal="right" vertical="top"/>
    </xf>
    <xf numFmtId="0" fontId="41" fillId="0" borderId="0" xfId="0" applyFont="1" applyAlignment="1">
      <alignment horizontal="center" vertical="center"/>
    </xf>
    <xf numFmtId="0" fontId="18" fillId="0" borderId="0" xfId="24" applyFont="1" applyAlignment="1">
      <alignment horizontal="right" vertical="top"/>
    </xf>
    <xf numFmtId="1" fontId="18" fillId="0" borderId="0" xfId="24" applyNumberFormat="1" applyFont="1" applyAlignment="1">
      <alignment horizontal="right" vertical="top"/>
    </xf>
    <xf numFmtId="176" fontId="18" fillId="0" borderId="0" xfId="24" applyNumberFormat="1" applyFont="1" applyAlignment="1">
      <alignment horizontal="right" vertical="top"/>
    </xf>
    <xf numFmtId="0" fontId="18" fillId="0" borderId="0" xfId="24" applyFont="1" applyAlignment="1">
      <alignment horizontal="justify"/>
    </xf>
    <xf numFmtId="0" fontId="25" fillId="0" borderId="20" xfId="0" applyFont="1" applyBorder="1" applyAlignment="1">
      <alignment horizontal="center"/>
    </xf>
    <xf numFmtId="166" fontId="25" fillId="0" borderId="20" xfId="20" applyNumberFormat="1" applyFont="1" applyBorder="1" applyAlignment="1">
      <alignment horizontal="center"/>
    </xf>
    <xf numFmtId="0" fontId="0" fillId="0" borderId="22" xfId="0" applyBorder="1" applyAlignment="1">
      <alignment vertical="center"/>
    </xf>
    <xf numFmtId="166" fontId="39" fillId="0" borderId="23" xfId="20" applyNumberFormat="1" applyFont="1" applyBorder="1" applyAlignment="1">
      <alignment vertical="center"/>
    </xf>
    <xf numFmtId="166" fontId="0" fillId="0" borderId="22" xfId="10" applyNumberFormat="1" applyFont="1" applyBorder="1"/>
    <xf numFmtId="166" fontId="41" fillId="0" borderId="0" xfId="24" applyNumberFormat="1" applyFont="1"/>
    <xf numFmtId="0" fontId="0" fillId="0" borderId="23" xfId="0" applyBorder="1" applyAlignment="1">
      <alignment vertical="center"/>
    </xf>
    <xf numFmtId="177" fontId="0" fillId="0" borderId="23" xfId="10" applyNumberFormat="1" applyFont="1" applyBorder="1" applyAlignment="1">
      <alignment vertical="center"/>
    </xf>
    <xf numFmtId="0" fontId="21" fillId="0" borderId="23" xfId="0" applyFont="1" applyBorder="1"/>
    <xf numFmtId="166" fontId="21" fillId="0" borderId="23" xfId="10" applyNumberFormat="1" applyFont="1" applyBorder="1"/>
    <xf numFmtId="178" fontId="41" fillId="0" borderId="0" xfId="24" applyNumberFormat="1" applyFont="1"/>
    <xf numFmtId="179" fontId="41" fillId="0" borderId="0" xfId="24" applyNumberFormat="1" applyFont="1"/>
    <xf numFmtId="166" fontId="21" fillId="0" borderId="0" xfId="10" applyNumberFormat="1" applyFont="1"/>
    <xf numFmtId="0" fontId="0" fillId="0" borderId="36" xfId="0" applyBorder="1"/>
    <xf numFmtId="0" fontId="0" fillId="0" borderId="23" xfId="0" applyBorder="1"/>
    <xf numFmtId="0" fontId="51" fillId="0" borderId="0" xfId="0" applyFont="1" applyAlignment="1">
      <alignment horizontal="center" vertical="top"/>
    </xf>
    <xf numFmtId="0" fontId="46" fillId="0" borderId="0" xfId="0" applyFont="1" applyAlignment="1">
      <alignment horizontal="left" vertical="top" wrapText="1"/>
    </xf>
    <xf numFmtId="0" fontId="18" fillId="0" borderId="0" xfId="0" applyFont="1" applyAlignment="1">
      <alignment horizontal="left" indent="4"/>
    </xf>
    <xf numFmtId="0" fontId="48" fillId="0" borderId="0" xfId="0" applyFont="1" applyAlignment="1">
      <alignment horizontal="left" indent="4"/>
    </xf>
    <xf numFmtId="179" fontId="41" fillId="0" borderId="0" xfId="0" applyNumberFormat="1" applyFont="1"/>
    <xf numFmtId="166" fontId="41" fillId="0" borderId="0" xfId="0" applyNumberFormat="1" applyFont="1"/>
    <xf numFmtId="0" fontId="34" fillId="0" borderId="0" xfId="24" applyFont="1" applyAlignment="1">
      <alignment horizontal="right" vertical="top"/>
    </xf>
    <xf numFmtId="0" fontId="21" fillId="0" borderId="0" xfId="24" applyFont="1" applyAlignment="1">
      <alignment vertical="center"/>
    </xf>
    <xf numFmtId="0" fontId="18" fillId="0" borderId="0" xfId="24" applyFont="1" applyAlignment="1">
      <alignment horizontal="center" vertical="top"/>
    </xf>
    <xf numFmtId="0" fontId="41" fillId="0" borderId="0" xfId="24" applyFont="1" applyAlignment="1">
      <alignment horizontal="center" vertical="top"/>
    </xf>
    <xf numFmtId="2" fontId="21" fillId="0" borderId="25" xfId="0" applyNumberFormat="1" applyFont="1" applyBorder="1" applyAlignment="1">
      <alignment vertical="center"/>
    </xf>
    <xf numFmtId="166" fontId="41" fillId="0" borderId="0" xfId="18" applyNumberFormat="1" applyFont="1" applyAlignment="1">
      <alignment vertical="center"/>
    </xf>
    <xf numFmtId="0" fontId="41" fillId="0" borderId="0" xfId="24" applyFont="1" applyAlignment="1">
      <alignment horizontal="left" vertical="top" wrapText="1"/>
    </xf>
    <xf numFmtId="0" fontId="2" fillId="0" borderId="25" xfId="0" applyFont="1" applyBorder="1"/>
    <xf numFmtId="180" fontId="0" fillId="0" borderId="0" xfId="10" applyNumberFormat="1" applyFont="1"/>
    <xf numFmtId="0" fontId="0" fillId="0" borderId="25" xfId="0" applyBorder="1"/>
    <xf numFmtId="180" fontId="0" fillId="0" borderId="22" xfId="10" applyNumberFormat="1" applyFont="1" applyBorder="1"/>
    <xf numFmtId="0" fontId="41" fillId="0" borderId="19" xfId="24" applyFont="1" applyBorder="1" applyAlignment="1">
      <alignment horizontal="center" vertical="top" wrapText="1"/>
    </xf>
    <xf numFmtId="0" fontId="41" fillId="0" borderId="0" xfId="24" applyFont="1" applyAlignment="1">
      <alignment horizontal="center" vertical="top" wrapText="1"/>
    </xf>
    <xf numFmtId="0" fontId="18" fillId="0" borderId="0" xfId="24" applyFont="1" applyAlignment="1">
      <alignment horizontal="center" vertical="top" wrapText="1"/>
    </xf>
    <xf numFmtId="2" fontId="18" fillId="0" borderId="0" xfId="24" applyNumberFormat="1" applyFont="1" applyAlignment="1">
      <alignment horizontal="right" vertical="top" wrapText="1"/>
    </xf>
    <xf numFmtId="0" fontId="18" fillId="0" borderId="0" xfId="24" applyFont="1" applyAlignment="1">
      <alignment horizontal="right" vertical="top" wrapText="1"/>
    </xf>
    <xf numFmtId="0" fontId="52" fillId="0" borderId="37" xfId="0" applyFont="1" applyBorder="1" applyAlignment="1">
      <alignment horizontal="center" wrapText="1"/>
    </xf>
    <xf numFmtId="0" fontId="52" fillId="0" borderId="16" xfId="0" applyFont="1" applyBorder="1" applyAlignment="1">
      <alignment horizontal="center" wrapText="1"/>
    </xf>
    <xf numFmtId="0" fontId="18" fillId="0" borderId="0" xfId="0" applyFont="1" applyAlignment="1">
      <alignment horizontal="justify" vertical="top" wrapText="1"/>
    </xf>
    <xf numFmtId="0" fontId="51" fillId="0" borderId="0" xfId="0" applyFont="1" applyAlignment="1">
      <alignment vertical="top"/>
    </xf>
    <xf numFmtId="0" fontId="41" fillId="0" borderId="0" xfId="0" applyFont="1" applyAlignment="1">
      <alignment horizontal="center"/>
    </xf>
    <xf numFmtId="0" fontId="45" fillId="0" borderId="20" xfId="0" applyFont="1" applyBorder="1" applyAlignment="1">
      <alignment horizontal="center" wrapText="1"/>
    </xf>
    <xf numFmtId="0" fontId="41" fillId="0" borderId="0" xfId="0" applyFont="1" applyAlignment="1">
      <alignment horizontal="center" wrapText="1"/>
    </xf>
    <xf numFmtId="0" fontId="41" fillId="0" borderId="0" xfId="0" applyFont="1" applyAlignment="1">
      <alignment wrapText="1"/>
    </xf>
    <xf numFmtId="3" fontId="41" fillId="0" borderId="0" xfId="0" applyNumberFormat="1" applyFont="1" applyAlignment="1">
      <alignment horizontal="right" wrapText="1"/>
    </xf>
    <xf numFmtId="0" fontId="46" fillId="0" borderId="22" xfId="0" applyFont="1" applyBorder="1" applyAlignment="1">
      <alignment horizontal="center" wrapText="1"/>
    </xf>
    <xf numFmtId="180" fontId="39" fillId="0" borderId="23" xfId="0" applyNumberFormat="1" applyFont="1" applyBorder="1" applyAlignment="1">
      <alignment vertical="center"/>
    </xf>
    <xf numFmtId="0" fontId="46" fillId="0" borderId="20" xfId="0" applyFont="1" applyBorder="1" applyAlignment="1">
      <alignment horizontal="center" wrapText="1"/>
    </xf>
    <xf numFmtId="0" fontId="46" fillId="0" borderId="0" xfId="0" applyFont="1" applyAlignment="1">
      <alignment horizontal="center" wrapText="1"/>
    </xf>
    <xf numFmtId="0" fontId="45" fillId="0" borderId="0" xfId="0" applyFont="1" applyAlignment="1">
      <alignment horizontal="center" wrapText="1"/>
    </xf>
    <xf numFmtId="3" fontId="18" fillId="0" borderId="0" xfId="0" applyNumberFormat="1" applyFont="1" applyAlignment="1">
      <alignment horizontal="right" vertical="top" wrapText="1"/>
    </xf>
    <xf numFmtId="0" fontId="18" fillId="0" borderId="0" xfId="0" applyFont="1" applyAlignment="1">
      <alignment horizontal="right" vertical="top" wrapText="1"/>
    </xf>
    <xf numFmtId="3" fontId="41" fillId="0" borderId="0" xfId="0" applyNumberFormat="1" applyFont="1" applyAlignment="1">
      <alignment horizontal="right" vertical="top" wrapText="1"/>
    </xf>
    <xf numFmtId="0" fontId="21" fillId="0" borderId="23" xfId="0" applyFont="1" applyBorder="1" applyAlignment="1">
      <alignment vertical="center"/>
    </xf>
    <xf numFmtId="0" fontId="41" fillId="0" borderId="23" xfId="0" applyFont="1" applyBorder="1" applyAlignment="1">
      <alignment wrapText="1"/>
    </xf>
    <xf numFmtId="0" fontId="46" fillId="0" borderId="22" xfId="0" applyFont="1" applyBorder="1" applyAlignment="1">
      <alignment horizontal="center" vertical="top" wrapText="1"/>
    </xf>
    <xf numFmtId="166" fontId="46" fillId="0" borderId="22" xfId="0" applyNumberFormat="1" applyFont="1" applyBorder="1" applyAlignment="1">
      <alignment vertical="top" wrapText="1"/>
    </xf>
    <xf numFmtId="0" fontId="46" fillId="0" borderId="22" xfId="0" applyFont="1" applyBorder="1" applyAlignment="1">
      <alignment vertical="top" wrapText="1"/>
    </xf>
    <xf numFmtId="0" fontId="46" fillId="0" borderId="19" xfId="0" applyFont="1" applyBorder="1" applyAlignment="1">
      <alignment horizontal="center" wrapText="1"/>
    </xf>
    <xf numFmtId="166" fontId="0" fillId="0" borderId="25" xfId="10" applyNumberFormat="1" applyFont="1" applyBorder="1" applyAlignment="1">
      <alignment vertical="center"/>
    </xf>
    <xf numFmtId="3" fontId="41" fillId="0" borderId="0" xfId="24" applyNumberFormat="1" applyFont="1"/>
    <xf numFmtId="166" fontId="0" fillId="0" borderId="0" xfId="10" applyNumberFormat="1" applyFont="1" applyAlignment="1">
      <alignment vertical="center"/>
    </xf>
    <xf numFmtId="0" fontId="51" fillId="0" borderId="0" xfId="0" applyFont="1" applyAlignment="1">
      <alignment horizontal="center" vertical="center"/>
    </xf>
    <xf numFmtId="0" fontId="46" fillId="0" borderId="23" xfId="0" applyFont="1" applyBorder="1" applyAlignment="1">
      <alignment horizontal="center" vertical="top" wrapText="1"/>
    </xf>
    <xf numFmtId="2" fontId="41" fillId="0" borderId="0" xfId="0" applyNumberFormat="1" applyFont="1"/>
    <xf numFmtId="0" fontId="25" fillId="0" borderId="0" xfId="0" applyFont="1" applyAlignment="1">
      <alignment vertical="top"/>
    </xf>
    <xf numFmtId="0" fontId="38" fillId="0" borderId="0" xfId="0" applyFont="1" applyAlignment="1">
      <alignment horizontal="left" vertical="top"/>
    </xf>
    <xf numFmtId="0" fontId="21" fillId="0" borderId="0" xfId="0" applyFont="1" applyAlignment="1">
      <alignment vertical="top"/>
    </xf>
    <xf numFmtId="0" fontId="25" fillId="0" borderId="34" xfId="0" applyFont="1" applyBorder="1" applyAlignment="1">
      <alignment horizontal="center" vertical="center"/>
    </xf>
    <xf numFmtId="0" fontId="21" fillId="0" borderId="22" xfId="0" applyFont="1" applyBorder="1" applyAlignment="1">
      <alignment vertical="top"/>
    </xf>
    <xf numFmtId="165" fontId="21" fillId="0" borderId="0" xfId="0" applyNumberFormat="1" applyFont="1" applyAlignment="1">
      <alignment vertical="center"/>
    </xf>
    <xf numFmtId="166" fontId="21" fillId="0" borderId="0" xfId="20" applyNumberFormat="1" applyFont="1" applyAlignment="1">
      <alignment vertical="center"/>
    </xf>
    <xf numFmtId="166" fontId="41" fillId="0" borderId="23" xfId="0" applyNumberFormat="1" applyFont="1" applyBorder="1" applyAlignment="1">
      <alignment vertical="top"/>
    </xf>
    <xf numFmtId="178" fontId="41" fillId="0" borderId="0" xfId="0" applyNumberFormat="1" applyFont="1"/>
    <xf numFmtId="166" fontId="25" fillId="0" borderId="34" xfId="0" applyNumberFormat="1" applyFont="1" applyBorder="1" applyAlignment="1">
      <alignment vertical="top"/>
    </xf>
    <xf numFmtId="0" fontId="34" fillId="0" borderId="0" xfId="20" applyFont="1" applyAlignment="1">
      <alignment horizontal="center" vertical="center"/>
    </xf>
    <xf numFmtId="0" fontId="25" fillId="0" borderId="22" xfId="0" applyFont="1" applyBorder="1" applyAlignment="1">
      <alignment vertical="top"/>
    </xf>
    <xf numFmtId="166" fontId="3" fillId="0" borderId="24" xfId="10" applyNumberFormat="1" applyFont="1" applyBorder="1" applyAlignment="1">
      <alignment horizontal="left"/>
    </xf>
    <xf numFmtId="166" fontId="3" fillId="0" borderId="25" xfId="10" applyNumberFormat="1" applyFont="1" applyBorder="1" applyAlignment="1">
      <alignment horizontal="left"/>
    </xf>
    <xf numFmtId="181" fontId="53" fillId="0" borderId="0" xfId="10" applyNumberFormat="1" applyFont="1" applyAlignment="1">
      <alignment horizontal="right"/>
    </xf>
    <xf numFmtId="0" fontId="54" fillId="0" borderId="0" xfId="0" applyFont="1"/>
    <xf numFmtId="0" fontId="51" fillId="0" borderId="0" xfId="0" applyFont="1" applyAlignment="1">
      <alignment horizontal="left" vertical="top"/>
    </xf>
    <xf numFmtId="1" fontId="41" fillId="0" borderId="0" xfId="23" applyNumberFormat="1" applyFont="1" applyAlignment="1">
      <alignment horizontal="right" vertical="top"/>
    </xf>
    <xf numFmtId="0" fontId="18" fillId="0" borderId="0" xfId="0" applyFont="1" applyAlignment="1">
      <alignment horizontal="left" vertical="center"/>
    </xf>
    <xf numFmtId="0" fontId="41" fillId="0" borderId="0" xfId="0" applyFont="1" applyAlignment="1">
      <alignment horizontal="left" vertical="center"/>
    </xf>
    <xf numFmtId="0" fontId="21" fillId="0" borderId="0" xfId="0" applyFont="1" applyAlignment="1">
      <alignment horizontal="justify"/>
    </xf>
    <xf numFmtId="0" fontId="54" fillId="0" borderId="0" xfId="0" applyFont="1" applyAlignment="1">
      <alignment horizontal="justify"/>
    </xf>
    <xf numFmtId="0" fontId="54" fillId="0" borderId="0" xfId="0" applyFont="1" applyAlignment="1">
      <alignment horizontal="center" vertical="top" wrapText="1"/>
    </xf>
    <xf numFmtId="0" fontId="54" fillId="0" borderId="0" xfId="0" applyFont="1" applyAlignment="1">
      <alignment horizontal="left" vertical="top"/>
    </xf>
    <xf numFmtId="0" fontId="55" fillId="0" borderId="0" xfId="0" applyFont="1" applyAlignment="1">
      <alignment horizontal="left" vertical="top"/>
    </xf>
    <xf numFmtId="0" fontId="54" fillId="0" borderId="0" xfId="0" applyFont="1" applyAlignment="1">
      <alignment horizontal="justify" vertical="top" wrapText="1"/>
    </xf>
    <xf numFmtId="170" fontId="54" fillId="0" borderId="0" xfId="0" applyNumberFormat="1" applyFont="1" applyAlignment="1">
      <alignment horizontal="left" vertical="center" wrapText="1"/>
    </xf>
    <xf numFmtId="0" fontId="41" fillId="0" borderId="0" xfId="0" applyFont="1" applyAlignment="1">
      <alignment horizontal="right" vertical="top"/>
    </xf>
    <xf numFmtId="0" fontId="38" fillId="0" borderId="0" xfId="23" applyFont="1" applyAlignment="1">
      <alignment horizontal="center"/>
    </xf>
    <xf numFmtId="0" fontId="18" fillId="0" borderId="0" xfId="23" applyFont="1" applyAlignment="1">
      <alignment horizontal="left" vertical="top"/>
    </xf>
    <xf numFmtId="0" fontId="18" fillId="0" borderId="0" xfId="0" applyFont="1" applyAlignment="1">
      <alignment horizontal="center" vertical="center"/>
    </xf>
    <xf numFmtId="0" fontId="41" fillId="0" borderId="0" xfId="21" applyFont="1" applyAlignment="1">
      <alignment horizontal="center" vertical="center" wrapText="1"/>
    </xf>
    <xf numFmtId="0" fontId="41" fillId="0" borderId="0" xfId="21" applyFont="1" applyAlignment="1">
      <alignment horizontal="left" vertical="center" wrapText="1"/>
    </xf>
    <xf numFmtId="0" fontId="41" fillId="0" borderId="0" xfId="0" applyFont="1" applyAlignment="1">
      <alignment horizontal="justify" vertical="center"/>
    </xf>
    <xf numFmtId="0" fontId="41" fillId="0" borderId="0" xfId="0" applyFont="1" applyAlignment="1">
      <alignment horizontal="justify" vertical="center" wrapText="1"/>
    </xf>
    <xf numFmtId="0" fontId="41" fillId="0" borderId="0" xfId="22" applyFont="1"/>
    <xf numFmtId="0" fontId="41" fillId="0" borderId="0" xfId="22" applyFont="1" applyAlignment="1">
      <alignment horizontal="center" vertical="top"/>
    </xf>
    <xf numFmtId="0" fontId="41" fillId="0" borderId="0" xfId="22" applyFont="1" applyAlignment="1">
      <alignment horizontal="right"/>
    </xf>
    <xf numFmtId="0" fontId="25" fillId="0" borderId="0" xfId="0" applyFont="1" applyAlignment="1">
      <alignment horizontal="center" vertical="top"/>
    </xf>
    <xf numFmtId="0" fontId="21" fillId="0" borderId="0" xfId="23" applyFont="1" applyAlignment="1">
      <alignment horizontal="left" vertical="center"/>
    </xf>
    <xf numFmtId="0" fontId="38" fillId="0" borderId="0" xfId="23" applyFont="1"/>
    <xf numFmtId="0" fontId="56" fillId="0" borderId="0" xfId="23" applyFont="1"/>
    <xf numFmtId="0" fontId="25" fillId="0" borderId="0" xfId="23" applyFont="1" applyAlignment="1">
      <alignment horizontal="center" vertical="center" wrapText="1"/>
    </xf>
    <xf numFmtId="1" fontId="21" fillId="0" borderId="0" xfId="0" applyNumberFormat="1" applyFont="1" applyAlignment="1">
      <alignment vertical="top"/>
    </xf>
    <xf numFmtId="1" fontId="25" fillId="0" borderId="0" xfId="0" applyNumberFormat="1" applyFont="1" applyAlignment="1">
      <alignment vertical="top"/>
    </xf>
    <xf numFmtId="0" fontId="2" fillId="0" borderId="0" xfId="0" applyFont="1" applyAlignment="1">
      <alignment horizontal="justify"/>
    </xf>
    <xf numFmtId="0" fontId="6" fillId="0" borderId="16" xfId="0" applyFont="1" applyBorder="1" applyAlignment="1">
      <alignment horizontal="justify" vertical="top" wrapText="1"/>
    </xf>
    <xf numFmtId="0" fontId="6" fillId="0" borderId="18" xfId="0" applyFont="1" applyBorder="1" applyAlignment="1">
      <alignment horizontal="justify" vertical="top" wrapText="1"/>
    </xf>
    <xf numFmtId="0" fontId="3" fillId="0" borderId="15" xfId="0" applyFont="1" applyBorder="1" applyAlignment="1">
      <alignment horizontal="justify" vertical="top" wrapText="1"/>
    </xf>
    <xf numFmtId="0" fontId="3" fillId="0" borderId="14" xfId="0" applyFont="1" applyBorder="1" applyAlignment="1">
      <alignment horizontal="justify" vertical="top" wrapText="1"/>
    </xf>
    <xf numFmtId="0" fontId="58" fillId="0" borderId="14" xfId="0" applyFont="1" applyBorder="1" applyAlignment="1">
      <alignment horizontal="justify" vertical="top" wrapText="1"/>
    </xf>
    <xf numFmtId="0" fontId="21" fillId="0" borderId="14" xfId="0" applyFont="1" applyBorder="1" applyAlignment="1">
      <alignment vertical="top" wrapText="1"/>
    </xf>
    <xf numFmtId="0" fontId="6" fillId="0" borderId="15" xfId="0" applyFont="1" applyBorder="1" applyAlignment="1">
      <alignment horizontal="justify" vertical="top" wrapText="1"/>
    </xf>
    <xf numFmtId="0" fontId="59" fillId="0" borderId="0" xfId="0" applyFont="1" applyAlignment="1">
      <alignment horizontal="center" vertical="top"/>
    </xf>
    <xf numFmtId="0" fontId="59"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left" vertical="top" wrapText="1"/>
    </xf>
    <xf numFmtId="0" fontId="24" fillId="0" borderId="0" xfId="0" applyFont="1" applyAlignment="1">
      <alignment horizontal="justify" vertical="top"/>
    </xf>
    <xf numFmtId="0" fontId="59" fillId="0" borderId="0" xfId="0" applyFont="1" applyAlignment="1">
      <alignment horizontal="justify" vertical="top"/>
    </xf>
    <xf numFmtId="0" fontId="18" fillId="0" borderId="20" xfId="0" applyFont="1" applyBorder="1" applyAlignment="1">
      <alignment horizontal="center" vertical="center"/>
    </xf>
    <xf numFmtId="0" fontId="46" fillId="3" borderId="22" xfId="22" applyFont="1" applyFill="1" applyBorder="1" applyAlignment="1">
      <alignment horizontal="center" vertical="center" wrapText="1"/>
    </xf>
    <xf numFmtId="2" fontId="46" fillId="3" borderId="22" xfId="22" applyNumberFormat="1" applyFont="1" applyFill="1" applyBorder="1" applyAlignment="1">
      <alignment horizontal="center" vertical="center" wrapText="1"/>
    </xf>
    <xf numFmtId="0" fontId="46" fillId="3" borderId="23" xfId="22" applyFont="1" applyFill="1" applyBorder="1" applyAlignment="1">
      <alignment horizontal="center" vertical="center" wrapText="1"/>
    </xf>
    <xf numFmtId="2" fontId="46" fillId="3" borderId="23" xfId="22" applyNumberFormat="1" applyFont="1" applyFill="1" applyBorder="1" applyAlignment="1">
      <alignment horizontal="center" vertical="center" wrapText="1"/>
    </xf>
    <xf numFmtId="0" fontId="18" fillId="0" borderId="19" xfId="0" applyFont="1" applyBorder="1" applyAlignment="1">
      <alignment horizontal="center" vertical="center"/>
    </xf>
    <xf numFmtId="2" fontId="18" fillId="0" borderId="19" xfId="0" applyNumberFormat="1" applyFont="1" applyBorder="1" applyAlignment="1">
      <alignment horizontal="center" vertical="center"/>
    </xf>
    <xf numFmtId="0" fontId="53" fillId="3" borderId="23" xfId="22" applyFont="1" applyFill="1" applyBorder="1" applyAlignment="1">
      <alignment horizontal="center" vertical="center" wrapText="1"/>
    </xf>
    <xf numFmtId="2" fontId="41" fillId="0" borderId="23" xfId="0" applyNumberFormat="1" applyFont="1" applyBorder="1" applyAlignment="1">
      <alignment horizontal="center" vertical="center"/>
    </xf>
    <xf numFmtId="0" fontId="25" fillId="0" borderId="16" xfId="0" applyFont="1" applyBorder="1"/>
    <xf numFmtId="2" fontId="25" fillId="0" borderId="18" xfId="0" applyNumberFormat="1" applyFont="1" applyBorder="1"/>
    <xf numFmtId="0" fontId="25" fillId="2" borderId="16" xfId="0" applyFont="1" applyFill="1" applyBorder="1"/>
    <xf numFmtId="2" fontId="25" fillId="2" borderId="18" xfId="0" applyNumberFormat="1" applyFont="1" applyFill="1" applyBorder="1"/>
    <xf numFmtId="0" fontId="60" fillId="0" borderId="0" xfId="0" applyFont="1"/>
    <xf numFmtId="0" fontId="0" fillId="2" borderId="0" xfId="0" applyFill="1"/>
    <xf numFmtId="182" fontId="60" fillId="0" borderId="0" xfId="0" applyNumberFormat="1" applyFont="1" applyAlignment="1">
      <alignment horizontal="center" wrapText="1"/>
    </xf>
    <xf numFmtId="0" fontId="60" fillId="0" borderId="0" xfId="0" applyFont="1" applyAlignment="1">
      <alignment horizontal="left" wrapText="1"/>
    </xf>
    <xf numFmtId="0" fontId="60" fillId="0" borderId="0" xfId="0" applyFont="1" applyAlignment="1">
      <alignment wrapText="1"/>
    </xf>
    <xf numFmtId="171" fontId="60" fillId="0" borderId="0" xfId="0" applyNumberFormat="1" applyFont="1" applyAlignment="1">
      <alignment wrapText="1"/>
    </xf>
    <xf numFmtId="171" fontId="21" fillId="0" borderId="0" xfId="0" applyNumberFormat="1" applyFont="1"/>
    <xf numFmtId="171" fontId="60" fillId="0" borderId="0" xfId="0" applyNumberFormat="1" applyFont="1" applyAlignment="1">
      <alignment vertical="top" wrapText="1"/>
    </xf>
    <xf numFmtId="0" fontId="61" fillId="0" borderId="0" xfId="0" applyFont="1"/>
    <xf numFmtId="0" fontId="62" fillId="2" borderId="0" xfId="0" applyFont="1" applyFill="1"/>
    <xf numFmtId="0" fontId="67" fillId="0" borderId="0" xfId="15" applyFont="1" applyAlignment="1">
      <alignment vertical="center"/>
    </xf>
    <xf numFmtId="0" fontId="68" fillId="0" borderId="0" xfId="15" applyFont="1" applyAlignment="1">
      <alignment horizontal="center" vertical="top"/>
    </xf>
    <xf numFmtId="0" fontId="68" fillId="0" borderId="0" xfId="15" applyFont="1" applyAlignment="1">
      <alignment vertical="center"/>
    </xf>
    <xf numFmtId="0" fontId="68" fillId="0" borderId="0" xfId="15" applyFont="1" applyAlignment="1">
      <alignment horizontal="justify" vertical="center" wrapText="1"/>
    </xf>
    <xf numFmtId="0" fontId="70" fillId="0" borderId="0" xfId="26" applyFont="1" applyAlignment="1">
      <alignment vertical="center"/>
    </xf>
    <xf numFmtId="0" fontId="70" fillId="0" borderId="0" xfId="0" applyFont="1" applyAlignment="1">
      <alignment horizontal="right" vertical="top"/>
    </xf>
    <xf numFmtId="0" fontId="69" fillId="0" borderId="0" xfId="14" applyFont="1" applyAlignment="1">
      <alignment vertical="top" wrapText="1"/>
    </xf>
    <xf numFmtId="0" fontId="71" fillId="0" borderId="0" xfId="0" applyFont="1" applyAlignment="1">
      <alignment vertical="top" wrapText="1"/>
    </xf>
    <xf numFmtId="0" fontId="69" fillId="0" borderId="0" xfId="14" applyFont="1" applyAlignment="1">
      <alignment vertical="top"/>
    </xf>
    <xf numFmtId="0" fontId="69" fillId="0" borderId="0" xfId="27" applyFont="1" applyAlignment="1">
      <alignment vertical="center"/>
    </xf>
    <xf numFmtId="0" fontId="25" fillId="0" borderId="0" xfId="23" applyFont="1" applyAlignment="1">
      <alignment horizontal="left" vertical="top" wrapText="1"/>
    </xf>
    <xf numFmtId="0" fontId="41" fillId="0" borderId="0" xfId="23" applyFont="1" applyAlignment="1">
      <alignment horizontal="left" vertical="top" wrapText="1"/>
    </xf>
    <xf numFmtId="0" fontId="41" fillId="0" borderId="0" xfId="23" applyFont="1" applyAlignment="1">
      <alignment horizontal="left" vertical="top"/>
    </xf>
    <xf numFmtId="0" fontId="38" fillId="0" borderId="0" xfId="23" applyFont="1" applyAlignment="1">
      <alignment horizontal="center" vertical="top"/>
    </xf>
    <xf numFmtId="0" fontId="18" fillId="0" borderId="23" xfId="23" applyFont="1" applyBorder="1" applyAlignment="1">
      <alignment horizontal="center" vertical="top"/>
    </xf>
    <xf numFmtId="0" fontId="18" fillId="0" borderId="23" xfId="23" applyFont="1" applyBorder="1" applyAlignment="1">
      <alignment horizontal="center" vertical="top" wrapText="1"/>
    </xf>
    <xf numFmtId="0" fontId="41" fillId="0" borderId="23" xfId="23" applyFont="1" applyBorder="1" applyAlignment="1">
      <alignment horizontal="center" vertical="top" wrapText="1"/>
    </xf>
    <xf numFmtId="0" fontId="41" fillId="0" borderId="23" xfId="23" applyFont="1" applyBorder="1" applyAlignment="1">
      <alignment vertical="top"/>
    </xf>
    <xf numFmtId="0" fontId="41" fillId="0" borderId="23" xfId="23" applyFont="1" applyBorder="1" applyAlignment="1">
      <alignment horizontal="justify" vertical="top" wrapText="1"/>
    </xf>
    <xf numFmtId="0" fontId="41" fillId="0" borderId="23" xfId="23" applyFont="1" applyBorder="1" applyAlignment="1">
      <alignment vertical="top" wrapText="1"/>
    </xf>
    <xf numFmtId="0" fontId="41" fillId="0" borderId="23" xfId="23" applyFont="1" applyBorder="1" applyAlignment="1">
      <alignment horizontal="left" vertical="top"/>
    </xf>
    <xf numFmtId="0" fontId="41" fillId="0" borderId="23" xfId="0" applyFont="1" applyBorder="1" applyAlignment="1">
      <alignment horizontal="justify" vertical="top" wrapText="1"/>
    </xf>
    <xf numFmtId="0" fontId="41" fillId="0" borderId="23" xfId="24" applyFont="1" applyBorder="1" applyAlignment="1">
      <alignment horizontal="center" vertical="top" wrapText="1"/>
    </xf>
    <xf numFmtId="0" fontId="41" fillId="0" borderId="23" xfId="24" applyFont="1" applyBorder="1" applyAlignment="1">
      <alignment horizontal="left" vertical="top"/>
    </xf>
    <xf numFmtId="0" fontId="41" fillId="0" borderId="23" xfId="25" applyFont="1" applyBorder="1" applyAlignment="1">
      <alignment horizontal="center" vertical="top" wrapText="1"/>
    </xf>
    <xf numFmtId="0" fontId="41" fillId="0" borderId="23" xfId="25" applyFont="1" applyBorder="1" applyAlignment="1">
      <alignment horizontal="left" vertical="top"/>
    </xf>
    <xf numFmtId="0" fontId="41" fillId="0" borderId="23" xfId="0" applyFont="1" applyBorder="1" applyAlignment="1">
      <alignment horizontal="center" vertical="top" wrapText="1"/>
    </xf>
    <xf numFmtId="0" fontId="41" fillId="0" borderId="23" xfId="0" applyFont="1" applyBorder="1" applyAlignment="1">
      <alignment horizontal="left" vertical="top"/>
    </xf>
    <xf numFmtId="0" fontId="41" fillId="0" borderId="23" xfId="25" applyFont="1" applyBorder="1" applyAlignment="1">
      <alignment horizontal="left" vertical="top" wrapText="1"/>
    </xf>
    <xf numFmtId="170" fontId="41" fillId="0" borderId="0" xfId="0" applyNumberFormat="1" applyFont="1" applyAlignment="1">
      <alignment horizontal="left" vertical="center" wrapText="1"/>
    </xf>
    <xf numFmtId="0" fontId="41" fillId="0" borderId="0" xfId="0" applyFont="1" applyAlignment="1">
      <alignment horizontal="justify" vertical="top" wrapText="1"/>
    </xf>
    <xf numFmtId="0" fontId="41" fillId="0" borderId="0" xfId="0" applyFont="1" applyAlignment="1">
      <alignment horizontal="left" vertical="top" wrapText="1"/>
    </xf>
    <xf numFmtId="0" fontId="41" fillId="0" borderId="20" xfId="0" applyFont="1" applyBorder="1" applyAlignment="1">
      <alignment horizontal="center" vertical="center" wrapText="1"/>
    </xf>
    <xf numFmtId="0" fontId="41" fillId="0" borderId="22" xfId="0" applyFont="1" applyBorder="1" applyAlignment="1">
      <alignment horizontal="left" vertical="center" wrapText="1"/>
    </xf>
    <xf numFmtId="0" fontId="41" fillId="0" borderId="22" xfId="0" applyFont="1" applyBorder="1" applyAlignment="1">
      <alignment horizontal="center" vertical="center" wrapText="1"/>
    </xf>
    <xf numFmtId="0" fontId="41" fillId="0" borderId="23" xfId="0" applyFont="1" applyBorder="1" applyAlignment="1">
      <alignment horizontal="left" vertical="center" wrapText="1"/>
    </xf>
    <xf numFmtId="0" fontId="41" fillId="0" borderId="23" xfId="0" applyFont="1" applyBorder="1" applyAlignment="1">
      <alignment horizontal="center" vertical="center" wrapText="1"/>
    </xf>
    <xf numFmtId="171" fontId="41" fillId="0" borderId="23" xfId="0" applyNumberFormat="1" applyFont="1" applyBorder="1" applyAlignment="1">
      <alignment horizontal="center" vertical="center" wrapText="1"/>
    </xf>
    <xf numFmtId="0" fontId="18" fillId="0" borderId="0" xfId="0" applyFont="1" applyAlignment="1">
      <alignment horizontal="left" vertical="top"/>
    </xf>
    <xf numFmtId="0" fontId="41" fillId="0" borderId="0" xfId="23" applyFont="1" applyAlignment="1">
      <alignment horizontal="justify" vertical="top" wrapText="1"/>
    </xf>
    <xf numFmtId="0" fontId="41" fillId="0" borderId="0" xfId="23" applyFont="1" applyAlignment="1">
      <alignment horizontal="left" wrapText="1"/>
    </xf>
    <xf numFmtId="0" fontId="45" fillId="0" borderId="0" xfId="23" applyFont="1" applyAlignment="1">
      <alignment horizontal="center" wrapText="1"/>
    </xf>
    <xf numFmtId="0" fontId="18" fillId="0" borderId="30" xfId="0" applyFont="1" applyBorder="1" applyAlignment="1">
      <alignment horizontal="center" vertical="center"/>
    </xf>
    <xf numFmtId="0" fontId="18" fillId="0" borderId="24" xfId="24" applyFont="1" applyBorder="1" applyAlignment="1">
      <alignment horizontal="center" vertical="top"/>
    </xf>
    <xf numFmtId="175" fontId="25" fillId="0" borderId="20" xfId="24" applyNumberFormat="1" applyFont="1" applyBorder="1" applyAlignment="1">
      <alignment horizontal="center" vertical="center"/>
    </xf>
    <xf numFmtId="171" fontId="25" fillId="0" borderId="20" xfId="24" applyNumberFormat="1" applyFont="1" applyBorder="1" applyAlignment="1">
      <alignment horizontal="center" vertical="center"/>
    </xf>
    <xf numFmtId="0" fontId="25" fillId="0" borderId="20" xfId="24" applyFont="1" applyBorder="1" applyAlignment="1">
      <alignment horizontal="center" vertical="top"/>
    </xf>
    <xf numFmtId="0" fontId="18" fillId="0" borderId="22" xfId="0" applyFont="1" applyBorder="1" applyAlignment="1">
      <alignment horizontal="center" vertical="center"/>
    </xf>
    <xf numFmtId="0" fontId="41" fillId="0" borderId="22" xfId="24" applyFont="1" applyBorder="1" applyAlignment="1">
      <alignment horizontal="left" vertical="top"/>
    </xf>
    <xf numFmtId="1" fontId="41" fillId="0" borderId="22" xfId="24" applyNumberFormat="1" applyFont="1" applyBorder="1" applyAlignment="1">
      <alignment horizontal="right" vertical="top"/>
    </xf>
    <xf numFmtId="0" fontId="18" fillId="0" borderId="23" xfId="0" applyFont="1" applyBorder="1" applyAlignment="1">
      <alignment horizontal="center" vertical="center"/>
    </xf>
    <xf numFmtId="1" fontId="41" fillId="0" borderId="23" xfId="24" applyNumberFormat="1" applyFont="1" applyBorder="1" applyAlignment="1">
      <alignment horizontal="right" vertical="top"/>
    </xf>
    <xf numFmtId="176" fontId="41" fillId="0" borderId="23" xfId="24" applyNumberFormat="1" applyFont="1" applyBorder="1" applyAlignment="1">
      <alignment horizontal="right" vertical="top"/>
    </xf>
    <xf numFmtId="0" fontId="18" fillId="0" borderId="31" xfId="0" applyFont="1" applyBorder="1" applyAlignment="1">
      <alignment horizontal="center" vertical="center"/>
    </xf>
    <xf numFmtId="0" fontId="18" fillId="0" borderId="20" xfId="24" applyFont="1" applyBorder="1" applyAlignment="1">
      <alignment horizontal="center" vertical="top"/>
    </xf>
    <xf numFmtId="1" fontId="18" fillId="0" borderId="20" xfId="24" applyNumberFormat="1" applyFont="1" applyBorder="1" applyAlignment="1">
      <alignment horizontal="right" vertical="top"/>
    </xf>
    <xf numFmtId="176" fontId="18" fillId="0" borderId="20" xfId="24" applyNumberFormat="1" applyFont="1" applyBorder="1" applyAlignment="1">
      <alignment horizontal="right" vertical="top"/>
    </xf>
    <xf numFmtId="0" fontId="25" fillId="0" borderId="22" xfId="24" applyFont="1" applyBorder="1" applyAlignment="1">
      <alignment horizontal="center" vertical="top"/>
    </xf>
    <xf numFmtId="0" fontId="18" fillId="0" borderId="24" xfId="0" applyFont="1" applyBorder="1" applyAlignment="1">
      <alignment horizontal="center" vertical="center"/>
    </xf>
    <xf numFmtId="0" fontId="41" fillId="0" borderId="24" xfId="24" applyFont="1" applyBorder="1" applyAlignment="1">
      <alignment horizontal="left" vertical="top"/>
    </xf>
    <xf numFmtId="1" fontId="41" fillId="0" borderId="24" xfId="24" applyNumberFormat="1" applyFont="1" applyBorder="1" applyAlignment="1">
      <alignment horizontal="right" vertical="top"/>
    </xf>
    <xf numFmtId="0" fontId="18" fillId="0" borderId="32" xfId="0" applyFont="1" applyBorder="1" applyAlignment="1">
      <alignment horizontal="center" vertical="center"/>
    </xf>
    <xf numFmtId="0" fontId="18" fillId="0" borderId="33" xfId="24" applyFont="1" applyBorder="1" applyAlignment="1">
      <alignment horizontal="center" vertical="center"/>
    </xf>
    <xf numFmtId="171" fontId="18" fillId="0" borderId="33" xfId="24" applyNumberFormat="1" applyFont="1" applyBorder="1" applyAlignment="1">
      <alignment horizontal="center" vertical="center"/>
    </xf>
    <xf numFmtId="0" fontId="18" fillId="0" borderId="34" xfId="24" applyFont="1" applyBorder="1" applyAlignment="1">
      <alignment horizontal="center" vertical="center" wrapText="1"/>
    </xf>
    <xf numFmtId="0" fontId="41" fillId="0" borderId="23" xfId="0" applyFont="1" applyBorder="1" applyAlignment="1">
      <alignment horizontal="center" vertical="center"/>
    </xf>
    <xf numFmtId="176" fontId="41" fillId="0" borderId="24" xfId="24" applyNumberFormat="1" applyFont="1" applyBorder="1" applyAlignment="1">
      <alignment horizontal="right" vertical="top"/>
    </xf>
    <xf numFmtId="0" fontId="41" fillId="0" borderId="24" xfId="0" applyFont="1" applyBorder="1" applyAlignment="1">
      <alignment horizontal="center" vertical="center"/>
    </xf>
    <xf numFmtId="0" fontId="41" fillId="0" borderId="32" xfId="0" applyFont="1" applyBorder="1" applyAlignment="1">
      <alignment horizontal="center" vertical="center"/>
    </xf>
    <xf numFmtId="0" fontId="18" fillId="0" borderId="33" xfId="24" applyFont="1" applyBorder="1" applyAlignment="1">
      <alignment horizontal="right" vertical="top"/>
    </xf>
    <xf numFmtId="1" fontId="18" fillId="0" borderId="33" xfId="24" applyNumberFormat="1" applyFont="1" applyBorder="1" applyAlignment="1">
      <alignment horizontal="right" vertical="top"/>
    </xf>
    <xf numFmtId="176" fontId="18" fillId="0" borderId="34" xfId="24" applyNumberFormat="1" applyFont="1" applyBorder="1" applyAlignment="1">
      <alignment horizontal="right" vertical="top"/>
    </xf>
    <xf numFmtId="166" fontId="41" fillId="0" borderId="22" xfId="24" applyNumberFormat="1" applyFont="1" applyBorder="1" applyAlignment="1">
      <alignment horizontal="left" vertical="top"/>
    </xf>
    <xf numFmtId="1" fontId="41" fillId="0" borderId="22" xfId="24" applyNumberFormat="1" applyFont="1" applyBorder="1" applyAlignment="1">
      <alignment horizontal="right" vertical="center"/>
    </xf>
    <xf numFmtId="0" fontId="69" fillId="0" borderId="0" xfId="14" applyFont="1" applyAlignment="1">
      <alignment vertical="top" wrapText="1"/>
    </xf>
    <xf numFmtId="0" fontId="71" fillId="0" borderId="0" xfId="0" applyFont="1" applyAlignment="1">
      <alignment vertical="top" wrapText="1"/>
    </xf>
    <xf numFmtId="0" fontId="18" fillId="0" borderId="20" xfId="24" applyFont="1" applyBorder="1" applyAlignment="1">
      <alignment horizontal="right" vertical="top"/>
    </xf>
    <xf numFmtId="171" fontId="18" fillId="0" borderId="35" xfId="24" applyNumberFormat="1" applyFont="1" applyBorder="1" applyAlignment="1">
      <alignment horizontal="center" vertical="center"/>
    </xf>
    <xf numFmtId="0" fontId="18" fillId="0" borderId="16" xfId="24" applyFont="1" applyBorder="1" applyAlignment="1">
      <alignment horizontal="center" vertical="top"/>
    </xf>
    <xf numFmtId="0" fontId="41" fillId="0" borderId="22" xfId="24" applyFont="1" applyBorder="1" applyAlignment="1">
      <alignment horizontal="left" vertical="top" wrapText="1"/>
    </xf>
    <xf numFmtId="0" fontId="41" fillId="0" borderId="23" xfId="24" applyFont="1" applyBorder="1" applyAlignment="1">
      <alignment horizontal="center" vertical="top"/>
    </xf>
    <xf numFmtId="0" fontId="41" fillId="0" borderId="0" xfId="24" applyFont="1" applyAlignment="1">
      <alignment horizontal="left" vertical="top" wrapText="1"/>
    </xf>
    <xf numFmtId="1" fontId="41" fillId="0" borderId="23" xfId="24" applyNumberFormat="1" applyFont="1" applyBorder="1" applyAlignment="1">
      <alignment horizontal="left" vertical="top" wrapText="1"/>
    </xf>
    <xf numFmtId="2" fontId="41" fillId="0" borderId="23" xfId="24" applyNumberFormat="1" applyFont="1" applyBorder="1" applyAlignment="1">
      <alignment horizontal="right" vertical="top" wrapText="1"/>
    </xf>
    <xf numFmtId="0" fontId="18" fillId="0" borderId="19" xfId="24" applyFont="1" applyBorder="1" applyAlignment="1">
      <alignment horizontal="center" vertical="top" wrapText="1"/>
    </xf>
    <xf numFmtId="2" fontId="18" fillId="0" borderId="19" xfId="24" applyNumberFormat="1" applyFont="1" applyBorder="1" applyAlignment="1">
      <alignment horizontal="right" vertical="top" wrapText="1"/>
    </xf>
    <xf numFmtId="0" fontId="41" fillId="0" borderId="13" xfId="0" applyFont="1" applyBorder="1" applyAlignment="1">
      <alignment horizontal="justify" vertical="top" wrapText="1"/>
    </xf>
    <xf numFmtId="0" fontId="41" fillId="0" borderId="10" xfId="0" applyFont="1" applyBorder="1" applyAlignment="1">
      <alignment horizontal="center" vertical="center"/>
    </xf>
    <xf numFmtId="0" fontId="18" fillId="0" borderId="38" xfId="0" applyFont="1" applyBorder="1" applyAlignment="1">
      <alignment horizontal="center" vertical="center"/>
    </xf>
    <xf numFmtId="171" fontId="18" fillId="0" borderId="39" xfId="0" applyNumberFormat="1" applyFont="1" applyBorder="1" applyAlignment="1">
      <alignment horizontal="right" vertical="top"/>
    </xf>
    <xf numFmtId="0" fontId="18" fillId="0" borderId="40" xfId="0" applyFont="1" applyBorder="1" applyAlignment="1">
      <alignment horizontal="center" vertical="top"/>
    </xf>
    <xf numFmtId="0" fontId="41" fillId="0" borderId="3" xfId="0" applyFont="1" applyBorder="1" applyAlignment="1">
      <alignment horizontal="center" vertical="center"/>
    </xf>
    <xf numFmtId="175" fontId="18" fillId="0" borderId="33" xfId="0" applyNumberFormat="1" applyFont="1" applyBorder="1" applyAlignment="1">
      <alignment horizontal="right" vertical="top"/>
    </xf>
    <xf numFmtId="0" fontId="18" fillId="0" borderId="34" xfId="0" applyFont="1" applyBorder="1" applyAlignment="1">
      <alignment horizontal="center" vertical="top"/>
    </xf>
    <xf numFmtId="0" fontId="18" fillId="0" borderId="23" xfId="0" applyFont="1" applyBorder="1" applyAlignment="1">
      <alignment horizontal="left" vertical="top"/>
    </xf>
    <xf numFmtId="1" fontId="41" fillId="0" borderId="23" xfId="0" applyNumberFormat="1" applyFont="1" applyBorder="1" applyAlignment="1">
      <alignment horizontal="right" vertical="top"/>
    </xf>
    <xf numFmtId="176" fontId="41" fillId="0" borderId="22" xfId="0" applyNumberFormat="1" applyFont="1" applyBorder="1" applyAlignment="1">
      <alignment horizontal="right" vertical="top"/>
    </xf>
    <xf numFmtId="0" fontId="18" fillId="0" borderId="33" xfId="0" applyFont="1" applyBorder="1" applyAlignment="1">
      <alignment horizontal="right" vertical="top"/>
    </xf>
    <xf numFmtId="1" fontId="18" fillId="0" borderId="33" xfId="0" applyNumberFormat="1" applyFont="1" applyBorder="1" applyAlignment="1">
      <alignment horizontal="right" vertical="top"/>
    </xf>
    <xf numFmtId="0" fontId="45" fillId="0" borderId="20" xfId="0" applyFont="1" applyBorder="1" applyAlignment="1">
      <alignment horizontal="center" vertical="center" wrapText="1"/>
    </xf>
    <xf numFmtId="0" fontId="18" fillId="0" borderId="20" xfId="0" applyFont="1" applyBorder="1" applyAlignment="1">
      <alignment horizontal="center" vertical="top" wrapText="1"/>
    </xf>
    <xf numFmtId="0" fontId="46" fillId="0" borderId="22" xfId="0" applyFont="1" applyBorder="1" applyAlignment="1">
      <alignment horizontal="left" vertical="top" wrapText="1"/>
    </xf>
    <xf numFmtId="3" fontId="41" fillId="0" borderId="23" xfId="0" applyNumberFormat="1" applyFont="1" applyBorder="1" applyAlignment="1">
      <alignment horizontal="right" vertical="top" wrapText="1"/>
    </xf>
    <xf numFmtId="0" fontId="45" fillId="0" borderId="20" xfId="0" applyFont="1" applyBorder="1" applyAlignment="1">
      <alignment horizontal="center" wrapText="1"/>
    </xf>
    <xf numFmtId="3" fontId="18" fillId="0" borderId="20" xfId="0" applyNumberFormat="1" applyFont="1" applyBorder="1" applyAlignment="1">
      <alignment horizontal="right" vertical="top" wrapText="1"/>
    </xf>
    <xf numFmtId="166" fontId="46" fillId="0" borderId="22" xfId="0" applyNumberFormat="1" applyFont="1" applyBorder="1" applyAlignment="1">
      <alignment horizontal="left" vertical="top" wrapText="1"/>
    </xf>
    <xf numFmtId="0" fontId="45" fillId="0" borderId="19" xfId="0" applyFont="1" applyBorder="1" applyAlignment="1">
      <alignment horizontal="center" wrapText="1"/>
    </xf>
    <xf numFmtId="3" fontId="18" fillId="0" borderId="19" xfId="0" applyNumberFormat="1" applyFont="1" applyBorder="1" applyAlignment="1">
      <alignment horizontal="right" vertical="top" wrapText="1"/>
    </xf>
    <xf numFmtId="0" fontId="46" fillId="0" borderId="23" xfId="0" applyFont="1" applyBorder="1" applyAlignment="1">
      <alignment horizontal="left" vertical="top" wrapText="1"/>
    </xf>
    <xf numFmtId="0" fontId="46" fillId="0" borderId="23" xfId="0" applyFont="1" applyBorder="1" applyAlignment="1">
      <alignment horizontal="center" vertical="top" wrapText="1"/>
    </xf>
    <xf numFmtId="1" fontId="21" fillId="0" borderId="13" xfId="0" applyNumberFormat="1" applyFont="1" applyBorder="1" applyAlignment="1">
      <alignment horizontal="center" vertical="top"/>
    </xf>
    <xf numFmtId="1" fontId="21" fillId="0" borderId="0" xfId="0" applyNumberFormat="1" applyFont="1" applyAlignment="1">
      <alignment horizontal="center" vertical="top"/>
    </xf>
    <xf numFmtId="0" fontId="25" fillId="0" borderId="32" xfId="0" applyFont="1" applyBorder="1" applyAlignment="1">
      <alignment horizontal="center" vertical="center"/>
    </xf>
    <xf numFmtId="0" fontId="25" fillId="0" borderId="33" xfId="0" applyFont="1" applyBorder="1" applyAlignment="1">
      <alignment horizontal="center" vertical="center"/>
    </xf>
    <xf numFmtId="175" fontId="25" fillId="0" borderId="33" xfId="0" applyNumberFormat="1" applyFont="1" applyBorder="1" applyAlignment="1">
      <alignment horizontal="right" vertical="center"/>
    </xf>
    <xf numFmtId="0" fontId="25" fillId="0" borderId="33" xfId="0" applyFont="1" applyBorder="1" applyAlignment="1">
      <alignment horizontal="center" vertical="center" wrapText="1"/>
    </xf>
    <xf numFmtId="0" fontId="25" fillId="0" borderId="41" xfId="0" applyFont="1" applyBorder="1" applyAlignment="1">
      <alignment horizontal="center" vertical="center"/>
    </xf>
    <xf numFmtId="0" fontId="25" fillId="0" borderId="22" xfId="0" applyFont="1" applyBorder="1" applyAlignment="1">
      <alignment horizontal="left" vertical="top"/>
    </xf>
    <xf numFmtId="171" fontId="21" fillId="0" borderId="22" xfId="0" applyNumberFormat="1" applyFont="1" applyBorder="1" applyAlignment="1">
      <alignment horizontal="right" vertical="top"/>
    </xf>
    <xf numFmtId="0" fontId="21" fillId="0" borderId="22" xfId="0" applyFont="1" applyBorder="1" applyAlignment="1">
      <alignment horizontal="center" vertical="top"/>
    </xf>
    <xf numFmtId="0" fontId="21" fillId="0" borderId="23" xfId="0" applyFont="1" applyBorder="1" applyAlignment="1">
      <alignment horizontal="center" vertical="center"/>
    </xf>
    <xf numFmtId="181" fontId="41" fillId="0" borderId="23" xfId="0" applyNumberFormat="1" applyFont="1" applyBorder="1" applyAlignment="1">
      <alignment horizontal="right" vertical="top"/>
    </xf>
    <xf numFmtId="181" fontId="41" fillId="0" borderId="23" xfId="0" applyNumberFormat="1" applyFont="1" applyBorder="1" applyAlignment="1">
      <alignment horizontal="center" vertical="top"/>
    </xf>
    <xf numFmtId="0" fontId="21" fillId="0" borderId="32" xfId="0" applyFont="1" applyBorder="1" applyAlignment="1">
      <alignment horizontal="center" vertical="center"/>
    </xf>
    <xf numFmtId="0" fontId="25" fillId="0" borderId="33" xfId="0" applyFont="1" applyBorder="1" applyAlignment="1">
      <alignment horizontal="right" vertical="top"/>
    </xf>
    <xf numFmtId="181" fontId="25" fillId="0" borderId="33" xfId="0" applyNumberFormat="1" applyFont="1" applyBorder="1" applyAlignment="1">
      <alignment horizontal="right" vertical="top"/>
    </xf>
    <xf numFmtId="181" fontId="25" fillId="0" borderId="33" xfId="0" applyNumberFormat="1" applyFont="1" applyBorder="1" applyAlignment="1">
      <alignment horizontal="center" vertical="top"/>
    </xf>
    <xf numFmtId="0" fontId="21" fillId="0" borderId="41" xfId="0" applyFont="1" applyBorder="1" applyAlignment="1">
      <alignment horizontal="center" vertical="center"/>
    </xf>
    <xf numFmtId="171" fontId="25" fillId="0" borderId="22" xfId="0" applyNumberFormat="1" applyFont="1" applyBorder="1" applyAlignment="1">
      <alignment horizontal="right" vertical="top"/>
    </xf>
    <xf numFmtId="0" fontId="25" fillId="0" borderId="22" xfId="0" applyFont="1" applyBorder="1" applyAlignment="1">
      <alignment horizontal="center" vertical="top"/>
    </xf>
    <xf numFmtId="2" fontId="41" fillId="0" borderId="24" xfId="0" applyNumberFormat="1" applyFont="1" applyBorder="1" applyAlignment="1">
      <alignment horizontal="left"/>
    </xf>
    <xf numFmtId="0" fontId="41" fillId="0" borderId="0" xfId="24" applyFont="1" applyAlignment="1">
      <alignment horizontal="justify" vertical="top" wrapText="1"/>
    </xf>
    <xf numFmtId="170" fontId="54" fillId="0" borderId="0" xfId="0" applyNumberFormat="1" applyFont="1" applyAlignment="1">
      <alignment horizontal="left" vertical="center" wrapText="1"/>
    </xf>
    <xf numFmtId="0" fontId="41" fillId="0" borderId="0" xfId="24" applyFont="1" applyAlignment="1">
      <alignment vertical="top" wrapText="1"/>
    </xf>
    <xf numFmtId="0" fontId="41" fillId="0" borderId="0" xfId="21" applyFont="1" applyAlignment="1">
      <alignment horizontal="left" vertical="center" wrapText="1"/>
    </xf>
    <xf numFmtId="0" fontId="69" fillId="0" borderId="0" xfId="15" applyFont="1" applyAlignment="1">
      <alignment horizontal="justify" vertical="top" wrapText="1"/>
    </xf>
    <xf numFmtId="0" fontId="3" fillId="0" borderId="0" xfId="0" applyFont="1" applyAlignment="1">
      <alignment horizontal="center" vertical="center" wrapText="1"/>
    </xf>
    <xf numFmtId="0" fontId="7" fillId="0" borderId="0" xfId="0" applyFont="1" applyAlignment="1">
      <alignment horizontal="left" vertical="center" wrapText="1"/>
    </xf>
    <xf numFmtId="170" fontId="3" fillId="2" borderId="0" xfId="0" applyNumberFormat="1" applyFont="1" applyFill="1" applyAlignment="1">
      <alignment horizontal="left" vertical="center"/>
    </xf>
    <xf numFmtId="0" fontId="7" fillId="0" borderId="0" xfId="0" applyFont="1" applyAlignment="1">
      <alignment horizontal="center" vertical="center"/>
    </xf>
    <xf numFmtId="0" fontId="9" fillId="0" borderId="11" xfId="0" applyFont="1" applyBorder="1" applyAlignment="1">
      <alignment horizontal="center" wrapText="1"/>
    </xf>
    <xf numFmtId="0" fontId="66" fillId="0" borderId="11" xfId="0" applyFont="1" applyBorder="1" applyAlignment="1">
      <alignment horizontal="center" wrapText="1"/>
    </xf>
    <xf numFmtId="0" fontId="10" fillId="0" borderId="11" xfId="0" applyFont="1" applyBorder="1" applyAlignment="1">
      <alignment horizontal="center"/>
    </xf>
    <xf numFmtId="0" fontId="11" fillId="0" borderId="11" xfId="0" applyFont="1" applyBorder="1" applyAlignment="1">
      <alignment horizontal="center" vertical="center" wrapText="1"/>
    </xf>
    <xf numFmtId="0" fontId="13" fillId="0" borderId="11" xfId="0" applyFont="1" applyBorder="1" applyAlignment="1">
      <alignment horizontal="center" vertical="center" wrapText="1"/>
    </xf>
    <xf numFmtId="0" fontId="0" fillId="0" borderId="11" xfId="0" applyBorder="1" applyAlignment="1">
      <alignment horizontal="center"/>
    </xf>
    <xf numFmtId="0" fontId="14" fillId="0" borderId="11" xfId="0" applyFont="1" applyBorder="1" applyAlignment="1">
      <alignment horizontal="center"/>
    </xf>
    <xf numFmtId="0" fontId="11" fillId="0" borderId="11" xfId="0" applyFont="1" applyBorder="1" applyAlignment="1">
      <alignment horizontal="center"/>
    </xf>
    <xf numFmtId="0" fontId="15" fillId="0" borderId="11" xfId="0" applyFont="1" applyBorder="1" applyAlignment="1">
      <alignment horizontal="center" vertical="center" wrapText="1"/>
    </xf>
    <xf numFmtId="0" fontId="16" fillId="0" borderId="0" xfId="0" applyFont="1" applyAlignment="1">
      <alignment horizontal="center" vertical="top" wrapText="1"/>
    </xf>
    <xf numFmtId="0" fontId="17" fillId="0" borderId="0" xfId="0" applyFont="1" applyAlignment="1">
      <alignment horizontal="center" vertical="center"/>
    </xf>
    <xf numFmtId="0" fontId="18" fillId="0" borderId="4" xfId="0" applyFont="1" applyBorder="1" applyAlignment="1">
      <alignment horizontal="center"/>
    </xf>
    <xf numFmtId="0" fontId="21" fillId="0" borderId="0" xfId="0" applyFont="1" applyAlignment="1">
      <alignment horizontal="left" vertical="top" wrapText="1"/>
    </xf>
    <xf numFmtId="0" fontId="23" fillId="0" borderId="0" xfId="0" applyFont="1" applyAlignment="1">
      <alignment horizontal="justify" vertical="top" wrapText="1"/>
    </xf>
    <xf numFmtId="0" fontId="21" fillId="0" borderId="0" xfId="0" applyFont="1" applyAlignment="1">
      <alignment horizontal="justify" vertical="top" wrapText="1"/>
    </xf>
    <xf numFmtId="170" fontId="21" fillId="0" borderId="0" xfId="0" applyNumberFormat="1" applyFont="1" applyAlignment="1">
      <alignment horizontal="left" vertical="top"/>
    </xf>
    <xf numFmtId="0" fontId="26" fillId="0" borderId="0" xfId="0" applyFont="1" applyAlignment="1">
      <alignment horizontal="center"/>
    </xf>
    <xf numFmtId="0" fontId="16" fillId="0" borderId="7" xfId="0" applyFont="1" applyBorder="1" applyAlignment="1">
      <alignment horizontal="center" vertical="top" wrapText="1"/>
    </xf>
    <xf numFmtId="0" fontId="27" fillId="0" borderId="0" xfId="23" applyFont="1" applyAlignment="1">
      <alignment horizontal="center"/>
    </xf>
    <xf numFmtId="0" fontId="28" fillId="0" borderId="0" xfId="23" applyFont="1" applyAlignment="1">
      <alignment horizontal="center"/>
    </xf>
    <xf numFmtId="0" fontId="21" fillId="0" borderId="0" xfId="23" applyFont="1" applyAlignment="1">
      <alignment vertical="top" wrapText="1"/>
    </xf>
    <xf numFmtId="0" fontId="21" fillId="0" borderId="0" xfId="23" applyFont="1" applyAlignment="1">
      <alignment horizontal="justify" vertical="top" wrapText="1"/>
    </xf>
    <xf numFmtId="0" fontId="21" fillId="0" borderId="0" xfId="23" applyFont="1" applyAlignment="1">
      <alignment horizontal="justify" vertical="center" wrapText="1"/>
    </xf>
    <xf numFmtId="0" fontId="30" fillId="0" borderId="0" xfId="23" applyFont="1" applyAlignment="1">
      <alignment horizontal="center" vertical="center" wrapText="1"/>
    </xf>
    <xf numFmtId="49" fontId="21" fillId="0" borderId="0" xfId="23" applyNumberFormat="1" applyFont="1" applyAlignment="1">
      <alignment horizontal="left" vertical="center" wrapText="1"/>
    </xf>
    <xf numFmtId="170" fontId="21" fillId="0" borderId="0" xfId="23" applyNumberFormat="1" applyFont="1" applyAlignment="1">
      <alignment horizontal="left" vertical="center"/>
    </xf>
    <xf numFmtId="0" fontId="25" fillId="0" borderId="0" xfId="23" applyFont="1" applyAlignment="1">
      <alignment horizontal="left"/>
    </xf>
    <xf numFmtId="0" fontId="34" fillId="0" borderId="0" xfId="0" applyFont="1" applyAlignment="1">
      <alignment horizontal="center" vertical="center" wrapText="1"/>
    </xf>
    <xf numFmtId="0" fontId="25" fillId="0" borderId="0" xfId="0" applyFont="1" applyAlignment="1">
      <alignment horizontal="center" vertical="center" wrapText="1"/>
    </xf>
    <xf numFmtId="0" fontId="25" fillId="0" borderId="13" xfId="0" applyFont="1" applyBorder="1" applyAlignment="1">
      <alignment horizontal="center" vertical="center" wrapText="1"/>
    </xf>
    <xf numFmtId="0" fontId="21" fillId="0" borderId="16" xfId="0" applyFont="1" applyBorder="1" applyAlignment="1">
      <alignment vertical="center" wrapText="1"/>
    </xf>
    <xf numFmtId="0" fontId="21" fillId="0" borderId="16" xfId="0" applyFont="1" applyBorder="1" applyAlignment="1">
      <alignment horizontal="center" vertical="center" wrapText="1"/>
    </xf>
    <xf numFmtId="0" fontId="25" fillId="0" borderId="16" xfId="0" applyFont="1" applyBorder="1" applyAlignment="1">
      <alignment horizontal="center" vertical="top" wrapText="1"/>
    </xf>
    <xf numFmtId="0" fontId="25" fillId="0" borderId="16" xfId="0" applyFont="1" applyBorder="1" applyAlignment="1">
      <alignment vertical="center" wrapText="1"/>
    </xf>
    <xf numFmtId="0" fontId="34" fillId="0" borderId="16" xfId="0" applyFont="1" applyBorder="1" applyAlignment="1">
      <alignment vertical="center" wrapText="1"/>
    </xf>
    <xf numFmtId="0" fontId="21" fillId="0" borderId="17" xfId="0" applyFont="1" applyBorder="1" applyAlignment="1">
      <alignment horizontal="center" vertical="top" wrapText="1"/>
    </xf>
    <xf numFmtId="0" fontId="21" fillId="0" borderId="15" xfId="0" applyFont="1" applyBorder="1" applyAlignment="1">
      <alignment horizontal="center" vertical="top" wrapText="1"/>
    </xf>
    <xf numFmtId="0" fontId="21" fillId="0" borderId="16" xfId="0" applyFont="1" applyBorder="1" applyAlignment="1">
      <alignment horizontal="justify" vertical="center" wrapText="1"/>
    </xf>
    <xf numFmtId="0" fontId="21" fillId="0" borderId="16" xfId="0" applyFont="1" applyBorder="1" applyAlignment="1">
      <alignment horizontal="center" vertical="top" wrapText="1"/>
    </xf>
    <xf numFmtId="0" fontId="36" fillId="0" borderId="16" xfId="0" applyFont="1" applyBorder="1" applyAlignment="1">
      <alignment horizontal="justify" vertical="center" wrapText="1"/>
    </xf>
    <xf numFmtId="0" fontId="37" fillId="0" borderId="17"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5" xfId="0" applyFont="1" applyBorder="1" applyAlignment="1">
      <alignment horizontal="center" vertical="center" wrapText="1"/>
    </xf>
    <xf numFmtId="0" fontId="38" fillId="0" borderId="16" xfId="0" applyFont="1" applyBorder="1" applyAlignment="1">
      <alignment vertical="center" wrapText="1"/>
    </xf>
    <xf numFmtId="0" fontId="34" fillId="0" borderId="9" xfId="0" applyFont="1" applyBorder="1" applyAlignment="1">
      <alignment horizontal="center" vertical="center" wrapText="1"/>
    </xf>
    <xf numFmtId="0" fontId="38" fillId="0" borderId="18" xfId="0" applyFont="1" applyBorder="1" applyAlignment="1">
      <alignment vertical="center" wrapText="1"/>
    </xf>
    <xf numFmtId="0" fontId="34" fillId="0" borderId="15" xfId="0" applyFont="1" applyBorder="1" applyAlignment="1">
      <alignment vertical="center" wrapText="1"/>
    </xf>
    <xf numFmtId="0" fontId="34" fillId="0" borderId="16" xfId="0" applyFont="1" applyBorder="1" applyAlignment="1">
      <alignment horizontal="center" vertical="center" wrapText="1"/>
    </xf>
    <xf numFmtId="0" fontId="39" fillId="0" borderId="16" xfId="0" applyFont="1" applyBorder="1" applyAlignment="1">
      <alignment horizontal="left" vertical="top" wrapText="1"/>
    </xf>
    <xf numFmtId="0" fontId="39" fillId="0" borderId="16" xfId="0" applyFont="1" applyBorder="1" applyAlignment="1">
      <alignment horizontal="justify" vertical="center" wrapText="1"/>
    </xf>
    <xf numFmtId="0" fontId="25" fillId="0" borderId="16" xfId="0" applyFont="1" applyBorder="1" applyAlignment="1">
      <alignment horizontal="center" vertical="center" wrapText="1"/>
    </xf>
    <xf numFmtId="0" fontId="40" fillId="0" borderId="16" xfId="0" applyFont="1" applyBorder="1" applyAlignment="1">
      <alignment vertical="center" wrapText="1"/>
    </xf>
    <xf numFmtId="0" fontId="25" fillId="0" borderId="16" xfId="0" applyFont="1" applyBorder="1" applyAlignment="1">
      <alignment horizontal="justify" vertical="center" wrapText="1"/>
    </xf>
    <xf numFmtId="0" fontId="21" fillId="0" borderId="7" xfId="0" applyFont="1" applyBorder="1" applyAlignment="1">
      <alignment vertical="center" wrapText="1"/>
    </xf>
    <xf numFmtId="0" fontId="21" fillId="0" borderId="0" xfId="0" applyFont="1" applyAlignment="1">
      <alignment vertical="center" wrapText="1"/>
    </xf>
    <xf numFmtId="0" fontId="33" fillId="0" borderId="0" xfId="0" applyFont="1" applyAlignment="1">
      <alignment horizontal="center" vertical="top" wrapText="1"/>
    </xf>
    <xf numFmtId="170" fontId="7" fillId="0" borderId="0" xfId="0" applyNumberFormat="1" applyFont="1" applyAlignment="1">
      <alignment horizontal="left"/>
    </xf>
    <xf numFmtId="0" fontId="34" fillId="0" borderId="0" xfId="0" applyFont="1" applyAlignment="1">
      <alignment horizontal="center"/>
    </xf>
    <xf numFmtId="0" fontId="21" fillId="0" borderId="19" xfId="0" applyFont="1" applyBorder="1" applyAlignment="1">
      <alignment horizontal="center" wrapText="1"/>
    </xf>
    <xf numFmtId="0" fontId="25" fillId="0" borderId="20" xfId="0" applyFont="1" applyBorder="1" applyAlignment="1">
      <alignment vertical="top" wrapText="1"/>
    </xf>
    <xf numFmtId="0" fontId="25" fillId="0" borderId="20" xfId="0" applyFont="1" applyBorder="1" applyAlignment="1">
      <alignment horizontal="center" vertical="top" wrapText="1"/>
    </xf>
    <xf numFmtId="0" fontId="21" fillId="0" borderId="23" xfId="0" applyFont="1" applyBorder="1" applyAlignment="1">
      <alignment vertical="top" wrapText="1"/>
    </xf>
    <xf numFmtId="0" fontId="21" fillId="0" borderId="23" xfId="0" applyFont="1" applyBorder="1" applyAlignment="1">
      <alignment horizontal="center" vertical="top" wrapText="1"/>
    </xf>
    <xf numFmtId="0" fontId="21" fillId="0" borderId="23" xfId="0" applyFont="1" applyBorder="1" applyAlignment="1">
      <alignment horizontal="justify" vertical="top" wrapText="1"/>
    </xf>
    <xf numFmtId="0" fontId="25" fillId="0" borderId="23" xfId="0" applyFont="1" applyBorder="1" applyAlignment="1">
      <alignment wrapText="1"/>
    </xf>
    <xf numFmtId="0" fontId="33" fillId="0" borderId="23" xfId="0" applyFont="1" applyBorder="1" applyAlignment="1">
      <alignment horizontal="center" vertical="top" wrapText="1"/>
    </xf>
    <xf numFmtId="0" fontId="25" fillId="0" borderId="23" xfId="0" applyFont="1" applyBorder="1" applyAlignment="1">
      <alignment horizontal="justify" vertical="top" wrapText="1"/>
    </xf>
    <xf numFmtId="0" fontId="25" fillId="0" borderId="23" xfId="0" applyFont="1" applyBorder="1" applyAlignment="1">
      <alignment vertical="top" wrapText="1"/>
    </xf>
    <xf numFmtId="0" fontId="25" fillId="0" borderId="23" xfId="0" applyFont="1" applyBorder="1" applyAlignment="1">
      <alignment horizontal="center" vertical="top" wrapText="1"/>
    </xf>
    <xf numFmtId="170" fontId="41" fillId="0" borderId="0" xfId="0" applyNumberFormat="1" applyFont="1" applyAlignment="1">
      <alignment horizontal="left"/>
    </xf>
    <xf numFmtId="0" fontId="21" fillId="0" borderId="0" xfId="0" applyFont="1" applyAlignment="1">
      <alignment vertical="top" wrapText="1"/>
    </xf>
    <xf numFmtId="0" fontId="34" fillId="0" borderId="24" xfId="0" applyFont="1" applyBorder="1" applyAlignment="1">
      <alignment horizontal="center" vertical="top" wrapText="1"/>
    </xf>
    <xf numFmtId="0" fontId="21" fillId="0" borderId="25" xfId="0" applyFont="1" applyBorder="1" applyAlignment="1">
      <alignment horizontal="center" vertical="top"/>
    </xf>
    <xf numFmtId="0" fontId="21" fillId="0" borderId="22" xfId="0" applyFont="1" applyBorder="1" applyAlignment="1">
      <alignment horizontal="center" vertical="top" wrapText="1"/>
    </xf>
    <xf numFmtId="0" fontId="25" fillId="0" borderId="23" xfId="0" applyFont="1" applyBorder="1" applyAlignment="1">
      <alignment horizontal="center" vertical="center"/>
    </xf>
    <xf numFmtId="168" fontId="25" fillId="0" borderId="0" xfId="0" applyNumberFormat="1" applyFont="1" applyAlignment="1">
      <alignment horizontal="left" vertical="center"/>
    </xf>
    <xf numFmtId="0" fontId="25" fillId="0" borderId="24" xfId="0" applyFont="1" applyBorder="1" applyAlignment="1">
      <alignment horizontal="center"/>
    </xf>
    <xf numFmtId="170" fontId="21" fillId="0" borderId="0" xfId="0" applyNumberFormat="1" applyFont="1" applyAlignment="1">
      <alignment horizontal="left" vertical="center"/>
    </xf>
    <xf numFmtId="0" fontId="34" fillId="0" borderId="25" xfId="0" applyFont="1" applyBorder="1" applyAlignment="1">
      <alignment horizontal="center"/>
    </xf>
    <xf numFmtId="0" fontId="49" fillId="0" borderId="0" xfId="0" applyFont="1" applyAlignment="1">
      <alignment horizontal="center" vertical="top"/>
    </xf>
    <xf numFmtId="0" fontId="25" fillId="0" borderId="0" xfId="0" applyFont="1" applyAlignment="1">
      <alignment horizontal="center" vertical="top"/>
    </xf>
    <xf numFmtId="0" fontId="34" fillId="0" borderId="0" xfId="0" applyFont="1" applyAlignment="1">
      <alignment horizontal="center" vertical="top" wrapText="1"/>
    </xf>
    <xf numFmtId="0" fontId="57" fillId="0" borderId="0" xfId="0" applyFont="1" applyAlignment="1">
      <alignment horizontal="center"/>
    </xf>
    <xf numFmtId="0" fontId="3" fillId="0" borderId="16" xfId="0" applyFont="1" applyBorder="1" applyAlignment="1">
      <alignment horizontal="justify" vertical="top" wrapText="1"/>
    </xf>
  </cellXfs>
  <cellStyles count="28">
    <cellStyle name="Comma 2" xfId="1" xr:uid="{00000000-0005-0000-0000-000006000000}"/>
    <cellStyle name="Comma 3" xfId="2" xr:uid="{00000000-0005-0000-0000-000007000000}"/>
    <cellStyle name="Comma 4" xfId="3" xr:uid="{00000000-0005-0000-0000-000008000000}"/>
    <cellStyle name="Comma 5" xfId="4" xr:uid="{00000000-0005-0000-0000-000009000000}"/>
    <cellStyle name="Comma 5 2" xfId="5" xr:uid="{00000000-0005-0000-0000-00000A000000}"/>
    <cellStyle name="Comma 6" xfId="6" xr:uid="{00000000-0005-0000-0000-00000B000000}"/>
    <cellStyle name="Euro" xfId="7" xr:uid="{00000000-0005-0000-0000-00000C000000}"/>
    <cellStyle name="Hyperlink 2" xfId="8" xr:uid="{00000000-0005-0000-0000-00000D000000}"/>
    <cellStyle name="Normal" xfId="0" builtinId="0"/>
    <cellStyle name="Normal 2" xfId="9" xr:uid="{00000000-0005-0000-0000-00000E000000}"/>
    <cellStyle name="Normal 2 2" xfId="10" xr:uid="{00000000-0005-0000-0000-00000F000000}"/>
    <cellStyle name="Normal 3" xfId="11" xr:uid="{00000000-0005-0000-0000-000010000000}"/>
    <cellStyle name="Normal 3 2" xfId="12" xr:uid="{00000000-0005-0000-0000-000011000000}"/>
    <cellStyle name="Normal 4" xfId="13" xr:uid="{00000000-0005-0000-0000-000012000000}"/>
    <cellStyle name="Normal 5" xfId="14" xr:uid="{00000000-0005-0000-0000-000013000000}"/>
    <cellStyle name="Normal 5 2" xfId="15" xr:uid="{00000000-0005-0000-0000-000014000000}"/>
    <cellStyle name="Normal 6" xfId="16" xr:uid="{00000000-0005-0000-0000-000015000000}"/>
    <cellStyle name="Normal 7" xfId="17" xr:uid="{00000000-0005-0000-0000-000016000000}"/>
    <cellStyle name="Normal 7 2" xfId="18" xr:uid="{00000000-0005-0000-0000-000017000000}"/>
    <cellStyle name="Normal 8" xfId="19" xr:uid="{00000000-0005-0000-0000-000018000000}"/>
    <cellStyle name="Normal_BSPL 2004 NS" xfId="20" xr:uid="{00000000-0005-0000-0000-000019000000}"/>
    <cellStyle name="Normal_BSPL 2004 NS 2 2" xfId="27" xr:uid="{F76B8897-0F42-439E-B666-F3645C4A6833}"/>
    <cellStyle name="Normal_BSPL 2004 NS 3" xfId="26" xr:uid="{083C77A3-ABCC-425E-A6B7-E0F72FF7C4CA}"/>
    <cellStyle name="Normal_BSPL 2004 NS 4" xfId="21" xr:uid="{00000000-0005-0000-0000-00001D000000}"/>
    <cellStyle name="Normal_FY 2003-2004 " xfId="22" xr:uid="{00000000-0005-0000-0000-00001E000000}"/>
    <cellStyle name="Normal_Muktangan0506 2" xfId="23" xr:uid="{00000000-0005-0000-0000-000021000000}"/>
    <cellStyle name="Normal_Yogi2004" xfId="24" xr:uid="{00000000-0005-0000-0000-000022000000}"/>
    <cellStyle name="Style 1" xfId="25" xr:uid="{00000000-0005-0000-0000-00002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251460</xdr:colOff>
      <xdr:row>3</xdr:row>
      <xdr:rowOff>0</xdr:rowOff>
    </xdr:from>
    <xdr:to>
      <xdr:col>8</xdr:col>
      <xdr:colOff>194304</xdr:colOff>
      <xdr:row>6</xdr:row>
      <xdr:rowOff>81981</xdr:rowOff>
    </xdr:to>
    <xdr:sp macro="" textlink="">
      <xdr:nvSpPr>
        <xdr:cNvPr id="2" name="AutoShape 2">
          <a:extLst>
            <a:ext uri="{FF2B5EF4-FFF2-40B4-BE49-F238E27FC236}">
              <a16:creationId xmlns:a16="http://schemas.microsoft.com/office/drawing/2014/main" id="{73E93619-0F2E-438C-9FDB-76715A42CD7F}"/>
            </a:ext>
          </a:extLst>
        </xdr:cNvPr>
        <xdr:cNvSpPr>
          <a:spLocks noChangeArrowheads="1"/>
        </xdr:cNvSpPr>
      </xdr:nvSpPr>
      <xdr:spPr bwMode="auto">
        <a:xfrm>
          <a:off x="822960" y="822960"/>
          <a:ext cx="4629144" cy="676341"/>
        </a:xfrm>
        <a:prstGeom prst="ribbon2">
          <a:avLst>
            <a:gd name="adj1" fmla="val 12500"/>
            <a:gd name="adj2" fmla="val 50000"/>
          </a:avLst>
        </a:prstGeom>
        <a:solidFill>
          <a:srgbClr val="FFFFFF"/>
        </a:solidFill>
        <a:ln w="9525">
          <a:solidFill>
            <a:srgbClr val="000000"/>
          </a:solidFill>
          <a:round/>
          <a:headEnd/>
          <a:tailEnd/>
        </a:ln>
      </xdr:spPr>
      <xdr:txBody>
        <a:bodyPr vertOverflow="clip" wrap="square" lIns="91440" tIns="45720" rIns="91440" bIns="45720" anchor="ctr" upright="1"/>
        <a:lstStyle/>
        <a:p>
          <a:pPr algn="ctr" rtl="1">
            <a:defRPr sz="1000"/>
          </a:pPr>
          <a:r>
            <a:rPr lang="en-IN" sz="2900" b="1" i="0" strike="noStrike">
              <a:solidFill>
                <a:srgbClr val="000000"/>
              </a:solidFill>
              <a:latin typeface="Calibri"/>
              <a:cs typeface="Calibri"/>
            </a:rPr>
            <a:t>2025-2026</a:t>
          </a:r>
          <a:endParaRPr lang="en-IN" sz="2900" b="1" i="0" strike="noStrike">
            <a:solidFill>
              <a:srgbClr val="000000"/>
            </a:solidFill>
            <a:latin typeface="Times New Roman"/>
            <a:cs typeface="Times New Roman"/>
          </a:endParaRPr>
        </a:p>
        <a:p>
          <a:pPr algn="l" rtl="1">
            <a:defRPr sz="1000"/>
          </a:pPr>
          <a:endParaRPr lang="en-IN" sz="2900" b="1" i="0" strike="noStrike">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51"/>
  <sheetViews>
    <sheetView zoomScaleNormal="100" workbookViewId="0">
      <selection activeCell="D6" sqref="D6"/>
    </sheetView>
  </sheetViews>
  <sheetFormatPr defaultColWidth="8" defaultRowHeight="15.6" x14ac:dyDescent="0.3"/>
  <cols>
    <col min="1" max="1" width="10.19921875" style="2" customWidth="1"/>
    <col min="2" max="2" width="10.09765625" style="2" customWidth="1"/>
    <col min="3" max="3" width="3.19921875" style="2" customWidth="1"/>
    <col min="4" max="4" width="13.3984375" style="2" customWidth="1"/>
    <col min="5" max="5" width="12.19921875" style="2" customWidth="1"/>
    <col min="6" max="9" width="8" style="2"/>
    <col min="10" max="10" width="6.3984375" style="2" customWidth="1"/>
    <col min="11" max="11" width="2.3984375" style="2" customWidth="1"/>
    <col min="12" max="13" width="8" style="2"/>
    <col min="14" max="14" width="8.8984375" style="2" customWidth="1"/>
    <col min="15" max="257" width="8" style="2"/>
  </cols>
  <sheetData>
    <row r="1" spans="1:13" ht="12.75" customHeight="1" x14ac:dyDescent="0.3">
      <c r="A1" s="3"/>
      <c r="B1" s="3"/>
      <c r="C1" s="3"/>
      <c r="D1" s="3"/>
      <c r="E1" s="3"/>
      <c r="F1" s="3"/>
      <c r="G1" s="3"/>
      <c r="H1" s="3"/>
      <c r="I1" s="3"/>
      <c r="J1" s="3"/>
      <c r="K1" s="4"/>
    </row>
    <row r="2" spans="1:13" ht="19.5" customHeight="1" x14ac:dyDescent="0.3">
      <c r="A2" s="2" t="s">
        <v>0</v>
      </c>
      <c r="D2" s="5" t="s">
        <v>850</v>
      </c>
      <c r="K2" s="6"/>
      <c r="M2" s="2" t="str">
        <f>PROPER(D2)</f>
        <v>Prathamesh Harmony "B"  Wing Co-Operative Housing Society Ltd.</v>
      </c>
    </row>
    <row r="3" spans="1:13" ht="19.5" customHeight="1" x14ac:dyDescent="0.3">
      <c r="A3" s="2" t="s">
        <v>2</v>
      </c>
      <c r="D3" s="2" t="s">
        <v>3</v>
      </c>
      <c r="K3" s="6"/>
    </row>
    <row r="4" spans="1:13" ht="19.5" customHeight="1" x14ac:dyDescent="0.3">
      <c r="A4" s="7" t="s">
        <v>4</v>
      </c>
      <c r="D4" s="8" t="s">
        <v>5</v>
      </c>
      <c r="K4" s="6"/>
    </row>
    <row r="5" spans="1:13" ht="19.5" customHeight="1" x14ac:dyDescent="0.3">
      <c r="A5" s="7" t="s">
        <v>6</v>
      </c>
      <c r="D5" s="2" t="s">
        <v>7</v>
      </c>
      <c r="K5" s="6"/>
    </row>
    <row r="6" spans="1:13" ht="19.5" customHeight="1" x14ac:dyDescent="0.3">
      <c r="A6" s="2" t="s">
        <v>8</v>
      </c>
      <c r="D6" s="2" t="s">
        <v>9</v>
      </c>
      <c r="K6" s="6"/>
      <c r="M6" s="2" t="s">
        <v>10</v>
      </c>
    </row>
    <row r="7" spans="1:13" ht="19.5" customHeight="1" x14ac:dyDescent="0.3">
      <c r="A7" s="554" t="s">
        <v>11</v>
      </c>
      <c r="B7" s="2" t="s">
        <v>12</v>
      </c>
      <c r="D7" s="2" t="s">
        <v>13</v>
      </c>
      <c r="K7" s="6"/>
    </row>
    <row r="8" spans="1:13" ht="19.5" customHeight="1" x14ac:dyDescent="0.3">
      <c r="A8" s="554"/>
      <c r="B8" s="2" t="s">
        <v>14</v>
      </c>
      <c r="D8" s="2" t="s">
        <v>15</v>
      </c>
      <c r="K8" s="6"/>
      <c r="M8" s="9"/>
    </row>
    <row r="9" spans="1:13" ht="19.5" customHeight="1" x14ac:dyDescent="0.35">
      <c r="A9" s="2" t="s">
        <v>16</v>
      </c>
      <c r="B9" s="2" t="s">
        <v>0</v>
      </c>
      <c r="D9" s="10" t="s">
        <v>17</v>
      </c>
      <c r="E9" s="11"/>
      <c r="F9" s="10" t="s">
        <v>18</v>
      </c>
      <c r="G9" s="12"/>
      <c r="K9" s="6"/>
      <c r="M9" s="13" t="s">
        <v>19</v>
      </c>
    </row>
    <row r="10" spans="1:13" ht="19.5" customHeight="1" x14ac:dyDescent="0.3">
      <c r="A10" s="2" t="s">
        <v>20</v>
      </c>
      <c r="D10" s="14" t="s">
        <v>21</v>
      </c>
      <c r="E10" s="11"/>
      <c r="F10" s="11"/>
      <c r="G10" s="11"/>
      <c r="H10" s="11"/>
      <c r="I10" s="11"/>
      <c r="J10" s="11"/>
      <c r="K10" s="6"/>
    </row>
    <row r="11" spans="1:13" ht="19.5" customHeight="1" x14ac:dyDescent="0.3">
      <c r="B11" s="2" t="s">
        <v>8</v>
      </c>
      <c r="D11" s="555" t="s">
        <v>22</v>
      </c>
      <c r="E11" s="555"/>
      <c r="F11" s="555"/>
      <c r="G11" s="555"/>
      <c r="H11" s="555"/>
      <c r="I11" s="555"/>
      <c r="J11" s="555"/>
      <c r="K11" s="6"/>
    </row>
    <row r="12" spans="1:13" ht="19.5" customHeight="1" x14ac:dyDescent="0.3">
      <c r="A12" s="2" t="s">
        <v>23</v>
      </c>
      <c r="D12" s="15"/>
      <c r="E12" s="1"/>
      <c r="F12" s="1"/>
      <c r="G12" s="1"/>
      <c r="H12" s="1"/>
      <c r="I12" s="1"/>
      <c r="J12" s="1"/>
      <c r="K12" s="6"/>
    </row>
    <row r="13" spans="1:13" ht="19.5" customHeight="1" x14ac:dyDescent="0.3">
      <c r="A13" s="2" t="s">
        <v>24</v>
      </c>
      <c r="D13" s="556">
        <v>46277</v>
      </c>
      <c r="E13" s="556"/>
      <c r="F13" s="556"/>
      <c r="G13" s="12"/>
      <c r="K13" s="6"/>
    </row>
    <row r="14" spans="1:13" ht="19.5" customHeight="1" x14ac:dyDescent="0.3">
      <c r="A14" s="7" t="s">
        <v>25</v>
      </c>
      <c r="D14" s="16"/>
      <c r="K14" s="6"/>
    </row>
    <row r="15" spans="1:13" ht="19.5" customHeight="1" x14ac:dyDescent="0.3">
      <c r="A15" s="2" t="s">
        <v>26</v>
      </c>
      <c r="D15" s="17">
        <v>46266</v>
      </c>
      <c r="G15" s="12"/>
      <c r="K15" s="6"/>
    </row>
    <row r="16" spans="1:13" ht="19.5" customHeight="1" x14ac:dyDescent="0.3">
      <c r="A16" s="2" t="s">
        <v>27</v>
      </c>
      <c r="D16" s="17">
        <v>46276</v>
      </c>
      <c r="G16" s="12"/>
      <c r="K16" s="6"/>
    </row>
    <row r="17" spans="1:15" ht="19.5" customHeight="1" x14ac:dyDescent="0.3">
      <c r="A17" s="7" t="s">
        <v>28</v>
      </c>
      <c r="D17" s="17">
        <v>46277</v>
      </c>
      <c r="K17" s="6"/>
    </row>
    <row r="18" spans="1:15" ht="19.5" customHeight="1" x14ac:dyDescent="0.3">
      <c r="A18" s="7" t="s">
        <v>29</v>
      </c>
      <c r="D18" s="17">
        <v>45928</v>
      </c>
      <c r="F18" s="18" t="s">
        <v>30</v>
      </c>
      <c r="K18" s="6"/>
    </row>
    <row r="19" spans="1:15" ht="19.5" customHeight="1" x14ac:dyDescent="0.3">
      <c r="A19" s="7" t="s">
        <v>31</v>
      </c>
      <c r="D19" s="19" t="s">
        <v>32</v>
      </c>
      <c r="E19" s="20"/>
      <c r="H19" s="20"/>
      <c r="K19" s="6"/>
      <c r="N19" s="20">
        <v>45568</v>
      </c>
      <c r="O19" s="2" t="s">
        <v>33</v>
      </c>
    </row>
    <row r="20" spans="1:15" ht="19.5" customHeight="1" x14ac:dyDescent="0.3">
      <c r="A20" s="2" t="s">
        <v>34</v>
      </c>
      <c r="D20" s="21">
        <v>12</v>
      </c>
      <c r="K20" s="6"/>
    </row>
    <row r="21" spans="1:15" ht="19.5" customHeight="1" x14ac:dyDescent="0.3">
      <c r="A21" s="7" t="s">
        <v>35</v>
      </c>
      <c r="D21" s="2" t="s">
        <v>36</v>
      </c>
      <c r="K21" s="6"/>
    </row>
    <row r="22" spans="1:15" ht="19.5" customHeight="1" x14ac:dyDescent="0.3">
      <c r="A22" s="7" t="s">
        <v>37</v>
      </c>
      <c r="D22" s="22"/>
      <c r="K22" s="6"/>
    </row>
    <row r="23" spans="1:15" ht="19.5" customHeight="1" x14ac:dyDescent="0.3">
      <c r="A23" s="557" t="s">
        <v>38</v>
      </c>
      <c r="B23" s="2" t="s">
        <v>39</v>
      </c>
      <c r="D23" s="23">
        <v>2500</v>
      </c>
      <c r="K23" s="6"/>
    </row>
    <row r="24" spans="1:15" ht="19.5" customHeight="1" x14ac:dyDescent="0.3">
      <c r="A24" s="557"/>
      <c r="B24" s="2" t="s">
        <v>40</v>
      </c>
      <c r="D24" s="8" t="s">
        <v>41</v>
      </c>
      <c r="E24" s="8"/>
      <c r="K24" s="6"/>
    </row>
    <row r="25" spans="1:15" ht="19.5" customHeight="1" x14ac:dyDescent="0.3">
      <c r="A25" s="557"/>
      <c r="B25" s="2" t="s">
        <v>42</v>
      </c>
      <c r="D25" s="8"/>
      <c r="K25" s="6"/>
    </row>
    <row r="26" spans="1:15" ht="19.5" customHeight="1" x14ac:dyDescent="0.3">
      <c r="A26" s="2" t="s">
        <v>43</v>
      </c>
      <c r="B26" s="2" t="s">
        <v>0</v>
      </c>
      <c r="D26" s="20"/>
      <c r="F26" s="2" t="s">
        <v>44</v>
      </c>
      <c r="K26" s="6"/>
    </row>
    <row r="27" spans="1:15" ht="19.5" customHeight="1" x14ac:dyDescent="0.3">
      <c r="A27" s="7" t="s">
        <v>45</v>
      </c>
      <c r="D27" s="2" t="s">
        <v>32</v>
      </c>
      <c r="K27" s="6"/>
    </row>
    <row r="28" spans="1:15" ht="19.5" customHeight="1" x14ac:dyDescent="0.3">
      <c r="A28" s="555" t="s">
        <v>46</v>
      </c>
      <c r="B28" s="2" t="s">
        <v>39</v>
      </c>
      <c r="K28" s="6"/>
    </row>
    <row r="29" spans="1:15" ht="19.5" customHeight="1" x14ac:dyDescent="0.3">
      <c r="A29" s="555"/>
      <c r="B29" s="2" t="s">
        <v>47</v>
      </c>
      <c r="D29" s="8"/>
      <c r="K29" s="6"/>
    </row>
    <row r="30" spans="1:15" ht="19.5" customHeight="1" x14ac:dyDescent="0.3">
      <c r="A30" s="555"/>
      <c r="B30" s="2" t="s">
        <v>0</v>
      </c>
      <c r="K30" s="6"/>
    </row>
    <row r="31" spans="1:15" ht="19.5" customHeight="1" x14ac:dyDescent="0.3">
      <c r="A31" s="555"/>
      <c r="B31" s="2" t="s">
        <v>48</v>
      </c>
      <c r="D31" s="2" t="s">
        <v>49</v>
      </c>
      <c r="K31" s="6"/>
    </row>
    <row r="32" spans="1:15" ht="19.5" customHeight="1" x14ac:dyDescent="0.3">
      <c r="A32" s="24"/>
      <c r="B32" s="24"/>
      <c r="C32" s="24"/>
      <c r="D32" s="24"/>
      <c r="E32" s="24"/>
      <c r="F32" s="24"/>
      <c r="G32" s="24"/>
      <c r="H32" s="24"/>
      <c r="I32" s="24"/>
      <c r="J32" s="24"/>
      <c r="K32" s="25"/>
    </row>
    <row r="33" spans="2:6" ht="19.5" customHeight="1" x14ac:dyDescent="0.3"/>
    <row r="34" spans="2:6" ht="19.5" customHeight="1" x14ac:dyDescent="0.3"/>
    <row r="35" spans="2:6" ht="19.5" customHeight="1" x14ac:dyDescent="0.3">
      <c r="B35" s="2" t="s">
        <v>50</v>
      </c>
      <c r="D35" s="20"/>
    </row>
    <row r="36" spans="2:6" ht="19.5" customHeight="1" x14ac:dyDescent="0.3">
      <c r="B36" s="20"/>
      <c r="D36" s="20"/>
    </row>
    <row r="37" spans="2:6" ht="19.5" customHeight="1" x14ac:dyDescent="0.3">
      <c r="D37" s="20"/>
    </row>
    <row r="38" spans="2:6" ht="19.5" customHeight="1" x14ac:dyDescent="0.3">
      <c r="D38" s="20"/>
    </row>
    <row r="39" spans="2:6" ht="19.5" customHeight="1" x14ac:dyDescent="0.3">
      <c r="D39" s="20"/>
    </row>
    <row r="40" spans="2:6" ht="19.5" customHeight="1" x14ac:dyDescent="0.3">
      <c r="D40" s="20"/>
      <c r="E40" s="20"/>
      <c r="F40" s="20"/>
    </row>
    <row r="41" spans="2:6" ht="19.5" customHeight="1" x14ac:dyDescent="0.3">
      <c r="D41" s="20"/>
      <c r="E41" s="20"/>
      <c r="F41" s="20"/>
    </row>
    <row r="42" spans="2:6" ht="19.5" customHeight="1" x14ac:dyDescent="0.3">
      <c r="D42" s="20"/>
      <c r="E42" s="20"/>
      <c r="F42" s="20"/>
    </row>
    <row r="43" spans="2:6" ht="19.5" customHeight="1" x14ac:dyDescent="0.3">
      <c r="D43" s="20"/>
      <c r="E43" s="20"/>
      <c r="F43" s="20"/>
    </row>
    <row r="44" spans="2:6" ht="19.5" customHeight="1" x14ac:dyDescent="0.3">
      <c r="D44" s="20"/>
      <c r="E44" s="20"/>
      <c r="F44" s="20"/>
    </row>
    <row r="45" spans="2:6" ht="19.5" customHeight="1" x14ac:dyDescent="0.3">
      <c r="D45" s="20"/>
      <c r="E45" s="20"/>
      <c r="F45" s="20"/>
    </row>
    <row r="46" spans="2:6" ht="19.5" customHeight="1" x14ac:dyDescent="0.3">
      <c r="D46" s="20"/>
      <c r="E46" s="20"/>
      <c r="F46" s="20"/>
    </row>
    <row r="47" spans="2:6" ht="19.5" customHeight="1" x14ac:dyDescent="0.3">
      <c r="D47" s="20"/>
      <c r="E47" s="20"/>
      <c r="F47" s="20"/>
    </row>
    <row r="48" spans="2:6" ht="19.5" customHeight="1" x14ac:dyDescent="0.3">
      <c r="D48" s="20"/>
      <c r="E48" s="20"/>
      <c r="F48" s="20"/>
    </row>
    <row r="49" spans="4:6" ht="19.5" customHeight="1" x14ac:dyDescent="0.3">
      <c r="D49" s="20"/>
      <c r="E49" s="20"/>
      <c r="F49" s="20"/>
    </row>
    <row r="50" spans="4:6" ht="19.5" customHeight="1" x14ac:dyDescent="0.3">
      <c r="D50" s="20"/>
      <c r="E50" s="20"/>
      <c r="F50" s="20"/>
    </row>
    <row r="51" spans="4:6" ht="19.5" customHeight="1" x14ac:dyDescent="0.3"/>
  </sheetData>
  <mergeCells count="5">
    <mergeCell ref="A7:A8"/>
    <mergeCell ref="D11:J11"/>
    <mergeCell ref="D13:F13"/>
    <mergeCell ref="A23:A25"/>
    <mergeCell ref="A28:A31"/>
  </mergeCells>
  <printOptions horizontalCentered="1"/>
  <pageMargins left="0.75" right="0.12986111111111101" top="0.5" bottom="1" header="0.511811023622047" footer="0.511811023622047"/>
  <pageSetup paperSize="5"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
  <sheetViews>
    <sheetView view="pageBreakPreview" topLeftCell="A3" zoomScaleNormal="100" zoomScaleSheetLayoutView="100" workbookViewId="0">
      <selection activeCell="M15" sqref="M15"/>
    </sheetView>
  </sheetViews>
  <sheetFormatPr defaultColWidth="8.8984375" defaultRowHeight="15.6" x14ac:dyDescent="0.3"/>
  <cols>
    <col min="1" max="1" width="7.5" customWidth="1"/>
    <col min="6" max="6" width="8.09765625" customWidth="1"/>
    <col min="9" max="9" width="7.5" customWidth="1"/>
    <col min="10" max="10" width="6.19921875" customWidth="1"/>
    <col min="11" max="11" width="1.19921875" customWidth="1"/>
  </cols>
  <sheetData>
    <row r="1" spans="1:10" ht="15.75" customHeight="1" x14ac:dyDescent="0.3">
      <c r="A1" s="26"/>
      <c r="B1" s="27"/>
      <c r="C1" s="27"/>
      <c r="D1" s="27"/>
      <c r="E1" s="27"/>
      <c r="F1" s="27"/>
      <c r="G1" s="27"/>
      <c r="H1" s="27"/>
      <c r="I1" s="27"/>
      <c r="J1" s="28"/>
    </row>
    <row r="2" spans="1:10" ht="15.75" customHeight="1" x14ac:dyDescent="0.3">
      <c r="A2" s="29"/>
      <c r="J2" s="30"/>
    </row>
    <row r="3" spans="1:10" s="31" customFormat="1" ht="33.75" customHeight="1" x14ac:dyDescent="0.8">
      <c r="A3" s="558" t="s">
        <v>51</v>
      </c>
      <c r="B3" s="558"/>
      <c r="C3" s="558"/>
      <c r="D3" s="558"/>
      <c r="E3" s="558"/>
      <c r="F3" s="558"/>
      <c r="G3" s="558"/>
      <c r="H3" s="558"/>
      <c r="I3" s="558"/>
      <c r="J3" s="558"/>
    </row>
    <row r="4" spans="1:10" s="31" customFormat="1" ht="15.75" customHeight="1" x14ac:dyDescent="0.3">
      <c r="A4" s="32"/>
      <c r="J4" s="33"/>
    </row>
    <row r="5" spans="1:10" s="31" customFormat="1" ht="15.75" customHeight="1" x14ac:dyDescent="0.3">
      <c r="A5" s="32"/>
      <c r="J5" s="33"/>
    </row>
    <row r="6" spans="1:10" s="31" customFormat="1" ht="15.75" customHeight="1" x14ac:dyDescent="0.3">
      <c r="A6" s="32"/>
      <c r="J6" s="33"/>
    </row>
    <row r="7" spans="1:10" s="31" customFormat="1" ht="15.75" customHeight="1" x14ac:dyDescent="0.3">
      <c r="A7" s="32"/>
      <c r="J7" s="33"/>
    </row>
    <row r="8" spans="1:10" s="31" customFormat="1" ht="15.75" customHeight="1" x14ac:dyDescent="0.3">
      <c r="A8" s="32"/>
      <c r="J8" s="33"/>
    </row>
    <row r="9" spans="1:10" s="31" customFormat="1" ht="15.75" customHeight="1" x14ac:dyDescent="0.3">
      <c r="A9" s="32"/>
      <c r="J9" s="33"/>
    </row>
    <row r="10" spans="1:10" s="31" customFormat="1" ht="15.75" customHeight="1" x14ac:dyDescent="0.3">
      <c r="A10" s="32"/>
      <c r="J10" s="33"/>
    </row>
    <row r="11" spans="1:10" s="31" customFormat="1" ht="15.75" customHeight="1" x14ac:dyDescent="0.3">
      <c r="A11" s="32"/>
      <c r="J11" s="33"/>
    </row>
    <row r="12" spans="1:10" s="31" customFormat="1" ht="15.75" customHeight="1" x14ac:dyDescent="0.3">
      <c r="A12" s="32"/>
      <c r="J12" s="33"/>
    </row>
    <row r="13" spans="1:10" ht="15.75" customHeight="1" x14ac:dyDescent="0.3">
      <c r="A13" s="29"/>
      <c r="J13" s="30"/>
    </row>
    <row r="14" spans="1:10" ht="37.5" customHeight="1" x14ac:dyDescent="0.3">
      <c r="A14" s="559" t="str">
        <f>+TIT!D2</f>
        <v>PRATHAMESH HARMONY "B"  WING CO-OPERATIVE HOUSING SOCIETY LTD.</v>
      </c>
      <c r="B14" s="559"/>
      <c r="C14" s="559"/>
      <c r="D14" s="559"/>
      <c r="E14" s="559"/>
      <c r="F14" s="559"/>
      <c r="G14" s="559"/>
      <c r="H14" s="559"/>
      <c r="I14" s="559"/>
      <c r="J14" s="559"/>
    </row>
    <row r="15" spans="1:10" ht="36.6" customHeight="1" x14ac:dyDescent="0.3">
      <c r="A15" s="559"/>
      <c r="B15" s="559"/>
      <c r="C15" s="559"/>
      <c r="D15" s="559"/>
      <c r="E15" s="559"/>
      <c r="F15" s="559"/>
      <c r="G15" s="559"/>
      <c r="H15" s="559"/>
      <c r="I15" s="559"/>
      <c r="J15" s="559"/>
    </row>
    <row r="16" spans="1:10" ht="24.75" customHeight="1" x14ac:dyDescent="0.6">
      <c r="A16" s="560" t="str">
        <f>+TIT!D3</f>
        <v>MUM/WP/HSG/TC/15332/2012-13</v>
      </c>
      <c r="B16" s="560"/>
      <c r="C16" s="560"/>
      <c r="D16" s="560"/>
      <c r="E16" s="560"/>
      <c r="F16" s="560"/>
      <c r="G16" s="560"/>
      <c r="H16" s="560"/>
      <c r="I16" s="560"/>
      <c r="J16" s="560"/>
    </row>
    <row r="17" spans="1:10" ht="30" customHeight="1" x14ac:dyDescent="0.3">
      <c r="A17" s="561" t="str">
        <f>+TIT!D6</f>
        <v>CTS.No. 227,228 &amp; 216, Gautam Buddha Marg, Orlem, Malad - West, Mumbai - 400 064</v>
      </c>
      <c r="B17" s="561"/>
      <c r="C17" s="561"/>
      <c r="D17" s="561"/>
      <c r="E17" s="561"/>
      <c r="F17" s="561"/>
      <c r="G17" s="561"/>
      <c r="H17" s="561"/>
      <c r="I17" s="561"/>
      <c r="J17" s="561"/>
    </row>
    <row r="18" spans="1:10" ht="49.5" customHeight="1" x14ac:dyDescent="0.3">
      <c r="A18" s="561"/>
      <c r="B18" s="561"/>
      <c r="C18" s="561"/>
      <c r="D18" s="561"/>
      <c r="E18" s="561"/>
      <c r="F18" s="561"/>
      <c r="G18" s="561"/>
      <c r="H18" s="561"/>
      <c r="I18" s="561"/>
      <c r="J18" s="561"/>
    </row>
    <row r="19" spans="1:10" ht="21.75" customHeight="1" x14ac:dyDescent="0.3">
      <c r="A19" s="34"/>
      <c r="B19" s="35"/>
      <c r="C19" s="35"/>
      <c r="D19" s="35"/>
      <c r="E19" s="35"/>
      <c r="F19" s="35"/>
      <c r="G19" s="35"/>
      <c r="H19" s="35"/>
      <c r="I19" s="35"/>
      <c r="J19" s="36"/>
    </row>
    <row r="20" spans="1:10" ht="21.75" customHeight="1" x14ac:dyDescent="0.3">
      <c r="A20" s="562" t="s">
        <v>52</v>
      </c>
      <c r="B20" s="562"/>
      <c r="C20" s="562"/>
      <c r="D20" s="562"/>
      <c r="E20" s="562"/>
      <c r="F20" s="562"/>
      <c r="G20" s="562"/>
      <c r="H20" s="562"/>
      <c r="I20" s="562"/>
      <c r="J20" s="562"/>
    </row>
    <row r="21" spans="1:10" ht="21.75" customHeight="1" x14ac:dyDescent="0.3">
      <c r="A21" s="562"/>
      <c r="B21" s="562"/>
      <c r="C21" s="562"/>
      <c r="D21" s="562"/>
      <c r="E21" s="562"/>
      <c r="F21" s="562"/>
      <c r="G21" s="562"/>
      <c r="H21" s="562"/>
      <c r="I21" s="562"/>
      <c r="J21" s="562"/>
    </row>
    <row r="22" spans="1:10" ht="15.75" customHeight="1" x14ac:dyDescent="0.3">
      <c r="A22" s="29"/>
      <c r="J22" s="30"/>
    </row>
    <row r="23" spans="1:10" ht="15.75" customHeight="1" x14ac:dyDescent="0.3">
      <c r="A23" s="29"/>
      <c r="J23" s="30"/>
    </row>
    <row r="24" spans="1:10" ht="15.75" customHeight="1" x14ac:dyDescent="0.3">
      <c r="A24" s="29"/>
      <c r="J24" s="30"/>
    </row>
    <row r="25" spans="1:10" ht="15.75" customHeight="1" x14ac:dyDescent="0.3">
      <c r="A25" s="29"/>
      <c r="J25" s="30"/>
    </row>
    <row r="26" spans="1:10" ht="15.75" customHeight="1" x14ac:dyDescent="0.3">
      <c r="A26" s="29"/>
      <c r="J26" s="30"/>
    </row>
    <row r="27" spans="1:10" ht="15.75" customHeight="1" x14ac:dyDescent="0.3">
      <c r="A27" s="29"/>
      <c r="J27" s="30"/>
    </row>
    <row r="28" spans="1:10" ht="15.75" customHeight="1" x14ac:dyDescent="0.3">
      <c r="A28" s="29"/>
      <c r="J28" s="30"/>
    </row>
    <row r="29" spans="1:10" ht="15.75" customHeight="1" x14ac:dyDescent="0.3">
      <c r="A29" s="29"/>
      <c r="J29" s="30"/>
    </row>
    <row r="30" spans="1:10" ht="15.75" customHeight="1" x14ac:dyDescent="0.3">
      <c r="A30" s="29"/>
      <c r="J30" s="30"/>
    </row>
    <row r="31" spans="1:10" ht="15.75" customHeight="1" x14ac:dyDescent="0.3">
      <c r="A31" s="29"/>
      <c r="J31" s="30"/>
    </row>
    <row r="32" spans="1:10" ht="15.75" customHeight="1" x14ac:dyDescent="0.3">
      <c r="A32" s="29"/>
      <c r="J32" s="30"/>
    </row>
    <row r="33" spans="1:10" ht="15.75" customHeight="1" x14ac:dyDescent="0.3">
      <c r="A33" s="563" t="s">
        <v>53</v>
      </c>
      <c r="B33" s="563"/>
      <c r="C33" s="563"/>
      <c r="D33" s="563"/>
      <c r="E33" s="563"/>
      <c r="F33" s="563"/>
      <c r="G33" s="563"/>
      <c r="H33" s="563"/>
      <c r="I33" s="563"/>
      <c r="J33" s="563"/>
    </row>
    <row r="34" spans="1:10" ht="30" customHeight="1" x14ac:dyDescent="0.5">
      <c r="A34" s="564" t="str">
        <f>+TIT!D9</f>
        <v>Shri. Bharat C. Boridkar</v>
      </c>
      <c r="B34" s="564"/>
      <c r="C34" s="564"/>
      <c r="D34" s="564"/>
      <c r="E34" s="564"/>
      <c r="F34" s="564"/>
      <c r="G34" s="564"/>
      <c r="H34" s="564"/>
      <c r="I34" s="564"/>
      <c r="J34" s="564"/>
    </row>
    <row r="35" spans="1:10" ht="27" customHeight="1" x14ac:dyDescent="0.65">
      <c r="A35" s="565" t="s">
        <v>18</v>
      </c>
      <c r="B35" s="565"/>
      <c r="C35" s="565"/>
      <c r="D35" s="565"/>
      <c r="E35" s="565"/>
      <c r="F35" s="565"/>
      <c r="G35" s="565"/>
      <c r="H35" s="565"/>
      <c r="I35" s="565"/>
      <c r="J35" s="565"/>
    </row>
    <row r="36" spans="1:10" ht="21.75" customHeight="1" x14ac:dyDescent="0.3">
      <c r="A36" s="566" t="str">
        <f>+TIT!D11</f>
        <v>Boridkar House, Pandurang Bhoir Road, Dahisar - West, Mumbai, Mumbai - 400 068</v>
      </c>
      <c r="B36" s="566"/>
      <c r="C36" s="566"/>
      <c r="D36" s="566"/>
      <c r="E36" s="566"/>
      <c r="F36" s="566"/>
      <c r="G36" s="566"/>
      <c r="H36" s="566"/>
      <c r="I36" s="566"/>
      <c r="J36" s="566"/>
    </row>
    <row r="37" spans="1:10" ht="21.75" customHeight="1" x14ac:dyDescent="0.3">
      <c r="A37" s="566"/>
      <c r="B37" s="566"/>
      <c r="C37" s="566"/>
      <c r="D37" s="566"/>
      <c r="E37" s="566"/>
      <c r="F37" s="566"/>
      <c r="G37" s="566"/>
      <c r="H37" s="566"/>
      <c r="I37" s="566"/>
      <c r="J37" s="566"/>
    </row>
    <row r="38" spans="1:10" ht="15.75" customHeight="1" x14ac:dyDescent="0.3">
      <c r="A38" s="563" t="s">
        <v>53</v>
      </c>
      <c r="B38" s="563"/>
      <c r="C38" s="563"/>
      <c r="D38" s="563"/>
      <c r="E38" s="563"/>
      <c r="F38" s="563"/>
      <c r="G38" s="563"/>
      <c r="H38" s="563"/>
      <c r="I38" s="563"/>
      <c r="J38" s="563"/>
    </row>
    <row r="39" spans="1:10" ht="7.5" customHeight="1" x14ac:dyDescent="0.3">
      <c r="A39" s="29"/>
      <c r="J39" s="30"/>
    </row>
    <row r="40" spans="1:10" ht="7.5" customHeight="1" x14ac:dyDescent="0.3">
      <c r="A40" s="37"/>
      <c r="B40" s="38"/>
      <c r="C40" s="38"/>
      <c r="D40" s="38"/>
      <c r="E40" s="38"/>
      <c r="F40" s="38"/>
      <c r="G40" s="38"/>
      <c r="H40" s="38"/>
      <c r="I40" s="38"/>
      <c r="J40" s="39"/>
    </row>
  </sheetData>
  <mergeCells count="10">
    <mergeCell ref="A33:J33"/>
    <mergeCell ref="A34:J34"/>
    <mergeCell ref="A35:J35"/>
    <mergeCell ref="A36:J37"/>
    <mergeCell ref="A38:J38"/>
    <mergeCell ref="A3:J3"/>
    <mergeCell ref="A14:J15"/>
    <mergeCell ref="A16:J16"/>
    <mergeCell ref="A17:J18"/>
    <mergeCell ref="A20:J21"/>
  </mergeCells>
  <printOptions horizontalCentered="1" verticalCentered="1"/>
  <pageMargins left="0.39370078740157483" right="0.23622047244094491" top="0.51181102362204722" bottom="0.31496062992125984" header="0.51181102362204722" footer="0.51181102362204722"/>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W44"/>
  <sheetViews>
    <sheetView view="pageBreakPreview" zoomScaleNormal="100" zoomScaleSheetLayoutView="100" workbookViewId="0">
      <selection activeCell="O3" sqref="O3"/>
    </sheetView>
  </sheetViews>
  <sheetFormatPr defaultColWidth="9" defaultRowHeight="15.6" x14ac:dyDescent="0.3"/>
  <cols>
    <col min="1" max="1" width="1" style="40" customWidth="1"/>
    <col min="2" max="2" width="4.09765625" style="40" customWidth="1"/>
    <col min="3" max="3" width="4.19921875" style="40" customWidth="1"/>
    <col min="4" max="4" width="7.8984375" style="40" customWidth="1"/>
    <col min="5" max="7" width="9" style="40"/>
    <col min="8" max="8" width="8.69921875" style="40" customWidth="1"/>
    <col min="9" max="9" width="8.3984375" style="40" customWidth="1"/>
    <col min="10" max="10" width="8.8984375" style="40" customWidth="1"/>
    <col min="11" max="11" width="8.5" style="40" customWidth="1"/>
    <col min="12" max="12" width="8.19921875" style="40" customWidth="1"/>
    <col min="13" max="13" width="7.09765625" style="40" customWidth="1"/>
    <col min="14" max="14" width="1" style="40" customWidth="1"/>
    <col min="15" max="15" width="9" style="40"/>
    <col min="16" max="16" width="9.69921875" style="40" customWidth="1"/>
    <col min="17" max="257" width="9" style="40"/>
  </cols>
  <sheetData>
    <row r="1" spans="1:28" ht="3" customHeight="1" x14ac:dyDescent="0.3">
      <c r="A1" s="41"/>
      <c r="B1" s="42"/>
      <c r="C1" s="42"/>
      <c r="D1" s="42"/>
      <c r="E1" s="42"/>
      <c r="F1" s="42"/>
      <c r="G1" s="42"/>
      <c r="H1" s="42"/>
      <c r="I1" s="42"/>
      <c r="J1" s="42"/>
      <c r="K1" s="42"/>
      <c r="L1" s="42"/>
      <c r="M1" s="42"/>
      <c r="N1" s="43"/>
    </row>
    <row r="2" spans="1:28" ht="27" customHeight="1" x14ac:dyDescent="0.3">
      <c r="A2" s="44"/>
      <c r="B2" s="567" t="s">
        <v>17</v>
      </c>
      <c r="C2" s="567"/>
      <c r="D2" s="567"/>
      <c r="E2" s="567"/>
      <c r="F2" s="567"/>
      <c r="G2" s="567"/>
      <c r="H2" s="567"/>
      <c r="I2" s="567"/>
      <c r="J2" s="567"/>
      <c r="K2" s="567"/>
      <c r="L2" s="567"/>
      <c r="M2" s="567"/>
      <c r="N2" s="45"/>
      <c r="S2"/>
      <c r="T2"/>
    </row>
    <row r="3" spans="1:28" ht="27" customHeight="1" x14ac:dyDescent="0.3">
      <c r="A3" s="44"/>
      <c r="B3" s="568" t="s">
        <v>18</v>
      </c>
      <c r="C3" s="568"/>
      <c r="D3" s="568"/>
      <c r="E3" s="568"/>
      <c r="F3" s="568"/>
      <c r="G3" s="568"/>
      <c r="H3" s="568"/>
      <c r="I3" s="568"/>
      <c r="J3" s="568"/>
      <c r="K3" s="568"/>
      <c r="L3" s="568"/>
      <c r="M3" s="568"/>
      <c r="N3" s="45"/>
      <c r="Q3" t="s">
        <v>54</v>
      </c>
      <c r="T3"/>
    </row>
    <row r="4" spans="1:28" ht="15.75" customHeight="1" x14ac:dyDescent="0.3">
      <c r="A4" s="44"/>
      <c r="B4" s="569" t="s">
        <v>55</v>
      </c>
      <c r="C4" s="569"/>
      <c r="D4" s="569"/>
      <c r="E4" s="569"/>
      <c r="F4" s="569"/>
      <c r="G4" s="569"/>
      <c r="H4" s="569"/>
      <c r="I4" s="569"/>
      <c r="J4" s="569"/>
      <c r="K4" s="569"/>
      <c r="L4" s="569"/>
      <c r="M4" s="569"/>
      <c r="N4" s="45"/>
      <c r="S4"/>
      <c r="T4"/>
    </row>
    <row r="5" spans="1:28" ht="15.75" customHeight="1" x14ac:dyDescent="0.3">
      <c r="A5" s="44"/>
      <c r="B5" s="46"/>
      <c r="C5" s="47"/>
      <c r="D5" s="47"/>
      <c r="E5" s="47"/>
      <c r="F5" s="47"/>
      <c r="G5" s="47"/>
      <c r="H5" s="47"/>
      <c r="I5" s="47"/>
      <c r="J5" s="47"/>
      <c r="K5" s="47"/>
      <c r="L5" s="47"/>
      <c r="M5" s="47"/>
      <c r="N5" s="45"/>
      <c r="S5"/>
      <c r="T5"/>
    </row>
    <row r="6" spans="1:28" ht="15.75" customHeight="1" x14ac:dyDescent="0.3">
      <c r="A6" s="44"/>
      <c r="B6" s="48"/>
      <c r="C6" s="48"/>
      <c r="D6" s="48"/>
      <c r="E6" s="48"/>
      <c r="F6" s="48"/>
      <c r="G6" s="48"/>
      <c r="H6" s="48"/>
      <c r="I6" s="48"/>
      <c r="J6" s="48"/>
      <c r="K6" s="48"/>
      <c r="L6" s="48"/>
      <c r="M6" s="48"/>
      <c r="N6" s="45"/>
      <c r="P6" s="40" t="s">
        <v>56</v>
      </c>
      <c r="S6"/>
      <c r="T6"/>
    </row>
    <row r="7" spans="1:28" ht="18" customHeight="1" x14ac:dyDescent="0.3">
      <c r="A7" s="44"/>
      <c r="B7" s="49" t="s">
        <v>57</v>
      </c>
      <c r="C7" s="50"/>
      <c r="D7" s="50"/>
      <c r="E7" s="50"/>
      <c r="F7" s="50"/>
      <c r="G7" s="50"/>
      <c r="H7" s="50"/>
      <c r="I7" s="50"/>
      <c r="J7" s="51"/>
      <c r="K7" s="51"/>
      <c r="L7" s="51"/>
      <c r="M7" s="51"/>
      <c r="N7" s="45"/>
    </row>
    <row r="8" spans="1:28" ht="18" customHeight="1" x14ac:dyDescent="0.3">
      <c r="A8" s="44"/>
      <c r="B8" s="49" t="s">
        <v>58</v>
      </c>
      <c r="C8" s="50"/>
      <c r="D8" s="50"/>
      <c r="E8" s="50"/>
      <c r="F8" s="50"/>
      <c r="G8" s="50"/>
      <c r="H8" s="50"/>
      <c r="I8" s="50"/>
      <c r="J8" s="51"/>
      <c r="K8" s="51"/>
      <c r="L8" s="51"/>
      <c r="M8" s="51"/>
      <c r="N8" s="45"/>
    </row>
    <row r="9" spans="1:28" ht="18" customHeight="1" x14ac:dyDescent="0.3">
      <c r="A9" s="44"/>
      <c r="B9" s="49" t="str">
        <f>+TIT!D2</f>
        <v>PRATHAMESH HARMONY "B"  WING CO-OPERATIVE HOUSING SOCIETY LTD.</v>
      </c>
      <c r="C9" s="50"/>
      <c r="D9" s="50"/>
      <c r="E9" s="50"/>
      <c r="F9" s="50"/>
      <c r="G9" s="50"/>
      <c r="H9" s="50"/>
      <c r="I9" s="50"/>
      <c r="J9" s="51"/>
      <c r="K9" s="51"/>
      <c r="L9" s="51"/>
      <c r="M9" s="51"/>
      <c r="N9" s="45"/>
      <c r="P9" s="40" t="s">
        <v>59</v>
      </c>
      <c r="Q9" s="40" t="str">
        <f>+TIT!D2</f>
        <v>PRATHAMESH HARMONY "B"  WING CO-OPERATIVE HOUSING SOCIETY LTD.</v>
      </c>
    </row>
    <row r="10" spans="1:28" ht="18" customHeight="1" x14ac:dyDescent="0.3">
      <c r="A10" s="44"/>
      <c r="B10" s="570" t="str">
        <f>+TIT!D6</f>
        <v>CTS.No. 227,228 &amp; 216, Gautam Buddha Marg, Orlem, Malad - West, Mumbai - 400 064</v>
      </c>
      <c r="C10" s="570"/>
      <c r="D10" s="570"/>
      <c r="E10" s="570"/>
      <c r="F10" s="570"/>
      <c r="G10" s="570"/>
      <c r="H10" s="570"/>
      <c r="I10" s="570"/>
      <c r="J10" s="51"/>
      <c r="K10" s="51"/>
      <c r="L10" s="51"/>
      <c r="M10" s="51"/>
      <c r="N10" s="45"/>
      <c r="P10" s="40" t="s">
        <v>60</v>
      </c>
      <c r="Q10" s="40" t="str">
        <f>+TIT!D3</f>
        <v>MUM/WP/HSG/TC/15332/2012-13</v>
      </c>
    </row>
    <row r="11" spans="1:28" ht="18" customHeight="1" x14ac:dyDescent="0.3">
      <c r="A11" s="44"/>
      <c r="B11" s="570"/>
      <c r="C11" s="570"/>
      <c r="D11" s="570"/>
      <c r="E11" s="570"/>
      <c r="F11" s="570"/>
      <c r="G11" s="570"/>
      <c r="H11" s="570"/>
      <c r="I11" s="570"/>
      <c r="J11" s="51"/>
      <c r="K11" s="51"/>
      <c r="L11" s="51"/>
      <c r="M11" s="51"/>
      <c r="N11" s="45"/>
      <c r="P11" s="40" t="s">
        <v>61</v>
      </c>
      <c r="Q11" s="52">
        <f>+TIT!D12</f>
        <v>0</v>
      </c>
    </row>
    <row r="12" spans="1:28" ht="15" customHeight="1" x14ac:dyDescent="0.3">
      <c r="A12" s="44"/>
      <c r="B12" s="53"/>
      <c r="C12" s="54"/>
      <c r="D12" s="54"/>
      <c r="E12" s="54"/>
      <c r="F12" s="54"/>
      <c r="G12" s="54"/>
      <c r="H12" s="54"/>
      <c r="I12" s="54"/>
      <c r="J12" s="54"/>
      <c r="K12" s="54"/>
      <c r="L12" s="54"/>
      <c r="M12" s="54"/>
      <c r="N12" s="45"/>
    </row>
    <row r="13" spans="1:28" ht="19.5" customHeight="1" x14ac:dyDescent="0.3">
      <c r="A13" s="44"/>
      <c r="B13" s="571" t="s">
        <v>62</v>
      </c>
      <c r="C13" s="571"/>
      <c r="D13" s="571"/>
      <c r="E13" s="571"/>
      <c r="F13" s="571"/>
      <c r="G13" s="571"/>
      <c r="H13" s="571"/>
      <c r="I13" s="571"/>
      <c r="J13" s="571"/>
      <c r="K13" s="571"/>
      <c r="L13" s="571"/>
      <c r="M13" s="571"/>
      <c r="N13" s="45"/>
      <c r="Q13" s="55" t="s">
        <v>63</v>
      </c>
    </row>
    <row r="14" spans="1:28" ht="15" customHeight="1" x14ac:dyDescent="0.3">
      <c r="A14" s="44"/>
      <c r="B14" s="48"/>
      <c r="C14" s="48"/>
      <c r="D14" s="48"/>
      <c r="E14" s="48"/>
      <c r="F14" s="48"/>
      <c r="G14" s="48"/>
      <c r="H14" s="48"/>
      <c r="I14" s="48"/>
      <c r="J14" s="48"/>
      <c r="K14" s="48"/>
      <c r="L14" s="48"/>
      <c r="M14" s="48"/>
      <c r="N14" s="45"/>
    </row>
    <row r="15" spans="1:28" ht="64.5" customHeight="1" x14ac:dyDescent="0.3">
      <c r="A15" s="44"/>
      <c r="B15" s="572" t="s">
        <v>64</v>
      </c>
      <c r="C15" s="572"/>
      <c r="D15" s="572"/>
      <c r="E15" s="572"/>
      <c r="F15" s="572"/>
      <c r="G15" s="572"/>
      <c r="H15" s="572"/>
      <c r="I15" s="572"/>
      <c r="J15" s="572"/>
      <c r="K15" s="572"/>
      <c r="L15" s="572"/>
      <c r="M15" s="572"/>
      <c r="N15" s="45"/>
      <c r="Q15" s="40" t="s">
        <v>65</v>
      </c>
    </row>
    <row r="16" spans="1:28" ht="49.5" customHeight="1" x14ac:dyDescent="0.3">
      <c r="A16" s="44"/>
      <c r="B16" s="572" t="s">
        <v>66</v>
      </c>
      <c r="C16" s="572"/>
      <c r="D16" s="572"/>
      <c r="E16" s="572"/>
      <c r="F16" s="572"/>
      <c r="G16" s="572"/>
      <c r="H16" s="572"/>
      <c r="I16" s="572"/>
      <c r="J16" s="572"/>
      <c r="K16" s="572"/>
      <c r="L16" s="572"/>
      <c r="M16" s="572"/>
      <c r="N16" s="45"/>
      <c r="Q16" s="572" t="s">
        <v>67</v>
      </c>
      <c r="R16" s="572"/>
      <c r="S16" s="572"/>
      <c r="T16" s="572"/>
      <c r="U16" s="572"/>
      <c r="V16" s="572"/>
      <c r="W16" s="572"/>
      <c r="X16" s="572"/>
      <c r="Y16" s="572"/>
      <c r="Z16" s="572"/>
      <c r="AA16" s="572"/>
      <c r="AB16" s="572"/>
    </row>
    <row r="17" spans="1:17" ht="64.5" customHeight="1" x14ac:dyDescent="0.3">
      <c r="A17" s="44"/>
      <c r="B17" s="572" t="s">
        <v>68</v>
      </c>
      <c r="C17" s="572"/>
      <c r="D17" s="572"/>
      <c r="E17" s="572"/>
      <c r="F17" s="572"/>
      <c r="G17" s="572"/>
      <c r="H17" s="572"/>
      <c r="I17" s="572"/>
      <c r="J17" s="572"/>
      <c r="K17" s="572"/>
      <c r="L17" s="572"/>
      <c r="M17" s="572"/>
      <c r="N17" s="45"/>
      <c r="Q17" s="57" t="s">
        <v>69</v>
      </c>
    </row>
    <row r="18" spans="1:17" ht="24" customHeight="1" x14ac:dyDescent="0.3">
      <c r="A18" s="44"/>
      <c r="B18" s="572" t="s">
        <v>70</v>
      </c>
      <c r="C18" s="572"/>
      <c r="D18" s="572"/>
      <c r="E18" s="572"/>
      <c r="F18" s="572"/>
      <c r="G18" s="572"/>
      <c r="H18" s="572"/>
      <c r="I18" s="572"/>
      <c r="J18" s="572"/>
      <c r="K18" s="572"/>
      <c r="L18" s="572"/>
      <c r="M18" s="572"/>
      <c r="N18" s="45"/>
    </row>
    <row r="19" spans="1:17" ht="67.5" customHeight="1" x14ac:dyDescent="0.3">
      <c r="A19" s="44"/>
      <c r="B19" s="572" t="s">
        <v>71</v>
      </c>
      <c r="C19" s="572"/>
      <c r="D19" s="572"/>
      <c r="E19" s="572"/>
      <c r="F19" s="572"/>
      <c r="G19" s="572"/>
      <c r="H19" s="572"/>
      <c r="I19" s="572"/>
      <c r="J19" s="572"/>
      <c r="K19" s="572"/>
      <c r="L19" s="572"/>
      <c r="M19" s="572"/>
      <c r="N19" s="45"/>
    </row>
    <row r="20" spans="1:17" ht="22.5" customHeight="1" x14ac:dyDescent="0.3">
      <c r="A20" s="44"/>
      <c r="B20" s="572" t="s">
        <v>72</v>
      </c>
      <c r="C20" s="572"/>
      <c r="D20" s="572"/>
      <c r="E20" s="572"/>
      <c r="F20" s="572"/>
      <c r="G20" s="572"/>
      <c r="H20" s="572"/>
      <c r="I20" s="572"/>
      <c r="J20" s="572"/>
      <c r="K20" s="572"/>
      <c r="L20" s="572"/>
      <c r="M20" s="572"/>
      <c r="N20" s="45"/>
    </row>
    <row r="21" spans="1:17" ht="18" customHeight="1" x14ac:dyDescent="0.3">
      <c r="A21" s="44"/>
      <c r="B21" s="572" t="s">
        <v>73</v>
      </c>
      <c r="C21" s="572"/>
      <c r="D21" s="572"/>
      <c r="E21" s="572"/>
      <c r="F21" s="572"/>
      <c r="G21" s="572"/>
      <c r="H21" s="572"/>
      <c r="I21" s="572"/>
      <c r="J21" s="572"/>
      <c r="K21" s="572"/>
      <c r="L21" s="572"/>
      <c r="M21" s="572"/>
      <c r="N21" s="45"/>
    </row>
    <row r="22" spans="1:17" ht="18" customHeight="1" x14ac:dyDescent="0.3">
      <c r="A22" s="44"/>
      <c r="B22" s="572" t="s">
        <v>74</v>
      </c>
      <c r="C22" s="572"/>
      <c r="D22" s="572"/>
      <c r="E22" s="572"/>
      <c r="F22" s="572"/>
      <c r="G22" s="572"/>
      <c r="H22" s="572"/>
      <c r="I22" s="572"/>
      <c r="J22" s="572"/>
      <c r="K22" s="572"/>
      <c r="L22" s="572"/>
      <c r="M22" s="572"/>
      <c r="N22" s="45"/>
    </row>
    <row r="23" spans="1:17" ht="18" customHeight="1" x14ac:dyDescent="0.3">
      <c r="A23" s="44"/>
      <c r="B23" s="572" t="s">
        <v>75</v>
      </c>
      <c r="C23" s="572"/>
      <c r="D23" s="572"/>
      <c r="E23" s="572"/>
      <c r="F23" s="572"/>
      <c r="G23" s="572"/>
      <c r="H23" s="572"/>
      <c r="I23" s="572"/>
      <c r="J23" s="572"/>
      <c r="K23" s="572"/>
      <c r="L23" s="572"/>
      <c r="M23" s="572"/>
      <c r="N23" s="45"/>
    </row>
    <row r="24" spans="1:17" ht="15" customHeight="1" x14ac:dyDescent="0.3">
      <c r="A24" s="44"/>
      <c r="B24" s="48"/>
      <c r="C24" s="48"/>
      <c r="D24" s="48"/>
      <c r="E24" s="48"/>
      <c r="F24" s="48"/>
      <c r="G24" s="48"/>
      <c r="H24" s="48"/>
      <c r="I24" s="48"/>
      <c r="J24" s="48"/>
      <c r="K24" s="48"/>
      <c r="L24" s="48"/>
      <c r="M24" s="48"/>
      <c r="N24" s="45"/>
    </row>
    <row r="25" spans="1:17" ht="15" customHeight="1" x14ac:dyDescent="0.3">
      <c r="A25" s="44"/>
      <c r="B25" s="48"/>
      <c r="C25" s="48"/>
      <c r="D25" s="48"/>
      <c r="E25" s="48"/>
      <c r="F25" s="48"/>
      <c r="G25" s="48"/>
      <c r="H25" s="48"/>
      <c r="I25" s="48"/>
      <c r="J25" s="48"/>
      <c r="K25" s="48"/>
      <c r="L25" s="48"/>
      <c r="M25" s="48"/>
      <c r="N25" s="45"/>
    </row>
    <row r="26" spans="1:17" ht="15" customHeight="1" x14ac:dyDescent="0.3">
      <c r="A26" s="44"/>
      <c r="B26" s="54"/>
      <c r="C26" s="54"/>
      <c r="D26" s="54"/>
      <c r="E26" s="54"/>
      <c r="F26" s="54"/>
      <c r="G26" s="54"/>
      <c r="H26" s="54"/>
      <c r="I26" s="54"/>
      <c r="J26" s="54"/>
      <c r="K26" s="54"/>
      <c r="L26" s="54"/>
      <c r="M26" s="54"/>
      <c r="N26" s="45"/>
    </row>
    <row r="27" spans="1:17" ht="15" customHeight="1" x14ac:dyDescent="0.3">
      <c r="A27" s="44"/>
      <c r="B27" s="58" t="s">
        <v>17</v>
      </c>
      <c r="D27" s="54"/>
      <c r="E27" s="54"/>
      <c r="F27" s="54"/>
      <c r="G27" s="54"/>
      <c r="H27" s="54"/>
      <c r="I27" s="54"/>
      <c r="J27" s="54"/>
      <c r="K27" s="54"/>
      <c r="L27" s="54"/>
      <c r="M27" s="54"/>
      <c r="N27" s="45"/>
    </row>
    <row r="28" spans="1:17" ht="15.75" customHeight="1" x14ac:dyDescent="0.3">
      <c r="A28" s="44"/>
      <c r="B28" s="59" t="s">
        <v>18</v>
      </c>
      <c r="D28" s="54"/>
      <c r="E28" s="54"/>
      <c r="F28" s="54"/>
      <c r="G28" s="54"/>
      <c r="H28" s="54"/>
      <c r="I28" s="54"/>
      <c r="J28" s="54"/>
      <c r="K28" s="54"/>
      <c r="L28" s="54"/>
      <c r="M28" s="54"/>
      <c r="N28" s="45"/>
    </row>
    <row r="29" spans="1:17" ht="15" hidden="1" customHeight="1" x14ac:dyDescent="0.3">
      <c r="A29" s="44"/>
      <c r="B29" s="59" t="s">
        <v>76</v>
      </c>
      <c r="D29" s="54"/>
      <c r="E29" s="54"/>
      <c r="F29" s="54"/>
      <c r="G29" s="54"/>
      <c r="H29" s="54"/>
      <c r="I29" s="54"/>
      <c r="J29" s="54"/>
      <c r="K29" s="54"/>
      <c r="L29" s="54"/>
      <c r="M29" s="54"/>
      <c r="N29" s="45"/>
    </row>
    <row r="30" spans="1:17" ht="15" customHeight="1" x14ac:dyDescent="0.3">
      <c r="A30" s="44"/>
      <c r="B30" s="54" t="str">
        <f>"Co-op Soc Empanelment Number : Mumbai-4/C1/1011404"</f>
        <v>Co-op Soc Empanelment Number : Mumbai-4/C1/1011404</v>
      </c>
      <c r="D30" s="54"/>
      <c r="E30" s="54"/>
      <c r="F30" s="54"/>
      <c r="G30" s="54"/>
      <c r="H30" s="54"/>
      <c r="I30" s="54"/>
      <c r="J30" s="54"/>
      <c r="K30" s="54"/>
      <c r="L30" s="54"/>
      <c r="M30" s="54"/>
      <c r="N30" s="45"/>
    </row>
    <row r="31" spans="1:17" ht="15.75" customHeight="1" x14ac:dyDescent="0.3">
      <c r="A31" s="44"/>
      <c r="B31" s="573">
        <f>+TIT!D13</f>
        <v>46277</v>
      </c>
      <c r="C31" s="573"/>
      <c r="D31" s="573"/>
      <c r="E31" s="573"/>
      <c r="F31" s="60"/>
      <c r="G31" s="54"/>
      <c r="H31" s="54"/>
      <c r="I31" s="54"/>
      <c r="J31" s="54"/>
      <c r="K31" s="54"/>
      <c r="L31" s="54"/>
      <c r="M31" s="54"/>
      <c r="N31" s="45"/>
    </row>
    <row r="32" spans="1:17" ht="15.75" customHeight="1" x14ac:dyDescent="0.3">
      <c r="A32" s="44"/>
      <c r="B32" s="54"/>
      <c r="C32" s="54"/>
      <c r="D32" s="61"/>
      <c r="E32" s="61"/>
      <c r="F32" s="61"/>
      <c r="G32" s="54"/>
      <c r="H32" s="54"/>
      <c r="I32" s="54"/>
      <c r="J32" s="54"/>
      <c r="K32" s="54"/>
      <c r="L32" s="54"/>
      <c r="M32" s="54"/>
      <c r="N32" s="45"/>
    </row>
    <row r="33" spans="1:14" ht="15.75" customHeight="1" x14ac:dyDescent="0.3">
      <c r="A33" s="44"/>
      <c r="B33" s="62" t="s">
        <v>77</v>
      </c>
      <c r="C33" s="62" t="s">
        <v>78</v>
      </c>
      <c r="D33" s="62"/>
      <c r="E33" s="61"/>
      <c r="F33" s="61"/>
      <c r="G33" s="54"/>
      <c r="H33" s="54"/>
      <c r="I33" s="54"/>
      <c r="J33" s="54"/>
      <c r="K33" s="54"/>
      <c r="L33" s="54"/>
      <c r="M33" s="54"/>
      <c r="N33" s="45"/>
    </row>
    <row r="34" spans="1:14" ht="15.75" customHeight="1" x14ac:dyDescent="0.3">
      <c r="A34" s="44"/>
      <c r="B34" s="62"/>
      <c r="C34" s="62"/>
      <c r="D34" s="62"/>
      <c r="E34" s="61"/>
      <c r="F34" s="61"/>
      <c r="G34" s="54"/>
      <c r="H34" s="54"/>
      <c r="I34" s="54"/>
      <c r="J34" s="54"/>
      <c r="K34" s="54"/>
      <c r="L34" s="54"/>
      <c r="M34" s="54"/>
      <c r="N34" s="45"/>
    </row>
    <row r="35" spans="1:14" ht="15.75" customHeight="1" x14ac:dyDescent="0.3">
      <c r="A35" s="44"/>
      <c r="B35" s="62"/>
      <c r="C35" s="62"/>
      <c r="D35" s="62"/>
      <c r="E35" s="61"/>
      <c r="F35" s="61"/>
      <c r="G35" s="54"/>
      <c r="H35" s="54"/>
      <c r="I35" s="54"/>
      <c r="J35" s="54"/>
      <c r="K35" s="54"/>
      <c r="L35" s="54"/>
      <c r="M35" s="54"/>
      <c r="N35" s="45"/>
    </row>
    <row r="36" spans="1:14" ht="15.75" customHeight="1" x14ac:dyDescent="0.3">
      <c r="A36" s="44"/>
      <c r="B36" s="62"/>
      <c r="C36" s="62"/>
      <c r="D36" s="62"/>
      <c r="E36" s="61"/>
      <c r="F36" s="61"/>
      <c r="G36" s="54"/>
      <c r="H36" s="54"/>
      <c r="I36" s="54"/>
      <c r="J36" s="54"/>
      <c r="K36" s="54"/>
      <c r="L36" s="54"/>
      <c r="M36" s="54"/>
      <c r="N36" s="45"/>
    </row>
    <row r="37" spans="1:14" ht="15.75" customHeight="1" x14ac:dyDescent="0.3">
      <c r="A37" s="44"/>
      <c r="B37" s="62"/>
      <c r="C37" s="62"/>
      <c r="D37" s="62"/>
      <c r="E37" s="61"/>
      <c r="F37" s="61"/>
      <c r="G37" s="54"/>
      <c r="H37" s="54"/>
      <c r="I37" s="54"/>
      <c r="J37" s="54"/>
      <c r="K37" s="54"/>
      <c r="L37" s="54"/>
      <c r="M37" s="54"/>
      <c r="N37" s="45"/>
    </row>
    <row r="38" spans="1:14" ht="15.75" customHeight="1" x14ac:dyDescent="0.3">
      <c r="A38" s="44"/>
      <c r="B38" s="62"/>
      <c r="C38" s="62"/>
      <c r="D38" s="62"/>
      <c r="E38" s="61"/>
      <c r="F38" s="61"/>
      <c r="G38" s="54"/>
      <c r="H38" s="54"/>
      <c r="I38" s="54"/>
      <c r="J38" s="54"/>
      <c r="K38" s="54"/>
      <c r="L38" s="54"/>
      <c r="M38" s="54"/>
      <c r="N38" s="45"/>
    </row>
    <row r="39" spans="1:14" ht="15.75" customHeight="1" x14ac:dyDescent="0.3">
      <c r="A39" s="44"/>
      <c r="B39" s="62"/>
      <c r="C39" s="62"/>
      <c r="D39" s="62"/>
      <c r="E39" s="61"/>
      <c r="F39" s="61"/>
      <c r="G39" s="54"/>
      <c r="H39" s="54"/>
      <c r="I39" s="54"/>
      <c r="J39" s="54"/>
      <c r="K39" s="54"/>
      <c r="L39" s="54"/>
      <c r="M39" s="54"/>
      <c r="N39" s="45"/>
    </row>
    <row r="40" spans="1:14" ht="15.75" customHeight="1" x14ac:dyDescent="0.3">
      <c r="A40" s="63"/>
      <c r="B40" s="64"/>
      <c r="C40" s="64"/>
      <c r="D40" s="65"/>
      <c r="E40" s="65"/>
      <c r="F40" s="65"/>
      <c r="G40" s="64"/>
      <c r="H40" s="64"/>
      <c r="I40" s="64"/>
      <c r="J40" s="64"/>
      <c r="K40" s="64"/>
      <c r="L40" s="64"/>
      <c r="M40" s="64"/>
      <c r="N40" s="66"/>
    </row>
    <row r="41" spans="1:14" ht="15.75" customHeight="1" x14ac:dyDescent="0.3">
      <c r="D41" s="67"/>
      <c r="E41" s="67"/>
      <c r="F41" s="67"/>
    </row>
    <row r="42" spans="1:14" ht="15.75" customHeight="1" x14ac:dyDescent="0.3">
      <c r="D42" s="67"/>
      <c r="E42" s="67"/>
      <c r="F42" s="67"/>
    </row>
    <row r="43" spans="1:14" ht="15.75" customHeight="1" x14ac:dyDescent="0.3">
      <c r="D43" s="67"/>
      <c r="E43" s="67"/>
      <c r="F43" s="67"/>
    </row>
    <row r="44" spans="1:14" ht="15.75" customHeight="1" x14ac:dyDescent="0.3">
      <c r="B44" s="574"/>
      <c r="C44" s="574"/>
      <c r="D44" s="574"/>
      <c r="E44" s="574"/>
      <c r="F44" s="574"/>
      <c r="G44" s="574"/>
      <c r="H44" s="574"/>
      <c r="I44" s="574"/>
      <c r="J44" s="574"/>
      <c r="K44" s="574"/>
      <c r="L44" s="574"/>
      <c r="M44" s="574"/>
    </row>
  </sheetData>
  <mergeCells count="17">
    <mergeCell ref="B31:E31"/>
    <mergeCell ref="B44:M44"/>
    <mergeCell ref="B19:M19"/>
    <mergeCell ref="B20:M20"/>
    <mergeCell ref="B21:M21"/>
    <mergeCell ref="B22:M22"/>
    <mergeCell ref="B23:M23"/>
    <mergeCell ref="B15:M15"/>
    <mergeCell ref="B16:M16"/>
    <mergeCell ref="Q16:AB16"/>
    <mergeCell ref="B17:M17"/>
    <mergeCell ref="B18:M18"/>
    <mergeCell ref="B2:M2"/>
    <mergeCell ref="B3:M3"/>
    <mergeCell ref="B4:M4"/>
    <mergeCell ref="B10:I11"/>
    <mergeCell ref="B13:M13"/>
  </mergeCells>
  <dataValidations count="2">
    <dataValidation type="list" allowBlank="1" showErrorMessage="1" sqref="O8" xr:uid="{00000000-0002-0000-0200-000000000000}">
      <formula1>"Chairman,Secretary,Chief Executive Officer"</formula1>
      <formula2>0</formula2>
    </dataValidation>
    <dataValidation allowBlank="1" showErrorMessage="1" sqref="O10:O11" xr:uid="{00000000-0002-0000-0200-000001000000}">
      <formula1>0</formula1>
      <formula2>0</formula2>
    </dataValidation>
  </dataValidations>
  <printOptions horizontalCentered="1" verticalCentered="1"/>
  <pageMargins left="0.23622047244094491" right="0.19685039370078741" top="0.27559055118110237" bottom="0.35433070866141736" header="0.51181102362204722" footer="0.51181102362204722"/>
  <pageSetup paperSize="9" scale="95"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1"/>
  <sheetViews>
    <sheetView view="pageBreakPreview" topLeftCell="A46" zoomScaleNormal="100" zoomScaleSheetLayoutView="100" workbookViewId="0">
      <selection activeCell="R55" sqref="R55"/>
    </sheetView>
  </sheetViews>
  <sheetFormatPr defaultColWidth="9" defaultRowHeight="15.6" x14ac:dyDescent="0.3"/>
  <cols>
    <col min="1" max="1" width="1" style="40" customWidth="1"/>
    <col min="2" max="2" width="4.09765625" style="40" customWidth="1"/>
    <col min="3" max="3" width="4.19921875" style="40" customWidth="1"/>
    <col min="4" max="4" width="7.8984375" style="40" customWidth="1"/>
    <col min="5" max="7" width="9" style="40"/>
    <col min="8" max="8" width="8.69921875" style="40" customWidth="1"/>
    <col min="9" max="9" width="8.3984375" style="40" customWidth="1"/>
    <col min="10" max="10" width="8.8984375" style="40" customWidth="1"/>
    <col min="11" max="11" width="8.5" style="40" customWidth="1"/>
    <col min="12" max="12" width="8.19921875" style="40" customWidth="1"/>
    <col min="13" max="13" width="7.09765625" style="40" customWidth="1"/>
    <col min="14" max="14" width="1" style="40" customWidth="1"/>
    <col min="15" max="257" width="9" style="40"/>
  </cols>
  <sheetData>
    <row r="1" spans="1:20" ht="3" customHeight="1" x14ac:dyDescent="0.3">
      <c r="A1" s="41"/>
      <c r="B1" s="42"/>
      <c r="C1" s="42"/>
      <c r="D1" s="42"/>
      <c r="E1" s="42"/>
      <c r="F1" s="42"/>
      <c r="G1" s="42"/>
      <c r="H1" s="42"/>
      <c r="I1" s="42"/>
      <c r="J1" s="42"/>
      <c r="K1" s="42"/>
      <c r="L1" s="42"/>
      <c r="M1" s="42"/>
      <c r="N1" s="43"/>
    </row>
    <row r="2" spans="1:20" ht="27" customHeight="1" x14ac:dyDescent="0.3">
      <c r="A2" s="41"/>
      <c r="B2" s="575" t="s">
        <v>17</v>
      </c>
      <c r="C2" s="575"/>
      <c r="D2" s="575"/>
      <c r="E2" s="575"/>
      <c r="F2" s="575"/>
      <c r="G2" s="575"/>
      <c r="H2" s="575"/>
      <c r="I2" s="575"/>
      <c r="J2" s="575"/>
      <c r="K2" s="575"/>
      <c r="L2" s="575"/>
      <c r="M2" s="575"/>
      <c r="N2" s="43"/>
      <c r="S2"/>
      <c r="T2"/>
    </row>
    <row r="3" spans="1:20" ht="27" customHeight="1" x14ac:dyDescent="0.3">
      <c r="A3" s="44"/>
      <c r="B3" s="568" t="s">
        <v>18</v>
      </c>
      <c r="C3" s="568"/>
      <c r="D3" s="568"/>
      <c r="E3" s="568"/>
      <c r="F3" s="568"/>
      <c r="G3" s="568"/>
      <c r="H3" s="568"/>
      <c r="I3" s="568"/>
      <c r="J3" s="568"/>
      <c r="K3" s="568"/>
      <c r="L3" s="568"/>
      <c r="M3" s="568"/>
      <c r="N3" s="45"/>
      <c r="Q3" t="s">
        <v>54</v>
      </c>
      <c r="T3"/>
    </row>
    <row r="4" spans="1:20" ht="15.75" customHeight="1" x14ac:dyDescent="0.3">
      <c r="A4" s="44"/>
      <c r="B4" s="569" t="s">
        <v>55</v>
      </c>
      <c r="C4" s="569"/>
      <c r="D4" s="569"/>
      <c r="E4" s="569"/>
      <c r="F4" s="569"/>
      <c r="G4" s="569"/>
      <c r="H4" s="569"/>
      <c r="I4" s="569"/>
      <c r="J4" s="569"/>
      <c r="K4" s="569"/>
      <c r="L4" s="569"/>
      <c r="M4" s="569"/>
      <c r="N4" s="45"/>
      <c r="S4"/>
      <c r="T4"/>
    </row>
    <row r="5" spans="1:20" ht="15" customHeight="1" x14ac:dyDescent="0.3">
      <c r="A5" s="44"/>
      <c r="B5" s="46"/>
      <c r="C5" s="68"/>
      <c r="D5" s="68"/>
      <c r="E5" s="68"/>
      <c r="F5" s="68"/>
      <c r="G5" s="68"/>
      <c r="H5" s="68"/>
      <c r="I5" s="68"/>
      <c r="J5" s="68"/>
      <c r="K5" s="68"/>
      <c r="L5" s="68"/>
      <c r="M5" s="68"/>
      <c r="N5" s="45"/>
    </row>
    <row r="6" spans="1:20" ht="15" customHeight="1" x14ac:dyDescent="0.3">
      <c r="A6" s="44"/>
      <c r="N6" s="45"/>
    </row>
    <row r="7" spans="1:20" ht="15.75" customHeight="1" x14ac:dyDescent="0.3">
      <c r="A7" s="44"/>
      <c r="B7" s="576" t="s">
        <v>79</v>
      </c>
      <c r="C7" s="576"/>
      <c r="D7" s="576"/>
      <c r="E7" s="576"/>
      <c r="F7" s="576"/>
      <c r="G7" s="576"/>
      <c r="H7" s="576"/>
      <c r="I7" s="576"/>
      <c r="J7" s="576"/>
      <c r="K7" s="576"/>
      <c r="L7" s="576"/>
      <c r="M7" s="576"/>
      <c r="N7" s="45"/>
    </row>
    <row r="8" spans="1:20" ht="15" customHeight="1" x14ac:dyDescent="0.3">
      <c r="A8" s="44"/>
      <c r="B8" s="577" t="s">
        <v>80</v>
      </c>
      <c r="C8" s="577"/>
      <c r="D8" s="577"/>
      <c r="E8" s="577"/>
      <c r="F8" s="577"/>
      <c r="G8" s="577"/>
      <c r="H8" s="577"/>
      <c r="I8" s="577"/>
      <c r="J8" s="577"/>
      <c r="K8" s="577"/>
      <c r="L8" s="577"/>
      <c r="M8" s="577"/>
      <c r="N8" s="45"/>
    </row>
    <row r="9" spans="1:20" ht="15" customHeight="1" x14ac:dyDescent="0.3">
      <c r="A9" s="44"/>
      <c r="B9" s="69"/>
      <c r="C9" s="69"/>
      <c r="D9" s="69"/>
      <c r="E9" s="69"/>
      <c r="F9" s="69"/>
      <c r="G9" s="69"/>
      <c r="H9" s="69"/>
      <c r="I9" s="69"/>
      <c r="J9" s="69"/>
      <c r="K9" s="69"/>
      <c r="L9" s="69"/>
      <c r="M9" s="69"/>
      <c r="N9" s="45"/>
    </row>
    <row r="10" spans="1:20" ht="15" customHeight="1" x14ac:dyDescent="0.3">
      <c r="A10" s="44"/>
      <c r="B10" s="70" t="s">
        <v>57</v>
      </c>
      <c r="C10" s="71"/>
      <c r="D10" s="71"/>
      <c r="E10" s="71"/>
      <c r="F10" s="71"/>
      <c r="G10" s="71"/>
      <c r="H10" s="71"/>
      <c r="I10" s="71"/>
      <c r="J10" s="72"/>
      <c r="K10" s="72"/>
      <c r="L10" s="72"/>
      <c r="M10" s="72"/>
      <c r="N10" s="45"/>
    </row>
    <row r="11" spans="1:20" ht="15" customHeight="1" x14ac:dyDescent="0.3">
      <c r="A11" s="44"/>
      <c r="B11" s="70" t="s">
        <v>58</v>
      </c>
      <c r="C11" s="71"/>
      <c r="D11" s="71"/>
      <c r="E11" s="71"/>
      <c r="F11" s="71"/>
      <c r="G11" s="71"/>
      <c r="H11" s="71"/>
      <c r="I11" s="71"/>
      <c r="J11" s="72"/>
      <c r="K11" s="72"/>
      <c r="L11" s="72"/>
      <c r="M11" s="72"/>
      <c r="N11" s="45"/>
      <c r="O11" s="40" t="s">
        <v>81</v>
      </c>
    </row>
    <row r="12" spans="1:20" ht="15" customHeight="1" x14ac:dyDescent="0.3">
      <c r="A12" s="44"/>
      <c r="B12" s="70" t="str">
        <f>+TIT!D2</f>
        <v>PRATHAMESH HARMONY "B"  WING CO-OPERATIVE HOUSING SOCIETY LTD.</v>
      </c>
      <c r="C12" s="71"/>
      <c r="D12" s="71"/>
      <c r="E12" s="71"/>
      <c r="F12" s="71"/>
      <c r="G12" s="71"/>
      <c r="H12" s="71"/>
      <c r="I12" s="71"/>
      <c r="J12" s="72"/>
      <c r="K12" s="72"/>
      <c r="L12" s="72"/>
      <c r="M12" s="72"/>
      <c r="N12" s="45"/>
    </row>
    <row r="13" spans="1:20" ht="15" customHeight="1" x14ac:dyDescent="0.3">
      <c r="A13" s="44"/>
      <c r="B13" s="578" t="str">
        <f>+TIT!D6</f>
        <v>CTS.No. 227,228 &amp; 216, Gautam Buddha Marg, Orlem, Malad - West, Mumbai - 400 064</v>
      </c>
      <c r="C13" s="578"/>
      <c r="D13" s="578"/>
      <c r="E13" s="578"/>
      <c r="F13" s="578"/>
      <c r="G13" s="578"/>
      <c r="H13" s="73"/>
      <c r="I13" s="73"/>
      <c r="J13" s="72"/>
      <c r="K13" s="72"/>
      <c r="L13" s="72"/>
      <c r="M13" s="72"/>
      <c r="N13" s="45"/>
    </row>
    <row r="14" spans="1:20" ht="15" customHeight="1" x14ac:dyDescent="0.3">
      <c r="A14" s="44"/>
      <c r="B14" s="578"/>
      <c r="C14" s="578"/>
      <c r="D14" s="578"/>
      <c r="E14" s="578"/>
      <c r="F14" s="578"/>
      <c r="G14" s="578"/>
      <c r="H14" s="73"/>
      <c r="I14" s="73"/>
      <c r="J14" s="72"/>
      <c r="K14" s="72"/>
      <c r="L14" s="72"/>
      <c r="M14" s="72"/>
      <c r="N14" s="45"/>
    </row>
    <row r="15" spans="1:20" ht="15" customHeight="1" x14ac:dyDescent="0.3">
      <c r="A15" s="44"/>
      <c r="B15" s="74"/>
      <c r="C15" s="75"/>
      <c r="D15" s="75"/>
      <c r="E15" s="75"/>
      <c r="F15" s="75"/>
      <c r="G15" s="75"/>
      <c r="H15" s="75"/>
      <c r="I15" s="75"/>
      <c r="J15" s="75"/>
      <c r="K15" s="75"/>
      <c r="L15" s="75"/>
      <c r="M15" s="75"/>
      <c r="N15" s="45"/>
    </row>
    <row r="16" spans="1:20" ht="19.5" customHeight="1" x14ac:dyDescent="0.3">
      <c r="A16" s="44"/>
      <c r="B16" s="571" t="s">
        <v>82</v>
      </c>
      <c r="C16" s="571"/>
      <c r="D16" s="571"/>
      <c r="E16" s="571"/>
      <c r="F16" s="571"/>
      <c r="G16" s="571"/>
      <c r="H16" s="571"/>
      <c r="I16" s="571"/>
      <c r="J16" s="571"/>
      <c r="K16" s="571"/>
      <c r="L16" s="571"/>
      <c r="M16" s="571"/>
      <c r="N16" s="45"/>
      <c r="Q16" s="55"/>
    </row>
    <row r="17" spans="1:21" ht="7.5" customHeight="1" x14ac:dyDescent="0.3">
      <c r="A17" s="44"/>
      <c r="B17" s="74"/>
      <c r="C17" s="75"/>
      <c r="D17" s="75"/>
      <c r="E17" s="75"/>
      <c r="F17" s="75"/>
      <c r="G17" s="75"/>
      <c r="H17" s="75"/>
      <c r="I17" s="75"/>
      <c r="J17" s="75"/>
      <c r="K17" s="75"/>
      <c r="L17" s="75"/>
      <c r="M17" s="75"/>
      <c r="N17" s="45"/>
    </row>
    <row r="18" spans="1:21" ht="15" customHeight="1" x14ac:dyDescent="0.3">
      <c r="A18" s="44"/>
      <c r="B18" s="76"/>
      <c r="C18" s="77" t="s">
        <v>83</v>
      </c>
      <c r="D18" s="78"/>
      <c r="E18" s="78"/>
      <c r="F18" s="78"/>
      <c r="G18" s="78"/>
      <c r="H18" s="78"/>
      <c r="I18" s="78"/>
      <c r="J18" s="78"/>
      <c r="K18" s="78"/>
      <c r="L18" s="78"/>
      <c r="M18" s="78"/>
      <c r="N18" s="45"/>
      <c r="O18" s="5"/>
      <c r="T18" s="79"/>
    </row>
    <row r="19" spans="1:21" ht="7.5" customHeight="1" x14ac:dyDescent="0.3">
      <c r="A19" s="44"/>
      <c r="B19" s="77"/>
      <c r="C19" s="75"/>
      <c r="D19" s="75"/>
      <c r="E19" s="75"/>
      <c r="F19" s="75"/>
      <c r="G19" s="75"/>
      <c r="H19" s="75"/>
      <c r="I19" s="75"/>
      <c r="J19" s="75"/>
      <c r="K19" s="75"/>
      <c r="L19" s="75"/>
      <c r="M19" s="75"/>
      <c r="N19" s="45"/>
    </row>
    <row r="20" spans="1:21" ht="77.25" customHeight="1" x14ac:dyDescent="0.3">
      <c r="A20" s="44"/>
      <c r="B20" s="80" t="s">
        <v>84</v>
      </c>
      <c r="C20" s="579" t="s">
        <v>851</v>
      </c>
      <c r="D20" s="579"/>
      <c r="E20" s="579"/>
      <c r="F20" s="579"/>
      <c r="G20" s="579"/>
      <c r="H20" s="579"/>
      <c r="I20" s="579"/>
      <c r="J20" s="579"/>
      <c r="K20" s="579"/>
      <c r="L20" s="579"/>
      <c r="M20" s="579"/>
      <c r="N20" s="45"/>
      <c r="O20" s="82" t="s">
        <v>85</v>
      </c>
      <c r="P20" s="55" t="str">
        <f>+TIT!D2</f>
        <v>PRATHAMESH HARMONY "B"  WING CO-OPERATIVE HOUSING SOCIETY LTD.</v>
      </c>
      <c r="U20" s="40" t="s">
        <v>86</v>
      </c>
    </row>
    <row r="21" spans="1:21" ht="6.75" customHeight="1" x14ac:dyDescent="0.3">
      <c r="A21" s="44"/>
      <c r="B21" s="83"/>
      <c r="C21" s="75"/>
      <c r="D21" s="75"/>
      <c r="E21" s="75"/>
      <c r="F21" s="75"/>
      <c r="G21" s="75"/>
      <c r="H21" s="75"/>
      <c r="I21" s="75"/>
      <c r="J21" s="75"/>
      <c r="K21" s="75"/>
      <c r="L21" s="75"/>
      <c r="M21" s="75"/>
      <c r="N21" s="45"/>
    </row>
    <row r="22" spans="1:21" ht="15" customHeight="1" x14ac:dyDescent="0.3">
      <c r="A22" s="44"/>
      <c r="B22" s="83"/>
      <c r="C22" s="84" t="s">
        <v>87</v>
      </c>
      <c r="D22" s="75"/>
      <c r="E22" s="75"/>
      <c r="F22" s="75"/>
      <c r="G22" s="75"/>
      <c r="H22" s="75"/>
      <c r="I22" s="75"/>
      <c r="J22" s="75"/>
      <c r="K22" s="75"/>
      <c r="L22" s="75"/>
      <c r="M22" s="75"/>
      <c r="N22" s="45"/>
      <c r="P22" s="5" t="s">
        <v>1</v>
      </c>
    </row>
    <row r="23" spans="1:21" ht="158.25" customHeight="1" x14ac:dyDescent="0.3">
      <c r="A23" s="44"/>
      <c r="B23" s="85" t="s">
        <v>88</v>
      </c>
      <c r="C23" s="579" t="s">
        <v>89</v>
      </c>
      <c r="D23" s="579"/>
      <c r="E23" s="579"/>
      <c r="F23" s="579"/>
      <c r="G23" s="579"/>
      <c r="H23" s="579"/>
      <c r="I23" s="579"/>
      <c r="J23" s="579"/>
      <c r="K23" s="579"/>
      <c r="L23" s="579"/>
      <c r="M23" s="579"/>
      <c r="N23" s="45"/>
    </row>
    <row r="24" spans="1:21" ht="7.5" customHeight="1" x14ac:dyDescent="0.3">
      <c r="A24" s="44"/>
      <c r="B24" s="83"/>
      <c r="C24" s="81"/>
      <c r="D24" s="81"/>
      <c r="E24" s="81"/>
      <c r="F24" s="81"/>
      <c r="G24" s="81"/>
      <c r="H24" s="81"/>
      <c r="I24" s="81"/>
      <c r="J24" s="81"/>
      <c r="K24" s="81"/>
      <c r="L24" s="81"/>
      <c r="M24" s="81"/>
      <c r="N24" s="45"/>
    </row>
    <row r="25" spans="1:21" ht="15" customHeight="1" x14ac:dyDescent="0.3">
      <c r="A25" s="44"/>
      <c r="B25" s="83"/>
      <c r="C25" s="84" t="s">
        <v>90</v>
      </c>
      <c r="D25" s="81"/>
      <c r="E25" s="81"/>
      <c r="F25" s="81"/>
      <c r="G25" s="81"/>
      <c r="H25" s="81"/>
      <c r="I25" s="81"/>
      <c r="J25" s="81"/>
      <c r="K25" s="81"/>
      <c r="L25" s="81"/>
      <c r="M25" s="81"/>
      <c r="N25" s="45"/>
    </row>
    <row r="26" spans="1:21" ht="108" customHeight="1" x14ac:dyDescent="0.3">
      <c r="A26" s="44"/>
      <c r="B26" s="85" t="s">
        <v>91</v>
      </c>
      <c r="C26" s="579" t="s">
        <v>92</v>
      </c>
      <c r="D26" s="579"/>
      <c r="E26" s="579"/>
      <c r="F26" s="579"/>
      <c r="G26" s="579"/>
      <c r="H26" s="579"/>
      <c r="I26" s="579"/>
      <c r="J26" s="579"/>
      <c r="K26" s="579"/>
      <c r="L26" s="579"/>
      <c r="M26" s="579"/>
      <c r="N26" s="45"/>
    </row>
    <row r="27" spans="1:21" ht="6.75" customHeight="1" x14ac:dyDescent="0.3">
      <c r="A27" s="44"/>
      <c r="B27" s="83"/>
      <c r="C27" s="75"/>
      <c r="D27" s="75"/>
      <c r="E27" s="75"/>
      <c r="F27" s="75"/>
      <c r="G27" s="75"/>
      <c r="H27" s="75"/>
      <c r="I27" s="75"/>
      <c r="J27" s="75"/>
      <c r="K27" s="75"/>
      <c r="L27" s="75"/>
      <c r="M27" s="75"/>
      <c r="N27" s="45"/>
    </row>
    <row r="28" spans="1:21" ht="126" customHeight="1" x14ac:dyDescent="0.3">
      <c r="A28" s="44"/>
      <c r="B28" s="85" t="s">
        <v>93</v>
      </c>
      <c r="C28" s="579" t="s">
        <v>94</v>
      </c>
      <c r="D28" s="579"/>
      <c r="E28" s="579"/>
      <c r="F28" s="579"/>
      <c r="G28" s="579"/>
      <c r="H28" s="579"/>
      <c r="I28" s="579"/>
      <c r="J28" s="579"/>
      <c r="K28" s="579"/>
      <c r="L28" s="579"/>
      <c r="M28" s="579"/>
      <c r="N28" s="45"/>
    </row>
    <row r="29" spans="1:21" ht="6.75" customHeight="1" x14ac:dyDescent="0.3">
      <c r="A29" s="44"/>
      <c r="B29" s="83"/>
      <c r="C29" s="75"/>
      <c r="D29" s="75"/>
      <c r="E29" s="75"/>
      <c r="F29" s="75"/>
      <c r="G29" s="75"/>
      <c r="H29" s="75"/>
      <c r="I29" s="75"/>
      <c r="J29" s="75"/>
      <c r="K29" s="75"/>
      <c r="L29" s="75"/>
      <c r="M29" s="75"/>
      <c r="N29" s="45"/>
    </row>
    <row r="30" spans="1:21" ht="32.25" customHeight="1" x14ac:dyDescent="0.3">
      <c r="A30" s="44"/>
      <c r="B30" s="80" t="s">
        <v>95</v>
      </c>
      <c r="C30" s="579" t="s">
        <v>96</v>
      </c>
      <c r="D30" s="579"/>
      <c r="E30" s="579"/>
      <c r="F30" s="579"/>
      <c r="G30" s="579"/>
      <c r="H30" s="579"/>
      <c r="I30" s="579"/>
      <c r="J30" s="579"/>
      <c r="K30" s="579"/>
      <c r="L30" s="579"/>
      <c r="M30" s="579"/>
      <c r="N30" s="45"/>
    </row>
    <row r="31" spans="1:21" ht="23.25" customHeight="1" x14ac:dyDescent="0.3">
      <c r="A31" s="63"/>
      <c r="B31" s="86"/>
      <c r="C31" s="87"/>
      <c r="D31" s="87"/>
      <c r="E31" s="87"/>
      <c r="F31" s="87"/>
      <c r="G31" s="87"/>
      <c r="H31" s="87"/>
      <c r="I31" s="87"/>
      <c r="J31" s="87"/>
      <c r="K31" s="87"/>
      <c r="L31" s="87"/>
      <c r="M31" s="87"/>
      <c r="N31" s="66"/>
    </row>
    <row r="32" spans="1:21" ht="6.75" customHeight="1" x14ac:dyDescent="0.3">
      <c r="A32" s="44"/>
      <c r="B32" s="83"/>
      <c r="C32" s="75"/>
      <c r="D32" s="75"/>
      <c r="E32" s="75"/>
      <c r="F32" s="75"/>
      <c r="G32" s="75"/>
      <c r="H32" s="75"/>
      <c r="I32" s="75"/>
      <c r="J32" s="75"/>
      <c r="K32" s="75"/>
      <c r="L32" s="75"/>
      <c r="M32" s="75"/>
      <c r="N32" s="45"/>
    </row>
    <row r="33" spans="1:23" ht="6.75" customHeight="1" x14ac:dyDescent="0.3">
      <c r="A33" s="44"/>
      <c r="B33" s="83"/>
      <c r="C33" s="75"/>
      <c r="D33" s="75"/>
      <c r="E33" s="75"/>
      <c r="F33" s="75"/>
      <c r="G33" s="75"/>
      <c r="H33" s="75"/>
      <c r="I33" s="75"/>
      <c r="J33" s="75"/>
      <c r="K33" s="75"/>
      <c r="L33" s="75"/>
      <c r="M33" s="75"/>
      <c r="N33" s="45"/>
    </row>
    <row r="34" spans="1:23" ht="9.75" customHeight="1" x14ac:dyDescent="0.3">
      <c r="A34" s="44"/>
      <c r="B34" s="83"/>
      <c r="C34" s="75"/>
      <c r="D34" s="75"/>
      <c r="E34" s="75"/>
      <c r="F34" s="75"/>
      <c r="G34" s="75"/>
      <c r="H34" s="75"/>
      <c r="I34" s="75"/>
      <c r="J34" s="75"/>
      <c r="K34" s="75"/>
      <c r="L34" s="75"/>
      <c r="M34" s="75"/>
      <c r="N34" s="45"/>
    </row>
    <row r="35" spans="1:23" ht="15" customHeight="1" x14ac:dyDescent="0.3">
      <c r="A35" s="44"/>
      <c r="B35" s="88"/>
      <c r="C35" s="84" t="s">
        <v>97</v>
      </c>
      <c r="D35" s="81"/>
      <c r="E35" s="81"/>
      <c r="F35" s="81"/>
      <c r="G35" s="81"/>
      <c r="H35" s="81"/>
      <c r="I35" s="81"/>
      <c r="J35" s="81"/>
      <c r="K35" s="81"/>
      <c r="L35" s="81"/>
      <c r="M35" s="81"/>
      <c r="N35" s="45"/>
    </row>
    <row r="36" spans="1:23" ht="83.25" customHeight="1" x14ac:dyDescent="0.3">
      <c r="A36" s="44"/>
      <c r="B36" s="80" t="s">
        <v>98</v>
      </c>
      <c r="C36" s="579" t="s">
        <v>99</v>
      </c>
      <c r="D36" s="579"/>
      <c r="E36" s="579"/>
      <c r="F36" s="579"/>
      <c r="G36" s="579"/>
      <c r="H36" s="579"/>
      <c r="I36" s="579"/>
      <c r="J36" s="579"/>
      <c r="K36" s="579"/>
      <c r="L36" s="579"/>
      <c r="M36" s="579"/>
      <c r="N36" s="45"/>
    </row>
    <row r="37" spans="1:23" ht="7.5" customHeight="1" x14ac:dyDescent="0.3">
      <c r="A37" s="44"/>
      <c r="B37" s="75"/>
      <c r="C37" s="75"/>
      <c r="D37" s="75"/>
      <c r="E37" s="75"/>
      <c r="F37" s="75"/>
      <c r="G37" s="75"/>
      <c r="H37" s="75"/>
      <c r="I37" s="75"/>
      <c r="J37" s="75"/>
      <c r="K37" s="75"/>
      <c r="L37" s="75"/>
      <c r="M37" s="75"/>
      <c r="N37" s="45"/>
    </row>
    <row r="38" spans="1:23" ht="21" customHeight="1" x14ac:dyDescent="0.3">
      <c r="A38" s="44"/>
      <c r="B38" s="75"/>
      <c r="C38" s="89" t="s">
        <v>100</v>
      </c>
      <c r="D38" s="580" t="s">
        <v>101</v>
      </c>
      <c r="E38" s="580"/>
      <c r="F38" s="580"/>
      <c r="G38" s="580"/>
      <c r="H38" s="580"/>
      <c r="I38" s="580"/>
      <c r="J38" s="580"/>
      <c r="K38" s="580"/>
      <c r="L38" s="580"/>
      <c r="M38" s="580"/>
      <c r="N38" s="45"/>
    </row>
    <row r="39" spans="1:23" ht="7.5" customHeight="1" x14ac:dyDescent="0.3">
      <c r="A39" s="44"/>
      <c r="B39" s="54"/>
      <c r="C39" s="75"/>
      <c r="D39" s="75"/>
      <c r="E39" s="75"/>
      <c r="F39" s="75"/>
      <c r="G39" s="75"/>
      <c r="H39" s="75"/>
      <c r="I39" s="75"/>
      <c r="J39" s="75"/>
      <c r="K39" s="75"/>
      <c r="L39" s="75"/>
      <c r="M39" s="75"/>
      <c r="N39" s="45"/>
    </row>
    <row r="40" spans="1:23" ht="15" customHeight="1" x14ac:dyDescent="0.3">
      <c r="A40" s="44"/>
      <c r="B40" s="75"/>
      <c r="C40" s="91" t="s">
        <v>102</v>
      </c>
      <c r="D40" s="580" t="s">
        <v>103</v>
      </c>
      <c r="E40" s="580"/>
      <c r="F40" s="580"/>
      <c r="G40" s="580"/>
      <c r="H40" s="580"/>
      <c r="I40" s="580"/>
      <c r="J40" s="580"/>
      <c r="K40" s="580"/>
      <c r="L40" s="580"/>
      <c r="M40" s="580"/>
      <c r="N40" s="45"/>
      <c r="O40" s="581" t="s">
        <v>104</v>
      </c>
      <c r="P40" s="581"/>
      <c r="Q40" s="581"/>
      <c r="R40" s="581"/>
      <c r="S40" s="92"/>
      <c r="T40" s="92"/>
      <c r="U40" s="92"/>
      <c r="V40" s="92"/>
      <c r="W40" s="92"/>
    </row>
    <row r="41" spans="1:23" ht="15" customHeight="1" x14ac:dyDescent="0.3">
      <c r="A41" s="44"/>
      <c r="B41" s="54"/>
      <c r="C41" s="54"/>
      <c r="D41" s="580"/>
      <c r="E41" s="580"/>
      <c r="F41" s="580"/>
      <c r="G41" s="580"/>
      <c r="H41" s="580"/>
      <c r="I41" s="580"/>
      <c r="J41" s="580"/>
      <c r="K41" s="580"/>
      <c r="L41" s="580"/>
      <c r="M41" s="580"/>
      <c r="N41" s="93"/>
      <c r="O41" s="92"/>
      <c r="P41" s="92"/>
      <c r="Q41" s="92"/>
      <c r="R41" s="92"/>
      <c r="S41" s="92"/>
      <c r="T41" s="92"/>
      <c r="U41" s="92"/>
      <c r="V41" s="92"/>
      <c r="W41" s="92"/>
    </row>
    <row r="42" spans="1:23" ht="7.5" customHeight="1" x14ac:dyDescent="0.3">
      <c r="A42" s="44"/>
      <c r="B42" s="54"/>
      <c r="C42" s="75"/>
      <c r="D42" s="75"/>
      <c r="E42" s="75"/>
      <c r="F42" s="75"/>
      <c r="G42" s="75"/>
      <c r="H42" s="75"/>
      <c r="I42" s="75"/>
      <c r="J42" s="75"/>
      <c r="K42" s="75"/>
      <c r="L42" s="75"/>
      <c r="M42" s="75"/>
      <c r="N42" s="45"/>
    </row>
    <row r="43" spans="1:23" ht="15" customHeight="1" x14ac:dyDescent="0.3">
      <c r="A43" s="44"/>
      <c r="B43" s="54"/>
      <c r="C43" s="84" t="s">
        <v>105</v>
      </c>
      <c r="D43" s="75"/>
      <c r="E43" s="75"/>
      <c r="F43" s="75"/>
      <c r="G43" s="75"/>
      <c r="H43" s="75"/>
      <c r="I43" s="75"/>
      <c r="J43" s="75"/>
      <c r="K43" s="75"/>
      <c r="L43" s="75"/>
      <c r="M43" s="75"/>
      <c r="N43" s="45"/>
    </row>
    <row r="44" spans="1:23" ht="49.5" customHeight="1" x14ac:dyDescent="0.3">
      <c r="A44" s="44"/>
      <c r="B44" s="80"/>
      <c r="C44" s="579" t="s">
        <v>106</v>
      </c>
      <c r="D44" s="579"/>
      <c r="E44" s="579"/>
      <c r="F44" s="579"/>
      <c r="G44" s="579"/>
      <c r="H44" s="579"/>
      <c r="I44" s="579"/>
      <c r="J44" s="579"/>
      <c r="K44" s="579"/>
      <c r="L44" s="579"/>
      <c r="M44" s="579"/>
      <c r="N44" s="45"/>
    </row>
    <row r="45" spans="1:23" ht="36" customHeight="1" x14ac:dyDescent="0.3">
      <c r="A45" s="44"/>
      <c r="B45" s="80" t="s">
        <v>107</v>
      </c>
      <c r="C45" s="582" t="s">
        <v>108</v>
      </c>
      <c r="D45" s="582"/>
      <c r="E45" s="582"/>
      <c r="F45" s="582"/>
      <c r="G45" s="582"/>
      <c r="H45" s="582"/>
      <c r="I45" s="582"/>
      <c r="J45" s="582"/>
      <c r="K45" s="582"/>
      <c r="L45" s="582"/>
      <c r="M45" s="582"/>
      <c r="N45" s="45"/>
    </row>
    <row r="46" spans="1:23" ht="7.5" customHeight="1" x14ac:dyDescent="0.3">
      <c r="A46" s="44"/>
      <c r="B46" s="54"/>
      <c r="C46" s="75"/>
      <c r="D46" s="75"/>
      <c r="E46" s="75"/>
      <c r="F46" s="75"/>
      <c r="G46" s="75"/>
      <c r="H46" s="75"/>
      <c r="I46" s="75"/>
      <c r="J46" s="75"/>
      <c r="K46" s="75"/>
      <c r="L46" s="75"/>
      <c r="M46" s="75"/>
      <c r="N46" s="45"/>
    </row>
    <row r="47" spans="1:23" ht="15" customHeight="1" x14ac:dyDescent="0.3">
      <c r="A47" s="44"/>
      <c r="B47" s="80" t="s">
        <v>109</v>
      </c>
      <c r="C47" s="84" t="s">
        <v>110</v>
      </c>
      <c r="D47" s="75"/>
      <c r="E47" s="75"/>
      <c r="F47" s="75"/>
      <c r="G47" s="75"/>
      <c r="H47" s="75"/>
      <c r="I47" s="75"/>
      <c r="J47" s="75"/>
      <c r="K47" s="75"/>
      <c r="L47" s="75"/>
      <c r="M47" s="75"/>
      <c r="N47" s="45"/>
    </row>
    <row r="48" spans="1:23" ht="31.5" customHeight="1" x14ac:dyDescent="0.3">
      <c r="A48" s="44"/>
      <c r="B48" s="54"/>
      <c r="C48" s="94" t="s">
        <v>111</v>
      </c>
      <c r="D48" s="579" t="s">
        <v>112</v>
      </c>
      <c r="E48" s="579"/>
      <c r="F48" s="579"/>
      <c r="G48" s="579"/>
      <c r="H48" s="579"/>
      <c r="I48" s="579"/>
      <c r="J48" s="579"/>
      <c r="K48" s="579"/>
      <c r="L48" s="579"/>
      <c r="M48" s="579"/>
      <c r="N48" s="45"/>
    </row>
    <row r="49" spans="1:16" ht="7.5" customHeight="1" x14ac:dyDescent="0.3">
      <c r="A49" s="44"/>
      <c r="B49" s="95"/>
      <c r="C49" s="94"/>
      <c r="D49" s="95"/>
      <c r="E49" s="95"/>
      <c r="F49" s="95"/>
      <c r="G49" s="95"/>
      <c r="H49" s="95"/>
      <c r="I49" s="95"/>
      <c r="J49" s="95"/>
      <c r="K49" s="95"/>
      <c r="L49" s="95"/>
      <c r="M49" s="95"/>
      <c r="N49" s="45"/>
    </row>
    <row r="50" spans="1:16" ht="16.5" customHeight="1" x14ac:dyDescent="0.3">
      <c r="A50" s="44"/>
      <c r="B50" s="96"/>
      <c r="C50" s="94" t="s">
        <v>113</v>
      </c>
      <c r="D50" s="579" t="s">
        <v>114</v>
      </c>
      <c r="E50" s="579"/>
      <c r="F50" s="579"/>
      <c r="G50" s="579"/>
      <c r="H50" s="579"/>
      <c r="I50" s="579"/>
      <c r="J50" s="579"/>
      <c r="K50" s="579"/>
      <c r="L50" s="579"/>
      <c r="M50" s="579"/>
      <c r="N50" s="45"/>
    </row>
    <row r="51" spans="1:16" ht="7.5" customHeight="1" x14ac:dyDescent="0.3">
      <c r="A51" s="44"/>
      <c r="B51" s="95"/>
      <c r="C51" s="94"/>
      <c r="D51" s="95"/>
      <c r="E51" s="95"/>
      <c r="F51" s="95"/>
      <c r="G51" s="95"/>
      <c r="H51" s="95"/>
      <c r="I51" s="95"/>
      <c r="J51" s="95"/>
      <c r="K51" s="95"/>
      <c r="L51" s="95"/>
      <c r="M51" s="95"/>
      <c r="N51" s="45"/>
    </row>
    <row r="52" spans="1:16" ht="31.5" customHeight="1" x14ac:dyDescent="0.3">
      <c r="A52" s="44"/>
      <c r="B52" s="80" t="s">
        <v>115</v>
      </c>
      <c r="C52" s="579" t="s">
        <v>116</v>
      </c>
      <c r="D52" s="579"/>
      <c r="E52" s="579"/>
      <c r="F52" s="579"/>
      <c r="G52" s="579"/>
      <c r="H52" s="579"/>
      <c r="I52" s="579"/>
      <c r="J52" s="579"/>
      <c r="K52" s="579"/>
      <c r="L52" s="579"/>
      <c r="M52" s="579"/>
      <c r="N52" s="45"/>
    </row>
    <row r="53" spans="1:16" ht="7.5" customHeight="1" x14ac:dyDescent="0.3">
      <c r="A53" s="44"/>
      <c r="B53" s="95"/>
      <c r="C53" s="94"/>
      <c r="D53" s="95"/>
      <c r="E53" s="95"/>
      <c r="F53" s="95"/>
      <c r="G53" s="95"/>
      <c r="H53" s="95"/>
      <c r="I53" s="95"/>
      <c r="J53" s="95"/>
      <c r="K53" s="95"/>
      <c r="L53" s="95"/>
      <c r="M53" s="95"/>
      <c r="N53" s="45"/>
    </row>
    <row r="54" spans="1:16" ht="15" customHeight="1" x14ac:dyDescent="0.3">
      <c r="A54" s="44"/>
      <c r="B54" s="80" t="s">
        <v>117</v>
      </c>
      <c r="C54" s="84" t="s">
        <v>118</v>
      </c>
      <c r="D54" s="95"/>
      <c r="E54" s="95"/>
      <c r="F54" s="95"/>
      <c r="G54" s="95"/>
      <c r="H54" s="95"/>
      <c r="I54" s="95"/>
      <c r="J54" s="95"/>
      <c r="K54" s="95"/>
      <c r="L54" s="95"/>
      <c r="M54" s="95"/>
      <c r="N54" s="45"/>
    </row>
    <row r="55" spans="1:16" ht="32.25" customHeight="1" x14ac:dyDescent="0.3">
      <c r="A55" s="44"/>
      <c r="B55" s="95"/>
      <c r="C55" s="97" t="s">
        <v>100</v>
      </c>
      <c r="D55" s="579" t="s">
        <v>119</v>
      </c>
      <c r="E55" s="579"/>
      <c r="F55" s="579"/>
      <c r="G55" s="579"/>
      <c r="H55" s="579"/>
      <c r="I55" s="579"/>
      <c r="J55" s="579"/>
      <c r="K55" s="579"/>
      <c r="L55" s="579"/>
      <c r="M55" s="579"/>
      <c r="N55" s="45"/>
      <c r="O55" s="98" t="s">
        <v>120</v>
      </c>
    </row>
    <row r="56" spans="1:16" ht="7.5" customHeight="1" x14ac:dyDescent="0.3">
      <c r="A56" s="44"/>
      <c r="B56" s="95"/>
      <c r="C56" s="94"/>
      <c r="D56" s="95"/>
      <c r="E56" s="95"/>
      <c r="F56" s="95"/>
      <c r="G56" s="95"/>
      <c r="H56" s="95"/>
      <c r="I56" s="95"/>
      <c r="J56" s="95"/>
      <c r="K56" s="95"/>
      <c r="L56" s="95"/>
      <c r="M56" s="95"/>
      <c r="N56" s="45"/>
    </row>
    <row r="57" spans="1:16" ht="33" customHeight="1" x14ac:dyDescent="0.3">
      <c r="A57" s="44"/>
      <c r="B57" s="95"/>
      <c r="C57" s="97" t="s">
        <v>102</v>
      </c>
      <c r="D57" s="579" t="s">
        <v>121</v>
      </c>
      <c r="E57" s="579"/>
      <c r="F57" s="579"/>
      <c r="G57" s="579"/>
      <c r="H57" s="579"/>
      <c r="I57" s="579"/>
      <c r="J57" s="579"/>
      <c r="K57" s="579"/>
      <c r="L57" s="579"/>
      <c r="M57" s="579"/>
      <c r="N57" s="45"/>
    </row>
    <row r="58" spans="1:16" ht="7.5" customHeight="1" x14ac:dyDescent="0.3">
      <c r="A58" s="44"/>
      <c r="B58" s="95"/>
      <c r="C58" s="94"/>
      <c r="D58" s="95"/>
      <c r="E58" s="95"/>
      <c r="F58" s="95"/>
      <c r="G58" s="95"/>
      <c r="H58" s="95"/>
      <c r="I58" s="95"/>
      <c r="J58" s="95"/>
      <c r="K58" s="95"/>
      <c r="L58" s="95"/>
      <c r="M58" s="95"/>
      <c r="N58" s="45"/>
    </row>
    <row r="59" spans="1:16" ht="15" customHeight="1" x14ac:dyDescent="0.3">
      <c r="A59" s="44"/>
      <c r="B59" s="584" t="s">
        <v>122</v>
      </c>
      <c r="C59" s="584"/>
      <c r="D59" s="584"/>
      <c r="E59" s="584"/>
      <c r="F59" s="584"/>
      <c r="G59" s="584"/>
      <c r="H59" s="584"/>
      <c r="I59" s="584"/>
      <c r="J59" s="584"/>
      <c r="K59" s="584"/>
      <c r="L59" s="584"/>
      <c r="M59" s="584"/>
      <c r="N59" s="45"/>
      <c r="O59" s="40" t="s">
        <v>123</v>
      </c>
      <c r="P59" s="40" t="s">
        <v>124</v>
      </c>
    </row>
    <row r="60" spans="1:16" ht="15" customHeight="1" x14ac:dyDescent="0.3">
      <c r="A60" s="44"/>
      <c r="B60" s="54"/>
      <c r="C60" s="54" t="s">
        <v>125</v>
      </c>
      <c r="D60" s="75"/>
      <c r="E60" s="75"/>
      <c r="F60" s="75"/>
      <c r="G60" s="75"/>
      <c r="H60" s="75"/>
      <c r="I60" s="75"/>
      <c r="J60" s="75"/>
      <c r="K60" s="75"/>
      <c r="L60" s="75"/>
      <c r="M60" s="75"/>
      <c r="N60" s="99"/>
      <c r="P60" s="40" t="s">
        <v>126</v>
      </c>
    </row>
    <row r="61" spans="1:16" ht="15.75" customHeight="1" x14ac:dyDescent="0.3">
      <c r="A61" s="44"/>
      <c r="B61" s="54"/>
      <c r="C61" s="54"/>
      <c r="D61" s="75"/>
      <c r="E61" s="75"/>
      <c r="F61" s="75"/>
      <c r="G61" s="75"/>
      <c r="H61" s="75"/>
      <c r="I61" s="75"/>
      <c r="J61" s="75"/>
      <c r="K61" s="75"/>
      <c r="L61" s="75"/>
      <c r="M61" s="75"/>
      <c r="N61" s="99"/>
    </row>
    <row r="62" spans="1:16" ht="15.75" customHeight="1" x14ac:dyDescent="0.3">
      <c r="A62" s="44"/>
      <c r="B62" s="54"/>
      <c r="C62" s="54"/>
      <c r="D62" s="75"/>
      <c r="E62" s="75"/>
      <c r="F62" s="75"/>
      <c r="G62" s="75"/>
      <c r="H62" s="75"/>
      <c r="I62" s="75"/>
      <c r="J62" s="75"/>
      <c r="K62" s="75"/>
      <c r="L62" s="75"/>
      <c r="M62" s="75"/>
      <c r="N62" s="99"/>
    </row>
    <row r="63" spans="1:16" ht="15.75" customHeight="1" x14ac:dyDescent="0.3">
      <c r="A63" s="44"/>
      <c r="B63" s="54"/>
      <c r="C63" s="54"/>
      <c r="D63" s="75"/>
      <c r="E63" s="75"/>
      <c r="F63" s="75"/>
      <c r="G63" s="75"/>
      <c r="H63" s="75"/>
      <c r="I63" s="75"/>
      <c r="J63" s="75"/>
      <c r="K63" s="75"/>
      <c r="L63" s="75"/>
      <c r="M63" s="75"/>
      <c r="N63" s="99"/>
    </row>
    <row r="64" spans="1:16" ht="15.75" customHeight="1" x14ac:dyDescent="0.3">
      <c r="A64" s="44"/>
      <c r="B64" s="54"/>
      <c r="C64" s="54"/>
      <c r="D64" s="75"/>
      <c r="E64" s="75"/>
      <c r="F64" s="75"/>
      <c r="G64" s="75"/>
      <c r="H64" s="75"/>
      <c r="I64" s="75"/>
      <c r="J64" s="75"/>
      <c r="K64" s="75"/>
      <c r="L64" s="75"/>
      <c r="M64" s="75"/>
      <c r="N64" s="99"/>
    </row>
    <row r="65" spans="1:14" ht="15" customHeight="1" x14ac:dyDescent="0.3">
      <c r="A65" s="44"/>
      <c r="B65" s="54"/>
      <c r="C65" s="54"/>
      <c r="D65" s="75"/>
      <c r="E65" s="75"/>
      <c r="F65" s="75"/>
      <c r="G65" s="75"/>
      <c r="H65" s="75"/>
      <c r="I65" s="75"/>
      <c r="J65" s="75"/>
      <c r="K65" s="75"/>
      <c r="L65" s="75"/>
      <c r="M65" s="75"/>
      <c r="N65" s="99"/>
    </row>
    <row r="66" spans="1:14" ht="15" customHeight="1" x14ac:dyDescent="0.3">
      <c r="A66" s="44"/>
      <c r="B66" s="54"/>
      <c r="C66" s="54"/>
      <c r="D66" s="54"/>
      <c r="E66" s="54"/>
      <c r="F66" s="54"/>
      <c r="G66" s="54"/>
      <c r="H66" s="54"/>
      <c r="I66" s="54"/>
      <c r="J66" s="54"/>
      <c r="K66" s="54"/>
      <c r="L66" s="54"/>
      <c r="M66" s="54"/>
      <c r="N66" s="45"/>
    </row>
    <row r="67" spans="1:14" ht="15" customHeight="1" x14ac:dyDescent="0.3">
      <c r="A67" s="44"/>
      <c r="B67" s="54"/>
      <c r="C67" s="58" t="s">
        <v>17</v>
      </c>
      <c r="E67" s="54"/>
      <c r="F67" s="54"/>
      <c r="G67" s="54"/>
      <c r="H67" s="54"/>
      <c r="I67" s="54"/>
      <c r="J67" s="54"/>
      <c r="K67" s="54"/>
      <c r="L67" s="54"/>
      <c r="M67" s="54"/>
      <c r="N67" s="45"/>
    </row>
    <row r="68" spans="1:14" ht="15.75" customHeight="1" x14ac:dyDescent="0.3">
      <c r="A68" s="44"/>
      <c r="B68" s="54"/>
      <c r="C68" s="59" t="s">
        <v>18</v>
      </c>
      <c r="E68" s="54"/>
      <c r="F68" s="54"/>
      <c r="G68" s="54"/>
      <c r="H68" s="54"/>
      <c r="I68" s="54"/>
      <c r="J68" s="54"/>
      <c r="K68" s="54"/>
      <c r="L68" s="54"/>
      <c r="M68" s="54"/>
      <c r="N68" s="45"/>
    </row>
    <row r="69" spans="1:14" ht="15" hidden="1" customHeight="1" x14ac:dyDescent="0.3">
      <c r="A69" s="44"/>
      <c r="B69" s="54"/>
      <c r="C69" s="59" t="s">
        <v>76</v>
      </c>
      <c r="E69" s="54"/>
      <c r="F69" s="54"/>
      <c r="G69" s="54"/>
      <c r="H69" s="54"/>
      <c r="I69" s="54"/>
      <c r="J69" s="54"/>
      <c r="K69" s="54"/>
      <c r="L69" s="54"/>
      <c r="M69" s="54"/>
      <c r="N69" s="45"/>
    </row>
    <row r="70" spans="1:14" ht="15" customHeight="1" x14ac:dyDescent="0.3">
      <c r="A70" s="44"/>
      <c r="B70" s="54"/>
      <c r="C70" s="54" t="str">
        <f>"Co-op Soc Empanelment Number : Mumbai-4/C1/1011404"</f>
        <v>Co-op Soc Empanelment Number : Mumbai-4/C1/1011404</v>
      </c>
      <c r="E70" s="54"/>
      <c r="F70" s="54"/>
      <c r="G70" s="54"/>
      <c r="H70" s="54"/>
      <c r="I70" s="54"/>
      <c r="J70" s="54"/>
      <c r="K70" s="54"/>
      <c r="L70" s="54"/>
      <c r="M70" s="54"/>
      <c r="N70" s="45"/>
    </row>
    <row r="71" spans="1:14" ht="15.75" customHeight="1" x14ac:dyDescent="0.3">
      <c r="A71" s="44"/>
      <c r="B71" s="54"/>
      <c r="C71" s="583">
        <f>+TIT!D13</f>
        <v>46277</v>
      </c>
      <c r="D71" s="583"/>
      <c r="E71" s="583"/>
      <c r="F71" s="583"/>
      <c r="G71" s="583"/>
      <c r="H71" s="54"/>
      <c r="I71" s="54"/>
      <c r="J71" s="54"/>
      <c r="K71" s="54"/>
      <c r="L71" s="54"/>
      <c r="M71" s="54"/>
      <c r="N71" s="45"/>
    </row>
    <row r="72" spans="1:14" ht="15.75" customHeight="1" x14ac:dyDescent="0.3">
      <c r="A72" s="44"/>
      <c r="B72" s="54"/>
      <c r="C72" s="54"/>
      <c r="D72" s="100"/>
      <c r="E72" s="100"/>
      <c r="F72" s="100"/>
      <c r="G72" s="54"/>
      <c r="H72" s="54"/>
      <c r="I72" s="54"/>
      <c r="J72" s="54"/>
      <c r="K72" s="54"/>
      <c r="L72" s="54"/>
      <c r="M72" s="54"/>
      <c r="N72" s="45"/>
    </row>
    <row r="73" spans="1:14" ht="15.75" customHeight="1" x14ac:dyDescent="0.3">
      <c r="A73" s="44"/>
      <c r="B73" s="101"/>
      <c r="C73" s="101"/>
      <c r="D73" s="102"/>
      <c r="E73" s="102"/>
      <c r="F73" s="102"/>
      <c r="G73" s="101"/>
      <c r="H73" s="101"/>
      <c r="I73" s="101"/>
      <c r="J73" s="101"/>
      <c r="K73" s="101"/>
      <c r="L73" s="101"/>
      <c r="M73" s="101"/>
      <c r="N73" s="45"/>
    </row>
    <row r="74" spans="1:14" ht="15.75" customHeight="1" x14ac:dyDescent="0.3">
      <c r="A74" s="63"/>
      <c r="B74" s="64"/>
      <c r="C74" s="64"/>
      <c r="D74" s="103"/>
      <c r="E74" s="103"/>
      <c r="F74" s="103"/>
      <c r="G74" s="64"/>
      <c r="H74" s="64"/>
      <c r="I74" s="64"/>
      <c r="J74" s="64"/>
      <c r="K74" s="64"/>
      <c r="L74" s="64"/>
      <c r="M74" s="64"/>
      <c r="N74" s="66"/>
    </row>
    <row r="75" spans="1:14" ht="15.75" customHeight="1" x14ac:dyDescent="0.3">
      <c r="B75" s="54" t="s">
        <v>127</v>
      </c>
      <c r="C75" s="54"/>
      <c r="D75" s="100"/>
      <c r="E75" s="100"/>
      <c r="F75" s="100"/>
      <c r="G75" s="54"/>
      <c r="H75" s="54"/>
      <c r="I75" s="54"/>
      <c r="J75" s="54"/>
      <c r="K75" s="54"/>
      <c r="L75" s="54"/>
      <c r="M75" s="54"/>
    </row>
    <row r="76" spans="1:14" ht="15.75" customHeight="1" x14ac:dyDescent="0.3">
      <c r="B76" s="54"/>
      <c r="C76" s="54"/>
      <c r="D76" s="100"/>
      <c r="E76" s="100"/>
      <c r="F76" s="100"/>
      <c r="G76" s="54"/>
      <c r="H76" s="54"/>
      <c r="I76" s="54"/>
      <c r="J76" s="54"/>
      <c r="K76" s="54"/>
      <c r="L76" s="54"/>
      <c r="M76" s="54"/>
    </row>
    <row r="77" spans="1:14" ht="15.75" customHeight="1" x14ac:dyDescent="0.3">
      <c r="B77" s="54"/>
      <c r="C77" s="54"/>
      <c r="D77" s="100"/>
      <c r="E77" s="100"/>
      <c r="F77" s="100"/>
      <c r="G77" s="54"/>
      <c r="H77" s="54"/>
      <c r="I77" s="54"/>
      <c r="J77" s="54"/>
      <c r="K77" s="54"/>
      <c r="L77" s="54"/>
      <c r="M77" s="54"/>
    </row>
    <row r="78" spans="1:14" ht="15.75" customHeight="1" x14ac:dyDescent="0.3">
      <c r="D78" s="104"/>
      <c r="E78" s="104"/>
      <c r="F78" s="104"/>
    </row>
    <row r="79" spans="1:14" ht="15.75" customHeight="1" x14ac:dyDescent="0.3">
      <c r="D79" s="104"/>
      <c r="E79" s="104"/>
      <c r="F79" s="104"/>
    </row>
    <row r="80" spans="1:14" ht="15.75" customHeight="1" x14ac:dyDescent="0.3">
      <c r="D80" s="104"/>
      <c r="E80" s="104"/>
      <c r="F80" s="104"/>
    </row>
    <row r="81" spans="2:13" ht="15.75" customHeight="1" x14ac:dyDescent="0.3">
      <c r="B81" s="574"/>
      <c r="C81" s="574"/>
      <c r="D81" s="574"/>
      <c r="E81" s="574"/>
      <c r="F81" s="574"/>
      <c r="G81" s="574"/>
      <c r="H81" s="574"/>
      <c r="I81" s="574"/>
      <c r="J81" s="574"/>
      <c r="K81" s="574"/>
      <c r="L81" s="574"/>
      <c r="M81" s="574"/>
    </row>
  </sheetData>
  <mergeCells count="26">
    <mergeCell ref="C71:G71"/>
    <mergeCell ref="B81:M81"/>
    <mergeCell ref="C52:M52"/>
    <mergeCell ref="D55:M55"/>
    <mergeCell ref="D57:M57"/>
    <mergeCell ref="B59:M59"/>
    <mergeCell ref="O40:R40"/>
    <mergeCell ref="C44:M44"/>
    <mergeCell ref="C45:M45"/>
    <mergeCell ref="D48:M48"/>
    <mergeCell ref="D50:M50"/>
    <mergeCell ref="C28:M28"/>
    <mergeCell ref="C30:M30"/>
    <mergeCell ref="C36:M36"/>
    <mergeCell ref="D38:M38"/>
    <mergeCell ref="D40:M41"/>
    <mergeCell ref="B13:G14"/>
    <mergeCell ref="B16:M16"/>
    <mergeCell ref="C20:M20"/>
    <mergeCell ref="C23:M23"/>
    <mergeCell ref="C26:M26"/>
    <mergeCell ref="B2:M2"/>
    <mergeCell ref="B3:M3"/>
    <mergeCell ref="B4:M4"/>
    <mergeCell ref="B7:M7"/>
    <mergeCell ref="B8:M8"/>
  </mergeCells>
  <dataValidations count="4">
    <dataValidation allowBlank="1" showErrorMessage="1" sqref="O13:O14" xr:uid="{00000000-0002-0000-0300-000000000000}">
      <formula1>0</formula1>
      <formula2>0</formula2>
    </dataValidation>
    <dataValidation type="list" allowBlank="1" showErrorMessage="1" sqref="O55" xr:uid="{00000000-0002-0000-0300-000001000000}">
      <formula1>"Y,N"</formula1>
      <formula2>0</formula2>
    </dataValidation>
    <dataValidation type="list" allowBlank="1" showErrorMessage="1" sqref="O20" xr:uid="{00000000-0002-0000-0300-000002000000}">
      <formula1>"Income and Expenditure,Profit and Loss"</formula1>
      <formula2>0</formula2>
    </dataValidation>
    <dataValidation type="list" allowBlank="1" showErrorMessage="1" sqref="O11" xr:uid="{00000000-0002-0000-0300-000003000000}">
      <formula1>"Chairman,Secretary,Chief Executive Officer"</formula1>
      <formula2>0</formula2>
    </dataValidation>
  </dataValidations>
  <printOptions horizontalCentered="1"/>
  <pageMargins left="0.27569444444444402" right="0.196527777777778" top="0.23611111111111099" bottom="0.23611111111111099" header="0.511811023622047" footer="0.511811023622047"/>
  <pageSetup paperSize="9" scale="95" orientation="portrait" horizontalDpi="300" verticalDpi="300" r:id="rId1"/>
  <rowBreaks count="1" manualBreakCount="1">
    <brk id="31" max="1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210"/>
  <sheetViews>
    <sheetView view="pageBreakPreview" topLeftCell="A50" zoomScaleNormal="100" zoomScaleSheetLayoutView="100" workbookViewId="0">
      <selection activeCell="D94" sqref="D94"/>
    </sheetView>
  </sheetViews>
  <sheetFormatPr defaultColWidth="9" defaultRowHeight="15.6" x14ac:dyDescent="0.3"/>
  <cols>
    <col min="1" max="2" width="4.59765625" style="105" customWidth="1"/>
    <col min="3" max="3" width="42" style="105" customWidth="1"/>
    <col min="4" max="4" width="45.09765625" style="106" customWidth="1"/>
    <col min="5" max="5" width="1" style="105" customWidth="1"/>
    <col min="6" max="35" width="4.59765625" style="105" customWidth="1"/>
    <col min="36" max="257" width="9" style="105"/>
  </cols>
  <sheetData>
    <row r="1" spans="1:5" ht="15.75" customHeight="1" x14ac:dyDescent="0.3">
      <c r="A1" s="585" t="s">
        <v>128</v>
      </c>
      <c r="B1" s="585"/>
      <c r="C1" s="585"/>
      <c r="D1" s="585"/>
      <c r="E1" s="108"/>
    </row>
    <row r="2" spans="1:5" ht="19.5" customHeight="1" x14ac:dyDescent="0.3">
      <c r="A2" s="586" t="s">
        <v>129</v>
      </c>
      <c r="B2" s="586"/>
      <c r="C2" s="586"/>
      <c r="D2" s="586"/>
      <c r="E2" s="108"/>
    </row>
    <row r="3" spans="1:5" ht="16.5" customHeight="1" x14ac:dyDescent="0.3">
      <c r="A3" s="587" t="s">
        <v>130</v>
      </c>
      <c r="B3" s="587"/>
      <c r="C3" s="587"/>
      <c r="D3" s="587"/>
      <c r="E3" s="108"/>
    </row>
    <row r="4" spans="1:5" ht="29.25" customHeight="1" x14ac:dyDescent="0.3">
      <c r="A4" s="109" t="s">
        <v>131</v>
      </c>
      <c r="B4" s="110" t="s">
        <v>132</v>
      </c>
      <c r="C4" s="110" t="s">
        <v>133</v>
      </c>
      <c r="D4" s="111" t="s">
        <v>134</v>
      </c>
      <c r="E4" s="108"/>
    </row>
    <row r="5" spans="1:5" ht="19.5" customHeight="1" x14ac:dyDescent="0.3">
      <c r="A5" s="112">
        <v>1</v>
      </c>
      <c r="B5" s="110">
        <v>2</v>
      </c>
      <c r="C5" s="110">
        <v>3</v>
      </c>
      <c r="D5" s="111">
        <v>4</v>
      </c>
      <c r="E5" s="108"/>
    </row>
    <row r="6" spans="1:5" ht="30.75" customHeight="1" x14ac:dyDescent="0.3">
      <c r="A6" s="113" t="s">
        <v>131</v>
      </c>
      <c r="B6" s="114">
        <v>1</v>
      </c>
      <c r="C6" s="115" t="s">
        <v>135</v>
      </c>
      <c r="D6" s="111" t="str">
        <f>+TIT!D2</f>
        <v>PRATHAMESH HARMONY "B"  WING CO-OPERATIVE HOUSING SOCIETY LTD.</v>
      </c>
      <c r="E6" s="108"/>
    </row>
    <row r="7" spans="1:5" ht="27" customHeight="1" x14ac:dyDescent="0.3">
      <c r="A7" s="588"/>
      <c r="B7" s="589">
        <v>2</v>
      </c>
      <c r="C7" s="116" t="s">
        <v>136</v>
      </c>
      <c r="D7" s="117" t="str">
        <f>+TIT!D3</f>
        <v>MUM/WP/HSG/TC/15332/2012-13</v>
      </c>
      <c r="E7" s="108"/>
    </row>
    <row r="8" spans="1:5" ht="19.5" customHeight="1" x14ac:dyDescent="0.3">
      <c r="A8" s="588"/>
      <c r="B8" s="588"/>
      <c r="C8" s="118" t="s">
        <v>137</v>
      </c>
      <c r="D8" s="119"/>
      <c r="E8" s="108"/>
    </row>
    <row r="9" spans="1:5" ht="30.75" customHeight="1" x14ac:dyDescent="0.3">
      <c r="A9" s="120"/>
      <c r="B9" s="114"/>
      <c r="C9" s="118" t="s">
        <v>138</v>
      </c>
      <c r="D9" s="121" t="s">
        <v>139</v>
      </c>
      <c r="E9" s="108"/>
    </row>
    <row r="10" spans="1:5" ht="19.5" customHeight="1" x14ac:dyDescent="0.3">
      <c r="A10" s="120"/>
      <c r="B10" s="114">
        <v>3</v>
      </c>
      <c r="C10" s="118" t="s">
        <v>140</v>
      </c>
      <c r="D10" s="121" t="s">
        <v>141</v>
      </c>
      <c r="E10" s="108"/>
    </row>
    <row r="11" spans="1:5" ht="19.5" customHeight="1" x14ac:dyDescent="0.3">
      <c r="A11" s="120"/>
      <c r="B11" s="114">
        <v>4</v>
      </c>
      <c r="C11" s="118" t="s">
        <v>142</v>
      </c>
      <c r="D11" s="121" t="s">
        <v>143</v>
      </c>
      <c r="E11" s="108"/>
    </row>
    <row r="12" spans="1:5" ht="19.5" customHeight="1" x14ac:dyDescent="0.3">
      <c r="A12" s="120"/>
      <c r="B12" s="114">
        <v>5</v>
      </c>
      <c r="C12" s="118" t="s">
        <v>144</v>
      </c>
      <c r="D12" s="121" t="s">
        <v>145</v>
      </c>
      <c r="E12" s="108"/>
    </row>
    <row r="13" spans="1:5" ht="30.75" customHeight="1" x14ac:dyDescent="0.3">
      <c r="A13" s="120"/>
      <c r="B13" s="114">
        <v>6</v>
      </c>
      <c r="C13" s="118" t="s">
        <v>146</v>
      </c>
      <c r="D13" s="121" t="str">
        <f>+TIT!D6</f>
        <v>CTS.No. 227,228 &amp; 216, Gautam Buddha Marg, Orlem, Malad - West, Mumbai - 400 064</v>
      </c>
      <c r="E13" s="108"/>
    </row>
    <row r="14" spans="1:5" ht="19.5" customHeight="1" x14ac:dyDescent="0.3">
      <c r="A14" s="588"/>
      <c r="B14" s="589">
        <v>7</v>
      </c>
      <c r="C14" s="588" t="s">
        <v>147</v>
      </c>
      <c r="D14" s="122" t="s">
        <v>148</v>
      </c>
      <c r="E14" s="108"/>
    </row>
    <row r="15" spans="1:5" ht="19.5" customHeight="1" x14ac:dyDescent="0.3">
      <c r="A15" s="588"/>
      <c r="B15" s="588"/>
      <c r="C15" s="588"/>
      <c r="D15" s="111" t="s">
        <v>149</v>
      </c>
      <c r="E15" s="108"/>
    </row>
    <row r="16" spans="1:5" ht="19.5" customHeight="1" x14ac:dyDescent="0.3">
      <c r="A16" s="120"/>
      <c r="B16" s="114">
        <v>8</v>
      </c>
      <c r="C16" s="118" t="s">
        <v>150</v>
      </c>
      <c r="D16" s="111" t="s">
        <v>151</v>
      </c>
      <c r="E16" s="108"/>
    </row>
    <row r="17" spans="1:5" ht="19.5" customHeight="1" x14ac:dyDescent="0.3">
      <c r="A17" s="588"/>
      <c r="B17" s="589"/>
      <c r="C17" s="588"/>
      <c r="D17" s="122" t="s">
        <v>152</v>
      </c>
      <c r="E17" s="108"/>
    </row>
    <row r="18" spans="1:5" ht="19.5" customHeight="1" x14ac:dyDescent="0.3">
      <c r="A18" s="588"/>
      <c r="B18" s="588"/>
      <c r="C18" s="588"/>
      <c r="D18" s="122" t="s">
        <v>153</v>
      </c>
      <c r="E18" s="108"/>
    </row>
    <row r="19" spans="1:5" ht="19.5" customHeight="1" x14ac:dyDescent="0.3">
      <c r="A19" s="588"/>
      <c r="B19" s="588"/>
      <c r="C19" s="588"/>
      <c r="D19" s="122" t="s">
        <v>154</v>
      </c>
      <c r="E19" s="108"/>
    </row>
    <row r="20" spans="1:5" ht="19.5" customHeight="1" x14ac:dyDescent="0.3">
      <c r="A20" s="588"/>
      <c r="B20" s="588"/>
      <c r="C20" s="588"/>
      <c r="D20" s="111"/>
      <c r="E20" s="108"/>
    </row>
    <row r="21" spans="1:5" ht="19.5" customHeight="1" x14ac:dyDescent="0.3">
      <c r="A21" s="588"/>
      <c r="B21" s="589">
        <v>9</v>
      </c>
      <c r="C21" s="588" t="s">
        <v>155</v>
      </c>
      <c r="D21" s="590" t="s">
        <v>156</v>
      </c>
      <c r="E21" s="108"/>
    </row>
    <row r="22" spans="1:5" ht="19.5" customHeight="1" x14ac:dyDescent="0.3">
      <c r="A22" s="588"/>
      <c r="B22" s="588"/>
      <c r="C22" s="588"/>
      <c r="D22" s="588"/>
      <c r="E22" s="108"/>
    </row>
    <row r="23" spans="1:5" ht="19.5" customHeight="1" x14ac:dyDescent="0.3">
      <c r="A23" s="113" t="s">
        <v>157</v>
      </c>
      <c r="B23" s="591" t="s">
        <v>158</v>
      </c>
      <c r="C23" s="591"/>
      <c r="D23" s="591"/>
      <c r="E23" s="108"/>
    </row>
    <row r="24" spans="1:5" ht="18" customHeight="1" x14ac:dyDescent="0.3">
      <c r="A24" s="113"/>
      <c r="B24" s="114">
        <v>1</v>
      </c>
      <c r="C24" s="118" t="s">
        <v>159</v>
      </c>
      <c r="D24" s="121" t="str">
        <f>+TIT!D9</f>
        <v>Shri. Bharat C. Boridkar</v>
      </c>
      <c r="E24" s="108"/>
    </row>
    <row r="25" spans="1:5" ht="30.75" customHeight="1" x14ac:dyDescent="0.3">
      <c r="A25" s="113"/>
      <c r="B25" s="114">
        <v>2</v>
      </c>
      <c r="C25" s="118" t="s">
        <v>160</v>
      </c>
      <c r="D25" s="121" t="str">
        <f>+TIT!D11</f>
        <v>Boridkar House, Pandurang Bhoir Road, Dahisar - West, Mumbai, Mumbai - 400 068</v>
      </c>
      <c r="E25" s="108"/>
    </row>
    <row r="26" spans="1:5" ht="19.5" customHeight="1" x14ac:dyDescent="0.3">
      <c r="A26" s="113"/>
      <c r="B26" s="114">
        <v>3</v>
      </c>
      <c r="C26" s="118" t="s">
        <v>161</v>
      </c>
      <c r="D26" s="121" t="s">
        <v>162</v>
      </c>
      <c r="E26" s="108"/>
    </row>
    <row r="27" spans="1:5" ht="19.5" customHeight="1" x14ac:dyDescent="0.3">
      <c r="A27" s="113"/>
      <c r="B27" s="114">
        <v>4</v>
      </c>
      <c r="C27" s="118" t="s">
        <v>163</v>
      </c>
      <c r="D27" s="121" t="s">
        <v>162</v>
      </c>
      <c r="E27" s="108"/>
    </row>
    <row r="28" spans="1:5" ht="19.5" customHeight="1" x14ac:dyDescent="0.3">
      <c r="A28" s="113"/>
      <c r="B28" s="114">
        <v>5</v>
      </c>
      <c r="C28" s="118" t="s">
        <v>164</v>
      </c>
      <c r="D28" s="121" t="str">
        <f>+TIT!D10</f>
        <v>Mumbai-4/C1/1011404</v>
      </c>
      <c r="E28" s="108"/>
    </row>
    <row r="29" spans="1:5" ht="30.75" customHeight="1" x14ac:dyDescent="0.3">
      <c r="A29" s="113"/>
      <c r="B29" s="114">
        <v>6</v>
      </c>
      <c r="C29" s="118" t="s">
        <v>165</v>
      </c>
      <c r="D29" s="121" t="s">
        <v>162</v>
      </c>
      <c r="E29" s="108"/>
    </row>
    <row r="30" spans="1:5" ht="16.5" customHeight="1" x14ac:dyDescent="0.3">
      <c r="A30" s="113"/>
      <c r="B30" s="114">
        <v>7</v>
      </c>
      <c r="C30" s="118" t="s">
        <v>164</v>
      </c>
      <c r="D30" s="121" t="s">
        <v>162</v>
      </c>
      <c r="E30" s="108"/>
    </row>
    <row r="31" spans="1:5" ht="16.5" customHeight="1" x14ac:dyDescent="0.3">
      <c r="A31" s="113"/>
      <c r="B31" s="114">
        <v>8</v>
      </c>
      <c r="C31" s="123" t="s">
        <v>166</v>
      </c>
      <c r="D31" s="121" t="str">
        <f>+TIT!F9</f>
        <v>Govt. Certified Panel Auditor</v>
      </c>
      <c r="E31" s="108"/>
    </row>
    <row r="32" spans="1:5" ht="16.5" customHeight="1" x14ac:dyDescent="0.3">
      <c r="A32" s="113"/>
      <c r="B32" s="114">
        <v>9</v>
      </c>
      <c r="C32" s="123" t="s">
        <v>167</v>
      </c>
      <c r="D32" s="121" t="str">
        <f>"Date :  "&amp;TEXT(TIT!D18,"dd-mm-yyyy")</f>
        <v>Date :  28-09-2025</v>
      </c>
      <c r="E32" s="108"/>
    </row>
    <row r="33" spans="1:5" ht="16.5" customHeight="1" x14ac:dyDescent="0.3">
      <c r="A33" s="113"/>
      <c r="B33" s="114">
        <v>10</v>
      </c>
      <c r="C33" s="123" t="s">
        <v>168</v>
      </c>
      <c r="D33" s="121" t="s">
        <v>843</v>
      </c>
      <c r="E33" s="108"/>
    </row>
    <row r="34" spans="1:5" ht="16.5" customHeight="1" x14ac:dyDescent="0.3">
      <c r="A34" s="113"/>
      <c r="B34" s="114">
        <v>11</v>
      </c>
      <c r="C34" s="123" t="s">
        <v>169</v>
      </c>
      <c r="D34" s="121" t="s">
        <v>844</v>
      </c>
      <c r="E34" s="108"/>
    </row>
    <row r="35" spans="1:5" ht="30.75" customHeight="1" x14ac:dyDescent="0.3">
      <c r="A35" s="113"/>
      <c r="B35" s="114">
        <v>12</v>
      </c>
      <c r="C35" s="123" t="s">
        <v>170</v>
      </c>
      <c r="D35" s="121" t="s">
        <v>845</v>
      </c>
      <c r="E35" s="108"/>
    </row>
    <row r="36" spans="1:5" ht="16.5" customHeight="1" x14ac:dyDescent="0.3">
      <c r="A36" s="113"/>
      <c r="B36" s="114">
        <v>13</v>
      </c>
      <c r="C36" s="123" t="s">
        <v>171</v>
      </c>
      <c r="D36" s="121" t="str">
        <f>"Date :  "&amp;TEXT(TIT!D15,"dd-mm-yyyy")</f>
        <v>Date :  01-09-2026</v>
      </c>
      <c r="E36" s="108"/>
    </row>
    <row r="37" spans="1:5" ht="16.5" customHeight="1" x14ac:dyDescent="0.3">
      <c r="A37" s="113"/>
      <c r="B37" s="114">
        <v>14</v>
      </c>
      <c r="C37" s="123" t="s">
        <v>172</v>
      </c>
      <c r="D37" s="121" t="str">
        <f>"Date :  "&amp;TEXT(TIT!D16,"dd-mm-yyyy")</f>
        <v>Date :  11-09-2026</v>
      </c>
      <c r="E37" s="108"/>
    </row>
    <row r="38" spans="1:5" ht="30.75" customHeight="1" thickBot="1" x14ac:dyDescent="0.35">
      <c r="A38" s="113"/>
      <c r="B38" s="114">
        <v>15</v>
      </c>
      <c r="C38" s="123" t="s">
        <v>173</v>
      </c>
      <c r="D38" s="121" t="s">
        <v>846</v>
      </c>
      <c r="E38" s="108"/>
    </row>
    <row r="39" spans="1:5" ht="15.75" customHeight="1" thickBot="1" x14ac:dyDescent="0.35">
      <c r="A39" s="592"/>
      <c r="B39" s="589">
        <v>16</v>
      </c>
      <c r="C39" s="125" t="s">
        <v>174</v>
      </c>
      <c r="D39" s="593" t="str">
        <f>"Date :  "&amp;TEXT(TIT!D13,"dd-mm-yyyy")</f>
        <v>Date :  12-09-2026</v>
      </c>
      <c r="E39" s="108"/>
    </row>
    <row r="40" spans="1:5" ht="16.5" customHeight="1" thickBot="1" x14ac:dyDescent="0.35">
      <c r="A40" s="592"/>
      <c r="B40" s="592"/>
      <c r="C40" s="126" t="s">
        <v>175</v>
      </c>
      <c r="D40" s="594"/>
      <c r="E40" s="108"/>
    </row>
    <row r="41" spans="1:5" ht="19.5" customHeight="1" thickBot="1" x14ac:dyDescent="0.35">
      <c r="A41" s="592"/>
      <c r="B41" s="589">
        <v>17</v>
      </c>
      <c r="C41" s="595" t="s">
        <v>176</v>
      </c>
      <c r="D41" s="596" t="s">
        <v>177</v>
      </c>
      <c r="E41" s="108"/>
    </row>
    <row r="42" spans="1:5" ht="19.5" customHeight="1" x14ac:dyDescent="0.3">
      <c r="A42" s="592"/>
      <c r="B42" s="592"/>
      <c r="C42" s="592"/>
      <c r="D42" s="592"/>
      <c r="E42" s="108"/>
    </row>
    <row r="43" spans="1:5" ht="19.5" customHeight="1" x14ac:dyDescent="0.3">
      <c r="A43" s="592"/>
      <c r="B43" s="589">
        <v>18</v>
      </c>
      <c r="C43" s="595" t="s">
        <v>178</v>
      </c>
      <c r="D43" s="596" t="s">
        <v>179</v>
      </c>
      <c r="E43" s="108"/>
    </row>
    <row r="44" spans="1:5" ht="19.5" customHeight="1" x14ac:dyDescent="0.3">
      <c r="A44" s="592"/>
      <c r="B44" s="592"/>
      <c r="C44" s="592"/>
      <c r="D44" s="592"/>
      <c r="E44" s="108"/>
    </row>
    <row r="45" spans="1:5" ht="19.5" customHeight="1" x14ac:dyDescent="0.3">
      <c r="A45" s="592"/>
      <c r="B45" s="589">
        <v>19</v>
      </c>
      <c r="C45" s="597" t="s">
        <v>180</v>
      </c>
      <c r="D45" s="596" t="s">
        <v>181</v>
      </c>
      <c r="E45" s="108"/>
    </row>
    <row r="46" spans="1:5" ht="19.5" customHeight="1" x14ac:dyDescent="0.3">
      <c r="A46" s="592"/>
      <c r="B46" s="592"/>
      <c r="C46" s="592"/>
      <c r="D46" s="592"/>
      <c r="E46" s="108"/>
    </row>
    <row r="47" spans="1:5" ht="19.5" customHeight="1" x14ac:dyDescent="0.3">
      <c r="A47" s="113"/>
      <c r="B47" s="114"/>
      <c r="C47" s="123" t="s">
        <v>182</v>
      </c>
      <c r="D47" s="121" t="s">
        <v>181</v>
      </c>
      <c r="E47" s="108"/>
    </row>
    <row r="48" spans="1:5" ht="19.5" customHeight="1" x14ac:dyDescent="0.3">
      <c r="A48" s="113"/>
      <c r="B48" s="114"/>
      <c r="C48" s="123" t="s">
        <v>183</v>
      </c>
      <c r="D48" s="121" t="s">
        <v>184</v>
      </c>
      <c r="E48" s="108"/>
    </row>
    <row r="49" spans="1:5" ht="19.5" customHeight="1" x14ac:dyDescent="0.3">
      <c r="A49" s="113"/>
      <c r="B49" s="114"/>
      <c r="C49" s="123" t="s">
        <v>185</v>
      </c>
      <c r="D49" s="121" t="s">
        <v>32</v>
      </c>
      <c r="E49" s="108"/>
    </row>
    <row r="50" spans="1:5" ht="19.5" customHeight="1" x14ac:dyDescent="0.3">
      <c r="A50" s="113"/>
      <c r="B50" s="114"/>
      <c r="C50" s="123" t="s">
        <v>186</v>
      </c>
      <c r="D50" s="121" t="s">
        <v>32</v>
      </c>
      <c r="E50" s="108"/>
    </row>
    <row r="51" spans="1:5" ht="19.5" customHeight="1" x14ac:dyDescent="0.3">
      <c r="A51" s="592"/>
      <c r="B51" s="598"/>
      <c r="C51" s="598"/>
      <c r="D51" s="598"/>
      <c r="E51" s="108"/>
    </row>
    <row r="52" spans="1:5" ht="19.5" customHeight="1" x14ac:dyDescent="0.3">
      <c r="A52" s="592"/>
      <c r="B52" s="599" t="s">
        <v>187</v>
      </c>
      <c r="C52" s="599"/>
      <c r="D52" s="599"/>
      <c r="E52" s="108"/>
    </row>
    <row r="53" spans="1:5" ht="19.5" customHeight="1" x14ac:dyDescent="0.3">
      <c r="A53" s="592"/>
      <c r="B53" s="600"/>
      <c r="C53" s="600"/>
      <c r="D53" s="600"/>
      <c r="E53" s="108"/>
    </row>
    <row r="54" spans="1:5" ht="19.5" customHeight="1" x14ac:dyDescent="0.3">
      <c r="A54" s="113" t="s">
        <v>157</v>
      </c>
      <c r="B54" s="591" t="s">
        <v>188</v>
      </c>
      <c r="C54" s="591"/>
      <c r="D54" s="591"/>
      <c r="E54" s="108"/>
    </row>
    <row r="55" spans="1:5" ht="19.5" customHeight="1" x14ac:dyDescent="0.3">
      <c r="A55" s="113">
        <v>1</v>
      </c>
      <c r="B55" s="601" t="s">
        <v>189</v>
      </c>
      <c r="C55" s="601"/>
      <c r="D55" s="601"/>
      <c r="E55" s="108"/>
    </row>
    <row r="56" spans="1:5" ht="60.75" customHeight="1" x14ac:dyDescent="0.3">
      <c r="A56" s="113"/>
      <c r="B56" s="114">
        <v>1</v>
      </c>
      <c r="C56" s="123" t="s">
        <v>190</v>
      </c>
      <c r="D56" s="121" t="s">
        <v>191</v>
      </c>
      <c r="E56" s="108"/>
    </row>
    <row r="57" spans="1:5" ht="15.75" customHeight="1" x14ac:dyDescent="0.3">
      <c r="A57" s="592"/>
      <c r="B57" s="589">
        <v>2</v>
      </c>
      <c r="C57" s="125" t="s">
        <v>192</v>
      </c>
      <c r="D57" s="127"/>
      <c r="E57" s="108"/>
    </row>
    <row r="58" spans="1:5" ht="15.75" customHeight="1" x14ac:dyDescent="0.3">
      <c r="A58" s="592"/>
      <c r="B58" s="592"/>
      <c r="C58" s="125" t="s">
        <v>193</v>
      </c>
      <c r="D58" s="128">
        <v>18</v>
      </c>
      <c r="E58" s="108"/>
    </row>
    <row r="59" spans="1:5" ht="15.75" customHeight="1" x14ac:dyDescent="0.3">
      <c r="A59" s="592"/>
      <c r="B59" s="592"/>
      <c r="C59" s="125" t="s">
        <v>194</v>
      </c>
      <c r="D59" s="128">
        <v>0</v>
      </c>
      <c r="E59" s="108"/>
    </row>
    <row r="60" spans="1:5" ht="15.75" customHeight="1" x14ac:dyDescent="0.3">
      <c r="A60" s="592"/>
      <c r="B60" s="592"/>
      <c r="C60" s="125" t="s">
        <v>195</v>
      </c>
      <c r="D60" s="128">
        <f>+D58+D59</f>
        <v>18</v>
      </c>
      <c r="E60" s="108"/>
    </row>
    <row r="61" spans="1:5" ht="16.5" customHeight="1" x14ac:dyDescent="0.3">
      <c r="A61" s="592"/>
      <c r="B61" s="592"/>
      <c r="C61" s="123" t="s">
        <v>196</v>
      </c>
      <c r="D61" s="129"/>
      <c r="E61" s="108"/>
    </row>
    <row r="62" spans="1:5" ht="30" customHeight="1" x14ac:dyDescent="0.3">
      <c r="A62" s="592"/>
      <c r="B62" s="589">
        <v>3</v>
      </c>
      <c r="C62" s="125" t="s">
        <v>197</v>
      </c>
      <c r="D62" s="117" t="s">
        <v>198</v>
      </c>
      <c r="E62" s="108"/>
    </row>
    <row r="63" spans="1:5" ht="15.75" customHeight="1" x14ac:dyDescent="0.3">
      <c r="A63" s="592"/>
      <c r="B63" s="592"/>
      <c r="C63" s="125" t="s">
        <v>199</v>
      </c>
      <c r="D63" s="128"/>
      <c r="E63" s="108"/>
    </row>
    <row r="64" spans="1:5" ht="16.5" customHeight="1" x14ac:dyDescent="0.3">
      <c r="A64" s="592"/>
      <c r="B64" s="592"/>
      <c r="C64" s="123" t="s">
        <v>200</v>
      </c>
      <c r="D64" s="129"/>
      <c r="E64" s="108"/>
    </row>
    <row r="65" spans="1:5" ht="60.75" customHeight="1" x14ac:dyDescent="0.3">
      <c r="A65" s="113"/>
      <c r="B65" s="114">
        <v>4</v>
      </c>
      <c r="C65" s="123" t="s">
        <v>201</v>
      </c>
      <c r="D65" s="121" t="s">
        <v>191</v>
      </c>
      <c r="E65" s="108"/>
    </row>
    <row r="66" spans="1:5" ht="29.25" customHeight="1" x14ac:dyDescent="0.3">
      <c r="A66" s="592"/>
      <c r="B66" s="589">
        <v>5</v>
      </c>
      <c r="C66" s="595" t="s">
        <v>202</v>
      </c>
      <c r="D66" s="596" t="s">
        <v>162</v>
      </c>
      <c r="E66" s="108"/>
    </row>
    <row r="67" spans="1:5" ht="34.5" customHeight="1" x14ac:dyDescent="0.3">
      <c r="A67" s="592"/>
      <c r="B67" s="592"/>
      <c r="C67" s="592"/>
      <c r="D67" s="592"/>
      <c r="E67" s="108"/>
    </row>
    <row r="68" spans="1:5" ht="16.5" customHeight="1" x14ac:dyDescent="0.3">
      <c r="A68" s="113">
        <v>2</v>
      </c>
      <c r="B68" s="601" t="s">
        <v>203</v>
      </c>
      <c r="C68" s="601"/>
      <c r="D68" s="601"/>
      <c r="E68" s="108"/>
    </row>
    <row r="69" spans="1:5" ht="60.75" customHeight="1" x14ac:dyDescent="0.3">
      <c r="A69" s="113"/>
      <c r="B69" s="114">
        <v>1</v>
      </c>
      <c r="C69" s="123" t="s">
        <v>204</v>
      </c>
      <c r="D69" s="121" t="s">
        <v>191</v>
      </c>
      <c r="E69" s="108"/>
    </row>
    <row r="70" spans="1:5" ht="60.75" customHeight="1" x14ac:dyDescent="0.3">
      <c r="A70" s="113"/>
      <c r="B70" s="114">
        <v>2</v>
      </c>
      <c r="C70" s="123" t="s">
        <v>205</v>
      </c>
      <c r="D70" s="121" t="s">
        <v>191</v>
      </c>
      <c r="E70" s="108"/>
    </row>
    <row r="71" spans="1:5" ht="90.75" customHeight="1" x14ac:dyDescent="0.3">
      <c r="A71" s="113"/>
      <c r="B71" s="114">
        <v>3</v>
      </c>
      <c r="C71" s="123" t="s">
        <v>206</v>
      </c>
      <c r="D71" s="121" t="s">
        <v>207</v>
      </c>
      <c r="E71" s="108"/>
    </row>
    <row r="72" spans="1:5" ht="10.050000000000001" customHeight="1" x14ac:dyDescent="0.3">
      <c r="A72" s="602"/>
      <c r="B72" s="602"/>
      <c r="C72" s="602"/>
      <c r="D72" s="602"/>
      <c r="E72" s="602"/>
    </row>
    <row r="73" spans="1:5" ht="10.050000000000001" customHeight="1" x14ac:dyDescent="0.3">
      <c r="A73" s="130"/>
      <c r="B73" s="107"/>
      <c r="C73" s="107"/>
      <c r="D73" s="131"/>
      <c r="E73" s="107"/>
    </row>
    <row r="74" spans="1:5" ht="16.5" customHeight="1" x14ac:dyDescent="0.3">
      <c r="A74" s="124">
        <v>3</v>
      </c>
      <c r="B74" s="603" t="s">
        <v>208</v>
      </c>
      <c r="C74" s="603"/>
      <c r="D74" s="603"/>
      <c r="E74" s="108"/>
    </row>
    <row r="75" spans="1:5" ht="15.75" customHeight="1" x14ac:dyDescent="0.3">
      <c r="A75" s="604"/>
      <c r="B75" s="132">
        <v>3.1</v>
      </c>
      <c r="C75" s="133" t="s">
        <v>209</v>
      </c>
      <c r="D75" s="127"/>
      <c r="E75" s="108"/>
    </row>
    <row r="76" spans="1:5" ht="15.75" customHeight="1" x14ac:dyDescent="0.3">
      <c r="A76" s="604"/>
      <c r="B76" s="134">
        <v>1</v>
      </c>
      <c r="C76" s="125" t="s">
        <v>210</v>
      </c>
      <c r="D76" s="135">
        <f>+TIT!D18</f>
        <v>45928</v>
      </c>
      <c r="E76" s="108"/>
    </row>
    <row r="77" spans="1:5" ht="15.75" customHeight="1" x14ac:dyDescent="0.3">
      <c r="A77" s="604"/>
      <c r="B77" s="134">
        <v>2</v>
      </c>
      <c r="C77" s="125" t="s">
        <v>211</v>
      </c>
      <c r="D77" s="135" t="str">
        <f>+TIT!D19</f>
        <v>Nil</v>
      </c>
      <c r="E77" s="108"/>
    </row>
    <row r="78" spans="1:5" ht="15.75" customHeight="1" x14ac:dyDescent="0.3">
      <c r="A78" s="604"/>
      <c r="B78" s="134">
        <v>3</v>
      </c>
      <c r="C78" s="136" t="s">
        <v>212</v>
      </c>
      <c r="D78" s="137"/>
      <c r="E78" s="108"/>
    </row>
    <row r="79" spans="1:5" ht="15.75" customHeight="1" x14ac:dyDescent="0.3">
      <c r="A79" s="604"/>
      <c r="B79" s="138"/>
      <c r="C79" s="125" t="s">
        <v>213</v>
      </c>
      <c r="D79" s="128">
        <f>+TIT!D20</f>
        <v>12</v>
      </c>
      <c r="E79" s="108"/>
    </row>
    <row r="80" spans="1:5" ht="15.75" customHeight="1" x14ac:dyDescent="0.3">
      <c r="A80" s="604"/>
      <c r="B80" s="138"/>
      <c r="C80" s="125" t="s">
        <v>214</v>
      </c>
      <c r="D80" s="137"/>
      <c r="E80" s="108"/>
    </row>
    <row r="81" spans="1:5" ht="15.75" customHeight="1" x14ac:dyDescent="0.3">
      <c r="A81" s="604"/>
      <c r="B81" s="138"/>
      <c r="C81" s="125" t="s">
        <v>215</v>
      </c>
      <c r="D81" s="137"/>
      <c r="E81" s="108"/>
    </row>
    <row r="82" spans="1:5" ht="15.75" customHeight="1" x14ac:dyDescent="0.3">
      <c r="A82" s="604"/>
      <c r="B82" s="138"/>
      <c r="C82" s="125" t="s">
        <v>216</v>
      </c>
      <c r="D82" s="137"/>
      <c r="E82" s="108"/>
    </row>
    <row r="83" spans="1:5" ht="15.75" customHeight="1" x14ac:dyDescent="0.3">
      <c r="A83" s="604"/>
      <c r="B83" s="138"/>
      <c r="C83" s="125" t="s">
        <v>217</v>
      </c>
      <c r="D83" s="137"/>
      <c r="E83" s="108"/>
    </row>
    <row r="84" spans="1:5" ht="15.75" customHeight="1" x14ac:dyDescent="0.3">
      <c r="A84" s="604"/>
      <c r="B84" s="138"/>
      <c r="C84" s="125" t="s">
        <v>218</v>
      </c>
      <c r="D84" s="137"/>
      <c r="E84" s="108"/>
    </row>
    <row r="85" spans="1:5" ht="16.5" customHeight="1" x14ac:dyDescent="0.3">
      <c r="A85" s="604"/>
      <c r="B85" s="139"/>
      <c r="C85" s="123" t="s">
        <v>219</v>
      </c>
      <c r="D85" s="140"/>
      <c r="E85" s="108"/>
    </row>
    <row r="86" spans="1:5" ht="15.75" customHeight="1" x14ac:dyDescent="0.3">
      <c r="A86" s="592"/>
      <c r="B86" s="589">
        <v>4</v>
      </c>
      <c r="C86" s="595" t="s">
        <v>220</v>
      </c>
      <c r="D86" s="117" t="s">
        <v>221</v>
      </c>
      <c r="E86" s="108"/>
    </row>
    <row r="87" spans="1:5" ht="16.5" customHeight="1" x14ac:dyDescent="0.3">
      <c r="A87" s="592"/>
      <c r="B87" s="592"/>
      <c r="C87" s="592"/>
      <c r="D87" s="129"/>
      <c r="E87" s="108"/>
    </row>
    <row r="88" spans="1:5" ht="16.5" customHeight="1" x14ac:dyDescent="0.3">
      <c r="A88" s="113"/>
      <c r="B88" s="141">
        <v>3.2</v>
      </c>
      <c r="C88" s="601" t="s">
        <v>222</v>
      </c>
      <c r="D88" s="601"/>
      <c r="E88" s="108"/>
    </row>
    <row r="89" spans="1:5" ht="16.5" customHeight="1" x14ac:dyDescent="0.3">
      <c r="A89" s="113"/>
      <c r="B89" s="114">
        <v>1</v>
      </c>
      <c r="C89" s="123" t="s">
        <v>223</v>
      </c>
      <c r="D89" s="121" t="s">
        <v>224</v>
      </c>
      <c r="E89" s="108"/>
    </row>
    <row r="90" spans="1:5" ht="15.75" customHeight="1" x14ac:dyDescent="0.3">
      <c r="A90" s="592"/>
      <c r="B90" s="589">
        <v>2</v>
      </c>
      <c r="C90" s="595" t="s">
        <v>225</v>
      </c>
      <c r="D90" s="142" t="s">
        <v>226</v>
      </c>
      <c r="E90" s="108"/>
    </row>
    <row r="91" spans="1:5" ht="16.5" customHeight="1" x14ac:dyDescent="0.3">
      <c r="A91" s="592"/>
      <c r="B91" s="592"/>
      <c r="C91" s="592"/>
      <c r="D91" s="121" t="s">
        <v>227</v>
      </c>
      <c r="E91" s="108"/>
    </row>
    <row r="92" spans="1:5" ht="48.75" customHeight="1" x14ac:dyDescent="0.3">
      <c r="A92" s="113"/>
      <c r="B92" s="114"/>
      <c r="C92" s="123" t="s">
        <v>228</v>
      </c>
      <c r="D92" s="121" t="s">
        <v>224</v>
      </c>
      <c r="E92" s="108"/>
    </row>
    <row r="93" spans="1:5" ht="60.75" customHeight="1" x14ac:dyDescent="0.3">
      <c r="A93" s="113"/>
      <c r="B93" s="114">
        <v>3</v>
      </c>
      <c r="C93" s="123" t="s">
        <v>229</v>
      </c>
      <c r="D93" s="121" t="str">
        <f>+D92</f>
        <v>Details Not available for verification</v>
      </c>
      <c r="E93" s="108"/>
    </row>
    <row r="94" spans="1:5" ht="15.75" customHeight="1" x14ac:dyDescent="0.3">
      <c r="A94" s="605"/>
      <c r="B94" s="589">
        <v>4</v>
      </c>
      <c r="C94" s="606" t="s">
        <v>230</v>
      </c>
      <c r="D94" s="121" t="s">
        <v>852</v>
      </c>
      <c r="E94" s="108"/>
    </row>
    <row r="95" spans="1:5" ht="15.75" customHeight="1" x14ac:dyDescent="0.3">
      <c r="A95" s="605"/>
      <c r="B95" s="605"/>
      <c r="C95" s="605"/>
      <c r="D95" s="121" t="s">
        <v>847</v>
      </c>
      <c r="E95" s="108"/>
    </row>
    <row r="96" spans="1:5" ht="15.75" customHeight="1" x14ac:dyDescent="0.3">
      <c r="A96" s="605"/>
      <c r="B96" s="605"/>
      <c r="C96" s="605"/>
      <c r="D96" s="121" t="s">
        <v>848</v>
      </c>
      <c r="E96" s="108"/>
    </row>
    <row r="97" spans="1:5" ht="15.75" customHeight="1" x14ac:dyDescent="0.3">
      <c r="A97" s="605"/>
      <c r="B97" s="605"/>
      <c r="C97" s="605"/>
      <c r="D97" s="121" t="s">
        <v>849</v>
      </c>
      <c r="E97" s="108"/>
    </row>
    <row r="98" spans="1:5" ht="23.25" customHeight="1" x14ac:dyDescent="0.3">
      <c r="A98" s="592"/>
      <c r="B98" s="589">
        <v>5</v>
      </c>
      <c r="C98" s="607" t="s">
        <v>231</v>
      </c>
      <c r="D98" s="596" t="s">
        <v>191</v>
      </c>
      <c r="E98" s="108"/>
    </row>
    <row r="99" spans="1:5" ht="25.5" customHeight="1" x14ac:dyDescent="0.3">
      <c r="A99" s="592"/>
      <c r="B99" s="592"/>
      <c r="C99" s="592"/>
      <c r="D99" s="592"/>
      <c r="E99" s="108"/>
    </row>
    <row r="100" spans="1:5" ht="15.75" customHeight="1" x14ac:dyDescent="0.3">
      <c r="A100" s="592"/>
      <c r="B100" s="591">
        <v>3.3</v>
      </c>
      <c r="C100" s="601" t="s">
        <v>232</v>
      </c>
      <c r="D100" s="601"/>
      <c r="E100" s="108"/>
    </row>
    <row r="101" spans="1:5" ht="16.5" customHeight="1" x14ac:dyDescent="0.3">
      <c r="A101" s="592"/>
      <c r="B101" s="592"/>
      <c r="C101" s="601"/>
      <c r="D101" s="601"/>
      <c r="E101" s="108"/>
    </row>
    <row r="102" spans="1:5" ht="75.75" customHeight="1" x14ac:dyDescent="0.3">
      <c r="A102" s="113"/>
      <c r="B102" s="114">
        <v>1</v>
      </c>
      <c r="C102" s="143" t="s">
        <v>233</v>
      </c>
      <c r="D102" s="121" t="s">
        <v>191</v>
      </c>
      <c r="E102" s="108"/>
    </row>
    <row r="103" spans="1:5" ht="45.75" customHeight="1" x14ac:dyDescent="0.3">
      <c r="A103" s="113"/>
      <c r="B103" s="114">
        <v>2</v>
      </c>
      <c r="C103" s="143" t="s">
        <v>234</v>
      </c>
      <c r="D103" s="121" t="s">
        <v>235</v>
      </c>
      <c r="E103" s="108"/>
    </row>
    <row r="104" spans="1:5" ht="21" customHeight="1" x14ac:dyDescent="0.3">
      <c r="A104" s="592"/>
      <c r="B104" s="589">
        <v>3</v>
      </c>
      <c r="C104" s="607" t="s">
        <v>236</v>
      </c>
      <c r="D104" s="596" t="s">
        <v>235</v>
      </c>
      <c r="E104" s="108"/>
    </row>
    <row r="105" spans="1:5" ht="26.25" customHeight="1" x14ac:dyDescent="0.3">
      <c r="A105" s="592"/>
      <c r="B105" s="592"/>
      <c r="C105" s="592"/>
      <c r="D105" s="592"/>
      <c r="E105" s="108"/>
    </row>
    <row r="106" spans="1:5" ht="12" customHeight="1" x14ac:dyDescent="0.3">
      <c r="A106" s="592"/>
      <c r="B106" s="608">
        <v>3.4</v>
      </c>
      <c r="C106" s="609" t="s">
        <v>237</v>
      </c>
      <c r="D106" s="609"/>
      <c r="E106" s="108"/>
    </row>
    <row r="107" spans="1:5" ht="12" customHeight="1" x14ac:dyDescent="0.3">
      <c r="A107" s="592"/>
      <c r="B107" s="592"/>
      <c r="C107" s="609"/>
      <c r="D107" s="609"/>
      <c r="E107" s="108"/>
    </row>
    <row r="108" spans="1:5" ht="45.75" customHeight="1" x14ac:dyDescent="0.3">
      <c r="A108" s="113"/>
      <c r="B108" s="114">
        <v>1</v>
      </c>
      <c r="C108" s="143" t="s">
        <v>238</v>
      </c>
      <c r="D108" s="121" t="s">
        <v>198</v>
      </c>
      <c r="E108" s="108"/>
    </row>
    <row r="109" spans="1:5" ht="51" customHeight="1" x14ac:dyDescent="0.3">
      <c r="A109" s="113"/>
      <c r="B109" s="114">
        <v>2</v>
      </c>
      <c r="C109" s="143" t="s">
        <v>239</v>
      </c>
      <c r="D109" s="121" t="s">
        <v>198</v>
      </c>
      <c r="E109" s="108"/>
    </row>
    <row r="110" spans="1:5" ht="30.75" customHeight="1" x14ac:dyDescent="0.3">
      <c r="A110" s="592"/>
      <c r="B110" s="589">
        <v>3</v>
      </c>
      <c r="C110" s="607" t="s">
        <v>240</v>
      </c>
      <c r="D110" s="596" t="s">
        <v>198</v>
      </c>
      <c r="E110" s="108"/>
    </row>
    <row r="111" spans="1:5" ht="32.25" customHeight="1" x14ac:dyDescent="0.3">
      <c r="A111" s="592"/>
      <c r="B111" s="592"/>
      <c r="C111" s="592"/>
      <c r="D111" s="592"/>
      <c r="E111" s="108"/>
    </row>
    <row r="112" spans="1:5" ht="15" customHeight="1" x14ac:dyDescent="0.3">
      <c r="A112" s="602"/>
      <c r="B112" s="602"/>
      <c r="C112" s="602"/>
      <c r="D112" s="602"/>
      <c r="E112" s="602"/>
    </row>
    <row r="113" spans="1:5" ht="15" customHeight="1" x14ac:dyDescent="0.3">
      <c r="A113" s="602"/>
      <c r="B113" s="602"/>
      <c r="C113" s="602"/>
      <c r="D113" s="602"/>
      <c r="E113" s="602"/>
    </row>
    <row r="114" spans="1:5" ht="15.75" customHeight="1" x14ac:dyDescent="0.3">
      <c r="A114" s="592"/>
      <c r="B114" s="610">
        <v>3.5</v>
      </c>
      <c r="C114" s="591" t="s">
        <v>241</v>
      </c>
      <c r="D114" s="591"/>
      <c r="E114" s="108"/>
    </row>
    <row r="115" spans="1:5" ht="16.5" customHeight="1" x14ac:dyDescent="0.3">
      <c r="A115" s="592"/>
      <c r="B115" s="592"/>
      <c r="C115" s="591"/>
      <c r="D115" s="591"/>
      <c r="E115" s="108"/>
    </row>
    <row r="116" spans="1:5" ht="30.75" customHeight="1" x14ac:dyDescent="0.3">
      <c r="A116" s="113"/>
      <c r="B116" s="114">
        <v>1</v>
      </c>
      <c r="C116" s="123" t="s">
        <v>242</v>
      </c>
      <c r="D116" s="121" t="s">
        <v>198</v>
      </c>
      <c r="E116" s="108"/>
    </row>
    <row r="117" spans="1:5" ht="30.75" customHeight="1" x14ac:dyDescent="0.3">
      <c r="A117" s="113"/>
      <c r="B117" s="114">
        <v>2</v>
      </c>
      <c r="C117" s="123" t="s">
        <v>243</v>
      </c>
      <c r="D117" s="121" t="s">
        <v>198</v>
      </c>
      <c r="E117" s="108"/>
    </row>
    <row r="118" spans="1:5" ht="30.75" customHeight="1" x14ac:dyDescent="0.3">
      <c r="A118" s="113"/>
      <c r="B118" s="114">
        <v>3</v>
      </c>
      <c r="C118" s="123" t="s">
        <v>244</v>
      </c>
      <c r="D118" s="121" t="s">
        <v>198</v>
      </c>
      <c r="E118" s="108"/>
    </row>
    <row r="119" spans="1:5" ht="30.75" customHeight="1" x14ac:dyDescent="0.3">
      <c r="A119" s="113"/>
      <c r="B119" s="114">
        <v>4</v>
      </c>
      <c r="C119" s="123" t="s">
        <v>245</v>
      </c>
      <c r="D119" s="121" t="s">
        <v>198</v>
      </c>
      <c r="E119" s="108"/>
    </row>
    <row r="120" spans="1:5" ht="30.75" customHeight="1" x14ac:dyDescent="0.3">
      <c r="A120" s="113"/>
      <c r="B120" s="114">
        <v>5</v>
      </c>
      <c r="C120" s="123" t="s">
        <v>246</v>
      </c>
      <c r="D120" s="121" t="s">
        <v>198</v>
      </c>
      <c r="E120" s="108"/>
    </row>
    <row r="121" spans="1:5" ht="60.75" customHeight="1" x14ac:dyDescent="0.3">
      <c r="A121" s="113"/>
      <c r="B121" s="114">
        <v>6</v>
      </c>
      <c r="C121" s="123" t="s">
        <v>247</v>
      </c>
      <c r="D121" s="121" t="s">
        <v>198</v>
      </c>
      <c r="E121" s="108"/>
    </row>
    <row r="122" spans="1:5" ht="60.75" customHeight="1" x14ac:dyDescent="0.3">
      <c r="A122" s="113"/>
      <c r="B122" s="114">
        <v>7</v>
      </c>
      <c r="C122" s="123" t="s">
        <v>248</v>
      </c>
      <c r="D122" s="121" t="s">
        <v>198</v>
      </c>
      <c r="E122" s="108"/>
    </row>
    <row r="123" spans="1:5" ht="15.75" customHeight="1" x14ac:dyDescent="0.3">
      <c r="A123" s="592"/>
      <c r="B123" s="589">
        <v>8</v>
      </c>
      <c r="C123" s="595" t="s">
        <v>249</v>
      </c>
      <c r="D123" s="596" t="s">
        <v>198</v>
      </c>
      <c r="E123" s="108"/>
    </row>
    <row r="124" spans="1:5" ht="15.75" customHeight="1" x14ac:dyDescent="0.3">
      <c r="A124" s="592"/>
      <c r="B124" s="592"/>
      <c r="C124" s="592"/>
      <c r="D124" s="592"/>
      <c r="E124" s="108"/>
    </row>
    <row r="125" spans="1:5" ht="16.5" customHeight="1" x14ac:dyDescent="0.3">
      <c r="A125" s="592"/>
      <c r="B125" s="592"/>
      <c r="C125" s="592"/>
      <c r="D125" s="592"/>
      <c r="E125" s="108"/>
    </row>
    <row r="126" spans="1:5" ht="16.5" customHeight="1" x14ac:dyDescent="0.3">
      <c r="A126" s="113"/>
      <c r="B126" s="141">
        <v>3.6</v>
      </c>
      <c r="C126" s="591" t="s">
        <v>250</v>
      </c>
      <c r="D126" s="591"/>
      <c r="E126" s="108"/>
    </row>
    <row r="127" spans="1:5" ht="30.75" customHeight="1" x14ac:dyDescent="0.3">
      <c r="A127" s="113"/>
      <c r="B127" s="114">
        <v>1</v>
      </c>
      <c r="C127" s="123" t="s">
        <v>251</v>
      </c>
      <c r="D127" s="121" t="s">
        <v>198</v>
      </c>
      <c r="E127" s="108"/>
    </row>
    <row r="128" spans="1:5" ht="45.75" customHeight="1" x14ac:dyDescent="0.3">
      <c r="A128" s="113"/>
      <c r="B128" s="114">
        <v>2</v>
      </c>
      <c r="C128" s="123" t="s">
        <v>252</v>
      </c>
      <c r="D128" s="121" t="s">
        <v>198</v>
      </c>
      <c r="E128" s="108"/>
    </row>
    <row r="129" spans="1:5" ht="75.75" customHeight="1" x14ac:dyDescent="0.3">
      <c r="A129" s="113"/>
      <c r="B129" s="114">
        <v>3</v>
      </c>
      <c r="C129" s="123" t="s">
        <v>253</v>
      </c>
      <c r="D129" s="121" t="s">
        <v>198</v>
      </c>
      <c r="E129" s="108"/>
    </row>
    <row r="130" spans="1:5" ht="51.75" customHeight="1" x14ac:dyDescent="0.3">
      <c r="A130" s="113"/>
      <c r="B130" s="114">
        <v>4</v>
      </c>
      <c r="C130" s="123" t="s">
        <v>254</v>
      </c>
      <c r="D130" s="121" t="s">
        <v>198</v>
      </c>
      <c r="E130" s="108"/>
    </row>
    <row r="131" spans="1:5" ht="24.75" customHeight="1" x14ac:dyDescent="0.3">
      <c r="A131" s="592"/>
      <c r="B131" s="589">
        <v>5</v>
      </c>
      <c r="C131" s="595" t="s">
        <v>255</v>
      </c>
      <c r="D131" s="596" t="s">
        <v>198</v>
      </c>
      <c r="E131" s="108"/>
    </row>
    <row r="132" spans="1:5" ht="30.75" customHeight="1" x14ac:dyDescent="0.3">
      <c r="A132" s="592"/>
      <c r="B132" s="592"/>
      <c r="C132" s="592"/>
      <c r="D132" s="592"/>
      <c r="E132" s="108"/>
    </row>
    <row r="133" spans="1:5" ht="15.75" customHeight="1" x14ac:dyDescent="0.3">
      <c r="A133" s="592">
        <v>4</v>
      </c>
      <c r="B133" s="610" t="s">
        <v>256</v>
      </c>
      <c r="C133" s="610"/>
      <c r="D133" s="596"/>
      <c r="E133" s="108"/>
    </row>
    <row r="134" spans="1:5" ht="16.5" customHeight="1" x14ac:dyDescent="0.3">
      <c r="A134" s="592"/>
      <c r="B134" s="610"/>
      <c r="C134" s="610"/>
      <c r="D134" s="596"/>
      <c r="E134" s="108"/>
    </row>
    <row r="135" spans="1:5" ht="45.75" customHeight="1" x14ac:dyDescent="0.3">
      <c r="A135" s="113"/>
      <c r="B135" s="114">
        <v>4.0999999999999996</v>
      </c>
      <c r="C135" s="123" t="s">
        <v>257</v>
      </c>
      <c r="D135" s="121" t="s">
        <v>162</v>
      </c>
      <c r="E135" s="108"/>
    </row>
    <row r="136" spans="1:5" ht="45.75" customHeight="1" x14ac:dyDescent="0.3">
      <c r="A136" s="113"/>
      <c r="B136" s="114">
        <v>4.2</v>
      </c>
      <c r="C136" s="123" t="s">
        <v>258</v>
      </c>
      <c r="D136" s="121" t="s">
        <v>162</v>
      </c>
      <c r="E136" s="108"/>
    </row>
    <row r="137" spans="1:5" ht="90.75" customHeight="1" x14ac:dyDescent="0.3">
      <c r="A137" s="113"/>
      <c r="B137" s="114">
        <v>4.3</v>
      </c>
      <c r="C137" s="123" t="s">
        <v>259</v>
      </c>
      <c r="D137" s="121" t="s">
        <v>162</v>
      </c>
      <c r="E137" s="108"/>
    </row>
    <row r="138" spans="1:5" ht="15.75" customHeight="1" x14ac:dyDescent="0.3">
      <c r="A138" s="602"/>
      <c r="B138" s="602"/>
      <c r="C138" s="602"/>
      <c r="D138" s="602"/>
      <c r="E138" s="602"/>
    </row>
    <row r="139" spans="1:5" ht="16.5" customHeight="1" x14ac:dyDescent="0.3">
      <c r="A139" s="602"/>
      <c r="B139" s="602"/>
      <c r="C139" s="602"/>
      <c r="D139" s="602"/>
      <c r="E139" s="602"/>
    </row>
    <row r="140" spans="1:5" ht="45.75" customHeight="1" x14ac:dyDescent="0.3">
      <c r="A140" s="124"/>
      <c r="B140" s="144">
        <v>4.4000000000000004</v>
      </c>
      <c r="C140" s="145" t="s">
        <v>260</v>
      </c>
      <c r="D140" s="146" t="s">
        <v>162</v>
      </c>
      <c r="E140" s="108"/>
    </row>
    <row r="141" spans="1:5" ht="45.75" customHeight="1" x14ac:dyDescent="0.3">
      <c r="A141" s="113"/>
      <c r="B141" s="114">
        <v>4.5</v>
      </c>
      <c r="C141" s="123" t="s">
        <v>261</v>
      </c>
      <c r="D141" s="121" t="s">
        <v>198</v>
      </c>
      <c r="E141" s="108"/>
    </row>
    <row r="142" spans="1:5" ht="23.25" customHeight="1" x14ac:dyDescent="0.3">
      <c r="A142" s="592"/>
      <c r="B142" s="589">
        <v>4.5999999999999996</v>
      </c>
      <c r="C142" s="595" t="s">
        <v>262</v>
      </c>
      <c r="D142" s="596" t="s">
        <v>191</v>
      </c>
      <c r="E142" s="108"/>
    </row>
    <row r="143" spans="1:5" ht="25.5" customHeight="1" x14ac:dyDescent="0.3">
      <c r="A143" s="592"/>
      <c r="B143" s="592"/>
      <c r="C143" s="592"/>
      <c r="D143" s="592"/>
      <c r="E143" s="108"/>
    </row>
    <row r="144" spans="1:5" ht="16.5" customHeight="1" x14ac:dyDescent="0.3">
      <c r="A144" s="113">
        <v>5</v>
      </c>
      <c r="B144" s="610" t="s">
        <v>263</v>
      </c>
      <c r="C144" s="610"/>
      <c r="D144" s="121"/>
      <c r="E144" s="108"/>
    </row>
    <row r="145" spans="1:5" ht="45.75" customHeight="1" x14ac:dyDescent="0.3">
      <c r="A145" s="113"/>
      <c r="B145" s="114">
        <v>5.0999999999999996</v>
      </c>
      <c r="C145" s="123" t="s">
        <v>264</v>
      </c>
      <c r="D145" s="121" t="s">
        <v>198</v>
      </c>
      <c r="E145" s="108"/>
    </row>
    <row r="146" spans="1:5" ht="60.75" customHeight="1" x14ac:dyDescent="0.3">
      <c r="A146" s="113"/>
      <c r="B146" s="114">
        <v>5.2</v>
      </c>
      <c r="C146" s="123" t="s">
        <v>265</v>
      </c>
      <c r="D146" s="121" t="s">
        <v>198</v>
      </c>
      <c r="E146" s="108"/>
    </row>
    <row r="147" spans="1:5" ht="60.75" customHeight="1" x14ac:dyDescent="0.3">
      <c r="A147" s="113"/>
      <c r="B147" s="114">
        <v>5.3</v>
      </c>
      <c r="C147" s="123" t="s">
        <v>266</v>
      </c>
      <c r="D147" s="121" t="s">
        <v>198</v>
      </c>
      <c r="E147" s="108"/>
    </row>
    <row r="148" spans="1:5" ht="45.75" customHeight="1" x14ac:dyDescent="0.3">
      <c r="A148" s="113"/>
      <c r="B148" s="114">
        <v>5.4</v>
      </c>
      <c r="C148" s="123" t="s">
        <v>267</v>
      </c>
      <c r="D148" s="121" t="s">
        <v>198</v>
      </c>
      <c r="E148" s="108"/>
    </row>
    <row r="149" spans="1:5" ht="15.75" customHeight="1" x14ac:dyDescent="0.3">
      <c r="A149" s="592"/>
      <c r="B149" s="589">
        <v>5.5</v>
      </c>
      <c r="C149" s="595" t="s">
        <v>268</v>
      </c>
      <c r="D149" s="596" t="s">
        <v>198</v>
      </c>
      <c r="E149" s="108"/>
    </row>
    <row r="150" spans="1:5" ht="15.75" customHeight="1" x14ac:dyDescent="0.3">
      <c r="A150" s="592"/>
      <c r="B150" s="592"/>
      <c r="C150" s="592"/>
      <c r="D150" s="592"/>
      <c r="E150" s="108"/>
    </row>
    <row r="151" spans="1:5" ht="16.5" customHeight="1" x14ac:dyDescent="0.3">
      <c r="A151" s="592"/>
      <c r="B151" s="592"/>
      <c r="C151" s="592"/>
      <c r="D151" s="592"/>
      <c r="E151" s="108"/>
    </row>
    <row r="152" spans="1:5" ht="15.75" customHeight="1" x14ac:dyDescent="0.3">
      <c r="A152" s="592">
        <v>6</v>
      </c>
      <c r="B152" s="610" t="s">
        <v>269</v>
      </c>
      <c r="C152" s="610"/>
      <c r="D152" s="596"/>
      <c r="E152" s="108"/>
    </row>
    <row r="153" spans="1:5" ht="16.5" customHeight="1" x14ac:dyDescent="0.3">
      <c r="A153" s="592"/>
      <c r="B153" s="610"/>
      <c r="C153" s="610"/>
      <c r="D153" s="596"/>
      <c r="E153" s="108"/>
    </row>
    <row r="154" spans="1:5" ht="60.75" customHeight="1" x14ac:dyDescent="0.3">
      <c r="A154" s="113"/>
      <c r="B154" s="114">
        <v>6.1</v>
      </c>
      <c r="C154" s="123" t="s">
        <v>270</v>
      </c>
      <c r="D154" s="121" t="s">
        <v>191</v>
      </c>
      <c r="E154" s="108"/>
    </row>
    <row r="155" spans="1:5" ht="16.5" customHeight="1" x14ac:dyDescent="0.3">
      <c r="A155" s="113"/>
      <c r="B155" s="114" t="s">
        <v>271</v>
      </c>
      <c r="C155" s="123" t="s">
        <v>272</v>
      </c>
      <c r="D155" s="121" t="s">
        <v>235</v>
      </c>
      <c r="E155" s="108"/>
    </row>
    <row r="156" spans="1:5" ht="16.5" customHeight="1" x14ac:dyDescent="0.3">
      <c r="A156" s="113"/>
      <c r="B156" s="114" t="s">
        <v>123</v>
      </c>
      <c r="C156" s="123" t="s">
        <v>273</v>
      </c>
      <c r="D156" s="121" t="s">
        <v>191</v>
      </c>
      <c r="E156" s="108"/>
    </row>
    <row r="157" spans="1:5" ht="16.5" customHeight="1" x14ac:dyDescent="0.3">
      <c r="A157" s="113"/>
      <c r="B157" s="114" t="s">
        <v>274</v>
      </c>
      <c r="C157" s="123" t="s">
        <v>275</v>
      </c>
      <c r="D157" s="121" t="s">
        <v>235</v>
      </c>
      <c r="E157" s="108"/>
    </row>
    <row r="158" spans="1:5" ht="16.5" customHeight="1" x14ac:dyDescent="0.3">
      <c r="A158" s="113"/>
      <c r="B158" s="114" t="s">
        <v>276</v>
      </c>
      <c r="C158" s="123" t="s">
        <v>277</v>
      </c>
      <c r="D158" s="121" t="s">
        <v>235</v>
      </c>
      <c r="E158" s="108"/>
    </row>
    <row r="159" spans="1:5" ht="30.75" customHeight="1" x14ac:dyDescent="0.3">
      <c r="A159" s="113"/>
      <c r="B159" s="114" t="s">
        <v>278</v>
      </c>
      <c r="C159" s="123" t="s">
        <v>279</v>
      </c>
      <c r="D159" s="121" t="s">
        <v>280</v>
      </c>
      <c r="E159" s="108"/>
    </row>
    <row r="160" spans="1:5" ht="16.5" customHeight="1" x14ac:dyDescent="0.3">
      <c r="A160" s="113"/>
      <c r="B160" s="114" t="s">
        <v>281</v>
      </c>
      <c r="C160" s="123" t="s">
        <v>282</v>
      </c>
      <c r="D160" s="121" t="str">
        <f>+TIT!D9</f>
        <v>Shri. Bharat C. Boridkar</v>
      </c>
      <c r="E160" s="108"/>
    </row>
    <row r="161" spans="1:5" ht="16.5" customHeight="1" x14ac:dyDescent="0.3">
      <c r="A161" s="113">
        <v>7</v>
      </c>
      <c r="B161" s="610" t="s">
        <v>283</v>
      </c>
      <c r="C161" s="610"/>
      <c r="D161" s="121"/>
      <c r="E161" s="108"/>
    </row>
    <row r="162" spans="1:5" ht="45.75" customHeight="1" x14ac:dyDescent="0.3">
      <c r="A162" s="113"/>
      <c r="B162" s="114">
        <v>7.1</v>
      </c>
      <c r="C162" s="123" t="s">
        <v>284</v>
      </c>
      <c r="D162" s="121" t="s">
        <v>221</v>
      </c>
      <c r="E162" s="108"/>
    </row>
    <row r="163" spans="1:5" ht="16.5" customHeight="1" x14ac:dyDescent="0.3">
      <c r="A163" s="113"/>
      <c r="B163" s="114">
        <v>7.2</v>
      </c>
      <c r="C163" s="123" t="s">
        <v>285</v>
      </c>
      <c r="D163" s="121" t="str">
        <f>+D162</f>
        <v>As per Audit Remarks</v>
      </c>
      <c r="E163" s="108"/>
    </row>
    <row r="164" spans="1:5" ht="16.5" customHeight="1" x14ac:dyDescent="0.3">
      <c r="A164" s="113"/>
      <c r="B164" s="114" t="s">
        <v>271</v>
      </c>
      <c r="C164" s="123" t="s">
        <v>286</v>
      </c>
      <c r="D164" s="121" t="str">
        <f>+D163</f>
        <v>As per Audit Remarks</v>
      </c>
      <c r="E164" s="108"/>
    </row>
    <row r="165" spans="1:5" ht="16.5" customHeight="1" x14ac:dyDescent="0.3">
      <c r="A165" s="113"/>
      <c r="B165" s="114" t="s">
        <v>123</v>
      </c>
      <c r="C165" s="123" t="s">
        <v>287</v>
      </c>
      <c r="D165" s="121" t="str">
        <f>+D164</f>
        <v>As per Audit Remarks</v>
      </c>
      <c r="E165" s="108"/>
    </row>
    <row r="166" spans="1:5" ht="16.5" customHeight="1" x14ac:dyDescent="0.3">
      <c r="A166" s="113"/>
      <c r="B166" s="114" t="s">
        <v>274</v>
      </c>
      <c r="C166" s="123" t="s">
        <v>288</v>
      </c>
      <c r="D166" s="121" t="str">
        <f>+D165</f>
        <v>As per Audit Remarks</v>
      </c>
      <c r="E166" s="108"/>
    </row>
    <row r="167" spans="1:5" ht="15.75" customHeight="1" x14ac:dyDescent="0.3">
      <c r="A167" s="592"/>
      <c r="B167" s="589" t="s">
        <v>276</v>
      </c>
      <c r="C167" s="595" t="s">
        <v>289</v>
      </c>
      <c r="D167" s="596" t="s">
        <v>162</v>
      </c>
      <c r="E167" s="108"/>
    </row>
    <row r="168" spans="1:5" ht="16.5" customHeight="1" x14ac:dyDescent="0.3">
      <c r="A168" s="592"/>
      <c r="B168" s="592"/>
      <c r="C168" s="592"/>
      <c r="D168" s="592"/>
      <c r="E168" s="108"/>
    </row>
    <row r="169" spans="1:5" ht="15.75" customHeight="1" x14ac:dyDescent="0.3">
      <c r="A169" s="602"/>
      <c r="B169" s="602"/>
      <c r="C169" s="602"/>
      <c r="D169" s="602"/>
      <c r="E169" s="602"/>
    </row>
    <row r="170" spans="1:5" ht="16.5" customHeight="1" x14ac:dyDescent="0.3">
      <c r="A170" s="602"/>
      <c r="B170" s="602"/>
      <c r="C170" s="602"/>
      <c r="D170" s="602"/>
      <c r="E170" s="602"/>
    </row>
    <row r="171" spans="1:5" ht="16.5" customHeight="1" x14ac:dyDescent="0.3">
      <c r="A171" s="124">
        <v>8</v>
      </c>
      <c r="B171" s="610" t="s">
        <v>290</v>
      </c>
      <c r="C171" s="610"/>
      <c r="D171" s="146"/>
      <c r="E171" s="108"/>
    </row>
    <row r="172" spans="1:5" ht="45.75" customHeight="1" x14ac:dyDescent="0.3">
      <c r="A172" s="113"/>
      <c r="B172" s="114">
        <v>8.1</v>
      </c>
      <c r="C172" s="123" t="s">
        <v>291</v>
      </c>
      <c r="D172" s="121" t="s">
        <v>191</v>
      </c>
      <c r="E172" s="108"/>
    </row>
    <row r="173" spans="1:5" ht="30.75" customHeight="1" x14ac:dyDescent="0.3">
      <c r="A173" s="113"/>
      <c r="B173" s="114" t="s">
        <v>292</v>
      </c>
      <c r="C173" s="123" t="s">
        <v>293</v>
      </c>
      <c r="D173" s="121" t="s">
        <v>191</v>
      </c>
      <c r="E173" s="108"/>
    </row>
    <row r="174" spans="1:5" ht="16.5" customHeight="1" x14ac:dyDescent="0.3">
      <c r="A174" s="113"/>
      <c r="B174" s="114" t="s">
        <v>294</v>
      </c>
      <c r="C174" s="123" t="s">
        <v>295</v>
      </c>
      <c r="D174" s="121" t="s">
        <v>162</v>
      </c>
      <c r="E174" s="108"/>
    </row>
    <row r="175" spans="1:5" ht="16.5" customHeight="1" x14ac:dyDescent="0.3">
      <c r="A175" s="113"/>
      <c r="B175" s="114" t="s">
        <v>296</v>
      </c>
      <c r="C175" s="123" t="s">
        <v>297</v>
      </c>
      <c r="D175" s="121" t="s">
        <v>162</v>
      </c>
      <c r="E175" s="108"/>
    </row>
    <row r="176" spans="1:5" ht="16.5" customHeight="1" x14ac:dyDescent="0.3">
      <c r="A176" s="113"/>
      <c r="B176" s="114" t="s">
        <v>298</v>
      </c>
      <c r="C176" s="123" t="s">
        <v>299</v>
      </c>
      <c r="D176" s="121" t="s">
        <v>191</v>
      </c>
      <c r="E176" s="108"/>
    </row>
    <row r="177" spans="1:5" ht="30.75" customHeight="1" x14ac:dyDescent="0.3">
      <c r="A177" s="113"/>
      <c r="B177" s="114" t="s">
        <v>300</v>
      </c>
      <c r="C177" s="123" t="s">
        <v>301</v>
      </c>
      <c r="D177" s="121" t="s">
        <v>162</v>
      </c>
      <c r="E177" s="108"/>
    </row>
    <row r="178" spans="1:5" ht="30.75" customHeight="1" x14ac:dyDescent="0.3">
      <c r="A178" s="113"/>
      <c r="B178" s="114" t="s">
        <v>302</v>
      </c>
      <c r="C178" s="123" t="s">
        <v>303</v>
      </c>
      <c r="D178" s="121" t="s">
        <v>191</v>
      </c>
      <c r="E178" s="108"/>
    </row>
    <row r="179" spans="1:5" ht="16.5" customHeight="1" x14ac:dyDescent="0.3">
      <c r="A179" s="113"/>
      <c r="B179" s="114" t="s">
        <v>304</v>
      </c>
      <c r="C179" s="123" t="s">
        <v>305</v>
      </c>
      <c r="D179" s="121" t="s">
        <v>191</v>
      </c>
      <c r="E179" s="108"/>
    </row>
    <row r="180" spans="1:5" ht="30.75" customHeight="1" x14ac:dyDescent="0.3">
      <c r="A180" s="113"/>
      <c r="B180" s="114" t="s">
        <v>306</v>
      </c>
      <c r="C180" s="123" t="s">
        <v>307</v>
      </c>
      <c r="D180" s="121" t="s">
        <v>191</v>
      </c>
      <c r="E180" s="108"/>
    </row>
    <row r="181" spans="1:5" ht="16.5" customHeight="1" x14ac:dyDescent="0.3">
      <c r="A181" s="113"/>
      <c r="B181" s="114" t="s">
        <v>308</v>
      </c>
      <c r="C181" s="123" t="s">
        <v>309</v>
      </c>
      <c r="D181" s="121" t="s">
        <v>191</v>
      </c>
      <c r="E181" s="108"/>
    </row>
    <row r="182" spans="1:5" ht="16.5" customHeight="1" x14ac:dyDescent="0.3">
      <c r="A182" s="113"/>
      <c r="B182" s="114" t="s">
        <v>310</v>
      </c>
      <c r="C182" s="123" t="s">
        <v>311</v>
      </c>
      <c r="D182" s="121" t="s">
        <v>191</v>
      </c>
      <c r="E182" s="108"/>
    </row>
    <row r="183" spans="1:5" ht="16.5" customHeight="1" x14ac:dyDescent="0.3">
      <c r="A183" s="113"/>
      <c r="B183" s="114" t="s">
        <v>312</v>
      </c>
      <c r="C183" s="123" t="s">
        <v>313</v>
      </c>
      <c r="D183" s="121" t="s">
        <v>191</v>
      </c>
      <c r="E183" s="108"/>
    </row>
    <row r="184" spans="1:5" ht="16.5" customHeight="1" x14ac:dyDescent="0.3">
      <c r="A184" s="113"/>
      <c r="B184" s="114" t="s">
        <v>314</v>
      </c>
      <c r="C184" s="123" t="s">
        <v>315</v>
      </c>
      <c r="D184" s="121" t="s">
        <v>191</v>
      </c>
      <c r="E184" s="108"/>
    </row>
    <row r="185" spans="1:5" ht="16.5" customHeight="1" x14ac:dyDescent="0.3">
      <c r="A185" s="113"/>
      <c r="B185" s="114" t="s">
        <v>316</v>
      </c>
      <c r="C185" s="123" t="s">
        <v>317</v>
      </c>
      <c r="D185" s="121" t="s">
        <v>162</v>
      </c>
      <c r="E185" s="108"/>
    </row>
    <row r="186" spans="1:5" ht="16.5" customHeight="1" x14ac:dyDescent="0.3">
      <c r="A186" s="113"/>
      <c r="B186" s="114" t="s">
        <v>318</v>
      </c>
      <c r="C186" s="123" t="s">
        <v>319</v>
      </c>
      <c r="D186" s="121" t="s">
        <v>235</v>
      </c>
      <c r="E186" s="108"/>
    </row>
    <row r="187" spans="1:5" ht="30.75" customHeight="1" x14ac:dyDescent="0.3">
      <c r="A187" s="113"/>
      <c r="B187" s="114" t="s">
        <v>320</v>
      </c>
      <c r="C187" s="123" t="s">
        <v>321</v>
      </c>
      <c r="D187" s="121" t="s">
        <v>191</v>
      </c>
      <c r="E187" s="108"/>
    </row>
    <row r="188" spans="1:5" ht="16.5" customHeight="1" x14ac:dyDescent="0.3">
      <c r="A188" s="113"/>
      <c r="B188" s="114" t="s">
        <v>322</v>
      </c>
      <c r="C188" s="123" t="s">
        <v>323</v>
      </c>
      <c r="D188" s="121" t="s">
        <v>191</v>
      </c>
      <c r="E188" s="108"/>
    </row>
    <row r="189" spans="1:5" ht="16.5" customHeight="1" x14ac:dyDescent="0.3">
      <c r="A189" s="113"/>
      <c r="B189" s="114" t="s">
        <v>324</v>
      </c>
      <c r="C189" s="123" t="s">
        <v>325</v>
      </c>
      <c r="D189" s="121" t="s">
        <v>235</v>
      </c>
      <c r="E189" s="108"/>
    </row>
    <row r="190" spans="1:5" ht="23.25" customHeight="1" x14ac:dyDescent="0.3">
      <c r="A190" s="592"/>
      <c r="B190" s="589" t="s">
        <v>326</v>
      </c>
      <c r="C190" s="595" t="s">
        <v>327</v>
      </c>
      <c r="D190" s="596" t="s">
        <v>191</v>
      </c>
      <c r="E190" s="108"/>
    </row>
    <row r="191" spans="1:5" ht="30" customHeight="1" x14ac:dyDescent="0.3">
      <c r="A191" s="592"/>
      <c r="B191" s="592"/>
      <c r="C191" s="592"/>
      <c r="D191" s="592"/>
      <c r="E191" s="108"/>
    </row>
    <row r="192" spans="1:5" ht="16.5" customHeight="1" x14ac:dyDescent="0.3">
      <c r="A192" s="113">
        <v>9</v>
      </c>
      <c r="B192" s="610" t="s">
        <v>328</v>
      </c>
      <c r="C192" s="610"/>
      <c r="D192" s="121"/>
      <c r="E192" s="108"/>
    </row>
    <row r="193" spans="1:5" ht="30.75" customHeight="1" x14ac:dyDescent="0.3">
      <c r="A193" s="113"/>
      <c r="B193" s="114">
        <v>9.1</v>
      </c>
      <c r="C193" s="123" t="s">
        <v>329</v>
      </c>
      <c r="D193" s="121" t="s">
        <v>191</v>
      </c>
      <c r="E193" s="108"/>
    </row>
    <row r="194" spans="1:5" ht="45.75" customHeight="1" x14ac:dyDescent="0.3">
      <c r="A194" s="113"/>
      <c r="B194" s="114">
        <v>9.1999999999999993</v>
      </c>
      <c r="C194" s="123" t="s">
        <v>330</v>
      </c>
      <c r="D194" s="121" t="s">
        <v>331</v>
      </c>
      <c r="E194" s="108"/>
    </row>
    <row r="195" spans="1:5" ht="15.75" customHeight="1" x14ac:dyDescent="0.3">
      <c r="A195" s="592"/>
      <c r="B195" s="589">
        <v>9.3000000000000007</v>
      </c>
      <c r="C195" s="595" t="s">
        <v>332</v>
      </c>
      <c r="D195" s="596" t="s">
        <v>235</v>
      </c>
      <c r="E195" s="108"/>
    </row>
    <row r="196" spans="1:5" ht="15.75" customHeight="1" x14ac:dyDescent="0.3">
      <c r="A196" s="592"/>
      <c r="B196" s="592"/>
      <c r="C196" s="592"/>
      <c r="D196" s="592"/>
      <c r="E196" s="108"/>
    </row>
    <row r="197" spans="1:5" ht="16.5" customHeight="1" x14ac:dyDescent="0.3">
      <c r="A197" s="592"/>
      <c r="B197" s="592"/>
      <c r="C197" s="592"/>
      <c r="D197" s="592"/>
      <c r="E197" s="108"/>
    </row>
    <row r="198" spans="1:5" ht="19.5" customHeight="1" x14ac:dyDescent="0.3">
      <c r="A198" s="611"/>
      <c r="B198" s="611"/>
      <c r="C198" s="611"/>
      <c r="D198" s="611"/>
      <c r="E198" s="108"/>
    </row>
    <row r="199" spans="1:5" ht="19.5" customHeight="1" x14ac:dyDescent="0.3">
      <c r="A199" s="612"/>
      <c r="B199" s="612"/>
      <c r="C199" s="612"/>
      <c r="D199" s="612"/>
      <c r="E199" s="108"/>
    </row>
    <row r="200" spans="1:5" ht="19.5" customHeight="1" x14ac:dyDescent="0.3">
      <c r="A200" s="147"/>
      <c r="B200" s="147"/>
      <c r="C200" s="147"/>
      <c r="D200" s="88"/>
      <c r="E200" s="108"/>
    </row>
    <row r="201" spans="1:5" ht="15.75" customHeight="1" x14ac:dyDescent="0.3">
      <c r="A201" s="108"/>
      <c r="B201" s="108"/>
      <c r="C201" s="108"/>
      <c r="D201" s="148"/>
      <c r="E201" s="108"/>
    </row>
    <row r="202" spans="1:5" ht="15.75" customHeight="1" x14ac:dyDescent="0.3">
      <c r="A202" s="108"/>
      <c r="B202" s="108"/>
      <c r="C202" s="108"/>
      <c r="D202" s="149" t="s">
        <v>17</v>
      </c>
      <c r="E202" s="108"/>
    </row>
    <row r="203" spans="1:5" ht="15.75" customHeight="1" x14ac:dyDescent="0.3">
      <c r="A203" s="108"/>
      <c r="B203" s="108"/>
      <c r="C203" s="108"/>
      <c r="D203" s="148" t="s">
        <v>333</v>
      </c>
      <c r="E203" s="108"/>
    </row>
    <row r="204" spans="1:5" ht="15.75" customHeight="1" x14ac:dyDescent="0.3">
      <c r="A204" s="108"/>
      <c r="B204" s="108"/>
      <c r="C204" s="108"/>
      <c r="D204" s="148" t="s">
        <v>18</v>
      </c>
      <c r="E204" s="108"/>
    </row>
    <row r="205" spans="1:5" ht="19.5" customHeight="1" x14ac:dyDescent="0.3">
      <c r="A205" s="108"/>
      <c r="B205" s="108"/>
      <c r="C205" s="108"/>
      <c r="D205" s="613" t="s">
        <v>334</v>
      </c>
      <c r="E205" s="108"/>
    </row>
    <row r="206" spans="1:5" ht="15.75" customHeight="1" x14ac:dyDescent="0.3">
      <c r="A206" s="614">
        <f>+TIT!D13</f>
        <v>46277</v>
      </c>
      <c r="B206" s="614"/>
      <c r="C206" s="614"/>
      <c r="D206" s="613"/>
      <c r="E206" s="108"/>
    </row>
    <row r="210" spans="4:5" ht="15.75" customHeight="1" x14ac:dyDescent="0.3">
      <c r="D210" s="150"/>
      <c r="E210" s="151"/>
    </row>
  </sheetData>
  <mergeCells count="129">
    <mergeCell ref="A198:D198"/>
    <mergeCell ref="A199:D199"/>
    <mergeCell ref="D205:D206"/>
    <mergeCell ref="A206:C206"/>
    <mergeCell ref="A170:E170"/>
    <mergeCell ref="B171:C171"/>
    <mergeCell ref="A190:A191"/>
    <mergeCell ref="B190:B191"/>
    <mergeCell ref="C190:C191"/>
    <mergeCell ref="D190:D191"/>
    <mergeCell ref="B192:C192"/>
    <mergeCell ref="A195:A197"/>
    <mergeCell ref="B195:B197"/>
    <mergeCell ref="C195:C197"/>
    <mergeCell ref="D195:D197"/>
    <mergeCell ref="A152:A153"/>
    <mergeCell ref="B152:C153"/>
    <mergeCell ref="D152:D153"/>
    <mergeCell ref="B161:C161"/>
    <mergeCell ref="A167:A168"/>
    <mergeCell ref="B167:B168"/>
    <mergeCell ref="C167:C168"/>
    <mergeCell ref="D167:D168"/>
    <mergeCell ref="A169:E169"/>
    <mergeCell ref="A139:E139"/>
    <mergeCell ref="A142:A143"/>
    <mergeCell ref="B142:B143"/>
    <mergeCell ref="C142:C143"/>
    <mergeCell ref="D142:D143"/>
    <mergeCell ref="B144:C144"/>
    <mergeCell ref="A149:A151"/>
    <mergeCell ref="B149:B151"/>
    <mergeCell ref="C149:C151"/>
    <mergeCell ref="D149:D151"/>
    <mergeCell ref="C126:D126"/>
    <mergeCell ref="A131:A132"/>
    <mergeCell ref="B131:B132"/>
    <mergeCell ref="C131:C132"/>
    <mergeCell ref="D131:D132"/>
    <mergeCell ref="A133:A134"/>
    <mergeCell ref="B133:C134"/>
    <mergeCell ref="D133:D134"/>
    <mergeCell ref="A138:E138"/>
    <mergeCell ref="A112:E112"/>
    <mergeCell ref="A113:E113"/>
    <mergeCell ref="A114:A115"/>
    <mergeCell ref="B114:B115"/>
    <mergeCell ref="C114:D115"/>
    <mergeCell ref="A123:A125"/>
    <mergeCell ref="B123:B125"/>
    <mergeCell ref="C123:C125"/>
    <mergeCell ref="D123:D125"/>
    <mergeCell ref="A104:A105"/>
    <mergeCell ref="B104:B105"/>
    <mergeCell ref="C104:C105"/>
    <mergeCell ref="D104:D105"/>
    <mergeCell ref="A106:A107"/>
    <mergeCell ref="B106:B107"/>
    <mergeCell ref="C106:D107"/>
    <mergeCell ref="A110:A111"/>
    <mergeCell ref="B110:B111"/>
    <mergeCell ref="C110:C111"/>
    <mergeCell ref="D110:D111"/>
    <mergeCell ref="A94:A97"/>
    <mergeCell ref="B94:B97"/>
    <mergeCell ref="C94:C97"/>
    <mergeCell ref="A98:A99"/>
    <mergeCell ref="B98:B99"/>
    <mergeCell ref="C98:C99"/>
    <mergeCell ref="D98:D99"/>
    <mergeCell ref="A100:A101"/>
    <mergeCell ref="B100:B101"/>
    <mergeCell ref="C100:D101"/>
    <mergeCell ref="B68:D68"/>
    <mergeCell ref="A72:E72"/>
    <mergeCell ref="B74:D74"/>
    <mergeCell ref="A75:A85"/>
    <mergeCell ref="A86:A87"/>
    <mergeCell ref="B86:B87"/>
    <mergeCell ref="C86:C87"/>
    <mergeCell ref="C88:D88"/>
    <mergeCell ref="A90:A91"/>
    <mergeCell ref="B90:B91"/>
    <mergeCell ref="C90:C91"/>
    <mergeCell ref="B54:D54"/>
    <mergeCell ref="B55:D55"/>
    <mergeCell ref="A57:A61"/>
    <mergeCell ref="B57:B61"/>
    <mergeCell ref="A62:A64"/>
    <mergeCell ref="B62:B64"/>
    <mergeCell ref="A66:A67"/>
    <mergeCell ref="B66:B67"/>
    <mergeCell ref="C66:C67"/>
    <mergeCell ref="D66:D67"/>
    <mergeCell ref="A43:A44"/>
    <mergeCell ref="B43:B44"/>
    <mergeCell ref="C43:C44"/>
    <mergeCell ref="D43:D44"/>
    <mergeCell ref="A45:A46"/>
    <mergeCell ref="B45:B46"/>
    <mergeCell ref="C45:C46"/>
    <mergeCell ref="D45:D46"/>
    <mergeCell ref="A51:A53"/>
    <mergeCell ref="B51:D51"/>
    <mergeCell ref="B52:D52"/>
    <mergeCell ref="B53:D53"/>
    <mergeCell ref="A21:A22"/>
    <mergeCell ref="B21:B22"/>
    <mergeCell ref="C21:C22"/>
    <mergeCell ref="D21:D22"/>
    <mergeCell ref="B23:D23"/>
    <mergeCell ref="A39:A40"/>
    <mergeCell ref="B39:B40"/>
    <mergeCell ref="D39:D40"/>
    <mergeCell ref="A41:A42"/>
    <mergeCell ref="B41:B42"/>
    <mergeCell ref="C41:C42"/>
    <mergeCell ref="D41:D42"/>
    <mergeCell ref="A1:D1"/>
    <mergeCell ref="A2:D2"/>
    <mergeCell ref="A3:D3"/>
    <mergeCell ref="A7:A8"/>
    <mergeCell ref="B7:B8"/>
    <mergeCell ref="A14:A15"/>
    <mergeCell ref="B14:B15"/>
    <mergeCell ref="C14:C15"/>
    <mergeCell ref="A17:A20"/>
    <mergeCell ref="B17:B20"/>
    <mergeCell ref="C17:C20"/>
  </mergeCells>
  <printOptions horizontalCentered="1"/>
  <pageMargins left="0.39370078740157483" right="0.19685039370078741" top="0.39370078740157483" bottom="0.19685039370078741" header="0.51181102362204722" footer="0.51181102362204722"/>
  <pageSetup paperSize="9" scale="89" orientation="portrait" horizontalDpi="300" verticalDpi="300" r:id="rId1"/>
  <rowBreaks count="5" manualBreakCount="5">
    <brk id="42" max="16383" man="1"/>
    <brk id="72" max="16383" man="1"/>
    <brk id="112" max="4" man="1"/>
    <brk id="138" max="16383" man="1"/>
    <brk id="169" max="1638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W131"/>
  <sheetViews>
    <sheetView view="pageBreakPreview" zoomScaleNormal="100" zoomScaleSheetLayoutView="100" workbookViewId="0">
      <selection activeCell="D138" sqref="D138"/>
    </sheetView>
  </sheetViews>
  <sheetFormatPr defaultColWidth="9" defaultRowHeight="15.6" x14ac:dyDescent="0.3"/>
  <cols>
    <col min="1" max="1" width="4.59765625" style="101" customWidth="1"/>
    <col min="2" max="2" width="9" style="101"/>
    <col min="3" max="3" width="40" style="101" customWidth="1"/>
    <col min="4" max="4" width="41.59765625" style="148" customWidth="1"/>
    <col min="5" max="5" width="1.796875" style="101" customWidth="1"/>
    <col min="6" max="257" width="9" style="101"/>
  </cols>
  <sheetData>
    <row r="1" spans="1:4" ht="19.5" customHeight="1" x14ac:dyDescent="0.3">
      <c r="A1" s="615" t="s">
        <v>335</v>
      </c>
      <c r="B1" s="615"/>
      <c r="C1" s="615"/>
      <c r="D1" s="615"/>
    </row>
    <row r="2" spans="1:4" ht="19.5" customHeight="1" x14ac:dyDescent="0.3">
      <c r="A2" s="615" t="s">
        <v>336</v>
      </c>
      <c r="B2" s="615"/>
      <c r="C2" s="615"/>
      <c r="D2" s="615"/>
    </row>
    <row r="3" spans="1:4" ht="19.5" customHeight="1" x14ac:dyDescent="0.3">
      <c r="A3" s="615" t="s">
        <v>337</v>
      </c>
      <c r="B3" s="615"/>
      <c r="C3" s="615"/>
      <c r="D3" s="615"/>
    </row>
    <row r="4" spans="1:4" ht="19.5" customHeight="1" x14ac:dyDescent="0.3">
      <c r="A4" s="616">
        <v>1</v>
      </c>
      <c r="B4" s="616">
        <v>2</v>
      </c>
      <c r="C4" s="617" t="s">
        <v>133</v>
      </c>
      <c r="D4" s="618" t="s">
        <v>338</v>
      </c>
    </row>
    <row r="5" spans="1:4" ht="19.5" customHeight="1" x14ac:dyDescent="0.3">
      <c r="A5" s="616"/>
      <c r="B5" s="616"/>
      <c r="C5" s="617"/>
      <c r="D5" s="617"/>
    </row>
    <row r="6" spans="1:4" ht="19.5" customHeight="1" x14ac:dyDescent="0.3">
      <c r="A6" s="616"/>
      <c r="B6" s="616"/>
      <c r="C6" s="152">
        <v>3</v>
      </c>
      <c r="D6" s="153">
        <v>4</v>
      </c>
    </row>
    <row r="7" spans="1:4" ht="30.75" customHeight="1" x14ac:dyDescent="0.3">
      <c r="A7" s="154" t="s">
        <v>131</v>
      </c>
      <c r="B7" s="155">
        <v>1</v>
      </c>
      <c r="C7" s="156" t="s">
        <v>339</v>
      </c>
      <c r="D7" s="157" t="str">
        <f>+TIT!D2</f>
        <v>PRATHAMESH HARMONY "B"  WING CO-OPERATIVE HOUSING SOCIETY LTD.</v>
      </c>
    </row>
    <row r="8" spans="1:4" ht="15.75" customHeight="1" x14ac:dyDescent="0.3">
      <c r="A8" s="158"/>
      <c r="B8" s="159">
        <v>2</v>
      </c>
      <c r="C8" s="160" t="s">
        <v>340</v>
      </c>
      <c r="D8" s="159" t="s">
        <v>341</v>
      </c>
    </row>
    <row r="9" spans="1:4" ht="15.75" customHeight="1" x14ac:dyDescent="0.3">
      <c r="A9" s="158"/>
      <c r="B9" s="159" t="s">
        <v>271</v>
      </c>
      <c r="C9" s="160" t="s">
        <v>342</v>
      </c>
      <c r="D9" s="159" t="s">
        <v>235</v>
      </c>
    </row>
    <row r="10" spans="1:4" ht="15.75" customHeight="1" x14ac:dyDescent="0.3">
      <c r="A10" s="158"/>
      <c r="B10" s="159" t="s">
        <v>123</v>
      </c>
      <c r="C10" s="160" t="s">
        <v>343</v>
      </c>
      <c r="D10" s="159" t="s">
        <v>191</v>
      </c>
    </row>
    <row r="11" spans="1:4" ht="15.75" customHeight="1" x14ac:dyDescent="0.3">
      <c r="A11" s="619"/>
      <c r="B11" s="620" t="s">
        <v>274</v>
      </c>
      <c r="C11" s="621" t="s">
        <v>344</v>
      </c>
      <c r="D11" s="620" t="s">
        <v>235</v>
      </c>
    </row>
    <row r="12" spans="1:4" ht="15.75" customHeight="1" x14ac:dyDescent="0.3">
      <c r="A12" s="619"/>
      <c r="B12" s="619"/>
      <c r="C12" s="619"/>
      <c r="D12" s="619"/>
    </row>
    <row r="13" spans="1:4" ht="15.75" customHeight="1" x14ac:dyDescent="0.3">
      <c r="A13" s="161" t="s">
        <v>157</v>
      </c>
      <c r="B13" s="622" t="s">
        <v>188</v>
      </c>
      <c r="C13" s="622"/>
      <c r="D13" s="622"/>
    </row>
    <row r="14" spans="1:4" ht="15.75" customHeight="1" x14ac:dyDescent="0.3">
      <c r="A14" s="623"/>
      <c r="B14" s="624" t="s">
        <v>345</v>
      </c>
      <c r="C14" s="624"/>
      <c r="D14" s="624"/>
    </row>
    <row r="15" spans="1:4" ht="15.75" customHeight="1" x14ac:dyDescent="0.3">
      <c r="A15" s="623"/>
      <c r="B15" s="624"/>
      <c r="C15" s="624"/>
      <c r="D15" s="624"/>
    </row>
    <row r="16" spans="1:4" ht="15.75" customHeight="1" x14ac:dyDescent="0.3">
      <c r="A16" s="163">
        <v>1</v>
      </c>
      <c r="B16" s="625" t="s">
        <v>346</v>
      </c>
      <c r="C16" s="625"/>
      <c r="D16" s="625"/>
    </row>
    <row r="17" spans="1:4" ht="45" customHeight="1" x14ac:dyDescent="0.3">
      <c r="A17" s="162"/>
      <c r="B17" s="159">
        <v>1.1000000000000001</v>
      </c>
      <c r="C17" s="160" t="s">
        <v>347</v>
      </c>
      <c r="D17" s="159" t="s">
        <v>235</v>
      </c>
    </row>
    <row r="18" spans="1:4" ht="60" customHeight="1" x14ac:dyDescent="0.3">
      <c r="A18" s="162"/>
      <c r="B18" s="159">
        <v>1.3</v>
      </c>
      <c r="C18" s="160" t="s">
        <v>348</v>
      </c>
      <c r="D18" s="159" t="s">
        <v>235</v>
      </c>
    </row>
    <row r="19" spans="1:4" ht="90" customHeight="1" x14ac:dyDescent="0.3">
      <c r="A19" s="162"/>
      <c r="B19" s="159">
        <v>1.4</v>
      </c>
      <c r="C19" s="160" t="s">
        <v>349</v>
      </c>
      <c r="D19" s="159" t="s">
        <v>235</v>
      </c>
    </row>
    <row r="20" spans="1:4" ht="15.75" customHeight="1" x14ac:dyDescent="0.3">
      <c r="A20" s="162"/>
      <c r="B20" s="163" t="s">
        <v>271</v>
      </c>
      <c r="C20" s="625" t="s">
        <v>350</v>
      </c>
      <c r="D20" s="625"/>
    </row>
    <row r="21" spans="1:4" ht="15.75" customHeight="1" x14ac:dyDescent="0.3">
      <c r="A21" s="162"/>
      <c r="B21" s="159">
        <v>1</v>
      </c>
      <c r="C21" s="160" t="s">
        <v>351</v>
      </c>
      <c r="D21" s="159" t="s">
        <v>331</v>
      </c>
    </row>
    <row r="22" spans="1:4" ht="15.75" customHeight="1" x14ac:dyDescent="0.3">
      <c r="A22" s="162"/>
      <c r="B22" s="159">
        <v>2</v>
      </c>
      <c r="C22" s="160" t="s">
        <v>352</v>
      </c>
      <c r="D22" s="159" t="s">
        <v>331</v>
      </c>
    </row>
    <row r="23" spans="1:4" ht="15.75" customHeight="1" x14ac:dyDescent="0.3">
      <c r="A23" s="162"/>
      <c r="B23" s="159">
        <v>3</v>
      </c>
      <c r="C23" s="160" t="s">
        <v>353</v>
      </c>
      <c r="D23" s="159" t="s">
        <v>331</v>
      </c>
    </row>
    <row r="24" spans="1:4" ht="15.75" customHeight="1" x14ac:dyDescent="0.3">
      <c r="A24" s="162"/>
      <c r="B24" s="159">
        <v>4</v>
      </c>
      <c r="C24" s="160" t="s">
        <v>354</v>
      </c>
      <c r="D24" s="159" t="s">
        <v>331</v>
      </c>
    </row>
    <row r="25" spans="1:4" ht="30" customHeight="1" x14ac:dyDescent="0.3">
      <c r="A25" s="162"/>
      <c r="B25" s="159">
        <v>5</v>
      </c>
      <c r="C25" s="160" t="s">
        <v>355</v>
      </c>
      <c r="D25" s="159" t="s">
        <v>331</v>
      </c>
    </row>
    <row r="26" spans="1:4" ht="15.75" customHeight="1" x14ac:dyDescent="0.3">
      <c r="A26" s="162"/>
      <c r="B26" s="159"/>
      <c r="C26" s="160" t="s">
        <v>356</v>
      </c>
      <c r="D26" s="159" t="s">
        <v>331</v>
      </c>
    </row>
    <row r="27" spans="1:4" ht="15.75" customHeight="1" x14ac:dyDescent="0.3">
      <c r="A27" s="162"/>
      <c r="B27" s="159"/>
      <c r="C27" s="160" t="s">
        <v>294</v>
      </c>
      <c r="D27" s="159" t="s">
        <v>331</v>
      </c>
    </row>
    <row r="28" spans="1:4" ht="15.75" customHeight="1" x14ac:dyDescent="0.3">
      <c r="A28" s="162"/>
      <c r="B28" s="159"/>
      <c r="C28" s="160" t="s">
        <v>296</v>
      </c>
      <c r="D28" s="159" t="s">
        <v>331</v>
      </c>
    </row>
    <row r="29" spans="1:4" ht="15.75" customHeight="1" x14ac:dyDescent="0.3">
      <c r="A29" s="162"/>
      <c r="B29" s="163" t="s">
        <v>123</v>
      </c>
      <c r="C29" s="625" t="s">
        <v>357</v>
      </c>
      <c r="D29" s="625"/>
    </row>
    <row r="30" spans="1:4" ht="15.75" customHeight="1" x14ac:dyDescent="0.3">
      <c r="A30" s="162"/>
      <c r="B30" s="159">
        <v>1</v>
      </c>
      <c r="C30" s="160" t="s">
        <v>351</v>
      </c>
      <c r="D30" s="159" t="s">
        <v>331</v>
      </c>
    </row>
    <row r="31" spans="1:4" ht="15.75" customHeight="1" x14ac:dyDescent="0.3">
      <c r="A31" s="162"/>
      <c r="B31" s="159">
        <v>2</v>
      </c>
      <c r="C31" s="160" t="s">
        <v>352</v>
      </c>
      <c r="D31" s="159" t="s">
        <v>331</v>
      </c>
    </row>
    <row r="32" spans="1:4" ht="15.75" customHeight="1" x14ac:dyDescent="0.3">
      <c r="A32" s="162"/>
      <c r="B32" s="159">
        <v>3</v>
      </c>
      <c r="C32" s="160" t="s">
        <v>353</v>
      </c>
      <c r="D32" s="159" t="s">
        <v>331</v>
      </c>
    </row>
    <row r="33" spans="1:4" ht="15.75" customHeight="1" x14ac:dyDescent="0.3">
      <c r="A33" s="162"/>
      <c r="B33" s="159">
        <v>4</v>
      </c>
      <c r="C33" s="160" t="s">
        <v>354</v>
      </c>
      <c r="D33" s="159" t="s">
        <v>331</v>
      </c>
    </row>
    <row r="34" spans="1:4" ht="30" customHeight="1" x14ac:dyDescent="0.3">
      <c r="A34" s="162"/>
      <c r="B34" s="159">
        <v>5</v>
      </c>
      <c r="C34" s="160" t="s">
        <v>355</v>
      </c>
      <c r="D34" s="159" t="s">
        <v>331</v>
      </c>
    </row>
    <row r="35" spans="1:4" ht="15.75" customHeight="1" x14ac:dyDescent="0.3">
      <c r="A35" s="162"/>
      <c r="B35" s="159"/>
      <c r="C35" s="160" t="s">
        <v>356</v>
      </c>
      <c r="D35" s="159" t="s">
        <v>331</v>
      </c>
    </row>
    <row r="36" spans="1:4" ht="15.75" customHeight="1" x14ac:dyDescent="0.3">
      <c r="A36" s="162"/>
      <c r="B36" s="159"/>
      <c r="C36" s="160" t="s">
        <v>294</v>
      </c>
      <c r="D36" s="159" t="s">
        <v>331</v>
      </c>
    </row>
    <row r="37" spans="1:4" ht="15.75" customHeight="1" x14ac:dyDescent="0.3">
      <c r="A37" s="623"/>
      <c r="B37" s="620"/>
      <c r="C37" s="621" t="s">
        <v>296</v>
      </c>
      <c r="D37" s="620" t="s">
        <v>331</v>
      </c>
    </row>
    <row r="38" spans="1:4" ht="15.75" customHeight="1" x14ac:dyDescent="0.3">
      <c r="A38" s="623"/>
      <c r="B38" s="623"/>
      <c r="C38" s="623"/>
      <c r="D38" s="623"/>
    </row>
    <row r="39" spans="1:4" ht="15.75" customHeight="1" x14ac:dyDescent="0.3">
      <c r="A39" s="623"/>
      <c r="B39" s="623"/>
      <c r="C39" s="623"/>
      <c r="D39" s="623"/>
    </row>
    <row r="40" spans="1:4" ht="15.75" customHeight="1" x14ac:dyDescent="0.3">
      <c r="A40" s="623"/>
      <c r="B40" s="623"/>
      <c r="C40" s="623"/>
      <c r="D40" s="623"/>
    </row>
    <row r="41" spans="1:4" ht="35.25" customHeight="1" x14ac:dyDescent="0.3">
      <c r="A41" s="163">
        <v>2</v>
      </c>
      <c r="B41" s="625" t="s">
        <v>358</v>
      </c>
      <c r="C41" s="625"/>
      <c r="D41" s="625"/>
    </row>
    <row r="42" spans="1:4" ht="15.75" customHeight="1" x14ac:dyDescent="0.3">
      <c r="A42" s="162"/>
      <c r="B42" s="159" t="s">
        <v>359</v>
      </c>
      <c r="C42" s="160" t="s">
        <v>360</v>
      </c>
      <c r="D42" s="159" t="s">
        <v>331</v>
      </c>
    </row>
    <row r="43" spans="1:4" ht="15.75" customHeight="1" x14ac:dyDescent="0.3">
      <c r="A43" s="162"/>
      <c r="B43" s="159" t="s">
        <v>361</v>
      </c>
      <c r="C43" s="160" t="s">
        <v>362</v>
      </c>
      <c r="D43" s="159" t="s">
        <v>331</v>
      </c>
    </row>
    <row r="44" spans="1:4" ht="15.75" customHeight="1" x14ac:dyDescent="0.3">
      <c r="A44" s="162"/>
      <c r="B44" s="159" t="s">
        <v>363</v>
      </c>
      <c r="C44" s="160" t="s">
        <v>364</v>
      </c>
      <c r="D44" s="159" t="s">
        <v>331</v>
      </c>
    </row>
    <row r="45" spans="1:4" ht="15.75" customHeight="1" x14ac:dyDescent="0.3">
      <c r="A45" s="162"/>
      <c r="B45" s="159" t="s">
        <v>365</v>
      </c>
      <c r="C45" s="160" t="s">
        <v>354</v>
      </c>
      <c r="D45" s="159" t="s">
        <v>331</v>
      </c>
    </row>
    <row r="46" spans="1:4" ht="15.75" customHeight="1" x14ac:dyDescent="0.3">
      <c r="A46" s="623"/>
      <c r="B46" s="620" t="s">
        <v>366</v>
      </c>
      <c r="C46" s="621" t="s">
        <v>367</v>
      </c>
      <c r="D46" s="620" t="s">
        <v>331</v>
      </c>
    </row>
    <row r="47" spans="1:4" ht="15.75" customHeight="1" x14ac:dyDescent="0.3">
      <c r="A47" s="623"/>
      <c r="B47" s="623"/>
      <c r="C47" s="623"/>
      <c r="D47" s="623"/>
    </row>
    <row r="48" spans="1:4" ht="15.75" customHeight="1" x14ac:dyDescent="0.3">
      <c r="A48" s="623"/>
      <c r="B48" s="620" t="s">
        <v>368</v>
      </c>
      <c r="C48" s="621" t="s">
        <v>369</v>
      </c>
      <c r="D48" s="620" t="s">
        <v>331</v>
      </c>
    </row>
    <row r="49" spans="1:6" ht="15.75" customHeight="1" x14ac:dyDescent="0.3">
      <c r="A49" s="623"/>
      <c r="B49" s="623"/>
      <c r="C49" s="623"/>
      <c r="D49" s="623"/>
    </row>
    <row r="50" spans="1:6" ht="150" customHeight="1" x14ac:dyDescent="0.3">
      <c r="A50" s="162"/>
      <c r="B50" s="163">
        <v>3</v>
      </c>
      <c r="C50" s="160" t="s">
        <v>370</v>
      </c>
      <c r="D50" s="159" t="s">
        <v>331</v>
      </c>
    </row>
    <row r="51" spans="1:6" ht="75" customHeight="1" x14ac:dyDescent="0.3">
      <c r="A51" s="162"/>
      <c r="B51" s="163">
        <v>4</v>
      </c>
      <c r="C51" s="160" t="s">
        <v>371</v>
      </c>
      <c r="D51" s="159" t="s">
        <v>331</v>
      </c>
    </row>
    <row r="52" spans="1:6" ht="90" customHeight="1" x14ac:dyDescent="0.3">
      <c r="A52" s="162"/>
      <c r="B52" s="163">
        <v>5</v>
      </c>
      <c r="C52" s="160" t="s">
        <v>372</v>
      </c>
      <c r="D52" s="159" t="s">
        <v>331</v>
      </c>
    </row>
    <row r="53" spans="1:6" ht="60" customHeight="1" x14ac:dyDescent="0.3">
      <c r="A53" s="162"/>
      <c r="B53" s="163">
        <v>6</v>
      </c>
      <c r="C53" s="160" t="s">
        <v>373</v>
      </c>
      <c r="D53" s="159" t="s">
        <v>331</v>
      </c>
    </row>
    <row r="54" spans="1:6" ht="60" customHeight="1" x14ac:dyDescent="0.3">
      <c r="A54" s="162"/>
      <c r="B54" s="163">
        <v>7</v>
      </c>
      <c r="C54" s="160" t="s">
        <v>374</v>
      </c>
      <c r="D54" s="159" t="s">
        <v>331</v>
      </c>
    </row>
    <row r="55" spans="1:6" ht="15.75" customHeight="1" x14ac:dyDescent="0.3">
      <c r="A55" s="623"/>
      <c r="B55" s="626">
        <v>8</v>
      </c>
      <c r="C55" s="621" t="s">
        <v>375</v>
      </c>
      <c r="D55" s="620" t="s">
        <v>331</v>
      </c>
    </row>
    <row r="56" spans="1:6" ht="15.75" customHeight="1" x14ac:dyDescent="0.3">
      <c r="A56" s="623"/>
      <c r="B56" s="623"/>
      <c r="C56" s="623"/>
      <c r="D56" s="623"/>
    </row>
    <row r="57" spans="1:6" ht="15.75" customHeight="1" x14ac:dyDescent="0.3">
      <c r="A57" s="163">
        <v>3</v>
      </c>
      <c r="B57" s="625" t="s">
        <v>376</v>
      </c>
      <c r="C57" s="625"/>
      <c r="D57" s="625"/>
    </row>
    <row r="58" spans="1:6" ht="15.75" customHeight="1" x14ac:dyDescent="0.3">
      <c r="A58" s="162"/>
      <c r="B58" s="163">
        <v>3.1</v>
      </c>
      <c r="C58" s="625" t="s">
        <v>377</v>
      </c>
      <c r="D58" s="625"/>
    </row>
    <row r="59" spans="1:6" ht="75" customHeight="1" x14ac:dyDescent="0.3">
      <c r="A59" s="162"/>
      <c r="B59" s="163"/>
      <c r="C59" s="160" t="s">
        <v>378</v>
      </c>
      <c r="D59" s="159" t="str">
        <f>+TIT!D6</f>
        <v>CTS.No. 227,228 &amp; 216, Gautam Buddha Marg, Orlem, Malad - West, Mumbai - 400 064</v>
      </c>
      <c r="F59" s="108" t="s">
        <v>379</v>
      </c>
    </row>
    <row r="60" spans="1:6" ht="135" customHeight="1" x14ac:dyDescent="0.3">
      <c r="A60" s="162"/>
      <c r="B60" s="159"/>
      <c r="C60" s="160" t="s">
        <v>380</v>
      </c>
      <c r="D60" s="159" t="s">
        <v>381</v>
      </c>
    </row>
    <row r="61" spans="1:6" ht="12" customHeight="1" x14ac:dyDescent="0.3">
      <c r="A61" s="623"/>
      <c r="B61" s="623"/>
      <c r="C61" s="623"/>
      <c r="D61" s="623"/>
    </row>
    <row r="62" spans="1:6" ht="12" customHeight="1" x14ac:dyDescent="0.3">
      <c r="A62" s="623"/>
      <c r="B62" s="623"/>
      <c r="C62" s="623"/>
      <c r="D62" s="623"/>
    </row>
    <row r="63" spans="1:6" ht="150" customHeight="1" x14ac:dyDescent="0.3">
      <c r="A63" s="162"/>
      <c r="B63" s="159"/>
      <c r="C63" s="160" t="s">
        <v>382</v>
      </c>
      <c r="D63" s="159" t="s">
        <v>381</v>
      </c>
    </row>
    <row r="64" spans="1:6" ht="15.75" customHeight="1" x14ac:dyDescent="0.3">
      <c r="A64" s="623"/>
      <c r="B64" s="620"/>
      <c r="C64" s="621" t="s">
        <v>383</v>
      </c>
      <c r="D64" s="620" t="s">
        <v>381</v>
      </c>
    </row>
    <row r="65" spans="1:4" ht="15.75" customHeight="1" x14ac:dyDescent="0.3">
      <c r="A65" s="623"/>
      <c r="B65" s="623"/>
      <c r="C65" s="623"/>
      <c r="D65" s="623"/>
    </row>
    <row r="66" spans="1:4" ht="15.75" customHeight="1" x14ac:dyDescent="0.3">
      <c r="A66" s="162"/>
      <c r="B66" s="163">
        <v>3.2</v>
      </c>
      <c r="C66" s="625" t="s">
        <v>384</v>
      </c>
      <c r="D66" s="625"/>
    </row>
    <row r="67" spans="1:4" ht="45" customHeight="1" x14ac:dyDescent="0.3">
      <c r="A67" s="162"/>
      <c r="B67" s="159">
        <v>1</v>
      </c>
      <c r="C67" s="160" t="s">
        <v>385</v>
      </c>
      <c r="D67" s="159" t="s">
        <v>331</v>
      </c>
    </row>
    <row r="68" spans="1:4" ht="60" customHeight="1" x14ac:dyDescent="0.3">
      <c r="A68" s="162"/>
      <c r="B68" s="159"/>
      <c r="C68" s="160" t="s">
        <v>386</v>
      </c>
      <c r="D68" s="159" t="s">
        <v>387</v>
      </c>
    </row>
    <row r="69" spans="1:4" ht="15.75" customHeight="1" x14ac:dyDescent="0.3">
      <c r="A69" s="623"/>
      <c r="B69" s="620"/>
      <c r="C69" s="621" t="s">
        <v>388</v>
      </c>
      <c r="D69" s="620" t="s">
        <v>389</v>
      </c>
    </row>
    <row r="70" spans="1:4" ht="15.75" customHeight="1" x14ac:dyDescent="0.3">
      <c r="A70" s="623"/>
      <c r="B70" s="623"/>
      <c r="C70" s="623"/>
      <c r="D70" s="623"/>
    </row>
    <row r="71" spans="1:4" ht="60" customHeight="1" x14ac:dyDescent="0.3">
      <c r="A71" s="162"/>
      <c r="B71" s="159">
        <v>2</v>
      </c>
      <c r="C71" s="160" t="s">
        <v>390</v>
      </c>
      <c r="D71" s="159" t="s">
        <v>331</v>
      </c>
    </row>
    <row r="72" spans="1:4" ht="30" customHeight="1" x14ac:dyDescent="0.3">
      <c r="A72" s="162"/>
      <c r="B72" s="159">
        <v>3</v>
      </c>
      <c r="C72" s="160" t="s">
        <v>391</v>
      </c>
      <c r="D72" s="159" t="s">
        <v>331</v>
      </c>
    </row>
    <row r="73" spans="1:4" ht="90" customHeight="1" x14ac:dyDescent="0.3">
      <c r="A73" s="162"/>
      <c r="B73" s="159">
        <v>4</v>
      </c>
      <c r="C73" s="160" t="s">
        <v>392</v>
      </c>
      <c r="D73" s="159" t="s">
        <v>331</v>
      </c>
    </row>
    <row r="74" spans="1:4" ht="60" customHeight="1" x14ac:dyDescent="0.3">
      <c r="A74" s="162"/>
      <c r="B74" s="159">
        <v>5</v>
      </c>
      <c r="C74" s="160" t="s">
        <v>393</v>
      </c>
      <c r="D74" s="159" t="s">
        <v>331</v>
      </c>
    </row>
    <row r="75" spans="1:4" ht="45" customHeight="1" x14ac:dyDescent="0.3">
      <c r="A75" s="162"/>
      <c r="B75" s="159">
        <v>6</v>
      </c>
      <c r="C75" s="160" t="s">
        <v>394</v>
      </c>
      <c r="D75" s="159" t="s">
        <v>331</v>
      </c>
    </row>
    <row r="76" spans="1:4" ht="45" customHeight="1" x14ac:dyDescent="0.3">
      <c r="A76" s="162"/>
      <c r="B76" s="159">
        <v>7</v>
      </c>
      <c r="C76" s="160" t="s">
        <v>395</v>
      </c>
      <c r="D76" s="159" t="s">
        <v>331</v>
      </c>
    </row>
    <row r="77" spans="1:4" ht="45" customHeight="1" x14ac:dyDescent="0.3">
      <c r="A77" s="162"/>
      <c r="B77" s="159">
        <v>8</v>
      </c>
      <c r="C77" s="160" t="s">
        <v>396</v>
      </c>
      <c r="D77" s="159" t="s">
        <v>331</v>
      </c>
    </row>
    <row r="78" spans="1:4" ht="45" customHeight="1" x14ac:dyDescent="0.3">
      <c r="A78" s="162"/>
      <c r="B78" s="159">
        <v>9</v>
      </c>
      <c r="C78" s="160" t="s">
        <v>397</v>
      </c>
      <c r="D78" s="159" t="s">
        <v>331</v>
      </c>
    </row>
    <row r="79" spans="1:4" ht="60" customHeight="1" x14ac:dyDescent="0.3">
      <c r="A79" s="162"/>
      <c r="B79" s="159">
        <v>10</v>
      </c>
      <c r="C79" s="160" t="s">
        <v>398</v>
      </c>
      <c r="D79" s="159" t="s">
        <v>331</v>
      </c>
    </row>
    <row r="80" spans="1:4" ht="15.75" customHeight="1" x14ac:dyDescent="0.3">
      <c r="A80" s="623"/>
      <c r="B80" s="620">
        <v>11</v>
      </c>
      <c r="C80" s="621" t="s">
        <v>399</v>
      </c>
      <c r="D80" s="620" t="s">
        <v>235</v>
      </c>
    </row>
    <row r="81" spans="1:4" ht="15.75" customHeight="1" x14ac:dyDescent="0.3">
      <c r="A81" s="623"/>
      <c r="B81" s="623"/>
      <c r="C81" s="623"/>
      <c r="D81" s="623"/>
    </row>
    <row r="82" spans="1:4" ht="15.75" customHeight="1" x14ac:dyDescent="0.3">
      <c r="A82" s="161">
        <v>4</v>
      </c>
      <c r="B82" s="625" t="s">
        <v>400</v>
      </c>
      <c r="C82" s="625"/>
      <c r="D82" s="625"/>
    </row>
    <row r="83" spans="1:4" ht="45" customHeight="1" x14ac:dyDescent="0.3">
      <c r="A83" s="162"/>
      <c r="B83" s="159">
        <v>4.0999999999999996</v>
      </c>
      <c r="C83" s="160" t="s">
        <v>401</v>
      </c>
      <c r="D83" s="159" t="s">
        <v>331</v>
      </c>
    </row>
    <row r="84" spans="1:4" ht="30" customHeight="1" x14ac:dyDescent="0.3">
      <c r="A84" s="162"/>
      <c r="B84" s="159">
        <v>4.2</v>
      </c>
      <c r="C84" s="160" t="s">
        <v>402</v>
      </c>
      <c r="D84" s="159" t="s">
        <v>191</v>
      </c>
    </row>
    <row r="85" spans="1:4" ht="12" customHeight="1" x14ac:dyDescent="0.3">
      <c r="A85" s="623"/>
      <c r="B85" s="623"/>
      <c r="C85" s="623"/>
      <c r="D85" s="623"/>
    </row>
    <row r="86" spans="1:4" ht="12" customHeight="1" x14ac:dyDescent="0.3">
      <c r="A86" s="623"/>
      <c r="B86" s="623"/>
      <c r="C86" s="623"/>
      <c r="D86" s="623"/>
    </row>
    <row r="87" spans="1:4" ht="60" customHeight="1" x14ac:dyDescent="0.3">
      <c r="A87" s="162"/>
      <c r="B87" s="159">
        <v>4.3</v>
      </c>
      <c r="C87" s="160" t="s">
        <v>403</v>
      </c>
      <c r="D87" s="159" t="s">
        <v>404</v>
      </c>
    </row>
    <row r="88" spans="1:4" ht="15.75" customHeight="1" x14ac:dyDescent="0.3">
      <c r="A88" s="163">
        <v>5</v>
      </c>
      <c r="B88" s="625" t="s">
        <v>405</v>
      </c>
      <c r="C88" s="625"/>
      <c r="D88" s="625"/>
    </row>
    <row r="89" spans="1:4" ht="30" customHeight="1" x14ac:dyDescent="0.3">
      <c r="A89" s="162"/>
      <c r="B89" s="159">
        <v>5.0999999999999996</v>
      </c>
      <c r="C89" s="160" t="s">
        <v>406</v>
      </c>
      <c r="D89" s="159" t="s">
        <v>145</v>
      </c>
    </row>
    <row r="90" spans="1:4" ht="30" customHeight="1" x14ac:dyDescent="0.3">
      <c r="A90" s="162"/>
      <c r="B90" s="159">
        <v>5.2</v>
      </c>
      <c r="C90" s="160" t="s">
        <v>407</v>
      </c>
      <c r="D90" s="159" t="str">
        <f t="shared" ref="D90:D105" si="0">+D89</f>
        <v>Not Applicable</v>
      </c>
    </row>
    <row r="91" spans="1:4" ht="45" customHeight="1" x14ac:dyDescent="0.3">
      <c r="A91" s="162"/>
      <c r="B91" s="159">
        <v>5.3</v>
      </c>
      <c r="C91" s="160" t="s">
        <v>408</v>
      </c>
      <c r="D91" s="159" t="str">
        <f t="shared" si="0"/>
        <v>Not Applicable</v>
      </c>
    </row>
    <row r="92" spans="1:4" ht="60" customHeight="1" x14ac:dyDescent="0.3">
      <c r="A92" s="162"/>
      <c r="B92" s="159">
        <v>5.4</v>
      </c>
      <c r="C92" s="160" t="s">
        <v>409</v>
      </c>
      <c r="D92" s="159" t="str">
        <f t="shared" si="0"/>
        <v>Not Applicable</v>
      </c>
    </row>
    <row r="93" spans="1:4" ht="30" customHeight="1" x14ac:dyDescent="0.3">
      <c r="A93" s="162"/>
      <c r="B93" s="159">
        <v>5.5</v>
      </c>
      <c r="C93" s="160" t="s">
        <v>410</v>
      </c>
      <c r="D93" s="159" t="str">
        <f t="shared" si="0"/>
        <v>Not Applicable</v>
      </c>
    </row>
    <row r="94" spans="1:4" ht="45" customHeight="1" x14ac:dyDescent="0.3">
      <c r="A94" s="162"/>
      <c r="B94" s="159">
        <v>5.6</v>
      </c>
      <c r="C94" s="160" t="s">
        <v>411</v>
      </c>
      <c r="D94" s="159" t="str">
        <f t="shared" si="0"/>
        <v>Not Applicable</v>
      </c>
    </row>
    <row r="95" spans="1:4" ht="30" customHeight="1" x14ac:dyDescent="0.3">
      <c r="A95" s="162"/>
      <c r="B95" s="159">
        <v>5.7</v>
      </c>
      <c r="C95" s="160" t="s">
        <v>412</v>
      </c>
      <c r="D95" s="159" t="str">
        <f t="shared" si="0"/>
        <v>Not Applicable</v>
      </c>
    </row>
    <row r="96" spans="1:4" ht="30" customHeight="1" x14ac:dyDescent="0.3">
      <c r="A96" s="162"/>
      <c r="B96" s="159">
        <v>5.8</v>
      </c>
      <c r="C96" s="160" t="s">
        <v>413</v>
      </c>
      <c r="D96" s="159" t="str">
        <f t="shared" si="0"/>
        <v>Not Applicable</v>
      </c>
    </row>
    <row r="97" spans="1:4" ht="90" customHeight="1" x14ac:dyDescent="0.3">
      <c r="A97" s="162"/>
      <c r="B97" s="159">
        <v>5.9</v>
      </c>
      <c r="C97" s="160" t="s">
        <v>414</v>
      </c>
      <c r="D97" s="159" t="str">
        <f t="shared" si="0"/>
        <v>Not Applicable</v>
      </c>
    </row>
    <row r="98" spans="1:4" ht="60" customHeight="1" x14ac:dyDescent="0.3">
      <c r="A98" s="162"/>
      <c r="B98" s="159">
        <v>5.0999999999999996</v>
      </c>
      <c r="C98" s="160" t="s">
        <v>415</v>
      </c>
      <c r="D98" s="159" t="str">
        <f t="shared" si="0"/>
        <v>Not Applicable</v>
      </c>
    </row>
    <row r="99" spans="1:4" ht="30" customHeight="1" x14ac:dyDescent="0.3">
      <c r="A99" s="162"/>
      <c r="B99" s="159">
        <v>5.1100000000000003</v>
      </c>
      <c r="C99" s="160" t="s">
        <v>416</v>
      </c>
      <c r="D99" s="159" t="str">
        <f t="shared" si="0"/>
        <v>Not Applicable</v>
      </c>
    </row>
    <row r="100" spans="1:4" ht="75" customHeight="1" x14ac:dyDescent="0.3">
      <c r="A100" s="162"/>
      <c r="B100" s="159">
        <v>5.12</v>
      </c>
      <c r="C100" s="160" t="s">
        <v>417</v>
      </c>
      <c r="D100" s="159" t="str">
        <f t="shared" si="0"/>
        <v>Not Applicable</v>
      </c>
    </row>
    <row r="101" spans="1:4" ht="60" customHeight="1" x14ac:dyDescent="0.3">
      <c r="A101" s="162"/>
      <c r="B101" s="159">
        <v>5.13</v>
      </c>
      <c r="C101" s="160" t="s">
        <v>418</v>
      </c>
      <c r="D101" s="159" t="str">
        <f t="shared" si="0"/>
        <v>Not Applicable</v>
      </c>
    </row>
    <row r="102" spans="1:4" ht="48" customHeight="1" x14ac:dyDescent="0.3">
      <c r="A102" s="162"/>
      <c r="B102" s="159">
        <v>5.14</v>
      </c>
      <c r="C102" s="160" t="s">
        <v>419</v>
      </c>
      <c r="D102" s="159" t="str">
        <f t="shared" si="0"/>
        <v>Not Applicable</v>
      </c>
    </row>
    <row r="103" spans="1:4" ht="48.75" customHeight="1" x14ac:dyDescent="0.3">
      <c r="A103" s="162"/>
      <c r="B103" s="159">
        <v>5.15</v>
      </c>
      <c r="C103" s="160" t="s">
        <v>420</v>
      </c>
      <c r="D103" s="159" t="str">
        <f t="shared" si="0"/>
        <v>Not Applicable</v>
      </c>
    </row>
    <row r="104" spans="1:4" ht="45" customHeight="1" x14ac:dyDescent="0.3">
      <c r="A104" s="162"/>
      <c r="B104" s="159">
        <v>5.16</v>
      </c>
      <c r="C104" s="160" t="s">
        <v>421</v>
      </c>
      <c r="D104" s="159" t="str">
        <f t="shared" si="0"/>
        <v>Not Applicable</v>
      </c>
    </row>
    <row r="105" spans="1:4" ht="60" customHeight="1" x14ac:dyDescent="0.3">
      <c r="A105" s="162"/>
      <c r="B105" s="159">
        <v>5.17</v>
      </c>
      <c r="C105" s="160" t="s">
        <v>422</v>
      </c>
      <c r="D105" s="159" t="str">
        <f t="shared" si="0"/>
        <v>Not Applicable</v>
      </c>
    </row>
    <row r="106" spans="1:4" ht="30" customHeight="1" x14ac:dyDescent="0.3">
      <c r="A106" s="162"/>
      <c r="B106" s="159">
        <v>5.18</v>
      </c>
      <c r="C106" s="160" t="s">
        <v>399</v>
      </c>
      <c r="D106" s="159" t="s">
        <v>235</v>
      </c>
    </row>
    <row r="107" spans="1:4" ht="15.75" customHeight="1" x14ac:dyDescent="0.3">
      <c r="A107" s="623"/>
      <c r="B107" s="623"/>
      <c r="C107" s="623"/>
      <c r="D107" s="623"/>
    </row>
    <row r="108" spans="1:4" ht="15.75" customHeight="1" x14ac:dyDescent="0.3">
      <c r="A108" s="623"/>
      <c r="B108" s="623"/>
      <c r="C108" s="623"/>
      <c r="D108" s="623"/>
    </row>
    <row r="109" spans="1:4" ht="60" customHeight="1" x14ac:dyDescent="0.3">
      <c r="A109" s="162"/>
      <c r="B109" s="159">
        <v>5.19</v>
      </c>
      <c r="C109" s="160" t="s">
        <v>423</v>
      </c>
      <c r="D109" s="159" t="s">
        <v>331</v>
      </c>
    </row>
    <row r="110" spans="1:4" ht="15.75" customHeight="1" x14ac:dyDescent="0.3">
      <c r="A110" s="163">
        <v>6</v>
      </c>
      <c r="B110" s="625" t="s">
        <v>424</v>
      </c>
      <c r="C110" s="625"/>
      <c r="D110" s="625"/>
    </row>
    <row r="111" spans="1:4" ht="45" customHeight="1" x14ac:dyDescent="0.3">
      <c r="A111" s="162"/>
      <c r="B111" s="159">
        <v>6.1</v>
      </c>
      <c r="C111" s="160" t="s">
        <v>425</v>
      </c>
      <c r="D111" s="159" t="s">
        <v>389</v>
      </c>
    </row>
    <row r="112" spans="1:4" ht="45" customHeight="1" x14ac:dyDescent="0.3">
      <c r="A112" s="162"/>
      <c r="B112" s="159">
        <v>6.2</v>
      </c>
      <c r="C112" s="160" t="s">
        <v>426</v>
      </c>
      <c r="D112" s="159" t="s">
        <v>389</v>
      </c>
    </row>
    <row r="113" spans="1:4" ht="45" customHeight="1" x14ac:dyDescent="0.3">
      <c r="A113" s="162"/>
      <c r="B113" s="159">
        <v>6.3</v>
      </c>
      <c r="C113" s="160" t="s">
        <v>427</v>
      </c>
      <c r="D113" s="159" t="s">
        <v>389</v>
      </c>
    </row>
    <row r="114" spans="1:4" ht="45" customHeight="1" x14ac:dyDescent="0.3">
      <c r="A114" s="162"/>
      <c r="B114" s="159">
        <v>6.4</v>
      </c>
      <c r="C114" s="160" t="s">
        <v>428</v>
      </c>
      <c r="D114" s="159" t="s">
        <v>389</v>
      </c>
    </row>
    <row r="115" spans="1:4" ht="15.75" customHeight="1" x14ac:dyDescent="0.3">
      <c r="A115" s="163">
        <v>7</v>
      </c>
      <c r="B115" s="625" t="s">
        <v>429</v>
      </c>
      <c r="C115" s="625"/>
      <c r="D115" s="625"/>
    </row>
    <row r="116" spans="1:4" ht="45" customHeight="1" x14ac:dyDescent="0.3">
      <c r="A116" s="162"/>
      <c r="B116" s="159">
        <v>7.1</v>
      </c>
      <c r="C116" s="160" t="s">
        <v>430</v>
      </c>
      <c r="D116" s="159" t="s">
        <v>389</v>
      </c>
    </row>
    <row r="117" spans="1:4" ht="45" customHeight="1" x14ac:dyDescent="0.3">
      <c r="A117" s="162"/>
      <c r="B117" s="159">
        <v>7.2</v>
      </c>
      <c r="C117" s="160" t="s">
        <v>431</v>
      </c>
      <c r="D117" s="159" t="s">
        <v>235</v>
      </c>
    </row>
    <row r="118" spans="1:4" ht="45" customHeight="1" x14ac:dyDescent="0.3">
      <c r="A118" s="162"/>
      <c r="B118" s="159">
        <v>7.3</v>
      </c>
      <c r="C118" s="160" t="s">
        <v>432</v>
      </c>
      <c r="D118" s="159" t="s">
        <v>235</v>
      </c>
    </row>
    <row r="119" spans="1:4" ht="45" customHeight="1" x14ac:dyDescent="0.3">
      <c r="A119" s="162"/>
      <c r="B119" s="159">
        <v>7.4</v>
      </c>
      <c r="C119" s="160" t="s">
        <v>433</v>
      </c>
      <c r="D119" s="159" t="s">
        <v>434</v>
      </c>
    </row>
    <row r="120" spans="1:4" ht="15.75" customHeight="1" x14ac:dyDescent="0.3">
      <c r="A120" s="163">
        <v>8</v>
      </c>
      <c r="B120" s="625" t="s">
        <v>435</v>
      </c>
      <c r="C120" s="625"/>
      <c r="D120" s="625"/>
    </row>
    <row r="121" spans="1:4" ht="45" customHeight="1" x14ac:dyDescent="0.3">
      <c r="A121" s="162"/>
      <c r="B121" s="159">
        <v>8.1</v>
      </c>
      <c r="C121" s="160" t="s">
        <v>436</v>
      </c>
      <c r="D121" s="159" t="s">
        <v>389</v>
      </c>
    </row>
    <row r="122" spans="1:4" ht="45" customHeight="1" x14ac:dyDescent="0.3">
      <c r="A122" s="162"/>
      <c r="B122" s="159">
        <v>8.1999999999999993</v>
      </c>
      <c r="C122" s="160" t="s">
        <v>437</v>
      </c>
      <c r="D122" s="159" t="s">
        <v>389</v>
      </c>
    </row>
    <row r="123" spans="1:4" ht="45" customHeight="1" x14ac:dyDescent="0.3">
      <c r="A123" s="162"/>
      <c r="B123" s="159">
        <v>8.3000000000000007</v>
      </c>
      <c r="C123" s="160" t="s">
        <v>438</v>
      </c>
      <c r="D123" s="159" t="s">
        <v>389</v>
      </c>
    </row>
    <row r="124" spans="1:4" ht="19.5" customHeight="1" x14ac:dyDescent="0.3">
      <c r="A124" s="613"/>
      <c r="B124" s="628"/>
      <c r="C124" s="628"/>
      <c r="D124" s="628"/>
    </row>
    <row r="125" spans="1:4" ht="19.5" customHeight="1" x14ac:dyDescent="0.3">
      <c r="A125" s="613"/>
      <c r="B125" s="628"/>
      <c r="C125" s="628"/>
      <c r="D125" s="628"/>
    </row>
    <row r="126" spans="1:4" s="108" customFormat="1" ht="15.75" customHeight="1" x14ac:dyDescent="0.3">
      <c r="A126" s="613"/>
      <c r="D126" s="148"/>
    </row>
    <row r="127" spans="1:4" s="108" customFormat="1" ht="15.75" customHeight="1" x14ac:dyDescent="0.3">
      <c r="A127" s="613"/>
      <c r="D127" s="149" t="s">
        <v>17</v>
      </c>
    </row>
    <row r="128" spans="1:4" s="108" customFormat="1" ht="15.75" customHeight="1" x14ac:dyDescent="0.3">
      <c r="A128" s="613"/>
      <c r="D128" s="148" t="s">
        <v>333</v>
      </c>
    </row>
    <row r="129" spans="1:4" s="108" customFormat="1" ht="15.75" customHeight="1" x14ac:dyDescent="0.3">
      <c r="A129" s="613"/>
      <c r="D129" s="148" t="s">
        <v>18</v>
      </c>
    </row>
    <row r="130" spans="1:4" s="108" customFormat="1" ht="19.5" customHeight="1" x14ac:dyDescent="0.3">
      <c r="D130" s="613" t="s">
        <v>334</v>
      </c>
    </row>
    <row r="131" spans="1:4" s="108" customFormat="1" ht="15.75" customHeight="1" x14ac:dyDescent="0.3">
      <c r="A131" s="627">
        <f>+TIT!D13</f>
        <v>46277</v>
      </c>
      <c r="B131" s="627"/>
      <c r="C131" s="627"/>
      <c r="D131" s="613"/>
    </row>
  </sheetData>
  <mergeCells count="67">
    <mergeCell ref="D130:D131"/>
    <mergeCell ref="A131:C131"/>
    <mergeCell ref="B110:D110"/>
    <mergeCell ref="B115:D115"/>
    <mergeCell ref="B120:D120"/>
    <mergeCell ref="A124:A129"/>
    <mergeCell ref="B124:D124"/>
    <mergeCell ref="B125:D125"/>
    <mergeCell ref="A85:D85"/>
    <mergeCell ref="A86:D86"/>
    <mergeCell ref="B88:D88"/>
    <mergeCell ref="A107:D107"/>
    <mergeCell ref="A108:D108"/>
    <mergeCell ref="A80:A81"/>
    <mergeCell ref="B80:B81"/>
    <mergeCell ref="C80:C81"/>
    <mergeCell ref="D80:D81"/>
    <mergeCell ref="B82:D82"/>
    <mergeCell ref="C66:D66"/>
    <mergeCell ref="A69:A70"/>
    <mergeCell ref="B69:B70"/>
    <mergeCell ref="C69:C70"/>
    <mergeCell ref="D69:D70"/>
    <mergeCell ref="B57:D57"/>
    <mergeCell ref="C58:D58"/>
    <mergeCell ref="A61:D61"/>
    <mergeCell ref="A62:D62"/>
    <mergeCell ref="A64:A65"/>
    <mergeCell ref="B64:B65"/>
    <mergeCell ref="C64:C65"/>
    <mergeCell ref="D64:D65"/>
    <mergeCell ref="A48:A49"/>
    <mergeCell ref="B48:B49"/>
    <mergeCell ref="C48:C49"/>
    <mergeCell ref="D48:D49"/>
    <mergeCell ref="A55:A56"/>
    <mergeCell ref="B55:B56"/>
    <mergeCell ref="C55:C56"/>
    <mergeCell ref="D55:D56"/>
    <mergeCell ref="A40:D40"/>
    <mergeCell ref="B41:D41"/>
    <mergeCell ref="A46:A47"/>
    <mergeCell ref="B46:B47"/>
    <mergeCell ref="C46:C47"/>
    <mergeCell ref="D46:D47"/>
    <mergeCell ref="A37:A38"/>
    <mergeCell ref="B37:B38"/>
    <mergeCell ref="C37:C38"/>
    <mergeCell ref="D37:D38"/>
    <mergeCell ref="A39:D39"/>
    <mergeCell ref="A14:A15"/>
    <mergeCell ref="B14:D15"/>
    <mergeCell ref="B16:D16"/>
    <mergeCell ref="C20:D20"/>
    <mergeCell ref="C29:D29"/>
    <mergeCell ref="A11:A12"/>
    <mergeCell ref="B11:B12"/>
    <mergeCell ref="C11:C12"/>
    <mergeCell ref="D11:D12"/>
    <mergeCell ref="B13:D13"/>
    <mergeCell ref="A1:D1"/>
    <mergeCell ref="A2:D2"/>
    <mergeCell ref="A3:D3"/>
    <mergeCell ref="A4:A6"/>
    <mergeCell ref="B4:B6"/>
    <mergeCell ref="C4:C5"/>
    <mergeCell ref="D4:D5"/>
  </mergeCells>
  <printOptions horizontalCentered="1"/>
  <pageMargins left="0.31527777777777799" right="0.27569444444444402" top="0.39374999999999999" bottom="0.23611111111111099" header="0.511811023622047" footer="0.511811023622047"/>
  <pageSetup paperSize="9" scale="85" orientation="portrait" horizontalDpi="300" verticalDpi="300" r:id="rId1"/>
  <rowBreaks count="4" manualBreakCount="4">
    <brk id="39" max="16383" man="1"/>
    <brk id="61" max="16383" man="1"/>
    <brk id="85" max="16383" man="1"/>
    <brk id="10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129"/>
  <sheetViews>
    <sheetView view="pageBreakPreview" zoomScaleNormal="100" zoomScaleSheetLayoutView="100" workbookViewId="0">
      <selection activeCell="L17" sqref="L17"/>
    </sheetView>
  </sheetViews>
  <sheetFormatPr defaultColWidth="9" defaultRowHeight="15.6" x14ac:dyDescent="0.3"/>
  <cols>
    <col min="1" max="1" width="3" style="54" customWidth="1"/>
    <col min="2" max="3" width="2.5" style="54" customWidth="1"/>
    <col min="4" max="7" width="8" style="54" customWidth="1"/>
    <col min="8" max="8" width="8.5" style="54" customWidth="1"/>
    <col min="9" max="9" width="8" style="54" customWidth="1"/>
    <col min="10" max="10" width="5.59765625" style="54" customWidth="1"/>
    <col min="11" max="11" width="8" style="54" customWidth="1"/>
    <col min="12" max="12" width="6.3984375" style="54" customWidth="1"/>
    <col min="13" max="13" width="9.3984375" style="54" customWidth="1"/>
    <col min="14" max="14" width="1.3984375" style="54" customWidth="1"/>
    <col min="15" max="257" width="9" style="54"/>
  </cols>
  <sheetData>
    <row r="1" spans="1:21" s="40" customFormat="1" ht="15.75" customHeight="1" x14ac:dyDescent="0.25">
      <c r="A1" s="629" t="str">
        <f>+TIT!D2</f>
        <v>PRATHAMESH HARMONY "B"  WING CO-OPERATIVE HOUSING SOCIETY LTD.</v>
      </c>
      <c r="B1" s="629"/>
      <c r="C1" s="629"/>
      <c r="D1" s="629"/>
      <c r="E1" s="629"/>
      <c r="F1" s="629"/>
      <c r="G1" s="629"/>
      <c r="H1" s="629"/>
      <c r="I1" s="629"/>
      <c r="J1" s="629"/>
      <c r="K1" s="629"/>
      <c r="L1" s="629"/>
      <c r="M1" s="629"/>
    </row>
    <row r="2" spans="1:21" s="40" customFormat="1" ht="15" customHeight="1" x14ac:dyDescent="0.25">
      <c r="A2" s="630" t="str">
        <f>+TIT!D3</f>
        <v>MUM/WP/HSG/TC/15332/2012-13</v>
      </c>
      <c r="B2" s="630"/>
      <c r="C2" s="630"/>
      <c r="D2" s="630"/>
      <c r="E2" s="630"/>
      <c r="F2" s="630"/>
      <c r="G2" s="630"/>
      <c r="H2" s="630"/>
      <c r="I2" s="630"/>
      <c r="J2" s="630"/>
      <c r="K2" s="630"/>
      <c r="L2" s="630"/>
      <c r="M2" s="630"/>
    </row>
    <row r="3" spans="1:21" s="40" customFormat="1" ht="31.5" customHeight="1" x14ac:dyDescent="0.25">
      <c r="A3" s="631" t="str">
        <f>+TIT!D6</f>
        <v>CTS.No. 227,228 &amp; 216, Gautam Buddha Marg, Orlem, Malad - West, Mumbai - 400 064</v>
      </c>
      <c r="B3" s="631"/>
      <c r="C3" s="631"/>
      <c r="D3" s="631"/>
      <c r="E3" s="631"/>
      <c r="F3" s="631"/>
      <c r="G3" s="631"/>
      <c r="H3" s="631"/>
      <c r="I3" s="631"/>
      <c r="J3" s="631"/>
      <c r="K3" s="631"/>
      <c r="L3" s="631"/>
      <c r="M3" s="631"/>
    </row>
    <row r="4" spans="1:21" ht="15.75" customHeight="1" x14ac:dyDescent="0.3">
      <c r="A4" s="632" t="s">
        <v>439</v>
      </c>
      <c r="B4" s="632"/>
      <c r="C4" s="632"/>
      <c r="D4" s="632"/>
      <c r="E4" s="632"/>
      <c r="F4" s="632"/>
      <c r="G4" s="632"/>
      <c r="H4" s="632"/>
      <c r="I4" s="632"/>
      <c r="J4" s="632"/>
      <c r="K4" s="632"/>
      <c r="L4" s="632"/>
      <c r="M4" s="632"/>
    </row>
    <row r="5" spans="1:21" ht="15" customHeight="1" x14ac:dyDescent="0.3">
      <c r="A5" s="632"/>
      <c r="B5" s="632"/>
      <c r="C5" s="632"/>
      <c r="D5" s="632"/>
      <c r="E5" s="632"/>
      <c r="F5" s="632"/>
      <c r="G5" s="632"/>
      <c r="H5" s="632"/>
      <c r="I5" s="632"/>
      <c r="J5" s="632"/>
      <c r="K5" s="632"/>
      <c r="L5" s="632"/>
      <c r="M5" s="632"/>
    </row>
    <row r="6" spans="1:21" ht="15" customHeight="1" x14ac:dyDescent="0.3">
      <c r="A6" s="164"/>
      <c r="B6" s="165"/>
      <c r="C6" s="165"/>
      <c r="D6" s="165"/>
      <c r="E6" s="165"/>
      <c r="F6" s="165"/>
      <c r="G6" s="165"/>
      <c r="H6" s="165"/>
      <c r="I6" s="165"/>
      <c r="J6" s="165"/>
      <c r="K6" s="165"/>
      <c r="L6" s="165"/>
      <c r="M6" s="166"/>
    </row>
    <row r="7" spans="1:21" s="54" customFormat="1" ht="15" customHeight="1" x14ac:dyDescent="0.3">
      <c r="A7" s="167" t="s">
        <v>440</v>
      </c>
      <c r="B7" s="168"/>
      <c r="C7" s="168"/>
      <c r="D7" s="168"/>
      <c r="E7" s="168"/>
      <c r="F7" s="168"/>
      <c r="G7" s="168"/>
      <c r="H7" s="168"/>
      <c r="I7" s="168"/>
      <c r="J7" s="633">
        <f>+TIT!D13</f>
        <v>46277</v>
      </c>
      <c r="K7" s="633"/>
      <c r="L7" s="169"/>
      <c r="M7" s="170"/>
    </row>
    <row r="8" spans="1:21" ht="15.75" customHeight="1" x14ac:dyDescent="0.3">
      <c r="A8" s="636" t="s">
        <v>441</v>
      </c>
      <c r="B8" s="636"/>
      <c r="C8" s="636"/>
      <c r="D8" s="636"/>
      <c r="E8" s="636"/>
      <c r="F8" s="636"/>
      <c r="G8" s="636"/>
      <c r="H8" s="636"/>
      <c r="I8" s="636"/>
      <c r="J8" s="636"/>
      <c r="K8" s="636"/>
      <c r="L8" s="636"/>
      <c r="M8" s="636"/>
    </row>
    <row r="9" spans="1:21" ht="15.75" customHeight="1" x14ac:dyDescent="0.3">
      <c r="A9" s="171"/>
      <c r="M9" s="170"/>
      <c r="S9" s="172"/>
      <c r="T9" s="173"/>
      <c r="U9" s="172"/>
    </row>
    <row r="10" spans="1:21" ht="15.75" customHeight="1" x14ac:dyDescent="0.3">
      <c r="A10" s="634" t="s">
        <v>442</v>
      </c>
      <c r="B10" s="634"/>
      <c r="C10" s="634"/>
      <c r="D10" s="634"/>
      <c r="E10" s="634"/>
      <c r="F10" s="634"/>
      <c r="G10" s="634"/>
      <c r="H10" s="634"/>
      <c r="I10" s="634"/>
      <c r="J10" s="634"/>
      <c r="K10" s="634"/>
      <c r="L10" s="634"/>
      <c r="M10" s="634"/>
    </row>
    <row r="11" spans="1:21" ht="15.75" customHeight="1" x14ac:dyDescent="0.3">
      <c r="A11" s="171"/>
      <c r="C11" s="54" t="s">
        <v>443</v>
      </c>
      <c r="M11" s="170"/>
      <c r="P11" s="174"/>
    </row>
    <row r="12" spans="1:21" ht="15.75" customHeight="1" x14ac:dyDescent="0.3">
      <c r="A12" s="171"/>
      <c r="D12" s="54" t="s">
        <v>444</v>
      </c>
      <c r="M12" s="170"/>
    </row>
    <row r="13" spans="1:21" ht="15.75" customHeight="1" x14ac:dyDescent="0.3">
      <c r="A13" s="175"/>
      <c r="B13" s="176"/>
      <c r="C13" s="176"/>
      <c r="D13" s="176"/>
      <c r="E13" s="176"/>
      <c r="F13" s="176"/>
      <c r="G13" s="176"/>
      <c r="H13" s="176"/>
      <c r="I13" s="176"/>
      <c r="J13" s="176"/>
      <c r="K13" s="176"/>
      <c r="L13" s="176"/>
      <c r="M13" s="177"/>
    </row>
    <row r="14" spans="1:21" ht="15.75" customHeight="1" x14ac:dyDescent="0.3">
      <c r="A14" s="634" t="s">
        <v>445</v>
      </c>
      <c r="B14" s="634"/>
      <c r="C14" s="634"/>
      <c r="D14" s="634"/>
      <c r="E14" s="634"/>
      <c r="F14" s="634"/>
      <c r="G14" s="634"/>
      <c r="H14" s="634"/>
      <c r="I14" s="634"/>
      <c r="J14" s="634"/>
      <c r="K14" s="634"/>
      <c r="L14" s="634"/>
      <c r="M14" s="634"/>
    </row>
    <row r="15" spans="1:21" ht="15.75" customHeight="1" x14ac:dyDescent="0.3">
      <c r="A15" s="171"/>
      <c r="C15" s="54" t="s">
        <v>446</v>
      </c>
      <c r="M15" s="170"/>
    </row>
    <row r="16" spans="1:21" ht="15.75" customHeight="1" x14ac:dyDescent="0.3">
      <c r="A16" s="171"/>
      <c r="D16" s="54" t="s">
        <v>447</v>
      </c>
      <c r="M16" s="170"/>
    </row>
    <row r="17" spans="1:13" ht="15.75" customHeight="1" x14ac:dyDescent="0.3">
      <c r="A17" s="175"/>
      <c r="B17" s="176"/>
      <c r="C17" s="176"/>
      <c r="D17" s="176"/>
      <c r="E17" s="176"/>
      <c r="F17" s="176"/>
      <c r="G17" s="176"/>
      <c r="H17" s="176"/>
      <c r="I17" s="176"/>
      <c r="J17" s="176"/>
      <c r="K17" s="176"/>
      <c r="L17" s="176"/>
      <c r="M17" s="177"/>
    </row>
    <row r="18" spans="1:13" ht="15.75" customHeight="1" x14ac:dyDescent="0.3">
      <c r="A18" s="634" t="s">
        <v>448</v>
      </c>
      <c r="B18" s="634"/>
      <c r="C18" s="634"/>
      <c r="D18" s="634"/>
      <c r="E18" s="634"/>
      <c r="F18" s="634"/>
      <c r="G18" s="634"/>
      <c r="H18" s="634"/>
      <c r="I18" s="634"/>
      <c r="J18" s="634"/>
      <c r="K18" s="634"/>
      <c r="L18" s="634"/>
      <c r="M18" s="634"/>
    </row>
    <row r="19" spans="1:13" ht="15.75" customHeight="1" x14ac:dyDescent="0.3">
      <c r="A19" s="171"/>
      <c r="C19" s="54" t="s">
        <v>449</v>
      </c>
      <c r="M19" s="170"/>
    </row>
    <row r="20" spans="1:13" ht="15.75" customHeight="1" x14ac:dyDescent="0.3">
      <c r="A20" s="171"/>
      <c r="D20" s="54" t="s">
        <v>450</v>
      </c>
      <c r="M20" s="170"/>
    </row>
    <row r="21" spans="1:13" ht="15.75" customHeight="1" x14ac:dyDescent="0.3">
      <c r="A21" s="175"/>
      <c r="B21" s="176"/>
      <c r="C21" s="176"/>
      <c r="D21" s="176"/>
      <c r="E21" s="176"/>
      <c r="F21" s="176"/>
      <c r="G21" s="176"/>
      <c r="H21" s="176"/>
      <c r="I21" s="176"/>
      <c r="J21" s="176"/>
      <c r="K21" s="176"/>
      <c r="L21" s="176"/>
      <c r="M21" s="177"/>
    </row>
    <row r="22" spans="1:13" ht="15.75" customHeight="1" x14ac:dyDescent="0.3">
      <c r="A22" s="634" t="s">
        <v>451</v>
      </c>
      <c r="B22" s="634"/>
      <c r="C22" s="634"/>
      <c r="D22" s="634"/>
      <c r="E22" s="634"/>
      <c r="F22" s="634"/>
      <c r="G22" s="634"/>
      <c r="H22" s="634"/>
      <c r="I22" s="634"/>
      <c r="J22" s="634"/>
      <c r="K22" s="634"/>
      <c r="L22" s="634"/>
      <c r="M22" s="634"/>
    </row>
    <row r="23" spans="1:13" ht="15.75" customHeight="1" x14ac:dyDescent="0.3">
      <c r="A23" s="171"/>
      <c r="C23" s="54" t="s">
        <v>452</v>
      </c>
      <c r="M23" s="170"/>
    </row>
    <row r="24" spans="1:13" ht="15.75" customHeight="1" x14ac:dyDescent="0.3">
      <c r="A24" s="171"/>
      <c r="D24" s="54" t="s">
        <v>447</v>
      </c>
      <c r="M24" s="170"/>
    </row>
    <row r="25" spans="1:13" ht="15.75" customHeight="1" x14ac:dyDescent="0.3">
      <c r="A25" s="175"/>
      <c r="B25" s="176"/>
      <c r="C25" s="176"/>
      <c r="D25" s="176"/>
      <c r="E25" s="176"/>
      <c r="F25" s="176"/>
      <c r="G25" s="176"/>
      <c r="H25" s="176"/>
      <c r="I25" s="176"/>
      <c r="J25" s="176"/>
      <c r="K25" s="176"/>
      <c r="L25" s="176"/>
      <c r="M25" s="177"/>
    </row>
    <row r="26" spans="1:13" ht="15.75" customHeight="1" x14ac:dyDescent="0.3">
      <c r="A26" s="634" t="s">
        <v>453</v>
      </c>
      <c r="B26" s="634"/>
      <c r="C26" s="634"/>
      <c r="D26" s="634"/>
      <c r="E26" s="634"/>
      <c r="F26" s="634"/>
      <c r="G26" s="634"/>
      <c r="H26" s="634"/>
      <c r="I26" s="634"/>
      <c r="J26" s="634"/>
      <c r="K26" s="634"/>
      <c r="L26" s="634"/>
      <c r="M26" s="634"/>
    </row>
    <row r="27" spans="1:13" ht="15.75" customHeight="1" x14ac:dyDescent="0.3">
      <c r="A27" s="171"/>
      <c r="C27" s="54" t="s">
        <v>454</v>
      </c>
      <c r="M27" s="170"/>
    </row>
    <row r="28" spans="1:13" ht="15.75" customHeight="1" x14ac:dyDescent="0.3">
      <c r="A28" s="171"/>
      <c r="D28" s="54" t="s">
        <v>447</v>
      </c>
      <c r="M28" s="170"/>
    </row>
    <row r="29" spans="1:13" ht="15.75" customHeight="1" x14ac:dyDescent="0.3">
      <c r="A29" s="175"/>
      <c r="B29" s="176"/>
      <c r="C29" s="176"/>
      <c r="D29" s="176"/>
      <c r="E29" s="176"/>
      <c r="F29" s="176"/>
      <c r="G29" s="176"/>
      <c r="H29" s="176"/>
      <c r="I29" s="176"/>
      <c r="J29" s="176"/>
      <c r="K29" s="176"/>
      <c r="L29" s="176"/>
      <c r="M29" s="177"/>
    </row>
    <row r="30" spans="1:13" ht="15.75" customHeight="1" x14ac:dyDescent="0.3">
      <c r="A30" s="634" t="s">
        <v>455</v>
      </c>
      <c r="B30" s="634"/>
      <c r="C30" s="634"/>
      <c r="D30" s="634"/>
      <c r="E30" s="634"/>
      <c r="F30" s="634"/>
      <c r="G30" s="634"/>
      <c r="H30" s="634"/>
      <c r="I30" s="634"/>
      <c r="J30" s="634"/>
      <c r="K30" s="634"/>
      <c r="L30" s="634"/>
      <c r="M30" s="634"/>
    </row>
    <row r="31" spans="1:13" ht="15.75" customHeight="1" x14ac:dyDescent="0.3">
      <c r="A31" s="171"/>
      <c r="C31" s="54" t="s">
        <v>456</v>
      </c>
      <c r="M31" s="170"/>
    </row>
    <row r="32" spans="1:13" ht="15.75" customHeight="1" x14ac:dyDescent="0.3">
      <c r="A32" s="171"/>
      <c r="D32" s="54" t="s">
        <v>447</v>
      </c>
      <c r="M32" s="170"/>
    </row>
    <row r="33" spans="1:13" ht="15.75" customHeight="1" x14ac:dyDescent="0.3">
      <c r="A33" s="175"/>
      <c r="B33" s="176"/>
      <c r="C33" s="176"/>
      <c r="D33" s="176"/>
      <c r="E33" s="176"/>
      <c r="F33" s="176"/>
      <c r="G33" s="176"/>
      <c r="H33" s="176"/>
      <c r="I33" s="176"/>
      <c r="J33" s="176"/>
      <c r="K33" s="176"/>
      <c r="L33" s="176"/>
      <c r="M33" s="177"/>
    </row>
    <row r="34" spans="1:13" ht="15.75" customHeight="1" x14ac:dyDescent="0.3">
      <c r="A34" s="634" t="s">
        <v>457</v>
      </c>
      <c r="B34" s="634"/>
      <c r="C34" s="634"/>
      <c r="D34" s="634"/>
      <c r="E34" s="634"/>
      <c r="F34" s="634"/>
      <c r="G34" s="634"/>
      <c r="H34" s="634"/>
      <c r="I34" s="634"/>
      <c r="J34" s="634"/>
      <c r="K34" s="634"/>
      <c r="L34" s="634"/>
      <c r="M34" s="634"/>
    </row>
    <row r="35" spans="1:13" ht="15.75" customHeight="1" x14ac:dyDescent="0.3">
      <c r="A35" s="171"/>
      <c r="C35" s="54" t="s">
        <v>458</v>
      </c>
      <c r="M35" s="170"/>
    </row>
    <row r="36" spans="1:13" ht="15.75" customHeight="1" x14ac:dyDescent="0.3">
      <c r="A36" s="171"/>
      <c r="D36" s="54" t="s">
        <v>447</v>
      </c>
      <c r="M36" s="170"/>
    </row>
    <row r="37" spans="1:13" ht="15.75" customHeight="1" x14ac:dyDescent="0.3">
      <c r="A37" s="175"/>
      <c r="B37" s="176"/>
      <c r="C37" s="176"/>
      <c r="D37" s="176"/>
      <c r="E37" s="176"/>
      <c r="F37" s="176"/>
      <c r="G37" s="176"/>
      <c r="H37" s="176"/>
      <c r="I37" s="176"/>
      <c r="J37" s="176"/>
      <c r="K37" s="176"/>
      <c r="L37" s="176"/>
      <c r="M37" s="177"/>
    </row>
    <row r="38" spans="1:13" ht="15.75" customHeight="1" x14ac:dyDescent="0.3">
      <c r="A38" s="178"/>
      <c r="B38" s="179"/>
      <c r="C38" s="179"/>
      <c r="D38" s="179"/>
      <c r="E38" s="179"/>
      <c r="F38" s="179"/>
      <c r="G38" s="179"/>
      <c r="H38" s="179"/>
      <c r="I38" s="179"/>
      <c r="J38" s="179"/>
      <c r="K38" s="179"/>
      <c r="L38" s="179"/>
      <c r="M38" s="180"/>
    </row>
    <row r="39" spans="1:13" ht="15.75" customHeight="1" x14ac:dyDescent="0.3">
      <c r="A39" s="171"/>
      <c r="M39" s="170"/>
    </row>
    <row r="40" spans="1:13" ht="15.75" customHeight="1" x14ac:dyDescent="0.3">
      <c r="A40" s="171"/>
      <c r="M40" s="170"/>
    </row>
    <row r="41" spans="1:13" ht="15.75" customHeight="1" x14ac:dyDescent="0.3">
      <c r="A41" s="171"/>
      <c r="M41" s="170"/>
    </row>
    <row r="42" spans="1:13" ht="15.75" customHeight="1" x14ac:dyDescent="0.3">
      <c r="A42" s="171"/>
      <c r="M42" s="170"/>
    </row>
    <row r="43" spans="1:13" ht="15.75" customHeight="1" x14ac:dyDescent="0.3">
      <c r="A43" s="171"/>
      <c r="M43" s="170"/>
    </row>
    <row r="44" spans="1:13" ht="15.75" customHeight="1" x14ac:dyDescent="0.3">
      <c r="A44" s="171"/>
      <c r="C44" s="58" t="str">
        <f>+TIT!D9</f>
        <v>Shri. Bharat C. Boridkar</v>
      </c>
      <c r="M44" s="170"/>
    </row>
    <row r="45" spans="1:13" s="54" customFormat="1" ht="15.75" customHeight="1" x14ac:dyDescent="0.3">
      <c r="A45" s="171"/>
      <c r="C45" s="59" t="str">
        <f>"["&amp;TIT!A10&amp;": "&amp;TIT!D10&amp;"]"</f>
        <v>[Panel No.: Mumbai-4/C1/1011404]</v>
      </c>
      <c r="M45" s="170"/>
    </row>
    <row r="46" spans="1:13" s="54" customFormat="1" ht="15.75" customHeight="1" x14ac:dyDescent="0.3">
      <c r="A46" s="171"/>
      <c r="C46" s="59" t="s">
        <v>18</v>
      </c>
      <c r="D46" s="59"/>
      <c r="E46" s="59"/>
      <c r="F46" s="59"/>
      <c r="M46" s="170"/>
    </row>
    <row r="47" spans="1:13" ht="15" customHeight="1" x14ac:dyDescent="0.3">
      <c r="A47" s="171"/>
      <c r="C47" s="635">
        <f>+TIT!D13</f>
        <v>46277</v>
      </c>
      <c r="D47" s="635"/>
      <c r="E47" s="635"/>
      <c r="F47" s="635"/>
      <c r="M47" s="170"/>
    </row>
    <row r="48" spans="1:13" ht="15" customHeight="1" x14ac:dyDescent="0.3">
      <c r="A48" s="175"/>
      <c r="B48" s="176"/>
      <c r="C48" s="176"/>
      <c r="D48" s="176"/>
      <c r="E48" s="176"/>
      <c r="F48" s="176"/>
      <c r="G48" s="176"/>
      <c r="H48" s="176"/>
      <c r="I48" s="176"/>
      <c r="J48" s="176"/>
      <c r="K48" s="176"/>
      <c r="L48" s="176"/>
      <c r="M48" s="177"/>
    </row>
    <row r="83" ht="9.75" customHeight="1" x14ac:dyDescent="0.3"/>
    <row r="123" ht="42.75" customHeight="1" x14ac:dyDescent="0.3"/>
    <row r="129" ht="9.75" customHeight="1" x14ac:dyDescent="0.3"/>
  </sheetData>
  <mergeCells count="14">
    <mergeCell ref="A26:M26"/>
    <mergeCell ref="A30:M30"/>
    <mergeCell ref="A34:M34"/>
    <mergeCell ref="C47:F47"/>
    <mergeCell ref="A8:M8"/>
    <mergeCell ref="A10:M10"/>
    <mergeCell ref="A14:M14"/>
    <mergeCell ref="A18:M18"/>
    <mergeCell ref="A22:M22"/>
    <mergeCell ref="A1:M1"/>
    <mergeCell ref="A2:M2"/>
    <mergeCell ref="A3:M3"/>
    <mergeCell ref="A4:M5"/>
    <mergeCell ref="J7:K7"/>
  </mergeCells>
  <printOptions horizontalCentered="1"/>
  <pageMargins left="0.59055118110236227" right="0.19685039370078741" top="0.59055118110236227" bottom="0.39370078740157483" header="0.51181102362204722" footer="0.51181102362204722"/>
  <pageSetup paperSize="9" scale="95" orientation="portrait" horizontalDpi="300" verticalDpi="300" r:id="rId1"/>
  <rowBreaks count="2" manualBreakCount="2">
    <brk id="82" max="16383" man="1"/>
    <brk id="12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IW294"/>
  <sheetViews>
    <sheetView tabSelected="1" view="pageBreakPreview" topLeftCell="A216" zoomScaleNormal="100" zoomScaleSheetLayoutView="100" workbookViewId="0">
      <selection activeCell="C266" sqref="C266:R266"/>
    </sheetView>
  </sheetViews>
  <sheetFormatPr defaultColWidth="9" defaultRowHeight="15.6" x14ac:dyDescent="0.3"/>
  <cols>
    <col min="1" max="1" width="3.09765625" style="181" customWidth="1"/>
    <col min="2" max="2" width="3.3984375" style="181" customWidth="1"/>
    <col min="3" max="3" width="7" style="181" customWidth="1"/>
    <col min="4" max="4" width="7.19921875" style="181" customWidth="1"/>
    <col min="5" max="5" width="5" style="181" customWidth="1"/>
    <col min="6" max="6" width="4.19921875" style="181" customWidth="1"/>
    <col min="7" max="15" width="5" style="181" customWidth="1"/>
    <col min="16" max="16" width="5.5" style="181" customWidth="1"/>
    <col min="17" max="17" width="4.09765625" style="181" customWidth="1"/>
    <col min="18" max="18" width="10" style="181" customWidth="1"/>
    <col min="19" max="19" width="1.5" style="181" customWidth="1"/>
    <col min="20" max="20" width="31.8984375" style="181" customWidth="1"/>
    <col min="21" max="22" width="13.69921875" style="181" customWidth="1"/>
    <col min="23" max="23" width="19.09765625" style="181" customWidth="1"/>
    <col min="24" max="24" width="13.69921875" style="181" customWidth="1"/>
    <col min="25" max="25" width="9.5" style="181" customWidth="1"/>
    <col min="26" max="38" width="9.3984375" style="181" customWidth="1"/>
    <col min="39" max="257" width="9" style="181"/>
  </cols>
  <sheetData>
    <row r="1" spans="1:23" ht="15.75" customHeight="1" x14ac:dyDescent="0.3">
      <c r="A1" s="182" t="str">
        <f>+TIT!D2</f>
        <v>PRATHAMESH HARMONY "B"  WING CO-OPERATIVE HOUSING SOCIETY LTD.</v>
      </c>
      <c r="B1" s="75"/>
      <c r="C1" s="75"/>
      <c r="D1" s="75"/>
    </row>
    <row r="2" spans="1:23" ht="15" customHeight="1" x14ac:dyDescent="0.3">
      <c r="A2" s="84" t="str">
        <f>"General Remarks and Observations attached to and forming part of the audit report dated "&amp;TEXT(TIT!D13,"dd-mmm-yyyy")</f>
        <v>General Remarks and Observations attached to and forming part of the audit report dated 12-Sep-2026</v>
      </c>
      <c r="B2" s="75"/>
      <c r="C2" s="75"/>
      <c r="D2" s="75"/>
      <c r="O2" s="183"/>
      <c r="P2" s="183"/>
      <c r="Q2" s="183"/>
    </row>
    <row r="3" spans="1:23" ht="9.75" customHeight="1" x14ac:dyDescent="0.3">
      <c r="A3" s="75"/>
      <c r="B3" s="184"/>
      <c r="C3" s="184"/>
      <c r="D3" s="184"/>
      <c r="E3" s="185"/>
      <c r="F3" s="185"/>
      <c r="G3" s="185"/>
      <c r="H3" s="185"/>
      <c r="I3" s="185"/>
      <c r="J3" s="185"/>
      <c r="K3" s="185"/>
      <c r="L3" s="185"/>
      <c r="M3" s="185"/>
      <c r="N3" s="185"/>
      <c r="O3" s="185"/>
      <c r="P3" s="185"/>
      <c r="Q3" s="185"/>
      <c r="R3" s="185"/>
    </row>
    <row r="4" spans="1:23" s="188" customFormat="1" ht="16.5" customHeight="1" x14ac:dyDescent="0.3">
      <c r="A4" s="186" t="s">
        <v>459</v>
      </c>
      <c r="B4" s="71"/>
      <c r="C4" s="71"/>
      <c r="D4" s="71"/>
      <c r="E4" s="187"/>
      <c r="F4" s="187"/>
      <c r="G4" s="187"/>
      <c r="H4" s="187"/>
      <c r="I4" s="187"/>
      <c r="J4" s="187"/>
      <c r="K4" s="187"/>
      <c r="L4" s="187"/>
      <c r="M4" s="187"/>
      <c r="N4" s="187"/>
      <c r="O4" s="187"/>
      <c r="P4" s="187"/>
      <c r="Q4" s="187"/>
      <c r="R4" s="187"/>
      <c r="V4" s="188" t="s">
        <v>460</v>
      </c>
    </row>
    <row r="5" spans="1:23" s="188" customFormat="1" ht="16.5" customHeight="1" x14ac:dyDescent="0.3">
      <c r="A5" s="187">
        <v>1</v>
      </c>
      <c r="B5" s="189" t="s">
        <v>461</v>
      </c>
      <c r="C5" s="187"/>
      <c r="D5" s="187"/>
      <c r="E5" s="187"/>
      <c r="F5" s="187" t="s">
        <v>462</v>
      </c>
      <c r="G5" s="428" t="str">
        <f>+TIT!D2</f>
        <v>PRATHAMESH HARMONY "B"  WING CO-OPERATIVE HOUSING SOCIETY LTD.</v>
      </c>
      <c r="H5" s="428"/>
      <c r="I5" s="428"/>
      <c r="J5" s="428"/>
      <c r="K5" s="428"/>
      <c r="L5" s="428"/>
      <c r="M5" s="428"/>
      <c r="N5" s="428"/>
      <c r="O5" s="428"/>
      <c r="P5" s="428"/>
      <c r="Q5" s="428"/>
      <c r="R5" s="428"/>
      <c r="V5" s="188" t="s">
        <v>463</v>
      </c>
    </row>
    <row r="6" spans="1:23" s="188" customFormat="1" ht="9.75" customHeight="1" x14ac:dyDescent="0.3">
      <c r="A6" s="187"/>
      <c r="B6" s="189"/>
      <c r="C6" s="187"/>
      <c r="D6" s="187"/>
      <c r="E6" s="187"/>
      <c r="F6" s="187"/>
      <c r="G6" s="428"/>
      <c r="H6" s="428"/>
      <c r="I6" s="428"/>
      <c r="J6" s="428"/>
      <c r="K6" s="428"/>
      <c r="L6" s="428"/>
      <c r="M6" s="428"/>
      <c r="N6" s="428"/>
      <c r="O6" s="428"/>
      <c r="P6" s="428"/>
      <c r="Q6" s="428"/>
      <c r="R6" s="428"/>
      <c r="V6" s="188" t="s">
        <v>464</v>
      </c>
    </row>
    <row r="7" spans="1:23" s="188" customFormat="1" ht="16.5" customHeight="1" x14ac:dyDescent="0.3">
      <c r="A7" s="187">
        <v>2</v>
      </c>
      <c r="B7" s="189" t="s">
        <v>465</v>
      </c>
      <c r="C7" s="187"/>
      <c r="D7" s="187"/>
      <c r="E7" s="187"/>
      <c r="F7" s="187" t="s">
        <v>462</v>
      </c>
      <c r="G7" s="429" t="str">
        <f>+TIT!D6</f>
        <v>CTS.No. 227,228 &amp; 216, Gautam Buddha Marg, Orlem, Malad - West, Mumbai - 400 064</v>
      </c>
      <c r="H7" s="429"/>
      <c r="I7" s="429"/>
      <c r="J7" s="429"/>
      <c r="K7" s="429"/>
      <c r="L7" s="429"/>
      <c r="M7" s="429"/>
      <c r="N7" s="429"/>
      <c r="O7" s="429"/>
      <c r="P7" s="429"/>
      <c r="Q7" s="429"/>
      <c r="R7" s="429"/>
      <c r="V7" s="188" t="s">
        <v>466</v>
      </c>
      <c r="W7" s="190"/>
    </row>
    <row r="8" spans="1:23" s="188" customFormat="1" ht="14.25" customHeight="1" x14ac:dyDescent="0.3">
      <c r="A8" s="187"/>
      <c r="B8" s="189"/>
      <c r="C8" s="187"/>
      <c r="D8" s="187"/>
      <c r="E8" s="187"/>
      <c r="F8" s="187" t="s">
        <v>462</v>
      </c>
      <c r="G8" s="429"/>
      <c r="H8" s="429"/>
      <c r="I8" s="429"/>
      <c r="J8" s="429"/>
      <c r="K8" s="429"/>
      <c r="L8" s="429"/>
      <c r="M8" s="429"/>
      <c r="N8" s="429"/>
      <c r="O8" s="429"/>
      <c r="P8" s="429"/>
      <c r="Q8" s="429"/>
      <c r="R8" s="429"/>
      <c r="V8" s="188" t="s">
        <v>467</v>
      </c>
      <c r="W8" s="190"/>
    </row>
    <row r="9" spans="1:23" s="188" customFormat="1" ht="16.5" customHeight="1" x14ac:dyDescent="0.3">
      <c r="A9" s="187">
        <v>3</v>
      </c>
      <c r="B9" s="189" t="s">
        <v>468</v>
      </c>
      <c r="C9" s="187"/>
      <c r="D9" s="187"/>
      <c r="E9" s="187"/>
      <c r="F9" s="187" t="s">
        <v>462</v>
      </c>
      <c r="G9" s="430" t="str">
        <f>+TIT!D3</f>
        <v>MUM/WP/HSG/TC/15332/2012-13</v>
      </c>
      <c r="H9" s="430"/>
      <c r="I9" s="430"/>
      <c r="J9" s="430"/>
      <c r="K9" s="430"/>
      <c r="L9" s="430"/>
      <c r="M9" s="430"/>
      <c r="N9" s="430"/>
      <c r="O9" s="430"/>
      <c r="P9" s="430"/>
      <c r="Q9" s="430"/>
      <c r="R9" s="430"/>
      <c r="V9" s="188" t="s">
        <v>469</v>
      </c>
    </row>
    <row r="10" spans="1:23" s="188" customFormat="1" ht="16.5" customHeight="1" x14ac:dyDescent="0.3">
      <c r="A10" s="187">
        <v>4</v>
      </c>
      <c r="B10" s="189" t="s">
        <v>470</v>
      </c>
      <c r="C10" s="187"/>
      <c r="D10" s="187"/>
      <c r="E10" s="187"/>
      <c r="F10" s="187" t="s">
        <v>462</v>
      </c>
      <c r="G10" s="430" t="s">
        <v>471</v>
      </c>
      <c r="H10" s="430"/>
      <c r="I10" s="430"/>
      <c r="J10" s="430"/>
      <c r="K10" s="430"/>
      <c r="L10" s="430"/>
      <c r="M10" s="430"/>
      <c r="N10" s="430"/>
      <c r="O10" s="430"/>
      <c r="P10" s="430"/>
      <c r="Q10" s="430"/>
      <c r="R10" s="430"/>
      <c r="V10" s="188" t="s">
        <v>472</v>
      </c>
    </row>
    <row r="11" spans="1:23" s="188" customFormat="1" ht="16.5" customHeight="1" x14ac:dyDescent="0.3">
      <c r="A11" s="187">
        <v>5</v>
      </c>
      <c r="B11" s="189" t="s">
        <v>473</v>
      </c>
      <c r="C11" s="187"/>
      <c r="D11" s="187"/>
      <c r="E11" s="187"/>
      <c r="F11" s="187" t="s">
        <v>462</v>
      </c>
      <c r="G11" s="430" t="s">
        <v>474</v>
      </c>
      <c r="H11" s="430"/>
      <c r="I11" s="430"/>
      <c r="J11" s="430"/>
      <c r="K11" s="430"/>
      <c r="L11" s="430"/>
      <c r="M11" s="430"/>
      <c r="N11" s="430"/>
      <c r="O11" s="430"/>
      <c r="P11" s="430"/>
      <c r="Q11" s="430"/>
      <c r="R11" s="430"/>
      <c r="V11" s="188" t="s">
        <v>475</v>
      </c>
    </row>
    <row r="12" spans="1:23" s="188" customFormat="1" ht="9.75" customHeight="1" x14ac:dyDescent="0.3">
      <c r="A12" s="187"/>
      <c r="B12" s="189"/>
      <c r="C12" s="187"/>
      <c r="D12" s="187"/>
      <c r="E12" s="187"/>
      <c r="F12" s="187"/>
      <c r="G12" s="187"/>
      <c r="H12" s="187"/>
      <c r="I12" s="187"/>
      <c r="J12" s="187"/>
      <c r="K12" s="187"/>
      <c r="L12" s="187"/>
      <c r="M12" s="187"/>
      <c r="N12" s="187"/>
      <c r="O12" s="187"/>
      <c r="P12" s="187"/>
      <c r="Q12" s="187"/>
      <c r="R12" s="187"/>
      <c r="V12" s="188" t="s">
        <v>476</v>
      </c>
    </row>
    <row r="13" spans="1:23" s="188" customFormat="1" ht="15" customHeight="1" x14ac:dyDescent="0.3">
      <c r="A13" s="431" t="s">
        <v>477</v>
      </c>
      <c r="B13" s="431"/>
      <c r="C13" s="431"/>
      <c r="D13" s="431"/>
      <c r="E13" s="431"/>
      <c r="F13" s="431"/>
      <c r="G13" s="431"/>
      <c r="H13" s="431"/>
      <c r="I13" s="431"/>
      <c r="J13" s="431"/>
      <c r="K13" s="431"/>
      <c r="L13" s="431"/>
      <c r="M13" s="431"/>
      <c r="N13" s="431"/>
      <c r="O13" s="431"/>
      <c r="P13" s="431"/>
      <c r="Q13" s="431"/>
      <c r="R13" s="431"/>
      <c r="V13" s="188" t="s">
        <v>478</v>
      </c>
    </row>
    <row r="14" spans="1:23" ht="12.75" customHeight="1" x14ac:dyDescent="0.3">
      <c r="A14" s="181" t="s">
        <v>479</v>
      </c>
      <c r="V14" s="181" t="s">
        <v>480</v>
      </c>
    </row>
    <row r="15" spans="1:23" ht="25.5" customHeight="1" x14ac:dyDescent="0.3">
      <c r="A15" s="191" t="s">
        <v>481</v>
      </c>
      <c r="B15" s="432" t="s">
        <v>482</v>
      </c>
      <c r="C15" s="432"/>
      <c r="D15" s="432"/>
      <c r="E15" s="433" t="s">
        <v>483</v>
      </c>
      <c r="F15" s="433"/>
      <c r="G15" s="433"/>
      <c r="H15" s="433"/>
      <c r="I15" s="433"/>
      <c r="J15" s="433"/>
      <c r="K15" s="433"/>
      <c r="L15" s="432" t="s">
        <v>484</v>
      </c>
      <c r="M15" s="432"/>
      <c r="N15" s="432"/>
      <c r="O15" s="432"/>
      <c r="P15" s="432"/>
      <c r="Q15" s="432"/>
      <c r="R15" s="432"/>
      <c r="V15" s="181" t="s">
        <v>485</v>
      </c>
    </row>
    <row r="16" spans="1:23" ht="33" customHeight="1" x14ac:dyDescent="0.3">
      <c r="A16" s="434">
        <v>1</v>
      </c>
      <c r="B16" s="435" t="s">
        <v>486</v>
      </c>
      <c r="C16" s="435"/>
      <c r="D16" s="435"/>
      <c r="E16" s="436" t="s">
        <v>487</v>
      </c>
      <c r="F16" s="436"/>
      <c r="G16" s="436"/>
      <c r="H16" s="436"/>
      <c r="I16" s="436"/>
      <c r="J16" s="436"/>
      <c r="K16" s="436"/>
      <c r="L16" s="436" t="s">
        <v>488</v>
      </c>
      <c r="M16" s="436"/>
      <c r="N16" s="436"/>
      <c r="O16" s="436"/>
      <c r="P16" s="436"/>
      <c r="Q16" s="436"/>
      <c r="R16" s="436"/>
      <c r="V16" s="181" t="s">
        <v>489</v>
      </c>
    </row>
    <row r="17" spans="1:26" ht="74.25" customHeight="1" x14ac:dyDescent="0.3">
      <c r="A17" s="434"/>
      <c r="B17" s="435"/>
      <c r="C17" s="435"/>
      <c r="D17" s="435"/>
      <c r="E17" s="436" t="s">
        <v>490</v>
      </c>
      <c r="F17" s="436"/>
      <c r="G17" s="436"/>
      <c r="H17" s="436"/>
      <c r="I17" s="436"/>
      <c r="J17" s="436"/>
      <c r="K17" s="436"/>
      <c r="L17" s="436" t="s">
        <v>488</v>
      </c>
      <c r="M17" s="436"/>
      <c r="N17" s="436"/>
      <c r="O17" s="436"/>
      <c r="P17" s="436"/>
      <c r="Q17" s="436"/>
      <c r="R17" s="436"/>
      <c r="V17" s="181" t="s">
        <v>491</v>
      </c>
    </row>
    <row r="18" spans="1:26" ht="32.25" customHeight="1" x14ac:dyDescent="0.3">
      <c r="A18" s="434"/>
      <c r="B18" s="435"/>
      <c r="C18" s="435"/>
      <c r="D18" s="435"/>
      <c r="E18" s="436" t="s">
        <v>492</v>
      </c>
      <c r="F18" s="436"/>
      <c r="G18" s="436"/>
      <c r="H18" s="436"/>
      <c r="I18" s="436"/>
      <c r="J18" s="436"/>
      <c r="K18" s="436"/>
      <c r="L18" s="436" t="s">
        <v>493</v>
      </c>
      <c r="M18" s="436"/>
      <c r="N18" s="436"/>
      <c r="O18" s="436"/>
      <c r="P18" s="436"/>
      <c r="Q18" s="436"/>
      <c r="R18" s="436"/>
      <c r="V18" s="181" t="s">
        <v>494</v>
      </c>
    </row>
    <row r="19" spans="1:26" ht="42.75" customHeight="1" x14ac:dyDescent="0.3">
      <c r="A19" s="434"/>
      <c r="B19" s="435"/>
      <c r="C19" s="435"/>
      <c r="D19" s="435"/>
      <c r="E19" s="436" t="s">
        <v>495</v>
      </c>
      <c r="F19" s="436"/>
      <c r="G19" s="436"/>
      <c r="H19" s="436"/>
      <c r="I19" s="436"/>
      <c r="J19" s="436"/>
      <c r="K19" s="436"/>
      <c r="L19" s="436" t="s">
        <v>496</v>
      </c>
      <c r="M19" s="436"/>
      <c r="N19" s="436"/>
      <c r="O19" s="436"/>
      <c r="P19" s="436"/>
      <c r="Q19" s="436"/>
      <c r="R19" s="436"/>
      <c r="V19" s="181" t="s">
        <v>497</v>
      </c>
    </row>
    <row r="20" spans="1:26" ht="40.5" customHeight="1" x14ac:dyDescent="0.3">
      <c r="A20" s="434"/>
      <c r="B20" s="435"/>
      <c r="C20" s="435"/>
      <c r="D20" s="435"/>
      <c r="E20" s="436" t="s">
        <v>498</v>
      </c>
      <c r="F20" s="436"/>
      <c r="G20" s="436"/>
      <c r="H20" s="436"/>
      <c r="I20" s="436"/>
      <c r="J20" s="436"/>
      <c r="K20" s="436"/>
      <c r="L20" s="436" t="s">
        <v>499</v>
      </c>
      <c r="M20" s="436"/>
      <c r="N20" s="436"/>
      <c r="O20" s="436"/>
      <c r="P20" s="436"/>
      <c r="Q20" s="436"/>
      <c r="R20" s="436"/>
      <c r="V20" s="181" t="s">
        <v>460</v>
      </c>
    </row>
    <row r="21" spans="1:26" ht="33" customHeight="1" x14ac:dyDescent="0.3">
      <c r="A21" s="434">
        <v>2</v>
      </c>
      <c r="B21" s="437" t="s">
        <v>500</v>
      </c>
      <c r="C21" s="437"/>
      <c r="D21" s="437"/>
      <c r="E21" s="436" t="s">
        <v>501</v>
      </c>
      <c r="F21" s="436"/>
      <c r="G21" s="436"/>
      <c r="H21" s="436"/>
      <c r="I21" s="436"/>
      <c r="J21" s="436"/>
      <c r="K21" s="436"/>
      <c r="L21" s="436" t="s">
        <v>488</v>
      </c>
      <c r="M21" s="436"/>
      <c r="N21" s="436"/>
      <c r="O21" s="436"/>
      <c r="P21" s="436"/>
      <c r="Q21" s="436"/>
      <c r="R21" s="436"/>
    </row>
    <row r="22" spans="1:26" ht="33" customHeight="1" x14ac:dyDescent="0.3">
      <c r="A22" s="434"/>
      <c r="B22" s="437"/>
      <c r="C22" s="437"/>
      <c r="D22" s="437"/>
      <c r="E22" s="436" t="s">
        <v>502</v>
      </c>
      <c r="F22" s="436"/>
      <c r="G22" s="436"/>
      <c r="H22" s="436"/>
      <c r="I22" s="436"/>
      <c r="J22" s="436"/>
      <c r="K22" s="436"/>
      <c r="L22" s="436" t="s">
        <v>488</v>
      </c>
      <c r="M22" s="436"/>
      <c r="N22" s="436"/>
      <c r="O22" s="436"/>
      <c r="P22" s="436"/>
      <c r="Q22" s="436"/>
      <c r="R22" s="436"/>
    </row>
    <row r="23" spans="1:26" ht="33" customHeight="1" x14ac:dyDescent="0.3">
      <c r="A23" s="434"/>
      <c r="B23" s="437"/>
      <c r="C23" s="437"/>
      <c r="D23" s="437"/>
      <c r="E23" s="436" t="s">
        <v>503</v>
      </c>
      <c r="F23" s="436"/>
      <c r="G23" s="436"/>
      <c r="H23" s="436"/>
      <c r="I23" s="436"/>
      <c r="J23" s="436"/>
      <c r="K23" s="436"/>
      <c r="L23" s="436" t="s">
        <v>488</v>
      </c>
      <c r="M23" s="436"/>
      <c r="N23" s="436"/>
      <c r="O23" s="436"/>
      <c r="P23" s="436"/>
      <c r="Q23" s="436"/>
      <c r="R23" s="436"/>
    </row>
    <row r="24" spans="1:26" ht="33" customHeight="1" x14ac:dyDescent="0.3">
      <c r="A24" s="434"/>
      <c r="B24" s="437"/>
      <c r="C24" s="437"/>
      <c r="D24" s="437"/>
      <c r="E24" s="436" t="s">
        <v>504</v>
      </c>
      <c r="F24" s="436"/>
      <c r="G24" s="436"/>
      <c r="H24" s="436"/>
      <c r="I24" s="436"/>
      <c r="J24" s="436"/>
      <c r="K24" s="436"/>
      <c r="L24" s="436" t="s">
        <v>488</v>
      </c>
      <c r="M24" s="436"/>
      <c r="N24" s="436"/>
      <c r="O24" s="436"/>
      <c r="P24" s="436"/>
      <c r="Q24" s="436"/>
      <c r="R24" s="436"/>
    </row>
    <row r="25" spans="1:26" ht="39.75" customHeight="1" x14ac:dyDescent="0.3">
      <c r="A25" s="434">
        <v>3</v>
      </c>
      <c r="B25" s="437" t="s">
        <v>505</v>
      </c>
      <c r="C25" s="437"/>
      <c r="D25" s="437"/>
      <c r="E25" s="436" t="s">
        <v>506</v>
      </c>
      <c r="F25" s="436"/>
      <c r="G25" s="436"/>
      <c r="H25" s="436"/>
      <c r="I25" s="436"/>
      <c r="J25" s="436"/>
      <c r="K25" s="436"/>
      <c r="L25" s="436" t="s">
        <v>488</v>
      </c>
      <c r="M25" s="436"/>
      <c r="N25" s="436"/>
      <c r="O25" s="436"/>
      <c r="P25" s="436"/>
      <c r="Q25" s="436"/>
      <c r="R25" s="436"/>
    </row>
    <row r="26" spans="1:26" ht="33" customHeight="1" x14ac:dyDescent="0.3">
      <c r="A26" s="434"/>
      <c r="B26" s="437"/>
      <c r="C26" s="437"/>
      <c r="D26" s="437"/>
      <c r="E26" s="436" t="s">
        <v>507</v>
      </c>
      <c r="F26" s="436"/>
      <c r="G26" s="436"/>
      <c r="H26" s="436"/>
      <c r="I26" s="436"/>
      <c r="J26" s="436"/>
      <c r="K26" s="436"/>
      <c r="L26" s="436" t="s">
        <v>488</v>
      </c>
      <c r="M26" s="436"/>
      <c r="N26" s="436"/>
      <c r="O26" s="436"/>
      <c r="P26" s="436"/>
      <c r="Q26" s="436"/>
      <c r="R26" s="436"/>
    </row>
    <row r="27" spans="1:26" ht="33" customHeight="1" x14ac:dyDescent="0.3">
      <c r="A27" s="192">
        <v>4</v>
      </c>
      <c r="B27" s="438" t="s">
        <v>508</v>
      </c>
      <c r="C27" s="438"/>
      <c r="D27" s="438"/>
      <c r="E27" s="438"/>
      <c r="F27" s="438"/>
      <c r="G27" s="438"/>
      <c r="H27" s="438"/>
      <c r="I27" s="438"/>
      <c r="J27" s="438"/>
      <c r="K27" s="438"/>
      <c r="L27" s="436" t="s">
        <v>509</v>
      </c>
      <c r="M27" s="436"/>
      <c r="N27" s="436"/>
      <c r="O27" s="436"/>
      <c r="P27" s="436"/>
      <c r="Q27" s="436"/>
      <c r="R27" s="436"/>
    </row>
    <row r="28" spans="1:26" ht="33" customHeight="1" x14ac:dyDescent="0.3">
      <c r="A28" s="192">
        <v>5</v>
      </c>
      <c r="B28" s="438" t="s">
        <v>510</v>
      </c>
      <c r="C28" s="438"/>
      <c r="D28" s="438"/>
      <c r="E28" s="438"/>
      <c r="F28" s="438"/>
      <c r="G28" s="438"/>
      <c r="H28" s="438"/>
      <c r="I28" s="438"/>
      <c r="J28" s="438"/>
      <c r="K28" s="438"/>
      <c r="L28" s="436" t="s">
        <v>511</v>
      </c>
      <c r="M28" s="436"/>
      <c r="N28" s="436"/>
      <c r="O28" s="436"/>
      <c r="P28" s="436"/>
      <c r="Q28" s="436"/>
      <c r="R28" s="436"/>
    </row>
    <row r="29" spans="1:26" ht="39.75" customHeight="1" x14ac:dyDescent="0.3">
      <c r="A29" s="192">
        <v>6</v>
      </c>
      <c r="B29" s="438" t="s">
        <v>512</v>
      </c>
      <c r="C29" s="438"/>
      <c r="D29" s="438"/>
      <c r="E29" s="438"/>
      <c r="F29" s="438"/>
      <c r="G29" s="438"/>
      <c r="H29" s="438"/>
      <c r="I29" s="438"/>
      <c r="J29" s="438"/>
      <c r="K29" s="438"/>
      <c r="L29" s="439" t="s">
        <v>513</v>
      </c>
      <c r="M29" s="439"/>
      <c r="N29" s="439"/>
      <c r="O29" s="439"/>
      <c r="P29" s="439"/>
      <c r="Q29" s="439"/>
      <c r="R29" s="439"/>
      <c r="T29" s="193" t="s">
        <v>513</v>
      </c>
      <c r="U29" s="193"/>
      <c r="V29" s="193"/>
      <c r="W29" s="193"/>
      <c r="X29" s="193"/>
      <c r="Y29" s="193"/>
      <c r="Z29" s="193"/>
    </row>
    <row r="30" spans="1:26" ht="9.75" customHeight="1" x14ac:dyDescent="0.3">
      <c r="A30" s="194"/>
      <c r="B30" s="189"/>
      <c r="C30" s="189"/>
      <c r="D30" s="189"/>
      <c r="E30" s="189"/>
      <c r="F30" s="189"/>
      <c r="G30" s="189"/>
      <c r="H30" s="189"/>
      <c r="I30" s="189"/>
      <c r="J30" s="189"/>
      <c r="K30" s="189"/>
      <c r="L30" s="195"/>
      <c r="M30" s="195"/>
      <c r="N30" s="195"/>
      <c r="O30" s="195"/>
      <c r="P30" s="195"/>
      <c r="Q30" s="195"/>
      <c r="R30" s="195"/>
    </row>
    <row r="31" spans="1:26" ht="9.75" customHeight="1" x14ac:dyDescent="0.3">
      <c r="A31" s="194"/>
      <c r="B31" s="189"/>
      <c r="C31" s="189"/>
      <c r="D31" s="189"/>
      <c r="E31" s="189"/>
      <c r="F31" s="189"/>
      <c r="G31" s="189"/>
      <c r="H31" s="189"/>
      <c r="I31" s="189"/>
      <c r="J31" s="189"/>
      <c r="K31" s="189"/>
      <c r="L31" s="195"/>
      <c r="M31" s="195"/>
      <c r="N31" s="195"/>
      <c r="O31" s="195"/>
      <c r="P31" s="195"/>
      <c r="Q31" s="195"/>
      <c r="R31" s="195"/>
    </row>
    <row r="32" spans="1:26" ht="15.75" customHeight="1" x14ac:dyDescent="0.3">
      <c r="A32" s="194">
        <v>7</v>
      </c>
      <c r="B32" s="196" t="s">
        <v>514</v>
      </c>
      <c r="C32" s="187"/>
      <c r="D32" s="187"/>
      <c r="E32" s="194"/>
      <c r="F32" s="194"/>
      <c r="G32" s="194"/>
      <c r="H32" s="194"/>
      <c r="I32" s="194"/>
      <c r="L32" s="187"/>
      <c r="M32" s="187"/>
      <c r="N32" s="187"/>
      <c r="O32" s="187"/>
      <c r="P32" s="187"/>
      <c r="Q32" s="187"/>
      <c r="R32" s="187"/>
    </row>
    <row r="33" spans="1:23" ht="12.75" customHeight="1" x14ac:dyDescent="0.3">
      <c r="A33" s="197"/>
      <c r="B33" s="191" t="s">
        <v>515</v>
      </c>
      <c r="C33" s="191" t="s">
        <v>516</v>
      </c>
      <c r="D33" s="191" t="s">
        <v>287</v>
      </c>
      <c r="E33" s="433" t="s">
        <v>517</v>
      </c>
      <c r="F33" s="433"/>
      <c r="G33" s="433" t="s">
        <v>518</v>
      </c>
      <c r="H33" s="433"/>
      <c r="I33" s="433"/>
      <c r="J33" s="433"/>
      <c r="K33" s="433"/>
      <c r="L33" s="433"/>
      <c r="M33" s="433"/>
      <c r="N33" s="433"/>
      <c r="O33" s="433"/>
      <c r="P33" s="433"/>
      <c r="Q33" s="433"/>
      <c r="R33" s="433"/>
    </row>
    <row r="34" spans="1:23" s="200" customFormat="1" ht="16.5" customHeight="1" x14ac:dyDescent="0.3">
      <c r="A34" s="198"/>
      <c r="B34" s="199">
        <v>1</v>
      </c>
      <c r="C34" s="199">
        <v>70</v>
      </c>
      <c r="D34" s="199" t="s">
        <v>519</v>
      </c>
      <c r="E34" s="440">
        <v>15</v>
      </c>
      <c r="F34" s="440"/>
      <c r="G34" s="441" t="s">
        <v>520</v>
      </c>
      <c r="H34" s="441"/>
      <c r="I34" s="441"/>
      <c r="J34" s="441"/>
      <c r="K34" s="441"/>
      <c r="L34" s="441"/>
      <c r="M34" s="441"/>
      <c r="N34" s="441"/>
      <c r="O34" s="441"/>
      <c r="P34" s="441"/>
      <c r="Q34" s="441"/>
      <c r="R34" s="441"/>
    </row>
    <row r="35" spans="1:23" s="203" customFormat="1" ht="16.5" customHeight="1" x14ac:dyDescent="0.3">
      <c r="A35" s="201"/>
      <c r="B35" s="202">
        <v>2</v>
      </c>
      <c r="C35" s="202" t="s">
        <v>521</v>
      </c>
      <c r="D35" s="202"/>
      <c r="E35" s="442">
        <v>114</v>
      </c>
      <c r="F35" s="442"/>
      <c r="G35" s="443" t="s">
        <v>522</v>
      </c>
      <c r="H35" s="443"/>
      <c r="I35" s="443"/>
      <c r="J35" s="443"/>
      <c r="K35" s="443"/>
      <c r="L35" s="443"/>
      <c r="M35" s="443"/>
      <c r="N35" s="443"/>
      <c r="O35" s="443"/>
      <c r="P35" s="443"/>
      <c r="Q35" s="443"/>
      <c r="R35" s="443"/>
      <c r="T35" s="10"/>
      <c r="U35" s="10"/>
      <c r="V35" s="204"/>
    </row>
    <row r="36" spans="1:23" s="209" customFormat="1" ht="15" customHeight="1" x14ac:dyDescent="0.3">
      <c r="A36" s="205"/>
      <c r="B36" s="206">
        <v>3</v>
      </c>
      <c r="C36" s="207"/>
      <c r="D36" s="206" t="s">
        <v>523</v>
      </c>
      <c r="E36" s="444">
        <v>144</v>
      </c>
      <c r="F36" s="444"/>
      <c r="G36" s="439" t="s">
        <v>524</v>
      </c>
      <c r="H36" s="439"/>
      <c r="I36" s="439"/>
      <c r="J36" s="439"/>
      <c r="K36" s="439"/>
      <c r="L36" s="439"/>
      <c r="M36" s="439"/>
      <c r="N36" s="439"/>
      <c r="O36" s="439"/>
      <c r="P36" s="439"/>
      <c r="Q36" s="439"/>
      <c r="R36" s="439"/>
      <c r="S36" s="208"/>
      <c r="U36" s="210"/>
      <c r="V36" s="208"/>
      <c r="W36" s="208"/>
    </row>
    <row r="37" spans="1:23" s="209" customFormat="1" ht="15" customHeight="1" x14ac:dyDescent="0.3">
      <c r="A37" s="205"/>
      <c r="B37" s="206">
        <v>4</v>
      </c>
      <c r="C37" s="207">
        <v>81</v>
      </c>
      <c r="D37" s="206" t="s">
        <v>525</v>
      </c>
      <c r="E37" s="444">
        <v>145</v>
      </c>
      <c r="F37" s="444"/>
      <c r="G37" s="439" t="s">
        <v>526</v>
      </c>
      <c r="H37" s="439"/>
      <c r="I37" s="439"/>
      <c r="J37" s="439"/>
      <c r="K37" s="439"/>
      <c r="L37" s="439"/>
      <c r="M37" s="439"/>
      <c r="N37" s="439"/>
      <c r="O37" s="439"/>
      <c r="P37" s="439"/>
      <c r="Q37" s="439"/>
      <c r="R37" s="439"/>
      <c r="S37" s="208"/>
      <c r="U37" s="210"/>
      <c r="V37" s="208"/>
      <c r="W37" s="208"/>
    </row>
    <row r="38" spans="1:23" s="209" customFormat="1" ht="27.75" customHeight="1" x14ac:dyDescent="0.3">
      <c r="A38" s="205"/>
      <c r="B38" s="206">
        <v>5</v>
      </c>
      <c r="C38" s="207"/>
      <c r="D38" s="206"/>
      <c r="E38" s="444">
        <v>160</v>
      </c>
      <c r="F38" s="444"/>
      <c r="G38" s="439" t="s">
        <v>527</v>
      </c>
      <c r="H38" s="439"/>
      <c r="I38" s="439"/>
      <c r="J38" s="439"/>
      <c r="K38" s="439"/>
      <c r="L38" s="439"/>
      <c r="M38" s="439"/>
      <c r="N38" s="439"/>
      <c r="O38" s="439"/>
      <c r="P38" s="439"/>
      <c r="Q38" s="439"/>
      <c r="R38" s="439"/>
      <c r="S38" s="208"/>
      <c r="U38" s="210"/>
      <c r="V38" s="208"/>
      <c r="W38" s="208"/>
    </row>
    <row r="39" spans="1:23" s="209" customFormat="1" ht="15" customHeight="1" x14ac:dyDescent="0.3">
      <c r="A39" s="205"/>
      <c r="B39" s="206">
        <v>6</v>
      </c>
      <c r="C39" s="206"/>
      <c r="D39" s="206"/>
      <c r="E39" s="444">
        <v>20</v>
      </c>
      <c r="F39" s="444"/>
      <c r="G39" s="445" t="s">
        <v>528</v>
      </c>
      <c r="H39" s="445"/>
      <c r="I39" s="445"/>
      <c r="J39" s="445"/>
      <c r="K39" s="445"/>
      <c r="L39" s="445"/>
      <c r="M39" s="445"/>
      <c r="N39" s="445"/>
      <c r="O39" s="445"/>
      <c r="P39" s="445"/>
      <c r="Q39" s="445"/>
      <c r="R39" s="445"/>
    </row>
    <row r="40" spans="1:23" s="203" customFormat="1" ht="16.5" customHeight="1" x14ac:dyDescent="0.3">
      <c r="A40" s="201"/>
      <c r="B40" s="202">
        <v>7</v>
      </c>
      <c r="C40" s="202"/>
      <c r="D40" s="202">
        <v>26</v>
      </c>
      <c r="E40" s="442">
        <v>32</v>
      </c>
      <c r="F40" s="442"/>
      <c r="G40" s="443" t="s">
        <v>529</v>
      </c>
      <c r="H40" s="443"/>
      <c r="I40" s="443"/>
      <c r="J40" s="443"/>
      <c r="K40" s="443"/>
      <c r="L40" s="443"/>
      <c r="M40" s="443"/>
      <c r="N40" s="443"/>
      <c r="O40" s="443"/>
      <c r="P40" s="443"/>
      <c r="Q40" s="443"/>
      <c r="R40" s="443"/>
      <c r="T40" s="10"/>
      <c r="U40" s="10"/>
      <c r="V40" s="204"/>
    </row>
    <row r="41" spans="1:23" s="203" customFormat="1" ht="33" customHeight="1" x14ac:dyDescent="0.3">
      <c r="A41" s="211"/>
      <c r="B41" s="202">
        <v>8</v>
      </c>
      <c r="C41" s="202">
        <v>82</v>
      </c>
      <c r="D41" s="202">
        <v>73</v>
      </c>
      <c r="E41" s="442" t="s">
        <v>530</v>
      </c>
      <c r="F41" s="442"/>
      <c r="G41" s="446" t="s">
        <v>531</v>
      </c>
      <c r="H41" s="446"/>
      <c r="I41" s="446"/>
      <c r="J41" s="446"/>
      <c r="K41" s="446"/>
      <c r="L41" s="446"/>
      <c r="M41" s="446"/>
      <c r="N41" s="446"/>
      <c r="O41" s="446"/>
      <c r="P41" s="446"/>
      <c r="Q41" s="446"/>
      <c r="R41" s="446"/>
      <c r="T41" s="10"/>
      <c r="U41" s="10"/>
      <c r="V41" s="204"/>
    </row>
    <row r="42" spans="1:23" ht="13.5" customHeight="1" x14ac:dyDescent="0.3">
      <c r="A42" s="212"/>
      <c r="B42" s="213"/>
      <c r="C42" s="214"/>
      <c r="D42" s="214"/>
      <c r="E42" s="214"/>
      <c r="F42" s="214"/>
      <c r="G42" s="214"/>
      <c r="H42" s="214"/>
      <c r="I42" s="214"/>
      <c r="J42" s="214"/>
      <c r="K42" s="214"/>
      <c r="L42" s="214"/>
      <c r="M42" s="214"/>
      <c r="N42" s="214"/>
      <c r="O42" s="214"/>
      <c r="P42" s="214"/>
      <c r="Q42" s="214"/>
      <c r="R42" s="214"/>
      <c r="S42" s="215"/>
      <c r="T42" s="215"/>
      <c r="U42" s="215"/>
    </row>
    <row r="43" spans="1:23" ht="13.5" customHeight="1" x14ac:dyDescent="0.3">
      <c r="A43" s="191" t="s">
        <v>481</v>
      </c>
      <c r="B43" s="432" t="s">
        <v>482</v>
      </c>
      <c r="C43" s="432"/>
      <c r="D43" s="432"/>
      <c r="E43" s="433" t="s">
        <v>483</v>
      </c>
      <c r="F43" s="433"/>
      <c r="G43" s="433"/>
      <c r="H43" s="433"/>
      <c r="I43" s="433"/>
      <c r="J43" s="433"/>
      <c r="K43" s="433"/>
      <c r="L43" s="432" t="s">
        <v>484</v>
      </c>
      <c r="M43" s="432"/>
      <c r="N43" s="432"/>
      <c r="O43" s="432"/>
      <c r="P43" s="432"/>
      <c r="Q43" s="432"/>
      <c r="R43" s="432"/>
      <c r="S43" s="215"/>
      <c r="T43" s="215"/>
      <c r="U43" s="215"/>
    </row>
    <row r="44" spans="1:23" ht="28.5" customHeight="1" x14ac:dyDescent="0.3">
      <c r="A44" s="192">
        <v>8</v>
      </c>
      <c r="B44" s="438" t="s">
        <v>532</v>
      </c>
      <c r="C44" s="438"/>
      <c r="D44" s="438"/>
      <c r="E44" s="438"/>
      <c r="F44" s="438"/>
      <c r="G44" s="438"/>
      <c r="H44" s="438"/>
      <c r="I44" s="438"/>
      <c r="J44" s="438"/>
      <c r="K44" s="438"/>
      <c r="L44" s="436" t="s">
        <v>488</v>
      </c>
      <c r="M44" s="436"/>
      <c r="N44" s="436"/>
      <c r="O44" s="436"/>
      <c r="P44" s="436"/>
      <c r="Q44" s="436"/>
      <c r="R44" s="436"/>
      <c r="S44" s="215"/>
      <c r="T44" s="215"/>
      <c r="U44" s="215"/>
    </row>
    <row r="45" spans="1:23" ht="41.25" customHeight="1" x14ac:dyDescent="0.3">
      <c r="A45" s="192">
        <v>9</v>
      </c>
      <c r="B45" s="436" t="s">
        <v>533</v>
      </c>
      <c r="C45" s="436"/>
      <c r="D45" s="436"/>
      <c r="E45" s="436"/>
      <c r="F45" s="436"/>
      <c r="G45" s="436"/>
      <c r="H45" s="436"/>
      <c r="I45" s="436"/>
      <c r="J45" s="436"/>
      <c r="K45" s="436"/>
      <c r="L45" s="436" t="s">
        <v>488</v>
      </c>
      <c r="M45" s="436"/>
      <c r="N45" s="436"/>
      <c r="O45" s="436"/>
      <c r="P45" s="436"/>
      <c r="Q45" s="436"/>
      <c r="R45" s="436"/>
      <c r="S45" s="215"/>
      <c r="T45" s="215"/>
      <c r="U45" s="215"/>
    </row>
    <row r="46" spans="1:23" ht="50.25" customHeight="1" x14ac:dyDescent="0.3">
      <c r="A46" s="192">
        <v>10</v>
      </c>
      <c r="B46" s="438" t="s">
        <v>534</v>
      </c>
      <c r="C46" s="438"/>
      <c r="D46" s="438"/>
      <c r="E46" s="438"/>
      <c r="F46" s="438"/>
      <c r="G46" s="438"/>
      <c r="H46" s="438"/>
      <c r="I46" s="438"/>
      <c r="J46" s="438"/>
      <c r="K46" s="438"/>
      <c r="L46" s="436" t="s">
        <v>488</v>
      </c>
      <c r="M46" s="436"/>
      <c r="N46" s="436"/>
      <c r="O46" s="436"/>
      <c r="P46" s="436"/>
      <c r="Q46" s="436"/>
      <c r="R46" s="436"/>
      <c r="S46" s="215"/>
      <c r="T46" s="215"/>
      <c r="U46" s="215"/>
    </row>
    <row r="47" spans="1:23" s="54" customFormat="1" ht="15.75" customHeight="1" x14ac:dyDescent="0.3">
      <c r="A47" s="88"/>
      <c r="B47" s="49"/>
      <c r="C47" s="49"/>
      <c r="D47" s="49"/>
      <c r="E47" s="49"/>
      <c r="F47" s="49"/>
      <c r="G47" s="49"/>
      <c r="H47" s="49"/>
      <c r="I47" s="49"/>
      <c r="J47" s="49"/>
      <c r="K47" s="49"/>
      <c r="L47" s="56"/>
      <c r="M47" s="56"/>
      <c r="N47" s="56"/>
      <c r="O47" s="56"/>
      <c r="P47" s="56"/>
      <c r="Q47" s="56"/>
      <c r="R47" s="56"/>
    </row>
    <row r="48" spans="1:23" s="54" customFormat="1" ht="15.75" customHeight="1" x14ac:dyDescent="0.3">
      <c r="A48" s="88"/>
      <c r="B48" s="49"/>
      <c r="C48" s="49"/>
      <c r="D48" s="49"/>
      <c r="E48" s="49"/>
      <c r="F48" s="49"/>
      <c r="G48" s="49"/>
      <c r="H48" s="49"/>
      <c r="I48" s="49"/>
      <c r="J48" s="49"/>
      <c r="K48" s="49"/>
      <c r="L48" s="56"/>
      <c r="M48" s="56"/>
      <c r="N48" s="56"/>
      <c r="O48" s="56"/>
      <c r="P48" s="56"/>
      <c r="Q48" s="56"/>
      <c r="R48" s="56"/>
    </row>
    <row r="49" spans="1:30" s="54" customFormat="1" ht="15.75" customHeight="1" x14ac:dyDescent="0.3">
      <c r="A49" s="88"/>
      <c r="B49" s="49"/>
      <c r="C49" s="49"/>
      <c r="D49" s="49"/>
      <c r="E49" s="49"/>
      <c r="F49" s="49"/>
      <c r="G49" s="49"/>
      <c r="H49" s="49"/>
      <c r="I49" s="49"/>
      <c r="J49" s="49"/>
      <c r="K49" s="49"/>
      <c r="L49" s="56"/>
      <c r="M49" s="56"/>
      <c r="N49" s="56"/>
      <c r="O49" s="56"/>
      <c r="P49" s="56"/>
      <c r="Q49" s="56"/>
      <c r="R49" s="56"/>
    </row>
    <row r="50" spans="1:30" s="54" customFormat="1" ht="15.75" customHeight="1" x14ac:dyDescent="0.3">
      <c r="A50" s="88"/>
      <c r="B50" s="49"/>
      <c r="C50" s="49"/>
      <c r="D50" s="49"/>
      <c r="E50" s="49"/>
      <c r="F50" s="49"/>
      <c r="G50" s="49"/>
      <c r="H50" s="49"/>
      <c r="I50" s="49"/>
      <c r="J50" s="49"/>
      <c r="K50" s="49"/>
      <c r="L50" s="56"/>
      <c r="M50" s="56"/>
      <c r="N50" s="56"/>
      <c r="O50" s="56"/>
      <c r="P50" s="56"/>
      <c r="Q50" s="56"/>
      <c r="R50" s="56"/>
    </row>
    <row r="51" spans="1:30" s="54" customFormat="1" ht="15.75" customHeight="1" x14ac:dyDescent="0.3">
      <c r="A51" s="88"/>
      <c r="B51" s="49"/>
      <c r="C51" s="49"/>
      <c r="D51" s="49"/>
      <c r="E51" s="49"/>
      <c r="F51" s="49"/>
      <c r="G51" s="49"/>
      <c r="H51" s="49"/>
      <c r="I51" s="49"/>
      <c r="J51" s="49"/>
      <c r="K51" s="49"/>
      <c r="L51" s="56"/>
      <c r="M51" s="56"/>
      <c r="N51" s="56"/>
      <c r="O51" s="56"/>
      <c r="P51" s="56"/>
      <c r="Q51" s="56"/>
      <c r="R51" s="56"/>
    </row>
    <row r="52" spans="1:30" s="209" customFormat="1" ht="15.75" customHeight="1" x14ac:dyDescent="0.3">
      <c r="A52" s="210"/>
      <c r="B52" s="216"/>
      <c r="C52" s="216"/>
      <c r="D52" s="216"/>
      <c r="E52" s="216"/>
      <c r="F52" s="216"/>
      <c r="G52" s="216"/>
      <c r="H52" s="216"/>
      <c r="I52" s="216"/>
      <c r="J52" s="216"/>
      <c r="K52" s="217" t="s">
        <v>17</v>
      </c>
      <c r="L52" s="208"/>
      <c r="M52" s="208"/>
      <c r="N52" s="208"/>
      <c r="O52" s="208"/>
      <c r="P52" s="208"/>
      <c r="Q52" s="208"/>
      <c r="R52" s="208"/>
    </row>
    <row r="53" spans="1:30" s="209" customFormat="1" ht="15.75" customHeight="1" x14ac:dyDescent="0.3">
      <c r="A53" s="210"/>
      <c r="B53" s="216"/>
      <c r="C53" s="216"/>
      <c r="D53" s="216"/>
      <c r="E53" s="216"/>
      <c r="F53" s="216"/>
      <c r="G53" s="216"/>
      <c r="H53" s="216"/>
      <c r="I53" s="216"/>
      <c r="J53" s="216"/>
      <c r="K53" s="216" t="s">
        <v>18</v>
      </c>
      <c r="L53" s="208"/>
      <c r="M53" s="208"/>
      <c r="N53" s="208"/>
      <c r="O53" s="208"/>
      <c r="P53" s="208"/>
      <c r="Q53" s="208"/>
      <c r="R53" s="208"/>
    </row>
    <row r="54" spans="1:30" s="209" customFormat="1" ht="15.75" customHeight="1" x14ac:dyDescent="0.3">
      <c r="A54" s="447">
        <f>+TIT!$D$13</f>
        <v>46277</v>
      </c>
      <c r="B54" s="447"/>
      <c r="C54" s="447"/>
      <c r="D54" s="447"/>
      <c r="E54" s="447"/>
      <c r="F54" s="447"/>
      <c r="G54" s="216"/>
      <c r="H54" s="216"/>
      <c r="I54" s="216"/>
      <c r="J54" s="216"/>
      <c r="K54" s="216" t="s">
        <v>333</v>
      </c>
      <c r="L54" s="208"/>
      <c r="M54" s="208"/>
      <c r="N54" s="208"/>
      <c r="O54" s="208"/>
      <c r="P54" s="208"/>
      <c r="Q54" s="208"/>
      <c r="R54" s="208"/>
    </row>
    <row r="55" spans="1:30" ht="9.75" customHeight="1" x14ac:dyDescent="0.3">
      <c r="A55" s="194"/>
      <c r="B55" s="195"/>
      <c r="C55" s="195"/>
      <c r="D55" s="195"/>
      <c r="E55" s="195"/>
      <c r="F55" s="195"/>
      <c r="G55" s="195"/>
      <c r="H55" s="195"/>
      <c r="I55" s="195"/>
      <c r="J55" s="195"/>
      <c r="K55" s="195"/>
      <c r="L55" s="195"/>
      <c r="M55" s="195"/>
      <c r="N55" s="195"/>
      <c r="O55" s="195"/>
      <c r="P55" s="195"/>
      <c r="Q55" s="195"/>
      <c r="R55" s="195"/>
      <c r="S55" s="215"/>
      <c r="T55" s="215"/>
      <c r="U55" s="215"/>
    </row>
    <row r="56" spans="1:30" ht="9.75" customHeight="1" x14ac:dyDescent="0.3">
      <c r="A56" s="194"/>
      <c r="B56" s="195"/>
      <c r="C56" s="195"/>
      <c r="D56" s="195"/>
      <c r="E56" s="195"/>
      <c r="F56" s="195"/>
      <c r="G56" s="195"/>
      <c r="H56" s="195"/>
      <c r="I56" s="195"/>
      <c r="J56" s="195"/>
      <c r="K56" s="195"/>
      <c r="L56" s="195"/>
      <c r="M56" s="195"/>
      <c r="N56" s="195"/>
      <c r="O56" s="195"/>
      <c r="P56" s="195"/>
      <c r="Q56" s="195"/>
      <c r="R56" s="195"/>
      <c r="S56" s="215"/>
      <c r="T56" s="215"/>
      <c r="U56" s="215"/>
    </row>
    <row r="57" spans="1:30" ht="15" customHeight="1" x14ac:dyDescent="0.3">
      <c r="A57" s="431" t="s">
        <v>535</v>
      </c>
      <c r="B57" s="431"/>
      <c r="C57" s="431"/>
      <c r="D57" s="431"/>
      <c r="E57" s="431"/>
      <c r="F57" s="431"/>
      <c r="G57" s="431"/>
      <c r="H57" s="431"/>
      <c r="I57" s="431"/>
      <c r="J57" s="431"/>
      <c r="K57" s="431"/>
      <c r="L57" s="431"/>
      <c r="M57" s="431"/>
      <c r="N57" s="431"/>
      <c r="O57" s="431"/>
      <c r="P57" s="431"/>
      <c r="Q57" s="431"/>
      <c r="R57" s="431"/>
      <c r="S57" s="215"/>
      <c r="T57" s="218" t="str">
        <f>+TIT!D2</f>
        <v>PRATHAMESH HARMONY "B"  WING CO-OPERATIVE HOUSING SOCIETY LTD.</v>
      </c>
      <c r="U57" s="215"/>
      <c r="V57" s="219"/>
      <c r="W57" s="219"/>
      <c r="X57" s="219"/>
      <c r="Y57" s="219"/>
    </row>
    <row r="58" spans="1:30" ht="15" customHeight="1" x14ac:dyDescent="0.3">
      <c r="A58" s="220" t="s">
        <v>459</v>
      </c>
      <c r="B58" s="220"/>
      <c r="C58" s="215"/>
      <c r="D58" s="215"/>
      <c r="E58" s="215"/>
      <c r="F58" s="215"/>
      <c r="G58" s="215"/>
      <c r="H58" s="215"/>
      <c r="I58" s="215"/>
      <c r="J58" s="215"/>
      <c r="K58" s="215"/>
      <c r="L58" s="215"/>
      <c r="M58" s="215"/>
      <c r="N58" s="215"/>
      <c r="O58" s="215"/>
      <c r="P58" s="215"/>
      <c r="Q58" s="215"/>
      <c r="R58" s="215"/>
      <c r="S58" s="215"/>
      <c r="T58" s="215"/>
      <c r="U58" s="215"/>
      <c r="V58" s="219"/>
      <c r="W58" s="221"/>
      <c r="X58" s="221"/>
      <c r="Y58" s="221"/>
    </row>
    <row r="59" spans="1:30" s="215" customFormat="1" ht="53.25" customHeight="1" x14ac:dyDescent="0.3">
      <c r="A59" s="222"/>
      <c r="B59" s="448" t="str">
        <f>"I have been appointed as the Statutory auditors of "&amp;TIT!D2&amp;"  "&amp;TIT!D6&amp;"  by  members of  the Society in their Annual General Body Meeting Dt. "&amp;TEXT(TIT!D18,"dd-mmm-yyyy")&amp;"  and  Accordingly I have completed the Audit work.  "</f>
        <v xml:space="preserve">I have been appointed as the Statutory auditors of PRATHAMESH HARMONY "B"  WING CO-OPERATIVE HOUSING SOCIETY LTD.  CTS.No. 227,228 &amp; 216, Gautam Buddha Marg, Orlem, Malad - West, Mumbai - 400 064  by  members of  the Society in their Annual General Body Meeting Dt. 28-Sep-2025  and  Accordingly I have completed the Audit work.  </v>
      </c>
      <c r="C59" s="448"/>
      <c r="D59" s="448"/>
      <c r="E59" s="448"/>
      <c r="F59" s="448"/>
      <c r="G59" s="448"/>
      <c r="H59" s="448"/>
      <c r="I59" s="448"/>
      <c r="J59" s="448"/>
      <c r="K59" s="448"/>
      <c r="L59" s="448"/>
      <c r="M59" s="448"/>
      <c r="N59" s="448"/>
      <c r="O59" s="448"/>
      <c r="P59" s="448"/>
      <c r="Q59" s="448"/>
      <c r="R59" s="448"/>
      <c r="U59" s="223"/>
      <c r="V59" s="223"/>
      <c r="W59" s="223"/>
      <c r="X59" s="223"/>
      <c r="Y59" s="223"/>
      <c r="Z59" s="223"/>
      <c r="AA59" s="223"/>
      <c r="AB59" s="223"/>
      <c r="AC59" s="223"/>
      <c r="AD59" s="223"/>
    </row>
    <row r="60" spans="1:30" s="188" customFormat="1" ht="68.25" customHeight="1" x14ac:dyDescent="0.3">
      <c r="A60" s="222"/>
      <c r="B60" s="448" t="s">
        <v>536</v>
      </c>
      <c r="C60" s="448"/>
      <c r="D60" s="448"/>
      <c r="E60" s="448"/>
      <c r="F60" s="448"/>
      <c r="G60" s="448"/>
      <c r="H60" s="448"/>
      <c r="I60" s="448"/>
      <c r="J60" s="448"/>
      <c r="K60" s="448"/>
      <c r="L60" s="448"/>
      <c r="M60" s="448"/>
      <c r="N60" s="448"/>
      <c r="O60" s="448"/>
      <c r="P60" s="448"/>
      <c r="Q60" s="448"/>
      <c r="R60" s="448"/>
      <c r="S60" s="215"/>
      <c r="Y60" s="224"/>
    </row>
    <row r="61" spans="1:30" s="215" customFormat="1" ht="42.75" customHeight="1" x14ac:dyDescent="0.3">
      <c r="A61" s="222"/>
      <c r="B61" s="448" t="s">
        <v>537</v>
      </c>
      <c r="C61" s="448"/>
      <c r="D61" s="448"/>
      <c r="E61" s="448"/>
      <c r="F61" s="448"/>
      <c r="G61" s="448"/>
      <c r="H61" s="448"/>
      <c r="I61" s="448"/>
      <c r="J61" s="448"/>
      <c r="K61" s="448"/>
      <c r="L61" s="448"/>
      <c r="M61" s="448"/>
      <c r="N61" s="448"/>
      <c r="O61" s="448"/>
      <c r="P61" s="448"/>
      <c r="Q61" s="448"/>
      <c r="R61" s="448"/>
      <c r="U61" s="223"/>
      <c r="V61" s="223"/>
      <c r="W61" s="223"/>
      <c r="X61" s="223"/>
      <c r="Y61" s="223"/>
      <c r="Z61" s="223"/>
      <c r="AA61" s="223"/>
      <c r="AB61" s="223"/>
      <c r="AC61" s="223"/>
      <c r="AD61" s="223"/>
    </row>
    <row r="62" spans="1:30" s="188" customFormat="1" ht="30.75" customHeight="1" x14ac:dyDescent="0.3">
      <c r="A62" s="222"/>
      <c r="B62" s="449" t="s">
        <v>538</v>
      </c>
      <c r="C62" s="449"/>
      <c r="D62" s="449"/>
      <c r="E62" s="449"/>
      <c r="F62" s="449"/>
      <c r="G62" s="449"/>
      <c r="H62" s="449"/>
      <c r="I62" s="449"/>
      <c r="J62" s="449"/>
      <c r="K62" s="449"/>
      <c r="L62" s="449"/>
      <c r="M62" s="449"/>
      <c r="N62" s="449"/>
      <c r="O62" s="449"/>
      <c r="P62" s="449"/>
      <c r="Q62" s="449"/>
      <c r="R62" s="449"/>
      <c r="S62" s="215"/>
      <c r="T62" s="215"/>
      <c r="U62" s="215"/>
      <c r="V62" s="226"/>
      <c r="W62" s="224"/>
      <c r="X62" s="224"/>
      <c r="Y62" s="224"/>
    </row>
    <row r="63" spans="1:30" s="215" customFormat="1" ht="6" customHeight="1" x14ac:dyDescent="0.3">
      <c r="A63" s="222"/>
      <c r="B63" s="225"/>
      <c r="C63" s="225"/>
      <c r="D63" s="225"/>
      <c r="E63" s="225"/>
      <c r="F63" s="225"/>
      <c r="G63" s="225"/>
      <c r="H63" s="225"/>
      <c r="I63" s="225"/>
      <c r="J63" s="225"/>
      <c r="K63" s="225"/>
      <c r="L63" s="225"/>
      <c r="M63" s="225"/>
      <c r="N63" s="225"/>
      <c r="O63" s="225"/>
      <c r="P63" s="225"/>
      <c r="Q63" s="225"/>
      <c r="R63" s="225"/>
      <c r="V63" s="226"/>
      <c r="W63" s="224"/>
      <c r="X63" s="224"/>
      <c r="Y63" s="221"/>
    </row>
    <row r="64" spans="1:30" s="215" customFormat="1" ht="18" customHeight="1" x14ac:dyDescent="0.3">
      <c r="A64" s="227" t="s">
        <v>539</v>
      </c>
      <c r="B64" s="195"/>
      <c r="C64" s="195"/>
      <c r="D64" s="195"/>
      <c r="E64" s="195"/>
      <c r="F64" s="195"/>
      <c r="G64" s="195"/>
      <c r="H64" s="195"/>
      <c r="I64" s="195"/>
      <c r="J64" s="195"/>
      <c r="K64" s="195"/>
      <c r="L64" s="195"/>
      <c r="M64" s="195"/>
      <c r="N64" s="195"/>
      <c r="O64" s="195"/>
      <c r="P64" s="195"/>
      <c r="Q64" s="195"/>
      <c r="R64" s="195"/>
      <c r="V64" s="226"/>
      <c r="W64" s="224"/>
      <c r="X64" s="224"/>
      <c r="Y64" s="224"/>
    </row>
    <row r="65" spans="1:25" s="209" customFormat="1" ht="29.25" customHeight="1" x14ac:dyDescent="0.3">
      <c r="A65" s="220"/>
      <c r="B65" s="448" t="s">
        <v>540</v>
      </c>
      <c r="C65" s="448"/>
      <c r="D65" s="448"/>
      <c r="E65" s="448"/>
      <c r="F65" s="448"/>
      <c r="G65" s="448"/>
      <c r="H65" s="448"/>
      <c r="I65" s="448"/>
      <c r="J65" s="448"/>
      <c r="K65" s="448"/>
      <c r="L65" s="448"/>
      <c r="M65" s="448"/>
      <c r="N65" s="448"/>
      <c r="O65" s="448"/>
      <c r="P65" s="448"/>
      <c r="Q65" s="448"/>
      <c r="R65" s="448"/>
      <c r="T65" s="210"/>
      <c r="U65" s="208"/>
      <c r="V65" s="208"/>
    </row>
    <row r="66" spans="1:25" s="232" customFormat="1" ht="15" customHeight="1" x14ac:dyDescent="0.3">
      <c r="A66" s="228"/>
      <c r="B66" s="229"/>
      <c r="C66" s="215" t="s">
        <v>81</v>
      </c>
      <c r="D66" s="215"/>
      <c r="E66" s="215"/>
      <c r="F66" s="215"/>
      <c r="G66" s="215" t="s">
        <v>184</v>
      </c>
      <c r="H66" s="449" t="s">
        <v>853</v>
      </c>
      <c r="I66" s="449"/>
      <c r="J66" s="449"/>
      <c r="K66" s="449"/>
      <c r="L66" s="449"/>
      <c r="M66" s="229"/>
      <c r="N66" s="229"/>
      <c r="O66" s="229"/>
      <c r="P66" s="229"/>
      <c r="Q66" s="229"/>
      <c r="R66" s="229"/>
      <c r="S66" s="215"/>
      <c r="T66" s="215"/>
      <c r="U66" s="215"/>
      <c r="V66" s="230"/>
      <c r="W66" s="231"/>
      <c r="X66" s="231"/>
      <c r="Y66" s="231"/>
    </row>
    <row r="67" spans="1:25" s="232" customFormat="1" ht="15" customHeight="1" x14ac:dyDescent="0.3">
      <c r="A67" s="228"/>
      <c r="B67" s="229"/>
      <c r="C67" s="215" t="s">
        <v>43</v>
      </c>
      <c r="D67" s="215"/>
      <c r="E67" s="215"/>
      <c r="F67" s="215"/>
      <c r="G67" s="215" t="s">
        <v>184</v>
      </c>
      <c r="H67" s="449" t="s">
        <v>854</v>
      </c>
      <c r="I67" s="449"/>
      <c r="J67" s="449"/>
      <c r="K67" s="449"/>
      <c r="L67" s="449"/>
      <c r="M67" s="229"/>
      <c r="N67" s="229"/>
      <c r="O67" s="229"/>
      <c r="P67" s="229"/>
      <c r="Q67" s="229"/>
      <c r="R67" s="229"/>
      <c r="S67" s="215"/>
      <c r="T67" s="215"/>
      <c r="U67" s="215"/>
      <c r="V67" s="233"/>
      <c r="W67" s="234"/>
      <c r="X67" s="234"/>
      <c r="Y67" s="231"/>
    </row>
    <row r="68" spans="1:25" s="232" customFormat="1" ht="15" customHeight="1" x14ac:dyDescent="0.3">
      <c r="A68" s="228"/>
      <c r="B68" s="229"/>
      <c r="C68" s="215" t="s">
        <v>541</v>
      </c>
      <c r="D68" s="215"/>
      <c r="E68" s="215"/>
      <c r="F68" s="215"/>
      <c r="G68" s="215" t="s">
        <v>184</v>
      </c>
      <c r="H68" s="449" t="s">
        <v>855</v>
      </c>
      <c r="I68" s="449"/>
      <c r="J68" s="449"/>
      <c r="K68" s="449"/>
      <c r="L68" s="449"/>
      <c r="M68" s="229"/>
      <c r="N68" s="229"/>
      <c r="O68" s="229"/>
      <c r="P68" s="229"/>
      <c r="Q68" s="229"/>
      <c r="R68" s="229"/>
      <c r="S68" s="215"/>
      <c r="T68" s="215"/>
      <c r="U68" s="215"/>
      <c r="V68" s="233"/>
      <c r="W68" s="234"/>
      <c r="X68" s="234"/>
      <c r="Y68" s="231"/>
    </row>
    <row r="69" spans="1:25" s="232" customFormat="1" ht="15" customHeight="1" x14ac:dyDescent="0.3">
      <c r="A69" s="228"/>
      <c r="B69" s="229"/>
      <c r="C69" s="215" t="s">
        <v>541</v>
      </c>
      <c r="D69" s="215"/>
      <c r="E69" s="215"/>
      <c r="F69" s="215"/>
      <c r="G69" s="215" t="s">
        <v>184</v>
      </c>
      <c r="H69" s="449" t="s">
        <v>856</v>
      </c>
      <c r="I69" s="449"/>
      <c r="J69" s="449"/>
      <c r="K69" s="449"/>
      <c r="L69" s="449"/>
      <c r="M69" s="229"/>
      <c r="N69" s="229"/>
      <c r="O69" s="229"/>
      <c r="P69" s="229"/>
      <c r="Q69" s="229"/>
      <c r="R69" s="229"/>
      <c r="S69" s="215"/>
      <c r="T69" s="215"/>
      <c r="U69" s="215"/>
      <c r="V69" s="233"/>
      <c r="W69" s="234"/>
      <c r="X69" s="234"/>
      <c r="Y69" s="231"/>
    </row>
    <row r="70" spans="1:25" s="188" customFormat="1" ht="6" customHeight="1" x14ac:dyDescent="0.3">
      <c r="A70" s="227"/>
      <c r="B70" s="195"/>
      <c r="C70" s="195"/>
      <c r="D70" s="195"/>
      <c r="E70" s="195"/>
      <c r="F70" s="195"/>
      <c r="G70" s="195"/>
      <c r="H70" s="195"/>
      <c r="I70" s="195"/>
      <c r="J70" s="195"/>
      <c r="K70" s="195"/>
      <c r="L70" s="195"/>
      <c r="M70" s="195"/>
      <c r="N70" s="195"/>
      <c r="O70" s="195"/>
      <c r="P70" s="195"/>
      <c r="Q70" s="195"/>
      <c r="R70" s="195"/>
      <c r="S70" s="215"/>
      <c r="T70" s="449"/>
      <c r="U70" s="449"/>
      <c r="V70" s="449"/>
      <c r="W70" s="449"/>
      <c r="X70" s="449"/>
      <c r="Y70" s="224"/>
    </row>
    <row r="71" spans="1:25" s="188" customFormat="1" ht="15" customHeight="1" x14ac:dyDescent="0.3">
      <c r="A71" s="217" t="s">
        <v>542</v>
      </c>
      <c r="B71" s="217"/>
      <c r="C71" s="235"/>
      <c r="D71" s="235"/>
      <c r="E71" s="235"/>
      <c r="F71" s="235"/>
      <c r="G71" s="235"/>
      <c r="H71" s="235"/>
      <c r="I71" s="235"/>
      <c r="J71" s="235"/>
      <c r="K71" s="235"/>
      <c r="L71" s="235"/>
      <c r="M71" s="235"/>
      <c r="N71" s="235"/>
      <c r="O71" s="235"/>
      <c r="P71" s="215"/>
      <c r="Q71" s="215"/>
      <c r="R71" s="215"/>
      <c r="S71" s="215"/>
      <c r="T71" s="449"/>
      <c r="U71" s="449"/>
      <c r="V71" s="449"/>
      <c r="W71" s="449"/>
      <c r="X71" s="449"/>
      <c r="Y71" s="221"/>
    </row>
    <row r="72" spans="1:25" s="188" customFormat="1" ht="15" customHeight="1" x14ac:dyDescent="0.3">
      <c r="A72" s="217"/>
      <c r="B72" s="217"/>
      <c r="C72" s="449" t="s">
        <v>543</v>
      </c>
      <c r="D72" s="449"/>
      <c r="E72" s="449"/>
      <c r="F72" s="449"/>
      <c r="G72" s="449"/>
      <c r="H72" s="449"/>
      <c r="I72" s="449"/>
      <c r="J72" s="449"/>
      <c r="K72" s="449"/>
      <c r="L72" s="449"/>
      <c r="M72" s="449"/>
      <c r="N72" s="449"/>
      <c r="O72" s="449"/>
      <c r="P72" s="449"/>
      <c r="Q72" s="449"/>
      <c r="R72" s="449"/>
      <c r="S72" s="215"/>
      <c r="T72" s="449"/>
      <c r="U72" s="449"/>
      <c r="V72" s="449"/>
      <c r="W72" s="449"/>
      <c r="X72" s="449"/>
      <c r="Y72" s="221"/>
    </row>
    <row r="73" spans="1:25" s="188" customFormat="1" ht="15" customHeight="1" x14ac:dyDescent="0.3">
      <c r="A73" s="217"/>
      <c r="B73" s="217"/>
      <c r="C73" s="236" t="s">
        <v>544</v>
      </c>
      <c r="D73" s="450" t="s">
        <v>545</v>
      </c>
      <c r="E73" s="450"/>
      <c r="F73" s="450"/>
      <c r="G73" s="450"/>
      <c r="H73" s="450"/>
      <c r="I73" s="450"/>
      <c r="J73" s="450" t="s">
        <v>546</v>
      </c>
      <c r="K73" s="450"/>
      <c r="L73" s="450"/>
      <c r="M73" s="450" t="s">
        <v>547</v>
      </c>
      <c r="N73" s="450"/>
      <c r="O73" s="450"/>
      <c r="P73" s="450"/>
      <c r="Q73" s="450"/>
      <c r="R73" s="450"/>
      <c r="S73" s="215"/>
      <c r="T73" s="449"/>
      <c r="U73" s="449"/>
      <c r="V73" s="449"/>
      <c r="W73" s="449"/>
      <c r="X73" s="449"/>
      <c r="Y73" s="221"/>
    </row>
    <row r="74" spans="1:25" s="188" customFormat="1" ht="51.75" customHeight="1" x14ac:dyDescent="0.3">
      <c r="A74" s="217"/>
      <c r="B74" s="217"/>
      <c r="C74" s="237">
        <v>1</v>
      </c>
      <c r="D74" s="451" t="s">
        <v>548</v>
      </c>
      <c r="E74" s="451"/>
      <c r="F74" s="451"/>
      <c r="G74" s="451"/>
      <c r="H74" s="451"/>
      <c r="I74" s="451"/>
      <c r="J74" s="452">
        <f>+TIT!D20</f>
        <v>12</v>
      </c>
      <c r="K74" s="452"/>
      <c r="L74" s="452"/>
      <c r="M74" s="452" t="s">
        <v>857</v>
      </c>
      <c r="N74" s="452"/>
      <c r="O74" s="452"/>
      <c r="P74" s="452"/>
      <c r="Q74" s="452"/>
      <c r="R74" s="452"/>
      <c r="S74" s="215"/>
      <c r="T74" s="238"/>
      <c r="U74" s="215"/>
      <c r="V74" s="226"/>
      <c r="W74" s="224"/>
      <c r="X74" s="224"/>
      <c r="Y74" s="221"/>
    </row>
    <row r="75" spans="1:25" s="188" customFormat="1" ht="15" customHeight="1" x14ac:dyDescent="0.3">
      <c r="A75" s="217"/>
      <c r="B75" s="217"/>
      <c r="C75" s="239">
        <v>2</v>
      </c>
      <c r="D75" s="453" t="s">
        <v>549</v>
      </c>
      <c r="E75" s="453"/>
      <c r="F75" s="453"/>
      <c r="G75" s="453"/>
      <c r="H75" s="453"/>
      <c r="I75" s="453"/>
      <c r="J75" s="454">
        <v>1</v>
      </c>
      <c r="K75" s="454"/>
      <c r="L75" s="454"/>
      <c r="M75" s="455">
        <f>+TIT!D18</f>
        <v>45928</v>
      </c>
      <c r="N75" s="455"/>
      <c r="O75" s="455"/>
      <c r="P75" s="455"/>
      <c r="Q75" s="455"/>
      <c r="R75" s="455"/>
      <c r="S75" s="215"/>
      <c r="T75" s="238"/>
      <c r="U75" s="215"/>
      <c r="V75" s="226"/>
      <c r="W75" s="224"/>
      <c r="X75" s="224"/>
      <c r="Y75" s="221"/>
    </row>
    <row r="76" spans="1:25" s="188" customFormat="1" ht="15" customHeight="1" x14ac:dyDescent="0.3">
      <c r="A76" s="217"/>
      <c r="B76" s="217"/>
      <c r="C76" s="239">
        <v>3</v>
      </c>
      <c r="D76" s="453" t="s">
        <v>550</v>
      </c>
      <c r="E76" s="453"/>
      <c r="F76" s="453"/>
      <c r="G76" s="453"/>
      <c r="H76" s="453"/>
      <c r="I76" s="453"/>
      <c r="J76" s="454">
        <v>0</v>
      </c>
      <c r="K76" s="454"/>
      <c r="L76" s="454"/>
      <c r="M76" s="455" t="str">
        <f>+TIT!D19</f>
        <v>Nil</v>
      </c>
      <c r="N76" s="455"/>
      <c r="O76" s="455"/>
      <c r="P76" s="455"/>
      <c r="Q76" s="455"/>
      <c r="R76" s="455"/>
      <c r="S76" s="215"/>
      <c r="T76" s="238"/>
      <c r="U76" s="215"/>
      <c r="V76" s="226"/>
      <c r="W76" s="224"/>
      <c r="X76" s="224"/>
      <c r="Y76" s="221"/>
    </row>
    <row r="77" spans="1:25" s="188" customFormat="1" ht="7.5" customHeight="1" x14ac:dyDescent="0.3">
      <c r="A77" s="217"/>
      <c r="B77" s="217"/>
      <c r="C77" s="235"/>
      <c r="D77" s="235"/>
      <c r="E77" s="235"/>
      <c r="F77" s="235"/>
      <c r="G77" s="235"/>
      <c r="H77" s="235"/>
      <c r="I77" s="235"/>
      <c r="J77" s="235"/>
      <c r="K77" s="235"/>
      <c r="L77" s="235"/>
      <c r="M77" s="235"/>
      <c r="N77" s="235"/>
      <c r="O77" s="235"/>
      <c r="P77" s="215"/>
      <c r="Q77" s="215"/>
      <c r="R77" s="215"/>
      <c r="S77" s="215"/>
      <c r="T77" s="238"/>
      <c r="U77" s="215"/>
      <c r="V77" s="226"/>
      <c r="W77" s="224"/>
      <c r="X77" s="224"/>
      <c r="Y77" s="221"/>
    </row>
    <row r="78" spans="1:25" s="242" customFormat="1" ht="15" customHeight="1" x14ac:dyDescent="0.3">
      <c r="A78" s="217"/>
      <c r="B78" s="217" t="s">
        <v>551</v>
      </c>
      <c r="C78" s="235"/>
      <c r="D78" s="235"/>
      <c r="E78" s="235"/>
      <c r="F78" s="235"/>
      <c r="G78" s="235"/>
      <c r="H78" s="235"/>
      <c r="I78" s="235"/>
      <c r="J78" s="235"/>
      <c r="K78" s="235"/>
      <c r="L78" s="235"/>
      <c r="M78" s="235"/>
      <c r="N78" s="235"/>
      <c r="O78" s="235"/>
      <c r="P78" s="215"/>
      <c r="Q78" s="215"/>
      <c r="R78" s="215"/>
      <c r="S78" s="215"/>
      <c r="T78" s="238"/>
      <c r="U78" s="215"/>
      <c r="V78" s="240"/>
      <c r="W78" s="241"/>
      <c r="X78" s="241"/>
      <c r="Y78" s="241"/>
    </row>
    <row r="79" spans="1:25" s="242" customFormat="1" ht="31.5" customHeight="1" x14ac:dyDescent="0.3">
      <c r="A79" s="220"/>
      <c r="B79" s="243">
        <v>1</v>
      </c>
      <c r="C79" s="448" t="str">
        <f>"The Annual General Body Meeting was held on "&amp;TEXT(TIT!D18,"dd mmmm yyyy")&amp;".  We found that minutes of the meetings are maintained. The minutes of the above meetings are print outs pasted in the minute book."</f>
        <v>The Annual General Body Meeting was held on 28 September 2025.  We found that minutes of the meetings are maintained. The minutes of the above meetings are print outs pasted in the minute book.</v>
      </c>
      <c r="D79" s="448"/>
      <c r="E79" s="448"/>
      <c r="F79" s="448"/>
      <c r="G79" s="448"/>
      <c r="H79" s="448"/>
      <c r="I79" s="448"/>
      <c r="J79" s="448"/>
      <c r="K79" s="448"/>
      <c r="L79" s="448"/>
      <c r="M79" s="448"/>
      <c r="N79" s="448"/>
      <c r="O79" s="448"/>
      <c r="P79" s="448"/>
      <c r="Q79" s="448"/>
      <c r="R79" s="448"/>
      <c r="S79" s="215"/>
      <c r="T79" s="215"/>
      <c r="U79" s="215"/>
      <c r="V79" s="215"/>
      <c r="W79" s="215"/>
      <c r="X79" s="215"/>
      <c r="Y79" s="244"/>
    </row>
    <row r="80" spans="1:25" s="215" customFormat="1" ht="36.75" customHeight="1" x14ac:dyDescent="0.3">
      <c r="A80" s="216"/>
      <c r="B80" s="243">
        <v>2</v>
      </c>
      <c r="C80" s="448" t="s">
        <v>552</v>
      </c>
      <c r="D80" s="448"/>
      <c r="E80" s="448"/>
      <c r="F80" s="448"/>
      <c r="G80" s="448"/>
      <c r="H80" s="448"/>
      <c r="I80" s="448"/>
      <c r="J80" s="448"/>
      <c r="K80" s="448"/>
      <c r="L80" s="448"/>
      <c r="M80" s="448"/>
      <c r="N80" s="448"/>
      <c r="O80" s="448"/>
      <c r="P80" s="448"/>
      <c r="Q80" s="448"/>
      <c r="R80" s="448"/>
      <c r="S80" s="223"/>
    </row>
    <row r="81" spans="1:26" s="215" customFormat="1" ht="15.75" customHeight="1" x14ac:dyDescent="0.3">
      <c r="A81" s="245"/>
      <c r="B81" s="243">
        <v>3</v>
      </c>
      <c r="C81" s="242" t="s">
        <v>553</v>
      </c>
      <c r="D81" s="242"/>
      <c r="E81" s="242"/>
      <c r="F81" s="242"/>
      <c r="G81" s="242"/>
      <c r="H81" s="242"/>
      <c r="I81" s="242"/>
      <c r="J81" s="242"/>
      <c r="K81" s="242"/>
      <c r="L81" s="242"/>
      <c r="M81" s="242"/>
      <c r="N81" s="242"/>
      <c r="O81" s="242"/>
      <c r="P81" s="242"/>
      <c r="Q81" s="242"/>
      <c r="R81" s="242"/>
      <c r="V81" s="240"/>
    </row>
    <row r="82" spans="1:26" s="242" customFormat="1" ht="7.5" customHeight="1" x14ac:dyDescent="0.3">
      <c r="A82" s="220"/>
      <c r="B82" s="456"/>
      <c r="C82" s="456"/>
      <c r="D82" s="456"/>
      <c r="E82" s="456"/>
      <c r="F82" s="456"/>
      <c r="G82" s="456"/>
      <c r="H82" s="456"/>
      <c r="I82" s="456"/>
      <c r="J82" s="456"/>
      <c r="K82" s="456"/>
      <c r="L82" s="456"/>
      <c r="M82" s="456"/>
      <c r="N82" s="456"/>
      <c r="O82" s="456"/>
      <c r="P82" s="456"/>
      <c r="Q82" s="456"/>
      <c r="R82" s="456"/>
      <c r="S82" s="215"/>
      <c r="T82" s="215"/>
      <c r="U82" s="215"/>
      <c r="V82" s="240"/>
      <c r="W82" s="241"/>
      <c r="X82" s="241"/>
      <c r="Y82" s="244"/>
    </row>
    <row r="83" spans="1:26" s="242" customFormat="1" ht="15" customHeight="1" x14ac:dyDescent="0.3">
      <c r="A83" s="220"/>
      <c r="B83" s="246" t="s">
        <v>554</v>
      </c>
      <c r="S83" s="215">
        <v>9</v>
      </c>
      <c r="T83" s="215"/>
      <c r="U83" s="215"/>
      <c r="V83" s="240"/>
    </row>
    <row r="84" spans="1:26" s="215" customFormat="1" ht="15.75" customHeight="1" x14ac:dyDescent="0.3">
      <c r="A84" s="245"/>
      <c r="B84" s="243">
        <v>1</v>
      </c>
      <c r="C84" s="242" t="s">
        <v>555</v>
      </c>
      <c r="D84" s="242"/>
      <c r="E84" s="242"/>
      <c r="F84" s="242"/>
      <c r="G84" s="242"/>
      <c r="H84" s="242"/>
      <c r="I84" s="242"/>
      <c r="J84" s="242"/>
      <c r="K84" s="242"/>
      <c r="L84" s="242"/>
      <c r="M84" s="242"/>
      <c r="N84" s="242"/>
      <c r="O84" s="242"/>
      <c r="P84" s="242"/>
      <c r="Q84" s="242"/>
      <c r="R84" s="242"/>
      <c r="V84" s="240"/>
    </row>
    <row r="85" spans="1:26" s="209" customFormat="1" ht="15" customHeight="1" x14ac:dyDescent="0.3">
      <c r="A85" s="247"/>
      <c r="B85" s="243">
        <v>2</v>
      </c>
      <c r="C85" s="242" t="s">
        <v>553</v>
      </c>
      <c r="D85" s="243"/>
      <c r="E85" s="247"/>
      <c r="F85" s="210"/>
      <c r="G85" s="210"/>
      <c r="H85" s="210"/>
      <c r="I85" s="210"/>
      <c r="L85" s="40"/>
      <c r="M85" s="222"/>
      <c r="N85" s="243"/>
      <c r="O85" s="243"/>
      <c r="P85" s="243"/>
      <c r="Q85" s="243"/>
      <c r="R85" s="243"/>
    </row>
    <row r="86" spans="1:26" s="209" customFormat="1" ht="32.25" customHeight="1" x14ac:dyDescent="0.3">
      <c r="A86" s="222"/>
      <c r="B86" s="243">
        <v>3</v>
      </c>
      <c r="C86" s="448" t="s">
        <v>556</v>
      </c>
      <c r="D86" s="448"/>
      <c r="E86" s="448"/>
      <c r="F86" s="448"/>
      <c r="G86" s="448"/>
      <c r="H86" s="448"/>
      <c r="I86" s="448"/>
      <c r="J86" s="448"/>
      <c r="K86" s="448"/>
      <c r="L86" s="448"/>
      <c r="M86" s="448"/>
      <c r="N86" s="448"/>
      <c r="O86" s="448"/>
      <c r="P86" s="448"/>
      <c r="Q86" s="448"/>
      <c r="R86" s="448"/>
    </row>
    <row r="87" spans="1:26" s="209" customFormat="1" ht="12.75" customHeight="1" x14ac:dyDescent="0.3">
      <c r="A87" s="217"/>
      <c r="B87" s="243">
        <v>4</v>
      </c>
      <c r="C87" s="216" t="s">
        <v>557</v>
      </c>
      <c r="D87" s="216"/>
      <c r="E87" s="217"/>
      <c r="F87" s="216"/>
      <c r="G87" s="216"/>
      <c r="H87" s="216"/>
      <c r="I87" s="216"/>
      <c r="J87" s="248"/>
      <c r="K87" s="248"/>
      <c r="L87" s="217"/>
      <c r="M87" s="217"/>
      <c r="N87" s="216"/>
      <c r="O87" s="216"/>
      <c r="P87" s="216"/>
      <c r="Q87" s="216"/>
      <c r="R87" s="216"/>
    </row>
    <row r="88" spans="1:26" s="209" customFormat="1" ht="27.75" customHeight="1" x14ac:dyDescent="0.3">
      <c r="A88" s="217"/>
      <c r="B88" s="243">
        <v>5</v>
      </c>
      <c r="C88" s="448" t="s">
        <v>558</v>
      </c>
      <c r="D88" s="448"/>
      <c r="E88" s="448"/>
      <c r="F88" s="448"/>
      <c r="G88" s="448"/>
      <c r="H88" s="448"/>
      <c r="I88" s="448"/>
      <c r="J88" s="448"/>
      <c r="K88" s="448"/>
      <c r="L88" s="448"/>
      <c r="M88" s="448"/>
      <c r="N88" s="448"/>
      <c r="O88" s="448"/>
      <c r="P88" s="448"/>
      <c r="Q88" s="448"/>
      <c r="R88" s="448"/>
    </row>
    <row r="89" spans="1:26" s="215" customFormat="1" ht="7.5" customHeight="1" x14ac:dyDescent="0.3">
      <c r="A89" s="220"/>
      <c r="B89" s="243"/>
      <c r="C89" s="242"/>
      <c r="D89" s="208"/>
      <c r="E89" s="208"/>
      <c r="F89" s="208"/>
      <c r="G89" s="208"/>
      <c r="H89" s="208"/>
      <c r="I89" s="208"/>
      <c r="J89" s="208"/>
      <c r="K89" s="208"/>
      <c r="L89" s="208"/>
      <c r="M89" s="208"/>
      <c r="N89" s="208"/>
      <c r="O89" s="208"/>
      <c r="P89" s="208"/>
      <c r="Q89" s="208"/>
      <c r="R89" s="208"/>
      <c r="S89" s="249"/>
    </row>
    <row r="90" spans="1:26" s="188" customFormat="1" ht="18" customHeight="1" x14ac:dyDescent="0.3">
      <c r="A90" s="217" t="s">
        <v>559</v>
      </c>
      <c r="B90" s="227"/>
      <c r="S90" s="181"/>
      <c r="T90" s="54" t="s">
        <v>560</v>
      </c>
      <c r="U90" s="219"/>
      <c r="V90" s="215"/>
    </row>
    <row r="91" spans="1:26" s="188" customFormat="1" ht="31.5" customHeight="1" x14ac:dyDescent="0.3">
      <c r="A91" s="227"/>
      <c r="B91" s="457" t="s">
        <v>561</v>
      </c>
      <c r="C91" s="457"/>
      <c r="D91" s="457"/>
      <c r="E91" s="457"/>
      <c r="F91" s="457"/>
      <c r="G91" s="457"/>
      <c r="H91" s="457"/>
      <c r="I91" s="457"/>
      <c r="J91" s="457"/>
      <c r="K91" s="457"/>
      <c r="L91" s="457"/>
      <c r="M91" s="457"/>
      <c r="N91" s="457"/>
      <c r="O91" s="457"/>
      <c r="P91" s="457"/>
      <c r="Q91" s="457"/>
      <c r="R91" s="457"/>
      <c r="S91" s="181"/>
      <c r="T91" s="458" t="s">
        <v>562</v>
      </c>
      <c r="U91" s="458"/>
      <c r="V91" s="458"/>
      <c r="W91" s="458"/>
      <c r="X91" s="459"/>
      <c r="Y91" s="459"/>
      <c r="Z91" s="250"/>
    </row>
    <row r="92" spans="1:26" s="188" customFormat="1" ht="9.75" customHeight="1" x14ac:dyDescent="0.3">
      <c r="A92" s="227"/>
      <c r="B92" s="195"/>
      <c r="C92" s="195"/>
      <c r="D92" s="195"/>
      <c r="E92" s="195"/>
      <c r="F92" s="195"/>
      <c r="G92" s="195"/>
      <c r="H92" s="195"/>
      <c r="I92" s="195"/>
      <c r="J92" s="195"/>
      <c r="K92" s="195"/>
      <c r="L92" s="195"/>
      <c r="M92" s="195"/>
      <c r="N92" s="195"/>
      <c r="O92" s="195"/>
      <c r="P92" s="195"/>
      <c r="Q92" s="195"/>
      <c r="R92" s="195"/>
      <c r="U92" s="251"/>
      <c r="W92" s="252"/>
      <c r="X92" s="459"/>
      <c r="Y92" s="459"/>
      <c r="Z92" s="250"/>
    </row>
    <row r="93" spans="1:26" s="188" customFormat="1" ht="15" customHeight="1" x14ac:dyDescent="0.3">
      <c r="A93" s="253" t="s">
        <v>563</v>
      </c>
      <c r="B93" s="227"/>
      <c r="U93" s="251"/>
    </row>
    <row r="94" spans="1:26" s="188" customFormat="1" ht="15" customHeight="1" x14ac:dyDescent="0.3">
      <c r="A94" s="181"/>
      <c r="B94" s="457" t="s">
        <v>564</v>
      </c>
      <c r="C94" s="457"/>
      <c r="D94" s="457"/>
      <c r="E94" s="457"/>
      <c r="F94" s="457"/>
      <c r="G94" s="457"/>
      <c r="H94" s="457"/>
      <c r="I94" s="457"/>
      <c r="J94" s="457"/>
      <c r="K94" s="457"/>
      <c r="L94" s="457"/>
      <c r="M94" s="457"/>
      <c r="N94" s="457"/>
      <c r="O94" s="457"/>
      <c r="P94" s="457"/>
      <c r="Q94" s="457"/>
      <c r="R94" s="457"/>
      <c r="U94" s="251"/>
    </row>
    <row r="95" spans="1:26" s="188" customFormat="1" ht="21.6" customHeight="1" x14ac:dyDescent="0.3">
      <c r="A95" s="181"/>
      <c r="B95" s="457"/>
      <c r="C95" s="457"/>
      <c r="D95" s="457"/>
      <c r="E95" s="457"/>
      <c r="F95" s="457"/>
      <c r="G95" s="457"/>
      <c r="H95" s="457"/>
      <c r="I95" s="457"/>
      <c r="J95" s="457"/>
      <c r="K95" s="457"/>
      <c r="L95" s="457"/>
      <c r="M95" s="457"/>
      <c r="N95" s="457"/>
      <c r="O95" s="457"/>
      <c r="P95" s="457"/>
      <c r="Q95" s="457"/>
      <c r="R95" s="457"/>
      <c r="U95" s="251"/>
      <c r="V95" s="219"/>
    </row>
    <row r="96" spans="1:26" s="188" customFormat="1" ht="15" customHeight="1" x14ac:dyDescent="0.3">
      <c r="A96" s="181"/>
      <c r="B96" s="195"/>
      <c r="C96" s="195"/>
      <c r="D96" s="195"/>
      <c r="E96" s="195"/>
      <c r="F96" s="195"/>
      <c r="G96" s="195"/>
      <c r="H96" s="195"/>
      <c r="I96" s="195"/>
      <c r="J96" s="195"/>
      <c r="K96" s="195"/>
      <c r="L96" s="195"/>
      <c r="M96" s="195"/>
      <c r="N96" s="195"/>
      <c r="O96" s="195"/>
      <c r="P96" s="195"/>
      <c r="Q96" s="195"/>
      <c r="R96" s="195"/>
      <c r="U96" s="251"/>
      <c r="V96" s="219"/>
    </row>
    <row r="97" spans="1:23" s="188" customFormat="1" ht="15" customHeight="1" x14ac:dyDescent="0.3">
      <c r="A97" s="253" t="s">
        <v>565</v>
      </c>
      <c r="B97" s="227"/>
      <c r="U97" s="251"/>
      <c r="V97" s="226"/>
      <c r="W97" s="254"/>
    </row>
    <row r="98" spans="1:23" s="188" customFormat="1" ht="7.5" customHeight="1" x14ac:dyDescent="0.3">
      <c r="A98" s="253"/>
      <c r="B98" s="227"/>
      <c r="U98" s="251"/>
      <c r="V98" s="226"/>
      <c r="W98" s="254"/>
    </row>
    <row r="99" spans="1:23" s="232" customFormat="1" ht="15" customHeight="1" x14ac:dyDescent="0.3">
      <c r="A99" s="460" t="s">
        <v>544</v>
      </c>
      <c r="B99" s="460"/>
      <c r="C99" s="461" t="s">
        <v>482</v>
      </c>
      <c r="D99" s="461"/>
      <c r="E99" s="461"/>
      <c r="F99" s="461"/>
      <c r="G99" s="461"/>
      <c r="H99" s="461"/>
      <c r="I99" s="461"/>
      <c r="J99" s="462">
        <v>46112</v>
      </c>
      <c r="K99" s="462"/>
      <c r="L99" s="462"/>
      <c r="M99" s="462">
        <v>45747</v>
      </c>
      <c r="N99" s="462"/>
      <c r="O99" s="462"/>
      <c r="P99" s="463" t="s">
        <v>566</v>
      </c>
      <c r="Q99" s="463"/>
      <c r="R99" s="463"/>
      <c r="U99" s="255"/>
      <c r="V99" s="233"/>
      <c r="W99" s="256"/>
    </row>
    <row r="100" spans="1:23" s="232" customFormat="1" ht="15" customHeight="1" x14ac:dyDescent="0.3">
      <c r="A100" s="460"/>
      <c r="B100" s="460"/>
      <c r="C100" s="464" t="s">
        <v>567</v>
      </c>
      <c r="D100" s="464"/>
      <c r="E100" s="464"/>
      <c r="F100" s="464"/>
      <c r="G100" s="464"/>
      <c r="H100" s="464"/>
      <c r="I100" s="464"/>
      <c r="J100" s="462"/>
      <c r="K100" s="462"/>
      <c r="L100" s="462"/>
      <c r="M100" s="462"/>
      <c r="N100" s="462"/>
      <c r="O100" s="462"/>
      <c r="P100" s="463"/>
      <c r="Q100" s="463"/>
      <c r="R100" s="463"/>
      <c r="U100" s="255"/>
      <c r="W100" s="256"/>
    </row>
    <row r="101" spans="1:23" s="232" customFormat="1" ht="15.75" customHeight="1" x14ac:dyDescent="0.3">
      <c r="A101" s="465">
        <v>1</v>
      </c>
      <c r="B101" s="465"/>
      <c r="C101" s="466" t="s">
        <v>568</v>
      </c>
      <c r="D101" s="466"/>
      <c r="E101" s="466"/>
      <c r="F101" s="466"/>
      <c r="G101" s="466"/>
      <c r="H101" s="466"/>
      <c r="I101" s="466"/>
      <c r="J101" s="467">
        <v>9000</v>
      </c>
      <c r="K101" s="467"/>
      <c r="L101" s="467"/>
      <c r="M101" s="467">
        <v>9000</v>
      </c>
      <c r="N101" s="467"/>
      <c r="O101" s="467"/>
      <c r="P101" s="467">
        <f t="shared" ref="P101:P106" si="0">+J101-M101</f>
        <v>0</v>
      </c>
      <c r="Q101" s="467"/>
      <c r="R101" s="467"/>
      <c r="T101" s="257"/>
      <c r="U101" s="257"/>
      <c r="V101" s="257"/>
      <c r="W101" s="256"/>
    </row>
    <row r="102" spans="1:23" s="232" customFormat="1" ht="15.75" customHeight="1" x14ac:dyDescent="0.3">
      <c r="A102" s="468">
        <v>2</v>
      </c>
      <c r="B102" s="468"/>
      <c r="C102" s="441" t="s">
        <v>569</v>
      </c>
      <c r="D102" s="441"/>
      <c r="E102" s="441"/>
      <c r="F102" s="441"/>
      <c r="G102" s="441"/>
      <c r="H102" s="441"/>
      <c r="I102" s="441"/>
      <c r="J102" s="469">
        <v>2135140.98</v>
      </c>
      <c r="K102" s="469"/>
      <c r="L102" s="469"/>
      <c r="M102" s="469">
        <v>1881819.98</v>
      </c>
      <c r="N102" s="469"/>
      <c r="O102" s="469"/>
      <c r="P102" s="470">
        <f t="shared" si="0"/>
        <v>253321</v>
      </c>
      <c r="Q102" s="470"/>
      <c r="R102" s="470"/>
      <c r="T102" s="257"/>
      <c r="U102" s="257"/>
      <c r="V102" s="257"/>
      <c r="W102" s="255"/>
    </row>
    <row r="103" spans="1:23" s="215" customFormat="1" ht="15.75" customHeight="1" x14ac:dyDescent="0.3">
      <c r="A103" s="468">
        <v>3</v>
      </c>
      <c r="B103" s="468"/>
      <c r="C103" s="441" t="s">
        <v>570</v>
      </c>
      <c r="D103" s="441"/>
      <c r="E103" s="441"/>
      <c r="F103" s="441"/>
      <c r="G103" s="441"/>
      <c r="H103" s="441"/>
      <c r="I103" s="441"/>
      <c r="J103" s="469">
        <v>17803000</v>
      </c>
      <c r="K103" s="469"/>
      <c r="L103" s="469"/>
      <c r="M103" s="469">
        <v>17803000</v>
      </c>
      <c r="N103" s="469"/>
      <c r="O103" s="469"/>
      <c r="P103" s="470">
        <f t="shared" si="0"/>
        <v>0</v>
      </c>
      <c r="Q103" s="470"/>
      <c r="R103" s="470"/>
      <c r="S103" s="232"/>
      <c r="T103" s="257"/>
      <c r="U103" s="257"/>
      <c r="V103" s="257"/>
    </row>
    <row r="104" spans="1:23" s="215" customFormat="1" ht="15.75" customHeight="1" x14ac:dyDescent="0.3">
      <c r="A104" s="468">
        <v>4</v>
      </c>
      <c r="B104" s="468"/>
      <c r="C104" s="441" t="s">
        <v>571</v>
      </c>
      <c r="D104" s="441"/>
      <c r="E104" s="441"/>
      <c r="F104" s="441"/>
      <c r="G104" s="441"/>
      <c r="H104" s="441"/>
      <c r="I104" s="441"/>
      <c r="J104" s="469">
        <v>159238</v>
      </c>
      <c r="K104" s="469"/>
      <c r="L104" s="469"/>
      <c r="M104" s="469">
        <v>480519</v>
      </c>
      <c r="N104" s="469"/>
      <c r="O104" s="469"/>
      <c r="P104" s="470">
        <f t="shared" si="0"/>
        <v>-321281</v>
      </c>
      <c r="Q104" s="470"/>
      <c r="R104" s="470"/>
      <c r="S104" s="232"/>
      <c r="T104" s="257"/>
      <c r="U104" s="257"/>
      <c r="V104" s="257"/>
    </row>
    <row r="105" spans="1:23" s="215" customFormat="1" ht="15.75" customHeight="1" x14ac:dyDescent="0.3">
      <c r="A105" s="468">
        <v>5</v>
      </c>
      <c r="B105" s="468"/>
      <c r="C105" s="441" t="s">
        <v>572</v>
      </c>
      <c r="D105" s="441"/>
      <c r="E105" s="441"/>
      <c r="F105" s="441"/>
      <c r="G105" s="441"/>
      <c r="H105" s="441"/>
      <c r="I105" s="441"/>
      <c r="J105" s="469">
        <v>1021</v>
      </c>
      <c r="K105" s="469"/>
      <c r="L105" s="469"/>
      <c r="M105" s="469">
        <v>9748</v>
      </c>
      <c r="N105" s="469"/>
      <c r="O105" s="469"/>
      <c r="P105" s="470">
        <f t="shared" si="0"/>
        <v>-8727</v>
      </c>
      <c r="Q105" s="470"/>
      <c r="R105" s="470"/>
      <c r="S105" s="232"/>
      <c r="T105" s="257"/>
      <c r="U105" s="257"/>
      <c r="V105" s="257"/>
    </row>
    <row r="106" spans="1:23" s="215" customFormat="1" ht="15.75" customHeight="1" x14ac:dyDescent="0.3">
      <c r="A106" s="468">
        <v>6</v>
      </c>
      <c r="B106" s="468"/>
      <c r="C106" s="441" t="s">
        <v>573</v>
      </c>
      <c r="D106" s="441"/>
      <c r="E106" s="441"/>
      <c r="F106" s="441"/>
      <c r="G106" s="441"/>
      <c r="H106" s="441"/>
      <c r="I106" s="441"/>
      <c r="J106" s="469">
        <v>123463.89</v>
      </c>
      <c r="K106" s="469"/>
      <c r="L106" s="469"/>
      <c r="M106" s="469">
        <v>241415.99</v>
      </c>
      <c r="N106" s="469"/>
      <c r="O106" s="469"/>
      <c r="P106" s="470">
        <f t="shared" si="0"/>
        <v>-117952.09999999999</v>
      </c>
      <c r="Q106" s="470"/>
      <c r="R106" s="470"/>
      <c r="S106" s="232"/>
      <c r="T106" s="257"/>
      <c r="U106" s="257"/>
      <c r="V106" s="257"/>
    </row>
    <row r="107" spans="1:23" s="215" customFormat="1" ht="16.5" customHeight="1" x14ac:dyDescent="0.3">
      <c r="A107" s="471"/>
      <c r="B107" s="471"/>
      <c r="C107" s="472" t="s">
        <v>574</v>
      </c>
      <c r="D107" s="472"/>
      <c r="E107" s="472"/>
      <c r="F107" s="472"/>
      <c r="G107" s="472"/>
      <c r="H107" s="472"/>
      <c r="I107" s="472"/>
      <c r="J107" s="473">
        <f>SUM(J101:L106)</f>
        <v>20230863.870000001</v>
      </c>
      <c r="K107" s="473"/>
      <c r="L107" s="473"/>
      <c r="M107" s="473">
        <f>SUM(M101:O106)</f>
        <v>20425502.969999999</v>
      </c>
      <c r="N107" s="473"/>
      <c r="O107" s="473"/>
      <c r="P107" s="474">
        <f>SUM(P101:R106)</f>
        <v>-194639.09999999998</v>
      </c>
      <c r="Q107" s="474"/>
      <c r="R107" s="474"/>
      <c r="S107" s="249"/>
      <c r="T107" s="258"/>
      <c r="U107" s="258"/>
      <c r="V107" s="258"/>
    </row>
    <row r="108" spans="1:23" s="215" customFormat="1" ht="15.75" customHeight="1" x14ac:dyDescent="0.3">
      <c r="A108" s="465"/>
      <c r="B108" s="465"/>
      <c r="C108" s="475" t="s">
        <v>575</v>
      </c>
      <c r="D108" s="475"/>
      <c r="E108" s="475"/>
      <c r="F108" s="475"/>
      <c r="G108" s="475"/>
      <c r="H108" s="475"/>
      <c r="I108" s="475"/>
      <c r="J108" s="467"/>
      <c r="K108" s="467"/>
      <c r="L108" s="467"/>
      <c r="M108" s="467"/>
      <c r="N108" s="467"/>
      <c r="O108" s="467"/>
      <c r="P108" s="467"/>
      <c r="Q108" s="467"/>
      <c r="R108" s="467"/>
      <c r="S108" s="249"/>
      <c r="T108" s="257"/>
      <c r="U108" s="257"/>
      <c r="V108" s="257"/>
    </row>
    <row r="109" spans="1:23" s="215" customFormat="1" ht="15.75" customHeight="1" x14ac:dyDescent="0.3">
      <c r="A109" s="468">
        <v>1</v>
      </c>
      <c r="B109" s="468"/>
      <c r="C109" s="441" t="s">
        <v>576</v>
      </c>
      <c r="D109" s="441"/>
      <c r="E109" s="441"/>
      <c r="F109" s="441"/>
      <c r="G109" s="441"/>
      <c r="H109" s="441"/>
      <c r="I109" s="441"/>
      <c r="J109" s="469">
        <v>137015.34</v>
      </c>
      <c r="K109" s="469"/>
      <c r="L109" s="469"/>
      <c r="M109" s="469">
        <v>268624.94</v>
      </c>
      <c r="N109" s="469"/>
      <c r="O109" s="469"/>
      <c r="P109" s="470">
        <f t="shared" ref="P109:P114" si="1">+J109-M109</f>
        <v>-131609.60000000001</v>
      </c>
      <c r="Q109" s="470"/>
      <c r="R109" s="470"/>
      <c r="S109" s="232"/>
      <c r="T109" s="257"/>
      <c r="U109" s="257"/>
      <c r="V109" s="257"/>
    </row>
    <row r="110" spans="1:23" s="215" customFormat="1" ht="15.75" customHeight="1" x14ac:dyDescent="0.3">
      <c r="A110" s="468">
        <v>2</v>
      </c>
      <c r="B110" s="468"/>
      <c r="C110" s="441" t="s">
        <v>577</v>
      </c>
      <c r="D110" s="441"/>
      <c r="E110" s="441"/>
      <c r="F110" s="441"/>
      <c r="G110" s="441"/>
      <c r="H110" s="441"/>
      <c r="I110" s="441"/>
      <c r="J110" s="469">
        <v>1979039</v>
      </c>
      <c r="K110" s="469"/>
      <c r="L110" s="469"/>
      <c r="M110" s="469">
        <v>1892363</v>
      </c>
      <c r="N110" s="469"/>
      <c r="O110" s="469"/>
      <c r="P110" s="470">
        <f t="shared" si="1"/>
        <v>86676</v>
      </c>
      <c r="Q110" s="470"/>
      <c r="R110" s="470"/>
      <c r="S110" s="232"/>
      <c r="T110" s="257"/>
      <c r="U110" s="257"/>
      <c r="V110" s="257"/>
    </row>
    <row r="111" spans="1:23" s="215" customFormat="1" ht="15.75" customHeight="1" x14ac:dyDescent="0.3">
      <c r="A111" s="468">
        <v>3</v>
      </c>
      <c r="B111" s="468"/>
      <c r="C111" s="441" t="s">
        <v>578</v>
      </c>
      <c r="D111" s="441"/>
      <c r="E111" s="441"/>
      <c r="F111" s="441"/>
      <c r="G111" s="441"/>
      <c r="H111" s="441"/>
      <c r="I111" s="441"/>
      <c r="J111" s="469">
        <v>17803000</v>
      </c>
      <c r="K111" s="469"/>
      <c r="L111" s="469"/>
      <c r="M111" s="469">
        <v>17803000</v>
      </c>
      <c r="N111" s="469"/>
      <c r="O111" s="469"/>
      <c r="P111" s="470">
        <f t="shared" si="1"/>
        <v>0</v>
      </c>
      <c r="Q111" s="470"/>
      <c r="R111" s="470"/>
      <c r="S111" s="232"/>
      <c r="T111" s="257"/>
      <c r="U111" s="257"/>
      <c r="V111" s="257"/>
    </row>
    <row r="112" spans="1:23" s="215" customFormat="1" ht="15.75" customHeight="1" x14ac:dyDescent="0.3">
      <c r="A112" s="476">
        <v>4</v>
      </c>
      <c r="B112" s="476"/>
      <c r="C112" s="477" t="s">
        <v>579</v>
      </c>
      <c r="D112" s="477"/>
      <c r="E112" s="477"/>
      <c r="F112" s="477"/>
      <c r="G112" s="477"/>
      <c r="H112" s="477"/>
      <c r="I112" s="477"/>
      <c r="J112" s="478">
        <v>55257</v>
      </c>
      <c r="K112" s="478"/>
      <c r="L112" s="478"/>
      <c r="M112" s="478">
        <v>64759.5</v>
      </c>
      <c r="N112" s="478"/>
      <c r="O112" s="478"/>
      <c r="P112" s="470">
        <f t="shared" si="1"/>
        <v>-9502.5</v>
      </c>
      <c r="Q112" s="470"/>
      <c r="R112" s="470"/>
      <c r="S112" s="232"/>
      <c r="T112" s="257"/>
      <c r="U112" s="257"/>
      <c r="V112" s="257"/>
    </row>
    <row r="113" spans="1:22" s="215" customFormat="1" ht="15.75" customHeight="1" x14ac:dyDescent="0.3">
      <c r="A113" s="476">
        <v>5</v>
      </c>
      <c r="B113" s="476"/>
      <c r="C113" s="477" t="s">
        <v>580</v>
      </c>
      <c r="D113" s="477"/>
      <c r="E113" s="477"/>
      <c r="F113" s="477"/>
      <c r="G113" s="477"/>
      <c r="H113" s="477"/>
      <c r="I113" s="477"/>
      <c r="J113" s="478">
        <v>253219.53</v>
      </c>
      <c r="K113" s="478"/>
      <c r="L113" s="478"/>
      <c r="M113" s="478">
        <v>386589.53</v>
      </c>
      <c r="N113" s="478"/>
      <c r="O113" s="478"/>
      <c r="P113" s="470">
        <f t="shared" si="1"/>
        <v>-133370.00000000003</v>
      </c>
      <c r="Q113" s="470"/>
      <c r="R113" s="470"/>
      <c r="S113" s="232"/>
      <c r="T113" s="257"/>
      <c r="U113" s="257"/>
      <c r="V113" s="257"/>
    </row>
    <row r="114" spans="1:22" s="215" customFormat="1" ht="15.75" customHeight="1" x14ac:dyDescent="0.3">
      <c r="A114" s="476">
        <v>6</v>
      </c>
      <c r="B114" s="476"/>
      <c r="C114" s="477" t="s">
        <v>581</v>
      </c>
      <c r="D114" s="477"/>
      <c r="E114" s="477"/>
      <c r="F114" s="477"/>
      <c r="G114" s="477"/>
      <c r="H114" s="477"/>
      <c r="I114" s="477"/>
      <c r="J114" s="478">
        <v>3333</v>
      </c>
      <c r="K114" s="478"/>
      <c r="L114" s="478"/>
      <c r="M114" s="478">
        <v>10166</v>
      </c>
      <c r="N114" s="478"/>
      <c r="O114" s="478"/>
      <c r="P114" s="470">
        <f t="shared" si="1"/>
        <v>-6833</v>
      </c>
      <c r="Q114" s="470"/>
      <c r="R114" s="470"/>
      <c r="S114" s="232"/>
      <c r="T114" s="257">
        <v>5924829.6500000004</v>
      </c>
      <c r="U114" s="257"/>
      <c r="V114" s="257"/>
    </row>
    <row r="115" spans="1:22" s="215" customFormat="1" ht="15.75" customHeight="1" x14ac:dyDescent="0.3">
      <c r="A115" s="471"/>
      <c r="B115" s="471"/>
      <c r="C115" s="472" t="s">
        <v>574</v>
      </c>
      <c r="D115" s="472"/>
      <c r="E115" s="472"/>
      <c r="F115" s="472"/>
      <c r="G115" s="472"/>
      <c r="H115" s="472"/>
      <c r="I115" s="472"/>
      <c r="J115" s="473">
        <f>SUM(J109:L114)</f>
        <v>20230863.870000001</v>
      </c>
      <c r="K115" s="473"/>
      <c r="L115" s="473"/>
      <c r="M115" s="473">
        <f>SUM(M109:O114)</f>
        <v>20425502.970000003</v>
      </c>
      <c r="N115" s="473"/>
      <c r="O115" s="473"/>
      <c r="P115" s="474">
        <f>SUM(P109:R114)</f>
        <v>-194639.10000000003</v>
      </c>
      <c r="Q115" s="474"/>
      <c r="R115" s="474"/>
      <c r="S115" s="232"/>
      <c r="T115" s="258"/>
      <c r="U115" s="258"/>
      <c r="V115" s="258"/>
    </row>
    <row r="116" spans="1:22" s="215" customFormat="1" ht="7.5" customHeight="1" x14ac:dyDescent="0.3">
      <c r="A116" s="253"/>
      <c r="B116" s="228"/>
      <c r="C116" s="232"/>
      <c r="D116" s="232"/>
      <c r="E116" s="232"/>
      <c r="F116" s="232"/>
      <c r="G116" s="232"/>
      <c r="H116" s="232"/>
      <c r="I116" s="232"/>
      <c r="J116" s="232"/>
      <c r="K116" s="232"/>
      <c r="L116" s="232"/>
      <c r="M116" s="257"/>
      <c r="N116" s="232"/>
      <c r="O116" s="232"/>
      <c r="P116" s="232"/>
      <c r="Q116" s="232"/>
      <c r="R116" s="232"/>
      <c r="S116" s="232"/>
      <c r="T116" s="232"/>
      <c r="U116" s="259"/>
    </row>
    <row r="117" spans="1:22" s="215" customFormat="1" ht="16.5" customHeight="1" x14ac:dyDescent="0.3">
      <c r="A117" s="260" t="s">
        <v>582</v>
      </c>
      <c r="B117" s="228"/>
      <c r="C117" s="232"/>
      <c r="D117" s="232"/>
      <c r="E117" s="232"/>
      <c r="F117" s="232"/>
      <c r="G117" s="232"/>
      <c r="H117" s="232"/>
      <c r="I117" s="232"/>
      <c r="J117" s="232"/>
      <c r="K117" s="232"/>
      <c r="L117" s="232"/>
      <c r="M117" s="232"/>
      <c r="N117" s="232"/>
      <c r="O117" s="232"/>
      <c r="P117" s="232"/>
      <c r="Q117" s="232"/>
      <c r="R117" s="232"/>
      <c r="S117" s="232"/>
      <c r="T117" s="232"/>
      <c r="U117" s="261"/>
    </row>
    <row r="118" spans="1:22" s="215" customFormat="1" ht="7.5" customHeight="1" x14ac:dyDescent="0.3">
      <c r="A118" s="253"/>
      <c r="B118" s="228"/>
      <c r="C118" s="232"/>
      <c r="D118" s="232"/>
      <c r="E118" s="232"/>
      <c r="F118" s="232"/>
      <c r="G118" s="232"/>
      <c r="H118" s="232"/>
      <c r="I118" s="232"/>
      <c r="J118" s="232"/>
      <c r="K118" s="232"/>
      <c r="L118" s="232"/>
      <c r="M118" s="232"/>
      <c r="N118" s="232"/>
      <c r="O118" s="232"/>
      <c r="P118" s="232"/>
      <c r="Q118" s="232"/>
      <c r="R118" s="232"/>
      <c r="S118" s="232"/>
      <c r="T118" s="232"/>
      <c r="U118" s="262"/>
    </row>
    <row r="119" spans="1:22" s="215" customFormat="1" ht="15.75" customHeight="1" x14ac:dyDescent="0.3">
      <c r="A119" s="263" t="s">
        <v>583</v>
      </c>
      <c r="B119" s="228"/>
      <c r="C119" s="232"/>
      <c r="D119" s="232"/>
      <c r="E119" s="232"/>
      <c r="F119" s="232"/>
      <c r="G119" s="232"/>
      <c r="H119" s="232"/>
      <c r="I119" s="232"/>
      <c r="J119" s="232"/>
      <c r="K119" s="232"/>
      <c r="L119" s="232"/>
      <c r="M119" s="232"/>
      <c r="N119" s="232"/>
      <c r="O119" s="232"/>
      <c r="P119" s="232"/>
      <c r="Q119" s="232"/>
      <c r="R119" s="232"/>
      <c r="S119" s="232"/>
      <c r="T119" s="232"/>
      <c r="U119" s="261"/>
    </row>
    <row r="120" spans="1:22" s="215" customFormat="1" ht="15.75" customHeight="1" x14ac:dyDescent="0.3">
      <c r="A120" s="253"/>
      <c r="B120" s="228">
        <v>1</v>
      </c>
      <c r="C120" s="228" t="s">
        <v>584</v>
      </c>
      <c r="D120" s="232"/>
      <c r="E120" s="232"/>
      <c r="F120" s="232"/>
      <c r="G120" s="232"/>
      <c r="H120" s="232"/>
      <c r="I120" s="232"/>
      <c r="J120" s="232"/>
      <c r="K120" s="232"/>
      <c r="L120" s="232"/>
      <c r="M120" s="232"/>
      <c r="N120" s="232"/>
      <c r="O120" s="232"/>
      <c r="P120" s="232"/>
      <c r="Q120" s="232"/>
      <c r="R120" s="232"/>
      <c r="S120" s="232"/>
      <c r="T120" s="232"/>
      <c r="U120" s="262"/>
    </row>
    <row r="121" spans="1:22" s="215" customFormat="1" ht="15.75" customHeight="1" x14ac:dyDescent="0.3">
      <c r="A121" s="253"/>
      <c r="B121" s="228"/>
      <c r="C121" s="232" t="s">
        <v>585</v>
      </c>
      <c r="D121" s="232"/>
      <c r="E121" s="232"/>
      <c r="F121" s="232"/>
      <c r="G121" s="232"/>
      <c r="H121" s="232"/>
      <c r="I121" s="232"/>
      <c r="J121" s="232"/>
      <c r="K121" s="232"/>
      <c r="L121" s="232"/>
      <c r="M121" s="232"/>
      <c r="N121" s="232"/>
      <c r="O121" s="232"/>
      <c r="P121" s="232"/>
      <c r="Q121" s="232"/>
      <c r="R121" s="232"/>
      <c r="S121" s="232"/>
      <c r="T121" s="232"/>
      <c r="U121" s="261"/>
    </row>
    <row r="122" spans="1:22" s="215" customFormat="1" ht="7.5" customHeight="1" x14ac:dyDescent="0.3">
      <c r="A122" s="253"/>
      <c r="B122" s="228"/>
      <c r="C122" s="232"/>
      <c r="D122" s="232"/>
      <c r="E122" s="232"/>
      <c r="F122" s="232"/>
      <c r="G122" s="232"/>
      <c r="H122" s="232"/>
      <c r="I122" s="232"/>
      <c r="J122" s="232"/>
      <c r="K122" s="232"/>
      <c r="L122" s="232"/>
      <c r="M122" s="232"/>
      <c r="N122" s="232"/>
      <c r="O122" s="232"/>
      <c r="P122" s="232"/>
      <c r="Q122" s="232"/>
      <c r="R122" s="232"/>
      <c r="S122" s="232"/>
      <c r="T122" s="232"/>
      <c r="U122" s="261"/>
    </row>
    <row r="123" spans="1:22" s="215" customFormat="1" ht="15.75" customHeight="1" x14ac:dyDescent="0.3">
      <c r="A123" s="253"/>
      <c r="B123" s="228">
        <v>2</v>
      </c>
      <c r="C123" s="228" t="s">
        <v>586</v>
      </c>
      <c r="D123" s="232"/>
      <c r="E123" s="232"/>
      <c r="F123" s="232"/>
      <c r="G123" s="232"/>
      <c r="H123" s="232"/>
      <c r="I123" s="232"/>
      <c r="J123" s="232"/>
      <c r="K123" s="232"/>
      <c r="L123" s="232"/>
      <c r="M123" s="232"/>
      <c r="N123" s="232"/>
      <c r="O123" s="232"/>
      <c r="P123" s="232"/>
      <c r="Q123" s="232"/>
      <c r="R123" s="232"/>
      <c r="S123" s="232"/>
      <c r="T123" s="232"/>
      <c r="U123" s="232"/>
    </row>
    <row r="124" spans="1:22" s="215" customFormat="1" ht="15.75" customHeight="1" x14ac:dyDescent="0.3">
      <c r="A124" s="253"/>
      <c r="B124" s="264" t="s">
        <v>359</v>
      </c>
      <c r="C124" s="232" t="s">
        <v>587</v>
      </c>
      <c r="D124" s="232"/>
      <c r="E124" s="232"/>
      <c r="F124" s="232"/>
      <c r="G124" s="232"/>
      <c r="H124" s="232"/>
      <c r="I124" s="232"/>
      <c r="J124" s="232"/>
      <c r="K124" s="232"/>
      <c r="L124" s="232"/>
      <c r="M124" s="232"/>
      <c r="N124" s="232"/>
      <c r="O124" s="232"/>
      <c r="P124" s="232"/>
      <c r="Q124" s="232"/>
      <c r="R124" s="232"/>
      <c r="S124" s="232"/>
      <c r="T124" s="232"/>
      <c r="U124" s="232"/>
    </row>
    <row r="125" spans="1:22" s="215" customFormat="1" ht="7.5" customHeight="1" x14ac:dyDescent="0.3">
      <c r="A125" s="253"/>
      <c r="B125" s="228"/>
      <c r="C125" s="232"/>
      <c r="D125" s="232"/>
      <c r="E125" s="232"/>
      <c r="F125" s="232"/>
      <c r="G125" s="232"/>
      <c r="H125" s="232"/>
      <c r="I125" s="232"/>
      <c r="J125" s="232"/>
      <c r="K125" s="232"/>
      <c r="L125" s="232"/>
      <c r="M125" s="232"/>
      <c r="N125" s="232"/>
      <c r="O125" s="232"/>
      <c r="P125" s="232"/>
      <c r="Q125" s="232"/>
      <c r="R125" s="232"/>
      <c r="S125" s="232"/>
      <c r="T125" s="232"/>
      <c r="U125" s="232"/>
    </row>
    <row r="126" spans="1:22" s="215" customFormat="1" ht="15.75" customHeight="1" x14ac:dyDescent="0.3">
      <c r="A126" s="253"/>
      <c r="B126" s="228">
        <v>3</v>
      </c>
      <c r="C126" s="228" t="s">
        <v>588</v>
      </c>
      <c r="D126" s="232"/>
      <c r="E126" s="232"/>
      <c r="F126" s="232"/>
      <c r="G126" s="232"/>
      <c r="H126" s="232"/>
      <c r="I126" s="232"/>
      <c r="J126" s="232"/>
      <c r="K126" s="232"/>
      <c r="L126" s="232"/>
      <c r="M126" s="232"/>
      <c r="N126" s="232"/>
      <c r="O126" s="232"/>
      <c r="P126" s="232"/>
      <c r="Q126" s="232"/>
      <c r="R126" s="232"/>
      <c r="S126" s="232"/>
      <c r="T126" s="232"/>
      <c r="U126" s="232"/>
    </row>
    <row r="127" spans="1:22" s="200" customFormat="1" ht="15.75" customHeight="1" x14ac:dyDescent="0.3">
      <c r="A127" s="253"/>
      <c r="B127" s="228"/>
      <c r="C127" s="232" t="s">
        <v>589</v>
      </c>
      <c r="D127" s="232"/>
      <c r="E127" s="232"/>
      <c r="F127" s="232"/>
      <c r="G127" s="232"/>
      <c r="H127" s="232"/>
      <c r="I127" s="232"/>
      <c r="J127" s="232"/>
      <c r="K127" s="232"/>
      <c r="L127" s="232"/>
      <c r="M127" s="232"/>
      <c r="N127" s="232"/>
      <c r="O127" s="232"/>
      <c r="P127" s="232"/>
      <c r="Q127" s="232"/>
      <c r="R127" s="232"/>
      <c r="S127" s="232"/>
      <c r="T127" s="232"/>
      <c r="U127" s="232"/>
      <c r="V127" s="215"/>
    </row>
    <row r="128" spans="1:22" s="200" customFormat="1" ht="15.75" customHeight="1" x14ac:dyDescent="0.3">
      <c r="A128" s="479" t="s">
        <v>544</v>
      </c>
      <c r="B128" s="479"/>
      <c r="C128" s="480" t="s">
        <v>482</v>
      </c>
      <c r="D128" s="480"/>
      <c r="E128" s="480"/>
      <c r="F128" s="480"/>
      <c r="G128" s="480"/>
      <c r="H128" s="480"/>
      <c r="I128" s="480"/>
      <c r="J128" s="481" t="s">
        <v>590</v>
      </c>
      <c r="K128" s="481"/>
      <c r="L128" s="481"/>
      <c r="M128" s="481" t="s">
        <v>591</v>
      </c>
      <c r="N128" s="481"/>
      <c r="O128" s="481"/>
      <c r="P128" s="482" t="s">
        <v>859</v>
      </c>
      <c r="Q128" s="482"/>
      <c r="R128" s="482"/>
      <c r="S128" s="232"/>
      <c r="T128" s="232"/>
      <c r="U128" s="232"/>
      <c r="V128" s="215"/>
    </row>
    <row r="129" spans="1:35" s="200" customFormat="1" ht="15.75" customHeight="1" x14ac:dyDescent="0.3">
      <c r="A129" s="483">
        <v>1</v>
      </c>
      <c r="B129" s="483"/>
      <c r="C129" s="441" t="s">
        <v>592</v>
      </c>
      <c r="D129" s="441"/>
      <c r="E129" s="441"/>
      <c r="F129" s="441"/>
      <c r="G129" s="441"/>
      <c r="H129" s="441"/>
      <c r="I129" s="441"/>
      <c r="J129" s="469">
        <v>155569.46</v>
      </c>
      <c r="K129" s="469"/>
      <c r="L129" s="469"/>
      <c r="M129" s="469">
        <v>236597</v>
      </c>
      <c r="N129" s="469"/>
      <c r="O129" s="469"/>
      <c r="P129" s="484">
        <f>+M129-J129</f>
        <v>81027.540000000008</v>
      </c>
      <c r="Q129" s="484"/>
      <c r="R129" s="484"/>
      <c r="S129" s="232"/>
      <c r="T129" s="232"/>
      <c r="U129" s="232"/>
      <c r="V129" s="215"/>
    </row>
    <row r="130" spans="1:35" s="200" customFormat="1" ht="15.75" customHeight="1" x14ac:dyDescent="0.3">
      <c r="A130" s="483">
        <v>2</v>
      </c>
      <c r="B130" s="483"/>
      <c r="C130" s="441" t="s">
        <v>593</v>
      </c>
      <c r="D130" s="441"/>
      <c r="E130" s="441"/>
      <c r="F130" s="441"/>
      <c r="G130" s="441"/>
      <c r="H130" s="441"/>
      <c r="I130" s="441"/>
      <c r="J130" s="469">
        <v>389364</v>
      </c>
      <c r="K130" s="469"/>
      <c r="L130" s="469"/>
      <c r="M130" s="469">
        <v>275714</v>
      </c>
      <c r="N130" s="469"/>
      <c r="O130" s="469"/>
      <c r="P130" s="484">
        <f t="shared" ref="P130:P134" si="2">+M130-J130</f>
        <v>-113650</v>
      </c>
      <c r="Q130" s="484"/>
      <c r="R130" s="484"/>
      <c r="S130" s="232"/>
      <c r="T130" s="232"/>
      <c r="U130" s="232"/>
      <c r="V130" s="215"/>
    </row>
    <row r="131" spans="1:35" s="200" customFormat="1" ht="15.75" customHeight="1" x14ac:dyDescent="0.3">
      <c r="A131" s="485">
        <v>3</v>
      </c>
      <c r="B131" s="485"/>
      <c r="C131" s="477" t="s">
        <v>594</v>
      </c>
      <c r="D131" s="477"/>
      <c r="E131" s="477"/>
      <c r="F131" s="477"/>
      <c r="G131" s="477"/>
      <c r="H131" s="477"/>
      <c r="I131" s="477"/>
      <c r="J131" s="478">
        <v>723478</v>
      </c>
      <c r="K131" s="478"/>
      <c r="L131" s="478"/>
      <c r="M131" s="478">
        <v>602489</v>
      </c>
      <c r="N131" s="478"/>
      <c r="O131" s="478"/>
      <c r="P131" s="484">
        <f t="shared" si="2"/>
        <v>-120989</v>
      </c>
      <c r="Q131" s="484"/>
      <c r="R131" s="484"/>
      <c r="S131" s="232"/>
      <c r="T131" s="232"/>
      <c r="U131" s="232"/>
      <c r="V131" s="215"/>
    </row>
    <row r="132" spans="1:35" s="200" customFormat="1" ht="15.75" customHeight="1" x14ac:dyDescent="0.3">
      <c r="A132" s="485">
        <v>4</v>
      </c>
      <c r="B132" s="485"/>
      <c r="C132" s="477" t="s">
        <v>595</v>
      </c>
      <c r="D132" s="477"/>
      <c r="E132" s="477"/>
      <c r="F132" s="477"/>
      <c r="G132" s="477"/>
      <c r="H132" s="477"/>
      <c r="I132" s="477"/>
      <c r="J132" s="478">
        <v>840967.52</v>
      </c>
      <c r="K132" s="478"/>
      <c r="L132" s="478"/>
      <c r="M132" s="478">
        <v>835266</v>
      </c>
      <c r="N132" s="478"/>
      <c r="O132" s="478"/>
      <c r="P132" s="484">
        <f t="shared" si="2"/>
        <v>-5701.5200000000186</v>
      </c>
      <c r="Q132" s="484"/>
      <c r="R132" s="484"/>
      <c r="S132" s="232"/>
      <c r="T132" s="232"/>
      <c r="U132" s="232"/>
      <c r="V132" s="215"/>
    </row>
    <row r="133" spans="1:35" s="200" customFormat="1" ht="15.75" customHeight="1" x14ac:dyDescent="0.3">
      <c r="A133" s="485">
        <v>5</v>
      </c>
      <c r="B133" s="485"/>
      <c r="C133" s="477" t="s">
        <v>596</v>
      </c>
      <c r="D133" s="477"/>
      <c r="E133" s="477"/>
      <c r="F133" s="477"/>
      <c r="G133" s="477"/>
      <c r="H133" s="477"/>
      <c r="I133" s="477"/>
      <c r="J133" s="478">
        <v>25762</v>
      </c>
      <c r="K133" s="478"/>
      <c r="L133" s="478"/>
      <c r="M133" s="478">
        <v>19973</v>
      </c>
      <c r="N133" s="478"/>
      <c r="O133" s="478"/>
      <c r="P133" s="484">
        <f t="shared" si="2"/>
        <v>-5789</v>
      </c>
      <c r="Q133" s="484"/>
      <c r="R133" s="484"/>
      <c r="S133" s="232"/>
      <c r="T133" s="232"/>
      <c r="U133" s="232"/>
      <c r="V133" s="215"/>
    </row>
    <row r="134" spans="1:35" s="200" customFormat="1" ht="15.75" customHeight="1" x14ac:dyDescent="0.3">
      <c r="A134" s="485">
        <v>6</v>
      </c>
      <c r="B134" s="485"/>
      <c r="C134" s="477" t="s">
        <v>597</v>
      </c>
      <c r="D134" s="477"/>
      <c r="E134" s="477"/>
      <c r="F134" s="477"/>
      <c r="G134" s="477"/>
      <c r="H134" s="477"/>
      <c r="I134" s="477"/>
      <c r="J134" s="478">
        <v>9000</v>
      </c>
      <c r="K134" s="478"/>
      <c r="L134" s="478"/>
      <c r="M134" s="478">
        <v>9000</v>
      </c>
      <c r="N134" s="478"/>
      <c r="O134" s="478"/>
      <c r="P134" s="484">
        <f t="shared" si="2"/>
        <v>0</v>
      </c>
      <c r="Q134" s="484"/>
      <c r="R134" s="484"/>
      <c r="S134" s="232"/>
      <c r="T134" s="232"/>
      <c r="U134" s="232"/>
      <c r="V134" s="215"/>
    </row>
    <row r="135" spans="1:35" s="200" customFormat="1" ht="15.75" customHeight="1" x14ac:dyDescent="0.3">
      <c r="A135" s="486"/>
      <c r="B135" s="486"/>
      <c r="C135" s="487" t="s">
        <v>574</v>
      </c>
      <c r="D135" s="487"/>
      <c r="E135" s="487"/>
      <c r="F135" s="487"/>
      <c r="G135" s="487"/>
      <c r="H135" s="487"/>
      <c r="I135" s="487"/>
      <c r="J135" s="488">
        <f>SUM(J129:L134)</f>
        <v>2144140.98</v>
      </c>
      <c r="K135" s="488"/>
      <c r="L135" s="488"/>
      <c r="M135" s="488">
        <f>SUM(M129:O134)</f>
        <v>1979039</v>
      </c>
      <c r="N135" s="488"/>
      <c r="O135" s="488"/>
      <c r="P135" s="489">
        <f>+M135-J135</f>
        <v>-165101.97999999998</v>
      </c>
      <c r="Q135" s="489"/>
      <c r="R135" s="489"/>
      <c r="S135" s="232"/>
      <c r="T135" s="232"/>
      <c r="U135" s="232"/>
      <c r="V135" s="215"/>
    </row>
    <row r="136" spans="1:35" s="200" customFormat="1" ht="7.5" customHeight="1" x14ac:dyDescent="0.3">
      <c r="A136" s="265"/>
      <c r="B136" s="265"/>
      <c r="C136" s="266"/>
      <c r="D136" s="266"/>
      <c r="E136" s="266"/>
      <c r="F136" s="266"/>
      <c r="G136" s="266"/>
      <c r="H136" s="266"/>
      <c r="I136" s="266"/>
      <c r="J136" s="267"/>
      <c r="K136" s="267"/>
      <c r="L136" s="267"/>
      <c r="M136" s="267"/>
      <c r="N136" s="267"/>
      <c r="O136" s="267"/>
      <c r="P136" s="268"/>
      <c r="Q136" s="268"/>
      <c r="R136" s="268"/>
      <c r="S136" s="232"/>
      <c r="T136" s="449" t="s">
        <v>598</v>
      </c>
      <c r="U136" s="449"/>
      <c r="V136" s="449"/>
      <c r="W136" s="449"/>
      <c r="X136" s="449"/>
      <c r="Y136" s="449"/>
      <c r="Z136" s="449"/>
      <c r="AA136" s="449"/>
      <c r="AB136" s="449"/>
      <c r="AC136" s="449"/>
      <c r="AD136" s="449"/>
      <c r="AE136" s="449"/>
      <c r="AF136" s="449"/>
      <c r="AG136" s="449"/>
      <c r="AH136" s="449"/>
      <c r="AI136" s="449"/>
    </row>
    <row r="137" spans="1:35" s="427" customFormat="1" ht="30" customHeight="1" x14ac:dyDescent="0.3">
      <c r="A137" s="422"/>
      <c r="B137" s="423" t="s">
        <v>359</v>
      </c>
      <c r="C137" s="492" t="s">
        <v>860</v>
      </c>
      <c r="D137" s="493"/>
      <c r="E137" s="493"/>
      <c r="F137" s="493"/>
      <c r="G137" s="493"/>
      <c r="H137" s="493"/>
      <c r="I137" s="493"/>
      <c r="J137" s="493"/>
      <c r="K137" s="493"/>
      <c r="L137" s="493"/>
      <c r="M137" s="493"/>
      <c r="N137" s="493"/>
      <c r="O137" s="493"/>
      <c r="P137" s="493"/>
      <c r="Q137" s="493"/>
      <c r="R137" s="493"/>
      <c r="S137" s="426"/>
      <c r="T137" s="426"/>
      <c r="U137" s="426"/>
    </row>
    <row r="138" spans="1:35" s="427" customFormat="1" ht="7.95" customHeight="1" x14ac:dyDescent="0.3">
      <c r="A138" s="422"/>
      <c r="B138" s="423"/>
      <c r="C138" s="424"/>
      <c r="D138" s="425"/>
      <c r="E138" s="425"/>
      <c r="F138" s="425"/>
      <c r="G138" s="425"/>
      <c r="H138" s="425"/>
      <c r="I138" s="425"/>
      <c r="J138" s="425"/>
      <c r="K138" s="425"/>
      <c r="L138" s="425"/>
      <c r="M138" s="425"/>
      <c r="N138" s="425"/>
      <c r="O138" s="425"/>
      <c r="P138" s="425"/>
      <c r="Q138" s="425"/>
      <c r="R138" s="425"/>
      <c r="S138" s="426"/>
      <c r="T138" s="426"/>
      <c r="U138" s="426"/>
    </row>
    <row r="139" spans="1:35" s="200" customFormat="1" ht="15.75" customHeight="1" x14ac:dyDescent="0.3">
      <c r="A139" s="228"/>
      <c r="B139" s="228">
        <v>4</v>
      </c>
      <c r="C139" s="228" t="s">
        <v>599</v>
      </c>
      <c r="D139" s="232"/>
      <c r="E139" s="232"/>
      <c r="F139" s="232"/>
      <c r="G139" s="232"/>
      <c r="H139" s="232"/>
      <c r="I139" s="232"/>
      <c r="J139" s="232"/>
      <c r="K139" s="232"/>
      <c r="L139" s="232"/>
      <c r="M139" s="232"/>
      <c r="N139" s="232"/>
      <c r="O139" s="232"/>
      <c r="P139" s="232"/>
      <c r="Q139" s="232"/>
      <c r="R139" s="232"/>
      <c r="S139" s="232"/>
      <c r="T139" s="232">
        <f>499508+18236</f>
        <v>517744</v>
      </c>
      <c r="U139" s="232"/>
      <c r="V139" s="215"/>
    </row>
    <row r="140" spans="1:35" s="200" customFormat="1" ht="15.75" customHeight="1" x14ac:dyDescent="0.3">
      <c r="A140" s="228"/>
      <c r="B140" s="269"/>
      <c r="C140" s="232" t="s">
        <v>600</v>
      </c>
      <c r="D140" s="232"/>
      <c r="E140" s="232"/>
      <c r="F140" s="232"/>
      <c r="G140" s="232"/>
      <c r="H140" s="232"/>
      <c r="I140" s="232"/>
      <c r="J140" s="232"/>
      <c r="K140" s="232"/>
      <c r="L140" s="232"/>
      <c r="M140" s="232"/>
      <c r="N140" s="232"/>
      <c r="O140" s="232"/>
      <c r="P140" s="232"/>
      <c r="Q140" s="232"/>
      <c r="R140" s="232"/>
      <c r="S140" s="232"/>
      <c r="T140" s="232"/>
      <c r="U140" s="232"/>
      <c r="V140" s="215"/>
    </row>
    <row r="141" spans="1:35" s="200" customFormat="1" ht="15.75" customHeight="1" x14ac:dyDescent="0.3">
      <c r="A141" s="228"/>
      <c r="B141" s="269"/>
      <c r="C141" s="480" t="s">
        <v>482</v>
      </c>
      <c r="D141" s="480"/>
      <c r="E141" s="480"/>
      <c r="F141" s="480"/>
      <c r="G141" s="480"/>
      <c r="H141" s="480"/>
      <c r="I141" s="480"/>
      <c r="J141" s="481" t="s">
        <v>590</v>
      </c>
      <c r="K141" s="481"/>
      <c r="L141" s="481"/>
      <c r="M141" s="232"/>
      <c r="N141" s="232"/>
      <c r="O141" s="232"/>
      <c r="P141" s="232"/>
      <c r="Q141" s="232"/>
      <c r="R141" s="232"/>
      <c r="S141" s="232"/>
      <c r="T141" s="270"/>
      <c r="U141" s="271"/>
      <c r="V141" s="270"/>
    </row>
    <row r="142" spans="1:35" s="200" customFormat="1" ht="15" customHeight="1" x14ac:dyDescent="0.3">
      <c r="A142" s="228"/>
      <c r="B142" s="269"/>
      <c r="C142" s="490" t="s">
        <v>601</v>
      </c>
      <c r="D142" s="490"/>
      <c r="E142" s="490"/>
      <c r="F142" s="490"/>
      <c r="G142" s="490"/>
      <c r="H142" s="490"/>
      <c r="I142" s="490"/>
      <c r="J142" s="491">
        <v>1080</v>
      </c>
      <c r="K142" s="491"/>
      <c r="L142" s="491"/>
      <c r="M142" s="232"/>
      <c r="N142" s="232"/>
      <c r="O142" s="232"/>
      <c r="P142" s="232"/>
      <c r="Q142" s="232"/>
      <c r="R142" s="232"/>
      <c r="S142" s="232"/>
      <c r="T142" s="272" t="s">
        <v>601</v>
      </c>
      <c r="U142" s="273">
        <v>18390</v>
      </c>
      <c r="V142" s="273"/>
      <c r="W142" s="274"/>
      <c r="X142" s="275"/>
    </row>
    <row r="143" spans="1:35" s="200" customFormat="1" ht="15" customHeight="1" x14ac:dyDescent="0.3">
      <c r="A143" s="228"/>
      <c r="B143" s="269"/>
      <c r="C143" s="490" t="s">
        <v>602</v>
      </c>
      <c r="D143" s="490"/>
      <c r="E143" s="490"/>
      <c r="F143" s="490"/>
      <c r="G143" s="490"/>
      <c r="H143" s="490"/>
      <c r="I143" s="490"/>
      <c r="J143" s="491">
        <v>85149</v>
      </c>
      <c r="K143" s="491"/>
      <c r="L143" s="491"/>
      <c r="M143" s="232"/>
      <c r="N143" s="232"/>
      <c r="O143" s="232"/>
      <c r="P143" s="232"/>
      <c r="Q143" s="232"/>
      <c r="R143" s="232"/>
      <c r="S143" s="232"/>
      <c r="T143" s="276" t="s">
        <v>602</v>
      </c>
      <c r="U143" s="273">
        <v>414765</v>
      </c>
      <c r="V143" s="273"/>
      <c r="W143" s="274"/>
      <c r="X143" s="275"/>
    </row>
    <row r="144" spans="1:35" s="200" customFormat="1" ht="15" customHeight="1" x14ac:dyDescent="0.3">
      <c r="A144" s="228"/>
      <c r="B144" s="269"/>
      <c r="C144" s="490" t="s">
        <v>603</v>
      </c>
      <c r="D144" s="490"/>
      <c r="E144" s="490"/>
      <c r="F144" s="490"/>
      <c r="G144" s="490"/>
      <c r="H144" s="490"/>
      <c r="I144" s="490"/>
      <c r="J144" s="491">
        <v>22700</v>
      </c>
      <c r="K144" s="491"/>
      <c r="L144" s="491"/>
      <c r="M144" s="232"/>
      <c r="N144" s="232"/>
      <c r="O144" s="232"/>
      <c r="P144" s="232"/>
      <c r="Q144" s="232"/>
      <c r="R144" s="232"/>
      <c r="S144" s="232"/>
      <c r="T144" s="276" t="s">
        <v>603</v>
      </c>
      <c r="U144" s="273">
        <v>22700</v>
      </c>
      <c r="V144" s="273"/>
      <c r="W144" s="274"/>
      <c r="X144" s="275"/>
    </row>
    <row r="145" spans="1:24" s="200" customFormat="1" ht="15" customHeight="1" x14ac:dyDescent="0.3">
      <c r="A145" s="228"/>
      <c r="B145" s="269"/>
      <c r="C145" s="490" t="s">
        <v>604</v>
      </c>
      <c r="D145" s="490"/>
      <c r="E145" s="490"/>
      <c r="F145" s="490"/>
      <c r="G145" s="490"/>
      <c r="H145" s="490"/>
      <c r="I145" s="490"/>
      <c r="J145" s="491">
        <v>11080</v>
      </c>
      <c r="K145" s="491"/>
      <c r="L145" s="491"/>
      <c r="M145" s="232"/>
      <c r="N145" s="232"/>
      <c r="O145" s="232"/>
      <c r="P145" s="232"/>
      <c r="Q145" s="232"/>
      <c r="R145" s="232"/>
      <c r="S145" s="232"/>
      <c r="T145" s="276" t="s">
        <v>605</v>
      </c>
      <c r="U145" s="277">
        <v>14900</v>
      </c>
      <c r="V145" s="273"/>
      <c r="W145" s="274"/>
      <c r="X145" s="275"/>
    </row>
    <row r="146" spans="1:24" s="200" customFormat="1" ht="15" customHeight="1" x14ac:dyDescent="0.3">
      <c r="A146" s="228"/>
      <c r="B146" s="269"/>
      <c r="C146" s="490" t="s">
        <v>605</v>
      </c>
      <c r="D146" s="490"/>
      <c r="E146" s="490"/>
      <c r="F146" s="490"/>
      <c r="G146" s="490"/>
      <c r="H146" s="490"/>
      <c r="I146" s="490"/>
      <c r="J146" s="491">
        <v>28320</v>
      </c>
      <c r="K146" s="491"/>
      <c r="L146" s="491"/>
      <c r="M146" s="232"/>
      <c r="N146" s="232"/>
      <c r="O146" s="232"/>
      <c r="P146" s="232"/>
      <c r="Q146" s="232"/>
      <c r="R146" s="232"/>
      <c r="S146" s="232"/>
      <c r="T146" s="276" t="s">
        <v>606</v>
      </c>
      <c r="U146" s="277">
        <v>5000</v>
      </c>
      <c r="V146" s="273"/>
      <c r="W146" s="274"/>
      <c r="X146" s="275"/>
    </row>
    <row r="147" spans="1:24" s="200" customFormat="1" ht="15" customHeight="1" x14ac:dyDescent="0.3">
      <c r="A147" s="228"/>
      <c r="B147" s="269"/>
      <c r="C147" s="490" t="s">
        <v>606</v>
      </c>
      <c r="D147" s="490"/>
      <c r="E147" s="490"/>
      <c r="F147" s="490"/>
      <c r="G147" s="490"/>
      <c r="H147" s="490"/>
      <c r="I147" s="490"/>
      <c r="J147" s="491">
        <v>5000</v>
      </c>
      <c r="K147" s="491"/>
      <c r="L147" s="491"/>
      <c r="M147" s="232"/>
      <c r="N147" s="232"/>
      <c r="O147" s="232"/>
      <c r="P147" s="232"/>
      <c r="Q147" s="232"/>
      <c r="R147" s="232"/>
      <c r="S147" s="232"/>
      <c r="T147" s="276" t="s">
        <v>607</v>
      </c>
      <c r="U147" s="277">
        <v>4764</v>
      </c>
      <c r="V147" s="273"/>
      <c r="W147" s="274"/>
      <c r="X147" s="275"/>
    </row>
    <row r="148" spans="1:24" s="200" customFormat="1" ht="15.75" customHeight="1" x14ac:dyDescent="0.3">
      <c r="A148" s="228"/>
      <c r="B148" s="269"/>
      <c r="C148" s="490" t="s">
        <v>607</v>
      </c>
      <c r="D148" s="490"/>
      <c r="E148" s="490"/>
      <c r="F148" s="490"/>
      <c r="G148" s="490"/>
      <c r="H148" s="490"/>
      <c r="I148" s="490"/>
      <c r="J148" s="491">
        <v>5909</v>
      </c>
      <c r="K148" s="491"/>
      <c r="L148" s="491"/>
      <c r="M148" s="232"/>
      <c r="N148" s="232"/>
      <c r="O148" s="232"/>
      <c r="P148" s="232"/>
      <c r="Q148" s="232"/>
      <c r="R148" s="232"/>
      <c r="S148" s="232"/>
      <c r="T148" s="278"/>
      <c r="U148" s="279"/>
      <c r="V148" s="280"/>
      <c r="W148" s="281"/>
      <c r="X148" s="275"/>
    </row>
    <row r="149" spans="1:24" s="200" customFormat="1" ht="15.75" customHeight="1" x14ac:dyDescent="0.3">
      <c r="A149" s="228"/>
      <c r="B149" s="269"/>
      <c r="C149" s="494" t="s">
        <v>574</v>
      </c>
      <c r="D149" s="494"/>
      <c r="E149" s="494"/>
      <c r="F149" s="494"/>
      <c r="G149" s="494"/>
      <c r="H149" s="494"/>
      <c r="I149" s="494"/>
      <c r="J149" s="473">
        <f>SUM(J142:L148)</f>
        <v>159238</v>
      </c>
      <c r="K149" s="473"/>
      <c r="L149" s="473"/>
      <c r="M149" s="232"/>
      <c r="N149" s="232"/>
      <c r="O149" s="232"/>
      <c r="P149" s="232"/>
      <c r="Q149" s="232"/>
      <c r="R149" s="232"/>
      <c r="S149" s="232"/>
      <c r="T149" s="278"/>
      <c r="U149" s="279"/>
    </row>
    <row r="150" spans="1:24" s="200" customFormat="1" ht="15.75" customHeight="1" x14ac:dyDescent="0.3">
      <c r="A150" s="228"/>
      <c r="B150" s="269"/>
      <c r="C150" s="480" t="s">
        <v>482</v>
      </c>
      <c r="D150" s="480"/>
      <c r="E150" s="480"/>
      <c r="F150" s="480"/>
      <c r="G150" s="480"/>
      <c r="H150" s="480"/>
      <c r="I150" s="480"/>
      <c r="J150" s="495" t="s">
        <v>590</v>
      </c>
      <c r="K150" s="495"/>
      <c r="L150" s="495"/>
      <c r="M150" s="496" t="s">
        <v>608</v>
      </c>
      <c r="N150" s="496"/>
      <c r="O150" s="496"/>
      <c r="P150" s="496"/>
      <c r="Q150" s="496"/>
      <c r="R150" s="496"/>
      <c r="S150" s="232"/>
      <c r="T150" s="54"/>
      <c r="U150" s="282"/>
    </row>
    <row r="151" spans="1:24" s="200" customFormat="1" ht="31.5" customHeight="1" x14ac:dyDescent="0.3">
      <c r="A151" s="228"/>
      <c r="B151" s="269"/>
      <c r="C151" s="490" t="s">
        <v>572</v>
      </c>
      <c r="D151" s="490"/>
      <c r="E151" s="490"/>
      <c r="F151" s="490"/>
      <c r="G151" s="490"/>
      <c r="H151" s="490"/>
      <c r="I151" s="490"/>
      <c r="J151" s="467">
        <v>1021</v>
      </c>
      <c r="K151" s="467"/>
      <c r="L151" s="467"/>
      <c r="M151" s="497" t="s">
        <v>609</v>
      </c>
      <c r="N151" s="497"/>
      <c r="O151" s="497"/>
      <c r="P151" s="497"/>
      <c r="Q151" s="497"/>
      <c r="R151" s="497"/>
      <c r="S151" s="232"/>
      <c r="T151" s="283"/>
      <c r="U151" s="284"/>
      <c r="V151" s="273"/>
      <c r="W151" s="274"/>
      <c r="X151" s="275"/>
    </row>
    <row r="152" spans="1:24" s="200" customFormat="1" ht="15.75" customHeight="1" x14ac:dyDescent="0.3">
      <c r="A152" s="228"/>
      <c r="B152" s="269"/>
      <c r="C152" s="494" t="s">
        <v>574</v>
      </c>
      <c r="D152" s="494"/>
      <c r="E152" s="494"/>
      <c r="F152" s="494"/>
      <c r="G152" s="494"/>
      <c r="H152" s="494"/>
      <c r="I152" s="494"/>
      <c r="J152" s="473">
        <f>SUM(J151:L151)</f>
        <v>1021</v>
      </c>
      <c r="K152" s="473"/>
      <c r="L152" s="473"/>
      <c r="M152" s="498"/>
      <c r="N152" s="498"/>
      <c r="O152" s="498"/>
      <c r="P152" s="498"/>
      <c r="Q152" s="498"/>
      <c r="R152" s="498"/>
      <c r="S152" s="232"/>
      <c r="T152" s="278"/>
      <c r="U152" s="279"/>
      <c r="V152" s="280"/>
      <c r="W152" s="281"/>
      <c r="X152" s="275"/>
    </row>
    <row r="153" spans="1:24" s="209" customFormat="1" ht="9.75" customHeight="1" x14ac:dyDescent="0.3">
      <c r="A153" s="220"/>
      <c r="B153" s="285"/>
      <c r="C153" s="286"/>
      <c r="D153" s="286"/>
      <c r="E153" s="286"/>
      <c r="F153" s="286"/>
      <c r="G153" s="286"/>
      <c r="H153" s="286"/>
      <c r="I153" s="286"/>
      <c r="J153" s="286"/>
      <c r="K153" s="286"/>
      <c r="L153" s="286"/>
      <c r="M153" s="286"/>
      <c r="N153" s="286"/>
      <c r="O153" s="286"/>
      <c r="P153" s="286"/>
      <c r="Q153" s="286"/>
      <c r="R153" s="286"/>
      <c r="T153" s="287"/>
      <c r="U153" s="288"/>
      <c r="W153" s="289"/>
      <c r="X153" s="290"/>
    </row>
    <row r="154" spans="1:24" s="209" customFormat="1" ht="9.75" customHeight="1" x14ac:dyDescent="0.3">
      <c r="A154" s="220"/>
      <c r="B154" s="285"/>
      <c r="C154" s="286"/>
      <c r="D154" s="286"/>
      <c r="E154" s="286"/>
      <c r="F154" s="286"/>
      <c r="G154" s="286"/>
      <c r="H154" s="286"/>
      <c r="I154" s="286"/>
      <c r="J154" s="286"/>
      <c r="K154" s="286"/>
      <c r="L154" s="286"/>
      <c r="M154" s="286"/>
      <c r="N154" s="286"/>
      <c r="O154" s="286"/>
      <c r="P154" s="286"/>
      <c r="Q154" s="286"/>
      <c r="R154" s="286"/>
      <c r="T154" s="287"/>
      <c r="U154" s="288"/>
      <c r="W154" s="289"/>
      <c r="X154" s="290"/>
    </row>
    <row r="155" spans="1:24" s="200" customFormat="1" ht="16.5" customHeight="1" x14ac:dyDescent="0.3">
      <c r="A155" s="263" t="s">
        <v>610</v>
      </c>
      <c r="B155" s="269"/>
      <c r="C155" s="291"/>
      <c r="D155" s="266"/>
      <c r="E155" s="266"/>
      <c r="F155" s="266"/>
      <c r="G155" s="266"/>
      <c r="H155" s="266"/>
      <c r="I155" s="266"/>
      <c r="J155" s="267"/>
      <c r="K155" s="267"/>
      <c r="L155" s="267"/>
      <c r="M155" s="232"/>
      <c r="N155" s="232"/>
      <c r="O155" s="232"/>
      <c r="P155" s="232"/>
      <c r="Q155" s="232"/>
      <c r="R155" s="232"/>
      <c r="S155" s="232"/>
      <c r="T155" s="292"/>
      <c r="U155" s="215"/>
      <c r="W155" s="281"/>
      <c r="X155" s="275"/>
    </row>
    <row r="156" spans="1:24" s="200" customFormat="1" ht="16.5" customHeight="1" x14ac:dyDescent="0.3">
      <c r="A156" s="228"/>
      <c r="B156" s="293">
        <v>1</v>
      </c>
      <c r="C156" s="246" t="s">
        <v>611</v>
      </c>
      <c r="D156" s="232"/>
      <c r="E156" s="232"/>
      <c r="F156" s="232"/>
      <c r="G156" s="232"/>
      <c r="H156" s="232"/>
      <c r="I156" s="232"/>
      <c r="J156" s="232"/>
      <c r="K156" s="232"/>
      <c r="L156" s="232"/>
      <c r="M156" s="232"/>
      <c r="N156" s="232"/>
      <c r="O156" s="232"/>
      <c r="P156" s="232"/>
      <c r="Q156" s="232"/>
      <c r="R156" s="232"/>
      <c r="S156" s="215"/>
      <c r="T156" s="215" t="s">
        <v>612</v>
      </c>
      <c r="U156" s="215"/>
    </row>
    <row r="157" spans="1:24" s="200" customFormat="1" ht="32.25" customHeight="1" x14ac:dyDescent="0.3">
      <c r="A157" s="228"/>
      <c r="B157" s="294"/>
      <c r="C157" s="448" t="s">
        <v>613</v>
      </c>
      <c r="D157" s="448"/>
      <c r="E157" s="448"/>
      <c r="F157" s="448"/>
      <c r="G157" s="448"/>
      <c r="H157" s="448"/>
      <c r="I157" s="448"/>
      <c r="J157" s="448"/>
      <c r="K157" s="448"/>
      <c r="L157" s="448"/>
      <c r="M157" s="448"/>
      <c r="N157" s="448"/>
      <c r="O157" s="448"/>
      <c r="P157" s="448"/>
      <c r="Q157" s="448"/>
      <c r="R157" s="448"/>
      <c r="S157" s="215"/>
      <c r="T157" s="215"/>
      <c r="U157" s="215"/>
    </row>
    <row r="158" spans="1:24" s="200" customFormat="1" ht="7.5" customHeight="1" x14ac:dyDescent="0.3">
      <c r="A158" s="228"/>
      <c r="B158" s="243"/>
      <c r="C158" s="232"/>
      <c r="D158" s="232"/>
      <c r="E158" s="232"/>
      <c r="F158" s="232"/>
      <c r="G158" s="232"/>
      <c r="H158" s="232"/>
      <c r="I158" s="232"/>
      <c r="J158" s="232"/>
      <c r="K158" s="232"/>
      <c r="L158" s="232"/>
      <c r="M158" s="232"/>
      <c r="N158" s="232"/>
      <c r="O158" s="232"/>
      <c r="P158" s="232"/>
      <c r="Q158" s="232"/>
      <c r="R158" s="232"/>
      <c r="S158" s="232"/>
      <c r="T158" s="215"/>
      <c r="U158" s="215"/>
      <c r="W158" s="281"/>
      <c r="X158" s="275"/>
    </row>
    <row r="159" spans="1:24" s="200" customFormat="1" ht="16.5" customHeight="1" x14ac:dyDescent="0.3">
      <c r="A159" s="228"/>
      <c r="B159" s="293">
        <v>2</v>
      </c>
      <c r="C159" s="246" t="s">
        <v>614</v>
      </c>
      <c r="D159" s="232"/>
      <c r="E159" s="232"/>
      <c r="F159" s="232"/>
      <c r="G159" s="232"/>
      <c r="H159" s="232"/>
      <c r="I159" s="232"/>
      <c r="J159" s="232"/>
      <c r="K159" s="232"/>
      <c r="L159" s="232"/>
      <c r="M159" s="232"/>
      <c r="N159" s="232"/>
      <c r="O159" s="232"/>
      <c r="P159" s="232"/>
      <c r="Q159" s="232"/>
      <c r="R159" s="232"/>
      <c r="S159" s="232"/>
      <c r="T159" s="295"/>
      <c r="U159" s="215"/>
      <c r="V159" s="296"/>
      <c r="W159" s="281"/>
      <c r="X159" s="275"/>
    </row>
    <row r="160" spans="1:24" s="200" customFormat="1" ht="16.5" customHeight="1" x14ac:dyDescent="0.3">
      <c r="A160" s="228"/>
      <c r="B160" s="243" t="s">
        <v>615</v>
      </c>
      <c r="C160" s="499" t="s">
        <v>616</v>
      </c>
      <c r="D160" s="499"/>
      <c r="E160" s="499"/>
      <c r="F160" s="499"/>
      <c r="G160" s="499"/>
      <c r="H160" s="499"/>
      <c r="I160" s="499"/>
      <c r="J160" s="499"/>
      <c r="K160" s="499"/>
      <c r="L160" s="499"/>
      <c r="M160" s="499"/>
      <c r="N160" s="499"/>
      <c r="O160" s="499"/>
      <c r="P160" s="499"/>
      <c r="Q160" s="499"/>
      <c r="R160" s="499"/>
      <c r="S160" s="232"/>
      <c r="T160" s="215"/>
      <c r="U160" s="215"/>
      <c r="V160" s="296"/>
      <c r="W160" s="281"/>
      <c r="X160" s="275"/>
    </row>
    <row r="161" spans="1:26" s="200" customFormat="1" ht="16.5" customHeight="1" x14ac:dyDescent="0.3">
      <c r="A161" s="228"/>
      <c r="B161" s="243"/>
      <c r="C161" s="199">
        <v>1</v>
      </c>
      <c r="D161" s="500" t="str">
        <f>+T161</f>
        <v>Mumbai District Central Co-op. Bank</v>
      </c>
      <c r="E161" s="500"/>
      <c r="F161" s="500"/>
      <c r="G161" s="500"/>
      <c r="H161" s="500"/>
      <c r="I161" s="500"/>
      <c r="J161" s="501">
        <v>21412</v>
      </c>
      <c r="K161" s="501"/>
      <c r="L161" s="501"/>
      <c r="M161" s="297"/>
      <c r="N161" s="297"/>
      <c r="O161" s="297"/>
      <c r="P161" s="297"/>
      <c r="Q161" s="297"/>
      <c r="R161" s="297"/>
      <c r="S161" s="232"/>
      <c r="T161" s="298" t="s">
        <v>617</v>
      </c>
      <c r="U161" s="299">
        <v>21412</v>
      </c>
      <c r="V161" s="296"/>
      <c r="W161" s="281"/>
      <c r="X161" s="275"/>
    </row>
    <row r="162" spans="1:26" s="200" customFormat="1" ht="16.5" customHeight="1" x14ac:dyDescent="0.3">
      <c r="A162" s="228"/>
      <c r="B162" s="243"/>
      <c r="C162" s="199">
        <v>2</v>
      </c>
      <c r="D162" s="500" t="str">
        <f>+T162</f>
        <v>Citizencredit Co-Op Bank Ltd</v>
      </c>
      <c r="E162" s="500"/>
      <c r="F162" s="500"/>
      <c r="G162" s="500"/>
      <c r="H162" s="500"/>
      <c r="I162" s="500"/>
      <c r="J162" s="501">
        <v>112753.34</v>
      </c>
      <c r="K162" s="501"/>
      <c r="L162" s="501"/>
      <c r="M162" s="297"/>
      <c r="N162" s="297"/>
      <c r="O162" s="297"/>
      <c r="P162" s="297"/>
      <c r="Q162" s="297"/>
      <c r="R162" s="297"/>
      <c r="S162" s="232"/>
      <c r="T162" s="300" t="s">
        <v>618</v>
      </c>
      <c r="U162" s="301">
        <v>241182.94</v>
      </c>
      <c r="V162" s="296"/>
      <c r="W162" s="281"/>
      <c r="X162" s="275"/>
    </row>
    <row r="163" spans="1:26" s="200" customFormat="1" ht="16.5" customHeight="1" x14ac:dyDescent="0.3">
      <c r="A163" s="228"/>
      <c r="B163" s="243"/>
      <c r="C163" s="302"/>
      <c r="D163" s="502" t="s">
        <v>619</v>
      </c>
      <c r="E163" s="502"/>
      <c r="F163" s="502"/>
      <c r="G163" s="502"/>
      <c r="H163" s="502"/>
      <c r="I163" s="502"/>
      <c r="J163" s="503">
        <f>SUM(J161:L162)</f>
        <v>134165.34</v>
      </c>
      <c r="K163" s="503"/>
      <c r="L163" s="503"/>
      <c r="M163" s="297"/>
      <c r="N163" s="297"/>
      <c r="O163" s="297"/>
      <c r="P163" s="297"/>
      <c r="Q163" s="297"/>
      <c r="R163" s="297"/>
      <c r="S163" s="215"/>
      <c r="V163" s="296"/>
      <c r="W163" s="281"/>
      <c r="X163" s="275"/>
    </row>
    <row r="164" spans="1:26" s="200" customFormat="1" ht="7.5" customHeight="1" x14ac:dyDescent="0.3">
      <c r="A164" s="228"/>
      <c r="B164" s="243"/>
      <c r="C164" s="303"/>
      <c r="D164" s="304"/>
      <c r="E164" s="304"/>
      <c r="F164" s="304"/>
      <c r="G164" s="304"/>
      <c r="H164" s="304"/>
      <c r="I164" s="304"/>
      <c r="J164" s="305"/>
      <c r="K164" s="306"/>
      <c r="L164" s="306"/>
      <c r="M164" s="297"/>
      <c r="N164" s="297"/>
      <c r="O164" s="297"/>
      <c r="P164" s="297"/>
      <c r="Q164" s="297"/>
      <c r="R164" s="297"/>
      <c r="S164" s="215"/>
      <c r="T164" s="215"/>
      <c r="U164" s="215"/>
      <c r="V164" s="296"/>
      <c r="W164" s="281"/>
      <c r="X164" s="275"/>
    </row>
    <row r="165" spans="1:26" s="200" customFormat="1" ht="45" customHeight="1" x14ac:dyDescent="0.3">
      <c r="A165" s="228"/>
      <c r="B165" s="243" t="s">
        <v>359</v>
      </c>
      <c r="C165" s="448" t="s">
        <v>620</v>
      </c>
      <c r="D165" s="448"/>
      <c r="E165" s="448"/>
      <c r="F165" s="448"/>
      <c r="G165" s="448"/>
      <c r="H165" s="448"/>
      <c r="I165" s="448"/>
      <c r="J165" s="448"/>
      <c r="K165" s="448"/>
      <c r="L165" s="448"/>
      <c r="M165" s="448"/>
      <c r="N165" s="448"/>
      <c r="O165" s="448"/>
      <c r="P165" s="448"/>
      <c r="Q165" s="448"/>
      <c r="R165" s="448"/>
      <c r="S165" s="215"/>
      <c r="T165" s="307"/>
      <c r="U165" s="307"/>
      <c r="V165" s="308"/>
      <c r="W165" s="281"/>
      <c r="X165" s="275"/>
    </row>
    <row r="166" spans="1:26" s="200" customFormat="1" ht="7.5" customHeight="1" x14ac:dyDescent="0.3">
      <c r="A166" s="215"/>
      <c r="B166" s="243"/>
      <c r="C166" s="232"/>
      <c r="D166" s="232"/>
      <c r="E166" s="232"/>
      <c r="F166" s="232"/>
      <c r="G166" s="232"/>
      <c r="H166" s="232"/>
      <c r="I166" s="232"/>
      <c r="J166" s="232"/>
      <c r="K166" s="232"/>
      <c r="L166" s="232"/>
      <c r="M166" s="232"/>
      <c r="N166" s="232"/>
      <c r="O166" s="232"/>
      <c r="P166" s="232"/>
      <c r="Q166" s="232"/>
      <c r="R166" s="232"/>
      <c r="S166" s="215"/>
      <c r="T166" s="215"/>
      <c r="U166" s="215"/>
      <c r="V166" s="296"/>
      <c r="W166" s="281"/>
      <c r="X166" s="275"/>
    </row>
    <row r="167" spans="1:26" s="200" customFormat="1" ht="16.5" customHeight="1" x14ac:dyDescent="0.3">
      <c r="A167" s="215"/>
      <c r="B167" s="293">
        <v>3</v>
      </c>
      <c r="C167" s="246" t="s">
        <v>621</v>
      </c>
      <c r="D167" s="232"/>
      <c r="E167" s="232"/>
      <c r="F167" s="232"/>
      <c r="G167" s="232"/>
      <c r="H167" s="232"/>
      <c r="I167" s="232"/>
      <c r="J167" s="232"/>
      <c r="K167" s="232"/>
      <c r="L167" s="232"/>
      <c r="M167" s="232"/>
      <c r="N167" s="232"/>
      <c r="O167" s="232"/>
      <c r="P167" s="232"/>
      <c r="Q167" s="232"/>
      <c r="R167" s="232"/>
      <c r="S167" s="215"/>
      <c r="T167" s="215"/>
      <c r="U167" s="215"/>
      <c r="V167" s="296"/>
      <c r="W167" s="281"/>
      <c r="X167" s="275"/>
    </row>
    <row r="168" spans="1:26" s="209" customFormat="1" ht="15.75" customHeight="1" x14ac:dyDescent="0.3">
      <c r="A168" s="220"/>
      <c r="B168" s="243"/>
      <c r="C168" s="504" t="s">
        <v>622</v>
      </c>
      <c r="D168" s="504"/>
      <c r="E168" s="504"/>
      <c r="F168" s="504"/>
      <c r="G168" s="504"/>
      <c r="H168" s="504"/>
      <c r="I168" s="504"/>
      <c r="J168" s="504"/>
      <c r="K168" s="504"/>
      <c r="L168" s="504"/>
      <c r="M168" s="504"/>
      <c r="N168" s="504"/>
      <c r="O168" s="504"/>
      <c r="P168" s="504"/>
      <c r="Q168" s="504"/>
      <c r="R168" s="504"/>
    </row>
    <row r="169" spans="1:26" s="209" customFormat="1" ht="13.5" hidden="1" customHeight="1" x14ac:dyDescent="0.3">
      <c r="A169" s="505"/>
      <c r="B169" s="505"/>
      <c r="C169" s="506"/>
      <c r="D169" s="506"/>
      <c r="E169" s="506"/>
      <c r="F169" s="506"/>
      <c r="G169" s="506"/>
      <c r="H169" s="506"/>
      <c r="I169" s="506"/>
      <c r="J169" s="507"/>
      <c r="K169" s="507"/>
      <c r="L169" s="507"/>
      <c r="M169" s="507"/>
      <c r="N169" s="507"/>
      <c r="O169" s="507"/>
      <c r="P169" s="508"/>
      <c r="Q169" s="508"/>
      <c r="R169" s="508"/>
    </row>
    <row r="170" spans="1:26" s="209" customFormat="1" ht="15.75" customHeight="1" x14ac:dyDescent="0.3">
      <c r="A170" s="509"/>
      <c r="B170" s="509"/>
      <c r="C170" s="479" t="s">
        <v>482</v>
      </c>
      <c r="D170" s="479"/>
      <c r="E170" s="479"/>
      <c r="F170" s="479"/>
      <c r="G170" s="479"/>
      <c r="H170" s="479"/>
      <c r="I170" s="479"/>
      <c r="J170" s="510">
        <v>46112</v>
      </c>
      <c r="K170" s="510"/>
      <c r="L170" s="510"/>
      <c r="M170" s="510">
        <v>45747</v>
      </c>
      <c r="N170" s="510"/>
      <c r="O170" s="510"/>
      <c r="P170" s="511" t="s">
        <v>566</v>
      </c>
      <c r="Q170" s="511"/>
      <c r="R170" s="511"/>
      <c r="T170" s="309"/>
      <c r="U170" s="309"/>
      <c r="V170" s="247"/>
      <c r="W170" s="247"/>
      <c r="X170" s="247"/>
    </row>
    <row r="171" spans="1:26" s="209" customFormat="1" ht="15.75" customHeight="1" x14ac:dyDescent="0.3">
      <c r="A171" s="220"/>
      <c r="B171" s="242"/>
      <c r="C171" s="512" t="s">
        <v>623</v>
      </c>
      <c r="D171" s="512"/>
      <c r="E171" s="512"/>
      <c r="F171" s="512"/>
      <c r="G171" s="512"/>
      <c r="H171" s="512"/>
      <c r="I171" s="512"/>
      <c r="J171" s="513"/>
      <c r="K171" s="513"/>
      <c r="L171" s="513"/>
      <c r="M171" s="513"/>
      <c r="N171" s="513"/>
      <c r="O171" s="513"/>
      <c r="P171" s="514"/>
      <c r="Q171" s="514"/>
      <c r="R171" s="514"/>
      <c r="T171" s="309"/>
      <c r="U171" s="309"/>
      <c r="V171" s="247"/>
      <c r="W171" s="247"/>
      <c r="X171" s="247"/>
    </row>
    <row r="172" spans="1:26" s="209" customFormat="1" ht="15.75" customHeight="1" x14ac:dyDescent="0.3">
      <c r="A172" s="220"/>
      <c r="B172" s="242"/>
      <c r="C172" s="441" t="s">
        <v>592</v>
      </c>
      <c r="D172" s="441"/>
      <c r="E172" s="441"/>
      <c r="F172" s="441"/>
      <c r="G172" s="441"/>
      <c r="H172" s="441"/>
      <c r="I172" s="441"/>
      <c r="J172" s="513">
        <v>236597</v>
      </c>
      <c r="K172" s="513"/>
      <c r="L172" s="513"/>
      <c r="M172" s="513">
        <v>225313</v>
      </c>
      <c r="N172" s="513"/>
      <c r="O172" s="513"/>
      <c r="P172" s="514">
        <f t="shared" ref="P172:P177" si="3">+J172-M172</f>
        <v>11284</v>
      </c>
      <c r="Q172" s="514"/>
      <c r="R172" s="514"/>
      <c r="T172" s="300" t="s">
        <v>593</v>
      </c>
      <c r="U172" s="301">
        <v>479845</v>
      </c>
      <c r="V172" s="300">
        <v>2674028</v>
      </c>
      <c r="W172" s="301"/>
      <c r="X172" s="300"/>
      <c r="Y172" s="301"/>
      <c r="Z172" s="300"/>
    </row>
    <row r="173" spans="1:26" s="209" customFormat="1" ht="15.75" customHeight="1" x14ac:dyDescent="0.3">
      <c r="A173" s="220"/>
      <c r="B173" s="242"/>
      <c r="C173" s="441" t="s">
        <v>593</v>
      </c>
      <c r="D173" s="441"/>
      <c r="E173" s="441"/>
      <c r="F173" s="441"/>
      <c r="G173" s="441"/>
      <c r="H173" s="441"/>
      <c r="I173" s="441"/>
      <c r="J173" s="513">
        <v>275714</v>
      </c>
      <c r="K173" s="513"/>
      <c r="L173" s="513"/>
      <c r="M173" s="513">
        <v>261946</v>
      </c>
      <c r="N173" s="513"/>
      <c r="O173" s="513"/>
      <c r="P173" s="514">
        <f t="shared" si="3"/>
        <v>13768</v>
      </c>
      <c r="Q173" s="514"/>
      <c r="R173" s="514"/>
      <c r="T173" s="300" t="s">
        <v>624</v>
      </c>
      <c r="U173" s="301">
        <v>1075885</v>
      </c>
      <c r="V173" s="300">
        <v>474802</v>
      </c>
      <c r="W173" s="301"/>
      <c r="X173" s="300"/>
      <c r="Y173" s="301"/>
      <c r="Z173" s="300"/>
    </row>
    <row r="174" spans="1:26" s="209" customFormat="1" ht="15.75" customHeight="1" x14ac:dyDescent="0.3">
      <c r="A174" s="220"/>
      <c r="B174" s="242"/>
      <c r="C174" s="477" t="s">
        <v>594</v>
      </c>
      <c r="D174" s="477"/>
      <c r="E174" s="477"/>
      <c r="F174" s="477"/>
      <c r="G174" s="477"/>
      <c r="H174" s="477"/>
      <c r="I174" s="477"/>
      <c r="J174" s="513">
        <v>602489</v>
      </c>
      <c r="K174" s="513"/>
      <c r="L174" s="513"/>
      <c r="M174" s="513">
        <v>593563</v>
      </c>
      <c r="N174" s="513"/>
      <c r="O174" s="513"/>
      <c r="P174" s="514">
        <f t="shared" si="3"/>
        <v>8926</v>
      </c>
      <c r="Q174" s="514"/>
      <c r="R174" s="514"/>
      <c r="T174" s="300" t="s">
        <v>625</v>
      </c>
      <c r="U174" s="301">
        <v>460125</v>
      </c>
      <c r="V174" s="300">
        <v>1065534</v>
      </c>
      <c r="W174" s="301"/>
      <c r="X174" s="300"/>
      <c r="Y174" s="301"/>
      <c r="Z174" s="300"/>
    </row>
    <row r="175" spans="1:26" s="209" customFormat="1" ht="15.75" customHeight="1" x14ac:dyDescent="0.3">
      <c r="A175" s="220"/>
      <c r="B175" s="242"/>
      <c r="C175" s="477" t="s">
        <v>595</v>
      </c>
      <c r="D175" s="477"/>
      <c r="E175" s="477"/>
      <c r="F175" s="477"/>
      <c r="G175" s="477"/>
      <c r="H175" s="477"/>
      <c r="I175" s="477"/>
      <c r="J175" s="513">
        <v>835266</v>
      </c>
      <c r="K175" s="513"/>
      <c r="L175" s="513"/>
      <c r="M175" s="513">
        <v>783834</v>
      </c>
      <c r="N175" s="513"/>
      <c r="O175" s="513"/>
      <c r="P175" s="514">
        <f t="shared" si="3"/>
        <v>51432</v>
      </c>
      <c r="Q175" s="514"/>
      <c r="R175" s="514"/>
      <c r="T175" s="300" t="s">
        <v>625</v>
      </c>
      <c r="U175" s="301">
        <v>460125</v>
      </c>
      <c r="V175" s="300">
        <v>1065534</v>
      </c>
      <c r="W175" s="301"/>
      <c r="X175" s="300"/>
      <c r="Y175" s="301"/>
      <c r="Z175" s="300"/>
    </row>
    <row r="176" spans="1:26" s="209" customFormat="1" ht="15.75" customHeight="1" x14ac:dyDescent="0.3">
      <c r="A176" s="220"/>
      <c r="B176" s="242"/>
      <c r="C176" s="477" t="s">
        <v>596</v>
      </c>
      <c r="D176" s="477"/>
      <c r="E176" s="477"/>
      <c r="F176" s="477"/>
      <c r="G176" s="477"/>
      <c r="H176" s="477"/>
      <c r="I176" s="477"/>
      <c r="J176" s="513">
        <v>19973</v>
      </c>
      <c r="K176" s="513"/>
      <c r="L176" s="513"/>
      <c r="M176" s="513">
        <v>18707</v>
      </c>
      <c r="N176" s="513"/>
      <c r="O176" s="513"/>
      <c r="P176" s="514">
        <f t="shared" si="3"/>
        <v>1266</v>
      </c>
      <c r="Q176" s="514"/>
      <c r="R176" s="514"/>
      <c r="T176" s="300" t="s">
        <v>625</v>
      </c>
      <c r="U176" s="301">
        <v>460125</v>
      </c>
      <c r="V176" s="300">
        <v>1065534</v>
      </c>
      <c r="W176" s="301"/>
      <c r="X176" s="300"/>
      <c r="Y176" s="301"/>
      <c r="Z176" s="300"/>
    </row>
    <row r="177" spans="1:26" s="209" customFormat="1" ht="15.75" customHeight="1" x14ac:dyDescent="0.3">
      <c r="A177" s="220"/>
      <c r="B177" s="242"/>
      <c r="C177" s="477" t="s">
        <v>597</v>
      </c>
      <c r="D177" s="477"/>
      <c r="E177" s="477"/>
      <c r="F177" s="477"/>
      <c r="G177" s="477"/>
      <c r="H177" s="477"/>
      <c r="I177" s="477"/>
      <c r="J177" s="513">
        <v>9000</v>
      </c>
      <c r="K177" s="513"/>
      <c r="L177" s="513"/>
      <c r="M177" s="513">
        <v>9000</v>
      </c>
      <c r="N177" s="513"/>
      <c r="O177" s="513"/>
      <c r="P177" s="514">
        <f t="shared" si="3"/>
        <v>0</v>
      </c>
      <c r="Q177" s="514"/>
      <c r="R177" s="514"/>
      <c r="T177" s="300" t="s">
        <v>592</v>
      </c>
      <c r="U177" s="301">
        <v>173551</v>
      </c>
      <c r="V177" s="300">
        <v>9161</v>
      </c>
      <c r="W177" s="301"/>
      <c r="X177" s="300"/>
      <c r="Y177" s="301"/>
      <c r="Z177" s="300"/>
    </row>
    <row r="178" spans="1:26" s="209" customFormat="1" ht="15.75" customHeight="1" x14ac:dyDescent="0.3">
      <c r="A178" s="220"/>
      <c r="B178" s="310"/>
      <c r="C178" s="515" t="s">
        <v>619</v>
      </c>
      <c r="D178" s="515"/>
      <c r="E178" s="515"/>
      <c r="F178" s="515"/>
      <c r="G178" s="515"/>
      <c r="H178" s="515"/>
      <c r="I178" s="515"/>
      <c r="J178" s="516">
        <f>SUM(J172:L177)</f>
        <v>1979039</v>
      </c>
      <c r="K178" s="516"/>
      <c r="L178" s="516"/>
      <c r="M178" s="516">
        <f>SUM(M172:O177)</f>
        <v>1892363</v>
      </c>
      <c r="N178" s="516"/>
      <c r="O178" s="516"/>
      <c r="P178" s="516">
        <f>SUM(P172:R177)</f>
        <v>86676</v>
      </c>
      <c r="Q178" s="516"/>
      <c r="R178" s="516"/>
      <c r="V178" s="296"/>
    </row>
    <row r="179" spans="1:26" s="209" customFormat="1" ht="9.75" customHeight="1" x14ac:dyDescent="0.3">
      <c r="A179" s="220"/>
      <c r="B179" s="285"/>
      <c r="C179" s="232"/>
      <c r="D179" s="232"/>
      <c r="E179" s="232"/>
      <c r="F179" s="232"/>
      <c r="G179" s="232"/>
      <c r="H179" s="232"/>
      <c r="I179" s="232"/>
      <c r="J179" s="232"/>
      <c r="K179" s="232"/>
      <c r="L179" s="232"/>
      <c r="M179" s="232"/>
      <c r="N179" s="232"/>
      <c r="O179" s="232"/>
      <c r="P179" s="232"/>
      <c r="Q179" s="232"/>
      <c r="R179" s="232"/>
      <c r="T179" s="215"/>
      <c r="U179" s="215"/>
      <c r="V179" s="200"/>
      <c r="W179" s="311"/>
      <c r="X179" s="311"/>
    </row>
    <row r="180" spans="1:26" s="209" customFormat="1" ht="16.5" customHeight="1" x14ac:dyDescent="0.3">
      <c r="A180" s="220"/>
      <c r="B180" s="222">
        <v>4</v>
      </c>
      <c r="C180" s="220" t="s">
        <v>626</v>
      </c>
      <c r="D180" s="242"/>
      <c r="E180" s="242"/>
      <c r="F180" s="242"/>
      <c r="G180" s="242"/>
      <c r="H180" s="242"/>
      <c r="I180" s="242"/>
      <c r="J180" s="242"/>
      <c r="K180" s="242"/>
      <c r="L180" s="242"/>
      <c r="M180" s="242"/>
      <c r="N180" s="242"/>
      <c r="O180" s="242"/>
      <c r="P180" s="242"/>
      <c r="Q180" s="242"/>
      <c r="R180" s="242"/>
      <c r="T180" s="287"/>
      <c r="W180" s="289"/>
      <c r="X180" s="290"/>
    </row>
    <row r="181" spans="1:26" s="209" customFormat="1" ht="58.8" customHeight="1" x14ac:dyDescent="0.3">
      <c r="A181" s="220"/>
      <c r="B181" s="285" t="s">
        <v>359</v>
      </c>
      <c r="C181" s="448" t="s">
        <v>627</v>
      </c>
      <c r="D181" s="448"/>
      <c r="E181" s="448"/>
      <c r="F181" s="448"/>
      <c r="G181" s="448"/>
      <c r="H181" s="448"/>
      <c r="I181" s="448"/>
      <c r="J181" s="448"/>
      <c r="K181" s="448"/>
      <c r="L181" s="448"/>
      <c r="M181" s="448"/>
      <c r="N181" s="448"/>
      <c r="O181" s="448"/>
      <c r="P181" s="448"/>
      <c r="Q181" s="448"/>
      <c r="R181" s="448"/>
      <c r="T181" s="311"/>
      <c r="U181" s="311"/>
      <c r="V181" s="311"/>
      <c r="W181" s="289"/>
      <c r="X181" s="290"/>
    </row>
    <row r="182" spans="1:26" s="209" customFormat="1" ht="16.5" customHeight="1" x14ac:dyDescent="0.3">
      <c r="A182" s="220"/>
      <c r="B182" s="285"/>
      <c r="C182" s="312" t="s">
        <v>544</v>
      </c>
      <c r="D182" s="517" t="s">
        <v>482</v>
      </c>
      <c r="E182" s="517"/>
      <c r="F182" s="517"/>
      <c r="G182" s="517"/>
      <c r="H182" s="517"/>
      <c r="I182" s="517"/>
      <c r="J182" s="517"/>
      <c r="K182" s="517"/>
      <c r="L182" s="517"/>
      <c r="M182" s="518" t="s">
        <v>628</v>
      </c>
      <c r="N182" s="518"/>
      <c r="O182" s="518"/>
      <c r="P182" s="518"/>
      <c r="Q182" s="242"/>
      <c r="R182" s="242"/>
      <c r="T182" s="313"/>
      <c r="U182" s="314"/>
      <c r="V182" s="315"/>
      <c r="W182" s="289"/>
      <c r="X182" s="290"/>
    </row>
    <row r="183" spans="1:26" s="209" customFormat="1" ht="15.75" customHeight="1" x14ac:dyDescent="0.3">
      <c r="A183" s="220"/>
      <c r="B183" s="285"/>
      <c r="C183" s="316">
        <v>1</v>
      </c>
      <c r="D183" s="519" t="s">
        <v>629</v>
      </c>
      <c r="E183" s="519"/>
      <c r="F183" s="519"/>
      <c r="G183" s="519"/>
      <c r="H183" s="519"/>
      <c r="I183" s="519"/>
      <c r="J183" s="519"/>
      <c r="K183" s="519"/>
      <c r="L183" s="519"/>
      <c r="M183" s="520">
        <v>17803000</v>
      </c>
      <c r="N183" s="520"/>
      <c r="O183" s="520"/>
      <c r="P183" s="520"/>
      <c r="Q183" s="242"/>
      <c r="R183" s="242"/>
      <c r="T183" s="272" t="s">
        <v>629</v>
      </c>
      <c r="U183" s="317">
        <v>17803000</v>
      </c>
      <c r="W183" s="289"/>
      <c r="X183" s="290"/>
    </row>
    <row r="184" spans="1:26" s="209" customFormat="1" ht="15.75" customHeight="1" x14ac:dyDescent="0.3">
      <c r="A184" s="220"/>
      <c r="B184" s="285"/>
      <c r="C184" s="316">
        <v>2</v>
      </c>
      <c r="D184" s="519" t="s">
        <v>630</v>
      </c>
      <c r="E184" s="519"/>
      <c r="F184" s="519"/>
      <c r="G184" s="519"/>
      <c r="H184" s="519"/>
      <c r="I184" s="519"/>
      <c r="J184" s="519"/>
      <c r="K184" s="519"/>
      <c r="L184" s="519"/>
      <c r="M184" s="520">
        <v>13365</v>
      </c>
      <c r="N184" s="520"/>
      <c r="O184" s="520"/>
      <c r="P184" s="520"/>
      <c r="Q184" s="242"/>
      <c r="R184" s="242"/>
      <c r="T184" s="276" t="s">
        <v>631</v>
      </c>
      <c r="U184" s="317">
        <v>15724.3</v>
      </c>
      <c r="W184" s="289"/>
      <c r="X184" s="290"/>
    </row>
    <row r="185" spans="1:26" s="209" customFormat="1" ht="15.75" customHeight="1" x14ac:dyDescent="0.3">
      <c r="A185" s="220"/>
      <c r="B185" s="285"/>
      <c r="C185" s="316">
        <v>3</v>
      </c>
      <c r="D185" s="519" t="s">
        <v>632</v>
      </c>
      <c r="E185" s="519"/>
      <c r="F185" s="519"/>
      <c r="G185" s="519"/>
      <c r="H185" s="519"/>
      <c r="I185" s="519"/>
      <c r="J185" s="519"/>
      <c r="K185" s="519"/>
      <c r="L185" s="519"/>
      <c r="M185" s="520">
        <v>1506</v>
      </c>
      <c r="N185" s="520"/>
      <c r="O185" s="520"/>
      <c r="P185" s="520"/>
      <c r="Q185" s="242"/>
      <c r="R185" s="242"/>
      <c r="T185" s="276" t="s">
        <v>633</v>
      </c>
      <c r="U185" s="317">
        <v>1673</v>
      </c>
      <c r="W185" s="289"/>
      <c r="X185" s="290"/>
    </row>
    <row r="186" spans="1:26" s="209" customFormat="1" ht="15.75" customHeight="1" x14ac:dyDescent="0.3">
      <c r="A186" s="220"/>
      <c r="B186" s="285"/>
      <c r="C186" s="316">
        <v>4</v>
      </c>
      <c r="D186" s="519" t="s">
        <v>634</v>
      </c>
      <c r="E186" s="519"/>
      <c r="F186" s="519"/>
      <c r="G186" s="519"/>
      <c r="H186" s="519"/>
      <c r="I186" s="519"/>
      <c r="J186" s="519"/>
      <c r="K186" s="519"/>
      <c r="L186" s="519"/>
      <c r="M186" s="520">
        <v>2593</v>
      </c>
      <c r="N186" s="520"/>
      <c r="O186" s="520"/>
      <c r="P186" s="520"/>
      <c r="Q186" s="242"/>
      <c r="R186" s="242"/>
      <c r="T186" s="276" t="s">
        <v>635</v>
      </c>
      <c r="U186" s="317">
        <v>2880.8</v>
      </c>
      <c r="W186" s="289"/>
      <c r="X186" s="290"/>
    </row>
    <row r="187" spans="1:26" s="209" customFormat="1" ht="15.75" customHeight="1" x14ac:dyDescent="0.3">
      <c r="A187" s="220"/>
      <c r="B187" s="285"/>
      <c r="C187" s="316">
        <v>5</v>
      </c>
      <c r="D187" s="519" t="s">
        <v>636</v>
      </c>
      <c r="E187" s="519"/>
      <c r="F187" s="519"/>
      <c r="G187" s="519"/>
      <c r="H187" s="519"/>
      <c r="I187" s="519"/>
      <c r="J187" s="519"/>
      <c r="K187" s="519"/>
      <c r="L187" s="519"/>
      <c r="M187" s="520">
        <v>624</v>
      </c>
      <c r="N187" s="520"/>
      <c r="O187" s="520"/>
      <c r="P187" s="520"/>
      <c r="Q187" s="242"/>
      <c r="R187" s="242"/>
      <c r="T187" s="276" t="s">
        <v>637</v>
      </c>
      <c r="U187" s="317">
        <v>693</v>
      </c>
      <c r="W187" s="289"/>
      <c r="X187" s="290"/>
    </row>
    <row r="188" spans="1:26" s="209" customFormat="1" ht="15.75" customHeight="1" x14ac:dyDescent="0.3">
      <c r="A188" s="220"/>
      <c r="B188" s="285"/>
      <c r="C188" s="316">
        <v>6</v>
      </c>
      <c r="D188" s="519" t="s">
        <v>638</v>
      </c>
      <c r="E188" s="519"/>
      <c r="F188" s="519"/>
      <c r="G188" s="519"/>
      <c r="H188" s="519"/>
      <c r="I188" s="519"/>
      <c r="J188" s="519"/>
      <c r="K188" s="519"/>
      <c r="L188" s="519"/>
      <c r="M188" s="520">
        <v>5289</v>
      </c>
      <c r="N188" s="520"/>
      <c r="O188" s="520"/>
      <c r="P188" s="520"/>
      <c r="Q188" s="242"/>
      <c r="R188" s="242"/>
      <c r="T188" s="276" t="s">
        <v>639</v>
      </c>
      <c r="U188" s="317">
        <v>6221.9</v>
      </c>
      <c r="W188" s="289"/>
      <c r="X188" s="290"/>
    </row>
    <row r="189" spans="1:26" s="209" customFormat="1" ht="15.75" customHeight="1" x14ac:dyDescent="0.3">
      <c r="A189" s="220"/>
      <c r="B189" s="285"/>
      <c r="C189" s="316">
        <v>7</v>
      </c>
      <c r="D189" s="519" t="s">
        <v>640</v>
      </c>
      <c r="E189" s="519"/>
      <c r="F189" s="519"/>
      <c r="G189" s="519"/>
      <c r="H189" s="519"/>
      <c r="I189" s="519"/>
      <c r="J189" s="519"/>
      <c r="K189" s="519"/>
      <c r="L189" s="519"/>
      <c r="M189" s="520">
        <v>1592</v>
      </c>
      <c r="N189" s="520"/>
      <c r="O189" s="520"/>
      <c r="P189" s="520"/>
      <c r="Q189" s="242"/>
      <c r="R189" s="242"/>
      <c r="T189" s="276" t="s">
        <v>641</v>
      </c>
      <c r="U189" s="317">
        <v>1873.3</v>
      </c>
      <c r="W189" s="289"/>
      <c r="X189" s="290"/>
    </row>
    <row r="190" spans="1:26" s="209" customFormat="1" ht="15.75" customHeight="1" x14ac:dyDescent="0.3">
      <c r="A190" s="220"/>
      <c r="B190" s="285"/>
      <c r="C190" s="316">
        <v>8</v>
      </c>
      <c r="D190" s="519" t="s">
        <v>642</v>
      </c>
      <c r="E190" s="519"/>
      <c r="F190" s="519"/>
      <c r="G190" s="519"/>
      <c r="H190" s="519"/>
      <c r="I190" s="519"/>
      <c r="J190" s="519"/>
      <c r="K190" s="519"/>
      <c r="L190" s="519"/>
      <c r="M190" s="520">
        <v>5239</v>
      </c>
      <c r="N190" s="520"/>
      <c r="O190" s="520"/>
      <c r="P190" s="520"/>
      <c r="Q190" s="242"/>
      <c r="R190" s="242"/>
      <c r="T190" s="276" t="s">
        <v>643</v>
      </c>
      <c r="U190" s="317">
        <v>6162.6</v>
      </c>
      <c r="W190" s="289"/>
      <c r="X190" s="290"/>
    </row>
    <row r="191" spans="1:26" s="209" customFormat="1" ht="15.75" customHeight="1" x14ac:dyDescent="0.3">
      <c r="A191" s="220"/>
      <c r="B191" s="285"/>
      <c r="C191" s="316">
        <v>9</v>
      </c>
      <c r="D191" s="519" t="s">
        <v>644</v>
      </c>
      <c r="E191" s="519"/>
      <c r="F191" s="519"/>
      <c r="G191" s="519"/>
      <c r="H191" s="519"/>
      <c r="I191" s="519"/>
      <c r="J191" s="519"/>
      <c r="K191" s="519"/>
      <c r="L191" s="519"/>
      <c r="M191" s="520">
        <v>24922</v>
      </c>
      <c r="N191" s="520"/>
      <c r="O191" s="520"/>
      <c r="P191" s="520"/>
      <c r="Q191" s="242"/>
      <c r="R191" s="242"/>
      <c r="T191" s="276" t="s">
        <v>645</v>
      </c>
      <c r="U191" s="317">
        <v>29320</v>
      </c>
      <c r="W191" s="289"/>
      <c r="X191" s="290"/>
    </row>
    <row r="192" spans="1:26" s="209" customFormat="1" ht="15.75" customHeight="1" x14ac:dyDescent="0.3">
      <c r="A192" s="220"/>
      <c r="B192" s="285"/>
      <c r="C192" s="316">
        <v>10</v>
      </c>
      <c r="D192" s="519" t="s">
        <v>646</v>
      </c>
      <c r="E192" s="519"/>
      <c r="F192" s="519"/>
      <c r="G192" s="519"/>
      <c r="H192" s="519"/>
      <c r="I192" s="519"/>
      <c r="J192" s="519"/>
      <c r="K192" s="519"/>
      <c r="L192" s="519"/>
      <c r="M192" s="520">
        <v>127</v>
      </c>
      <c r="N192" s="520"/>
      <c r="O192" s="520"/>
      <c r="P192" s="520"/>
      <c r="Q192" s="242"/>
      <c r="R192" s="242"/>
      <c r="T192" s="276" t="s">
        <v>647</v>
      </c>
      <c r="U192" s="317">
        <v>210.6</v>
      </c>
      <c r="W192" s="289"/>
      <c r="X192" s="290"/>
    </row>
    <row r="193" spans="1:28" s="209" customFormat="1" ht="16.5" customHeight="1" x14ac:dyDescent="0.3">
      <c r="A193" s="220"/>
      <c r="B193" s="285"/>
      <c r="C193" s="318"/>
      <c r="D193" s="521" t="s">
        <v>619</v>
      </c>
      <c r="E193" s="521"/>
      <c r="F193" s="521"/>
      <c r="G193" s="521"/>
      <c r="H193" s="521"/>
      <c r="I193" s="521"/>
      <c r="J193" s="521"/>
      <c r="K193" s="521"/>
      <c r="L193" s="521"/>
      <c r="M193" s="522">
        <f>SUM(M183:P192)</f>
        <v>17858257</v>
      </c>
      <c r="N193" s="522"/>
      <c r="O193" s="522"/>
      <c r="P193" s="522"/>
      <c r="Q193" s="242"/>
      <c r="R193" s="242"/>
      <c r="T193" s="287"/>
      <c r="U193" s="288"/>
      <c r="W193" s="289"/>
      <c r="X193" s="290"/>
    </row>
    <row r="194" spans="1:28" s="209" customFormat="1" ht="9.75" customHeight="1" x14ac:dyDescent="0.3">
      <c r="A194" s="220"/>
      <c r="B194" s="285"/>
      <c r="C194" s="319"/>
      <c r="D194" s="320"/>
      <c r="E194" s="320"/>
      <c r="F194" s="320"/>
      <c r="G194" s="320"/>
      <c r="H194" s="320"/>
      <c r="I194" s="320"/>
      <c r="J194" s="320"/>
      <c r="K194" s="320"/>
      <c r="L194" s="320"/>
      <c r="M194" s="321"/>
      <c r="N194" s="322"/>
      <c r="O194" s="322"/>
      <c r="P194" s="322"/>
      <c r="Q194" s="242"/>
      <c r="R194" s="242"/>
      <c r="T194" s="287"/>
      <c r="U194" s="288"/>
      <c r="W194" s="289"/>
      <c r="X194" s="290"/>
    </row>
    <row r="195" spans="1:28" s="209" customFormat="1" ht="16.5" customHeight="1" x14ac:dyDescent="0.3">
      <c r="A195" s="220"/>
      <c r="B195" s="222">
        <v>5</v>
      </c>
      <c r="C195" s="220" t="s">
        <v>648</v>
      </c>
      <c r="D195" s="242"/>
      <c r="E195" s="242"/>
      <c r="F195" s="242"/>
      <c r="G195" s="242"/>
      <c r="H195" s="242"/>
      <c r="I195" s="242"/>
      <c r="J195" s="242"/>
      <c r="K195" s="242"/>
      <c r="L195" s="242"/>
      <c r="M195" s="242"/>
      <c r="N195" s="242"/>
      <c r="O195" s="242"/>
      <c r="P195" s="242"/>
      <c r="Q195" s="242"/>
      <c r="R195" s="242"/>
      <c r="T195" s="247"/>
      <c r="U195" s="247"/>
      <c r="W195" s="289"/>
      <c r="X195" s="290"/>
    </row>
    <row r="196" spans="1:28" s="209" customFormat="1" ht="16.5" customHeight="1" x14ac:dyDescent="0.3">
      <c r="A196" s="220"/>
      <c r="B196" s="310"/>
      <c r="C196" s="242" t="s">
        <v>649</v>
      </c>
      <c r="D196" s="242"/>
      <c r="E196" s="242"/>
      <c r="F196" s="242"/>
      <c r="G196" s="242"/>
      <c r="H196" s="242"/>
      <c r="I196" s="242"/>
      <c r="J196" s="242"/>
      <c r="K196" s="242"/>
      <c r="L196" s="242"/>
      <c r="M196" s="242"/>
      <c r="N196" s="242"/>
      <c r="O196" s="242"/>
      <c r="P196" s="242"/>
      <c r="Q196" s="242"/>
      <c r="R196" s="242"/>
      <c r="T196" s="223"/>
      <c r="U196" s="323"/>
      <c r="V196" s="209">
        <v>56167</v>
      </c>
      <c r="W196" s="289"/>
      <c r="X196" s="290"/>
    </row>
    <row r="197" spans="1:28" s="209" customFormat="1" ht="16.5" customHeight="1" x14ac:dyDescent="0.3">
      <c r="A197" s="220"/>
      <c r="B197" s="310"/>
      <c r="C197" s="312" t="s">
        <v>544</v>
      </c>
      <c r="D197" s="517" t="s">
        <v>482</v>
      </c>
      <c r="E197" s="517"/>
      <c r="F197" s="517"/>
      <c r="G197" s="517"/>
      <c r="H197" s="517"/>
      <c r="I197" s="517"/>
      <c r="J197" s="517"/>
      <c r="K197" s="517"/>
      <c r="L197" s="517"/>
      <c r="M197" s="518" t="s">
        <v>628</v>
      </c>
      <c r="N197" s="518"/>
      <c r="O197" s="518"/>
      <c r="P197" s="518"/>
      <c r="Q197" s="242"/>
      <c r="R197" s="242"/>
      <c r="T197" s="324"/>
      <c r="U197" s="325"/>
      <c r="V197" s="242"/>
      <c r="W197" s="289"/>
      <c r="X197" s="290"/>
    </row>
    <row r="198" spans="1:28" s="209" customFormat="1" ht="16.5" customHeight="1" x14ac:dyDescent="0.3">
      <c r="A198" s="220"/>
      <c r="B198" s="310"/>
      <c r="C198" s="326">
        <v>1</v>
      </c>
      <c r="D198" s="523" t="s">
        <v>650</v>
      </c>
      <c r="E198" s="523"/>
      <c r="F198" s="523"/>
      <c r="G198" s="523"/>
      <c r="H198" s="523"/>
      <c r="I198" s="523"/>
      <c r="J198" s="523"/>
      <c r="K198" s="523"/>
      <c r="L198" s="523"/>
      <c r="M198" s="520">
        <v>11638.87</v>
      </c>
      <c r="N198" s="520"/>
      <c r="O198" s="520"/>
      <c r="P198" s="520"/>
      <c r="Q198" s="242"/>
      <c r="R198" s="242"/>
      <c r="T198" s="327" t="s">
        <v>650</v>
      </c>
      <c r="U198" s="328">
        <v>11638.87</v>
      </c>
      <c r="V198" s="328"/>
      <c r="W198" s="328"/>
      <c r="X198" s="328"/>
      <c r="Y198" s="328"/>
      <c r="Z198" s="328"/>
      <c r="AA198" s="328"/>
      <c r="AB198" s="328"/>
    </row>
    <row r="199" spans="1:28" s="209" customFormat="1" ht="16.5" customHeight="1" x14ac:dyDescent="0.3">
      <c r="A199" s="220"/>
      <c r="B199" s="310"/>
      <c r="C199" s="326">
        <v>2</v>
      </c>
      <c r="D199" s="523" t="s">
        <v>651</v>
      </c>
      <c r="E199" s="523"/>
      <c r="F199" s="523"/>
      <c r="G199" s="523"/>
      <c r="H199" s="523"/>
      <c r="I199" s="523"/>
      <c r="J199" s="523"/>
      <c r="K199" s="523"/>
      <c r="L199" s="523"/>
      <c r="M199" s="520">
        <v>10700.66</v>
      </c>
      <c r="N199" s="520"/>
      <c r="O199" s="520"/>
      <c r="P199" s="520"/>
      <c r="Q199" s="242"/>
      <c r="R199" s="242"/>
      <c r="T199" s="327" t="s">
        <v>651</v>
      </c>
      <c r="U199" s="328">
        <v>10700.66</v>
      </c>
      <c r="V199" s="328"/>
      <c r="W199" s="328"/>
      <c r="X199" s="328"/>
      <c r="Y199" s="328"/>
      <c r="Z199" s="328"/>
      <c r="AA199" s="328"/>
      <c r="AB199" s="328"/>
    </row>
    <row r="200" spans="1:28" s="209" customFormat="1" ht="16.5" customHeight="1" x14ac:dyDescent="0.3">
      <c r="A200" s="220"/>
      <c r="B200" s="310"/>
      <c r="C200" s="326">
        <v>3</v>
      </c>
      <c r="D200" s="523" t="s">
        <v>652</v>
      </c>
      <c r="E200" s="523"/>
      <c r="F200" s="523"/>
      <c r="G200" s="523"/>
      <c r="H200" s="523"/>
      <c r="I200" s="523"/>
      <c r="J200" s="523"/>
      <c r="K200" s="523"/>
      <c r="L200" s="523"/>
      <c r="M200" s="520">
        <v>58986</v>
      </c>
      <c r="N200" s="520"/>
      <c r="O200" s="520"/>
      <c r="P200" s="520"/>
      <c r="Q200" s="242"/>
      <c r="R200" s="242"/>
      <c r="T200" s="327" t="s">
        <v>652</v>
      </c>
      <c r="U200" s="328">
        <v>45566</v>
      </c>
      <c r="V200" s="328"/>
      <c r="W200" s="328"/>
      <c r="X200" s="327"/>
      <c r="Y200" s="328"/>
      <c r="Z200" s="328"/>
      <c r="AA200" s="328"/>
      <c r="AB200" s="327"/>
    </row>
    <row r="201" spans="1:28" s="209" customFormat="1" ht="16.5" customHeight="1" x14ac:dyDescent="0.3">
      <c r="A201" s="220"/>
      <c r="B201" s="310"/>
      <c r="C201" s="326">
        <v>4</v>
      </c>
      <c r="D201" s="523" t="s">
        <v>653</v>
      </c>
      <c r="E201" s="523"/>
      <c r="F201" s="523"/>
      <c r="G201" s="523"/>
      <c r="H201" s="523"/>
      <c r="I201" s="523"/>
      <c r="J201" s="523"/>
      <c r="K201" s="523"/>
      <c r="L201" s="523"/>
      <c r="M201" s="520">
        <v>85500</v>
      </c>
      <c r="N201" s="520"/>
      <c r="O201" s="520"/>
      <c r="P201" s="520"/>
      <c r="Q201" s="242"/>
      <c r="R201" s="242"/>
      <c r="T201" s="327" t="s">
        <v>602</v>
      </c>
      <c r="U201" s="328">
        <v>803</v>
      </c>
      <c r="V201" s="328"/>
      <c r="W201" s="328"/>
      <c r="X201" s="328"/>
      <c r="Y201" s="328"/>
      <c r="Z201" s="328"/>
      <c r="AA201" s="328"/>
      <c r="AB201" s="328"/>
    </row>
    <row r="202" spans="1:28" s="209" customFormat="1" ht="16.5" customHeight="1" x14ac:dyDescent="0.3">
      <c r="A202" s="220"/>
      <c r="B202" s="310"/>
      <c r="C202" s="326">
        <v>5</v>
      </c>
      <c r="D202" s="523" t="s">
        <v>602</v>
      </c>
      <c r="E202" s="523"/>
      <c r="F202" s="523"/>
      <c r="G202" s="523"/>
      <c r="H202" s="523"/>
      <c r="I202" s="523"/>
      <c r="J202" s="523"/>
      <c r="K202" s="523"/>
      <c r="L202" s="523"/>
      <c r="M202" s="520">
        <v>0</v>
      </c>
      <c r="N202" s="520"/>
      <c r="O202" s="520"/>
      <c r="P202" s="520"/>
      <c r="Q202" s="242"/>
      <c r="R202" s="242"/>
      <c r="T202" s="327" t="s">
        <v>654</v>
      </c>
      <c r="U202" s="328">
        <v>85500</v>
      </c>
      <c r="V202" s="328"/>
      <c r="W202" s="328"/>
      <c r="X202" s="328"/>
      <c r="Y202" s="328"/>
      <c r="Z202" s="328"/>
      <c r="AA202" s="328"/>
      <c r="AB202" s="328"/>
    </row>
    <row r="203" spans="1:28" s="200" customFormat="1" ht="16.5" customHeight="1" x14ac:dyDescent="0.3">
      <c r="A203" s="215"/>
      <c r="B203" s="310"/>
      <c r="C203" s="329"/>
      <c r="D203" s="524" t="s">
        <v>619</v>
      </c>
      <c r="E203" s="524"/>
      <c r="F203" s="524"/>
      <c r="G203" s="524"/>
      <c r="H203" s="524"/>
      <c r="I203" s="524"/>
      <c r="J203" s="524"/>
      <c r="K203" s="524"/>
      <c r="L203" s="524"/>
      <c r="M203" s="525">
        <f>SUM(M198:P202)</f>
        <v>166825.53</v>
      </c>
      <c r="N203" s="525"/>
      <c r="O203" s="525"/>
      <c r="P203" s="525"/>
      <c r="Q203" s="242"/>
      <c r="R203" s="242"/>
      <c r="T203" s="330"/>
      <c r="U203" s="330"/>
      <c r="V203" s="209"/>
      <c r="W203" s="281"/>
      <c r="X203" s="275"/>
    </row>
    <row r="204" spans="1:28" s="200" customFormat="1" ht="16.5" customHeight="1" x14ac:dyDescent="0.3">
      <c r="A204" s="215"/>
      <c r="B204" s="310"/>
      <c r="C204" s="319"/>
      <c r="D204" s="320"/>
      <c r="E204" s="320"/>
      <c r="F204" s="320"/>
      <c r="G204" s="320"/>
      <c r="H204" s="320"/>
      <c r="I204" s="320"/>
      <c r="J204" s="320"/>
      <c r="K204" s="320"/>
      <c r="L204" s="320"/>
      <c r="M204" s="321"/>
      <c r="N204" s="322"/>
      <c r="O204" s="322"/>
      <c r="P204" s="322"/>
      <c r="Q204" s="242"/>
      <c r="R204" s="242"/>
      <c r="S204" s="331">
        <f>+M203+818505</f>
        <v>985330.53</v>
      </c>
      <c r="T204" s="332"/>
      <c r="U204" s="332"/>
      <c r="V204" s="209"/>
      <c r="W204" s="281"/>
      <c r="X204" s="275"/>
    </row>
    <row r="205" spans="1:28" s="200" customFormat="1" ht="16.5" customHeight="1" x14ac:dyDescent="0.3">
      <c r="A205" s="215"/>
      <c r="B205" s="333" t="s">
        <v>359</v>
      </c>
      <c r="C205" s="526" t="s">
        <v>655</v>
      </c>
      <c r="D205" s="526"/>
      <c r="E205" s="526"/>
      <c r="F205" s="526"/>
      <c r="G205" s="334" t="s">
        <v>656</v>
      </c>
      <c r="H205" s="527">
        <v>86394</v>
      </c>
      <c r="I205" s="527"/>
      <c r="J205" s="526" t="s">
        <v>609</v>
      </c>
      <c r="K205" s="526"/>
      <c r="L205" s="526"/>
      <c r="M205" s="526"/>
      <c r="N205" s="526"/>
      <c r="O205" s="526"/>
      <c r="P205" s="526"/>
      <c r="Q205" s="526"/>
      <c r="R205" s="526"/>
      <c r="T205" s="60"/>
      <c r="U205" s="323"/>
      <c r="V205" s="209"/>
      <c r="W205" s="281"/>
      <c r="X205" s="275"/>
    </row>
    <row r="206" spans="1:28" s="200" customFormat="1" ht="9.75" customHeight="1" x14ac:dyDescent="0.3">
      <c r="A206" s="215"/>
      <c r="B206" s="310"/>
      <c r="C206" s="319"/>
      <c r="D206" s="320"/>
      <c r="E206" s="320"/>
      <c r="F206" s="320"/>
      <c r="G206" s="320"/>
      <c r="H206" s="320"/>
      <c r="I206" s="320"/>
      <c r="J206" s="320"/>
      <c r="K206" s="320"/>
      <c r="L206" s="320"/>
      <c r="M206" s="321"/>
      <c r="N206" s="322"/>
      <c r="O206" s="322"/>
      <c r="P206" s="322"/>
      <c r="Q206" s="242"/>
      <c r="R206" s="242"/>
      <c r="T206" s="335"/>
      <c r="U206" s="209"/>
      <c r="V206" s="209"/>
      <c r="W206" s="281"/>
      <c r="X206" s="275"/>
    </row>
    <row r="207" spans="1:28" s="200" customFormat="1" ht="9.75" customHeight="1" x14ac:dyDescent="0.3">
      <c r="A207" s="215"/>
      <c r="B207" s="310"/>
      <c r="C207" s="319"/>
      <c r="D207" s="320"/>
      <c r="E207" s="320"/>
      <c r="F207" s="320"/>
      <c r="G207" s="320"/>
      <c r="H207" s="320"/>
      <c r="I207" s="320"/>
      <c r="J207" s="320"/>
      <c r="K207" s="320"/>
      <c r="L207" s="320"/>
      <c r="M207" s="321"/>
      <c r="N207" s="322"/>
      <c r="O207" s="322"/>
      <c r="P207" s="322"/>
      <c r="Q207" s="242"/>
      <c r="R207" s="242"/>
      <c r="T207" s="335"/>
      <c r="U207" s="209"/>
      <c r="V207" s="209"/>
      <c r="W207" s="281"/>
      <c r="X207" s="275"/>
    </row>
    <row r="208" spans="1:28" s="209" customFormat="1" ht="15.75" customHeight="1" x14ac:dyDescent="0.3">
      <c r="A208" s="336"/>
      <c r="B208" s="337" t="s">
        <v>657</v>
      </c>
      <c r="C208" s="338"/>
      <c r="D208" s="338"/>
      <c r="E208" s="338"/>
      <c r="F208" s="338"/>
      <c r="G208" s="338"/>
      <c r="H208" s="338"/>
      <c r="I208" s="338"/>
      <c r="J208" s="338"/>
      <c r="K208" s="338"/>
      <c r="L208" s="528"/>
      <c r="M208" s="528"/>
      <c r="N208" s="338"/>
      <c r="O208" s="529"/>
      <c r="P208" s="529"/>
      <c r="Q208" s="338"/>
      <c r="R208" s="338"/>
    </row>
    <row r="209" spans="1:22" s="209" customFormat="1" ht="35.25" customHeight="1" x14ac:dyDescent="0.3">
      <c r="A209" s="530" t="s">
        <v>544</v>
      </c>
      <c r="B209" s="530"/>
      <c r="C209" s="531" t="s">
        <v>482</v>
      </c>
      <c r="D209" s="531"/>
      <c r="E209" s="531"/>
      <c r="F209" s="531"/>
      <c r="G209" s="531"/>
      <c r="H209" s="531"/>
      <c r="I209" s="531"/>
      <c r="J209" s="532">
        <v>46112</v>
      </c>
      <c r="K209" s="532"/>
      <c r="L209" s="532"/>
      <c r="M209" s="532">
        <v>45747</v>
      </c>
      <c r="N209" s="532"/>
      <c r="O209" s="532"/>
      <c r="P209" s="533" t="s">
        <v>658</v>
      </c>
      <c r="Q209" s="533"/>
      <c r="R209" s="339" t="s">
        <v>659</v>
      </c>
    </row>
    <row r="210" spans="1:22" s="209" customFormat="1" ht="15" customHeight="1" x14ac:dyDescent="0.3">
      <c r="A210" s="534"/>
      <c r="B210" s="534"/>
      <c r="C210" s="535" t="s">
        <v>660</v>
      </c>
      <c r="D210" s="535"/>
      <c r="E210" s="535"/>
      <c r="F210" s="535"/>
      <c r="G210" s="535"/>
      <c r="H210" s="535"/>
      <c r="I210" s="535"/>
      <c r="J210" s="536"/>
      <c r="K210" s="536"/>
      <c r="L210" s="536"/>
      <c r="M210" s="536"/>
      <c r="N210" s="536"/>
      <c r="O210" s="536"/>
      <c r="P210" s="537"/>
      <c r="Q210" s="537"/>
      <c r="R210" s="340"/>
      <c r="T210" s="341"/>
      <c r="U210" s="342"/>
      <c r="V210" s="342"/>
    </row>
    <row r="211" spans="1:22" s="209" customFormat="1" ht="15" customHeight="1" x14ac:dyDescent="0.3">
      <c r="A211" s="538">
        <v>1</v>
      </c>
      <c r="B211" s="538"/>
      <c r="C211" s="445" t="s">
        <v>661</v>
      </c>
      <c r="D211" s="445"/>
      <c r="E211" s="445"/>
      <c r="F211" s="445"/>
      <c r="G211" s="445"/>
      <c r="H211" s="445"/>
      <c r="I211" s="445"/>
      <c r="J211" s="539">
        <v>1098736</v>
      </c>
      <c r="K211" s="539"/>
      <c r="L211" s="539"/>
      <c r="M211" s="539">
        <v>1012892</v>
      </c>
      <c r="N211" s="539"/>
      <c r="O211" s="539"/>
      <c r="P211" s="540">
        <f>+J211-M211</f>
        <v>85844</v>
      </c>
      <c r="Q211" s="540"/>
      <c r="R211" s="343">
        <f>IF(M211=0,"",P211*100/M211)</f>
        <v>8.4751385142739792</v>
      </c>
      <c r="T211" s="341"/>
      <c r="U211" s="342"/>
      <c r="V211" s="342"/>
    </row>
    <row r="212" spans="1:22" s="209" customFormat="1" ht="15" customHeight="1" x14ac:dyDescent="0.3">
      <c r="A212" s="538">
        <v>2</v>
      </c>
      <c r="B212" s="538"/>
      <c r="C212" s="445" t="s">
        <v>662</v>
      </c>
      <c r="D212" s="445"/>
      <c r="E212" s="445"/>
      <c r="F212" s="445"/>
      <c r="G212" s="445"/>
      <c r="H212" s="445"/>
      <c r="I212" s="445"/>
      <c r="J212" s="539">
        <v>7937</v>
      </c>
      <c r="K212" s="539"/>
      <c r="L212" s="539"/>
      <c r="M212" s="539">
        <v>11283</v>
      </c>
      <c r="N212" s="539"/>
      <c r="O212" s="539"/>
      <c r="P212" s="540">
        <f>+J212-M212</f>
        <v>-3346</v>
      </c>
      <c r="Q212" s="540"/>
      <c r="R212" s="343">
        <f>IF(M212=0,"",P212*100/M212)</f>
        <v>-29.655233537179829</v>
      </c>
      <c r="T212" s="341"/>
      <c r="U212" s="342"/>
      <c r="V212" s="342"/>
    </row>
    <row r="213" spans="1:22" s="209" customFormat="1" ht="15" customHeight="1" x14ac:dyDescent="0.3">
      <c r="A213" s="538">
        <v>3</v>
      </c>
      <c r="B213" s="538"/>
      <c r="C213" s="445" t="s">
        <v>663</v>
      </c>
      <c r="D213" s="445"/>
      <c r="E213" s="445"/>
      <c r="F213" s="445"/>
      <c r="G213" s="445"/>
      <c r="H213" s="445"/>
      <c r="I213" s="445"/>
      <c r="J213" s="539">
        <v>3300</v>
      </c>
      <c r="K213" s="539"/>
      <c r="L213" s="539"/>
      <c r="M213" s="539">
        <v>0</v>
      </c>
      <c r="N213" s="539"/>
      <c r="O213" s="539"/>
      <c r="P213" s="540">
        <f>+J213-M213</f>
        <v>3300</v>
      </c>
      <c r="Q213" s="540"/>
      <c r="R213" s="343" t="str">
        <f>IF(M213=0,"",P213*100/M213)</f>
        <v/>
      </c>
      <c r="S213" s="344"/>
      <c r="T213" s="341"/>
      <c r="U213" s="342"/>
      <c r="V213" s="342"/>
    </row>
    <row r="214" spans="1:22" s="209" customFormat="1" ht="16.5" customHeight="1" x14ac:dyDescent="0.3">
      <c r="A214" s="541"/>
      <c r="B214" s="541"/>
      <c r="C214" s="542" t="s">
        <v>574</v>
      </c>
      <c r="D214" s="542"/>
      <c r="E214" s="542"/>
      <c r="F214" s="542"/>
      <c r="G214" s="542"/>
      <c r="H214" s="542"/>
      <c r="I214" s="542"/>
      <c r="J214" s="543">
        <f>SUM(J211:L213)</f>
        <v>1109973</v>
      </c>
      <c r="K214" s="543"/>
      <c r="L214" s="543"/>
      <c r="M214" s="543">
        <f>SUM(M211:O213)</f>
        <v>1024175</v>
      </c>
      <c r="N214" s="543"/>
      <c r="O214" s="543"/>
      <c r="P214" s="544">
        <f>SUM(P211:Q213)</f>
        <v>85798</v>
      </c>
      <c r="Q214" s="544"/>
      <c r="R214" s="345"/>
      <c r="T214" s="341"/>
      <c r="U214" s="346"/>
      <c r="V214" s="342"/>
    </row>
    <row r="215" spans="1:22" s="209" customFormat="1" ht="15.75" customHeight="1" x14ac:dyDescent="0.3">
      <c r="A215" s="545"/>
      <c r="B215" s="545"/>
      <c r="C215" s="535" t="s">
        <v>664</v>
      </c>
      <c r="D215" s="535"/>
      <c r="E215" s="535"/>
      <c r="F215" s="535"/>
      <c r="G215" s="535"/>
      <c r="H215" s="535"/>
      <c r="I215" s="535"/>
      <c r="J215" s="546"/>
      <c r="K215" s="546"/>
      <c r="L215" s="546"/>
      <c r="M215" s="546"/>
      <c r="N215" s="546"/>
      <c r="O215" s="546"/>
      <c r="P215" s="547"/>
      <c r="Q215" s="547"/>
      <c r="R215" s="347"/>
      <c r="T215" s="348"/>
      <c r="U215" s="346">
        <v>2025</v>
      </c>
      <c r="V215" s="346">
        <v>2024</v>
      </c>
    </row>
    <row r="216" spans="1:22" s="209" customFormat="1" ht="15" customHeight="1" x14ac:dyDescent="0.3">
      <c r="A216" s="538">
        <v>1</v>
      </c>
      <c r="B216" s="538"/>
      <c r="C216" s="548" t="s">
        <v>665</v>
      </c>
      <c r="D216" s="548"/>
      <c r="E216" s="548"/>
      <c r="F216" s="548"/>
      <c r="G216" s="548"/>
      <c r="H216" s="548"/>
      <c r="I216" s="548"/>
      <c r="J216" s="539">
        <v>485016</v>
      </c>
      <c r="K216" s="539"/>
      <c r="L216" s="539"/>
      <c r="M216" s="539">
        <v>366242</v>
      </c>
      <c r="N216" s="539"/>
      <c r="O216" s="539"/>
      <c r="P216" s="540">
        <f t="shared" ref="P216:P237" si="4">+J216-M216</f>
        <v>118774</v>
      </c>
      <c r="Q216" s="540"/>
      <c r="R216" s="343">
        <f t="shared" ref="R216:R237" si="5">IF(M216=0,"",P216*100/M216)</f>
        <v>32.430469471005509</v>
      </c>
      <c r="T216" s="349" t="s">
        <v>665</v>
      </c>
      <c r="U216" s="350">
        <v>366242</v>
      </c>
      <c r="V216" s="350">
        <v>327002</v>
      </c>
    </row>
    <row r="217" spans="1:22" s="209" customFormat="1" ht="15" customHeight="1" x14ac:dyDescent="0.3">
      <c r="A217" s="538">
        <v>2</v>
      </c>
      <c r="B217" s="538"/>
      <c r="C217" s="548" t="s">
        <v>666</v>
      </c>
      <c r="D217" s="548"/>
      <c r="E217" s="548"/>
      <c r="F217" s="548"/>
      <c r="G217" s="548"/>
      <c r="H217" s="548"/>
      <c r="I217" s="548"/>
      <c r="J217" s="539">
        <v>126690</v>
      </c>
      <c r="K217" s="539"/>
      <c r="L217" s="539"/>
      <c r="M217" s="539">
        <v>182570</v>
      </c>
      <c r="N217" s="539"/>
      <c r="O217" s="539"/>
      <c r="P217" s="540">
        <f t="shared" si="4"/>
        <v>-55880</v>
      </c>
      <c r="Q217" s="540"/>
      <c r="R217" s="343">
        <f t="shared" si="5"/>
        <v>-30.607438242865751</v>
      </c>
      <c r="T217" s="54" t="s">
        <v>666</v>
      </c>
      <c r="U217" s="54">
        <v>182570</v>
      </c>
      <c r="V217" s="54">
        <v>158160</v>
      </c>
    </row>
    <row r="218" spans="1:22" s="209" customFormat="1" ht="15" customHeight="1" x14ac:dyDescent="0.3">
      <c r="A218" s="538">
        <v>3</v>
      </c>
      <c r="B218" s="538"/>
      <c r="C218" s="548" t="s">
        <v>667</v>
      </c>
      <c r="D218" s="548"/>
      <c r="E218" s="548"/>
      <c r="F218" s="548"/>
      <c r="G218" s="548"/>
      <c r="H218" s="548"/>
      <c r="I218" s="548"/>
      <c r="J218" s="539">
        <v>75765</v>
      </c>
      <c r="K218" s="539"/>
      <c r="L218" s="539"/>
      <c r="M218" s="539">
        <v>84256</v>
      </c>
      <c r="N218" s="539"/>
      <c r="O218" s="539"/>
      <c r="P218" s="540">
        <f t="shared" si="4"/>
        <v>-8491</v>
      </c>
      <c r="Q218" s="540"/>
      <c r="R218" s="343">
        <f t="shared" si="5"/>
        <v>-10.077620584884162</v>
      </c>
      <c r="T218" s="54" t="s">
        <v>667</v>
      </c>
      <c r="U218" s="54">
        <v>84256</v>
      </c>
      <c r="V218" s="54">
        <v>85099</v>
      </c>
    </row>
    <row r="219" spans="1:22" s="209" customFormat="1" ht="15" customHeight="1" x14ac:dyDescent="0.3">
      <c r="A219" s="538">
        <v>4</v>
      </c>
      <c r="B219" s="538"/>
      <c r="C219" s="548" t="s">
        <v>668</v>
      </c>
      <c r="D219" s="548"/>
      <c r="E219" s="548"/>
      <c r="F219" s="548"/>
      <c r="G219" s="548"/>
      <c r="H219" s="548"/>
      <c r="I219" s="548"/>
      <c r="J219" s="539">
        <v>40000</v>
      </c>
      <c r="K219" s="539"/>
      <c r="L219" s="539"/>
      <c r="M219" s="539">
        <v>48334</v>
      </c>
      <c r="N219" s="539"/>
      <c r="O219" s="539"/>
      <c r="P219" s="540">
        <f t="shared" si="4"/>
        <v>-8334</v>
      </c>
      <c r="Q219" s="540"/>
      <c r="R219" s="343">
        <f t="shared" si="5"/>
        <v>-17.242520792816652</v>
      </c>
      <c r="T219" s="54" t="s">
        <v>668</v>
      </c>
      <c r="U219" s="54">
        <v>48334</v>
      </c>
      <c r="V219" s="54">
        <v>20000</v>
      </c>
    </row>
    <row r="220" spans="1:22" s="209" customFormat="1" ht="15" customHeight="1" x14ac:dyDescent="0.3">
      <c r="A220" s="538">
        <v>5</v>
      </c>
      <c r="B220" s="538"/>
      <c r="C220" s="548" t="s">
        <v>669</v>
      </c>
      <c r="D220" s="548"/>
      <c r="E220" s="548"/>
      <c r="F220" s="548"/>
      <c r="G220" s="548"/>
      <c r="H220" s="548"/>
      <c r="I220" s="548"/>
      <c r="J220" s="539">
        <v>266289</v>
      </c>
      <c r="K220" s="539"/>
      <c r="L220" s="539"/>
      <c r="M220" s="539">
        <v>1217914</v>
      </c>
      <c r="N220" s="539"/>
      <c r="O220" s="539"/>
      <c r="P220" s="540">
        <f t="shared" si="4"/>
        <v>-951625</v>
      </c>
      <c r="Q220" s="540"/>
      <c r="R220" s="343">
        <f t="shared" si="5"/>
        <v>-78.135648329849232</v>
      </c>
      <c r="T220" s="54" t="s">
        <v>669</v>
      </c>
      <c r="U220" s="54">
        <v>1217914</v>
      </c>
      <c r="V220" s="54">
        <v>627409.48</v>
      </c>
    </row>
    <row r="221" spans="1:22" s="209" customFormat="1" ht="15" customHeight="1" x14ac:dyDescent="0.3">
      <c r="A221" s="538">
        <v>6</v>
      </c>
      <c r="B221" s="538"/>
      <c r="C221" s="548" t="s">
        <v>670</v>
      </c>
      <c r="D221" s="548"/>
      <c r="E221" s="548"/>
      <c r="F221" s="548"/>
      <c r="G221" s="548"/>
      <c r="H221" s="548"/>
      <c r="I221" s="548"/>
      <c r="J221" s="539">
        <v>0</v>
      </c>
      <c r="K221" s="539"/>
      <c r="L221" s="539"/>
      <c r="M221" s="539">
        <v>-1136120</v>
      </c>
      <c r="N221" s="539"/>
      <c r="O221" s="539"/>
      <c r="P221" s="540">
        <f t="shared" si="4"/>
        <v>1136120</v>
      </c>
      <c r="Q221" s="540"/>
      <c r="R221" s="343">
        <f t="shared" si="5"/>
        <v>-100</v>
      </c>
      <c r="T221" s="54" t="s">
        <v>670</v>
      </c>
      <c r="U221" s="54">
        <v>-1136120</v>
      </c>
      <c r="V221" s="54">
        <v>-558249.48</v>
      </c>
    </row>
    <row r="222" spans="1:22" s="209" customFormat="1" ht="15" customHeight="1" x14ac:dyDescent="0.3">
      <c r="A222" s="538">
        <v>7</v>
      </c>
      <c r="B222" s="538"/>
      <c r="C222" s="548" t="s">
        <v>671</v>
      </c>
      <c r="D222" s="548"/>
      <c r="E222" s="548"/>
      <c r="F222" s="548"/>
      <c r="G222" s="548"/>
      <c r="H222" s="548"/>
      <c r="I222" s="548"/>
      <c r="J222" s="539">
        <v>99984</v>
      </c>
      <c r="K222" s="539"/>
      <c r="L222" s="539"/>
      <c r="M222" s="539">
        <v>133680</v>
      </c>
      <c r="N222" s="539"/>
      <c r="O222" s="539"/>
      <c r="P222" s="540">
        <f t="shared" si="4"/>
        <v>-33696</v>
      </c>
      <c r="Q222" s="540"/>
      <c r="R222" s="343">
        <f t="shared" si="5"/>
        <v>-25.206463195691203</v>
      </c>
      <c r="T222" s="54" t="s">
        <v>671</v>
      </c>
      <c r="U222" s="54">
        <v>133680</v>
      </c>
      <c r="V222" s="54">
        <v>128790</v>
      </c>
    </row>
    <row r="223" spans="1:22" s="209" customFormat="1" ht="15" customHeight="1" x14ac:dyDescent="0.3">
      <c r="A223" s="538">
        <v>8</v>
      </c>
      <c r="B223" s="538"/>
      <c r="C223" s="548" t="s">
        <v>672</v>
      </c>
      <c r="D223" s="548"/>
      <c r="E223" s="548"/>
      <c r="F223" s="548"/>
      <c r="G223" s="548"/>
      <c r="H223" s="548"/>
      <c r="I223" s="548"/>
      <c r="J223" s="539">
        <v>9502.5</v>
      </c>
      <c r="K223" s="539"/>
      <c r="L223" s="539"/>
      <c r="M223" s="539">
        <v>11189</v>
      </c>
      <c r="N223" s="539"/>
      <c r="O223" s="539"/>
      <c r="P223" s="540">
        <f t="shared" si="4"/>
        <v>-1686.5</v>
      </c>
      <c r="Q223" s="540"/>
      <c r="R223" s="343">
        <f t="shared" si="5"/>
        <v>-15.072839395835196</v>
      </c>
      <c r="T223" s="54" t="s">
        <v>672</v>
      </c>
      <c r="U223" s="54">
        <v>11189</v>
      </c>
      <c r="V223" s="54">
        <v>13194</v>
      </c>
    </row>
    <row r="224" spans="1:22" s="209" customFormat="1" ht="15" customHeight="1" x14ac:dyDescent="0.3">
      <c r="A224" s="538">
        <v>9</v>
      </c>
      <c r="B224" s="538"/>
      <c r="C224" s="548" t="s">
        <v>673</v>
      </c>
      <c r="D224" s="548"/>
      <c r="E224" s="548"/>
      <c r="F224" s="548"/>
      <c r="G224" s="548"/>
      <c r="H224" s="548"/>
      <c r="I224" s="548"/>
      <c r="J224" s="539">
        <v>849.6</v>
      </c>
      <c r="K224" s="539"/>
      <c r="L224" s="539"/>
      <c r="M224" s="539">
        <v>2588.2600000000002</v>
      </c>
      <c r="N224" s="539"/>
      <c r="O224" s="539"/>
      <c r="P224" s="540">
        <f t="shared" si="4"/>
        <v>-1738.6600000000003</v>
      </c>
      <c r="Q224" s="540"/>
      <c r="R224" s="343">
        <f t="shared" si="5"/>
        <v>-67.174858785438872</v>
      </c>
      <c r="T224" s="54" t="s">
        <v>673</v>
      </c>
      <c r="U224" s="54">
        <v>2588.2600000000002</v>
      </c>
      <c r="V224" s="54">
        <v>141.6</v>
      </c>
    </row>
    <row r="225" spans="1:26" s="209" customFormat="1" ht="15" customHeight="1" x14ac:dyDescent="0.3">
      <c r="A225" s="538">
        <v>10</v>
      </c>
      <c r="B225" s="538"/>
      <c r="C225" s="548" t="s">
        <v>674</v>
      </c>
      <c r="D225" s="548"/>
      <c r="E225" s="548"/>
      <c r="F225" s="548"/>
      <c r="G225" s="548"/>
      <c r="H225" s="548"/>
      <c r="I225" s="548"/>
      <c r="J225" s="539">
        <v>9350</v>
      </c>
      <c r="K225" s="539"/>
      <c r="L225" s="539"/>
      <c r="M225" s="539">
        <v>0</v>
      </c>
      <c r="N225" s="539"/>
      <c r="O225" s="539"/>
      <c r="P225" s="540">
        <f t="shared" si="4"/>
        <v>9350</v>
      </c>
      <c r="Q225" s="540"/>
      <c r="R225" s="343" t="str">
        <f t="shared" si="5"/>
        <v/>
      </c>
      <c r="T225" s="54" t="s">
        <v>674</v>
      </c>
      <c r="U225" s="54">
        <v>0</v>
      </c>
      <c r="V225" s="54">
        <v>5000</v>
      </c>
    </row>
    <row r="226" spans="1:26" s="209" customFormat="1" ht="15" customHeight="1" x14ac:dyDescent="0.3">
      <c r="A226" s="538">
        <v>11</v>
      </c>
      <c r="B226" s="538"/>
      <c r="C226" s="548" t="s">
        <v>675</v>
      </c>
      <c r="D226" s="548"/>
      <c r="E226" s="548"/>
      <c r="F226" s="548"/>
      <c r="G226" s="548"/>
      <c r="H226" s="548"/>
      <c r="I226" s="548"/>
      <c r="J226" s="539">
        <v>6833</v>
      </c>
      <c r="K226" s="539"/>
      <c r="L226" s="539"/>
      <c r="M226" s="539">
        <v>2077</v>
      </c>
      <c r="N226" s="539"/>
      <c r="O226" s="539"/>
      <c r="P226" s="540">
        <f t="shared" si="4"/>
        <v>4756</v>
      </c>
      <c r="Q226" s="540"/>
      <c r="R226" s="343">
        <f t="shared" si="5"/>
        <v>228.98411169956668</v>
      </c>
      <c r="T226" s="54" t="s">
        <v>676</v>
      </c>
      <c r="U226" s="54">
        <v>0</v>
      </c>
      <c r="V226" s="54">
        <v>9050</v>
      </c>
    </row>
    <row r="227" spans="1:26" s="209" customFormat="1" ht="15" customHeight="1" x14ac:dyDescent="0.3">
      <c r="A227" s="538">
        <v>12</v>
      </c>
      <c r="B227" s="538"/>
      <c r="C227" s="548" t="s">
        <v>677</v>
      </c>
      <c r="D227" s="548"/>
      <c r="E227" s="548"/>
      <c r="F227" s="548"/>
      <c r="G227" s="548"/>
      <c r="H227" s="548"/>
      <c r="I227" s="548"/>
      <c r="J227" s="539">
        <v>0</v>
      </c>
      <c r="K227" s="539"/>
      <c r="L227" s="539"/>
      <c r="M227" s="539">
        <v>834</v>
      </c>
      <c r="N227" s="539"/>
      <c r="O227" s="539"/>
      <c r="P227" s="540">
        <f t="shared" si="4"/>
        <v>-834</v>
      </c>
      <c r="Q227" s="540"/>
      <c r="R227" s="343">
        <f t="shared" si="5"/>
        <v>-100</v>
      </c>
      <c r="T227" s="54" t="s">
        <v>675</v>
      </c>
      <c r="U227" s="54">
        <v>2077</v>
      </c>
      <c r="V227" s="54">
        <v>2361</v>
      </c>
    </row>
    <row r="228" spans="1:26" s="209" customFormat="1" ht="15" customHeight="1" x14ac:dyDescent="0.3">
      <c r="A228" s="538">
        <v>13</v>
      </c>
      <c r="B228" s="538"/>
      <c r="C228" s="548" t="s">
        <v>678</v>
      </c>
      <c r="D228" s="548"/>
      <c r="E228" s="548"/>
      <c r="F228" s="548"/>
      <c r="G228" s="548"/>
      <c r="H228" s="548"/>
      <c r="I228" s="548"/>
      <c r="J228" s="539">
        <v>12592</v>
      </c>
      <c r="K228" s="539"/>
      <c r="L228" s="539"/>
      <c r="M228" s="539">
        <v>12592</v>
      </c>
      <c r="N228" s="539"/>
      <c r="O228" s="539"/>
      <c r="P228" s="540">
        <f t="shared" si="4"/>
        <v>0</v>
      </c>
      <c r="Q228" s="540"/>
      <c r="R228" s="343">
        <f t="shared" si="5"/>
        <v>0</v>
      </c>
      <c r="T228" s="54" t="s">
        <v>677</v>
      </c>
      <c r="U228" s="54">
        <v>834</v>
      </c>
      <c r="V228" s="54">
        <v>1764</v>
      </c>
    </row>
    <row r="229" spans="1:26" s="209" customFormat="1" ht="15" customHeight="1" x14ac:dyDescent="0.3">
      <c r="A229" s="538">
        <v>14</v>
      </c>
      <c r="B229" s="538"/>
      <c r="C229" s="548" t="s">
        <v>679</v>
      </c>
      <c r="D229" s="548"/>
      <c r="E229" s="548"/>
      <c r="F229" s="548"/>
      <c r="G229" s="548"/>
      <c r="H229" s="548"/>
      <c r="I229" s="548"/>
      <c r="J229" s="539">
        <v>2231</v>
      </c>
      <c r="K229" s="539"/>
      <c r="L229" s="539"/>
      <c r="M229" s="539">
        <v>5383</v>
      </c>
      <c r="N229" s="539"/>
      <c r="O229" s="539"/>
      <c r="P229" s="540">
        <f t="shared" si="4"/>
        <v>-3152</v>
      </c>
      <c r="Q229" s="540"/>
      <c r="R229" s="343">
        <f t="shared" si="5"/>
        <v>-58.554709269923833</v>
      </c>
      <c r="T229" s="54" t="s">
        <v>678</v>
      </c>
      <c r="U229" s="54">
        <v>12592</v>
      </c>
      <c r="V229" s="54">
        <v>11448</v>
      </c>
    </row>
    <row r="230" spans="1:26" s="209" customFormat="1" ht="15" customHeight="1" x14ac:dyDescent="0.3">
      <c r="A230" s="538">
        <v>15</v>
      </c>
      <c r="B230" s="538"/>
      <c r="C230" s="548" t="s">
        <v>680</v>
      </c>
      <c r="D230" s="548"/>
      <c r="E230" s="548"/>
      <c r="F230" s="548"/>
      <c r="G230" s="548"/>
      <c r="H230" s="548"/>
      <c r="I230" s="548"/>
      <c r="J230" s="539">
        <v>820</v>
      </c>
      <c r="K230" s="539"/>
      <c r="L230" s="539"/>
      <c r="M230" s="539">
        <v>2450</v>
      </c>
      <c r="N230" s="539"/>
      <c r="O230" s="539"/>
      <c r="P230" s="540">
        <f t="shared" si="4"/>
        <v>-1630</v>
      </c>
      <c r="Q230" s="540"/>
      <c r="R230" s="343">
        <f t="shared" si="5"/>
        <v>-66.530612244897952</v>
      </c>
      <c r="T230" s="54" t="s">
        <v>679</v>
      </c>
      <c r="U230" s="54">
        <v>5383</v>
      </c>
      <c r="V230" s="54">
        <v>1737</v>
      </c>
    </row>
    <row r="231" spans="1:26" s="209" customFormat="1" ht="15" customHeight="1" x14ac:dyDescent="0.3">
      <c r="A231" s="538">
        <v>16</v>
      </c>
      <c r="B231" s="538"/>
      <c r="C231" s="548" t="s">
        <v>681</v>
      </c>
      <c r="D231" s="548"/>
      <c r="E231" s="548"/>
      <c r="F231" s="548"/>
      <c r="G231" s="548"/>
      <c r="H231" s="548"/>
      <c r="I231" s="548"/>
      <c r="J231" s="539">
        <v>874</v>
      </c>
      <c r="K231" s="539"/>
      <c r="L231" s="539"/>
      <c r="M231" s="539">
        <v>9184</v>
      </c>
      <c r="N231" s="539"/>
      <c r="O231" s="539"/>
      <c r="P231" s="540">
        <f t="shared" si="4"/>
        <v>-8310</v>
      </c>
      <c r="Q231" s="540"/>
      <c r="R231" s="343">
        <f t="shared" si="5"/>
        <v>-90.483449477351911</v>
      </c>
      <c r="T231" s="54" t="s">
        <v>680</v>
      </c>
      <c r="U231" s="54">
        <v>2450</v>
      </c>
      <c r="V231" s="54">
        <v>586</v>
      </c>
    </row>
    <row r="232" spans="1:26" s="209" customFormat="1" ht="15" customHeight="1" x14ac:dyDescent="0.3">
      <c r="A232" s="538">
        <v>17</v>
      </c>
      <c r="B232" s="538"/>
      <c r="C232" s="548" t="s">
        <v>682</v>
      </c>
      <c r="D232" s="548"/>
      <c r="E232" s="548"/>
      <c r="F232" s="548"/>
      <c r="G232" s="548"/>
      <c r="H232" s="548"/>
      <c r="I232" s="548"/>
      <c r="J232" s="539">
        <v>3000</v>
      </c>
      <c r="K232" s="539"/>
      <c r="L232" s="539"/>
      <c r="M232" s="539">
        <v>0</v>
      </c>
      <c r="N232" s="539"/>
      <c r="O232" s="539"/>
      <c r="P232" s="540">
        <f t="shared" si="4"/>
        <v>3000</v>
      </c>
      <c r="Q232" s="540"/>
      <c r="R232" s="343" t="str">
        <f t="shared" si="5"/>
        <v/>
      </c>
      <c r="T232" s="54" t="s">
        <v>681</v>
      </c>
      <c r="U232" s="54">
        <v>9184</v>
      </c>
      <c r="V232" s="54">
        <v>399</v>
      </c>
    </row>
    <row r="233" spans="1:26" s="209" customFormat="1" ht="15" customHeight="1" x14ac:dyDescent="0.3">
      <c r="A233" s="538">
        <v>18</v>
      </c>
      <c r="B233" s="538"/>
      <c r="C233" s="548" t="s">
        <v>683</v>
      </c>
      <c r="D233" s="548"/>
      <c r="E233" s="548"/>
      <c r="F233" s="548"/>
      <c r="G233" s="548"/>
      <c r="H233" s="548"/>
      <c r="I233" s="548"/>
      <c r="J233" s="539">
        <v>72209</v>
      </c>
      <c r="K233" s="539"/>
      <c r="L233" s="539"/>
      <c r="M233" s="539">
        <v>42500</v>
      </c>
      <c r="N233" s="539"/>
      <c r="O233" s="539"/>
      <c r="P233" s="540">
        <f t="shared" si="4"/>
        <v>29709</v>
      </c>
      <c r="Q233" s="540"/>
      <c r="R233" s="343">
        <f t="shared" si="5"/>
        <v>69.903529411764708</v>
      </c>
      <c r="T233" s="54" t="s">
        <v>682</v>
      </c>
      <c r="U233" s="54">
        <v>0</v>
      </c>
      <c r="V233" s="54">
        <v>1500</v>
      </c>
    </row>
    <row r="234" spans="1:26" s="209" customFormat="1" ht="15" customHeight="1" x14ac:dyDescent="0.3">
      <c r="A234" s="538">
        <v>19</v>
      </c>
      <c r="B234" s="538"/>
      <c r="C234" s="548" t="s">
        <v>684</v>
      </c>
      <c r="D234" s="548"/>
      <c r="E234" s="548"/>
      <c r="F234" s="548"/>
      <c r="G234" s="548"/>
      <c r="H234" s="548"/>
      <c r="I234" s="548"/>
      <c r="J234" s="539">
        <v>2500</v>
      </c>
      <c r="K234" s="539"/>
      <c r="L234" s="539"/>
      <c r="M234" s="539">
        <v>2500</v>
      </c>
      <c r="N234" s="539"/>
      <c r="O234" s="539"/>
      <c r="P234" s="540">
        <f t="shared" si="4"/>
        <v>0</v>
      </c>
      <c r="Q234" s="540"/>
      <c r="R234" s="343">
        <f t="shared" si="5"/>
        <v>0</v>
      </c>
      <c r="T234" s="54" t="s">
        <v>683</v>
      </c>
      <c r="U234" s="54">
        <v>42500</v>
      </c>
      <c r="V234" s="54">
        <v>39000</v>
      </c>
    </row>
    <row r="235" spans="1:26" s="209" customFormat="1" ht="15" customHeight="1" x14ac:dyDescent="0.3">
      <c r="A235" s="538">
        <v>20</v>
      </c>
      <c r="B235" s="538"/>
      <c r="C235" s="548" t="s">
        <v>685</v>
      </c>
      <c r="D235" s="548"/>
      <c r="E235" s="548"/>
      <c r="F235" s="548"/>
      <c r="G235" s="548"/>
      <c r="H235" s="548"/>
      <c r="I235" s="548"/>
      <c r="J235" s="539">
        <v>13420</v>
      </c>
      <c r="K235" s="539"/>
      <c r="L235" s="539"/>
      <c r="M235" s="539">
        <v>0</v>
      </c>
      <c r="N235" s="539"/>
      <c r="O235" s="539"/>
      <c r="P235" s="540">
        <f t="shared" si="4"/>
        <v>13420</v>
      </c>
      <c r="Q235" s="540"/>
      <c r="R235" s="343" t="str">
        <f t="shared" si="5"/>
        <v/>
      </c>
      <c r="T235" s="54" t="s">
        <v>684</v>
      </c>
      <c r="U235" s="54">
        <v>2500</v>
      </c>
      <c r="V235" s="54">
        <v>2500</v>
      </c>
    </row>
    <row r="236" spans="1:26" s="209" customFormat="1" ht="15" customHeight="1" x14ac:dyDescent="0.3">
      <c r="A236" s="538">
        <v>21</v>
      </c>
      <c r="B236" s="538"/>
      <c r="C236" s="548" t="s">
        <v>686</v>
      </c>
      <c r="D236" s="548"/>
      <c r="E236" s="548"/>
      <c r="F236" s="548"/>
      <c r="G236" s="548"/>
      <c r="H236" s="548"/>
      <c r="I236" s="548"/>
      <c r="J236" s="539">
        <v>0</v>
      </c>
      <c r="K236" s="539"/>
      <c r="L236" s="539"/>
      <c r="M236" s="539">
        <v>9000</v>
      </c>
      <c r="N236" s="539"/>
      <c r="O236" s="539"/>
      <c r="P236" s="540">
        <f t="shared" si="4"/>
        <v>-9000</v>
      </c>
      <c r="Q236" s="540"/>
      <c r="R236" s="343">
        <f t="shared" si="5"/>
        <v>-100</v>
      </c>
      <c r="T236" s="54" t="s">
        <v>685</v>
      </c>
      <c r="U236" s="54">
        <v>0</v>
      </c>
      <c r="V236" s="54">
        <v>13500</v>
      </c>
    </row>
    <row r="237" spans="1:26" s="209" customFormat="1" ht="15" customHeight="1" x14ac:dyDescent="0.3">
      <c r="A237" s="538">
        <v>22</v>
      </c>
      <c r="B237" s="538"/>
      <c r="C237" s="548" t="s">
        <v>687</v>
      </c>
      <c r="D237" s="548"/>
      <c r="E237" s="548"/>
      <c r="F237" s="548"/>
      <c r="G237" s="548"/>
      <c r="H237" s="548"/>
      <c r="I237" s="548"/>
      <c r="J237" s="539">
        <v>-117952.1</v>
      </c>
      <c r="K237" s="539"/>
      <c r="L237" s="539"/>
      <c r="M237" s="539">
        <v>27001.74</v>
      </c>
      <c r="N237" s="539"/>
      <c r="O237" s="539"/>
      <c r="P237" s="540">
        <f t="shared" si="4"/>
        <v>-144953.84</v>
      </c>
      <c r="Q237" s="540"/>
      <c r="R237" s="343">
        <f t="shared" si="5"/>
        <v>-536.83147826769675</v>
      </c>
      <c r="T237" s="54" t="s">
        <v>688</v>
      </c>
      <c r="U237" s="54"/>
      <c r="V237" s="54"/>
      <c r="W237" s="54"/>
      <c r="X237" s="54"/>
      <c r="Y237" s="54"/>
      <c r="Z237" s="54"/>
    </row>
    <row r="238" spans="1:26" s="209" customFormat="1" ht="15" customHeight="1" x14ac:dyDescent="0.3">
      <c r="A238" s="538"/>
      <c r="B238" s="538"/>
      <c r="C238" s="548"/>
      <c r="D238" s="548"/>
      <c r="E238" s="548"/>
      <c r="F238" s="548"/>
      <c r="G238" s="548"/>
      <c r="H238" s="548"/>
      <c r="I238" s="548"/>
      <c r="J238" s="539"/>
      <c r="K238" s="539"/>
      <c r="L238" s="539"/>
      <c r="M238" s="539"/>
      <c r="N238" s="539"/>
      <c r="O238" s="539"/>
      <c r="P238" s="540"/>
      <c r="Q238" s="540"/>
      <c r="R238" s="343"/>
      <c r="T238" s="54" t="s">
        <v>689</v>
      </c>
      <c r="U238" s="54"/>
      <c r="V238" s="54"/>
      <c r="W238" s="54"/>
      <c r="X238" s="54"/>
      <c r="Y238" s="54"/>
      <c r="Z238" s="54"/>
    </row>
    <row r="239" spans="1:26" s="351" customFormat="1" ht="16.5" customHeight="1" x14ac:dyDescent="0.3">
      <c r="A239" s="530"/>
      <c r="B239" s="530"/>
      <c r="C239" s="542" t="s">
        <v>574</v>
      </c>
      <c r="D239" s="542"/>
      <c r="E239" s="542"/>
      <c r="F239" s="542"/>
      <c r="G239" s="542"/>
      <c r="H239" s="542"/>
      <c r="I239" s="542"/>
      <c r="J239" s="543">
        <f>SUM(J216:L238)</f>
        <v>1109973</v>
      </c>
      <c r="K239" s="543"/>
      <c r="L239" s="543"/>
      <c r="M239" s="543">
        <f>SUM(M216:O238)</f>
        <v>1024175</v>
      </c>
      <c r="N239" s="543"/>
      <c r="O239" s="543"/>
      <c r="P239" s="543">
        <f>SUM(P216:Q238)</f>
        <v>85798</v>
      </c>
      <c r="Q239" s="543"/>
      <c r="R239" s="345"/>
      <c r="T239" s="200"/>
      <c r="U239" s="200"/>
      <c r="V239"/>
      <c r="W239" s="200"/>
    </row>
    <row r="240" spans="1:26" ht="7.5" customHeight="1" x14ac:dyDescent="0.3">
      <c r="A240" s="227"/>
      <c r="B240" s="352"/>
      <c r="C240" s="188"/>
      <c r="D240" s="188"/>
      <c r="E240" s="188"/>
      <c r="F240" s="188"/>
      <c r="G240" s="188"/>
      <c r="H240" s="188"/>
      <c r="I240" s="188"/>
      <c r="J240" s="188"/>
      <c r="K240" s="188"/>
      <c r="L240" s="353"/>
      <c r="M240" s="353"/>
      <c r="N240" s="188"/>
      <c r="O240" s="353"/>
      <c r="P240" s="353"/>
      <c r="Q240" s="188"/>
      <c r="R240" s="188"/>
      <c r="V240"/>
    </row>
    <row r="241" spans="1:23" s="200" customFormat="1" ht="16.5" customHeight="1" x14ac:dyDescent="0.3">
      <c r="A241" s="354" t="s">
        <v>690</v>
      </c>
      <c r="B241" s="215"/>
      <c r="C241" s="215"/>
      <c r="D241" s="355"/>
      <c r="E241" s="355"/>
      <c r="F241" s="355"/>
      <c r="G241" s="355"/>
      <c r="H241" s="355"/>
      <c r="I241" s="355"/>
      <c r="J241" s="355"/>
      <c r="K241" s="355"/>
      <c r="L241" s="355"/>
      <c r="M241" s="355"/>
      <c r="N241" s="355"/>
      <c r="O241" s="355"/>
      <c r="P241" s="215"/>
      <c r="Q241" s="215"/>
      <c r="R241" s="215"/>
      <c r="V241"/>
    </row>
    <row r="242" spans="1:23" s="200" customFormat="1" ht="30" customHeight="1" x14ac:dyDescent="0.3">
      <c r="A242" s="243"/>
      <c r="B242" s="243">
        <v>1</v>
      </c>
      <c r="C242" s="549" t="s">
        <v>691</v>
      </c>
      <c r="D242" s="549"/>
      <c r="E242" s="549"/>
      <c r="F242" s="549"/>
      <c r="G242" s="549"/>
      <c r="H242" s="549"/>
      <c r="I242" s="549"/>
      <c r="J242" s="549"/>
      <c r="K242" s="549"/>
      <c r="L242" s="549"/>
      <c r="M242" s="549"/>
      <c r="N242" s="549"/>
      <c r="O242" s="549"/>
      <c r="P242" s="549"/>
      <c r="Q242" s="549"/>
      <c r="R242" s="549"/>
      <c r="V242"/>
    </row>
    <row r="243" spans="1:23" s="200" customFormat="1" ht="16.5" customHeight="1" x14ac:dyDescent="0.3">
      <c r="A243" s="243"/>
      <c r="B243" s="243">
        <v>2</v>
      </c>
      <c r="C243" s="549" t="s">
        <v>692</v>
      </c>
      <c r="D243" s="549"/>
      <c r="E243" s="549"/>
      <c r="F243" s="549"/>
      <c r="G243" s="549"/>
      <c r="H243" s="549"/>
      <c r="I243" s="549"/>
      <c r="J243" s="549"/>
      <c r="K243" s="549"/>
      <c r="L243" s="549"/>
      <c r="M243" s="549"/>
      <c r="N243" s="549"/>
      <c r="O243" s="549"/>
      <c r="P243" s="549"/>
      <c r="Q243" s="549"/>
      <c r="R243" s="549"/>
      <c r="V243"/>
    </row>
    <row r="244" spans="1:23" s="200" customFormat="1" ht="16.5" customHeight="1" x14ac:dyDescent="0.3">
      <c r="A244" s="243"/>
      <c r="B244" s="243">
        <v>3</v>
      </c>
      <c r="C244" s="549" t="s">
        <v>693</v>
      </c>
      <c r="D244" s="549"/>
      <c r="E244" s="549"/>
      <c r="F244" s="549"/>
      <c r="G244" s="549"/>
      <c r="H244" s="549"/>
      <c r="I244" s="549"/>
      <c r="J244" s="549"/>
      <c r="K244" s="549"/>
      <c r="L244" s="549"/>
      <c r="M244" s="549"/>
      <c r="N244" s="549"/>
      <c r="O244" s="549"/>
      <c r="P244" s="549"/>
      <c r="Q244" s="549"/>
      <c r="R244" s="549"/>
      <c r="V244"/>
    </row>
    <row r="245" spans="1:23" s="200" customFormat="1" ht="16.5" customHeight="1" x14ac:dyDescent="0.3">
      <c r="A245" s="243"/>
      <c r="B245" s="243">
        <v>4</v>
      </c>
      <c r="C245" s="549" t="s">
        <v>694</v>
      </c>
      <c r="D245" s="549"/>
      <c r="E245" s="549"/>
      <c r="F245" s="549"/>
      <c r="G245" s="549"/>
      <c r="H245" s="549"/>
      <c r="I245" s="549"/>
      <c r="J245" s="549"/>
      <c r="K245" s="549"/>
      <c r="L245" s="549"/>
      <c r="M245" s="549"/>
      <c r="N245" s="549"/>
      <c r="O245" s="549"/>
      <c r="P245" s="549"/>
      <c r="Q245" s="549"/>
      <c r="R245" s="549"/>
      <c r="T245" s="60"/>
    </row>
    <row r="246" spans="1:23" s="200" customFormat="1" ht="16.5" customHeight="1" x14ac:dyDescent="0.3">
      <c r="A246" s="243"/>
      <c r="B246" s="243">
        <v>5</v>
      </c>
      <c r="C246" s="549" t="s">
        <v>695</v>
      </c>
      <c r="D246" s="549"/>
      <c r="E246" s="549"/>
      <c r="F246" s="549"/>
      <c r="G246" s="549"/>
      <c r="H246" s="549"/>
      <c r="I246" s="549"/>
      <c r="J246" s="549"/>
      <c r="K246" s="549"/>
      <c r="L246" s="549"/>
      <c r="M246" s="549"/>
      <c r="N246" s="549"/>
      <c r="O246" s="549"/>
      <c r="P246" s="549"/>
      <c r="Q246" s="549"/>
      <c r="R246" s="549"/>
      <c r="T246" s="60"/>
      <c r="U246" s="60"/>
    </row>
    <row r="247" spans="1:23" s="200" customFormat="1" ht="16.5" customHeight="1" x14ac:dyDescent="0.3">
      <c r="A247" s="243"/>
      <c r="B247" s="243">
        <v>6</v>
      </c>
      <c r="C247" s="549" t="s">
        <v>696</v>
      </c>
      <c r="D247" s="549"/>
      <c r="E247" s="549"/>
      <c r="F247" s="549"/>
      <c r="G247" s="549"/>
      <c r="H247" s="549"/>
      <c r="I247" s="549"/>
      <c r="J247" s="549"/>
      <c r="K247" s="549"/>
      <c r="L247" s="549"/>
      <c r="M247" s="549"/>
      <c r="N247" s="549"/>
      <c r="O247" s="549"/>
      <c r="P247" s="549"/>
      <c r="Q247" s="549"/>
      <c r="R247" s="549"/>
      <c r="T247" s="60"/>
      <c r="U247" s="60"/>
    </row>
    <row r="248" spans="1:23" s="200" customFormat="1" ht="16.5" customHeight="1" x14ac:dyDescent="0.3">
      <c r="A248" s="243"/>
      <c r="B248" s="243">
        <v>7</v>
      </c>
      <c r="C248" s="549" t="s">
        <v>697</v>
      </c>
      <c r="D248" s="549"/>
      <c r="E248" s="549"/>
      <c r="F248" s="549"/>
      <c r="G248" s="549"/>
      <c r="H248" s="549"/>
      <c r="I248" s="549"/>
      <c r="J248" s="549"/>
      <c r="K248" s="549"/>
      <c r="L248" s="549"/>
      <c r="M248" s="549"/>
      <c r="N248" s="549"/>
      <c r="O248" s="549"/>
      <c r="P248" s="549"/>
      <c r="Q248" s="549"/>
      <c r="R248" s="549"/>
      <c r="T248" s="60"/>
      <c r="U248" s="60"/>
    </row>
    <row r="249" spans="1:23" s="200" customFormat="1" ht="16.5" customHeight="1" x14ac:dyDescent="0.3">
      <c r="A249" s="243"/>
      <c r="B249" s="243">
        <v>8</v>
      </c>
      <c r="C249" s="549" t="s">
        <v>698</v>
      </c>
      <c r="D249" s="549"/>
      <c r="E249" s="549"/>
      <c r="F249" s="549"/>
      <c r="G249" s="549"/>
      <c r="H249" s="549"/>
      <c r="I249" s="549"/>
      <c r="J249" s="549"/>
      <c r="K249" s="549"/>
      <c r="L249" s="549"/>
      <c r="M249" s="549"/>
      <c r="N249" s="549"/>
      <c r="O249" s="549"/>
      <c r="P249" s="549"/>
      <c r="Q249" s="549"/>
      <c r="R249" s="549"/>
      <c r="T249" s="356"/>
      <c r="U249" s="60"/>
      <c r="V249" s="351"/>
    </row>
    <row r="250" spans="1:23" ht="7.5" customHeight="1" x14ac:dyDescent="0.3">
      <c r="A250" s="88"/>
      <c r="B250" s="49"/>
      <c r="C250" s="49"/>
      <c r="D250" s="49"/>
      <c r="E250" s="49"/>
      <c r="F250" s="49"/>
      <c r="G250" s="49"/>
      <c r="H250" s="49"/>
      <c r="I250" s="49"/>
      <c r="J250" s="49"/>
      <c r="K250" s="49"/>
      <c r="L250" s="56"/>
      <c r="M250" s="56"/>
      <c r="N250" s="56"/>
      <c r="O250" s="56"/>
      <c r="P250" s="56"/>
      <c r="Q250" s="56"/>
      <c r="R250" s="56"/>
      <c r="T250" s="356"/>
      <c r="U250" s="351"/>
      <c r="V250"/>
      <c r="W250" s="351"/>
    </row>
    <row r="251" spans="1:23" ht="7.5" customHeight="1" x14ac:dyDescent="0.3">
      <c r="A251" s="88"/>
      <c r="B251" s="49"/>
      <c r="C251" s="49"/>
      <c r="D251" s="49"/>
      <c r="E251" s="49"/>
      <c r="F251" s="49"/>
      <c r="G251" s="49"/>
      <c r="H251" s="49"/>
      <c r="I251" s="49"/>
      <c r="J251" s="49"/>
      <c r="K251" s="49"/>
      <c r="L251" s="56"/>
      <c r="M251" s="56"/>
      <c r="N251" s="56"/>
      <c r="O251" s="56"/>
      <c r="P251" s="56"/>
      <c r="Q251" s="56"/>
      <c r="R251" s="56"/>
      <c r="T251" s="357"/>
      <c r="U251" s="351"/>
      <c r="V251"/>
    </row>
    <row r="252" spans="1:23" ht="7.5" customHeight="1" x14ac:dyDescent="0.3">
      <c r="A252" s="88"/>
      <c r="B252" s="49"/>
      <c r="C252" s="49"/>
      <c r="D252" s="49"/>
      <c r="E252" s="49"/>
      <c r="F252" s="49"/>
      <c r="G252" s="49"/>
      <c r="H252" s="49"/>
      <c r="I252" s="49"/>
      <c r="J252" s="49"/>
      <c r="K252" s="49"/>
      <c r="L252" s="56"/>
      <c r="M252" s="56"/>
      <c r="N252" s="56"/>
      <c r="O252" s="56"/>
      <c r="P252" s="56"/>
      <c r="Q252" s="56"/>
      <c r="R252" s="56"/>
      <c r="T252" s="356"/>
      <c r="U252"/>
    </row>
    <row r="253" spans="1:23" ht="9.75" customHeight="1" x14ac:dyDescent="0.3">
      <c r="A253" s="88"/>
      <c r="B253" s="49"/>
      <c r="C253" s="49"/>
      <c r="D253" s="49"/>
      <c r="E253" s="49"/>
      <c r="F253" s="49"/>
      <c r="G253" s="49"/>
      <c r="H253" s="49"/>
      <c r="I253" s="49"/>
      <c r="J253" s="49"/>
      <c r="K253" s="49"/>
      <c r="L253" s="56"/>
      <c r="M253" s="56"/>
      <c r="N253" s="56"/>
      <c r="O253" s="56"/>
      <c r="P253" s="56"/>
      <c r="Q253" s="56"/>
      <c r="R253" s="56"/>
      <c r="T253" s="356"/>
    </row>
    <row r="254" spans="1:23" ht="12.75" customHeight="1" x14ac:dyDescent="0.3">
      <c r="A254" s="88"/>
      <c r="B254" s="49"/>
      <c r="C254" s="49"/>
      <c r="D254" s="49"/>
      <c r="E254" s="49"/>
      <c r="F254" s="49"/>
      <c r="G254" s="49"/>
      <c r="H254" s="49"/>
      <c r="I254" s="49"/>
      <c r="J254" s="49"/>
      <c r="K254" s="49"/>
      <c r="L254" s="56"/>
      <c r="M254" s="56"/>
      <c r="N254" s="56"/>
      <c r="O254" s="56"/>
      <c r="P254" s="56"/>
      <c r="Q254" s="56"/>
      <c r="R254" s="56"/>
      <c r="T254" s="215"/>
    </row>
    <row r="255" spans="1:23" s="351" customFormat="1" ht="15.75" customHeight="1" x14ac:dyDescent="0.3">
      <c r="A255" s="358"/>
      <c r="B255" s="359"/>
      <c r="C255" s="359"/>
      <c r="D255" s="359"/>
      <c r="E255" s="359"/>
      <c r="F255" s="359"/>
      <c r="G255" s="359"/>
      <c r="H255" s="359"/>
      <c r="I255" s="359"/>
      <c r="J255" s="359"/>
      <c r="K255" s="360" t="s">
        <v>17</v>
      </c>
      <c r="L255" s="361"/>
      <c r="M255" s="361"/>
      <c r="N255" s="361"/>
      <c r="O255" s="361"/>
      <c r="P255" s="361"/>
      <c r="Q255" s="361"/>
      <c r="R255" s="361"/>
      <c r="T255" s="215"/>
      <c r="U255" s="215"/>
      <c r="V255" s="209"/>
      <c r="W255" s="209"/>
    </row>
    <row r="256" spans="1:23" ht="15.75" customHeight="1" x14ac:dyDescent="0.3">
      <c r="A256" s="358"/>
      <c r="B256" s="359"/>
      <c r="C256" s="359"/>
      <c r="D256" s="359"/>
      <c r="E256" s="359"/>
      <c r="F256" s="359"/>
      <c r="G256" s="359"/>
      <c r="H256" s="359"/>
      <c r="I256" s="359"/>
      <c r="J256" s="359"/>
      <c r="K256" s="359" t="s">
        <v>18</v>
      </c>
      <c r="L256" s="361"/>
      <c r="M256" s="361"/>
      <c r="N256" s="361"/>
      <c r="O256" s="361"/>
      <c r="P256" s="361"/>
      <c r="Q256" s="361"/>
      <c r="R256" s="361"/>
      <c r="T256" s="215"/>
      <c r="U256" s="215"/>
    </row>
    <row r="257" spans="1:23" ht="15.75" customHeight="1" x14ac:dyDescent="0.3">
      <c r="A257" s="550">
        <f>+TIT!$D$13</f>
        <v>46277</v>
      </c>
      <c r="B257" s="550"/>
      <c r="C257" s="550"/>
      <c r="D257" s="550"/>
      <c r="E257" s="550"/>
      <c r="F257" s="362"/>
      <c r="G257" s="359"/>
      <c r="H257" s="359"/>
      <c r="I257" s="359"/>
      <c r="J257" s="359"/>
      <c r="K257" s="359" t="s">
        <v>333</v>
      </c>
      <c r="L257" s="361"/>
      <c r="M257" s="361"/>
      <c r="N257" s="361"/>
      <c r="O257" s="361"/>
      <c r="P257" s="361"/>
      <c r="Q257" s="361"/>
      <c r="R257" s="361"/>
      <c r="T257" s="215"/>
      <c r="U257" s="215"/>
      <c r="V257" s="215"/>
      <c r="W257" s="215"/>
    </row>
    <row r="258" spans="1:23" ht="7.5" customHeight="1" x14ac:dyDescent="0.3">
      <c r="A258" s="243"/>
      <c r="B258" s="363"/>
      <c r="C258" s="195"/>
      <c r="D258" s="195"/>
      <c r="E258" s="195"/>
      <c r="F258" s="195"/>
      <c r="G258" s="195"/>
      <c r="H258" s="195"/>
      <c r="I258" s="195"/>
      <c r="J258" s="195"/>
      <c r="K258" s="195"/>
      <c r="L258" s="195"/>
      <c r="M258" s="195"/>
      <c r="N258" s="195"/>
      <c r="O258" s="195"/>
      <c r="P258" s="195"/>
      <c r="Q258" s="195"/>
      <c r="R258" s="195"/>
      <c r="T258" s="215"/>
      <c r="U258" s="215"/>
      <c r="V258" s="351"/>
      <c r="W258" s="351"/>
    </row>
    <row r="259" spans="1:23" ht="7.5" customHeight="1" x14ac:dyDescent="0.3">
      <c r="A259" s="243"/>
      <c r="B259" s="363"/>
      <c r="C259" s="195"/>
      <c r="D259" s="195"/>
      <c r="E259" s="195"/>
      <c r="F259" s="195"/>
      <c r="G259" s="195"/>
      <c r="H259" s="195"/>
      <c r="I259" s="195"/>
      <c r="J259" s="195"/>
      <c r="K259" s="195"/>
      <c r="L259" s="195"/>
      <c r="M259" s="195"/>
      <c r="N259" s="195"/>
      <c r="O259" s="195"/>
      <c r="P259" s="195"/>
      <c r="Q259" s="195"/>
      <c r="R259" s="195"/>
      <c r="T259" s="215"/>
    </row>
    <row r="260" spans="1:23" s="209" customFormat="1" ht="19.5" customHeight="1" x14ac:dyDescent="0.3">
      <c r="A260" s="196" t="s">
        <v>699</v>
      </c>
      <c r="B260" s="364"/>
      <c r="C260" s="364"/>
      <c r="D260" s="364"/>
      <c r="E260" s="364"/>
      <c r="F260" s="364"/>
      <c r="G260" s="364"/>
      <c r="H260" s="364"/>
      <c r="I260" s="364"/>
      <c r="J260" s="364"/>
      <c r="K260" s="364"/>
      <c r="L260" s="364"/>
      <c r="M260" s="364"/>
      <c r="N260" s="364"/>
      <c r="O260" s="364"/>
      <c r="P260" s="364"/>
      <c r="Q260" s="364"/>
      <c r="R260" s="364"/>
      <c r="T260" s="181"/>
      <c r="U260" s="181"/>
      <c r="V260" s="181"/>
      <c r="W260" s="181"/>
    </row>
    <row r="261" spans="1:23" ht="16.5" customHeight="1" x14ac:dyDescent="0.3">
      <c r="A261" s="365" t="s">
        <v>700</v>
      </c>
      <c r="B261" s="227"/>
      <c r="C261" s="188"/>
      <c r="D261" s="188"/>
      <c r="E261" s="188"/>
      <c r="F261" s="188"/>
      <c r="G261" s="188"/>
      <c r="H261" s="188"/>
      <c r="I261" s="188"/>
      <c r="J261" s="188"/>
      <c r="K261" s="188"/>
      <c r="L261" s="188"/>
      <c r="M261" s="188"/>
      <c r="N261" s="188"/>
      <c r="O261" s="188"/>
      <c r="P261" s="188"/>
      <c r="Q261" s="188"/>
      <c r="R261" s="188"/>
    </row>
    <row r="262" spans="1:23" s="200" customFormat="1" ht="30" customHeight="1" x14ac:dyDescent="0.3">
      <c r="A262" s="228"/>
      <c r="B262" s="294">
        <v>1</v>
      </c>
      <c r="C262" s="551" t="s">
        <v>701</v>
      </c>
      <c r="D262" s="551"/>
      <c r="E262" s="551"/>
      <c r="F262" s="551"/>
      <c r="G262" s="551"/>
      <c r="H262" s="551"/>
      <c r="I262" s="551"/>
      <c r="J262" s="551"/>
      <c r="K262" s="551"/>
      <c r="L262" s="551"/>
      <c r="M262" s="551"/>
      <c r="N262" s="551"/>
      <c r="O262" s="551"/>
      <c r="P262" s="551"/>
      <c r="Q262" s="551"/>
      <c r="R262" s="551"/>
      <c r="T262" s="215"/>
      <c r="U262" s="215"/>
      <c r="V262" s="215"/>
      <c r="W262" s="215"/>
    </row>
    <row r="263" spans="1:23" s="200" customFormat="1" ht="73.2" customHeight="1" x14ac:dyDescent="0.3">
      <c r="A263" s="228"/>
      <c r="B263" s="294">
        <v>2</v>
      </c>
      <c r="C263" s="549" t="s">
        <v>702</v>
      </c>
      <c r="D263" s="549"/>
      <c r="E263" s="549"/>
      <c r="F263" s="549"/>
      <c r="G263" s="549"/>
      <c r="H263" s="549"/>
      <c r="I263" s="549"/>
      <c r="J263" s="549"/>
      <c r="K263" s="549"/>
      <c r="L263" s="549"/>
      <c r="M263" s="549"/>
      <c r="N263" s="549"/>
      <c r="O263" s="549"/>
      <c r="P263" s="549"/>
      <c r="Q263" s="549"/>
      <c r="R263" s="549"/>
      <c r="T263" s="356"/>
    </row>
    <row r="264" spans="1:23" s="200" customFormat="1" ht="43.2" customHeight="1" x14ac:dyDescent="0.3">
      <c r="A264" s="228"/>
      <c r="B264" s="294">
        <v>3</v>
      </c>
      <c r="C264" s="549" t="s">
        <v>703</v>
      </c>
      <c r="D264" s="549"/>
      <c r="E264" s="549"/>
      <c r="F264" s="549"/>
      <c r="G264" s="549"/>
      <c r="H264" s="549"/>
      <c r="I264" s="549"/>
      <c r="J264" s="549"/>
      <c r="K264" s="549"/>
      <c r="L264" s="549"/>
      <c r="M264" s="549"/>
      <c r="N264" s="549"/>
      <c r="O264" s="549"/>
      <c r="P264" s="549"/>
      <c r="Q264" s="549"/>
      <c r="R264" s="549"/>
      <c r="T264" s="356"/>
    </row>
    <row r="265" spans="1:23" s="200" customFormat="1" ht="43.8" customHeight="1" x14ac:dyDescent="0.3">
      <c r="A265" s="228"/>
      <c r="B265" s="294">
        <v>4</v>
      </c>
      <c r="C265" s="549" t="s">
        <v>704</v>
      </c>
      <c r="D265" s="549"/>
      <c r="E265" s="549"/>
      <c r="F265" s="549"/>
      <c r="G265" s="549"/>
      <c r="H265" s="549"/>
      <c r="I265" s="549"/>
      <c r="J265" s="549"/>
      <c r="K265" s="549"/>
      <c r="L265" s="549"/>
      <c r="M265" s="549"/>
      <c r="N265" s="549"/>
      <c r="O265" s="549"/>
      <c r="P265" s="549"/>
      <c r="Q265" s="549"/>
      <c r="R265" s="549"/>
      <c r="T265" s="356"/>
    </row>
    <row r="266" spans="1:23" s="200" customFormat="1" ht="43.2" customHeight="1" x14ac:dyDescent="0.3">
      <c r="A266" s="228"/>
      <c r="B266" s="294">
        <v>5</v>
      </c>
      <c r="C266" s="549" t="s">
        <v>705</v>
      </c>
      <c r="D266" s="549"/>
      <c r="E266" s="549"/>
      <c r="F266" s="549"/>
      <c r="G266" s="549"/>
      <c r="H266" s="549"/>
      <c r="I266" s="549"/>
      <c r="J266" s="549"/>
      <c r="K266" s="549"/>
      <c r="L266" s="549"/>
      <c r="M266" s="549"/>
      <c r="N266" s="549"/>
      <c r="O266" s="549"/>
      <c r="P266" s="549"/>
      <c r="Q266" s="549"/>
      <c r="R266" s="549"/>
      <c r="T266" s="356"/>
    </row>
    <row r="267" spans="1:23" s="215" customFormat="1" ht="21" customHeight="1" x14ac:dyDescent="0.3">
      <c r="A267" s="228"/>
      <c r="B267" s="294">
        <v>6</v>
      </c>
      <c r="C267" s="551" t="s">
        <v>706</v>
      </c>
      <c r="D267" s="551"/>
      <c r="E267" s="551"/>
      <c r="F267" s="551"/>
      <c r="G267" s="551"/>
      <c r="H267" s="551"/>
      <c r="I267" s="551"/>
      <c r="J267" s="551"/>
      <c r="K267" s="551"/>
      <c r="L267" s="551"/>
      <c r="M267" s="551"/>
      <c r="N267" s="551"/>
      <c r="O267" s="551"/>
      <c r="P267" s="551"/>
      <c r="Q267" s="551"/>
      <c r="R267" s="551"/>
      <c r="T267" s="356"/>
    </row>
    <row r="268" spans="1:23" s="215" customFormat="1" ht="30" customHeight="1" x14ac:dyDescent="0.3">
      <c r="A268" s="228"/>
      <c r="B268" s="294">
        <v>7</v>
      </c>
      <c r="C268" s="551" t="s">
        <v>707</v>
      </c>
      <c r="D268" s="551"/>
      <c r="E268" s="551"/>
      <c r="F268" s="551"/>
      <c r="G268" s="551"/>
      <c r="H268" s="551"/>
      <c r="I268" s="551"/>
      <c r="J268" s="551"/>
      <c r="K268" s="551"/>
      <c r="L268" s="551"/>
      <c r="M268" s="551"/>
      <c r="N268" s="551"/>
      <c r="O268" s="551"/>
      <c r="P268" s="551"/>
      <c r="Q268" s="551"/>
      <c r="R268" s="551"/>
      <c r="T268" s="356"/>
    </row>
    <row r="269" spans="1:23" s="200" customFormat="1" ht="9.75" customHeight="1" x14ac:dyDescent="0.3">
      <c r="A269" s="232"/>
      <c r="B269" s="294"/>
      <c r="C269" s="549"/>
      <c r="D269" s="549"/>
      <c r="E269" s="549"/>
      <c r="F269" s="549"/>
      <c r="G269" s="549"/>
      <c r="H269" s="549"/>
      <c r="I269" s="549"/>
      <c r="J269" s="549"/>
      <c r="K269" s="549"/>
      <c r="L269" s="549"/>
      <c r="M269" s="549"/>
      <c r="N269" s="549"/>
      <c r="O269" s="549"/>
      <c r="P269" s="549"/>
      <c r="Q269" s="549"/>
      <c r="R269" s="549"/>
    </row>
    <row r="270" spans="1:23" s="200" customFormat="1" ht="15.75" customHeight="1" x14ac:dyDescent="0.3">
      <c r="A270" s="222"/>
      <c r="B270" s="217" t="s">
        <v>708</v>
      </c>
      <c r="C270" s="235"/>
      <c r="D270" s="235"/>
      <c r="E270" s="235"/>
      <c r="F270" s="235"/>
      <c r="G270" s="235"/>
      <c r="H270" s="235"/>
      <c r="I270" s="235"/>
      <c r="J270" s="235"/>
      <c r="K270" s="235"/>
      <c r="L270" s="235"/>
      <c r="M270" s="235"/>
      <c r="N270" s="235"/>
      <c r="O270" s="235"/>
      <c r="P270" s="215"/>
      <c r="Q270" s="215"/>
      <c r="R270" s="215"/>
      <c r="S270" s="215"/>
    </row>
    <row r="271" spans="1:23" s="200" customFormat="1" ht="16.5" customHeight="1" x14ac:dyDescent="0.3">
      <c r="A271" s="215"/>
      <c r="B271" s="549" t="s">
        <v>709</v>
      </c>
      <c r="C271" s="549"/>
      <c r="D271" s="549"/>
      <c r="E271" s="549"/>
      <c r="F271" s="549"/>
      <c r="G271" s="549"/>
      <c r="H271" s="549"/>
      <c r="I271" s="549"/>
      <c r="J271" s="549"/>
      <c r="K271" s="549"/>
      <c r="L271" s="549"/>
      <c r="M271" s="549"/>
      <c r="N271" s="549"/>
      <c r="O271" s="549"/>
      <c r="P271" s="549"/>
      <c r="Q271" s="549"/>
      <c r="R271" s="549"/>
      <c r="S271" s="215"/>
    </row>
    <row r="272" spans="1:23" s="200" customFormat="1" ht="16.5" customHeight="1" x14ac:dyDescent="0.3">
      <c r="A272" s="215"/>
      <c r="B272" s="366"/>
      <c r="C272" s="367" t="s">
        <v>359</v>
      </c>
      <c r="D272" s="552" t="s">
        <v>710</v>
      </c>
      <c r="E272" s="552"/>
      <c r="F272" s="552"/>
      <c r="G272" s="552"/>
      <c r="H272" s="552"/>
      <c r="I272" s="552"/>
      <c r="J272" s="552"/>
      <c r="K272" s="552"/>
      <c r="L272" s="552"/>
      <c r="M272" s="552"/>
      <c r="N272" s="552"/>
      <c r="O272" s="552"/>
      <c r="P272" s="215"/>
      <c r="Q272" s="215"/>
      <c r="R272" s="215"/>
      <c r="S272" s="215"/>
    </row>
    <row r="273" spans="1:35" s="200" customFormat="1" ht="16.5" customHeight="1" x14ac:dyDescent="0.3">
      <c r="A273" s="215"/>
      <c r="B273" s="366"/>
      <c r="C273" s="367" t="s">
        <v>361</v>
      </c>
      <c r="D273" s="552" t="s">
        <v>711</v>
      </c>
      <c r="E273" s="552"/>
      <c r="F273" s="552"/>
      <c r="G273" s="552"/>
      <c r="H273" s="552"/>
      <c r="I273" s="552"/>
      <c r="J273" s="552"/>
      <c r="K273" s="552"/>
      <c r="L273" s="552"/>
      <c r="M273" s="552"/>
      <c r="N273" s="552"/>
      <c r="O273" s="552"/>
      <c r="P273" s="215"/>
      <c r="Q273" s="215"/>
      <c r="R273" s="215"/>
    </row>
    <row r="274" spans="1:35" s="200" customFormat="1" ht="16.5" customHeight="1" x14ac:dyDescent="0.3">
      <c r="B274" s="366"/>
      <c r="C274" s="265" t="s">
        <v>363</v>
      </c>
      <c r="D274" s="552" t="s">
        <v>712</v>
      </c>
      <c r="E274" s="552"/>
      <c r="F274" s="552"/>
      <c r="G274" s="552"/>
      <c r="H274" s="552"/>
      <c r="I274" s="552"/>
      <c r="J274" s="552"/>
      <c r="K274" s="552"/>
      <c r="L274" s="369"/>
      <c r="M274" s="370"/>
      <c r="N274" s="370"/>
      <c r="O274" s="370"/>
    </row>
    <row r="275" spans="1:35" s="200" customFormat="1" ht="7.5" customHeight="1" x14ac:dyDescent="0.3">
      <c r="B275" s="366"/>
      <c r="C275" s="265"/>
      <c r="D275" s="368"/>
      <c r="E275" s="368"/>
      <c r="F275" s="368"/>
      <c r="G275" s="368"/>
      <c r="H275" s="368"/>
      <c r="I275" s="368"/>
      <c r="J275" s="368"/>
      <c r="K275" s="368"/>
      <c r="L275" s="369"/>
      <c r="M275" s="370"/>
      <c r="N275" s="370"/>
      <c r="O275" s="370"/>
    </row>
    <row r="276" spans="1:35" s="200" customFormat="1" ht="16.5" customHeight="1" x14ac:dyDescent="0.3">
      <c r="A276" s="232"/>
      <c r="B276" s="228" t="s">
        <v>713</v>
      </c>
      <c r="C276" s="232"/>
      <c r="D276" s="232"/>
      <c r="E276" s="232"/>
      <c r="F276" s="232"/>
      <c r="G276" s="232"/>
      <c r="H276" s="232"/>
      <c r="I276" s="232"/>
      <c r="J276" s="232"/>
      <c r="K276" s="232"/>
      <c r="L276" s="232"/>
      <c r="M276" s="232"/>
      <c r="N276" s="232"/>
      <c r="O276" s="232"/>
      <c r="P276" s="232"/>
      <c r="Q276" s="232"/>
      <c r="R276" s="232"/>
    </row>
    <row r="277" spans="1:35" s="371" customFormat="1" ht="30" customHeight="1" x14ac:dyDescent="0.3">
      <c r="A277" s="243"/>
      <c r="B277" s="243">
        <v>1</v>
      </c>
      <c r="C277" s="549" t="s">
        <v>714</v>
      </c>
      <c r="D277" s="549"/>
      <c r="E277" s="549"/>
      <c r="F277" s="549"/>
      <c r="G277" s="549"/>
      <c r="H277" s="549"/>
      <c r="I277" s="549"/>
      <c r="J277" s="549"/>
      <c r="K277" s="549"/>
      <c r="L277" s="549"/>
      <c r="M277" s="549"/>
      <c r="N277" s="549"/>
      <c r="O277" s="549"/>
      <c r="P277" s="549"/>
      <c r="Q277" s="549"/>
      <c r="R277" s="549"/>
      <c r="T277" s="200"/>
      <c r="U277" s="200"/>
      <c r="V277" s="200"/>
      <c r="W277" s="200"/>
    </row>
    <row r="278" spans="1:35" s="200" customFormat="1" ht="18" customHeight="1" x14ac:dyDescent="0.3">
      <c r="A278" s="228"/>
      <c r="B278" s="294">
        <v>2</v>
      </c>
      <c r="C278" s="232" t="s">
        <v>715</v>
      </c>
      <c r="D278" s="232"/>
      <c r="E278" s="232"/>
      <c r="F278" s="232"/>
      <c r="G278" s="232"/>
      <c r="H278" s="232"/>
      <c r="I278" s="232"/>
      <c r="J278" s="232"/>
      <c r="K278" s="232"/>
      <c r="L278" s="232"/>
      <c r="M278" s="232"/>
      <c r="N278" s="232"/>
      <c r="O278" s="232"/>
      <c r="P278" s="232"/>
      <c r="Q278" s="232"/>
      <c r="R278" s="232"/>
    </row>
    <row r="279" spans="1:35" ht="18" customHeight="1" x14ac:dyDescent="0.3">
      <c r="A279" s="228"/>
      <c r="B279" s="294">
        <v>3</v>
      </c>
      <c r="C279" s="232" t="s">
        <v>716</v>
      </c>
      <c r="D279" s="232"/>
      <c r="E279" s="232"/>
      <c r="F279" s="232"/>
      <c r="G279" s="232"/>
      <c r="H279" s="232"/>
      <c r="I279" s="232"/>
      <c r="J279" s="232"/>
      <c r="K279" s="232"/>
      <c r="L279" s="232"/>
      <c r="M279" s="232"/>
      <c r="N279" s="232"/>
      <c r="O279" s="232"/>
      <c r="P279" s="232"/>
      <c r="Q279" s="232"/>
      <c r="R279" s="232"/>
    </row>
    <row r="280" spans="1:35" s="420" customFormat="1" ht="46.2" customHeight="1" x14ac:dyDescent="0.3">
      <c r="A280" s="418"/>
      <c r="B280" s="419">
        <v>4</v>
      </c>
      <c r="C280" s="553" t="s">
        <v>858</v>
      </c>
      <c r="D280" s="553"/>
      <c r="E280" s="553"/>
      <c r="F280" s="553"/>
      <c r="G280" s="553"/>
      <c r="H280" s="553"/>
      <c r="I280" s="553"/>
      <c r="J280" s="553"/>
      <c r="K280" s="553"/>
      <c r="L280" s="553"/>
      <c r="M280" s="553"/>
      <c r="N280" s="553"/>
      <c r="O280" s="553"/>
      <c r="P280" s="553"/>
      <c r="Q280" s="553"/>
      <c r="R280" s="553"/>
      <c r="T280" s="421"/>
      <c r="V280" s="421"/>
      <c r="W280" s="421"/>
    </row>
    <row r="281" spans="1:35" ht="34.5" customHeight="1" x14ac:dyDescent="0.3">
      <c r="A281" s="228"/>
      <c r="B281" s="294">
        <v>5</v>
      </c>
      <c r="C281" s="549" t="s">
        <v>717</v>
      </c>
      <c r="D281" s="549"/>
      <c r="E281" s="549"/>
      <c r="F281" s="549"/>
      <c r="G281" s="549"/>
      <c r="H281" s="549"/>
      <c r="I281" s="549"/>
      <c r="J281" s="549"/>
      <c r="K281" s="549"/>
      <c r="L281" s="549"/>
      <c r="M281" s="549"/>
      <c r="N281" s="549"/>
      <c r="O281" s="549"/>
      <c r="P281" s="549"/>
      <c r="Q281" s="549"/>
      <c r="R281" s="549"/>
      <c r="U281" s="229"/>
      <c r="V281" s="209"/>
      <c r="W281" s="209"/>
    </row>
    <row r="282" spans="1:35" ht="18" customHeight="1" x14ac:dyDescent="0.3">
      <c r="A282" s="228"/>
      <c r="B282" s="294">
        <v>6</v>
      </c>
      <c r="C282" s="232" t="s">
        <v>718</v>
      </c>
      <c r="D282" s="232"/>
      <c r="E282" s="232"/>
      <c r="F282" s="232"/>
      <c r="G282" s="232"/>
      <c r="H282" s="232"/>
      <c r="I282" s="232"/>
      <c r="J282" s="232"/>
      <c r="K282" s="232"/>
      <c r="L282" s="232"/>
      <c r="M282" s="232"/>
      <c r="N282" s="232"/>
      <c r="O282" s="232"/>
      <c r="P282" s="232"/>
      <c r="Q282" s="232"/>
      <c r="R282" s="232"/>
    </row>
    <row r="283" spans="1:35" ht="45" customHeight="1" x14ac:dyDescent="0.3">
      <c r="A283" s="228"/>
      <c r="B283" s="294">
        <v>7</v>
      </c>
      <c r="C283" s="549" t="s">
        <v>719</v>
      </c>
      <c r="D283" s="549"/>
      <c r="E283" s="549"/>
      <c r="F283" s="549"/>
      <c r="G283" s="549"/>
      <c r="H283" s="549"/>
      <c r="I283" s="549"/>
      <c r="J283" s="549"/>
      <c r="K283" s="549"/>
      <c r="L283" s="549"/>
      <c r="M283" s="549"/>
      <c r="N283" s="549"/>
      <c r="O283" s="549"/>
      <c r="P283" s="549"/>
      <c r="Q283" s="549"/>
      <c r="R283" s="549"/>
    </row>
    <row r="284" spans="1:35" s="351" customFormat="1" ht="34.5" customHeight="1" x14ac:dyDescent="0.3">
      <c r="A284" s="228"/>
      <c r="B284" s="294">
        <v>8</v>
      </c>
      <c r="C284" s="549" t="s">
        <v>720</v>
      </c>
      <c r="D284" s="549"/>
      <c r="E284" s="549"/>
      <c r="F284" s="549"/>
      <c r="G284" s="549"/>
      <c r="H284" s="549"/>
      <c r="I284" s="549"/>
      <c r="J284" s="549"/>
      <c r="K284" s="549"/>
      <c r="L284" s="549"/>
      <c r="M284" s="549"/>
      <c r="N284" s="549"/>
      <c r="O284" s="549"/>
      <c r="P284" s="549"/>
      <c r="Q284" s="549"/>
      <c r="R284" s="549"/>
      <c r="U284"/>
      <c r="V284"/>
    </row>
    <row r="285" spans="1:35" ht="34.5" customHeight="1" x14ac:dyDescent="0.3">
      <c r="B285" s="294">
        <v>9</v>
      </c>
      <c r="C285" s="549" t="s">
        <v>721</v>
      </c>
      <c r="D285" s="549"/>
      <c r="E285" s="549"/>
      <c r="F285" s="549"/>
      <c r="G285" s="549"/>
      <c r="H285" s="549"/>
      <c r="I285" s="549"/>
      <c r="J285" s="549"/>
      <c r="K285" s="549"/>
      <c r="L285" s="549"/>
      <c r="M285" s="549"/>
      <c r="N285" s="549"/>
      <c r="O285" s="549"/>
      <c r="P285" s="549"/>
      <c r="Q285" s="549"/>
      <c r="R285" s="549"/>
      <c r="U285"/>
      <c r="V285"/>
      <c r="X285" s="229"/>
      <c r="Y285" s="229"/>
      <c r="Z285" s="229"/>
      <c r="AA285" s="229"/>
      <c r="AB285" s="229"/>
      <c r="AC285" s="229"/>
      <c r="AD285" s="229"/>
      <c r="AE285" s="229"/>
      <c r="AF285" s="229"/>
      <c r="AG285" s="229"/>
      <c r="AH285" s="229"/>
      <c r="AI285" s="229"/>
    </row>
    <row r="286" spans="1:35" ht="45" customHeight="1" x14ac:dyDescent="0.3">
      <c r="A286" s="60"/>
      <c r="B286" s="372">
        <v>10</v>
      </c>
      <c r="C286" s="448" t="s">
        <v>722</v>
      </c>
      <c r="D286" s="448"/>
      <c r="E286" s="448"/>
      <c r="F286" s="448"/>
      <c r="G286" s="448"/>
      <c r="H286" s="448"/>
      <c r="I286" s="448"/>
      <c r="J286" s="448"/>
      <c r="K286" s="448"/>
      <c r="L286" s="448"/>
      <c r="M286" s="448"/>
      <c r="N286" s="448"/>
      <c r="O286" s="448"/>
      <c r="P286" s="448"/>
      <c r="Q286" s="448"/>
      <c r="R286" s="448"/>
      <c r="U286"/>
    </row>
    <row r="287" spans="1:35" ht="60.75" customHeight="1" x14ac:dyDescent="0.3">
      <c r="B287" s="294">
        <v>11</v>
      </c>
      <c r="C287" s="549" t="s">
        <v>723</v>
      </c>
      <c r="D287" s="549"/>
      <c r="E287" s="549"/>
      <c r="F287" s="549"/>
      <c r="G287" s="549"/>
      <c r="H287" s="549"/>
      <c r="I287" s="549"/>
      <c r="J287" s="549"/>
      <c r="K287" s="549"/>
      <c r="L287" s="549"/>
      <c r="M287" s="549"/>
      <c r="N287" s="549"/>
      <c r="O287" s="549"/>
      <c r="P287" s="549"/>
      <c r="Q287" s="549"/>
      <c r="R287" s="549"/>
      <c r="T287" s="356"/>
      <c r="U287" s="373"/>
      <c r="V287" s="351"/>
    </row>
    <row r="288" spans="1:35" ht="7.5" customHeight="1" x14ac:dyDescent="0.3">
      <c r="A288" s="215"/>
      <c r="B288" s="366"/>
      <c r="C288" s="265"/>
      <c r="D288" s="368"/>
      <c r="E288" s="368"/>
      <c r="F288" s="368"/>
      <c r="G288" s="368"/>
      <c r="H288" s="368"/>
      <c r="I288" s="368"/>
      <c r="J288" s="368"/>
      <c r="K288" s="368"/>
      <c r="L288" s="369"/>
      <c r="M288" s="370"/>
      <c r="N288" s="370"/>
      <c r="O288" s="370"/>
      <c r="P288" s="215"/>
      <c r="Q288" s="215"/>
      <c r="R288" s="215"/>
      <c r="T288" s="356"/>
      <c r="U288" s="351"/>
      <c r="V288"/>
      <c r="W288" s="351"/>
    </row>
    <row r="289" spans="1:18" ht="12.75" customHeight="1" x14ac:dyDescent="0.3">
      <c r="A289" s="88"/>
      <c r="B289" s="49"/>
      <c r="C289" s="49"/>
      <c r="D289" s="49"/>
      <c r="E289" s="49"/>
      <c r="F289" s="49"/>
      <c r="G289" s="49"/>
      <c r="H289" s="49"/>
      <c r="I289" s="49"/>
      <c r="J289" s="49"/>
      <c r="K289" s="49"/>
      <c r="L289" s="56"/>
      <c r="M289" s="56"/>
      <c r="N289" s="56"/>
      <c r="O289" s="56"/>
      <c r="P289" s="56"/>
      <c r="Q289" s="56"/>
      <c r="R289" s="56"/>
    </row>
    <row r="290" spans="1:18" ht="12.75" customHeight="1" x14ac:dyDescent="0.3">
      <c r="A290" s="88"/>
      <c r="B290" s="49"/>
      <c r="C290" s="49"/>
      <c r="D290" s="49"/>
      <c r="E290" s="49"/>
      <c r="F290" s="49"/>
      <c r="G290" s="49"/>
      <c r="H290" s="49"/>
      <c r="I290" s="49"/>
      <c r="J290" s="49"/>
      <c r="K290" s="49"/>
      <c r="L290" s="56"/>
      <c r="M290" s="56"/>
      <c r="N290" s="56"/>
      <c r="O290" s="56"/>
      <c r="P290" s="56"/>
      <c r="Q290" s="56"/>
      <c r="R290" s="56"/>
    </row>
    <row r="291" spans="1:18" ht="15.75" customHeight="1" x14ac:dyDescent="0.3">
      <c r="A291" s="358"/>
      <c r="B291" s="359"/>
      <c r="C291" s="359"/>
      <c r="D291" s="359"/>
      <c r="E291" s="359"/>
      <c r="F291" s="359"/>
      <c r="G291" s="359"/>
      <c r="H291" s="359"/>
      <c r="I291" s="359"/>
      <c r="J291" s="359"/>
      <c r="K291" s="360" t="s">
        <v>17</v>
      </c>
      <c r="L291" s="361"/>
      <c r="M291" s="361"/>
      <c r="N291" s="361"/>
      <c r="O291" s="361"/>
      <c r="P291" s="361"/>
      <c r="Q291" s="361"/>
      <c r="R291" s="361"/>
    </row>
    <row r="292" spans="1:18" ht="15.75" customHeight="1" x14ac:dyDescent="0.3">
      <c r="A292" s="358"/>
      <c r="B292" s="359"/>
      <c r="C292" s="359"/>
      <c r="D292" s="359"/>
      <c r="E292" s="359"/>
      <c r="F292" s="359"/>
      <c r="G292" s="359"/>
      <c r="H292" s="359"/>
      <c r="I292" s="359"/>
      <c r="J292" s="359"/>
      <c r="K292" s="359" t="s">
        <v>18</v>
      </c>
      <c r="L292" s="361"/>
      <c r="M292" s="361"/>
      <c r="N292" s="361"/>
      <c r="O292" s="361"/>
      <c r="P292" s="361"/>
      <c r="Q292" s="361"/>
      <c r="R292" s="361"/>
    </row>
    <row r="293" spans="1:18" ht="15.75" customHeight="1" x14ac:dyDescent="0.3">
      <c r="A293" s="550">
        <f>+TIT!$D$13</f>
        <v>46277</v>
      </c>
      <c r="B293" s="550"/>
      <c r="C293" s="550"/>
      <c r="D293" s="550"/>
      <c r="E293" s="550"/>
      <c r="F293" s="362"/>
      <c r="G293" s="359"/>
      <c r="H293" s="359"/>
      <c r="I293" s="359"/>
      <c r="J293" s="359"/>
      <c r="K293" s="359" t="s">
        <v>333</v>
      </c>
      <c r="L293" s="361"/>
      <c r="M293" s="361"/>
      <c r="N293" s="361"/>
      <c r="O293" s="361"/>
      <c r="P293" s="361"/>
      <c r="Q293" s="361"/>
      <c r="R293" s="361"/>
    </row>
    <row r="294" spans="1:18" ht="7.5" customHeight="1" x14ac:dyDescent="0.3">
      <c r="A294" s="215"/>
      <c r="B294" s="366"/>
      <c r="C294" s="265"/>
      <c r="D294" s="368"/>
      <c r="E294" s="368"/>
      <c r="F294" s="368"/>
      <c r="G294" s="368"/>
      <c r="H294" s="368"/>
      <c r="I294" s="368"/>
      <c r="J294" s="368"/>
      <c r="K294" s="368"/>
      <c r="L294" s="369"/>
      <c r="M294" s="370"/>
      <c r="N294" s="370"/>
      <c r="O294" s="370"/>
      <c r="P294" s="215"/>
      <c r="Q294" s="215"/>
      <c r="R294" s="215"/>
    </row>
  </sheetData>
  <mergeCells count="539">
    <mergeCell ref="C266:R266"/>
    <mergeCell ref="C267:R267"/>
    <mergeCell ref="C268:R268"/>
    <mergeCell ref="C285:R285"/>
    <mergeCell ref="C286:R286"/>
    <mergeCell ref="C287:R287"/>
    <mergeCell ref="A293:E293"/>
    <mergeCell ref="C269:R269"/>
    <mergeCell ref="B271:R271"/>
    <mergeCell ref="D272:O272"/>
    <mergeCell ref="D273:O273"/>
    <mergeCell ref="D274:K274"/>
    <mergeCell ref="C277:R277"/>
    <mergeCell ref="C281:R281"/>
    <mergeCell ref="C283:R283"/>
    <mergeCell ref="C284:R284"/>
    <mergeCell ref="C280:R280"/>
    <mergeCell ref="C246:R246"/>
    <mergeCell ref="C247:R247"/>
    <mergeCell ref="C248:R248"/>
    <mergeCell ref="C249:R249"/>
    <mergeCell ref="A257:E257"/>
    <mergeCell ref="C262:R262"/>
    <mergeCell ref="C263:R263"/>
    <mergeCell ref="C264:R264"/>
    <mergeCell ref="C265:R265"/>
    <mergeCell ref="A239:B239"/>
    <mergeCell ref="C239:I239"/>
    <mergeCell ref="J239:L239"/>
    <mergeCell ref="M239:O239"/>
    <mergeCell ref="P239:Q239"/>
    <mergeCell ref="C242:R242"/>
    <mergeCell ref="C243:R243"/>
    <mergeCell ref="C244:R244"/>
    <mergeCell ref="C245:R245"/>
    <mergeCell ref="A237:B237"/>
    <mergeCell ref="C237:I237"/>
    <mergeCell ref="J237:L237"/>
    <mergeCell ref="M237:O237"/>
    <mergeCell ref="P237:Q237"/>
    <mergeCell ref="A238:B238"/>
    <mergeCell ref="C238:I238"/>
    <mergeCell ref="J238:L238"/>
    <mergeCell ref="M238:O238"/>
    <mergeCell ref="P238:Q238"/>
    <mergeCell ref="A235:B235"/>
    <mergeCell ref="C235:I235"/>
    <mergeCell ref="J235:L235"/>
    <mergeCell ref="M235:O235"/>
    <mergeCell ref="P235:Q235"/>
    <mergeCell ref="A236:B236"/>
    <mergeCell ref="C236:I236"/>
    <mergeCell ref="J236:L236"/>
    <mergeCell ref="M236:O236"/>
    <mergeCell ref="P236:Q236"/>
    <mergeCell ref="A233:B233"/>
    <mergeCell ref="C233:I233"/>
    <mergeCell ref="J233:L233"/>
    <mergeCell ref="M233:O233"/>
    <mergeCell ref="P233:Q233"/>
    <mergeCell ref="A234:B234"/>
    <mergeCell ref="C234:I234"/>
    <mergeCell ref="J234:L234"/>
    <mergeCell ref="M234:O234"/>
    <mergeCell ref="P234:Q234"/>
    <mergeCell ref="A231:B231"/>
    <mergeCell ref="C231:I231"/>
    <mergeCell ref="J231:L231"/>
    <mergeCell ref="M231:O231"/>
    <mergeCell ref="P231:Q231"/>
    <mergeCell ref="A232:B232"/>
    <mergeCell ref="C232:I232"/>
    <mergeCell ref="J232:L232"/>
    <mergeCell ref="M232:O232"/>
    <mergeCell ref="P232:Q232"/>
    <mergeCell ref="A229:B229"/>
    <mergeCell ref="C229:I229"/>
    <mergeCell ref="J229:L229"/>
    <mergeCell ref="M229:O229"/>
    <mergeCell ref="P229:Q229"/>
    <mergeCell ref="A230:B230"/>
    <mergeCell ref="C230:I230"/>
    <mergeCell ref="J230:L230"/>
    <mergeCell ref="M230:O230"/>
    <mergeCell ref="P230:Q230"/>
    <mergeCell ref="A227:B227"/>
    <mergeCell ref="C227:I227"/>
    <mergeCell ref="J227:L227"/>
    <mergeCell ref="M227:O227"/>
    <mergeCell ref="P227:Q227"/>
    <mergeCell ref="A228:B228"/>
    <mergeCell ref="C228:I228"/>
    <mergeCell ref="J228:L228"/>
    <mergeCell ref="M228:O228"/>
    <mergeCell ref="P228:Q228"/>
    <mergeCell ref="A225:B225"/>
    <mergeCell ref="C225:I225"/>
    <mergeCell ref="J225:L225"/>
    <mergeCell ref="M225:O225"/>
    <mergeCell ref="P225:Q225"/>
    <mergeCell ref="A226:B226"/>
    <mergeCell ref="C226:I226"/>
    <mergeCell ref="J226:L226"/>
    <mergeCell ref="M226:O226"/>
    <mergeCell ref="P226:Q226"/>
    <mergeCell ref="A223:B223"/>
    <mergeCell ref="C223:I223"/>
    <mergeCell ref="J223:L223"/>
    <mergeCell ref="M223:O223"/>
    <mergeCell ref="P223:Q223"/>
    <mergeCell ref="A224:B224"/>
    <mergeCell ref="C224:I224"/>
    <mergeCell ref="J224:L224"/>
    <mergeCell ref="M224:O224"/>
    <mergeCell ref="P224:Q224"/>
    <mergeCell ref="A221:B221"/>
    <mergeCell ref="C221:I221"/>
    <mergeCell ref="J221:L221"/>
    <mergeCell ref="M221:O221"/>
    <mergeCell ref="P221:Q221"/>
    <mergeCell ref="A222:B222"/>
    <mergeCell ref="C222:I222"/>
    <mergeCell ref="J222:L222"/>
    <mergeCell ref="M222:O222"/>
    <mergeCell ref="P222:Q222"/>
    <mergeCell ref="A219:B219"/>
    <mergeCell ref="C219:I219"/>
    <mergeCell ref="J219:L219"/>
    <mergeCell ref="M219:O219"/>
    <mergeCell ref="P219:Q219"/>
    <mergeCell ref="A220:B220"/>
    <mergeCell ref="C220:I220"/>
    <mergeCell ref="J220:L220"/>
    <mergeCell ref="M220:O220"/>
    <mergeCell ref="P220:Q220"/>
    <mergeCell ref="A217:B217"/>
    <mergeCell ref="C217:I217"/>
    <mergeCell ref="J217:L217"/>
    <mergeCell ref="M217:O217"/>
    <mergeCell ref="P217:Q217"/>
    <mergeCell ref="A218:B218"/>
    <mergeCell ref="C218:I218"/>
    <mergeCell ref="J218:L218"/>
    <mergeCell ref="M218:O218"/>
    <mergeCell ref="P218:Q218"/>
    <mergeCell ref="A215:B215"/>
    <mergeCell ref="C215:I215"/>
    <mergeCell ref="J215:L215"/>
    <mergeCell ref="M215:O215"/>
    <mergeCell ref="P215:Q215"/>
    <mergeCell ref="A216:B216"/>
    <mergeCell ref="C216:I216"/>
    <mergeCell ref="J216:L216"/>
    <mergeCell ref="M216:O216"/>
    <mergeCell ref="P216:Q216"/>
    <mergeCell ref="A213:B213"/>
    <mergeCell ref="C213:I213"/>
    <mergeCell ref="J213:L213"/>
    <mergeCell ref="M213:O213"/>
    <mergeCell ref="P213:Q213"/>
    <mergeCell ref="A214:B214"/>
    <mergeCell ref="C214:I214"/>
    <mergeCell ref="J214:L214"/>
    <mergeCell ref="M214:O214"/>
    <mergeCell ref="P214:Q214"/>
    <mergeCell ref="A211:B211"/>
    <mergeCell ref="C211:I211"/>
    <mergeCell ref="J211:L211"/>
    <mergeCell ref="M211:O211"/>
    <mergeCell ref="P211:Q211"/>
    <mergeCell ref="A212:B212"/>
    <mergeCell ref="C212:I212"/>
    <mergeCell ref="J212:L212"/>
    <mergeCell ref="M212:O212"/>
    <mergeCell ref="P212:Q212"/>
    <mergeCell ref="L208:M208"/>
    <mergeCell ref="O208:P208"/>
    <mergeCell ref="A209:B209"/>
    <mergeCell ref="C209:I209"/>
    <mergeCell ref="J209:L209"/>
    <mergeCell ref="M209:O209"/>
    <mergeCell ref="P209:Q209"/>
    <mergeCell ref="A210:B210"/>
    <mergeCell ref="C210:I210"/>
    <mergeCell ref="J210:L210"/>
    <mergeCell ref="M210:O210"/>
    <mergeCell ref="P210:Q210"/>
    <mergeCell ref="D200:L200"/>
    <mergeCell ref="M200:P200"/>
    <mergeCell ref="D201:L201"/>
    <mergeCell ref="M201:P201"/>
    <mergeCell ref="D202:L202"/>
    <mergeCell ref="M202:P202"/>
    <mergeCell ref="D203:L203"/>
    <mergeCell ref="M203:P203"/>
    <mergeCell ref="C205:F205"/>
    <mergeCell ref="H205:I205"/>
    <mergeCell ref="J205:R205"/>
    <mergeCell ref="D192:L192"/>
    <mergeCell ref="M192:P192"/>
    <mergeCell ref="D193:L193"/>
    <mergeCell ref="M193:P193"/>
    <mergeCell ref="D197:L197"/>
    <mergeCell ref="M197:P197"/>
    <mergeCell ref="D198:L198"/>
    <mergeCell ref="M198:P198"/>
    <mergeCell ref="D199:L199"/>
    <mergeCell ref="M199:P199"/>
    <mergeCell ref="D187:L187"/>
    <mergeCell ref="M187:P187"/>
    <mergeCell ref="D188:L188"/>
    <mergeCell ref="M188:P188"/>
    <mergeCell ref="D189:L189"/>
    <mergeCell ref="M189:P189"/>
    <mergeCell ref="D190:L190"/>
    <mergeCell ref="M190:P190"/>
    <mergeCell ref="D191:L191"/>
    <mergeCell ref="M191:P191"/>
    <mergeCell ref="D182:L182"/>
    <mergeCell ref="M182:P182"/>
    <mergeCell ref="D183:L183"/>
    <mergeCell ref="M183:P183"/>
    <mergeCell ref="D184:L184"/>
    <mergeCell ref="M184:P184"/>
    <mergeCell ref="D185:L185"/>
    <mergeCell ref="M185:P185"/>
    <mergeCell ref="D186:L186"/>
    <mergeCell ref="M186:P186"/>
    <mergeCell ref="C177:I177"/>
    <mergeCell ref="J177:L177"/>
    <mergeCell ref="M177:O177"/>
    <mergeCell ref="P177:R177"/>
    <mergeCell ref="C178:I178"/>
    <mergeCell ref="J178:L178"/>
    <mergeCell ref="M178:O178"/>
    <mergeCell ref="P178:R178"/>
    <mergeCell ref="C181:R181"/>
    <mergeCell ref="C174:I174"/>
    <mergeCell ref="J174:L174"/>
    <mergeCell ref="M174:O174"/>
    <mergeCell ref="P174:R174"/>
    <mergeCell ref="C175:I175"/>
    <mergeCell ref="J175:L175"/>
    <mergeCell ref="M175:O175"/>
    <mergeCell ref="P175:R175"/>
    <mergeCell ref="C176:I176"/>
    <mergeCell ref="J176:L176"/>
    <mergeCell ref="M176:O176"/>
    <mergeCell ref="P176:R176"/>
    <mergeCell ref="C171:I171"/>
    <mergeCell ref="J171:L171"/>
    <mergeCell ref="M171:O171"/>
    <mergeCell ref="P171:R171"/>
    <mergeCell ref="C172:I172"/>
    <mergeCell ref="J172:L172"/>
    <mergeCell ref="M172:O172"/>
    <mergeCell ref="P172:R172"/>
    <mergeCell ref="C173:I173"/>
    <mergeCell ref="J173:L173"/>
    <mergeCell ref="M173:O173"/>
    <mergeCell ref="P173:R173"/>
    <mergeCell ref="C168:R168"/>
    <mergeCell ref="A169:B169"/>
    <mergeCell ref="C169:I169"/>
    <mergeCell ref="J169:L169"/>
    <mergeCell ref="M169:O169"/>
    <mergeCell ref="P169:R169"/>
    <mergeCell ref="A170:B170"/>
    <mergeCell ref="C170:I170"/>
    <mergeCell ref="J170:L170"/>
    <mergeCell ref="M170:O170"/>
    <mergeCell ref="P170:R170"/>
    <mergeCell ref="C157:R157"/>
    <mergeCell ref="C160:R160"/>
    <mergeCell ref="D161:I161"/>
    <mergeCell ref="J161:L161"/>
    <mergeCell ref="D162:I162"/>
    <mergeCell ref="J162:L162"/>
    <mergeCell ref="D163:I163"/>
    <mergeCell ref="J163:L163"/>
    <mergeCell ref="C165:R165"/>
    <mergeCell ref="C150:I150"/>
    <mergeCell ref="J150:L150"/>
    <mergeCell ref="M150:R150"/>
    <mergeCell ref="C151:I151"/>
    <mergeCell ref="J151:L151"/>
    <mergeCell ref="M151:R151"/>
    <mergeCell ref="C152:I152"/>
    <mergeCell ref="J152:L152"/>
    <mergeCell ref="M152:R152"/>
    <mergeCell ref="C145:I145"/>
    <mergeCell ref="J145:L145"/>
    <mergeCell ref="C146:I146"/>
    <mergeCell ref="J146:L146"/>
    <mergeCell ref="C147:I147"/>
    <mergeCell ref="J147:L147"/>
    <mergeCell ref="C148:I148"/>
    <mergeCell ref="J148:L148"/>
    <mergeCell ref="C149:I149"/>
    <mergeCell ref="J149:L149"/>
    <mergeCell ref="T136:AI136"/>
    <mergeCell ref="C141:I141"/>
    <mergeCell ref="J141:L141"/>
    <mergeCell ref="C142:I142"/>
    <mergeCell ref="J142:L142"/>
    <mergeCell ref="C137:R137"/>
    <mergeCell ref="C143:I143"/>
    <mergeCell ref="J143:L143"/>
    <mergeCell ref="C144:I144"/>
    <mergeCell ref="J144:L144"/>
    <mergeCell ref="A134:B134"/>
    <mergeCell ref="C134:I134"/>
    <mergeCell ref="J134:L134"/>
    <mergeCell ref="M134:O134"/>
    <mergeCell ref="P134:R134"/>
    <mergeCell ref="A135:B135"/>
    <mergeCell ref="C135:I135"/>
    <mergeCell ref="J135:L135"/>
    <mergeCell ref="M135:O135"/>
    <mergeCell ref="P135:R135"/>
    <mergeCell ref="A132:B132"/>
    <mergeCell ref="C132:I132"/>
    <mergeCell ref="J132:L132"/>
    <mergeCell ref="M132:O132"/>
    <mergeCell ref="P132:R132"/>
    <mergeCell ref="A133:B133"/>
    <mergeCell ref="C133:I133"/>
    <mergeCell ref="J133:L133"/>
    <mergeCell ref="M133:O133"/>
    <mergeCell ref="P133:R133"/>
    <mergeCell ref="A130:B130"/>
    <mergeCell ref="C130:I130"/>
    <mergeCell ref="J130:L130"/>
    <mergeCell ref="M130:O130"/>
    <mergeCell ref="P130:R130"/>
    <mergeCell ref="A131:B131"/>
    <mergeCell ref="C131:I131"/>
    <mergeCell ref="J131:L131"/>
    <mergeCell ref="M131:O131"/>
    <mergeCell ref="P131:R131"/>
    <mergeCell ref="A128:B128"/>
    <mergeCell ref="C128:I128"/>
    <mergeCell ref="J128:L128"/>
    <mergeCell ref="M128:O128"/>
    <mergeCell ref="P128:R128"/>
    <mergeCell ref="A129:B129"/>
    <mergeCell ref="C129:I129"/>
    <mergeCell ref="J129:L129"/>
    <mergeCell ref="M129:O129"/>
    <mergeCell ref="P129:R129"/>
    <mergeCell ref="A114:B114"/>
    <mergeCell ref="C114:I114"/>
    <mergeCell ref="J114:L114"/>
    <mergeCell ref="M114:O114"/>
    <mergeCell ref="P114:R114"/>
    <mergeCell ref="A115:B115"/>
    <mergeCell ref="C115:I115"/>
    <mergeCell ref="J115:L115"/>
    <mergeCell ref="M115:O115"/>
    <mergeCell ref="P115:R115"/>
    <mergeCell ref="A112:B112"/>
    <mergeCell ref="C112:I112"/>
    <mergeCell ref="J112:L112"/>
    <mergeCell ref="M112:O112"/>
    <mergeCell ref="P112:R112"/>
    <mergeCell ref="A113:B113"/>
    <mergeCell ref="C113:I113"/>
    <mergeCell ref="J113:L113"/>
    <mergeCell ref="M113:O113"/>
    <mergeCell ref="P113:R113"/>
    <mergeCell ref="A110:B110"/>
    <mergeCell ref="C110:I110"/>
    <mergeCell ref="J110:L110"/>
    <mergeCell ref="M110:O110"/>
    <mergeCell ref="P110:R110"/>
    <mergeCell ref="A111:B111"/>
    <mergeCell ref="C111:I111"/>
    <mergeCell ref="J111:L111"/>
    <mergeCell ref="M111:O111"/>
    <mergeCell ref="P111:R111"/>
    <mergeCell ref="A108:B108"/>
    <mergeCell ref="C108:I108"/>
    <mergeCell ref="J108:L108"/>
    <mergeCell ref="M108:O108"/>
    <mergeCell ref="P108:R108"/>
    <mergeCell ref="A109:B109"/>
    <mergeCell ref="C109:I109"/>
    <mergeCell ref="J109:L109"/>
    <mergeCell ref="M109:O109"/>
    <mergeCell ref="P109:R109"/>
    <mergeCell ref="A106:B106"/>
    <mergeCell ref="C106:I106"/>
    <mergeCell ref="J106:L106"/>
    <mergeCell ref="M106:O106"/>
    <mergeCell ref="P106:R106"/>
    <mergeCell ref="A107:B107"/>
    <mergeCell ref="C107:I107"/>
    <mergeCell ref="J107:L107"/>
    <mergeCell ref="M107:O107"/>
    <mergeCell ref="P107:R107"/>
    <mergeCell ref="A104:B104"/>
    <mergeCell ref="C104:I104"/>
    <mergeCell ref="J104:L104"/>
    <mergeCell ref="M104:O104"/>
    <mergeCell ref="P104:R104"/>
    <mergeCell ref="A105:B105"/>
    <mergeCell ref="C105:I105"/>
    <mergeCell ref="J105:L105"/>
    <mergeCell ref="M105:O105"/>
    <mergeCell ref="P105:R105"/>
    <mergeCell ref="A102:B102"/>
    <mergeCell ref="C102:I102"/>
    <mergeCell ref="J102:L102"/>
    <mergeCell ref="M102:O102"/>
    <mergeCell ref="P102:R102"/>
    <mergeCell ref="A103:B103"/>
    <mergeCell ref="C103:I103"/>
    <mergeCell ref="J103:L103"/>
    <mergeCell ref="M103:O103"/>
    <mergeCell ref="P103:R103"/>
    <mergeCell ref="B94:R95"/>
    <mergeCell ref="A99:B100"/>
    <mergeCell ref="C99:I99"/>
    <mergeCell ref="J99:L100"/>
    <mergeCell ref="M99:O100"/>
    <mergeCell ref="P99:R100"/>
    <mergeCell ref="C100:I100"/>
    <mergeCell ref="A101:B101"/>
    <mergeCell ref="C101:I101"/>
    <mergeCell ref="J101:L101"/>
    <mergeCell ref="M101:O101"/>
    <mergeCell ref="P101:R101"/>
    <mergeCell ref="C79:R79"/>
    <mergeCell ref="C80:R80"/>
    <mergeCell ref="B82:R82"/>
    <mergeCell ref="C86:R86"/>
    <mergeCell ref="C88:R88"/>
    <mergeCell ref="B91:R91"/>
    <mergeCell ref="T91:W91"/>
    <mergeCell ref="X91:X92"/>
    <mergeCell ref="Y91:Y92"/>
    <mergeCell ref="D74:I74"/>
    <mergeCell ref="J74:L74"/>
    <mergeCell ref="M74:R74"/>
    <mergeCell ref="D75:I75"/>
    <mergeCell ref="J75:L75"/>
    <mergeCell ref="M75:R75"/>
    <mergeCell ref="D76:I76"/>
    <mergeCell ref="J76:L76"/>
    <mergeCell ref="M76:R76"/>
    <mergeCell ref="H68:L68"/>
    <mergeCell ref="H69:L69"/>
    <mergeCell ref="T70:X70"/>
    <mergeCell ref="T71:X71"/>
    <mergeCell ref="C72:R72"/>
    <mergeCell ref="T72:X72"/>
    <mergeCell ref="D73:I73"/>
    <mergeCell ref="J73:L73"/>
    <mergeCell ref="M73:R73"/>
    <mergeCell ref="T73:X73"/>
    <mergeCell ref="A54:F54"/>
    <mergeCell ref="A57:R57"/>
    <mergeCell ref="B59:R59"/>
    <mergeCell ref="B60:R60"/>
    <mergeCell ref="B61:R61"/>
    <mergeCell ref="B62:R62"/>
    <mergeCell ref="B65:R65"/>
    <mergeCell ref="H66:L66"/>
    <mergeCell ref="H67:L67"/>
    <mergeCell ref="B43:D43"/>
    <mergeCell ref="E43:K43"/>
    <mergeCell ref="L43:R43"/>
    <mergeCell ref="B44:K44"/>
    <mergeCell ref="L44:R44"/>
    <mergeCell ref="B45:K45"/>
    <mergeCell ref="L45:R45"/>
    <mergeCell ref="B46:K46"/>
    <mergeCell ref="L46:R46"/>
    <mergeCell ref="E37:F37"/>
    <mergeCell ref="G37:R37"/>
    <mergeCell ref="E38:F38"/>
    <mergeCell ref="G38:R38"/>
    <mergeCell ref="E39:F39"/>
    <mergeCell ref="G39:R39"/>
    <mergeCell ref="E40:F40"/>
    <mergeCell ref="G40:R40"/>
    <mergeCell ref="E41:F41"/>
    <mergeCell ref="G41:R41"/>
    <mergeCell ref="B29:K29"/>
    <mergeCell ref="L29:R29"/>
    <mergeCell ref="E33:F33"/>
    <mergeCell ref="G33:R33"/>
    <mergeCell ref="E34:F34"/>
    <mergeCell ref="G34:R34"/>
    <mergeCell ref="E35:F35"/>
    <mergeCell ref="G35:R35"/>
    <mergeCell ref="E36:F36"/>
    <mergeCell ref="G36:R36"/>
    <mergeCell ref="A25:A26"/>
    <mergeCell ref="B25:D26"/>
    <mergeCell ref="E25:K25"/>
    <mergeCell ref="L25:R25"/>
    <mergeCell ref="E26:K26"/>
    <mergeCell ref="L26:R26"/>
    <mergeCell ref="B27:K27"/>
    <mergeCell ref="L27:R27"/>
    <mergeCell ref="B28:K28"/>
    <mergeCell ref="L28:R28"/>
    <mergeCell ref="A21:A24"/>
    <mergeCell ref="B21:D24"/>
    <mergeCell ref="E21:K21"/>
    <mergeCell ref="L21:R21"/>
    <mergeCell ref="E22:K22"/>
    <mergeCell ref="L22:R22"/>
    <mergeCell ref="E23:K23"/>
    <mergeCell ref="L23:R23"/>
    <mergeCell ref="E24:K24"/>
    <mergeCell ref="L24:R24"/>
    <mergeCell ref="A16:A20"/>
    <mergeCell ref="B16:D20"/>
    <mergeCell ref="E16:K16"/>
    <mergeCell ref="L16:R16"/>
    <mergeCell ref="E17:K17"/>
    <mergeCell ref="L17:R17"/>
    <mergeCell ref="E18:K18"/>
    <mergeCell ref="L18:R18"/>
    <mergeCell ref="E19:K19"/>
    <mergeCell ref="L19:R19"/>
    <mergeCell ref="E20:K20"/>
    <mergeCell ref="L20:R20"/>
    <mergeCell ref="G5:R6"/>
    <mergeCell ref="G7:R8"/>
    <mergeCell ref="G9:R9"/>
    <mergeCell ref="G10:R10"/>
    <mergeCell ref="G11:R11"/>
    <mergeCell ref="A13:R13"/>
    <mergeCell ref="B15:D15"/>
    <mergeCell ref="E15:K15"/>
    <mergeCell ref="L15:R15"/>
  </mergeCells>
  <printOptions horizontalCentered="1"/>
  <pageMargins left="0.51180555555555596" right="0" top="0.179861111111111" bottom="0.23611111111111099" header="0.511811023622047" footer="0.511811023622047"/>
  <pageSetup paperSize="9" scale="89" orientation="portrait" horizontalDpi="300" verticalDpi="300" r:id="rId1"/>
  <rowBreaks count="6" manualBreakCount="6">
    <brk id="30" max="16383" man="1"/>
    <brk id="55" max="16383" man="1"/>
    <brk id="95" max="18" man="1"/>
    <brk id="153" max="16383" man="1"/>
    <brk id="206" max="16383" man="1"/>
    <brk id="258"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W47"/>
  <sheetViews>
    <sheetView view="pageBreakPreview" zoomScaleNormal="100" zoomScaleSheetLayoutView="100" workbookViewId="0">
      <selection activeCell="S1" sqref="S1:S1048576"/>
    </sheetView>
  </sheetViews>
  <sheetFormatPr defaultColWidth="9" defaultRowHeight="15.6" x14ac:dyDescent="0.3"/>
  <cols>
    <col min="1" max="1" width="3" style="338" customWidth="1"/>
    <col min="2" max="3" width="2.5" style="338" customWidth="1"/>
    <col min="4" max="7" width="9" style="338"/>
    <col min="8" max="8" width="8.5" style="338" customWidth="1"/>
    <col min="9" max="9" width="9" style="338"/>
    <col min="10" max="10" width="5.59765625" style="338" customWidth="1"/>
    <col min="11" max="11" width="9" style="338"/>
    <col min="12" max="12" width="6.3984375" style="338" customWidth="1"/>
    <col min="13" max="13" width="9.3984375" style="338" customWidth="1"/>
    <col min="14" max="14" width="1.5" style="338" customWidth="1"/>
    <col min="15" max="257" width="9" style="338"/>
  </cols>
  <sheetData>
    <row r="1" spans="1:13" ht="19.5" customHeight="1" x14ac:dyDescent="0.3">
      <c r="A1" s="637" t="str">
        <f>+TIT!D2</f>
        <v>PRATHAMESH HARMONY "B"  WING CO-OPERATIVE HOUSING SOCIETY LTD.</v>
      </c>
      <c r="B1" s="637"/>
      <c r="C1" s="637"/>
      <c r="D1" s="637"/>
      <c r="E1" s="637"/>
      <c r="F1" s="637"/>
      <c r="G1" s="637"/>
      <c r="H1" s="637"/>
      <c r="I1" s="637"/>
      <c r="J1" s="637"/>
      <c r="K1" s="637"/>
      <c r="L1" s="637"/>
      <c r="M1" s="637"/>
    </row>
    <row r="2" spans="1:13" ht="19.5" customHeight="1" x14ac:dyDescent="0.3">
      <c r="A2" s="638" t="s">
        <v>724</v>
      </c>
      <c r="B2" s="638"/>
      <c r="C2" s="638"/>
      <c r="D2" s="638"/>
      <c r="E2" s="638"/>
      <c r="F2" s="638"/>
      <c r="G2" s="638"/>
      <c r="H2" s="638"/>
      <c r="I2" s="638"/>
      <c r="J2" s="638"/>
      <c r="K2" s="638"/>
      <c r="L2" s="638"/>
      <c r="M2" s="638"/>
    </row>
    <row r="3" spans="1:13" ht="9.75" customHeight="1" x14ac:dyDescent="0.3">
      <c r="A3" s="336"/>
    </row>
    <row r="4" spans="1:13" s="75" customFormat="1" ht="15" customHeight="1" x14ac:dyDescent="0.3">
      <c r="A4" s="75" t="s">
        <v>271</v>
      </c>
      <c r="B4" s="84" t="s">
        <v>725</v>
      </c>
    </row>
    <row r="5" spans="1:13" s="75" customFormat="1" ht="12.75" customHeight="1" x14ac:dyDescent="0.3">
      <c r="A5" s="84"/>
      <c r="B5" s="84">
        <v>1</v>
      </c>
      <c r="D5" s="579" t="s">
        <v>726</v>
      </c>
      <c r="E5" s="579"/>
      <c r="F5" s="579"/>
      <c r="G5" s="579"/>
      <c r="H5" s="579"/>
      <c r="I5" s="579"/>
      <c r="J5" s="579"/>
      <c r="K5" s="579"/>
      <c r="L5" s="579"/>
      <c r="M5" s="579"/>
    </row>
    <row r="6" spans="1:13" s="75" customFormat="1" ht="15" customHeight="1" x14ac:dyDescent="0.3">
      <c r="A6" s="84"/>
      <c r="D6" s="579"/>
      <c r="E6" s="579"/>
      <c r="F6" s="579"/>
      <c r="G6" s="579"/>
      <c r="H6" s="579"/>
      <c r="I6" s="579"/>
      <c r="J6" s="579"/>
      <c r="K6" s="579"/>
      <c r="L6" s="579"/>
      <c r="M6" s="579"/>
    </row>
    <row r="7" spans="1:13" s="75" customFormat="1" ht="15" customHeight="1" x14ac:dyDescent="0.3">
      <c r="A7" s="84"/>
      <c r="D7" s="579"/>
      <c r="E7" s="579"/>
      <c r="F7" s="579"/>
      <c r="G7" s="579"/>
      <c r="H7" s="579"/>
      <c r="I7" s="579"/>
      <c r="J7" s="579"/>
      <c r="K7" s="579"/>
      <c r="L7" s="579"/>
      <c r="M7" s="579"/>
    </row>
    <row r="8" spans="1:13" s="75" customFormat="1" ht="24" customHeight="1" x14ac:dyDescent="0.3">
      <c r="A8" s="84"/>
      <c r="D8" s="579"/>
      <c r="E8" s="579"/>
      <c r="F8" s="579"/>
      <c r="G8" s="579"/>
      <c r="H8" s="579"/>
      <c r="I8" s="579"/>
      <c r="J8" s="579"/>
      <c r="K8" s="579"/>
      <c r="L8" s="579"/>
      <c r="M8" s="579"/>
    </row>
    <row r="9" spans="1:13" s="75" customFormat="1" ht="9.75" customHeight="1" x14ac:dyDescent="0.3">
      <c r="A9" s="84"/>
      <c r="D9" s="90"/>
      <c r="E9" s="90"/>
      <c r="F9" s="90"/>
      <c r="G9" s="90"/>
      <c r="H9" s="90"/>
      <c r="I9" s="90"/>
      <c r="J9" s="90"/>
      <c r="K9" s="90"/>
      <c r="L9" s="90"/>
    </row>
    <row r="10" spans="1:13" s="75" customFormat="1" ht="15" customHeight="1" x14ac:dyDescent="0.3">
      <c r="A10" s="84"/>
      <c r="B10" s="84">
        <v>2</v>
      </c>
      <c r="C10" s="84" t="s">
        <v>727</v>
      </c>
    </row>
    <row r="11" spans="1:13" s="75" customFormat="1" ht="15" customHeight="1" x14ac:dyDescent="0.3">
      <c r="A11" s="84"/>
      <c r="D11" s="579" t="s">
        <v>728</v>
      </c>
      <c r="E11" s="579"/>
      <c r="F11" s="579"/>
      <c r="G11" s="579"/>
      <c r="H11" s="579"/>
      <c r="I11" s="579"/>
      <c r="J11" s="579"/>
      <c r="K11" s="579"/>
      <c r="L11" s="579"/>
      <c r="M11" s="579"/>
    </row>
    <row r="12" spans="1:13" s="75" customFormat="1" ht="15" customHeight="1" x14ac:dyDescent="0.3">
      <c r="A12" s="84"/>
      <c r="D12" s="579"/>
      <c r="E12" s="579"/>
      <c r="F12" s="579"/>
      <c r="G12" s="579"/>
      <c r="H12" s="579"/>
      <c r="I12" s="579"/>
      <c r="J12" s="579"/>
      <c r="K12" s="579"/>
      <c r="L12" s="579"/>
      <c r="M12" s="579"/>
    </row>
    <row r="13" spans="1:13" s="75" customFormat="1" ht="15" customHeight="1" x14ac:dyDescent="0.3">
      <c r="A13" s="84"/>
      <c r="D13" s="579"/>
      <c r="E13" s="579"/>
      <c r="F13" s="579"/>
      <c r="G13" s="579"/>
      <c r="H13" s="579"/>
      <c r="I13" s="579"/>
      <c r="J13" s="579"/>
      <c r="K13" s="579"/>
      <c r="L13" s="579"/>
      <c r="M13" s="579"/>
    </row>
    <row r="14" spans="1:13" s="75" customFormat="1" ht="11.25" customHeight="1" x14ac:dyDescent="0.3">
      <c r="A14" s="84"/>
      <c r="D14" s="579"/>
      <c r="E14" s="579"/>
      <c r="F14" s="579"/>
      <c r="G14" s="579"/>
      <c r="H14" s="579"/>
      <c r="I14" s="579"/>
      <c r="J14" s="579"/>
      <c r="K14" s="579"/>
      <c r="L14" s="579"/>
      <c r="M14" s="579"/>
    </row>
    <row r="15" spans="1:13" s="75" customFormat="1" ht="15" customHeight="1" x14ac:dyDescent="0.3">
      <c r="A15" s="84"/>
      <c r="B15" s="84">
        <v>3</v>
      </c>
      <c r="C15" s="84" t="s">
        <v>729</v>
      </c>
    </row>
    <row r="16" spans="1:13" s="75" customFormat="1" ht="15" customHeight="1" x14ac:dyDescent="0.3">
      <c r="A16" s="84"/>
      <c r="D16" s="579" t="s">
        <v>730</v>
      </c>
      <c r="E16" s="579"/>
      <c r="F16" s="579"/>
      <c r="G16" s="579"/>
      <c r="H16" s="579"/>
      <c r="I16" s="579"/>
      <c r="J16" s="579"/>
      <c r="K16" s="579"/>
      <c r="L16" s="579"/>
      <c r="M16" s="579"/>
    </row>
    <row r="17" spans="1:13" s="75" customFormat="1" ht="15" customHeight="1" x14ac:dyDescent="0.3">
      <c r="A17" s="84"/>
      <c r="D17" s="579"/>
      <c r="E17" s="579"/>
      <c r="F17" s="579"/>
      <c r="G17" s="579"/>
      <c r="H17" s="579"/>
      <c r="I17" s="579"/>
      <c r="J17" s="579"/>
      <c r="K17" s="579"/>
      <c r="L17" s="579"/>
      <c r="M17" s="579"/>
    </row>
    <row r="18" spans="1:13" s="75" customFormat="1" ht="9.75" customHeight="1" x14ac:dyDescent="0.3">
      <c r="A18" s="84"/>
      <c r="D18" s="90"/>
      <c r="E18" s="90"/>
      <c r="F18" s="90"/>
      <c r="G18" s="90"/>
      <c r="H18" s="90"/>
      <c r="I18" s="90"/>
      <c r="J18" s="90"/>
      <c r="K18" s="90"/>
      <c r="L18" s="90"/>
    </row>
    <row r="19" spans="1:13" s="75" customFormat="1" ht="15" customHeight="1" x14ac:dyDescent="0.3">
      <c r="A19" s="84"/>
      <c r="B19" s="84">
        <v>4</v>
      </c>
      <c r="C19" s="84" t="s">
        <v>731</v>
      </c>
    </row>
    <row r="20" spans="1:13" s="75" customFormat="1" ht="15" customHeight="1" x14ac:dyDescent="0.3">
      <c r="A20" s="84"/>
      <c r="D20" s="579" t="s">
        <v>732</v>
      </c>
      <c r="E20" s="579"/>
      <c r="F20" s="579"/>
      <c r="G20" s="579"/>
      <c r="H20" s="579"/>
      <c r="I20" s="579"/>
      <c r="J20" s="579"/>
      <c r="K20" s="579"/>
      <c r="L20" s="579"/>
      <c r="M20" s="579"/>
    </row>
    <row r="21" spans="1:13" s="75" customFormat="1" ht="15" customHeight="1" x14ac:dyDescent="0.3">
      <c r="A21" s="84"/>
      <c r="D21" s="579"/>
      <c r="E21" s="579"/>
      <c r="F21" s="579"/>
      <c r="G21" s="579"/>
      <c r="H21" s="579"/>
      <c r="I21" s="579"/>
      <c r="J21" s="579"/>
      <c r="K21" s="579"/>
      <c r="L21" s="579"/>
      <c r="M21" s="579"/>
    </row>
    <row r="22" spans="1:13" s="75" customFormat="1" ht="9" customHeight="1" x14ac:dyDescent="0.3">
      <c r="A22" s="84"/>
      <c r="D22" s="579"/>
      <c r="E22" s="579"/>
      <c r="F22" s="579"/>
      <c r="G22" s="579"/>
      <c r="H22" s="579"/>
      <c r="I22" s="579"/>
      <c r="J22" s="579"/>
      <c r="K22" s="579"/>
      <c r="L22" s="579"/>
      <c r="M22" s="579"/>
    </row>
    <row r="23" spans="1:13" s="75" customFormat="1" ht="9.75" customHeight="1" x14ac:dyDescent="0.3">
      <c r="A23" s="84"/>
      <c r="D23" s="90"/>
      <c r="E23" s="90"/>
      <c r="F23" s="90"/>
      <c r="G23" s="90"/>
      <c r="H23" s="90"/>
      <c r="I23" s="90"/>
      <c r="J23" s="90"/>
      <c r="K23" s="90"/>
      <c r="L23" s="90"/>
    </row>
    <row r="24" spans="1:13" s="75" customFormat="1" ht="15" customHeight="1" x14ac:dyDescent="0.3">
      <c r="A24" s="84"/>
      <c r="B24" s="84">
        <v>5</v>
      </c>
      <c r="C24" s="84" t="s">
        <v>733</v>
      </c>
    </row>
    <row r="25" spans="1:13" s="75" customFormat="1" ht="18" customHeight="1" x14ac:dyDescent="0.3">
      <c r="A25" s="84"/>
      <c r="D25" s="75" t="s">
        <v>734</v>
      </c>
    </row>
    <row r="26" spans="1:13" s="75" customFormat="1" ht="15" customHeight="1" x14ac:dyDescent="0.3">
      <c r="A26" s="84"/>
      <c r="B26" s="84">
        <v>6</v>
      </c>
      <c r="C26" s="84" t="s">
        <v>735</v>
      </c>
    </row>
    <row r="27" spans="1:13" s="75" customFormat="1" ht="18" customHeight="1" x14ac:dyDescent="0.3">
      <c r="A27" s="84"/>
      <c r="D27" s="375" t="s">
        <v>736</v>
      </c>
      <c r="E27" s="375"/>
      <c r="F27" s="375"/>
      <c r="G27" s="375"/>
      <c r="H27" s="375"/>
      <c r="I27" s="375"/>
      <c r="J27" s="375"/>
      <c r="K27" s="375"/>
      <c r="L27" s="375"/>
      <c r="M27" s="375"/>
    </row>
    <row r="28" spans="1:13" s="75" customFormat="1" ht="9.75" customHeight="1" x14ac:dyDescent="0.3">
      <c r="A28" s="84"/>
    </row>
    <row r="29" spans="1:13" s="75" customFormat="1" ht="15" customHeight="1" x14ac:dyDescent="0.3">
      <c r="A29" s="84" t="s">
        <v>123</v>
      </c>
      <c r="B29" s="376" t="s">
        <v>737</v>
      </c>
    </row>
    <row r="30" spans="1:13" s="75" customFormat="1" ht="15" customHeight="1" x14ac:dyDescent="0.3">
      <c r="B30" s="377">
        <v>1</v>
      </c>
      <c r="C30" s="84" t="s">
        <v>738</v>
      </c>
    </row>
    <row r="31" spans="1:13" s="75" customFormat="1" ht="18" customHeight="1" x14ac:dyDescent="0.3">
      <c r="A31" s="84"/>
      <c r="D31" s="579" t="s">
        <v>739</v>
      </c>
      <c r="E31" s="579"/>
      <c r="F31" s="579"/>
      <c r="G31" s="579"/>
      <c r="H31" s="579"/>
      <c r="I31" s="579"/>
      <c r="J31" s="579"/>
      <c r="K31" s="579"/>
      <c r="L31" s="579"/>
      <c r="M31" s="579"/>
    </row>
    <row r="32" spans="1:13" s="75" customFormat="1" ht="18" customHeight="1" x14ac:dyDescent="0.3">
      <c r="A32" s="84"/>
      <c r="D32" s="579"/>
      <c r="E32" s="579"/>
      <c r="F32" s="579"/>
      <c r="G32" s="579"/>
      <c r="H32" s="579"/>
      <c r="I32" s="579"/>
      <c r="J32" s="579"/>
      <c r="K32" s="579"/>
      <c r="L32" s="579"/>
      <c r="M32" s="579"/>
    </row>
    <row r="33" spans="1:13" s="75" customFormat="1" ht="36" customHeight="1" x14ac:dyDescent="0.3">
      <c r="A33" s="84"/>
      <c r="D33" s="579" t="s">
        <v>740</v>
      </c>
      <c r="E33" s="579"/>
      <c r="F33" s="579"/>
      <c r="G33" s="579"/>
      <c r="H33" s="579"/>
      <c r="I33" s="579"/>
      <c r="J33" s="579"/>
      <c r="K33" s="579"/>
      <c r="L33" s="579"/>
      <c r="M33" s="579"/>
    </row>
    <row r="34" spans="1:13" s="75" customFormat="1" ht="36" customHeight="1" x14ac:dyDescent="0.3">
      <c r="A34" s="84"/>
      <c r="D34" s="579" t="s">
        <v>741</v>
      </c>
      <c r="E34" s="579"/>
      <c r="F34" s="579"/>
      <c r="G34" s="579"/>
      <c r="H34" s="579"/>
      <c r="I34" s="579"/>
      <c r="J34" s="579"/>
      <c r="K34" s="579"/>
      <c r="L34" s="579"/>
      <c r="M34" s="579"/>
    </row>
    <row r="35" spans="1:13" s="75" customFormat="1" ht="15" customHeight="1" x14ac:dyDescent="0.3">
      <c r="A35" s="84"/>
      <c r="B35" s="84"/>
      <c r="C35" s="84"/>
      <c r="D35" s="90"/>
      <c r="E35" s="90"/>
      <c r="F35" s="90"/>
      <c r="G35" s="90"/>
      <c r="H35" s="90"/>
      <c r="I35" s="90"/>
      <c r="J35" s="90"/>
      <c r="L35" s="378"/>
    </row>
    <row r="36" spans="1:13" ht="19.5" customHeight="1" x14ac:dyDescent="0.3"/>
    <row r="37" spans="1:13" ht="19.5" customHeight="1" x14ac:dyDescent="0.3">
      <c r="D37" s="379"/>
      <c r="H37" s="639" t="str">
        <f>"For "&amp;TIT!$D$2</f>
        <v>For PRATHAMESH HARMONY "B"  WING CO-OPERATIVE HOUSING SOCIETY LTD.</v>
      </c>
      <c r="I37" s="639"/>
      <c r="J37" s="639"/>
      <c r="K37" s="639"/>
      <c r="L37" s="639"/>
      <c r="M37" s="639"/>
    </row>
    <row r="38" spans="1:13" ht="19.5" customHeight="1" x14ac:dyDescent="0.3">
      <c r="H38" s="639"/>
      <c r="I38" s="639"/>
      <c r="J38" s="639"/>
      <c r="K38" s="639"/>
      <c r="L38" s="639"/>
      <c r="M38" s="639"/>
    </row>
    <row r="39" spans="1:13" ht="15" customHeight="1" x14ac:dyDescent="0.3">
      <c r="K39" s="374"/>
      <c r="L39" s="374"/>
    </row>
    <row r="40" spans="1:13" ht="15" customHeight="1" x14ac:dyDescent="0.3"/>
    <row r="41" spans="1:13" ht="15" customHeight="1" x14ac:dyDescent="0.3"/>
    <row r="42" spans="1:13" ht="15" customHeight="1" x14ac:dyDescent="0.3">
      <c r="H42" s="638" t="s">
        <v>742</v>
      </c>
      <c r="I42" s="638"/>
      <c r="J42" s="638"/>
      <c r="K42" s="638"/>
      <c r="L42" s="638"/>
      <c r="M42" s="638"/>
    </row>
    <row r="43" spans="1:13" ht="15" customHeight="1" x14ac:dyDescent="0.3">
      <c r="D43" s="380" t="str">
        <f>+TIT!D9</f>
        <v>Shri. Bharat C. Boridkar</v>
      </c>
    </row>
    <row r="44" spans="1:13" ht="15" customHeight="1" x14ac:dyDescent="0.3">
      <c r="D44" s="379" t="str">
        <f>"["&amp;TIT!A10&amp;": "&amp;TIT!D10&amp;"]"</f>
        <v>[Panel No.: Mumbai-4/C1/1011404]</v>
      </c>
    </row>
    <row r="45" spans="1:13" ht="15" customHeight="1" x14ac:dyDescent="0.3">
      <c r="D45" s="379" t="s">
        <v>18</v>
      </c>
    </row>
    <row r="46" spans="1:13" ht="15" customHeight="1" x14ac:dyDescent="0.3">
      <c r="D46" s="573">
        <f>+TIT!D13</f>
        <v>46277</v>
      </c>
      <c r="E46" s="573"/>
      <c r="F46" s="573"/>
      <c r="G46" s="573"/>
    </row>
    <row r="47" spans="1:13" ht="9.75" customHeight="1" x14ac:dyDescent="0.3"/>
  </sheetData>
  <mergeCells count="12">
    <mergeCell ref="H42:M42"/>
    <mergeCell ref="D46:G46"/>
    <mergeCell ref="D20:M22"/>
    <mergeCell ref="D31:M32"/>
    <mergeCell ref="D33:M33"/>
    <mergeCell ref="D34:M34"/>
    <mergeCell ref="H37:M38"/>
    <mergeCell ref="A1:M1"/>
    <mergeCell ref="A2:M2"/>
    <mergeCell ref="D5:M8"/>
    <mergeCell ref="D11:M14"/>
    <mergeCell ref="D16:M17"/>
  </mergeCells>
  <printOptions horizontalCentered="1"/>
  <pageMargins left="0.19685039370078741" right="0.23622047244094491" top="0.39370078740157483" bottom="0.23622047244094491" header="0.51181102362204722" footer="0.51181102362204722"/>
  <pageSetup paperSize="9" scale="95"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IW138"/>
  <sheetViews>
    <sheetView topLeftCell="A4" zoomScaleNormal="100" workbookViewId="0">
      <selection activeCell="H22" sqref="H22"/>
    </sheetView>
  </sheetViews>
  <sheetFormatPr defaultColWidth="9" defaultRowHeight="15.6" x14ac:dyDescent="0.3"/>
  <cols>
    <col min="1" max="1" width="4.3984375" style="209" customWidth="1"/>
    <col min="2" max="2" width="6.19921875" style="209" customWidth="1"/>
    <col min="3" max="3" width="7.59765625" style="209" customWidth="1"/>
    <col min="4" max="4" width="5" style="209" customWidth="1"/>
    <col min="5" max="5" width="9.5" style="209" customWidth="1"/>
    <col min="6" max="6" width="45.5" style="209" customWidth="1"/>
    <col min="7" max="8" width="9" style="209"/>
    <col min="9" max="9" width="24.59765625" style="209" customWidth="1"/>
    <col min="10" max="10" width="10.09765625" style="209" customWidth="1"/>
    <col min="11" max="257" width="9" style="209"/>
  </cols>
  <sheetData>
    <row r="2" spans="2:8" ht="15.75" customHeight="1" x14ac:dyDescent="0.3">
      <c r="B2" s="640" t="s">
        <v>743</v>
      </c>
      <c r="C2" s="640"/>
      <c r="D2" s="640"/>
      <c r="E2" s="640"/>
      <c r="F2" s="640"/>
    </row>
    <row r="3" spans="2:8" ht="16.5" customHeight="1" x14ac:dyDescent="0.3">
      <c r="B3" s="381"/>
      <c r="C3"/>
      <c r="D3"/>
      <c r="E3"/>
      <c r="F3"/>
    </row>
    <row r="4" spans="2:8" ht="26.25" customHeight="1" x14ac:dyDescent="0.3">
      <c r="B4" s="382" t="s">
        <v>744</v>
      </c>
      <c r="C4" s="383" t="s">
        <v>516</v>
      </c>
      <c r="D4" s="383" t="s">
        <v>287</v>
      </c>
      <c r="E4" s="383" t="s">
        <v>745</v>
      </c>
      <c r="F4" s="383" t="s">
        <v>746</v>
      </c>
    </row>
    <row r="5" spans="2:8" ht="13.5" customHeight="1" x14ac:dyDescent="0.3">
      <c r="B5" s="384">
        <v>1</v>
      </c>
      <c r="C5" s="385">
        <v>38</v>
      </c>
      <c r="D5" s="385">
        <v>32</v>
      </c>
      <c r="E5" s="385" t="s">
        <v>747</v>
      </c>
      <c r="F5" s="386" t="s">
        <v>748</v>
      </c>
    </row>
    <row r="6" spans="2:8" ht="13.5" customHeight="1" x14ac:dyDescent="0.3">
      <c r="B6" s="384">
        <v>2</v>
      </c>
      <c r="C6" s="385" t="s">
        <v>749</v>
      </c>
      <c r="D6" s="385">
        <v>26</v>
      </c>
      <c r="E6" s="385">
        <v>32</v>
      </c>
      <c r="F6" s="386" t="s">
        <v>750</v>
      </c>
      <c r="H6" s="209" t="s">
        <v>751</v>
      </c>
    </row>
    <row r="7" spans="2:8" ht="13.5" customHeight="1" x14ac:dyDescent="0.3">
      <c r="B7" s="384">
        <v>3</v>
      </c>
      <c r="C7" s="385"/>
      <c r="D7" s="385">
        <v>33</v>
      </c>
      <c r="E7" s="385" t="s">
        <v>752</v>
      </c>
      <c r="F7" s="386" t="s">
        <v>753</v>
      </c>
    </row>
    <row r="8" spans="2:8" ht="24.75" customHeight="1" x14ac:dyDescent="0.3">
      <c r="B8" s="384">
        <v>4</v>
      </c>
      <c r="C8" s="385">
        <v>82</v>
      </c>
      <c r="D8" s="385">
        <v>73</v>
      </c>
      <c r="E8" s="385">
        <v>153</v>
      </c>
      <c r="F8" s="386" t="s">
        <v>754</v>
      </c>
    </row>
    <row r="9" spans="2:8" ht="13.5" customHeight="1" x14ac:dyDescent="0.3">
      <c r="B9" s="384" t="s">
        <v>755</v>
      </c>
      <c r="C9" s="385"/>
      <c r="D9" s="385"/>
      <c r="E9" s="385">
        <v>154</v>
      </c>
      <c r="F9" s="386" t="s">
        <v>756</v>
      </c>
    </row>
    <row r="10" spans="2:8" ht="13.5" customHeight="1" x14ac:dyDescent="0.3">
      <c r="B10" s="384" t="s">
        <v>757</v>
      </c>
      <c r="C10" s="385"/>
      <c r="D10" s="385"/>
      <c r="E10" s="385">
        <v>160</v>
      </c>
      <c r="F10" s="386" t="s">
        <v>758</v>
      </c>
    </row>
    <row r="11" spans="2:8" ht="13.5" customHeight="1" x14ac:dyDescent="0.3">
      <c r="B11" s="384">
        <v>7</v>
      </c>
      <c r="C11" s="385" t="s">
        <v>759</v>
      </c>
      <c r="D11" s="385"/>
      <c r="E11" s="385"/>
      <c r="F11" s="386" t="s">
        <v>760</v>
      </c>
    </row>
    <row r="12" spans="2:8" ht="13.5" customHeight="1" x14ac:dyDescent="0.3">
      <c r="B12" s="384">
        <v>8</v>
      </c>
      <c r="C12" s="385"/>
      <c r="D12" s="385"/>
      <c r="E12" s="385" t="s">
        <v>761</v>
      </c>
      <c r="F12" s="386" t="s">
        <v>762</v>
      </c>
    </row>
    <row r="13" spans="2:8" ht="13.5" customHeight="1" x14ac:dyDescent="0.3">
      <c r="B13" s="384" t="s">
        <v>763</v>
      </c>
      <c r="C13" s="385"/>
      <c r="D13" s="385"/>
      <c r="E13" s="385">
        <v>145</v>
      </c>
      <c r="F13" s="386" t="s">
        <v>764</v>
      </c>
    </row>
    <row r="14" spans="2:8" ht="13.5" customHeight="1" x14ac:dyDescent="0.3">
      <c r="B14" s="384">
        <v>10</v>
      </c>
      <c r="C14" s="385" t="s">
        <v>765</v>
      </c>
      <c r="D14" s="385"/>
      <c r="E14" s="385" t="s">
        <v>766</v>
      </c>
      <c r="F14" s="386" t="s">
        <v>767</v>
      </c>
    </row>
    <row r="15" spans="2:8" ht="15.75" customHeight="1" x14ac:dyDescent="0.3">
      <c r="B15" s="384" t="s">
        <v>768</v>
      </c>
      <c r="C15" s="385" t="s">
        <v>769</v>
      </c>
      <c r="D15" s="387"/>
      <c r="E15" s="385">
        <v>14</v>
      </c>
      <c r="F15" s="386" t="s">
        <v>770</v>
      </c>
    </row>
    <row r="16" spans="2:8" ht="13.5" customHeight="1" x14ac:dyDescent="0.3">
      <c r="B16" s="384" t="s">
        <v>771</v>
      </c>
      <c r="C16" s="385">
        <v>70</v>
      </c>
      <c r="D16" s="385" t="s">
        <v>519</v>
      </c>
      <c r="E16" s="385">
        <v>15</v>
      </c>
      <c r="F16" s="386" t="s">
        <v>772</v>
      </c>
    </row>
    <row r="17" spans="2:6" ht="13.5" customHeight="1" x14ac:dyDescent="0.3">
      <c r="B17" s="384" t="s">
        <v>773</v>
      </c>
      <c r="C17" s="385"/>
      <c r="D17" s="385">
        <v>65</v>
      </c>
      <c r="E17" s="385" t="s">
        <v>774</v>
      </c>
      <c r="F17" s="386" t="s">
        <v>775</v>
      </c>
    </row>
    <row r="18" spans="2:6" ht="13.5" customHeight="1" x14ac:dyDescent="0.3">
      <c r="B18" s="384">
        <v>14</v>
      </c>
      <c r="C18" s="385">
        <v>73</v>
      </c>
      <c r="D18" s="385"/>
      <c r="E18" s="385">
        <v>115</v>
      </c>
      <c r="F18" s="385" t="s">
        <v>776</v>
      </c>
    </row>
    <row r="19" spans="2:6" ht="13.5" customHeight="1" x14ac:dyDescent="0.3">
      <c r="B19" s="384">
        <v>15</v>
      </c>
      <c r="C19" s="385" t="s">
        <v>777</v>
      </c>
      <c r="D19" s="385"/>
      <c r="E19" s="385" t="s">
        <v>778</v>
      </c>
      <c r="F19" s="385" t="s">
        <v>779</v>
      </c>
    </row>
    <row r="20" spans="2:6" ht="13.5" customHeight="1" x14ac:dyDescent="0.3">
      <c r="B20" s="384">
        <v>16</v>
      </c>
      <c r="C20" s="385">
        <v>29</v>
      </c>
      <c r="D20" s="385"/>
      <c r="E20" s="385"/>
      <c r="F20" s="385" t="s">
        <v>780</v>
      </c>
    </row>
    <row r="21" spans="2:6" ht="12.75" customHeight="1" x14ac:dyDescent="0.3">
      <c r="B21" s="641">
        <v>17</v>
      </c>
      <c r="C21" s="641"/>
      <c r="D21" s="641"/>
      <c r="E21" s="641">
        <v>9</v>
      </c>
      <c r="F21" s="641" t="s">
        <v>781</v>
      </c>
    </row>
    <row r="22" spans="2:6" ht="13.5" customHeight="1" x14ac:dyDescent="0.3">
      <c r="B22" s="641"/>
      <c r="C22" s="641"/>
      <c r="D22" s="641"/>
      <c r="E22" s="641"/>
      <c r="F22" s="641"/>
    </row>
    <row r="23" spans="2:6" ht="13.5" customHeight="1" x14ac:dyDescent="0.3">
      <c r="B23" s="384">
        <v>18</v>
      </c>
      <c r="C23" s="385"/>
      <c r="D23" s="385">
        <v>61</v>
      </c>
      <c r="E23" s="385" t="s">
        <v>782</v>
      </c>
      <c r="F23" s="385" t="s">
        <v>783</v>
      </c>
    </row>
    <row r="24" spans="2:6" ht="13.5" customHeight="1" x14ac:dyDescent="0.3">
      <c r="B24" s="384">
        <v>19</v>
      </c>
      <c r="C24" s="385"/>
      <c r="D24" s="385"/>
      <c r="E24" s="385">
        <v>144</v>
      </c>
      <c r="F24" s="385" t="s">
        <v>784</v>
      </c>
    </row>
    <row r="25" spans="2:6" ht="13.5" customHeight="1" x14ac:dyDescent="0.3">
      <c r="B25" s="384">
        <v>20</v>
      </c>
      <c r="C25" s="385">
        <v>160</v>
      </c>
      <c r="D25" s="385"/>
      <c r="E25" s="385">
        <v>124</v>
      </c>
      <c r="F25" s="385" t="s">
        <v>785</v>
      </c>
    </row>
    <row r="26" spans="2:6" ht="13.5" customHeight="1" x14ac:dyDescent="0.3">
      <c r="B26" s="388" t="s">
        <v>786</v>
      </c>
      <c r="C26" s="385" t="s">
        <v>787</v>
      </c>
      <c r="D26" s="385"/>
      <c r="E26" s="385">
        <v>114</v>
      </c>
      <c r="F26" s="385" t="s">
        <v>788</v>
      </c>
    </row>
    <row r="29" spans="2:6" ht="19.5" customHeight="1" x14ac:dyDescent="0.3">
      <c r="B29" s="389"/>
    </row>
    <row r="30" spans="2:6" ht="19.5" customHeight="1" x14ac:dyDescent="0.3">
      <c r="B30" s="390"/>
    </row>
    <row r="31" spans="2:6" ht="19.5" customHeight="1" x14ac:dyDescent="0.3">
      <c r="B31" s="391"/>
    </row>
    <row r="32" spans="2:6" ht="19.5" customHeight="1" x14ac:dyDescent="0.3">
      <c r="B32" s="391"/>
    </row>
    <row r="33" spans="2:3" ht="19.5" customHeight="1" x14ac:dyDescent="0.3">
      <c r="B33" s="391"/>
    </row>
    <row r="34" spans="2:3" ht="19.5" customHeight="1" x14ac:dyDescent="0.3">
      <c r="B34" s="391"/>
    </row>
    <row r="35" spans="2:3" ht="19.5" customHeight="1" x14ac:dyDescent="0.3">
      <c r="B35" s="391"/>
    </row>
    <row r="36" spans="2:3" ht="19.5" customHeight="1" x14ac:dyDescent="0.3">
      <c r="B36" s="391"/>
    </row>
    <row r="37" spans="2:3" ht="19.5" customHeight="1" x14ac:dyDescent="0.3">
      <c r="B37" s="391"/>
    </row>
    <row r="38" spans="2:3" ht="19.5" customHeight="1" x14ac:dyDescent="0.3">
      <c r="B38" s="391"/>
    </row>
    <row r="39" spans="2:3" ht="45.75" customHeight="1" x14ac:dyDescent="0.3">
      <c r="B39" s="392"/>
    </row>
    <row r="40" spans="2:3" ht="45.75" customHeight="1" x14ac:dyDescent="0.3">
      <c r="B40" s="392"/>
    </row>
    <row r="41" spans="2:3" ht="45.75" customHeight="1" x14ac:dyDescent="0.3">
      <c r="B41" s="392"/>
    </row>
    <row r="42" spans="2:3" ht="19.5" customHeight="1" x14ac:dyDescent="0.3">
      <c r="B42" s="393"/>
      <c r="C42"/>
    </row>
    <row r="43" spans="2:3" ht="19.5" customHeight="1" x14ac:dyDescent="0.3">
      <c r="B43" s="390"/>
    </row>
    <row r="44" spans="2:3" ht="19.5" customHeight="1" x14ac:dyDescent="0.3">
      <c r="B44" s="394"/>
      <c r="C44"/>
    </row>
    <row r="45" spans="2:3" ht="15.75" customHeight="1" x14ac:dyDescent="0.3">
      <c r="B45" s="392"/>
    </row>
    <row r="46" spans="2:3" ht="15.75" customHeight="1" x14ac:dyDescent="0.3">
      <c r="B46" s="392"/>
    </row>
    <row r="47" spans="2:3" ht="45.75" customHeight="1" x14ac:dyDescent="0.3">
      <c r="B47" s="392"/>
    </row>
    <row r="48" spans="2:3" ht="45.75" customHeight="1" x14ac:dyDescent="0.3">
      <c r="B48" s="392"/>
    </row>
    <row r="49" spans="2:11" ht="15.75" customHeight="1" x14ac:dyDescent="0.3">
      <c r="B49" s="392"/>
    </row>
    <row r="50" spans="2:11" ht="15.75" customHeight="1" x14ac:dyDescent="0.3">
      <c r="B50" s="392"/>
    </row>
    <row r="51" spans="2:11" ht="45.75" customHeight="1" x14ac:dyDescent="0.3">
      <c r="B51" s="392"/>
    </row>
    <row r="52" spans="2:11" ht="15.75" customHeight="1" x14ac:dyDescent="0.3">
      <c r="B52" s="392"/>
    </row>
    <row r="53" spans="2:11" ht="19.5" customHeight="1" x14ac:dyDescent="0.3">
      <c r="B53" s="391"/>
    </row>
    <row r="54" spans="2:11" ht="19.5" customHeight="1" x14ac:dyDescent="0.3">
      <c r="B54" s="242"/>
    </row>
    <row r="55" spans="2:11" ht="19.5" customHeight="1" x14ac:dyDescent="0.3">
      <c r="B55" s="242"/>
    </row>
    <row r="56" spans="2:11" ht="19.5" customHeight="1" x14ac:dyDescent="0.3">
      <c r="B56" s="242"/>
    </row>
    <row r="57" spans="2:11" ht="19.5" customHeight="1" x14ac:dyDescent="0.3">
      <c r="B57" s="242"/>
    </row>
    <row r="58" spans="2:11" ht="19.5" customHeight="1" x14ac:dyDescent="0.3">
      <c r="B58" s="242"/>
    </row>
    <row r="59" spans="2:11" ht="19.5" customHeight="1" x14ac:dyDescent="0.3">
      <c r="B59" s="242"/>
    </row>
    <row r="60" spans="2:11" ht="19.5" customHeight="1" x14ac:dyDescent="0.3">
      <c r="B60" s="242"/>
    </row>
    <row r="61" spans="2:11" ht="19.5" customHeight="1" x14ac:dyDescent="0.3">
      <c r="B61" s="242"/>
      <c r="I61" s="265"/>
      <c r="J61" s="265"/>
      <c r="K61" s="265"/>
    </row>
    <row r="62" spans="2:11" ht="19.5" customHeight="1" x14ac:dyDescent="0.3">
      <c r="B62" s="242"/>
      <c r="I62" s="395"/>
      <c r="J62" s="395"/>
      <c r="K62" s="265"/>
    </row>
    <row r="63" spans="2:11" ht="19.5" customHeight="1" x14ac:dyDescent="0.3">
      <c r="B63" s="242"/>
      <c r="I63" s="396"/>
      <c r="J63" s="397"/>
      <c r="K63" s="265"/>
    </row>
    <row r="64" spans="2:11" ht="19.5" customHeight="1" x14ac:dyDescent="0.3">
      <c r="B64" s="242"/>
      <c r="I64" s="398"/>
      <c r="J64" s="399"/>
      <c r="K64" s="265"/>
    </row>
    <row r="65" spans="2:11" ht="19.5" customHeight="1" x14ac:dyDescent="0.3">
      <c r="B65" s="242"/>
      <c r="I65" s="398"/>
      <c r="J65" s="399"/>
      <c r="K65" s="265"/>
    </row>
    <row r="66" spans="2:11" ht="19.5" customHeight="1" x14ac:dyDescent="0.3">
      <c r="B66" s="242"/>
      <c r="I66" s="400"/>
      <c r="J66" s="401"/>
      <c r="K66" s="265"/>
    </row>
    <row r="67" spans="2:11" ht="19.5" customHeight="1" x14ac:dyDescent="0.3">
      <c r="B67" s="242"/>
      <c r="I67" s="265"/>
      <c r="J67" s="265"/>
      <c r="K67" s="265"/>
    </row>
    <row r="68" spans="2:11" ht="19.5" customHeight="1" x14ac:dyDescent="0.3">
      <c r="B68" s="242"/>
      <c r="I68" s="395"/>
      <c r="J68" s="395"/>
      <c r="K68" s="265"/>
    </row>
    <row r="69" spans="2:11" ht="19.5" customHeight="1" x14ac:dyDescent="0.3">
      <c r="B69" s="242"/>
      <c r="I69" s="402"/>
      <c r="J69" s="403"/>
      <c r="K69" s="265"/>
    </row>
    <row r="70" spans="2:11" ht="19.5" customHeight="1" x14ac:dyDescent="0.3">
      <c r="B70" s="242"/>
      <c r="I70" s="400"/>
      <c r="J70" s="401"/>
      <c r="K70" s="265"/>
    </row>
    <row r="71" spans="2:11" ht="19.5" customHeight="1" x14ac:dyDescent="0.3">
      <c r="B71" s="242"/>
      <c r="J71" s="265"/>
      <c r="K71" s="265"/>
    </row>
    <row r="72" spans="2:11" ht="19.5" customHeight="1" x14ac:dyDescent="0.3">
      <c r="B72" s="242"/>
      <c r="I72" s="395"/>
      <c r="J72" s="395"/>
      <c r="K72" s="265"/>
    </row>
    <row r="73" spans="2:11" ht="19.5" customHeight="1" x14ac:dyDescent="0.3">
      <c r="B73" s="242"/>
      <c r="I73" s="396"/>
      <c r="J73" s="397"/>
      <c r="K73" s="265"/>
    </row>
    <row r="74" spans="2:11" ht="19.5" customHeight="1" x14ac:dyDescent="0.3">
      <c r="B74" s="242"/>
      <c r="I74" s="400"/>
      <c r="J74" s="401"/>
      <c r="K74" s="265"/>
    </row>
    <row r="75" spans="2:11" ht="19.5" customHeight="1" x14ac:dyDescent="0.3">
      <c r="B75" s="242"/>
      <c r="K75" s="265"/>
    </row>
    <row r="76" spans="2:11" ht="19.5" customHeight="1" x14ac:dyDescent="0.3">
      <c r="B76" s="242"/>
      <c r="I76" s="404"/>
      <c r="J76" s="405"/>
      <c r="K76" s="265"/>
    </row>
    <row r="77" spans="2:11" ht="19.5" customHeight="1" x14ac:dyDescent="0.3">
      <c r="B77" s="242"/>
      <c r="I77" s="406"/>
      <c r="J77" s="407"/>
      <c r="K77" s="265"/>
    </row>
    <row r="78" spans="2:11" ht="19.5" customHeight="1" x14ac:dyDescent="0.3">
      <c r="B78" s="242"/>
    </row>
    <row r="79" spans="2:11" ht="19.5" customHeight="1" x14ac:dyDescent="0.3">
      <c r="B79" s="242"/>
    </row>
    <row r="80" spans="2:11" ht="19.5" customHeight="1" x14ac:dyDescent="0.3">
      <c r="B80" s="242"/>
    </row>
    <row r="81" spans="2:2" ht="19.5" customHeight="1" x14ac:dyDescent="0.3">
      <c r="B81" s="242"/>
    </row>
    <row r="82" spans="2:2" ht="19.5" customHeight="1" x14ac:dyDescent="0.3">
      <c r="B82" s="242"/>
    </row>
    <row r="83" spans="2:2" ht="19.5" customHeight="1" x14ac:dyDescent="0.3">
      <c r="B83" s="242"/>
    </row>
    <row r="84" spans="2:2" ht="19.5" customHeight="1" x14ac:dyDescent="0.3">
      <c r="B84" s="242"/>
    </row>
    <row r="85" spans="2:2" ht="19.5" customHeight="1" x14ac:dyDescent="0.3">
      <c r="B85" s="242"/>
    </row>
    <row r="86" spans="2:2" ht="19.5" customHeight="1" x14ac:dyDescent="0.3">
      <c r="B86" s="242"/>
    </row>
    <row r="87" spans="2:2" ht="19.5" customHeight="1" x14ac:dyDescent="0.3">
      <c r="B87" s="242"/>
    </row>
    <row r="88" spans="2:2" ht="19.5" customHeight="1" x14ac:dyDescent="0.3">
      <c r="B88" s="242"/>
    </row>
    <row r="89" spans="2:2" ht="19.5" customHeight="1" x14ac:dyDescent="0.3">
      <c r="B89" s="242"/>
    </row>
    <row r="90" spans="2:2" ht="19.5" customHeight="1" x14ac:dyDescent="0.3">
      <c r="B90" s="242"/>
    </row>
    <row r="91" spans="2:2" ht="19.5" customHeight="1" x14ac:dyDescent="0.3">
      <c r="B91" s="242"/>
    </row>
    <row r="92" spans="2:2" ht="19.5" customHeight="1" x14ac:dyDescent="0.3">
      <c r="B92" s="242"/>
    </row>
    <row r="93" spans="2:2" ht="19.5" customHeight="1" x14ac:dyDescent="0.3">
      <c r="B93" s="242"/>
    </row>
    <row r="94" spans="2:2" ht="19.5" customHeight="1" x14ac:dyDescent="0.3">
      <c r="B94" s="242"/>
    </row>
    <row r="95" spans="2:2" ht="19.5" customHeight="1" x14ac:dyDescent="0.3">
      <c r="B95" s="242"/>
    </row>
    <row r="96" spans="2:2" ht="19.5" customHeight="1" x14ac:dyDescent="0.3">
      <c r="B96" s="242"/>
    </row>
    <row r="97" spans="2:2" ht="19.5" customHeight="1" x14ac:dyDescent="0.3">
      <c r="B97" s="242"/>
    </row>
    <row r="98" spans="2:2" ht="19.5" customHeight="1" x14ac:dyDescent="0.3">
      <c r="B98" s="242"/>
    </row>
    <row r="99" spans="2:2" ht="19.5" customHeight="1" x14ac:dyDescent="0.3">
      <c r="B99" s="242"/>
    </row>
    <row r="100" spans="2:2" ht="19.5" customHeight="1" x14ac:dyDescent="0.3">
      <c r="B100" s="242"/>
    </row>
    <row r="101" spans="2:2" ht="19.5" customHeight="1" x14ac:dyDescent="0.3"/>
    <row r="102" spans="2:2" ht="19.5" customHeight="1" x14ac:dyDescent="0.3"/>
    <row r="103" spans="2:2" ht="19.5" customHeight="1" x14ac:dyDescent="0.3"/>
    <row r="104" spans="2:2" ht="19.5" customHeight="1" x14ac:dyDescent="0.3"/>
    <row r="105" spans="2:2" ht="12.75" customHeight="1" x14ac:dyDescent="0.3"/>
    <row r="106" spans="2:2" ht="12.75" customHeight="1" x14ac:dyDescent="0.3"/>
    <row r="107" spans="2:2" ht="12.75" customHeight="1" x14ac:dyDescent="0.3"/>
    <row r="110" spans="2:2" ht="12.75" customHeight="1" x14ac:dyDescent="0.3"/>
    <row r="111" spans="2:2" ht="12.75" customHeight="1" x14ac:dyDescent="0.3"/>
    <row r="112" spans="2: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sheetData>
  <mergeCells count="6">
    <mergeCell ref="B2:F2"/>
    <mergeCell ref="B21:B22"/>
    <mergeCell ref="C21:C22"/>
    <mergeCell ref="D21:D22"/>
    <mergeCell ref="E21:E22"/>
    <mergeCell ref="F21:F22"/>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W22"/>
  <sheetViews>
    <sheetView zoomScaleNormal="100" workbookViewId="0">
      <selection activeCell="D19" sqref="D19"/>
    </sheetView>
  </sheetViews>
  <sheetFormatPr defaultColWidth="9" defaultRowHeight="15.6" x14ac:dyDescent="0.3"/>
  <cols>
    <col min="1" max="5" width="12.59765625" style="54" customWidth="1"/>
    <col min="6" max="257" width="9" style="54"/>
  </cols>
  <sheetData>
    <row r="1" spans="1:14" x14ac:dyDescent="0.3">
      <c r="A1" s="54" t="s">
        <v>789</v>
      </c>
    </row>
    <row r="2" spans="1:14" ht="19.5" customHeight="1" x14ac:dyDescent="0.3">
      <c r="B2" s="408"/>
    </row>
    <row r="3" spans="1:14" ht="19.5" customHeight="1" x14ac:dyDescent="0.3">
      <c r="B3" s="51" t="s">
        <v>790</v>
      </c>
      <c r="C3" s="51" t="s">
        <v>791</v>
      </c>
      <c r="D3" s="51" t="s">
        <v>792</v>
      </c>
      <c r="E3" s="51" t="s">
        <v>793</v>
      </c>
      <c r="F3" s="51" t="s">
        <v>794</v>
      </c>
      <c r="G3" s="51" t="s">
        <v>795</v>
      </c>
      <c r="H3" s="51" t="s">
        <v>796</v>
      </c>
      <c r="I3" s="51" t="s">
        <v>797</v>
      </c>
      <c r="J3" s="51" t="s">
        <v>798</v>
      </c>
      <c r="K3" s="51" t="s">
        <v>799</v>
      </c>
      <c r="L3" s="51" t="s">
        <v>800</v>
      </c>
      <c r="M3" s="51" t="s">
        <v>801</v>
      </c>
      <c r="N3" s="51"/>
    </row>
    <row r="4" spans="1:14" ht="19.5" customHeight="1" x14ac:dyDescent="0.3">
      <c r="A4" s="409" t="s">
        <v>802</v>
      </c>
      <c r="B4" s="410"/>
      <c r="C4" s="410"/>
      <c r="D4" s="410"/>
      <c r="E4" s="410"/>
      <c r="F4" s="410"/>
      <c r="G4" s="410"/>
      <c r="H4" s="410"/>
      <c r="I4" s="410"/>
      <c r="J4" s="410"/>
      <c r="K4" s="410"/>
      <c r="L4" s="410"/>
      <c r="M4" s="410"/>
      <c r="N4" s="410"/>
    </row>
    <row r="5" spans="1:14" ht="19.5" customHeight="1" x14ac:dyDescent="0.3"/>
    <row r="6" spans="1:14" ht="19.5" customHeight="1" x14ac:dyDescent="0.3">
      <c r="A6" s="223"/>
      <c r="B6" s="210"/>
      <c r="C6" s="210"/>
      <c r="D6" s="210"/>
      <c r="E6" s="210"/>
      <c r="F6" s="210"/>
      <c r="G6" s="210"/>
      <c r="H6" s="210"/>
      <c r="I6" s="210"/>
      <c r="J6" s="210"/>
      <c r="K6" s="210"/>
      <c r="L6" s="210"/>
      <c r="M6" s="210"/>
    </row>
    <row r="7" spans="1:14" ht="19.5" customHeight="1" x14ac:dyDescent="0.3">
      <c r="A7" s="223"/>
      <c r="B7" s="210"/>
      <c r="C7" s="210"/>
      <c r="D7" s="210"/>
      <c r="E7" s="210"/>
      <c r="F7" s="210"/>
      <c r="G7" s="210"/>
      <c r="H7" s="210"/>
      <c r="I7" s="210"/>
      <c r="J7" s="210"/>
      <c r="K7" s="210"/>
      <c r="L7" s="210"/>
      <c r="M7" s="210"/>
    </row>
    <row r="8" spans="1:14" ht="19.5" customHeight="1" x14ac:dyDescent="0.3">
      <c r="A8" s="223"/>
      <c r="B8" s="210"/>
      <c r="C8" s="210"/>
      <c r="D8" s="210"/>
      <c r="E8" s="210"/>
      <c r="F8" s="210"/>
      <c r="G8" s="210"/>
      <c r="H8" s="210"/>
      <c r="I8" s="210"/>
      <c r="J8" s="210"/>
      <c r="K8" s="210"/>
      <c r="L8" s="210"/>
      <c r="M8" s="210"/>
    </row>
    <row r="9" spans="1:14" ht="19.5" customHeight="1" x14ac:dyDescent="0.3">
      <c r="A9" s="223"/>
      <c r="B9" s="210"/>
      <c r="C9" s="210"/>
      <c r="D9" s="210"/>
      <c r="E9" s="210"/>
      <c r="F9" s="210"/>
      <c r="G9" s="210"/>
      <c r="H9" s="210"/>
      <c r="I9" s="210"/>
      <c r="J9" s="210"/>
      <c r="K9" s="210"/>
      <c r="L9" s="210"/>
      <c r="M9" s="210"/>
    </row>
    <row r="10" spans="1:14" ht="19.5" customHeight="1" x14ac:dyDescent="0.3">
      <c r="A10" s="223"/>
      <c r="B10" s="210"/>
      <c r="C10" s="210"/>
      <c r="D10" s="210"/>
      <c r="E10" s="210"/>
      <c r="F10" s="210"/>
      <c r="G10" s="210"/>
      <c r="H10" s="210"/>
      <c r="I10" s="210"/>
      <c r="J10" s="210"/>
      <c r="K10" s="210"/>
      <c r="L10" s="210"/>
      <c r="M10" s="210"/>
    </row>
    <row r="11" spans="1:14" ht="19.5" customHeight="1" x14ac:dyDescent="0.3">
      <c r="A11" s="223"/>
      <c r="B11" s="210"/>
      <c r="C11" s="210"/>
      <c r="D11" s="210"/>
      <c r="E11" s="210"/>
      <c r="F11" s="210"/>
      <c r="G11" s="210"/>
      <c r="H11" s="210"/>
      <c r="I11" s="210"/>
      <c r="J11" s="210"/>
      <c r="K11" s="210"/>
      <c r="L11" s="210"/>
      <c r="M11" s="210"/>
    </row>
    <row r="12" spans="1:14" ht="19.5" customHeight="1" x14ac:dyDescent="0.3">
      <c r="A12" s="223"/>
      <c r="B12" s="210"/>
      <c r="C12" s="210"/>
      <c r="D12" s="210"/>
      <c r="E12" s="210"/>
      <c r="F12" s="210"/>
      <c r="G12" s="210"/>
      <c r="H12" s="210"/>
      <c r="I12" s="210"/>
      <c r="J12" s="210"/>
      <c r="K12" s="210"/>
      <c r="L12" s="210"/>
      <c r="M12" s="210"/>
    </row>
    <row r="13" spans="1:14" ht="19.5" customHeight="1" x14ac:dyDescent="0.3">
      <c r="A13" s="223"/>
      <c r="B13" s="210"/>
      <c r="C13" s="210"/>
      <c r="D13" s="210"/>
      <c r="E13" s="210"/>
      <c r="F13" s="210"/>
      <c r="G13" s="210"/>
      <c r="H13" s="210"/>
      <c r="I13" s="210"/>
      <c r="J13" s="210"/>
      <c r="K13" s="210"/>
      <c r="L13" s="210"/>
      <c r="M13" s="210"/>
    </row>
    <row r="14" spans="1:14" ht="19.5" customHeight="1" x14ac:dyDescent="0.3"/>
    <row r="15" spans="1:14" ht="19.5" customHeight="1" x14ac:dyDescent="0.3">
      <c r="B15" s="411"/>
    </row>
    <row r="16" spans="1:14" ht="19.5" customHeight="1" x14ac:dyDescent="0.3">
      <c r="B16" s="412"/>
    </row>
    <row r="17" spans="1:2" ht="19.5" customHeight="1" x14ac:dyDescent="0.3">
      <c r="B17" s="411"/>
    </row>
    <row r="18" spans="1:2" ht="19.5" customHeight="1" x14ac:dyDescent="0.3">
      <c r="B18" s="412"/>
    </row>
    <row r="19" spans="1:2" ht="19.5" customHeight="1" x14ac:dyDescent="0.3">
      <c r="B19" s="413"/>
    </row>
    <row r="20" spans="1:2" ht="31.5" customHeight="1" x14ac:dyDescent="0.3">
      <c r="A20" s="414"/>
      <c r="B20" s="415"/>
    </row>
    <row r="22" spans="1:2" ht="15" customHeight="1" x14ac:dyDescent="0.3">
      <c r="A22" s="414"/>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8"/>
  <sheetViews>
    <sheetView zoomScaleNormal="100" workbookViewId="0"/>
  </sheetViews>
  <sheetFormatPr defaultColWidth="8.59765625" defaultRowHeight="15.6" x14ac:dyDescent="0.3"/>
  <cols>
    <col min="1" max="1" width="6" customWidth="1"/>
    <col min="2" max="2" width="26" customWidth="1"/>
    <col min="3" max="3" width="68" customWidth="1"/>
    <col min="4" max="4" width="40" customWidth="1"/>
  </cols>
  <sheetData>
    <row r="1" spans="1:4" x14ac:dyDescent="0.3">
      <c r="A1" s="416" t="s">
        <v>803</v>
      </c>
    </row>
    <row r="3" spans="1:4" x14ac:dyDescent="0.3">
      <c r="A3" s="417" t="s">
        <v>804</v>
      </c>
      <c r="B3" s="417" t="s">
        <v>805</v>
      </c>
      <c r="C3" s="417" t="s">
        <v>482</v>
      </c>
      <c r="D3" s="417" t="s">
        <v>806</v>
      </c>
    </row>
    <row r="4" spans="1:4" ht="30" customHeight="1" x14ac:dyDescent="0.3">
      <c r="A4">
        <v>1</v>
      </c>
      <c r="B4" s="73" t="s">
        <v>807</v>
      </c>
      <c r="C4" s="73" t="s">
        <v>808</v>
      </c>
      <c r="D4" s="73" t="s">
        <v>809</v>
      </c>
    </row>
    <row r="5" spans="1:4" ht="30" customHeight="1" x14ac:dyDescent="0.3">
      <c r="A5">
        <v>2</v>
      </c>
      <c r="B5" s="73" t="s">
        <v>810</v>
      </c>
      <c r="C5" s="73" t="s">
        <v>811</v>
      </c>
      <c r="D5" s="73" t="s">
        <v>812</v>
      </c>
    </row>
    <row r="6" spans="1:4" ht="30" customHeight="1" x14ac:dyDescent="0.3">
      <c r="A6">
        <v>3</v>
      </c>
      <c r="B6" s="73" t="s">
        <v>813</v>
      </c>
      <c r="C6" s="73" t="s">
        <v>814</v>
      </c>
      <c r="D6" s="73" t="s">
        <v>32</v>
      </c>
    </row>
    <row r="7" spans="1:4" ht="30" customHeight="1" x14ac:dyDescent="0.3">
      <c r="A7">
        <v>4</v>
      </c>
      <c r="B7" s="73" t="s">
        <v>815</v>
      </c>
      <c r="C7" s="73" t="s">
        <v>816</v>
      </c>
      <c r="D7" s="73" t="s">
        <v>817</v>
      </c>
    </row>
    <row r="8" spans="1:4" ht="30" customHeight="1" x14ac:dyDescent="0.3">
      <c r="A8">
        <v>5</v>
      </c>
      <c r="B8" s="73" t="s">
        <v>818</v>
      </c>
      <c r="C8" s="73" t="s">
        <v>819</v>
      </c>
      <c r="D8" s="73" t="s">
        <v>820</v>
      </c>
    </row>
    <row r="9" spans="1:4" ht="30" customHeight="1" x14ac:dyDescent="0.3">
      <c r="A9">
        <v>6</v>
      </c>
      <c r="B9" s="73" t="s">
        <v>821</v>
      </c>
      <c r="C9" s="73" t="s">
        <v>822</v>
      </c>
      <c r="D9" s="73" t="s">
        <v>823</v>
      </c>
    </row>
    <row r="10" spans="1:4" ht="30" customHeight="1" x14ac:dyDescent="0.3">
      <c r="A10">
        <v>7</v>
      </c>
      <c r="B10" s="73" t="s">
        <v>824</v>
      </c>
      <c r="C10" s="73" t="s">
        <v>825</v>
      </c>
      <c r="D10" s="73" t="s">
        <v>823</v>
      </c>
    </row>
    <row r="11" spans="1:4" ht="30" customHeight="1" x14ac:dyDescent="0.3">
      <c r="A11">
        <v>8</v>
      </c>
      <c r="B11" s="73" t="s">
        <v>826</v>
      </c>
      <c r="C11" s="73" t="s">
        <v>827</v>
      </c>
      <c r="D11" s="73" t="s">
        <v>823</v>
      </c>
    </row>
    <row r="12" spans="1:4" ht="30" customHeight="1" x14ac:dyDescent="0.3">
      <c r="A12">
        <v>9</v>
      </c>
      <c r="B12" s="73" t="s">
        <v>828</v>
      </c>
      <c r="C12" s="73" t="s">
        <v>829</v>
      </c>
      <c r="D12" s="73" t="s">
        <v>830</v>
      </c>
    </row>
    <row r="13" spans="1:4" ht="30" customHeight="1" x14ac:dyDescent="0.3">
      <c r="A13">
        <v>10</v>
      </c>
      <c r="B13" s="73" t="s">
        <v>831</v>
      </c>
      <c r="C13" s="73" t="s">
        <v>832</v>
      </c>
      <c r="D13" s="73" t="s">
        <v>823</v>
      </c>
    </row>
    <row r="14" spans="1:4" ht="30" customHeight="1" x14ac:dyDescent="0.3">
      <c r="A14">
        <v>11</v>
      </c>
      <c r="B14" s="73" t="s">
        <v>833</v>
      </c>
      <c r="C14" s="73" t="s">
        <v>834</v>
      </c>
      <c r="D14" s="73" t="s">
        <v>835</v>
      </c>
    </row>
    <row r="15" spans="1:4" ht="30" customHeight="1" x14ac:dyDescent="0.3">
      <c r="A15">
        <v>12</v>
      </c>
      <c r="B15" s="73" t="s">
        <v>836</v>
      </c>
      <c r="C15" s="73" t="s">
        <v>837</v>
      </c>
      <c r="D15" s="73" t="s">
        <v>838</v>
      </c>
    </row>
    <row r="16" spans="1:4" ht="30" customHeight="1" x14ac:dyDescent="0.3">
      <c r="A16">
        <v>13</v>
      </c>
      <c r="B16" s="73" t="s">
        <v>839</v>
      </c>
      <c r="C16" s="73" t="s">
        <v>840</v>
      </c>
      <c r="D16" s="73" t="s">
        <v>841</v>
      </c>
    </row>
    <row r="18" spans="2:2" x14ac:dyDescent="0.3">
      <c r="B18" t="s">
        <v>842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TIT</vt:lpstr>
      <vt:lpstr>FirstPage</vt:lpstr>
      <vt:lpstr>Sheet1</vt:lpstr>
      <vt:lpstr>AR</vt:lpstr>
      <vt:lpstr>Form-1</vt:lpstr>
      <vt:lpstr>Form-7</vt:lpstr>
      <vt:lpstr>SCHAR (2)</vt:lpstr>
      <vt:lpstr>GR</vt:lpstr>
      <vt:lpstr>SCH (2)</vt:lpstr>
      <vt:lpstr>Audit-Remarks</vt:lpstr>
      <vt:lpstr>Meeting</vt:lpstr>
      <vt:lpstr>Pending Inputs</vt:lpstr>
      <vt:lpstr>'Form-1'!_GoBack</vt:lpstr>
      <vt:lpstr>AR!Print_Area</vt:lpstr>
      <vt:lpstr>FirstPage!Print_Area</vt:lpstr>
      <vt:lpstr>'Form-1'!Print_Area</vt:lpstr>
      <vt:lpstr>'Form-7'!Print_Area</vt:lpstr>
      <vt:lpstr>GR!Print_Area</vt:lpstr>
      <vt:lpstr>'SCH (2)'!Print_Area</vt:lpstr>
      <vt:lpstr>'SCHAR (2)'!Print_Area</vt:lpstr>
      <vt:lpstr>Sheet1!Print_Area</vt:lpstr>
      <vt:lpstr>TIT!Print_Area</vt:lpstr>
      <vt:lpstr>AR!Print_Titles</vt:lpstr>
      <vt:lpstr>GR!Print_Titles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BHARAT</dc:creator>
  <dc:description/>
  <cp:lastModifiedBy>bharat boridkar</cp:lastModifiedBy>
  <cp:revision>0</cp:revision>
  <cp:lastPrinted>2026-09-17T18:16:10Z</cp:lastPrinted>
  <dcterms:created xsi:type="dcterms:W3CDTF">2003-03-01T18:06:05Z</dcterms:created>
  <dcterms:modified xsi:type="dcterms:W3CDTF">2026-09-21T19:22:25Z</dcterms:modified>
  <dc:language>en-US</dc:language>
</cp:coreProperties>
</file>