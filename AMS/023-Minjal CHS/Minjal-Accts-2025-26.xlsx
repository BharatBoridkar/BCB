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HARAT\2025-2026\BCB\AMS\023-Minjal CHS\"/>
    </mc:Choice>
  </mc:AlternateContent>
  <xr:revisionPtr revIDLastSave="0" documentId="13_ncr:1_{AC54B22D-BA73-470B-87BD-3937D4291B7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S" sheetId="1" r:id="rId1"/>
    <sheet name="IE" sheetId="2" r:id="rId2"/>
    <sheet name="Sch I" sheetId="3" r:id="rId3"/>
    <sheet name="Sch II" sheetId="4" r:id="rId4"/>
    <sheet name="Sch III to V" sheetId="5" r:id="rId5"/>
    <sheet name="BRS" sheetId="7" r:id="rId6"/>
    <sheet name="Workings" sheetId="8" r:id="rId7"/>
  </sheets>
  <definedNames>
    <definedName name="_xlnm.Print_Area" localSheetId="0">BS!$A$1:$H$61</definedName>
    <definedName name="_xlnm.Print_Area" localSheetId="1">IE!$A$1:$H$53</definedName>
    <definedName name="_xlnm.Print_Area" localSheetId="2">'Sch I'!$A$1:$K$43</definedName>
    <definedName name="_xlnm.Print_Area" localSheetId="3">'Sch II'!$A$1:$H$10</definedName>
    <definedName name="_xlnm.Print_Area" localSheetId="4">'Sch III to V'!$A$1:$K$21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C48" i="1" l="1"/>
  <c r="A26" i="1"/>
  <c r="C26" i="1"/>
  <c r="C25" i="1"/>
  <c r="C28" i="1"/>
  <c r="G8" i="1"/>
  <c r="G32" i="1" l="1"/>
  <c r="G31" i="1"/>
  <c r="J12" i="5"/>
  <c r="C29" i="2"/>
  <c r="C13" i="1"/>
  <c r="C18" i="1"/>
  <c r="C21" i="1"/>
  <c r="C30" i="1"/>
  <c r="C32" i="1"/>
  <c r="C35" i="1"/>
  <c r="C19" i="1"/>
  <c r="C16" i="1"/>
  <c r="G12" i="2"/>
  <c r="G11" i="2"/>
  <c r="G7" i="2"/>
  <c r="C37" i="1"/>
  <c r="G27" i="2"/>
  <c r="C23" i="1" s="1"/>
  <c r="H18" i="2"/>
  <c r="E12" i="8"/>
  <c r="D12" i="8"/>
  <c r="D10" i="8"/>
  <c r="F11" i="8" s="1"/>
  <c r="E10" i="8"/>
  <c r="E11" i="8" s="1"/>
  <c r="F10" i="8"/>
  <c r="D6" i="8"/>
  <c r="B11" i="8"/>
  <c r="D11" i="8" s="1"/>
  <c r="B9" i="8"/>
  <c r="D9" i="8" s="1"/>
  <c r="B8" i="8"/>
  <c r="D8" i="8"/>
  <c r="B7" i="8"/>
  <c r="D7" i="8" s="1"/>
  <c r="H23" i="3"/>
  <c r="I23" i="3"/>
  <c r="N24" i="3"/>
  <c r="M24" i="3"/>
  <c r="G24" i="3"/>
  <c r="H24" i="3"/>
  <c r="I24" i="3"/>
  <c r="J24" i="3"/>
  <c r="F24" i="3"/>
  <c r="A26" i="3"/>
  <c r="A27" i="3" s="1"/>
  <c r="A28" i="3" s="1"/>
  <c r="A29" i="3" s="1"/>
  <c r="A22" i="3"/>
  <c r="A19" i="3"/>
  <c r="A16" i="3"/>
  <c r="H39" i="3"/>
  <c r="N40" i="3"/>
  <c r="M40" i="3"/>
  <c r="J40" i="3"/>
  <c r="G40" i="3"/>
  <c r="F40" i="3"/>
  <c r="J20" i="3"/>
  <c r="H5" i="3"/>
  <c r="P5" i="3"/>
  <c r="H6" i="3"/>
  <c r="P6" i="3"/>
  <c r="H7" i="3"/>
  <c r="P7" i="3"/>
  <c r="H8" i="3"/>
  <c r="P8" i="3"/>
  <c r="H9" i="3"/>
  <c r="P9" i="3"/>
  <c r="H10" i="3"/>
  <c r="P10" i="3"/>
  <c r="H11" i="3"/>
  <c r="P11" i="3"/>
  <c r="H12" i="3"/>
  <c r="P12" i="3"/>
  <c r="H22" i="3"/>
  <c r="Q22" i="3"/>
  <c r="H29" i="3"/>
  <c r="P29" i="3"/>
  <c r="H27" i="3"/>
  <c r="P27" i="3"/>
  <c r="H36" i="3"/>
  <c r="Q36" i="3"/>
  <c r="N37" i="3"/>
  <c r="M37" i="3"/>
  <c r="O37" i="3" s="1"/>
  <c r="P33" i="3"/>
  <c r="N34" i="3"/>
  <c r="M34" i="3"/>
  <c r="O34" i="3" s="1"/>
  <c r="P26" i="3"/>
  <c r="N30" i="3"/>
  <c r="M30" i="3"/>
  <c r="O30" i="3" s="1"/>
  <c r="N20" i="3"/>
  <c r="M20" i="3"/>
  <c r="O20" i="3" s="1"/>
  <c r="N17" i="3"/>
  <c r="M17" i="3"/>
  <c r="O17" i="3" s="1"/>
  <c r="J17" i="3"/>
  <c r="N14" i="3"/>
  <c r="M14" i="3"/>
  <c r="J14" i="3"/>
  <c r="I33" i="3"/>
  <c r="I32" i="3"/>
  <c r="I28" i="3"/>
  <c r="I27" i="3"/>
  <c r="I26" i="3"/>
  <c r="I19" i="3"/>
  <c r="I16" i="3"/>
  <c r="I13" i="3"/>
  <c r="H17" i="3"/>
  <c r="H20" i="3"/>
  <c r="H30" i="3"/>
  <c r="H34" i="3"/>
  <c r="H37" i="3"/>
  <c r="F30" i="3"/>
  <c r="G9" i="1"/>
  <c r="D10" i="7"/>
  <c r="D37" i="1" l="1"/>
  <c r="F12" i="8"/>
  <c r="M42" i="3"/>
  <c r="N42" i="3"/>
  <c r="O40" i="3"/>
  <c r="H40" i="3"/>
  <c r="I39" i="3"/>
  <c r="I40" i="3" s="1"/>
  <c r="H14" i="3"/>
  <c r="O14" i="3"/>
  <c r="O24" i="3"/>
  <c r="J13" i="5"/>
  <c r="D39" i="1" s="1"/>
  <c r="F14" i="3"/>
  <c r="H23" i="2"/>
  <c r="D38" i="2"/>
  <c r="H42" i="3" l="1"/>
  <c r="O42" i="3"/>
  <c r="H13" i="5"/>
  <c r="A10" i="1"/>
  <c r="H31" i="2" l="1"/>
  <c r="H14" i="2"/>
  <c r="D33" i="1"/>
  <c r="D28" i="1"/>
  <c r="D23" i="1"/>
  <c r="D19" i="1"/>
  <c r="H32" i="1"/>
  <c r="F34" i="3"/>
  <c r="H9" i="1"/>
  <c r="G17" i="3" l="1"/>
  <c r="D22" i="2"/>
  <c r="D15" i="2"/>
  <c r="H43" i="2"/>
  <c r="D5" i="8" l="1"/>
  <c r="D20" i="5"/>
  <c r="D41" i="1" s="1"/>
  <c r="E51" i="1"/>
  <c r="C17" i="8"/>
  <c r="I34" i="3"/>
  <c r="J37" i="3"/>
  <c r="F37" i="3"/>
  <c r="J34" i="3"/>
  <c r="G34" i="3"/>
  <c r="J30" i="3"/>
  <c r="J42" i="3"/>
  <c r="G20" i="3"/>
  <c r="F20" i="3"/>
  <c r="F17" i="3"/>
  <c r="F42" i="3" s="1"/>
  <c r="G13" i="1" s="1"/>
  <c r="E6" i="8" l="1"/>
  <c r="F6" i="8"/>
  <c r="C9" i="4"/>
  <c r="D8" i="5"/>
  <c r="H22" i="1" s="1"/>
  <c r="I8" i="3"/>
  <c r="I11" i="3"/>
  <c r="I12" i="3"/>
  <c r="I6" i="3"/>
  <c r="I7" i="3"/>
  <c r="I29" i="3"/>
  <c r="I22" i="3"/>
  <c r="I9" i="3"/>
  <c r="I10" i="3"/>
  <c r="I36" i="3"/>
  <c r="G14" i="3" l="1"/>
  <c r="I5" i="3"/>
  <c r="I14" i="3" s="1"/>
  <c r="G30" i="3"/>
  <c r="I30" i="3"/>
  <c r="G37" i="3"/>
  <c r="I37" i="3"/>
  <c r="A43" i="2"/>
  <c r="G42" i="3" l="1"/>
  <c r="H14" i="1" s="1"/>
  <c r="D33" i="2"/>
  <c r="D20" i="8"/>
  <c r="A51" i="1"/>
  <c r="D17" i="7"/>
  <c r="D20" i="7" s="1"/>
  <c r="I17" i="3"/>
  <c r="H5" i="2"/>
  <c r="E5" i="2"/>
  <c r="H5" i="1"/>
  <c r="E5" i="1"/>
  <c r="E43" i="2" l="1"/>
  <c r="I20" i="3"/>
  <c r="I42" i="3" s="1"/>
  <c r="A3" i="2"/>
  <c r="A2" i="2"/>
  <c r="F6" i="4"/>
  <c r="F7" i="4"/>
  <c r="F8" i="4"/>
  <c r="G8" i="4" s="1"/>
  <c r="F5" i="4"/>
  <c r="D9" i="4"/>
  <c r="E9" i="4"/>
  <c r="H28" i="1"/>
  <c r="C21" i="8"/>
  <c r="D21" i="8" s="1"/>
  <c r="D17" i="8"/>
  <c r="D16" i="8"/>
  <c r="I45" i="2" l="1"/>
  <c r="E17" i="8"/>
  <c r="E21" i="8"/>
  <c r="F9" i="4"/>
  <c r="G5" i="4"/>
  <c r="H5" i="4" s="1"/>
  <c r="G6" i="4"/>
  <c r="H6" i="4" s="1"/>
  <c r="G18" i="1" s="1"/>
  <c r="H8" i="4"/>
  <c r="G20" i="1" s="1"/>
  <c r="G7" i="4"/>
  <c r="H7" i="4" s="1"/>
  <c r="G19" i="1" s="1"/>
  <c r="C44" i="1" l="1"/>
  <c r="D45" i="1" s="1"/>
  <c r="G17" i="1"/>
  <c r="H20" i="1" s="1"/>
  <c r="H51" i="1" s="1"/>
  <c r="G9" i="4"/>
  <c r="C30" i="2" s="1"/>
  <c r="D30" i="2" s="1"/>
  <c r="H9" i="4"/>
  <c r="D41" i="2" l="1"/>
  <c r="C14" i="1" s="1"/>
  <c r="D16" i="1" s="1"/>
  <c r="D42" i="2" l="1"/>
  <c r="C50" i="1" l="1"/>
  <c r="D50" i="1" s="1"/>
  <c r="D51" i="1" s="1"/>
  <c r="B40" i="2"/>
  <c r="D43" i="2"/>
  <c r="I46" i="2" l="1"/>
  <c r="I53" i="2"/>
  <c r="I58" i="1"/>
</calcChain>
</file>

<file path=xl/sharedStrings.xml><?xml version="1.0" encoding="utf-8"?>
<sst xmlns="http://schemas.openxmlformats.org/spreadsheetml/2006/main" count="335" uniqueCount="240">
  <si>
    <t>LIABILITIES</t>
  </si>
  <si>
    <t>ASSETS</t>
  </si>
  <si>
    <t>Note: Workings Page is not the be printed</t>
  </si>
  <si>
    <t>Accrued Interest</t>
  </si>
  <si>
    <t>Reserves and Surplus:</t>
  </si>
  <si>
    <t>Sinking Fund</t>
  </si>
  <si>
    <t>Certificate No.</t>
  </si>
  <si>
    <t>Date of Issue</t>
  </si>
  <si>
    <t>Amount Deposited</t>
  </si>
  <si>
    <t>Bank</t>
  </si>
  <si>
    <t>Reserve Fund</t>
  </si>
  <si>
    <t>Maturity Date</t>
  </si>
  <si>
    <t>MDCC</t>
  </si>
  <si>
    <t>Authorised Share Capital</t>
  </si>
  <si>
    <t>2000 Share of ₹ 50/- each</t>
  </si>
  <si>
    <t>Issues, Subscribed and Paid Up</t>
  </si>
  <si>
    <t>Maturity Value</t>
  </si>
  <si>
    <t>Int</t>
  </si>
  <si>
    <t>Total Amt</t>
  </si>
  <si>
    <t>Repair Fund</t>
  </si>
  <si>
    <t>General Fund</t>
  </si>
  <si>
    <t>Share Capital</t>
  </si>
  <si>
    <t>Model</t>
  </si>
  <si>
    <t>MINJAL CO-OPERATIVE HOUSING SOCIETY LTD</t>
  </si>
  <si>
    <t>Property Tax</t>
  </si>
  <si>
    <t>Maintenance Charges</t>
  </si>
  <si>
    <t>Non Occupancy Charges</t>
  </si>
  <si>
    <t>Parking Charges</t>
  </si>
  <si>
    <t>Insurance Charges</t>
  </si>
  <si>
    <t>Late Payment Interest</t>
  </si>
  <si>
    <t>Deemed Conveyance</t>
  </si>
  <si>
    <t>Total</t>
  </si>
  <si>
    <t>Interest on Savings Deposit</t>
  </si>
  <si>
    <t>Interest on Fixed Deposits</t>
  </si>
  <si>
    <t>Dividend Income</t>
  </si>
  <si>
    <t>25% Transferred to Reserve Fund</t>
  </si>
  <si>
    <t>Electricity Charges</t>
  </si>
  <si>
    <t>Common Area Electricity Charges</t>
  </si>
  <si>
    <t>Water Expenses</t>
  </si>
  <si>
    <t>Water Charges:</t>
  </si>
  <si>
    <t xml:space="preserve">PNH5140001 </t>
  </si>
  <si>
    <t xml:space="preserve">PNH5141005 </t>
  </si>
  <si>
    <t>Salary Expenses</t>
  </si>
  <si>
    <t>Bonus</t>
  </si>
  <si>
    <t>Electrical Repairs</t>
  </si>
  <si>
    <t>Fire Fighing Expenses</t>
  </si>
  <si>
    <t>Other Repair Maintenance</t>
  </si>
  <si>
    <t>Pest Control Expenses</t>
  </si>
  <si>
    <t>Pest Control</t>
  </si>
  <si>
    <t>Insurance Expenses</t>
  </si>
  <si>
    <t>Insurance Expense</t>
  </si>
  <si>
    <t>Subscription Federation</t>
  </si>
  <si>
    <t>Audit Fees</t>
  </si>
  <si>
    <t>Income Tax Expenses</t>
  </si>
  <si>
    <t>Professional Fees</t>
  </si>
  <si>
    <t>Accounting Charges</t>
  </si>
  <si>
    <t>Printing and Stationery</t>
  </si>
  <si>
    <t>Conveyance Charges</t>
  </si>
  <si>
    <t>Depreciation</t>
  </si>
  <si>
    <t>As per last balance sheet</t>
  </si>
  <si>
    <t>Add: 25% of Surplus transferred</t>
  </si>
  <si>
    <t>Add: Interest earned during the year</t>
  </si>
  <si>
    <t>Common Amenity Fund</t>
  </si>
  <si>
    <t>Add: Additions during the year</t>
  </si>
  <si>
    <t xml:space="preserve">Total </t>
  </si>
  <si>
    <t>Education and Training Fund</t>
  </si>
  <si>
    <t>Audit Fee</t>
  </si>
  <si>
    <t>Water Charges Payable</t>
  </si>
  <si>
    <t>Contribution from Members:</t>
  </si>
  <si>
    <t>Towards Land and Building</t>
  </si>
  <si>
    <t>Towards Deposit</t>
  </si>
  <si>
    <t>Income and Expenditure Account:</t>
  </si>
  <si>
    <t>Retained Earnings</t>
  </si>
  <si>
    <t>Cash in Hand</t>
  </si>
  <si>
    <t>Model Co-op Bank</t>
  </si>
  <si>
    <t>Mumbai Disctrict Central Co-op Bank</t>
  </si>
  <si>
    <t>Share with MDCC Bank</t>
  </si>
  <si>
    <t>Land and Building</t>
  </si>
  <si>
    <t>Furniture and Fixture</t>
  </si>
  <si>
    <t>Water Pump</t>
  </si>
  <si>
    <t>CCTV</t>
  </si>
  <si>
    <t>Other Current Assets:</t>
  </si>
  <si>
    <t>Security Deposit with Adani Energy Ltd</t>
  </si>
  <si>
    <t>TDS Receivable</t>
  </si>
  <si>
    <t>Prepaid Expenses:</t>
  </si>
  <si>
    <t>Insurance</t>
  </si>
  <si>
    <t>EXPENDITURE</t>
  </si>
  <si>
    <t>INCOME</t>
  </si>
  <si>
    <t>Sr.</t>
  </si>
  <si>
    <t>Flat</t>
  </si>
  <si>
    <t>Name</t>
  </si>
  <si>
    <t>Ms. Gladys Sequeira</t>
  </si>
  <si>
    <t>Mr. Charles Pinto</t>
  </si>
  <si>
    <t>Mr. Teofilo Carvalho</t>
  </si>
  <si>
    <t>Mr. Anthony Miranda</t>
  </si>
  <si>
    <t>Mr. Arun Jerome D''Silva</t>
  </si>
  <si>
    <t>Particulars</t>
  </si>
  <si>
    <t>Land and Building at cost</t>
  </si>
  <si>
    <t>CCTV System</t>
  </si>
  <si>
    <t>Rate %</t>
  </si>
  <si>
    <t>Depreciation for the year</t>
  </si>
  <si>
    <t>D'Monte Lane, Off Marve Road, Orlem, Malad (West) ,Mumbai,Maharashtra-400064</t>
  </si>
  <si>
    <t>Society Reg No : BOM/WP/HSG/TC/1710/1985-86 dt. 9.12.1985</t>
  </si>
  <si>
    <t>Amount</t>
  </si>
  <si>
    <t>Bank balance as per system (Book Balance)</t>
  </si>
  <si>
    <t>Bank balance as per Passbook</t>
  </si>
  <si>
    <t>Add:</t>
  </si>
  <si>
    <t>Education Fund</t>
  </si>
  <si>
    <t>Surplus/(Deficit) for the year</t>
  </si>
  <si>
    <t>Water Charges</t>
  </si>
  <si>
    <t>Common Electricity Charges</t>
  </si>
  <si>
    <t>Interest on IT Refunds</t>
  </si>
  <si>
    <t>Interest on Security Deposits</t>
  </si>
  <si>
    <t>Less: Trf to Reserve Fund</t>
  </si>
  <si>
    <t>Less: Trf to Sinking Fund</t>
  </si>
  <si>
    <t>Less: Trf to Repair Fund</t>
  </si>
  <si>
    <t>Less: Trf to Education Fund</t>
  </si>
  <si>
    <t>Less: Trf to Comm. Amenity Fund</t>
  </si>
  <si>
    <t>Water Tank Cleaning</t>
  </si>
  <si>
    <t>Advance to Camos Consultants</t>
  </si>
  <si>
    <t>Less: Transfer to Fund</t>
  </si>
  <si>
    <t>Grand Total</t>
  </si>
  <si>
    <t>24.08.2024</t>
  </si>
  <si>
    <t>Cheque presented but not updated in the system</t>
  </si>
  <si>
    <t>Less:</t>
  </si>
  <si>
    <t>02</t>
  </si>
  <si>
    <t>04</t>
  </si>
  <si>
    <t>05</t>
  </si>
  <si>
    <t>07</t>
  </si>
  <si>
    <t>08</t>
  </si>
  <si>
    <t>09</t>
  </si>
  <si>
    <t>Mr. Jagdish J Sharma</t>
  </si>
  <si>
    <t>Mr. Jagdish Jomdar Sharma</t>
  </si>
  <si>
    <t>Prepaid</t>
  </si>
  <si>
    <t>Less: Expense adjsted from Liability</t>
  </si>
  <si>
    <t>Advance to Legal Ace</t>
  </si>
  <si>
    <t>Professional/Legal Fees</t>
  </si>
  <si>
    <t>Chq issued but not presented in bank</t>
  </si>
  <si>
    <t>16/2002/5080/163126</t>
  </si>
  <si>
    <t>16/2002/5080/163127</t>
  </si>
  <si>
    <t>300937_04</t>
  </si>
  <si>
    <t>300936-04</t>
  </si>
  <si>
    <t>Accrued Int for FY 24-25</t>
  </si>
  <si>
    <t>28.04.2025</t>
  </si>
  <si>
    <t>26.03.2026</t>
  </si>
  <si>
    <t>29.03.2026</t>
  </si>
  <si>
    <t>02.03.2026</t>
  </si>
  <si>
    <t>24.04.2025</t>
  </si>
  <si>
    <t>Mrs. Tania Ashley Albuquerque</t>
  </si>
  <si>
    <t>Ms. Cecil D'Cunha</t>
  </si>
  <si>
    <t>03</t>
  </si>
  <si>
    <t>Opening W.D.V. as on 01.04.2024</t>
  </si>
  <si>
    <t>Additions during the year before 30.09.2024</t>
  </si>
  <si>
    <t>Additions during the year after 30.09.2024</t>
  </si>
  <si>
    <t>Gross Block (at cost) as on 31.03.2025</t>
  </si>
  <si>
    <t>Closing W.D.V. as on 31.03.2025</t>
  </si>
  <si>
    <t>24.03.2026</t>
  </si>
  <si>
    <t/>
  </si>
  <si>
    <t>30.03.2026</t>
  </si>
  <si>
    <t>March 31, 2025</t>
  </si>
  <si>
    <t>Water pump charges</t>
  </si>
  <si>
    <t>Provision</t>
  </si>
  <si>
    <t>BMC</t>
  </si>
  <si>
    <t>165 Shares of ₹ 50/- each</t>
  </si>
  <si>
    <t xml:space="preserve">Major Repair Fund </t>
  </si>
  <si>
    <r>
      <t xml:space="preserve">Fixed Deposits - </t>
    </r>
    <r>
      <rPr>
        <b/>
        <sz val="11"/>
        <color theme="1"/>
        <rFont val="Calibri"/>
        <family val="2"/>
        <scheme val="minor"/>
      </rPr>
      <t>Sch I</t>
    </r>
  </si>
  <si>
    <t>Investments</t>
  </si>
  <si>
    <t>Cash and Bank Balance</t>
  </si>
  <si>
    <t>Office Charges</t>
  </si>
  <si>
    <t>Service Charges</t>
  </si>
  <si>
    <t>Repair and Maintenance</t>
  </si>
  <si>
    <t>Other Member Income</t>
  </si>
  <si>
    <t>Maintenance Income</t>
  </si>
  <si>
    <t>Interest Income</t>
  </si>
  <si>
    <t>Other Income</t>
  </si>
  <si>
    <t>Member's Receivable - Sch III</t>
  </si>
  <si>
    <t>Fixed Assets - Sch II</t>
  </si>
  <si>
    <t>FY 2024-25</t>
  </si>
  <si>
    <t>Current Liabilities and Provision - Sch IV</t>
  </si>
  <si>
    <t>Advance from Members - Sch V</t>
  </si>
  <si>
    <t>Sch IV -  Current Liabilities and Provisions</t>
  </si>
  <si>
    <t>14.03.2026</t>
  </si>
  <si>
    <t>24.08.2026</t>
  </si>
  <si>
    <t>House keeping expense</t>
  </si>
  <si>
    <t>Schedule 1: Details of Fixed Deposits as at March 31, 2026</t>
  </si>
  <si>
    <t>Accrued Int for FY 25-26</t>
  </si>
  <si>
    <t>int</t>
  </si>
  <si>
    <t>tds</t>
  </si>
  <si>
    <t xml:space="preserve">16/2002/508/163125 </t>
  </si>
  <si>
    <t>14.03.2027</t>
  </si>
  <si>
    <t>17436_3</t>
  </si>
  <si>
    <t>28.04.2026</t>
  </si>
  <si>
    <t>006605300019241_01</t>
  </si>
  <si>
    <t>29.03.2027</t>
  </si>
  <si>
    <t>006605500001608_01</t>
  </si>
  <si>
    <t>24.03.2027</t>
  </si>
  <si>
    <t>006605300019242_01</t>
  </si>
  <si>
    <t>17799_03</t>
  </si>
  <si>
    <t>01266_03</t>
  </si>
  <si>
    <t>26.03.2027</t>
  </si>
  <si>
    <t>14591_03</t>
  </si>
  <si>
    <t>24.04.2026</t>
  </si>
  <si>
    <t>14547_03</t>
  </si>
  <si>
    <t>30.03.2027</t>
  </si>
  <si>
    <t>12547_03</t>
  </si>
  <si>
    <t>09775_03</t>
  </si>
  <si>
    <t>09774_03</t>
  </si>
  <si>
    <t>09777_03</t>
  </si>
  <si>
    <t>09776_03</t>
  </si>
  <si>
    <t>09402_03</t>
  </si>
  <si>
    <t>02.03.2027</t>
  </si>
  <si>
    <t>Major Repair Fund</t>
  </si>
  <si>
    <t>19874_00</t>
  </si>
  <si>
    <t>19877_00</t>
  </si>
  <si>
    <t>March 31, 2026</t>
  </si>
  <si>
    <t>Schedule 2: Details of Fixed Assets as on 31 March 2026</t>
  </si>
  <si>
    <t>Sch III - Member's Receivable as on 31 March 2026</t>
  </si>
  <si>
    <t>Sch V -  Advances from Members as on 31 March 2026</t>
  </si>
  <si>
    <t>FY 2025-26</t>
  </si>
  <si>
    <t>FY 25-26</t>
  </si>
  <si>
    <t>Mumbai District Bank Reconciliation Statement as on 31st March 2026</t>
  </si>
  <si>
    <t>Model Bank Reconciliation Statement as on 31st March 2026</t>
  </si>
  <si>
    <t>Prior Period Refund Received AY 2020-21</t>
  </si>
  <si>
    <t>Mr. Ambrose A. D'Souza</t>
  </si>
  <si>
    <t>Less: Trf to Major Repair Fund</t>
  </si>
  <si>
    <t>Meeting Expense</t>
  </si>
  <si>
    <t>Sweeper</t>
  </si>
  <si>
    <t>Pumpman</t>
  </si>
  <si>
    <t>Add: Deemed Conveyance transferred</t>
  </si>
  <si>
    <t>Less: Credit note for Property Tax Apr 22 to Sep 24</t>
  </si>
  <si>
    <t>Less: Expenses during the year</t>
  </si>
  <si>
    <t>Balance Sheet as at March 31, 2026</t>
  </si>
  <si>
    <t>Income and Expenditure Account for the year ended March 31, 2026</t>
  </si>
  <si>
    <t>As per my report of even date</t>
  </si>
  <si>
    <t>Shri. Bharat C. Boridkar</t>
  </si>
  <si>
    <t>Govt. Certified Panel Auditor</t>
  </si>
  <si>
    <t>[Panel No.: Mumbai-4/C1/1011404]</t>
  </si>
  <si>
    <t xml:space="preserve"> ( SECRETARY                                CHAIRMAN                              TREASURER )</t>
  </si>
  <si>
    <t>FOR MINJAL CO-OPERATIVE HOUSING SOCIETY LTD</t>
  </si>
  <si>
    <t>Add: Surplus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</si>
</sst>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&quot;Mumbai: &quot;dd&quot;th&quot;\ mmmm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</cellStyleXfs>
  <cellXfs count="209">
    <xf numFmtId="0" fontId="0" fillId="0" borderId="0" xfId="0"/>
    <xf numFmtId="43" fontId="0" fillId="0" borderId="0" xfId="1" applyFont="1" applyAlignment="1">
      <alignment vertical="center"/>
    </xf>
    <xf numFmtId="43" fontId="0" fillId="0" borderId="5" xfId="1" applyFont="1" applyBorder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11" xfId="1" applyFont="1" applyBorder="1" applyAlignment="1">
      <alignment vertical="center"/>
    </xf>
    <xf numFmtId="43" fontId="0" fillId="0" borderId="7" xfId="1" applyFont="1" applyBorder="1" applyAlignment="1">
      <alignment vertical="center"/>
    </xf>
    <xf numFmtId="43" fontId="2" fillId="0" borderId="11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1" applyFont="1"/>
    <xf numFmtId="0" fontId="0" fillId="0" borderId="1" xfId="0" applyBorder="1" applyAlignment="1">
      <alignment horizontal="center"/>
    </xf>
    <xf numFmtId="43" fontId="0" fillId="0" borderId="0" xfId="0" applyNumberFormat="1"/>
    <xf numFmtId="165" fontId="0" fillId="0" borderId="0" xfId="1" applyNumberFormat="1" applyFont="1"/>
    <xf numFmtId="0" fontId="2" fillId="0" borderId="0" xfId="0" applyFont="1"/>
    <xf numFmtId="14" fontId="0" fillId="0" borderId="0" xfId="0" applyNumberFormat="1"/>
    <xf numFmtId="4" fontId="0" fillId="0" borderId="0" xfId="0" applyNumberFormat="1"/>
    <xf numFmtId="14" fontId="0" fillId="0" borderId="0" xfId="1" applyNumberFormat="1" applyFont="1"/>
    <xf numFmtId="0" fontId="0" fillId="0" borderId="1" xfId="0" applyBorder="1"/>
    <xf numFmtId="4" fontId="0" fillId="0" borderId="1" xfId="0" applyNumberFormat="1" applyBorder="1"/>
    <xf numFmtId="0" fontId="0" fillId="0" borderId="0" xfId="0" applyAlignment="1">
      <alignment horizontal="center" vertical="center"/>
    </xf>
    <xf numFmtId="43" fontId="0" fillId="0" borderId="7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0" fontId="0" fillId="0" borderId="12" xfId="0" applyBorder="1"/>
    <xf numFmtId="43" fontId="0" fillId="0" borderId="14" xfId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43" fontId="0" fillId="0" borderId="0" xfId="1" applyFont="1" applyBorder="1" applyAlignment="1">
      <alignment vertical="center"/>
    </xf>
    <xf numFmtId="0" fontId="2" fillId="0" borderId="12" xfId="0" applyFont="1" applyBorder="1"/>
    <xf numFmtId="15" fontId="0" fillId="0" borderId="0" xfId="0" applyNumberFormat="1" applyAlignment="1">
      <alignment horizontal="center"/>
    </xf>
    <xf numFmtId="43" fontId="0" fillId="0" borderId="0" xfId="1" applyFont="1" applyBorder="1"/>
    <xf numFmtId="43" fontId="2" fillId="0" borderId="0" xfId="1" applyFont="1" applyFill="1" applyBorder="1"/>
    <xf numFmtId="43" fontId="2" fillId="0" borderId="12" xfId="1" applyFont="1" applyFill="1" applyBorder="1"/>
    <xf numFmtId="43" fontId="2" fillId="0" borderId="0" xfId="1" applyFont="1"/>
    <xf numFmtId="43" fontId="2" fillId="0" borderId="11" xfId="1" applyFont="1" applyFill="1" applyBorder="1" applyAlignment="1">
      <alignment vertical="center"/>
    </xf>
    <xf numFmtId="43" fontId="0" fillId="0" borderId="11" xfId="1" applyFont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43" fontId="0" fillId="0" borderId="0" xfId="1" applyFont="1" applyFill="1" applyBorder="1" applyAlignment="1">
      <alignment vertical="center"/>
    </xf>
    <xf numFmtId="14" fontId="2" fillId="0" borderId="0" xfId="0" applyNumberFormat="1" applyFont="1"/>
    <xf numFmtId="0" fontId="2" fillId="0" borderId="17" xfId="0" applyFont="1" applyBorder="1"/>
    <xf numFmtId="165" fontId="0" fillId="0" borderId="0" xfId="1" applyNumberFormat="1" applyFont="1" applyBorder="1"/>
    <xf numFmtId="0" fontId="0" fillId="0" borderId="17" xfId="0" applyBorder="1"/>
    <xf numFmtId="165" fontId="0" fillId="0" borderId="17" xfId="1" applyNumberFormat="1" applyFont="1" applyBorder="1"/>
    <xf numFmtId="0" fontId="2" fillId="0" borderId="5" xfId="1" applyNumberFormat="1" applyFont="1" applyFill="1" applyBorder="1" applyAlignment="1">
      <alignment vertical="center"/>
    </xf>
    <xf numFmtId="43" fontId="2" fillId="0" borderId="13" xfId="1" applyFont="1" applyFill="1" applyBorder="1" applyAlignment="1">
      <alignment vertical="center"/>
    </xf>
    <xf numFmtId="43" fontId="1" fillId="0" borderId="5" xfId="1" applyFont="1" applyFill="1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0" fillId="0" borderId="16" xfId="1" applyFont="1" applyFill="1" applyBorder="1" applyAlignment="1">
      <alignment vertical="center"/>
    </xf>
    <xf numFmtId="43" fontId="1" fillId="0" borderId="11" xfId="1" applyFont="1" applyFill="1" applyBorder="1" applyAlignment="1">
      <alignment vertical="center"/>
    </xf>
    <xf numFmtId="43" fontId="1" fillId="0" borderId="7" xfId="1" applyFont="1" applyFill="1" applyBorder="1" applyAlignment="1">
      <alignment vertical="center"/>
    </xf>
    <xf numFmtId="43" fontId="2" fillId="0" borderId="1" xfId="1" applyFont="1" applyFill="1" applyBorder="1" applyAlignment="1">
      <alignment vertical="top"/>
    </xf>
    <xf numFmtId="43" fontId="0" fillId="0" borderId="0" xfId="1" applyFont="1" applyFill="1" applyAlignment="1">
      <alignment vertical="top"/>
    </xf>
    <xf numFmtId="43" fontId="0" fillId="0" borderId="1" xfId="1" applyFont="1" applyFill="1" applyBorder="1" applyAlignment="1">
      <alignment vertical="top"/>
    </xf>
    <xf numFmtId="43" fontId="2" fillId="0" borderId="12" xfId="1" applyFont="1" applyFill="1" applyBorder="1" applyAlignment="1">
      <alignment vertical="top"/>
    </xf>
    <xf numFmtId="43" fontId="0" fillId="0" borderId="1" xfId="1" applyFont="1" applyFill="1" applyBorder="1" applyAlignment="1">
      <alignment vertical="center"/>
    </xf>
    <xf numFmtId="43" fontId="0" fillId="0" borderId="0" xfId="1" applyFont="1" applyFill="1" applyAlignment="1"/>
    <xf numFmtId="43" fontId="0" fillId="0" borderId="0" xfId="1" quotePrefix="1" applyFont="1" applyFill="1" applyAlignment="1"/>
    <xf numFmtId="164" fontId="0" fillId="0" borderId="0" xfId="0" applyNumberFormat="1"/>
    <xf numFmtId="43" fontId="2" fillId="0" borderId="0" xfId="1" applyFont="1" applyFill="1" applyBorder="1" applyAlignment="1">
      <alignment vertical="top"/>
    </xf>
    <xf numFmtId="4" fontId="0" fillId="2" borderId="0" xfId="0" applyNumberFormat="1" applyFill="1"/>
    <xf numFmtId="43" fontId="2" fillId="2" borderId="0" xfId="1" applyFont="1" applyFill="1"/>
    <xf numFmtId="43" fontId="1" fillId="0" borderId="6" xfId="1" applyFont="1" applyFill="1" applyBorder="1" applyAlignment="1">
      <alignment vertical="center"/>
    </xf>
    <xf numFmtId="43" fontId="0" fillId="0" borderId="14" xfId="1" applyFont="1" applyFill="1" applyBorder="1" applyAlignment="1">
      <alignment vertical="center"/>
    </xf>
    <xf numFmtId="43" fontId="0" fillId="0" borderId="0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2" fillId="0" borderId="18" xfId="1" applyFont="1" applyBorder="1" applyAlignment="1">
      <alignment vertical="center"/>
    </xf>
    <xf numFmtId="43" fontId="2" fillId="0" borderId="18" xfId="1" applyFont="1" applyFill="1" applyBorder="1" applyAlignment="1">
      <alignment vertical="center"/>
    </xf>
    <xf numFmtId="43" fontId="2" fillId="0" borderId="21" xfId="1" applyFont="1" applyBorder="1" applyAlignment="1">
      <alignment horizontal="center" vertical="center"/>
    </xf>
    <xf numFmtId="43" fontId="2" fillId="0" borderId="23" xfId="1" applyFont="1" applyBorder="1" applyAlignment="1">
      <alignment horizontal="center" vertical="center"/>
    </xf>
    <xf numFmtId="43" fontId="4" fillId="0" borderId="5" xfId="0" applyNumberFormat="1" applyFont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43" fontId="4" fillId="0" borderId="6" xfId="0" applyNumberFormat="1" applyFont="1" applyBorder="1" applyAlignment="1">
      <alignment vertical="center"/>
    </xf>
    <xf numFmtId="1" fontId="0" fillId="0" borderId="0" xfId="0" applyNumberFormat="1"/>
    <xf numFmtId="43" fontId="0" fillId="0" borderId="0" xfId="1" applyFont="1" applyFill="1"/>
    <xf numFmtId="43" fontId="9" fillId="0" borderId="0" xfId="0" applyNumberFormat="1" applyFont="1"/>
    <xf numFmtId="0" fontId="9" fillId="0" borderId="0" xfId="0" applyFont="1"/>
    <xf numFmtId="43" fontId="3" fillId="0" borderId="5" xfId="0" applyNumberFormat="1" applyFont="1" applyBorder="1" applyAlignment="1">
      <alignment vertical="center"/>
    </xf>
    <xf numFmtId="0" fontId="0" fillId="0" borderId="6" xfId="0" applyBorder="1"/>
    <xf numFmtId="43" fontId="3" fillId="0" borderId="14" xfId="0" applyNumberFormat="1" applyFont="1" applyBorder="1" applyAlignment="1">
      <alignment vertical="center"/>
    </xf>
    <xf numFmtId="43" fontId="4" fillId="0" borderId="14" xfId="0" applyNumberFormat="1" applyFont="1" applyBorder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4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0" fillId="0" borderId="15" xfId="1" applyFont="1" applyFill="1" applyBorder="1" applyAlignment="1">
      <alignment vertical="top"/>
    </xf>
    <xf numFmtId="43" fontId="2" fillId="0" borderId="26" xfId="1" applyFont="1" applyFill="1" applyBorder="1" applyAlignment="1">
      <alignment vertical="top"/>
    </xf>
    <xf numFmtId="43" fontId="0" fillId="0" borderId="15" xfId="1" applyFont="1" applyFill="1" applyBorder="1" applyAlignment="1">
      <alignment vertical="center"/>
    </xf>
    <xf numFmtId="43" fontId="6" fillId="0" borderId="26" xfId="1" applyFont="1" applyFill="1" applyBorder="1" applyAlignment="1">
      <alignment vertical="top"/>
    </xf>
    <xf numFmtId="0" fontId="2" fillId="0" borderId="18" xfId="0" applyFont="1" applyBorder="1" applyAlignment="1">
      <alignment horizontal="center" vertical="center" wrapText="1"/>
    </xf>
    <xf numFmtId="43" fontId="2" fillId="0" borderId="18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3" fontId="0" fillId="0" borderId="26" xfId="1" applyFont="1" applyBorder="1" applyAlignment="1">
      <alignment horizontal="center" vertical="center"/>
    </xf>
    <xf numFmtId="43" fontId="2" fillId="0" borderId="26" xfId="1" applyFont="1" applyFill="1" applyBorder="1" applyAlignment="1">
      <alignment horizontal="center" vertical="center"/>
    </xf>
    <xf numFmtId="43" fontId="2" fillId="0" borderId="29" xfId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3" fontId="2" fillId="0" borderId="18" xfId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6" xfId="0" applyBorder="1"/>
    <xf numFmtId="4" fontId="0" fillId="0" borderId="16" xfId="0" applyNumberFormat="1" applyBorder="1"/>
    <xf numFmtId="0" fontId="2" fillId="0" borderId="13" xfId="0" applyFont="1" applyBorder="1" applyAlignment="1">
      <alignment horizontal="center"/>
    </xf>
    <xf numFmtId="43" fontId="2" fillId="0" borderId="18" xfId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5" xfId="0" applyBorder="1"/>
    <xf numFmtId="4" fontId="0" fillId="0" borderId="15" xfId="0" applyNumberFormat="1" applyBorder="1"/>
    <xf numFmtId="0" fontId="2" fillId="0" borderId="26" xfId="0" applyFont="1" applyBorder="1" applyAlignment="1">
      <alignment horizontal="center"/>
    </xf>
    <xf numFmtId="43" fontId="2" fillId="0" borderId="29" xfId="1" applyFont="1" applyFill="1" applyBorder="1"/>
    <xf numFmtId="4" fontId="2" fillId="0" borderId="29" xfId="0" applyNumberFormat="1" applyFont="1" applyBorder="1"/>
    <xf numFmtId="43" fontId="2" fillId="0" borderId="28" xfId="0" applyNumberFormat="1" applyFont="1" applyBorder="1"/>
    <xf numFmtId="43" fontId="2" fillId="0" borderId="29" xfId="0" applyNumberFormat="1" applyFont="1" applyBorder="1"/>
    <xf numFmtId="43" fontId="3" fillId="0" borderId="0" xfId="0" applyNumberFormat="1" applyFont="1" applyAlignment="1">
      <alignment horizontal="center" vertical="center"/>
    </xf>
    <xf numFmtId="166" fontId="11" fillId="0" borderId="24" xfId="3" applyNumberFormat="1" applyFont="1" applyBorder="1" applyAlignment="1">
      <alignment horizontal="left" vertical="center"/>
    </xf>
    <xf numFmtId="166" fontId="11" fillId="0" borderId="14" xfId="3" applyNumberFormat="1" applyFont="1" applyBorder="1" applyAlignment="1">
      <alignment horizontal="left" vertical="center"/>
    </xf>
    <xf numFmtId="43" fontId="2" fillId="0" borderId="19" xfId="1" applyFont="1" applyFill="1" applyBorder="1" applyAlignment="1">
      <alignment horizontal="center" vertical="center"/>
    </xf>
    <xf numFmtId="43" fontId="2" fillId="0" borderId="20" xfId="1" applyFont="1" applyFill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43" fontId="7" fillId="0" borderId="3" xfId="1" applyFont="1" applyBorder="1" applyAlignment="1">
      <alignment horizontal="center" vertical="center"/>
    </xf>
    <xf numFmtId="43" fontId="7" fillId="0" borderId="4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6" fillId="0" borderId="8" xfId="1" applyFont="1" applyBorder="1" applyAlignment="1">
      <alignment horizontal="center" vertical="center"/>
    </xf>
    <xf numFmtId="43" fontId="6" fillId="0" borderId="9" xfId="1" applyFont="1" applyBorder="1" applyAlignment="1">
      <alignment horizontal="center" vertical="center"/>
    </xf>
    <xf numFmtId="43" fontId="6" fillId="0" borderId="10" xfId="1" applyFont="1" applyBorder="1" applyAlignment="1">
      <alignment horizontal="center" vertical="center"/>
    </xf>
    <xf numFmtId="43" fontId="2" fillId="0" borderId="22" xfId="1" applyFont="1" applyBorder="1" applyAlignment="1">
      <alignment horizontal="center" vertical="center"/>
    </xf>
    <xf numFmtId="43" fontId="2" fillId="0" borderId="23" xfId="1" applyFont="1" applyBorder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43" fontId="2" fillId="0" borderId="19" xfId="1" applyFont="1" applyBorder="1" applyAlignment="1">
      <alignment horizontal="center" vertical="center"/>
    </xf>
    <xf numFmtId="43" fontId="2" fillId="0" borderId="20" xfId="1" applyFont="1" applyBorder="1" applyAlignment="1">
      <alignment horizontal="center" vertical="center"/>
    </xf>
    <xf numFmtId="43" fontId="2" fillId="0" borderId="5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43" fontId="7" fillId="0" borderId="0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1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3" fontId="2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horizontal="center"/>
    </xf>
    <xf numFmtId="0" fontId="2" fillId="0" borderId="17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6" xfId="0" quotePrefix="1" applyFill="1" applyBorder="1" applyAlignment="1">
      <alignment horizontal="left" vertical="top"/>
    </xf>
    <xf numFmtId="10" fontId="0" fillId="0" borderId="1" xfId="0" applyNumberForma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 vertical="top"/>
    </xf>
    <xf numFmtId="14" fontId="0" fillId="0" borderId="1" xfId="0" applyNumberFormat="1" applyFill="1" applyBorder="1" applyAlignment="1">
      <alignment vertical="top"/>
    </xf>
    <xf numFmtId="0" fontId="0" fillId="0" borderId="1" xfId="0" quotePrefix="1" applyFill="1" applyBorder="1" applyAlignment="1">
      <alignment horizontal="left" vertical="top"/>
    </xf>
    <xf numFmtId="43" fontId="0" fillId="0" borderId="0" xfId="0" applyNumberFormat="1" applyFill="1"/>
    <xf numFmtId="0" fontId="0" fillId="0" borderId="1" xfId="0" applyFill="1" applyBorder="1" applyAlignment="1">
      <alignment horizontal="left" vertical="top"/>
    </xf>
    <xf numFmtId="0" fontId="0" fillId="0" borderId="15" xfId="0" quotePrefix="1" applyFill="1" applyBorder="1" applyAlignment="1">
      <alignment horizontal="left" vertical="top"/>
    </xf>
    <xf numFmtId="10" fontId="0" fillId="0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top"/>
    </xf>
    <xf numFmtId="14" fontId="0" fillId="0" borderId="15" xfId="0" applyNumberFormat="1" applyFill="1" applyBorder="1" applyAlignment="1">
      <alignment horizontal="center" vertical="top"/>
    </xf>
    <xf numFmtId="0" fontId="0" fillId="0" borderId="30" xfId="0" applyFill="1" applyBorder="1" applyAlignment="1">
      <alignment horizontal="center"/>
    </xf>
    <xf numFmtId="0" fontId="0" fillId="0" borderId="25" xfId="0" applyFill="1" applyBorder="1" applyAlignment="1">
      <alignment vertical="top"/>
    </xf>
    <xf numFmtId="0" fontId="0" fillId="0" borderId="25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top"/>
    </xf>
    <xf numFmtId="0" fontId="0" fillId="0" borderId="27" xfId="0" applyFill="1" applyBorder="1" applyAlignment="1">
      <alignment vertical="top"/>
    </xf>
    <xf numFmtId="164" fontId="0" fillId="0" borderId="0" xfId="0" applyNumberFormat="1" applyFill="1"/>
    <xf numFmtId="0" fontId="2" fillId="0" borderId="17" xfId="0" applyFont="1" applyFill="1" applyBorder="1" applyAlignment="1">
      <alignment vertical="top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11" xfId="0" applyFill="1" applyBorder="1" applyAlignment="1">
      <alignment vertical="top"/>
    </xf>
    <xf numFmtId="14" fontId="0" fillId="0" borderId="15" xfId="0" applyNumberFormat="1" applyFill="1" applyBorder="1" applyAlignment="1">
      <alignment vertical="center"/>
    </xf>
    <xf numFmtId="0" fontId="0" fillId="0" borderId="16" xfId="0" applyFill="1" applyBorder="1" applyAlignment="1">
      <alignment vertical="top"/>
    </xf>
    <xf numFmtId="10" fontId="0" fillId="0" borderId="1" xfId="0" applyNumberFormat="1" applyFill="1" applyBorder="1" applyAlignment="1">
      <alignment horizontal="center" vertical="center"/>
    </xf>
    <xf numFmtId="0" fontId="0" fillId="0" borderId="16" xfId="0" quotePrefix="1" applyFill="1" applyBorder="1" applyAlignment="1">
      <alignment vertical="top"/>
    </xf>
    <xf numFmtId="0" fontId="0" fillId="0" borderId="1" xfId="0" quotePrefix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9" xfId="0" applyFill="1" applyBorder="1" applyAlignment="1">
      <alignment horizontal="center" vertical="top"/>
    </xf>
    <xf numFmtId="0" fontId="12" fillId="0" borderId="28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 vertical="top"/>
    </xf>
    <xf numFmtId="0" fontId="12" fillId="0" borderId="29" xfId="0" applyFont="1" applyFill="1" applyBorder="1"/>
    <xf numFmtId="0" fontId="0" fillId="0" borderId="0" xfId="0" applyFill="1" applyAlignment="1">
      <alignment horizontal="left"/>
    </xf>
    <xf numFmtId="43" fontId="2" fillId="0" borderId="20" xfId="1" applyFont="1" applyFill="1" applyBorder="1" applyAlignment="1">
      <alignment vertical="center"/>
    </xf>
    <xf numFmtId="43" fontId="2" fillId="0" borderId="32" xfId="1" applyFont="1" applyBorder="1" applyAlignment="1">
      <alignment horizontal="center" vertical="center"/>
    </xf>
    <xf numFmtId="43" fontId="0" fillId="0" borderId="33" xfId="1" applyFont="1" applyFill="1" applyBorder="1" applyAlignment="1">
      <alignment vertical="center"/>
    </xf>
    <xf numFmtId="43" fontId="2" fillId="0" borderId="33" xfId="1" applyFont="1" applyFill="1" applyBorder="1" applyAlignment="1">
      <alignment vertical="center"/>
    </xf>
    <xf numFmtId="43" fontId="0" fillId="0" borderId="34" xfId="1" applyFont="1" applyFill="1" applyBorder="1" applyAlignment="1">
      <alignment vertical="center"/>
    </xf>
    <xf numFmtId="43" fontId="2" fillId="0" borderId="34" xfId="1" applyFont="1" applyFill="1" applyBorder="1" applyAlignment="1">
      <alignment vertical="center"/>
    </xf>
    <xf numFmtId="43" fontId="3" fillId="0" borderId="33" xfId="0" applyNumberFormat="1" applyFont="1" applyBorder="1" applyAlignment="1">
      <alignment horizontal="right"/>
    </xf>
    <xf numFmtId="43" fontId="2" fillId="0" borderId="35" xfId="1" applyFont="1" applyFill="1" applyBorder="1" applyAlignment="1">
      <alignment vertical="center"/>
    </xf>
    <xf numFmtId="43" fontId="2" fillId="0" borderId="31" xfId="1" applyFont="1" applyFill="1" applyBorder="1" applyAlignment="1">
      <alignment vertical="center"/>
    </xf>
    <xf numFmtId="43" fontId="2" fillId="0" borderId="36" xfId="1" applyFont="1" applyFill="1" applyBorder="1" applyAlignment="1">
      <alignment vertical="center"/>
    </xf>
    <xf numFmtId="43" fontId="0" fillId="0" borderId="34" xfId="1" applyFont="1" applyBorder="1" applyAlignment="1">
      <alignment vertical="center"/>
    </xf>
    <xf numFmtId="43" fontId="2" fillId="0" borderId="34" xfId="1" applyFont="1" applyBorder="1" applyAlignment="1">
      <alignment vertical="center"/>
    </xf>
    <xf numFmtId="43" fontId="2" fillId="0" borderId="31" xfId="1" applyFont="1" applyBorder="1" applyAlignment="1">
      <alignment vertical="center"/>
    </xf>
  </cellXfs>
  <cellStyles count="4">
    <cellStyle name="Comma" xfId="1" builtinId="3"/>
    <cellStyle name="Comma 2 2" xfId="2" xr:uid="{F2CB304D-D616-43D7-97C3-EFECEE0C1568}"/>
    <cellStyle name="Normal" xfId="0" builtinId="0"/>
    <cellStyle name="Normal_BSPL 2004 NS" xfId="3" xr:uid="{5718B224-CDF4-4D61-A320-75942FADD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view="pageBreakPreview" topLeftCell="A33" zoomScaleNormal="100" zoomScaleSheetLayoutView="100" workbookViewId="0">
      <selection activeCell="E13" sqref="E13:E14"/>
    </sheetView>
  </sheetViews>
  <sheetFormatPr defaultColWidth="8.88671875" defaultRowHeight="14.4" x14ac:dyDescent="0.3"/>
  <cols>
    <col min="1" max="1" width="14.88671875" style="1" bestFit="1" customWidth="1"/>
    <col min="2" max="2" width="43.6640625" style="1" bestFit="1" customWidth="1"/>
    <col min="3" max="3" width="12.33203125" style="1" bestFit="1" customWidth="1"/>
    <col min="4" max="4" width="14.88671875" style="7" bestFit="1" customWidth="1"/>
    <col min="5" max="5" width="14.88671875" style="1" bestFit="1" customWidth="1"/>
    <col min="6" max="6" width="38.6640625" style="1" customWidth="1"/>
    <col min="7" max="7" width="12.33203125" style="1" bestFit="1" customWidth="1"/>
    <col min="8" max="8" width="14.88671875" style="7" bestFit="1" customWidth="1"/>
    <col min="9" max="9" width="13.109375" style="1" bestFit="1" customWidth="1"/>
    <col min="10" max="10" width="11.33203125" style="1" bestFit="1" customWidth="1"/>
    <col min="11" max="11" width="8.88671875" style="1"/>
    <col min="12" max="12" width="10.5546875" style="1" bestFit="1" customWidth="1"/>
    <col min="13" max="13" width="9.5546875" style="1" bestFit="1" customWidth="1"/>
    <col min="14" max="16384" width="8.88671875" style="1"/>
  </cols>
  <sheetData>
    <row r="1" spans="1:9" ht="18" x14ac:dyDescent="0.3">
      <c r="A1" s="126" t="s">
        <v>23</v>
      </c>
      <c r="B1" s="127"/>
      <c r="C1" s="127"/>
      <c r="D1" s="127"/>
      <c r="E1" s="127"/>
      <c r="F1" s="127"/>
      <c r="G1" s="127"/>
      <c r="H1" s="128"/>
    </row>
    <row r="2" spans="1:9" x14ac:dyDescent="0.3">
      <c r="A2" s="140" t="s">
        <v>101</v>
      </c>
      <c r="B2" s="141"/>
      <c r="C2" s="141"/>
      <c r="D2" s="141"/>
      <c r="E2" s="141"/>
      <c r="F2" s="141"/>
      <c r="G2" s="141"/>
      <c r="H2" s="142"/>
    </row>
    <row r="3" spans="1:9" x14ac:dyDescent="0.3">
      <c r="A3" s="140" t="s">
        <v>102</v>
      </c>
      <c r="B3" s="141"/>
      <c r="C3" s="141"/>
      <c r="D3" s="141"/>
      <c r="E3" s="141"/>
      <c r="F3" s="141"/>
      <c r="G3" s="141"/>
      <c r="H3" s="142"/>
    </row>
    <row r="4" spans="1:9" ht="15.6" x14ac:dyDescent="0.3">
      <c r="A4" s="132" t="s">
        <v>231</v>
      </c>
      <c r="B4" s="133"/>
      <c r="C4" s="133"/>
      <c r="D4" s="133"/>
      <c r="E4" s="133"/>
      <c r="F4" s="133"/>
      <c r="G4" s="133"/>
      <c r="H4" s="134"/>
    </row>
    <row r="5" spans="1:9" s="3" customFormat="1" ht="15" thickBot="1" x14ac:dyDescent="0.35">
      <c r="A5" s="70" t="s">
        <v>159</v>
      </c>
      <c r="B5" s="135" t="s">
        <v>0</v>
      </c>
      <c r="C5" s="136"/>
      <c r="D5" s="197" t="s">
        <v>214</v>
      </c>
      <c r="E5" s="71" t="str">
        <f>A5</f>
        <v>March 31, 2025</v>
      </c>
      <c r="F5" s="135" t="s">
        <v>1</v>
      </c>
      <c r="G5" s="136"/>
      <c r="H5" s="70" t="str">
        <f>D5</f>
        <v>March 31, 2026</v>
      </c>
    </row>
    <row r="6" spans="1:9" x14ac:dyDescent="0.3">
      <c r="A6" s="34"/>
      <c r="B6" s="45" t="s">
        <v>13</v>
      </c>
      <c r="C6" s="22"/>
      <c r="D6" s="199"/>
      <c r="E6" s="22"/>
      <c r="F6" s="45" t="s">
        <v>167</v>
      </c>
      <c r="G6" s="22"/>
      <c r="H6" s="6"/>
    </row>
    <row r="7" spans="1:9" ht="15" thickBot="1" x14ac:dyDescent="0.35">
      <c r="A7" s="46">
        <v>100000</v>
      </c>
      <c r="B7" s="47" t="s">
        <v>14</v>
      </c>
      <c r="C7" s="22"/>
      <c r="D7" s="205">
        <v>100000</v>
      </c>
      <c r="E7" s="22">
        <v>2294</v>
      </c>
      <c r="F7" s="47" t="s">
        <v>73</v>
      </c>
      <c r="G7" s="22">
        <v>732</v>
      </c>
      <c r="H7" s="6"/>
    </row>
    <row r="8" spans="1:9" ht="15" thickTop="1" x14ac:dyDescent="0.3">
      <c r="A8" s="34"/>
      <c r="B8" s="47"/>
      <c r="C8" s="22"/>
      <c r="D8" s="199"/>
      <c r="E8" s="22">
        <v>335080.15999999997</v>
      </c>
      <c r="F8" s="47" t="s">
        <v>74</v>
      </c>
      <c r="G8" s="22">
        <f>BRS!D15</f>
        <v>598161.16</v>
      </c>
      <c r="H8" s="6"/>
    </row>
    <row r="9" spans="1:9" x14ac:dyDescent="0.3">
      <c r="A9" s="34"/>
      <c r="B9" s="45" t="s">
        <v>15</v>
      </c>
      <c r="C9" s="22"/>
      <c r="D9" s="199"/>
      <c r="E9" s="22">
        <v>616980.18999999994</v>
      </c>
      <c r="F9" s="47" t="s">
        <v>75</v>
      </c>
      <c r="G9" s="21">
        <f>BRS!D6</f>
        <v>297391.19</v>
      </c>
      <c r="H9" s="33">
        <f>SUM(G7:G9)</f>
        <v>896284.35000000009</v>
      </c>
    </row>
    <row r="10" spans="1:9" x14ac:dyDescent="0.3">
      <c r="A10" s="34">
        <f>4500+3750</f>
        <v>8250</v>
      </c>
      <c r="B10" s="48" t="s">
        <v>163</v>
      </c>
      <c r="C10" s="22"/>
      <c r="D10" s="199">
        <v>8250</v>
      </c>
      <c r="E10" s="22"/>
      <c r="F10" s="47"/>
      <c r="G10" s="22"/>
      <c r="H10" s="33"/>
      <c r="I10" s="26"/>
    </row>
    <row r="11" spans="1:9" x14ac:dyDescent="0.3">
      <c r="A11" s="34"/>
      <c r="B11" s="45" t="s">
        <v>4</v>
      </c>
      <c r="C11" s="22"/>
      <c r="D11" s="199"/>
      <c r="E11" s="22"/>
      <c r="F11" s="45" t="s">
        <v>166</v>
      </c>
      <c r="G11" s="22"/>
      <c r="H11" s="33"/>
    </row>
    <row r="12" spans="1:9" x14ac:dyDescent="0.3">
      <c r="A12" s="34"/>
      <c r="B12" s="49" t="s">
        <v>10</v>
      </c>
      <c r="C12" s="22"/>
      <c r="D12" s="199"/>
      <c r="E12" s="22">
        <v>1000</v>
      </c>
      <c r="F12" s="47" t="s">
        <v>76</v>
      </c>
      <c r="G12" s="22">
        <v>1000</v>
      </c>
      <c r="H12" s="33"/>
    </row>
    <row r="13" spans="1:9" x14ac:dyDescent="0.3">
      <c r="A13" s="34">
        <v>214933.12</v>
      </c>
      <c r="B13" s="48" t="s">
        <v>59</v>
      </c>
      <c r="C13" s="22">
        <f>SUM(A13:A16)</f>
        <v>230878.12</v>
      </c>
      <c r="D13" s="199"/>
      <c r="E13" s="22">
        <v>3288058</v>
      </c>
      <c r="F13" s="48" t="s">
        <v>165</v>
      </c>
      <c r="G13" s="22">
        <f>'Sch I'!F42</f>
        <v>3819656</v>
      </c>
      <c r="H13" s="33"/>
    </row>
    <row r="14" spans="1:9" x14ac:dyDescent="0.3">
      <c r="A14" s="34">
        <v>0</v>
      </c>
      <c r="B14" s="39" t="s">
        <v>60</v>
      </c>
      <c r="C14" s="22">
        <f>IE!D41</f>
        <v>10235</v>
      </c>
      <c r="D14" s="199"/>
      <c r="E14" s="22">
        <v>24579</v>
      </c>
      <c r="F14" s="47" t="s">
        <v>3</v>
      </c>
      <c r="G14" s="21">
        <v>52268</v>
      </c>
      <c r="H14" s="33">
        <f>SUM(G12:G14)</f>
        <v>3872924</v>
      </c>
    </row>
    <row r="15" spans="1:9" x14ac:dyDescent="0.3">
      <c r="A15" s="34">
        <v>1200</v>
      </c>
      <c r="B15" s="39" t="s">
        <v>63</v>
      </c>
      <c r="C15" s="22">
        <v>500</v>
      </c>
      <c r="D15" s="199"/>
      <c r="E15" s="22"/>
      <c r="F15" s="47"/>
      <c r="G15" s="22"/>
      <c r="H15" s="33"/>
    </row>
    <row r="16" spans="1:9" x14ac:dyDescent="0.3">
      <c r="A16" s="34">
        <v>14745</v>
      </c>
      <c r="B16" s="39" t="s">
        <v>61</v>
      </c>
      <c r="C16" s="21">
        <f>-IE!G26</f>
        <v>17034</v>
      </c>
      <c r="D16" s="199">
        <f>SUM(C13:C16)</f>
        <v>258647.12</v>
      </c>
      <c r="E16" s="22"/>
      <c r="F16" s="45" t="s">
        <v>176</v>
      </c>
      <c r="G16" s="22"/>
      <c r="H16" s="33"/>
    </row>
    <row r="17" spans="1:8" x14ac:dyDescent="0.3">
      <c r="A17" s="34"/>
      <c r="B17" s="49" t="s">
        <v>62</v>
      </c>
      <c r="C17" s="22"/>
      <c r="D17" s="199"/>
      <c r="E17" s="22">
        <v>1997350</v>
      </c>
      <c r="F17" s="47" t="s">
        <v>77</v>
      </c>
      <c r="G17" s="22">
        <f>'Sch II'!H5</f>
        <v>1997350</v>
      </c>
      <c r="H17" s="33"/>
    </row>
    <row r="18" spans="1:8" x14ac:dyDescent="0.3">
      <c r="A18" s="34">
        <v>151844</v>
      </c>
      <c r="B18" s="48" t="s">
        <v>59</v>
      </c>
      <c r="C18" s="22">
        <f>SUM(A18:A19)</f>
        <v>163097</v>
      </c>
      <c r="D18" s="199"/>
      <c r="E18" s="22">
        <v>659.94</v>
      </c>
      <c r="F18" s="47" t="s">
        <v>78</v>
      </c>
      <c r="G18" s="22">
        <f>'Sch II'!H6</f>
        <v>593.94000000000005</v>
      </c>
      <c r="H18" s="33"/>
    </row>
    <row r="19" spans="1:8" x14ac:dyDescent="0.3">
      <c r="A19" s="34">
        <v>11253</v>
      </c>
      <c r="B19" s="39" t="s">
        <v>61</v>
      </c>
      <c r="C19" s="21">
        <f>-IE!G31</f>
        <v>12806</v>
      </c>
      <c r="D19" s="199">
        <f>SUM(C18:C19)</f>
        <v>175903</v>
      </c>
      <c r="E19" s="22">
        <v>19206</v>
      </c>
      <c r="F19" s="47" t="s">
        <v>79</v>
      </c>
      <c r="G19" s="22">
        <f>'Sch II'!H7</f>
        <v>16325</v>
      </c>
      <c r="H19" s="33"/>
    </row>
    <row r="20" spans="1:8" x14ac:dyDescent="0.3">
      <c r="A20" s="34"/>
      <c r="B20" s="49" t="s">
        <v>5</v>
      </c>
      <c r="C20" s="22"/>
      <c r="D20" s="199"/>
      <c r="E20" s="22">
        <v>13492</v>
      </c>
      <c r="F20" s="47" t="s">
        <v>80</v>
      </c>
      <c r="G20" s="21">
        <f>'Sch II'!H8</f>
        <v>11468</v>
      </c>
      <c r="H20" s="33">
        <f>SUM(G17:G20)</f>
        <v>2025736.94</v>
      </c>
    </row>
    <row r="21" spans="1:8" x14ac:dyDescent="0.3">
      <c r="A21" s="34">
        <v>2485034.4</v>
      </c>
      <c r="B21" s="48" t="s">
        <v>59</v>
      </c>
      <c r="C21" s="22">
        <f>SUM(A21:A23)</f>
        <v>2680079.4</v>
      </c>
      <c r="D21" s="199"/>
      <c r="E21" s="22"/>
      <c r="F21" s="45"/>
      <c r="G21" s="22"/>
      <c r="H21" s="33"/>
    </row>
    <row r="22" spans="1:8" x14ac:dyDescent="0.3">
      <c r="A22" s="34">
        <v>5232</v>
      </c>
      <c r="B22" s="39" t="s">
        <v>63</v>
      </c>
      <c r="C22" s="22">
        <v>5232</v>
      </c>
      <c r="D22" s="199"/>
      <c r="E22" s="22">
        <v>24497</v>
      </c>
      <c r="F22" s="45" t="s">
        <v>175</v>
      </c>
      <c r="G22" s="22"/>
      <c r="H22" s="33">
        <f>'Sch III to V'!D8</f>
        <v>6608</v>
      </c>
    </row>
    <row r="23" spans="1:8" x14ac:dyDescent="0.3">
      <c r="A23" s="34">
        <v>189813</v>
      </c>
      <c r="B23" s="39" t="s">
        <v>61</v>
      </c>
      <c r="C23" s="21">
        <f>-IE!G27</f>
        <v>214552</v>
      </c>
      <c r="D23" s="199">
        <f>SUM(C21:C23)</f>
        <v>2899863.4</v>
      </c>
      <c r="E23" s="22"/>
      <c r="F23" s="48"/>
      <c r="G23" s="22"/>
      <c r="H23" s="33"/>
    </row>
    <row r="24" spans="1:8" x14ac:dyDescent="0.3">
      <c r="A24" s="34"/>
      <c r="B24" s="49" t="s">
        <v>19</v>
      </c>
      <c r="C24" s="22"/>
      <c r="D24" s="199"/>
      <c r="E24" s="22"/>
      <c r="F24" s="45" t="s">
        <v>81</v>
      </c>
      <c r="G24" s="22"/>
      <c r="H24" s="33"/>
    </row>
    <row r="25" spans="1:8" x14ac:dyDescent="0.3">
      <c r="A25" s="34">
        <v>91645.62</v>
      </c>
      <c r="B25" s="48" t="s">
        <v>59</v>
      </c>
      <c r="C25" s="22">
        <f>A25+A27+A28</f>
        <v>118998.62</v>
      </c>
      <c r="D25" s="199"/>
      <c r="E25" s="22">
        <v>2224.5300000000002</v>
      </c>
      <c r="F25" s="48" t="s">
        <v>82</v>
      </c>
      <c r="G25" s="22">
        <v>2224.5300000000002</v>
      </c>
      <c r="H25" s="33"/>
    </row>
    <row r="26" spans="1:8" x14ac:dyDescent="0.3">
      <c r="A26" s="34">
        <f>315000+90000-308010</f>
        <v>96990</v>
      </c>
      <c r="B26" s="39" t="s">
        <v>228</v>
      </c>
      <c r="C26" s="22">
        <f>315000+90000-308010</f>
        <v>96990</v>
      </c>
      <c r="D26" s="199"/>
      <c r="E26" s="22">
        <v>20601</v>
      </c>
      <c r="F26" s="48" t="s">
        <v>83</v>
      </c>
      <c r="G26" s="22">
        <v>42692</v>
      </c>
      <c r="H26" s="33"/>
    </row>
    <row r="27" spans="1:8" x14ac:dyDescent="0.3">
      <c r="A27" s="34">
        <v>15696</v>
      </c>
      <c r="B27" s="39" t="s">
        <v>63</v>
      </c>
      <c r="C27" s="22">
        <v>15696</v>
      </c>
      <c r="D27" s="199"/>
      <c r="E27" s="22">
        <v>0</v>
      </c>
      <c r="F27" s="48" t="s">
        <v>135</v>
      </c>
      <c r="G27" s="22">
        <v>0</v>
      </c>
      <c r="H27" s="33"/>
    </row>
    <row r="28" spans="1:8" x14ac:dyDescent="0.3">
      <c r="A28" s="34">
        <v>11657</v>
      </c>
      <c r="B28" s="39" t="s">
        <v>61</v>
      </c>
      <c r="C28" s="21">
        <f>-IE!G28</f>
        <v>13521</v>
      </c>
      <c r="D28" s="199">
        <f>SUM(C25:C28)</f>
        <v>245205.62</v>
      </c>
      <c r="E28" s="21">
        <v>0</v>
      </c>
      <c r="F28" s="48" t="s">
        <v>119</v>
      </c>
      <c r="G28" s="21">
        <v>0</v>
      </c>
      <c r="H28" s="33">
        <f>SUM(G25:G28)</f>
        <v>44916.53</v>
      </c>
    </row>
    <row r="29" spans="1:8" x14ac:dyDescent="0.3">
      <c r="A29" s="34"/>
      <c r="B29" s="49" t="s">
        <v>65</v>
      </c>
      <c r="C29" s="22"/>
      <c r="D29" s="199"/>
      <c r="E29" s="22"/>
      <c r="F29" s="48"/>
      <c r="G29" s="22"/>
      <c r="H29" s="33"/>
    </row>
    <row r="30" spans="1:8" x14ac:dyDescent="0.3">
      <c r="A30" s="34">
        <v>13883</v>
      </c>
      <c r="B30" s="48" t="s">
        <v>59</v>
      </c>
      <c r="C30" s="22">
        <f>SUM(A30:A33)</f>
        <v>16664</v>
      </c>
      <c r="D30" s="199"/>
      <c r="E30" s="22"/>
      <c r="F30" s="45" t="s">
        <v>84</v>
      </c>
      <c r="G30" s="22"/>
      <c r="H30" s="33"/>
    </row>
    <row r="31" spans="1:8" x14ac:dyDescent="0.3">
      <c r="A31" s="34">
        <v>1800</v>
      </c>
      <c r="B31" s="39" t="s">
        <v>63</v>
      </c>
      <c r="C31" s="22">
        <v>1800</v>
      </c>
      <c r="D31" s="199"/>
      <c r="E31" s="22">
        <v>3521</v>
      </c>
      <c r="F31" s="48" t="s">
        <v>48</v>
      </c>
      <c r="G31" s="22">
        <f>Workings!E17</f>
        <v>3773</v>
      </c>
      <c r="H31" s="33"/>
    </row>
    <row r="32" spans="1:8" x14ac:dyDescent="0.3">
      <c r="A32" s="34">
        <v>981</v>
      </c>
      <c r="B32" s="39" t="s">
        <v>61</v>
      </c>
      <c r="C32" s="22">
        <f>-IE!G30</f>
        <v>1287</v>
      </c>
      <c r="D32" s="206"/>
      <c r="E32" s="21">
        <v>4906</v>
      </c>
      <c r="F32" s="48" t="s">
        <v>85</v>
      </c>
      <c r="G32" s="21">
        <f>Workings!E21</f>
        <v>4906</v>
      </c>
      <c r="H32" s="33">
        <f>SUM(G31:G32)</f>
        <v>8679</v>
      </c>
    </row>
    <row r="33" spans="1:8" x14ac:dyDescent="0.3">
      <c r="A33" s="34">
        <v>0</v>
      </c>
      <c r="B33" s="39" t="s">
        <v>230</v>
      </c>
      <c r="C33" s="21">
        <v>-1770</v>
      </c>
      <c r="D33" s="199">
        <f>SUM(C30:C33)</f>
        <v>17981</v>
      </c>
      <c r="E33" s="22"/>
      <c r="F33" s="48"/>
      <c r="G33" s="22"/>
      <c r="H33" s="33"/>
    </row>
    <row r="34" spans="1:8" x14ac:dyDescent="0.3">
      <c r="A34" s="34"/>
      <c r="B34" s="49" t="s">
        <v>164</v>
      </c>
      <c r="C34" s="22"/>
      <c r="D34" s="199"/>
      <c r="E34" s="22"/>
      <c r="F34" s="48"/>
      <c r="G34" s="22"/>
      <c r="H34" s="33"/>
    </row>
    <row r="35" spans="1:8" x14ac:dyDescent="0.3">
      <c r="A35" s="34">
        <v>90000</v>
      </c>
      <c r="B35" s="48" t="s">
        <v>59</v>
      </c>
      <c r="C35" s="22">
        <f>SUM(A35:A37)</f>
        <v>90000</v>
      </c>
      <c r="D35" s="199"/>
      <c r="E35" s="22"/>
      <c r="F35" s="48"/>
      <c r="G35" s="22"/>
      <c r="H35" s="33"/>
    </row>
    <row r="36" spans="1:8" x14ac:dyDescent="0.3">
      <c r="A36" s="34"/>
      <c r="B36" s="39" t="s">
        <v>63</v>
      </c>
      <c r="C36" s="22">
        <v>180000</v>
      </c>
      <c r="D36" s="199"/>
      <c r="E36" s="22"/>
      <c r="F36" s="48"/>
      <c r="G36" s="22"/>
      <c r="H36" s="33"/>
    </row>
    <row r="37" spans="1:8" x14ac:dyDescent="0.3">
      <c r="A37" s="34">
        <v>0</v>
      </c>
      <c r="B37" s="39" t="s">
        <v>61</v>
      </c>
      <c r="C37" s="21">
        <f>-IE!G29</f>
        <v>98</v>
      </c>
      <c r="D37" s="199">
        <f>SUM(C35:C37)</f>
        <v>270098</v>
      </c>
      <c r="E37" s="22"/>
      <c r="F37" s="48"/>
      <c r="G37" s="22"/>
      <c r="H37" s="33"/>
    </row>
    <row r="38" spans="1:8" ht="6" customHeight="1" x14ac:dyDescent="0.3">
      <c r="A38" s="34"/>
      <c r="B38" s="48"/>
      <c r="C38" s="22"/>
      <c r="D38" s="199"/>
      <c r="E38" s="22"/>
      <c r="F38" s="48"/>
      <c r="G38" s="22"/>
      <c r="H38" s="33"/>
    </row>
    <row r="39" spans="1:8" x14ac:dyDescent="0.3">
      <c r="A39" s="2">
        <v>20901</v>
      </c>
      <c r="B39" s="49" t="s">
        <v>178</v>
      </c>
      <c r="C39" s="22"/>
      <c r="D39" s="207">
        <f>'Sch III to V'!J13</f>
        <v>15195</v>
      </c>
      <c r="E39" s="22"/>
      <c r="F39" s="48"/>
      <c r="G39" s="22"/>
      <c r="H39" s="33"/>
    </row>
    <row r="40" spans="1:8" ht="6" customHeight="1" x14ac:dyDescent="0.3">
      <c r="A40" s="34"/>
      <c r="B40" s="48"/>
      <c r="C40" s="22"/>
      <c r="D40" s="199"/>
      <c r="E40" s="22"/>
      <c r="F40" s="48"/>
      <c r="G40" s="22"/>
      <c r="H40" s="6"/>
    </row>
    <row r="41" spans="1:8" x14ac:dyDescent="0.3">
      <c r="A41" s="34">
        <v>18715</v>
      </c>
      <c r="B41" s="49" t="s">
        <v>179</v>
      </c>
      <c r="C41" s="22"/>
      <c r="D41" s="199">
        <f>'Sch III to V'!D20</f>
        <v>37707</v>
      </c>
      <c r="E41" s="22"/>
      <c r="F41" s="48"/>
      <c r="G41" s="22"/>
      <c r="H41" s="6"/>
    </row>
    <row r="42" spans="1:8" ht="6" customHeight="1" x14ac:dyDescent="0.3">
      <c r="A42" s="34"/>
      <c r="B42" s="48"/>
      <c r="C42" s="22"/>
      <c r="D42" s="199"/>
      <c r="E42" s="22"/>
      <c r="F42" s="48"/>
      <c r="G42" s="22"/>
      <c r="H42" s="6"/>
    </row>
    <row r="43" spans="1:8" x14ac:dyDescent="0.3">
      <c r="A43" s="34"/>
      <c r="B43" s="45" t="s">
        <v>68</v>
      </c>
      <c r="C43" s="22"/>
      <c r="D43" s="199"/>
      <c r="E43" s="22"/>
      <c r="F43" s="48"/>
      <c r="G43" s="22"/>
      <c r="H43" s="6"/>
    </row>
    <row r="44" spans="1:8" x14ac:dyDescent="0.3">
      <c r="A44" s="34">
        <v>1997350</v>
      </c>
      <c r="B44" s="48" t="s">
        <v>69</v>
      </c>
      <c r="C44" s="22">
        <f>'Sch II'!H5</f>
        <v>1997350</v>
      </c>
      <c r="D44" s="199"/>
      <c r="E44" s="22"/>
      <c r="F44" s="48"/>
      <c r="G44" s="22"/>
      <c r="H44" s="6"/>
    </row>
    <row r="45" spans="1:8" x14ac:dyDescent="0.3">
      <c r="A45" s="34">
        <v>5286</v>
      </c>
      <c r="B45" s="48" t="s">
        <v>70</v>
      </c>
      <c r="C45" s="21">
        <v>5286</v>
      </c>
      <c r="D45" s="199">
        <f>SUM(C44:C45)</f>
        <v>2002636</v>
      </c>
      <c r="E45" s="22"/>
      <c r="F45" s="48"/>
      <c r="G45" s="22"/>
      <c r="H45" s="6"/>
    </row>
    <row r="46" spans="1:8" ht="6" customHeight="1" x14ac:dyDescent="0.3">
      <c r="A46" s="34"/>
      <c r="B46" s="48"/>
      <c r="C46" s="22"/>
      <c r="D46" s="199"/>
      <c r="E46" s="22"/>
      <c r="F46" s="48"/>
      <c r="G46" s="22"/>
      <c r="H46" s="6"/>
    </row>
    <row r="47" spans="1:8" x14ac:dyDescent="0.3">
      <c r="A47" s="34"/>
      <c r="B47" s="45" t="s">
        <v>71</v>
      </c>
      <c r="C47" s="22"/>
      <c r="D47" s="199"/>
      <c r="E47" s="22"/>
      <c r="F47" s="48"/>
      <c r="G47" s="22"/>
      <c r="H47" s="6"/>
    </row>
    <row r="48" spans="1:8" x14ac:dyDescent="0.3">
      <c r="A48" s="34">
        <v>860844.94</v>
      </c>
      <c r="B48" s="48" t="s">
        <v>72</v>
      </c>
      <c r="C48" s="22">
        <f>SUM(A48:A50)</f>
        <v>907239.67999999993</v>
      </c>
      <c r="D48" s="200"/>
      <c r="E48" s="22"/>
      <c r="F48" s="48"/>
      <c r="G48" s="22"/>
      <c r="H48" s="6"/>
    </row>
    <row r="49" spans="1:9" x14ac:dyDescent="0.3">
      <c r="A49" s="34">
        <v>0</v>
      </c>
      <c r="B49" s="48" t="s">
        <v>229</v>
      </c>
      <c r="C49" s="22">
        <v>-14280</v>
      </c>
      <c r="D49" s="199"/>
      <c r="E49" s="22"/>
      <c r="F49" s="48"/>
      <c r="G49" s="22"/>
      <c r="H49" s="6"/>
    </row>
    <row r="50" spans="1:9" x14ac:dyDescent="0.3">
      <c r="A50" s="4">
        <v>46394.739999999991</v>
      </c>
      <c r="B50" s="2" t="s">
        <v>239</v>
      </c>
      <c r="C50" s="5">
        <f>IE!D42</f>
        <v>30703</v>
      </c>
      <c r="D50" s="199">
        <f>SUM(C48:C50)</f>
        <v>923662.67999999993</v>
      </c>
      <c r="E50" s="22"/>
      <c r="F50" s="48"/>
      <c r="G50" s="22"/>
      <c r="H50" s="6"/>
    </row>
    <row r="51" spans="1:9" ht="15" thickBot="1" x14ac:dyDescent="0.35">
      <c r="A51" s="68">
        <f>SUM(A10:A50)</f>
        <v>6354448.8200000003</v>
      </c>
      <c r="B51" s="138" t="s">
        <v>64</v>
      </c>
      <c r="C51" s="139"/>
      <c r="D51" s="208">
        <f>SUM(D8:D50)</f>
        <v>6855148.8200000003</v>
      </c>
      <c r="E51" s="196">
        <f>SUM(E7:E50)</f>
        <v>6354448.8200000003</v>
      </c>
      <c r="F51" s="124" t="s">
        <v>64</v>
      </c>
      <c r="G51" s="125"/>
      <c r="H51" s="68">
        <f>SUM(H6:H50)</f>
        <v>6855148.8199999994</v>
      </c>
    </row>
    <row r="52" spans="1:9" ht="6" customHeight="1" thickTop="1" x14ac:dyDescent="0.3">
      <c r="A52" s="72"/>
      <c r="B52" s="84"/>
      <c r="C52" s="84"/>
      <c r="D52" s="85"/>
      <c r="E52" s="84"/>
      <c r="F52" s="84"/>
      <c r="G52" s="84"/>
      <c r="H52" s="73"/>
    </row>
    <row r="53" spans="1:9" ht="15.6" x14ac:dyDescent="0.3">
      <c r="A53" s="72" t="s">
        <v>233</v>
      </c>
      <c r="B53" s="84"/>
      <c r="C53" s="84"/>
      <c r="D53" s="84"/>
      <c r="E53" s="137" t="s">
        <v>238</v>
      </c>
      <c r="F53" s="137"/>
      <c r="G53" s="137"/>
      <c r="H53" s="74"/>
    </row>
    <row r="54" spans="1:9" x14ac:dyDescent="0.3">
      <c r="A54" s="72"/>
      <c r="B54" s="84"/>
      <c r="C54" s="84"/>
      <c r="D54" s="85"/>
      <c r="E54" s="84"/>
      <c r="F54" s="84"/>
      <c r="G54" s="84"/>
      <c r="H54" s="73"/>
    </row>
    <row r="55" spans="1:9" ht="6" customHeight="1" x14ac:dyDescent="0.3">
      <c r="A55" s="72"/>
      <c r="B55" s="84"/>
      <c r="C55" s="84"/>
      <c r="D55" s="85"/>
      <c r="E55" s="84"/>
      <c r="F55" s="84"/>
      <c r="G55" s="84"/>
      <c r="H55" s="73"/>
    </row>
    <row r="56" spans="1:9" ht="6" customHeight="1" x14ac:dyDescent="0.3">
      <c r="A56" s="72"/>
      <c r="B56" s="84"/>
      <c r="C56" s="84"/>
      <c r="D56" s="85"/>
      <c r="E56" s="84"/>
      <c r="F56" s="84"/>
      <c r="G56" s="84"/>
      <c r="H56" s="73"/>
    </row>
    <row r="57" spans="1:9" x14ac:dyDescent="0.3">
      <c r="A57" s="72"/>
      <c r="B57" s="84"/>
      <c r="C57" s="84"/>
      <c r="D57" s="85"/>
      <c r="E57" s="84"/>
      <c r="F57" s="84"/>
      <c r="G57" s="84"/>
      <c r="H57" s="73"/>
    </row>
    <row r="58" spans="1:9" x14ac:dyDescent="0.3">
      <c r="A58" s="79" t="s">
        <v>234</v>
      </c>
      <c r="B58" s="84"/>
      <c r="C58" s="84"/>
      <c r="D58" s="85"/>
      <c r="E58" s="84"/>
      <c r="F58" s="84"/>
      <c r="G58" s="84"/>
      <c r="H58" s="73"/>
      <c r="I58" s="1">
        <f>D51-H51</f>
        <v>0</v>
      </c>
    </row>
    <row r="59" spans="1:9" customFormat="1" ht="15.9" customHeight="1" x14ac:dyDescent="0.3">
      <c r="A59" s="72" t="s">
        <v>235</v>
      </c>
      <c r="B59" s="84"/>
      <c r="C59" s="84"/>
      <c r="D59" s="85"/>
      <c r="H59" s="80"/>
      <c r="I59" s="12"/>
    </row>
    <row r="60" spans="1:9" customFormat="1" ht="15.9" customHeight="1" x14ac:dyDescent="0.3">
      <c r="A60" s="72" t="s">
        <v>236</v>
      </c>
      <c r="B60" s="84"/>
      <c r="C60" s="84"/>
      <c r="D60" s="85"/>
      <c r="E60" s="121" t="s">
        <v>237</v>
      </c>
      <c r="F60" s="121"/>
      <c r="G60" s="121"/>
      <c r="H60" s="73"/>
      <c r="I60" s="12"/>
    </row>
    <row r="61" spans="1:9" customFormat="1" ht="15.9" customHeight="1" x14ac:dyDescent="0.3">
      <c r="A61" s="122">
        <v>45912</v>
      </c>
      <c r="B61" s="123"/>
      <c r="C61" s="123"/>
      <c r="D61" s="81"/>
      <c r="E61" s="82"/>
      <c r="F61" s="82"/>
      <c r="G61" s="82"/>
      <c r="H61" s="83"/>
      <c r="I61" s="12"/>
    </row>
  </sheetData>
  <mergeCells count="11">
    <mergeCell ref="E60:G60"/>
    <mergeCell ref="A61:C61"/>
    <mergeCell ref="B51:C51"/>
    <mergeCell ref="F51:G51"/>
    <mergeCell ref="A1:H1"/>
    <mergeCell ref="A2:H2"/>
    <mergeCell ref="A3:H3"/>
    <mergeCell ref="A4:H4"/>
    <mergeCell ref="B5:C5"/>
    <mergeCell ref="F5:G5"/>
    <mergeCell ref="E53:G53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view="pageBreakPreview" topLeftCell="A24" zoomScaleNormal="100" zoomScaleSheetLayoutView="100" workbookViewId="0">
      <selection activeCell="E13" sqref="E13:E14"/>
    </sheetView>
  </sheetViews>
  <sheetFormatPr defaultColWidth="8.88671875" defaultRowHeight="14.4" x14ac:dyDescent="0.3"/>
  <cols>
    <col min="1" max="1" width="14.88671875" style="1" bestFit="1" customWidth="1"/>
    <col min="2" max="2" width="31.33203125" style="1" bestFit="1" customWidth="1"/>
    <col min="3" max="3" width="12.33203125" style="1" bestFit="1" customWidth="1"/>
    <col min="4" max="5" width="14.88671875" style="1" bestFit="1" customWidth="1"/>
    <col min="6" max="6" width="34.6640625" style="1" customWidth="1"/>
    <col min="7" max="7" width="12" style="1" bestFit="1" customWidth="1"/>
    <col min="8" max="8" width="14.88671875" style="1" bestFit="1" customWidth="1"/>
    <col min="9" max="9" width="8.88671875" style="1"/>
    <col min="10" max="10" width="11.33203125" style="1" bestFit="1" customWidth="1"/>
    <col min="11" max="11" width="10.5546875" style="1" bestFit="1" customWidth="1"/>
    <col min="12" max="12" width="9.88671875" style="1" bestFit="1" customWidth="1"/>
    <col min="13" max="16384" width="8.88671875" style="1"/>
  </cols>
  <sheetData>
    <row r="1" spans="1:8" ht="18" x14ac:dyDescent="0.3">
      <c r="A1" s="126" t="s">
        <v>23</v>
      </c>
      <c r="B1" s="127"/>
      <c r="C1" s="127"/>
      <c r="D1" s="127"/>
      <c r="E1" s="127"/>
      <c r="F1" s="127"/>
      <c r="G1" s="127"/>
      <c r="H1" s="128"/>
    </row>
    <row r="2" spans="1:8" x14ac:dyDescent="0.3">
      <c r="A2" s="129" t="str">
        <f>BS!A2</f>
        <v>D'Monte Lane, Off Marve Road, Orlem, Malad (West) ,Mumbai,Maharashtra-400064</v>
      </c>
      <c r="B2" s="130"/>
      <c r="C2" s="130"/>
      <c r="D2" s="130"/>
      <c r="E2" s="130"/>
      <c r="F2" s="130"/>
      <c r="G2" s="130"/>
      <c r="H2" s="131"/>
    </row>
    <row r="3" spans="1:8" x14ac:dyDescent="0.3">
      <c r="A3" s="129" t="str">
        <f>BS!A3</f>
        <v>Society Reg No : BOM/WP/HSG/TC/1710/1985-86 dt. 9.12.1985</v>
      </c>
      <c r="B3" s="130"/>
      <c r="C3" s="130"/>
      <c r="D3" s="130"/>
      <c r="E3" s="130"/>
      <c r="F3" s="130"/>
      <c r="G3" s="130"/>
      <c r="H3" s="131"/>
    </row>
    <row r="4" spans="1:8" ht="15.6" x14ac:dyDescent="0.3">
      <c r="A4" s="132" t="s">
        <v>232</v>
      </c>
      <c r="B4" s="133"/>
      <c r="C4" s="133"/>
      <c r="D4" s="133"/>
      <c r="E4" s="133"/>
      <c r="F4" s="133"/>
      <c r="G4" s="133"/>
      <c r="H4" s="134"/>
    </row>
    <row r="5" spans="1:8" s="3" customFormat="1" ht="15" thickBot="1" x14ac:dyDescent="0.35">
      <c r="A5" s="70" t="s">
        <v>159</v>
      </c>
      <c r="B5" s="135" t="s">
        <v>86</v>
      </c>
      <c r="C5" s="136"/>
      <c r="D5" s="197" t="s">
        <v>214</v>
      </c>
      <c r="E5" s="71" t="str">
        <f>A5</f>
        <v>March 31, 2025</v>
      </c>
      <c r="F5" s="135" t="s">
        <v>87</v>
      </c>
      <c r="G5" s="136"/>
      <c r="H5" s="70" t="str">
        <f>D5</f>
        <v>March 31, 2026</v>
      </c>
    </row>
    <row r="6" spans="1:8" x14ac:dyDescent="0.3">
      <c r="A6" s="34"/>
      <c r="B6" s="45"/>
      <c r="C6" s="39"/>
      <c r="D6" s="198"/>
      <c r="E6" s="22"/>
      <c r="F6" s="45" t="s">
        <v>172</v>
      </c>
      <c r="G6" s="39"/>
      <c r="H6" s="4"/>
    </row>
    <row r="7" spans="1:8" x14ac:dyDescent="0.3">
      <c r="A7" s="51">
        <v>47826</v>
      </c>
      <c r="B7" s="49" t="s">
        <v>24</v>
      </c>
      <c r="C7" s="39"/>
      <c r="D7" s="199">
        <v>65152</v>
      </c>
      <c r="E7" s="22">
        <v>34698</v>
      </c>
      <c r="F7" s="48" t="s">
        <v>24</v>
      </c>
      <c r="G7" s="39">
        <f>59372+5776</f>
        <v>65148</v>
      </c>
      <c r="H7" s="4"/>
    </row>
    <row r="8" spans="1:8" x14ac:dyDescent="0.3">
      <c r="A8" s="51"/>
      <c r="B8" s="48"/>
      <c r="C8" s="39"/>
      <c r="D8" s="199"/>
      <c r="E8" s="22">
        <v>105480</v>
      </c>
      <c r="F8" s="48" t="s">
        <v>25</v>
      </c>
      <c r="G8" s="39">
        <v>105480</v>
      </c>
      <c r="H8" s="4"/>
    </row>
    <row r="9" spans="1:8" x14ac:dyDescent="0.3">
      <c r="A9" s="51">
        <v>21082</v>
      </c>
      <c r="B9" s="49" t="s">
        <v>37</v>
      </c>
      <c r="C9" s="39"/>
      <c r="D9" s="199">
        <v>26000</v>
      </c>
      <c r="E9" s="22">
        <v>19800</v>
      </c>
      <c r="F9" s="48" t="s">
        <v>110</v>
      </c>
      <c r="G9" s="39">
        <v>19800</v>
      </c>
      <c r="H9" s="4"/>
    </row>
    <row r="10" spans="1:8" x14ac:dyDescent="0.3">
      <c r="A10" s="51"/>
      <c r="B10" s="48"/>
      <c r="C10" s="39"/>
      <c r="D10" s="199"/>
      <c r="E10" s="22">
        <v>25560</v>
      </c>
      <c r="F10" s="48" t="s">
        <v>109</v>
      </c>
      <c r="G10" s="39">
        <v>25560</v>
      </c>
      <c r="H10" s="4"/>
    </row>
    <row r="11" spans="1:8" x14ac:dyDescent="0.3">
      <c r="A11" s="51">
        <v>33140</v>
      </c>
      <c r="B11" s="49" t="s">
        <v>38</v>
      </c>
      <c r="C11" s="39"/>
      <c r="D11" s="199">
        <v>32687</v>
      </c>
      <c r="E11" s="22">
        <v>4200</v>
      </c>
      <c r="F11" s="48" t="s">
        <v>26</v>
      </c>
      <c r="G11" s="39">
        <f>5250+118</f>
        <v>5368</v>
      </c>
      <c r="H11" s="4"/>
    </row>
    <row r="12" spans="1:8" x14ac:dyDescent="0.3">
      <c r="A12" s="34"/>
      <c r="B12" s="48"/>
      <c r="C12" s="39"/>
      <c r="D12" s="198"/>
      <c r="E12" s="22">
        <v>55900</v>
      </c>
      <c r="F12" s="48" t="s">
        <v>27</v>
      </c>
      <c r="G12" s="39">
        <f>26250+28000+3500</f>
        <v>57750</v>
      </c>
      <c r="H12" s="4"/>
    </row>
    <row r="13" spans="1:8" x14ac:dyDescent="0.3">
      <c r="A13" s="51"/>
      <c r="B13" s="45" t="s">
        <v>42</v>
      </c>
      <c r="C13" s="39"/>
      <c r="D13" s="198"/>
      <c r="E13" s="22">
        <v>7344</v>
      </c>
      <c r="F13" s="48" t="s">
        <v>28</v>
      </c>
      <c r="G13" s="39">
        <v>7344</v>
      </c>
      <c r="H13" s="4"/>
    </row>
    <row r="14" spans="1:8" x14ac:dyDescent="0.3">
      <c r="A14" s="51">
        <v>22800</v>
      </c>
      <c r="B14" s="48" t="s">
        <v>42</v>
      </c>
      <c r="C14" s="22">
        <v>24000</v>
      </c>
      <c r="D14" s="200"/>
      <c r="E14" s="22">
        <v>1947</v>
      </c>
      <c r="F14" s="48" t="s">
        <v>29</v>
      </c>
      <c r="G14" s="52">
        <v>2589</v>
      </c>
      <c r="H14" s="6">
        <f>SUM(G7:G14)</f>
        <v>289039</v>
      </c>
    </row>
    <row r="15" spans="1:8" x14ac:dyDescent="0.3">
      <c r="A15" s="51">
        <v>3100</v>
      </c>
      <c r="B15" s="48" t="s">
        <v>43</v>
      </c>
      <c r="C15" s="52">
        <v>2000</v>
      </c>
      <c r="D15" s="201">
        <f>SUM(C14:C15)</f>
        <v>26000</v>
      </c>
      <c r="E15" s="22"/>
      <c r="F15" s="48"/>
      <c r="G15" s="39"/>
      <c r="H15" s="4"/>
    </row>
    <row r="16" spans="1:8" x14ac:dyDescent="0.3">
      <c r="A16" s="51"/>
      <c r="B16" s="45" t="s">
        <v>170</v>
      </c>
      <c r="C16" s="39"/>
      <c r="D16" s="198"/>
      <c r="E16" s="22"/>
      <c r="F16" s="45" t="s">
        <v>171</v>
      </c>
      <c r="G16" s="39"/>
      <c r="H16" s="4"/>
    </row>
    <row r="17" spans="1:8" x14ac:dyDescent="0.3">
      <c r="A17" s="51">
        <v>1320</v>
      </c>
      <c r="B17" s="48" t="s">
        <v>44</v>
      </c>
      <c r="C17" s="22">
        <v>550</v>
      </c>
      <c r="D17" s="198"/>
      <c r="E17" s="22">
        <v>0</v>
      </c>
      <c r="F17" s="48" t="s">
        <v>222</v>
      </c>
      <c r="G17" s="39">
        <v>7580</v>
      </c>
      <c r="H17" s="6"/>
    </row>
    <row r="18" spans="1:8" x14ac:dyDescent="0.3">
      <c r="A18" s="51">
        <v>1416</v>
      </c>
      <c r="B18" s="48" t="s">
        <v>45</v>
      </c>
      <c r="C18" s="22">
        <v>1416</v>
      </c>
      <c r="D18" s="198"/>
      <c r="E18" s="22">
        <v>0</v>
      </c>
      <c r="F18" s="48" t="s">
        <v>120</v>
      </c>
      <c r="G18" s="21">
        <v>0</v>
      </c>
      <c r="H18" s="6">
        <f>SUM(G17:G18)</f>
        <v>7580</v>
      </c>
    </row>
    <row r="19" spans="1:8" x14ac:dyDescent="0.3">
      <c r="A19" s="51">
        <v>3890</v>
      </c>
      <c r="B19" s="48" t="s">
        <v>46</v>
      </c>
      <c r="C19" s="22">
        <f>19000+620</f>
        <v>19620</v>
      </c>
      <c r="D19" s="198"/>
      <c r="E19" s="22"/>
      <c r="F19" s="48"/>
      <c r="G19" s="39"/>
      <c r="H19" s="4"/>
    </row>
    <row r="20" spans="1:8" x14ac:dyDescent="0.3">
      <c r="A20" s="51">
        <v>1525.26</v>
      </c>
      <c r="B20" s="48" t="s">
        <v>183</v>
      </c>
      <c r="C20" s="22">
        <v>1740</v>
      </c>
      <c r="D20" s="198"/>
      <c r="E20" s="22"/>
      <c r="F20" s="45" t="s">
        <v>173</v>
      </c>
      <c r="G20" s="39"/>
      <c r="H20" s="4"/>
    </row>
    <row r="21" spans="1:8" x14ac:dyDescent="0.3">
      <c r="A21" s="51">
        <v>2700</v>
      </c>
      <c r="B21" s="48" t="s">
        <v>118</v>
      </c>
      <c r="C21" s="22">
        <v>0</v>
      </c>
      <c r="D21" s="199"/>
      <c r="E21" s="22">
        <v>0</v>
      </c>
      <c r="F21" s="48" t="s">
        <v>112</v>
      </c>
      <c r="G21" s="39">
        <v>0</v>
      </c>
      <c r="H21" s="4"/>
    </row>
    <row r="22" spans="1:8" x14ac:dyDescent="0.3">
      <c r="A22" s="51">
        <v>32530</v>
      </c>
      <c r="B22" s="48" t="s">
        <v>160</v>
      </c>
      <c r="C22" s="21">
        <v>14300</v>
      </c>
      <c r="D22" s="199">
        <f>SUM(C17:C22)</f>
        <v>37626</v>
      </c>
      <c r="E22" s="22">
        <v>557</v>
      </c>
      <c r="F22" s="48" t="s">
        <v>111</v>
      </c>
      <c r="G22" s="39">
        <v>0</v>
      </c>
      <c r="H22" s="4"/>
    </row>
    <row r="23" spans="1:8" x14ac:dyDescent="0.3">
      <c r="A23" s="34"/>
      <c r="B23" s="45" t="s">
        <v>169</v>
      </c>
      <c r="C23" s="39"/>
      <c r="D23" s="198"/>
      <c r="E23" s="22">
        <v>24108</v>
      </c>
      <c r="F23" s="48" t="s">
        <v>32</v>
      </c>
      <c r="G23" s="21">
        <v>33043</v>
      </c>
      <c r="H23" s="6">
        <f>SUM(G21:G23)</f>
        <v>33043</v>
      </c>
    </row>
    <row r="24" spans="1:8" x14ac:dyDescent="0.3">
      <c r="A24" s="34">
        <v>4190</v>
      </c>
      <c r="B24" s="48" t="s">
        <v>48</v>
      </c>
      <c r="C24" s="39">
        <v>4248</v>
      </c>
      <c r="D24" s="198"/>
      <c r="E24" s="22"/>
      <c r="F24" s="48"/>
      <c r="G24" s="39"/>
      <c r="H24" s="6"/>
    </row>
    <row r="25" spans="1:8" x14ac:dyDescent="0.3">
      <c r="A25" s="34">
        <v>9512</v>
      </c>
      <c r="B25" s="48" t="s">
        <v>50</v>
      </c>
      <c r="C25" s="39">
        <v>9525</v>
      </c>
      <c r="D25" s="198"/>
      <c r="E25" s="22">
        <v>240311</v>
      </c>
      <c r="F25" s="48" t="s">
        <v>33</v>
      </c>
      <c r="G25" s="39">
        <v>259931</v>
      </c>
      <c r="H25" s="6"/>
    </row>
    <row r="26" spans="1:8" x14ac:dyDescent="0.3">
      <c r="A26" s="34">
        <v>826</v>
      </c>
      <c r="B26" s="48" t="s">
        <v>51</v>
      </c>
      <c r="C26" s="39">
        <v>0</v>
      </c>
      <c r="D26" s="198"/>
      <c r="E26" s="22">
        <v>-14745</v>
      </c>
      <c r="F26" s="48" t="s">
        <v>113</v>
      </c>
      <c r="G26" s="39">
        <v>-17034</v>
      </c>
      <c r="H26" s="4"/>
    </row>
    <row r="27" spans="1:8" x14ac:dyDescent="0.3">
      <c r="A27" s="34">
        <v>2000</v>
      </c>
      <c r="B27" s="48" t="s">
        <v>52</v>
      </c>
      <c r="C27" s="39">
        <v>2000</v>
      </c>
      <c r="D27" s="198"/>
      <c r="E27" s="22">
        <v>-189813</v>
      </c>
      <c r="F27" s="48" t="s">
        <v>114</v>
      </c>
      <c r="G27" s="39">
        <f>-214552</f>
        <v>-214552</v>
      </c>
      <c r="H27" s="4"/>
    </row>
    <row r="28" spans="1:8" x14ac:dyDescent="0.3">
      <c r="A28" s="34">
        <v>5664</v>
      </c>
      <c r="B28" s="48" t="s">
        <v>53</v>
      </c>
      <c r="C28" s="39">
        <v>0</v>
      </c>
      <c r="D28" s="198"/>
      <c r="E28" s="22">
        <v>-11657</v>
      </c>
      <c r="F28" s="48" t="s">
        <v>115</v>
      </c>
      <c r="G28" s="39">
        <v>-13521</v>
      </c>
      <c r="H28" s="4"/>
    </row>
    <row r="29" spans="1:8" x14ac:dyDescent="0.3">
      <c r="A29" s="34">
        <v>29000</v>
      </c>
      <c r="B29" s="48" t="s">
        <v>136</v>
      </c>
      <c r="C29" s="39">
        <f>3000+48000</f>
        <v>51000</v>
      </c>
      <c r="D29" s="198"/>
      <c r="E29" s="22">
        <v>0</v>
      </c>
      <c r="F29" s="48" t="s">
        <v>224</v>
      </c>
      <c r="G29" s="39">
        <v>-98</v>
      </c>
      <c r="H29" s="4"/>
    </row>
    <row r="30" spans="1:8" x14ac:dyDescent="0.3">
      <c r="A30" s="34">
        <v>5843</v>
      </c>
      <c r="B30" s="48" t="s">
        <v>58</v>
      </c>
      <c r="C30" s="21">
        <f>'Sch II'!G9</f>
        <v>4971</v>
      </c>
      <c r="D30" s="199">
        <f>SUM(C24:C30)</f>
        <v>71744</v>
      </c>
      <c r="E30" s="22">
        <v>-981</v>
      </c>
      <c r="F30" s="48" t="s">
        <v>116</v>
      </c>
      <c r="G30" s="39">
        <v>-1287</v>
      </c>
      <c r="H30" s="4"/>
    </row>
    <row r="31" spans="1:8" x14ac:dyDescent="0.3">
      <c r="A31" s="34"/>
      <c r="B31" s="48"/>
      <c r="C31" s="39"/>
      <c r="D31" s="198"/>
      <c r="E31" s="22">
        <v>-11253</v>
      </c>
      <c r="F31" s="48" t="s">
        <v>117</v>
      </c>
      <c r="G31" s="21">
        <v>-12806</v>
      </c>
      <c r="H31" s="6">
        <f>SUM(G25:G31)</f>
        <v>633</v>
      </c>
    </row>
    <row r="32" spans="1:8" x14ac:dyDescent="0.3">
      <c r="A32" s="34">
        <v>308010</v>
      </c>
      <c r="B32" s="48" t="s">
        <v>30</v>
      </c>
      <c r="C32" s="39">
        <v>0</v>
      </c>
      <c r="D32" s="198"/>
      <c r="E32" s="22"/>
      <c r="F32" s="48"/>
      <c r="G32" s="22"/>
      <c r="H32" s="4"/>
    </row>
    <row r="33" spans="1:9" x14ac:dyDescent="0.3">
      <c r="A33" s="34">
        <v>-308010</v>
      </c>
      <c r="B33" s="48" t="s">
        <v>134</v>
      </c>
      <c r="C33" s="21">
        <v>0</v>
      </c>
      <c r="D33" s="199">
        <f>SUM(C32:C33)</f>
        <v>0</v>
      </c>
      <c r="E33" s="22"/>
      <c r="F33" s="45" t="s">
        <v>174</v>
      </c>
      <c r="G33" s="22"/>
      <c r="H33" s="4"/>
    </row>
    <row r="34" spans="1:9" x14ac:dyDescent="0.3">
      <c r="A34" s="34"/>
      <c r="B34" s="45" t="s">
        <v>168</v>
      </c>
      <c r="C34" s="39"/>
      <c r="D34" s="198"/>
      <c r="E34" s="64"/>
      <c r="F34" s="48" t="s">
        <v>34</v>
      </c>
      <c r="G34" s="22"/>
      <c r="H34" s="4">
        <v>0</v>
      </c>
    </row>
    <row r="35" spans="1:9" x14ac:dyDescent="0.3">
      <c r="A35" s="34">
        <v>10496</v>
      </c>
      <c r="B35" s="48" t="s">
        <v>55</v>
      </c>
      <c r="C35" s="39">
        <v>10496</v>
      </c>
      <c r="D35" s="198"/>
      <c r="E35" s="22"/>
      <c r="F35" s="48"/>
      <c r="G35" s="22"/>
      <c r="H35" s="6"/>
    </row>
    <row r="36" spans="1:9" x14ac:dyDescent="0.3">
      <c r="A36" s="34">
        <v>4252</v>
      </c>
      <c r="B36" s="48" t="s">
        <v>56</v>
      </c>
      <c r="C36" s="39">
        <v>15886</v>
      </c>
      <c r="D36" s="198"/>
      <c r="E36" s="22"/>
      <c r="F36" s="48"/>
      <c r="G36" s="22"/>
      <c r="H36" s="6"/>
    </row>
    <row r="37" spans="1:9" x14ac:dyDescent="0.3">
      <c r="A37" s="34">
        <v>1949</v>
      </c>
      <c r="B37" s="48" t="s">
        <v>57</v>
      </c>
      <c r="C37" s="39">
        <v>2576</v>
      </c>
      <c r="D37" s="198"/>
      <c r="E37" s="22"/>
      <c r="F37" s="48"/>
      <c r="G37" s="22"/>
      <c r="H37" s="6"/>
    </row>
    <row r="38" spans="1:9" x14ac:dyDescent="0.3">
      <c r="A38" s="34">
        <v>0</v>
      </c>
      <c r="B38" s="48" t="s">
        <v>225</v>
      </c>
      <c r="C38" s="21">
        <v>1190</v>
      </c>
      <c r="D38" s="199">
        <f>SUM(C35:C38)</f>
        <v>30148</v>
      </c>
      <c r="E38" s="22"/>
      <c r="F38" s="48"/>
      <c r="G38" s="22"/>
      <c r="H38" s="6"/>
    </row>
    <row r="39" spans="1:9" ht="6" customHeight="1" x14ac:dyDescent="0.3">
      <c r="A39" s="34"/>
      <c r="B39" s="48"/>
      <c r="C39" s="39"/>
      <c r="D39" s="198"/>
      <c r="E39" s="22"/>
      <c r="F39" s="48"/>
      <c r="G39" s="22"/>
      <c r="H39" s="6"/>
    </row>
    <row r="40" spans="1:9" x14ac:dyDescent="0.3">
      <c r="A40" s="34"/>
      <c r="B40" s="45" t="str">
        <f>"Excess of "&amp;IF(D42&gt;0,"Income over Expenditure","Expenditure over Income")&amp;":"</f>
        <v>Excess of Income over Expenditure:</v>
      </c>
      <c r="C40" s="39"/>
      <c r="D40" s="198"/>
      <c r="E40" s="22"/>
      <c r="F40" s="48"/>
      <c r="G40" s="22"/>
      <c r="H40" s="6"/>
    </row>
    <row r="41" spans="1:9" x14ac:dyDescent="0.3">
      <c r="A41" s="33">
        <v>0</v>
      </c>
      <c r="B41" s="47" t="s">
        <v>35</v>
      </c>
      <c r="C41" s="39"/>
      <c r="D41" s="202">
        <f>ROUND((H43-SUM(D6:D40))*25%,)</f>
        <v>10235</v>
      </c>
      <c r="E41" s="22"/>
      <c r="F41" s="48"/>
      <c r="G41" s="22"/>
      <c r="H41" s="6"/>
    </row>
    <row r="42" spans="1:9" x14ac:dyDescent="0.3">
      <c r="A42" s="33">
        <v>46394.739999999991</v>
      </c>
      <c r="B42" s="48" t="s">
        <v>108</v>
      </c>
      <c r="C42" s="65"/>
      <c r="D42" s="203">
        <f>H43-SUM(D6:D41)</f>
        <v>30703</v>
      </c>
      <c r="E42" s="22"/>
      <c r="F42" s="48"/>
      <c r="G42" s="22"/>
      <c r="H42" s="6"/>
    </row>
    <row r="43" spans="1:9" ht="15" thickBot="1" x14ac:dyDescent="0.35">
      <c r="A43" s="69">
        <f>SUM(A7:A42)</f>
        <v>291456</v>
      </c>
      <c r="B43" s="124" t="s">
        <v>31</v>
      </c>
      <c r="C43" s="125"/>
      <c r="D43" s="204">
        <f>SUM(D6:D42)</f>
        <v>330295</v>
      </c>
      <c r="E43" s="196">
        <f>SUM(E7:E42)</f>
        <v>291456</v>
      </c>
      <c r="F43" s="124" t="s">
        <v>31</v>
      </c>
      <c r="G43" s="125"/>
      <c r="H43" s="68">
        <f>SUM(H6:H42)</f>
        <v>330295</v>
      </c>
    </row>
    <row r="44" spans="1:9" ht="6" customHeight="1" thickTop="1" x14ac:dyDescent="0.3">
      <c r="A44" s="72"/>
      <c r="B44" s="84"/>
      <c r="C44" s="84"/>
      <c r="D44" s="85"/>
      <c r="E44" s="84"/>
      <c r="F44" s="84"/>
      <c r="G44" s="84"/>
      <c r="H44" s="73"/>
    </row>
    <row r="45" spans="1:9" ht="15.6" x14ac:dyDescent="0.3">
      <c r="A45" s="72" t="s">
        <v>233</v>
      </c>
      <c r="B45" s="84"/>
      <c r="C45" s="84"/>
      <c r="D45" s="84"/>
      <c r="E45" s="137" t="s">
        <v>238</v>
      </c>
      <c r="F45" s="137"/>
      <c r="G45" s="137"/>
      <c r="H45" s="74"/>
      <c r="I45" s="1">
        <f>A43-E43</f>
        <v>0</v>
      </c>
    </row>
    <row r="46" spans="1:9" x14ac:dyDescent="0.3">
      <c r="A46" s="72"/>
      <c r="B46" s="84"/>
      <c r="C46" s="84"/>
      <c r="D46" s="85"/>
      <c r="E46" s="84"/>
      <c r="F46" s="84"/>
      <c r="G46" s="84"/>
      <c r="H46" s="73"/>
      <c r="I46" s="1">
        <f>D43-H43</f>
        <v>0</v>
      </c>
    </row>
    <row r="47" spans="1:9" customFormat="1" ht="15.9" customHeight="1" x14ac:dyDescent="0.3">
      <c r="A47" s="72"/>
      <c r="B47" s="84"/>
      <c r="C47" s="84"/>
      <c r="D47" s="85"/>
      <c r="E47" s="84"/>
      <c r="F47" s="84"/>
      <c r="G47" s="84"/>
      <c r="H47" s="73"/>
      <c r="I47" s="12"/>
    </row>
    <row r="48" spans="1:9" customFormat="1" ht="15.9" customHeight="1" x14ac:dyDescent="0.3">
      <c r="A48" s="72"/>
      <c r="B48" s="84"/>
      <c r="C48" s="84"/>
      <c r="D48" s="85"/>
      <c r="E48" s="84"/>
      <c r="F48" s="84"/>
      <c r="G48" s="84"/>
      <c r="H48" s="73"/>
      <c r="I48" s="12"/>
    </row>
    <row r="49" spans="1:13" customFormat="1" ht="15.9" customHeight="1" x14ac:dyDescent="0.3">
      <c r="A49" s="72"/>
      <c r="B49" s="84"/>
      <c r="C49" s="84"/>
      <c r="D49" s="85"/>
      <c r="E49" s="84"/>
      <c r="F49" s="84"/>
      <c r="G49" s="84"/>
      <c r="H49" s="73"/>
      <c r="I49" s="12"/>
    </row>
    <row r="50" spans="1:13" customFormat="1" ht="15.9" customHeight="1" x14ac:dyDescent="0.3">
      <c r="A50" s="79" t="s">
        <v>234</v>
      </c>
      <c r="B50" s="84"/>
      <c r="C50" s="84"/>
      <c r="D50" s="85"/>
      <c r="E50" s="84"/>
      <c r="F50" s="84"/>
      <c r="G50" s="84"/>
      <c r="H50" s="73"/>
      <c r="I50" s="12"/>
      <c r="K50" s="75"/>
    </row>
    <row r="51" spans="1:13" customFormat="1" ht="15.9" customHeight="1" x14ac:dyDescent="0.3">
      <c r="A51" s="72" t="s">
        <v>235</v>
      </c>
      <c r="B51" s="84"/>
      <c r="C51" s="84"/>
      <c r="D51" s="85"/>
      <c r="H51" s="80"/>
      <c r="I51" s="12"/>
      <c r="K51" s="76"/>
    </row>
    <row r="52" spans="1:13" customFormat="1" ht="15.9" customHeight="1" x14ac:dyDescent="0.3">
      <c r="A52" s="72" t="s">
        <v>236</v>
      </c>
      <c r="B52" s="84"/>
      <c r="C52" s="84"/>
      <c r="D52" s="85"/>
      <c r="E52" s="121" t="s">
        <v>237</v>
      </c>
      <c r="F52" s="121"/>
      <c r="G52" s="121"/>
      <c r="H52" s="73"/>
      <c r="I52" s="77"/>
      <c r="K52" s="76"/>
      <c r="L52" s="78"/>
      <c r="M52" s="78"/>
    </row>
    <row r="53" spans="1:13" customFormat="1" ht="15.9" customHeight="1" x14ac:dyDescent="0.3">
      <c r="A53" s="122">
        <v>45912</v>
      </c>
      <c r="B53" s="123"/>
      <c r="C53" s="123"/>
      <c r="D53" s="81"/>
      <c r="E53" s="82"/>
      <c r="F53" s="82"/>
      <c r="G53" s="82"/>
      <c r="H53" s="83"/>
      <c r="I53" s="12">
        <f>D43-H43</f>
        <v>0</v>
      </c>
      <c r="K53" s="60"/>
    </row>
  </sheetData>
  <mergeCells count="11">
    <mergeCell ref="E52:G52"/>
    <mergeCell ref="A53:C53"/>
    <mergeCell ref="F43:G43"/>
    <mergeCell ref="B43:C43"/>
    <mergeCell ref="A1:H1"/>
    <mergeCell ref="A2:H2"/>
    <mergeCell ref="A3:H3"/>
    <mergeCell ref="A4:H4"/>
    <mergeCell ref="B5:C5"/>
    <mergeCell ref="F5:G5"/>
    <mergeCell ref="E45:G45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3"/>
  <sheetViews>
    <sheetView view="pageBreakPreview" zoomScaleNormal="99" zoomScaleSheetLayoutView="100" workbookViewId="0">
      <selection activeCell="E13" sqref="E13:E14"/>
    </sheetView>
  </sheetViews>
  <sheetFormatPr defaultColWidth="8.88671875" defaultRowHeight="14.4" x14ac:dyDescent="0.3"/>
  <cols>
    <col min="1" max="1" width="3.33203125" style="154" bestFit="1" customWidth="1"/>
    <col min="2" max="2" width="21.5546875" style="195" bestFit="1" customWidth="1"/>
    <col min="3" max="3" width="6.6640625" style="154" bestFit="1" customWidth="1"/>
    <col min="4" max="4" width="6.33203125" style="154" bestFit="1" customWidth="1"/>
    <col min="5" max="5" width="14.77734375" style="154" customWidth="1"/>
    <col min="6" max="10" width="14.77734375" style="58" customWidth="1"/>
    <col min="11" max="11" width="14.77734375" style="155" customWidth="1"/>
    <col min="12" max="12" width="7.88671875" style="155" customWidth="1"/>
    <col min="13" max="13" width="11.44140625" style="76" hidden="1" customWidth="1"/>
    <col min="14" max="14" width="12.33203125" style="76" hidden="1" customWidth="1"/>
    <col min="15" max="15" width="11.44140625" style="76" hidden="1" customWidth="1"/>
    <col min="16" max="16" width="9" style="76" hidden="1" customWidth="1"/>
    <col min="17" max="17" width="12.21875" style="155" hidden="1" customWidth="1"/>
    <col min="18" max="18" width="8.88671875" style="155" hidden="1" customWidth="1"/>
    <col min="19" max="16384" width="8.88671875" style="155"/>
  </cols>
  <sheetData>
    <row r="1" spans="1:17" ht="18" x14ac:dyDescent="0.3">
      <c r="B1" s="143" t="s">
        <v>23</v>
      </c>
      <c r="C1" s="143"/>
      <c r="D1" s="143"/>
      <c r="E1" s="143"/>
      <c r="F1" s="143"/>
      <c r="G1" s="143"/>
      <c r="H1" s="143"/>
      <c r="I1" s="143"/>
      <c r="J1" s="143"/>
      <c r="K1" s="143"/>
    </row>
    <row r="2" spans="1:17" x14ac:dyDescent="0.3">
      <c r="B2" s="144" t="s">
        <v>184</v>
      </c>
      <c r="C2" s="144"/>
      <c r="D2" s="144"/>
      <c r="E2" s="144"/>
      <c r="F2" s="144"/>
      <c r="G2" s="144"/>
      <c r="H2" s="144"/>
      <c r="I2" s="144"/>
      <c r="J2" s="144"/>
      <c r="K2" s="144"/>
    </row>
    <row r="3" spans="1:17" s="157" customFormat="1" ht="29.4" thickBot="1" x14ac:dyDescent="0.35">
      <c r="A3" s="156" t="s">
        <v>88</v>
      </c>
      <c r="B3" s="156" t="s">
        <v>6</v>
      </c>
      <c r="C3" s="156" t="s">
        <v>17</v>
      </c>
      <c r="D3" s="156" t="s">
        <v>9</v>
      </c>
      <c r="E3" s="156" t="s">
        <v>7</v>
      </c>
      <c r="F3" s="91" t="s">
        <v>8</v>
      </c>
      <c r="G3" s="91" t="s">
        <v>142</v>
      </c>
      <c r="H3" s="91" t="s">
        <v>185</v>
      </c>
      <c r="I3" s="91" t="s">
        <v>18</v>
      </c>
      <c r="J3" s="91" t="s">
        <v>16</v>
      </c>
      <c r="K3" s="156" t="s">
        <v>11</v>
      </c>
      <c r="M3" s="158" t="s">
        <v>186</v>
      </c>
      <c r="N3" s="158" t="s">
        <v>187</v>
      </c>
      <c r="O3" s="159"/>
      <c r="P3" s="159"/>
    </row>
    <row r="4" spans="1:17" ht="15.6" thickTop="1" thickBot="1" x14ac:dyDescent="0.35">
      <c r="B4" s="160" t="s">
        <v>5</v>
      </c>
    </row>
    <row r="5" spans="1:17" ht="15" thickTop="1" x14ac:dyDescent="0.3">
      <c r="A5" s="161">
        <v>1</v>
      </c>
      <c r="B5" s="162" t="s">
        <v>209</v>
      </c>
      <c r="C5" s="163">
        <v>6.6500000000000004E-2</v>
      </c>
      <c r="D5" s="164" t="s">
        <v>12</v>
      </c>
      <c r="E5" s="165" t="s">
        <v>146</v>
      </c>
      <c r="F5" s="55">
        <v>36754</v>
      </c>
      <c r="G5" s="55">
        <v>0</v>
      </c>
      <c r="H5" s="55">
        <f>200-20</f>
        <v>180</v>
      </c>
      <c r="I5" s="55">
        <f>F5+G5+H5</f>
        <v>36934</v>
      </c>
      <c r="J5" s="55">
        <v>39260</v>
      </c>
      <c r="K5" s="166" t="s">
        <v>210</v>
      </c>
      <c r="M5" s="76">
        <v>2502</v>
      </c>
      <c r="N5" s="76">
        <v>200</v>
      </c>
      <c r="P5" s="76">
        <f>271-251</f>
        <v>20</v>
      </c>
    </row>
    <row r="6" spans="1:17" x14ac:dyDescent="0.3">
      <c r="A6" s="161">
        <v>2</v>
      </c>
      <c r="B6" s="167" t="s">
        <v>208</v>
      </c>
      <c r="C6" s="163">
        <v>6.6500000000000004E-2</v>
      </c>
      <c r="D6" s="164" t="s">
        <v>12</v>
      </c>
      <c r="E6" s="165" t="s">
        <v>145</v>
      </c>
      <c r="F6" s="55">
        <v>93044</v>
      </c>
      <c r="G6" s="55">
        <v>0</v>
      </c>
      <c r="H6" s="55">
        <f>50-5</f>
        <v>45</v>
      </c>
      <c r="I6" s="55">
        <f t="shared" ref="I6:I13" si="0">F6+G6+H6</f>
        <v>93089</v>
      </c>
      <c r="J6" s="55">
        <v>99387</v>
      </c>
      <c r="K6" s="166" t="s">
        <v>193</v>
      </c>
      <c r="M6" s="76">
        <v>6829</v>
      </c>
      <c r="N6" s="76">
        <v>50</v>
      </c>
      <c r="P6" s="76">
        <f>688-683</f>
        <v>5</v>
      </c>
    </row>
    <row r="7" spans="1:17" x14ac:dyDescent="0.3">
      <c r="A7" s="161">
        <v>3</v>
      </c>
      <c r="B7" s="167" t="s">
        <v>207</v>
      </c>
      <c r="C7" s="163">
        <v>6.6500000000000004E-2</v>
      </c>
      <c r="D7" s="164" t="s">
        <v>12</v>
      </c>
      <c r="E7" s="165" t="s">
        <v>145</v>
      </c>
      <c r="F7" s="55">
        <v>75226</v>
      </c>
      <c r="G7" s="55">
        <v>0</v>
      </c>
      <c r="H7" s="55">
        <f>41-4</f>
        <v>37</v>
      </c>
      <c r="I7" s="55">
        <f t="shared" si="0"/>
        <v>75263</v>
      </c>
      <c r="J7" s="55">
        <v>80355</v>
      </c>
      <c r="K7" s="166" t="s">
        <v>193</v>
      </c>
      <c r="L7" s="168"/>
      <c r="M7" s="76">
        <v>5521</v>
      </c>
      <c r="N7" s="76">
        <v>41</v>
      </c>
      <c r="P7" s="76">
        <f>557-553</f>
        <v>4</v>
      </c>
    </row>
    <row r="8" spans="1:17" x14ac:dyDescent="0.3">
      <c r="A8" s="161">
        <v>4</v>
      </c>
      <c r="B8" s="167" t="s">
        <v>206</v>
      </c>
      <c r="C8" s="163">
        <v>6.6500000000000004E-2</v>
      </c>
      <c r="D8" s="164" t="s">
        <v>12</v>
      </c>
      <c r="E8" s="165" t="s">
        <v>145</v>
      </c>
      <c r="F8" s="55">
        <v>2304166</v>
      </c>
      <c r="G8" s="55">
        <v>0</v>
      </c>
      <c r="H8" s="55">
        <f>1259-126</f>
        <v>1133</v>
      </c>
      <c r="I8" s="55">
        <f t="shared" si="0"/>
        <v>2305299</v>
      </c>
      <c r="J8" s="55">
        <v>2461257</v>
      </c>
      <c r="K8" s="166" t="s">
        <v>193</v>
      </c>
      <c r="M8" s="76">
        <v>169091</v>
      </c>
      <c r="N8" s="76">
        <v>1259</v>
      </c>
      <c r="P8" s="76">
        <f>17035-16909</f>
        <v>126</v>
      </c>
    </row>
    <row r="9" spans="1:17" x14ac:dyDescent="0.3">
      <c r="A9" s="161">
        <v>5</v>
      </c>
      <c r="B9" s="167" t="s">
        <v>205</v>
      </c>
      <c r="C9" s="163">
        <v>6.6500000000000004E-2</v>
      </c>
      <c r="D9" s="164" t="s">
        <v>12</v>
      </c>
      <c r="E9" s="165" t="s">
        <v>145</v>
      </c>
      <c r="F9" s="55">
        <v>9895</v>
      </c>
      <c r="G9" s="55">
        <v>0</v>
      </c>
      <c r="H9" s="55">
        <f>5-1</f>
        <v>4</v>
      </c>
      <c r="I9" s="55">
        <f t="shared" si="0"/>
        <v>9899</v>
      </c>
      <c r="J9" s="55">
        <v>10570</v>
      </c>
      <c r="K9" s="166" t="s">
        <v>193</v>
      </c>
      <c r="M9" s="76">
        <v>727</v>
      </c>
      <c r="N9" s="76">
        <v>5</v>
      </c>
      <c r="P9" s="76">
        <f>74-73</f>
        <v>1</v>
      </c>
    </row>
    <row r="10" spans="1:17" x14ac:dyDescent="0.3">
      <c r="A10" s="161">
        <v>6</v>
      </c>
      <c r="B10" s="169" t="s">
        <v>204</v>
      </c>
      <c r="C10" s="163">
        <v>6.6500000000000004E-2</v>
      </c>
      <c r="D10" s="164" t="s">
        <v>12</v>
      </c>
      <c r="E10" s="165" t="s">
        <v>144</v>
      </c>
      <c r="F10" s="55">
        <v>8535</v>
      </c>
      <c r="G10" s="55">
        <v>0</v>
      </c>
      <c r="H10" s="55">
        <f>9-1</f>
        <v>8</v>
      </c>
      <c r="I10" s="55">
        <f t="shared" si="0"/>
        <v>8543</v>
      </c>
      <c r="J10" s="55">
        <v>9117</v>
      </c>
      <c r="K10" s="166" t="s">
        <v>199</v>
      </c>
      <c r="M10" s="76">
        <v>621</v>
      </c>
      <c r="N10" s="76">
        <v>9</v>
      </c>
      <c r="P10" s="76">
        <f>63-62</f>
        <v>1</v>
      </c>
    </row>
    <row r="11" spans="1:17" x14ac:dyDescent="0.3">
      <c r="A11" s="161">
        <v>7</v>
      </c>
      <c r="B11" s="167" t="s">
        <v>202</v>
      </c>
      <c r="C11" s="163">
        <v>6.6500000000000004E-2</v>
      </c>
      <c r="D11" s="164" t="s">
        <v>12</v>
      </c>
      <c r="E11" s="165" t="s">
        <v>158</v>
      </c>
      <c r="F11" s="55">
        <v>129555</v>
      </c>
      <c r="G11" s="55">
        <v>0</v>
      </c>
      <c r="H11" s="55">
        <f>47-5</f>
        <v>42</v>
      </c>
      <c r="I11" s="55">
        <f t="shared" si="0"/>
        <v>129597</v>
      </c>
      <c r="J11" s="55">
        <v>138388</v>
      </c>
      <c r="K11" s="166" t="s">
        <v>203</v>
      </c>
      <c r="M11" s="76">
        <v>9533</v>
      </c>
      <c r="N11" s="76">
        <v>47</v>
      </c>
      <c r="P11" s="76">
        <f>959-954</f>
        <v>5</v>
      </c>
    </row>
    <row r="12" spans="1:17" x14ac:dyDescent="0.3">
      <c r="A12" s="161">
        <v>8</v>
      </c>
      <c r="B12" s="169" t="s">
        <v>200</v>
      </c>
      <c r="C12" s="163">
        <v>7.4999999999999997E-2</v>
      </c>
      <c r="D12" s="164" t="s">
        <v>12</v>
      </c>
      <c r="E12" s="165" t="s">
        <v>147</v>
      </c>
      <c r="F12" s="55">
        <v>109637</v>
      </c>
      <c r="G12" s="55">
        <v>0</v>
      </c>
      <c r="H12" s="55">
        <f>7876-788</f>
        <v>7088</v>
      </c>
      <c r="I12" s="55">
        <f t="shared" si="0"/>
        <v>116725</v>
      </c>
      <c r="J12" s="55">
        <v>118094</v>
      </c>
      <c r="K12" s="166" t="s">
        <v>201</v>
      </c>
      <c r="M12" s="76">
        <v>522</v>
      </c>
      <c r="N12" s="76">
        <v>7876</v>
      </c>
      <c r="P12" s="76">
        <f>840-52</f>
        <v>788</v>
      </c>
    </row>
    <row r="13" spans="1:17" ht="15" thickBot="1" x14ac:dyDescent="0.35">
      <c r="A13" s="161">
        <v>9</v>
      </c>
      <c r="B13" s="170" t="s">
        <v>188</v>
      </c>
      <c r="C13" s="171">
        <v>6.8500000000000005E-2</v>
      </c>
      <c r="D13" s="172" t="s">
        <v>22</v>
      </c>
      <c r="E13" s="173" t="s">
        <v>181</v>
      </c>
      <c r="F13" s="86">
        <v>135818</v>
      </c>
      <c r="G13" s="86">
        <v>0</v>
      </c>
      <c r="H13" s="86">
        <v>459</v>
      </c>
      <c r="I13" s="86">
        <f t="shared" si="0"/>
        <v>136277</v>
      </c>
      <c r="J13" s="86">
        <v>145363</v>
      </c>
      <c r="K13" s="173" t="s">
        <v>189</v>
      </c>
      <c r="M13" s="76">
        <v>9719</v>
      </c>
      <c r="N13" s="76">
        <v>0</v>
      </c>
    </row>
    <row r="14" spans="1:17" ht="15" thickBot="1" x14ac:dyDescent="0.35">
      <c r="A14" s="174"/>
      <c r="B14" s="175"/>
      <c r="C14" s="176"/>
      <c r="D14" s="177"/>
      <c r="E14" s="177"/>
      <c r="F14" s="87">
        <f>SUM(F5:F13)</f>
        <v>2902630</v>
      </c>
      <c r="G14" s="87">
        <f t="shared" ref="G14:J14" si="1">SUM(G5:G13)</f>
        <v>0</v>
      </c>
      <c r="H14" s="87">
        <f t="shared" si="1"/>
        <v>8996</v>
      </c>
      <c r="I14" s="87">
        <f t="shared" si="1"/>
        <v>2911626</v>
      </c>
      <c r="J14" s="87">
        <f t="shared" si="1"/>
        <v>3101791</v>
      </c>
      <c r="K14" s="178"/>
      <c r="M14" s="53">
        <f t="shared" ref="M14" si="2">SUM(M5:M13)</f>
        <v>205065</v>
      </c>
      <c r="N14" s="53">
        <f t="shared" ref="N14" si="3">SUM(N5:N13)</f>
        <v>9487</v>
      </c>
      <c r="O14" s="76">
        <f>SUM(M14:N14)</f>
        <v>214552</v>
      </c>
      <c r="Q14" s="179"/>
    </row>
    <row r="15" spans="1:17" ht="15" thickBot="1" x14ac:dyDescent="0.35">
      <c r="B15" s="180" t="s">
        <v>19</v>
      </c>
      <c r="C15" s="181"/>
      <c r="D15" s="182"/>
      <c r="E15" s="182"/>
      <c r="F15" s="54"/>
      <c r="G15" s="54"/>
      <c r="H15" s="54"/>
      <c r="I15" s="54"/>
      <c r="J15" s="54"/>
      <c r="K15" s="183"/>
    </row>
    <row r="16" spans="1:17" ht="15.6" thickTop="1" thickBot="1" x14ac:dyDescent="0.35">
      <c r="A16" s="161">
        <f>+A13+1</f>
        <v>10</v>
      </c>
      <c r="B16" s="184" t="s">
        <v>140</v>
      </c>
      <c r="C16" s="171">
        <v>7.2499999999999995E-2</v>
      </c>
      <c r="D16" s="172" t="s">
        <v>22</v>
      </c>
      <c r="E16" s="173" t="s">
        <v>122</v>
      </c>
      <c r="F16" s="86">
        <v>173865.5</v>
      </c>
      <c r="G16" s="86">
        <v>7649</v>
      </c>
      <c r="H16" s="86">
        <v>13521</v>
      </c>
      <c r="I16" s="86">
        <f>F16+G16+H16</f>
        <v>195035.5</v>
      </c>
      <c r="J16" s="88">
        <v>200734</v>
      </c>
      <c r="K16" s="185" t="s">
        <v>182</v>
      </c>
      <c r="M16" s="76">
        <v>13521</v>
      </c>
      <c r="N16" s="76">
        <v>0</v>
      </c>
      <c r="Q16" s="179"/>
    </row>
    <row r="17" spans="1:17" ht="15" thickBot="1" x14ac:dyDescent="0.35">
      <c r="A17" s="174"/>
      <c r="B17" s="175"/>
      <c r="C17" s="176"/>
      <c r="D17" s="177"/>
      <c r="E17" s="177"/>
      <c r="F17" s="87">
        <f>SUM(F16)</f>
        <v>173865.5</v>
      </c>
      <c r="G17" s="87">
        <f>SUM(G16)</f>
        <v>7649</v>
      </c>
      <c r="H17" s="87">
        <f>SUM(H16)</f>
        <v>13521</v>
      </c>
      <c r="I17" s="87">
        <f>SUM(I16)</f>
        <v>195035.5</v>
      </c>
      <c r="J17" s="87">
        <f>SUM(J16)</f>
        <v>200734</v>
      </c>
      <c r="K17" s="178"/>
      <c r="M17" s="53">
        <f t="shared" ref="M17:N17" si="4">SUM(M16)</f>
        <v>13521</v>
      </c>
      <c r="N17" s="53">
        <f t="shared" si="4"/>
        <v>0</v>
      </c>
      <c r="O17" s="76">
        <f>SUM(M17:N17)</f>
        <v>13521</v>
      </c>
    </row>
    <row r="18" spans="1:17" ht="15" thickBot="1" x14ac:dyDescent="0.35">
      <c r="B18" s="180" t="s">
        <v>20</v>
      </c>
      <c r="C18" s="181"/>
      <c r="D18" s="182"/>
      <c r="E18" s="182"/>
      <c r="F18" s="54"/>
      <c r="G18" s="54"/>
      <c r="H18" s="54"/>
      <c r="I18" s="54"/>
      <c r="J18" s="54"/>
      <c r="K18" s="183"/>
    </row>
    <row r="19" spans="1:17" ht="15.6" thickTop="1" thickBot="1" x14ac:dyDescent="0.35">
      <c r="A19" s="161">
        <f>+A16+1</f>
        <v>11</v>
      </c>
      <c r="B19" s="186" t="s">
        <v>141</v>
      </c>
      <c r="C19" s="187">
        <v>7.2499999999999995E-2</v>
      </c>
      <c r="D19" s="164" t="s">
        <v>22</v>
      </c>
      <c r="E19" s="165" t="s">
        <v>122</v>
      </c>
      <c r="F19" s="55">
        <v>173865.5</v>
      </c>
      <c r="G19" s="55">
        <v>7649</v>
      </c>
      <c r="H19" s="55">
        <v>13521</v>
      </c>
      <c r="I19" s="55">
        <f>F19+G19+H19</f>
        <v>195035.5</v>
      </c>
      <c r="J19" s="57">
        <v>200734</v>
      </c>
      <c r="K19" s="166" t="s">
        <v>182</v>
      </c>
      <c r="M19" s="76">
        <v>13521</v>
      </c>
      <c r="N19" s="76">
        <v>0</v>
      </c>
    </row>
    <row r="20" spans="1:17" ht="15" thickBot="1" x14ac:dyDescent="0.35">
      <c r="A20" s="174"/>
      <c r="B20" s="175"/>
      <c r="C20" s="176"/>
      <c r="D20" s="177"/>
      <c r="E20" s="177"/>
      <c r="F20" s="87">
        <f>SUM(F19)</f>
        <v>173865.5</v>
      </c>
      <c r="G20" s="87">
        <f>SUM(G19)</f>
        <v>7649</v>
      </c>
      <c r="H20" s="87">
        <f>SUM(H19)</f>
        <v>13521</v>
      </c>
      <c r="I20" s="87">
        <f>SUM(I19)</f>
        <v>195035.5</v>
      </c>
      <c r="J20" s="87">
        <f>SUM(J19)</f>
        <v>200734</v>
      </c>
      <c r="K20" s="178"/>
      <c r="M20" s="53">
        <f t="shared" ref="M20" si="5">SUM(M19)</f>
        <v>13521</v>
      </c>
      <c r="N20" s="53">
        <f t="shared" ref="N20" si="6">SUM(N19)</f>
        <v>0</v>
      </c>
      <c r="O20" s="76">
        <f>SUM(M20:N20)</f>
        <v>13521</v>
      </c>
      <c r="Q20" s="179"/>
    </row>
    <row r="21" spans="1:17" ht="15" thickBot="1" x14ac:dyDescent="0.35">
      <c r="B21" s="180" t="s">
        <v>10</v>
      </c>
      <c r="C21" s="182"/>
      <c r="D21" s="182"/>
      <c r="E21" s="182"/>
      <c r="F21" s="54"/>
      <c r="G21" s="54"/>
      <c r="H21" s="54"/>
      <c r="I21" s="54"/>
      <c r="J21" s="54"/>
      <c r="K21" s="183"/>
    </row>
    <row r="22" spans="1:17" ht="15" thickTop="1" x14ac:dyDescent="0.3">
      <c r="A22" s="161">
        <f>+A19+1</f>
        <v>12</v>
      </c>
      <c r="B22" s="188" t="s">
        <v>198</v>
      </c>
      <c r="C22" s="163">
        <v>6.6500000000000004E-2</v>
      </c>
      <c r="D22" s="163" t="s">
        <v>12</v>
      </c>
      <c r="E22" s="165" t="s">
        <v>144</v>
      </c>
      <c r="F22" s="55">
        <v>47300</v>
      </c>
      <c r="G22" s="55">
        <v>0</v>
      </c>
      <c r="H22" s="55">
        <f>51-5</f>
        <v>46</v>
      </c>
      <c r="I22" s="55">
        <f>F22+G22+H22</f>
        <v>47346</v>
      </c>
      <c r="J22" s="55">
        <v>50525</v>
      </c>
      <c r="K22" s="166" t="s">
        <v>199</v>
      </c>
      <c r="M22" s="76">
        <v>3444</v>
      </c>
      <c r="N22" s="76">
        <v>51</v>
      </c>
      <c r="Q22" s="155">
        <f>350-345</f>
        <v>5</v>
      </c>
    </row>
    <row r="23" spans="1:17" ht="15" thickBot="1" x14ac:dyDescent="0.35">
      <c r="A23" s="161">
        <v>13</v>
      </c>
      <c r="B23" s="188" t="s">
        <v>213</v>
      </c>
      <c r="C23" s="163">
        <v>6.6500000000000004E-2</v>
      </c>
      <c r="D23" s="163" t="s">
        <v>12</v>
      </c>
      <c r="E23" s="165" t="s">
        <v>158</v>
      </c>
      <c r="F23" s="55">
        <v>52000</v>
      </c>
      <c r="G23" s="55">
        <v>0</v>
      </c>
      <c r="H23" s="55">
        <f>18-2</f>
        <v>16</v>
      </c>
      <c r="I23" s="55">
        <f>F23+G23+H23</f>
        <v>52016</v>
      </c>
      <c r="J23" s="55">
        <v>55545</v>
      </c>
      <c r="K23" s="166" t="s">
        <v>203</v>
      </c>
      <c r="M23" s="76">
        <v>0</v>
      </c>
      <c r="N23" s="76">
        <v>18</v>
      </c>
    </row>
    <row r="24" spans="1:17" ht="15" thickBot="1" x14ac:dyDescent="0.35">
      <c r="A24" s="174"/>
      <c r="B24" s="175"/>
      <c r="C24" s="176"/>
      <c r="D24" s="177"/>
      <c r="E24" s="177"/>
      <c r="F24" s="87">
        <f>SUM(F22:F23)</f>
        <v>99300</v>
      </c>
      <c r="G24" s="87">
        <f t="shared" ref="G24:J24" si="7">SUM(G22:G23)</f>
        <v>0</v>
      </c>
      <c r="H24" s="87">
        <f t="shared" si="7"/>
        <v>62</v>
      </c>
      <c r="I24" s="87">
        <f t="shared" si="7"/>
        <v>99362</v>
      </c>
      <c r="J24" s="87">
        <f t="shared" si="7"/>
        <v>106070</v>
      </c>
      <c r="K24" s="178"/>
      <c r="M24" s="53">
        <f t="shared" ref="M24" si="8">SUM(M22:M23)</f>
        <v>3444</v>
      </c>
      <c r="N24" s="53">
        <f t="shared" ref="N24" si="9">SUM(N22:N23)</f>
        <v>69</v>
      </c>
      <c r="O24" s="76">
        <f>SUM(M24:N24)</f>
        <v>3513</v>
      </c>
      <c r="Q24" s="179"/>
    </row>
    <row r="25" spans="1:17" ht="15" thickBot="1" x14ac:dyDescent="0.35">
      <c r="B25" s="180" t="s">
        <v>62</v>
      </c>
      <c r="C25" s="182"/>
      <c r="D25" s="182"/>
      <c r="E25" s="182"/>
      <c r="F25" s="54"/>
      <c r="G25" s="54"/>
      <c r="H25" s="54"/>
      <c r="I25" s="54"/>
      <c r="J25" s="54"/>
      <c r="K25" s="183"/>
    </row>
    <row r="26" spans="1:17" ht="15" thickTop="1" x14ac:dyDescent="0.3">
      <c r="A26" s="161">
        <f>+A23+1</f>
        <v>14</v>
      </c>
      <c r="B26" s="186" t="s">
        <v>138</v>
      </c>
      <c r="C26" s="187">
        <v>6.8500000000000005E-2</v>
      </c>
      <c r="D26" s="164" t="s">
        <v>22</v>
      </c>
      <c r="E26" s="165" t="s">
        <v>181</v>
      </c>
      <c r="F26" s="55">
        <v>17444</v>
      </c>
      <c r="G26" s="55">
        <v>0</v>
      </c>
      <c r="H26" s="55">
        <v>59</v>
      </c>
      <c r="I26" s="55">
        <f t="shared" ref="I26:I29" si="10">F26+G26+H26</f>
        <v>17503</v>
      </c>
      <c r="J26" s="55">
        <v>18670</v>
      </c>
      <c r="K26" s="166" t="s">
        <v>189</v>
      </c>
      <c r="M26" s="76">
        <v>1248</v>
      </c>
      <c r="N26" s="76">
        <v>0</v>
      </c>
      <c r="P26" s="76">
        <f>+M26-1189</f>
        <v>59</v>
      </c>
    </row>
    <row r="27" spans="1:17" x14ac:dyDescent="0.3">
      <c r="A27" s="161">
        <f>+A26+1</f>
        <v>15</v>
      </c>
      <c r="B27" s="189" t="s">
        <v>194</v>
      </c>
      <c r="C27" s="163">
        <v>6.6500000000000004E-2</v>
      </c>
      <c r="D27" s="164" t="s">
        <v>12</v>
      </c>
      <c r="E27" s="165" t="s">
        <v>156</v>
      </c>
      <c r="F27" s="55">
        <v>87084</v>
      </c>
      <c r="G27" s="55">
        <v>0</v>
      </c>
      <c r="H27" s="55">
        <f>126-13</f>
        <v>113</v>
      </c>
      <c r="I27" s="55">
        <f t="shared" si="10"/>
        <v>87197</v>
      </c>
      <c r="J27" s="55">
        <v>93021</v>
      </c>
      <c r="K27" s="166" t="s">
        <v>195</v>
      </c>
      <c r="M27" s="76">
        <v>6305</v>
      </c>
      <c r="N27" s="76">
        <v>126</v>
      </c>
      <c r="P27" s="76">
        <f>643-630</f>
        <v>13</v>
      </c>
    </row>
    <row r="28" spans="1:17" x14ac:dyDescent="0.3">
      <c r="A28" s="161">
        <f t="shared" ref="A28:A29" si="11">+A27+1</f>
        <v>16</v>
      </c>
      <c r="B28" s="189" t="s">
        <v>196</v>
      </c>
      <c r="C28" s="163">
        <v>6.6500000000000004E-2</v>
      </c>
      <c r="D28" s="164" t="s">
        <v>12</v>
      </c>
      <c r="E28" s="165" t="s">
        <v>145</v>
      </c>
      <c r="F28" s="55">
        <v>1607</v>
      </c>
      <c r="G28" s="55">
        <v>0</v>
      </c>
      <c r="H28" s="55">
        <v>0</v>
      </c>
      <c r="I28" s="55">
        <f t="shared" si="10"/>
        <v>1607</v>
      </c>
      <c r="J28" s="55">
        <v>1717</v>
      </c>
      <c r="K28" s="166" t="s">
        <v>193</v>
      </c>
      <c r="M28" s="76">
        <v>119</v>
      </c>
      <c r="N28" s="76">
        <v>0</v>
      </c>
    </row>
    <row r="29" spans="1:17" ht="15" thickBot="1" x14ac:dyDescent="0.35">
      <c r="A29" s="161">
        <f t="shared" si="11"/>
        <v>17</v>
      </c>
      <c r="B29" s="190" t="s">
        <v>197</v>
      </c>
      <c r="C29" s="163">
        <v>6.6500000000000004E-2</v>
      </c>
      <c r="D29" s="164" t="s">
        <v>12</v>
      </c>
      <c r="E29" s="165" t="s">
        <v>145</v>
      </c>
      <c r="F29" s="55">
        <v>67732</v>
      </c>
      <c r="G29" s="55">
        <v>0</v>
      </c>
      <c r="H29" s="55">
        <f>37-4</f>
        <v>33</v>
      </c>
      <c r="I29" s="55">
        <f t="shared" si="10"/>
        <v>67765</v>
      </c>
      <c r="J29" s="55">
        <v>72350</v>
      </c>
      <c r="K29" s="166" t="s">
        <v>193</v>
      </c>
      <c r="M29" s="76">
        <v>4971</v>
      </c>
      <c r="N29" s="76">
        <v>37</v>
      </c>
      <c r="P29" s="76">
        <f>502-498</f>
        <v>4</v>
      </c>
    </row>
    <row r="30" spans="1:17" ht="15" thickBot="1" x14ac:dyDescent="0.35">
      <c r="A30" s="174"/>
      <c r="B30" s="175"/>
      <c r="C30" s="176"/>
      <c r="D30" s="177"/>
      <c r="E30" s="177"/>
      <c r="F30" s="87">
        <f>SUM(F26:F29)</f>
        <v>173867</v>
      </c>
      <c r="G30" s="87">
        <f>SUM(G26:G29)</f>
        <v>0</v>
      </c>
      <c r="H30" s="87">
        <f>SUM(H26:H29)</f>
        <v>205</v>
      </c>
      <c r="I30" s="87">
        <f>SUM(I26:I29)</f>
        <v>174072</v>
      </c>
      <c r="J30" s="87">
        <f>SUM(J26:J29)</f>
        <v>185758</v>
      </c>
      <c r="K30" s="178"/>
      <c r="M30" s="53">
        <f t="shared" ref="M30:N30" si="12">SUM(M26:M29)</f>
        <v>12643</v>
      </c>
      <c r="N30" s="53">
        <f t="shared" si="12"/>
        <v>163</v>
      </c>
      <c r="O30" s="76">
        <f>SUM(M30:N30)</f>
        <v>12806</v>
      </c>
      <c r="Q30" s="179"/>
    </row>
    <row r="31" spans="1:17" ht="15" thickBot="1" x14ac:dyDescent="0.35">
      <c r="B31" s="180" t="s">
        <v>107</v>
      </c>
      <c r="C31" s="182"/>
      <c r="D31" s="182"/>
      <c r="E31" s="182"/>
      <c r="F31" s="54"/>
      <c r="G31" s="54"/>
      <c r="H31" s="54"/>
      <c r="I31" s="54"/>
      <c r="J31" s="54"/>
      <c r="K31" s="183"/>
    </row>
    <row r="32" spans="1:17" ht="15" thickTop="1" x14ac:dyDescent="0.3">
      <c r="A32" s="161">
        <v>18</v>
      </c>
      <c r="B32" s="188" t="s">
        <v>192</v>
      </c>
      <c r="C32" s="163">
        <v>6.6500000000000004E-2</v>
      </c>
      <c r="D32" s="191" t="s">
        <v>12</v>
      </c>
      <c r="E32" s="164" t="s">
        <v>145</v>
      </c>
      <c r="F32" s="55">
        <v>2925</v>
      </c>
      <c r="G32" s="55">
        <v>0</v>
      </c>
      <c r="H32" s="55">
        <v>1</v>
      </c>
      <c r="I32" s="55">
        <f t="shared" ref="I32:I33" si="13">F32+G32+H32</f>
        <v>2926</v>
      </c>
      <c r="J32" s="55">
        <v>3124</v>
      </c>
      <c r="K32" s="190" t="s">
        <v>193</v>
      </c>
      <c r="M32" s="76">
        <v>215</v>
      </c>
      <c r="N32" s="76">
        <v>1</v>
      </c>
    </row>
    <row r="33" spans="1:17" ht="15" thickBot="1" x14ac:dyDescent="0.35">
      <c r="A33" s="161">
        <v>19</v>
      </c>
      <c r="B33" s="190" t="s">
        <v>139</v>
      </c>
      <c r="C33" s="187">
        <v>6.8500000000000005E-2</v>
      </c>
      <c r="D33" s="163" t="s">
        <v>22</v>
      </c>
      <c r="E33" s="165" t="s">
        <v>181</v>
      </c>
      <c r="F33" s="55">
        <v>14953</v>
      </c>
      <c r="G33" s="55">
        <v>0</v>
      </c>
      <c r="H33" s="55">
        <v>51</v>
      </c>
      <c r="I33" s="55">
        <f t="shared" si="13"/>
        <v>15004</v>
      </c>
      <c r="J33" s="55">
        <v>16004</v>
      </c>
      <c r="K33" s="166" t="s">
        <v>189</v>
      </c>
      <c r="M33" s="76">
        <v>1071</v>
      </c>
      <c r="N33" s="76">
        <v>0</v>
      </c>
      <c r="P33" s="76">
        <f>+M33-1020</f>
        <v>51</v>
      </c>
    </row>
    <row r="34" spans="1:17" ht="15" thickBot="1" x14ac:dyDescent="0.35">
      <c r="A34" s="174"/>
      <c r="B34" s="175"/>
      <c r="C34" s="176"/>
      <c r="D34" s="177"/>
      <c r="E34" s="177"/>
      <c r="F34" s="87">
        <f>SUM(F32:F33)</f>
        <v>17878</v>
      </c>
      <c r="G34" s="87">
        <f>SUM(G32:G33)</f>
        <v>0</v>
      </c>
      <c r="H34" s="87">
        <f>SUM(H32:H33)</f>
        <v>52</v>
      </c>
      <c r="I34" s="87">
        <f>SUM(I32:I33)</f>
        <v>17930</v>
      </c>
      <c r="J34" s="87">
        <f>SUM(J32:J33)</f>
        <v>19128</v>
      </c>
      <c r="K34" s="178"/>
      <c r="M34" s="53">
        <f t="shared" ref="M34:N34" si="14">SUM(M32:M33)</f>
        <v>1286</v>
      </c>
      <c r="N34" s="53">
        <f t="shared" si="14"/>
        <v>1</v>
      </c>
      <c r="O34" s="76">
        <f>SUM(M34:N34)</f>
        <v>1287</v>
      </c>
      <c r="Q34" s="179"/>
    </row>
    <row r="35" spans="1:17" ht="15" thickBot="1" x14ac:dyDescent="0.35">
      <c r="B35" s="180" t="s">
        <v>21</v>
      </c>
      <c r="C35" s="182"/>
      <c r="D35" s="182"/>
      <c r="E35" s="182"/>
      <c r="F35" s="54"/>
      <c r="G35" s="54"/>
      <c r="H35" s="54"/>
      <c r="I35" s="54"/>
      <c r="J35" s="54"/>
      <c r="K35" s="183"/>
    </row>
    <row r="36" spans="1:17" ht="15.6" thickTop="1" thickBot="1" x14ac:dyDescent="0.35">
      <c r="A36" s="161">
        <v>20</v>
      </c>
      <c r="B36" s="186" t="s">
        <v>190</v>
      </c>
      <c r="C36" s="163">
        <v>7.4999999999999997E-2</v>
      </c>
      <c r="D36" s="163" t="s">
        <v>12</v>
      </c>
      <c r="E36" s="165" t="s">
        <v>143</v>
      </c>
      <c r="F36" s="55">
        <v>8250</v>
      </c>
      <c r="G36" s="55">
        <v>0</v>
      </c>
      <c r="H36" s="55">
        <f>584-59</f>
        <v>525</v>
      </c>
      <c r="I36" s="55">
        <f>F36+G36+H36</f>
        <v>8775</v>
      </c>
      <c r="J36" s="55">
        <v>8886</v>
      </c>
      <c r="K36" s="166" t="s">
        <v>191</v>
      </c>
      <c r="L36" s="179"/>
      <c r="M36" s="76">
        <v>49</v>
      </c>
      <c r="N36" s="76">
        <v>584</v>
      </c>
      <c r="P36" s="76">
        <v>64</v>
      </c>
      <c r="Q36" s="155">
        <f>+P36-5</f>
        <v>59</v>
      </c>
    </row>
    <row r="37" spans="1:17" ht="15" thickBot="1" x14ac:dyDescent="0.35">
      <c r="A37" s="174"/>
      <c r="B37" s="175"/>
      <c r="C37" s="176"/>
      <c r="D37" s="177"/>
      <c r="E37" s="177"/>
      <c r="F37" s="87">
        <f>SUM(F36)</f>
        <v>8250</v>
      </c>
      <c r="G37" s="87">
        <f>SUM(G36)</f>
        <v>0</v>
      </c>
      <c r="H37" s="87">
        <f>SUM(H36)</f>
        <v>525</v>
      </c>
      <c r="I37" s="87">
        <f>SUM(I36)</f>
        <v>8775</v>
      </c>
      <c r="J37" s="87">
        <f>SUM(J36)</f>
        <v>8886</v>
      </c>
      <c r="K37" s="178"/>
      <c r="M37" s="53">
        <f t="shared" ref="M37:N37" si="15">SUM(M36)</f>
        <v>49</v>
      </c>
      <c r="N37" s="53">
        <f t="shared" si="15"/>
        <v>584</v>
      </c>
      <c r="O37" s="76">
        <f>SUM(M37:N37)</f>
        <v>633</v>
      </c>
      <c r="Q37" s="179"/>
    </row>
    <row r="38" spans="1:17" ht="15" thickBot="1" x14ac:dyDescent="0.35">
      <c r="B38" s="180" t="s">
        <v>211</v>
      </c>
      <c r="C38" s="182"/>
      <c r="D38" s="182"/>
      <c r="E38" s="182"/>
      <c r="F38" s="54"/>
      <c r="G38" s="54"/>
      <c r="H38" s="54"/>
      <c r="I38" s="54"/>
      <c r="J38" s="54"/>
      <c r="K38" s="183"/>
      <c r="M38" s="61"/>
      <c r="N38" s="61"/>
    </row>
    <row r="39" spans="1:17" ht="15.6" thickTop="1" thickBot="1" x14ac:dyDescent="0.35">
      <c r="A39" s="161">
        <v>21</v>
      </c>
      <c r="B39" s="186" t="s">
        <v>212</v>
      </c>
      <c r="C39" s="163">
        <v>6.6500000000000004E-2</v>
      </c>
      <c r="D39" s="163" t="s">
        <v>12</v>
      </c>
      <c r="E39" s="165" t="s">
        <v>158</v>
      </c>
      <c r="F39" s="55">
        <v>270000</v>
      </c>
      <c r="G39" s="55">
        <v>0</v>
      </c>
      <c r="H39" s="55">
        <f>98-10</f>
        <v>88</v>
      </c>
      <c r="I39" s="55">
        <f>F39+G39+H39</f>
        <v>270088</v>
      </c>
      <c r="J39" s="55">
        <v>288408</v>
      </c>
      <c r="K39" s="166" t="s">
        <v>203</v>
      </c>
      <c r="M39" s="76">
        <v>0</v>
      </c>
      <c r="N39" s="76">
        <v>98</v>
      </c>
    </row>
    <row r="40" spans="1:17" ht="15" thickBot="1" x14ac:dyDescent="0.35">
      <c r="A40" s="174"/>
      <c r="B40" s="175"/>
      <c r="C40" s="176"/>
      <c r="D40" s="177"/>
      <c r="E40" s="177"/>
      <c r="F40" s="87">
        <f>SUM(F39)</f>
        <v>270000</v>
      </c>
      <c r="G40" s="87">
        <f>SUM(G39)</f>
        <v>0</v>
      </c>
      <c r="H40" s="87">
        <f>SUM(H39)</f>
        <v>88</v>
      </c>
      <c r="I40" s="87">
        <f>SUM(I39)</f>
        <v>270088</v>
      </c>
      <c r="J40" s="87">
        <f>SUM(J39)</f>
        <v>288408</v>
      </c>
      <c r="K40" s="178"/>
      <c r="M40" s="53">
        <f t="shared" ref="M40" si="16">SUM(M39)</f>
        <v>0</v>
      </c>
      <c r="N40" s="53">
        <f t="shared" ref="N40" si="17">SUM(N39)</f>
        <v>98</v>
      </c>
      <c r="O40" s="76">
        <f>SUM(M40:N40)</f>
        <v>98</v>
      </c>
      <c r="Q40" s="179"/>
    </row>
    <row r="41" spans="1:17" ht="15" thickBot="1" x14ac:dyDescent="0.35">
      <c r="B41" s="183"/>
      <c r="C41" s="182"/>
      <c r="D41" s="182"/>
      <c r="E41" s="182"/>
      <c r="F41" s="61"/>
      <c r="G41" s="61"/>
      <c r="H41" s="61"/>
      <c r="I41" s="61"/>
      <c r="J41" s="61"/>
      <c r="K41" s="183"/>
    </row>
    <row r="42" spans="1:17" ht="22.8" customHeight="1" thickBot="1" x14ac:dyDescent="0.35">
      <c r="A42" s="192"/>
      <c r="B42" s="193" t="s">
        <v>121</v>
      </c>
      <c r="C42" s="193"/>
      <c r="D42" s="193"/>
      <c r="E42" s="193"/>
      <c r="F42" s="89">
        <f>F14+F17+F20+F24+F30+F34+F37+F40</f>
        <v>3819656</v>
      </c>
      <c r="G42" s="89">
        <f t="shared" ref="G42:J42" si="18">G14+G17+G20+G24+G30+G34+G37+G40</f>
        <v>15298</v>
      </c>
      <c r="H42" s="89">
        <f t="shared" si="18"/>
        <v>36970</v>
      </c>
      <c r="I42" s="89">
        <f t="shared" si="18"/>
        <v>3871924</v>
      </c>
      <c r="J42" s="89">
        <f t="shared" si="18"/>
        <v>4111509</v>
      </c>
      <c r="K42" s="194"/>
      <c r="M42" s="56">
        <f t="shared" ref="M42:N42" si="19">M14+M17+M20+M24+M30+M34+M37+M40</f>
        <v>249529</v>
      </c>
      <c r="N42" s="56">
        <f t="shared" si="19"/>
        <v>10402</v>
      </c>
      <c r="O42" s="76">
        <f>SUM(M42:N42)</f>
        <v>259931</v>
      </c>
    </row>
    <row r="43" spans="1:17" x14ac:dyDescent="0.3">
      <c r="F43" s="59" t="s">
        <v>157</v>
      </c>
    </row>
  </sheetData>
  <mergeCells count="3">
    <mergeCell ref="B1:K1"/>
    <mergeCell ref="B2:K2"/>
    <mergeCell ref="B42:E42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8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view="pageBreakPreview" zoomScaleNormal="100" zoomScaleSheetLayoutView="100" workbookViewId="0">
      <selection activeCell="E13" sqref="E13:E14"/>
    </sheetView>
  </sheetViews>
  <sheetFormatPr defaultRowHeight="14.4" x14ac:dyDescent="0.3"/>
  <cols>
    <col min="1" max="1" width="24.5546875" style="20" customWidth="1"/>
    <col min="2" max="2" width="5.44140625" style="20" bestFit="1" customWidth="1"/>
    <col min="3" max="8" width="14.77734375" style="3" customWidth="1"/>
    <col min="9" max="16384" width="8.88671875" style="20"/>
  </cols>
  <sheetData>
    <row r="1" spans="1:8" ht="18" x14ac:dyDescent="0.3">
      <c r="A1" s="126" t="s">
        <v>23</v>
      </c>
      <c r="B1" s="127"/>
      <c r="C1" s="127"/>
      <c r="D1" s="127"/>
      <c r="E1" s="127"/>
      <c r="F1" s="127"/>
      <c r="G1" s="127"/>
      <c r="H1" s="128"/>
    </row>
    <row r="2" spans="1:8" x14ac:dyDescent="0.3">
      <c r="A2" s="94"/>
      <c r="C2" s="66"/>
      <c r="D2" s="66"/>
      <c r="E2" s="66"/>
      <c r="F2" s="66"/>
      <c r="G2" s="66"/>
      <c r="H2" s="67"/>
    </row>
    <row r="3" spans="1:8" ht="15.6" x14ac:dyDescent="0.3">
      <c r="A3" s="145" t="s">
        <v>215</v>
      </c>
      <c r="B3" s="146"/>
      <c r="C3" s="146"/>
      <c r="D3" s="146"/>
      <c r="E3" s="146"/>
      <c r="F3" s="146"/>
      <c r="G3" s="146"/>
      <c r="H3" s="147"/>
    </row>
    <row r="4" spans="1:8" ht="58.2" thickBot="1" x14ac:dyDescent="0.35">
      <c r="A4" s="103" t="s">
        <v>96</v>
      </c>
      <c r="B4" s="90" t="s">
        <v>99</v>
      </c>
      <c r="C4" s="104" t="s">
        <v>151</v>
      </c>
      <c r="D4" s="104" t="s">
        <v>152</v>
      </c>
      <c r="E4" s="104" t="s">
        <v>153</v>
      </c>
      <c r="F4" s="104" t="s">
        <v>154</v>
      </c>
      <c r="G4" s="104" t="s">
        <v>100</v>
      </c>
      <c r="H4" s="104" t="s">
        <v>155</v>
      </c>
    </row>
    <row r="5" spans="1:8" ht="30" customHeight="1" thickTop="1" x14ac:dyDescent="0.3">
      <c r="A5" s="101" t="s">
        <v>97</v>
      </c>
      <c r="B5" s="102">
        <v>0</v>
      </c>
      <c r="C5" s="102">
        <v>1997350</v>
      </c>
      <c r="D5" s="102">
        <v>0</v>
      </c>
      <c r="E5" s="102">
        <v>0</v>
      </c>
      <c r="F5" s="102">
        <f>SUM(C5:E5)</f>
        <v>1997350</v>
      </c>
      <c r="G5" s="102">
        <f>F5*B5</f>
        <v>0</v>
      </c>
      <c r="H5" s="102">
        <f>F5-G5</f>
        <v>1997350</v>
      </c>
    </row>
    <row r="6" spans="1:8" ht="30" customHeight="1" x14ac:dyDescent="0.3">
      <c r="A6" s="92" t="s">
        <v>78</v>
      </c>
      <c r="B6" s="93">
        <v>0.1</v>
      </c>
      <c r="C6" s="93">
        <v>659.94</v>
      </c>
      <c r="D6" s="93">
        <v>0</v>
      </c>
      <c r="E6" s="93">
        <v>0</v>
      </c>
      <c r="F6" s="93">
        <f t="shared" ref="F6:F8" si="0">SUM(C6:E6)</f>
        <v>659.94</v>
      </c>
      <c r="G6" s="93">
        <f>ROUND(F6*B6,0)</f>
        <v>66</v>
      </c>
      <c r="H6" s="93">
        <f>F6-G6</f>
        <v>593.94000000000005</v>
      </c>
    </row>
    <row r="7" spans="1:8" ht="30" customHeight="1" x14ac:dyDescent="0.3">
      <c r="A7" s="92" t="s">
        <v>79</v>
      </c>
      <c r="B7" s="93">
        <v>0.15</v>
      </c>
      <c r="C7" s="93">
        <v>19206</v>
      </c>
      <c r="D7" s="93">
        <v>0</v>
      </c>
      <c r="E7" s="93">
        <v>0</v>
      </c>
      <c r="F7" s="93">
        <f t="shared" si="0"/>
        <v>19206</v>
      </c>
      <c r="G7" s="93">
        <f>ROUND(F7*B7,0)</f>
        <v>2881</v>
      </c>
      <c r="H7" s="93">
        <f>F7-G7</f>
        <v>16325</v>
      </c>
    </row>
    <row r="8" spans="1:8" ht="30" customHeight="1" thickBot="1" x14ac:dyDescent="0.35">
      <c r="A8" s="95" t="s">
        <v>98</v>
      </c>
      <c r="B8" s="96">
        <v>0.15</v>
      </c>
      <c r="C8" s="96">
        <v>13492</v>
      </c>
      <c r="D8" s="96">
        <v>0</v>
      </c>
      <c r="E8" s="96">
        <v>0</v>
      </c>
      <c r="F8" s="96">
        <f t="shared" si="0"/>
        <v>13492</v>
      </c>
      <c r="G8" s="96">
        <f>ROUND(F8*B8,0)</f>
        <v>2024</v>
      </c>
      <c r="H8" s="96">
        <f>F8-G8</f>
        <v>11468</v>
      </c>
    </row>
    <row r="9" spans="1:8" ht="30" customHeight="1" thickBot="1" x14ac:dyDescent="0.35">
      <c r="A9" s="97" t="s">
        <v>31</v>
      </c>
      <c r="B9" s="98"/>
      <c r="C9" s="99">
        <f>SUM(C5:C8)</f>
        <v>2030707.94</v>
      </c>
      <c r="D9" s="99">
        <f t="shared" ref="D9:G9" si="1">SUM(D5:D8)</f>
        <v>0</v>
      </c>
      <c r="E9" s="99">
        <f t="shared" si="1"/>
        <v>0</v>
      </c>
      <c r="F9" s="99">
        <f t="shared" si="1"/>
        <v>2030707.94</v>
      </c>
      <c r="G9" s="99">
        <f t="shared" si="1"/>
        <v>4971</v>
      </c>
      <c r="H9" s="100">
        <f>SUM(H5:H8)</f>
        <v>2025736.94</v>
      </c>
    </row>
  </sheetData>
  <mergeCells count="2">
    <mergeCell ref="A3:H3"/>
    <mergeCell ref="A1:H1"/>
  </mergeCells>
  <printOptions horizontalCentered="1"/>
  <pageMargins left="0.70866141732283472" right="0.70866141732283472" top="0.59055118110236227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20"/>
  <sheetViews>
    <sheetView view="pageBreakPreview" zoomScaleNormal="100" zoomScaleSheetLayoutView="100" workbookViewId="0">
      <selection activeCell="E13" sqref="E13:E14"/>
    </sheetView>
  </sheetViews>
  <sheetFormatPr defaultRowHeight="14.4" x14ac:dyDescent="0.3"/>
  <cols>
    <col min="1" max="1" width="3.33203125" style="8" bestFit="1" customWidth="1"/>
    <col min="2" max="2" width="5.33203125" style="8" customWidth="1"/>
    <col min="3" max="3" width="30.88671875" customWidth="1"/>
    <col min="4" max="4" width="14.77734375" customWidth="1"/>
    <col min="5" max="5" width="5.44140625" customWidth="1"/>
    <col min="6" max="6" width="3.44140625" customWidth="1"/>
    <col min="7" max="7" width="4.33203125" customWidth="1"/>
    <col min="8" max="8" width="14.77734375" customWidth="1"/>
    <col min="9" max="9" width="22.5546875" bestFit="1" customWidth="1"/>
    <col min="10" max="10" width="14.77734375" customWidth="1"/>
    <col min="11" max="11" width="2.88671875" customWidth="1"/>
  </cols>
  <sheetData>
    <row r="2" spans="1:13" ht="18" x14ac:dyDescent="0.3">
      <c r="A2" s="151" t="s">
        <v>23</v>
      </c>
      <c r="B2" s="151"/>
      <c r="C2" s="151"/>
      <c r="D2" s="151"/>
    </row>
    <row r="4" spans="1:13" ht="22.05" customHeight="1" x14ac:dyDescent="0.3">
      <c r="A4" s="152" t="s">
        <v>216</v>
      </c>
      <c r="B4" s="152"/>
      <c r="C4" s="152"/>
      <c r="D4" s="152"/>
      <c r="H4" s="148" t="s">
        <v>180</v>
      </c>
      <c r="I4" s="148"/>
      <c r="J4" s="148"/>
    </row>
    <row r="5" spans="1:13" s="9" customFormat="1" ht="22.05" customHeight="1" thickBot="1" x14ac:dyDescent="0.35">
      <c r="A5" s="109" t="s">
        <v>88</v>
      </c>
      <c r="B5" s="109" t="s">
        <v>89</v>
      </c>
      <c r="C5" s="109" t="s">
        <v>90</v>
      </c>
      <c r="D5" s="109" t="s">
        <v>219</v>
      </c>
      <c r="H5" s="110" t="s">
        <v>177</v>
      </c>
      <c r="I5" s="111" t="s">
        <v>96</v>
      </c>
      <c r="J5" s="110" t="s">
        <v>218</v>
      </c>
      <c r="K5"/>
      <c r="L5"/>
      <c r="M5"/>
    </row>
    <row r="6" spans="1:13" ht="22.05" customHeight="1" thickTop="1" x14ac:dyDescent="0.3">
      <c r="A6" s="105">
        <v>1</v>
      </c>
      <c r="B6" s="106" t="s">
        <v>129</v>
      </c>
      <c r="C6" s="107" t="s">
        <v>131</v>
      </c>
      <c r="D6" s="108">
        <v>4480</v>
      </c>
      <c r="H6" s="50">
        <v>1900</v>
      </c>
      <c r="I6" s="50" t="s">
        <v>36</v>
      </c>
      <c r="J6" s="50">
        <v>1680</v>
      </c>
      <c r="K6" s="9"/>
    </row>
    <row r="7" spans="1:13" ht="22.05" customHeight="1" thickBot="1" x14ac:dyDescent="0.35">
      <c r="A7" s="112">
        <v>2</v>
      </c>
      <c r="B7" s="113" t="s">
        <v>130</v>
      </c>
      <c r="C7" s="114" t="s">
        <v>132</v>
      </c>
      <c r="D7" s="115">
        <v>2128</v>
      </c>
      <c r="H7" s="57">
        <v>1500</v>
      </c>
      <c r="I7" s="57" t="s">
        <v>54</v>
      </c>
      <c r="J7" s="57">
        <v>1500</v>
      </c>
      <c r="L7" s="9"/>
      <c r="M7" s="9"/>
    </row>
    <row r="8" spans="1:13" ht="22.05" customHeight="1" thickBot="1" x14ac:dyDescent="0.35">
      <c r="A8" s="149" t="s">
        <v>31</v>
      </c>
      <c r="B8" s="150"/>
      <c r="C8" s="150"/>
      <c r="D8" s="117">
        <f>SUM(D6:D7)</f>
        <v>6608</v>
      </c>
      <c r="H8" s="57">
        <v>0</v>
      </c>
      <c r="I8" s="57" t="s">
        <v>226</v>
      </c>
      <c r="J8" s="57">
        <v>2000</v>
      </c>
    </row>
    <row r="9" spans="1:13" ht="22.05" customHeight="1" x14ac:dyDescent="0.3">
      <c r="H9" s="57">
        <v>0</v>
      </c>
      <c r="I9" s="57" t="s">
        <v>227</v>
      </c>
      <c r="J9" s="57">
        <v>1100</v>
      </c>
    </row>
    <row r="10" spans="1:13" ht="22.05" customHeight="1" x14ac:dyDescent="0.3">
      <c r="A10" s="152" t="s">
        <v>217</v>
      </c>
      <c r="B10" s="152"/>
      <c r="C10" s="152"/>
      <c r="D10" s="152"/>
      <c r="H10" s="57">
        <v>8263</v>
      </c>
      <c r="I10" s="57" t="s">
        <v>162</v>
      </c>
      <c r="J10" s="57">
        <v>0</v>
      </c>
    </row>
    <row r="11" spans="1:13" ht="22.05" customHeight="1" thickBot="1" x14ac:dyDescent="0.35">
      <c r="A11" s="109" t="s">
        <v>88</v>
      </c>
      <c r="B11" s="109" t="s">
        <v>89</v>
      </c>
      <c r="C11" s="111" t="s">
        <v>90</v>
      </c>
      <c r="D11" s="109" t="s">
        <v>219</v>
      </c>
      <c r="H11" s="57">
        <v>2000</v>
      </c>
      <c r="I11" s="57" t="s">
        <v>66</v>
      </c>
      <c r="J11" s="57">
        <v>2000</v>
      </c>
    </row>
    <row r="12" spans="1:13" ht="22.05" customHeight="1" thickTop="1" thickBot="1" x14ac:dyDescent="0.35">
      <c r="A12" s="105">
        <v>1</v>
      </c>
      <c r="B12" s="105" t="s">
        <v>125</v>
      </c>
      <c r="C12" s="107" t="s">
        <v>91</v>
      </c>
      <c r="D12" s="108">
        <v>6089</v>
      </c>
      <c r="H12" s="88">
        <v>7238</v>
      </c>
      <c r="I12" s="88" t="s">
        <v>67</v>
      </c>
      <c r="J12" s="88">
        <f>Workings!E11+Workings!F11</f>
        <v>6915</v>
      </c>
    </row>
    <row r="13" spans="1:13" s="9" customFormat="1" ht="22.05" customHeight="1" thickBot="1" x14ac:dyDescent="0.35">
      <c r="A13" s="11">
        <v>2</v>
      </c>
      <c r="B13" s="25" t="s">
        <v>150</v>
      </c>
      <c r="C13" s="18" t="s">
        <v>223</v>
      </c>
      <c r="D13" s="19">
        <v>20</v>
      </c>
      <c r="H13" s="119">
        <f>SUM(H6:H12)</f>
        <v>20901</v>
      </c>
      <c r="I13" s="116" t="s">
        <v>31</v>
      </c>
      <c r="J13" s="120">
        <f>SUM(J6:J12)</f>
        <v>15195</v>
      </c>
      <c r="K13"/>
      <c r="L13"/>
      <c r="M13"/>
    </row>
    <row r="14" spans="1:13" ht="22.05" customHeight="1" x14ac:dyDescent="0.3">
      <c r="A14" s="11">
        <v>3</v>
      </c>
      <c r="B14" s="11" t="s">
        <v>126</v>
      </c>
      <c r="C14" s="18" t="s">
        <v>92</v>
      </c>
      <c r="D14" s="19">
        <v>4792</v>
      </c>
      <c r="H14" s="9"/>
      <c r="I14" s="9"/>
      <c r="J14" s="9"/>
      <c r="K14" s="9"/>
    </row>
    <row r="15" spans="1:13" ht="22.05" customHeight="1" x14ac:dyDescent="0.3">
      <c r="A15" s="11">
        <v>4</v>
      </c>
      <c r="B15" s="25" t="s">
        <v>127</v>
      </c>
      <c r="C15" s="18" t="s">
        <v>93</v>
      </c>
      <c r="D15" s="19">
        <v>19344</v>
      </c>
      <c r="L15" s="9"/>
      <c r="M15" s="9"/>
    </row>
    <row r="16" spans="1:13" ht="22.05" customHeight="1" x14ac:dyDescent="0.3">
      <c r="A16" s="11">
        <v>5</v>
      </c>
      <c r="B16" s="25" t="s">
        <v>128</v>
      </c>
      <c r="C16" s="18" t="s">
        <v>94</v>
      </c>
      <c r="D16" s="19">
        <v>3197</v>
      </c>
    </row>
    <row r="17" spans="1:4" ht="22.05" customHeight="1" x14ac:dyDescent="0.3">
      <c r="A17" s="11">
        <v>6</v>
      </c>
      <c r="B17" s="11">
        <v>12</v>
      </c>
      <c r="C17" s="18" t="s">
        <v>148</v>
      </c>
      <c r="D17" s="19">
        <v>3434</v>
      </c>
    </row>
    <row r="18" spans="1:4" ht="22.05" customHeight="1" x14ac:dyDescent="0.3">
      <c r="A18" s="11">
        <v>7</v>
      </c>
      <c r="B18" s="11">
        <v>14</v>
      </c>
      <c r="C18" s="18" t="s">
        <v>95</v>
      </c>
      <c r="D18" s="19">
        <v>802</v>
      </c>
    </row>
    <row r="19" spans="1:4" ht="22.05" customHeight="1" thickBot="1" x14ac:dyDescent="0.35">
      <c r="A19" s="112">
        <v>8</v>
      </c>
      <c r="B19" s="112">
        <v>15</v>
      </c>
      <c r="C19" s="114" t="s">
        <v>149</v>
      </c>
      <c r="D19" s="115">
        <v>29</v>
      </c>
    </row>
    <row r="20" spans="1:4" ht="22.05" customHeight="1" thickBot="1" x14ac:dyDescent="0.35">
      <c r="A20" s="149" t="s">
        <v>31</v>
      </c>
      <c r="B20" s="150"/>
      <c r="C20" s="150"/>
      <c r="D20" s="118">
        <f>SUM(D12:D19)</f>
        <v>37707</v>
      </c>
    </row>
  </sheetData>
  <mergeCells count="6">
    <mergeCell ref="H4:J4"/>
    <mergeCell ref="A20:C20"/>
    <mergeCell ref="A2:D2"/>
    <mergeCell ref="A4:D4"/>
    <mergeCell ref="A10:D10"/>
    <mergeCell ref="A8:C8"/>
  </mergeCells>
  <printOptions horizontalCentered="1"/>
  <pageMargins left="0.70866141732283472" right="0.70866141732283472" top="0.59055118110236227" bottom="0.74803149606299213" header="0.31496062992125984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1"/>
  <sheetViews>
    <sheetView tabSelected="1" workbookViewId="0">
      <selection activeCell="E8" sqref="E8"/>
    </sheetView>
  </sheetViews>
  <sheetFormatPr defaultRowHeight="14.4" x14ac:dyDescent="0.3"/>
  <cols>
    <col min="1" max="1" width="2.6640625" customWidth="1"/>
    <col min="2" max="2" width="4.6640625" customWidth="1"/>
    <col min="3" max="3" width="43.88671875" customWidth="1"/>
    <col min="4" max="4" width="14" style="10" customWidth="1"/>
    <col min="5" max="5" width="11.33203125" bestFit="1" customWidth="1"/>
    <col min="6" max="6" width="10.109375" bestFit="1" customWidth="1"/>
    <col min="7" max="7" width="7.88671875" bestFit="1" customWidth="1"/>
    <col min="8" max="8" width="11.88671875" bestFit="1" customWidth="1"/>
    <col min="9" max="9" width="12.6640625" bestFit="1" customWidth="1"/>
    <col min="10" max="10" width="12.33203125" bestFit="1" customWidth="1"/>
  </cols>
  <sheetData>
    <row r="2" spans="2:10" x14ac:dyDescent="0.3">
      <c r="B2" s="141" t="s">
        <v>23</v>
      </c>
      <c r="C2" s="141"/>
      <c r="D2" s="141"/>
    </row>
    <row r="4" spans="2:10" x14ac:dyDescent="0.3">
      <c r="B4" s="153" t="s">
        <v>220</v>
      </c>
      <c r="C4" s="153"/>
      <c r="D4" s="153"/>
    </row>
    <row r="5" spans="2:10" x14ac:dyDescent="0.3">
      <c r="D5" s="24" t="s">
        <v>103</v>
      </c>
    </row>
    <row r="6" spans="2:10" x14ac:dyDescent="0.3">
      <c r="B6" t="s">
        <v>104</v>
      </c>
      <c r="D6" s="10">
        <v>297391.19</v>
      </c>
      <c r="F6" s="9"/>
      <c r="G6" s="9"/>
      <c r="H6" s="9"/>
    </row>
    <row r="7" spans="2:10" x14ac:dyDescent="0.3">
      <c r="F7" s="9"/>
      <c r="G7" s="9"/>
      <c r="H7" s="9"/>
    </row>
    <row r="8" spans="2:10" x14ac:dyDescent="0.3">
      <c r="B8" t="s">
        <v>106</v>
      </c>
      <c r="C8" t="s">
        <v>137</v>
      </c>
      <c r="D8" s="10">
        <v>0</v>
      </c>
      <c r="E8" s="12"/>
      <c r="F8" s="9"/>
      <c r="G8" s="9"/>
      <c r="H8" s="9"/>
    </row>
    <row r="9" spans="2:10" x14ac:dyDescent="0.3">
      <c r="F9" s="8"/>
      <c r="G9" s="29"/>
      <c r="H9" s="28"/>
    </row>
    <row r="10" spans="2:10" ht="15" thickBot="1" x14ac:dyDescent="0.35">
      <c r="B10" s="27" t="s">
        <v>105</v>
      </c>
      <c r="C10" s="23"/>
      <c r="D10" s="31">
        <f>SUM(D6:D8)</f>
        <v>297391.19</v>
      </c>
    </row>
    <row r="11" spans="2:10" ht="15" thickTop="1" x14ac:dyDescent="0.3">
      <c r="B11" s="14"/>
      <c r="D11" s="30"/>
    </row>
    <row r="13" spans="2:10" x14ac:dyDescent="0.3">
      <c r="B13" s="153" t="s">
        <v>221</v>
      </c>
      <c r="C13" s="153"/>
      <c r="D13" s="153"/>
    </row>
    <row r="14" spans="2:10" x14ac:dyDescent="0.3">
      <c r="D14" s="24" t="s">
        <v>103</v>
      </c>
      <c r="F14" s="153"/>
      <c r="G14" s="153"/>
      <c r="H14" s="153"/>
      <c r="I14" s="153"/>
      <c r="J14" s="153"/>
    </row>
    <row r="15" spans="2:10" x14ac:dyDescent="0.3">
      <c r="B15" t="s">
        <v>104</v>
      </c>
      <c r="D15" s="10">
        <v>598161.16</v>
      </c>
      <c r="F15" s="35"/>
      <c r="G15" s="35"/>
      <c r="H15" s="35"/>
      <c r="I15" s="35"/>
      <c r="J15" s="35"/>
    </row>
    <row r="16" spans="2:10" x14ac:dyDescent="0.3">
      <c r="F16" s="36"/>
      <c r="G16" s="37"/>
      <c r="H16" s="38"/>
      <c r="I16" s="36"/>
    </row>
    <row r="17" spans="2:4" ht="14.4" customHeight="1" x14ac:dyDescent="0.3">
      <c r="B17" t="s">
        <v>124</v>
      </c>
      <c r="C17" t="s">
        <v>123</v>
      </c>
      <c r="D17" s="10">
        <f>G17</f>
        <v>0</v>
      </c>
    </row>
    <row r="20" spans="2:4" ht="15" thickBot="1" x14ac:dyDescent="0.35">
      <c r="B20" s="27" t="s">
        <v>105</v>
      </c>
      <c r="C20" s="23"/>
      <c r="D20" s="31">
        <f>D15-D17</f>
        <v>598161.16</v>
      </c>
    </row>
    <row r="21" spans="2:4" ht="15" thickTop="1" x14ac:dyDescent="0.3"/>
  </sheetData>
  <mergeCells count="4">
    <mergeCell ref="B2:D2"/>
    <mergeCell ref="B4:D4"/>
    <mergeCell ref="B13:D13"/>
    <mergeCell ref="F14:J14"/>
  </mergeCells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8"/>
  <sheetViews>
    <sheetView workbookViewId="0">
      <selection activeCell="G22" sqref="G22"/>
    </sheetView>
  </sheetViews>
  <sheetFormatPr defaultRowHeight="14.4" x14ac:dyDescent="0.3"/>
  <cols>
    <col min="1" max="1" width="5.109375" bestFit="1" customWidth="1"/>
    <col min="2" max="3" width="11.109375" customWidth="1"/>
    <col min="4" max="4" width="7.44140625" style="13" bestFit="1" customWidth="1"/>
    <col min="5" max="5" width="14.33203125" style="10" bestFit="1" customWidth="1"/>
    <col min="6" max="7" width="12.109375" style="10" customWidth="1"/>
  </cols>
  <sheetData>
    <row r="1" spans="2:7" x14ac:dyDescent="0.3">
      <c r="D1" s="42"/>
    </row>
    <row r="2" spans="2:7" x14ac:dyDescent="0.3">
      <c r="B2" t="s">
        <v>2</v>
      </c>
      <c r="D2" s="42"/>
    </row>
    <row r="3" spans="2:7" x14ac:dyDescent="0.3">
      <c r="D3" s="42"/>
    </row>
    <row r="4" spans="2:7" ht="15" thickBot="1" x14ac:dyDescent="0.35">
      <c r="B4" s="41" t="s">
        <v>39</v>
      </c>
      <c r="C4" s="43"/>
      <c r="D4" s="44"/>
      <c r="E4" s="32" t="s">
        <v>40</v>
      </c>
      <c r="F4" s="32" t="s">
        <v>41</v>
      </c>
    </row>
    <row r="5" spans="2:7" ht="15" thickTop="1" x14ac:dyDescent="0.3">
      <c r="B5" s="40">
        <v>45670</v>
      </c>
      <c r="C5" s="40">
        <v>45758</v>
      </c>
      <c r="D5" s="13">
        <f>C5-B5</f>
        <v>88</v>
      </c>
      <c r="E5" s="32">
        <v>3370</v>
      </c>
      <c r="F5" s="32">
        <v>4796</v>
      </c>
    </row>
    <row r="6" spans="2:7" x14ac:dyDescent="0.3">
      <c r="B6" s="40">
        <v>45748</v>
      </c>
      <c r="C6" s="40">
        <v>45758</v>
      </c>
      <c r="D6" s="13">
        <f>C6-B6+1</f>
        <v>11</v>
      </c>
      <c r="E6" s="32">
        <f>ROUND(E5*D6/D5,0)</f>
        <v>421</v>
      </c>
      <c r="F6" s="32">
        <f>ROUND(D6*F5/D5,0)</f>
        <v>600</v>
      </c>
    </row>
    <row r="7" spans="2:7" x14ac:dyDescent="0.3">
      <c r="B7" s="40">
        <f>C6</f>
        <v>45758</v>
      </c>
      <c r="C7" s="40">
        <v>45849</v>
      </c>
      <c r="D7" s="13">
        <f>C7-B7</f>
        <v>91</v>
      </c>
      <c r="E7" s="32">
        <v>3427</v>
      </c>
      <c r="F7" s="32">
        <v>4803</v>
      </c>
    </row>
    <row r="8" spans="2:7" x14ac:dyDescent="0.3">
      <c r="B8" s="40">
        <f>C7</f>
        <v>45849</v>
      </c>
      <c r="C8" s="40">
        <v>45943</v>
      </c>
      <c r="D8" s="13">
        <f>C8-B8</f>
        <v>94</v>
      </c>
      <c r="E8" s="32">
        <v>3546</v>
      </c>
      <c r="F8" s="32">
        <v>4845</v>
      </c>
    </row>
    <row r="9" spans="2:7" x14ac:dyDescent="0.3">
      <c r="B9" s="40">
        <f>C8</f>
        <v>45943</v>
      </c>
      <c r="C9" s="40">
        <v>46035</v>
      </c>
      <c r="D9" s="13">
        <f>C9-B9</f>
        <v>92</v>
      </c>
      <c r="E9" s="32">
        <v>3471</v>
      </c>
      <c r="F9" s="32">
        <v>4752</v>
      </c>
    </row>
    <row r="10" spans="2:7" x14ac:dyDescent="0.3">
      <c r="B10" s="40"/>
      <c r="C10" s="40"/>
      <c r="D10" s="13">
        <f>SUM(D6:D9)</f>
        <v>288</v>
      </c>
      <c r="E10" s="32">
        <f>SUM(E6:E9)</f>
        <v>10865</v>
      </c>
      <c r="F10" s="32">
        <f>SUM(F6:F9)</f>
        <v>15000</v>
      </c>
    </row>
    <row r="11" spans="2:7" x14ac:dyDescent="0.3">
      <c r="B11" s="40">
        <f>C9</f>
        <v>46035</v>
      </c>
      <c r="C11" s="40">
        <v>46112</v>
      </c>
      <c r="D11" s="13">
        <f>C11-B11</f>
        <v>77</v>
      </c>
      <c r="E11" s="63">
        <f>ROUND(E10*D11/D10,0)</f>
        <v>2905</v>
      </c>
      <c r="F11" s="63">
        <f>ROUND(D11*F10/D10,0)</f>
        <v>4010</v>
      </c>
      <c r="G11" s="32" t="s">
        <v>161</v>
      </c>
    </row>
    <row r="12" spans="2:7" x14ac:dyDescent="0.3">
      <c r="B12" s="14"/>
      <c r="D12" s="13">
        <f>D10+D11</f>
        <v>365</v>
      </c>
      <c r="E12" s="32">
        <f>E10+E11</f>
        <v>13770</v>
      </c>
      <c r="F12" s="32">
        <f>F10+F11</f>
        <v>19010</v>
      </c>
    </row>
    <row r="13" spans="2:7" x14ac:dyDescent="0.3">
      <c r="B13" s="14"/>
      <c r="E13" s="32"/>
      <c r="F13" s="32"/>
    </row>
    <row r="14" spans="2:7" x14ac:dyDescent="0.3">
      <c r="B14" s="15"/>
      <c r="C14" s="15"/>
    </row>
    <row r="15" spans="2:7" ht="15" thickBot="1" x14ac:dyDescent="0.35">
      <c r="B15" s="41" t="s">
        <v>47</v>
      </c>
      <c r="C15" s="43"/>
    </row>
    <row r="16" spans="2:7" ht="15" thickTop="1" x14ac:dyDescent="0.3">
      <c r="B16" s="15">
        <v>46054</v>
      </c>
      <c r="C16" s="15">
        <v>46418</v>
      </c>
      <c r="D16" s="13">
        <f>+C16-B16+1</f>
        <v>365</v>
      </c>
      <c r="E16" s="10">
        <v>4500</v>
      </c>
    </row>
    <row r="17" spans="2:7" x14ac:dyDescent="0.3">
      <c r="B17" s="15">
        <v>46113</v>
      </c>
      <c r="C17" s="15">
        <f>+C16</f>
        <v>46418</v>
      </c>
      <c r="D17" s="13">
        <f>+C17-B17+1</f>
        <v>306</v>
      </c>
      <c r="E17" s="62">
        <f>ROUND(E16*D17/D16,0)</f>
        <v>3773</v>
      </c>
      <c r="G17" s="32" t="s">
        <v>133</v>
      </c>
    </row>
    <row r="18" spans="2:7" x14ac:dyDescent="0.3">
      <c r="E18" s="16"/>
      <c r="G18" s="17"/>
    </row>
    <row r="19" spans="2:7" ht="15" thickBot="1" x14ac:dyDescent="0.35">
      <c r="B19" s="41" t="s">
        <v>49</v>
      </c>
      <c r="C19" s="43"/>
      <c r="G19" s="17"/>
    </row>
    <row r="20" spans="2:7" ht="15" thickTop="1" x14ac:dyDescent="0.3">
      <c r="B20" s="15">
        <v>45936</v>
      </c>
      <c r="C20" s="15">
        <v>46300</v>
      </c>
      <c r="D20" s="13">
        <f>+C20-B20+1</f>
        <v>365</v>
      </c>
      <c r="E20" s="10">
        <v>9525</v>
      </c>
      <c r="G20" s="17"/>
    </row>
    <row r="21" spans="2:7" x14ac:dyDescent="0.3">
      <c r="B21" s="15">
        <v>46113</v>
      </c>
      <c r="C21" s="15">
        <f>+C20</f>
        <v>46300</v>
      </c>
      <c r="D21" s="13">
        <f>+C21-B21+1</f>
        <v>188</v>
      </c>
      <c r="E21" s="62">
        <f>ROUND(E20*D21/D20,0)</f>
        <v>4906</v>
      </c>
      <c r="G21" s="32" t="s">
        <v>133</v>
      </c>
    </row>
    <row r="22" spans="2:7" x14ac:dyDescent="0.3">
      <c r="E22" s="16"/>
      <c r="G22" s="17"/>
    </row>
    <row r="23" spans="2:7" x14ac:dyDescent="0.3">
      <c r="B23" s="14"/>
      <c r="E23" s="16"/>
      <c r="G23" s="17"/>
    </row>
    <row r="24" spans="2:7" x14ac:dyDescent="0.3">
      <c r="C24" s="12"/>
      <c r="E24" s="16"/>
      <c r="G24" s="17"/>
    </row>
    <row r="25" spans="2:7" x14ac:dyDescent="0.3">
      <c r="C25" s="12"/>
      <c r="G25" s="17"/>
    </row>
    <row r="26" spans="2:7" x14ac:dyDescent="0.3">
      <c r="C26" s="12"/>
    </row>
    <row r="27" spans="2:7" x14ac:dyDescent="0.3">
      <c r="C27" s="10"/>
    </row>
    <row r="28" spans="2:7" x14ac:dyDescent="0.3">
      <c r="C2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BS</vt:lpstr>
      <vt:lpstr>IE</vt:lpstr>
      <vt:lpstr>Sch I</vt:lpstr>
      <vt:lpstr>Sch II</vt:lpstr>
      <vt:lpstr>Sch III to V</vt:lpstr>
      <vt:lpstr>BRS</vt:lpstr>
      <vt:lpstr>Workings</vt:lpstr>
      <vt:lpstr>BS!Print_Area</vt:lpstr>
      <vt:lpstr>IE!Print_Area</vt:lpstr>
      <vt:lpstr>'Sch I'!Print_Area</vt:lpstr>
      <vt:lpstr>'Sch II'!Print_Area</vt:lpstr>
      <vt:lpstr>'Sch III to 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2026-09-17T11:40:16Z</cp:lastPrinted>
  <dcterms:created xsi:type="dcterms:W3CDTF">2015-06-05T18:17:20Z</dcterms:created>
  <dcterms:modified xsi:type="dcterms:W3CDTF">2026-09-17T11:40:31Z</dcterms:modified>
</cp:coreProperties>
</file>