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5fcc604ad01ac80/Documents/Audit Reports/BS FY 2025-26/"/>
    </mc:Choice>
  </mc:AlternateContent>
  <xr:revisionPtr revIDLastSave="1038" documentId="13_ncr:1_{7DD429E9-C975-4109-ACFC-01D7A4228F88}" xr6:coauthVersionLast="47" xr6:coauthVersionMax="47" xr10:uidLastSave="{ACB777C6-03E0-4556-A3F7-1A06717F9520}"/>
  <bookViews>
    <workbookView xWindow="28680" yWindow="5325" windowWidth="29040" windowHeight="15720" xr2:uid="{00000000-000D-0000-FFFF-FFFF00000000}"/>
  </bookViews>
  <sheets>
    <sheet name="BS" sheetId="1" r:id="rId1"/>
    <sheet name="IE" sheetId="2" r:id="rId2"/>
    <sheet name="FD-Sch I" sheetId="3" r:id="rId3"/>
    <sheet name="FA-Sch II" sheetId="4" r:id="rId4"/>
    <sheet name="Sch-III,IV,V" sheetId="5" r:id="rId5"/>
    <sheet name="BRS" sheetId="6" r:id="rId6"/>
    <sheet name="Sheet" sheetId="7" r:id="rId7"/>
    <sheet name="FD Interest Working" sheetId="8" state="hidden" r:id="rId8"/>
    <sheet name="Working" sheetId="9" state="hidden" r:id="rId9"/>
  </sheets>
  <definedNames>
    <definedName name="_xlnm._FilterDatabase" localSheetId="7" hidden="1">'FD Interest Working'!$A$2:$H$68</definedName>
    <definedName name="_xlnm._FilterDatabase" localSheetId="2" hidden="1">'FD-Sch I'!$A$3:$V$53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qIilxCUcC5o3aziir3g4suRWv97ZbsVhfyZLJx5Ar6g="/>
    </ext>
  </extLst>
</workbook>
</file>

<file path=xl/calcChain.xml><?xml version="1.0" encoding="utf-8"?>
<calcChain xmlns="http://schemas.openxmlformats.org/spreadsheetml/2006/main">
  <c r="D10" i="6" l="1"/>
  <c r="K11" i="5"/>
  <c r="C33" i="1"/>
  <c r="F43" i="3"/>
  <c r="F45" i="3"/>
  <c r="G17" i="1" s="1"/>
  <c r="C29" i="2"/>
  <c r="A50" i="1"/>
  <c r="G16" i="1"/>
  <c r="C14" i="5"/>
  <c r="K17" i="5"/>
  <c r="C46" i="1" s="1"/>
  <c r="C29" i="1"/>
  <c r="D30" i="1" s="1"/>
  <c r="C21" i="1"/>
  <c r="C16" i="1"/>
  <c r="G18" i="1"/>
  <c r="G15" i="1"/>
  <c r="G10" i="1"/>
  <c r="C21" i="2" l="1"/>
  <c r="D23" i="6"/>
  <c r="D3" i="7"/>
  <c r="B8" i="7"/>
  <c r="D8" i="7" s="1"/>
  <c r="B6" i="7"/>
  <c r="D6" i="7" s="1"/>
  <c r="B5" i="7"/>
  <c r="D5" i="7" s="1"/>
  <c r="B4" i="7"/>
  <c r="D4" i="7" s="1"/>
  <c r="D2" i="7"/>
  <c r="F26" i="3"/>
  <c r="F38" i="3"/>
  <c r="G50" i="3"/>
  <c r="G49" i="3"/>
  <c r="G48" i="3"/>
  <c r="G44" i="3"/>
  <c r="G43" i="3"/>
  <c r="G42" i="3"/>
  <c r="G41" i="3"/>
  <c r="G37" i="3"/>
  <c r="G36" i="3"/>
  <c r="G35" i="3"/>
  <c r="G34" i="3"/>
  <c r="G33" i="3"/>
  <c r="G32" i="3"/>
  <c r="G31" i="3"/>
  <c r="G30" i="3"/>
  <c r="G29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13" i="2"/>
  <c r="G9" i="2"/>
  <c r="D11" i="1"/>
  <c r="F30" i="3"/>
  <c r="F34" i="3"/>
  <c r="F33" i="3"/>
  <c r="T21" i="3"/>
  <c r="F42" i="3"/>
  <c r="F41" i="3"/>
  <c r="U27" i="3"/>
  <c r="F31" i="3"/>
  <c r="D7" i="7" l="1"/>
  <c r="D9" i="7" s="1"/>
  <c r="E3" i="7"/>
  <c r="E7" i="7" s="1"/>
  <c r="E8" i="7" s="1"/>
  <c r="U18" i="3"/>
  <c r="F50" i="3"/>
  <c r="F49" i="3"/>
  <c r="F48" i="3"/>
  <c r="F51" i="3" s="1"/>
  <c r="F37" i="3"/>
  <c r="E9" i="7" l="1"/>
  <c r="S36" i="3"/>
  <c r="F44" i="3" l="1"/>
  <c r="F36" i="3"/>
  <c r="F35" i="3"/>
  <c r="F29" i="3"/>
  <c r="F19" i="3"/>
  <c r="F18" i="3"/>
  <c r="F17" i="3"/>
  <c r="F16" i="3"/>
  <c r="F15" i="3"/>
  <c r="F13" i="3"/>
  <c r="F12" i="3"/>
  <c r="F11" i="3"/>
  <c r="F10" i="3"/>
  <c r="F9" i="3"/>
  <c r="F8" i="3"/>
  <c r="F7" i="3"/>
  <c r="F6" i="3"/>
  <c r="F5" i="3"/>
  <c r="D40" i="1" l="1"/>
  <c r="G9" i="1"/>
  <c r="A47" i="2"/>
  <c r="A45" i="2"/>
  <c r="A44" i="2"/>
  <c r="C8" i="5"/>
  <c r="H23" i="1" s="1"/>
  <c r="I38" i="3"/>
  <c r="D38" i="3"/>
  <c r="I26" i="3"/>
  <c r="D26" i="3"/>
  <c r="I51" i="3"/>
  <c r="E25" i="3"/>
  <c r="E24" i="3"/>
  <c r="E23" i="3"/>
  <c r="E22" i="3"/>
  <c r="E21" i="3"/>
  <c r="E20" i="3"/>
  <c r="F53" i="3" l="1"/>
  <c r="E51" i="3"/>
  <c r="G51" i="3"/>
  <c r="I45" i="3"/>
  <c r="D45" i="3"/>
  <c r="E19" i="9"/>
  <c r="C18" i="9"/>
  <c r="D17" i="9"/>
  <c r="E17" i="9" s="1"/>
  <c r="F17" i="9" s="1"/>
  <c r="F18" i="9" s="1"/>
  <c r="F20" i="9" s="1"/>
  <c r="E16" i="9"/>
  <c r="C14" i="9"/>
  <c r="D13" i="9"/>
  <c r="E13" i="9" s="1"/>
  <c r="F13" i="9" s="1"/>
  <c r="F14" i="9" s="1"/>
  <c r="E12" i="9"/>
  <c r="D10" i="9"/>
  <c r="C10" i="9"/>
  <c r="C9" i="9"/>
  <c r="E9" i="9" s="1"/>
  <c r="C7" i="9"/>
  <c r="E7" i="9" s="1"/>
  <c r="C6" i="9"/>
  <c r="E6" i="9" s="1"/>
  <c r="C5" i="9"/>
  <c r="E5" i="9" s="1"/>
  <c r="E4" i="9"/>
  <c r="E8" i="9" s="1"/>
  <c r="E10" i="9" s="1"/>
  <c r="F3" i="9"/>
  <c r="F4" i="9" s="1"/>
  <c r="F8" i="9" s="1"/>
  <c r="E3" i="9"/>
  <c r="D13" i="7"/>
  <c r="D12" i="7"/>
  <c r="C22" i="5"/>
  <c r="C47" i="1" s="1"/>
  <c r="E12" i="4"/>
  <c r="D12" i="4"/>
  <c r="C12" i="4"/>
  <c r="G11" i="4"/>
  <c r="F11" i="4"/>
  <c r="G9" i="4"/>
  <c r="F9" i="4"/>
  <c r="G7" i="4"/>
  <c r="F7" i="4"/>
  <c r="G5" i="4"/>
  <c r="F5" i="4"/>
  <c r="H5" i="4" s="1"/>
  <c r="D51" i="3"/>
  <c r="E37" i="2"/>
  <c r="A37" i="2"/>
  <c r="I37" i="2" s="1"/>
  <c r="H29" i="2"/>
  <c r="D18" i="2"/>
  <c r="G8" i="2"/>
  <c r="H6" i="2"/>
  <c r="E6" i="2"/>
  <c r="E50" i="1"/>
  <c r="I50" i="1" s="1"/>
  <c r="D35" i="1"/>
  <c r="D23" i="1"/>
  <c r="H10" i="1"/>
  <c r="H6" i="1"/>
  <c r="E6" i="1"/>
  <c r="G12" i="4" l="1"/>
  <c r="C33" i="2" s="1"/>
  <c r="D33" i="2" s="1"/>
  <c r="H7" i="4"/>
  <c r="H9" i="4"/>
  <c r="H11" i="4"/>
  <c r="E38" i="3"/>
  <c r="H17" i="2"/>
  <c r="D48" i="1"/>
  <c r="F12" i="4"/>
  <c r="A38" i="2"/>
  <c r="E13" i="7"/>
  <c r="G26" i="3"/>
  <c r="E26" i="3"/>
  <c r="D53" i="3"/>
  <c r="G14" i="1" s="1"/>
  <c r="I53" i="3"/>
  <c r="E45" i="3"/>
  <c r="E14" i="9"/>
  <c r="F10" i="9"/>
  <c r="F9" i="9"/>
  <c r="E18" i="9"/>
  <c r="E20" i="9" s="1"/>
  <c r="A51" i="1"/>
  <c r="C18" i="1" l="1"/>
  <c r="H12" i="4"/>
  <c r="H27" i="1" s="1"/>
  <c r="G38" i="3"/>
  <c r="E53" i="3"/>
  <c r="G45" i="3"/>
  <c r="D18" i="1" l="1"/>
  <c r="D50" i="1" s="1"/>
  <c r="H18" i="1"/>
  <c r="G53" i="3"/>
  <c r="D37" i="2" l="1"/>
  <c r="H35" i="2" l="1"/>
  <c r="G40" i="1" l="1"/>
  <c r="H40" i="1" s="1"/>
  <c r="H50" i="1" s="1"/>
  <c r="J50" i="1" s="1"/>
  <c r="H37" i="2"/>
  <c r="J37" i="2" s="1"/>
</calcChain>
</file>

<file path=xl/sharedStrings.xml><?xml version="1.0" encoding="utf-8"?>
<sst xmlns="http://schemas.openxmlformats.org/spreadsheetml/2006/main" count="387" uniqueCount="253">
  <si>
    <t>Cherry Blossom Co-op. Housing Society Ltd.</t>
  </si>
  <si>
    <t xml:space="preserve"> ( Regd No.: BOM/W-P/HSG/TC/6681/91-92 )</t>
  </si>
  <si>
    <t>Plot No. 157/2, D'Monte Lane, Valnai, Orlem, Malad (West), Mumbai - 400064</t>
  </si>
  <si>
    <t>(Amt. in Rs.)</t>
  </si>
  <si>
    <t>Liabilities</t>
  </si>
  <si>
    <t>Assets</t>
  </si>
  <si>
    <t>AUTHORISED SHARE CAPITAL</t>
  </si>
  <si>
    <t>Cash &amp; Bank Balances:</t>
  </si>
  <si>
    <t>(2,000 Shares of Rs.50/- Each )</t>
  </si>
  <si>
    <t>Cash Balance</t>
  </si>
  <si>
    <t>Citizen Credit Co-op. Bank</t>
  </si>
  <si>
    <t>Issued, Subscribed and Paid up Share Capital</t>
  </si>
  <si>
    <t>MDCC Bank  00061006000497</t>
  </si>
  <si>
    <t>General Reserve &amp; Other Funds:</t>
  </si>
  <si>
    <t>Investments :</t>
  </si>
  <si>
    <t>(i) General Reserve Fund:</t>
  </si>
  <si>
    <t xml:space="preserve"> 1 Share of MDHF</t>
  </si>
  <si>
    <t>Bal as per last balance sheet</t>
  </si>
  <si>
    <t>Fixed Deposits (As per Sch - I)</t>
  </si>
  <si>
    <t>Add: Additions during the year</t>
  </si>
  <si>
    <t xml:space="preserve"> SF Accrued Interest</t>
  </si>
  <si>
    <t xml:space="preserve"> RF Accrued Interest</t>
  </si>
  <si>
    <t>Add: 25% of Surplus during the year</t>
  </si>
  <si>
    <t xml:space="preserve"> ETF Accrued Interest</t>
  </si>
  <si>
    <t>(ii) Sinking Fund</t>
  </si>
  <si>
    <t xml:space="preserve"> OFD Accrued Interest</t>
  </si>
  <si>
    <t>Add: Accrued / Interest Earned</t>
  </si>
  <si>
    <t>Deposit :</t>
  </si>
  <si>
    <t>Adani Electricity</t>
  </si>
  <si>
    <t>(iii) Repair Fund</t>
  </si>
  <si>
    <t>(iv) Major Repair Fund</t>
  </si>
  <si>
    <t>Advance to Vendors (Schedule - III )</t>
  </si>
  <si>
    <t>TDS Receivable on Bank Interest</t>
  </si>
  <si>
    <t>(v) Education &amp; Traing Fund</t>
  </si>
  <si>
    <t>Fixed Assets (As per Schedule - II )</t>
  </si>
  <si>
    <t>(vi) Common Amenities Fund</t>
  </si>
  <si>
    <t>(vii) Deemed Conveyance Fund</t>
  </si>
  <si>
    <t>Prepaid Expenses :</t>
  </si>
  <si>
    <t>Members Contribution towards :</t>
  </si>
  <si>
    <t>Building Insurance Charges</t>
  </si>
  <si>
    <t xml:space="preserve">Land &amp; Building </t>
  </si>
  <si>
    <t>Water Pump AMC</t>
  </si>
  <si>
    <t>Current Liabilities</t>
  </si>
  <si>
    <t>Advance From Members (Sch-IV)</t>
  </si>
  <si>
    <t>Provision &amp; Payables (Sch-V)</t>
  </si>
  <si>
    <t>Retention Money (Renova)</t>
  </si>
  <si>
    <t>Income &amp; Expenditure A/c :</t>
  </si>
  <si>
    <t>Total</t>
  </si>
  <si>
    <t>As per my report of even date</t>
  </si>
  <si>
    <t>For Cherry Blossom Co-op. Housing Society Ltd.</t>
  </si>
  <si>
    <t>( Shankar D. Gawde )</t>
  </si>
  <si>
    <t>Government Certified Auditor</t>
  </si>
  <si>
    <t>Chairman                         Secretary                         Treasurer</t>
  </si>
  <si>
    <t>Panel No. 14428</t>
  </si>
  <si>
    <t>( Regd No.: BOM/W-P/HSG/TC/6681/91-92 )</t>
  </si>
  <si>
    <t>Expenditure</t>
  </si>
  <si>
    <t>Income</t>
  </si>
  <si>
    <t>By Maintenance Collection from members :</t>
  </si>
  <si>
    <t>To Property Tax</t>
  </si>
  <si>
    <t>Maintenance Charges</t>
  </si>
  <si>
    <t>To Building Insurance Charges</t>
  </si>
  <si>
    <t>Property Tax</t>
  </si>
  <si>
    <t>To Water Expenses</t>
  </si>
  <si>
    <t>Water Charges</t>
  </si>
  <si>
    <t>To Electricity Expenses</t>
  </si>
  <si>
    <t>Electricity Charges</t>
  </si>
  <si>
    <t>Non Occupancy Charges</t>
  </si>
  <si>
    <t>To Repairs &amp; Maintenance :</t>
  </si>
  <si>
    <t>Parking Charges</t>
  </si>
  <si>
    <t>CCTV AMC</t>
  </si>
  <si>
    <t>Service Charges</t>
  </si>
  <si>
    <t>Other Repair Maintenance</t>
  </si>
  <si>
    <t>Late Payment Interest</t>
  </si>
  <si>
    <t>Electrical Expenses</t>
  </si>
  <si>
    <t>Building Insurance</t>
  </si>
  <si>
    <t>Legal charges</t>
  </si>
  <si>
    <t>To Administrative Expenses :</t>
  </si>
  <si>
    <t>Salary</t>
  </si>
  <si>
    <t>By Interest received from Banks:</t>
  </si>
  <si>
    <t>Security Expense</t>
  </si>
  <si>
    <t>Interest on Savings Deposit</t>
  </si>
  <si>
    <t>Accounting Charges</t>
  </si>
  <si>
    <t>Bank Charges</t>
  </si>
  <si>
    <t xml:space="preserve">Interest on Fixed Deposits </t>
  </si>
  <si>
    <t>Membership &amp; Subscription</t>
  </si>
  <si>
    <t>Less: Transferred to SF FD</t>
  </si>
  <si>
    <t>Deemed Conveyance</t>
  </si>
  <si>
    <t>Less: Transferred to RF FD</t>
  </si>
  <si>
    <t>Less: Transferred to ETF FD</t>
  </si>
  <si>
    <t>Meeting Expenses</t>
  </si>
  <si>
    <t>Less: Transferred to MRF FD</t>
  </si>
  <si>
    <t>Printing &amp; Stationery</t>
  </si>
  <si>
    <t>By Interest Income from IT Refund</t>
  </si>
  <si>
    <t>Audit Fees</t>
  </si>
  <si>
    <t>Legal &amp; Professional Charges</t>
  </si>
  <si>
    <t>By Excess of Expenditure over Income</t>
  </si>
  <si>
    <t>Depreciation on Fixed Assets</t>
  </si>
  <si>
    <t>Cherry Blossom Co-op. Hsg. Soc. Ltd</t>
  </si>
  <si>
    <t>Sr. No.</t>
  </si>
  <si>
    <t>Certificate No.</t>
  </si>
  <si>
    <t>Date</t>
  </si>
  <si>
    <t>Amount Invested</t>
  </si>
  <si>
    <t>Maturity Date</t>
  </si>
  <si>
    <t>Maturity Value</t>
  </si>
  <si>
    <t>Rate (%)</t>
  </si>
  <si>
    <t>Bank</t>
  </si>
  <si>
    <t>Sinking Fund FD's</t>
  </si>
  <si>
    <t>MDCC</t>
  </si>
  <si>
    <t>10.04.2025</t>
  </si>
  <si>
    <t>21.02.2026</t>
  </si>
  <si>
    <t>09.10.2024</t>
  </si>
  <si>
    <t>Citizen</t>
  </si>
  <si>
    <t>TOTAL</t>
  </si>
  <si>
    <t>Repair Fund FD's</t>
  </si>
  <si>
    <t>07.09.2025</t>
  </si>
  <si>
    <t>Education Fund FD's</t>
  </si>
  <si>
    <t>Other FD's</t>
  </si>
  <si>
    <t>GRAND TOTAL</t>
  </si>
  <si>
    <t>Schedule - II</t>
  </si>
  <si>
    <t>Particulars</t>
  </si>
  <si>
    <t>Rate          %</t>
  </si>
  <si>
    <t>Depreciation for the year</t>
  </si>
  <si>
    <t>Land &amp; Building</t>
  </si>
  <si>
    <t>CCTV</t>
  </si>
  <si>
    <t>Furniture &amp; Fixtures</t>
  </si>
  <si>
    <t>Water Pump Account</t>
  </si>
  <si>
    <t>Cherry Blossom Co-op. Hsg. Soc. Ltd.</t>
  </si>
  <si>
    <t>Schedule - III</t>
  </si>
  <si>
    <t>Advance to Vendors</t>
  </si>
  <si>
    <t>Sr.no.</t>
  </si>
  <si>
    <t>Vendor Name</t>
  </si>
  <si>
    <t>Amount (Rs.)</t>
  </si>
  <si>
    <t>Schedule - IV</t>
  </si>
  <si>
    <t>Advance from Members</t>
  </si>
  <si>
    <t>Amount</t>
  </si>
  <si>
    <t>Schedule - V</t>
  </si>
  <si>
    <t xml:space="preserve">Provision &amp; Payables </t>
  </si>
  <si>
    <t>Account Head</t>
  </si>
  <si>
    <t>Professional Fee</t>
  </si>
  <si>
    <t>Cherry Blossom CHS LTD</t>
  </si>
  <si>
    <t>Balance as per System (Book Balance)</t>
  </si>
  <si>
    <t>Less:</t>
  </si>
  <si>
    <t>Amount Debited by Bank but not entered in the system (Issued)</t>
  </si>
  <si>
    <t>Add:</t>
  </si>
  <si>
    <t>Amount credited in Bank but not entered in the system (Deposit)</t>
  </si>
  <si>
    <t>Balance as per Bank Passbook</t>
  </si>
  <si>
    <t>Water expenses</t>
  </si>
  <si>
    <t> PNH5880008</t>
  </si>
  <si>
    <t>Insurance</t>
  </si>
  <si>
    <t>Period</t>
  </si>
  <si>
    <t>Days/months</t>
  </si>
  <si>
    <t>Water Expense</t>
  </si>
  <si>
    <t>PY</t>
  </si>
  <si>
    <t>Provision</t>
  </si>
  <si>
    <t>Prepaid</t>
  </si>
  <si>
    <t>FY 24-25</t>
  </si>
  <si>
    <t>Accrued in FY 24-25</t>
  </si>
  <si>
    <t>17.02.2026</t>
  </si>
  <si>
    <t>20.02.2026</t>
  </si>
  <si>
    <t>03.05.2025</t>
  </si>
  <si>
    <t>30.10.2025</t>
  </si>
  <si>
    <t>03.11.2025</t>
  </si>
  <si>
    <t>14.02.2026</t>
  </si>
  <si>
    <t>20.03.2026</t>
  </si>
  <si>
    <t>31.03.2026</t>
  </si>
  <si>
    <t>15.05.2025</t>
  </si>
  <si>
    <t>310243_R03</t>
  </si>
  <si>
    <t>310244_R03</t>
  </si>
  <si>
    <t>310245_R03</t>
  </si>
  <si>
    <t>310246_R03</t>
  </si>
  <si>
    <t>09.10.2027</t>
  </si>
  <si>
    <t>310247_R03</t>
  </si>
  <si>
    <t>310248_R03</t>
  </si>
  <si>
    <t>06.01.2026</t>
  </si>
  <si>
    <t>provision</t>
  </si>
  <si>
    <t>prepaid</t>
  </si>
  <si>
    <t>Water Expenses</t>
  </si>
  <si>
    <t>P. Vaz (Advocate)</t>
  </si>
  <si>
    <t>FY 2024-25</t>
  </si>
  <si>
    <t>Add: (100 Shares of Rs. 50/- Each)</t>
  </si>
  <si>
    <t>Mumbai, Date : dd/mm/yyyy</t>
  </si>
  <si>
    <t>Less: Paid to Adv. Kadam</t>
  </si>
  <si>
    <t>To Property Tax - RG Area</t>
  </si>
  <si>
    <t>Accrued in FY 25-26</t>
  </si>
  <si>
    <t>3051503_R02</t>
  </si>
  <si>
    <t>3051504_R02</t>
  </si>
  <si>
    <t>3051505_R02</t>
  </si>
  <si>
    <t>21.05.2027</t>
  </si>
  <si>
    <t>10.04.2027</t>
  </si>
  <si>
    <t>21.02.2028</t>
  </si>
  <si>
    <t>03.11.2026</t>
  </si>
  <si>
    <t>30.10.2026</t>
  </si>
  <si>
    <t>14.02.2027</t>
  </si>
  <si>
    <t>31.03.2027</t>
  </si>
  <si>
    <t>20.03.2027</t>
  </si>
  <si>
    <t>03.05.2026</t>
  </si>
  <si>
    <t>15.05.2026</t>
  </si>
  <si>
    <t>17.02.2027</t>
  </si>
  <si>
    <t>16.12.2025</t>
  </si>
  <si>
    <t>16.12.2026</t>
  </si>
  <si>
    <t>20.02.2027</t>
  </si>
  <si>
    <t>07.03.2027</t>
  </si>
  <si>
    <t>1002026_R1</t>
  </si>
  <si>
    <t>FY 2025-26</t>
  </si>
  <si>
    <t>Opening W.D.V. as on 01.04.2025</t>
  </si>
  <si>
    <t>Additions during the year before 30.09.2025</t>
  </si>
  <si>
    <t>Additions during the year after 30.09.2025</t>
  </si>
  <si>
    <t>Gross Block (at cost) as on 31.03.2026</t>
  </si>
  <si>
    <t>Closing W.D.V. as on 31.03.2026</t>
  </si>
  <si>
    <t>Details of Fixed Assets as on 31st March 2026</t>
  </si>
  <si>
    <t>Citizen Bank Reconciliation Statement as on 31.03.2026</t>
  </si>
  <si>
    <t>Office Expense</t>
  </si>
  <si>
    <t>.</t>
  </si>
  <si>
    <t>Other Income</t>
  </si>
  <si>
    <t>Miscellaneous Income</t>
  </si>
  <si>
    <t>Less: Trfd to Liability</t>
  </si>
  <si>
    <t>To Water Tank Cleaning Expense</t>
  </si>
  <si>
    <t>FY 25-26</t>
  </si>
  <si>
    <t>Income &amp; Expenditure Statement for the year ended 31st March 2026</t>
  </si>
  <si>
    <t>Name of the Member</t>
  </si>
  <si>
    <t>Sl.No</t>
  </si>
  <si>
    <t>Block</t>
  </si>
  <si>
    <t>Unit</t>
  </si>
  <si>
    <t>A</t>
  </si>
  <si>
    <t>04</t>
  </si>
  <si>
    <t>MR. PIOUS RODRIGUES &amp; MRS. THERESA RODRIGUES</t>
  </si>
  <si>
    <t>06</t>
  </si>
  <si>
    <t>MRS. LYDIA AUSTIN GOMES</t>
  </si>
  <si>
    <t>09</t>
  </si>
  <si>
    <t>MRS. LEENA D'SA</t>
  </si>
  <si>
    <t>B</t>
  </si>
  <si>
    <t>02</t>
  </si>
  <si>
    <t>MRS. VANESSA LOBO</t>
  </si>
  <si>
    <t>03</t>
  </si>
  <si>
    <t>MR. AJAY JAYSUKHLAL PANCHAL</t>
  </si>
  <si>
    <t>07</t>
  </si>
  <si>
    <t>FLOSSY  MACHADO</t>
  </si>
  <si>
    <t>08</t>
  </si>
  <si>
    <t>MRS. CAROLINE SONIA D'SOUZA &amp; MRS. THERESA MARGARET D'SOUZA</t>
  </si>
  <si>
    <t>MR. PRAVIN G. PARDESHI &amp; MRS. MAMTA PRAVIN PARDESHI</t>
  </si>
  <si>
    <t>MR. SANJEEV VASANT DALI</t>
  </si>
  <si>
    <t>MRS. DORIS LAWRENCE D'SOUZA</t>
  </si>
  <si>
    <t>BMC</t>
  </si>
  <si>
    <t>Majithiya Services</t>
  </si>
  <si>
    <t>Sweeper</t>
  </si>
  <si>
    <t>Add: CN towards P.tax from FY 22 -25</t>
  </si>
  <si>
    <t>Balance Sheet as at 31st March 2026</t>
  </si>
  <si>
    <t>Schedule  I  -  Fixed Deposits with Banks as of  31.03.2026</t>
  </si>
  <si>
    <t>( F.Y. 2025-26)</t>
  </si>
  <si>
    <t>( 200 Shares of Rs. 50/- Each )</t>
  </si>
  <si>
    <t>Less: Excess of Income over Expenditure for the year</t>
  </si>
  <si>
    <t>Subscription Charges</t>
  </si>
  <si>
    <t>MDCC Bank Reconciliation Statement as on 31.03.2026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</si>
</sst>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[$-F800]dddd\,\ mmmm\ dd\,\ yyyy"/>
    <numFmt numFmtId="166" formatCode="_ * #,##0_ ;_ * \-#,##0_ ;_ * &quot;-&quot;??_ ;_ @_ "/>
  </numFmts>
  <fonts count="3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5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u/>
      <sz val="16"/>
      <color theme="1"/>
      <name val="Arial"/>
      <family val="2"/>
    </font>
    <font>
      <b/>
      <sz val="13"/>
      <color theme="1"/>
      <name val="Arial"/>
      <family val="2"/>
    </font>
    <font>
      <b/>
      <u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8"/>
      <color theme="1"/>
      <name val="Arial"/>
      <family val="2"/>
    </font>
    <font>
      <b/>
      <u/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6"/>
      <color theme="1"/>
      <name val="Calibri"/>
      <family val="2"/>
    </font>
    <font>
      <sz val="11"/>
      <color rgb="FF242626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242626"/>
      <name val="Calibri"/>
      <family val="2"/>
    </font>
    <font>
      <sz val="11"/>
      <color theme="1"/>
      <name val="Calibri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43" fontId="36" fillId="0" borderId="0" applyFont="0" applyFill="0" applyBorder="0" applyAlignment="0" applyProtection="0"/>
  </cellStyleXfs>
  <cellXfs count="228">
    <xf numFmtId="0" fontId="0" fillId="0" borderId="0" xfId="0"/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3" fontId="12" fillId="0" borderId="0" xfId="0" applyNumberFormat="1" applyFont="1" applyAlignment="1">
      <alignment vertical="center"/>
    </xf>
    <xf numFmtId="43" fontId="15" fillId="0" borderId="0" xfId="0" applyNumberFormat="1" applyFont="1" applyAlignment="1">
      <alignment vertical="center"/>
    </xf>
    <xf numFmtId="43" fontId="10" fillId="0" borderId="0" xfId="0" applyNumberFormat="1" applyFont="1"/>
    <xf numFmtId="43" fontId="12" fillId="0" borderId="0" xfId="0" applyNumberFormat="1" applyFont="1"/>
    <xf numFmtId="0" fontId="12" fillId="0" borderId="0" xfId="0" applyFont="1"/>
    <xf numFmtId="0" fontId="6" fillId="0" borderId="0" xfId="0" applyFont="1" applyAlignment="1">
      <alignment horizontal="right" vertical="center"/>
    </xf>
    <xf numFmtId="165" fontId="8" fillId="0" borderId="9" xfId="0" applyNumberFormat="1" applyFont="1" applyBorder="1" applyAlignment="1">
      <alignment horizontal="center" vertical="center"/>
    </xf>
    <xf numFmtId="43" fontId="10" fillId="0" borderId="8" xfId="0" applyNumberFormat="1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43" fontId="12" fillId="0" borderId="8" xfId="0" applyNumberFormat="1" applyFont="1" applyBorder="1"/>
    <xf numFmtId="0" fontId="19" fillId="0" borderId="0" xfId="0" applyFont="1"/>
    <xf numFmtId="0" fontId="21" fillId="0" borderId="0" xfId="0" applyFont="1"/>
    <xf numFmtId="43" fontId="5" fillId="0" borderId="0" xfId="0" applyNumberFormat="1" applyFont="1"/>
    <xf numFmtId="43" fontId="22" fillId="0" borderId="0" xfId="0" applyNumberFormat="1" applyFont="1"/>
    <xf numFmtId="0" fontId="2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7" fillId="0" borderId="0" xfId="0" applyFont="1"/>
    <xf numFmtId="0" fontId="29" fillId="0" borderId="0" xfId="0" applyFont="1" applyAlignment="1">
      <alignment horizontal="center"/>
    </xf>
    <xf numFmtId="0" fontId="30" fillId="0" borderId="0" xfId="0" applyFont="1"/>
    <xf numFmtId="0" fontId="21" fillId="0" borderId="26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left" vertical="center"/>
    </xf>
    <xf numFmtId="9" fontId="5" fillId="0" borderId="8" xfId="0" applyNumberFormat="1" applyFont="1" applyBorder="1" applyAlignment="1">
      <alignment horizontal="center"/>
    </xf>
    <xf numFmtId="43" fontId="5" fillId="0" borderId="8" xfId="0" applyNumberFormat="1" applyFont="1" applyBorder="1"/>
    <xf numFmtId="43" fontId="5" fillId="0" borderId="17" xfId="0" applyNumberFormat="1" applyFont="1" applyBorder="1"/>
    <xf numFmtId="0" fontId="5" fillId="0" borderId="16" xfId="0" applyFont="1" applyBorder="1" applyAlignment="1">
      <alignment horizontal="center" vertical="center"/>
    </xf>
    <xf numFmtId="9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6" xfId="0" applyFont="1" applyBorder="1"/>
    <xf numFmtId="9" fontId="5" fillId="0" borderId="8" xfId="0" applyNumberFormat="1" applyFont="1" applyBorder="1"/>
    <xf numFmtId="43" fontId="21" fillId="0" borderId="30" xfId="0" applyNumberFormat="1" applyFont="1" applyBorder="1"/>
    <xf numFmtId="43" fontId="21" fillId="0" borderId="31" xfId="0" applyNumberFormat="1" applyFont="1" applyBorder="1"/>
    <xf numFmtId="0" fontId="5" fillId="0" borderId="19" xfId="0" applyFont="1" applyBorder="1"/>
    <xf numFmtId="43" fontId="5" fillId="0" borderId="19" xfId="0" applyNumberFormat="1" applyFont="1" applyBorder="1"/>
    <xf numFmtId="4" fontId="32" fillId="0" borderId="19" xfId="0" applyNumberFormat="1" applyFont="1" applyBorder="1" applyAlignment="1">
      <alignment horizontal="right"/>
    </xf>
    <xf numFmtId="0" fontId="21" fillId="0" borderId="19" xfId="0" applyFont="1" applyBorder="1"/>
    <xf numFmtId="14" fontId="5" fillId="0" borderId="0" xfId="0" applyNumberFormat="1" applyFont="1"/>
    <xf numFmtId="0" fontId="5" fillId="0" borderId="0" xfId="0" applyFont="1" applyAlignment="1">
      <alignment horizontal="right"/>
    </xf>
    <xf numFmtId="14" fontId="5" fillId="0" borderId="11" xfId="0" applyNumberFormat="1" applyFont="1" applyBorder="1"/>
    <xf numFmtId="0" fontId="5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right"/>
    </xf>
    <xf numFmtId="0" fontId="5" fillId="0" borderId="11" xfId="0" applyFont="1" applyBorder="1"/>
    <xf numFmtId="0" fontId="3" fillId="0" borderId="0" xfId="0" applyFont="1"/>
    <xf numFmtId="0" fontId="34" fillId="0" borderId="0" xfId="0" applyFont="1"/>
    <xf numFmtId="2" fontId="0" fillId="0" borderId="0" xfId="0" applyNumberFormat="1"/>
    <xf numFmtId="0" fontId="9" fillId="0" borderId="0" xfId="0" applyFont="1"/>
    <xf numFmtId="4" fontId="0" fillId="0" borderId="0" xfId="0" applyNumberFormat="1"/>
    <xf numFmtId="2" fontId="34" fillId="0" borderId="0" xfId="0" applyNumberFormat="1" applyFont="1"/>
    <xf numFmtId="3" fontId="0" fillId="0" borderId="0" xfId="0" applyNumberFormat="1"/>
    <xf numFmtId="1" fontId="0" fillId="0" borderId="0" xfId="0" applyNumberFormat="1"/>
    <xf numFmtId="0" fontId="33" fillId="0" borderId="0" xfId="0" applyFont="1"/>
    <xf numFmtId="43" fontId="21" fillId="0" borderId="40" xfId="0" applyNumberFormat="1" applyFont="1" applyBorder="1"/>
    <xf numFmtId="0" fontId="5" fillId="0" borderId="39" xfId="0" applyFont="1" applyBorder="1" applyAlignment="1">
      <alignment horizontal="center"/>
    </xf>
    <xf numFmtId="4" fontId="35" fillId="0" borderId="19" xfId="0" applyNumberFormat="1" applyFont="1" applyBorder="1" applyAlignment="1">
      <alignment horizontal="right"/>
    </xf>
    <xf numFmtId="0" fontId="5" fillId="0" borderId="0" xfId="0" applyFont="1"/>
    <xf numFmtId="4" fontId="35" fillId="0" borderId="0" xfId="0" applyNumberFormat="1" applyFont="1" applyAlignment="1">
      <alignment horizontal="right"/>
    </xf>
    <xf numFmtId="164" fontId="0" fillId="0" borderId="0" xfId="0" applyNumberFormat="1"/>
    <xf numFmtId="14" fontId="0" fillId="0" borderId="0" xfId="0" applyNumberFormat="1"/>
    <xf numFmtId="43" fontId="33" fillId="0" borderId="0" xfId="1" applyFont="1" applyFill="1" applyAlignment="1">
      <alignment vertical="center"/>
    </xf>
    <xf numFmtId="43" fontId="1" fillId="0" borderId="0" xfId="1" applyFont="1" applyFill="1" applyAlignment="1">
      <alignment vertical="center"/>
    </xf>
    <xf numFmtId="43" fontId="33" fillId="0" borderId="0" xfId="1" applyFont="1" applyFill="1" applyBorder="1" applyAlignment="1">
      <alignment vertical="center"/>
    </xf>
    <xf numFmtId="0" fontId="38" fillId="0" borderId="39" xfId="0" applyFont="1" applyBorder="1" applyAlignment="1">
      <alignment horizontal="center" vertical="center" wrapText="1"/>
    </xf>
    <xf numFmtId="0" fontId="0" fillId="0" borderId="39" xfId="0" applyBorder="1"/>
    <xf numFmtId="0" fontId="0" fillId="0" borderId="39" xfId="0" applyBorder="1" applyAlignment="1">
      <alignment horizontal="center"/>
    </xf>
    <xf numFmtId="0" fontId="34" fillId="0" borderId="39" xfId="0" applyFont="1" applyBorder="1"/>
    <xf numFmtId="1" fontId="0" fillId="0" borderId="39" xfId="0" applyNumberFormat="1" applyBorder="1" applyAlignment="1">
      <alignment horizontal="center"/>
    </xf>
    <xf numFmtId="1" fontId="0" fillId="0" borderId="39" xfId="0" applyNumberFormat="1" applyBorder="1"/>
    <xf numFmtId="1" fontId="33" fillId="0" borderId="47" xfId="0" applyNumberFormat="1" applyFont="1" applyBorder="1"/>
    <xf numFmtId="0" fontId="6" fillId="0" borderId="0" xfId="0" applyFont="1" applyAlignment="1">
      <alignment horizontal="center" vertical="center"/>
    </xf>
    <xf numFmtId="43" fontId="10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43" fontId="10" fillId="0" borderId="10" xfId="0" applyNumberFormat="1" applyFont="1" applyBorder="1" applyAlignment="1">
      <alignment horizontal="left" vertical="center"/>
    </xf>
    <xf numFmtId="43" fontId="12" fillId="0" borderId="0" xfId="0" applyNumberFormat="1" applyFont="1" applyAlignment="1">
      <alignment horizontal="right"/>
    </xf>
    <xf numFmtId="43" fontId="10" fillId="0" borderId="8" xfId="0" applyNumberFormat="1" applyFont="1" applyBorder="1"/>
    <xf numFmtId="43" fontId="10" fillId="0" borderId="8" xfId="0" applyNumberFormat="1" applyFont="1" applyBorder="1" applyAlignment="1">
      <alignment horizontal="right"/>
    </xf>
    <xf numFmtId="43" fontId="12" fillId="0" borderId="8" xfId="0" applyNumberFormat="1" applyFont="1" applyBorder="1" applyAlignment="1">
      <alignment horizontal="right"/>
    </xf>
    <xf numFmtId="43" fontId="12" fillId="0" borderId="7" xfId="0" applyNumberFormat="1" applyFont="1" applyBorder="1" applyAlignment="1">
      <alignment horizontal="right"/>
    </xf>
    <xf numFmtId="0" fontId="11" fillId="0" borderId="0" xfId="0" applyFont="1"/>
    <xf numFmtId="0" fontId="20" fillId="0" borderId="3" xfId="0" applyFont="1" applyBorder="1"/>
    <xf numFmtId="43" fontId="12" fillId="0" borderId="3" xfId="0" applyNumberFormat="1" applyFont="1" applyBorder="1"/>
    <xf numFmtId="43" fontId="12" fillId="0" borderId="7" xfId="0" applyNumberFormat="1" applyFont="1" applyBorder="1"/>
    <xf numFmtId="43" fontId="10" fillId="0" borderId="3" xfId="0" applyNumberFormat="1" applyFont="1" applyBorder="1"/>
    <xf numFmtId="43" fontId="12" fillId="0" borderId="42" xfId="0" applyNumberFormat="1" applyFont="1" applyBorder="1"/>
    <xf numFmtId="43" fontId="12" fillId="0" borderId="50" xfId="0" applyNumberFormat="1" applyFont="1" applyBorder="1"/>
    <xf numFmtId="43" fontId="12" fillId="0" borderId="51" xfId="0" applyNumberFormat="1" applyFont="1" applyBorder="1"/>
    <xf numFmtId="43" fontId="33" fillId="0" borderId="43" xfId="1" applyFont="1" applyFill="1" applyBorder="1" applyAlignment="1">
      <alignment vertical="center"/>
    </xf>
    <xf numFmtId="43" fontId="10" fillId="0" borderId="9" xfId="0" applyNumberFormat="1" applyFont="1" applyBorder="1"/>
    <xf numFmtId="43" fontId="0" fillId="0" borderId="0" xfId="0" applyNumberFormat="1"/>
    <xf numFmtId="43" fontId="0" fillId="0" borderId="39" xfId="1" applyFont="1" applyBorder="1"/>
    <xf numFmtId="0" fontId="21" fillId="0" borderId="13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43" fontId="21" fillId="0" borderId="14" xfId="0" applyNumberFormat="1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/>
    </xf>
    <xf numFmtId="0" fontId="26" fillId="0" borderId="0" xfId="0" applyFont="1" applyAlignment="1">
      <alignment horizontal="left" vertic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166" fontId="5" fillId="0" borderId="19" xfId="0" applyNumberFormat="1" applyFont="1" applyBorder="1"/>
    <xf numFmtId="0" fontId="5" fillId="0" borderId="20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166" fontId="5" fillId="0" borderId="36" xfId="0" applyNumberFormat="1" applyFont="1" applyBorder="1"/>
    <xf numFmtId="0" fontId="5" fillId="0" borderId="37" xfId="0" applyFont="1" applyBorder="1" applyAlignment="1">
      <alignment horizontal="center"/>
    </xf>
    <xf numFmtId="0" fontId="2" fillId="0" borderId="0" xfId="0" applyFont="1"/>
    <xf numFmtId="0" fontId="5" fillId="0" borderId="21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166" fontId="21" fillId="0" borderId="9" xfId="0" applyNumberFormat="1" applyFont="1" applyBorder="1"/>
    <xf numFmtId="0" fontId="5" fillId="0" borderId="23" xfId="0" applyFont="1" applyBorder="1" applyAlignment="1">
      <alignment horizontal="center"/>
    </xf>
    <xf numFmtId="1" fontId="5" fillId="0" borderId="35" xfId="0" applyNumberFormat="1" applyFont="1" applyBorder="1" applyAlignment="1">
      <alignment horizontal="center"/>
    </xf>
    <xf numFmtId="1" fontId="5" fillId="0" borderId="19" xfId="0" applyNumberFormat="1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166" fontId="21" fillId="0" borderId="0" xfId="0" applyNumberFormat="1" applyFont="1"/>
    <xf numFmtId="0" fontId="21" fillId="0" borderId="17" xfId="0" applyFont="1" applyBorder="1" applyAlignment="1">
      <alignment horizontal="center"/>
    </xf>
    <xf numFmtId="0" fontId="21" fillId="0" borderId="22" xfId="0" applyFont="1" applyBorder="1"/>
    <xf numFmtId="0" fontId="5" fillId="0" borderId="22" xfId="0" applyFont="1" applyBorder="1"/>
    <xf numFmtId="0" fontId="5" fillId="0" borderId="24" xfId="0" applyFont="1" applyBorder="1" applyAlignment="1">
      <alignment horizontal="center"/>
    </xf>
    <xf numFmtId="0" fontId="5" fillId="0" borderId="12" xfId="0" applyFont="1" applyBorder="1"/>
    <xf numFmtId="0" fontId="5" fillId="0" borderId="12" xfId="0" applyFont="1" applyBorder="1" applyAlignment="1">
      <alignment horizontal="center"/>
    </xf>
    <xf numFmtId="166" fontId="5" fillId="0" borderId="25" xfId="0" applyNumberFormat="1" applyFont="1" applyBorder="1" applyAlignment="1">
      <alignment horizontal="center"/>
    </xf>
    <xf numFmtId="0" fontId="5" fillId="0" borderId="0" xfId="0" applyFont="1" applyAlignment="1">
      <alignment vertical="center"/>
    </xf>
    <xf numFmtId="165" fontId="8" fillId="0" borderId="1" xfId="0" applyNumberFormat="1" applyFont="1" applyBorder="1" applyAlignment="1">
      <alignment horizontal="center" vertical="center" wrapText="1"/>
    </xf>
    <xf numFmtId="165" fontId="8" fillId="0" borderId="2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43" fontId="12" fillId="0" borderId="0" xfId="0" applyNumberFormat="1" applyFont="1" applyAlignment="1">
      <alignment horizontal="left" vertical="center" wrapText="1"/>
    </xf>
    <xf numFmtId="43" fontId="10" fillId="0" borderId="4" xfId="0" applyNumberFormat="1" applyFont="1" applyBorder="1" applyAlignment="1">
      <alignment horizontal="left" vertical="center" wrapText="1"/>
    </xf>
    <xf numFmtId="43" fontId="10" fillId="0" borderId="5" xfId="0" applyNumberFormat="1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43" fontId="10" fillId="0" borderId="6" xfId="0" applyNumberFormat="1" applyFont="1" applyBorder="1" applyAlignment="1">
      <alignment horizontal="left" vertical="center" wrapText="1"/>
    </xf>
    <xf numFmtId="0" fontId="12" fillId="0" borderId="3" xfId="0" applyFont="1" applyBorder="1" applyAlignment="1">
      <alignment vertical="center" wrapText="1"/>
    </xf>
    <xf numFmtId="43" fontId="12" fillId="0" borderId="4" xfId="0" applyNumberFormat="1" applyFont="1" applyBorder="1" applyAlignment="1">
      <alignment horizontal="right" vertical="center"/>
    </xf>
    <xf numFmtId="43" fontId="10" fillId="0" borderId="4" xfId="0" applyNumberFormat="1" applyFont="1" applyBorder="1" applyAlignment="1">
      <alignment vertical="center" wrapText="1"/>
    </xf>
    <xf numFmtId="43" fontId="10" fillId="0" borderId="3" xfId="0" applyNumberFormat="1" applyFont="1" applyBorder="1" applyAlignment="1">
      <alignment horizontal="left" vertical="center" wrapText="1"/>
    </xf>
    <xf numFmtId="43" fontId="12" fillId="0" borderId="7" xfId="0" applyNumberFormat="1" applyFont="1" applyBorder="1" applyAlignment="1">
      <alignment horizontal="right" vertical="center"/>
    </xf>
    <xf numFmtId="43" fontId="10" fillId="0" borderId="4" xfId="0" applyNumberFormat="1" applyFont="1" applyBorder="1" applyAlignment="1">
      <alignment horizontal="right" vertical="center"/>
    </xf>
    <xf numFmtId="43" fontId="12" fillId="0" borderId="3" xfId="0" applyNumberFormat="1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43" fontId="12" fillId="0" borderId="4" xfId="0" applyNumberFormat="1" applyFont="1" applyBorder="1" applyAlignment="1">
      <alignment vertical="center" wrapText="1"/>
    </xf>
    <xf numFmtId="43" fontId="5" fillId="0" borderId="0" xfId="0" applyNumberFormat="1" applyFont="1" applyAlignment="1">
      <alignment vertical="center"/>
    </xf>
    <xf numFmtId="43" fontId="12" fillId="0" borderId="0" xfId="0" applyNumberFormat="1" applyFont="1" applyAlignment="1">
      <alignment vertical="center" wrapText="1"/>
    </xf>
    <xf numFmtId="0" fontId="13" fillId="0" borderId="3" xfId="0" applyFont="1" applyBorder="1" applyAlignment="1">
      <alignment vertical="center"/>
    </xf>
    <xf numFmtId="43" fontId="12" fillId="0" borderId="3" xfId="0" applyNumberFormat="1" applyFont="1" applyBorder="1" applyAlignment="1">
      <alignment vertical="center"/>
    </xf>
    <xf numFmtId="0" fontId="12" fillId="0" borderId="3" xfId="0" applyFont="1" applyBorder="1" applyAlignment="1">
      <alignment horizontal="left" vertical="center" wrapText="1"/>
    </xf>
    <xf numFmtId="43" fontId="12" fillId="0" borderId="4" xfId="0" applyNumberFormat="1" applyFont="1" applyBorder="1" applyAlignment="1">
      <alignment horizontal="left" vertical="center" wrapText="1"/>
    </xf>
    <xf numFmtId="0" fontId="14" fillId="0" borderId="3" xfId="0" applyFont="1" applyBorder="1" applyAlignment="1">
      <alignment vertical="center" wrapText="1"/>
    </xf>
    <xf numFmtId="164" fontId="5" fillId="0" borderId="0" xfId="0" applyNumberFormat="1" applyFont="1" applyAlignment="1">
      <alignment vertical="center"/>
    </xf>
    <xf numFmtId="43" fontId="12" fillId="0" borderId="3" xfId="0" applyNumberFormat="1" applyFont="1" applyBorder="1" applyAlignment="1">
      <alignment horizontal="left" vertical="center" wrapText="1"/>
    </xf>
    <xf numFmtId="0" fontId="12" fillId="0" borderId="3" xfId="0" applyFont="1" applyBorder="1" applyAlignment="1">
      <alignment vertical="center"/>
    </xf>
    <xf numFmtId="43" fontId="12" fillId="0" borderId="0" xfId="0" applyNumberFormat="1" applyFont="1" applyAlignment="1">
      <alignment horizontal="right" vertical="center"/>
    </xf>
    <xf numFmtId="43" fontId="10" fillId="0" borderId="8" xfId="0" applyNumberFormat="1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43" fontId="10" fillId="0" borderId="8" xfId="0" applyNumberFormat="1" applyFont="1" applyBorder="1" applyAlignment="1">
      <alignment horizontal="left" vertical="center" wrapText="1"/>
    </xf>
    <xf numFmtId="43" fontId="12" fillId="0" borderId="42" xfId="0" applyNumberFormat="1" applyFont="1" applyBorder="1" applyAlignment="1">
      <alignment horizontal="right" vertical="center"/>
    </xf>
    <xf numFmtId="43" fontId="10" fillId="0" borderId="49" xfId="0" applyNumberFormat="1" applyFont="1" applyBorder="1" applyAlignment="1">
      <alignment vertical="center" wrapText="1"/>
    </xf>
    <xf numFmtId="43" fontId="12" fillId="0" borderId="4" xfId="0" applyNumberFormat="1" applyFont="1" applyBorder="1" applyAlignment="1">
      <alignment vertical="center"/>
    </xf>
    <xf numFmtId="43" fontId="10" fillId="0" borderId="4" xfId="0" applyNumberFormat="1" applyFont="1" applyBorder="1" applyAlignment="1">
      <alignment vertical="center"/>
    </xf>
    <xf numFmtId="43" fontId="10" fillId="0" borderId="49" xfId="0" applyNumberFormat="1" applyFont="1" applyBorder="1" applyAlignment="1">
      <alignment vertical="center"/>
    </xf>
    <xf numFmtId="43" fontId="12" fillId="0" borderId="7" xfId="0" applyNumberFormat="1" applyFont="1" applyBorder="1" applyAlignment="1">
      <alignment vertical="center"/>
    </xf>
    <xf numFmtId="43" fontId="10" fillId="0" borderId="1" xfId="0" applyNumberFormat="1" applyFont="1" applyBorder="1" applyAlignment="1">
      <alignment vertical="center" wrapText="1"/>
    </xf>
    <xf numFmtId="43" fontId="10" fillId="0" borderId="2" xfId="0" applyNumberFormat="1" applyFont="1" applyBorder="1" applyAlignment="1">
      <alignment vertical="center" wrapText="1"/>
    </xf>
    <xf numFmtId="43" fontId="10" fillId="0" borderId="9" xfId="0" applyNumberFormat="1" applyFont="1" applyBorder="1" applyAlignment="1">
      <alignment vertical="center" wrapText="1"/>
    </xf>
    <xf numFmtId="43" fontId="10" fillId="0" borderId="0" xfId="0" applyNumberFormat="1" applyFont="1" applyAlignment="1">
      <alignment vertical="center" wrapText="1"/>
    </xf>
    <xf numFmtId="43" fontId="10" fillId="0" borderId="3" xfId="0" applyNumberFormat="1" applyFont="1" applyBorder="1" applyAlignment="1">
      <alignment horizontal="left" vertical="center"/>
    </xf>
    <xf numFmtId="43" fontId="10" fillId="0" borderId="4" xfId="0" applyNumberFormat="1" applyFont="1" applyBorder="1" applyAlignment="1">
      <alignment horizontal="left" vertical="center"/>
    </xf>
    <xf numFmtId="43" fontId="12" fillId="0" borderId="0" xfId="0" applyNumberFormat="1" applyFont="1" applyAlignment="1">
      <alignment horizontal="left" vertical="center"/>
    </xf>
    <xf numFmtId="43" fontId="10" fillId="0" borderId="54" xfId="0" applyNumberFormat="1" applyFont="1" applyBorder="1" applyAlignment="1">
      <alignment vertical="center" wrapText="1"/>
    </xf>
    <xf numFmtId="0" fontId="5" fillId="0" borderId="3" xfId="0" applyFont="1" applyBorder="1" applyAlignment="1">
      <alignment horizontal="center"/>
    </xf>
    <xf numFmtId="0" fontId="5" fillId="0" borderId="4" xfId="0" applyFont="1" applyBorder="1"/>
    <xf numFmtId="166" fontId="5" fillId="0" borderId="8" xfId="0" applyNumberFormat="1" applyFont="1" applyBorder="1"/>
    <xf numFmtId="0" fontId="21" fillId="0" borderId="39" xfId="0" applyFont="1" applyBorder="1" applyAlignment="1">
      <alignment horizontal="center" vertical="center" wrapText="1"/>
    </xf>
    <xf numFmtId="0" fontId="5" fillId="0" borderId="39" xfId="0" applyFont="1" applyBorder="1"/>
    <xf numFmtId="43" fontId="5" fillId="0" borderId="39" xfId="1" applyFont="1" applyFill="1" applyBorder="1"/>
    <xf numFmtId="43" fontId="0" fillId="0" borderId="39" xfId="1" applyFont="1" applyFill="1" applyBorder="1"/>
    <xf numFmtId="0" fontId="21" fillId="0" borderId="19" xfId="0" applyFont="1" applyBorder="1" applyAlignment="1">
      <alignment horizontal="center"/>
    </xf>
    <xf numFmtId="43" fontId="8" fillId="0" borderId="0" xfId="0" applyNumberFormat="1" applyFont="1" applyAlignment="1">
      <alignment horizontal="center" vertical="center"/>
    </xf>
    <xf numFmtId="0" fontId="0" fillId="0" borderId="0" xfId="0"/>
    <xf numFmtId="43" fontId="10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2" xfId="0" applyFont="1" applyBorder="1"/>
    <xf numFmtId="0" fontId="11" fillId="0" borderId="3" xfId="0" applyFont="1" applyBorder="1" applyAlignment="1">
      <alignment horizontal="left" vertical="center"/>
    </xf>
    <xf numFmtId="0" fontId="9" fillId="0" borderId="4" xfId="0" applyFont="1" applyBorder="1"/>
    <xf numFmtId="0" fontId="11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43" fontId="8" fillId="0" borderId="0" xfId="0" applyNumberFormat="1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28" xfId="0" applyFont="1" applyBorder="1" applyAlignment="1">
      <alignment horizontal="center"/>
    </xf>
    <xf numFmtId="0" fontId="9" fillId="0" borderId="29" xfId="0" applyFont="1" applyBorder="1"/>
    <xf numFmtId="0" fontId="21" fillId="0" borderId="44" xfId="0" applyFont="1" applyBorder="1" applyAlignment="1">
      <alignment horizontal="center"/>
    </xf>
    <xf numFmtId="0" fontId="21" fillId="0" borderId="45" xfId="0" applyFont="1" applyBorder="1" applyAlignment="1">
      <alignment horizontal="center"/>
    </xf>
    <xf numFmtId="0" fontId="21" fillId="0" borderId="46" xfId="0" applyFont="1" applyBorder="1" applyAlignment="1">
      <alignment horizontal="center"/>
    </xf>
    <xf numFmtId="0" fontId="37" fillId="0" borderId="41" xfId="0" applyFont="1" applyBorder="1" applyAlignment="1">
      <alignment horizontal="left" wrapText="1"/>
    </xf>
    <xf numFmtId="0" fontId="21" fillId="0" borderId="48" xfId="0" applyFont="1" applyBorder="1" applyAlignment="1">
      <alignment horizontal="center"/>
    </xf>
    <xf numFmtId="0" fontId="9" fillId="0" borderId="35" xfId="0" applyFont="1" applyBorder="1"/>
    <xf numFmtId="0" fontId="9" fillId="0" borderId="38" xfId="0" applyFont="1" applyBorder="1"/>
    <xf numFmtId="0" fontId="21" fillId="0" borderId="5" xfId="0" applyFont="1" applyBorder="1" applyAlignment="1">
      <alignment horizontal="center"/>
    </xf>
    <xf numFmtId="0" fontId="9" fillId="0" borderId="6" xfId="0" applyFont="1" applyBorder="1"/>
    <xf numFmtId="0" fontId="31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1" fillId="0" borderId="32" xfId="0" applyFont="1" applyBorder="1" applyAlignment="1">
      <alignment horizontal="center"/>
    </xf>
    <xf numFmtId="0" fontId="9" fillId="0" borderId="33" xfId="0" applyFont="1" applyBorder="1"/>
    <xf numFmtId="0" fontId="9" fillId="0" borderId="34" xfId="0" applyFont="1" applyBorder="1"/>
    <xf numFmtId="0" fontId="21" fillId="0" borderId="1" xfId="0" applyFont="1" applyBorder="1" applyAlignment="1">
      <alignment horizontal="center"/>
    </xf>
    <xf numFmtId="0" fontId="38" fillId="0" borderId="52" xfId="0" applyFont="1" applyBorder="1" applyAlignment="1">
      <alignment horizontal="center" wrapText="1"/>
    </xf>
    <xf numFmtId="0" fontId="38" fillId="0" borderId="53" xfId="0" applyFont="1" applyBorder="1" applyAlignment="1">
      <alignment horizontal="center" wrapText="1"/>
    </xf>
    <xf numFmtId="0" fontId="38" fillId="0" borderId="50" xfId="0" applyFont="1" applyBorder="1" applyAlignment="1">
      <alignment horizontal="center" wrapText="1"/>
    </xf>
    <xf numFmtId="0" fontId="24" fillId="0" borderId="32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62"/>
  <sheetViews>
    <sheetView tabSelected="1" workbookViewId="0">
      <selection activeCell="E26" sqref="E26"/>
    </sheetView>
  </sheetViews>
  <sheetFormatPr defaultColWidth="14.44140625" defaultRowHeight="14.4" x14ac:dyDescent="0.3"/>
  <cols>
    <col min="1" max="1" width="14" customWidth="1"/>
    <col min="2" max="2" width="34.33203125" bestFit="1" customWidth="1"/>
    <col min="3" max="5" width="13.88671875" bestFit="1" customWidth="1"/>
    <col min="6" max="6" width="49.5546875" bestFit="1" customWidth="1"/>
    <col min="7" max="8" width="13.88671875" bestFit="1" customWidth="1"/>
    <col min="9" max="9" width="10.88671875" customWidth="1"/>
    <col min="10" max="10" width="12" bestFit="1" customWidth="1"/>
    <col min="11" max="11" width="10.6640625" bestFit="1" customWidth="1"/>
    <col min="12" max="26" width="8.77734375" customWidth="1"/>
  </cols>
  <sheetData>
    <row r="1" spans="1:26" x14ac:dyDescent="0.3">
      <c r="A1" s="187" t="s">
        <v>0</v>
      </c>
      <c r="B1" s="185"/>
      <c r="C1" s="185"/>
      <c r="D1" s="185"/>
      <c r="E1" s="185"/>
      <c r="F1" s="185"/>
      <c r="G1" s="185"/>
      <c r="H1" s="185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spans="1:26" x14ac:dyDescent="0.3">
      <c r="A2" s="188" t="s">
        <v>1</v>
      </c>
      <c r="B2" s="185"/>
      <c r="C2" s="185"/>
      <c r="D2" s="185"/>
      <c r="E2" s="185"/>
      <c r="F2" s="185"/>
      <c r="G2" s="185"/>
      <c r="H2" s="185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 spans="1:26" x14ac:dyDescent="0.3">
      <c r="A3" s="188" t="s">
        <v>2</v>
      </c>
      <c r="B3" s="185"/>
      <c r="C3" s="185"/>
      <c r="D3" s="185"/>
      <c r="E3" s="185"/>
      <c r="F3" s="185"/>
      <c r="G3" s="185"/>
      <c r="H3" s="185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 spans="1:26" ht="17.399999999999999" x14ac:dyDescent="0.3">
      <c r="A4" s="189" t="s">
        <v>246</v>
      </c>
      <c r="B4" s="185"/>
      <c r="C4" s="185"/>
      <c r="D4" s="185"/>
      <c r="E4" s="185"/>
      <c r="F4" s="185"/>
      <c r="G4" s="185"/>
      <c r="H4" s="185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 spans="1:26" ht="15.6" x14ac:dyDescent="0.3">
      <c r="A5" s="1"/>
      <c r="B5" s="1"/>
      <c r="C5" s="1"/>
      <c r="D5" s="1"/>
      <c r="E5" s="1"/>
      <c r="F5" s="1"/>
      <c r="G5" s="1"/>
      <c r="H5" s="73" t="s">
        <v>3</v>
      </c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</row>
    <row r="6" spans="1:26" ht="15.6" x14ac:dyDescent="0.3">
      <c r="A6" s="128" t="s">
        <v>178</v>
      </c>
      <c r="B6" s="190" t="s">
        <v>4</v>
      </c>
      <c r="C6" s="191"/>
      <c r="D6" s="129" t="s">
        <v>203</v>
      </c>
      <c r="E6" s="128" t="str">
        <f>A6</f>
        <v>FY 2024-25</v>
      </c>
      <c r="F6" s="190" t="s">
        <v>5</v>
      </c>
      <c r="G6" s="191"/>
      <c r="H6" s="129" t="str">
        <f>D6</f>
        <v>FY 2025-26</v>
      </c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</row>
    <row r="7" spans="1:26" x14ac:dyDescent="0.3">
      <c r="A7" s="130"/>
      <c r="B7" s="131" t="s">
        <v>6</v>
      </c>
      <c r="C7" s="132"/>
      <c r="D7" s="132"/>
      <c r="E7" s="133"/>
      <c r="F7" s="131" t="s">
        <v>7</v>
      </c>
      <c r="G7" s="134"/>
      <c r="H7" s="134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spans="1:26" x14ac:dyDescent="0.3">
      <c r="A8" s="135">
        <v>100000</v>
      </c>
      <c r="B8" s="130" t="s">
        <v>8</v>
      </c>
      <c r="C8" s="136"/>
      <c r="D8" s="137">
        <v>100000</v>
      </c>
      <c r="E8" s="133">
        <v>1640</v>
      </c>
      <c r="F8" s="138" t="s">
        <v>9</v>
      </c>
      <c r="G8" s="139">
        <v>4405</v>
      </c>
      <c r="H8" s="140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</row>
    <row r="9" spans="1:26" x14ac:dyDescent="0.3">
      <c r="A9" s="141"/>
      <c r="B9" s="130"/>
      <c r="C9" s="134"/>
      <c r="D9" s="132"/>
      <c r="E9" s="133">
        <v>207148.75</v>
      </c>
      <c r="F9" s="138" t="s">
        <v>10</v>
      </c>
      <c r="G9" s="139">
        <f>BRS!D4</f>
        <v>96127.95</v>
      </c>
      <c r="H9" s="140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 spans="1:26" x14ac:dyDescent="0.3">
      <c r="A10" s="172"/>
      <c r="B10" s="192" t="s">
        <v>11</v>
      </c>
      <c r="C10" s="193"/>
      <c r="D10" s="173"/>
      <c r="E10" s="174">
        <v>11113.85</v>
      </c>
      <c r="F10" s="156" t="s">
        <v>12</v>
      </c>
      <c r="G10" s="142">
        <f>BRS!D17</f>
        <v>12886.85</v>
      </c>
      <c r="H10" s="143">
        <f>SUM(G8:G10)</f>
        <v>113419.8</v>
      </c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 spans="1:26" x14ac:dyDescent="0.3">
      <c r="A11" s="144">
        <v>5000</v>
      </c>
      <c r="B11" s="145" t="s">
        <v>249</v>
      </c>
      <c r="C11" s="139"/>
      <c r="D11" s="143">
        <f>SUM(A11:A12)</f>
        <v>10000</v>
      </c>
      <c r="E11" s="133"/>
      <c r="F11" s="138"/>
      <c r="G11" s="146"/>
      <c r="H11" s="134"/>
      <c r="I11" s="127"/>
      <c r="J11" s="127"/>
      <c r="K11" s="14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 spans="1:26" ht="27.6" x14ac:dyDescent="0.3">
      <c r="A12" s="144">
        <v>5000</v>
      </c>
      <c r="B12" s="145" t="s">
        <v>179</v>
      </c>
      <c r="C12" s="139"/>
      <c r="D12" s="143">
        <v>0</v>
      </c>
      <c r="E12" s="133"/>
      <c r="F12" s="131" t="s">
        <v>14</v>
      </c>
      <c r="G12" s="134"/>
      <c r="H12" s="140"/>
      <c r="I12" s="127"/>
      <c r="J12" s="127"/>
      <c r="K12" s="14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spans="1:26" x14ac:dyDescent="0.3">
      <c r="A13" s="144"/>
      <c r="B13" s="138"/>
      <c r="C13" s="146"/>
      <c r="D13" s="134"/>
      <c r="E13" s="148">
        <v>100</v>
      </c>
      <c r="F13" s="138" t="s">
        <v>16</v>
      </c>
      <c r="G13" s="139"/>
      <c r="H13" s="143">
        <v>100</v>
      </c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spans="1:26" x14ac:dyDescent="0.3">
      <c r="A14" s="141"/>
      <c r="B14" s="131" t="s">
        <v>13</v>
      </c>
      <c r="C14" s="134"/>
      <c r="D14" s="140"/>
      <c r="E14" s="148">
        <v>2128540</v>
      </c>
      <c r="F14" s="149" t="s">
        <v>18</v>
      </c>
      <c r="G14" s="146">
        <f>'FD-Sch I'!D53</f>
        <v>2399205</v>
      </c>
      <c r="H14" s="134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spans="1:26" x14ac:dyDescent="0.3">
      <c r="A15" s="141"/>
      <c r="B15" s="131" t="s">
        <v>15</v>
      </c>
      <c r="C15" s="134"/>
      <c r="D15" s="140"/>
      <c r="E15" s="133">
        <v>31172</v>
      </c>
      <c r="F15" s="151" t="s">
        <v>20</v>
      </c>
      <c r="G15" s="152">
        <f>'FD-Sch I'!F26+'FD-Sch I'!E26</f>
        <v>46017</v>
      </c>
      <c r="H15" s="140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spans="1:26" x14ac:dyDescent="0.3">
      <c r="A16" s="144">
        <v>42896</v>
      </c>
      <c r="B16" s="138" t="s">
        <v>17</v>
      </c>
      <c r="C16" s="139">
        <f>SUM(A16:A18)</f>
        <v>43296</v>
      </c>
      <c r="D16" s="140"/>
      <c r="E16" s="148">
        <v>26338</v>
      </c>
      <c r="F16" s="151" t="s">
        <v>21</v>
      </c>
      <c r="G16" s="139">
        <f>'FD-Sch I'!F38</f>
        <v>22226</v>
      </c>
      <c r="H16" s="140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spans="1:26" x14ac:dyDescent="0.3">
      <c r="A17" s="144">
        <v>400</v>
      </c>
      <c r="B17" s="138" t="s">
        <v>19</v>
      </c>
      <c r="C17" s="139">
        <v>100</v>
      </c>
      <c r="D17" s="140"/>
      <c r="E17" s="148">
        <v>492</v>
      </c>
      <c r="F17" s="151" t="s">
        <v>23</v>
      </c>
      <c r="G17" s="139">
        <f>'FD-Sch I'!F45</f>
        <v>248</v>
      </c>
      <c r="H17" s="140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spans="1:26" x14ac:dyDescent="0.3">
      <c r="A18" s="144">
        <v>0</v>
      </c>
      <c r="B18" s="138" t="s">
        <v>22</v>
      </c>
      <c r="C18" s="142">
        <f>IE!D35</f>
        <v>0</v>
      </c>
      <c r="D18" s="140">
        <f>SUM(C16:C18)</f>
        <v>43396</v>
      </c>
      <c r="E18" s="148">
        <v>4797</v>
      </c>
      <c r="F18" s="151" t="s">
        <v>25</v>
      </c>
      <c r="G18" s="142">
        <f>'FD-Sch I'!F51</f>
        <v>2067</v>
      </c>
      <c r="H18" s="140">
        <f>SUM(G14:G18)</f>
        <v>2469763</v>
      </c>
      <c r="I18" s="127"/>
      <c r="J18" s="127"/>
      <c r="K18" s="14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spans="1:26" x14ac:dyDescent="0.3">
      <c r="A19" s="144"/>
      <c r="B19" s="138"/>
      <c r="C19" s="139"/>
      <c r="D19" s="140"/>
      <c r="E19" s="148"/>
      <c r="F19" s="138"/>
      <c r="G19" s="139"/>
      <c r="H19" s="140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spans="1:26" x14ac:dyDescent="0.3">
      <c r="A20" s="144"/>
      <c r="B20" s="153" t="s">
        <v>24</v>
      </c>
      <c r="C20" s="139"/>
      <c r="D20" s="143"/>
      <c r="E20" s="148"/>
      <c r="F20" s="131" t="s">
        <v>27</v>
      </c>
      <c r="G20" s="134"/>
      <c r="H20" s="140"/>
      <c r="I20" s="127"/>
      <c r="J20" s="127"/>
      <c r="K20" s="154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spans="1:26" x14ac:dyDescent="0.3">
      <c r="A21" s="144">
        <v>1209446</v>
      </c>
      <c r="B21" s="156" t="s">
        <v>17</v>
      </c>
      <c r="C21" s="139">
        <f>SUM(A21:A24)</f>
        <v>1329307</v>
      </c>
      <c r="D21" s="134"/>
      <c r="E21" s="148">
        <v>6184.72</v>
      </c>
      <c r="F21" s="138" t="s">
        <v>28</v>
      </c>
      <c r="G21" s="139"/>
      <c r="H21" s="140">
        <v>6184.72</v>
      </c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spans="1:26" x14ac:dyDescent="0.3">
      <c r="A22" s="155">
        <v>37584</v>
      </c>
      <c r="B22" s="156" t="s">
        <v>19</v>
      </c>
      <c r="C22" s="139">
        <v>37584</v>
      </c>
      <c r="D22" s="140"/>
      <c r="E22" s="148"/>
      <c r="F22" s="138"/>
      <c r="G22" s="139"/>
      <c r="H22" s="140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x14ac:dyDescent="0.3">
      <c r="A23" s="144">
        <v>82277</v>
      </c>
      <c r="B23" s="156" t="s">
        <v>26</v>
      </c>
      <c r="C23" s="142">
        <v>96672</v>
      </c>
      <c r="D23" s="140">
        <f>SUM(C21:C23)</f>
        <v>1463563</v>
      </c>
      <c r="E23" s="148">
        <v>100000</v>
      </c>
      <c r="F23" s="194" t="s">
        <v>31</v>
      </c>
      <c r="G23" s="193"/>
      <c r="H23" s="158">
        <f>'Sch-III,IV,V'!C8</f>
        <v>100000</v>
      </c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x14ac:dyDescent="0.3">
      <c r="A24" s="144"/>
      <c r="B24" s="138"/>
      <c r="C24" s="146"/>
      <c r="D24" s="134"/>
      <c r="E24" s="127"/>
      <c r="F24" s="159"/>
      <c r="G24" s="127"/>
      <c r="H24" s="160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x14ac:dyDescent="0.3">
      <c r="A25" s="141"/>
      <c r="B25" s="131" t="s">
        <v>29</v>
      </c>
      <c r="C25" s="134"/>
      <c r="D25" s="140"/>
      <c r="E25" s="148">
        <v>15586</v>
      </c>
      <c r="F25" s="195" t="s">
        <v>32</v>
      </c>
      <c r="G25" s="193"/>
      <c r="H25" s="158">
        <v>29052</v>
      </c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x14ac:dyDescent="0.3">
      <c r="A26" s="144">
        <v>50445</v>
      </c>
      <c r="B26" s="156" t="s">
        <v>17</v>
      </c>
      <c r="C26" s="139"/>
      <c r="D26" s="140">
        <v>50445</v>
      </c>
      <c r="E26" s="148"/>
      <c r="F26" s="138"/>
      <c r="G26" s="157"/>
      <c r="H26" s="158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x14ac:dyDescent="0.3">
      <c r="A27" s="144"/>
      <c r="B27" s="138"/>
      <c r="C27" s="139"/>
      <c r="D27" s="140"/>
      <c r="E27" s="148">
        <v>3044199</v>
      </c>
      <c r="F27" s="195" t="s">
        <v>34</v>
      </c>
      <c r="G27" s="193"/>
      <c r="H27" s="161">
        <f>'FA-Sch II'!H12</f>
        <v>3037031</v>
      </c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spans="1:26" x14ac:dyDescent="0.3">
      <c r="A28" s="144"/>
      <c r="B28" s="153" t="s">
        <v>30</v>
      </c>
      <c r="C28" s="139"/>
      <c r="D28" s="143"/>
      <c r="E28" s="127"/>
      <c r="F28" s="159"/>
      <c r="G28" s="127"/>
      <c r="H28" s="160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spans="1:26" x14ac:dyDescent="0.3">
      <c r="A29" s="144">
        <v>927976</v>
      </c>
      <c r="B29" s="156" t="s">
        <v>17</v>
      </c>
      <c r="C29" s="139">
        <f>SUM(A29:A31)</f>
        <v>1011748</v>
      </c>
      <c r="D29" s="134"/>
      <c r="E29" s="148"/>
      <c r="F29" s="153" t="s">
        <v>37</v>
      </c>
      <c r="G29" s="157"/>
      <c r="H29" s="158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spans="1:26" x14ac:dyDescent="0.3">
      <c r="A30" s="155">
        <v>83772</v>
      </c>
      <c r="B30" s="156" t="s">
        <v>19</v>
      </c>
      <c r="C30" s="162">
        <v>83772</v>
      </c>
      <c r="D30" s="140">
        <f>SUM(C29:C30)</f>
        <v>1095520</v>
      </c>
      <c r="E30" s="148">
        <v>16999</v>
      </c>
      <c r="F30" s="138" t="s">
        <v>39</v>
      </c>
      <c r="G30" s="157"/>
      <c r="H30" s="158">
        <v>16632</v>
      </c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spans="1:26" x14ac:dyDescent="0.3">
      <c r="A31" s="144"/>
      <c r="B31" s="138"/>
      <c r="C31" s="139"/>
      <c r="D31" s="140"/>
      <c r="E31" s="148"/>
      <c r="F31" s="138"/>
      <c r="G31" s="139"/>
      <c r="H31" s="140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spans="1:26" x14ac:dyDescent="0.3">
      <c r="A32" s="144"/>
      <c r="B32" s="153" t="s">
        <v>33</v>
      </c>
      <c r="C32" s="139"/>
      <c r="D32" s="143"/>
      <c r="E32" s="148"/>
      <c r="F32" s="138"/>
      <c r="G32" s="139"/>
      <c r="H32" s="140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spans="1:26" x14ac:dyDescent="0.3">
      <c r="A33" s="144">
        <v>7371</v>
      </c>
      <c r="B33" s="156" t="s">
        <v>17</v>
      </c>
      <c r="C33" s="139">
        <f>SUM(A33:A35)</f>
        <v>10147</v>
      </c>
      <c r="D33" s="134"/>
      <c r="E33" s="148"/>
      <c r="F33" s="138"/>
      <c r="G33" s="139"/>
      <c r="H33" s="140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spans="1:26" x14ac:dyDescent="0.3">
      <c r="A34" s="155">
        <v>2400</v>
      </c>
      <c r="B34" s="156" t="s">
        <v>19</v>
      </c>
      <c r="C34" s="139">
        <v>2400</v>
      </c>
      <c r="D34" s="140"/>
      <c r="E34" s="148"/>
      <c r="F34" s="138"/>
      <c r="G34" s="139"/>
      <c r="H34" s="140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spans="1:26" x14ac:dyDescent="0.3">
      <c r="A35" s="155">
        <v>376</v>
      </c>
      <c r="B35" s="156" t="s">
        <v>26</v>
      </c>
      <c r="C35" s="142">
        <v>634</v>
      </c>
      <c r="D35" s="140">
        <f>C33+C34+C35</f>
        <v>13181</v>
      </c>
      <c r="E35" s="148"/>
      <c r="F35" s="138"/>
      <c r="G35" s="139"/>
      <c r="H35" s="140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spans="1:26" x14ac:dyDescent="0.3">
      <c r="A36" s="144"/>
      <c r="B36" s="138"/>
      <c r="C36" s="139"/>
      <c r="D36" s="143"/>
      <c r="E36" s="148"/>
      <c r="F36" s="138"/>
      <c r="G36" s="139"/>
      <c r="H36" s="163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spans="1:26" x14ac:dyDescent="0.3">
      <c r="A37" s="144">
        <v>70000</v>
      </c>
      <c r="B37" s="145" t="s">
        <v>35</v>
      </c>
      <c r="C37" s="134"/>
      <c r="D37" s="134">
        <v>70000</v>
      </c>
      <c r="E37" s="150"/>
      <c r="F37" s="149" t="s">
        <v>46</v>
      </c>
      <c r="G37" s="164"/>
      <c r="H37" s="166">
        <v>0</v>
      </c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spans="1:26" x14ac:dyDescent="0.3">
      <c r="A38" s="141"/>
      <c r="B38" s="130"/>
      <c r="C38" s="134"/>
      <c r="D38" s="140"/>
      <c r="E38" s="150">
        <v>-276480.12</v>
      </c>
      <c r="F38" s="156" t="s">
        <v>17</v>
      </c>
      <c r="G38" s="139">
        <v>29452.68</v>
      </c>
      <c r="H38" s="166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spans="1:26" x14ac:dyDescent="0.3">
      <c r="A39" s="144">
        <v>600000</v>
      </c>
      <c r="B39" s="145" t="s">
        <v>36</v>
      </c>
      <c r="C39" s="139">
        <v>600000</v>
      </c>
      <c r="D39" s="143"/>
      <c r="E39" s="150">
        <v>-4400</v>
      </c>
      <c r="F39" s="156" t="s">
        <v>245</v>
      </c>
      <c r="G39" s="164">
        <v>64368</v>
      </c>
      <c r="H39" s="166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spans="1:26" x14ac:dyDescent="0.3">
      <c r="A40" s="144">
        <v>-600000</v>
      </c>
      <c r="B40" s="138" t="s">
        <v>181</v>
      </c>
      <c r="C40" s="162">
        <v>-600000</v>
      </c>
      <c r="D40" s="143">
        <f>C39+C40</f>
        <v>0</v>
      </c>
      <c r="E40" s="150">
        <v>310332.79999999999</v>
      </c>
      <c r="F40" s="156" t="s">
        <v>250</v>
      </c>
      <c r="G40" s="167">
        <f>IE!H35</f>
        <v>3492.8000000000466</v>
      </c>
      <c r="H40" s="166">
        <f>SUM(G38:G40)</f>
        <v>97313.48000000004</v>
      </c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spans="1:26" x14ac:dyDescent="0.3">
      <c r="A41" s="144"/>
      <c r="B41" s="138"/>
      <c r="C41" s="146"/>
      <c r="D41" s="143"/>
      <c r="E41" s="3"/>
      <c r="F41" s="156"/>
      <c r="G41" s="164"/>
      <c r="H41" s="166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spans="1:26" x14ac:dyDescent="0.3">
      <c r="A42" s="144"/>
      <c r="B42" s="153" t="s">
        <v>38</v>
      </c>
      <c r="C42" s="139"/>
      <c r="D42" s="140"/>
      <c r="E42" s="3"/>
      <c r="F42" s="156"/>
      <c r="G42" s="164"/>
      <c r="H42" s="166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spans="1:26" x14ac:dyDescent="0.3">
      <c r="A43" s="144">
        <v>2995875</v>
      </c>
      <c r="B43" s="138" t="s">
        <v>40</v>
      </c>
      <c r="C43" s="139"/>
      <c r="D43" s="140">
        <v>2995875</v>
      </c>
      <c r="E43" s="3"/>
      <c r="F43" s="156"/>
      <c r="G43" s="164"/>
      <c r="H43" s="166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spans="1:26" x14ac:dyDescent="0.3">
      <c r="A44" s="144"/>
      <c r="B44" s="138"/>
      <c r="C44" s="139"/>
      <c r="D44" s="140"/>
      <c r="E44" s="3"/>
      <c r="F44" s="156"/>
      <c r="G44" s="164"/>
      <c r="H44" s="166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spans="1:26" x14ac:dyDescent="0.3">
      <c r="A45" s="144"/>
      <c r="B45" s="153" t="s">
        <v>42</v>
      </c>
      <c r="C45" s="146"/>
      <c r="D45" s="143"/>
      <c r="E45" s="3"/>
      <c r="F45" s="156"/>
      <c r="G45" s="164"/>
      <c r="H45" s="166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spans="1:26" x14ac:dyDescent="0.3">
      <c r="A46" s="150">
        <v>42082</v>
      </c>
      <c r="B46" s="156" t="s">
        <v>43</v>
      </c>
      <c r="C46" s="164">
        <f>'Sch-III,IV,V'!K17</f>
        <v>54467</v>
      </c>
      <c r="D46" s="165"/>
      <c r="E46" s="3"/>
      <c r="F46" s="156"/>
      <c r="G46" s="164"/>
      <c r="H46" s="166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spans="1:26" x14ac:dyDescent="0.3">
      <c r="A47" s="150">
        <v>26232</v>
      </c>
      <c r="B47" s="156" t="s">
        <v>44</v>
      </c>
      <c r="C47" s="164">
        <f>'Sch-III,IV,V'!C22</f>
        <v>38418</v>
      </c>
      <c r="D47" s="165"/>
      <c r="E47" s="3"/>
      <c r="F47" s="156"/>
      <c r="G47" s="164"/>
      <c r="H47" s="166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spans="1:26" x14ac:dyDescent="0.3">
      <c r="A48" s="150">
        <v>34631</v>
      </c>
      <c r="B48" s="156" t="s">
        <v>45</v>
      </c>
      <c r="C48" s="167">
        <v>34631</v>
      </c>
      <c r="D48" s="165">
        <f>SUM(C46:C48)</f>
        <v>127516</v>
      </c>
      <c r="E48" s="3"/>
      <c r="F48" s="156"/>
      <c r="G48" s="164"/>
      <c r="H48" s="166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spans="1:26" x14ac:dyDescent="0.3">
      <c r="A49" s="150"/>
      <c r="B49" s="156"/>
      <c r="C49" s="164"/>
      <c r="D49" s="165"/>
      <c r="E49" s="148"/>
      <c r="F49" s="138"/>
      <c r="G49" s="139"/>
      <c r="H49" s="175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spans="1:26" x14ac:dyDescent="0.3">
      <c r="A50" s="168">
        <f>SUM(A11:A49)</f>
        <v>5623763</v>
      </c>
      <c r="B50" s="196" t="s">
        <v>47</v>
      </c>
      <c r="C50" s="191"/>
      <c r="D50" s="169">
        <f>SUM(D11:D49)</f>
        <v>5869496</v>
      </c>
      <c r="E50" s="170">
        <f>SUM(E7:E49)</f>
        <v>5623763</v>
      </c>
      <c r="F50" s="196" t="s">
        <v>47</v>
      </c>
      <c r="G50" s="191"/>
      <c r="H50" s="169">
        <f>SUM(H7:H49)</f>
        <v>5869496</v>
      </c>
      <c r="I50" s="147">
        <f>A50-E50</f>
        <v>0</v>
      </c>
      <c r="J50" s="147">
        <f>D50-H50</f>
        <v>0</v>
      </c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spans="1:26" x14ac:dyDescent="0.3">
      <c r="A51" s="171">
        <f>A50-E50</f>
        <v>0</v>
      </c>
      <c r="B51" s="2"/>
      <c r="C51" s="2"/>
      <c r="D51" s="171"/>
      <c r="E51" s="171"/>
      <c r="F51" s="2"/>
      <c r="G51" s="2"/>
      <c r="H51" s="171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spans="1:26" ht="15.6" x14ac:dyDescent="0.3">
      <c r="A52" s="3" t="s">
        <v>48</v>
      </c>
      <c r="B52" s="3"/>
      <c r="C52" s="4"/>
      <c r="D52" s="4"/>
      <c r="E52" s="184" t="s">
        <v>49</v>
      </c>
      <c r="F52" s="185"/>
      <c r="G52" s="185"/>
      <c r="H52" s="185"/>
      <c r="I52" s="127"/>
      <c r="J52" s="14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x14ac:dyDescent="0.3">
      <c r="A53" s="5"/>
      <c r="B53" s="6"/>
      <c r="C53" s="4"/>
      <c r="D53" s="4"/>
      <c r="E53" s="5"/>
      <c r="F53" s="6"/>
      <c r="G53" s="6"/>
      <c r="H53" s="4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spans="1:26" x14ac:dyDescent="0.3">
      <c r="A54" s="5"/>
      <c r="B54" s="6"/>
      <c r="C54" s="4"/>
      <c r="D54" s="4"/>
      <c r="E54" s="5"/>
      <c r="F54" s="6"/>
      <c r="G54" s="6"/>
      <c r="H54" s="4"/>
      <c r="J54" s="127"/>
      <c r="K54" s="14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spans="1:26" x14ac:dyDescent="0.3">
      <c r="A55" s="5"/>
      <c r="B55" s="6"/>
      <c r="C55" s="4"/>
      <c r="D55" s="4"/>
      <c r="E55" s="5"/>
      <c r="F55" s="6"/>
      <c r="G55" s="6"/>
      <c r="H55" s="4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spans="1:26" x14ac:dyDescent="0.3">
      <c r="A56" s="5"/>
      <c r="B56" s="6"/>
      <c r="C56" s="4"/>
      <c r="D56" s="4"/>
      <c r="E56" s="5"/>
      <c r="F56" s="6"/>
      <c r="G56" s="6"/>
      <c r="H56" s="4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spans="1:26" x14ac:dyDescent="0.3">
      <c r="A57" s="5" t="s">
        <v>50</v>
      </c>
      <c r="B57" s="6"/>
      <c r="C57" s="3"/>
      <c r="D57" s="3"/>
      <c r="E57" s="5"/>
      <c r="F57" s="6"/>
      <c r="G57" s="6"/>
      <c r="H57" s="3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spans="1:26" x14ac:dyDescent="0.3">
      <c r="A58" s="5" t="s">
        <v>51</v>
      </c>
      <c r="B58" s="6"/>
      <c r="C58" s="6"/>
      <c r="D58" s="6"/>
      <c r="E58" s="186" t="s">
        <v>52</v>
      </c>
      <c r="F58" s="185"/>
      <c r="G58" s="185"/>
      <c r="H58" s="185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spans="1:26" x14ac:dyDescent="0.3">
      <c r="A59" s="5" t="s">
        <v>53</v>
      </c>
      <c r="B59" s="6"/>
      <c r="C59" s="6"/>
      <c r="D59" s="6"/>
      <c r="E59" s="6"/>
      <c r="F59" s="6"/>
      <c r="G59" s="6"/>
      <c r="H59" s="6"/>
    </row>
    <row r="60" spans="1:26" x14ac:dyDescent="0.3">
      <c r="A60" s="6"/>
      <c r="B60" s="6"/>
      <c r="C60" s="6"/>
      <c r="D60" s="6"/>
      <c r="E60" s="6"/>
      <c r="F60" s="6"/>
      <c r="G60" s="6"/>
      <c r="H60" s="6"/>
    </row>
    <row r="61" spans="1:26" x14ac:dyDescent="0.3">
      <c r="A61" s="5" t="s">
        <v>180</v>
      </c>
      <c r="B61" s="6"/>
      <c r="C61" s="6"/>
      <c r="D61" s="6"/>
      <c r="E61" s="6"/>
      <c r="F61" s="6"/>
      <c r="G61" s="6"/>
      <c r="H61" s="6"/>
    </row>
    <row r="62" spans="1:26" x14ac:dyDescent="0.3">
      <c r="A62" s="7"/>
      <c r="B62" s="7"/>
      <c r="C62" s="7"/>
      <c r="D62" s="7"/>
      <c r="E62" s="7"/>
      <c r="F62" s="7"/>
      <c r="G62" s="7"/>
      <c r="H62" s="7"/>
    </row>
  </sheetData>
  <mergeCells count="14">
    <mergeCell ref="E52:H52"/>
    <mergeCell ref="E58:H58"/>
    <mergeCell ref="A1:H1"/>
    <mergeCell ref="A2:H2"/>
    <mergeCell ref="A3:H3"/>
    <mergeCell ref="A4:H4"/>
    <mergeCell ref="B6:C6"/>
    <mergeCell ref="F6:G6"/>
    <mergeCell ref="B10:C10"/>
    <mergeCell ref="F23:G23"/>
    <mergeCell ref="F25:G25"/>
    <mergeCell ref="F27:G27"/>
    <mergeCell ref="B50:C50"/>
    <mergeCell ref="F50:G50"/>
  </mergeCells>
  <printOptions horizontalCentered="1"/>
  <pageMargins left="0.31496062992125984" right="0.19685039370078741" top="0.74803149606299213" bottom="0.3543307086614173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93"/>
  <sheetViews>
    <sheetView workbookViewId="0">
      <selection activeCell="B32" sqref="B32"/>
    </sheetView>
  </sheetViews>
  <sheetFormatPr defaultColWidth="14.44140625" defaultRowHeight="15" customHeight="1" x14ac:dyDescent="0.3"/>
  <cols>
    <col min="1" max="1" width="13.109375" customWidth="1"/>
    <col min="2" max="2" width="37.5546875" bestFit="1" customWidth="1"/>
    <col min="3" max="3" width="13.44140625" bestFit="1" customWidth="1"/>
    <col min="4" max="4" width="13.5546875" customWidth="1"/>
    <col min="5" max="5" width="12.88671875" customWidth="1"/>
    <col min="6" max="6" width="31.5546875" customWidth="1"/>
    <col min="7" max="7" width="12.6640625" bestFit="1" customWidth="1"/>
    <col min="8" max="8" width="16.21875" bestFit="1" customWidth="1"/>
    <col min="9" max="9" width="11.109375" customWidth="1"/>
    <col min="10" max="10" width="12" customWidth="1"/>
    <col min="11" max="11" width="14.109375" customWidth="1"/>
    <col min="12" max="12" width="11.88671875" customWidth="1"/>
    <col min="13" max="26" width="8.77734375" customWidth="1"/>
  </cols>
  <sheetData>
    <row r="1" spans="1:8" ht="14.25" customHeight="1" x14ac:dyDescent="0.3">
      <c r="A1" s="198" t="s">
        <v>0</v>
      </c>
      <c r="B1" s="185"/>
      <c r="C1" s="185"/>
      <c r="D1" s="185"/>
      <c r="E1" s="185"/>
      <c r="F1" s="185"/>
      <c r="G1" s="185"/>
      <c r="H1" s="185"/>
    </row>
    <row r="2" spans="1:8" ht="14.25" customHeight="1" x14ac:dyDescent="0.3">
      <c r="A2" s="188" t="s">
        <v>54</v>
      </c>
      <c r="B2" s="185"/>
      <c r="C2" s="185"/>
      <c r="D2" s="185"/>
      <c r="E2" s="185"/>
      <c r="F2" s="185"/>
      <c r="G2" s="185"/>
      <c r="H2" s="185"/>
    </row>
    <row r="3" spans="1:8" ht="14.25" customHeight="1" x14ac:dyDescent="0.3">
      <c r="A3" s="188" t="s">
        <v>2</v>
      </c>
      <c r="B3" s="185"/>
      <c r="C3" s="185"/>
      <c r="D3" s="185"/>
      <c r="E3" s="185"/>
      <c r="F3" s="185"/>
      <c r="G3" s="185"/>
      <c r="H3" s="185"/>
    </row>
    <row r="4" spans="1:8" ht="14.25" customHeight="1" x14ac:dyDescent="0.3">
      <c r="A4" s="199" t="s">
        <v>218</v>
      </c>
      <c r="B4" s="185"/>
      <c r="C4" s="185"/>
      <c r="D4" s="185"/>
      <c r="E4" s="185"/>
      <c r="F4" s="185"/>
      <c r="G4" s="185"/>
      <c r="H4" s="185"/>
    </row>
    <row r="5" spans="1:8" ht="14.25" customHeight="1" x14ac:dyDescent="0.3">
      <c r="A5" s="1"/>
      <c r="B5" s="1"/>
      <c r="C5" s="1"/>
      <c r="D5" s="1"/>
      <c r="E5" s="1"/>
      <c r="F5" s="1"/>
      <c r="G5" s="1"/>
      <c r="H5" s="8" t="s">
        <v>3</v>
      </c>
    </row>
    <row r="6" spans="1:8" ht="19.5" customHeight="1" x14ac:dyDescent="0.3">
      <c r="A6" s="9" t="s">
        <v>155</v>
      </c>
      <c r="B6" s="200" t="s">
        <v>55</v>
      </c>
      <c r="C6" s="191"/>
      <c r="D6" s="9" t="s">
        <v>217</v>
      </c>
      <c r="E6" s="9" t="str">
        <f>A6</f>
        <v>FY 24-25</v>
      </c>
      <c r="F6" s="200" t="s">
        <v>56</v>
      </c>
      <c r="G6" s="191"/>
      <c r="H6" s="9" t="str">
        <f>D6</f>
        <v>FY 25-26</v>
      </c>
    </row>
    <row r="7" spans="1:8" ht="22.5" customHeight="1" x14ac:dyDescent="0.3">
      <c r="A7" s="10"/>
      <c r="B7" s="11"/>
      <c r="C7" s="74"/>
      <c r="D7" s="10"/>
      <c r="E7" s="10"/>
      <c r="F7" s="75" t="s">
        <v>57</v>
      </c>
      <c r="G7" s="74"/>
      <c r="H7" s="76"/>
    </row>
    <row r="8" spans="1:8" ht="14.25" customHeight="1" x14ac:dyDescent="0.3">
      <c r="A8" s="12">
        <v>113072</v>
      </c>
      <c r="B8" s="7" t="s">
        <v>58</v>
      </c>
      <c r="C8" s="77"/>
      <c r="D8" s="78">
        <v>103232</v>
      </c>
      <c r="E8" s="12">
        <v>59688</v>
      </c>
      <c r="F8" s="7" t="s">
        <v>59</v>
      </c>
      <c r="G8" s="77">
        <f>54204+5484</f>
        <v>59688</v>
      </c>
      <c r="H8" s="12"/>
    </row>
    <row r="9" spans="1:8" ht="14.25" customHeight="1" x14ac:dyDescent="0.3">
      <c r="A9" s="12">
        <v>38163</v>
      </c>
      <c r="B9" s="7" t="s">
        <v>182</v>
      </c>
      <c r="C9" s="77"/>
      <c r="D9" s="78">
        <v>0</v>
      </c>
      <c r="E9" s="12">
        <v>129228</v>
      </c>
      <c r="F9" s="7" t="s">
        <v>61</v>
      </c>
      <c r="G9" s="77">
        <f>134068+2880+13148</f>
        <v>150096</v>
      </c>
      <c r="H9" s="12"/>
    </row>
    <row r="10" spans="1:8" ht="14.25" customHeight="1" x14ac:dyDescent="0.3">
      <c r="A10" s="12">
        <v>18249</v>
      </c>
      <c r="B10" s="7" t="s">
        <v>60</v>
      </c>
      <c r="C10" s="6"/>
      <c r="D10" s="79">
        <v>18222</v>
      </c>
      <c r="E10" s="12">
        <v>30720</v>
      </c>
      <c r="F10" s="7" t="s">
        <v>63</v>
      </c>
      <c r="G10" s="77">
        <v>30720</v>
      </c>
      <c r="H10" s="12"/>
    </row>
    <row r="11" spans="1:8" ht="14.25" customHeight="1" x14ac:dyDescent="0.3">
      <c r="A11" s="12">
        <v>32400</v>
      </c>
      <c r="B11" s="7" t="s">
        <v>62</v>
      </c>
      <c r="C11" s="6"/>
      <c r="D11" s="79">
        <v>32375</v>
      </c>
      <c r="E11" s="12">
        <v>55200</v>
      </c>
      <c r="F11" s="7" t="s">
        <v>65</v>
      </c>
      <c r="G11" s="77">
        <v>55200</v>
      </c>
      <c r="H11" s="12"/>
    </row>
    <row r="12" spans="1:8" ht="14.25" customHeight="1" x14ac:dyDescent="0.3">
      <c r="A12" s="12">
        <v>0</v>
      </c>
      <c r="B12" s="7" t="s">
        <v>216</v>
      </c>
      <c r="C12" s="6"/>
      <c r="D12" s="79">
        <v>4000</v>
      </c>
      <c r="E12" s="12">
        <v>20229</v>
      </c>
      <c r="F12" s="7" t="s">
        <v>66</v>
      </c>
      <c r="G12" s="77">
        <v>18871</v>
      </c>
      <c r="H12" s="12"/>
    </row>
    <row r="13" spans="1:8" ht="14.25" customHeight="1" x14ac:dyDescent="0.3">
      <c r="A13" s="12">
        <v>43452</v>
      </c>
      <c r="B13" s="7" t="s">
        <v>64</v>
      </c>
      <c r="C13" s="6"/>
      <c r="D13" s="79">
        <v>43846</v>
      </c>
      <c r="E13" s="12">
        <v>19500</v>
      </c>
      <c r="F13" s="7" t="s">
        <v>68</v>
      </c>
      <c r="G13" s="77">
        <f>14200+200</f>
        <v>14400</v>
      </c>
      <c r="H13" s="12"/>
    </row>
    <row r="14" spans="1:8" ht="14.25" customHeight="1" x14ac:dyDescent="0.3">
      <c r="A14" s="12"/>
      <c r="B14" s="7"/>
      <c r="C14" s="6"/>
      <c r="D14" s="79"/>
      <c r="E14" s="12">
        <v>180000</v>
      </c>
      <c r="F14" s="7" t="s">
        <v>70</v>
      </c>
      <c r="G14" s="77">
        <v>180000</v>
      </c>
      <c r="H14" s="12"/>
    </row>
    <row r="15" spans="1:8" ht="14.25" customHeight="1" x14ac:dyDescent="0.3">
      <c r="A15" s="12"/>
      <c r="B15" s="13" t="s">
        <v>67</v>
      </c>
      <c r="C15" s="6"/>
      <c r="D15" s="80"/>
      <c r="E15" s="12">
        <v>73</v>
      </c>
      <c r="F15" s="7" t="s">
        <v>72</v>
      </c>
      <c r="G15" s="77">
        <v>277</v>
      </c>
      <c r="H15" s="12"/>
    </row>
    <row r="16" spans="1:8" ht="14.25" customHeight="1" x14ac:dyDescent="0.3">
      <c r="A16" s="12">
        <v>13350</v>
      </c>
      <c r="B16" s="7" t="s">
        <v>71</v>
      </c>
      <c r="C16" s="6">
        <v>35399</v>
      </c>
      <c r="D16" s="80"/>
      <c r="E16" s="12">
        <v>3564</v>
      </c>
      <c r="F16" s="7" t="s">
        <v>74</v>
      </c>
      <c r="G16" s="77">
        <v>3564</v>
      </c>
      <c r="H16" s="12"/>
    </row>
    <row r="17" spans="1:26" ht="14.25" customHeight="1" x14ac:dyDescent="0.3">
      <c r="A17" s="12">
        <v>3040</v>
      </c>
      <c r="B17" s="7" t="s">
        <v>73</v>
      </c>
      <c r="C17" s="6">
        <v>2955</v>
      </c>
      <c r="D17" s="80"/>
      <c r="E17" s="12">
        <v>40500</v>
      </c>
      <c r="F17" s="7" t="s">
        <v>75</v>
      </c>
      <c r="G17" s="81">
        <v>24000</v>
      </c>
      <c r="H17" s="79">
        <f>SUM(G8:G17)</f>
        <v>536816</v>
      </c>
    </row>
    <row r="18" spans="1:26" ht="14.25" customHeight="1" x14ac:dyDescent="0.3">
      <c r="A18" s="12">
        <v>1900</v>
      </c>
      <c r="B18" s="7" t="s">
        <v>41</v>
      </c>
      <c r="C18" s="87">
        <v>0</v>
      </c>
      <c r="D18" s="79">
        <f>SUM(C16:C18)</f>
        <v>38354</v>
      </c>
      <c r="E18" s="12"/>
      <c r="F18" s="7"/>
      <c r="G18" s="6"/>
      <c r="H18" s="10"/>
    </row>
    <row r="19" spans="1:26" ht="14.25" customHeight="1" x14ac:dyDescent="0.3">
      <c r="A19" s="12"/>
      <c r="B19" s="7"/>
      <c r="C19" s="89"/>
      <c r="E19" s="12"/>
      <c r="F19" s="82" t="s">
        <v>213</v>
      </c>
      <c r="G19" s="6"/>
      <c r="H19" s="10"/>
    </row>
    <row r="20" spans="1:26" ht="14.25" customHeight="1" x14ac:dyDescent="0.3">
      <c r="A20" s="12"/>
      <c r="B20" s="13" t="s">
        <v>76</v>
      </c>
      <c r="C20" s="6"/>
      <c r="D20" s="80"/>
      <c r="E20" s="12">
        <v>0</v>
      </c>
      <c r="F20" s="7" t="s">
        <v>214</v>
      </c>
      <c r="G20" s="6"/>
      <c r="H20" s="10">
        <v>3000</v>
      </c>
    </row>
    <row r="21" spans="1:26" ht="14.25" customHeight="1" x14ac:dyDescent="0.3">
      <c r="A21" s="12">
        <v>178600</v>
      </c>
      <c r="B21" s="7" t="s">
        <v>77</v>
      </c>
      <c r="C21" s="6">
        <f>147900+2200</f>
        <v>150100</v>
      </c>
      <c r="D21" s="79"/>
      <c r="E21" s="12"/>
      <c r="F21" s="7"/>
      <c r="G21" s="6"/>
      <c r="H21" s="10"/>
    </row>
    <row r="22" spans="1:26" ht="14.25" customHeight="1" x14ac:dyDescent="0.3">
      <c r="A22" s="12">
        <v>148500</v>
      </c>
      <c r="B22" s="7" t="s">
        <v>79</v>
      </c>
      <c r="C22" s="6">
        <v>155760</v>
      </c>
      <c r="D22" s="79"/>
      <c r="E22" s="12"/>
      <c r="F22" s="83" t="s">
        <v>78</v>
      </c>
      <c r="G22" s="6"/>
      <c r="H22" s="10"/>
    </row>
    <row r="23" spans="1:26" ht="14.25" customHeight="1" x14ac:dyDescent="0.3">
      <c r="A23" s="12">
        <v>24000</v>
      </c>
      <c r="B23" s="7" t="s">
        <v>81</v>
      </c>
      <c r="C23" s="6">
        <v>26400</v>
      </c>
      <c r="D23" s="79"/>
      <c r="E23" s="12">
        <v>8239</v>
      </c>
      <c r="F23" s="84" t="s">
        <v>80</v>
      </c>
      <c r="G23" s="6"/>
      <c r="H23" s="10">
        <v>7585</v>
      </c>
    </row>
    <row r="24" spans="1:26" ht="14.25" customHeight="1" x14ac:dyDescent="0.3">
      <c r="A24" s="12">
        <v>70.8</v>
      </c>
      <c r="B24" s="7" t="s">
        <v>82</v>
      </c>
      <c r="C24" s="6">
        <v>424.8</v>
      </c>
      <c r="D24" s="79"/>
      <c r="E24" s="12"/>
      <c r="F24" s="84"/>
      <c r="G24" s="6"/>
      <c r="H24" s="10"/>
    </row>
    <row r="25" spans="1:26" ht="14.25" customHeight="1" x14ac:dyDescent="0.3">
      <c r="A25" s="12">
        <v>826</v>
      </c>
      <c r="B25" s="7" t="s">
        <v>84</v>
      </c>
      <c r="C25" s="6">
        <v>826</v>
      </c>
      <c r="D25" s="79"/>
      <c r="E25" s="12">
        <v>155781</v>
      </c>
      <c r="F25" s="84" t="s">
        <v>83</v>
      </c>
      <c r="G25" s="6">
        <v>168134</v>
      </c>
      <c r="H25" s="10"/>
    </row>
    <row r="26" spans="1:26" ht="14.25" customHeight="1" x14ac:dyDescent="0.3">
      <c r="A26" s="12">
        <v>853200</v>
      </c>
      <c r="B26" s="7" t="s">
        <v>86</v>
      </c>
      <c r="C26" s="6">
        <v>0</v>
      </c>
      <c r="D26" s="78"/>
      <c r="E26" s="12">
        <v>-82277</v>
      </c>
      <c r="F26" s="84" t="s">
        <v>85</v>
      </c>
      <c r="G26" s="6">
        <v>-96672</v>
      </c>
      <c r="H26" s="10"/>
    </row>
    <row r="27" spans="1:26" ht="14.25" customHeight="1" x14ac:dyDescent="0.3">
      <c r="A27" s="12">
        <v>-600000</v>
      </c>
      <c r="B27" s="7" t="s">
        <v>215</v>
      </c>
      <c r="C27" s="6">
        <v>0</v>
      </c>
      <c r="D27" s="78"/>
      <c r="E27" s="12">
        <v>0</v>
      </c>
      <c r="F27" s="84" t="s">
        <v>87</v>
      </c>
      <c r="G27" s="6">
        <v>0</v>
      </c>
      <c r="H27" s="10"/>
    </row>
    <row r="28" spans="1:26" ht="14.25" customHeight="1" x14ac:dyDescent="0.3">
      <c r="A28" s="12">
        <v>14425</v>
      </c>
      <c r="B28" s="7" t="s">
        <v>89</v>
      </c>
      <c r="C28" s="6">
        <v>30871</v>
      </c>
      <c r="D28" s="78"/>
      <c r="E28" s="12">
        <v>-376</v>
      </c>
      <c r="F28" s="84" t="s">
        <v>88</v>
      </c>
      <c r="G28" s="6">
        <v>-634</v>
      </c>
      <c r="H28" s="10"/>
    </row>
    <row r="29" spans="1:26" ht="14.25" customHeight="1" x14ac:dyDescent="0.3">
      <c r="A29" s="12">
        <v>0</v>
      </c>
      <c r="B29" s="7" t="s">
        <v>211</v>
      </c>
      <c r="C29" s="6">
        <f>1070+1100</f>
        <v>2170</v>
      </c>
      <c r="D29" s="78"/>
      <c r="E29" s="12">
        <v>0</v>
      </c>
      <c r="F29" s="84" t="s">
        <v>90</v>
      </c>
      <c r="G29" s="85">
        <v>0</v>
      </c>
      <c r="H29" s="10">
        <f>G25+G26+G27+G29+G28</f>
        <v>70828</v>
      </c>
    </row>
    <row r="30" spans="1:26" ht="14.25" customHeight="1" x14ac:dyDescent="0.3">
      <c r="A30" s="12">
        <v>13589</v>
      </c>
      <c r="B30" s="7" t="s">
        <v>91</v>
      </c>
      <c r="C30" s="6">
        <v>5873</v>
      </c>
      <c r="D30" s="78"/>
      <c r="E30" s="12"/>
      <c r="F30" s="84"/>
      <c r="G30" s="6"/>
      <c r="H30" s="10"/>
    </row>
    <row r="31" spans="1:26" ht="14.25" customHeight="1" x14ac:dyDescent="0.3">
      <c r="A31" s="12">
        <v>2100</v>
      </c>
      <c r="B31" s="7" t="s">
        <v>93</v>
      </c>
      <c r="C31" s="6">
        <v>2100</v>
      </c>
      <c r="D31" s="78"/>
      <c r="E31" s="12"/>
      <c r="F31" s="84"/>
      <c r="G31" s="6"/>
      <c r="H31" s="10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4.25" customHeight="1" x14ac:dyDescent="0.3">
      <c r="A32" s="12">
        <v>23500</v>
      </c>
      <c r="B32" s="7" t="s">
        <v>94</v>
      </c>
      <c r="C32" s="6">
        <v>0</v>
      </c>
      <c r="D32" s="78"/>
      <c r="E32" s="12">
        <v>458</v>
      </c>
      <c r="F32" s="84" t="s">
        <v>92</v>
      </c>
      <c r="G32" s="6"/>
      <c r="H32" s="10">
        <v>0</v>
      </c>
    </row>
    <row r="33" spans="1:12" ht="14.25" customHeight="1" x14ac:dyDescent="0.3">
      <c r="A33" s="12">
        <v>8423</v>
      </c>
      <c r="B33" s="7" t="s">
        <v>96</v>
      </c>
      <c r="C33" s="6">
        <f>'FA-Sch II'!G12</f>
        <v>7168</v>
      </c>
      <c r="D33" s="78">
        <f>SUM(C21:C33)</f>
        <v>381692.8</v>
      </c>
      <c r="E33" s="12"/>
      <c r="F33" s="84"/>
      <c r="G33" s="6"/>
      <c r="H33" s="10"/>
    </row>
    <row r="34" spans="1:12" ht="14.25" customHeight="1" x14ac:dyDescent="0.3">
      <c r="A34" s="12"/>
      <c r="B34" s="7"/>
      <c r="C34" s="88"/>
      <c r="E34" s="12"/>
      <c r="F34" s="84"/>
      <c r="G34" s="77"/>
      <c r="H34" s="80"/>
    </row>
    <row r="35" spans="1:12" ht="14.25" customHeight="1" x14ac:dyDescent="0.3">
      <c r="A35" s="12">
        <v>0</v>
      </c>
      <c r="B35" s="63"/>
      <c r="C35" s="64"/>
      <c r="D35" s="90"/>
      <c r="E35" s="12">
        <v>310332.79999999999</v>
      </c>
      <c r="F35" s="86" t="s">
        <v>95</v>
      </c>
      <c r="G35" s="6"/>
      <c r="H35" s="10">
        <f>D37-SUM(H7:H34)</f>
        <v>3492.8000000000466</v>
      </c>
    </row>
    <row r="36" spans="1:12" ht="14.25" customHeight="1" x14ac:dyDescent="0.3">
      <c r="A36" s="12">
        <v>0</v>
      </c>
      <c r="B36" s="65"/>
      <c r="C36" s="64"/>
      <c r="D36" s="90"/>
      <c r="E36" s="12"/>
      <c r="F36" s="5"/>
      <c r="G36" s="6"/>
      <c r="H36" s="10"/>
    </row>
    <row r="37" spans="1:12" ht="14.25" customHeight="1" x14ac:dyDescent="0.3">
      <c r="A37" s="91">
        <f>SUM(A7:A33)</f>
        <v>930859.8</v>
      </c>
      <c r="B37" s="196" t="s">
        <v>47</v>
      </c>
      <c r="C37" s="191"/>
      <c r="D37" s="91">
        <f>SUM(D7:D36)</f>
        <v>621721.80000000005</v>
      </c>
      <c r="E37" s="91">
        <f>SUM(E7:E36)</f>
        <v>930859.8</v>
      </c>
      <c r="F37" s="196" t="s">
        <v>47</v>
      </c>
      <c r="G37" s="191"/>
      <c r="H37" s="91">
        <f>SUM(H7:H36)</f>
        <v>621721.80000000005</v>
      </c>
      <c r="I37" s="92">
        <f>A37-E37</f>
        <v>0</v>
      </c>
      <c r="J37" s="92">
        <f>D37-H37</f>
        <v>0</v>
      </c>
    </row>
    <row r="38" spans="1:12" ht="14.25" customHeight="1" x14ac:dyDescent="0.3">
      <c r="A38" s="16">
        <f>A37-E37</f>
        <v>0</v>
      </c>
      <c r="B38" s="2"/>
      <c r="C38" s="2"/>
      <c r="D38" s="5"/>
      <c r="E38" s="5"/>
      <c r="F38" s="2"/>
      <c r="G38" s="2"/>
      <c r="H38" s="5"/>
      <c r="I38" s="15"/>
      <c r="J38" s="15"/>
      <c r="K38" s="61"/>
      <c r="L38" s="61"/>
    </row>
    <row r="39" spans="1:12" ht="14.25" customHeight="1" x14ac:dyDescent="0.3">
      <c r="A39" s="6" t="s">
        <v>48</v>
      </c>
      <c r="B39" s="6"/>
      <c r="C39" s="4"/>
      <c r="D39" s="4"/>
      <c r="E39" s="197" t="s">
        <v>49</v>
      </c>
      <c r="F39" s="185"/>
      <c r="G39" s="185"/>
      <c r="H39" s="185"/>
      <c r="I39" s="15"/>
      <c r="J39" s="15"/>
    </row>
    <row r="40" spans="1:12" ht="14.25" customHeight="1" x14ac:dyDescent="0.3">
      <c r="A40" s="5"/>
      <c r="B40" s="6"/>
      <c r="C40" s="4"/>
      <c r="D40" s="4"/>
      <c r="E40" s="5"/>
      <c r="F40" s="6"/>
      <c r="G40" s="6"/>
      <c r="H40" s="4"/>
    </row>
    <row r="41" spans="1:12" ht="14.25" customHeight="1" x14ac:dyDescent="0.3">
      <c r="A41" s="5"/>
      <c r="B41" s="6"/>
      <c r="C41" s="4"/>
      <c r="D41" s="4"/>
      <c r="E41" s="5"/>
      <c r="F41" s="6"/>
      <c r="G41" s="6"/>
      <c r="H41" s="4"/>
    </row>
    <row r="42" spans="1:12" ht="14.25" customHeight="1" x14ac:dyDescent="0.3">
      <c r="A42" s="5"/>
      <c r="B42" s="6"/>
      <c r="C42" s="4"/>
      <c r="D42" s="4"/>
      <c r="E42" s="5"/>
      <c r="F42" s="6"/>
      <c r="G42" s="6"/>
      <c r="H42" s="4"/>
    </row>
    <row r="43" spans="1:12" ht="14.25" customHeight="1" x14ac:dyDescent="0.3">
      <c r="A43" s="5"/>
      <c r="B43" s="6"/>
      <c r="C43" s="4"/>
      <c r="D43" s="4"/>
      <c r="E43" s="5"/>
      <c r="F43" s="6"/>
      <c r="G43" s="6"/>
      <c r="H43" s="4"/>
    </row>
    <row r="44" spans="1:12" ht="14.25" customHeight="1" x14ac:dyDescent="0.3">
      <c r="A44" s="5" t="str">
        <f>BS!A57</f>
        <v>( Shankar D. Gawde )</v>
      </c>
      <c r="B44" s="6"/>
      <c r="C44" s="3"/>
      <c r="D44" s="3"/>
      <c r="E44" s="5"/>
      <c r="F44" s="6"/>
      <c r="G44" s="6"/>
      <c r="H44" s="3"/>
    </row>
    <row r="45" spans="1:12" ht="21.75" customHeight="1" x14ac:dyDescent="0.3">
      <c r="A45" s="5" t="str">
        <f>BS!A58</f>
        <v>Government Certified Auditor</v>
      </c>
      <c r="B45" s="6"/>
      <c r="C45" s="6"/>
      <c r="D45" s="6"/>
      <c r="E45" s="186" t="s">
        <v>52</v>
      </c>
      <c r="F45" s="185"/>
      <c r="G45" s="185"/>
      <c r="H45" s="185"/>
    </row>
    <row r="46" spans="1:12" ht="14.25" customHeight="1" x14ac:dyDescent="0.3">
      <c r="A46" s="5" t="s">
        <v>53</v>
      </c>
      <c r="B46" s="6"/>
      <c r="C46" s="6"/>
      <c r="D46" s="6"/>
      <c r="E46" s="6"/>
      <c r="F46" s="6"/>
      <c r="G46" s="6"/>
      <c r="H46" s="6"/>
    </row>
    <row r="47" spans="1:12" ht="14.25" customHeight="1" x14ac:dyDescent="0.3">
      <c r="A47" s="5" t="str">
        <f>BS!A61</f>
        <v>Mumbai, Date : dd/mm/yyyy</v>
      </c>
      <c r="B47" s="6"/>
      <c r="C47" s="7"/>
      <c r="D47" s="7"/>
      <c r="E47" s="7"/>
      <c r="F47" s="7"/>
      <c r="G47" s="7"/>
      <c r="H47" s="7"/>
    </row>
    <row r="48" spans="1:12" ht="14.25" customHeight="1" x14ac:dyDescent="0.3">
      <c r="A48" s="7"/>
      <c r="B48" s="7"/>
      <c r="C48" s="7"/>
      <c r="D48" s="7"/>
      <c r="E48" s="7"/>
      <c r="F48" s="7"/>
      <c r="G48" s="7"/>
      <c r="H48" s="7"/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</sheetData>
  <mergeCells count="10">
    <mergeCell ref="F37:G37"/>
    <mergeCell ref="E39:H39"/>
    <mergeCell ref="E45:H45"/>
    <mergeCell ref="A1:H1"/>
    <mergeCell ref="A2:H2"/>
    <mergeCell ref="A3:H3"/>
    <mergeCell ref="A4:H4"/>
    <mergeCell ref="B6:C6"/>
    <mergeCell ref="F6:G6"/>
    <mergeCell ref="B37:C37"/>
  </mergeCells>
  <printOptions horizontalCentered="1"/>
  <pageMargins left="0.19685039370078741" right="0.19685039370078741" top="0.74803149606299213" bottom="0.3543307086614173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996"/>
  <sheetViews>
    <sheetView workbookViewId="0">
      <selection activeCell="A3" sqref="A3:XFD3"/>
    </sheetView>
  </sheetViews>
  <sheetFormatPr defaultColWidth="14.44140625" defaultRowHeight="15" customHeight="1" x14ac:dyDescent="0.3"/>
  <cols>
    <col min="1" max="1" width="4" bestFit="1" customWidth="1"/>
    <col min="2" max="2" width="20.21875" bestFit="1" customWidth="1"/>
    <col min="3" max="3" width="10.109375" customWidth="1"/>
    <col min="4" max="4" width="10" customWidth="1"/>
    <col min="5" max="5" width="7.77734375" customWidth="1"/>
    <col min="6" max="6" width="8" customWidth="1"/>
    <col min="7" max="7" width="10" customWidth="1"/>
    <col min="8" max="8" width="10.109375" customWidth="1"/>
    <col min="9" max="9" width="10" customWidth="1"/>
    <col min="10" max="10" width="5" customWidth="1"/>
    <col min="11" max="11" width="6.44140625" bestFit="1" customWidth="1"/>
  </cols>
  <sheetData>
    <row r="1" spans="1:11" ht="14.25" customHeight="1" x14ac:dyDescent="0.35">
      <c r="A1" s="201" t="s">
        <v>97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</row>
    <row r="2" spans="1:11" ht="14.25" customHeight="1" x14ac:dyDescent="0.3">
      <c r="A2" s="202" t="s">
        <v>247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</row>
    <row r="3" spans="1:11" ht="43.2" x14ac:dyDescent="0.3">
      <c r="A3" s="94" t="s">
        <v>98</v>
      </c>
      <c r="B3" s="95" t="s">
        <v>99</v>
      </c>
      <c r="C3" s="95" t="s">
        <v>100</v>
      </c>
      <c r="D3" s="95" t="s">
        <v>101</v>
      </c>
      <c r="E3" s="95" t="s">
        <v>156</v>
      </c>
      <c r="F3" s="95" t="s">
        <v>183</v>
      </c>
      <c r="G3" s="95" t="s">
        <v>47</v>
      </c>
      <c r="H3" s="95" t="s">
        <v>102</v>
      </c>
      <c r="I3" s="96" t="s">
        <v>103</v>
      </c>
      <c r="J3" s="95" t="s">
        <v>104</v>
      </c>
      <c r="K3" s="97" t="s">
        <v>105</v>
      </c>
    </row>
    <row r="4" spans="1:11" ht="14.25" customHeight="1" x14ac:dyDescent="0.3">
      <c r="A4" s="98"/>
      <c r="B4" s="99" t="s">
        <v>106</v>
      </c>
      <c r="C4" s="18"/>
      <c r="H4" s="18"/>
      <c r="J4" s="18"/>
      <c r="K4" s="100"/>
    </row>
    <row r="5" spans="1:11" ht="14.25" customHeight="1" x14ac:dyDescent="0.3">
      <c r="A5" s="101">
        <v>1</v>
      </c>
      <c r="B5" s="102">
        <v>1353281</v>
      </c>
      <c r="C5" s="102" t="s">
        <v>108</v>
      </c>
      <c r="D5" s="103">
        <v>42050</v>
      </c>
      <c r="E5" s="103">
        <v>0</v>
      </c>
      <c r="F5" s="103">
        <f>3017-302</f>
        <v>2715</v>
      </c>
      <c r="G5" s="103">
        <f>D5+E5+F5</f>
        <v>44765</v>
      </c>
      <c r="H5" s="102" t="s">
        <v>188</v>
      </c>
      <c r="I5" s="103">
        <v>48501</v>
      </c>
      <c r="J5" s="102">
        <v>7.2</v>
      </c>
      <c r="K5" s="104" t="s">
        <v>107</v>
      </c>
    </row>
    <row r="6" spans="1:11" ht="14.25" customHeight="1" x14ac:dyDescent="0.3">
      <c r="A6" s="101">
        <v>2</v>
      </c>
      <c r="B6" s="102">
        <v>1414197</v>
      </c>
      <c r="C6" s="102" t="s">
        <v>109</v>
      </c>
      <c r="D6" s="103">
        <v>43196</v>
      </c>
      <c r="E6" s="103">
        <v>0</v>
      </c>
      <c r="F6" s="103">
        <f>305-31</f>
        <v>274</v>
      </c>
      <c r="G6" s="103">
        <f t="shared" ref="G6:G25" si="0">D6+E6+F6</f>
        <v>43470</v>
      </c>
      <c r="H6" s="102" t="s">
        <v>189</v>
      </c>
      <c r="I6" s="103">
        <v>49384</v>
      </c>
      <c r="J6" s="102">
        <v>6.75</v>
      </c>
      <c r="K6" s="104" t="s">
        <v>107</v>
      </c>
    </row>
    <row r="7" spans="1:11" ht="14.25" customHeight="1" x14ac:dyDescent="0.3">
      <c r="A7" s="101">
        <v>3</v>
      </c>
      <c r="B7" s="102">
        <v>1453438</v>
      </c>
      <c r="C7" s="102" t="s">
        <v>161</v>
      </c>
      <c r="D7" s="103">
        <v>43795</v>
      </c>
      <c r="E7" s="103">
        <v>0</v>
      </c>
      <c r="F7" s="103">
        <f>1227-123</f>
        <v>1104</v>
      </c>
      <c r="G7" s="103">
        <f t="shared" si="0"/>
        <v>44899</v>
      </c>
      <c r="H7" s="102" t="s">
        <v>190</v>
      </c>
      <c r="I7" s="103">
        <v>46850</v>
      </c>
      <c r="J7" s="102">
        <v>6.8</v>
      </c>
      <c r="K7" s="104" t="s">
        <v>107</v>
      </c>
    </row>
    <row r="8" spans="1:11" ht="14.25" customHeight="1" x14ac:dyDescent="0.3">
      <c r="A8" s="101">
        <v>4</v>
      </c>
      <c r="B8" s="102">
        <v>1453439</v>
      </c>
      <c r="C8" s="102" t="s">
        <v>160</v>
      </c>
      <c r="D8" s="103">
        <v>61872</v>
      </c>
      <c r="E8" s="103">
        <v>0</v>
      </c>
      <c r="F8" s="103">
        <f>1786-178</f>
        <v>1608</v>
      </c>
      <c r="G8" s="103">
        <f t="shared" si="0"/>
        <v>63480</v>
      </c>
      <c r="H8" s="102" t="s">
        <v>191</v>
      </c>
      <c r="I8" s="103">
        <v>66188</v>
      </c>
      <c r="J8" s="102">
        <v>6.8</v>
      </c>
      <c r="K8" s="104" t="s">
        <v>107</v>
      </c>
    </row>
    <row r="9" spans="1:11" ht="14.25" customHeight="1" x14ac:dyDescent="0.3">
      <c r="A9" s="101">
        <v>5</v>
      </c>
      <c r="B9" s="102">
        <v>1453440</v>
      </c>
      <c r="C9" s="102" t="s">
        <v>160</v>
      </c>
      <c r="D9" s="103">
        <v>91942</v>
      </c>
      <c r="E9" s="103">
        <v>0</v>
      </c>
      <c r="F9" s="103">
        <f>2655-266</f>
        <v>2389</v>
      </c>
      <c r="G9" s="103">
        <f t="shared" si="0"/>
        <v>94331</v>
      </c>
      <c r="H9" s="102" t="s">
        <v>191</v>
      </c>
      <c r="I9" s="103">
        <v>98355</v>
      </c>
      <c r="J9" s="102">
        <v>6.8</v>
      </c>
      <c r="K9" s="104" t="s">
        <v>107</v>
      </c>
    </row>
    <row r="10" spans="1:11" ht="14.25" customHeight="1" x14ac:dyDescent="0.3">
      <c r="A10" s="101">
        <v>6</v>
      </c>
      <c r="B10" s="102">
        <v>1453441</v>
      </c>
      <c r="C10" s="102" t="s">
        <v>161</v>
      </c>
      <c r="D10" s="103">
        <v>42348</v>
      </c>
      <c r="E10" s="103">
        <v>0</v>
      </c>
      <c r="F10" s="103">
        <f>1185-119</f>
        <v>1066</v>
      </c>
      <c r="G10" s="103">
        <f t="shared" si="0"/>
        <v>43414</v>
      </c>
      <c r="H10" s="102" t="s">
        <v>190</v>
      </c>
      <c r="I10" s="103">
        <v>45302</v>
      </c>
      <c r="J10" s="102">
        <v>6.8</v>
      </c>
      <c r="K10" s="104" t="s">
        <v>107</v>
      </c>
    </row>
    <row r="11" spans="1:11" ht="14.25" customHeight="1" x14ac:dyDescent="0.3">
      <c r="A11" s="101">
        <v>7</v>
      </c>
      <c r="B11" s="102">
        <v>1453443</v>
      </c>
      <c r="C11" s="102" t="s">
        <v>162</v>
      </c>
      <c r="D11" s="103">
        <v>135352</v>
      </c>
      <c r="E11" s="103">
        <v>0</v>
      </c>
      <c r="F11" s="103">
        <f>1119-112</f>
        <v>1007</v>
      </c>
      <c r="G11" s="103">
        <f t="shared" si="0"/>
        <v>136359</v>
      </c>
      <c r="H11" s="102" t="s">
        <v>192</v>
      </c>
      <c r="I11" s="103">
        <v>144580</v>
      </c>
      <c r="J11" s="102">
        <v>6.65</v>
      </c>
      <c r="K11" s="104" t="s">
        <v>107</v>
      </c>
    </row>
    <row r="12" spans="1:11" ht="14.25" customHeight="1" x14ac:dyDescent="0.3">
      <c r="A12" s="101">
        <v>8</v>
      </c>
      <c r="B12" s="102">
        <v>1453444</v>
      </c>
      <c r="C12" s="102" t="s">
        <v>162</v>
      </c>
      <c r="D12" s="103">
        <v>187856</v>
      </c>
      <c r="E12" s="103">
        <v>0</v>
      </c>
      <c r="F12" s="103">
        <f>1554-155</f>
        <v>1399</v>
      </c>
      <c r="G12" s="103">
        <f t="shared" si="0"/>
        <v>189255</v>
      </c>
      <c r="H12" s="102" t="s">
        <v>192</v>
      </c>
      <c r="I12" s="103">
        <v>200663</v>
      </c>
      <c r="J12" s="102">
        <v>6.65</v>
      </c>
      <c r="K12" s="104" t="s">
        <v>107</v>
      </c>
    </row>
    <row r="13" spans="1:11" ht="14.25" customHeight="1" x14ac:dyDescent="0.3">
      <c r="A13" s="101">
        <v>9</v>
      </c>
      <c r="B13" s="102">
        <v>1453445</v>
      </c>
      <c r="C13" s="102" t="s">
        <v>162</v>
      </c>
      <c r="D13" s="103">
        <v>146834</v>
      </c>
      <c r="E13" s="103">
        <v>0</v>
      </c>
      <c r="F13" s="103">
        <f>1214-121</f>
        <v>1093</v>
      </c>
      <c r="G13" s="103">
        <f t="shared" si="0"/>
        <v>147927</v>
      </c>
      <c r="H13" s="102" t="s">
        <v>192</v>
      </c>
      <c r="I13" s="103">
        <v>156845</v>
      </c>
      <c r="J13" s="102">
        <v>6.65</v>
      </c>
      <c r="K13" s="104" t="s">
        <v>107</v>
      </c>
    </row>
    <row r="14" spans="1:11" ht="14.25" customHeight="1" x14ac:dyDescent="0.3">
      <c r="A14" s="101">
        <v>10</v>
      </c>
      <c r="B14" s="102">
        <v>1453446</v>
      </c>
      <c r="C14" s="102" t="s">
        <v>164</v>
      </c>
      <c r="D14" s="103">
        <v>61626</v>
      </c>
      <c r="E14" s="103">
        <v>0</v>
      </c>
      <c r="F14" s="103">
        <v>0</v>
      </c>
      <c r="G14" s="103">
        <f t="shared" si="0"/>
        <v>61626</v>
      </c>
      <c r="H14" s="102" t="s">
        <v>193</v>
      </c>
      <c r="I14" s="103">
        <v>65827</v>
      </c>
      <c r="J14" s="102">
        <v>6.65</v>
      </c>
      <c r="K14" s="104" t="s">
        <v>107</v>
      </c>
    </row>
    <row r="15" spans="1:11" ht="14.25" customHeight="1" x14ac:dyDescent="0.3">
      <c r="A15" s="101">
        <v>11</v>
      </c>
      <c r="B15" s="102">
        <v>1453449</v>
      </c>
      <c r="C15" s="102" t="s">
        <v>163</v>
      </c>
      <c r="D15" s="103">
        <v>57557</v>
      </c>
      <c r="E15" s="103">
        <v>0</v>
      </c>
      <c r="F15" s="103">
        <f>125-13</f>
        <v>112</v>
      </c>
      <c r="G15" s="103">
        <f t="shared" si="0"/>
        <v>57669</v>
      </c>
      <c r="H15" s="102" t="s">
        <v>194</v>
      </c>
      <c r="I15" s="103">
        <v>61481</v>
      </c>
      <c r="J15" s="102">
        <v>6.65</v>
      </c>
      <c r="K15" s="104" t="s">
        <v>107</v>
      </c>
    </row>
    <row r="16" spans="1:11" ht="14.25" customHeight="1" x14ac:dyDescent="0.3">
      <c r="A16" s="101">
        <v>12</v>
      </c>
      <c r="B16" s="102">
        <v>1453451</v>
      </c>
      <c r="C16" s="102" t="s">
        <v>159</v>
      </c>
      <c r="D16" s="103">
        <v>46723</v>
      </c>
      <c r="E16" s="103">
        <v>0</v>
      </c>
      <c r="F16" s="103">
        <f>3270-328</f>
        <v>2942</v>
      </c>
      <c r="G16" s="103">
        <f t="shared" si="0"/>
        <v>49665</v>
      </c>
      <c r="H16" s="102" t="s">
        <v>195</v>
      </c>
      <c r="I16" s="103">
        <v>50327</v>
      </c>
      <c r="J16" s="102">
        <v>7.5</v>
      </c>
      <c r="K16" s="104" t="s">
        <v>107</v>
      </c>
    </row>
    <row r="17" spans="1:21" ht="14.25" customHeight="1" x14ac:dyDescent="0.3">
      <c r="A17" s="101">
        <v>13</v>
      </c>
      <c r="B17" s="102">
        <v>1453453</v>
      </c>
      <c r="C17" s="102" t="s">
        <v>165</v>
      </c>
      <c r="D17" s="103">
        <v>49764</v>
      </c>
      <c r="E17" s="103">
        <v>0</v>
      </c>
      <c r="F17" s="103">
        <f>3355-335</f>
        <v>3020</v>
      </c>
      <c r="G17" s="103">
        <f t="shared" si="0"/>
        <v>52784</v>
      </c>
      <c r="H17" s="102" t="s">
        <v>196</v>
      </c>
      <c r="I17" s="103">
        <v>53603</v>
      </c>
      <c r="J17" s="102">
        <v>7.5</v>
      </c>
      <c r="K17" s="104" t="s">
        <v>107</v>
      </c>
    </row>
    <row r="18" spans="1:21" ht="14.25" customHeight="1" x14ac:dyDescent="0.3">
      <c r="A18" s="101">
        <v>14</v>
      </c>
      <c r="B18" s="105">
        <v>1453768</v>
      </c>
      <c r="C18" s="105" t="s">
        <v>157</v>
      </c>
      <c r="D18" s="106">
        <v>40265</v>
      </c>
      <c r="E18" s="106">
        <v>0</v>
      </c>
      <c r="F18" s="106">
        <f>311-31</f>
        <v>280</v>
      </c>
      <c r="G18" s="103">
        <f t="shared" si="0"/>
        <v>40545</v>
      </c>
      <c r="H18" s="102" t="s">
        <v>197</v>
      </c>
      <c r="I18" s="106">
        <v>43010</v>
      </c>
      <c r="J18" s="105">
        <v>6.65</v>
      </c>
      <c r="K18" s="107" t="s">
        <v>107</v>
      </c>
      <c r="T18">
        <v>28</v>
      </c>
      <c r="U18">
        <f>273-S18</f>
        <v>273</v>
      </c>
    </row>
    <row r="19" spans="1:21" ht="14.25" customHeight="1" x14ac:dyDescent="0.3">
      <c r="A19" s="101">
        <v>15</v>
      </c>
      <c r="B19" s="105">
        <v>1503320</v>
      </c>
      <c r="C19" s="105" t="s">
        <v>198</v>
      </c>
      <c r="D19" s="106">
        <v>37584</v>
      </c>
      <c r="E19" s="106">
        <v>0</v>
      </c>
      <c r="F19" s="106">
        <f>752-75</f>
        <v>677</v>
      </c>
      <c r="G19" s="103">
        <f t="shared" si="0"/>
        <v>38261</v>
      </c>
      <c r="H19" s="102" t="s">
        <v>199</v>
      </c>
      <c r="I19" s="106">
        <v>40206</v>
      </c>
      <c r="J19" s="105">
        <v>6.8</v>
      </c>
      <c r="K19" s="107" t="s">
        <v>107</v>
      </c>
      <c r="O19" s="108"/>
    </row>
    <row r="20" spans="1:21" ht="14.25" customHeight="1" x14ac:dyDescent="0.3">
      <c r="A20" s="101">
        <v>16</v>
      </c>
      <c r="B20" s="102" t="s">
        <v>166</v>
      </c>
      <c r="C20" s="102" t="s">
        <v>110</v>
      </c>
      <c r="D20" s="103">
        <v>45007</v>
      </c>
      <c r="E20" s="103">
        <f>1521-152</f>
        <v>1369</v>
      </c>
      <c r="F20" s="103">
        <v>3333</v>
      </c>
      <c r="G20" s="103">
        <f t="shared" si="0"/>
        <v>49709</v>
      </c>
      <c r="H20" s="102" t="s">
        <v>170</v>
      </c>
      <c r="I20" s="103">
        <v>55423</v>
      </c>
      <c r="J20" s="102">
        <v>7</v>
      </c>
      <c r="K20" s="104" t="s">
        <v>111</v>
      </c>
      <c r="O20" s="108"/>
    </row>
    <row r="21" spans="1:21" ht="14.25" customHeight="1" x14ac:dyDescent="0.3">
      <c r="A21" s="101">
        <v>17</v>
      </c>
      <c r="B21" s="102" t="s">
        <v>167</v>
      </c>
      <c r="C21" s="102" t="s">
        <v>110</v>
      </c>
      <c r="D21" s="103">
        <v>45007</v>
      </c>
      <c r="E21" s="103">
        <f>1521-152</f>
        <v>1369</v>
      </c>
      <c r="F21" s="103">
        <v>3333</v>
      </c>
      <c r="G21" s="103">
        <f t="shared" si="0"/>
        <v>49709</v>
      </c>
      <c r="H21" s="102" t="s">
        <v>170</v>
      </c>
      <c r="I21" s="103">
        <v>55423</v>
      </c>
      <c r="J21" s="102">
        <v>7</v>
      </c>
      <c r="K21" s="104" t="s">
        <v>111</v>
      </c>
      <c r="L21" s="108"/>
      <c r="O21" s="108"/>
      <c r="T21">
        <f>280-28</f>
        <v>252</v>
      </c>
    </row>
    <row r="22" spans="1:21" ht="14.25" customHeight="1" x14ac:dyDescent="0.3">
      <c r="A22" s="101">
        <v>18</v>
      </c>
      <c r="B22" s="102" t="s">
        <v>168</v>
      </c>
      <c r="C22" s="102" t="s">
        <v>110</v>
      </c>
      <c r="D22" s="103">
        <v>45007</v>
      </c>
      <c r="E22" s="103">
        <f>1521-152</f>
        <v>1369</v>
      </c>
      <c r="F22" s="103">
        <v>3333</v>
      </c>
      <c r="G22" s="103">
        <f t="shared" si="0"/>
        <v>49709</v>
      </c>
      <c r="H22" s="102" t="s">
        <v>170</v>
      </c>
      <c r="I22" s="103">
        <v>55423</v>
      </c>
      <c r="J22" s="102">
        <v>7</v>
      </c>
      <c r="K22" s="104" t="s">
        <v>111</v>
      </c>
      <c r="L22" s="108"/>
      <c r="O22" s="108"/>
    </row>
    <row r="23" spans="1:21" ht="14.25" customHeight="1" x14ac:dyDescent="0.3">
      <c r="A23" s="101">
        <v>19</v>
      </c>
      <c r="B23" s="102" t="s">
        <v>169</v>
      </c>
      <c r="C23" s="102" t="s">
        <v>110</v>
      </c>
      <c r="D23" s="103">
        <v>45007</v>
      </c>
      <c r="E23" s="103">
        <f>1521-152</f>
        <v>1369</v>
      </c>
      <c r="F23" s="103">
        <v>3333</v>
      </c>
      <c r="G23" s="103">
        <f t="shared" si="0"/>
        <v>49709</v>
      </c>
      <c r="H23" s="102" t="s">
        <v>170</v>
      </c>
      <c r="I23" s="103">
        <v>55423</v>
      </c>
      <c r="J23" s="102">
        <v>7</v>
      </c>
      <c r="K23" s="104" t="s">
        <v>111</v>
      </c>
      <c r="L23" s="108"/>
      <c r="O23" s="108"/>
    </row>
    <row r="24" spans="1:21" ht="14.25" customHeight="1" x14ac:dyDescent="0.3">
      <c r="A24" s="101">
        <v>20</v>
      </c>
      <c r="B24" s="102" t="s">
        <v>171</v>
      </c>
      <c r="C24" s="102" t="s">
        <v>110</v>
      </c>
      <c r="D24" s="103">
        <v>54010</v>
      </c>
      <c r="E24" s="103">
        <f>1826-183</f>
        <v>1643</v>
      </c>
      <c r="F24" s="103">
        <v>3999</v>
      </c>
      <c r="G24" s="103">
        <f t="shared" si="0"/>
        <v>59652</v>
      </c>
      <c r="H24" s="102" t="s">
        <v>170</v>
      </c>
      <c r="I24" s="103">
        <v>66510</v>
      </c>
      <c r="J24" s="102">
        <v>7</v>
      </c>
      <c r="K24" s="104" t="s">
        <v>111</v>
      </c>
      <c r="L24" s="108"/>
    </row>
    <row r="25" spans="1:21" ht="14.25" customHeight="1" x14ac:dyDescent="0.3">
      <c r="A25" s="101">
        <v>21</v>
      </c>
      <c r="B25" s="102" t="s">
        <v>172</v>
      </c>
      <c r="C25" s="102" t="s">
        <v>110</v>
      </c>
      <c r="D25" s="103">
        <v>18001</v>
      </c>
      <c r="E25" s="103">
        <f>609-61</f>
        <v>548</v>
      </c>
      <c r="F25" s="103">
        <v>1333</v>
      </c>
      <c r="G25" s="103">
        <f t="shared" si="0"/>
        <v>19882</v>
      </c>
      <c r="H25" s="102" t="s">
        <v>170</v>
      </c>
      <c r="I25" s="103">
        <v>22167</v>
      </c>
      <c r="J25" s="102">
        <v>7</v>
      </c>
      <c r="K25" s="104" t="s">
        <v>111</v>
      </c>
      <c r="L25" s="108"/>
    </row>
    <row r="26" spans="1:21" ht="14.25" customHeight="1" x14ac:dyDescent="0.3">
      <c r="A26" s="109"/>
      <c r="B26" s="110" t="s">
        <v>112</v>
      </c>
      <c r="C26" s="111"/>
      <c r="D26" s="112">
        <f>SUM(D5:D25)</f>
        <v>1340803</v>
      </c>
      <c r="E26" s="112">
        <f t="shared" ref="E26:G26" si="1">SUM(E5:E25)</f>
        <v>7667</v>
      </c>
      <c r="F26" s="112">
        <f>SUM(F5:F25)</f>
        <v>38350</v>
      </c>
      <c r="G26" s="112">
        <f t="shared" si="1"/>
        <v>1386820</v>
      </c>
      <c r="H26" s="111"/>
      <c r="I26" s="112">
        <f>SUM(I5:I25)</f>
        <v>1481491</v>
      </c>
      <c r="J26" s="111"/>
      <c r="K26" s="113"/>
    </row>
    <row r="27" spans="1:21" ht="14.25" customHeight="1" x14ac:dyDescent="0.3">
      <c r="A27" s="98"/>
      <c r="B27" s="18" t="s">
        <v>212</v>
      </c>
      <c r="C27" s="18"/>
      <c r="H27" s="18"/>
      <c r="J27" s="18"/>
      <c r="K27" s="100"/>
      <c r="U27">
        <f>191-19</f>
        <v>172</v>
      </c>
    </row>
    <row r="28" spans="1:21" ht="14.25" customHeight="1" x14ac:dyDescent="0.3">
      <c r="A28" s="98"/>
      <c r="B28" s="99" t="s">
        <v>113</v>
      </c>
      <c r="C28" s="18"/>
      <c r="H28" s="18"/>
      <c r="J28" s="18"/>
      <c r="K28" s="100"/>
    </row>
    <row r="29" spans="1:21" ht="14.25" customHeight="1" x14ac:dyDescent="0.3">
      <c r="A29" s="101">
        <v>22</v>
      </c>
      <c r="B29" s="102">
        <v>1353283</v>
      </c>
      <c r="C29" s="102" t="s">
        <v>108</v>
      </c>
      <c r="D29" s="103">
        <v>93743</v>
      </c>
      <c r="E29" s="103">
        <v>0</v>
      </c>
      <c r="F29" s="103">
        <f>6729-673</f>
        <v>6056</v>
      </c>
      <c r="G29" s="103">
        <f t="shared" ref="G29:G37" si="2">D29+E29+F29</f>
        <v>99799</v>
      </c>
      <c r="H29" s="102" t="s">
        <v>188</v>
      </c>
      <c r="I29" s="103">
        <v>108124</v>
      </c>
      <c r="J29" s="102">
        <v>7.2</v>
      </c>
      <c r="K29" s="104" t="s">
        <v>107</v>
      </c>
    </row>
    <row r="30" spans="1:21" ht="14.25" customHeight="1" x14ac:dyDescent="0.3">
      <c r="A30" s="101">
        <v>23</v>
      </c>
      <c r="B30" s="102">
        <v>1453442</v>
      </c>
      <c r="C30" s="102" t="s">
        <v>160</v>
      </c>
      <c r="D30" s="103">
        <v>138222</v>
      </c>
      <c r="E30" s="103">
        <v>0</v>
      </c>
      <c r="F30" s="103">
        <f>3991-399</f>
        <v>3592</v>
      </c>
      <c r="G30" s="103">
        <f t="shared" si="2"/>
        <v>141814</v>
      </c>
      <c r="H30" s="102" t="s">
        <v>191</v>
      </c>
      <c r="I30" s="103">
        <v>147864</v>
      </c>
      <c r="J30" s="102">
        <v>6.8</v>
      </c>
      <c r="K30" s="104" t="s">
        <v>107</v>
      </c>
    </row>
    <row r="31" spans="1:21" ht="14.25" customHeight="1" x14ac:dyDescent="0.3">
      <c r="A31" s="101">
        <v>24</v>
      </c>
      <c r="B31" s="102">
        <v>1453447</v>
      </c>
      <c r="C31" s="102" t="s">
        <v>162</v>
      </c>
      <c r="D31" s="103">
        <v>37172</v>
      </c>
      <c r="E31" s="103">
        <v>0</v>
      </c>
      <c r="F31" s="103">
        <f>306-31</f>
        <v>275</v>
      </c>
      <c r="G31" s="103">
        <f t="shared" si="2"/>
        <v>37447</v>
      </c>
      <c r="H31" s="102" t="s">
        <v>192</v>
      </c>
      <c r="I31" s="103">
        <v>39706</v>
      </c>
      <c r="J31" s="102">
        <v>7.2</v>
      </c>
      <c r="K31" s="104" t="s">
        <v>107</v>
      </c>
      <c r="L31" s="108"/>
    </row>
    <row r="32" spans="1:21" ht="14.25" customHeight="1" x14ac:dyDescent="0.3">
      <c r="A32" s="101">
        <v>25</v>
      </c>
      <c r="B32" s="102">
        <v>1453448</v>
      </c>
      <c r="C32" s="102" t="s">
        <v>164</v>
      </c>
      <c r="D32" s="103">
        <v>137007</v>
      </c>
      <c r="E32" s="103">
        <v>0</v>
      </c>
      <c r="F32" s="103">
        <v>0</v>
      </c>
      <c r="G32" s="103">
        <f t="shared" si="2"/>
        <v>137007</v>
      </c>
      <c r="H32" s="102" t="s">
        <v>164</v>
      </c>
      <c r="I32" s="103">
        <v>146348</v>
      </c>
      <c r="J32" s="102">
        <v>6.65</v>
      </c>
      <c r="K32" s="104" t="s">
        <v>107</v>
      </c>
      <c r="L32" s="108"/>
      <c r="O32" s="108"/>
    </row>
    <row r="33" spans="1:19" ht="14.25" customHeight="1" x14ac:dyDescent="0.3">
      <c r="A33" s="101">
        <v>26</v>
      </c>
      <c r="B33" s="102">
        <v>1453450</v>
      </c>
      <c r="C33" s="102" t="s">
        <v>163</v>
      </c>
      <c r="D33" s="103">
        <v>128290</v>
      </c>
      <c r="E33" s="103">
        <v>0</v>
      </c>
      <c r="F33" s="103">
        <f>280-28</f>
        <v>252</v>
      </c>
      <c r="G33" s="103">
        <f t="shared" si="2"/>
        <v>128542</v>
      </c>
      <c r="H33" s="102" t="s">
        <v>194</v>
      </c>
      <c r="I33" s="103">
        <v>137036</v>
      </c>
      <c r="J33" s="102">
        <v>6.65</v>
      </c>
      <c r="K33" s="104" t="s">
        <v>107</v>
      </c>
      <c r="O33" s="108"/>
    </row>
    <row r="34" spans="1:19" ht="14.25" customHeight="1" x14ac:dyDescent="0.3">
      <c r="A34" s="101">
        <v>27</v>
      </c>
      <c r="B34" s="102">
        <v>1453452</v>
      </c>
      <c r="C34" s="102" t="s">
        <v>165</v>
      </c>
      <c r="D34" s="103">
        <v>110917</v>
      </c>
      <c r="E34" s="103">
        <v>0</v>
      </c>
      <c r="F34" s="103">
        <f>7479-748</f>
        <v>6731</v>
      </c>
      <c r="G34" s="103">
        <f t="shared" si="2"/>
        <v>117648</v>
      </c>
      <c r="H34" s="102" t="s">
        <v>196</v>
      </c>
      <c r="I34" s="103">
        <v>119473</v>
      </c>
      <c r="J34" s="102">
        <v>7.5</v>
      </c>
      <c r="K34" s="104" t="s">
        <v>107</v>
      </c>
      <c r="L34" s="108"/>
      <c r="O34" s="108"/>
    </row>
    <row r="35" spans="1:19" ht="14.25" customHeight="1" x14ac:dyDescent="0.3">
      <c r="A35" s="101">
        <v>28</v>
      </c>
      <c r="B35" s="114">
        <v>1453769</v>
      </c>
      <c r="C35" s="105" t="s">
        <v>158</v>
      </c>
      <c r="D35" s="106">
        <v>89747</v>
      </c>
      <c r="E35" s="106">
        <v>0</v>
      </c>
      <c r="F35" s="106">
        <f>644-64</f>
        <v>580</v>
      </c>
      <c r="G35" s="103">
        <f t="shared" si="2"/>
        <v>90327</v>
      </c>
      <c r="H35" s="105" t="s">
        <v>200</v>
      </c>
      <c r="I35" s="106">
        <v>95866</v>
      </c>
      <c r="J35" s="105">
        <v>6.65</v>
      </c>
      <c r="K35" s="107" t="s">
        <v>107</v>
      </c>
      <c r="O35" s="108"/>
    </row>
    <row r="36" spans="1:19" ht="14.25" customHeight="1" x14ac:dyDescent="0.3">
      <c r="A36" s="101">
        <v>29</v>
      </c>
      <c r="B36" s="114">
        <v>1503318</v>
      </c>
      <c r="C36" s="105" t="s">
        <v>198</v>
      </c>
      <c r="D36" s="106">
        <v>83772</v>
      </c>
      <c r="E36" s="106">
        <v>0</v>
      </c>
      <c r="F36" s="106">
        <f>1676-168</f>
        <v>1508</v>
      </c>
      <c r="G36" s="103">
        <f t="shared" si="2"/>
        <v>85280</v>
      </c>
      <c r="H36" s="105" t="s">
        <v>199</v>
      </c>
      <c r="I36" s="106">
        <v>89615</v>
      </c>
      <c r="J36" s="105">
        <v>6.8</v>
      </c>
      <c r="K36" s="107" t="s">
        <v>107</v>
      </c>
      <c r="S36">
        <f>P36-Q36</f>
        <v>0</v>
      </c>
    </row>
    <row r="37" spans="1:19" ht="14.25" customHeight="1" x14ac:dyDescent="0.3">
      <c r="A37" s="101">
        <v>30</v>
      </c>
      <c r="B37" s="115" t="s">
        <v>202</v>
      </c>
      <c r="C37" s="102" t="s">
        <v>114</v>
      </c>
      <c r="D37" s="103">
        <v>91809</v>
      </c>
      <c r="E37" s="103">
        <v>0</v>
      </c>
      <c r="F37" s="103">
        <f>5780-2548</f>
        <v>3232</v>
      </c>
      <c r="G37" s="103">
        <f t="shared" si="2"/>
        <v>95041</v>
      </c>
      <c r="H37" s="102" t="s">
        <v>201</v>
      </c>
      <c r="I37" s="103">
        <v>100416</v>
      </c>
      <c r="J37" s="102">
        <v>6.25</v>
      </c>
      <c r="K37" s="104" t="s">
        <v>111</v>
      </c>
      <c r="L37" s="108"/>
    </row>
    <row r="38" spans="1:19" ht="14.25" customHeight="1" x14ac:dyDescent="0.3">
      <c r="A38" s="116"/>
      <c r="B38" s="110" t="s">
        <v>112</v>
      </c>
      <c r="C38" s="110"/>
      <c r="D38" s="112">
        <f>SUM(D29:D37)</f>
        <v>910679</v>
      </c>
      <c r="E38" s="112">
        <f t="shared" ref="E38:G38" si="3">SUM(E29:E37)</f>
        <v>0</v>
      </c>
      <c r="F38" s="112">
        <f>SUM(F29:F37)</f>
        <v>22226</v>
      </c>
      <c r="G38" s="112">
        <f t="shared" si="3"/>
        <v>932905</v>
      </c>
      <c r="H38" s="110"/>
      <c r="I38" s="112">
        <f>SUM(I29:I37)</f>
        <v>984448</v>
      </c>
      <c r="J38" s="110"/>
      <c r="K38" s="117"/>
    </row>
    <row r="39" spans="1:19" ht="14.25" customHeight="1" x14ac:dyDescent="0.3">
      <c r="A39" s="118"/>
      <c r="B39" s="17" t="s">
        <v>212</v>
      </c>
      <c r="C39" s="17"/>
      <c r="D39" s="119"/>
      <c r="E39" s="119"/>
      <c r="F39" s="119"/>
      <c r="G39" s="119"/>
      <c r="H39" s="17"/>
      <c r="I39" s="119"/>
      <c r="J39" s="17"/>
      <c r="K39" s="120"/>
    </row>
    <row r="40" spans="1:19" ht="12.75" customHeight="1" x14ac:dyDescent="0.3">
      <c r="A40" s="98"/>
      <c r="B40" s="99" t="s">
        <v>115</v>
      </c>
      <c r="C40" s="18"/>
      <c r="H40" s="18"/>
      <c r="J40" s="18"/>
      <c r="K40" s="100"/>
    </row>
    <row r="41" spans="1:19" ht="14.25" customHeight="1" x14ac:dyDescent="0.3">
      <c r="A41" s="101">
        <v>31</v>
      </c>
      <c r="B41" s="102">
        <v>1353282</v>
      </c>
      <c r="C41" s="102" t="s">
        <v>108</v>
      </c>
      <c r="D41" s="103">
        <v>2685</v>
      </c>
      <c r="E41" s="103">
        <v>0</v>
      </c>
      <c r="F41" s="103">
        <f>191-19</f>
        <v>172</v>
      </c>
      <c r="G41" s="103">
        <f t="shared" ref="G41:G44" si="4">D41+E41+F41</f>
        <v>2857</v>
      </c>
      <c r="H41" s="102" t="s">
        <v>188</v>
      </c>
      <c r="I41" s="103">
        <v>3097</v>
      </c>
      <c r="J41" s="102">
        <v>7.2</v>
      </c>
      <c r="K41" s="104" t="s">
        <v>107</v>
      </c>
      <c r="L41" s="108"/>
    </row>
    <row r="42" spans="1:19" ht="14.25" customHeight="1" x14ac:dyDescent="0.3">
      <c r="A42" s="101">
        <v>32</v>
      </c>
      <c r="B42" s="102">
        <v>1414198</v>
      </c>
      <c r="C42" s="102" t="s">
        <v>109</v>
      </c>
      <c r="D42" s="103">
        <v>2758</v>
      </c>
      <c r="E42" s="103">
        <v>0</v>
      </c>
      <c r="F42" s="103">
        <f>19-2</f>
        <v>17</v>
      </c>
      <c r="G42" s="103">
        <f t="shared" si="4"/>
        <v>2775</v>
      </c>
      <c r="H42" s="102" t="s">
        <v>189</v>
      </c>
      <c r="I42" s="103">
        <v>3153</v>
      </c>
      <c r="J42" s="102">
        <v>6.75</v>
      </c>
      <c r="K42" s="104" t="s">
        <v>107</v>
      </c>
      <c r="L42" s="108"/>
    </row>
    <row r="43" spans="1:19" ht="14.25" customHeight="1" x14ac:dyDescent="0.3">
      <c r="A43" s="101">
        <v>33</v>
      </c>
      <c r="B43" s="105">
        <v>1503319</v>
      </c>
      <c r="C43" s="105" t="s">
        <v>198</v>
      </c>
      <c r="D43" s="106">
        <v>2400</v>
      </c>
      <c r="E43" s="106"/>
      <c r="F43" s="106">
        <f>47-5</f>
        <v>42</v>
      </c>
      <c r="G43" s="103">
        <f t="shared" si="4"/>
        <v>2442</v>
      </c>
      <c r="H43" s="102" t="s">
        <v>199</v>
      </c>
      <c r="I43" s="106">
        <v>2567</v>
      </c>
      <c r="J43" s="105">
        <v>6.8</v>
      </c>
      <c r="K43" s="104" t="s">
        <v>107</v>
      </c>
    </row>
    <row r="44" spans="1:19" ht="14.25" customHeight="1" x14ac:dyDescent="0.3">
      <c r="A44" s="101">
        <v>34</v>
      </c>
      <c r="B44" s="105">
        <v>1453767</v>
      </c>
      <c r="C44" s="105" t="s">
        <v>157</v>
      </c>
      <c r="D44" s="106">
        <v>2570</v>
      </c>
      <c r="E44" s="106">
        <v>0</v>
      </c>
      <c r="F44" s="106">
        <f>19-2</f>
        <v>17</v>
      </c>
      <c r="G44" s="103">
        <f t="shared" si="4"/>
        <v>2587</v>
      </c>
      <c r="H44" s="102" t="s">
        <v>197</v>
      </c>
      <c r="I44" s="106">
        <v>2745</v>
      </c>
      <c r="J44" s="105">
        <v>6.65</v>
      </c>
      <c r="K44" s="107" t="s">
        <v>107</v>
      </c>
    </row>
    <row r="45" spans="1:19" ht="14.25" customHeight="1" x14ac:dyDescent="0.3">
      <c r="A45" s="116"/>
      <c r="B45" s="110" t="s">
        <v>212</v>
      </c>
      <c r="C45" s="110"/>
      <c r="D45" s="112">
        <f>SUM(D41:D44)</f>
        <v>10413</v>
      </c>
      <c r="E45" s="112">
        <f t="shared" ref="E45:G45" si="5">SUM(E41:E44)</f>
        <v>0</v>
      </c>
      <c r="F45" s="112">
        <f>SUM(F41:F44)</f>
        <v>248</v>
      </c>
      <c r="G45" s="112">
        <f t="shared" si="5"/>
        <v>10661</v>
      </c>
      <c r="H45" s="110"/>
      <c r="I45" s="112">
        <f>SUM(I41:I44)</f>
        <v>11562</v>
      </c>
      <c r="J45" s="110"/>
      <c r="K45" s="117"/>
    </row>
    <row r="46" spans="1:19" ht="14.25" customHeight="1" x14ac:dyDescent="0.3">
      <c r="A46" s="98"/>
      <c r="B46" s="18" t="s">
        <v>212</v>
      </c>
      <c r="C46" s="18"/>
      <c r="H46" s="18"/>
      <c r="J46" s="18"/>
      <c r="K46" s="100"/>
    </row>
    <row r="47" spans="1:19" ht="14.25" customHeight="1" x14ac:dyDescent="0.3">
      <c r="A47" s="98"/>
      <c r="B47" s="99" t="s">
        <v>116</v>
      </c>
      <c r="C47" s="18"/>
      <c r="H47" s="18"/>
      <c r="J47" s="18"/>
      <c r="K47" s="100"/>
    </row>
    <row r="48" spans="1:19" ht="14.25" customHeight="1" x14ac:dyDescent="0.3">
      <c r="A48" s="101">
        <v>35</v>
      </c>
      <c r="B48" s="102" t="s">
        <v>184</v>
      </c>
      <c r="C48" s="102" t="s">
        <v>173</v>
      </c>
      <c r="D48" s="103">
        <v>45770</v>
      </c>
      <c r="E48" s="103">
        <v>0</v>
      </c>
      <c r="F48" s="103">
        <f>3025-2336</f>
        <v>689</v>
      </c>
      <c r="G48" s="103">
        <f t="shared" ref="G48:G50" si="6">D48+E48+F48</f>
        <v>46459</v>
      </c>
      <c r="H48" s="102" t="s">
        <v>187</v>
      </c>
      <c r="I48" s="103">
        <v>49783</v>
      </c>
      <c r="J48" s="102">
        <v>6.4</v>
      </c>
      <c r="K48" s="104" t="s">
        <v>111</v>
      </c>
      <c r="L48" s="108"/>
    </row>
    <row r="49" spans="1:12" ht="14.25" customHeight="1" x14ac:dyDescent="0.3">
      <c r="A49" s="101">
        <v>36</v>
      </c>
      <c r="B49" s="102" t="s">
        <v>185</v>
      </c>
      <c r="C49" s="102" t="s">
        <v>173</v>
      </c>
      <c r="D49" s="103">
        <v>45770</v>
      </c>
      <c r="E49" s="103">
        <v>0</v>
      </c>
      <c r="F49" s="103">
        <f>3025-2336</f>
        <v>689</v>
      </c>
      <c r="G49" s="103">
        <f t="shared" si="6"/>
        <v>46459</v>
      </c>
      <c r="H49" s="102" t="s">
        <v>187</v>
      </c>
      <c r="I49" s="103">
        <v>49783</v>
      </c>
      <c r="J49" s="102">
        <v>6.4</v>
      </c>
      <c r="K49" s="104" t="s">
        <v>111</v>
      </c>
      <c r="L49" s="108"/>
    </row>
    <row r="50" spans="1:12" ht="14.25" customHeight="1" x14ac:dyDescent="0.3">
      <c r="A50" s="101">
        <v>37</v>
      </c>
      <c r="B50" s="102" t="s">
        <v>186</v>
      </c>
      <c r="C50" s="102" t="s">
        <v>173</v>
      </c>
      <c r="D50" s="103">
        <v>45770</v>
      </c>
      <c r="E50" s="103">
        <v>0</v>
      </c>
      <c r="F50" s="103">
        <f>3025-2336</f>
        <v>689</v>
      </c>
      <c r="G50" s="103">
        <f t="shared" si="6"/>
        <v>46459</v>
      </c>
      <c r="H50" s="102" t="s">
        <v>187</v>
      </c>
      <c r="I50" s="103">
        <v>49783</v>
      </c>
      <c r="J50" s="102">
        <v>6.4</v>
      </c>
      <c r="K50" s="104" t="s">
        <v>111</v>
      </c>
      <c r="L50" s="108"/>
    </row>
    <row r="51" spans="1:12" ht="14.25" customHeight="1" x14ac:dyDescent="0.3">
      <c r="A51" s="116"/>
      <c r="B51" s="121" t="s">
        <v>212</v>
      </c>
      <c r="C51" s="121"/>
      <c r="D51" s="112">
        <f>SUM(D48:D50)</f>
        <v>137310</v>
      </c>
      <c r="E51" s="112">
        <f t="shared" ref="E51:G51" si="7">SUM(E48:E50)</f>
        <v>0</v>
      </c>
      <c r="F51" s="112">
        <f t="shared" si="7"/>
        <v>2067</v>
      </c>
      <c r="G51" s="112">
        <f t="shared" si="7"/>
        <v>139377</v>
      </c>
      <c r="H51" s="110"/>
      <c r="I51" s="112">
        <f>SUM(I48:I50)</f>
        <v>149349</v>
      </c>
      <c r="J51" s="110"/>
      <c r="K51" s="117"/>
    </row>
    <row r="52" spans="1:12" ht="14.25" customHeight="1" x14ac:dyDescent="0.3">
      <c r="A52" s="98"/>
      <c r="B52" s="18" t="s">
        <v>212</v>
      </c>
      <c r="H52" s="18"/>
      <c r="J52" s="18"/>
      <c r="K52" s="100"/>
    </row>
    <row r="53" spans="1:12" ht="14.25" customHeight="1" x14ac:dyDescent="0.3">
      <c r="A53" s="109"/>
      <c r="B53" s="110" t="s">
        <v>117</v>
      </c>
      <c r="C53" s="122"/>
      <c r="D53" s="112">
        <f>D26+D38+D45+D51</f>
        <v>2399205</v>
      </c>
      <c r="E53" s="112">
        <f>E26+E38+E45+E51</f>
        <v>7667</v>
      </c>
      <c r="F53" s="112">
        <f>F26+F38+F45+F51</f>
        <v>62891</v>
      </c>
      <c r="G53" s="112">
        <f>G26+G38+G45+G51</f>
        <v>2469763</v>
      </c>
      <c r="H53" s="111"/>
      <c r="I53" s="112">
        <f>I26+I38+I45+I51</f>
        <v>2626850</v>
      </c>
      <c r="J53" s="111"/>
      <c r="K53" s="113"/>
    </row>
    <row r="54" spans="1:12" ht="14.25" customHeight="1" x14ac:dyDescent="0.3">
      <c r="A54" s="123"/>
      <c r="B54" s="124"/>
      <c r="C54" s="124"/>
      <c r="D54" s="124"/>
      <c r="E54" s="124"/>
      <c r="F54" s="124"/>
      <c r="G54" s="124"/>
      <c r="H54" s="125"/>
      <c r="I54" s="124"/>
      <c r="J54" s="125"/>
      <c r="K54" s="126"/>
    </row>
    <row r="55" spans="1:12" ht="14.25" customHeight="1" x14ac:dyDescent="0.3">
      <c r="A55" s="18"/>
      <c r="E55" s="47"/>
      <c r="F55" s="47"/>
      <c r="G55" s="47"/>
      <c r="H55" s="18"/>
      <c r="J55" s="18"/>
      <c r="K55" s="18"/>
    </row>
    <row r="56" spans="1:12" ht="14.25" customHeight="1" x14ac:dyDescent="0.3">
      <c r="A56" s="18"/>
      <c r="H56" s="18"/>
      <c r="J56" s="18"/>
      <c r="K56" s="18"/>
    </row>
    <row r="57" spans="1:12" ht="14.25" customHeight="1" x14ac:dyDescent="0.3">
      <c r="A57" s="18"/>
      <c r="H57" s="18"/>
      <c r="J57" s="18"/>
      <c r="K57" s="18"/>
    </row>
    <row r="58" spans="1:12" ht="14.25" customHeight="1" x14ac:dyDescent="0.3">
      <c r="A58" s="18"/>
      <c r="H58" s="18"/>
      <c r="J58" s="18"/>
      <c r="K58" s="18"/>
    </row>
    <row r="59" spans="1:12" ht="14.25" customHeight="1" x14ac:dyDescent="0.3">
      <c r="A59" s="18"/>
      <c r="H59" s="18"/>
      <c r="J59" s="18"/>
      <c r="K59" s="18"/>
    </row>
    <row r="60" spans="1:12" ht="14.25" customHeight="1" x14ac:dyDescent="0.3">
      <c r="A60" s="18"/>
      <c r="H60" s="18"/>
      <c r="J60" s="18"/>
      <c r="K60" s="18"/>
    </row>
    <row r="61" spans="1:12" ht="14.25" customHeight="1" x14ac:dyDescent="0.3">
      <c r="A61" s="18"/>
      <c r="H61" s="18"/>
      <c r="J61" s="18"/>
      <c r="K61" s="18"/>
    </row>
    <row r="62" spans="1:12" ht="14.25" customHeight="1" x14ac:dyDescent="0.3">
      <c r="A62" s="18"/>
      <c r="H62" s="18"/>
      <c r="J62" s="18"/>
      <c r="K62" s="18"/>
    </row>
    <row r="63" spans="1:12" ht="14.25" customHeight="1" x14ac:dyDescent="0.3">
      <c r="A63" s="18"/>
      <c r="H63" s="18"/>
      <c r="J63" s="18"/>
      <c r="K63" s="18"/>
    </row>
    <row r="64" spans="1:12" ht="14.25" customHeight="1" x14ac:dyDescent="0.3">
      <c r="A64" s="18"/>
      <c r="H64" s="18"/>
      <c r="J64" s="18"/>
      <c r="K64" s="18"/>
    </row>
    <row r="65" spans="1:11" ht="14.25" customHeight="1" x14ac:dyDescent="0.3">
      <c r="A65" s="18"/>
      <c r="H65" s="18"/>
      <c r="J65" s="18"/>
      <c r="K65" s="18"/>
    </row>
    <row r="66" spans="1:11" ht="14.25" customHeight="1" x14ac:dyDescent="0.3">
      <c r="A66" s="18"/>
      <c r="H66" s="18"/>
      <c r="J66" s="18"/>
      <c r="K66" s="18"/>
    </row>
    <row r="67" spans="1:11" ht="14.25" customHeight="1" x14ac:dyDescent="0.3">
      <c r="A67" s="18"/>
      <c r="H67" s="18"/>
      <c r="J67" s="18"/>
      <c r="K67" s="18"/>
    </row>
    <row r="68" spans="1:11" ht="14.25" customHeight="1" x14ac:dyDescent="0.3">
      <c r="A68" s="18"/>
      <c r="H68" s="18"/>
      <c r="J68" s="18"/>
      <c r="K68" s="18"/>
    </row>
    <row r="69" spans="1:11" ht="14.25" customHeight="1" x14ac:dyDescent="0.3">
      <c r="A69" s="18"/>
      <c r="H69" s="18"/>
      <c r="J69" s="18"/>
      <c r="K69" s="18"/>
    </row>
    <row r="70" spans="1:11" ht="14.25" customHeight="1" x14ac:dyDescent="0.3">
      <c r="A70" s="18"/>
      <c r="H70" s="18"/>
      <c r="J70" s="18"/>
      <c r="K70" s="18"/>
    </row>
    <row r="71" spans="1:11" ht="14.25" customHeight="1" x14ac:dyDescent="0.3">
      <c r="A71" s="18"/>
      <c r="H71" s="18"/>
      <c r="J71" s="18"/>
      <c r="K71" s="18"/>
    </row>
    <row r="72" spans="1:11" ht="14.25" customHeight="1" x14ac:dyDescent="0.3">
      <c r="A72" s="18"/>
      <c r="H72" s="18"/>
      <c r="J72" s="18"/>
      <c r="K72" s="18"/>
    </row>
    <row r="73" spans="1:11" ht="14.25" customHeight="1" x14ac:dyDescent="0.3">
      <c r="A73" s="18"/>
      <c r="H73" s="18"/>
      <c r="J73" s="18"/>
      <c r="K73" s="18"/>
    </row>
    <row r="74" spans="1:11" ht="14.25" customHeight="1" x14ac:dyDescent="0.3">
      <c r="A74" s="18"/>
      <c r="H74" s="18"/>
      <c r="J74" s="18"/>
      <c r="K74" s="18"/>
    </row>
    <row r="75" spans="1:11" ht="14.25" customHeight="1" x14ac:dyDescent="0.3">
      <c r="A75" s="18"/>
      <c r="H75" s="18"/>
      <c r="J75" s="18"/>
      <c r="K75" s="18"/>
    </row>
    <row r="76" spans="1:11" ht="14.25" customHeight="1" x14ac:dyDescent="0.3">
      <c r="A76" s="18"/>
      <c r="H76" s="18"/>
      <c r="J76" s="18"/>
      <c r="K76" s="18"/>
    </row>
    <row r="77" spans="1:11" ht="14.25" customHeight="1" x14ac:dyDescent="0.3">
      <c r="A77" s="18"/>
      <c r="H77" s="18"/>
      <c r="J77" s="18"/>
      <c r="K77" s="18"/>
    </row>
    <row r="78" spans="1:11" ht="14.25" customHeight="1" x14ac:dyDescent="0.3">
      <c r="A78" s="18"/>
      <c r="H78" s="18"/>
      <c r="J78" s="18"/>
      <c r="K78" s="18"/>
    </row>
    <row r="79" spans="1:11" ht="14.25" customHeight="1" x14ac:dyDescent="0.3">
      <c r="A79" s="18"/>
      <c r="H79" s="18"/>
      <c r="J79" s="18"/>
      <c r="K79" s="18"/>
    </row>
    <row r="80" spans="1:11" ht="14.25" customHeight="1" x14ac:dyDescent="0.3">
      <c r="A80" s="18"/>
      <c r="H80" s="18"/>
      <c r="J80" s="18"/>
      <c r="K80" s="18"/>
    </row>
    <row r="81" spans="1:11" ht="14.25" customHeight="1" x14ac:dyDescent="0.3">
      <c r="A81" s="18"/>
      <c r="H81" s="18"/>
      <c r="J81" s="18"/>
      <c r="K81" s="18"/>
    </row>
    <row r="82" spans="1:11" ht="14.25" customHeight="1" x14ac:dyDescent="0.3">
      <c r="A82" s="18"/>
      <c r="H82" s="18"/>
      <c r="J82" s="18"/>
      <c r="K82" s="18"/>
    </row>
    <row r="83" spans="1:11" ht="14.25" customHeight="1" x14ac:dyDescent="0.3">
      <c r="A83" s="18"/>
      <c r="H83" s="18"/>
      <c r="J83" s="18"/>
      <c r="K83" s="18"/>
    </row>
    <row r="84" spans="1:11" ht="14.25" customHeight="1" x14ac:dyDescent="0.3">
      <c r="A84" s="18"/>
      <c r="H84" s="18"/>
      <c r="J84" s="18"/>
      <c r="K84" s="18"/>
    </row>
    <row r="85" spans="1:11" ht="14.25" customHeight="1" x14ac:dyDescent="0.3">
      <c r="A85" s="18"/>
      <c r="H85" s="18"/>
      <c r="J85" s="18"/>
      <c r="K85" s="18"/>
    </row>
    <row r="86" spans="1:11" ht="14.25" customHeight="1" x14ac:dyDescent="0.3">
      <c r="A86" s="18"/>
      <c r="H86" s="18"/>
      <c r="J86" s="18"/>
      <c r="K86" s="18"/>
    </row>
    <row r="87" spans="1:11" ht="14.25" customHeight="1" x14ac:dyDescent="0.3">
      <c r="A87" s="18"/>
      <c r="H87" s="18"/>
      <c r="J87" s="18"/>
      <c r="K87" s="18"/>
    </row>
    <row r="88" spans="1:11" ht="14.25" customHeight="1" x14ac:dyDescent="0.3">
      <c r="A88" s="18"/>
      <c r="H88" s="18"/>
      <c r="J88" s="18"/>
      <c r="K88" s="18"/>
    </row>
    <row r="89" spans="1:11" ht="14.25" customHeight="1" x14ac:dyDescent="0.3">
      <c r="A89" s="18"/>
      <c r="H89" s="18"/>
      <c r="J89" s="18"/>
      <c r="K89" s="18"/>
    </row>
    <row r="90" spans="1:11" ht="14.25" customHeight="1" x14ac:dyDescent="0.3">
      <c r="A90" s="18"/>
      <c r="H90" s="18"/>
      <c r="J90" s="18"/>
      <c r="K90" s="18"/>
    </row>
    <row r="91" spans="1:11" ht="14.25" customHeight="1" x14ac:dyDescent="0.3">
      <c r="A91" s="18"/>
      <c r="H91" s="18"/>
      <c r="J91" s="18"/>
      <c r="K91" s="18"/>
    </row>
    <row r="92" spans="1:11" ht="14.25" customHeight="1" x14ac:dyDescent="0.3">
      <c r="A92" s="18"/>
      <c r="H92" s="18"/>
      <c r="J92" s="18"/>
      <c r="K92" s="18"/>
    </row>
    <row r="93" spans="1:11" ht="14.25" customHeight="1" x14ac:dyDescent="0.3">
      <c r="A93" s="18"/>
      <c r="H93" s="18"/>
      <c r="J93" s="18"/>
      <c r="K93" s="18"/>
    </row>
    <row r="94" spans="1:11" ht="14.25" customHeight="1" x14ac:dyDescent="0.3">
      <c r="A94" s="18"/>
      <c r="H94" s="18"/>
      <c r="J94" s="18"/>
      <c r="K94" s="18"/>
    </row>
    <row r="95" spans="1:11" ht="14.25" customHeight="1" x14ac:dyDescent="0.3">
      <c r="A95" s="18"/>
      <c r="H95" s="18"/>
      <c r="J95" s="18"/>
      <c r="K95" s="18"/>
    </row>
    <row r="96" spans="1:11" ht="14.25" customHeight="1" x14ac:dyDescent="0.3">
      <c r="A96" s="18"/>
      <c r="H96" s="18"/>
      <c r="J96" s="18"/>
      <c r="K96" s="18"/>
    </row>
    <row r="97" spans="1:11" ht="14.25" customHeight="1" x14ac:dyDescent="0.3">
      <c r="A97" s="18"/>
      <c r="H97" s="18"/>
      <c r="J97" s="18"/>
      <c r="K97" s="18"/>
    </row>
    <row r="98" spans="1:11" ht="14.25" customHeight="1" x14ac:dyDescent="0.3">
      <c r="A98" s="18"/>
      <c r="H98" s="18"/>
      <c r="J98" s="18"/>
      <c r="K98" s="18"/>
    </row>
    <row r="99" spans="1:11" ht="14.25" customHeight="1" x14ac:dyDescent="0.3">
      <c r="A99" s="18"/>
      <c r="H99" s="18"/>
      <c r="J99" s="18"/>
      <c r="K99" s="18"/>
    </row>
    <row r="100" spans="1:11" ht="14.25" customHeight="1" x14ac:dyDescent="0.3">
      <c r="A100" s="18"/>
      <c r="H100" s="18"/>
      <c r="J100" s="18"/>
      <c r="K100" s="18"/>
    </row>
    <row r="101" spans="1:11" ht="14.25" customHeight="1" x14ac:dyDescent="0.3">
      <c r="A101" s="18"/>
      <c r="H101" s="18"/>
      <c r="J101" s="18"/>
      <c r="K101" s="18"/>
    </row>
    <row r="102" spans="1:11" ht="14.25" customHeight="1" x14ac:dyDescent="0.3">
      <c r="A102" s="18"/>
      <c r="H102" s="18"/>
      <c r="J102" s="18"/>
      <c r="K102" s="18"/>
    </row>
    <row r="103" spans="1:11" ht="14.25" customHeight="1" x14ac:dyDescent="0.3">
      <c r="A103" s="18"/>
      <c r="H103" s="18"/>
      <c r="J103" s="18"/>
      <c r="K103" s="18"/>
    </row>
    <row r="104" spans="1:11" ht="14.25" customHeight="1" x14ac:dyDescent="0.3">
      <c r="A104" s="18"/>
      <c r="H104" s="18"/>
      <c r="J104" s="18"/>
      <c r="K104" s="18"/>
    </row>
    <row r="105" spans="1:11" ht="14.25" customHeight="1" x14ac:dyDescent="0.3">
      <c r="A105" s="18"/>
      <c r="H105" s="18"/>
      <c r="J105" s="18"/>
      <c r="K105" s="18"/>
    </row>
    <row r="106" spans="1:11" ht="14.25" customHeight="1" x14ac:dyDescent="0.3">
      <c r="A106" s="18"/>
      <c r="H106" s="18"/>
      <c r="J106" s="18"/>
      <c r="K106" s="18"/>
    </row>
    <row r="107" spans="1:11" ht="14.25" customHeight="1" x14ac:dyDescent="0.3">
      <c r="A107" s="18"/>
      <c r="H107" s="18"/>
      <c r="J107" s="18"/>
      <c r="K107" s="18"/>
    </row>
    <row r="108" spans="1:11" ht="14.25" customHeight="1" x14ac:dyDescent="0.3">
      <c r="A108" s="18"/>
      <c r="H108" s="18"/>
      <c r="J108" s="18"/>
      <c r="K108" s="18"/>
    </row>
    <row r="109" spans="1:11" ht="14.25" customHeight="1" x14ac:dyDescent="0.3">
      <c r="A109" s="18"/>
      <c r="H109" s="18"/>
      <c r="J109" s="18"/>
      <c r="K109" s="18"/>
    </row>
    <row r="110" spans="1:11" ht="14.25" customHeight="1" x14ac:dyDescent="0.3">
      <c r="A110" s="18"/>
      <c r="H110" s="18"/>
      <c r="J110" s="18"/>
      <c r="K110" s="18"/>
    </row>
    <row r="111" spans="1:11" ht="14.25" customHeight="1" x14ac:dyDescent="0.3">
      <c r="A111" s="18"/>
      <c r="H111" s="18"/>
      <c r="J111" s="18"/>
      <c r="K111" s="18"/>
    </row>
    <row r="112" spans="1:11" ht="14.25" customHeight="1" x14ac:dyDescent="0.3">
      <c r="A112" s="18"/>
      <c r="H112" s="18"/>
      <c r="J112" s="18"/>
      <c r="K112" s="18"/>
    </row>
    <row r="113" spans="1:11" ht="14.25" customHeight="1" x14ac:dyDescent="0.3">
      <c r="A113" s="18"/>
      <c r="H113" s="18"/>
      <c r="J113" s="18"/>
      <c r="K113" s="18"/>
    </row>
    <row r="114" spans="1:11" ht="14.25" customHeight="1" x14ac:dyDescent="0.3">
      <c r="A114" s="18"/>
      <c r="H114" s="18"/>
      <c r="J114" s="18"/>
      <c r="K114" s="18"/>
    </row>
    <row r="115" spans="1:11" ht="14.25" customHeight="1" x14ac:dyDescent="0.3">
      <c r="A115" s="18"/>
      <c r="H115" s="18"/>
      <c r="J115" s="18"/>
      <c r="K115" s="18"/>
    </row>
    <row r="116" spans="1:11" ht="14.25" customHeight="1" x14ac:dyDescent="0.3">
      <c r="A116" s="18"/>
      <c r="H116" s="18"/>
      <c r="J116" s="18"/>
      <c r="K116" s="18"/>
    </row>
    <row r="117" spans="1:11" ht="14.25" customHeight="1" x14ac:dyDescent="0.3">
      <c r="A117" s="18"/>
      <c r="H117" s="18"/>
      <c r="J117" s="18"/>
      <c r="K117" s="18"/>
    </row>
    <row r="118" spans="1:11" ht="14.25" customHeight="1" x14ac:dyDescent="0.3">
      <c r="A118" s="18"/>
      <c r="H118" s="18"/>
      <c r="J118" s="18"/>
      <c r="K118" s="18"/>
    </row>
    <row r="119" spans="1:11" ht="14.25" customHeight="1" x14ac:dyDescent="0.3">
      <c r="A119" s="18"/>
      <c r="H119" s="18"/>
      <c r="J119" s="18"/>
      <c r="K119" s="18"/>
    </row>
    <row r="120" spans="1:11" ht="14.25" customHeight="1" x14ac:dyDescent="0.3">
      <c r="A120" s="18"/>
      <c r="H120" s="18"/>
      <c r="J120" s="18"/>
      <c r="K120" s="18"/>
    </row>
    <row r="121" spans="1:11" ht="14.25" customHeight="1" x14ac:dyDescent="0.3">
      <c r="A121" s="18"/>
      <c r="H121" s="18"/>
      <c r="J121" s="18"/>
      <c r="K121" s="18"/>
    </row>
    <row r="122" spans="1:11" ht="14.25" customHeight="1" x14ac:dyDescent="0.3">
      <c r="A122" s="18"/>
      <c r="H122" s="18"/>
      <c r="J122" s="18"/>
      <c r="K122" s="18"/>
    </row>
    <row r="123" spans="1:11" ht="14.25" customHeight="1" x14ac:dyDescent="0.3">
      <c r="A123" s="18"/>
      <c r="H123" s="18"/>
      <c r="J123" s="18"/>
      <c r="K123" s="18"/>
    </row>
    <row r="124" spans="1:11" ht="14.25" customHeight="1" x14ac:dyDescent="0.3">
      <c r="A124" s="18"/>
      <c r="H124" s="18"/>
      <c r="J124" s="18"/>
      <c r="K124" s="18"/>
    </row>
    <row r="125" spans="1:11" ht="14.25" customHeight="1" x14ac:dyDescent="0.3">
      <c r="A125" s="18"/>
      <c r="H125" s="18"/>
      <c r="J125" s="18"/>
      <c r="K125" s="18"/>
    </row>
    <row r="126" spans="1:11" ht="14.25" customHeight="1" x14ac:dyDescent="0.3">
      <c r="A126" s="18"/>
      <c r="H126" s="18"/>
      <c r="J126" s="18"/>
      <c r="K126" s="18"/>
    </row>
    <row r="127" spans="1:11" ht="14.25" customHeight="1" x14ac:dyDescent="0.3">
      <c r="A127" s="18"/>
      <c r="H127" s="18"/>
      <c r="J127" s="18"/>
      <c r="K127" s="18"/>
    </row>
    <row r="128" spans="1:11" ht="14.25" customHeight="1" x14ac:dyDescent="0.3">
      <c r="A128" s="18"/>
      <c r="H128" s="18"/>
      <c r="J128" s="18"/>
      <c r="K128" s="18"/>
    </row>
    <row r="129" spans="1:11" ht="14.25" customHeight="1" x14ac:dyDescent="0.3">
      <c r="A129" s="18"/>
      <c r="H129" s="18"/>
      <c r="J129" s="18"/>
      <c r="K129" s="18"/>
    </row>
    <row r="130" spans="1:11" ht="14.25" customHeight="1" x14ac:dyDescent="0.3">
      <c r="A130" s="18"/>
      <c r="H130" s="18"/>
      <c r="J130" s="18"/>
      <c r="K130" s="18"/>
    </row>
    <row r="131" spans="1:11" ht="14.25" customHeight="1" x14ac:dyDescent="0.3">
      <c r="A131" s="18"/>
      <c r="H131" s="18"/>
      <c r="J131" s="18"/>
      <c r="K131" s="18"/>
    </row>
    <row r="132" spans="1:11" ht="14.25" customHeight="1" x14ac:dyDescent="0.3">
      <c r="A132" s="18"/>
      <c r="H132" s="18"/>
      <c r="J132" s="18"/>
      <c r="K132" s="18"/>
    </row>
    <row r="133" spans="1:11" ht="14.25" customHeight="1" x14ac:dyDescent="0.3">
      <c r="A133" s="18"/>
      <c r="H133" s="18"/>
      <c r="J133" s="18"/>
      <c r="K133" s="18"/>
    </row>
    <row r="134" spans="1:11" ht="14.25" customHeight="1" x14ac:dyDescent="0.3">
      <c r="A134" s="18"/>
      <c r="H134" s="18"/>
      <c r="J134" s="18"/>
      <c r="K134" s="18"/>
    </row>
    <row r="135" spans="1:11" ht="14.25" customHeight="1" x14ac:dyDescent="0.3">
      <c r="A135" s="18"/>
      <c r="H135" s="18"/>
      <c r="J135" s="18"/>
      <c r="K135" s="18"/>
    </row>
    <row r="136" spans="1:11" ht="14.25" customHeight="1" x14ac:dyDescent="0.3">
      <c r="A136" s="18"/>
      <c r="H136" s="18"/>
      <c r="J136" s="18"/>
      <c r="K136" s="18"/>
    </row>
    <row r="137" spans="1:11" ht="14.25" customHeight="1" x14ac:dyDescent="0.3">
      <c r="A137" s="18"/>
      <c r="H137" s="18"/>
      <c r="J137" s="18"/>
      <c r="K137" s="18"/>
    </row>
    <row r="138" spans="1:11" ht="14.25" customHeight="1" x14ac:dyDescent="0.3">
      <c r="A138" s="18"/>
      <c r="H138" s="18"/>
      <c r="J138" s="18"/>
      <c r="K138" s="18"/>
    </row>
    <row r="139" spans="1:11" ht="14.25" customHeight="1" x14ac:dyDescent="0.3">
      <c r="A139" s="18"/>
      <c r="H139" s="18"/>
      <c r="J139" s="18"/>
      <c r="K139" s="18"/>
    </row>
    <row r="140" spans="1:11" ht="14.25" customHeight="1" x14ac:dyDescent="0.3">
      <c r="A140" s="18"/>
      <c r="H140" s="18"/>
      <c r="J140" s="18"/>
      <c r="K140" s="18"/>
    </row>
    <row r="141" spans="1:11" ht="14.25" customHeight="1" x14ac:dyDescent="0.3">
      <c r="A141" s="18"/>
      <c r="H141" s="18"/>
      <c r="J141" s="18"/>
      <c r="K141" s="18"/>
    </row>
    <row r="142" spans="1:11" ht="14.25" customHeight="1" x14ac:dyDescent="0.3">
      <c r="A142" s="18"/>
      <c r="H142" s="18"/>
      <c r="J142" s="18"/>
      <c r="K142" s="18"/>
    </row>
    <row r="143" spans="1:11" ht="14.25" customHeight="1" x14ac:dyDescent="0.3">
      <c r="A143" s="18"/>
      <c r="H143" s="18"/>
      <c r="J143" s="18"/>
      <c r="K143" s="18"/>
    </row>
    <row r="144" spans="1:11" ht="14.25" customHeight="1" x14ac:dyDescent="0.3">
      <c r="A144" s="18"/>
      <c r="H144" s="18"/>
      <c r="J144" s="18"/>
      <c r="K144" s="18"/>
    </row>
    <row r="145" spans="1:11" ht="14.25" customHeight="1" x14ac:dyDescent="0.3">
      <c r="A145" s="18"/>
      <c r="H145" s="18"/>
      <c r="J145" s="18"/>
      <c r="K145" s="18"/>
    </row>
    <row r="146" spans="1:11" ht="14.25" customHeight="1" x14ac:dyDescent="0.3">
      <c r="A146" s="18"/>
      <c r="H146" s="18"/>
      <c r="J146" s="18"/>
      <c r="K146" s="18"/>
    </row>
    <row r="147" spans="1:11" ht="14.25" customHeight="1" x14ac:dyDescent="0.3">
      <c r="A147" s="18"/>
      <c r="H147" s="18"/>
      <c r="J147" s="18"/>
      <c r="K147" s="18"/>
    </row>
    <row r="148" spans="1:11" ht="14.25" customHeight="1" x14ac:dyDescent="0.3">
      <c r="A148" s="18"/>
      <c r="H148" s="18"/>
      <c r="J148" s="18"/>
      <c r="K148" s="18"/>
    </row>
    <row r="149" spans="1:11" ht="14.25" customHeight="1" x14ac:dyDescent="0.3">
      <c r="A149" s="18"/>
      <c r="H149" s="18"/>
      <c r="J149" s="18"/>
      <c r="K149" s="18"/>
    </row>
    <row r="150" spans="1:11" ht="14.25" customHeight="1" x14ac:dyDescent="0.3">
      <c r="A150" s="18"/>
      <c r="H150" s="18"/>
      <c r="J150" s="18"/>
      <c r="K150" s="18"/>
    </row>
    <row r="151" spans="1:11" ht="14.25" customHeight="1" x14ac:dyDescent="0.3">
      <c r="A151" s="18"/>
      <c r="H151" s="18"/>
      <c r="J151" s="18"/>
      <c r="K151" s="18"/>
    </row>
    <row r="152" spans="1:11" ht="14.25" customHeight="1" x14ac:dyDescent="0.3">
      <c r="A152" s="18"/>
      <c r="H152" s="18"/>
      <c r="J152" s="18"/>
      <c r="K152" s="18"/>
    </row>
    <row r="153" spans="1:11" ht="14.25" customHeight="1" x14ac:dyDescent="0.3">
      <c r="A153" s="18"/>
      <c r="H153" s="18"/>
      <c r="J153" s="18"/>
      <c r="K153" s="18"/>
    </row>
    <row r="154" spans="1:11" ht="14.25" customHeight="1" x14ac:dyDescent="0.3">
      <c r="A154" s="18"/>
      <c r="H154" s="18"/>
      <c r="J154" s="18"/>
      <c r="K154" s="18"/>
    </row>
    <row r="155" spans="1:11" ht="14.25" customHeight="1" x14ac:dyDescent="0.3">
      <c r="A155" s="18"/>
      <c r="H155" s="18"/>
      <c r="J155" s="18"/>
      <c r="K155" s="18"/>
    </row>
    <row r="156" spans="1:11" ht="14.25" customHeight="1" x14ac:dyDescent="0.3">
      <c r="A156" s="18"/>
      <c r="H156" s="18"/>
      <c r="J156" s="18"/>
      <c r="K156" s="18"/>
    </row>
    <row r="157" spans="1:11" ht="14.25" customHeight="1" x14ac:dyDescent="0.3">
      <c r="A157" s="18"/>
      <c r="H157" s="18"/>
      <c r="J157" s="18"/>
      <c r="K157" s="18"/>
    </row>
    <row r="158" spans="1:11" ht="14.25" customHeight="1" x14ac:dyDescent="0.3">
      <c r="A158" s="18"/>
      <c r="H158" s="18"/>
      <c r="J158" s="18"/>
      <c r="K158" s="18"/>
    </row>
    <row r="159" spans="1:11" ht="14.25" customHeight="1" x14ac:dyDescent="0.3">
      <c r="A159" s="18"/>
      <c r="H159" s="18"/>
      <c r="J159" s="18"/>
      <c r="K159" s="18"/>
    </row>
    <row r="160" spans="1:11" ht="14.25" customHeight="1" x14ac:dyDescent="0.3">
      <c r="A160" s="18"/>
      <c r="H160" s="18"/>
      <c r="J160" s="18"/>
      <c r="K160" s="18"/>
    </row>
    <row r="161" spans="1:11" ht="14.25" customHeight="1" x14ac:dyDescent="0.3">
      <c r="A161" s="18"/>
      <c r="H161" s="18"/>
      <c r="J161" s="18"/>
      <c r="K161" s="18"/>
    </row>
    <row r="162" spans="1:11" ht="14.25" customHeight="1" x14ac:dyDescent="0.3">
      <c r="A162" s="18"/>
      <c r="H162" s="18"/>
      <c r="J162" s="18"/>
      <c r="K162" s="18"/>
    </row>
    <row r="163" spans="1:11" ht="14.25" customHeight="1" x14ac:dyDescent="0.3">
      <c r="A163" s="18"/>
      <c r="H163" s="18"/>
      <c r="J163" s="18"/>
      <c r="K163" s="18"/>
    </row>
    <row r="164" spans="1:11" ht="14.25" customHeight="1" x14ac:dyDescent="0.3">
      <c r="A164" s="18"/>
      <c r="H164" s="18"/>
      <c r="J164" s="18"/>
      <c r="K164" s="18"/>
    </row>
    <row r="165" spans="1:11" ht="14.25" customHeight="1" x14ac:dyDescent="0.3">
      <c r="A165" s="18"/>
      <c r="H165" s="18"/>
      <c r="J165" s="18"/>
      <c r="K165" s="18"/>
    </row>
    <row r="166" spans="1:11" ht="14.25" customHeight="1" x14ac:dyDescent="0.3">
      <c r="A166" s="18"/>
      <c r="H166" s="18"/>
      <c r="J166" s="18"/>
      <c r="K166" s="18"/>
    </row>
    <row r="167" spans="1:11" ht="14.25" customHeight="1" x14ac:dyDescent="0.3">
      <c r="A167" s="18"/>
      <c r="H167" s="18"/>
      <c r="J167" s="18"/>
      <c r="K167" s="18"/>
    </row>
    <row r="168" spans="1:11" ht="14.25" customHeight="1" x14ac:dyDescent="0.3">
      <c r="A168" s="18"/>
      <c r="H168" s="18"/>
      <c r="J168" s="18"/>
      <c r="K168" s="18"/>
    </row>
    <row r="169" spans="1:11" ht="14.25" customHeight="1" x14ac:dyDescent="0.3">
      <c r="A169" s="18"/>
      <c r="H169" s="18"/>
      <c r="J169" s="18"/>
      <c r="K169" s="18"/>
    </row>
    <row r="170" spans="1:11" ht="14.25" customHeight="1" x14ac:dyDescent="0.3">
      <c r="A170" s="18"/>
      <c r="H170" s="18"/>
      <c r="J170" s="18"/>
      <c r="K170" s="18"/>
    </row>
    <row r="171" spans="1:11" ht="14.25" customHeight="1" x14ac:dyDescent="0.3">
      <c r="A171" s="18"/>
      <c r="H171" s="18"/>
      <c r="J171" s="18"/>
      <c r="K171" s="18"/>
    </row>
    <row r="172" spans="1:11" ht="14.25" customHeight="1" x14ac:dyDescent="0.3">
      <c r="A172" s="18"/>
      <c r="H172" s="18"/>
      <c r="J172" s="18"/>
      <c r="K172" s="18"/>
    </row>
    <row r="173" spans="1:11" ht="14.25" customHeight="1" x14ac:dyDescent="0.3">
      <c r="A173" s="18"/>
      <c r="H173" s="18"/>
      <c r="J173" s="18"/>
      <c r="K173" s="18"/>
    </row>
    <row r="174" spans="1:11" ht="14.25" customHeight="1" x14ac:dyDescent="0.3">
      <c r="A174" s="18"/>
      <c r="H174" s="18"/>
      <c r="J174" s="18"/>
      <c r="K174" s="18"/>
    </row>
    <row r="175" spans="1:11" ht="14.25" customHeight="1" x14ac:dyDescent="0.3">
      <c r="A175" s="18"/>
      <c r="H175" s="18"/>
      <c r="J175" s="18"/>
      <c r="K175" s="18"/>
    </row>
    <row r="176" spans="1:11" ht="14.25" customHeight="1" x14ac:dyDescent="0.3">
      <c r="A176" s="18"/>
      <c r="H176" s="18"/>
      <c r="J176" s="18"/>
      <c r="K176" s="18"/>
    </row>
    <row r="177" spans="1:11" ht="14.25" customHeight="1" x14ac:dyDescent="0.3">
      <c r="A177" s="18"/>
      <c r="H177" s="18"/>
      <c r="J177" s="18"/>
      <c r="K177" s="18"/>
    </row>
    <row r="178" spans="1:11" ht="14.25" customHeight="1" x14ac:dyDescent="0.3">
      <c r="A178" s="18"/>
      <c r="H178" s="18"/>
      <c r="J178" s="18"/>
      <c r="K178" s="18"/>
    </row>
    <row r="179" spans="1:11" ht="14.25" customHeight="1" x14ac:dyDescent="0.3">
      <c r="A179" s="18"/>
      <c r="H179" s="18"/>
      <c r="J179" s="18"/>
      <c r="K179" s="18"/>
    </row>
    <row r="180" spans="1:11" ht="14.25" customHeight="1" x14ac:dyDescent="0.3">
      <c r="A180" s="18"/>
      <c r="H180" s="18"/>
      <c r="J180" s="18"/>
      <c r="K180" s="18"/>
    </row>
    <row r="181" spans="1:11" ht="14.25" customHeight="1" x14ac:dyDescent="0.3">
      <c r="A181" s="18"/>
      <c r="H181" s="18"/>
      <c r="J181" s="18"/>
      <c r="K181" s="18"/>
    </row>
    <row r="182" spans="1:11" ht="14.25" customHeight="1" x14ac:dyDescent="0.3">
      <c r="A182" s="18"/>
      <c r="H182" s="18"/>
      <c r="J182" s="18"/>
      <c r="K182" s="18"/>
    </row>
    <row r="183" spans="1:11" ht="14.25" customHeight="1" x14ac:dyDescent="0.3">
      <c r="A183" s="18"/>
      <c r="H183" s="18"/>
      <c r="J183" s="18"/>
      <c r="K183" s="18"/>
    </row>
    <row r="184" spans="1:11" ht="14.25" customHeight="1" x14ac:dyDescent="0.3">
      <c r="A184" s="18"/>
      <c r="H184" s="18"/>
      <c r="J184" s="18"/>
      <c r="K184" s="18"/>
    </row>
    <row r="185" spans="1:11" ht="14.25" customHeight="1" x14ac:dyDescent="0.3">
      <c r="A185" s="18"/>
      <c r="H185" s="18"/>
      <c r="J185" s="18"/>
      <c r="K185" s="18"/>
    </row>
    <row r="186" spans="1:11" ht="14.25" customHeight="1" x14ac:dyDescent="0.3">
      <c r="A186" s="18"/>
      <c r="H186" s="18"/>
      <c r="J186" s="18"/>
      <c r="K186" s="18"/>
    </row>
    <row r="187" spans="1:11" ht="14.25" customHeight="1" x14ac:dyDescent="0.3">
      <c r="A187" s="18"/>
      <c r="H187" s="18"/>
      <c r="J187" s="18"/>
      <c r="K187" s="18"/>
    </row>
    <row r="188" spans="1:11" ht="14.25" customHeight="1" x14ac:dyDescent="0.3">
      <c r="A188" s="18"/>
      <c r="H188" s="18"/>
      <c r="J188" s="18"/>
      <c r="K188" s="18"/>
    </row>
    <row r="189" spans="1:11" ht="14.25" customHeight="1" x14ac:dyDescent="0.3">
      <c r="A189" s="18"/>
      <c r="H189" s="18"/>
      <c r="J189" s="18"/>
      <c r="K189" s="18"/>
    </row>
    <row r="190" spans="1:11" ht="14.25" customHeight="1" x14ac:dyDescent="0.3">
      <c r="A190" s="18"/>
      <c r="H190" s="18"/>
      <c r="J190" s="18"/>
      <c r="K190" s="18"/>
    </row>
    <row r="191" spans="1:11" ht="14.25" customHeight="1" x14ac:dyDescent="0.3">
      <c r="A191" s="18"/>
      <c r="H191" s="18"/>
      <c r="J191" s="18"/>
      <c r="K191" s="18"/>
    </row>
    <row r="192" spans="1:11" ht="14.25" customHeight="1" x14ac:dyDescent="0.3">
      <c r="A192" s="18"/>
      <c r="H192" s="18"/>
      <c r="J192" s="18"/>
      <c r="K192" s="18"/>
    </row>
    <row r="193" spans="1:11" ht="14.25" customHeight="1" x14ac:dyDescent="0.3">
      <c r="A193" s="18"/>
      <c r="H193" s="18"/>
      <c r="J193" s="18"/>
      <c r="K193" s="18"/>
    </row>
    <row r="194" spans="1:11" ht="14.25" customHeight="1" x14ac:dyDescent="0.3">
      <c r="A194" s="18"/>
      <c r="H194" s="18"/>
      <c r="J194" s="18"/>
      <c r="K194" s="18"/>
    </row>
    <row r="195" spans="1:11" ht="14.25" customHeight="1" x14ac:dyDescent="0.3">
      <c r="A195" s="18"/>
      <c r="H195" s="18"/>
      <c r="J195" s="18"/>
      <c r="K195" s="18"/>
    </row>
    <row r="196" spans="1:11" ht="14.25" customHeight="1" x14ac:dyDescent="0.3">
      <c r="A196" s="18"/>
      <c r="H196" s="18"/>
      <c r="J196" s="18"/>
      <c r="K196" s="18"/>
    </row>
    <row r="197" spans="1:11" ht="14.25" customHeight="1" x14ac:dyDescent="0.3">
      <c r="A197" s="18"/>
      <c r="H197" s="18"/>
      <c r="J197" s="18"/>
      <c r="K197" s="18"/>
    </row>
    <row r="198" spans="1:11" ht="14.25" customHeight="1" x14ac:dyDescent="0.3">
      <c r="A198" s="18"/>
      <c r="H198" s="18"/>
      <c r="J198" s="18"/>
      <c r="K198" s="18"/>
    </row>
    <row r="199" spans="1:11" ht="14.25" customHeight="1" x14ac:dyDescent="0.3">
      <c r="A199" s="18"/>
      <c r="H199" s="18"/>
      <c r="J199" s="18"/>
      <c r="K199" s="18"/>
    </row>
    <row r="200" spans="1:11" ht="14.25" customHeight="1" x14ac:dyDescent="0.3">
      <c r="A200" s="18"/>
      <c r="H200" s="18"/>
      <c r="J200" s="18"/>
      <c r="K200" s="18"/>
    </row>
    <row r="201" spans="1:11" ht="14.25" customHeight="1" x14ac:dyDescent="0.3">
      <c r="A201" s="18"/>
      <c r="H201" s="18"/>
      <c r="J201" s="18"/>
      <c r="K201" s="18"/>
    </row>
    <row r="202" spans="1:11" ht="14.25" customHeight="1" x14ac:dyDescent="0.3">
      <c r="A202" s="18"/>
      <c r="H202" s="18"/>
      <c r="J202" s="18"/>
      <c r="K202" s="18"/>
    </row>
    <row r="203" spans="1:11" ht="14.25" customHeight="1" x14ac:dyDescent="0.3">
      <c r="A203" s="18"/>
      <c r="H203" s="18"/>
      <c r="J203" s="18"/>
      <c r="K203" s="18"/>
    </row>
    <row r="204" spans="1:11" ht="14.25" customHeight="1" x14ac:dyDescent="0.3">
      <c r="A204" s="18"/>
      <c r="H204" s="18"/>
      <c r="J204" s="18"/>
      <c r="K204" s="18"/>
    </row>
    <row r="205" spans="1:11" ht="14.25" customHeight="1" x14ac:dyDescent="0.3">
      <c r="A205" s="18"/>
      <c r="H205" s="18"/>
      <c r="J205" s="18"/>
      <c r="K205" s="18"/>
    </row>
    <row r="206" spans="1:11" ht="14.25" customHeight="1" x14ac:dyDescent="0.3">
      <c r="A206" s="18"/>
      <c r="H206" s="18"/>
      <c r="J206" s="18"/>
      <c r="K206" s="18"/>
    </row>
    <row r="207" spans="1:11" ht="14.25" customHeight="1" x14ac:dyDescent="0.3">
      <c r="A207" s="18"/>
      <c r="H207" s="18"/>
      <c r="J207" s="18"/>
      <c r="K207" s="18"/>
    </row>
    <row r="208" spans="1:11" ht="14.25" customHeight="1" x14ac:dyDescent="0.3">
      <c r="A208" s="18"/>
      <c r="H208" s="18"/>
      <c r="J208" s="18"/>
      <c r="K208" s="18"/>
    </row>
    <row r="209" spans="1:11" ht="14.25" customHeight="1" x14ac:dyDescent="0.3">
      <c r="A209" s="18"/>
      <c r="H209" s="18"/>
      <c r="J209" s="18"/>
      <c r="K209" s="18"/>
    </row>
    <row r="210" spans="1:11" ht="14.25" customHeight="1" x14ac:dyDescent="0.3">
      <c r="A210" s="18"/>
      <c r="H210" s="18"/>
      <c r="J210" s="18"/>
      <c r="K210" s="18"/>
    </row>
    <row r="211" spans="1:11" ht="14.25" customHeight="1" x14ac:dyDescent="0.3">
      <c r="A211" s="18"/>
      <c r="H211" s="18"/>
      <c r="J211" s="18"/>
      <c r="K211" s="18"/>
    </row>
    <row r="212" spans="1:11" ht="14.25" customHeight="1" x14ac:dyDescent="0.3">
      <c r="A212" s="18"/>
      <c r="H212" s="18"/>
      <c r="J212" s="18"/>
      <c r="K212" s="18"/>
    </row>
    <row r="213" spans="1:11" ht="14.25" customHeight="1" x14ac:dyDescent="0.3">
      <c r="A213" s="18"/>
      <c r="H213" s="18"/>
      <c r="J213" s="18"/>
      <c r="K213" s="18"/>
    </row>
    <row r="214" spans="1:11" ht="14.25" customHeight="1" x14ac:dyDescent="0.3">
      <c r="A214" s="18"/>
      <c r="H214" s="18"/>
      <c r="J214" s="18"/>
      <c r="K214" s="18"/>
    </row>
    <row r="215" spans="1:11" ht="14.25" customHeight="1" x14ac:dyDescent="0.3">
      <c r="A215" s="18"/>
      <c r="H215" s="18"/>
      <c r="J215" s="18"/>
      <c r="K215" s="18"/>
    </row>
    <row r="216" spans="1:11" ht="14.25" customHeight="1" x14ac:dyDescent="0.3">
      <c r="A216" s="18"/>
      <c r="H216" s="18"/>
      <c r="J216" s="18"/>
      <c r="K216" s="18"/>
    </row>
    <row r="217" spans="1:11" ht="14.25" customHeight="1" x14ac:dyDescent="0.3">
      <c r="A217" s="18"/>
      <c r="H217" s="18"/>
      <c r="J217" s="18"/>
      <c r="K217" s="18"/>
    </row>
    <row r="218" spans="1:11" ht="14.25" customHeight="1" x14ac:dyDescent="0.3">
      <c r="A218" s="18"/>
      <c r="H218" s="18"/>
      <c r="J218" s="18"/>
      <c r="K218" s="18"/>
    </row>
    <row r="219" spans="1:11" ht="14.25" customHeight="1" x14ac:dyDescent="0.3">
      <c r="A219" s="18"/>
      <c r="H219" s="18"/>
      <c r="J219" s="18"/>
      <c r="K219" s="18"/>
    </row>
    <row r="220" spans="1:11" ht="14.25" customHeight="1" x14ac:dyDescent="0.3">
      <c r="A220" s="18"/>
      <c r="H220" s="18"/>
      <c r="J220" s="18"/>
      <c r="K220" s="18"/>
    </row>
    <row r="221" spans="1:11" ht="14.25" customHeight="1" x14ac:dyDescent="0.3">
      <c r="A221" s="18"/>
      <c r="H221" s="18"/>
      <c r="J221" s="18"/>
      <c r="K221" s="18"/>
    </row>
    <row r="222" spans="1:11" ht="14.25" customHeight="1" x14ac:dyDescent="0.3">
      <c r="A222" s="18"/>
      <c r="H222" s="18"/>
      <c r="J222" s="18"/>
      <c r="K222" s="18"/>
    </row>
    <row r="223" spans="1:11" ht="14.25" customHeight="1" x14ac:dyDescent="0.3">
      <c r="A223" s="18"/>
      <c r="H223" s="18"/>
      <c r="J223" s="18"/>
      <c r="K223" s="18"/>
    </row>
    <row r="224" spans="1:11" ht="14.25" customHeight="1" x14ac:dyDescent="0.3">
      <c r="A224" s="18"/>
      <c r="H224" s="18"/>
      <c r="J224" s="18"/>
      <c r="K224" s="18"/>
    </row>
    <row r="225" spans="1:11" ht="14.25" customHeight="1" x14ac:dyDescent="0.3">
      <c r="A225" s="18"/>
      <c r="H225" s="18"/>
      <c r="J225" s="18"/>
      <c r="K225" s="18"/>
    </row>
    <row r="226" spans="1:11" ht="14.25" customHeight="1" x14ac:dyDescent="0.3">
      <c r="A226" s="18"/>
      <c r="H226" s="18"/>
      <c r="J226" s="18"/>
      <c r="K226" s="18"/>
    </row>
    <row r="227" spans="1:11" ht="14.25" customHeight="1" x14ac:dyDescent="0.3">
      <c r="A227" s="18"/>
      <c r="H227" s="18"/>
      <c r="J227" s="18"/>
      <c r="K227" s="18"/>
    </row>
    <row r="228" spans="1:11" ht="14.25" customHeight="1" x14ac:dyDescent="0.3">
      <c r="A228" s="18"/>
      <c r="H228" s="18"/>
      <c r="J228" s="18"/>
      <c r="K228" s="18"/>
    </row>
    <row r="229" spans="1:11" ht="14.25" customHeight="1" x14ac:dyDescent="0.3">
      <c r="A229" s="18"/>
      <c r="H229" s="18"/>
      <c r="J229" s="18"/>
      <c r="K229" s="18"/>
    </row>
    <row r="230" spans="1:11" ht="14.25" customHeight="1" x14ac:dyDescent="0.3">
      <c r="A230" s="18"/>
      <c r="H230" s="18"/>
      <c r="J230" s="18"/>
      <c r="K230" s="18"/>
    </row>
    <row r="231" spans="1:11" ht="14.25" customHeight="1" x14ac:dyDescent="0.3">
      <c r="A231" s="18"/>
      <c r="H231" s="18"/>
      <c r="J231" s="18"/>
      <c r="K231" s="18"/>
    </row>
    <row r="232" spans="1:11" ht="14.25" customHeight="1" x14ac:dyDescent="0.3">
      <c r="A232" s="18"/>
      <c r="H232" s="18"/>
      <c r="J232" s="18"/>
      <c r="K232" s="18"/>
    </row>
    <row r="233" spans="1:11" ht="14.25" customHeight="1" x14ac:dyDescent="0.3">
      <c r="A233" s="18"/>
      <c r="H233" s="18"/>
      <c r="J233" s="18"/>
      <c r="K233" s="18"/>
    </row>
    <row r="234" spans="1:11" ht="14.25" customHeight="1" x14ac:dyDescent="0.3">
      <c r="A234" s="18"/>
      <c r="H234" s="18"/>
      <c r="J234" s="18"/>
      <c r="K234" s="18"/>
    </row>
    <row r="235" spans="1:11" ht="14.25" customHeight="1" x14ac:dyDescent="0.3">
      <c r="A235" s="18"/>
      <c r="H235" s="18"/>
      <c r="J235" s="18"/>
      <c r="K235" s="18"/>
    </row>
    <row r="236" spans="1:11" ht="14.25" customHeight="1" x14ac:dyDescent="0.3">
      <c r="A236" s="18"/>
      <c r="H236" s="18"/>
      <c r="J236" s="18"/>
      <c r="K236" s="18"/>
    </row>
    <row r="237" spans="1:11" ht="14.25" customHeight="1" x14ac:dyDescent="0.3">
      <c r="A237" s="18"/>
      <c r="H237" s="18"/>
      <c r="J237" s="18"/>
      <c r="K237" s="18"/>
    </row>
    <row r="238" spans="1:11" ht="14.25" customHeight="1" x14ac:dyDescent="0.3">
      <c r="A238" s="18"/>
      <c r="H238" s="18"/>
      <c r="J238" s="18"/>
      <c r="K238" s="18"/>
    </row>
    <row r="239" spans="1:11" ht="14.25" customHeight="1" x14ac:dyDescent="0.3">
      <c r="A239" s="18"/>
      <c r="H239" s="18"/>
      <c r="J239" s="18"/>
      <c r="K239" s="18"/>
    </row>
    <row r="240" spans="1:11" ht="14.25" customHeight="1" x14ac:dyDescent="0.3">
      <c r="A240" s="18"/>
      <c r="H240" s="18"/>
      <c r="J240" s="18"/>
      <c r="K240" s="18"/>
    </row>
    <row r="241" spans="1:11" ht="14.25" customHeight="1" x14ac:dyDescent="0.3">
      <c r="A241" s="18"/>
      <c r="H241" s="18"/>
      <c r="J241" s="18"/>
      <c r="K241" s="18"/>
    </row>
    <row r="242" spans="1:11" ht="14.25" customHeight="1" x14ac:dyDescent="0.3">
      <c r="A242" s="18"/>
      <c r="H242" s="18"/>
      <c r="J242" s="18"/>
      <c r="K242" s="18"/>
    </row>
    <row r="243" spans="1:11" ht="14.25" customHeight="1" x14ac:dyDescent="0.3">
      <c r="A243" s="18"/>
      <c r="H243" s="18"/>
      <c r="J243" s="18"/>
      <c r="K243" s="18"/>
    </row>
    <row r="244" spans="1:11" ht="14.25" customHeight="1" x14ac:dyDescent="0.3">
      <c r="A244" s="18"/>
      <c r="H244" s="18"/>
      <c r="J244" s="18"/>
      <c r="K244" s="18"/>
    </row>
    <row r="245" spans="1:11" ht="14.25" customHeight="1" x14ac:dyDescent="0.3">
      <c r="A245" s="18"/>
      <c r="H245" s="18"/>
      <c r="J245" s="18"/>
      <c r="K245" s="18"/>
    </row>
    <row r="246" spans="1:11" ht="14.25" customHeight="1" x14ac:dyDescent="0.3">
      <c r="A246" s="18"/>
      <c r="H246" s="18"/>
      <c r="J246" s="18"/>
      <c r="K246" s="18"/>
    </row>
    <row r="247" spans="1:11" ht="14.25" customHeight="1" x14ac:dyDescent="0.3">
      <c r="A247" s="18"/>
      <c r="H247" s="18"/>
      <c r="J247" s="18"/>
      <c r="K247" s="18"/>
    </row>
    <row r="248" spans="1:11" ht="14.25" customHeight="1" x14ac:dyDescent="0.3">
      <c r="A248" s="18"/>
      <c r="H248" s="18"/>
      <c r="J248" s="18"/>
      <c r="K248" s="18"/>
    </row>
    <row r="249" spans="1:11" ht="14.25" customHeight="1" x14ac:dyDescent="0.3">
      <c r="A249" s="18"/>
      <c r="H249" s="18"/>
      <c r="J249" s="18"/>
      <c r="K249" s="18"/>
    </row>
    <row r="250" spans="1:11" ht="14.25" customHeight="1" x14ac:dyDescent="0.3">
      <c r="A250" s="18"/>
      <c r="H250" s="18"/>
      <c r="J250" s="18"/>
      <c r="K250" s="18"/>
    </row>
    <row r="251" spans="1:11" ht="14.25" customHeight="1" x14ac:dyDescent="0.3">
      <c r="A251" s="18"/>
      <c r="H251" s="18"/>
      <c r="J251" s="18"/>
      <c r="K251" s="18"/>
    </row>
    <row r="252" spans="1:11" ht="14.25" customHeight="1" x14ac:dyDescent="0.3">
      <c r="A252" s="18"/>
      <c r="H252" s="18"/>
      <c r="J252" s="18"/>
      <c r="K252" s="18"/>
    </row>
    <row r="253" spans="1:11" ht="14.25" customHeight="1" x14ac:dyDescent="0.3">
      <c r="A253" s="18"/>
      <c r="H253" s="18"/>
      <c r="J253" s="18"/>
      <c r="K253" s="18"/>
    </row>
    <row r="254" spans="1:11" ht="14.25" customHeight="1" x14ac:dyDescent="0.3">
      <c r="A254" s="18"/>
      <c r="H254" s="18"/>
      <c r="J254" s="18"/>
      <c r="K254" s="18"/>
    </row>
    <row r="255" spans="1:11" ht="14.25" customHeight="1" x14ac:dyDescent="0.3">
      <c r="A255" s="18"/>
      <c r="H255" s="18"/>
      <c r="J255" s="18"/>
      <c r="K255" s="18"/>
    </row>
    <row r="256" spans="1:11" ht="14.25" customHeight="1" x14ac:dyDescent="0.3">
      <c r="A256" s="18"/>
      <c r="H256" s="18"/>
      <c r="J256" s="18"/>
      <c r="K256" s="18"/>
    </row>
    <row r="257" spans="1:11" ht="14.25" customHeight="1" x14ac:dyDescent="0.3">
      <c r="A257" s="18"/>
      <c r="H257" s="18"/>
      <c r="J257" s="18"/>
      <c r="K257" s="18"/>
    </row>
    <row r="258" spans="1:11" ht="14.25" customHeight="1" x14ac:dyDescent="0.3">
      <c r="A258" s="18"/>
      <c r="H258" s="18"/>
      <c r="J258" s="18"/>
      <c r="K258" s="18"/>
    </row>
    <row r="259" spans="1:11" ht="14.25" customHeight="1" x14ac:dyDescent="0.3">
      <c r="A259" s="18"/>
      <c r="H259" s="18"/>
      <c r="J259" s="18"/>
      <c r="K259" s="18"/>
    </row>
    <row r="260" spans="1:11" ht="14.25" customHeight="1" x14ac:dyDescent="0.3">
      <c r="A260" s="18"/>
      <c r="H260" s="18"/>
      <c r="J260" s="18"/>
      <c r="K260" s="18"/>
    </row>
    <row r="261" spans="1:11" ht="14.25" customHeight="1" x14ac:dyDescent="0.3">
      <c r="A261" s="18"/>
      <c r="H261" s="18"/>
      <c r="J261" s="18"/>
      <c r="K261" s="18"/>
    </row>
    <row r="262" spans="1:11" ht="14.25" customHeight="1" x14ac:dyDescent="0.3">
      <c r="A262" s="18"/>
      <c r="H262" s="18"/>
      <c r="J262" s="18"/>
      <c r="K262" s="18"/>
    </row>
    <row r="263" spans="1:11" ht="14.25" customHeight="1" x14ac:dyDescent="0.3">
      <c r="A263" s="18"/>
      <c r="H263" s="18"/>
      <c r="J263" s="18"/>
      <c r="K263" s="18"/>
    </row>
    <row r="264" spans="1:11" ht="14.25" customHeight="1" x14ac:dyDescent="0.3">
      <c r="A264" s="18"/>
      <c r="H264" s="18"/>
      <c r="J264" s="18"/>
      <c r="K264" s="18"/>
    </row>
    <row r="265" spans="1:11" ht="14.25" customHeight="1" x14ac:dyDescent="0.3">
      <c r="A265" s="18"/>
      <c r="H265" s="18"/>
      <c r="J265" s="18"/>
      <c r="K265" s="18"/>
    </row>
    <row r="266" spans="1:11" ht="14.25" customHeight="1" x14ac:dyDescent="0.3">
      <c r="A266" s="18"/>
      <c r="H266" s="18"/>
      <c r="J266" s="18"/>
      <c r="K266" s="18"/>
    </row>
    <row r="267" spans="1:11" ht="14.25" customHeight="1" x14ac:dyDescent="0.3">
      <c r="A267" s="18"/>
      <c r="H267" s="18"/>
      <c r="J267" s="18"/>
      <c r="K267" s="18"/>
    </row>
    <row r="268" spans="1:11" ht="14.25" customHeight="1" x14ac:dyDescent="0.3">
      <c r="A268" s="18"/>
      <c r="H268" s="18"/>
      <c r="J268" s="18"/>
      <c r="K268" s="18"/>
    </row>
    <row r="269" spans="1:11" ht="14.25" customHeight="1" x14ac:dyDescent="0.3">
      <c r="A269" s="18"/>
      <c r="H269" s="18"/>
      <c r="J269" s="18"/>
      <c r="K269" s="18"/>
    </row>
    <row r="270" spans="1:11" ht="14.25" customHeight="1" x14ac:dyDescent="0.3">
      <c r="A270" s="18"/>
      <c r="H270" s="18"/>
      <c r="J270" s="18"/>
      <c r="K270" s="18"/>
    </row>
    <row r="271" spans="1:11" ht="14.25" customHeight="1" x14ac:dyDescent="0.3">
      <c r="A271" s="18"/>
      <c r="H271" s="18"/>
      <c r="J271" s="18"/>
      <c r="K271" s="18"/>
    </row>
    <row r="272" spans="1:11" ht="14.25" customHeight="1" x14ac:dyDescent="0.3">
      <c r="A272" s="18"/>
      <c r="H272" s="18"/>
      <c r="J272" s="18"/>
      <c r="K272" s="18"/>
    </row>
    <row r="273" spans="1:11" ht="14.25" customHeight="1" x14ac:dyDescent="0.3">
      <c r="A273" s="18"/>
      <c r="H273" s="18"/>
      <c r="J273" s="18"/>
      <c r="K273" s="18"/>
    </row>
    <row r="274" spans="1:11" ht="14.25" customHeight="1" x14ac:dyDescent="0.3">
      <c r="A274" s="18"/>
      <c r="H274" s="18"/>
      <c r="J274" s="18"/>
      <c r="K274" s="18"/>
    </row>
    <row r="275" spans="1:11" ht="14.25" customHeight="1" x14ac:dyDescent="0.3">
      <c r="A275" s="18"/>
      <c r="H275" s="18"/>
      <c r="J275" s="18"/>
      <c r="K275" s="18"/>
    </row>
    <row r="276" spans="1:11" ht="14.25" customHeight="1" x14ac:dyDescent="0.3">
      <c r="A276" s="18"/>
      <c r="H276" s="18"/>
      <c r="J276" s="18"/>
      <c r="K276" s="18"/>
    </row>
    <row r="277" spans="1:11" ht="14.25" customHeight="1" x14ac:dyDescent="0.3">
      <c r="A277" s="18"/>
      <c r="H277" s="18"/>
      <c r="J277" s="18"/>
      <c r="K277" s="18"/>
    </row>
    <row r="278" spans="1:11" ht="14.25" customHeight="1" x14ac:dyDescent="0.3">
      <c r="A278" s="18"/>
      <c r="H278" s="18"/>
      <c r="J278" s="18"/>
      <c r="K278" s="18"/>
    </row>
    <row r="279" spans="1:11" ht="14.25" customHeight="1" x14ac:dyDescent="0.3">
      <c r="A279" s="18"/>
      <c r="H279" s="18"/>
      <c r="J279" s="18"/>
      <c r="K279" s="18"/>
    </row>
    <row r="280" spans="1:11" ht="14.25" customHeight="1" x14ac:dyDescent="0.3">
      <c r="A280" s="18"/>
      <c r="H280" s="18"/>
      <c r="J280" s="18"/>
      <c r="K280" s="18"/>
    </row>
    <row r="281" spans="1:11" ht="14.25" customHeight="1" x14ac:dyDescent="0.3">
      <c r="A281" s="18"/>
      <c r="H281" s="18"/>
      <c r="J281" s="18"/>
      <c r="K281" s="18"/>
    </row>
    <row r="282" spans="1:11" ht="14.25" customHeight="1" x14ac:dyDescent="0.3">
      <c r="A282" s="18"/>
      <c r="H282" s="18"/>
      <c r="J282" s="18"/>
      <c r="K282" s="18"/>
    </row>
    <row r="283" spans="1:11" ht="14.25" customHeight="1" x14ac:dyDescent="0.3">
      <c r="A283" s="18"/>
      <c r="H283" s="18"/>
      <c r="J283" s="18"/>
      <c r="K283" s="18"/>
    </row>
    <row r="284" spans="1:11" ht="14.25" customHeight="1" x14ac:dyDescent="0.3">
      <c r="A284" s="18"/>
      <c r="H284" s="18"/>
      <c r="J284" s="18"/>
      <c r="K284" s="18"/>
    </row>
    <row r="285" spans="1:11" ht="14.25" customHeight="1" x14ac:dyDescent="0.3">
      <c r="A285" s="18"/>
      <c r="H285" s="18"/>
      <c r="J285" s="18"/>
      <c r="K285" s="18"/>
    </row>
    <row r="286" spans="1:11" ht="14.25" customHeight="1" x14ac:dyDescent="0.3">
      <c r="A286" s="18"/>
      <c r="H286" s="18"/>
      <c r="J286" s="18"/>
      <c r="K286" s="18"/>
    </row>
    <row r="287" spans="1:11" ht="14.25" customHeight="1" x14ac:dyDescent="0.3">
      <c r="A287" s="18"/>
      <c r="H287" s="18"/>
      <c r="J287" s="18"/>
      <c r="K287" s="18"/>
    </row>
    <row r="288" spans="1:11" ht="14.25" customHeight="1" x14ac:dyDescent="0.3">
      <c r="A288" s="18"/>
      <c r="H288" s="18"/>
      <c r="J288" s="18"/>
      <c r="K288" s="18"/>
    </row>
    <row r="289" spans="1:11" ht="14.25" customHeight="1" x14ac:dyDescent="0.3">
      <c r="A289" s="18"/>
      <c r="H289" s="18"/>
      <c r="J289" s="18"/>
      <c r="K289" s="18"/>
    </row>
    <row r="290" spans="1:11" ht="14.25" customHeight="1" x14ac:dyDescent="0.3">
      <c r="A290" s="18"/>
      <c r="H290" s="18"/>
      <c r="J290" s="18"/>
      <c r="K290" s="18"/>
    </row>
    <row r="291" spans="1:11" ht="14.25" customHeight="1" x14ac:dyDescent="0.3">
      <c r="A291" s="18"/>
      <c r="H291" s="18"/>
      <c r="J291" s="18"/>
      <c r="K291" s="18"/>
    </row>
    <row r="292" spans="1:11" ht="14.25" customHeight="1" x14ac:dyDescent="0.3">
      <c r="A292" s="18"/>
      <c r="H292" s="18"/>
      <c r="J292" s="18"/>
      <c r="K292" s="18"/>
    </row>
    <row r="293" spans="1:11" ht="14.25" customHeight="1" x14ac:dyDescent="0.3">
      <c r="A293" s="18"/>
      <c r="H293" s="18"/>
      <c r="J293" s="18"/>
      <c r="K293" s="18"/>
    </row>
    <row r="294" spans="1:11" ht="14.25" customHeight="1" x14ac:dyDescent="0.3">
      <c r="A294" s="18"/>
      <c r="H294" s="18"/>
      <c r="J294" s="18"/>
      <c r="K294" s="18"/>
    </row>
    <row r="295" spans="1:11" ht="14.25" customHeight="1" x14ac:dyDescent="0.3">
      <c r="A295" s="18"/>
      <c r="H295" s="18"/>
      <c r="J295" s="18"/>
      <c r="K295" s="18"/>
    </row>
    <row r="296" spans="1:11" ht="14.25" customHeight="1" x14ac:dyDescent="0.3">
      <c r="A296" s="18"/>
      <c r="H296" s="18"/>
      <c r="J296" s="18"/>
      <c r="K296" s="18"/>
    </row>
    <row r="297" spans="1:11" ht="14.25" customHeight="1" x14ac:dyDescent="0.3">
      <c r="A297" s="18"/>
      <c r="H297" s="18"/>
      <c r="J297" s="18"/>
      <c r="K297" s="18"/>
    </row>
    <row r="298" spans="1:11" ht="14.25" customHeight="1" x14ac:dyDescent="0.3">
      <c r="A298" s="18"/>
      <c r="H298" s="18"/>
      <c r="J298" s="18"/>
      <c r="K298" s="18"/>
    </row>
    <row r="299" spans="1:11" ht="14.25" customHeight="1" x14ac:dyDescent="0.3">
      <c r="A299" s="18"/>
      <c r="H299" s="18"/>
      <c r="J299" s="18"/>
      <c r="K299" s="18"/>
    </row>
    <row r="300" spans="1:11" ht="14.25" customHeight="1" x14ac:dyDescent="0.3">
      <c r="A300" s="18"/>
      <c r="H300" s="18"/>
      <c r="J300" s="18"/>
      <c r="K300" s="18"/>
    </row>
    <row r="301" spans="1:11" ht="14.25" customHeight="1" x14ac:dyDescent="0.3">
      <c r="A301" s="18"/>
      <c r="H301" s="18"/>
      <c r="J301" s="18"/>
      <c r="K301" s="18"/>
    </row>
    <row r="302" spans="1:11" ht="14.25" customHeight="1" x14ac:dyDescent="0.3">
      <c r="A302" s="18"/>
      <c r="H302" s="18"/>
      <c r="J302" s="18"/>
      <c r="K302" s="18"/>
    </row>
    <row r="303" spans="1:11" ht="14.25" customHeight="1" x14ac:dyDescent="0.3">
      <c r="A303" s="18"/>
      <c r="H303" s="18"/>
      <c r="J303" s="18"/>
      <c r="K303" s="18"/>
    </row>
    <row r="304" spans="1:11" ht="14.25" customHeight="1" x14ac:dyDescent="0.3">
      <c r="A304" s="18"/>
      <c r="H304" s="18"/>
      <c r="J304" s="18"/>
      <c r="K304" s="18"/>
    </row>
    <row r="305" spans="1:11" ht="14.25" customHeight="1" x14ac:dyDescent="0.3">
      <c r="A305" s="18"/>
      <c r="H305" s="18"/>
      <c r="J305" s="18"/>
      <c r="K305" s="18"/>
    </row>
    <row r="306" spans="1:11" ht="14.25" customHeight="1" x14ac:dyDescent="0.3">
      <c r="A306" s="18"/>
      <c r="H306" s="18"/>
      <c r="J306" s="18"/>
      <c r="K306" s="18"/>
    </row>
    <row r="307" spans="1:11" ht="14.25" customHeight="1" x14ac:dyDescent="0.3">
      <c r="A307" s="18"/>
      <c r="H307" s="18"/>
      <c r="J307" s="18"/>
      <c r="K307" s="18"/>
    </row>
    <row r="308" spans="1:11" ht="14.25" customHeight="1" x14ac:dyDescent="0.3">
      <c r="A308" s="18"/>
      <c r="H308" s="18"/>
      <c r="J308" s="18"/>
      <c r="K308" s="18"/>
    </row>
    <row r="309" spans="1:11" ht="14.25" customHeight="1" x14ac:dyDescent="0.3">
      <c r="A309" s="18"/>
      <c r="H309" s="18"/>
      <c r="J309" s="18"/>
      <c r="K309" s="18"/>
    </row>
    <row r="310" spans="1:11" ht="14.25" customHeight="1" x14ac:dyDescent="0.3">
      <c r="A310" s="18"/>
      <c r="H310" s="18"/>
      <c r="J310" s="18"/>
      <c r="K310" s="18"/>
    </row>
    <row r="311" spans="1:11" ht="14.25" customHeight="1" x14ac:dyDescent="0.3">
      <c r="A311" s="18"/>
      <c r="H311" s="18"/>
      <c r="J311" s="18"/>
      <c r="K311" s="18"/>
    </row>
    <row r="312" spans="1:11" ht="14.25" customHeight="1" x14ac:dyDescent="0.3">
      <c r="A312" s="18"/>
      <c r="H312" s="18"/>
      <c r="J312" s="18"/>
      <c r="K312" s="18"/>
    </row>
    <row r="313" spans="1:11" ht="14.25" customHeight="1" x14ac:dyDescent="0.3">
      <c r="A313" s="18"/>
      <c r="H313" s="18"/>
      <c r="J313" s="18"/>
      <c r="K313" s="18"/>
    </row>
    <row r="314" spans="1:11" ht="14.25" customHeight="1" x14ac:dyDescent="0.3">
      <c r="A314" s="18"/>
      <c r="H314" s="18"/>
      <c r="J314" s="18"/>
      <c r="K314" s="18"/>
    </row>
    <row r="315" spans="1:11" ht="14.25" customHeight="1" x14ac:dyDescent="0.3">
      <c r="A315" s="18"/>
      <c r="H315" s="18"/>
      <c r="J315" s="18"/>
      <c r="K315" s="18"/>
    </row>
    <row r="316" spans="1:11" ht="14.25" customHeight="1" x14ac:dyDescent="0.3">
      <c r="A316" s="18"/>
      <c r="H316" s="18"/>
      <c r="J316" s="18"/>
      <c r="K316" s="18"/>
    </row>
    <row r="317" spans="1:11" ht="14.25" customHeight="1" x14ac:dyDescent="0.3">
      <c r="A317" s="18"/>
      <c r="H317" s="18"/>
      <c r="J317" s="18"/>
      <c r="K317" s="18"/>
    </row>
    <row r="318" spans="1:11" ht="14.25" customHeight="1" x14ac:dyDescent="0.3">
      <c r="A318" s="18"/>
      <c r="H318" s="18"/>
      <c r="J318" s="18"/>
      <c r="K318" s="18"/>
    </row>
    <row r="319" spans="1:11" ht="14.25" customHeight="1" x14ac:dyDescent="0.3">
      <c r="A319" s="18"/>
      <c r="H319" s="18"/>
      <c r="J319" s="18"/>
      <c r="K319" s="18"/>
    </row>
    <row r="320" spans="1:11" ht="14.25" customHeight="1" x14ac:dyDescent="0.3">
      <c r="A320" s="18"/>
      <c r="H320" s="18"/>
      <c r="J320" s="18"/>
      <c r="K320" s="18"/>
    </row>
    <row r="321" spans="1:11" ht="14.25" customHeight="1" x14ac:dyDescent="0.3">
      <c r="A321" s="18"/>
      <c r="H321" s="18"/>
      <c r="J321" s="18"/>
      <c r="K321" s="18"/>
    </row>
    <row r="322" spans="1:11" ht="14.25" customHeight="1" x14ac:dyDescent="0.3">
      <c r="A322" s="18"/>
      <c r="H322" s="18"/>
      <c r="J322" s="18"/>
      <c r="K322" s="18"/>
    </row>
    <row r="323" spans="1:11" ht="14.25" customHeight="1" x14ac:dyDescent="0.3">
      <c r="A323" s="18"/>
      <c r="H323" s="18"/>
      <c r="J323" s="18"/>
      <c r="K323" s="18"/>
    </row>
    <row r="324" spans="1:11" ht="14.25" customHeight="1" x14ac:dyDescent="0.3">
      <c r="A324" s="18"/>
      <c r="H324" s="18"/>
      <c r="J324" s="18"/>
      <c r="K324" s="18"/>
    </row>
    <row r="325" spans="1:11" ht="14.25" customHeight="1" x14ac:dyDescent="0.3">
      <c r="A325" s="18"/>
      <c r="H325" s="18"/>
      <c r="J325" s="18"/>
      <c r="K325" s="18"/>
    </row>
    <row r="326" spans="1:11" ht="14.25" customHeight="1" x14ac:dyDescent="0.3">
      <c r="A326" s="18"/>
      <c r="H326" s="18"/>
      <c r="J326" s="18"/>
      <c r="K326" s="18"/>
    </row>
    <row r="327" spans="1:11" ht="14.25" customHeight="1" x14ac:dyDescent="0.3">
      <c r="A327" s="18"/>
      <c r="H327" s="18"/>
      <c r="J327" s="18"/>
      <c r="K327" s="18"/>
    </row>
    <row r="328" spans="1:11" ht="14.25" customHeight="1" x14ac:dyDescent="0.3">
      <c r="A328" s="18"/>
      <c r="H328" s="18"/>
      <c r="J328" s="18"/>
      <c r="K328" s="18"/>
    </row>
    <row r="329" spans="1:11" ht="14.25" customHeight="1" x14ac:dyDescent="0.3">
      <c r="A329" s="18"/>
      <c r="H329" s="18"/>
      <c r="J329" s="18"/>
      <c r="K329" s="18"/>
    </row>
    <row r="330" spans="1:11" ht="14.25" customHeight="1" x14ac:dyDescent="0.3">
      <c r="A330" s="18"/>
      <c r="H330" s="18"/>
      <c r="J330" s="18"/>
      <c r="K330" s="18"/>
    </row>
    <row r="331" spans="1:11" ht="14.25" customHeight="1" x14ac:dyDescent="0.3">
      <c r="A331" s="18"/>
      <c r="H331" s="18"/>
      <c r="J331" s="18"/>
      <c r="K331" s="18"/>
    </row>
    <row r="332" spans="1:11" ht="14.25" customHeight="1" x14ac:dyDescent="0.3">
      <c r="A332" s="18"/>
      <c r="H332" s="18"/>
      <c r="J332" s="18"/>
      <c r="K332" s="18"/>
    </row>
    <row r="333" spans="1:11" ht="14.25" customHeight="1" x14ac:dyDescent="0.3">
      <c r="A333" s="18"/>
      <c r="H333" s="18"/>
      <c r="J333" s="18"/>
      <c r="K333" s="18"/>
    </row>
    <row r="334" spans="1:11" ht="14.25" customHeight="1" x14ac:dyDescent="0.3">
      <c r="A334" s="18"/>
      <c r="H334" s="18"/>
      <c r="J334" s="18"/>
      <c r="K334" s="18"/>
    </row>
    <row r="335" spans="1:11" ht="14.25" customHeight="1" x14ac:dyDescent="0.3">
      <c r="A335" s="18"/>
      <c r="H335" s="18"/>
      <c r="J335" s="18"/>
      <c r="K335" s="18"/>
    </row>
    <row r="336" spans="1:11" ht="14.25" customHeight="1" x14ac:dyDescent="0.3">
      <c r="A336" s="18"/>
      <c r="H336" s="18"/>
      <c r="J336" s="18"/>
      <c r="K336" s="18"/>
    </row>
    <row r="337" spans="1:11" ht="14.25" customHeight="1" x14ac:dyDescent="0.3">
      <c r="A337" s="18"/>
      <c r="H337" s="18"/>
      <c r="J337" s="18"/>
      <c r="K337" s="18"/>
    </row>
    <row r="338" spans="1:11" ht="14.25" customHeight="1" x14ac:dyDescent="0.3">
      <c r="A338" s="18"/>
      <c r="H338" s="18"/>
      <c r="J338" s="18"/>
      <c r="K338" s="18"/>
    </row>
    <row r="339" spans="1:11" ht="14.25" customHeight="1" x14ac:dyDescent="0.3">
      <c r="A339" s="18"/>
      <c r="H339" s="18"/>
      <c r="J339" s="18"/>
      <c r="K339" s="18"/>
    </row>
    <row r="340" spans="1:11" ht="14.25" customHeight="1" x14ac:dyDescent="0.3">
      <c r="A340" s="18"/>
      <c r="H340" s="18"/>
      <c r="J340" s="18"/>
      <c r="K340" s="18"/>
    </row>
    <row r="341" spans="1:11" ht="14.25" customHeight="1" x14ac:dyDescent="0.3">
      <c r="A341" s="18"/>
      <c r="H341" s="18"/>
      <c r="J341" s="18"/>
      <c r="K341" s="18"/>
    </row>
    <row r="342" spans="1:11" ht="14.25" customHeight="1" x14ac:dyDescent="0.3">
      <c r="A342" s="18"/>
      <c r="H342" s="18"/>
      <c r="J342" s="18"/>
      <c r="K342" s="18"/>
    </row>
    <row r="343" spans="1:11" ht="14.25" customHeight="1" x14ac:dyDescent="0.3">
      <c r="A343" s="18"/>
      <c r="H343" s="18"/>
      <c r="J343" s="18"/>
      <c r="K343" s="18"/>
    </row>
    <row r="344" spans="1:11" ht="14.25" customHeight="1" x14ac:dyDescent="0.3">
      <c r="A344" s="18"/>
      <c r="H344" s="18"/>
      <c r="J344" s="18"/>
      <c r="K344" s="18"/>
    </row>
    <row r="345" spans="1:11" ht="14.25" customHeight="1" x14ac:dyDescent="0.3">
      <c r="A345" s="18"/>
      <c r="H345" s="18"/>
      <c r="J345" s="18"/>
      <c r="K345" s="18"/>
    </row>
    <row r="346" spans="1:11" ht="14.25" customHeight="1" x14ac:dyDescent="0.3">
      <c r="A346" s="18"/>
      <c r="H346" s="18"/>
      <c r="J346" s="18"/>
      <c r="K346" s="18"/>
    </row>
    <row r="347" spans="1:11" ht="14.25" customHeight="1" x14ac:dyDescent="0.3">
      <c r="A347" s="18"/>
      <c r="H347" s="18"/>
      <c r="J347" s="18"/>
      <c r="K347" s="18"/>
    </row>
    <row r="348" spans="1:11" ht="14.25" customHeight="1" x14ac:dyDescent="0.3">
      <c r="A348" s="18"/>
      <c r="H348" s="18"/>
      <c r="J348" s="18"/>
      <c r="K348" s="18"/>
    </row>
    <row r="349" spans="1:11" ht="14.25" customHeight="1" x14ac:dyDescent="0.3">
      <c r="A349" s="18"/>
      <c r="H349" s="18"/>
      <c r="J349" s="18"/>
      <c r="K349" s="18"/>
    </row>
    <row r="350" spans="1:11" ht="14.25" customHeight="1" x14ac:dyDescent="0.3">
      <c r="A350" s="18"/>
      <c r="H350" s="18"/>
      <c r="J350" s="18"/>
      <c r="K350" s="18"/>
    </row>
    <row r="351" spans="1:11" ht="14.25" customHeight="1" x14ac:dyDescent="0.3">
      <c r="A351" s="18"/>
      <c r="H351" s="18"/>
      <c r="J351" s="18"/>
      <c r="K351" s="18"/>
    </row>
    <row r="352" spans="1:11" ht="14.25" customHeight="1" x14ac:dyDescent="0.3">
      <c r="A352" s="18"/>
      <c r="H352" s="18"/>
      <c r="J352" s="18"/>
      <c r="K352" s="18"/>
    </row>
    <row r="353" spans="1:11" ht="14.25" customHeight="1" x14ac:dyDescent="0.3">
      <c r="A353" s="18"/>
      <c r="H353" s="18"/>
      <c r="J353" s="18"/>
      <c r="K353" s="18"/>
    </row>
    <row r="354" spans="1:11" ht="14.25" customHeight="1" x14ac:dyDescent="0.3">
      <c r="A354" s="18"/>
      <c r="H354" s="18"/>
      <c r="J354" s="18"/>
      <c r="K354" s="18"/>
    </row>
    <row r="355" spans="1:11" ht="14.25" customHeight="1" x14ac:dyDescent="0.3">
      <c r="A355" s="18"/>
      <c r="H355" s="18"/>
      <c r="J355" s="18"/>
      <c r="K355" s="18"/>
    </row>
    <row r="356" spans="1:11" ht="14.25" customHeight="1" x14ac:dyDescent="0.3">
      <c r="A356" s="18"/>
      <c r="H356" s="18"/>
      <c r="J356" s="18"/>
      <c r="K356" s="18"/>
    </row>
    <row r="357" spans="1:11" ht="14.25" customHeight="1" x14ac:dyDescent="0.3">
      <c r="A357" s="18"/>
      <c r="H357" s="18"/>
      <c r="J357" s="18"/>
      <c r="K357" s="18"/>
    </row>
    <row r="358" spans="1:11" ht="14.25" customHeight="1" x14ac:dyDescent="0.3">
      <c r="A358" s="18"/>
      <c r="H358" s="18"/>
      <c r="J358" s="18"/>
      <c r="K358" s="18"/>
    </row>
    <row r="359" spans="1:11" ht="14.25" customHeight="1" x14ac:dyDescent="0.3">
      <c r="A359" s="18"/>
      <c r="H359" s="18"/>
      <c r="J359" s="18"/>
      <c r="K359" s="18"/>
    </row>
    <row r="360" spans="1:11" ht="14.25" customHeight="1" x14ac:dyDescent="0.3">
      <c r="A360" s="18"/>
      <c r="H360" s="18"/>
      <c r="J360" s="18"/>
      <c r="K360" s="18"/>
    </row>
    <row r="361" spans="1:11" ht="14.25" customHeight="1" x14ac:dyDescent="0.3">
      <c r="A361" s="18"/>
      <c r="H361" s="18"/>
      <c r="J361" s="18"/>
      <c r="K361" s="18"/>
    </row>
    <row r="362" spans="1:11" ht="14.25" customHeight="1" x14ac:dyDescent="0.3">
      <c r="A362" s="18"/>
      <c r="H362" s="18"/>
      <c r="J362" s="18"/>
      <c r="K362" s="18"/>
    </row>
    <row r="363" spans="1:11" ht="14.25" customHeight="1" x14ac:dyDescent="0.3">
      <c r="A363" s="18"/>
      <c r="H363" s="18"/>
      <c r="J363" s="18"/>
      <c r="K363" s="18"/>
    </row>
    <row r="364" spans="1:11" ht="14.25" customHeight="1" x14ac:dyDescent="0.3">
      <c r="A364" s="18"/>
      <c r="H364" s="18"/>
      <c r="J364" s="18"/>
      <c r="K364" s="18"/>
    </row>
    <row r="365" spans="1:11" ht="14.25" customHeight="1" x14ac:dyDescent="0.3">
      <c r="A365" s="18"/>
      <c r="H365" s="18"/>
      <c r="J365" s="18"/>
      <c r="K365" s="18"/>
    </row>
    <row r="366" spans="1:11" ht="14.25" customHeight="1" x14ac:dyDescent="0.3">
      <c r="A366" s="18"/>
      <c r="H366" s="18"/>
      <c r="J366" s="18"/>
      <c r="K366" s="18"/>
    </row>
    <row r="367" spans="1:11" ht="14.25" customHeight="1" x14ac:dyDescent="0.3">
      <c r="A367" s="18"/>
      <c r="H367" s="18"/>
      <c r="J367" s="18"/>
      <c r="K367" s="18"/>
    </row>
    <row r="368" spans="1:11" ht="14.25" customHeight="1" x14ac:dyDescent="0.3">
      <c r="A368" s="18"/>
      <c r="H368" s="18"/>
      <c r="J368" s="18"/>
      <c r="K368" s="18"/>
    </row>
    <row r="369" spans="1:11" ht="14.25" customHeight="1" x14ac:dyDescent="0.3">
      <c r="A369" s="18"/>
      <c r="H369" s="18"/>
      <c r="J369" s="18"/>
      <c r="K369" s="18"/>
    </row>
    <row r="370" spans="1:11" ht="14.25" customHeight="1" x14ac:dyDescent="0.3">
      <c r="A370" s="18"/>
      <c r="H370" s="18"/>
      <c r="J370" s="18"/>
      <c r="K370" s="18"/>
    </row>
    <row r="371" spans="1:11" ht="14.25" customHeight="1" x14ac:dyDescent="0.3">
      <c r="A371" s="18"/>
      <c r="H371" s="18"/>
      <c r="J371" s="18"/>
      <c r="K371" s="18"/>
    </row>
    <row r="372" spans="1:11" ht="14.25" customHeight="1" x14ac:dyDescent="0.3">
      <c r="A372" s="18"/>
      <c r="H372" s="18"/>
      <c r="J372" s="18"/>
      <c r="K372" s="18"/>
    </row>
    <row r="373" spans="1:11" ht="14.25" customHeight="1" x14ac:dyDescent="0.3">
      <c r="A373" s="18"/>
      <c r="H373" s="18"/>
      <c r="J373" s="18"/>
      <c r="K373" s="18"/>
    </row>
    <row r="374" spans="1:11" ht="14.25" customHeight="1" x14ac:dyDescent="0.3">
      <c r="A374" s="18"/>
      <c r="H374" s="18"/>
      <c r="J374" s="18"/>
      <c r="K374" s="18"/>
    </row>
    <row r="375" spans="1:11" ht="14.25" customHeight="1" x14ac:dyDescent="0.3">
      <c r="A375" s="18"/>
      <c r="H375" s="18"/>
      <c r="J375" s="18"/>
      <c r="K375" s="18"/>
    </row>
    <row r="376" spans="1:11" ht="14.25" customHeight="1" x14ac:dyDescent="0.3">
      <c r="A376" s="18"/>
      <c r="H376" s="18"/>
      <c r="J376" s="18"/>
      <c r="K376" s="18"/>
    </row>
    <row r="377" spans="1:11" ht="14.25" customHeight="1" x14ac:dyDescent="0.3">
      <c r="A377" s="18"/>
      <c r="H377" s="18"/>
      <c r="J377" s="18"/>
      <c r="K377" s="18"/>
    </row>
    <row r="378" spans="1:11" ht="14.25" customHeight="1" x14ac:dyDescent="0.3">
      <c r="A378" s="18"/>
      <c r="H378" s="18"/>
      <c r="J378" s="18"/>
      <c r="K378" s="18"/>
    </row>
    <row r="379" spans="1:11" ht="14.25" customHeight="1" x14ac:dyDescent="0.3">
      <c r="A379" s="18"/>
      <c r="H379" s="18"/>
      <c r="J379" s="18"/>
      <c r="K379" s="18"/>
    </row>
    <row r="380" spans="1:11" ht="14.25" customHeight="1" x14ac:dyDescent="0.3">
      <c r="A380" s="18"/>
      <c r="H380" s="18"/>
      <c r="J380" s="18"/>
      <c r="K380" s="18"/>
    </row>
    <row r="381" spans="1:11" ht="14.25" customHeight="1" x14ac:dyDescent="0.3">
      <c r="A381" s="18"/>
      <c r="H381" s="18"/>
      <c r="J381" s="18"/>
      <c r="K381" s="18"/>
    </row>
    <row r="382" spans="1:11" ht="14.25" customHeight="1" x14ac:dyDescent="0.3">
      <c r="A382" s="18"/>
      <c r="H382" s="18"/>
      <c r="J382" s="18"/>
      <c r="K382" s="18"/>
    </row>
    <row r="383" spans="1:11" ht="14.25" customHeight="1" x14ac:dyDescent="0.3">
      <c r="A383" s="18"/>
      <c r="H383" s="18"/>
      <c r="J383" s="18"/>
      <c r="K383" s="18"/>
    </row>
    <row r="384" spans="1:11" ht="14.25" customHeight="1" x14ac:dyDescent="0.3">
      <c r="A384" s="18"/>
      <c r="H384" s="18"/>
      <c r="J384" s="18"/>
      <c r="K384" s="18"/>
    </row>
    <row r="385" spans="1:11" ht="14.25" customHeight="1" x14ac:dyDescent="0.3">
      <c r="A385" s="18"/>
      <c r="H385" s="18"/>
      <c r="J385" s="18"/>
      <c r="K385" s="18"/>
    </row>
    <row r="386" spans="1:11" ht="14.25" customHeight="1" x14ac:dyDescent="0.3">
      <c r="A386" s="18"/>
      <c r="H386" s="18"/>
      <c r="J386" s="18"/>
      <c r="K386" s="18"/>
    </row>
    <row r="387" spans="1:11" ht="14.25" customHeight="1" x14ac:dyDescent="0.3">
      <c r="A387" s="18"/>
      <c r="H387" s="18"/>
      <c r="J387" s="18"/>
      <c r="K387" s="18"/>
    </row>
    <row r="388" spans="1:11" ht="14.25" customHeight="1" x14ac:dyDescent="0.3">
      <c r="A388" s="18"/>
      <c r="H388" s="18"/>
      <c r="J388" s="18"/>
      <c r="K388" s="18"/>
    </row>
    <row r="389" spans="1:11" ht="14.25" customHeight="1" x14ac:dyDescent="0.3">
      <c r="A389" s="18"/>
      <c r="H389" s="18"/>
      <c r="J389" s="18"/>
      <c r="K389" s="18"/>
    </row>
    <row r="390" spans="1:11" ht="14.25" customHeight="1" x14ac:dyDescent="0.3">
      <c r="A390" s="18"/>
      <c r="H390" s="18"/>
      <c r="J390" s="18"/>
      <c r="K390" s="18"/>
    </row>
    <row r="391" spans="1:11" ht="14.25" customHeight="1" x14ac:dyDescent="0.3">
      <c r="A391" s="18"/>
      <c r="H391" s="18"/>
      <c r="J391" s="18"/>
      <c r="K391" s="18"/>
    </row>
    <row r="392" spans="1:11" ht="14.25" customHeight="1" x14ac:dyDescent="0.3">
      <c r="A392" s="18"/>
      <c r="H392" s="18"/>
      <c r="J392" s="18"/>
      <c r="K392" s="18"/>
    </row>
    <row r="393" spans="1:11" ht="14.25" customHeight="1" x14ac:dyDescent="0.3">
      <c r="A393" s="18"/>
      <c r="H393" s="18"/>
      <c r="J393" s="18"/>
      <c r="K393" s="18"/>
    </row>
    <row r="394" spans="1:11" ht="14.25" customHeight="1" x14ac:dyDescent="0.3">
      <c r="A394" s="18"/>
      <c r="H394" s="18"/>
      <c r="J394" s="18"/>
      <c r="K394" s="18"/>
    </row>
    <row r="395" spans="1:11" ht="14.25" customHeight="1" x14ac:dyDescent="0.3">
      <c r="A395" s="18"/>
      <c r="H395" s="18"/>
      <c r="J395" s="18"/>
      <c r="K395" s="18"/>
    </row>
    <row r="396" spans="1:11" ht="14.25" customHeight="1" x14ac:dyDescent="0.3">
      <c r="A396" s="18"/>
      <c r="H396" s="18"/>
      <c r="J396" s="18"/>
      <c r="K396" s="18"/>
    </row>
    <row r="397" spans="1:11" ht="14.25" customHeight="1" x14ac:dyDescent="0.3">
      <c r="A397" s="18"/>
      <c r="H397" s="18"/>
      <c r="J397" s="18"/>
      <c r="K397" s="18"/>
    </row>
    <row r="398" spans="1:11" ht="14.25" customHeight="1" x14ac:dyDescent="0.3">
      <c r="A398" s="18"/>
      <c r="H398" s="18"/>
      <c r="J398" s="18"/>
      <c r="K398" s="18"/>
    </row>
    <row r="399" spans="1:11" ht="14.25" customHeight="1" x14ac:dyDescent="0.3">
      <c r="A399" s="18"/>
      <c r="H399" s="18"/>
      <c r="J399" s="18"/>
      <c r="K399" s="18"/>
    </row>
    <row r="400" spans="1:11" ht="14.25" customHeight="1" x14ac:dyDescent="0.3">
      <c r="A400" s="18"/>
      <c r="H400" s="18"/>
      <c r="J400" s="18"/>
      <c r="K400" s="18"/>
    </row>
    <row r="401" spans="1:11" ht="14.25" customHeight="1" x14ac:dyDescent="0.3">
      <c r="A401" s="18"/>
      <c r="H401" s="18"/>
      <c r="J401" s="18"/>
      <c r="K401" s="18"/>
    </row>
    <row r="402" spans="1:11" ht="14.25" customHeight="1" x14ac:dyDescent="0.3">
      <c r="A402" s="18"/>
      <c r="H402" s="18"/>
      <c r="J402" s="18"/>
      <c r="K402" s="18"/>
    </row>
    <row r="403" spans="1:11" ht="14.25" customHeight="1" x14ac:dyDescent="0.3">
      <c r="A403" s="18"/>
      <c r="H403" s="18"/>
      <c r="J403" s="18"/>
      <c r="K403" s="18"/>
    </row>
    <row r="404" spans="1:11" ht="14.25" customHeight="1" x14ac:dyDescent="0.3">
      <c r="A404" s="18"/>
      <c r="H404" s="18"/>
      <c r="J404" s="18"/>
      <c r="K404" s="18"/>
    </row>
    <row r="405" spans="1:11" ht="14.25" customHeight="1" x14ac:dyDescent="0.3">
      <c r="A405" s="18"/>
      <c r="H405" s="18"/>
      <c r="J405" s="18"/>
      <c r="K405" s="18"/>
    </row>
    <row r="406" spans="1:11" ht="14.25" customHeight="1" x14ac:dyDescent="0.3">
      <c r="A406" s="18"/>
      <c r="H406" s="18"/>
      <c r="J406" s="18"/>
      <c r="K406" s="18"/>
    </row>
    <row r="407" spans="1:11" ht="14.25" customHeight="1" x14ac:dyDescent="0.3">
      <c r="A407" s="18"/>
      <c r="H407" s="18"/>
      <c r="J407" s="18"/>
      <c r="K407" s="18"/>
    </row>
    <row r="408" spans="1:11" ht="14.25" customHeight="1" x14ac:dyDescent="0.3">
      <c r="A408" s="18"/>
      <c r="H408" s="18"/>
      <c r="J408" s="18"/>
      <c r="K408" s="18"/>
    </row>
    <row r="409" spans="1:11" ht="14.25" customHeight="1" x14ac:dyDescent="0.3">
      <c r="A409" s="18"/>
      <c r="H409" s="18"/>
      <c r="J409" s="18"/>
      <c r="K409" s="18"/>
    </row>
    <row r="410" spans="1:11" ht="14.25" customHeight="1" x14ac:dyDescent="0.3">
      <c r="A410" s="18"/>
      <c r="H410" s="18"/>
      <c r="J410" s="18"/>
      <c r="K410" s="18"/>
    </row>
    <row r="411" spans="1:11" ht="14.25" customHeight="1" x14ac:dyDescent="0.3">
      <c r="A411" s="18"/>
      <c r="H411" s="18"/>
      <c r="J411" s="18"/>
      <c r="K411" s="18"/>
    </row>
    <row r="412" spans="1:11" ht="14.25" customHeight="1" x14ac:dyDescent="0.3">
      <c r="A412" s="18"/>
      <c r="H412" s="18"/>
      <c r="J412" s="18"/>
      <c r="K412" s="18"/>
    </row>
    <row r="413" spans="1:11" ht="14.25" customHeight="1" x14ac:dyDescent="0.3">
      <c r="A413" s="18"/>
      <c r="H413" s="18"/>
      <c r="J413" s="18"/>
      <c r="K413" s="18"/>
    </row>
    <row r="414" spans="1:11" ht="14.25" customHeight="1" x14ac:dyDescent="0.3">
      <c r="A414" s="18"/>
      <c r="H414" s="18"/>
      <c r="J414" s="18"/>
      <c r="K414" s="18"/>
    </row>
    <row r="415" spans="1:11" ht="14.25" customHeight="1" x14ac:dyDescent="0.3">
      <c r="A415" s="18"/>
      <c r="H415" s="18"/>
      <c r="J415" s="18"/>
      <c r="K415" s="18"/>
    </row>
    <row r="416" spans="1:11" ht="14.25" customHeight="1" x14ac:dyDescent="0.3">
      <c r="A416" s="18"/>
      <c r="H416" s="18"/>
      <c r="J416" s="18"/>
      <c r="K416" s="18"/>
    </row>
    <row r="417" spans="1:11" ht="14.25" customHeight="1" x14ac:dyDescent="0.3">
      <c r="A417" s="18"/>
      <c r="H417" s="18"/>
      <c r="J417" s="18"/>
      <c r="K417" s="18"/>
    </row>
    <row r="418" spans="1:11" ht="14.25" customHeight="1" x14ac:dyDescent="0.3">
      <c r="A418" s="18"/>
      <c r="H418" s="18"/>
      <c r="J418" s="18"/>
      <c r="K418" s="18"/>
    </row>
    <row r="419" spans="1:11" ht="14.25" customHeight="1" x14ac:dyDescent="0.3">
      <c r="A419" s="18"/>
      <c r="H419" s="18"/>
      <c r="J419" s="18"/>
      <c r="K419" s="18"/>
    </row>
    <row r="420" spans="1:11" ht="14.25" customHeight="1" x14ac:dyDescent="0.3">
      <c r="A420" s="18"/>
      <c r="H420" s="18"/>
      <c r="J420" s="18"/>
      <c r="K420" s="18"/>
    </row>
    <row r="421" spans="1:11" ht="14.25" customHeight="1" x14ac:dyDescent="0.3">
      <c r="A421" s="18"/>
      <c r="H421" s="18"/>
      <c r="J421" s="18"/>
      <c r="K421" s="18"/>
    </row>
    <row r="422" spans="1:11" ht="14.25" customHeight="1" x14ac:dyDescent="0.3">
      <c r="A422" s="18"/>
      <c r="H422" s="18"/>
      <c r="J422" s="18"/>
      <c r="K422" s="18"/>
    </row>
    <row r="423" spans="1:11" ht="14.25" customHeight="1" x14ac:dyDescent="0.3">
      <c r="A423" s="18"/>
      <c r="H423" s="18"/>
      <c r="J423" s="18"/>
      <c r="K423" s="18"/>
    </row>
    <row r="424" spans="1:11" ht="14.25" customHeight="1" x14ac:dyDescent="0.3">
      <c r="A424" s="18"/>
      <c r="H424" s="18"/>
      <c r="J424" s="18"/>
      <c r="K424" s="18"/>
    </row>
    <row r="425" spans="1:11" ht="14.25" customHeight="1" x14ac:dyDescent="0.3">
      <c r="A425" s="18"/>
      <c r="H425" s="18"/>
      <c r="J425" s="18"/>
      <c r="K425" s="18"/>
    </row>
    <row r="426" spans="1:11" ht="14.25" customHeight="1" x14ac:dyDescent="0.3">
      <c r="A426" s="18"/>
      <c r="H426" s="18"/>
      <c r="J426" s="18"/>
      <c r="K426" s="18"/>
    </row>
    <row r="427" spans="1:11" ht="14.25" customHeight="1" x14ac:dyDescent="0.3">
      <c r="A427" s="18"/>
      <c r="H427" s="18"/>
      <c r="J427" s="18"/>
      <c r="K427" s="18"/>
    </row>
    <row r="428" spans="1:11" ht="14.25" customHeight="1" x14ac:dyDescent="0.3">
      <c r="A428" s="18"/>
      <c r="H428" s="18"/>
      <c r="J428" s="18"/>
      <c r="K428" s="18"/>
    </row>
    <row r="429" spans="1:11" ht="14.25" customHeight="1" x14ac:dyDescent="0.3">
      <c r="A429" s="18"/>
      <c r="H429" s="18"/>
      <c r="J429" s="18"/>
      <c r="K429" s="18"/>
    </row>
    <row r="430" spans="1:11" ht="14.25" customHeight="1" x14ac:dyDescent="0.3">
      <c r="A430" s="18"/>
      <c r="H430" s="18"/>
      <c r="J430" s="18"/>
      <c r="K430" s="18"/>
    </row>
    <row r="431" spans="1:11" ht="14.25" customHeight="1" x14ac:dyDescent="0.3">
      <c r="A431" s="18"/>
      <c r="H431" s="18"/>
      <c r="J431" s="18"/>
      <c r="K431" s="18"/>
    </row>
    <row r="432" spans="1:11" ht="14.25" customHeight="1" x14ac:dyDescent="0.3">
      <c r="A432" s="18"/>
      <c r="H432" s="18"/>
      <c r="J432" s="18"/>
      <c r="K432" s="18"/>
    </row>
    <row r="433" spans="1:11" ht="14.25" customHeight="1" x14ac:dyDescent="0.3">
      <c r="A433" s="18"/>
      <c r="H433" s="18"/>
      <c r="J433" s="18"/>
      <c r="K433" s="18"/>
    </row>
    <row r="434" spans="1:11" ht="14.25" customHeight="1" x14ac:dyDescent="0.3">
      <c r="A434" s="18"/>
      <c r="H434" s="18"/>
      <c r="J434" s="18"/>
      <c r="K434" s="18"/>
    </row>
    <row r="435" spans="1:11" ht="14.25" customHeight="1" x14ac:dyDescent="0.3">
      <c r="A435" s="18"/>
      <c r="H435" s="18"/>
      <c r="J435" s="18"/>
      <c r="K435" s="18"/>
    </row>
    <row r="436" spans="1:11" ht="14.25" customHeight="1" x14ac:dyDescent="0.3">
      <c r="A436" s="18"/>
      <c r="H436" s="18"/>
      <c r="J436" s="18"/>
      <c r="K436" s="18"/>
    </row>
    <row r="437" spans="1:11" ht="14.25" customHeight="1" x14ac:dyDescent="0.3">
      <c r="A437" s="18"/>
      <c r="H437" s="18"/>
      <c r="J437" s="18"/>
      <c r="K437" s="18"/>
    </row>
    <row r="438" spans="1:11" ht="14.25" customHeight="1" x14ac:dyDescent="0.3">
      <c r="A438" s="18"/>
      <c r="H438" s="18"/>
      <c r="J438" s="18"/>
      <c r="K438" s="18"/>
    </row>
    <row r="439" spans="1:11" ht="14.25" customHeight="1" x14ac:dyDescent="0.3">
      <c r="A439" s="18"/>
      <c r="H439" s="18"/>
      <c r="J439" s="18"/>
      <c r="K439" s="18"/>
    </row>
    <row r="440" spans="1:11" ht="14.25" customHeight="1" x14ac:dyDescent="0.3">
      <c r="A440" s="18"/>
      <c r="H440" s="18"/>
      <c r="J440" s="18"/>
      <c r="K440" s="18"/>
    </row>
    <row r="441" spans="1:11" ht="14.25" customHeight="1" x14ac:dyDescent="0.3">
      <c r="A441" s="18"/>
      <c r="H441" s="18"/>
      <c r="J441" s="18"/>
      <c r="K441" s="18"/>
    </row>
    <row r="442" spans="1:11" ht="14.25" customHeight="1" x14ac:dyDescent="0.3">
      <c r="A442" s="18"/>
      <c r="H442" s="18"/>
      <c r="J442" s="18"/>
      <c r="K442" s="18"/>
    </row>
    <row r="443" spans="1:11" ht="14.25" customHeight="1" x14ac:dyDescent="0.3">
      <c r="A443" s="18"/>
      <c r="H443" s="18"/>
      <c r="J443" s="18"/>
      <c r="K443" s="18"/>
    </row>
    <row r="444" spans="1:11" ht="14.25" customHeight="1" x14ac:dyDescent="0.3">
      <c r="A444" s="18"/>
      <c r="H444" s="18"/>
      <c r="J444" s="18"/>
      <c r="K444" s="18"/>
    </row>
    <row r="445" spans="1:11" ht="14.25" customHeight="1" x14ac:dyDescent="0.3">
      <c r="A445" s="18"/>
      <c r="H445" s="18"/>
      <c r="J445" s="18"/>
      <c r="K445" s="18"/>
    </row>
    <row r="446" spans="1:11" ht="14.25" customHeight="1" x14ac:dyDescent="0.3">
      <c r="A446" s="18"/>
      <c r="H446" s="18"/>
      <c r="J446" s="18"/>
      <c r="K446" s="18"/>
    </row>
    <row r="447" spans="1:11" ht="14.25" customHeight="1" x14ac:dyDescent="0.3">
      <c r="A447" s="18"/>
      <c r="H447" s="18"/>
      <c r="J447" s="18"/>
      <c r="K447" s="18"/>
    </row>
    <row r="448" spans="1:11" ht="14.25" customHeight="1" x14ac:dyDescent="0.3">
      <c r="A448" s="18"/>
      <c r="H448" s="18"/>
      <c r="J448" s="18"/>
      <c r="K448" s="18"/>
    </row>
    <row r="449" spans="1:11" ht="14.25" customHeight="1" x14ac:dyDescent="0.3">
      <c r="A449" s="18"/>
      <c r="H449" s="18"/>
      <c r="J449" s="18"/>
      <c r="K449" s="18"/>
    </row>
    <row r="450" spans="1:11" ht="14.25" customHeight="1" x14ac:dyDescent="0.3">
      <c r="A450" s="18"/>
      <c r="H450" s="18"/>
      <c r="J450" s="18"/>
      <c r="K450" s="18"/>
    </row>
    <row r="451" spans="1:11" ht="14.25" customHeight="1" x14ac:dyDescent="0.3">
      <c r="A451" s="18"/>
      <c r="H451" s="18"/>
      <c r="J451" s="18"/>
      <c r="K451" s="18"/>
    </row>
    <row r="452" spans="1:11" ht="14.25" customHeight="1" x14ac:dyDescent="0.3">
      <c r="A452" s="18"/>
      <c r="H452" s="18"/>
      <c r="J452" s="18"/>
      <c r="K452" s="18"/>
    </row>
    <row r="453" spans="1:11" ht="14.25" customHeight="1" x14ac:dyDescent="0.3">
      <c r="A453" s="18"/>
      <c r="H453" s="18"/>
      <c r="J453" s="18"/>
      <c r="K453" s="18"/>
    </row>
    <row r="454" spans="1:11" ht="14.25" customHeight="1" x14ac:dyDescent="0.3">
      <c r="A454" s="18"/>
      <c r="H454" s="18"/>
      <c r="J454" s="18"/>
      <c r="K454" s="18"/>
    </row>
    <row r="455" spans="1:11" ht="14.25" customHeight="1" x14ac:dyDescent="0.3">
      <c r="A455" s="18"/>
      <c r="H455" s="18"/>
      <c r="J455" s="18"/>
      <c r="K455" s="18"/>
    </row>
    <row r="456" spans="1:11" ht="14.25" customHeight="1" x14ac:dyDescent="0.3">
      <c r="A456" s="18"/>
      <c r="H456" s="18"/>
      <c r="J456" s="18"/>
      <c r="K456" s="18"/>
    </row>
    <row r="457" spans="1:11" ht="14.25" customHeight="1" x14ac:dyDescent="0.3">
      <c r="A457" s="18"/>
      <c r="H457" s="18"/>
      <c r="J457" s="18"/>
      <c r="K457" s="18"/>
    </row>
    <row r="458" spans="1:11" ht="14.25" customHeight="1" x14ac:dyDescent="0.3">
      <c r="A458" s="18"/>
      <c r="H458" s="18"/>
      <c r="J458" s="18"/>
      <c r="K458" s="18"/>
    </row>
    <row r="459" spans="1:11" ht="14.25" customHeight="1" x14ac:dyDescent="0.3">
      <c r="A459" s="18"/>
      <c r="H459" s="18"/>
      <c r="J459" s="18"/>
      <c r="K459" s="18"/>
    </row>
    <row r="460" spans="1:11" ht="14.25" customHeight="1" x14ac:dyDescent="0.3">
      <c r="A460" s="18"/>
      <c r="H460" s="18"/>
      <c r="J460" s="18"/>
      <c r="K460" s="18"/>
    </row>
    <row r="461" spans="1:11" ht="14.25" customHeight="1" x14ac:dyDescent="0.3">
      <c r="A461" s="18"/>
      <c r="H461" s="18"/>
      <c r="J461" s="18"/>
      <c r="K461" s="18"/>
    </row>
    <row r="462" spans="1:11" ht="14.25" customHeight="1" x14ac:dyDescent="0.3">
      <c r="A462" s="18"/>
      <c r="H462" s="18"/>
      <c r="J462" s="18"/>
      <c r="K462" s="18"/>
    </row>
    <row r="463" spans="1:11" ht="14.25" customHeight="1" x14ac:dyDescent="0.3">
      <c r="A463" s="18"/>
      <c r="H463" s="18"/>
      <c r="J463" s="18"/>
      <c r="K463" s="18"/>
    </row>
    <row r="464" spans="1:11" ht="14.25" customHeight="1" x14ac:dyDescent="0.3">
      <c r="A464" s="18"/>
      <c r="H464" s="18"/>
      <c r="J464" s="18"/>
      <c r="K464" s="18"/>
    </row>
    <row r="465" spans="1:11" ht="14.25" customHeight="1" x14ac:dyDescent="0.3">
      <c r="A465" s="18"/>
      <c r="H465" s="18"/>
      <c r="J465" s="18"/>
      <c r="K465" s="18"/>
    </row>
    <row r="466" spans="1:11" ht="14.25" customHeight="1" x14ac:dyDescent="0.3">
      <c r="A466" s="18"/>
      <c r="H466" s="18"/>
      <c r="J466" s="18"/>
      <c r="K466" s="18"/>
    </row>
    <row r="467" spans="1:11" ht="14.25" customHeight="1" x14ac:dyDescent="0.3">
      <c r="A467" s="18"/>
      <c r="H467" s="18"/>
      <c r="J467" s="18"/>
      <c r="K467" s="18"/>
    </row>
    <row r="468" spans="1:11" ht="14.25" customHeight="1" x14ac:dyDescent="0.3">
      <c r="A468" s="18"/>
      <c r="H468" s="18"/>
      <c r="J468" s="18"/>
      <c r="K468" s="18"/>
    </row>
    <row r="469" spans="1:11" ht="14.25" customHeight="1" x14ac:dyDescent="0.3">
      <c r="A469" s="18"/>
      <c r="H469" s="18"/>
      <c r="J469" s="18"/>
      <c r="K469" s="18"/>
    </row>
    <row r="470" spans="1:11" ht="14.25" customHeight="1" x14ac:dyDescent="0.3">
      <c r="A470" s="18"/>
      <c r="H470" s="18"/>
      <c r="J470" s="18"/>
      <c r="K470" s="18"/>
    </row>
    <row r="471" spans="1:11" ht="14.25" customHeight="1" x14ac:dyDescent="0.3">
      <c r="A471" s="18"/>
      <c r="H471" s="18"/>
      <c r="J471" s="18"/>
      <c r="K471" s="18"/>
    </row>
    <row r="472" spans="1:11" ht="14.25" customHeight="1" x14ac:dyDescent="0.3">
      <c r="A472" s="18"/>
      <c r="H472" s="18"/>
      <c r="J472" s="18"/>
      <c r="K472" s="18"/>
    </row>
    <row r="473" spans="1:11" ht="14.25" customHeight="1" x14ac:dyDescent="0.3">
      <c r="A473" s="18"/>
      <c r="H473" s="18"/>
      <c r="J473" s="18"/>
      <c r="K473" s="18"/>
    </row>
    <row r="474" spans="1:11" ht="14.25" customHeight="1" x14ac:dyDescent="0.3">
      <c r="A474" s="18"/>
      <c r="H474" s="18"/>
      <c r="J474" s="18"/>
      <c r="K474" s="18"/>
    </row>
    <row r="475" spans="1:11" ht="14.25" customHeight="1" x14ac:dyDescent="0.3">
      <c r="A475" s="18"/>
      <c r="H475" s="18"/>
      <c r="J475" s="18"/>
      <c r="K475" s="18"/>
    </row>
    <row r="476" spans="1:11" ht="14.25" customHeight="1" x14ac:dyDescent="0.3">
      <c r="A476" s="18"/>
      <c r="H476" s="18"/>
      <c r="J476" s="18"/>
      <c r="K476" s="18"/>
    </row>
    <row r="477" spans="1:11" ht="14.25" customHeight="1" x14ac:dyDescent="0.3">
      <c r="A477" s="18"/>
      <c r="H477" s="18"/>
      <c r="J477" s="18"/>
      <c r="K477" s="18"/>
    </row>
    <row r="478" spans="1:11" ht="14.25" customHeight="1" x14ac:dyDescent="0.3">
      <c r="A478" s="18"/>
      <c r="H478" s="18"/>
      <c r="J478" s="18"/>
      <c r="K478" s="18"/>
    </row>
    <row r="479" spans="1:11" ht="14.25" customHeight="1" x14ac:dyDescent="0.3">
      <c r="A479" s="18"/>
      <c r="H479" s="18"/>
      <c r="J479" s="18"/>
      <c r="K479" s="18"/>
    </row>
    <row r="480" spans="1:11" ht="14.25" customHeight="1" x14ac:dyDescent="0.3">
      <c r="A480" s="18"/>
      <c r="H480" s="18"/>
      <c r="J480" s="18"/>
      <c r="K480" s="18"/>
    </row>
    <row r="481" spans="1:11" ht="14.25" customHeight="1" x14ac:dyDescent="0.3">
      <c r="A481" s="18"/>
      <c r="H481" s="18"/>
      <c r="J481" s="18"/>
      <c r="K481" s="18"/>
    </row>
    <row r="482" spans="1:11" ht="14.25" customHeight="1" x14ac:dyDescent="0.3">
      <c r="A482" s="18"/>
      <c r="H482" s="18"/>
      <c r="J482" s="18"/>
      <c r="K482" s="18"/>
    </row>
    <row r="483" spans="1:11" ht="14.25" customHeight="1" x14ac:dyDescent="0.3">
      <c r="A483" s="18"/>
      <c r="H483" s="18"/>
      <c r="J483" s="18"/>
      <c r="K483" s="18"/>
    </row>
    <row r="484" spans="1:11" ht="14.25" customHeight="1" x14ac:dyDescent="0.3">
      <c r="A484" s="18"/>
      <c r="H484" s="18"/>
      <c r="J484" s="18"/>
      <c r="K484" s="18"/>
    </row>
    <row r="485" spans="1:11" ht="14.25" customHeight="1" x14ac:dyDescent="0.3">
      <c r="A485" s="18"/>
      <c r="H485" s="18"/>
      <c r="J485" s="18"/>
      <c r="K485" s="18"/>
    </row>
    <row r="486" spans="1:11" ht="14.25" customHeight="1" x14ac:dyDescent="0.3">
      <c r="A486" s="18"/>
      <c r="H486" s="18"/>
      <c r="J486" s="18"/>
      <c r="K486" s="18"/>
    </row>
    <row r="487" spans="1:11" ht="14.25" customHeight="1" x14ac:dyDescent="0.3">
      <c r="A487" s="18"/>
      <c r="H487" s="18"/>
      <c r="J487" s="18"/>
      <c r="K487" s="18"/>
    </row>
    <row r="488" spans="1:11" ht="14.25" customHeight="1" x14ac:dyDescent="0.3">
      <c r="A488" s="18"/>
      <c r="H488" s="18"/>
      <c r="J488" s="18"/>
      <c r="K488" s="18"/>
    </row>
    <row r="489" spans="1:11" ht="14.25" customHeight="1" x14ac:dyDescent="0.3">
      <c r="A489" s="18"/>
      <c r="H489" s="18"/>
      <c r="J489" s="18"/>
      <c r="K489" s="18"/>
    </row>
    <row r="490" spans="1:11" ht="14.25" customHeight="1" x14ac:dyDescent="0.3">
      <c r="A490" s="18"/>
      <c r="H490" s="18"/>
      <c r="J490" s="18"/>
      <c r="K490" s="18"/>
    </row>
    <row r="491" spans="1:11" ht="14.25" customHeight="1" x14ac:dyDescent="0.3">
      <c r="A491" s="18"/>
      <c r="H491" s="18"/>
      <c r="J491" s="18"/>
      <c r="K491" s="18"/>
    </row>
    <row r="492" spans="1:11" ht="14.25" customHeight="1" x14ac:dyDescent="0.3">
      <c r="A492" s="18"/>
      <c r="H492" s="18"/>
      <c r="J492" s="18"/>
      <c r="K492" s="18"/>
    </row>
    <row r="493" spans="1:11" ht="14.25" customHeight="1" x14ac:dyDescent="0.3">
      <c r="A493" s="18"/>
      <c r="H493" s="18"/>
      <c r="J493" s="18"/>
      <c r="K493" s="18"/>
    </row>
    <row r="494" spans="1:11" ht="14.25" customHeight="1" x14ac:dyDescent="0.3">
      <c r="A494" s="18"/>
      <c r="H494" s="18"/>
      <c r="J494" s="18"/>
      <c r="K494" s="18"/>
    </row>
    <row r="495" spans="1:11" ht="14.25" customHeight="1" x14ac:dyDescent="0.3">
      <c r="A495" s="18"/>
      <c r="H495" s="18"/>
      <c r="J495" s="18"/>
      <c r="K495" s="18"/>
    </row>
    <row r="496" spans="1:11" ht="14.25" customHeight="1" x14ac:dyDescent="0.3">
      <c r="A496" s="18"/>
      <c r="H496" s="18"/>
      <c r="J496" s="18"/>
      <c r="K496" s="18"/>
    </row>
    <row r="497" spans="1:11" ht="14.25" customHeight="1" x14ac:dyDescent="0.3">
      <c r="A497" s="18"/>
      <c r="H497" s="18"/>
      <c r="J497" s="18"/>
      <c r="K497" s="18"/>
    </row>
    <row r="498" spans="1:11" ht="14.25" customHeight="1" x14ac:dyDescent="0.3">
      <c r="A498" s="18"/>
      <c r="H498" s="18"/>
      <c r="J498" s="18"/>
      <c r="K498" s="18"/>
    </row>
    <row r="499" spans="1:11" ht="14.25" customHeight="1" x14ac:dyDescent="0.3">
      <c r="A499" s="18"/>
      <c r="H499" s="18"/>
      <c r="J499" s="18"/>
      <c r="K499" s="18"/>
    </row>
    <row r="500" spans="1:11" ht="14.25" customHeight="1" x14ac:dyDescent="0.3">
      <c r="A500" s="18"/>
      <c r="H500" s="18"/>
      <c r="J500" s="18"/>
      <c r="K500" s="18"/>
    </row>
    <row r="501" spans="1:11" ht="14.25" customHeight="1" x14ac:dyDescent="0.3">
      <c r="A501" s="18"/>
      <c r="H501" s="18"/>
      <c r="J501" s="18"/>
      <c r="K501" s="18"/>
    </row>
    <row r="502" spans="1:11" ht="14.25" customHeight="1" x14ac:dyDescent="0.3">
      <c r="A502" s="18"/>
      <c r="H502" s="18"/>
      <c r="J502" s="18"/>
      <c r="K502" s="18"/>
    </row>
    <row r="503" spans="1:11" ht="14.25" customHeight="1" x14ac:dyDescent="0.3">
      <c r="A503" s="18"/>
      <c r="H503" s="18"/>
      <c r="J503" s="18"/>
      <c r="K503" s="18"/>
    </row>
    <row r="504" spans="1:11" ht="14.25" customHeight="1" x14ac:dyDescent="0.3">
      <c r="A504" s="18"/>
      <c r="H504" s="18"/>
      <c r="J504" s="18"/>
      <c r="K504" s="18"/>
    </row>
    <row r="505" spans="1:11" ht="14.25" customHeight="1" x14ac:dyDescent="0.3">
      <c r="A505" s="18"/>
      <c r="H505" s="18"/>
      <c r="J505" s="18"/>
      <c r="K505" s="18"/>
    </row>
    <row r="506" spans="1:11" ht="14.25" customHeight="1" x14ac:dyDescent="0.3">
      <c r="A506" s="18"/>
      <c r="H506" s="18"/>
      <c r="J506" s="18"/>
      <c r="K506" s="18"/>
    </row>
    <row r="507" spans="1:11" ht="14.25" customHeight="1" x14ac:dyDescent="0.3">
      <c r="A507" s="18"/>
      <c r="H507" s="18"/>
      <c r="J507" s="18"/>
      <c r="K507" s="18"/>
    </row>
    <row r="508" spans="1:11" ht="14.25" customHeight="1" x14ac:dyDescent="0.3">
      <c r="A508" s="18"/>
      <c r="H508" s="18"/>
      <c r="J508" s="18"/>
      <c r="K508" s="18"/>
    </row>
    <row r="509" spans="1:11" ht="14.25" customHeight="1" x14ac:dyDescent="0.3">
      <c r="A509" s="18"/>
      <c r="H509" s="18"/>
      <c r="J509" s="18"/>
      <c r="K509" s="18"/>
    </row>
    <row r="510" spans="1:11" ht="14.25" customHeight="1" x14ac:dyDescent="0.3">
      <c r="A510" s="18"/>
      <c r="H510" s="18"/>
      <c r="J510" s="18"/>
      <c r="K510" s="18"/>
    </row>
    <row r="511" spans="1:11" ht="14.25" customHeight="1" x14ac:dyDescent="0.3">
      <c r="A511" s="18"/>
      <c r="H511" s="18"/>
      <c r="J511" s="18"/>
      <c r="K511" s="18"/>
    </row>
    <row r="512" spans="1:11" ht="14.25" customHeight="1" x14ac:dyDescent="0.3">
      <c r="A512" s="18"/>
      <c r="H512" s="18"/>
      <c r="J512" s="18"/>
      <c r="K512" s="18"/>
    </row>
    <row r="513" spans="1:11" ht="14.25" customHeight="1" x14ac:dyDescent="0.3">
      <c r="A513" s="18"/>
      <c r="H513" s="18"/>
      <c r="J513" s="18"/>
      <c r="K513" s="18"/>
    </row>
    <row r="514" spans="1:11" ht="14.25" customHeight="1" x14ac:dyDescent="0.3">
      <c r="A514" s="18"/>
      <c r="H514" s="18"/>
      <c r="J514" s="18"/>
      <c r="K514" s="18"/>
    </row>
    <row r="515" spans="1:11" ht="14.25" customHeight="1" x14ac:dyDescent="0.3">
      <c r="A515" s="18"/>
      <c r="H515" s="18"/>
      <c r="J515" s="18"/>
      <c r="K515" s="18"/>
    </row>
    <row r="516" spans="1:11" ht="14.25" customHeight="1" x14ac:dyDescent="0.3">
      <c r="A516" s="18"/>
      <c r="H516" s="18"/>
      <c r="J516" s="18"/>
      <c r="K516" s="18"/>
    </row>
    <row r="517" spans="1:11" ht="14.25" customHeight="1" x14ac:dyDescent="0.3">
      <c r="A517" s="18"/>
      <c r="H517" s="18"/>
      <c r="J517" s="18"/>
      <c r="K517" s="18"/>
    </row>
    <row r="518" spans="1:11" ht="14.25" customHeight="1" x14ac:dyDescent="0.3">
      <c r="A518" s="18"/>
      <c r="H518" s="18"/>
      <c r="J518" s="18"/>
      <c r="K518" s="18"/>
    </row>
    <row r="519" spans="1:11" ht="14.25" customHeight="1" x14ac:dyDescent="0.3">
      <c r="A519" s="18"/>
      <c r="H519" s="18"/>
      <c r="J519" s="18"/>
      <c r="K519" s="18"/>
    </row>
    <row r="520" spans="1:11" ht="14.25" customHeight="1" x14ac:dyDescent="0.3">
      <c r="A520" s="18"/>
      <c r="H520" s="18"/>
      <c r="J520" s="18"/>
      <c r="K520" s="18"/>
    </row>
    <row r="521" spans="1:11" ht="14.25" customHeight="1" x14ac:dyDescent="0.3">
      <c r="A521" s="18"/>
      <c r="H521" s="18"/>
      <c r="J521" s="18"/>
      <c r="K521" s="18"/>
    </row>
    <row r="522" spans="1:11" ht="14.25" customHeight="1" x14ac:dyDescent="0.3">
      <c r="A522" s="18"/>
      <c r="H522" s="18"/>
      <c r="J522" s="18"/>
      <c r="K522" s="18"/>
    </row>
    <row r="523" spans="1:11" ht="14.25" customHeight="1" x14ac:dyDescent="0.3">
      <c r="A523" s="18"/>
      <c r="H523" s="18"/>
      <c r="J523" s="18"/>
      <c r="K523" s="18"/>
    </row>
    <row r="524" spans="1:11" ht="14.25" customHeight="1" x14ac:dyDescent="0.3">
      <c r="A524" s="18"/>
      <c r="H524" s="18"/>
      <c r="J524" s="18"/>
      <c r="K524" s="18"/>
    </row>
    <row r="525" spans="1:11" ht="14.25" customHeight="1" x14ac:dyDescent="0.3">
      <c r="A525" s="18"/>
      <c r="H525" s="18"/>
      <c r="J525" s="18"/>
      <c r="K525" s="18"/>
    </row>
    <row r="526" spans="1:11" ht="14.25" customHeight="1" x14ac:dyDescent="0.3">
      <c r="A526" s="18"/>
      <c r="H526" s="18"/>
      <c r="J526" s="18"/>
      <c r="K526" s="18"/>
    </row>
    <row r="527" spans="1:11" ht="14.25" customHeight="1" x14ac:dyDescent="0.3">
      <c r="A527" s="18"/>
      <c r="H527" s="18"/>
      <c r="J527" s="18"/>
      <c r="K527" s="18"/>
    </row>
    <row r="528" spans="1:11" ht="14.25" customHeight="1" x14ac:dyDescent="0.3">
      <c r="A528" s="18"/>
      <c r="H528" s="18"/>
      <c r="J528" s="18"/>
      <c r="K528" s="18"/>
    </row>
    <row r="529" spans="1:11" ht="14.25" customHeight="1" x14ac:dyDescent="0.3">
      <c r="A529" s="18"/>
      <c r="H529" s="18"/>
      <c r="J529" s="18"/>
      <c r="K529" s="18"/>
    </row>
    <row r="530" spans="1:11" ht="14.25" customHeight="1" x14ac:dyDescent="0.3">
      <c r="A530" s="18"/>
      <c r="H530" s="18"/>
      <c r="J530" s="18"/>
      <c r="K530" s="18"/>
    </row>
    <row r="531" spans="1:11" ht="14.25" customHeight="1" x14ac:dyDescent="0.3">
      <c r="A531" s="18"/>
      <c r="H531" s="18"/>
      <c r="J531" s="18"/>
      <c r="K531" s="18"/>
    </row>
    <row r="532" spans="1:11" ht="14.25" customHeight="1" x14ac:dyDescent="0.3">
      <c r="A532" s="18"/>
      <c r="H532" s="18"/>
      <c r="J532" s="18"/>
      <c r="K532" s="18"/>
    </row>
    <row r="533" spans="1:11" ht="14.25" customHeight="1" x14ac:dyDescent="0.3">
      <c r="A533" s="18"/>
      <c r="H533" s="18"/>
      <c r="J533" s="18"/>
      <c r="K533" s="18"/>
    </row>
    <row r="534" spans="1:11" ht="14.25" customHeight="1" x14ac:dyDescent="0.3">
      <c r="A534" s="18"/>
      <c r="H534" s="18"/>
      <c r="J534" s="18"/>
      <c r="K534" s="18"/>
    </row>
    <row r="535" spans="1:11" ht="14.25" customHeight="1" x14ac:dyDescent="0.3">
      <c r="A535" s="18"/>
      <c r="H535" s="18"/>
      <c r="J535" s="18"/>
      <c r="K535" s="18"/>
    </row>
    <row r="536" spans="1:11" ht="14.25" customHeight="1" x14ac:dyDescent="0.3">
      <c r="A536" s="18"/>
      <c r="H536" s="18"/>
      <c r="J536" s="18"/>
      <c r="K536" s="18"/>
    </row>
    <row r="537" spans="1:11" ht="14.25" customHeight="1" x14ac:dyDescent="0.3">
      <c r="A537" s="18"/>
      <c r="H537" s="18"/>
      <c r="J537" s="18"/>
      <c r="K537" s="18"/>
    </row>
    <row r="538" spans="1:11" ht="14.25" customHeight="1" x14ac:dyDescent="0.3">
      <c r="A538" s="18"/>
      <c r="H538" s="18"/>
      <c r="J538" s="18"/>
      <c r="K538" s="18"/>
    </row>
    <row r="539" spans="1:11" ht="14.25" customHeight="1" x14ac:dyDescent="0.3">
      <c r="A539" s="18"/>
      <c r="H539" s="18"/>
      <c r="J539" s="18"/>
      <c r="K539" s="18"/>
    </row>
    <row r="540" spans="1:11" ht="14.25" customHeight="1" x14ac:dyDescent="0.3">
      <c r="A540" s="18"/>
      <c r="H540" s="18"/>
      <c r="J540" s="18"/>
      <c r="K540" s="18"/>
    </row>
    <row r="541" spans="1:11" ht="14.25" customHeight="1" x14ac:dyDescent="0.3">
      <c r="A541" s="18"/>
      <c r="H541" s="18"/>
      <c r="J541" s="18"/>
      <c r="K541" s="18"/>
    </row>
    <row r="542" spans="1:11" ht="14.25" customHeight="1" x14ac:dyDescent="0.3">
      <c r="A542" s="18"/>
      <c r="H542" s="18"/>
      <c r="J542" s="18"/>
      <c r="K542" s="18"/>
    </row>
    <row r="543" spans="1:11" ht="14.25" customHeight="1" x14ac:dyDescent="0.3">
      <c r="A543" s="18"/>
      <c r="H543" s="18"/>
      <c r="J543" s="18"/>
      <c r="K543" s="18"/>
    </row>
    <row r="544" spans="1:11" ht="14.25" customHeight="1" x14ac:dyDescent="0.3">
      <c r="A544" s="18"/>
      <c r="H544" s="18"/>
      <c r="J544" s="18"/>
      <c r="K544" s="18"/>
    </row>
    <row r="545" spans="1:11" ht="14.25" customHeight="1" x14ac:dyDescent="0.3">
      <c r="A545" s="18"/>
      <c r="H545" s="18"/>
      <c r="J545" s="18"/>
      <c r="K545" s="18"/>
    </row>
    <row r="546" spans="1:11" ht="14.25" customHeight="1" x14ac:dyDescent="0.3">
      <c r="A546" s="18"/>
      <c r="H546" s="18"/>
      <c r="J546" s="18"/>
      <c r="K546" s="18"/>
    </row>
    <row r="547" spans="1:11" ht="14.25" customHeight="1" x14ac:dyDescent="0.3">
      <c r="A547" s="18"/>
      <c r="H547" s="18"/>
      <c r="J547" s="18"/>
      <c r="K547" s="18"/>
    </row>
    <row r="548" spans="1:11" ht="14.25" customHeight="1" x14ac:dyDescent="0.3">
      <c r="A548" s="18"/>
      <c r="H548" s="18"/>
      <c r="J548" s="18"/>
      <c r="K548" s="18"/>
    </row>
    <row r="549" spans="1:11" ht="14.25" customHeight="1" x14ac:dyDescent="0.3">
      <c r="A549" s="18"/>
      <c r="H549" s="18"/>
      <c r="J549" s="18"/>
      <c r="K549" s="18"/>
    </row>
    <row r="550" spans="1:11" ht="14.25" customHeight="1" x14ac:dyDescent="0.3">
      <c r="A550" s="18"/>
      <c r="H550" s="18"/>
      <c r="J550" s="18"/>
      <c r="K550" s="18"/>
    </row>
    <row r="551" spans="1:11" ht="14.25" customHeight="1" x14ac:dyDescent="0.3">
      <c r="A551" s="18"/>
      <c r="H551" s="18"/>
      <c r="J551" s="18"/>
      <c r="K551" s="18"/>
    </row>
    <row r="552" spans="1:11" ht="14.25" customHeight="1" x14ac:dyDescent="0.3">
      <c r="A552" s="18"/>
      <c r="H552" s="18"/>
      <c r="J552" s="18"/>
      <c r="K552" s="18"/>
    </row>
    <row r="553" spans="1:11" ht="14.25" customHeight="1" x14ac:dyDescent="0.3">
      <c r="A553" s="18"/>
      <c r="H553" s="18"/>
      <c r="J553" s="18"/>
      <c r="K553" s="18"/>
    </row>
    <row r="554" spans="1:11" ht="14.25" customHeight="1" x14ac:dyDescent="0.3">
      <c r="A554" s="18"/>
      <c r="H554" s="18"/>
      <c r="J554" s="18"/>
      <c r="K554" s="18"/>
    </row>
    <row r="555" spans="1:11" ht="14.25" customHeight="1" x14ac:dyDescent="0.3">
      <c r="A555" s="18"/>
      <c r="H555" s="18"/>
      <c r="J555" s="18"/>
      <c r="K555" s="18"/>
    </row>
    <row r="556" spans="1:11" ht="14.25" customHeight="1" x14ac:dyDescent="0.3">
      <c r="A556" s="18"/>
      <c r="H556" s="18"/>
      <c r="J556" s="18"/>
      <c r="K556" s="18"/>
    </row>
    <row r="557" spans="1:11" ht="14.25" customHeight="1" x14ac:dyDescent="0.3">
      <c r="A557" s="18"/>
      <c r="H557" s="18"/>
      <c r="J557" s="18"/>
      <c r="K557" s="18"/>
    </row>
    <row r="558" spans="1:11" ht="14.25" customHeight="1" x14ac:dyDescent="0.3">
      <c r="A558" s="18"/>
      <c r="H558" s="18"/>
      <c r="J558" s="18"/>
      <c r="K558" s="18"/>
    </row>
    <row r="559" spans="1:11" ht="14.25" customHeight="1" x14ac:dyDescent="0.3">
      <c r="A559" s="18"/>
      <c r="H559" s="18"/>
      <c r="J559" s="18"/>
      <c r="K559" s="18"/>
    </row>
    <row r="560" spans="1:11" ht="14.25" customHeight="1" x14ac:dyDescent="0.3">
      <c r="A560" s="18"/>
      <c r="H560" s="18"/>
      <c r="J560" s="18"/>
      <c r="K560" s="18"/>
    </row>
    <row r="561" spans="1:11" ht="14.25" customHeight="1" x14ac:dyDescent="0.3">
      <c r="A561" s="18"/>
      <c r="H561" s="18"/>
      <c r="J561" s="18"/>
      <c r="K561" s="18"/>
    </row>
    <row r="562" spans="1:11" ht="14.25" customHeight="1" x14ac:dyDescent="0.3">
      <c r="A562" s="18"/>
      <c r="H562" s="18"/>
      <c r="J562" s="18"/>
      <c r="K562" s="18"/>
    </row>
    <row r="563" spans="1:11" ht="14.25" customHeight="1" x14ac:dyDescent="0.3">
      <c r="A563" s="18"/>
      <c r="H563" s="18"/>
      <c r="J563" s="18"/>
      <c r="K563" s="18"/>
    </row>
    <row r="564" spans="1:11" ht="14.25" customHeight="1" x14ac:dyDescent="0.3">
      <c r="A564" s="18"/>
      <c r="H564" s="18"/>
      <c r="J564" s="18"/>
      <c r="K564" s="18"/>
    </row>
    <row r="565" spans="1:11" ht="14.25" customHeight="1" x14ac:dyDescent="0.3">
      <c r="A565" s="18"/>
      <c r="H565" s="18"/>
      <c r="J565" s="18"/>
      <c r="K565" s="18"/>
    </row>
    <row r="566" spans="1:11" ht="14.25" customHeight="1" x14ac:dyDescent="0.3">
      <c r="A566" s="18"/>
      <c r="H566" s="18"/>
      <c r="J566" s="18"/>
      <c r="K566" s="18"/>
    </row>
    <row r="567" spans="1:11" ht="14.25" customHeight="1" x14ac:dyDescent="0.3">
      <c r="A567" s="18"/>
      <c r="H567" s="18"/>
      <c r="J567" s="18"/>
      <c r="K567" s="18"/>
    </row>
    <row r="568" spans="1:11" ht="14.25" customHeight="1" x14ac:dyDescent="0.3">
      <c r="A568" s="18"/>
      <c r="H568" s="18"/>
      <c r="J568" s="18"/>
      <c r="K568" s="18"/>
    </row>
    <row r="569" spans="1:11" ht="14.25" customHeight="1" x14ac:dyDescent="0.3">
      <c r="A569" s="18"/>
      <c r="H569" s="18"/>
      <c r="J569" s="18"/>
      <c r="K569" s="18"/>
    </row>
    <row r="570" spans="1:11" ht="14.25" customHeight="1" x14ac:dyDescent="0.3">
      <c r="A570" s="18"/>
      <c r="H570" s="18"/>
      <c r="J570" s="18"/>
      <c r="K570" s="18"/>
    </row>
    <row r="571" spans="1:11" ht="14.25" customHeight="1" x14ac:dyDescent="0.3">
      <c r="A571" s="18"/>
      <c r="H571" s="18"/>
      <c r="J571" s="18"/>
      <c r="K571" s="18"/>
    </row>
    <row r="572" spans="1:11" ht="14.25" customHeight="1" x14ac:dyDescent="0.3">
      <c r="A572" s="18"/>
      <c r="H572" s="18"/>
      <c r="J572" s="18"/>
      <c r="K572" s="18"/>
    </row>
    <row r="573" spans="1:11" ht="14.25" customHeight="1" x14ac:dyDescent="0.3">
      <c r="A573" s="18"/>
      <c r="H573" s="18"/>
      <c r="J573" s="18"/>
      <c r="K573" s="18"/>
    </row>
    <row r="574" spans="1:11" ht="14.25" customHeight="1" x14ac:dyDescent="0.3">
      <c r="A574" s="18"/>
      <c r="H574" s="18"/>
      <c r="J574" s="18"/>
      <c r="K574" s="18"/>
    </row>
    <row r="575" spans="1:11" ht="14.25" customHeight="1" x14ac:dyDescent="0.3">
      <c r="A575" s="18"/>
      <c r="H575" s="18"/>
      <c r="J575" s="18"/>
      <c r="K575" s="18"/>
    </row>
    <row r="576" spans="1:11" ht="14.25" customHeight="1" x14ac:dyDescent="0.3">
      <c r="A576" s="18"/>
      <c r="H576" s="18"/>
      <c r="J576" s="18"/>
      <c r="K576" s="18"/>
    </row>
    <row r="577" spans="1:11" ht="14.25" customHeight="1" x14ac:dyDescent="0.3">
      <c r="A577" s="18"/>
      <c r="H577" s="18"/>
      <c r="J577" s="18"/>
      <c r="K577" s="18"/>
    </row>
    <row r="578" spans="1:11" ht="14.25" customHeight="1" x14ac:dyDescent="0.3">
      <c r="A578" s="18"/>
      <c r="H578" s="18"/>
      <c r="J578" s="18"/>
      <c r="K578" s="18"/>
    </row>
    <row r="579" spans="1:11" ht="14.25" customHeight="1" x14ac:dyDescent="0.3">
      <c r="A579" s="18"/>
      <c r="H579" s="18"/>
      <c r="J579" s="18"/>
      <c r="K579" s="18"/>
    </row>
    <row r="580" spans="1:11" ht="14.25" customHeight="1" x14ac:dyDescent="0.3">
      <c r="A580" s="18"/>
      <c r="H580" s="18"/>
      <c r="J580" s="18"/>
      <c r="K580" s="18"/>
    </row>
    <row r="581" spans="1:11" ht="14.25" customHeight="1" x14ac:dyDescent="0.3">
      <c r="A581" s="18"/>
      <c r="H581" s="18"/>
      <c r="J581" s="18"/>
      <c r="K581" s="18"/>
    </row>
    <row r="582" spans="1:11" ht="14.25" customHeight="1" x14ac:dyDescent="0.3">
      <c r="A582" s="18"/>
      <c r="H582" s="18"/>
      <c r="J582" s="18"/>
      <c r="K582" s="18"/>
    </row>
    <row r="583" spans="1:11" ht="14.25" customHeight="1" x14ac:dyDescent="0.3">
      <c r="A583" s="18"/>
      <c r="H583" s="18"/>
      <c r="J583" s="18"/>
      <c r="K583" s="18"/>
    </row>
    <row r="584" spans="1:11" ht="14.25" customHeight="1" x14ac:dyDescent="0.3">
      <c r="A584" s="18"/>
      <c r="H584" s="18"/>
      <c r="J584" s="18"/>
      <c r="K584" s="18"/>
    </row>
    <row r="585" spans="1:11" ht="14.25" customHeight="1" x14ac:dyDescent="0.3">
      <c r="A585" s="18"/>
      <c r="H585" s="18"/>
      <c r="J585" s="18"/>
      <c r="K585" s="18"/>
    </row>
    <row r="586" spans="1:11" ht="14.25" customHeight="1" x14ac:dyDescent="0.3">
      <c r="A586" s="18"/>
      <c r="H586" s="18"/>
      <c r="J586" s="18"/>
      <c r="K586" s="18"/>
    </row>
    <row r="587" spans="1:11" ht="14.25" customHeight="1" x14ac:dyDescent="0.3">
      <c r="A587" s="18"/>
      <c r="H587" s="18"/>
      <c r="J587" s="18"/>
      <c r="K587" s="18"/>
    </row>
    <row r="588" spans="1:11" ht="14.25" customHeight="1" x14ac:dyDescent="0.3">
      <c r="A588" s="18"/>
      <c r="H588" s="18"/>
      <c r="J588" s="18"/>
      <c r="K588" s="18"/>
    </row>
    <row r="589" spans="1:11" ht="14.25" customHeight="1" x14ac:dyDescent="0.3">
      <c r="A589" s="18"/>
      <c r="H589" s="18"/>
      <c r="J589" s="18"/>
      <c r="K589" s="18"/>
    </row>
    <row r="590" spans="1:11" ht="14.25" customHeight="1" x14ac:dyDescent="0.3">
      <c r="A590" s="18"/>
      <c r="H590" s="18"/>
      <c r="J590" s="18"/>
      <c r="K590" s="18"/>
    </row>
    <row r="591" spans="1:11" ht="14.25" customHeight="1" x14ac:dyDescent="0.3">
      <c r="A591" s="18"/>
      <c r="H591" s="18"/>
      <c r="J591" s="18"/>
      <c r="K591" s="18"/>
    </row>
    <row r="592" spans="1:11" ht="14.25" customHeight="1" x14ac:dyDescent="0.3">
      <c r="A592" s="18"/>
      <c r="H592" s="18"/>
      <c r="J592" s="18"/>
      <c r="K592" s="18"/>
    </row>
    <row r="593" spans="1:11" ht="14.25" customHeight="1" x14ac:dyDescent="0.3">
      <c r="A593" s="18"/>
      <c r="H593" s="18"/>
      <c r="J593" s="18"/>
      <c r="K593" s="18"/>
    </row>
    <row r="594" spans="1:11" ht="14.25" customHeight="1" x14ac:dyDescent="0.3">
      <c r="A594" s="18"/>
      <c r="H594" s="18"/>
      <c r="J594" s="18"/>
      <c r="K594" s="18"/>
    </row>
    <row r="595" spans="1:11" ht="14.25" customHeight="1" x14ac:dyDescent="0.3">
      <c r="A595" s="18"/>
      <c r="H595" s="18"/>
      <c r="J595" s="18"/>
      <c r="K595" s="18"/>
    </row>
    <row r="596" spans="1:11" ht="14.25" customHeight="1" x14ac:dyDescent="0.3">
      <c r="A596" s="18"/>
      <c r="H596" s="18"/>
      <c r="J596" s="18"/>
      <c r="K596" s="18"/>
    </row>
    <row r="597" spans="1:11" ht="14.25" customHeight="1" x14ac:dyDescent="0.3">
      <c r="A597" s="18"/>
      <c r="H597" s="18"/>
      <c r="J597" s="18"/>
      <c r="K597" s="18"/>
    </row>
    <row r="598" spans="1:11" ht="14.25" customHeight="1" x14ac:dyDescent="0.3">
      <c r="A598" s="18"/>
      <c r="H598" s="18"/>
      <c r="J598" s="18"/>
      <c r="K598" s="18"/>
    </row>
    <row r="599" spans="1:11" ht="14.25" customHeight="1" x14ac:dyDescent="0.3">
      <c r="A599" s="18"/>
      <c r="H599" s="18"/>
      <c r="J599" s="18"/>
      <c r="K599" s="18"/>
    </row>
    <row r="600" spans="1:11" ht="14.25" customHeight="1" x14ac:dyDescent="0.3">
      <c r="A600" s="18"/>
      <c r="H600" s="18"/>
      <c r="J600" s="18"/>
      <c r="K600" s="18"/>
    </row>
    <row r="601" spans="1:11" ht="14.25" customHeight="1" x14ac:dyDescent="0.3">
      <c r="A601" s="18"/>
      <c r="H601" s="18"/>
      <c r="J601" s="18"/>
      <c r="K601" s="18"/>
    </row>
    <row r="602" spans="1:11" ht="14.25" customHeight="1" x14ac:dyDescent="0.3">
      <c r="A602" s="18"/>
      <c r="H602" s="18"/>
      <c r="J602" s="18"/>
      <c r="K602" s="18"/>
    </row>
    <row r="603" spans="1:11" ht="14.25" customHeight="1" x14ac:dyDescent="0.3">
      <c r="A603" s="18"/>
      <c r="H603" s="18"/>
      <c r="J603" s="18"/>
      <c r="K603" s="18"/>
    </row>
    <row r="604" spans="1:11" ht="14.25" customHeight="1" x14ac:dyDescent="0.3">
      <c r="A604" s="18"/>
      <c r="H604" s="18"/>
      <c r="J604" s="18"/>
      <c r="K604" s="18"/>
    </row>
    <row r="605" spans="1:11" ht="14.25" customHeight="1" x14ac:dyDescent="0.3">
      <c r="A605" s="18"/>
      <c r="H605" s="18"/>
      <c r="J605" s="18"/>
      <c r="K605" s="18"/>
    </row>
    <row r="606" spans="1:11" ht="14.25" customHeight="1" x14ac:dyDescent="0.3">
      <c r="A606" s="18"/>
      <c r="H606" s="18"/>
      <c r="J606" s="18"/>
      <c r="K606" s="18"/>
    </row>
    <row r="607" spans="1:11" ht="14.25" customHeight="1" x14ac:dyDescent="0.3">
      <c r="A607" s="18"/>
      <c r="H607" s="18"/>
      <c r="J607" s="18"/>
      <c r="K607" s="18"/>
    </row>
    <row r="608" spans="1:11" ht="14.25" customHeight="1" x14ac:dyDescent="0.3">
      <c r="A608" s="18"/>
      <c r="H608" s="18"/>
      <c r="J608" s="18"/>
      <c r="K608" s="18"/>
    </row>
    <row r="609" spans="1:11" ht="14.25" customHeight="1" x14ac:dyDescent="0.3">
      <c r="A609" s="18"/>
      <c r="H609" s="18"/>
      <c r="J609" s="18"/>
      <c r="K609" s="18"/>
    </row>
    <row r="610" spans="1:11" ht="14.25" customHeight="1" x14ac:dyDescent="0.3">
      <c r="A610" s="18"/>
      <c r="H610" s="18"/>
      <c r="J610" s="18"/>
      <c r="K610" s="18"/>
    </row>
    <row r="611" spans="1:11" ht="14.25" customHeight="1" x14ac:dyDescent="0.3">
      <c r="A611" s="18"/>
      <c r="H611" s="18"/>
      <c r="J611" s="18"/>
      <c r="K611" s="18"/>
    </row>
    <row r="612" spans="1:11" ht="14.25" customHeight="1" x14ac:dyDescent="0.3">
      <c r="A612" s="18"/>
      <c r="H612" s="18"/>
      <c r="J612" s="18"/>
      <c r="K612" s="18"/>
    </row>
    <row r="613" spans="1:11" ht="14.25" customHeight="1" x14ac:dyDescent="0.3">
      <c r="A613" s="18"/>
      <c r="H613" s="18"/>
      <c r="J613" s="18"/>
      <c r="K613" s="18"/>
    </row>
    <row r="614" spans="1:11" ht="14.25" customHeight="1" x14ac:dyDescent="0.3">
      <c r="A614" s="18"/>
      <c r="H614" s="18"/>
      <c r="J614" s="18"/>
      <c r="K614" s="18"/>
    </row>
    <row r="615" spans="1:11" ht="14.25" customHeight="1" x14ac:dyDescent="0.3">
      <c r="A615" s="18"/>
      <c r="H615" s="18"/>
      <c r="J615" s="18"/>
      <c r="K615" s="18"/>
    </row>
    <row r="616" spans="1:11" ht="14.25" customHeight="1" x14ac:dyDescent="0.3">
      <c r="A616" s="18"/>
      <c r="H616" s="18"/>
      <c r="J616" s="18"/>
      <c r="K616" s="18"/>
    </row>
    <row r="617" spans="1:11" ht="14.25" customHeight="1" x14ac:dyDescent="0.3">
      <c r="A617" s="18"/>
      <c r="H617" s="18"/>
      <c r="J617" s="18"/>
      <c r="K617" s="18"/>
    </row>
    <row r="618" spans="1:11" ht="14.25" customHeight="1" x14ac:dyDescent="0.3">
      <c r="A618" s="18"/>
      <c r="H618" s="18"/>
      <c r="J618" s="18"/>
      <c r="K618" s="18"/>
    </row>
    <row r="619" spans="1:11" ht="14.25" customHeight="1" x14ac:dyDescent="0.3">
      <c r="A619" s="18"/>
      <c r="H619" s="18"/>
      <c r="J619" s="18"/>
      <c r="K619" s="18"/>
    </row>
    <row r="620" spans="1:11" ht="14.25" customHeight="1" x14ac:dyDescent="0.3">
      <c r="A620" s="18"/>
      <c r="H620" s="18"/>
      <c r="J620" s="18"/>
      <c r="K620" s="18"/>
    </row>
    <row r="621" spans="1:11" ht="14.25" customHeight="1" x14ac:dyDescent="0.3">
      <c r="A621" s="18"/>
      <c r="H621" s="18"/>
      <c r="J621" s="18"/>
      <c r="K621" s="18"/>
    </row>
    <row r="622" spans="1:11" ht="14.25" customHeight="1" x14ac:dyDescent="0.3">
      <c r="A622" s="18"/>
      <c r="H622" s="18"/>
      <c r="J622" s="18"/>
      <c r="K622" s="18"/>
    </row>
    <row r="623" spans="1:11" ht="14.25" customHeight="1" x14ac:dyDescent="0.3">
      <c r="A623" s="18"/>
      <c r="H623" s="18"/>
      <c r="J623" s="18"/>
      <c r="K623" s="18"/>
    </row>
    <row r="624" spans="1:11" ht="14.25" customHeight="1" x14ac:dyDescent="0.3">
      <c r="A624" s="18"/>
      <c r="H624" s="18"/>
      <c r="J624" s="18"/>
      <c r="K624" s="18"/>
    </row>
    <row r="625" spans="1:11" ht="14.25" customHeight="1" x14ac:dyDescent="0.3">
      <c r="A625" s="18"/>
      <c r="H625" s="18"/>
      <c r="J625" s="18"/>
      <c r="K625" s="18"/>
    </row>
    <row r="626" spans="1:11" ht="14.25" customHeight="1" x14ac:dyDescent="0.3">
      <c r="A626" s="18"/>
      <c r="H626" s="18"/>
      <c r="J626" s="18"/>
      <c r="K626" s="18"/>
    </row>
    <row r="627" spans="1:11" ht="14.25" customHeight="1" x14ac:dyDescent="0.3">
      <c r="A627" s="18"/>
      <c r="H627" s="18"/>
      <c r="J627" s="18"/>
      <c r="K627" s="18"/>
    </row>
    <row r="628" spans="1:11" ht="14.25" customHeight="1" x14ac:dyDescent="0.3">
      <c r="A628" s="18"/>
      <c r="H628" s="18"/>
      <c r="J628" s="18"/>
      <c r="K628" s="18"/>
    </row>
    <row r="629" spans="1:11" ht="14.25" customHeight="1" x14ac:dyDescent="0.3">
      <c r="A629" s="18"/>
      <c r="H629" s="18"/>
      <c r="J629" s="18"/>
      <c r="K629" s="18"/>
    </row>
    <row r="630" spans="1:11" ht="14.25" customHeight="1" x14ac:dyDescent="0.3">
      <c r="A630" s="18"/>
      <c r="H630" s="18"/>
      <c r="J630" s="18"/>
      <c r="K630" s="18"/>
    </row>
    <row r="631" spans="1:11" ht="14.25" customHeight="1" x14ac:dyDescent="0.3">
      <c r="A631" s="18"/>
      <c r="H631" s="18"/>
      <c r="J631" s="18"/>
      <c r="K631" s="18"/>
    </row>
    <row r="632" spans="1:11" ht="14.25" customHeight="1" x14ac:dyDescent="0.3">
      <c r="A632" s="18"/>
      <c r="H632" s="18"/>
      <c r="J632" s="18"/>
      <c r="K632" s="18"/>
    </row>
    <row r="633" spans="1:11" ht="14.25" customHeight="1" x14ac:dyDescent="0.3">
      <c r="A633" s="18"/>
      <c r="H633" s="18"/>
      <c r="J633" s="18"/>
      <c r="K633" s="18"/>
    </row>
    <row r="634" spans="1:11" ht="14.25" customHeight="1" x14ac:dyDescent="0.3">
      <c r="A634" s="18"/>
      <c r="H634" s="18"/>
      <c r="J634" s="18"/>
      <c r="K634" s="18"/>
    </row>
    <row r="635" spans="1:11" ht="14.25" customHeight="1" x14ac:dyDescent="0.3">
      <c r="A635" s="18"/>
      <c r="H635" s="18"/>
      <c r="J635" s="18"/>
      <c r="K635" s="18"/>
    </row>
    <row r="636" spans="1:11" ht="14.25" customHeight="1" x14ac:dyDescent="0.3">
      <c r="A636" s="18"/>
      <c r="H636" s="18"/>
      <c r="J636" s="18"/>
      <c r="K636" s="18"/>
    </row>
    <row r="637" spans="1:11" ht="14.25" customHeight="1" x14ac:dyDescent="0.3">
      <c r="A637" s="18"/>
      <c r="H637" s="18"/>
      <c r="J637" s="18"/>
      <c r="K637" s="18"/>
    </row>
    <row r="638" spans="1:11" ht="14.25" customHeight="1" x14ac:dyDescent="0.3">
      <c r="A638" s="18"/>
      <c r="H638" s="18"/>
      <c r="J638" s="18"/>
      <c r="K638" s="18"/>
    </row>
    <row r="639" spans="1:11" ht="14.25" customHeight="1" x14ac:dyDescent="0.3">
      <c r="A639" s="18"/>
      <c r="H639" s="18"/>
      <c r="J639" s="18"/>
      <c r="K639" s="18"/>
    </row>
    <row r="640" spans="1:11" ht="14.25" customHeight="1" x14ac:dyDescent="0.3">
      <c r="A640" s="18"/>
      <c r="H640" s="18"/>
      <c r="J640" s="18"/>
      <c r="K640" s="18"/>
    </row>
    <row r="641" spans="1:11" ht="14.25" customHeight="1" x14ac:dyDescent="0.3">
      <c r="A641" s="18"/>
      <c r="H641" s="18"/>
      <c r="J641" s="18"/>
      <c r="K641" s="18"/>
    </row>
    <row r="642" spans="1:11" ht="14.25" customHeight="1" x14ac:dyDescent="0.3">
      <c r="A642" s="18"/>
      <c r="H642" s="18"/>
      <c r="J642" s="18"/>
      <c r="K642" s="18"/>
    </row>
    <row r="643" spans="1:11" ht="14.25" customHeight="1" x14ac:dyDescent="0.3">
      <c r="A643" s="18"/>
      <c r="H643" s="18"/>
      <c r="J643" s="18"/>
      <c r="K643" s="18"/>
    </row>
    <row r="644" spans="1:11" ht="14.25" customHeight="1" x14ac:dyDescent="0.3">
      <c r="A644" s="18"/>
      <c r="H644" s="18"/>
      <c r="J644" s="18"/>
      <c r="K644" s="18"/>
    </row>
    <row r="645" spans="1:11" ht="14.25" customHeight="1" x14ac:dyDescent="0.3">
      <c r="A645" s="18"/>
      <c r="H645" s="18"/>
      <c r="J645" s="18"/>
      <c r="K645" s="18"/>
    </row>
    <row r="646" spans="1:11" ht="14.25" customHeight="1" x14ac:dyDescent="0.3">
      <c r="A646" s="18"/>
      <c r="H646" s="18"/>
      <c r="J646" s="18"/>
      <c r="K646" s="18"/>
    </row>
    <row r="647" spans="1:11" ht="14.25" customHeight="1" x14ac:dyDescent="0.3">
      <c r="A647" s="18"/>
      <c r="H647" s="18"/>
      <c r="J647" s="18"/>
      <c r="K647" s="18"/>
    </row>
    <row r="648" spans="1:11" ht="14.25" customHeight="1" x14ac:dyDescent="0.3">
      <c r="A648" s="18"/>
      <c r="H648" s="18"/>
      <c r="J648" s="18"/>
      <c r="K648" s="18"/>
    </row>
    <row r="649" spans="1:11" ht="14.25" customHeight="1" x14ac:dyDescent="0.3">
      <c r="A649" s="18"/>
      <c r="H649" s="18"/>
      <c r="J649" s="18"/>
      <c r="K649" s="18"/>
    </row>
    <row r="650" spans="1:11" ht="14.25" customHeight="1" x14ac:dyDescent="0.3">
      <c r="A650" s="18"/>
      <c r="H650" s="18"/>
      <c r="J650" s="18"/>
      <c r="K650" s="18"/>
    </row>
    <row r="651" spans="1:11" ht="14.25" customHeight="1" x14ac:dyDescent="0.3">
      <c r="A651" s="18"/>
      <c r="H651" s="18"/>
      <c r="J651" s="18"/>
      <c r="K651" s="18"/>
    </row>
    <row r="652" spans="1:11" ht="14.25" customHeight="1" x14ac:dyDescent="0.3">
      <c r="A652" s="18"/>
      <c r="H652" s="18"/>
      <c r="J652" s="18"/>
      <c r="K652" s="18"/>
    </row>
    <row r="653" spans="1:11" ht="14.25" customHeight="1" x14ac:dyDescent="0.3">
      <c r="A653" s="18"/>
      <c r="H653" s="18"/>
      <c r="J653" s="18"/>
      <c r="K653" s="18"/>
    </row>
    <row r="654" spans="1:11" ht="14.25" customHeight="1" x14ac:dyDescent="0.3">
      <c r="A654" s="18"/>
      <c r="H654" s="18"/>
      <c r="J654" s="18"/>
      <c r="K654" s="18"/>
    </row>
    <row r="655" spans="1:11" ht="14.25" customHeight="1" x14ac:dyDescent="0.3">
      <c r="A655" s="18"/>
      <c r="H655" s="18"/>
      <c r="J655" s="18"/>
      <c r="K655" s="18"/>
    </row>
    <row r="656" spans="1:11" ht="14.25" customHeight="1" x14ac:dyDescent="0.3">
      <c r="A656" s="18"/>
      <c r="H656" s="18"/>
      <c r="J656" s="18"/>
      <c r="K656" s="18"/>
    </row>
    <row r="657" spans="1:11" ht="14.25" customHeight="1" x14ac:dyDescent="0.3">
      <c r="A657" s="18"/>
      <c r="H657" s="18"/>
      <c r="J657" s="18"/>
      <c r="K657" s="18"/>
    </row>
    <row r="658" spans="1:11" ht="14.25" customHeight="1" x14ac:dyDescent="0.3">
      <c r="A658" s="18"/>
      <c r="H658" s="18"/>
      <c r="J658" s="18"/>
      <c r="K658" s="18"/>
    </row>
    <row r="659" spans="1:11" ht="14.25" customHeight="1" x14ac:dyDescent="0.3">
      <c r="A659" s="18"/>
      <c r="H659" s="18"/>
      <c r="J659" s="18"/>
      <c r="K659" s="18"/>
    </row>
    <row r="660" spans="1:11" ht="14.25" customHeight="1" x14ac:dyDescent="0.3">
      <c r="A660" s="18"/>
      <c r="H660" s="18"/>
      <c r="J660" s="18"/>
      <c r="K660" s="18"/>
    </row>
    <row r="661" spans="1:11" ht="14.25" customHeight="1" x14ac:dyDescent="0.3">
      <c r="A661" s="18"/>
      <c r="H661" s="18"/>
      <c r="J661" s="18"/>
      <c r="K661" s="18"/>
    </row>
    <row r="662" spans="1:11" ht="14.25" customHeight="1" x14ac:dyDescent="0.3">
      <c r="A662" s="18"/>
      <c r="H662" s="18"/>
      <c r="J662" s="18"/>
      <c r="K662" s="18"/>
    </row>
    <row r="663" spans="1:11" ht="14.25" customHeight="1" x14ac:dyDescent="0.3">
      <c r="A663" s="18"/>
      <c r="H663" s="18"/>
      <c r="J663" s="18"/>
      <c r="K663" s="18"/>
    </row>
    <row r="664" spans="1:11" ht="14.25" customHeight="1" x14ac:dyDescent="0.3">
      <c r="A664" s="18"/>
      <c r="H664" s="18"/>
      <c r="J664" s="18"/>
      <c r="K664" s="18"/>
    </row>
    <row r="665" spans="1:11" ht="14.25" customHeight="1" x14ac:dyDescent="0.3">
      <c r="A665" s="18"/>
      <c r="H665" s="18"/>
      <c r="J665" s="18"/>
      <c r="K665" s="18"/>
    </row>
    <row r="666" spans="1:11" ht="14.25" customHeight="1" x14ac:dyDescent="0.3">
      <c r="A666" s="18"/>
      <c r="H666" s="18"/>
      <c r="J666" s="18"/>
      <c r="K666" s="18"/>
    </row>
    <row r="667" spans="1:11" ht="14.25" customHeight="1" x14ac:dyDescent="0.3">
      <c r="A667" s="18"/>
      <c r="H667" s="18"/>
      <c r="J667" s="18"/>
      <c r="K667" s="18"/>
    </row>
    <row r="668" spans="1:11" ht="14.25" customHeight="1" x14ac:dyDescent="0.3">
      <c r="A668" s="18"/>
      <c r="H668" s="18"/>
      <c r="J668" s="18"/>
      <c r="K668" s="18"/>
    </row>
    <row r="669" spans="1:11" ht="14.25" customHeight="1" x14ac:dyDescent="0.3">
      <c r="A669" s="18"/>
      <c r="H669" s="18"/>
      <c r="J669" s="18"/>
      <c r="K669" s="18"/>
    </row>
    <row r="670" spans="1:11" ht="14.25" customHeight="1" x14ac:dyDescent="0.3">
      <c r="A670" s="18"/>
      <c r="H670" s="18"/>
      <c r="J670" s="18"/>
      <c r="K670" s="18"/>
    </row>
    <row r="671" spans="1:11" ht="14.25" customHeight="1" x14ac:dyDescent="0.3">
      <c r="A671" s="18"/>
      <c r="H671" s="18"/>
      <c r="J671" s="18"/>
      <c r="K671" s="18"/>
    </row>
    <row r="672" spans="1:11" ht="14.25" customHeight="1" x14ac:dyDescent="0.3">
      <c r="A672" s="18"/>
      <c r="H672" s="18"/>
      <c r="J672" s="18"/>
      <c r="K672" s="18"/>
    </row>
    <row r="673" spans="1:11" ht="14.25" customHeight="1" x14ac:dyDescent="0.3">
      <c r="A673" s="18"/>
      <c r="H673" s="18"/>
      <c r="J673" s="18"/>
      <c r="K673" s="18"/>
    </row>
    <row r="674" spans="1:11" ht="14.25" customHeight="1" x14ac:dyDescent="0.3">
      <c r="A674" s="18"/>
      <c r="H674" s="18"/>
      <c r="J674" s="18"/>
      <c r="K674" s="18"/>
    </row>
    <row r="675" spans="1:11" ht="14.25" customHeight="1" x14ac:dyDescent="0.3">
      <c r="A675" s="18"/>
      <c r="H675" s="18"/>
      <c r="J675" s="18"/>
      <c r="K675" s="18"/>
    </row>
    <row r="676" spans="1:11" ht="14.25" customHeight="1" x14ac:dyDescent="0.3">
      <c r="A676" s="18"/>
      <c r="H676" s="18"/>
      <c r="J676" s="18"/>
      <c r="K676" s="18"/>
    </row>
    <row r="677" spans="1:11" ht="14.25" customHeight="1" x14ac:dyDescent="0.3">
      <c r="A677" s="18"/>
      <c r="H677" s="18"/>
      <c r="J677" s="18"/>
      <c r="K677" s="18"/>
    </row>
    <row r="678" spans="1:11" ht="14.25" customHeight="1" x14ac:dyDescent="0.3">
      <c r="A678" s="18"/>
      <c r="H678" s="18"/>
      <c r="J678" s="18"/>
      <c r="K678" s="18"/>
    </row>
    <row r="679" spans="1:11" ht="14.25" customHeight="1" x14ac:dyDescent="0.3">
      <c r="A679" s="18"/>
      <c r="H679" s="18"/>
      <c r="J679" s="18"/>
      <c r="K679" s="18"/>
    </row>
    <row r="680" spans="1:11" ht="14.25" customHeight="1" x14ac:dyDescent="0.3">
      <c r="A680" s="18"/>
      <c r="H680" s="18"/>
      <c r="J680" s="18"/>
      <c r="K680" s="18"/>
    </row>
    <row r="681" spans="1:11" ht="14.25" customHeight="1" x14ac:dyDescent="0.3">
      <c r="A681" s="18"/>
      <c r="H681" s="18"/>
      <c r="J681" s="18"/>
      <c r="K681" s="18"/>
    </row>
    <row r="682" spans="1:11" ht="14.25" customHeight="1" x14ac:dyDescent="0.3">
      <c r="A682" s="18"/>
      <c r="H682" s="18"/>
      <c r="J682" s="18"/>
      <c r="K682" s="18"/>
    </row>
    <row r="683" spans="1:11" ht="14.25" customHeight="1" x14ac:dyDescent="0.3">
      <c r="A683" s="18"/>
      <c r="H683" s="18"/>
      <c r="J683" s="18"/>
      <c r="K683" s="18"/>
    </row>
    <row r="684" spans="1:11" ht="14.25" customHeight="1" x14ac:dyDescent="0.3">
      <c r="A684" s="18"/>
      <c r="H684" s="18"/>
      <c r="J684" s="18"/>
      <c r="K684" s="18"/>
    </row>
    <row r="685" spans="1:11" ht="14.25" customHeight="1" x14ac:dyDescent="0.3">
      <c r="A685" s="18"/>
      <c r="H685" s="18"/>
      <c r="J685" s="18"/>
      <c r="K685" s="18"/>
    </row>
    <row r="686" spans="1:11" ht="14.25" customHeight="1" x14ac:dyDescent="0.3">
      <c r="A686" s="18"/>
      <c r="H686" s="18"/>
      <c r="J686" s="18"/>
      <c r="K686" s="18"/>
    </row>
    <row r="687" spans="1:11" ht="14.25" customHeight="1" x14ac:dyDescent="0.3">
      <c r="A687" s="18"/>
      <c r="H687" s="18"/>
      <c r="J687" s="18"/>
      <c r="K687" s="18"/>
    </row>
    <row r="688" spans="1:11" ht="14.25" customHeight="1" x14ac:dyDescent="0.3">
      <c r="A688" s="18"/>
      <c r="H688" s="18"/>
      <c r="J688" s="18"/>
      <c r="K688" s="18"/>
    </row>
    <row r="689" spans="1:11" ht="14.25" customHeight="1" x14ac:dyDescent="0.3">
      <c r="A689" s="18"/>
      <c r="H689" s="18"/>
      <c r="J689" s="18"/>
      <c r="K689" s="18"/>
    </row>
    <row r="690" spans="1:11" ht="14.25" customHeight="1" x14ac:dyDescent="0.3">
      <c r="A690" s="18"/>
      <c r="H690" s="18"/>
      <c r="J690" s="18"/>
      <c r="K690" s="18"/>
    </row>
    <row r="691" spans="1:11" ht="14.25" customHeight="1" x14ac:dyDescent="0.3">
      <c r="A691" s="18"/>
      <c r="H691" s="18"/>
      <c r="J691" s="18"/>
      <c r="K691" s="18"/>
    </row>
    <row r="692" spans="1:11" ht="14.25" customHeight="1" x14ac:dyDescent="0.3">
      <c r="A692" s="18"/>
      <c r="H692" s="18"/>
      <c r="J692" s="18"/>
      <c r="K692" s="18"/>
    </row>
    <row r="693" spans="1:11" ht="14.25" customHeight="1" x14ac:dyDescent="0.3">
      <c r="A693" s="18"/>
      <c r="H693" s="18"/>
      <c r="J693" s="18"/>
      <c r="K693" s="18"/>
    </row>
    <row r="694" spans="1:11" ht="14.25" customHeight="1" x14ac:dyDescent="0.3">
      <c r="A694" s="18"/>
      <c r="H694" s="18"/>
      <c r="J694" s="18"/>
      <c r="K694" s="18"/>
    </row>
    <row r="695" spans="1:11" ht="14.25" customHeight="1" x14ac:dyDescent="0.3">
      <c r="A695" s="18"/>
      <c r="H695" s="18"/>
      <c r="J695" s="18"/>
      <c r="K695" s="18"/>
    </row>
    <row r="696" spans="1:11" ht="14.25" customHeight="1" x14ac:dyDescent="0.3">
      <c r="A696" s="18"/>
      <c r="H696" s="18"/>
      <c r="J696" s="18"/>
      <c r="K696" s="18"/>
    </row>
    <row r="697" spans="1:11" ht="14.25" customHeight="1" x14ac:dyDescent="0.3">
      <c r="A697" s="18"/>
      <c r="H697" s="18"/>
      <c r="J697" s="18"/>
      <c r="K697" s="18"/>
    </row>
    <row r="698" spans="1:11" ht="14.25" customHeight="1" x14ac:dyDescent="0.3">
      <c r="A698" s="18"/>
      <c r="H698" s="18"/>
      <c r="J698" s="18"/>
      <c r="K698" s="18"/>
    </row>
    <row r="699" spans="1:11" ht="14.25" customHeight="1" x14ac:dyDescent="0.3">
      <c r="A699" s="18"/>
      <c r="H699" s="18"/>
      <c r="J699" s="18"/>
      <c r="K699" s="18"/>
    </row>
    <row r="700" spans="1:11" ht="14.25" customHeight="1" x14ac:dyDescent="0.3">
      <c r="A700" s="18"/>
      <c r="H700" s="18"/>
      <c r="J700" s="18"/>
      <c r="K700" s="18"/>
    </row>
    <row r="701" spans="1:11" ht="14.25" customHeight="1" x14ac:dyDescent="0.3">
      <c r="A701" s="18"/>
      <c r="H701" s="18"/>
      <c r="J701" s="18"/>
      <c r="K701" s="18"/>
    </row>
    <row r="702" spans="1:11" ht="14.25" customHeight="1" x14ac:dyDescent="0.3">
      <c r="A702" s="18"/>
      <c r="H702" s="18"/>
      <c r="J702" s="18"/>
      <c r="K702" s="18"/>
    </row>
    <row r="703" spans="1:11" ht="14.25" customHeight="1" x14ac:dyDescent="0.3">
      <c r="A703" s="18"/>
      <c r="H703" s="18"/>
      <c r="J703" s="18"/>
      <c r="K703" s="18"/>
    </row>
    <row r="704" spans="1:11" ht="14.25" customHeight="1" x14ac:dyDescent="0.3">
      <c r="A704" s="18"/>
      <c r="H704" s="18"/>
      <c r="J704" s="18"/>
      <c r="K704" s="18"/>
    </row>
    <row r="705" spans="1:11" ht="14.25" customHeight="1" x14ac:dyDescent="0.3">
      <c r="A705" s="18"/>
      <c r="H705" s="18"/>
      <c r="J705" s="18"/>
      <c r="K705" s="18"/>
    </row>
    <row r="706" spans="1:11" ht="14.25" customHeight="1" x14ac:dyDescent="0.3">
      <c r="A706" s="18"/>
      <c r="H706" s="18"/>
      <c r="J706" s="18"/>
      <c r="K706" s="18"/>
    </row>
    <row r="707" spans="1:11" ht="14.25" customHeight="1" x14ac:dyDescent="0.3">
      <c r="A707" s="18"/>
      <c r="H707" s="18"/>
      <c r="J707" s="18"/>
      <c r="K707" s="18"/>
    </row>
    <row r="708" spans="1:11" ht="14.25" customHeight="1" x14ac:dyDescent="0.3">
      <c r="A708" s="18"/>
      <c r="H708" s="18"/>
      <c r="J708" s="18"/>
      <c r="K708" s="18"/>
    </row>
    <row r="709" spans="1:11" ht="14.25" customHeight="1" x14ac:dyDescent="0.3">
      <c r="A709" s="18"/>
      <c r="H709" s="18"/>
      <c r="J709" s="18"/>
      <c r="K709" s="18"/>
    </row>
    <row r="710" spans="1:11" ht="14.25" customHeight="1" x14ac:dyDescent="0.3">
      <c r="A710" s="18"/>
      <c r="H710" s="18"/>
      <c r="J710" s="18"/>
      <c r="K710" s="18"/>
    </row>
    <row r="711" spans="1:11" ht="14.25" customHeight="1" x14ac:dyDescent="0.3">
      <c r="A711" s="18"/>
      <c r="H711" s="18"/>
      <c r="J711" s="18"/>
      <c r="K711" s="18"/>
    </row>
    <row r="712" spans="1:11" ht="14.25" customHeight="1" x14ac:dyDescent="0.3">
      <c r="A712" s="18"/>
      <c r="H712" s="18"/>
      <c r="J712" s="18"/>
      <c r="K712" s="18"/>
    </row>
    <row r="713" spans="1:11" ht="14.25" customHeight="1" x14ac:dyDescent="0.3">
      <c r="A713" s="18"/>
      <c r="H713" s="18"/>
      <c r="J713" s="18"/>
      <c r="K713" s="18"/>
    </row>
    <row r="714" spans="1:11" ht="14.25" customHeight="1" x14ac:dyDescent="0.3">
      <c r="A714" s="18"/>
      <c r="H714" s="18"/>
      <c r="J714" s="18"/>
      <c r="K714" s="18"/>
    </row>
    <row r="715" spans="1:11" ht="14.25" customHeight="1" x14ac:dyDescent="0.3">
      <c r="A715" s="18"/>
      <c r="H715" s="18"/>
      <c r="J715" s="18"/>
      <c r="K715" s="18"/>
    </row>
    <row r="716" spans="1:11" ht="14.25" customHeight="1" x14ac:dyDescent="0.3">
      <c r="A716" s="18"/>
      <c r="H716" s="18"/>
      <c r="J716" s="18"/>
      <c r="K716" s="18"/>
    </row>
    <row r="717" spans="1:11" ht="14.25" customHeight="1" x14ac:dyDescent="0.3">
      <c r="A717" s="18"/>
      <c r="H717" s="18"/>
      <c r="J717" s="18"/>
      <c r="K717" s="18"/>
    </row>
    <row r="718" spans="1:11" ht="14.25" customHeight="1" x14ac:dyDescent="0.3">
      <c r="A718" s="18"/>
      <c r="H718" s="18"/>
      <c r="J718" s="18"/>
      <c r="K718" s="18"/>
    </row>
    <row r="719" spans="1:11" ht="14.25" customHeight="1" x14ac:dyDescent="0.3">
      <c r="A719" s="18"/>
      <c r="H719" s="18"/>
      <c r="J719" s="18"/>
      <c r="K719" s="18"/>
    </row>
    <row r="720" spans="1:11" ht="14.25" customHeight="1" x14ac:dyDescent="0.3">
      <c r="A720" s="18"/>
      <c r="H720" s="18"/>
      <c r="J720" s="18"/>
      <c r="K720" s="18"/>
    </row>
    <row r="721" spans="1:11" ht="14.25" customHeight="1" x14ac:dyDescent="0.3">
      <c r="A721" s="18"/>
      <c r="H721" s="18"/>
      <c r="J721" s="18"/>
      <c r="K721" s="18"/>
    </row>
    <row r="722" spans="1:11" ht="14.25" customHeight="1" x14ac:dyDescent="0.3">
      <c r="A722" s="18"/>
      <c r="H722" s="18"/>
      <c r="J722" s="18"/>
      <c r="K722" s="18"/>
    </row>
    <row r="723" spans="1:11" ht="14.25" customHeight="1" x14ac:dyDescent="0.3">
      <c r="A723" s="18"/>
      <c r="H723" s="18"/>
      <c r="J723" s="18"/>
      <c r="K723" s="18"/>
    </row>
    <row r="724" spans="1:11" ht="14.25" customHeight="1" x14ac:dyDescent="0.3">
      <c r="A724" s="18"/>
      <c r="H724" s="18"/>
      <c r="J724" s="18"/>
      <c r="K724" s="18"/>
    </row>
    <row r="725" spans="1:11" ht="14.25" customHeight="1" x14ac:dyDescent="0.3">
      <c r="A725" s="18"/>
      <c r="H725" s="18"/>
      <c r="J725" s="18"/>
      <c r="K725" s="18"/>
    </row>
    <row r="726" spans="1:11" ht="14.25" customHeight="1" x14ac:dyDescent="0.3">
      <c r="A726" s="18"/>
      <c r="H726" s="18"/>
      <c r="J726" s="18"/>
      <c r="K726" s="18"/>
    </row>
    <row r="727" spans="1:11" ht="14.25" customHeight="1" x14ac:dyDescent="0.3">
      <c r="A727" s="18"/>
      <c r="H727" s="18"/>
      <c r="J727" s="18"/>
      <c r="K727" s="18"/>
    </row>
    <row r="728" spans="1:11" ht="14.25" customHeight="1" x14ac:dyDescent="0.3">
      <c r="A728" s="18"/>
      <c r="H728" s="18"/>
      <c r="J728" s="18"/>
      <c r="K728" s="18"/>
    </row>
    <row r="729" spans="1:11" ht="14.25" customHeight="1" x14ac:dyDescent="0.3">
      <c r="A729" s="18"/>
      <c r="H729" s="18"/>
      <c r="J729" s="18"/>
      <c r="K729" s="18"/>
    </row>
    <row r="730" spans="1:11" ht="14.25" customHeight="1" x14ac:dyDescent="0.3">
      <c r="A730" s="18"/>
      <c r="H730" s="18"/>
      <c r="J730" s="18"/>
      <c r="K730" s="18"/>
    </row>
    <row r="731" spans="1:11" ht="14.25" customHeight="1" x14ac:dyDescent="0.3">
      <c r="A731" s="18"/>
      <c r="H731" s="18"/>
      <c r="J731" s="18"/>
      <c r="K731" s="18"/>
    </row>
    <row r="732" spans="1:11" ht="14.25" customHeight="1" x14ac:dyDescent="0.3">
      <c r="A732" s="18"/>
      <c r="H732" s="18"/>
      <c r="J732" s="18"/>
      <c r="K732" s="18"/>
    </row>
    <row r="733" spans="1:11" ht="14.25" customHeight="1" x14ac:dyDescent="0.3">
      <c r="A733" s="18"/>
      <c r="H733" s="18"/>
      <c r="J733" s="18"/>
      <c r="K733" s="18"/>
    </row>
    <row r="734" spans="1:11" ht="14.25" customHeight="1" x14ac:dyDescent="0.3">
      <c r="A734" s="18"/>
      <c r="H734" s="18"/>
      <c r="J734" s="18"/>
      <c r="K734" s="18"/>
    </row>
    <row r="735" spans="1:11" ht="14.25" customHeight="1" x14ac:dyDescent="0.3">
      <c r="A735" s="18"/>
      <c r="H735" s="18"/>
      <c r="J735" s="18"/>
      <c r="K735" s="18"/>
    </row>
    <row r="736" spans="1:11" ht="14.25" customHeight="1" x14ac:dyDescent="0.3">
      <c r="A736" s="18"/>
      <c r="H736" s="18"/>
      <c r="J736" s="18"/>
      <c r="K736" s="18"/>
    </row>
    <row r="737" spans="1:11" ht="14.25" customHeight="1" x14ac:dyDescent="0.3">
      <c r="A737" s="18"/>
      <c r="H737" s="18"/>
      <c r="J737" s="18"/>
      <c r="K737" s="18"/>
    </row>
    <row r="738" spans="1:11" ht="14.25" customHeight="1" x14ac:dyDescent="0.3">
      <c r="A738" s="18"/>
      <c r="H738" s="18"/>
      <c r="J738" s="18"/>
      <c r="K738" s="18"/>
    </row>
    <row r="739" spans="1:11" ht="14.25" customHeight="1" x14ac:dyDescent="0.3">
      <c r="A739" s="18"/>
      <c r="H739" s="18"/>
      <c r="J739" s="18"/>
      <c r="K739" s="18"/>
    </row>
    <row r="740" spans="1:11" ht="14.25" customHeight="1" x14ac:dyDescent="0.3">
      <c r="A740" s="18"/>
      <c r="H740" s="18"/>
      <c r="J740" s="18"/>
      <c r="K740" s="18"/>
    </row>
    <row r="741" spans="1:11" ht="14.25" customHeight="1" x14ac:dyDescent="0.3">
      <c r="A741" s="18"/>
      <c r="H741" s="18"/>
      <c r="J741" s="18"/>
      <c r="K741" s="18"/>
    </row>
    <row r="742" spans="1:11" ht="14.25" customHeight="1" x14ac:dyDescent="0.3">
      <c r="A742" s="18"/>
      <c r="H742" s="18"/>
      <c r="J742" s="18"/>
      <c r="K742" s="18"/>
    </row>
    <row r="743" spans="1:11" ht="14.25" customHeight="1" x14ac:dyDescent="0.3">
      <c r="A743" s="18"/>
      <c r="H743" s="18"/>
      <c r="J743" s="18"/>
      <c r="K743" s="18"/>
    </row>
    <row r="744" spans="1:11" ht="14.25" customHeight="1" x14ac:dyDescent="0.3">
      <c r="A744" s="18"/>
      <c r="H744" s="18"/>
      <c r="J744" s="18"/>
      <c r="K744" s="18"/>
    </row>
    <row r="745" spans="1:11" ht="14.25" customHeight="1" x14ac:dyDescent="0.3">
      <c r="A745" s="18"/>
      <c r="H745" s="18"/>
      <c r="J745" s="18"/>
      <c r="K745" s="18"/>
    </row>
    <row r="746" spans="1:11" ht="14.25" customHeight="1" x14ac:dyDescent="0.3">
      <c r="A746" s="18"/>
      <c r="H746" s="18"/>
      <c r="J746" s="18"/>
      <c r="K746" s="18"/>
    </row>
    <row r="747" spans="1:11" ht="14.25" customHeight="1" x14ac:dyDescent="0.3">
      <c r="A747" s="18"/>
      <c r="H747" s="18"/>
      <c r="J747" s="18"/>
      <c r="K747" s="18"/>
    </row>
    <row r="748" spans="1:11" ht="14.25" customHeight="1" x14ac:dyDescent="0.3">
      <c r="A748" s="18"/>
      <c r="H748" s="18"/>
      <c r="J748" s="18"/>
      <c r="K748" s="18"/>
    </row>
    <row r="749" spans="1:11" ht="14.25" customHeight="1" x14ac:dyDescent="0.3">
      <c r="A749" s="18"/>
      <c r="H749" s="18"/>
      <c r="J749" s="18"/>
      <c r="K749" s="18"/>
    </row>
    <row r="750" spans="1:11" ht="14.25" customHeight="1" x14ac:dyDescent="0.3">
      <c r="A750" s="18"/>
      <c r="H750" s="18"/>
      <c r="J750" s="18"/>
      <c r="K750" s="18"/>
    </row>
    <row r="751" spans="1:11" ht="14.25" customHeight="1" x14ac:dyDescent="0.3">
      <c r="A751" s="18"/>
      <c r="H751" s="18"/>
      <c r="J751" s="18"/>
      <c r="K751" s="18"/>
    </row>
    <row r="752" spans="1:11" ht="14.25" customHeight="1" x14ac:dyDescent="0.3">
      <c r="A752" s="18"/>
      <c r="H752" s="18"/>
      <c r="J752" s="18"/>
      <c r="K752" s="18"/>
    </row>
    <row r="753" spans="1:11" ht="14.25" customHeight="1" x14ac:dyDescent="0.3">
      <c r="A753" s="18"/>
      <c r="H753" s="18"/>
      <c r="J753" s="18"/>
      <c r="K753" s="18"/>
    </row>
    <row r="754" spans="1:11" ht="14.25" customHeight="1" x14ac:dyDescent="0.3">
      <c r="A754" s="18"/>
      <c r="H754" s="18"/>
      <c r="J754" s="18"/>
      <c r="K754" s="18"/>
    </row>
    <row r="755" spans="1:11" ht="14.25" customHeight="1" x14ac:dyDescent="0.3">
      <c r="A755" s="18"/>
      <c r="H755" s="18"/>
      <c r="J755" s="18"/>
      <c r="K755" s="18"/>
    </row>
    <row r="756" spans="1:11" ht="14.25" customHeight="1" x14ac:dyDescent="0.3">
      <c r="A756" s="18"/>
      <c r="H756" s="18"/>
      <c r="J756" s="18"/>
      <c r="K756" s="18"/>
    </row>
    <row r="757" spans="1:11" ht="14.25" customHeight="1" x14ac:dyDescent="0.3">
      <c r="A757" s="18"/>
      <c r="H757" s="18"/>
      <c r="J757" s="18"/>
      <c r="K757" s="18"/>
    </row>
    <row r="758" spans="1:11" ht="14.25" customHeight="1" x14ac:dyDescent="0.3">
      <c r="A758" s="18"/>
      <c r="H758" s="18"/>
      <c r="J758" s="18"/>
      <c r="K758" s="18"/>
    </row>
    <row r="759" spans="1:11" ht="14.25" customHeight="1" x14ac:dyDescent="0.3">
      <c r="A759" s="18"/>
      <c r="H759" s="18"/>
      <c r="J759" s="18"/>
      <c r="K759" s="18"/>
    </row>
    <row r="760" spans="1:11" ht="14.25" customHeight="1" x14ac:dyDescent="0.3">
      <c r="A760" s="18"/>
      <c r="H760" s="18"/>
      <c r="J760" s="18"/>
      <c r="K760" s="18"/>
    </row>
    <row r="761" spans="1:11" ht="14.25" customHeight="1" x14ac:dyDescent="0.3">
      <c r="A761" s="18"/>
      <c r="H761" s="18"/>
      <c r="J761" s="18"/>
      <c r="K761" s="18"/>
    </row>
    <row r="762" spans="1:11" ht="14.25" customHeight="1" x14ac:dyDescent="0.3">
      <c r="A762" s="18"/>
      <c r="H762" s="18"/>
      <c r="J762" s="18"/>
      <c r="K762" s="18"/>
    </row>
    <row r="763" spans="1:11" ht="14.25" customHeight="1" x14ac:dyDescent="0.3">
      <c r="A763" s="18"/>
      <c r="H763" s="18"/>
      <c r="J763" s="18"/>
      <c r="K763" s="18"/>
    </row>
    <row r="764" spans="1:11" ht="14.25" customHeight="1" x14ac:dyDescent="0.3">
      <c r="A764" s="18"/>
      <c r="H764" s="18"/>
      <c r="J764" s="18"/>
      <c r="K764" s="18"/>
    </row>
    <row r="765" spans="1:11" ht="14.25" customHeight="1" x14ac:dyDescent="0.3">
      <c r="A765" s="18"/>
      <c r="H765" s="18"/>
      <c r="J765" s="18"/>
      <c r="K765" s="18"/>
    </row>
    <row r="766" spans="1:11" ht="14.25" customHeight="1" x14ac:dyDescent="0.3">
      <c r="A766" s="18"/>
      <c r="H766" s="18"/>
      <c r="J766" s="18"/>
      <c r="K766" s="18"/>
    </row>
    <row r="767" spans="1:11" ht="14.25" customHeight="1" x14ac:dyDescent="0.3">
      <c r="A767" s="18"/>
      <c r="H767" s="18"/>
      <c r="J767" s="18"/>
      <c r="K767" s="18"/>
    </row>
    <row r="768" spans="1:11" ht="14.25" customHeight="1" x14ac:dyDescent="0.3">
      <c r="A768" s="18"/>
      <c r="H768" s="18"/>
      <c r="J768" s="18"/>
      <c r="K768" s="18"/>
    </row>
    <row r="769" spans="1:11" ht="14.25" customHeight="1" x14ac:dyDescent="0.3">
      <c r="A769" s="18"/>
      <c r="H769" s="18"/>
      <c r="J769" s="18"/>
      <c r="K769" s="18"/>
    </row>
    <row r="770" spans="1:11" ht="14.25" customHeight="1" x14ac:dyDescent="0.3">
      <c r="A770" s="18"/>
      <c r="H770" s="18"/>
      <c r="J770" s="18"/>
      <c r="K770" s="18"/>
    </row>
    <row r="771" spans="1:11" ht="14.25" customHeight="1" x14ac:dyDescent="0.3">
      <c r="A771" s="18"/>
      <c r="H771" s="18"/>
      <c r="J771" s="18"/>
      <c r="K771" s="18"/>
    </row>
    <row r="772" spans="1:11" ht="14.25" customHeight="1" x14ac:dyDescent="0.3">
      <c r="A772" s="18"/>
      <c r="H772" s="18"/>
      <c r="J772" s="18"/>
      <c r="K772" s="18"/>
    </row>
    <row r="773" spans="1:11" ht="14.25" customHeight="1" x14ac:dyDescent="0.3">
      <c r="A773" s="18"/>
      <c r="H773" s="18"/>
      <c r="J773" s="18"/>
      <c r="K773" s="18"/>
    </row>
    <row r="774" spans="1:11" ht="14.25" customHeight="1" x14ac:dyDescent="0.3">
      <c r="A774" s="18"/>
      <c r="H774" s="18"/>
      <c r="J774" s="18"/>
      <c r="K774" s="18"/>
    </row>
    <row r="775" spans="1:11" ht="14.25" customHeight="1" x14ac:dyDescent="0.3">
      <c r="A775" s="18"/>
      <c r="H775" s="18"/>
      <c r="J775" s="18"/>
      <c r="K775" s="18"/>
    </row>
    <row r="776" spans="1:11" ht="14.25" customHeight="1" x14ac:dyDescent="0.3">
      <c r="A776" s="18"/>
      <c r="H776" s="18"/>
      <c r="J776" s="18"/>
      <c r="K776" s="18"/>
    </row>
    <row r="777" spans="1:11" ht="14.25" customHeight="1" x14ac:dyDescent="0.3">
      <c r="A777" s="18"/>
      <c r="H777" s="18"/>
      <c r="J777" s="18"/>
      <c r="K777" s="18"/>
    </row>
    <row r="778" spans="1:11" ht="14.25" customHeight="1" x14ac:dyDescent="0.3">
      <c r="A778" s="18"/>
      <c r="H778" s="18"/>
      <c r="J778" s="18"/>
      <c r="K778" s="18"/>
    </row>
    <row r="779" spans="1:11" ht="14.25" customHeight="1" x14ac:dyDescent="0.3">
      <c r="A779" s="18"/>
      <c r="H779" s="18"/>
      <c r="J779" s="18"/>
      <c r="K779" s="18"/>
    </row>
    <row r="780" spans="1:11" ht="14.25" customHeight="1" x14ac:dyDescent="0.3">
      <c r="A780" s="18"/>
      <c r="H780" s="18"/>
      <c r="J780" s="18"/>
      <c r="K780" s="18"/>
    </row>
    <row r="781" spans="1:11" ht="14.25" customHeight="1" x14ac:dyDescent="0.3">
      <c r="A781" s="18"/>
      <c r="H781" s="18"/>
      <c r="J781" s="18"/>
      <c r="K781" s="18"/>
    </row>
    <row r="782" spans="1:11" ht="14.25" customHeight="1" x14ac:dyDescent="0.3">
      <c r="A782" s="18"/>
      <c r="H782" s="18"/>
      <c r="J782" s="18"/>
      <c r="K782" s="18"/>
    </row>
    <row r="783" spans="1:11" ht="14.25" customHeight="1" x14ac:dyDescent="0.3">
      <c r="A783" s="18"/>
      <c r="H783" s="18"/>
      <c r="J783" s="18"/>
      <c r="K783" s="18"/>
    </row>
    <row r="784" spans="1:11" ht="14.25" customHeight="1" x14ac:dyDescent="0.3">
      <c r="A784" s="18"/>
      <c r="H784" s="18"/>
      <c r="J784" s="18"/>
      <c r="K784" s="18"/>
    </row>
    <row r="785" spans="1:11" ht="14.25" customHeight="1" x14ac:dyDescent="0.3">
      <c r="A785" s="18"/>
      <c r="H785" s="18"/>
      <c r="J785" s="18"/>
      <c r="K785" s="18"/>
    </row>
    <row r="786" spans="1:11" ht="14.25" customHeight="1" x14ac:dyDescent="0.3">
      <c r="A786" s="18"/>
      <c r="H786" s="18"/>
      <c r="J786" s="18"/>
      <c r="K786" s="18"/>
    </row>
    <row r="787" spans="1:11" ht="14.25" customHeight="1" x14ac:dyDescent="0.3">
      <c r="A787" s="18"/>
      <c r="H787" s="18"/>
      <c r="J787" s="18"/>
      <c r="K787" s="18"/>
    </row>
    <row r="788" spans="1:11" ht="14.25" customHeight="1" x14ac:dyDescent="0.3">
      <c r="A788" s="18"/>
      <c r="H788" s="18"/>
      <c r="J788" s="18"/>
      <c r="K788" s="18"/>
    </row>
    <row r="789" spans="1:11" ht="14.25" customHeight="1" x14ac:dyDescent="0.3">
      <c r="A789" s="18"/>
      <c r="H789" s="18"/>
      <c r="J789" s="18"/>
      <c r="K789" s="18"/>
    </row>
    <row r="790" spans="1:11" ht="14.25" customHeight="1" x14ac:dyDescent="0.3">
      <c r="A790" s="18"/>
      <c r="H790" s="18"/>
      <c r="J790" s="18"/>
      <c r="K790" s="18"/>
    </row>
    <row r="791" spans="1:11" ht="14.25" customHeight="1" x14ac:dyDescent="0.3">
      <c r="A791" s="18"/>
      <c r="H791" s="18"/>
      <c r="J791" s="18"/>
      <c r="K791" s="18"/>
    </row>
    <row r="792" spans="1:11" ht="14.25" customHeight="1" x14ac:dyDescent="0.3">
      <c r="A792" s="18"/>
      <c r="H792" s="18"/>
      <c r="J792" s="18"/>
      <c r="K792" s="18"/>
    </row>
    <row r="793" spans="1:11" ht="14.25" customHeight="1" x14ac:dyDescent="0.3">
      <c r="A793" s="18"/>
      <c r="H793" s="18"/>
      <c r="J793" s="18"/>
      <c r="K793" s="18"/>
    </row>
    <row r="794" spans="1:11" ht="14.25" customHeight="1" x14ac:dyDescent="0.3">
      <c r="A794" s="18"/>
      <c r="H794" s="18"/>
      <c r="J794" s="18"/>
      <c r="K794" s="18"/>
    </row>
    <row r="795" spans="1:11" ht="14.25" customHeight="1" x14ac:dyDescent="0.3">
      <c r="A795" s="18"/>
      <c r="H795" s="18"/>
      <c r="J795" s="18"/>
      <c r="K795" s="18"/>
    </row>
    <row r="796" spans="1:11" ht="14.25" customHeight="1" x14ac:dyDescent="0.3">
      <c r="A796" s="18"/>
      <c r="H796" s="18"/>
      <c r="J796" s="18"/>
      <c r="K796" s="18"/>
    </row>
    <row r="797" spans="1:11" ht="14.25" customHeight="1" x14ac:dyDescent="0.3">
      <c r="A797" s="18"/>
      <c r="H797" s="18"/>
      <c r="J797" s="18"/>
      <c r="K797" s="18"/>
    </row>
    <row r="798" spans="1:11" ht="14.25" customHeight="1" x14ac:dyDescent="0.3">
      <c r="A798" s="18"/>
      <c r="H798" s="18"/>
      <c r="J798" s="18"/>
      <c r="K798" s="18"/>
    </row>
    <row r="799" spans="1:11" ht="14.25" customHeight="1" x14ac:dyDescent="0.3">
      <c r="A799" s="18"/>
      <c r="H799" s="18"/>
      <c r="J799" s="18"/>
      <c r="K799" s="18"/>
    </row>
    <row r="800" spans="1:11" ht="14.25" customHeight="1" x14ac:dyDescent="0.3">
      <c r="A800" s="18"/>
      <c r="H800" s="18"/>
      <c r="J800" s="18"/>
      <c r="K800" s="18"/>
    </row>
    <row r="801" spans="1:11" ht="14.25" customHeight="1" x14ac:dyDescent="0.3">
      <c r="A801" s="18"/>
      <c r="H801" s="18"/>
      <c r="J801" s="18"/>
      <c r="K801" s="18"/>
    </row>
    <row r="802" spans="1:11" ht="14.25" customHeight="1" x14ac:dyDescent="0.3">
      <c r="A802" s="18"/>
      <c r="H802" s="18"/>
      <c r="J802" s="18"/>
      <c r="K802" s="18"/>
    </row>
    <row r="803" spans="1:11" ht="14.25" customHeight="1" x14ac:dyDescent="0.3">
      <c r="A803" s="18"/>
      <c r="H803" s="18"/>
      <c r="J803" s="18"/>
      <c r="K803" s="18"/>
    </row>
    <row r="804" spans="1:11" ht="14.25" customHeight="1" x14ac:dyDescent="0.3">
      <c r="A804" s="18"/>
      <c r="H804" s="18"/>
      <c r="J804" s="18"/>
      <c r="K804" s="18"/>
    </row>
    <row r="805" spans="1:11" ht="14.25" customHeight="1" x14ac:dyDescent="0.3">
      <c r="A805" s="18"/>
      <c r="H805" s="18"/>
      <c r="J805" s="18"/>
      <c r="K805" s="18"/>
    </row>
    <row r="806" spans="1:11" ht="14.25" customHeight="1" x14ac:dyDescent="0.3">
      <c r="A806" s="18"/>
      <c r="H806" s="18"/>
      <c r="J806" s="18"/>
      <c r="K806" s="18"/>
    </row>
    <row r="807" spans="1:11" ht="14.25" customHeight="1" x14ac:dyDescent="0.3">
      <c r="A807" s="18"/>
      <c r="H807" s="18"/>
      <c r="J807" s="18"/>
      <c r="K807" s="18"/>
    </row>
    <row r="808" spans="1:11" ht="14.25" customHeight="1" x14ac:dyDescent="0.3">
      <c r="A808" s="18"/>
      <c r="H808" s="18"/>
      <c r="J808" s="18"/>
      <c r="K808" s="18"/>
    </row>
    <row r="809" spans="1:11" ht="14.25" customHeight="1" x14ac:dyDescent="0.3">
      <c r="A809" s="18"/>
      <c r="H809" s="18"/>
      <c r="J809" s="18"/>
      <c r="K809" s="18"/>
    </row>
    <row r="810" spans="1:11" ht="14.25" customHeight="1" x14ac:dyDescent="0.3">
      <c r="A810" s="18"/>
      <c r="H810" s="18"/>
      <c r="J810" s="18"/>
      <c r="K810" s="18"/>
    </row>
    <row r="811" spans="1:11" ht="14.25" customHeight="1" x14ac:dyDescent="0.3">
      <c r="A811" s="18"/>
      <c r="H811" s="18"/>
      <c r="J811" s="18"/>
      <c r="K811" s="18"/>
    </row>
    <row r="812" spans="1:11" ht="14.25" customHeight="1" x14ac:dyDescent="0.3">
      <c r="A812" s="18"/>
      <c r="H812" s="18"/>
      <c r="J812" s="18"/>
      <c r="K812" s="18"/>
    </row>
    <row r="813" spans="1:11" ht="14.25" customHeight="1" x14ac:dyDescent="0.3">
      <c r="A813" s="18"/>
      <c r="H813" s="18"/>
      <c r="J813" s="18"/>
      <c r="K813" s="18"/>
    </row>
    <row r="814" spans="1:11" ht="14.25" customHeight="1" x14ac:dyDescent="0.3">
      <c r="A814" s="18"/>
      <c r="H814" s="18"/>
      <c r="J814" s="18"/>
      <c r="K814" s="18"/>
    </row>
    <row r="815" spans="1:11" ht="14.25" customHeight="1" x14ac:dyDescent="0.3">
      <c r="A815" s="18"/>
      <c r="H815" s="18"/>
      <c r="J815" s="18"/>
      <c r="K815" s="18"/>
    </row>
    <row r="816" spans="1:11" ht="14.25" customHeight="1" x14ac:dyDescent="0.3">
      <c r="A816" s="18"/>
      <c r="H816" s="18"/>
      <c r="J816" s="18"/>
      <c r="K816" s="18"/>
    </row>
    <row r="817" spans="1:11" ht="14.25" customHeight="1" x14ac:dyDescent="0.3">
      <c r="A817" s="18"/>
      <c r="H817" s="18"/>
      <c r="J817" s="18"/>
      <c r="K817" s="18"/>
    </row>
    <row r="818" spans="1:11" ht="14.25" customHeight="1" x14ac:dyDescent="0.3">
      <c r="A818" s="18"/>
      <c r="H818" s="18"/>
      <c r="J818" s="18"/>
      <c r="K818" s="18"/>
    </row>
    <row r="819" spans="1:11" ht="14.25" customHeight="1" x14ac:dyDescent="0.3">
      <c r="A819" s="18"/>
      <c r="H819" s="18"/>
      <c r="J819" s="18"/>
      <c r="K819" s="18"/>
    </row>
    <row r="820" spans="1:11" ht="14.25" customHeight="1" x14ac:dyDescent="0.3">
      <c r="A820" s="18"/>
      <c r="H820" s="18"/>
      <c r="J820" s="18"/>
      <c r="K820" s="18"/>
    </row>
    <row r="821" spans="1:11" ht="14.25" customHeight="1" x14ac:dyDescent="0.3">
      <c r="A821" s="18"/>
      <c r="H821" s="18"/>
      <c r="J821" s="18"/>
      <c r="K821" s="18"/>
    </row>
    <row r="822" spans="1:11" ht="14.25" customHeight="1" x14ac:dyDescent="0.3">
      <c r="A822" s="18"/>
      <c r="H822" s="18"/>
      <c r="J822" s="18"/>
      <c r="K822" s="18"/>
    </row>
    <row r="823" spans="1:11" ht="14.25" customHeight="1" x14ac:dyDescent="0.3">
      <c r="A823" s="18"/>
      <c r="H823" s="18"/>
      <c r="J823" s="18"/>
      <c r="K823" s="18"/>
    </row>
    <row r="824" spans="1:11" ht="14.25" customHeight="1" x14ac:dyDescent="0.3">
      <c r="A824" s="18"/>
      <c r="H824" s="18"/>
      <c r="J824" s="18"/>
      <c r="K824" s="18"/>
    </row>
    <row r="825" spans="1:11" ht="14.25" customHeight="1" x14ac:dyDescent="0.3">
      <c r="A825" s="18"/>
      <c r="H825" s="18"/>
      <c r="J825" s="18"/>
      <c r="K825" s="18"/>
    </row>
    <row r="826" spans="1:11" ht="14.25" customHeight="1" x14ac:dyDescent="0.3">
      <c r="A826" s="18"/>
      <c r="H826" s="18"/>
      <c r="J826" s="18"/>
      <c r="K826" s="18"/>
    </row>
    <row r="827" spans="1:11" ht="14.25" customHeight="1" x14ac:dyDescent="0.3">
      <c r="A827" s="18"/>
      <c r="H827" s="18"/>
      <c r="J827" s="18"/>
      <c r="K827" s="18"/>
    </row>
    <row r="828" spans="1:11" ht="14.25" customHeight="1" x14ac:dyDescent="0.3">
      <c r="A828" s="18"/>
      <c r="H828" s="18"/>
      <c r="J828" s="18"/>
      <c r="K828" s="18"/>
    </row>
    <row r="829" spans="1:11" ht="14.25" customHeight="1" x14ac:dyDescent="0.3">
      <c r="A829" s="18"/>
      <c r="H829" s="18"/>
      <c r="J829" s="18"/>
      <c r="K829" s="18"/>
    </row>
    <row r="830" spans="1:11" ht="14.25" customHeight="1" x14ac:dyDescent="0.3">
      <c r="A830" s="18"/>
      <c r="H830" s="18"/>
      <c r="J830" s="18"/>
      <c r="K830" s="18"/>
    </row>
    <row r="831" spans="1:11" ht="14.25" customHeight="1" x14ac:dyDescent="0.3">
      <c r="A831" s="18"/>
      <c r="H831" s="18"/>
      <c r="J831" s="18"/>
      <c r="K831" s="18"/>
    </row>
    <row r="832" spans="1:11" ht="14.25" customHeight="1" x14ac:dyDescent="0.3">
      <c r="A832" s="18"/>
      <c r="H832" s="18"/>
      <c r="J832" s="18"/>
      <c r="K832" s="18"/>
    </row>
    <row r="833" spans="1:11" ht="14.25" customHeight="1" x14ac:dyDescent="0.3">
      <c r="A833" s="18"/>
      <c r="H833" s="18"/>
      <c r="J833" s="18"/>
      <c r="K833" s="18"/>
    </row>
    <row r="834" spans="1:11" ht="14.25" customHeight="1" x14ac:dyDescent="0.3">
      <c r="A834" s="18"/>
      <c r="H834" s="18"/>
      <c r="J834" s="18"/>
      <c r="K834" s="18"/>
    </row>
    <row r="835" spans="1:11" ht="14.25" customHeight="1" x14ac:dyDescent="0.3">
      <c r="A835" s="18"/>
      <c r="H835" s="18"/>
      <c r="J835" s="18"/>
      <c r="K835" s="18"/>
    </row>
    <row r="836" spans="1:11" ht="14.25" customHeight="1" x14ac:dyDescent="0.3">
      <c r="A836" s="18"/>
      <c r="H836" s="18"/>
      <c r="J836" s="18"/>
      <c r="K836" s="18"/>
    </row>
    <row r="837" spans="1:11" ht="14.25" customHeight="1" x14ac:dyDescent="0.3">
      <c r="A837" s="18"/>
      <c r="H837" s="18"/>
      <c r="J837" s="18"/>
      <c r="K837" s="18"/>
    </row>
    <row r="838" spans="1:11" ht="14.25" customHeight="1" x14ac:dyDescent="0.3">
      <c r="A838" s="18"/>
      <c r="H838" s="18"/>
      <c r="J838" s="18"/>
      <c r="K838" s="18"/>
    </row>
    <row r="839" spans="1:11" ht="14.25" customHeight="1" x14ac:dyDescent="0.3">
      <c r="A839" s="18"/>
      <c r="H839" s="18"/>
      <c r="J839" s="18"/>
      <c r="K839" s="18"/>
    </row>
    <row r="840" spans="1:11" ht="14.25" customHeight="1" x14ac:dyDescent="0.3">
      <c r="A840" s="18"/>
      <c r="H840" s="18"/>
      <c r="J840" s="18"/>
      <c r="K840" s="18"/>
    </row>
    <row r="841" spans="1:11" ht="14.25" customHeight="1" x14ac:dyDescent="0.3">
      <c r="A841" s="18"/>
      <c r="H841" s="18"/>
      <c r="J841" s="18"/>
      <c r="K841" s="18"/>
    </row>
    <row r="842" spans="1:11" ht="14.25" customHeight="1" x14ac:dyDescent="0.3">
      <c r="A842" s="18"/>
      <c r="H842" s="18"/>
      <c r="J842" s="18"/>
      <c r="K842" s="18"/>
    </row>
    <row r="843" spans="1:11" ht="14.25" customHeight="1" x14ac:dyDescent="0.3">
      <c r="A843" s="18"/>
      <c r="H843" s="18"/>
      <c r="J843" s="18"/>
      <c r="K843" s="18"/>
    </row>
    <row r="844" spans="1:11" ht="14.25" customHeight="1" x14ac:dyDescent="0.3">
      <c r="A844" s="18"/>
      <c r="H844" s="18"/>
      <c r="J844" s="18"/>
      <c r="K844" s="18"/>
    </row>
    <row r="845" spans="1:11" ht="14.25" customHeight="1" x14ac:dyDescent="0.3">
      <c r="A845" s="18"/>
      <c r="H845" s="18"/>
      <c r="J845" s="18"/>
      <c r="K845" s="18"/>
    </row>
    <row r="846" spans="1:11" ht="14.25" customHeight="1" x14ac:dyDescent="0.3">
      <c r="A846" s="18"/>
      <c r="H846" s="18"/>
      <c r="J846" s="18"/>
      <c r="K846" s="18"/>
    </row>
    <row r="847" spans="1:11" ht="14.25" customHeight="1" x14ac:dyDescent="0.3">
      <c r="A847" s="18"/>
      <c r="H847" s="18"/>
      <c r="J847" s="18"/>
      <c r="K847" s="18"/>
    </row>
    <row r="848" spans="1:11" ht="14.25" customHeight="1" x14ac:dyDescent="0.3">
      <c r="A848" s="18"/>
      <c r="H848" s="18"/>
      <c r="J848" s="18"/>
      <c r="K848" s="18"/>
    </row>
    <row r="849" spans="1:11" ht="14.25" customHeight="1" x14ac:dyDescent="0.3">
      <c r="A849" s="18"/>
      <c r="H849" s="18"/>
      <c r="J849" s="18"/>
      <c r="K849" s="18"/>
    </row>
    <row r="850" spans="1:11" ht="14.25" customHeight="1" x14ac:dyDescent="0.3">
      <c r="A850" s="18"/>
      <c r="H850" s="18"/>
      <c r="J850" s="18"/>
      <c r="K850" s="18"/>
    </row>
    <row r="851" spans="1:11" ht="14.25" customHeight="1" x14ac:dyDescent="0.3">
      <c r="A851" s="18"/>
      <c r="H851" s="18"/>
      <c r="J851" s="18"/>
      <c r="K851" s="18"/>
    </row>
    <row r="852" spans="1:11" ht="14.25" customHeight="1" x14ac:dyDescent="0.3">
      <c r="A852" s="18"/>
      <c r="H852" s="18"/>
      <c r="J852" s="18"/>
      <c r="K852" s="18"/>
    </row>
    <row r="853" spans="1:11" ht="14.25" customHeight="1" x14ac:dyDescent="0.3">
      <c r="A853" s="18"/>
      <c r="H853" s="18"/>
      <c r="J853" s="18"/>
      <c r="K853" s="18"/>
    </row>
    <row r="854" spans="1:11" ht="14.25" customHeight="1" x14ac:dyDescent="0.3">
      <c r="A854" s="18"/>
      <c r="H854" s="18"/>
      <c r="J854" s="18"/>
      <c r="K854" s="18"/>
    </row>
    <row r="855" spans="1:11" ht="14.25" customHeight="1" x14ac:dyDescent="0.3">
      <c r="A855" s="18"/>
      <c r="H855" s="18"/>
      <c r="J855" s="18"/>
      <c r="K855" s="18"/>
    </row>
    <row r="856" spans="1:11" ht="14.25" customHeight="1" x14ac:dyDescent="0.3">
      <c r="A856" s="18"/>
      <c r="H856" s="18"/>
      <c r="J856" s="18"/>
      <c r="K856" s="18"/>
    </row>
    <row r="857" spans="1:11" ht="14.25" customHeight="1" x14ac:dyDescent="0.3">
      <c r="A857" s="18"/>
      <c r="H857" s="18"/>
      <c r="J857" s="18"/>
      <c r="K857" s="18"/>
    </row>
    <row r="858" spans="1:11" ht="14.25" customHeight="1" x14ac:dyDescent="0.3">
      <c r="A858" s="18"/>
      <c r="H858" s="18"/>
      <c r="J858" s="18"/>
      <c r="K858" s="18"/>
    </row>
    <row r="859" spans="1:11" ht="14.25" customHeight="1" x14ac:dyDescent="0.3">
      <c r="A859" s="18"/>
      <c r="H859" s="18"/>
      <c r="J859" s="18"/>
      <c r="K859" s="18"/>
    </row>
    <row r="860" spans="1:11" ht="14.25" customHeight="1" x14ac:dyDescent="0.3">
      <c r="A860" s="18"/>
      <c r="H860" s="18"/>
      <c r="J860" s="18"/>
      <c r="K860" s="18"/>
    </row>
    <row r="861" spans="1:11" ht="14.25" customHeight="1" x14ac:dyDescent="0.3">
      <c r="A861" s="18"/>
      <c r="H861" s="18"/>
      <c r="J861" s="18"/>
      <c r="K861" s="18"/>
    </row>
    <row r="862" spans="1:11" ht="14.25" customHeight="1" x14ac:dyDescent="0.3">
      <c r="A862" s="18"/>
      <c r="H862" s="18"/>
      <c r="J862" s="18"/>
      <c r="K862" s="18"/>
    </row>
    <row r="863" spans="1:11" ht="14.25" customHeight="1" x14ac:dyDescent="0.3">
      <c r="A863" s="18"/>
      <c r="H863" s="18"/>
      <c r="J863" s="18"/>
      <c r="K863" s="18"/>
    </row>
    <row r="864" spans="1:11" ht="14.25" customHeight="1" x14ac:dyDescent="0.3">
      <c r="A864" s="18"/>
      <c r="H864" s="18"/>
      <c r="J864" s="18"/>
      <c r="K864" s="18"/>
    </row>
    <row r="865" spans="1:11" ht="14.25" customHeight="1" x14ac:dyDescent="0.3">
      <c r="A865" s="18"/>
      <c r="H865" s="18"/>
      <c r="J865" s="18"/>
      <c r="K865" s="18"/>
    </row>
    <row r="866" spans="1:11" ht="14.25" customHeight="1" x14ac:dyDescent="0.3">
      <c r="A866" s="18"/>
      <c r="H866" s="18"/>
      <c r="J866" s="18"/>
      <c r="K866" s="18"/>
    </row>
    <row r="867" spans="1:11" ht="14.25" customHeight="1" x14ac:dyDescent="0.3">
      <c r="A867" s="18"/>
      <c r="H867" s="18"/>
      <c r="J867" s="18"/>
      <c r="K867" s="18"/>
    </row>
    <row r="868" spans="1:11" ht="14.25" customHeight="1" x14ac:dyDescent="0.3">
      <c r="A868" s="18"/>
      <c r="H868" s="18"/>
      <c r="J868" s="18"/>
      <c r="K868" s="18"/>
    </row>
    <row r="869" spans="1:11" ht="14.25" customHeight="1" x14ac:dyDescent="0.3">
      <c r="A869" s="18"/>
      <c r="H869" s="18"/>
      <c r="J869" s="18"/>
      <c r="K869" s="18"/>
    </row>
    <row r="870" spans="1:11" ht="14.25" customHeight="1" x14ac:dyDescent="0.3">
      <c r="A870" s="18"/>
      <c r="H870" s="18"/>
      <c r="J870" s="18"/>
      <c r="K870" s="18"/>
    </row>
    <row r="871" spans="1:11" ht="14.25" customHeight="1" x14ac:dyDescent="0.3">
      <c r="A871" s="18"/>
      <c r="H871" s="18"/>
      <c r="J871" s="18"/>
      <c r="K871" s="18"/>
    </row>
    <row r="872" spans="1:11" ht="14.25" customHeight="1" x14ac:dyDescent="0.3">
      <c r="A872" s="18"/>
      <c r="H872" s="18"/>
      <c r="J872" s="18"/>
      <c r="K872" s="18"/>
    </row>
    <row r="873" spans="1:11" ht="14.25" customHeight="1" x14ac:dyDescent="0.3">
      <c r="A873" s="18"/>
      <c r="H873" s="18"/>
      <c r="J873" s="18"/>
      <c r="K873" s="18"/>
    </row>
    <row r="874" spans="1:11" ht="14.25" customHeight="1" x14ac:dyDescent="0.3">
      <c r="A874" s="18"/>
      <c r="H874" s="18"/>
      <c r="J874" s="18"/>
      <c r="K874" s="18"/>
    </row>
    <row r="875" spans="1:11" ht="14.25" customHeight="1" x14ac:dyDescent="0.3">
      <c r="A875" s="18"/>
      <c r="H875" s="18"/>
      <c r="J875" s="18"/>
      <c r="K875" s="18"/>
    </row>
    <row r="876" spans="1:11" ht="14.25" customHeight="1" x14ac:dyDescent="0.3">
      <c r="A876" s="18"/>
      <c r="H876" s="18"/>
      <c r="J876" s="18"/>
      <c r="K876" s="18"/>
    </row>
    <row r="877" spans="1:11" ht="14.25" customHeight="1" x14ac:dyDescent="0.3">
      <c r="A877" s="18"/>
      <c r="H877" s="18"/>
      <c r="J877" s="18"/>
      <c r="K877" s="18"/>
    </row>
    <row r="878" spans="1:11" ht="14.25" customHeight="1" x14ac:dyDescent="0.3">
      <c r="A878" s="18"/>
      <c r="H878" s="18"/>
      <c r="J878" s="18"/>
      <c r="K878" s="18"/>
    </row>
    <row r="879" spans="1:11" ht="14.25" customHeight="1" x14ac:dyDescent="0.3">
      <c r="A879" s="18"/>
      <c r="H879" s="18"/>
      <c r="J879" s="18"/>
      <c r="K879" s="18"/>
    </row>
    <row r="880" spans="1:11" ht="14.25" customHeight="1" x14ac:dyDescent="0.3">
      <c r="A880" s="18"/>
      <c r="H880" s="18"/>
      <c r="J880" s="18"/>
      <c r="K880" s="18"/>
    </row>
    <row r="881" spans="1:11" ht="14.25" customHeight="1" x14ac:dyDescent="0.3">
      <c r="A881" s="18"/>
      <c r="H881" s="18"/>
      <c r="J881" s="18"/>
      <c r="K881" s="18"/>
    </row>
    <row r="882" spans="1:11" ht="14.25" customHeight="1" x14ac:dyDescent="0.3">
      <c r="A882" s="18"/>
      <c r="H882" s="18"/>
      <c r="J882" s="18"/>
      <c r="K882" s="18"/>
    </row>
    <row r="883" spans="1:11" ht="14.25" customHeight="1" x14ac:dyDescent="0.3">
      <c r="A883" s="18"/>
      <c r="H883" s="18"/>
      <c r="J883" s="18"/>
      <c r="K883" s="18"/>
    </row>
    <row r="884" spans="1:11" ht="14.25" customHeight="1" x14ac:dyDescent="0.3">
      <c r="A884" s="18"/>
      <c r="H884" s="18"/>
      <c r="J884" s="18"/>
      <c r="K884" s="18"/>
    </row>
    <row r="885" spans="1:11" ht="14.25" customHeight="1" x14ac:dyDescent="0.3">
      <c r="A885" s="18"/>
      <c r="H885" s="18"/>
      <c r="J885" s="18"/>
      <c r="K885" s="18"/>
    </row>
    <row r="886" spans="1:11" ht="14.25" customHeight="1" x14ac:dyDescent="0.3">
      <c r="A886" s="18"/>
      <c r="H886" s="18"/>
      <c r="J886" s="18"/>
      <c r="K886" s="18"/>
    </row>
    <row r="887" spans="1:11" ht="14.25" customHeight="1" x14ac:dyDescent="0.3">
      <c r="A887" s="18"/>
      <c r="H887" s="18"/>
      <c r="J887" s="18"/>
      <c r="K887" s="18"/>
    </row>
    <row r="888" spans="1:11" ht="14.25" customHeight="1" x14ac:dyDescent="0.3">
      <c r="A888" s="18"/>
      <c r="H888" s="18"/>
      <c r="J888" s="18"/>
      <c r="K888" s="18"/>
    </row>
    <row r="889" spans="1:11" ht="14.25" customHeight="1" x14ac:dyDescent="0.3">
      <c r="A889" s="18"/>
      <c r="H889" s="18"/>
      <c r="J889" s="18"/>
      <c r="K889" s="18"/>
    </row>
    <row r="890" spans="1:11" ht="14.25" customHeight="1" x14ac:dyDescent="0.3">
      <c r="A890" s="18"/>
      <c r="H890" s="18"/>
      <c r="J890" s="18"/>
      <c r="K890" s="18"/>
    </row>
    <row r="891" spans="1:11" ht="14.25" customHeight="1" x14ac:dyDescent="0.3">
      <c r="A891" s="18"/>
      <c r="H891" s="18"/>
      <c r="J891" s="18"/>
      <c r="K891" s="18"/>
    </row>
    <row r="892" spans="1:11" ht="14.25" customHeight="1" x14ac:dyDescent="0.3">
      <c r="A892" s="18"/>
      <c r="H892" s="18"/>
      <c r="J892" s="18"/>
      <c r="K892" s="18"/>
    </row>
    <row r="893" spans="1:11" ht="14.25" customHeight="1" x14ac:dyDescent="0.3">
      <c r="A893" s="18"/>
      <c r="H893" s="18"/>
      <c r="J893" s="18"/>
      <c r="K893" s="18"/>
    </row>
    <row r="894" spans="1:11" ht="14.25" customHeight="1" x14ac:dyDescent="0.3">
      <c r="A894" s="18"/>
      <c r="H894" s="18"/>
      <c r="J894" s="18"/>
      <c r="K894" s="18"/>
    </row>
    <row r="895" spans="1:11" ht="14.25" customHeight="1" x14ac:dyDescent="0.3">
      <c r="A895" s="18"/>
      <c r="H895" s="18"/>
      <c r="J895" s="18"/>
      <c r="K895" s="18"/>
    </row>
    <row r="896" spans="1:11" ht="14.25" customHeight="1" x14ac:dyDescent="0.3">
      <c r="A896" s="18"/>
      <c r="H896" s="18"/>
      <c r="J896" s="18"/>
      <c r="K896" s="18"/>
    </row>
    <row r="897" spans="1:11" ht="14.25" customHeight="1" x14ac:dyDescent="0.3">
      <c r="A897" s="18"/>
      <c r="H897" s="18"/>
      <c r="J897" s="18"/>
      <c r="K897" s="18"/>
    </row>
    <row r="898" spans="1:11" ht="14.25" customHeight="1" x14ac:dyDescent="0.3">
      <c r="A898" s="18"/>
      <c r="H898" s="18"/>
      <c r="J898" s="18"/>
      <c r="K898" s="18"/>
    </row>
    <row r="899" spans="1:11" ht="14.25" customHeight="1" x14ac:dyDescent="0.3">
      <c r="A899" s="18"/>
      <c r="H899" s="18"/>
      <c r="J899" s="18"/>
      <c r="K899" s="18"/>
    </row>
    <row r="900" spans="1:11" ht="14.25" customHeight="1" x14ac:dyDescent="0.3">
      <c r="A900" s="18"/>
      <c r="H900" s="18"/>
      <c r="J900" s="18"/>
      <c r="K900" s="18"/>
    </row>
    <row r="901" spans="1:11" ht="14.25" customHeight="1" x14ac:dyDescent="0.3">
      <c r="A901" s="18"/>
      <c r="H901" s="18"/>
      <c r="J901" s="18"/>
      <c r="K901" s="18"/>
    </row>
    <row r="902" spans="1:11" ht="14.25" customHeight="1" x14ac:dyDescent="0.3">
      <c r="A902" s="18"/>
      <c r="H902" s="18"/>
      <c r="J902" s="18"/>
      <c r="K902" s="18"/>
    </row>
    <row r="903" spans="1:11" ht="14.25" customHeight="1" x14ac:dyDescent="0.3">
      <c r="A903" s="18"/>
      <c r="H903" s="18"/>
      <c r="J903" s="18"/>
      <c r="K903" s="18"/>
    </row>
    <row r="904" spans="1:11" ht="14.25" customHeight="1" x14ac:dyDescent="0.3">
      <c r="A904" s="18"/>
      <c r="H904" s="18"/>
      <c r="J904" s="18"/>
      <c r="K904" s="18"/>
    </row>
    <row r="905" spans="1:11" ht="14.25" customHeight="1" x14ac:dyDescent="0.3">
      <c r="A905" s="18"/>
      <c r="H905" s="18"/>
      <c r="J905" s="18"/>
      <c r="K905" s="18"/>
    </row>
    <row r="906" spans="1:11" ht="14.25" customHeight="1" x14ac:dyDescent="0.3">
      <c r="A906" s="18"/>
      <c r="H906" s="18"/>
      <c r="J906" s="18"/>
      <c r="K906" s="18"/>
    </row>
    <row r="907" spans="1:11" ht="14.25" customHeight="1" x14ac:dyDescent="0.3">
      <c r="A907" s="18"/>
      <c r="H907" s="18"/>
      <c r="J907" s="18"/>
      <c r="K907" s="18"/>
    </row>
    <row r="908" spans="1:11" ht="14.25" customHeight="1" x14ac:dyDescent="0.3">
      <c r="A908" s="18"/>
      <c r="H908" s="18"/>
      <c r="J908" s="18"/>
      <c r="K908" s="18"/>
    </row>
    <row r="909" spans="1:11" ht="14.25" customHeight="1" x14ac:dyDescent="0.3">
      <c r="A909" s="18"/>
      <c r="H909" s="18"/>
      <c r="J909" s="18"/>
      <c r="K909" s="18"/>
    </row>
    <row r="910" spans="1:11" ht="14.25" customHeight="1" x14ac:dyDescent="0.3">
      <c r="A910" s="18"/>
      <c r="H910" s="18"/>
      <c r="J910" s="18"/>
      <c r="K910" s="18"/>
    </row>
    <row r="911" spans="1:11" ht="14.25" customHeight="1" x14ac:dyDescent="0.3">
      <c r="A911" s="18"/>
      <c r="H911" s="18"/>
      <c r="J911" s="18"/>
      <c r="K911" s="18"/>
    </row>
    <row r="912" spans="1:11" ht="14.25" customHeight="1" x14ac:dyDescent="0.3">
      <c r="A912" s="18"/>
      <c r="H912" s="18"/>
      <c r="J912" s="18"/>
      <c r="K912" s="18"/>
    </row>
    <row r="913" spans="1:11" ht="14.25" customHeight="1" x14ac:dyDescent="0.3">
      <c r="A913" s="18"/>
      <c r="H913" s="18"/>
      <c r="J913" s="18"/>
      <c r="K913" s="18"/>
    </row>
    <row r="914" spans="1:11" ht="14.25" customHeight="1" x14ac:dyDescent="0.3">
      <c r="A914" s="18"/>
      <c r="H914" s="18"/>
      <c r="J914" s="18"/>
      <c r="K914" s="18"/>
    </row>
    <row r="915" spans="1:11" ht="14.25" customHeight="1" x14ac:dyDescent="0.3">
      <c r="A915" s="18"/>
      <c r="H915" s="18"/>
      <c r="J915" s="18"/>
      <c r="K915" s="18"/>
    </row>
    <row r="916" spans="1:11" ht="14.25" customHeight="1" x14ac:dyDescent="0.3">
      <c r="A916" s="18"/>
      <c r="H916" s="18"/>
      <c r="J916" s="18"/>
      <c r="K916" s="18"/>
    </row>
    <row r="917" spans="1:11" ht="14.25" customHeight="1" x14ac:dyDescent="0.3">
      <c r="A917" s="18"/>
      <c r="H917" s="18"/>
      <c r="J917" s="18"/>
      <c r="K917" s="18"/>
    </row>
    <row r="918" spans="1:11" ht="14.25" customHeight="1" x14ac:dyDescent="0.3">
      <c r="A918" s="18"/>
      <c r="H918" s="18"/>
      <c r="J918" s="18"/>
      <c r="K918" s="18"/>
    </row>
    <row r="919" spans="1:11" ht="14.25" customHeight="1" x14ac:dyDescent="0.3">
      <c r="A919" s="18"/>
      <c r="H919" s="18"/>
      <c r="J919" s="18"/>
      <c r="K919" s="18"/>
    </row>
    <row r="920" spans="1:11" ht="14.25" customHeight="1" x14ac:dyDescent="0.3">
      <c r="A920" s="18"/>
      <c r="H920" s="18"/>
      <c r="J920" s="18"/>
      <c r="K920" s="18"/>
    </row>
    <row r="921" spans="1:11" ht="14.25" customHeight="1" x14ac:dyDescent="0.3">
      <c r="A921" s="18"/>
      <c r="H921" s="18"/>
      <c r="J921" s="18"/>
      <c r="K921" s="18"/>
    </row>
    <row r="922" spans="1:11" ht="14.25" customHeight="1" x14ac:dyDescent="0.3">
      <c r="A922" s="18"/>
      <c r="H922" s="18"/>
      <c r="J922" s="18"/>
      <c r="K922" s="18"/>
    </row>
    <row r="923" spans="1:11" ht="14.25" customHeight="1" x14ac:dyDescent="0.3">
      <c r="A923" s="18"/>
      <c r="H923" s="18"/>
      <c r="J923" s="18"/>
      <c r="K923" s="18"/>
    </row>
    <row r="924" spans="1:11" ht="14.25" customHeight="1" x14ac:dyDescent="0.3">
      <c r="A924" s="18"/>
      <c r="H924" s="18"/>
      <c r="J924" s="18"/>
      <c r="K924" s="18"/>
    </row>
    <row r="925" spans="1:11" ht="14.25" customHeight="1" x14ac:dyDescent="0.3">
      <c r="A925" s="18"/>
      <c r="H925" s="18"/>
      <c r="J925" s="18"/>
      <c r="K925" s="18"/>
    </row>
    <row r="926" spans="1:11" ht="14.25" customHeight="1" x14ac:dyDescent="0.3">
      <c r="A926" s="18"/>
      <c r="H926" s="18"/>
      <c r="J926" s="18"/>
      <c r="K926" s="18"/>
    </row>
    <row r="927" spans="1:11" ht="14.25" customHeight="1" x14ac:dyDescent="0.3">
      <c r="A927" s="18"/>
      <c r="H927" s="18"/>
      <c r="J927" s="18"/>
      <c r="K927" s="18"/>
    </row>
    <row r="928" spans="1:11" ht="14.25" customHeight="1" x14ac:dyDescent="0.3">
      <c r="A928" s="18"/>
      <c r="H928" s="18"/>
      <c r="J928" s="18"/>
      <c r="K928" s="18"/>
    </row>
    <row r="929" spans="1:11" ht="14.25" customHeight="1" x14ac:dyDescent="0.3">
      <c r="A929" s="18"/>
      <c r="H929" s="18"/>
      <c r="J929" s="18"/>
      <c r="K929" s="18"/>
    </row>
    <row r="930" spans="1:11" ht="14.25" customHeight="1" x14ac:dyDescent="0.3">
      <c r="A930" s="18"/>
      <c r="H930" s="18"/>
      <c r="J930" s="18"/>
      <c r="K930" s="18"/>
    </row>
    <row r="931" spans="1:11" ht="14.25" customHeight="1" x14ac:dyDescent="0.3">
      <c r="A931" s="18"/>
      <c r="H931" s="18"/>
      <c r="J931" s="18"/>
      <c r="K931" s="18"/>
    </row>
    <row r="932" spans="1:11" ht="14.25" customHeight="1" x14ac:dyDescent="0.3">
      <c r="A932" s="18"/>
      <c r="H932" s="18"/>
      <c r="J932" s="18"/>
      <c r="K932" s="18"/>
    </row>
    <row r="933" spans="1:11" ht="14.25" customHeight="1" x14ac:dyDescent="0.3">
      <c r="A933" s="18"/>
      <c r="H933" s="18"/>
      <c r="J933" s="18"/>
      <c r="K933" s="18"/>
    </row>
    <row r="934" spans="1:11" ht="14.25" customHeight="1" x14ac:dyDescent="0.3">
      <c r="A934" s="18"/>
      <c r="H934" s="18"/>
      <c r="J934" s="18"/>
      <c r="K934" s="18"/>
    </row>
    <row r="935" spans="1:11" ht="14.25" customHeight="1" x14ac:dyDescent="0.3">
      <c r="A935" s="18"/>
      <c r="H935" s="18"/>
      <c r="J935" s="18"/>
      <c r="K935" s="18"/>
    </row>
    <row r="936" spans="1:11" ht="14.25" customHeight="1" x14ac:dyDescent="0.3">
      <c r="A936" s="18"/>
      <c r="H936" s="18"/>
      <c r="J936" s="18"/>
      <c r="K936" s="18"/>
    </row>
    <row r="937" spans="1:11" ht="14.25" customHeight="1" x14ac:dyDescent="0.3">
      <c r="A937" s="18"/>
      <c r="H937" s="18"/>
      <c r="J937" s="18"/>
      <c r="K937" s="18"/>
    </row>
    <row r="938" spans="1:11" ht="14.25" customHeight="1" x14ac:dyDescent="0.3">
      <c r="A938" s="18"/>
      <c r="H938" s="18"/>
      <c r="J938" s="18"/>
      <c r="K938" s="18"/>
    </row>
    <row r="939" spans="1:11" ht="14.25" customHeight="1" x14ac:dyDescent="0.3">
      <c r="A939" s="18"/>
      <c r="H939" s="18"/>
      <c r="J939" s="18"/>
      <c r="K939" s="18"/>
    </row>
    <row r="940" spans="1:11" ht="14.25" customHeight="1" x14ac:dyDescent="0.3">
      <c r="A940" s="18"/>
      <c r="H940" s="18"/>
      <c r="J940" s="18"/>
      <c r="K940" s="18"/>
    </row>
    <row r="941" spans="1:11" ht="14.25" customHeight="1" x14ac:dyDescent="0.3">
      <c r="A941" s="18"/>
      <c r="H941" s="18"/>
      <c r="J941" s="18"/>
      <c r="K941" s="18"/>
    </row>
    <row r="942" spans="1:11" ht="14.25" customHeight="1" x14ac:dyDescent="0.3">
      <c r="A942" s="18"/>
      <c r="H942" s="18"/>
      <c r="J942" s="18"/>
      <c r="K942" s="18"/>
    </row>
    <row r="943" spans="1:11" ht="14.25" customHeight="1" x14ac:dyDescent="0.3">
      <c r="A943" s="18"/>
      <c r="H943" s="18"/>
      <c r="J943" s="18"/>
      <c r="K943" s="18"/>
    </row>
    <row r="944" spans="1:11" ht="14.25" customHeight="1" x14ac:dyDescent="0.3">
      <c r="A944" s="18"/>
      <c r="H944" s="18"/>
      <c r="J944" s="18"/>
      <c r="K944" s="18"/>
    </row>
    <row r="945" spans="1:11" ht="14.25" customHeight="1" x14ac:dyDescent="0.3">
      <c r="A945" s="18"/>
      <c r="H945" s="18"/>
      <c r="J945" s="18"/>
      <c r="K945" s="18"/>
    </row>
    <row r="946" spans="1:11" ht="14.25" customHeight="1" x14ac:dyDescent="0.3">
      <c r="A946" s="18"/>
      <c r="H946" s="18"/>
      <c r="J946" s="18"/>
      <c r="K946" s="18"/>
    </row>
    <row r="947" spans="1:11" ht="14.25" customHeight="1" x14ac:dyDescent="0.3">
      <c r="A947" s="18"/>
      <c r="H947" s="18"/>
      <c r="J947" s="18"/>
      <c r="K947" s="18"/>
    </row>
    <row r="948" spans="1:11" ht="14.25" customHeight="1" x14ac:dyDescent="0.3">
      <c r="A948" s="18"/>
      <c r="H948" s="18"/>
      <c r="J948" s="18"/>
      <c r="K948" s="18"/>
    </row>
    <row r="949" spans="1:11" ht="14.25" customHeight="1" x14ac:dyDescent="0.3">
      <c r="A949" s="18"/>
      <c r="H949" s="18"/>
      <c r="J949" s="18"/>
      <c r="K949" s="18"/>
    </row>
    <row r="950" spans="1:11" ht="14.25" customHeight="1" x14ac:dyDescent="0.3">
      <c r="A950" s="18"/>
      <c r="H950" s="18"/>
      <c r="J950" s="18"/>
      <c r="K950" s="18"/>
    </row>
    <row r="951" spans="1:11" ht="14.25" customHeight="1" x14ac:dyDescent="0.3">
      <c r="A951" s="18"/>
      <c r="H951" s="18"/>
      <c r="J951" s="18"/>
      <c r="K951" s="18"/>
    </row>
    <row r="952" spans="1:11" ht="14.25" customHeight="1" x14ac:dyDescent="0.3">
      <c r="A952" s="18"/>
      <c r="H952" s="18"/>
      <c r="J952" s="18"/>
      <c r="K952" s="18"/>
    </row>
    <row r="953" spans="1:11" ht="14.25" customHeight="1" x14ac:dyDescent="0.3">
      <c r="A953" s="18"/>
      <c r="H953" s="18"/>
      <c r="J953" s="18"/>
      <c r="K953" s="18"/>
    </row>
    <row r="954" spans="1:11" ht="14.25" customHeight="1" x14ac:dyDescent="0.3">
      <c r="A954" s="18"/>
      <c r="H954" s="18"/>
      <c r="J954" s="18"/>
      <c r="K954" s="18"/>
    </row>
    <row r="955" spans="1:11" ht="14.25" customHeight="1" x14ac:dyDescent="0.3">
      <c r="A955" s="18"/>
      <c r="H955" s="18"/>
      <c r="J955" s="18"/>
      <c r="K955" s="18"/>
    </row>
    <row r="956" spans="1:11" ht="14.25" customHeight="1" x14ac:dyDescent="0.3">
      <c r="A956" s="18"/>
      <c r="H956" s="18"/>
      <c r="J956" s="18"/>
      <c r="K956" s="18"/>
    </row>
    <row r="957" spans="1:11" ht="14.25" customHeight="1" x14ac:dyDescent="0.3">
      <c r="A957" s="18"/>
      <c r="H957" s="18"/>
      <c r="J957" s="18"/>
      <c r="K957" s="18"/>
    </row>
    <row r="958" spans="1:11" ht="14.25" customHeight="1" x14ac:dyDescent="0.3">
      <c r="A958" s="18"/>
      <c r="H958" s="18"/>
      <c r="J958" s="18"/>
      <c r="K958" s="18"/>
    </row>
    <row r="959" spans="1:11" ht="14.25" customHeight="1" x14ac:dyDescent="0.3">
      <c r="A959" s="18"/>
      <c r="H959" s="18"/>
      <c r="J959" s="18"/>
      <c r="K959" s="18"/>
    </row>
    <row r="960" spans="1:11" ht="14.25" customHeight="1" x14ac:dyDescent="0.3">
      <c r="A960" s="18"/>
      <c r="H960" s="18"/>
      <c r="J960" s="18"/>
      <c r="K960" s="18"/>
    </row>
    <row r="961" spans="1:11" ht="14.25" customHeight="1" x14ac:dyDescent="0.3">
      <c r="A961" s="18"/>
      <c r="H961" s="18"/>
      <c r="J961" s="18"/>
      <c r="K961" s="18"/>
    </row>
    <row r="962" spans="1:11" ht="14.25" customHeight="1" x14ac:dyDescent="0.3">
      <c r="A962" s="18"/>
      <c r="H962" s="18"/>
      <c r="J962" s="18"/>
      <c r="K962" s="18"/>
    </row>
    <row r="963" spans="1:11" ht="14.25" customHeight="1" x14ac:dyDescent="0.3">
      <c r="A963" s="18"/>
      <c r="H963" s="18"/>
      <c r="J963" s="18"/>
      <c r="K963" s="18"/>
    </row>
    <row r="964" spans="1:11" ht="14.25" customHeight="1" x14ac:dyDescent="0.3">
      <c r="A964" s="18"/>
      <c r="H964" s="18"/>
      <c r="J964" s="18"/>
      <c r="K964" s="18"/>
    </row>
    <row r="965" spans="1:11" ht="14.25" customHeight="1" x14ac:dyDescent="0.3">
      <c r="A965" s="18"/>
      <c r="H965" s="18"/>
      <c r="J965" s="18"/>
      <c r="K965" s="18"/>
    </row>
    <row r="966" spans="1:11" ht="14.25" customHeight="1" x14ac:dyDescent="0.3">
      <c r="A966" s="18"/>
      <c r="H966" s="18"/>
      <c r="J966" s="18"/>
      <c r="K966" s="18"/>
    </row>
    <row r="967" spans="1:11" ht="14.25" customHeight="1" x14ac:dyDescent="0.3">
      <c r="A967" s="18"/>
      <c r="H967" s="18"/>
      <c r="J967" s="18"/>
      <c r="K967" s="18"/>
    </row>
    <row r="968" spans="1:11" ht="14.25" customHeight="1" x14ac:dyDescent="0.3">
      <c r="A968" s="18"/>
      <c r="H968" s="18"/>
      <c r="J968" s="18"/>
      <c r="K968" s="18"/>
    </row>
    <row r="969" spans="1:11" ht="14.25" customHeight="1" x14ac:dyDescent="0.3">
      <c r="A969" s="18"/>
      <c r="H969" s="18"/>
      <c r="J969" s="18"/>
      <c r="K969" s="18"/>
    </row>
    <row r="970" spans="1:11" ht="14.25" customHeight="1" x14ac:dyDescent="0.3">
      <c r="A970" s="18"/>
      <c r="H970" s="18"/>
      <c r="J970" s="18"/>
      <c r="K970" s="18"/>
    </row>
    <row r="971" spans="1:11" ht="14.25" customHeight="1" x14ac:dyDescent="0.3">
      <c r="A971" s="18"/>
      <c r="H971" s="18"/>
      <c r="J971" s="18"/>
      <c r="K971" s="18"/>
    </row>
    <row r="972" spans="1:11" ht="14.25" customHeight="1" x14ac:dyDescent="0.3">
      <c r="A972" s="18"/>
      <c r="H972" s="18"/>
      <c r="J972" s="18"/>
      <c r="K972" s="18"/>
    </row>
    <row r="973" spans="1:11" ht="14.25" customHeight="1" x14ac:dyDescent="0.3">
      <c r="A973" s="18"/>
      <c r="H973" s="18"/>
      <c r="J973" s="18"/>
      <c r="K973" s="18"/>
    </row>
    <row r="974" spans="1:11" ht="14.25" customHeight="1" x14ac:dyDescent="0.3">
      <c r="A974" s="18"/>
      <c r="H974" s="18"/>
      <c r="J974" s="18"/>
      <c r="K974" s="18"/>
    </row>
    <row r="975" spans="1:11" ht="14.25" customHeight="1" x14ac:dyDescent="0.3">
      <c r="A975" s="18"/>
      <c r="H975" s="18"/>
      <c r="J975" s="18"/>
      <c r="K975" s="18"/>
    </row>
    <row r="976" spans="1:11" ht="14.25" customHeight="1" x14ac:dyDescent="0.3">
      <c r="A976" s="18"/>
      <c r="H976" s="18"/>
      <c r="J976" s="18"/>
      <c r="K976" s="18"/>
    </row>
    <row r="977" spans="1:11" ht="14.25" customHeight="1" x14ac:dyDescent="0.3">
      <c r="A977" s="18"/>
      <c r="H977" s="18"/>
      <c r="J977" s="18"/>
      <c r="K977" s="18"/>
    </row>
    <row r="978" spans="1:11" ht="14.25" customHeight="1" x14ac:dyDescent="0.3">
      <c r="A978" s="18"/>
      <c r="H978" s="18"/>
      <c r="J978" s="18"/>
      <c r="K978" s="18"/>
    </row>
    <row r="979" spans="1:11" ht="14.25" customHeight="1" x14ac:dyDescent="0.3">
      <c r="A979" s="18"/>
      <c r="H979" s="18"/>
      <c r="J979" s="18"/>
      <c r="K979" s="18"/>
    </row>
    <row r="980" spans="1:11" ht="14.25" customHeight="1" x14ac:dyDescent="0.3">
      <c r="A980" s="18"/>
      <c r="H980" s="18"/>
      <c r="J980" s="18"/>
      <c r="K980" s="18"/>
    </row>
    <row r="981" spans="1:11" ht="14.25" customHeight="1" x14ac:dyDescent="0.3">
      <c r="A981" s="18"/>
      <c r="H981" s="18"/>
      <c r="J981" s="18"/>
      <c r="K981" s="18"/>
    </row>
    <row r="982" spans="1:11" ht="14.25" customHeight="1" x14ac:dyDescent="0.3">
      <c r="A982" s="18"/>
      <c r="H982" s="18"/>
      <c r="J982" s="18"/>
      <c r="K982" s="18"/>
    </row>
    <row r="983" spans="1:11" ht="14.25" customHeight="1" x14ac:dyDescent="0.3">
      <c r="A983" s="18"/>
      <c r="H983" s="18"/>
      <c r="J983" s="18"/>
      <c r="K983" s="18"/>
    </row>
    <row r="984" spans="1:11" ht="14.25" customHeight="1" x14ac:dyDescent="0.3">
      <c r="A984" s="18"/>
      <c r="H984" s="18"/>
      <c r="J984" s="18"/>
      <c r="K984" s="18"/>
    </row>
    <row r="985" spans="1:11" ht="14.25" customHeight="1" x14ac:dyDescent="0.3">
      <c r="A985" s="18"/>
      <c r="H985" s="18"/>
      <c r="J985" s="18"/>
      <c r="K985" s="18"/>
    </row>
    <row r="986" spans="1:11" ht="14.25" customHeight="1" x14ac:dyDescent="0.3">
      <c r="A986" s="18"/>
      <c r="H986" s="18"/>
      <c r="J986" s="18"/>
      <c r="K986" s="18"/>
    </row>
    <row r="987" spans="1:11" ht="14.25" customHeight="1" x14ac:dyDescent="0.3">
      <c r="A987" s="18"/>
      <c r="H987" s="18"/>
      <c r="J987" s="18"/>
      <c r="K987" s="18"/>
    </row>
    <row r="988" spans="1:11" ht="14.25" customHeight="1" x14ac:dyDescent="0.3">
      <c r="A988" s="18"/>
      <c r="H988" s="18"/>
      <c r="J988" s="18"/>
      <c r="K988" s="18"/>
    </row>
    <row r="989" spans="1:11" ht="14.25" customHeight="1" x14ac:dyDescent="0.3">
      <c r="A989" s="18"/>
      <c r="H989" s="18"/>
      <c r="J989" s="18"/>
      <c r="K989" s="18"/>
    </row>
    <row r="990" spans="1:11" ht="14.25" customHeight="1" x14ac:dyDescent="0.3">
      <c r="A990" s="18"/>
      <c r="H990" s="18"/>
      <c r="J990" s="18"/>
      <c r="K990" s="18"/>
    </row>
    <row r="991" spans="1:11" ht="14.25" customHeight="1" x14ac:dyDescent="0.3">
      <c r="A991" s="18"/>
      <c r="H991" s="18"/>
      <c r="J991" s="18"/>
      <c r="K991" s="18"/>
    </row>
    <row r="992" spans="1:11" ht="14.25" customHeight="1" x14ac:dyDescent="0.3">
      <c r="A992" s="18"/>
      <c r="H992" s="18"/>
      <c r="J992" s="18"/>
      <c r="K992" s="18"/>
    </row>
    <row r="993" spans="1:11" ht="14.25" customHeight="1" x14ac:dyDescent="0.3">
      <c r="A993" s="18"/>
      <c r="H993" s="18"/>
      <c r="J993" s="18"/>
      <c r="K993" s="18"/>
    </row>
    <row r="994" spans="1:11" ht="14.25" customHeight="1" x14ac:dyDescent="0.3">
      <c r="A994" s="18"/>
      <c r="H994" s="18"/>
      <c r="J994" s="18"/>
      <c r="K994" s="18"/>
    </row>
    <row r="995" spans="1:11" ht="14.25" customHeight="1" x14ac:dyDescent="0.3">
      <c r="A995" s="18"/>
      <c r="H995" s="18"/>
      <c r="J995" s="18"/>
      <c r="K995" s="18"/>
    </row>
    <row r="996" spans="1:11" ht="14.25" customHeight="1" x14ac:dyDescent="0.3">
      <c r="A996" s="18"/>
      <c r="H996" s="18"/>
      <c r="J996" s="18"/>
      <c r="K996" s="18"/>
    </row>
  </sheetData>
  <mergeCells count="2">
    <mergeCell ref="A1:K1"/>
    <mergeCell ref="A2:K2"/>
  </mergeCells>
  <printOptions horizontalCentered="1"/>
  <pageMargins left="0.19685039370078741" right="0.19685039370078741" top="0.55118110236220474" bottom="0.3543307086614173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98"/>
  <sheetViews>
    <sheetView workbookViewId="0">
      <selection activeCell="C12" sqref="C12"/>
    </sheetView>
  </sheetViews>
  <sheetFormatPr defaultColWidth="14.44140625" defaultRowHeight="15" customHeight="1" x14ac:dyDescent="0.3"/>
  <cols>
    <col min="1" max="1" width="19.88671875" customWidth="1"/>
    <col min="2" max="2" width="5" customWidth="1"/>
    <col min="3" max="3" width="12.5546875" customWidth="1"/>
    <col min="4" max="4" width="11.5546875" customWidth="1"/>
    <col min="5" max="5" width="11.77734375" customWidth="1"/>
    <col min="6" max="6" width="14" customWidth="1"/>
    <col min="7" max="7" width="12.44140625" customWidth="1"/>
    <col min="8" max="8" width="15.21875" customWidth="1"/>
    <col min="9" max="26" width="8.77734375" customWidth="1"/>
  </cols>
  <sheetData>
    <row r="1" spans="1:8" ht="14.25" customHeight="1" x14ac:dyDescent="0.3">
      <c r="A1" s="203" t="s">
        <v>97</v>
      </c>
      <c r="B1" s="185"/>
      <c r="C1" s="185"/>
      <c r="D1" s="185"/>
      <c r="E1" s="185"/>
      <c r="F1" s="185"/>
      <c r="G1" s="185"/>
      <c r="H1" s="185"/>
    </row>
    <row r="2" spans="1:8" ht="14.25" customHeight="1" x14ac:dyDescent="0.3">
      <c r="A2" s="204" t="s">
        <v>209</v>
      </c>
      <c r="B2" s="185"/>
      <c r="C2" s="185"/>
      <c r="D2" s="185"/>
      <c r="E2" s="185"/>
      <c r="F2" s="185"/>
      <c r="G2" s="185"/>
      <c r="H2" s="185"/>
    </row>
    <row r="3" spans="1:8" ht="14.25" customHeight="1" x14ac:dyDescent="0.3">
      <c r="A3" s="21" t="s">
        <v>118</v>
      </c>
      <c r="B3" s="17"/>
      <c r="C3" s="17"/>
      <c r="D3" s="17"/>
      <c r="E3" s="17"/>
      <c r="F3" s="17"/>
      <c r="G3" s="17"/>
      <c r="H3" s="17"/>
    </row>
    <row r="4" spans="1:8" ht="57.6" x14ac:dyDescent="0.3">
      <c r="A4" s="22" t="s">
        <v>119</v>
      </c>
      <c r="B4" s="23" t="s">
        <v>120</v>
      </c>
      <c r="C4" s="23" t="s">
        <v>204</v>
      </c>
      <c r="D4" s="23" t="s">
        <v>205</v>
      </c>
      <c r="E4" s="23" t="s">
        <v>206</v>
      </c>
      <c r="F4" s="23" t="s">
        <v>207</v>
      </c>
      <c r="G4" s="23" t="s">
        <v>121</v>
      </c>
      <c r="H4" s="24" t="s">
        <v>208</v>
      </c>
    </row>
    <row r="5" spans="1:8" ht="14.25" customHeight="1" x14ac:dyDescent="0.3">
      <c r="A5" s="25" t="s">
        <v>122</v>
      </c>
      <c r="B5" s="26"/>
      <c r="C5" s="27">
        <v>2995875</v>
      </c>
      <c r="D5" s="27">
        <v>0</v>
      </c>
      <c r="E5" s="27">
        <v>0</v>
      </c>
      <c r="F5" s="27">
        <f>C5+D5+E5</f>
        <v>2995875</v>
      </c>
      <c r="G5" s="27">
        <f>ROUND(((D5+C5)*B5)+(E5*B5)/2,0)</f>
        <v>0</v>
      </c>
      <c r="H5" s="28">
        <f>F5-G5</f>
        <v>2995875</v>
      </c>
    </row>
    <row r="6" spans="1:8" ht="14.25" customHeight="1" x14ac:dyDescent="0.3">
      <c r="A6" s="29"/>
      <c r="B6" s="30"/>
      <c r="C6" s="31"/>
      <c r="D6" s="31"/>
      <c r="E6" s="31"/>
      <c r="F6" s="31"/>
      <c r="G6" s="31"/>
      <c r="H6" s="32"/>
    </row>
    <row r="7" spans="1:8" ht="14.25" customHeight="1" x14ac:dyDescent="0.3">
      <c r="A7" s="33" t="s">
        <v>123</v>
      </c>
      <c r="B7" s="26">
        <v>0.15</v>
      </c>
      <c r="C7" s="27">
        <v>30019</v>
      </c>
      <c r="D7" s="27">
        <v>0</v>
      </c>
      <c r="E7" s="27">
        <v>0</v>
      </c>
      <c r="F7" s="27">
        <f>C7+D7+E7</f>
        <v>30019</v>
      </c>
      <c r="G7" s="27">
        <f>ROUND(((D7+C7)*B7)+(E7*B7)/2,0)</f>
        <v>4503</v>
      </c>
      <c r="H7" s="28">
        <f>F7-G7</f>
        <v>25516</v>
      </c>
    </row>
    <row r="8" spans="1:8" ht="14.25" customHeight="1" x14ac:dyDescent="0.3">
      <c r="A8" s="33"/>
      <c r="B8" s="34"/>
      <c r="C8" s="27"/>
      <c r="D8" s="27"/>
      <c r="E8" s="27"/>
      <c r="F8" s="27"/>
      <c r="G8" s="27"/>
      <c r="H8" s="28"/>
    </row>
    <row r="9" spans="1:8" ht="14.25" customHeight="1" x14ac:dyDescent="0.3">
      <c r="A9" s="33" t="s">
        <v>124</v>
      </c>
      <c r="B9" s="34">
        <v>0.1</v>
      </c>
      <c r="C9" s="27">
        <v>1602</v>
      </c>
      <c r="D9" s="27">
        <v>0</v>
      </c>
      <c r="E9" s="27">
        <v>0</v>
      </c>
      <c r="F9" s="27">
        <f>C9+D9+E9</f>
        <v>1602</v>
      </c>
      <c r="G9" s="27">
        <f>ROUND(((D9+C9)*B9)+(E9*B9)/2,0)</f>
        <v>160</v>
      </c>
      <c r="H9" s="28">
        <f>F9-G9</f>
        <v>1442</v>
      </c>
    </row>
    <row r="10" spans="1:8" ht="14.25" customHeight="1" x14ac:dyDescent="0.3">
      <c r="A10" s="33"/>
      <c r="B10" s="34"/>
      <c r="C10" s="27"/>
      <c r="D10" s="27"/>
      <c r="E10" s="27"/>
      <c r="F10" s="27"/>
      <c r="G10" s="27"/>
      <c r="H10" s="28"/>
    </row>
    <row r="11" spans="1:8" ht="14.25" customHeight="1" x14ac:dyDescent="0.3">
      <c r="A11" s="33" t="s">
        <v>125</v>
      </c>
      <c r="B11" s="34">
        <v>0.15</v>
      </c>
      <c r="C11" s="27">
        <v>16703</v>
      </c>
      <c r="D11" s="27">
        <v>0</v>
      </c>
      <c r="E11" s="27">
        <v>0</v>
      </c>
      <c r="F11" s="27">
        <f>C11+D11+E11</f>
        <v>16703</v>
      </c>
      <c r="G11" s="27">
        <f>ROUND(((D11+C11)*B11)+(E11*B11)/2,0)</f>
        <v>2505</v>
      </c>
      <c r="H11" s="28">
        <f>F11-G11</f>
        <v>14198</v>
      </c>
    </row>
    <row r="12" spans="1:8" ht="14.25" customHeight="1" x14ac:dyDescent="0.3">
      <c r="A12" s="205" t="s">
        <v>47</v>
      </c>
      <c r="B12" s="206"/>
      <c r="C12" s="35">
        <f t="shared" ref="C12:H12" si="0">SUM(C5:C11)</f>
        <v>3044199</v>
      </c>
      <c r="D12" s="35">
        <f t="shared" si="0"/>
        <v>0</v>
      </c>
      <c r="E12" s="35">
        <f t="shared" si="0"/>
        <v>0</v>
      </c>
      <c r="F12" s="35">
        <f t="shared" si="0"/>
        <v>3044199</v>
      </c>
      <c r="G12" s="35">
        <f t="shared" si="0"/>
        <v>7168</v>
      </c>
      <c r="H12" s="36">
        <f t="shared" si="0"/>
        <v>3037031</v>
      </c>
    </row>
    <row r="13" spans="1:8" ht="14.25" customHeight="1" x14ac:dyDescent="0.3"/>
    <row r="14" spans="1:8" ht="14.25" customHeight="1" x14ac:dyDescent="0.3"/>
    <row r="15" spans="1:8" ht="14.25" customHeight="1" x14ac:dyDescent="0.3"/>
    <row r="16" spans="1:8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mergeCells count="3">
    <mergeCell ref="A1:H1"/>
    <mergeCell ref="A2:H2"/>
    <mergeCell ref="A12:B12"/>
  </mergeCells>
  <printOptions horizontalCentered="1"/>
  <pageMargins left="0" right="0" top="0.74803149606299213" bottom="0.74803149606299213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2"/>
  <sheetViews>
    <sheetView workbookViewId="0">
      <selection activeCell="E18" sqref="E18"/>
    </sheetView>
  </sheetViews>
  <sheetFormatPr defaultColWidth="14.44140625" defaultRowHeight="15" customHeight="1" x14ac:dyDescent="0.3"/>
  <cols>
    <col min="1" max="1" width="12.77734375" bestFit="1" customWidth="1"/>
    <col min="2" max="2" width="18" bestFit="1" customWidth="1"/>
    <col min="3" max="3" width="12.21875" bestFit="1" customWidth="1"/>
    <col min="4" max="4" width="8.109375" hidden="1" customWidth="1"/>
    <col min="5" max="5" width="8.77734375" customWidth="1"/>
    <col min="6" max="6" width="4.109375" customWidth="1"/>
    <col min="7" max="7" width="5.44140625" bestFit="1" customWidth="1"/>
    <col min="8" max="8" width="5.5546875" bestFit="1" customWidth="1"/>
    <col min="9" max="9" width="4.5546875" bestFit="1" customWidth="1"/>
    <col min="10" max="10" width="60.44140625" bestFit="1" customWidth="1"/>
    <col min="11" max="11" width="12.109375" bestFit="1" customWidth="1"/>
    <col min="12" max="26" width="8.77734375" customWidth="1"/>
  </cols>
  <sheetData>
    <row r="1" spans="1:11" ht="21" x14ac:dyDescent="0.4">
      <c r="A1" s="216" t="s">
        <v>126</v>
      </c>
      <c r="B1" s="185"/>
      <c r="C1" s="185"/>
      <c r="D1" s="21"/>
      <c r="E1" s="21"/>
    </row>
    <row r="2" spans="1:11" ht="14.25" customHeight="1" x14ac:dyDescent="0.3">
      <c r="A2" s="217" t="s">
        <v>248</v>
      </c>
      <c r="B2" s="185"/>
      <c r="C2" s="185"/>
      <c r="D2" s="20"/>
      <c r="E2" s="20"/>
    </row>
    <row r="3" spans="1:11" ht="14.25" customHeight="1" x14ac:dyDescent="0.3">
      <c r="A3" s="20"/>
      <c r="B3" s="20"/>
      <c r="C3" s="20"/>
      <c r="D3" s="20"/>
      <c r="E3" s="20"/>
    </row>
    <row r="4" spans="1:11" ht="14.25" customHeight="1" x14ac:dyDescent="0.3">
      <c r="A4" s="21" t="s">
        <v>127</v>
      </c>
      <c r="G4" s="210" t="s">
        <v>132</v>
      </c>
      <c r="H4" s="210"/>
      <c r="I4" s="210"/>
      <c r="J4" s="210"/>
    </row>
    <row r="5" spans="1:11" ht="14.25" customHeight="1" x14ac:dyDescent="0.3">
      <c r="A5" s="218" t="s">
        <v>128</v>
      </c>
      <c r="B5" s="219"/>
      <c r="C5" s="220"/>
      <c r="G5" s="222" t="s">
        <v>133</v>
      </c>
      <c r="H5" s="223"/>
      <c r="I5" s="223"/>
      <c r="J5" s="223"/>
      <c r="K5" s="224"/>
    </row>
    <row r="6" spans="1:11" ht="19.5" customHeight="1" thickBot="1" x14ac:dyDescent="0.35">
      <c r="A6" s="23" t="s">
        <v>129</v>
      </c>
      <c r="B6" s="23" t="s">
        <v>130</v>
      </c>
      <c r="C6" s="23" t="s">
        <v>131</v>
      </c>
      <c r="G6" s="69" t="s">
        <v>220</v>
      </c>
      <c r="H6" s="69" t="s">
        <v>221</v>
      </c>
      <c r="I6" s="69" t="s">
        <v>222</v>
      </c>
      <c r="J6" s="66" t="s">
        <v>219</v>
      </c>
      <c r="K6" s="23" t="s">
        <v>131</v>
      </c>
    </row>
    <row r="7" spans="1:11" thickTop="1" x14ac:dyDescent="0.3">
      <c r="A7" s="176">
        <v>1</v>
      </c>
      <c r="B7" s="177" t="s">
        <v>177</v>
      </c>
      <c r="C7" s="178">
        <v>100000</v>
      </c>
      <c r="G7" s="70">
        <v>1</v>
      </c>
      <c r="H7" s="68" t="s">
        <v>223</v>
      </c>
      <c r="I7" s="68" t="s">
        <v>224</v>
      </c>
      <c r="J7" s="67" t="s">
        <v>225</v>
      </c>
      <c r="K7" s="71">
        <v>36</v>
      </c>
    </row>
    <row r="8" spans="1:11" ht="14.25" customHeight="1" thickBot="1" x14ac:dyDescent="0.35">
      <c r="A8" s="221" t="s">
        <v>47</v>
      </c>
      <c r="B8" s="191"/>
      <c r="C8" s="112">
        <f>SUM(C7:C7)</f>
        <v>100000</v>
      </c>
      <c r="G8" s="70">
        <v>2</v>
      </c>
      <c r="H8" s="68" t="s">
        <v>223</v>
      </c>
      <c r="I8" s="68" t="s">
        <v>226</v>
      </c>
      <c r="J8" s="67" t="s">
        <v>227</v>
      </c>
      <c r="K8" s="71">
        <v>4134</v>
      </c>
    </row>
    <row r="9" spans="1:11" ht="14.25" customHeight="1" thickTop="1" x14ac:dyDescent="0.3">
      <c r="A9" s="17"/>
      <c r="B9" s="50"/>
      <c r="C9" s="119"/>
      <c r="G9" s="70">
        <v>3</v>
      </c>
      <c r="H9" s="68" t="s">
        <v>223</v>
      </c>
      <c r="I9" s="68" t="s">
        <v>228</v>
      </c>
      <c r="J9" s="67" t="s">
        <v>229</v>
      </c>
      <c r="K9" s="71">
        <v>968</v>
      </c>
    </row>
    <row r="10" spans="1:11" ht="14.25" customHeight="1" x14ac:dyDescent="0.3">
      <c r="A10" s="17"/>
      <c r="B10" s="50"/>
      <c r="C10" s="119"/>
      <c r="G10" s="70">
        <v>4</v>
      </c>
      <c r="H10" s="68" t="s">
        <v>230</v>
      </c>
      <c r="I10" s="68" t="s">
        <v>231</v>
      </c>
      <c r="J10" s="67" t="s">
        <v>232</v>
      </c>
      <c r="K10" s="71">
        <v>1599</v>
      </c>
    </row>
    <row r="11" spans="1:11" ht="14.25" customHeight="1" x14ac:dyDescent="0.3">
      <c r="A11" s="21" t="s">
        <v>135</v>
      </c>
      <c r="G11" s="70">
        <v>5</v>
      </c>
      <c r="H11" s="68" t="s">
        <v>230</v>
      </c>
      <c r="I11" s="68" t="s">
        <v>233</v>
      </c>
      <c r="J11" s="67" t="s">
        <v>234</v>
      </c>
      <c r="K11" s="71">
        <f>1004+1972</f>
        <v>2976</v>
      </c>
    </row>
    <row r="12" spans="1:11" ht="14.25" customHeight="1" x14ac:dyDescent="0.3">
      <c r="A12" s="211" t="s">
        <v>136</v>
      </c>
      <c r="B12" s="212"/>
      <c r="C12" s="213"/>
      <c r="G12" s="70">
        <v>6</v>
      </c>
      <c r="H12" s="68" t="s">
        <v>230</v>
      </c>
      <c r="I12" s="68" t="s">
        <v>235</v>
      </c>
      <c r="J12" s="67" t="s">
        <v>236</v>
      </c>
      <c r="K12" s="71">
        <v>6637</v>
      </c>
    </row>
    <row r="13" spans="1:11" ht="14.4" customHeight="1" x14ac:dyDescent="0.3">
      <c r="A13" s="179" t="s">
        <v>129</v>
      </c>
      <c r="B13" s="179" t="s">
        <v>137</v>
      </c>
      <c r="C13" s="179" t="s">
        <v>131</v>
      </c>
      <c r="G13" s="70">
        <v>7</v>
      </c>
      <c r="H13" s="68" t="s">
        <v>230</v>
      </c>
      <c r="I13" s="68" t="s">
        <v>237</v>
      </c>
      <c r="J13" s="67" t="s">
        <v>238</v>
      </c>
      <c r="K13" s="71">
        <v>8417</v>
      </c>
    </row>
    <row r="14" spans="1:11" ht="14.25" customHeight="1" x14ac:dyDescent="0.3">
      <c r="A14" s="57">
        <v>1</v>
      </c>
      <c r="B14" s="180" t="s">
        <v>176</v>
      </c>
      <c r="C14" s="181">
        <f>Sheet!E8</f>
        <v>7297</v>
      </c>
      <c r="G14" s="70">
        <v>8</v>
      </c>
      <c r="H14" s="68" t="s">
        <v>230</v>
      </c>
      <c r="I14" s="70">
        <v>13</v>
      </c>
      <c r="J14" s="67" t="s">
        <v>239</v>
      </c>
      <c r="K14" s="71">
        <v>8500</v>
      </c>
    </row>
    <row r="15" spans="1:11" ht="14.25" customHeight="1" x14ac:dyDescent="0.3">
      <c r="A15" s="57">
        <v>2</v>
      </c>
      <c r="B15" s="180" t="s">
        <v>93</v>
      </c>
      <c r="C15" s="181">
        <v>2100</v>
      </c>
      <c r="G15" s="70">
        <v>9</v>
      </c>
      <c r="H15" s="68" t="s">
        <v>230</v>
      </c>
      <c r="I15" s="70">
        <v>14</v>
      </c>
      <c r="J15" s="67" t="s">
        <v>240</v>
      </c>
      <c r="K15" s="71">
        <v>7548</v>
      </c>
    </row>
    <row r="16" spans="1:11" ht="14.25" customHeight="1" x14ac:dyDescent="0.3">
      <c r="A16" s="57">
        <v>3</v>
      </c>
      <c r="B16" s="180" t="s">
        <v>251</v>
      </c>
      <c r="C16" s="181">
        <v>826</v>
      </c>
      <c r="G16" s="70">
        <v>10</v>
      </c>
      <c r="H16" s="68" t="s">
        <v>230</v>
      </c>
      <c r="I16" s="70">
        <v>15</v>
      </c>
      <c r="J16" s="67" t="s">
        <v>241</v>
      </c>
      <c r="K16" s="71">
        <v>13652</v>
      </c>
    </row>
    <row r="17" spans="1:11" ht="14.25" customHeight="1" thickBot="1" x14ac:dyDescent="0.35">
      <c r="A17" s="57">
        <v>4</v>
      </c>
      <c r="B17" s="180" t="s">
        <v>138</v>
      </c>
      <c r="C17" s="181">
        <v>1500</v>
      </c>
      <c r="G17" s="207" t="s">
        <v>47</v>
      </c>
      <c r="H17" s="208"/>
      <c r="I17" s="208"/>
      <c r="J17" s="209"/>
      <c r="K17" s="72">
        <f>SUM(K7:K16)</f>
        <v>54467</v>
      </c>
    </row>
    <row r="18" spans="1:11" ht="14.25" customHeight="1" thickTop="1" x14ac:dyDescent="0.3">
      <c r="A18" s="57">
        <v>5</v>
      </c>
      <c r="B18" s="67" t="s">
        <v>28</v>
      </c>
      <c r="C18" s="182">
        <v>3410</v>
      </c>
    </row>
    <row r="19" spans="1:11" ht="14.25" customHeight="1" x14ac:dyDescent="0.3">
      <c r="A19" s="57">
        <v>6</v>
      </c>
      <c r="B19" s="67" t="s">
        <v>242</v>
      </c>
      <c r="C19" s="93">
        <v>8105</v>
      </c>
    </row>
    <row r="20" spans="1:11" ht="14.25" customHeight="1" x14ac:dyDescent="0.3">
      <c r="A20" s="57">
        <v>7</v>
      </c>
      <c r="B20" s="67" t="s">
        <v>243</v>
      </c>
      <c r="C20" s="93">
        <v>12980</v>
      </c>
    </row>
    <row r="21" spans="1:11" ht="14.25" customHeight="1" x14ac:dyDescent="0.3">
      <c r="A21" s="57">
        <v>8</v>
      </c>
      <c r="B21" s="67" t="s">
        <v>244</v>
      </c>
      <c r="C21" s="93">
        <v>2200</v>
      </c>
    </row>
    <row r="22" spans="1:11" ht="14.25" customHeight="1" thickBot="1" x14ac:dyDescent="0.35">
      <c r="A22" s="214" t="s">
        <v>47</v>
      </c>
      <c r="B22" s="215"/>
      <c r="C22" s="56">
        <f>SUM(C14:C21)</f>
        <v>38418</v>
      </c>
    </row>
    <row r="23" spans="1:11" ht="14.25" customHeight="1" thickTop="1" x14ac:dyDescent="0.3"/>
    <row r="24" spans="1:11" ht="14.25" customHeight="1" x14ac:dyDescent="0.3"/>
    <row r="25" spans="1:11" ht="14.4" customHeight="1" x14ac:dyDescent="0.3"/>
    <row r="26" spans="1:11" ht="14.25" customHeight="1" x14ac:dyDescent="0.3"/>
    <row r="27" spans="1:11" ht="14.25" customHeight="1" x14ac:dyDescent="0.3"/>
    <row r="28" spans="1:11" ht="14.25" customHeight="1" x14ac:dyDescent="0.3"/>
    <row r="29" spans="1:11" ht="14.25" customHeight="1" x14ac:dyDescent="0.3"/>
    <row r="30" spans="1:11" ht="14.25" customHeight="1" x14ac:dyDescent="0.3"/>
    <row r="31" spans="1:11" ht="14.25" customHeight="1" x14ac:dyDescent="0.3"/>
    <row r="32" spans="1:11" ht="14.25" customHeight="1" x14ac:dyDescent="0.3"/>
    <row r="33" spans="5:5" ht="14.25" customHeight="1" x14ac:dyDescent="0.3"/>
    <row r="34" spans="5:5" ht="14.25" customHeight="1" x14ac:dyDescent="0.3"/>
    <row r="35" spans="5:5" ht="14.25" customHeight="1" x14ac:dyDescent="0.3"/>
    <row r="36" spans="5:5" ht="14.25" customHeight="1" x14ac:dyDescent="0.3"/>
    <row r="37" spans="5:5" ht="14.25" customHeight="1" x14ac:dyDescent="0.3">
      <c r="E37" s="47"/>
    </row>
    <row r="38" spans="5:5" ht="14.25" customHeight="1" x14ac:dyDescent="0.3"/>
    <row r="39" spans="5:5" ht="14.25" customHeight="1" x14ac:dyDescent="0.3"/>
    <row r="40" spans="5:5" ht="14.25" customHeight="1" x14ac:dyDescent="0.3"/>
    <row r="41" spans="5:5" ht="14.25" customHeight="1" x14ac:dyDescent="0.3"/>
    <row r="42" spans="5:5" ht="14.25" customHeight="1" x14ac:dyDescent="0.3"/>
    <row r="43" spans="5:5" ht="14.25" customHeight="1" x14ac:dyDescent="0.3"/>
    <row r="44" spans="5:5" ht="14.25" customHeight="1" x14ac:dyDescent="0.3"/>
    <row r="45" spans="5:5" ht="14.25" customHeight="1" x14ac:dyDescent="0.3"/>
    <row r="46" spans="5:5" ht="14.25" customHeight="1" x14ac:dyDescent="0.3"/>
    <row r="47" spans="5:5" ht="14.25" customHeight="1" x14ac:dyDescent="0.3"/>
    <row r="48" spans="5:5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</sheetData>
  <mergeCells count="9">
    <mergeCell ref="G17:J17"/>
    <mergeCell ref="G4:J4"/>
    <mergeCell ref="A12:C12"/>
    <mergeCell ref="A22:B22"/>
    <mergeCell ref="A1:C1"/>
    <mergeCell ref="A2:C2"/>
    <mergeCell ref="A5:C5"/>
    <mergeCell ref="A8:B8"/>
    <mergeCell ref="G5:K5"/>
  </mergeCells>
  <printOptions horizontalCentered="1"/>
  <pageMargins left="0" right="0" top="0.74803149606299213" bottom="0.74803149606299213" header="0" footer="0"/>
  <pageSetup paperSize="9" scale="12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996"/>
  <sheetViews>
    <sheetView workbookViewId="0">
      <selection activeCell="B16" sqref="B16"/>
    </sheetView>
  </sheetViews>
  <sheetFormatPr defaultColWidth="14.44140625" defaultRowHeight="15" customHeight="1" x14ac:dyDescent="0.3"/>
  <cols>
    <col min="1" max="1" width="8.77734375" customWidth="1"/>
    <col min="2" max="2" width="10.109375" customWidth="1"/>
    <col min="3" max="3" width="60" customWidth="1"/>
    <col min="4" max="4" width="9.109375" bestFit="1" customWidth="1"/>
    <col min="5" max="5" width="10.77734375" customWidth="1"/>
    <col min="6" max="21" width="8.77734375" customWidth="1"/>
  </cols>
  <sheetData>
    <row r="1" spans="2:4" ht="14.25" customHeight="1" x14ac:dyDescent="0.3">
      <c r="B1" s="225" t="s">
        <v>139</v>
      </c>
      <c r="C1" s="219"/>
      <c r="D1" s="220"/>
    </row>
    <row r="2" spans="2:4" ht="14.25" customHeight="1" x14ac:dyDescent="0.3">
      <c r="B2" s="226" t="s">
        <v>210</v>
      </c>
      <c r="C2" s="219"/>
      <c r="D2" s="220"/>
    </row>
    <row r="3" spans="2:4" ht="14.25" customHeight="1" x14ac:dyDescent="0.3">
      <c r="B3" s="37"/>
      <c r="C3" s="37"/>
      <c r="D3" s="183" t="s">
        <v>134</v>
      </c>
    </row>
    <row r="4" spans="2:4" ht="14.25" customHeight="1" x14ac:dyDescent="0.3">
      <c r="B4" s="37"/>
      <c r="C4" s="37" t="s">
        <v>140</v>
      </c>
      <c r="D4" s="39">
        <v>96127.95</v>
      </c>
    </row>
    <row r="5" spans="2:4" ht="14.25" customHeight="1" x14ac:dyDescent="0.3">
      <c r="B5" s="37"/>
      <c r="C5" s="37"/>
      <c r="D5" s="37"/>
    </row>
    <row r="6" spans="2:4" ht="14.25" customHeight="1" x14ac:dyDescent="0.3">
      <c r="B6" s="37" t="s">
        <v>141</v>
      </c>
      <c r="C6" s="40" t="s">
        <v>142</v>
      </c>
      <c r="D6" s="38">
        <v>0</v>
      </c>
    </row>
    <row r="7" spans="2:4" ht="14.25" customHeight="1" x14ac:dyDescent="0.3">
      <c r="B7" s="37"/>
      <c r="C7" s="40"/>
      <c r="D7" s="39"/>
    </row>
    <row r="8" spans="2:4" ht="14.25" customHeight="1" x14ac:dyDescent="0.3">
      <c r="B8" s="37" t="s">
        <v>143</v>
      </c>
      <c r="C8" s="40" t="s">
        <v>144</v>
      </c>
      <c r="D8" s="38">
        <v>0</v>
      </c>
    </row>
    <row r="9" spans="2:4" ht="14.25" customHeight="1" x14ac:dyDescent="0.3">
      <c r="B9" s="37"/>
      <c r="C9" s="37"/>
      <c r="D9" s="37"/>
    </row>
    <row r="10" spans="2:4" ht="14.25" customHeight="1" x14ac:dyDescent="0.3">
      <c r="B10" s="37"/>
      <c r="C10" s="40" t="s">
        <v>145</v>
      </c>
      <c r="D10" s="58">
        <f>D4-D6+D8</f>
        <v>96127.95</v>
      </c>
    </row>
    <row r="11" spans="2:4" ht="14.25" customHeight="1" x14ac:dyDescent="0.3">
      <c r="B11" s="59"/>
      <c r="C11" s="14"/>
      <c r="D11" s="60"/>
    </row>
    <row r="12" spans="2:4" ht="14.25" customHeight="1" x14ac:dyDescent="0.3">
      <c r="B12" s="59"/>
      <c r="C12" s="14"/>
      <c r="D12" s="60"/>
    </row>
    <row r="13" spans="2:4" ht="14.25" customHeight="1" x14ac:dyDescent="0.3"/>
    <row r="14" spans="2:4" ht="14.25" customHeight="1" x14ac:dyDescent="0.3">
      <c r="B14" s="225" t="s">
        <v>139</v>
      </c>
      <c r="C14" s="219"/>
      <c r="D14" s="220"/>
    </row>
    <row r="15" spans="2:4" ht="14.25" customHeight="1" x14ac:dyDescent="0.3">
      <c r="B15" s="226" t="s">
        <v>252</v>
      </c>
      <c r="C15" s="219"/>
      <c r="D15" s="220"/>
    </row>
    <row r="16" spans="2:4" ht="14.25" customHeight="1" x14ac:dyDescent="0.3">
      <c r="B16" s="37"/>
      <c r="C16" s="37"/>
      <c r="D16" s="183" t="s">
        <v>134</v>
      </c>
    </row>
    <row r="17" spans="2:4" ht="14.25" customHeight="1" x14ac:dyDescent="0.3">
      <c r="B17" s="37"/>
      <c r="C17" s="37" t="s">
        <v>140</v>
      </c>
      <c r="D17" s="39">
        <v>12886.85</v>
      </c>
    </row>
    <row r="18" spans="2:4" ht="14.25" customHeight="1" x14ac:dyDescent="0.3">
      <c r="B18" s="37"/>
      <c r="C18" s="37"/>
      <c r="D18" s="37"/>
    </row>
    <row r="19" spans="2:4" ht="14.25" customHeight="1" x14ac:dyDescent="0.3">
      <c r="B19" s="37" t="s">
        <v>141</v>
      </c>
      <c r="C19" s="40" t="s">
        <v>142</v>
      </c>
      <c r="D19" s="38">
        <v>0</v>
      </c>
    </row>
    <row r="20" spans="2:4" ht="13.8" customHeight="1" x14ac:dyDescent="0.3">
      <c r="B20" s="37"/>
      <c r="C20" s="40"/>
      <c r="D20" s="37"/>
    </row>
    <row r="21" spans="2:4" ht="14.25" customHeight="1" x14ac:dyDescent="0.3">
      <c r="B21" s="37" t="s">
        <v>143</v>
      </c>
      <c r="C21" s="40" t="s">
        <v>144</v>
      </c>
      <c r="D21" s="38">
        <v>0</v>
      </c>
    </row>
    <row r="22" spans="2:4" ht="14.25" customHeight="1" x14ac:dyDescent="0.3">
      <c r="B22" s="37"/>
      <c r="C22" s="40"/>
      <c r="D22" s="37"/>
    </row>
    <row r="23" spans="2:4" ht="14.25" customHeight="1" x14ac:dyDescent="0.3">
      <c r="B23" s="37"/>
      <c r="C23" s="40" t="s">
        <v>145</v>
      </c>
      <c r="D23" s="58">
        <f>D17-D19+D21</f>
        <v>12886.85</v>
      </c>
    </row>
    <row r="24" spans="2:4" ht="14.25" customHeight="1" x14ac:dyDescent="0.3">
      <c r="D24" s="15"/>
    </row>
    <row r="25" spans="2:4" ht="14.25" customHeight="1" x14ac:dyDescent="0.3"/>
    <row r="26" spans="2:4" ht="14.25" customHeight="1" x14ac:dyDescent="0.3"/>
    <row r="27" spans="2:4" ht="14.25" customHeight="1" x14ac:dyDescent="0.3"/>
    <row r="28" spans="2:4" ht="14.25" customHeight="1" x14ac:dyDescent="0.3"/>
    <row r="29" spans="2:4" ht="14.25" customHeight="1" x14ac:dyDescent="0.3"/>
    <row r="30" spans="2:4" ht="14.25" customHeight="1" x14ac:dyDescent="0.3"/>
    <row r="31" spans="2:4" ht="14.25" customHeight="1" x14ac:dyDescent="0.3"/>
    <row r="32" spans="2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</sheetData>
  <mergeCells count="4">
    <mergeCell ref="B1:D1"/>
    <mergeCell ref="B2:D2"/>
    <mergeCell ref="B14:D14"/>
    <mergeCell ref="B15:D15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85"/>
  <sheetViews>
    <sheetView workbookViewId="0">
      <selection activeCell="D6" sqref="D6"/>
    </sheetView>
  </sheetViews>
  <sheetFormatPr defaultColWidth="14.44140625" defaultRowHeight="15" customHeight="1" x14ac:dyDescent="0.3"/>
  <cols>
    <col min="1" max="1" width="17" customWidth="1"/>
    <col min="2" max="3" width="10.44140625" customWidth="1"/>
    <col min="4" max="9" width="8.77734375" customWidth="1"/>
    <col min="10" max="11" width="10.33203125" bestFit="1" customWidth="1"/>
    <col min="12" max="23" width="8.77734375" customWidth="1"/>
  </cols>
  <sheetData>
    <row r="1" spans="1:6" ht="14.25" customHeight="1" x14ac:dyDescent="0.3">
      <c r="A1" s="14" t="s">
        <v>146</v>
      </c>
    </row>
    <row r="2" spans="1:6" ht="14.25" customHeight="1" x14ac:dyDescent="0.3">
      <c r="A2" s="19" t="s">
        <v>147</v>
      </c>
      <c r="B2" s="62">
        <v>45665</v>
      </c>
      <c r="C2" s="62">
        <v>45755</v>
      </c>
      <c r="D2">
        <f>C2-B2</f>
        <v>90</v>
      </c>
      <c r="E2">
        <v>8041</v>
      </c>
    </row>
    <row r="3" spans="1:6" ht="14.25" customHeight="1" x14ac:dyDescent="0.3">
      <c r="B3" s="62">
        <v>45748</v>
      </c>
      <c r="C3" s="62">
        <v>45755</v>
      </c>
      <c r="D3">
        <f>C3-B3+1</f>
        <v>8</v>
      </c>
      <c r="E3">
        <f>ROUND(D3*E2/D2,0)</f>
        <v>715</v>
      </c>
    </row>
    <row r="4" spans="1:6" ht="14.25" customHeight="1" x14ac:dyDescent="0.3">
      <c r="B4" s="62">
        <f>C3</f>
        <v>45755</v>
      </c>
      <c r="C4" s="62">
        <v>45846</v>
      </c>
      <c r="D4">
        <f>C4-B4</f>
        <v>91</v>
      </c>
      <c r="E4">
        <v>8339</v>
      </c>
      <c r="F4" s="55"/>
    </row>
    <row r="5" spans="1:6" ht="14.25" customHeight="1" x14ac:dyDescent="0.3">
      <c r="B5" s="62">
        <f>C4</f>
        <v>45846</v>
      </c>
      <c r="C5" s="62">
        <v>45938</v>
      </c>
      <c r="D5">
        <f>C5-B5</f>
        <v>92</v>
      </c>
      <c r="E5">
        <v>8024</v>
      </c>
      <c r="F5" s="55"/>
    </row>
    <row r="6" spans="1:6" ht="14.25" customHeight="1" x14ac:dyDescent="0.3">
      <c r="B6" s="62">
        <f>C5</f>
        <v>45938</v>
      </c>
      <c r="C6" s="62">
        <v>46030</v>
      </c>
      <c r="D6">
        <f>C6-B6</f>
        <v>92</v>
      </c>
      <c r="E6">
        <v>8105</v>
      </c>
      <c r="F6" s="55"/>
    </row>
    <row r="7" spans="1:6" ht="14.25" customHeight="1" x14ac:dyDescent="0.3">
      <c r="B7" s="62"/>
      <c r="C7" s="62"/>
      <c r="D7">
        <f>SUM(D3:D6)</f>
        <v>283</v>
      </c>
      <c r="E7">
        <f>SUM(E3:E6)</f>
        <v>25183</v>
      </c>
      <c r="F7" s="55"/>
    </row>
    <row r="8" spans="1:6" ht="14.25" customHeight="1" x14ac:dyDescent="0.3">
      <c r="B8" s="62">
        <f>C6</f>
        <v>46030</v>
      </c>
      <c r="C8" s="62">
        <v>46112</v>
      </c>
      <c r="D8">
        <f>C8-B8</f>
        <v>82</v>
      </c>
      <c r="E8">
        <f>ROUND(D8*E7/D7,0)</f>
        <v>7297</v>
      </c>
      <c r="F8" s="55" t="s">
        <v>174</v>
      </c>
    </row>
    <row r="9" spans="1:6" ht="14.25" customHeight="1" x14ac:dyDescent="0.3">
      <c r="D9">
        <f>D7+D8</f>
        <v>365</v>
      </c>
      <c r="E9">
        <f>E7+E8</f>
        <v>32480</v>
      </c>
      <c r="F9" s="55"/>
    </row>
    <row r="10" spans="1:6" ht="14.25" customHeight="1" x14ac:dyDescent="0.3"/>
    <row r="11" spans="1:6" ht="14.25" customHeight="1" x14ac:dyDescent="0.3">
      <c r="A11" s="14" t="s">
        <v>148</v>
      </c>
    </row>
    <row r="12" spans="1:6" ht="14.25" customHeight="1" x14ac:dyDescent="0.3">
      <c r="B12" s="41">
        <v>46088</v>
      </c>
      <c r="C12" s="41">
        <v>46452</v>
      </c>
      <c r="D12" s="19">
        <f t="shared" ref="D12:D13" si="0">C12-B12+1</f>
        <v>365</v>
      </c>
      <c r="E12" s="19">
        <v>17855</v>
      </c>
    </row>
    <row r="13" spans="1:6" ht="14.25" customHeight="1" x14ac:dyDescent="0.3">
      <c r="B13" s="41">
        <v>46113</v>
      </c>
      <c r="C13" s="41">
        <v>46452</v>
      </c>
      <c r="D13" s="19">
        <f t="shared" si="0"/>
        <v>340</v>
      </c>
      <c r="E13" s="55">
        <f>ROUND(E12*D13/D12,0)</f>
        <v>16632</v>
      </c>
      <c r="F13" s="55" t="s">
        <v>175</v>
      </c>
    </row>
    <row r="14" spans="1:6" ht="14.25" customHeight="1" x14ac:dyDescent="0.3"/>
    <row r="15" spans="1:6" ht="14.25" customHeight="1" x14ac:dyDescent="0.3"/>
    <row r="16" spans="1:6" ht="14.25" customHeight="1" x14ac:dyDescent="0.3"/>
    <row r="17" spans="1:1" ht="14.25" customHeight="1" x14ac:dyDescent="0.3"/>
    <row r="18" spans="1:1" ht="14.25" customHeight="1" x14ac:dyDescent="0.3"/>
    <row r="19" spans="1:1" ht="14.25" customHeight="1" x14ac:dyDescent="0.3"/>
    <row r="20" spans="1:1" ht="14.25" customHeight="1" x14ac:dyDescent="0.3">
      <c r="A20" s="19"/>
    </row>
    <row r="21" spans="1:1" ht="14.25" customHeight="1" x14ac:dyDescent="0.3"/>
    <row r="22" spans="1:1" ht="14.25" customHeight="1" x14ac:dyDescent="0.3"/>
    <row r="23" spans="1:1" ht="14.25" customHeight="1" x14ac:dyDescent="0.3"/>
    <row r="24" spans="1:1" ht="14.25" customHeight="1" x14ac:dyDescent="0.3"/>
    <row r="25" spans="1:1" ht="14.25" customHeight="1" x14ac:dyDescent="0.3"/>
    <row r="26" spans="1:1" ht="14.25" customHeight="1" x14ac:dyDescent="0.3"/>
    <row r="27" spans="1:1" ht="14.25" customHeight="1" x14ac:dyDescent="0.3"/>
    <row r="28" spans="1:1" ht="14.25" customHeight="1" x14ac:dyDescent="0.3"/>
    <row r="29" spans="1:1" ht="14.25" customHeight="1" x14ac:dyDescent="0.3"/>
    <row r="30" spans="1:1" ht="14.25" customHeight="1" x14ac:dyDescent="0.3"/>
    <row r="31" spans="1:1" ht="14.25" customHeight="1" x14ac:dyDescent="0.3"/>
    <row r="32" spans="1: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98"/>
  <sheetViews>
    <sheetView workbookViewId="0">
      <selection sqref="A1:XFD1048576"/>
    </sheetView>
  </sheetViews>
  <sheetFormatPr defaultRowHeight="15" customHeight="1" x14ac:dyDescent="0.3"/>
  <cols>
    <col min="1" max="1" width="20.21875" customWidth="1"/>
    <col min="2" max="2" width="27" customWidth="1"/>
    <col min="3" max="3" width="67.77734375" bestFit="1" customWidth="1"/>
    <col min="4" max="4" width="16.21875" customWidth="1"/>
  </cols>
  <sheetData>
    <row r="1" spans="1:7" ht="14.4" x14ac:dyDescent="0.3">
      <c r="A1" s="227"/>
      <c r="B1" s="185"/>
      <c r="C1" s="185"/>
      <c r="D1" s="185"/>
    </row>
    <row r="2" spans="1:7" ht="14.4" x14ac:dyDescent="0.3">
      <c r="A2" s="48"/>
      <c r="B2" s="48"/>
      <c r="C2" s="48"/>
      <c r="D2" s="48"/>
      <c r="F2" s="48"/>
      <c r="G2" s="48"/>
    </row>
    <row r="3" spans="1:7" ht="14.4" x14ac:dyDescent="0.3">
      <c r="D3" s="49"/>
      <c r="F3" s="50"/>
      <c r="G3" s="50"/>
    </row>
    <row r="4" spans="1:7" ht="14.4" x14ac:dyDescent="0.3">
      <c r="D4" s="49"/>
      <c r="F4" s="50"/>
      <c r="G4" s="50"/>
    </row>
    <row r="5" spans="1:7" ht="14.4" x14ac:dyDescent="0.3">
      <c r="D5" s="49"/>
      <c r="F5" s="50"/>
      <c r="G5" s="50"/>
    </row>
    <row r="6" spans="1:7" ht="14.4" x14ac:dyDescent="0.3">
      <c r="D6" s="51"/>
      <c r="F6" s="50"/>
      <c r="G6" s="50"/>
    </row>
    <row r="7" spans="1:7" ht="14.4" x14ac:dyDescent="0.3">
      <c r="D7" s="51"/>
      <c r="F7" s="50"/>
      <c r="G7" s="50"/>
    </row>
    <row r="8" spans="1:7" ht="14.4" x14ac:dyDescent="0.3">
      <c r="D8" s="51"/>
      <c r="F8" s="50"/>
      <c r="G8" s="50"/>
    </row>
    <row r="9" spans="1:7" ht="14.4" x14ac:dyDescent="0.3">
      <c r="D9" s="51"/>
      <c r="F9" s="50"/>
      <c r="G9" s="50"/>
    </row>
    <row r="10" spans="1:7" ht="14.4" x14ac:dyDescent="0.3">
      <c r="D10" s="51"/>
      <c r="F10" s="50"/>
      <c r="G10" s="50"/>
    </row>
    <row r="11" spans="1:7" ht="14.4" x14ac:dyDescent="0.3">
      <c r="D11" s="51"/>
      <c r="F11" s="50"/>
      <c r="G11" s="50"/>
    </row>
    <row r="12" spans="1:7" ht="14.4" x14ac:dyDescent="0.3">
      <c r="D12" s="51"/>
      <c r="F12" s="50"/>
      <c r="G12" s="50"/>
    </row>
    <row r="13" spans="1:7" ht="14.4" x14ac:dyDescent="0.3">
      <c r="D13" s="51"/>
      <c r="F13" s="50"/>
      <c r="G13" s="50"/>
    </row>
    <row r="14" spans="1:7" ht="14.4" x14ac:dyDescent="0.3">
      <c r="D14" s="49"/>
      <c r="F14" s="50"/>
      <c r="G14" s="50"/>
    </row>
    <row r="15" spans="1:7" ht="14.4" x14ac:dyDescent="0.3">
      <c r="D15" s="51"/>
      <c r="F15" s="50"/>
      <c r="G15" s="50"/>
    </row>
    <row r="16" spans="1:7" ht="14.4" x14ac:dyDescent="0.3">
      <c r="D16" s="51"/>
      <c r="F16" s="50"/>
      <c r="G16" s="50"/>
    </row>
    <row r="17" spans="4:7" ht="14.4" x14ac:dyDescent="0.3">
      <c r="D17" s="51"/>
      <c r="F17" s="50"/>
      <c r="G17" s="50"/>
    </row>
    <row r="18" spans="4:7" ht="14.4" x14ac:dyDescent="0.3">
      <c r="D18" s="51"/>
      <c r="F18" s="50"/>
      <c r="G18" s="50"/>
    </row>
    <row r="19" spans="4:7" ht="14.4" x14ac:dyDescent="0.3">
      <c r="D19" s="51"/>
      <c r="F19" s="50"/>
      <c r="G19" s="50"/>
    </row>
    <row r="20" spans="4:7" ht="14.4" x14ac:dyDescent="0.3">
      <c r="D20" s="51"/>
      <c r="F20" s="50"/>
      <c r="G20" s="50"/>
    </row>
    <row r="21" spans="4:7" ht="14.4" x14ac:dyDescent="0.3">
      <c r="D21" s="51"/>
      <c r="F21" s="50"/>
      <c r="G21" s="50"/>
    </row>
    <row r="22" spans="4:7" ht="14.4" x14ac:dyDescent="0.3">
      <c r="D22" s="51"/>
      <c r="F22" s="50"/>
      <c r="G22" s="50"/>
    </row>
    <row r="23" spans="4:7" ht="14.4" x14ac:dyDescent="0.3">
      <c r="D23" s="51"/>
      <c r="F23" s="50"/>
      <c r="G23" s="50"/>
    </row>
    <row r="24" spans="4:7" ht="14.4" x14ac:dyDescent="0.3">
      <c r="D24" s="51"/>
      <c r="F24" s="50"/>
      <c r="G24" s="50"/>
    </row>
    <row r="25" spans="4:7" ht="14.4" x14ac:dyDescent="0.3">
      <c r="D25" s="51"/>
      <c r="F25" s="50"/>
      <c r="G25" s="50"/>
    </row>
    <row r="26" spans="4:7" ht="14.4" x14ac:dyDescent="0.3">
      <c r="D26" s="51"/>
      <c r="F26" s="50"/>
      <c r="G26" s="50"/>
    </row>
    <row r="27" spans="4:7" ht="14.4" x14ac:dyDescent="0.3">
      <c r="D27" s="51"/>
      <c r="F27" s="50"/>
      <c r="G27" s="50"/>
    </row>
    <row r="28" spans="4:7" ht="14.4" x14ac:dyDescent="0.3">
      <c r="D28" s="51"/>
      <c r="F28" s="50"/>
      <c r="G28" s="50"/>
    </row>
    <row r="29" spans="4:7" ht="14.4" x14ac:dyDescent="0.3">
      <c r="D29" s="51"/>
      <c r="F29" s="50"/>
      <c r="G29" s="50"/>
    </row>
    <row r="30" spans="4:7" ht="14.4" x14ac:dyDescent="0.3">
      <c r="D30" s="51"/>
      <c r="F30" s="50"/>
      <c r="G30" s="50"/>
    </row>
    <row r="31" spans="4:7" ht="14.4" x14ac:dyDescent="0.3">
      <c r="D31" s="51"/>
      <c r="F31" s="50"/>
      <c r="G31" s="50"/>
    </row>
    <row r="32" spans="4:7" ht="14.4" x14ac:dyDescent="0.3">
      <c r="D32" s="51"/>
      <c r="F32" s="50"/>
      <c r="G32" s="50"/>
    </row>
    <row r="33" spans="4:7" ht="14.4" x14ac:dyDescent="0.3">
      <c r="D33" s="51"/>
      <c r="F33" s="50"/>
      <c r="G33" s="50"/>
    </row>
    <row r="34" spans="4:7" ht="14.4" x14ac:dyDescent="0.3">
      <c r="D34" s="51"/>
      <c r="F34" s="50"/>
      <c r="G34" s="50"/>
    </row>
    <row r="35" spans="4:7" ht="14.4" x14ac:dyDescent="0.3">
      <c r="D35" s="51"/>
      <c r="F35" s="50"/>
      <c r="G35" s="50"/>
    </row>
    <row r="36" spans="4:7" ht="14.4" x14ac:dyDescent="0.3">
      <c r="D36" s="51"/>
      <c r="F36" s="50"/>
      <c r="G36" s="50"/>
    </row>
    <row r="37" spans="4:7" ht="14.4" x14ac:dyDescent="0.3">
      <c r="D37" s="51"/>
      <c r="F37" s="50"/>
      <c r="G37" s="50"/>
    </row>
    <row r="38" spans="4:7" ht="14.4" x14ac:dyDescent="0.3">
      <c r="D38" s="51"/>
      <c r="F38" s="50"/>
      <c r="G38" s="50"/>
    </row>
    <row r="39" spans="4:7" ht="14.4" x14ac:dyDescent="0.3">
      <c r="D39" s="51"/>
      <c r="F39" s="50"/>
      <c r="G39" s="50"/>
    </row>
    <row r="40" spans="4:7" ht="14.4" x14ac:dyDescent="0.3">
      <c r="D40" s="51"/>
      <c r="F40" s="50"/>
      <c r="G40" s="50"/>
    </row>
    <row r="41" spans="4:7" ht="14.4" x14ac:dyDescent="0.3">
      <c r="D41" s="51"/>
      <c r="F41" s="50"/>
      <c r="G41" s="50"/>
    </row>
    <row r="42" spans="4:7" ht="14.4" x14ac:dyDescent="0.3">
      <c r="D42" s="51"/>
      <c r="F42" s="50"/>
      <c r="G42" s="50"/>
    </row>
    <row r="43" spans="4:7" ht="14.4" x14ac:dyDescent="0.3">
      <c r="D43" s="51"/>
      <c r="F43" s="50"/>
      <c r="G43" s="50"/>
    </row>
    <row r="44" spans="4:7" ht="14.4" x14ac:dyDescent="0.3">
      <c r="D44" s="51"/>
      <c r="F44" s="50"/>
      <c r="G44" s="50"/>
    </row>
    <row r="45" spans="4:7" ht="14.4" x14ac:dyDescent="0.3">
      <c r="D45" s="51"/>
      <c r="F45" s="50"/>
      <c r="G45" s="50"/>
    </row>
    <row r="46" spans="4:7" ht="14.4" x14ac:dyDescent="0.3">
      <c r="D46" s="49"/>
      <c r="F46" s="50"/>
      <c r="G46" s="50"/>
    </row>
    <row r="47" spans="4:7" ht="14.4" x14ac:dyDescent="0.3">
      <c r="D47" s="51"/>
      <c r="F47" s="50"/>
      <c r="G47" s="50"/>
    </row>
    <row r="48" spans="4:7" ht="14.4" x14ac:dyDescent="0.3">
      <c r="D48" s="49"/>
      <c r="F48" s="50"/>
      <c r="G48" s="50"/>
    </row>
    <row r="49" spans="4:7" ht="14.4" x14ac:dyDescent="0.3">
      <c r="D49" s="51"/>
      <c r="F49" s="50"/>
      <c r="G49" s="50"/>
    </row>
    <row r="50" spans="4:7" ht="14.4" x14ac:dyDescent="0.3">
      <c r="D50" s="51"/>
      <c r="F50" s="50"/>
      <c r="G50" s="50"/>
    </row>
    <row r="51" spans="4:7" ht="14.4" x14ac:dyDescent="0.3">
      <c r="D51" s="51"/>
      <c r="F51" s="50"/>
      <c r="G51" s="50"/>
    </row>
    <row r="52" spans="4:7" ht="14.4" x14ac:dyDescent="0.3">
      <c r="D52" s="51"/>
      <c r="F52" s="50"/>
      <c r="G52" s="50"/>
    </row>
    <row r="53" spans="4:7" ht="14.4" x14ac:dyDescent="0.3">
      <c r="D53" s="51"/>
      <c r="F53" s="50"/>
      <c r="G53" s="50"/>
    </row>
    <row r="54" spans="4:7" ht="14.4" x14ac:dyDescent="0.3">
      <c r="D54" s="49"/>
      <c r="F54" s="50"/>
      <c r="G54" s="50"/>
    </row>
    <row r="55" spans="4:7" ht="14.4" x14ac:dyDescent="0.3">
      <c r="D55" s="51"/>
      <c r="F55" s="50"/>
      <c r="G55" s="50"/>
    </row>
    <row r="56" spans="4:7" ht="14.4" x14ac:dyDescent="0.3">
      <c r="D56" s="51"/>
      <c r="F56" s="50"/>
      <c r="G56" s="50"/>
    </row>
    <row r="57" spans="4:7" ht="14.4" x14ac:dyDescent="0.3">
      <c r="D57" s="49"/>
      <c r="F57" s="50"/>
      <c r="G57" s="50"/>
    </row>
    <row r="58" spans="4:7" ht="14.4" x14ac:dyDescent="0.3">
      <c r="D58" s="49"/>
      <c r="F58" s="50"/>
      <c r="G58" s="50"/>
    </row>
    <row r="59" spans="4:7" ht="14.4" x14ac:dyDescent="0.3">
      <c r="D59" s="51"/>
      <c r="F59" s="50"/>
      <c r="G59" s="50"/>
    </row>
    <row r="60" spans="4:7" ht="14.4" x14ac:dyDescent="0.3">
      <c r="D60" s="49"/>
      <c r="F60" s="50"/>
      <c r="G60" s="50"/>
    </row>
    <row r="61" spans="4:7" ht="14.4" x14ac:dyDescent="0.3">
      <c r="D61" s="51"/>
      <c r="F61" s="50"/>
      <c r="G61" s="50"/>
    </row>
    <row r="62" spans="4:7" ht="14.4" x14ac:dyDescent="0.3">
      <c r="D62" s="49"/>
      <c r="F62" s="50"/>
      <c r="G62" s="50"/>
    </row>
    <row r="63" spans="4:7" ht="14.4" x14ac:dyDescent="0.3">
      <c r="D63" s="49"/>
      <c r="F63" s="50"/>
      <c r="G63" s="50"/>
    </row>
    <row r="64" spans="4:7" ht="14.4" x14ac:dyDescent="0.3">
      <c r="D64" s="49"/>
      <c r="F64" s="50"/>
      <c r="G64" s="50"/>
    </row>
    <row r="65" spans="1:7" ht="14.4" x14ac:dyDescent="0.3">
      <c r="D65" s="51"/>
      <c r="F65" s="50"/>
      <c r="G65" s="50"/>
    </row>
    <row r="66" spans="1:7" ht="14.4" x14ac:dyDescent="0.3">
      <c r="D66" s="51"/>
      <c r="F66" s="50"/>
      <c r="G66" s="50"/>
    </row>
    <row r="67" spans="1:7" ht="14.4" x14ac:dyDescent="0.3">
      <c r="D67" s="51"/>
      <c r="F67" s="50"/>
      <c r="G67" s="50"/>
    </row>
    <row r="68" spans="1:7" ht="14.4" x14ac:dyDescent="0.3">
      <c r="A68" s="48"/>
      <c r="B68" s="48"/>
      <c r="D68" s="52"/>
    </row>
    <row r="69" spans="1:7" ht="14.4" x14ac:dyDescent="0.3"/>
    <row r="70" spans="1:7" ht="14.4" x14ac:dyDescent="0.3">
      <c r="D70" s="53"/>
      <c r="F70" s="50"/>
    </row>
    <row r="71" spans="1:7" ht="14.4" x14ac:dyDescent="0.3">
      <c r="D71" s="54"/>
      <c r="F71" s="50"/>
    </row>
    <row r="72" spans="1:7" ht="14.4" x14ac:dyDescent="0.3">
      <c r="D72" s="48"/>
    </row>
    <row r="73" spans="1:7" ht="14.4" x14ac:dyDescent="0.3"/>
    <row r="74" spans="1:7" ht="14.4" x14ac:dyDescent="0.3">
      <c r="D74" s="50"/>
      <c r="F74" s="50"/>
    </row>
    <row r="75" spans="1:7" ht="14.4" x14ac:dyDescent="0.3">
      <c r="F75" s="50"/>
    </row>
    <row r="76" spans="1:7" ht="14.4" x14ac:dyDescent="0.3">
      <c r="F76" s="50"/>
    </row>
    <row r="77" spans="1:7" ht="14.4" x14ac:dyDescent="0.3">
      <c r="D77" s="48"/>
    </row>
    <row r="78" spans="1:7" ht="14.4" x14ac:dyDescent="0.3"/>
    <row r="79" spans="1:7" ht="14.4" x14ac:dyDescent="0.3">
      <c r="E79" s="47"/>
    </row>
    <row r="80" spans="1:7" ht="14.4" x14ac:dyDescent="0.3">
      <c r="E80" s="47"/>
    </row>
    <row r="81" spans="4:5" ht="14.4" x14ac:dyDescent="0.3">
      <c r="E81" s="47"/>
    </row>
    <row r="82" spans="4:5" ht="14.4" x14ac:dyDescent="0.3">
      <c r="E82" s="47"/>
    </row>
    <row r="83" spans="4:5" ht="14.4" x14ac:dyDescent="0.3">
      <c r="E83" s="47"/>
    </row>
    <row r="84" spans="4:5" ht="14.4" x14ac:dyDescent="0.3">
      <c r="D84" s="55"/>
    </row>
    <row r="85" spans="4:5" ht="14.4" x14ac:dyDescent="0.3"/>
    <row r="86" spans="4:5" ht="14.4" x14ac:dyDescent="0.3">
      <c r="D86" s="50"/>
    </row>
    <row r="87" spans="4:5" ht="14.4" x14ac:dyDescent="0.3">
      <c r="D87" s="50"/>
    </row>
    <row r="88" spans="4:5" ht="14.4" x14ac:dyDescent="0.3">
      <c r="D88" s="50"/>
    </row>
    <row r="89" spans="4:5" ht="14.4" x14ac:dyDescent="0.3">
      <c r="D89" s="50"/>
    </row>
    <row r="90" spans="4:5" ht="14.4" x14ac:dyDescent="0.3">
      <c r="D90" s="50"/>
    </row>
    <row r="91" spans="4:5" ht="14.4" x14ac:dyDescent="0.3">
      <c r="D91" s="50"/>
    </row>
    <row r="92" spans="4:5" ht="14.4" x14ac:dyDescent="0.3"/>
    <row r="93" spans="4:5" ht="14.4" x14ac:dyDescent="0.3"/>
    <row r="94" spans="4:5" ht="14.4" x14ac:dyDescent="0.3"/>
    <row r="95" spans="4:5" ht="14.4" x14ac:dyDescent="0.3"/>
    <row r="96" spans="4:5" ht="14.4" x14ac:dyDescent="0.3"/>
    <row r="97" ht="14.4" x14ac:dyDescent="0.3"/>
    <row r="98" ht="14.4" x14ac:dyDescent="0.3"/>
    <row r="99" ht="14.4" x14ac:dyDescent="0.3"/>
    <row r="100" ht="14.4" x14ac:dyDescent="0.3"/>
    <row r="101" ht="14.4" x14ac:dyDescent="0.3"/>
    <row r="102" ht="14.4" x14ac:dyDescent="0.3"/>
    <row r="103" ht="14.4" x14ac:dyDescent="0.3"/>
    <row r="104" ht="14.4" x14ac:dyDescent="0.3"/>
    <row r="105" ht="14.4" x14ac:dyDescent="0.3"/>
    <row r="106" ht="14.4" x14ac:dyDescent="0.3"/>
    <row r="107" ht="14.4" x14ac:dyDescent="0.3"/>
    <row r="108" ht="14.4" x14ac:dyDescent="0.3"/>
    <row r="109" ht="14.4" x14ac:dyDescent="0.3"/>
    <row r="110" ht="14.4" x14ac:dyDescent="0.3"/>
    <row r="111" ht="14.4" x14ac:dyDescent="0.3"/>
    <row r="112" ht="14.4" x14ac:dyDescent="0.3"/>
    <row r="113" ht="14.4" x14ac:dyDescent="0.3"/>
    <row r="114" ht="14.4" x14ac:dyDescent="0.3"/>
    <row r="115" ht="14.4" x14ac:dyDescent="0.3"/>
    <row r="116" ht="14.4" x14ac:dyDescent="0.3"/>
    <row r="117" ht="14.4" x14ac:dyDescent="0.3"/>
    <row r="118" ht="14.4" x14ac:dyDescent="0.3"/>
    <row r="119" ht="14.4" x14ac:dyDescent="0.3"/>
    <row r="120" ht="14.4" x14ac:dyDescent="0.3"/>
    <row r="121" ht="14.4" x14ac:dyDescent="0.3"/>
    <row r="122" ht="14.4" x14ac:dyDescent="0.3"/>
    <row r="123" ht="14.4" x14ac:dyDescent="0.3"/>
    <row r="124" ht="14.4" x14ac:dyDescent="0.3"/>
    <row r="125" ht="14.4" x14ac:dyDescent="0.3"/>
    <row r="126" ht="14.4" x14ac:dyDescent="0.3"/>
    <row r="127" ht="14.4" x14ac:dyDescent="0.3"/>
    <row r="128" ht="14.4" x14ac:dyDescent="0.3"/>
    <row r="129" ht="14.4" x14ac:dyDescent="0.3"/>
    <row r="130" ht="14.4" x14ac:dyDescent="0.3"/>
    <row r="131" ht="14.4" x14ac:dyDescent="0.3"/>
    <row r="132" ht="14.4" x14ac:dyDescent="0.3"/>
    <row r="133" ht="14.4" x14ac:dyDescent="0.3"/>
    <row r="134" ht="14.4" x14ac:dyDescent="0.3"/>
    <row r="135" ht="14.4" x14ac:dyDescent="0.3"/>
    <row r="136" ht="14.4" x14ac:dyDescent="0.3"/>
    <row r="137" ht="14.4" x14ac:dyDescent="0.3"/>
    <row r="138" ht="14.4" x14ac:dyDescent="0.3"/>
    <row r="139" ht="14.4" x14ac:dyDescent="0.3"/>
    <row r="140" ht="14.4" x14ac:dyDescent="0.3"/>
    <row r="141" ht="14.4" x14ac:dyDescent="0.3"/>
    <row r="142" ht="14.4" x14ac:dyDescent="0.3"/>
    <row r="143" ht="14.4" x14ac:dyDescent="0.3"/>
    <row r="144" ht="14.4" x14ac:dyDescent="0.3"/>
    <row r="145" ht="14.4" x14ac:dyDescent="0.3"/>
    <row r="146" ht="14.4" x14ac:dyDescent="0.3"/>
    <row r="147" ht="14.4" x14ac:dyDescent="0.3"/>
    <row r="148" ht="14.4" x14ac:dyDescent="0.3"/>
    <row r="149" ht="14.4" x14ac:dyDescent="0.3"/>
    <row r="150" ht="14.4" x14ac:dyDescent="0.3"/>
    <row r="151" ht="14.4" x14ac:dyDescent="0.3"/>
    <row r="152" ht="14.4" x14ac:dyDescent="0.3"/>
    <row r="153" ht="14.4" x14ac:dyDescent="0.3"/>
    <row r="154" ht="14.4" x14ac:dyDescent="0.3"/>
    <row r="155" ht="14.4" x14ac:dyDescent="0.3"/>
    <row r="156" ht="14.4" x14ac:dyDescent="0.3"/>
    <row r="157" ht="14.4" x14ac:dyDescent="0.3"/>
    <row r="158" ht="14.4" x14ac:dyDescent="0.3"/>
    <row r="159" ht="14.4" x14ac:dyDescent="0.3"/>
    <row r="160" ht="14.4" x14ac:dyDescent="0.3"/>
    <row r="161" ht="14.4" x14ac:dyDescent="0.3"/>
    <row r="162" ht="14.4" x14ac:dyDescent="0.3"/>
    <row r="163" ht="14.4" x14ac:dyDescent="0.3"/>
    <row r="164" ht="14.4" x14ac:dyDescent="0.3"/>
    <row r="165" ht="14.4" x14ac:dyDescent="0.3"/>
    <row r="166" ht="14.4" x14ac:dyDescent="0.3"/>
    <row r="167" ht="14.4" x14ac:dyDescent="0.3"/>
    <row r="168" ht="14.4" x14ac:dyDescent="0.3"/>
    <row r="169" ht="14.4" x14ac:dyDescent="0.3"/>
    <row r="170" ht="14.4" x14ac:dyDescent="0.3"/>
    <row r="171" ht="14.4" x14ac:dyDescent="0.3"/>
    <row r="172" ht="14.4" x14ac:dyDescent="0.3"/>
    <row r="173" ht="14.4" x14ac:dyDescent="0.3"/>
    <row r="174" ht="14.4" x14ac:dyDescent="0.3"/>
    <row r="175" ht="14.4" x14ac:dyDescent="0.3"/>
    <row r="176" ht="14.4" x14ac:dyDescent="0.3"/>
    <row r="177" ht="14.4" x14ac:dyDescent="0.3"/>
    <row r="178" ht="14.4" x14ac:dyDescent="0.3"/>
    <row r="179" ht="14.4" x14ac:dyDescent="0.3"/>
    <row r="180" ht="14.4" x14ac:dyDescent="0.3"/>
    <row r="181" ht="14.4" x14ac:dyDescent="0.3"/>
    <row r="182" ht="14.4" x14ac:dyDescent="0.3"/>
    <row r="183" ht="14.4" x14ac:dyDescent="0.3"/>
    <row r="184" ht="14.4" x14ac:dyDescent="0.3"/>
    <row r="185" ht="14.4" x14ac:dyDescent="0.3"/>
    <row r="186" ht="14.4" x14ac:dyDescent="0.3"/>
    <row r="187" ht="14.4" x14ac:dyDescent="0.3"/>
    <row r="188" ht="14.4" x14ac:dyDescent="0.3"/>
    <row r="189" ht="14.4" x14ac:dyDescent="0.3"/>
    <row r="190" ht="14.4" x14ac:dyDescent="0.3"/>
    <row r="191" ht="14.4" x14ac:dyDescent="0.3"/>
    <row r="192" ht="14.4" x14ac:dyDescent="0.3"/>
    <row r="193" ht="14.4" x14ac:dyDescent="0.3"/>
    <row r="194" ht="14.4" x14ac:dyDescent="0.3"/>
    <row r="195" ht="14.4" x14ac:dyDescent="0.3"/>
    <row r="196" ht="14.4" x14ac:dyDescent="0.3"/>
    <row r="197" ht="14.4" x14ac:dyDescent="0.3"/>
    <row r="198" ht="14.4" x14ac:dyDescent="0.3"/>
    <row r="199" ht="14.4" x14ac:dyDescent="0.3"/>
    <row r="200" ht="14.4" x14ac:dyDescent="0.3"/>
    <row r="201" ht="14.4" x14ac:dyDescent="0.3"/>
    <row r="202" ht="14.4" x14ac:dyDescent="0.3"/>
    <row r="203" ht="14.4" x14ac:dyDescent="0.3"/>
    <row r="204" ht="14.4" x14ac:dyDescent="0.3"/>
    <row r="205" ht="14.4" x14ac:dyDescent="0.3"/>
    <row r="206" ht="14.4" x14ac:dyDescent="0.3"/>
    <row r="207" ht="14.4" x14ac:dyDescent="0.3"/>
    <row r="208" ht="14.4" x14ac:dyDescent="0.3"/>
    <row r="209" ht="14.4" x14ac:dyDescent="0.3"/>
    <row r="210" ht="14.4" x14ac:dyDescent="0.3"/>
    <row r="211" ht="14.4" x14ac:dyDescent="0.3"/>
    <row r="212" ht="14.4" x14ac:dyDescent="0.3"/>
    <row r="213" ht="14.4" x14ac:dyDescent="0.3"/>
    <row r="214" ht="14.4" x14ac:dyDescent="0.3"/>
    <row r="215" ht="14.4" x14ac:dyDescent="0.3"/>
    <row r="216" ht="14.4" x14ac:dyDescent="0.3"/>
    <row r="217" ht="14.4" x14ac:dyDescent="0.3"/>
    <row r="218" ht="14.4" x14ac:dyDescent="0.3"/>
    <row r="219" ht="14.4" x14ac:dyDescent="0.3"/>
    <row r="220" ht="14.4" x14ac:dyDescent="0.3"/>
    <row r="221" ht="14.4" x14ac:dyDescent="0.3"/>
    <row r="222" ht="14.4" x14ac:dyDescent="0.3"/>
    <row r="223" ht="14.4" x14ac:dyDescent="0.3"/>
    <row r="224" ht="14.4" x14ac:dyDescent="0.3"/>
    <row r="225" ht="14.4" x14ac:dyDescent="0.3"/>
    <row r="226" ht="14.4" x14ac:dyDescent="0.3"/>
    <row r="227" ht="14.4" x14ac:dyDescent="0.3"/>
    <row r="228" ht="14.4" x14ac:dyDescent="0.3"/>
    <row r="229" ht="14.4" x14ac:dyDescent="0.3"/>
    <row r="230" ht="14.4" x14ac:dyDescent="0.3"/>
    <row r="231" ht="14.4" x14ac:dyDescent="0.3"/>
    <row r="232" ht="14.4" x14ac:dyDescent="0.3"/>
    <row r="233" ht="14.4" x14ac:dyDescent="0.3"/>
    <row r="234" ht="14.4" x14ac:dyDescent="0.3"/>
    <row r="235" ht="14.4" x14ac:dyDescent="0.3"/>
    <row r="236" ht="14.4" x14ac:dyDescent="0.3"/>
    <row r="237" ht="14.4" x14ac:dyDescent="0.3"/>
    <row r="238" ht="14.4" x14ac:dyDescent="0.3"/>
    <row r="239" ht="14.4" x14ac:dyDescent="0.3"/>
    <row r="240" ht="14.4" x14ac:dyDescent="0.3"/>
    <row r="241" ht="14.4" x14ac:dyDescent="0.3"/>
    <row r="242" ht="14.4" x14ac:dyDescent="0.3"/>
    <row r="243" ht="14.4" x14ac:dyDescent="0.3"/>
    <row r="244" ht="14.4" x14ac:dyDescent="0.3"/>
    <row r="245" ht="14.4" x14ac:dyDescent="0.3"/>
    <row r="246" ht="14.4" x14ac:dyDescent="0.3"/>
    <row r="247" ht="14.4" x14ac:dyDescent="0.3"/>
    <row r="248" ht="14.4" x14ac:dyDescent="0.3"/>
    <row r="249" ht="14.4" x14ac:dyDescent="0.3"/>
    <row r="250" ht="14.4" x14ac:dyDescent="0.3"/>
    <row r="251" ht="14.4" x14ac:dyDescent="0.3"/>
    <row r="252" ht="14.4" x14ac:dyDescent="0.3"/>
    <row r="253" ht="14.4" x14ac:dyDescent="0.3"/>
    <row r="254" ht="14.4" x14ac:dyDescent="0.3"/>
    <row r="255" ht="14.4" x14ac:dyDescent="0.3"/>
    <row r="256" ht="14.4" x14ac:dyDescent="0.3"/>
    <row r="257" ht="14.4" x14ac:dyDescent="0.3"/>
    <row r="258" ht="14.4" x14ac:dyDescent="0.3"/>
    <row r="259" ht="14.4" x14ac:dyDescent="0.3"/>
    <row r="260" ht="14.4" x14ac:dyDescent="0.3"/>
    <row r="261" ht="14.4" x14ac:dyDescent="0.3"/>
    <row r="262" ht="14.4" x14ac:dyDescent="0.3"/>
    <row r="263" ht="14.4" x14ac:dyDescent="0.3"/>
    <row r="264" ht="14.4" x14ac:dyDescent="0.3"/>
    <row r="265" ht="14.4" x14ac:dyDescent="0.3"/>
    <row r="266" ht="14.4" x14ac:dyDescent="0.3"/>
    <row r="267" ht="14.4" x14ac:dyDescent="0.3"/>
    <row r="268" ht="14.4" x14ac:dyDescent="0.3"/>
    <row r="269" ht="14.4" x14ac:dyDescent="0.3"/>
    <row r="270" ht="14.4" x14ac:dyDescent="0.3"/>
    <row r="271" ht="14.4" x14ac:dyDescent="0.3"/>
    <row r="272" ht="14.4" x14ac:dyDescent="0.3"/>
    <row r="273" ht="14.4" x14ac:dyDescent="0.3"/>
    <row r="274" ht="14.4" x14ac:dyDescent="0.3"/>
    <row r="275" ht="14.4" x14ac:dyDescent="0.3"/>
    <row r="276" ht="14.4" x14ac:dyDescent="0.3"/>
    <row r="277" ht="14.4" x14ac:dyDescent="0.3"/>
    <row r="278" ht="14.4" x14ac:dyDescent="0.3"/>
    <row r="279" ht="14.4" x14ac:dyDescent="0.3"/>
    <row r="280" ht="14.4" x14ac:dyDescent="0.3"/>
    <row r="281" ht="14.4" x14ac:dyDescent="0.3"/>
    <row r="282" ht="14.4" x14ac:dyDescent="0.3"/>
    <row r="283" ht="14.4" x14ac:dyDescent="0.3"/>
    <row r="284" ht="14.4" x14ac:dyDescent="0.3"/>
    <row r="285" ht="14.4" x14ac:dyDescent="0.3"/>
    <row r="286" ht="14.4" x14ac:dyDescent="0.3"/>
    <row r="287" ht="14.4" x14ac:dyDescent="0.3"/>
    <row r="288" ht="14.4" x14ac:dyDescent="0.3"/>
    <row r="289" ht="14.4" x14ac:dyDescent="0.3"/>
    <row r="290" ht="14.4" x14ac:dyDescent="0.3"/>
    <row r="291" ht="14.4" x14ac:dyDescent="0.3"/>
    <row r="292" ht="14.4" x14ac:dyDescent="0.3"/>
    <row r="293" ht="14.4" x14ac:dyDescent="0.3"/>
    <row r="294" ht="14.4" x14ac:dyDescent="0.3"/>
    <row r="295" ht="14.4" x14ac:dyDescent="0.3"/>
    <row r="296" ht="14.4" x14ac:dyDescent="0.3"/>
    <row r="297" ht="14.4" x14ac:dyDescent="0.3"/>
    <row r="298" ht="14.4" x14ac:dyDescent="0.3"/>
    <row r="299" ht="14.4" x14ac:dyDescent="0.3"/>
    <row r="300" ht="14.4" x14ac:dyDescent="0.3"/>
    <row r="301" ht="14.4" x14ac:dyDescent="0.3"/>
    <row r="302" ht="14.4" x14ac:dyDescent="0.3"/>
    <row r="303" ht="14.4" x14ac:dyDescent="0.3"/>
    <row r="304" ht="14.4" x14ac:dyDescent="0.3"/>
    <row r="305" ht="14.4" x14ac:dyDescent="0.3"/>
    <row r="306" ht="14.4" x14ac:dyDescent="0.3"/>
    <row r="307" ht="14.4" x14ac:dyDescent="0.3"/>
    <row r="308" ht="14.4" x14ac:dyDescent="0.3"/>
    <row r="309" ht="14.4" x14ac:dyDescent="0.3"/>
    <row r="310" ht="14.4" x14ac:dyDescent="0.3"/>
    <row r="311" ht="14.4" x14ac:dyDescent="0.3"/>
    <row r="312" ht="14.4" x14ac:dyDescent="0.3"/>
    <row r="313" ht="14.4" x14ac:dyDescent="0.3"/>
    <row r="314" ht="14.4" x14ac:dyDescent="0.3"/>
    <row r="315" ht="14.4" x14ac:dyDescent="0.3"/>
    <row r="316" ht="14.4" x14ac:dyDescent="0.3"/>
    <row r="317" ht="14.4" x14ac:dyDescent="0.3"/>
    <row r="318" ht="14.4" x14ac:dyDescent="0.3"/>
    <row r="319" ht="14.4" x14ac:dyDescent="0.3"/>
    <row r="320" ht="14.4" x14ac:dyDescent="0.3"/>
    <row r="321" ht="14.4" x14ac:dyDescent="0.3"/>
    <row r="322" ht="14.4" x14ac:dyDescent="0.3"/>
    <row r="323" ht="14.4" x14ac:dyDescent="0.3"/>
    <row r="324" ht="14.4" x14ac:dyDescent="0.3"/>
    <row r="325" ht="14.4" x14ac:dyDescent="0.3"/>
    <row r="326" ht="14.4" x14ac:dyDescent="0.3"/>
    <row r="327" ht="14.4" x14ac:dyDescent="0.3"/>
    <row r="328" ht="14.4" x14ac:dyDescent="0.3"/>
    <row r="329" ht="14.4" x14ac:dyDescent="0.3"/>
    <row r="330" ht="14.4" x14ac:dyDescent="0.3"/>
    <row r="331" ht="14.4" x14ac:dyDescent="0.3"/>
    <row r="332" ht="14.4" x14ac:dyDescent="0.3"/>
    <row r="333" ht="14.4" x14ac:dyDescent="0.3"/>
    <row r="334" ht="14.4" x14ac:dyDescent="0.3"/>
    <row r="335" ht="14.4" x14ac:dyDescent="0.3"/>
    <row r="336" ht="14.4" x14ac:dyDescent="0.3"/>
    <row r="337" ht="14.4" x14ac:dyDescent="0.3"/>
    <row r="338" ht="14.4" x14ac:dyDescent="0.3"/>
    <row r="339" ht="14.4" x14ac:dyDescent="0.3"/>
    <row r="340" ht="14.4" x14ac:dyDescent="0.3"/>
    <row r="341" ht="14.4" x14ac:dyDescent="0.3"/>
    <row r="342" ht="14.4" x14ac:dyDescent="0.3"/>
    <row r="343" ht="14.4" x14ac:dyDescent="0.3"/>
    <row r="344" ht="14.4" x14ac:dyDescent="0.3"/>
    <row r="345" ht="14.4" x14ac:dyDescent="0.3"/>
    <row r="346" ht="14.4" x14ac:dyDescent="0.3"/>
    <row r="347" ht="14.4" x14ac:dyDescent="0.3"/>
    <row r="348" ht="14.4" x14ac:dyDescent="0.3"/>
    <row r="349" ht="14.4" x14ac:dyDescent="0.3"/>
    <row r="350" ht="14.4" x14ac:dyDescent="0.3"/>
    <row r="351" ht="14.4" x14ac:dyDescent="0.3"/>
    <row r="352" ht="14.4" x14ac:dyDescent="0.3"/>
    <row r="353" ht="14.4" x14ac:dyDescent="0.3"/>
    <row r="354" ht="14.4" x14ac:dyDescent="0.3"/>
    <row r="355" ht="14.4" x14ac:dyDescent="0.3"/>
    <row r="356" ht="14.4" x14ac:dyDescent="0.3"/>
    <row r="357" ht="14.4" x14ac:dyDescent="0.3"/>
    <row r="358" ht="14.4" x14ac:dyDescent="0.3"/>
    <row r="359" ht="14.4" x14ac:dyDescent="0.3"/>
    <row r="360" ht="14.4" x14ac:dyDescent="0.3"/>
    <row r="361" ht="14.4" x14ac:dyDescent="0.3"/>
    <row r="362" ht="14.4" x14ac:dyDescent="0.3"/>
    <row r="363" ht="14.4" x14ac:dyDescent="0.3"/>
    <row r="364" ht="14.4" x14ac:dyDescent="0.3"/>
    <row r="365" ht="14.4" x14ac:dyDescent="0.3"/>
    <row r="366" ht="14.4" x14ac:dyDescent="0.3"/>
    <row r="367" ht="14.4" x14ac:dyDescent="0.3"/>
    <row r="368" ht="14.4" x14ac:dyDescent="0.3"/>
    <row r="369" ht="14.4" x14ac:dyDescent="0.3"/>
    <row r="370" ht="14.4" x14ac:dyDescent="0.3"/>
    <row r="371" ht="14.4" x14ac:dyDescent="0.3"/>
    <row r="372" ht="14.4" x14ac:dyDescent="0.3"/>
    <row r="373" ht="14.4" x14ac:dyDescent="0.3"/>
    <row r="374" ht="14.4" x14ac:dyDescent="0.3"/>
    <row r="375" ht="14.4" x14ac:dyDescent="0.3"/>
    <row r="376" ht="14.4" x14ac:dyDescent="0.3"/>
    <row r="377" ht="14.4" x14ac:dyDescent="0.3"/>
    <row r="378" ht="14.4" x14ac:dyDescent="0.3"/>
    <row r="379" ht="14.4" x14ac:dyDescent="0.3"/>
    <row r="380" ht="14.4" x14ac:dyDescent="0.3"/>
    <row r="381" ht="14.4" x14ac:dyDescent="0.3"/>
    <row r="382" ht="14.4" x14ac:dyDescent="0.3"/>
    <row r="383" ht="14.4" x14ac:dyDescent="0.3"/>
    <row r="384" ht="14.4" x14ac:dyDescent="0.3"/>
    <row r="385" ht="14.4" x14ac:dyDescent="0.3"/>
    <row r="386" ht="14.4" x14ac:dyDescent="0.3"/>
    <row r="387" ht="14.4" x14ac:dyDescent="0.3"/>
    <row r="388" ht="14.4" x14ac:dyDescent="0.3"/>
    <row r="389" ht="14.4" x14ac:dyDescent="0.3"/>
    <row r="390" ht="14.4" x14ac:dyDescent="0.3"/>
    <row r="391" ht="14.4" x14ac:dyDescent="0.3"/>
    <row r="392" ht="14.4" x14ac:dyDescent="0.3"/>
    <row r="393" ht="14.4" x14ac:dyDescent="0.3"/>
    <row r="394" ht="14.4" x14ac:dyDescent="0.3"/>
    <row r="395" ht="14.4" x14ac:dyDescent="0.3"/>
    <row r="396" ht="14.4" x14ac:dyDescent="0.3"/>
    <row r="397" ht="14.4" x14ac:dyDescent="0.3"/>
    <row r="398" ht="14.4" x14ac:dyDescent="0.3"/>
    <row r="399" ht="14.4" x14ac:dyDescent="0.3"/>
    <row r="400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ht="14.4" x14ac:dyDescent="0.3"/>
    <row r="466" ht="14.4" x14ac:dyDescent="0.3"/>
    <row r="467" ht="14.4" x14ac:dyDescent="0.3"/>
    <row r="468" ht="14.4" x14ac:dyDescent="0.3"/>
    <row r="469" ht="14.4" x14ac:dyDescent="0.3"/>
    <row r="470" ht="14.4" x14ac:dyDescent="0.3"/>
    <row r="471" ht="14.4" x14ac:dyDescent="0.3"/>
    <row r="472" ht="14.4" x14ac:dyDescent="0.3"/>
    <row r="473" ht="14.4" x14ac:dyDescent="0.3"/>
    <row r="474" ht="14.4" x14ac:dyDescent="0.3"/>
    <row r="475" ht="14.4" x14ac:dyDescent="0.3"/>
    <row r="476" ht="14.4" x14ac:dyDescent="0.3"/>
    <row r="477" ht="14.4" x14ac:dyDescent="0.3"/>
    <row r="478" ht="14.4" x14ac:dyDescent="0.3"/>
    <row r="479" ht="14.4" x14ac:dyDescent="0.3"/>
    <row r="480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4.4" x14ac:dyDescent="0.3"/>
    <row r="499" ht="14.4" x14ac:dyDescent="0.3"/>
    <row r="500" ht="14.4" x14ac:dyDescent="0.3"/>
    <row r="501" ht="14.4" x14ac:dyDescent="0.3"/>
    <row r="502" ht="14.4" x14ac:dyDescent="0.3"/>
    <row r="503" ht="14.4" x14ac:dyDescent="0.3"/>
    <row r="504" ht="14.4" x14ac:dyDescent="0.3"/>
    <row r="505" ht="14.4" x14ac:dyDescent="0.3"/>
    <row r="506" ht="14.4" x14ac:dyDescent="0.3"/>
    <row r="507" ht="14.4" x14ac:dyDescent="0.3"/>
    <row r="508" ht="14.4" x14ac:dyDescent="0.3"/>
    <row r="509" ht="14.4" x14ac:dyDescent="0.3"/>
    <row r="510" ht="14.4" x14ac:dyDescent="0.3"/>
    <row r="511" ht="14.4" x14ac:dyDescent="0.3"/>
    <row r="512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  <row r="565" ht="14.4" x14ac:dyDescent="0.3"/>
    <row r="566" ht="14.4" x14ac:dyDescent="0.3"/>
    <row r="567" ht="14.4" x14ac:dyDescent="0.3"/>
    <row r="568" ht="14.4" x14ac:dyDescent="0.3"/>
    <row r="569" ht="14.4" x14ac:dyDescent="0.3"/>
    <row r="570" ht="14.4" x14ac:dyDescent="0.3"/>
    <row r="571" ht="14.4" x14ac:dyDescent="0.3"/>
    <row r="572" ht="14.4" x14ac:dyDescent="0.3"/>
    <row r="573" ht="14.4" x14ac:dyDescent="0.3"/>
    <row r="574" ht="14.4" x14ac:dyDescent="0.3"/>
    <row r="575" ht="14.4" x14ac:dyDescent="0.3"/>
    <row r="576" ht="14.4" x14ac:dyDescent="0.3"/>
    <row r="577" ht="14.4" x14ac:dyDescent="0.3"/>
    <row r="578" ht="14.4" x14ac:dyDescent="0.3"/>
    <row r="579" ht="14.4" x14ac:dyDescent="0.3"/>
    <row r="580" ht="14.4" x14ac:dyDescent="0.3"/>
    <row r="581" ht="14.4" x14ac:dyDescent="0.3"/>
    <row r="582" ht="14.4" x14ac:dyDescent="0.3"/>
    <row r="583" ht="14.4" x14ac:dyDescent="0.3"/>
    <row r="584" ht="14.4" x14ac:dyDescent="0.3"/>
    <row r="585" ht="14.4" x14ac:dyDescent="0.3"/>
    <row r="586" ht="14.4" x14ac:dyDescent="0.3"/>
    <row r="587" ht="14.4" x14ac:dyDescent="0.3"/>
    <row r="588" ht="14.4" x14ac:dyDescent="0.3"/>
    <row r="589" ht="14.4" x14ac:dyDescent="0.3"/>
    <row r="590" ht="14.4" x14ac:dyDescent="0.3"/>
    <row r="591" ht="14.4" x14ac:dyDescent="0.3"/>
    <row r="592" ht="14.4" x14ac:dyDescent="0.3"/>
    <row r="593" ht="14.4" x14ac:dyDescent="0.3"/>
    <row r="594" ht="14.4" x14ac:dyDescent="0.3"/>
    <row r="595" ht="14.4" x14ac:dyDescent="0.3"/>
    <row r="596" ht="14.4" x14ac:dyDescent="0.3"/>
    <row r="597" ht="14.4" x14ac:dyDescent="0.3"/>
    <row r="598" ht="14.4" x14ac:dyDescent="0.3"/>
    <row r="599" ht="14.4" x14ac:dyDescent="0.3"/>
    <row r="600" ht="14.4" x14ac:dyDescent="0.3"/>
    <row r="601" ht="14.4" x14ac:dyDescent="0.3"/>
    <row r="602" ht="14.4" x14ac:dyDescent="0.3"/>
    <row r="603" ht="14.4" x14ac:dyDescent="0.3"/>
    <row r="604" ht="14.4" x14ac:dyDescent="0.3"/>
    <row r="605" ht="14.4" x14ac:dyDescent="0.3"/>
    <row r="606" ht="14.4" x14ac:dyDescent="0.3"/>
    <row r="607" ht="14.4" x14ac:dyDescent="0.3"/>
    <row r="608" ht="14.4" x14ac:dyDescent="0.3"/>
    <row r="609" ht="14.4" x14ac:dyDescent="0.3"/>
    <row r="610" ht="14.4" x14ac:dyDescent="0.3"/>
    <row r="611" ht="14.4" x14ac:dyDescent="0.3"/>
    <row r="612" ht="14.4" x14ac:dyDescent="0.3"/>
    <row r="613" ht="14.4" x14ac:dyDescent="0.3"/>
    <row r="614" ht="14.4" x14ac:dyDescent="0.3"/>
    <row r="615" ht="14.4" x14ac:dyDescent="0.3"/>
    <row r="616" ht="14.4" x14ac:dyDescent="0.3"/>
    <row r="617" ht="14.4" x14ac:dyDescent="0.3"/>
    <row r="618" ht="14.4" x14ac:dyDescent="0.3"/>
    <row r="619" ht="14.4" x14ac:dyDescent="0.3"/>
    <row r="620" ht="14.4" x14ac:dyDescent="0.3"/>
    <row r="621" ht="14.4" x14ac:dyDescent="0.3"/>
    <row r="622" ht="14.4" x14ac:dyDescent="0.3"/>
    <row r="623" ht="14.4" x14ac:dyDescent="0.3"/>
    <row r="624" ht="14.4" x14ac:dyDescent="0.3"/>
    <row r="625" ht="14.4" x14ac:dyDescent="0.3"/>
    <row r="626" ht="14.4" x14ac:dyDescent="0.3"/>
    <row r="627" ht="14.4" x14ac:dyDescent="0.3"/>
    <row r="628" ht="14.4" x14ac:dyDescent="0.3"/>
    <row r="629" ht="14.4" x14ac:dyDescent="0.3"/>
    <row r="630" ht="14.4" x14ac:dyDescent="0.3"/>
    <row r="631" ht="14.4" x14ac:dyDescent="0.3"/>
    <row r="632" ht="14.4" x14ac:dyDescent="0.3"/>
    <row r="633" ht="14.4" x14ac:dyDescent="0.3"/>
    <row r="634" ht="14.4" x14ac:dyDescent="0.3"/>
    <row r="635" ht="14.4" x14ac:dyDescent="0.3"/>
    <row r="636" ht="14.4" x14ac:dyDescent="0.3"/>
    <row r="637" ht="14.4" x14ac:dyDescent="0.3"/>
    <row r="638" ht="14.4" x14ac:dyDescent="0.3"/>
    <row r="639" ht="14.4" x14ac:dyDescent="0.3"/>
    <row r="640" ht="14.4" x14ac:dyDescent="0.3"/>
    <row r="641" ht="14.4" x14ac:dyDescent="0.3"/>
    <row r="642" ht="14.4" x14ac:dyDescent="0.3"/>
    <row r="643" ht="14.4" x14ac:dyDescent="0.3"/>
    <row r="644" ht="14.4" x14ac:dyDescent="0.3"/>
    <row r="645" ht="14.4" x14ac:dyDescent="0.3"/>
    <row r="646" ht="14.4" x14ac:dyDescent="0.3"/>
    <row r="647" ht="14.4" x14ac:dyDescent="0.3"/>
    <row r="648" ht="14.4" x14ac:dyDescent="0.3"/>
    <row r="649" ht="14.4" x14ac:dyDescent="0.3"/>
    <row r="650" ht="14.4" x14ac:dyDescent="0.3"/>
    <row r="651" ht="14.4" x14ac:dyDescent="0.3"/>
    <row r="652" ht="14.4" x14ac:dyDescent="0.3"/>
    <row r="653" ht="14.4" x14ac:dyDescent="0.3"/>
    <row r="654" ht="14.4" x14ac:dyDescent="0.3"/>
    <row r="655" ht="14.4" x14ac:dyDescent="0.3"/>
    <row r="656" ht="14.4" x14ac:dyDescent="0.3"/>
    <row r="657" ht="14.4" x14ac:dyDescent="0.3"/>
    <row r="658" ht="14.4" x14ac:dyDescent="0.3"/>
    <row r="659" ht="14.4" x14ac:dyDescent="0.3"/>
    <row r="660" ht="14.4" x14ac:dyDescent="0.3"/>
    <row r="661" ht="14.4" x14ac:dyDescent="0.3"/>
    <row r="662" ht="14.4" x14ac:dyDescent="0.3"/>
    <row r="663" ht="14.4" x14ac:dyDescent="0.3"/>
    <row r="664" ht="14.4" x14ac:dyDescent="0.3"/>
    <row r="665" ht="14.4" x14ac:dyDescent="0.3"/>
    <row r="666" ht="14.4" x14ac:dyDescent="0.3"/>
    <row r="667" ht="14.4" x14ac:dyDescent="0.3"/>
    <row r="668" ht="14.4" x14ac:dyDescent="0.3"/>
    <row r="669" ht="14.4" x14ac:dyDescent="0.3"/>
    <row r="670" ht="14.4" x14ac:dyDescent="0.3"/>
    <row r="671" ht="14.4" x14ac:dyDescent="0.3"/>
    <row r="672" ht="14.4" x14ac:dyDescent="0.3"/>
    <row r="673" ht="14.4" x14ac:dyDescent="0.3"/>
    <row r="674" ht="14.4" x14ac:dyDescent="0.3"/>
    <row r="675" ht="14.4" x14ac:dyDescent="0.3"/>
    <row r="676" ht="14.4" x14ac:dyDescent="0.3"/>
    <row r="677" ht="14.4" x14ac:dyDescent="0.3"/>
    <row r="678" ht="14.4" x14ac:dyDescent="0.3"/>
    <row r="679" ht="14.4" x14ac:dyDescent="0.3"/>
    <row r="680" ht="14.4" x14ac:dyDescent="0.3"/>
    <row r="681" ht="14.4" x14ac:dyDescent="0.3"/>
    <row r="682" ht="14.4" x14ac:dyDescent="0.3"/>
    <row r="683" ht="14.4" x14ac:dyDescent="0.3"/>
    <row r="684" ht="14.4" x14ac:dyDescent="0.3"/>
    <row r="685" ht="14.4" x14ac:dyDescent="0.3"/>
    <row r="686" ht="14.4" x14ac:dyDescent="0.3"/>
    <row r="687" ht="14.4" x14ac:dyDescent="0.3"/>
    <row r="688" ht="14.4" x14ac:dyDescent="0.3"/>
    <row r="689" ht="14.4" x14ac:dyDescent="0.3"/>
    <row r="690" ht="14.4" x14ac:dyDescent="0.3"/>
    <row r="691" ht="14.4" x14ac:dyDescent="0.3"/>
    <row r="692" ht="14.4" x14ac:dyDescent="0.3"/>
    <row r="693" ht="14.4" x14ac:dyDescent="0.3"/>
    <row r="694" ht="14.4" x14ac:dyDescent="0.3"/>
    <row r="695" ht="14.4" x14ac:dyDescent="0.3"/>
    <row r="696" ht="14.4" x14ac:dyDescent="0.3"/>
    <row r="697" ht="14.4" x14ac:dyDescent="0.3"/>
    <row r="698" ht="14.4" x14ac:dyDescent="0.3"/>
    <row r="699" ht="14.4" x14ac:dyDescent="0.3"/>
    <row r="700" ht="14.4" x14ac:dyDescent="0.3"/>
    <row r="701" ht="14.4" x14ac:dyDescent="0.3"/>
    <row r="702" ht="14.4" x14ac:dyDescent="0.3"/>
    <row r="703" ht="14.4" x14ac:dyDescent="0.3"/>
    <row r="704" ht="14.4" x14ac:dyDescent="0.3"/>
    <row r="705" ht="14.4" x14ac:dyDescent="0.3"/>
    <row r="706" ht="14.4" x14ac:dyDescent="0.3"/>
    <row r="707" ht="14.4" x14ac:dyDescent="0.3"/>
    <row r="708" ht="14.4" x14ac:dyDescent="0.3"/>
    <row r="709" ht="14.4" x14ac:dyDescent="0.3"/>
    <row r="710" ht="14.4" x14ac:dyDescent="0.3"/>
    <row r="711" ht="14.4" x14ac:dyDescent="0.3"/>
    <row r="712" ht="14.4" x14ac:dyDescent="0.3"/>
    <row r="713" ht="14.4" x14ac:dyDescent="0.3"/>
    <row r="714" ht="14.4" x14ac:dyDescent="0.3"/>
    <row r="715" ht="14.4" x14ac:dyDescent="0.3"/>
    <row r="716" ht="14.4" x14ac:dyDescent="0.3"/>
    <row r="717" ht="14.4" x14ac:dyDescent="0.3"/>
    <row r="718" ht="14.4" x14ac:dyDescent="0.3"/>
    <row r="719" ht="14.4" x14ac:dyDescent="0.3"/>
    <row r="720" ht="14.4" x14ac:dyDescent="0.3"/>
    <row r="721" ht="14.4" x14ac:dyDescent="0.3"/>
    <row r="722" ht="14.4" x14ac:dyDescent="0.3"/>
    <row r="723" ht="14.4" x14ac:dyDescent="0.3"/>
    <row r="724" ht="14.4" x14ac:dyDescent="0.3"/>
    <row r="725" ht="14.4" x14ac:dyDescent="0.3"/>
    <row r="726" ht="14.4" x14ac:dyDescent="0.3"/>
    <row r="727" ht="14.4" x14ac:dyDescent="0.3"/>
    <row r="728" ht="14.4" x14ac:dyDescent="0.3"/>
    <row r="729" ht="14.4" x14ac:dyDescent="0.3"/>
    <row r="730" ht="14.4" x14ac:dyDescent="0.3"/>
    <row r="731" ht="14.4" x14ac:dyDescent="0.3"/>
    <row r="732" ht="14.4" x14ac:dyDescent="0.3"/>
    <row r="733" ht="14.4" x14ac:dyDescent="0.3"/>
    <row r="734" ht="14.4" x14ac:dyDescent="0.3"/>
    <row r="735" ht="14.4" x14ac:dyDescent="0.3"/>
    <row r="736" ht="14.4" x14ac:dyDescent="0.3"/>
    <row r="737" ht="14.4" x14ac:dyDescent="0.3"/>
    <row r="738" ht="14.4" x14ac:dyDescent="0.3"/>
    <row r="739" ht="14.4" x14ac:dyDescent="0.3"/>
    <row r="740" ht="14.4" x14ac:dyDescent="0.3"/>
    <row r="741" ht="14.4" x14ac:dyDescent="0.3"/>
    <row r="742" ht="14.4" x14ac:dyDescent="0.3"/>
    <row r="743" ht="14.4" x14ac:dyDescent="0.3"/>
    <row r="744" ht="14.4" x14ac:dyDescent="0.3"/>
    <row r="745" ht="14.4" x14ac:dyDescent="0.3"/>
    <row r="746" ht="14.4" x14ac:dyDescent="0.3"/>
    <row r="747" ht="14.4" x14ac:dyDescent="0.3"/>
    <row r="748" ht="14.4" x14ac:dyDescent="0.3"/>
    <row r="749" ht="14.4" x14ac:dyDescent="0.3"/>
    <row r="750" ht="14.4" x14ac:dyDescent="0.3"/>
    <row r="751" ht="14.4" x14ac:dyDescent="0.3"/>
    <row r="752" ht="14.4" x14ac:dyDescent="0.3"/>
    <row r="753" ht="14.4" x14ac:dyDescent="0.3"/>
    <row r="754" ht="14.4" x14ac:dyDescent="0.3"/>
    <row r="755" ht="14.4" x14ac:dyDescent="0.3"/>
    <row r="756" ht="14.4" x14ac:dyDescent="0.3"/>
    <row r="757" ht="14.4" x14ac:dyDescent="0.3"/>
    <row r="758" ht="14.4" x14ac:dyDescent="0.3"/>
    <row r="759" ht="14.4" x14ac:dyDescent="0.3"/>
    <row r="760" ht="14.4" x14ac:dyDescent="0.3"/>
    <row r="761" ht="14.4" x14ac:dyDescent="0.3"/>
    <row r="762" ht="14.4" x14ac:dyDescent="0.3"/>
    <row r="763" ht="14.4" x14ac:dyDescent="0.3"/>
    <row r="764" ht="14.4" x14ac:dyDescent="0.3"/>
    <row r="765" ht="14.4" x14ac:dyDescent="0.3"/>
    <row r="766" ht="14.4" x14ac:dyDescent="0.3"/>
    <row r="767" ht="14.4" x14ac:dyDescent="0.3"/>
    <row r="768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  <row r="780" ht="14.4" x14ac:dyDescent="0.3"/>
    <row r="781" ht="14.4" x14ac:dyDescent="0.3"/>
    <row r="782" ht="14.4" x14ac:dyDescent="0.3"/>
    <row r="783" ht="14.4" x14ac:dyDescent="0.3"/>
    <row r="784" ht="14.4" x14ac:dyDescent="0.3"/>
    <row r="785" ht="14.4" x14ac:dyDescent="0.3"/>
    <row r="786" ht="14.4" x14ac:dyDescent="0.3"/>
    <row r="787" ht="14.4" x14ac:dyDescent="0.3"/>
    <row r="788" ht="14.4" x14ac:dyDescent="0.3"/>
    <row r="789" ht="14.4" x14ac:dyDescent="0.3"/>
    <row r="790" ht="14.4" x14ac:dyDescent="0.3"/>
    <row r="791" ht="14.4" x14ac:dyDescent="0.3"/>
    <row r="792" ht="14.4" x14ac:dyDescent="0.3"/>
    <row r="793" ht="14.4" x14ac:dyDescent="0.3"/>
    <row r="794" ht="14.4" x14ac:dyDescent="0.3"/>
    <row r="795" ht="14.4" x14ac:dyDescent="0.3"/>
    <row r="796" ht="14.4" x14ac:dyDescent="0.3"/>
    <row r="797" ht="14.4" x14ac:dyDescent="0.3"/>
    <row r="798" ht="14.4" x14ac:dyDescent="0.3"/>
    <row r="799" ht="14.4" x14ac:dyDescent="0.3"/>
    <row r="800" ht="14.4" x14ac:dyDescent="0.3"/>
    <row r="801" ht="14.4" x14ac:dyDescent="0.3"/>
    <row r="802" ht="14.4" x14ac:dyDescent="0.3"/>
    <row r="803" ht="14.4" x14ac:dyDescent="0.3"/>
    <row r="804" ht="14.4" x14ac:dyDescent="0.3"/>
    <row r="805" ht="14.4" x14ac:dyDescent="0.3"/>
    <row r="806" ht="14.4" x14ac:dyDescent="0.3"/>
    <row r="807" ht="14.4" x14ac:dyDescent="0.3"/>
    <row r="808" ht="14.4" x14ac:dyDescent="0.3"/>
    <row r="809" ht="14.4" x14ac:dyDescent="0.3"/>
    <row r="810" ht="14.4" x14ac:dyDescent="0.3"/>
    <row r="811" ht="14.4" x14ac:dyDescent="0.3"/>
    <row r="812" ht="14.4" x14ac:dyDescent="0.3"/>
    <row r="813" ht="14.4" x14ac:dyDescent="0.3"/>
    <row r="814" ht="14.4" x14ac:dyDescent="0.3"/>
    <row r="815" ht="14.4" x14ac:dyDescent="0.3"/>
    <row r="816" ht="14.4" x14ac:dyDescent="0.3"/>
    <row r="817" ht="14.4" x14ac:dyDescent="0.3"/>
    <row r="818" ht="14.4" x14ac:dyDescent="0.3"/>
    <row r="819" ht="14.4" x14ac:dyDescent="0.3"/>
    <row r="820" ht="14.4" x14ac:dyDescent="0.3"/>
    <row r="821" ht="14.4" x14ac:dyDescent="0.3"/>
    <row r="822" ht="14.4" x14ac:dyDescent="0.3"/>
    <row r="823" ht="14.4" x14ac:dyDescent="0.3"/>
    <row r="824" ht="14.4" x14ac:dyDescent="0.3"/>
    <row r="825" ht="14.4" x14ac:dyDescent="0.3"/>
    <row r="826" ht="14.4" x14ac:dyDescent="0.3"/>
    <row r="827" ht="14.4" x14ac:dyDescent="0.3"/>
    <row r="828" ht="14.4" x14ac:dyDescent="0.3"/>
    <row r="829" ht="14.4" x14ac:dyDescent="0.3"/>
    <row r="830" ht="14.4" x14ac:dyDescent="0.3"/>
    <row r="831" ht="14.4" x14ac:dyDescent="0.3"/>
    <row r="832" ht="14.4" x14ac:dyDescent="0.3"/>
    <row r="833" ht="14.4" x14ac:dyDescent="0.3"/>
    <row r="834" ht="14.4" x14ac:dyDescent="0.3"/>
    <row r="835" ht="14.4" x14ac:dyDescent="0.3"/>
    <row r="836" ht="14.4" x14ac:dyDescent="0.3"/>
    <row r="837" ht="14.4" x14ac:dyDescent="0.3"/>
    <row r="838" ht="14.4" x14ac:dyDescent="0.3"/>
    <row r="839" ht="14.4" x14ac:dyDescent="0.3"/>
    <row r="840" ht="14.4" x14ac:dyDescent="0.3"/>
    <row r="841" ht="14.4" x14ac:dyDescent="0.3"/>
    <row r="842" ht="14.4" x14ac:dyDescent="0.3"/>
    <row r="843" ht="14.4" x14ac:dyDescent="0.3"/>
    <row r="844" ht="14.4" x14ac:dyDescent="0.3"/>
    <row r="845" ht="14.4" x14ac:dyDescent="0.3"/>
    <row r="846" ht="14.4" x14ac:dyDescent="0.3"/>
    <row r="847" ht="14.4" x14ac:dyDescent="0.3"/>
    <row r="848" ht="14.4" x14ac:dyDescent="0.3"/>
    <row r="849" ht="14.4" x14ac:dyDescent="0.3"/>
    <row r="850" ht="14.4" x14ac:dyDescent="0.3"/>
    <row r="851" ht="14.4" x14ac:dyDescent="0.3"/>
    <row r="852" ht="14.4" x14ac:dyDescent="0.3"/>
    <row r="853" ht="14.4" x14ac:dyDescent="0.3"/>
    <row r="854" ht="14.4" x14ac:dyDescent="0.3"/>
    <row r="855" ht="14.4" x14ac:dyDescent="0.3"/>
    <row r="856" ht="14.4" x14ac:dyDescent="0.3"/>
    <row r="857" ht="14.4" x14ac:dyDescent="0.3"/>
    <row r="858" ht="14.4" x14ac:dyDescent="0.3"/>
    <row r="859" ht="14.4" x14ac:dyDescent="0.3"/>
    <row r="860" ht="14.4" x14ac:dyDescent="0.3"/>
    <row r="861" ht="14.4" x14ac:dyDescent="0.3"/>
    <row r="862" ht="14.4" x14ac:dyDescent="0.3"/>
    <row r="863" ht="14.4" x14ac:dyDescent="0.3"/>
    <row r="864" ht="14.4" x14ac:dyDescent="0.3"/>
    <row r="865" ht="14.4" x14ac:dyDescent="0.3"/>
    <row r="866" ht="14.4" x14ac:dyDescent="0.3"/>
    <row r="867" ht="14.4" x14ac:dyDescent="0.3"/>
    <row r="868" ht="14.4" x14ac:dyDescent="0.3"/>
    <row r="869" ht="14.4" x14ac:dyDescent="0.3"/>
    <row r="870" ht="14.4" x14ac:dyDescent="0.3"/>
    <row r="871" ht="14.4" x14ac:dyDescent="0.3"/>
    <row r="872" ht="14.4" x14ac:dyDescent="0.3"/>
    <row r="873" ht="14.4" x14ac:dyDescent="0.3"/>
    <row r="874" ht="14.4" x14ac:dyDescent="0.3"/>
    <row r="875" ht="14.4" x14ac:dyDescent="0.3"/>
    <row r="876" ht="14.4" x14ac:dyDescent="0.3"/>
    <row r="877" ht="14.4" x14ac:dyDescent="0.3"/>
    <row r="878" ht="14.4" x14ac:dyDescent="0.3"/>
    <row r="879" ht="14.4" x14ac:dyDescent="0.3"/>
    <row r="880" ht="14.4" x14ac:dyDescent="0.3"/>
    <row r="881" ht="14.4" x14ac:dyDescent="0.3"/>
    <row r="882" ht="14.4" x14ac:dyDescent="0.3"/>
    <row r="883" ht="14.4" x14ac:dyDescent="0.3"/>
    <row r="884" ht="14.4" x14ac:dyDescent="0.3"/>
    <row r="885" ht="14.4" x14ac:dyDescent="0.3"/>
    <row r="886" ht="14.4" x14ac:dyDescent="0.3"/>
    <row r="887" ht="14.4" x14ac:dyDescent="0.3"/>
    <row r="888" ht="14.4" x14ac:dyDescent="0.3"/>
    <row r="889" ht="14.4" x14ac:dyDescent="0.3"/>
    <row r="890" ht="14.4" x14ac:dyDescent="0.3"/>
    <row r="891" ht="14.4" x14ac:dyDescent="0.3"/>
    <row r="892" ht="14.4" x14ac:dyDescent="0.3"/>
    <row r="893" ht="14.4" x14ac:dyDescent="0.3"/>
    <row r="894" ht="14.4" x14ac:dyDescent="0.3"/>
    <row r="895" ht="14.4" x14ac:dyDescent="0.3"/>
    <row r="896" ht="14.4" x14ac:dyDescent="0.3"/>
    <row r="897" ht="14.4" x14ac:dyDescent="0.3"/>
    <row r="898" ht="14.4" x14ac:dyDescent="0.3"/>
    <row r="899" ht="14.4" x14ac:dyDescent="0.3"/>
    <row r="900" ht="14.4" x14ac:dyDescent="0.3"/>
    <row r="901" ht="14.4" x14ac:dyDescent="0.3"/>
    <row r="902" ht="14.4" x14ac:dyDescent="0.3"/>
    <row r="903" ht="14.4" x14ac:dyDescent="0.3"/>
    <row r="904" ht="14.4" x14ac:dyDescent="0.3"/>
    <row r="905" ht="14.4" x14ac:dyDescent="0.3"/>
    <row r="906" ht="14.4" x14ac:dyDescent="0.3"/>
    <row r="907" ht="14.4" x14ac:dyDescent="0.3"/>
    <row r="908" ht="14.4" x14ac:dyDescent="0.3"/>
    <row r="909" ht="14.4" x14ac:dyDescent="0.3"/>
    <row r="910" ht="14.4" x14ac:dyDescent="0.3"/>
    <row r="911" ht="14.4" x14ac:dyDescent="0.3"/>
    <row r="912" ht="14.4" x14ac:dyDescent="0.3"/>
    <row r="913" ht="14.4" x14ac:dyDescent="0.3"/>
    <row r="914" ht="14.4" x14ac:dyDescent="0.3"/>
    <row r="915" ht="14.4" x14ac:dyDescent="0.3"/>
    <row r="916" ht="14.4" x14ac:dyDescent="0.3"/>
    <row r="917" ht="14.4" x14ac:dyDescent="0.3"/>
    <row r="918" ht="14.4" x14ac:dyDescent="0.3"/>
    <row r="919" ht="14.4" x14ac:dyDescent="0.3"/>
    <row r="920" ht="14.4" x14ac:dyDescent="0.3"/>
    <row r="921" ht="14.4" x14ac:dyDescent="0.3"/>
    <row r="922" ht="14.4" x14ac:dyDescent="0.3"/>
    <row r="923" ht="14.4" x14ac:dyDescent="0.3"/>
    <row r="924" ht="14.4" x14ac:dyDescent="0.3"/>
    <row r="925" ht="14.4" x14ac:dyDescent="0.3"/>
    <row r="926" ht="14.4" x14ac:dyDescent="0.3"/>
    <row r="927" ht="14.4" x14ac:dyDescent="0.3"/>
    <row r="928" ht="14.4" x14ac:dyDescent="0.3"/>
    <row r="929" ht="14.4" x14ac:dyDescent="0.3"/>
    <row r="930" ht="14.4" x14ac:dyDescent="0.3"/>
    <row r="931" ht="14.4" x14ac:dyDescent="0.3"/>
    <row r="932" ht="14.4" x14ac:dyDescent="0.3"/>
    <row r="933" ht="14.4" x14ac:dyDescent="0.3"/>
    <row r="934" ht="14.4" x14ac:dyDescent="0.3"/>
    <row r="935" ht="14.4" x14ac:dyDescent="0.3"/>
    <row r="936" ht="14.4" x14ac:dyDescent="0.3"/>
    <row r="937" ht="14.4" x14ac:dyDescent="0.3"/>
    <row r="938" ht="14.4" x14ac:dyDescent="0.3"/>
    <row r="939" ht="14.4" x14ac:dyDescent="0.3"/>
    <row r="940" ht="14.4" x14ac:dyDescent="0.3"/>
    <row r="941" ht="14.4" x14ac:dyDescent="0.3"/>
    <row r="942" ht="14.4" x14ac:dyDescent="0.3"/>
    <row r="943" ht="14.4" x14ac:dyDescent="0.3"/>
    <row r="944" ht="14.4" x14ac:dyDescent="0.3"/>
    <row r="945" ht="14.4" x14ac:dyDescent="0.3"/>
    <row r="946" ht="14.4" x14ac:dyDescent="0.3"/>
    <row r="947" ht="14.4" x14ac:dyDescent="0.3"/>
    <row r="948" ht="14.4" x14ac:dyDescent="0.3"/>
    <row r="949" ht="14.4" x14ac:dyDescent="0.3"/>
    <row r="950" ht="14.4" x14ac:dyDescent="0.3"/>
    <row r="951" ht="14.4" x14ac:dyDescent="0.3"/>
    <row r="952" ht="14.4" x14ac:dyDescent="0.3"/>
    <row r="953" ht="14.4" x14ac:dyDescent="0.3"/>
    <row r="954" ht="14.4" x14ac:dyDescent="0.3"/>
    <row r="955" ht="14.4" x14ac:dyDescent="0.3"/>
    <row r="956" ht="14.4" x14ac:dyDescent="0.3"/>
    <row r="957" ht="14.4" x14ac:dyDescent="0.3"/>
    <row r="958" ht="14.4" x14ac:dyDescent="0.3"/>
    <row r="959" ht="14.4" x14ac:dyDescent="0.3"/>
    <row r="960" ht="14.4" x14ac:dyDescent="0.3"/>
    <row r="961" ht="14.4" x14ac:dyDescent="0.3"/>
    <row r="962" ht="14.4" x14ac:dyDescent="0.3"/>
    <row r="963" ht="14.4" x14ac:dyDescent="0.3"/>
    <row r="964" ht="14.4" x14ac:dyDescent="0.3"/>
    <row r="965" ht="14.4" x14ac:dyDescent="0.3"/>
    <row r="966" ht="14.4" x14ac:dyDescent="0.3"/>
    <row r="967" ht="14.4" x14ac:dyDescent="0.3"/>
    <row r="968" ht="14.4" x14ac:dyDescent="0.3"/>
    <row r="969" ht="14.4" x14ac:dyDescent="0.3"/>
    <row r="970" ht="14.4" x14ac:dyDescent="0.3"/>
    <row r="971" ht="14.4" x14ac:dyDescent="0.3"/>
    <row r="972" ht="14.4" x14ac:dyDescent="0.3"/>
    <row r="973" ht="14.4" x14ac:dyDescent="0.3"/>
    <row r="974" ht="14.4" x14ac:dyDescent="0.3"/>
    <row r="975" ht="14.4" x14ac:dyDescent="0.3"/>
    <row r="976" ht="14.4" x14ac:dyDescent="0.3"/>
    <row r="977" ht="14.4" x14ac:dyDescent="0.3"/>
    <row r="978" ht="14.4" x14ac:dyDescent="0.3"/>
    <row r="979" ht="14.4" x14ac:dyDescent="0.3"/>
    <row r="980" ht="14.4" x14ac:dyDescent="0.3"/>
    <row r="981" ht="14.4" x14ac:dyDescent="0.3"/>
    <row r="982" ht="14.4" x14ac:dyDescent="0.3"/>
    <row r="983" ht="14.4" x14ac:dyDescent="0.3"/>
    <row r="984" ht="14.4" x14ac:dyDescent="0.3"/>
    <row r="985" ht="14.4" x14ac:dyDescent="0.3"/>
    <row r="986" ht="14.4" x14ac:dyDescent="0.3"/>
    <row r="987" ht="14.4" x14ac:dyDescent="0.3"/>
    <row r="988" ht="14.4" x14ac:dyDescent="0.3"/>
    <row r="989" ht="14.4" x14ac:dyDescent="0.3"/>
    <row r="990" ht="14.4" x14ac:dyDescent="0.3"/>
    <row r="991" ht="14.4" x14ac:dyDescent="0.3"/>
    <row r="992" ht="14.4" x14ac:dyDescent="0.3"/>
    <row r="993" ht="14.4" x14ac:dyDescent="0.3"/>
    <row r="994" ht="14.4" x14ac:dyDescent="0.3"/>
    <row r="995" ht="14.4" x14ac:dyDescent="0.3"/>
    <row r="996" ht="14.4" x14ac:dyDescent="0.3"/>
    <row r="997" ht="14.4" x14ac:dyDescent="0.3"/>
    <row r="998" ht="14.4" x14ac:dyDescent="0.3"/>
  </sheetData>
  <mergeCells count="1">
    <mergeCell ref="A1:D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00"/>
  <sheetViews>
    <sheetView workbookViewId="0"/>
  </sheetViews>
  <sheetFormatPr defaultColWidth="14.44140625" defaultRowHeight="15" customHeight="1" x14ac:dyDescent="0.3"/>
  <cols>
    <col min="1" max="1" width="8.88671875" customWidth="1"/>
    <col min="2" max="2" width="16.21875" customWidth="1"/>
    <col min="3" max="4" width="10.21875" customWidth="1"/>
    <col min="5" max="5" width="12.21875" customWidth="1"/>
    <col min="6" max="26" width="8.77734375" customWidth="1"/>
  </cols>
  <sheetData>
    <row r="1" spans="1:7" ht="14.25" customHeight="1" x14ac:dyDescent="0.3">
      <c r="A1" s="18"/>
      <c r="C1" s="204" t="s">
        <v>149</v>
      </c>
      <c r="D1" s="185"/>
      <c r="E1" s="17" t="s">
        <v>150</v>
      </c>
      <c r="F1" s="17" t="s">
        <v>134</v>
      </c>
    </row>
    <row r="2" spans="1:7" ht="14.25" customHeight="1" x14ac:dyDescent="0.3">
      <c r="A2" s="18">
        <v>1</v>
      </c>
      <c r="B2" s="19" t="s">
        <v>151</v>
      </c>
      <c r="C2" s="41">
        <v>44573</v>
      </c>
      <c r="D2" s="41">
        <v>44664</v>
      </c>
      <c r="E2" s="18">
        <v>91</v>
      </c>
      <c r="F2" s="42">
        <v>6797</v>
      </c>
    </row>
    <row r="3" spans="1:7" ht="14.25" customHeight="1" x14ac:dyDescent="0.3">
      <c r="A3" s="18"/>
      <c r="C3" s="43">
        <v>44573</v>
      </c>
      <c r="D3" s="43">
        <v>44651</v>
      </c>
      <c r="E3" s="44">
        <f>19+28+31</f>
        <v>78</v>
      </c>
      <c r="F3" s="45">
        <f>E3*F2/E2</f>
        <v>5826</v>
      </c>
      <c r="G3" s="19" t="s">
        <v>152</v>
      </c>
    </row>
    <row r="4" spans="1:7" ht="14.25" customHeight="1" x14ac:dyDescent="0.3">
      <c r="A4" s="18"/>
      <c r="C4" s="41">
        <v>44652</v>
      </c>
      <c r="D4" s="41">
        <v>44664</v>
      </c>
      <c r="E4" s="18">
        <f>D4-C4+1</f>
        <v>13</v>
      </c>
      <c r="F4" s="42">
        <f>F2-F3</f>
        <v>971</v>
      </c>
    </row>
    <row r="5" spans="1:7" ht="14.25" customHeight="1" x14ac:dyDescent="0.3">
      <c r="A5" s="18"/>
      <c r="C5" s="41">
        <f>D2</f>
        <v>44664</v>
      </c>
      <c r="D5" s="41">
        <v>44755</v>
      </c>
      <c r="E5" s="18">
        <f t="shared" ref="E5:E7" si="0">D5-C5</f>
        <v>91</v>
      </c>
      <c r="F5" s="42">
        <v>6945</v>
      </c>
    </row>
    <row r="6" spans="1:7" ht="14.25" customHeight="1" x14ac:dyDescent="0.3">
      <c r="A6" s="18"/>
      <c r="C6" s="41">
        <f t="shared" ref="C6:C7" si="1">D5</f>
        <v>44755</v>
      </c>
      <c r="D6" s="41">
        <v>44847</v>
      </c>
      <c r="E6" s="18">
        <f t="shared" si="0"/>
        <v>92</v>
      </c>
      <c r="F6" s="42">
        <v>8841</v>
      </c>
    </row>
    <row r="7" spans="1:7" ht="14.25" customHeight="1" x14ac:dyDescent="0.3">
      <c r="A7" s="18"/>
      <c r="C7" s="43">
        <f t="shared" si="1"/>
        <v>44847</v>
      </c>
      <c r="D7" s="43">
        <v>44939</v>
      </c>
      <c r="E7" s="44">
        <f t="shared" si="0"/>
        <v>92</v>
      </c>
      <c r="F7" s="45">
        <v>7898</v>
      </c>
    </row>
    <row r="8" spans="1:7" ht="14.25" customHeight="1" x14ac:dyDescent="0.3">
      <c r="A8" s="18"/>
      <c r="C8" s="41">
        <v>44652</v>
      </c>
      <c r="D8" s="41">
        <v>44939</v>
      </c>
      <c r="E8" s="18">
        <f t="shared" ref="E8:F8" si="2">SUM(E4:E7)</f>
        <v>288</v>
      </c>
      <c r="F8" s="42">
        <f t="shared" si="2"/>
        <v>24655</v>
      </c>
    </row>
    <row r="9" spans="1:7" ht="14.25" customHeight="1" x14ac:dyDescent="0.3">
      <c r="A9" s="18"/>
      <c r="C9" s="43">
        <f>D8</f>
        <v>44939</v>
      </c>
      <c r="D9" s="43">
        <v>45016</v>
      </c>
      <c r="E9" s="44">
        <f>D9-C9</f>
        <v>77</v>
      </c>
      <c r="F9" s="45">
        <f>ROUND(E9*F8/E8,0)</f>
        <v>6592</v>
      </c>
      <c r="G9" s="19" t="s">
        <v>153</v>
      </c>
    </row>
    <row r="10" spans="1:7" ht="14.25" customHeight="1" x14ac:dyDescent="0.3">
      <c r="A10" s="18"/>
      <c r="C10" s="41">
        <f>C8</f>
        <v>44652</v>
      </c>
      <c r="D10" s="41">
        <f>D9</f>
        <v>45016</v>
      </c>
      <c r="E10" s="18">
        <f t="shared" ref="E10:F10" si="3">E8+E9</f>
        <v>365</v>
      </c>
      <c r="F10" s="42">
        <f t="shared" si="3"/>
        <v>31247</v>
      </c>
    </row>
    <row r="11" spans="1:7" ht="14.25" customHeight="1" x14ac:dyDescent="0.3">
      <c r="A11" s="18"/>
      <c r="E11" s="18"/>
      <c r="F11" s="42"/>
    </row>
    <row r="12" spans="1:7" ht="14.25" customHeight="1" x14ac:dyDescent="0.3">
      <c r="A12" s="18">
        <v>2</v>
      </c>
      <c r="B12" s="19" t="s">
        <v>69</v>
      </c>
      <c r="C12" s="41">
        <v>44896</v>
      </c>
      <c r="D12" s="41">
        <v>45260</v>
      </c>
      <c r="E12" s="18">
        <f t="shared" ref="E12:E13" si="4">D12-C12+1</f>
        <v>365</v>
      </c>
      <c r="F12" s="42">
        <v>7275</v>
      </c>
    </row>
    <row r="13" spans="1:7" ht="14.25" customHeight="1" x14ac:dyDescent="0.3">
      <c r="A13" s="18"/>
      <c r="C13" s="43">
        <v>45017</v>
      </c>
      <c r="D13" s="43">
        <f>D12</f>
        <v>45260</v>
      </c>
      <c r="E13" s="44">
        <f t="shared" si="4"/>
        <v>244</v>
      </c>
      <c r="F13" s="45">
        <f>ROUND(E13*F12/E12,0)</f>
        <v>4863</v>
      </c>
      <c r="G13" s="19" t="s">
        <v>154</v>
      </c>
    </row>
    <row r="14" spans="1:7" ht="14.25" customHeight="1" x14ac:dyDescent="0.3">
      <c r="A14" s="18"/>
      <c r="C14" s="41">
        <f>C12</f>
        <v>44896</v>
      </c>
      <c r="D14" s="41">
        <v>45016</v>
      </c>
      <c r="E14" s="18">
        <f t="shared" ref="E14:F14" si="5">E12-E13</f>
        <v>121</v>
      </c>
      <c r="F14" s="42">
        <f t="shared" si="5"/>
        <v>2412</v>
      </c>
    </row>
    <row r="15" spans="1:7" ht="14.25" customHeight="1" x14ac:dyDescent="0.3">
      <c r="A15" s="18"/>
      <c r="E15" s="18"/>
      <c r="F15" s="42"/>
    </row>
    <row r="16" spans="1:7" ht="14.25" customHeight="1" x14ac:dyDescent="0.3">
      <c r="A16" s="18">
        <v>3</v>
      </c>
      <c r="B16" s="19" t="s">
        <v>148</v>
      </c>
      <c r="C16" s="41">
        <v>44991</v>
      </c>
      <c r="D16" s="41">
        <v>45356</v>
      </c>
      <c r="E16" s="18">
        <f t="shared" ref="E16:E17" si="6">D16-C16</f>
        <v>365</v>
      </c>
      <c r="F16" s="42">
        <v>18249</v>
      </c>
    </row>
    <row r="17" spans="1:7" ht="14.25" customHeight="1" x14ac:dyDescent="0.3">
      <c r="A17" s="18"/>
      <c r="C17" s="43">
        <v>45017</v>
      </c>
      <c r="D17" s="43">
        <f>D16</f>
        <v>45356</v>
      </c>
      <c r="E17" s="44">
        <f t="shared" si="6"/>
        <v>339</v>
      </c>
      <c r="F17" s="45">
        <f>ROUND(E17*F16/E16,0)</f>
        <v>16949</v>
      </c>
      <c r="G17" s="19" t="s">
        <v>154</v>
      </c>
    </row>
    <row r="18" spans="1:7" ht="14.25" customHeight="1" x14ac:dyDescent="0.3">
      <c r="A18" s="18"/>
      <c r="C18" s="41">
        <f>C16</f>
        <v>44991</v>
      </c>
      <c r="D18" s="41">
        <v>45016</v>
      </c>
      <c r="E18" s="18">
        <f t="shared" ref="E18:F18" si="7">E16-E17</f>
        <v>26</v>
      </c>
      <c r="F18" s="42">
        <f t="shared" si="7"/>
        <v>1300</v>
      </c>
    </row>
    <row r="19" spans="1:7" ht="14.25" customHeight="1" x14ac:dyDescent="0.3">
      <c r="A19" s="18"/>
      <c r="C19" s="41">
        <v>44652</v>
      </c>
      <c r="D19" s="41">
        <v>44990</v>
      </c>
      <c r="E19" s="44">
        <f>D19-C19</f>
        <v>338</v>
      </c>
      <c r="F19" s="46">
        <v>14770</v>
      </c>
    </row>
    <row r="20" spans="1:7" ht="14.25" customHeight="1" x14ac:dyDescent="0.3">
      <c r="A20" s="18"/>
      <c r="E20" s="18">
        <f t="shared" ref="E20:F20" si="8">SUM(E18:E19)</f>
        <v>364</v>
      </c>
      <c r="F20" s="19">
        <f t="shared" si="8"/>
        <v>16070</v>
      </c>
    </row>
    <row r="21" spans="1:7" ht="14.25" customHeight="1" x14ac:dyDescent="0.3">
      <c r="A21" s="18"/>
      <c r="E21" s="18"/>
    </row>
    <row r="22" spans="1:7" ht="14.25" customHeight="1" x14ac:dyDescent="0.3">
      <c r="A22" s="18"/>
      <c r="E22" s="18"/>
    </row>
    <row r="23" spans="1:7" ht="14.25" customHeight="1" x14ac:dyDescent="0.3">
      <c r="A23" s="18"/>
      <c r="E23" s="18"/>
    </row>
    <row r="24" spans="1:7" ht="14.25" customHeight="1" x14ac:dyDescent="0.3">
      <c r="A24" s="18"/>
      <c r="E24" s="18"/>
    </row>
    <row r="25" spans="1:7" ht="14.25" customHeight="1" x14ac:dyDescent="0.3">
      <c r="A25" s="18"/>
      <c r="E25" s="18"/>
    </row>
    <row r="26" spans="1:7" ht="14.25" customHeight="1" x14ac:dyDescent="0.3">
      <c r="A26" s="18"/>
      <c r="E26" s="18"/>
    </row>
    <row r="27" spans="1:7" ht="14.25" customHeight="1" x14ac:dyDescent="0.3">
      <c r="A27" s="18"/>
      <c r="E27" s="18"/>
    </row>
    <row r="28" spans="1:7" ht="14.25" customHeight="1" x14ac:dyDescent="0.3">
      <c r="A28" s="18"/>
      <c r="E28" s="18"/>
    </row>
    <row r="29" spans="1:7" ht="14.25" customHeight="1" x14ac:dyDescent="0.3">
      <c r="A29" s="18"/>
      <c r="E29" s="18"/>
    </row>
    <row r="30" spans="1:7" ht="14.25" customHeight="1" x14ac:dyDescent="0.3">
      <c r="A30" s="18"/>
      <c r="E30" s="18"/>
    </row>
    <row r="31" spans="1:7" ht="14.25" customHeight="1" x14ac:dyDescent="0.3">
      <c r="A31" s="18"/>
      <c r="E31" s="18"/>
    </row>
    <row r="32" spans="1:7" ht="14.25" customHeight="1" x14ac:dyDescent="0.3">
      <c r="A32" s="18"/>
      <c r="E32" s="18"/>
    </row>
    <row r="33" spans="1:5" ht="14.25" customHeight="1" x14ac:dyDescent="0.3">
      <c r="A33" s="18"/>
      <c r="E33" s="18"/>
    </row>
    <row r="34" spans="1:5" ht="14.25" customHeight="1" x14ac:dyDescent="0.3">
      <c r="A34" s="18"/>
      <c r="E34" s="18"/>
    </row>
    <row r="35" spans="1:5" ht="14.25" customHeight="1" x14ac:dyDescent="0.3">
      <c r="A35" s="18"/>
      <c r="E35" s="18"/>
    </row>
    <row r="36" spans="1:5" ht="14.25" customHeight="1" x14ac:dyDescent="0.3">
      <c r="A36" s="18"/>
      <c r="E36" s="18"/>
    </row>
    <row r="37" spans="1:5" ht="14.25" customHeight="1" x14ac:dyDescent="0.3">
      <c r="A37" s="18"/>
      <c r="E37" s="18"/>
    </row>
    <row r="38" spans="1:5" ht="14.25" customHeight="1" x14ac:dyDescent="0.3">
      <c r="A38" s="18"/>
      <c r="E38" s="18"/>
    </row>
    <row r="39" spans="1:5" ht="14.25" customHeight="1" x14ac:dyDescent="0.3">
      <c r="A39" s="18"/>
      <c r="E39" s="18"/>
    </row>
    <row r="40" spans="1:5" ht="14.25" customHeight="1" x14ac:dyDescent="0.3">
      <c r="A40" s="18"/>
      <c r="E40" s="18"/>
    </row>
    <row r="41" spans="1:5" ht="14.25" customHeight="1" x14ac:dyDescent="0.3">
      <c r="A41" s="18"/>
      <c r="E41" s="18"/>
    </row>
    <row r="42" spans="1:5" ht="14.25" customHeight="1" x14ac:dyDescent="0.3">
      <c r="A42" s="18"/>
      <c r="E42" s="18"/>
    </row>
    <row r="43" spans="1:5" ht="14.25" customHeight="1" x14ac:dyDescent="0.3">
      <c r="A43" s="18"/>
      <c r="E43" s="18"/>
    </row>
    <row r="44" spans="1:5" ht="14.25" customHeight="1" x14ac:dyDescent="0.3">
      <c r="A44" s="18"/>
      <c r="E44" s="18"/>
    </row>
    <row r="45" spans="1:5" ht="14.25" customHeight="1" x14ac:dyDescent="0.3">
      <c r="A45" s="18"/>
      <c r="E45" s="18"/>
    </row>
    <row r="46" spans="1:5" ht="14.25" customHeight="1" x14ac:dyDescent="0.3">
      <c r="A46" s="18"/>
      <c r="E46" s="18"/>
    </row>
    <row r="47" spans="1:5" ht="14.25" customHeight="1" x14ac:dyDescent="0.3">
      <c r="A47" s="18"/>
      <c r="E47" s="18"/>
    </row>
    <row r="48" spans="1:5" ht="14.25" customHeight="1" x14ac:dyDescent="0.3">
      <c r="A48" s="18"/>
      <c r="E48" s="18"/>
    </row>
    <row r="49" spans="1:5" ht="14.25" customHeight="1" x14ac:dyDescent="0.3">
      <c r="A49" s="18"/>
      <c r="E49" s="18"/>
    </row>
    <row r="50" spans="1:5" ht="14.25" customHeight="1" x14ac:dyDescent="0.3">
      <c r="A50" s="18"/>
      <c r="E50" s="18"/>
    </row>
    <row r="51" spans="1:5" ht="14.25" customHeight="1" x14ac:dyDescent="0.3">
      <c r="A51" s="18"/>
      <c r="E51" s="18"/>
    </row>
    <row r="52" spans="1:5" ht="14.25" customHeight="1" x14ac:dyDescent="0.3">
      <c r="A52" s="18"/>
      <c r="E52" s="18"/>
    </row>
    <row r="53" spans="1:5" ht="14.25" customHeight="1" x14ac:dyDescent="0.3">
      <c r="A53" s="18"/>
      <c r="E53" s="18"/>
    </row>
    <row r="54" spans="1:5" ht="14.25" customHeight="1" x14ac:dyDescent="0.3">
      <c r="A54" s="18"/>
      <c r="E54" s="18"/>
    </row>
    <row r="55" spans="1:5" ht="14.25" customHeight="1" x14ac:dyDescent="0.3">
      <c r="A55" s="18"/>
      <c r="E55" s="18"/>
    </row>
    <row r="56" spans="1:5" ht="14.25" customHeight="1" x14ac:dyDescent="0.3">
      <c r="A56" s="18"/>
      <c r="E56" s="18"/>
    </row>
    <row r="57" spans="1:5" ht="14.25" customHeight="1" x14ac:dyDescent="0.3">
      <c r="A57" s="18"/>
      <c r="E57" s="18"/>
    </row>
    <row r="58" spans="1:5" ht="14.25" customHeight="1" x14ac:dyDescent="0.3">
      <c r="A58" s="18"/>
      <c r="E58" s="18"/>
    </row>
    <row r="59" spans="1:5" ht="14.25" customHeight="1" x14ac:dyDescent="0.3">
      <c r="A59" s="18"/>
      <c r="E59" s="18"/>
    </row>
    <row r="60" spans="1:5" ht="14.25" customHeight="1" x14ac:dyDescent="0.3">
      <c r="A60" s="18"/>
      <c r="E60" s="18"/>
    </row>
    <row r="61" spans="1:5" ht="14.25" customHeight="1" x14ac:dyDescent="0.3">
      <c r="A61" s="18"/>
      <c r="E61" s="18"/>
    </row>
    <row r="62" spans="1:5" ht="14.25" customHeight="1" x14ac:dyDescent="0.3">
      <c r="A62" s="18"/>
      <c r="E62" s="18"/>
    </row>
    <row r="63" spans="1:5" ht="14.25" customHeight="1" x14ac:dyDescent="0.3">
      <c r="A63" s="18"/>
      <c r="E63" s="18"/>
    </row>
    <row r="64" spans="1:5" ht="14.25" customHeight="1" x14ac:dyDescent="0.3">
      <c r="A64" s="18"/>
      <c r="E64" s="18"/>
    </row>
    <row r="65" spans="1:5" ht="14.25" customHeight="1" x14ac:dyDescent="0.3">
      <c r="A65" s="18"/>
      <c r="E65" s="18"/>
    </row>
    <row r="66" spans="1:5" ht="14.25" customHeight="1" x14ac:dyDescent="0.3">
      <c r="A66" s="18"/>
      <c r="E66" s="18"/>
    </row>
    <row r="67" spans="1:5" ht="14.25" customHeight="1" x14ac:dyDescent="0.3">
      <c r="A67" s="18"/>
      <c r="E67" s="18"/>
    </row>
    <row r="68" spans="1:5" ht="14.25" customHeight="1" x14ac:dyDescent="0.3">
      <c r="A68" s="18"/>
      <c r="E68" s="18"/>
    </row>
    <row r="69" spans="1:5" ht="14.25" customHeight="1" x14ac:dyDescent="0.3">
      <c r="A69" s="18"/>
      <c r="E69" s="18"/>
    </row>
    <row r="70" spans="1:5" ht="14.25" customHeight="1" x14ac:dyDescent="0.3">
      <c r="A70" s="18"/>
      <c r="E70" s="18"/>
    </row>
    <row r="71" spans="1:5" ht="14.25" customHeight="1" x14ac:dyDescent="0.3">
      <c r="A71" s="18"/>
      <c r="E71" s="18"/>
    </row>
    <row r="72" spans="1:5" ht="14.25" customHeight="1" x14ac:dyDescent="0.3">
      <c r="A72" s="18"/>
      <c r="E72" s="18"/>
    </row>
    <row r="73" spans="1:5" ht="14.25" customHeight="1" x14ac:dyDescent="0.3">
      <c r="A73" s="18"/>
      <c r="E73" s="18"/>
    </row>
    <row r="74" spans="1:5" ht="14.25" customHeight="1" x14ac:dyDescent="0.3">
      <c r="A74" s="18"/>
      <c r="E74" s="18"/>
    </row>
    <row r="75" spans="1:5" ht="14.25" customHeight="1" x14ac:dyDescent="0.3">
      <c r="A75" s="18"/>
      <c r="E75" s="18"/>
    </row>
    <row r="76" spans="1:5" ht="14.25" customHeight="1" x14ac:dyDescent="0.3">
      <c r="A76" s="18"/>
      <c r="E76" s="18"/>
    </row>
    <row r="77" spans="1:5" ht="14.25" customHeight="1" x14ac:dyDescent="0.3">
      <c r="A77" s="18"/>
      <c r="E77" s="18"/>
    </row>
    <row r="78" spans="1:5" ht="14.25" customHeight="1" x14ac:dyDescent="0.3">
      <c r="A78" s="18"/>
      <c r="E78" s="18"/>
    </row>
    <row r="79" spans="1:5" ht="14.25" customHeight="1" x14ac:dyDescent="0.3">
      <c r="A79" s="18"/>
      <c r="E79" s="18"/>
    </row>
    <row r="80" spans="1:5" ht="14.25" customHeight="1" x14ac:dyDescent="0.3">
      <c r="A80" s="18"/>
      <c r="E80" s="18"/>
    </row>
    <row r="81" spans="1:5" ht="14.25" customHeight="1" x14ac:dyDescent="0.3">
      <c r="A81" s="18"/>
      <c r="E81" s="18"/>
    </row>
    <row r="82" spans="1:5" ht="14.25" customHeight="1" x14ac:dyDescent="0.3">
      <c r="A82" s="18"/>
      <c r="E82" s="18"/>
    </row>
    <row r="83" spans="1:5" ht="14.25" customHeight="1" x14ac:dyDescent="0.3">
      <c r="A83" s="18"/>
      <c r="E83" s="18"/>
    </row>
    <row r="84" spans="1:5" ht="14.25" customHeight="1" x14ac:dyDescent="0.3">
      <c r="A84" s="18"/>
      <c r="E84" s="18"/>
    </row>
    <row r="85" spans="1:5" ht="14.25" customHeight="1" x14ac:dyDescent="0.3">
      <c r="A85" s="18"/>
      <c r="E85" s="18"/>
    </row>
    <row r="86" spans="1:5" ht="14.25" customHeight="1" x14ac:dyDescent="0.3">
      <c r="A86" s="18"/>
      <c r="E86" s="18"/>
    </row>
    <row r="87" spans="1:5" ht="14.25" customHeight="1" x14ac:dyDescent="0.3">
      <c r="A87" s="18"/>
      <c r="E87" s="18"/>
    </row>
    <row r="88" spans="1:5" ht="14.25" customHeight="1" x14ac:dyDescent="0.3">
      <c r="A88" s="18"/>
      <c r="E88" s="18"/>
    </row>
    <row r="89" spans="1:5" ht="14.25" customHeight="1" x14ac:dyDescent="0.3">
      <c r="A89" s="18"/>
      <c r="E89" s="18"/>
    </row>
    <row r="90" spans="1:5" ht="14.25" customHeight="1" x14ac:dyDescent="0.3">
      <c r="A90" s="18"/>
      <c r="E90" s="18"/>
    </row>
    <row r="91" spans="1:5" ht="14.25" customHeight="1" x14ac:dyDescent="0.3">
      <c r="A91" s="18"/>
      <c r="E91" s="18"/>
    </row>
    <row r="92" spans="1:5" ht="14.25" customHeight="1" x14ac:dyDescent="0.3">
      <c r="A92" s="18"/>
      <c r="E92" s="18"/>
    </row>
    <row r="93" spans="1:5" ht="14.25" customHeight="1" x14ac:dyDescent="0.3">
      <c r="A93" s="18"/>
      <c r="E93" s="18"/>
    </row>
    <row r="94" spans="1:5" ht="14.25" customHeight="1" x14ac:dyDescent="0.3">
      <c r="A94" s="18"/>
      <c r="E94" s="18"/>
    </row>
    <row r="95" spans="1:5" ht="14.25" customHeight="1" x14ac:dyDescent="0.3">
      <c r="A95" s="18"/>
      <c r="E95" s="18"/>
    </row>
    <row r="96" spans="1:5" ht="14.25" customHeight="1" x14ac:dyDescent="0.3">
      <c r="A96" s="18"/>
      <c r="E96" s="18"/>
    </row>
    <row r="97" spans="1:5" ht="14.25" customHeight="1" x14ac:dyDescent="0.3">
      <c r="A97" s="18"/>
      <c r="E97" s="18"/>
    </row>
    <row r="98" spans="1:5" ht="14.25" customHeight="1" x14ac:dyDescent="0.3">
      <c r="A98" s="18"/>
      <c r="E98" s="18"/>
    </row>
    <row r="99" spans="1:5" ht="14.25" customHeight="1" x14ac:dyDescent="0.3">
      <c r="A99" s="18"/>
      <c r="E99" s="18"/>
    </row>
    <row r="100" spans="1:5" ht="14.25" customHeight="1" x14ac:dyDescent="0.3">
      <c r="A100" s="18"/>
      <c r="E100" s="18"/>
    </row>
    <row r="101" spans="1:5" ht="14.25" customHeight="1" x14ac:dyDescent="0.3">
      <c r="A101" s="18"/>
      <c r="E101" s="18"/>
    </row>
    <row r="102" spans="1:5" ht="14.25" customHeight="1" x14ac:dyDescent="0.3">
      <c r="A102" s="18"/>
      <c r="E102" s="18"/>
    </row>
    <row r="103" spans="1:5" ht="14.25" customHeight="1" x14ac:dyDescent="0.3">
      <c r="A103" s="18"/>
      <c r="E103" s="18"/>
    </row>
    <row r="104" spans="1:5" ht="14.25" customHeight="1" x14ac:dyDescent="0.3">
      <c r="A104" s="18"/>
      <c r="E104" s="18"/>
    </row>
    <row r="105" spans="1:5" ht="14.25" customHeight="1" x14ac:dyDescent="0.3">
      <c r="A105" s="18"/>
      <c r="E105" s="18"/>
    </row>
    <row r="106" spans="1:5" ht="14.25" customHeight="1" x14ac:dyDescent="0.3">
      <c r="A106" s="18"/>
      <c r="E106" s="18"/>
    </row>
    <row r="107" spans="1:5" ht="14.25" customHeight="1" x14ac:dyDescent="0.3">
      <c r="A107" s="18"/>
      <c r="E107" s="18"/>
    </row>
    <row r="108" spans="1:5" ht="14.25" customHeight="1" x14ac:dyDescent="0.3">
      <c r="A108" s="18"/>
      <c r="E108" s="18"/>
    </row>
    <row r="109" spans="1:5" ht="14.25" customHeight="1" x14ac:dyDescent="0.3">
      <c r="A109" s="18"/>
      <c r="E109" s="18"/>
    </row>
    <row r="110" spans="1:5" ht="14.25" customHeight="1" x14ac:dyDescent="0.3">
      <c r="A110" s="18"/>
      <c r="E110" s="18"/>
    </row>
    <row r="111" spans="1:5" ht="14.25" customHeight="1" x14ac:dyDescent="0.3">
      <c r="A111" s="18"/>
      <c r="E111" s="18"/>
    </row>
    <row r="112" spans="1:5" ht="14.25" customHeight="1" x14ac:dyDescent="0.3">
      <c r="A112" s="18"/>
      <c r="E112" s="18"/>
    </row>
    <row r="113" spans="1:5" ht="14.25" customHeight="1" x14ac:dyDescent="0.3">
      <c r="A113" s="18"/>
      <c r="E113" s="18"/>
    </row>
    <row r="114" spans="1:5" ht="14.25" customHeight="1" x14ac:dyDescent="0.3">
      <c r="A114" s="18"/>
      <c r="E114" s="18"/>
    </row>
    <row r="115" spans="1:5" ht="14.25" customHeight="1" x14ac:dyDescent="0.3">
      <c r="A115" s="18"/>
      <c r="E115" s="18"/>
    </row>
    <row r="116" spans="1:5" ht="14.25" customHeight="1" x14ac:dyDescent="0.3">
      <c r="A116" s="18"/>
      <c r="E116" s="18"/>
    </row>
    <row r="117" spans="1:5" ht="14.25" customHeight="1" x14ac:dyDescent="0.3">
      <c r="A117" s="18"/>
      <c r="E117" s="18"/>
    </row>
    <row r="118" spans="1:5" ht="14.25" customHeight="1" x14ac:dyDescent="0.3">
      <c r="A118" s="18"/>
      <c r="E118" s="18"/>
    </row>
    <row r="119" spans="1:5" ht="14.25" customHeight="1" x14ac:dyDescent="0.3">
      <c r="A119" s="18"/>
      <c r="E119" s="18"/>
    </row>
    <row r="120" spans="1:5" ht="14.25" customHeight="1" x14ac:dyDescent="0.3">
      <c r="A120" s="18"/>
      <c r="E120" s="18"/>
    </row>
    <row r="121" spans="1:5" ht="14.25" customHeight="1" x14ac:dyDescent="0.3">
      <c r="A121" s="18"/>
      <c r="E121" s="18"/>
    </row>
    <row r="122" spans="1:5" ht="14.25" customHeight="1" x14ac:dyDescent="0.3">
      <c r="A122" s="18"/>
      <c r="E122" s="18"/>
    </row>
    <row r="123" spans="1:5" ht="14.25" customHeight="1" x14ac:dyDescent="0.3">
      <c r="A123" s="18"/>
      <c r="E123" s="18"/>
    </row>
    <row r="124" spans="1:5" ht="14.25" customHeight="1" x14ac:dyDescent="0.3">
      <c r="A124" s="18"/>
      <c r="E124" s="18"/>
    </row>
    <row r="125" spans="1:5" ht="14.25" customHeight="1" x14ac:dyDescent="0.3">
      <c r="A125" s="18"/>
      <c r="E125" s="18"/>
    </row>
    <row r="126" spans="1:5" ht="14.25" customHeight="1" x14ac:dyDescent="0.3">
      <c r="A126" s="18"/>
      <c r="E126" s="18"/>
    </row>
    <row r="127" spans="1:5" ht="14.25" customHeight="1" x14ac:dyDescent="0.3">
      <c r="A127" s="18"/>
      <c r="E127" s="18"/>
    </row>
    <row r="128" spans="1:5" ht="14.25" customHeight="1" x14ac:dyDescent="0.3">
      <c r="A128" s="18"/>
      <c r="E128" s="18"/>
    </row>
    <row r="129" spans="1:5" ht="14.25" customHeight="1" x14ac:dyDescent="0.3">
      <c r="A129" s="18"/>
      <c r="E129" s="18"/>
    </row>
    <row r="130" spans="1:5" ht="14.25" customHeight="1" x14ac:dyDescent="0.3">
      <c r="A130" s="18"/>
      <c r="E130" s="18"/>
    </row>
    <row r="131" spans="1:5" ht="14.25" customHeight="1" x14ac:dyDescent="0.3">
      <c r="A131" s="18"/>
      <c r="E131" s="18"/>
    </row>
    <row r="132" spans="1:5" ht="14.25" customHeight="1" x14ac:dyDescent="0.3">
      <c r="A132" s="18"/>
      <c r="E132" s="18"/>
    </row>
    <row r="133" spans="1:5" ht="14.25" customHeight="1" x14ac:dyDescent="0.3">
      <c r="A133" s="18"/>
      <c r="E133" s="18"/>
    </row>
    <row r="134" spans="1:5" ht="14.25" customHeight="1" x14ac:dyDescent="0.3">
      <c r="A134" s="18"/>
      <c r="E134" s="18"/>
    </row>
    <row r="135" spans="1:5" ht="14.25" customHeight="1" x14ac:dyDescent="0.3">
      <c r="A135" s="18"/>
      <c r="E135" s="18"/>
    </row>
    <row r="136" spans="1:5" ht="14.25" customHeight="1" x14ac:dyDescent="0.3">
      <c r="A136" s="18"/>
      <c r="E136" s="18"/>
    </row>
    <row r="137" spans="1:5" ht="14.25" customHeight="1" x14ac:dyDescent="0.3">
      <c r="A137" s="18"/>
      <c r="E137" s="18"/>
    </row>
    <row r="138" spans="1:5" ht="14.25" customHeight="1" x14ac:dyDescent="0.3">
      <c r="A138" s="18"/>
      <c r="E138" s="18"/>
    </row>
    <row r="139" spans="1:5" ht="14.25" customHeight="1" x14ac:dyDescent="0.3">
      <c r="A139" s="18"/>
      <c r="E139" s="18"/>
    </row>
    <row r="140" spans="1:5" ht="14.25" customHeight="1" x14ac:dyDescent="0.3">
      <c r="A140" s="18"/>
      <c r="E140" s="18"/>
    </row>
    <row r="141" spans="1:5" ht="14.25" customHeight="1" x14ac:dyDescent="0.3">
      <c r="A141" s="18"/>
      <c r="E141" s="18"/>
    </row>
    <row r="142" spans="1:5" ht="14.25" customHeight="1" x14ac:dyDescent="0.3">
      <c r="A142" s="18"/>
      <c r="E142" s="18"/>
    </row>
    <row r="143" spans="1:5" ht="14.25" customHeight="1" x14ac:dyDescent="0.3">
      <c r="A143" s="18"/>
      <c r="E143" s="18"/>
    </row>
    <row r="144" spans="1:5" ht="14.25" customHeight="1" x14ac:dyDescent="0.3">
      <c r="A144" s="18"/>
      <c r="E144" s="18"/>
    </row>
    <row r="145" spans="1:5" ht="14.25" customHeight="1" x14ac:dyDescent="0.3">
      <c r="A145" s="18"/>
      <c r="E145" s="18"/>
    </row>
    <row r="146" spans="1:5" ht="14.25" customHeight="1" x14ac:dyDescent="0.3">
      <c r="A146" s="18"/>
      <c r="E146" s="18"/>
    </row>
    <row r="147" spans="1:5" ht="14.25" customHeight="1" x14ac:dyDescent="0.3">
      <c r="A147" s="18"/>
      <c r="E147" s="18"/>
    </row>
    <row r="148" spans="1:5" ht="14.25" customHeight="1" x14ac:dyDescent="0.3">
      <c r="A148" s="18"/>
      <c r="E148" s="18"/>
    </row>
    <row r="149" spans="1:5" ht="14.25" customHeight="1" x14ac:dyDescent="0.3">
      <c r="A149" s="18"/>
      <c r="E149" s="18"/>
    </row>
    <row r="150" spans="1:5" ht="14.25" customHeight="1" x14ac:dyDescent="0.3">
      <c r="A150" s="18"/>
      <c r="E150" s="18"/>
    </row>
    <row r="151" spans="1:5" ht="14.25" customHeight="1" x14ac:dyDescent="0.3">
      <c r="A151" s="18"/>
      <c r="E151" s="18"/>
    </row>
    <row r="152" spans="1:5" ht="14.25" customHeight="1" x14ac:dyDescent="0.3">
      <c r="A152" s="18"/>
      <c r="E152" s="18"/>
    </row>
    <row r="153" spans="1:5" ht="14.25" customHeight="1" x14ac:dyDescent="0.3">
      <c r="A153" s="18"/>
      <c r="E153" s="18"/>
    </row>
    <row r="154" spans="1:5" ht="14.25" customHeight="1" x14ac:dyDescent="0.3">
      <c r="A154" s="18"/>
      <c r="E154" s="18"/>
    </row>
    <row r="155" spans="1:5" ht="14.25" customHeight="1" x14ac:dyDescent="0.3">
      <c r="A155" s="18"/>
      <c r="E155" s="18"/>
    </row>
    <row r="156" spans="1:5" ht="14.25" customHeight="1" x14ac:dyDescent="0.3">
      <c r="A156" s="18"/>
      <c r="E156" s="18"/>
    </row>
    <row r="157" spans="1:5" ht="14.25" customHeight="1" x14ac:dyDescent="0.3">
      <c r="A157" s="18"/>
      <c r="E157" s="18"/>
    </row>
    <row r="158" spans="1:5" ht="14.25" customHeight="1" x14ac:dyDescent="0.3">
      <c r="A158" s="18"/>
      <c r="E158" s="18"/>
    </row>
    <row r="159" spans="1:5" ht="14.25" customHeight="1" x14ac:dyDescent="0.3">
      <c r="A159" s="18"/>
      <c r="E159" s="18"/>
    </row>
    <row r="160" spans="1:5" ht="14.25" customHeight="1" x14ac:dyDescent="0.3">
      <c r="A160" s="18"/>
      <c r="E160" s="18"/>
    </row>
    <row r="161" spans="1:5" ht="14.25" customHeight="1" x14ac:dyDescent="0.3">
      <c r="A161" s="18"/>
      <c r="E161" s="18"/>
    </row>
    <row r="162" spans="1:5" ht="14.25" customHeight="1" x14ac:dyDescent="0.3">
      <c r="A162" s="18"/>
      <c r="E162" s="18"/>
    </row>
    <row r="163" spans="1:5" ht="14.25" customHeight="1" x14ac:dyDescent="0.3">
      <c r="A163" s="18"/>
      <c r="E163" s="18"/>
    </row>
    <row r="164" spans="1:5" ht="14.25" customHeight="1" x14ac:dyDescent="0.3">
      <c r="A164" s="18"/>
      <c r="E164" s="18"/>
    </row>
    <row r="165" spans="1:5" ht="14.25" customHeight="1" x14ac:dyDescent="0.3">
      <c r="A165" s="18"/>
      <c r="E165" s="18"/>
    </row>
    <row r="166" spans="1:5" ht="14.25" customHeight="1" x14ac:dyDescent="0.3">
      <c r="A166" s="18"/>
      <c r="E166" s="18"/>
    </row>
    <row r="167" spans="1:5" ht="14.25" customHeight="1" x14ac:dyDescent="0.3">
      <c r="A167" s="18"/>
      <c r="E167" s="18"/>
    </row>
    <row r="168" spans="1:5" ht="14.25" customHeight="1" x14ac:dyDescent="0.3">
      <c r="A168" s="18"/>
      <c r="E168" s="18"/>
    </row>
    <row r="169" spans="1:5" ht="14.25" customHeight="1" x14ac:dyDescent="0.3">
      <c r="A169" s="18"/>
      <c r="E169" s="18"/>
    </row>
    <row r="170" spans="1:5" ht="14.25" customHeight="1" x14ac:dyDescent="0.3">
      <c r="A170" s="18"/>
      <c r="E170" s="18"/>
    </row>
    <row r="171" spans="1:5" ht="14.25" customHeight="1" x14ac:dyDescent="0.3">
      <c r="A171" s="18"/>
      <c r="E171" s="18"/>
    </row>
    <row r="172" spans="1:5" ht="14.25" customHeight="1" x14ac:dyDescent="0.3">
      <c r="A172" s="18"/>
      <c r="E172" s="18"/>
    </row>
    <row r="173" spans="1:5" ht="14.25" customHeight="1" x14ac:dyDescent="0.3">
      <c r="A173" s="18"/>
      <c r="E173" s="18"/>
    </row>
    <row r="174" spans="1:5" ht="14.25" customHeight="1" x14ac:dyDescent="0.3">
      <c r="A174" s="18"/>
      <c r="E174" s="18"/>
    </row>
    <row r="175" spans="1:5" ht="14.25" customHeight="1" x14ac:dyDescent="0.3">
      <c r="A175" s="18"/>
      <c r="E175" s="18"/>
    </row>
    <row r="176" spans="1:5" ht="14.25" customHeight="1" x14ac:dyDescent="0.3">
      <c r="A176" s="18"/>
      <c r="E176" s="18"/>
    </row>
    <row r="177" spans="1:5" ht="14.25" customHeight="1" x14ac:dyDescent="0.3">
      <c r="A177" s="18"/>
      <c r="E177" s="18"/>
    </row>
    <row r="178" spans="1:5" ht="14.25" customHeight="1" x14ac:dyDescent="0.3">
      <c r="A178" s="18"/>
      <c r="E178" s="18"/>
    </row>
    <row r="179" spans="1:5" ht="14.25" customHeight="1" x14ac:dyDescent="0.3">
      <c r="A179" s="18"/>
      <c r="E179" s="18"/>
    </row>
    <row r="180" spans="1:5" ht="14.25" customHeight="1" x14ac:dyDescent="0.3">
      <c r="A180" s="18"/>
      <c r="E180" s="18"/>
    </row>
    <row r="181" spans="1:5" ht="14.25" customHeight="1" x14ac:dyDescent="0.3">
      <c r="A181" s="18"/>
      <c r="E181" s="18"/>
    </row>
    <row r="182" spans="1:5" ht="14.25" customHeight="1" x14ac:dyDescent="0.3">
      <c r="A182" s="18"/>
      <c r="E182" s="18"/>
    </row>
    <row r="183" spans="1:5" ht="14.25" customHeight="1" x14ac:dyDescent="0.3">
      <c r="A183" s="18"/>
      <c r="E183" s="18"/>
    </row>
    <row r="184" spans="1:5" ht="14.25" customHeight="1" x14ac:dyDescent="0.3">
      <c r="A184" s="18"/>
      <c r="E184" s="18"/>
    </row>
    <row r="185" spans="1:5" ht="14.25" customHeight="1" x14ac:dyDescent="0.3">
      <c r="A185" s="18"/>
      <c r="E185" s="18"/>
    </row>
    <row r="186" spans="1:5" ht="14.25" customHeight="1" x14ac:dyDescent="0.3">
      <c r="A186" s="18"/>
      <c r="E186" s="18"/>
    </row>
    <row r="187" spans="1:5" ht="14.25" customHeight="1" x14ac:dyDescent="0.3">
      <c r="A187" s="18"/>
      <c r="E187" s="18"/>
    </row>
    <row r="188" spans="1:5" ht="14.25" customHeight="1" x14ac:dyDescent="0.3">
      <c r="A188" s="18"/>
      <c r="E188" s="18"/>
    </row>
    <row r="189" spans="1:5" ht="14.25" customHeight="1" x14ac:dyDescent="0.3">
      <c r="A189" s="18"/>
      <c r="E189" s="18"/>
    </row>
    <row r="190" spans="1:5" ht="14.25" customHeight="1" x14ac:dyDescent="0.3">
      <c r="A190" s="18"/>
      <c r="E190" s="18"/>
    </row>
    <row r="191" spans="1:5" ht="14.25" customHeight="1" x14ac:dyDescent="0.3">
      <c r="A191" s="18"/>
      <c r="E191" s="18"/>
    </row>
    <row r="192" spans="1:5" ht="14.25" customHeight="1" x14ac:dyDescent="0.3">
      <c r="A192" s="18"/>
      <c r="E192" s="18"/>
    </row>
    <row r="193" spans="1:5" ht="14.25" customHeight="1" x14ac:dyDescent="0.3">
      <c r="A193" s="18"/>
      <c r="E193" s="18"/>
    </row>
    <row r="194" spans="1:5" ht="14.25" customHeight="1" x14ac:dyDescent="0.3">
      <c r="A194" s="18"/>
      <c r="E194" s="18"/>
    </row>
    <row r="195" spans="1:5" ht="14.25" customHeight="1" x14ac:dyDescent="0.3">
      <c r="A195" s="18"/>
      <c r="E195" s="18"/>
    </row>
    <row r="196" spans="1:5" ht="14.25" customHeight="1" x14ac:dyDescent="0.3">
      <c r="A196" s="18"/>
      <c r="E196" s="18"/>
    </row>
    <row r="197" spans="1:5" ht="14.25" customHeight="1" x14ac:dyDescent="0.3">
      <c r="A197" s="18"/>
      <c r="E197" s="18"/>
    </row>
    <row r="198" spans="1:5" ht="14.25" customHeight="1" x14ac:dyDescent="0.3">
      <c r="A198" s="18"/>
      <c r="E198" s="18"/>
    </row>
    <row r="199" spans="1:5" ht="14.25" customHeight="1" x14ac:dyDescent="0.3">
      <c r="A199" s="18"/>
      <c r="E199" s="18"/>
    </row>
    <row r="200" spans="1:5" ht="14.25" customHeight="1" x14ac:dyDescent="0.3">
      <c r="A200" s="18"/>
      <c r="E200" s="18"/>
    </row>
    <row r="201" spans="1:5" ht="14.25" customHeight="1" x14ac:dyDescent="0.3">
      <c r="A201" s="18"/>
      <c r="E201" s="18"/>
    </row>
    <row r="202" spans="1:5" ht="14.25" customHeight="1" x14ac:dyDescent="0.3">
      <c r="A202" s="18"/>
      <c r="E202" s="18"/>
    </row>
    <row r="203" spans="1:5" ht="14.25" customHeight="1" x14ac:dyDescent="0.3">
      <c r="A203" s="18"/>
      <c r="E203" s="18"/>
    </row>
    <row r="204" spans="1:5" ht="14.25" customHeight="1" x14ac:dyDescent="0.3">
      <c r="A204" s="18"/>
      <c r="E204" s="18"/>
    </row>
    <row r="205" spans="1:5" ht="14.25" customHeight="1" x14ac:dyDescent="0.3">
      <c r="A205" s="18"/>
      <c r="E205" s="18"/>
    </row>
    <row r="206" spans="1:5" ht="14.25" customHeight="1" x14ac:dyDescent="0.3">
      <c r="A206" s="18"/>
      <c r="E206" s="18"/>
    </row>
    <row r="207" spans="1:5" ht="14.25" customHeight="1" x14ac:dyDescent="0.3">
      <c r="A207" s="18"/>
      <c r="E207" s="18"/>
    </row>
    <row r="208" spans="1:5" ht="14.25" customHeight="1" x14ac:dyDescent="0.3">
      <c r="A208" s="18"/>
      <c r="E208" s="18"/>
    </row>
    <row r="209" spans="1:5" ht="14.25" customHeight="1" x14ac:dyDescent="0.3">
      <c r="A209" s="18"/>
      <c r="E209" s="18"/>
    </row>
    <row r="210" spans="1:5" ht="14.25" customHeight="1" x14ac:dyDescent="0.3">
      <c r="A210" s="18"/>
      <c r="E210" s="18"/>
    </row>
    <row r="211" spans="1:5" ht="14.25" customHeight="1" x14ac:dyDescent="0.3">
      <c r="A211" s="18"/>
      <c r="E211" s="18"/>
    </row>
    <row r="212" spans="1:5" ht="14.25" customHeight="1" x14ac:dyDescent="0.3">
      <c r="A212" s="18"/>
      <c r="E212" s="18"/>
    </row>
    <row r="213" spans="1:5" ht="14.25" customHeight="1" x14ac:dyDescent="0.3">
      <c r="A213" s="18"/>
      <c r="E213" s="18"/>
    </row>
    <row r="214" spans="1:5" ht="14.25" customHeight="1" x14ac:dyDescent="0.3">
      <c r="A214" s="18"/>
      <c r="E214" s="18"/>
    </row>
    <row r="215" spans="1:5" ht="14.25" customHeight="1" x14ac:dyDescent="0.3">
      <c r="A215" s="18"/>
      <c r="E215" s="18"/>
    </row>
    <row r="216" spans="1:5" ht="14.25" customHeight="1" x14ac:dyDescent="0.3">
      <c r="A216" s="18"/>
      <c r="E216" s="18"/>
    </row>
    <row r="217" spans="1:5" ht="14.25" customHeight="1" x14ac:dyDescent="0.3">
      <c r="A217" s="18"/>
      <c r="E217" s="18"/>
    </row>
    <row r="218" spans="1:5" ht="14.25" customHeight="1" x14ac:dyDescent="0.3">
      <c r="A218" s="18"/>
      <c r="E218" s="18"/>
    </row>
    <row r="219" spans="1:5" ht="14.25" customHeight="1" x14ac:dyDescent="0.3">
      <c r="A219" s="18"/>
      <c r="E219" s="18"/>
    </row>
    <row r="220" spans="1:5" ht="14.25" customHeight="1" x14ac:dyDescent="0.3">
      <c r="A220" s="18"/>
      <c r="E220" s="18"/>
    </row>
    <row r="221" spans="1:5" ht="14.25" customHeight="1" x14ac:dyDescent="0.3">
      <c r="A221" s="18"/>
      <c r="E221" s="18"/>
    </row>
    <row r="222" spans="1:5" ht="14.25" customHeight="1" x14ac:dyDescent="0.3">
      <c r="A222" s="18"/>
      <c r="E222" s="18"/>
    </row>
    <row r="223" spans="1:5" ht="14.25" customHeight="1" x14ac:dyDescent="0.3">
      <c r="A223" s="18"/>
      <c r="E223" s="18"/>
    </row>
    <row r="224" spans="1:5" ht="14.25" customHeight="1" x14ac:dyDescent="0.3">
      <c r="A224" s="18"/>
      <c r="E224" s="18"/>
    </row>
    <row r="225" spans="1:5" ht="14.25" customHeight="1" x14ac:dyDescent="0.3">
      <c r="A225" s="18"/>
      <c r="E225" s="18"/>
    </row>
    <row r="226" spans="1:5" ht="14.25" customHeight="1" x14ac:dyDescent="0.3">
      <c r="A226" s="18"/>
      <c r="E226" s="18"/>
    </row>
    <row r="227" spans="1:5" ht="14.25" customHeight="1" x14ac:dyDescent="0.3">
      <c r="A227" s="18"/>
      <c r="E227" s="18"/>
    </row>
    <row r="228" spans="1:5" ht="14.25" customHeight="1" x14ac:dyDescent="0.3">
      <c r="A228" s="18"/>
      <c r="E228" s="18"/>
    </row>
    <row r="229" spans="1:5" ht="14.25" customHeight="1" x14ac:dyDescent="0.3">
      <c r="A229" s="18"/>
      <c r="E229" s="18"/>
    </row>
    <row r="230" spans="1:5" ht="14.25" customHeight="1" x14ac:dyDescent="0.3">
      <c r="A230" s="18"/>
      <c r="E230" s="18"/>
    </row>
    <row r="231" spans="1:5" ht="14.25" customHeight="1" x14ac:dyDescent="0.3">
      <c r="A231" s="18"/>
      <c r="E231" s="18"/>
    </row>
    <row r="232" spans="1:5" ht="14.25" customHeight="1" x14ac:dyDescent="0.3">
      <c r="A232" s="18"/>
      <c r="E232" s="18"/>
    </row>
    <row r="233" spans="1:5" ht="14.25" customHeight="1" x14ac:dyDescent="0.3">
      <c r="A233" s="18"/>
      <c r="E233" s="18"/>
    </row>
    <row r="234" spans="1:5" ht="14.25" customHeight="1" x14ac:dyDescent="0.3">
      <c r="A234" s="18"/>
      <c r="E234" s="18"/>
    </row>
    <row r="235" spans="1:5" ht="14.25" customHeight="1" x14ac:dyDescent="0.3">
      <c r="A235" s="18"/>
      <c r="E235" s="18"/>
    </row>
    <row r="236" spans="1:5" ht="14.25" customHeight="1" x14ac:dyDescent="0.3">
      <c r="A236" s="18"/>
      <c r="E236" s="18"/>
    </row>
    <row r="237" spans="1:5" ht="14.25" customHeight="1" x14ac:dyDescent="0.3">
      <c r="A237" s="18"/>
      <c r="E237" s="18"/>
    </row>
    <row r="238" spans="1:5" ht="14.25" customHeight="1" x14ac:dyDescent="0.3">
      <c r="A238" s="18"/>
      <c r="E238" s="18"/>
    </row>
    <row r="239" spans="1:5" ht="14.25" customHeight="1" x14ac:dyDescent="0.3">
      <c r="A239" s="18"/>
      <c r="E239" s="18"/>
    </row>
    <row r="240" spans="1:5" ht="14.25" customHeight="1" x14ac:dyDescent="0.3">
      <c r="A240" s="18"/>
      <c r="E240" s="18"/>
    </row>
    <row r="241" spans="1:5" ht="14.25" customHeight="1" x14ac:dyDescent="0.3">
      <c r="A241" s="18"/>
      <c r="E241" s="18"/>
    </row>
    <row r="242" spans="1:5" ht="14.25" customHeight="1" x14ac:dyDescent="0.3">
      <c r="A242" s="18"/>
      <c r="E242" s="18"/>
    </row>
    <row r="243" spans="1:5" ht="14.25" customHeight="1" x14ac:dyDescent="0.3">
      <c r="A243" s="18"/>
      <c r="E243" s="18"/>
    </row>
    <row r="244" spans="1:5" ht="14.25" customHeight="1" x14ac:dyDescent="0.3">
      <c r="A244" s="18"/>
      <c r="E244" s="18"/>
    </row>
    <row r="245" spans="1:5" ht="14.25" customHeight="1" x14ac:dyDescent="0.3">
      <c r="A245" s="18"/>
      <c r="E245" s="18"/>
    </row>
    <row r="246" spans="1:5" ht="14.25" customHeight="1" x14ac:dyDescent="0.3">
      <c r="A246" s="18"/>
      <c r="E246" s="18"/>
    </row>
    <row r="247" spans="1:5" ht="14.25" customHeight="1" x14ac:dyDescent="0.3">
      <c r="A247" s="18"/>
      <c r="E247" s="18"/>
    </row>
    <row r="248" spans="1:5" ht="14.25" customHeight="1" x14ac:dyDescent="0.3">
      <c r="A248" s="18"/>
      <c r="E248" s="18"/>
    </row>
    <row r="249" spans="1:5" ht="14.25" customHeight="1" x14ac:dyDescent="0.3">
      <c r="A249" s="18"/>
      <c r="E249" s="18"/>
    </row>
    <row r="250" spans="1:5" ht="14.25" customHeight="1" x14ac:dyDescent="0.3">
      <c r="A250" s="18"/>
      <c r="E250" s="18"/>
    </row>
    <row r="251" spans="1:5" ht="14.25" customHeight="1" x14ac:dyDescent="0.3">
      <c r="A251" s="18"/>
      <c r="E251" s="18"/>
    </row>
    <row r="252" spans="1:5" ht="14.25" customHeight="1" x14ac:dyDescent="0.3">
      <c r="A252" s="18"/>
      <c r="E252" s="18"/>
    </row>
    <row r="253" spans="1:5" ht="14.25" customHeight="1" x14ac:dyDescent="0.3">
      <c r="A253" s="18"/>
      <c r="E253" s="18"/>
    </row>
    <row r="254" spans="1:5" ht="14.25" customHeight="1" x14ac:dyDescent="0.3">
      <c r="A254" s="18"/>
      <c r="E254" s="18"/>
    </row>
    <row r="255" spans="1:5" ht="14.25" customHeight="1" x14ac:dyDescent="0.3">
      <c r="A255" s="18"/>
      <c r="E255" s="18"/>
    </row>
    <row r="256" spans="1:5" ht="14.25" customHeight="1" x14ac:dyDescent="0.3">
      <c r="A256" s="18"/>
      <c r="E256" s="18"/>
    </row>
    <row r="257" spans="1:5" ht="14.25" customHeight="1" x14ac:dyDescent="0.3">
      <c r="A257" s="18"/>
      <c r="E257" s="18"/>
    </row>
    <row r="258" spans="1:5" ht="14.25" customHeight="1" x14ac:dyDescent="0.3">
      <c r="A258" s="18"/>
      <c r="E258" s="18"/>
    </row>
    <row r="259" spans="1:5" ht="14.25" customHeight="1" x14ac:dyDescent="0.3">
      <c r="A259" s="18"/>
      <c r="E259" s="18"/>
    </row>
    <row r="260" spans="1:5" ht="14.25" customHeight="1" x14ac:dyDescent="0.3">
      <c r="A260" s="18"/>
      <c r="E260" s="18"/>
    </row>
    <row r="261" spans="1:5" ht="14.25" customHeight="1" x14ac:dyDescent="0.3">
      <c r="A261" s="18"/>
      <c r="E261" s="18"/>
    </row>
    <row r="262" spans="1:5" ht="14.25" customHeight="1" x14ac:dyDescent="0.3">
      <c r="A262" s="18"/>
      <c r="E262" s="18"/>
    </row>
    <row r="263" spans="1:5" ht="14.25" customHeight="1" x14ac:dyDescent="0.3">
      <c r="A263" s="18"/>
      <c r="E263" s="18"/>
    </row>
    <row r="264" spans="1:5" ht="14.25" customHeight="1" x14ac:dyDescent="0.3">
      <c r="A264" s="18"/>
      <c r="E264" s="18"/>
    </row>
    <row r="265" spans="1:5" ht="14.25" customHeight="1" x14ac:dyDescent="0.3">
      <c r="A265" s="18"/>
      <c r="E265" s="18"/>
    </row>
    <row r="266" spans="1:5" ht="14.25" customHeight="1" x14ac:dyDescent="0.3">
      <c r="A266" s="18"/>
      <c r="E266" s="18"/>
    </row>
    <row r="267" spans="1:5" ht="14.25" customHeight="1" x14ac:dyDescent="0.3">
      <c r="A267" s="18"/>
      <c r="E267" s="18"/>
    </row>
    <row r="268" spans="1:5" ht="14.25" customHeight="1" x14ac:dyDescent="0.3">
      <c r="A268" s="18"/>
      <c r="E268" s="18"/>
    </row>
    <row r="269" spans="1:5" ht="14.25" customHeight="1" x14ac:dyDescent="0.3">
      <c r="A269" s="18"/>
      <c r="E269" s="18"/>
    </row>
    <row r="270" spans="1:5" ht="14.25" customHeight="1" x14ac:dyDescent="0.3">
      <c r="A270" s="18"/>
      <c r="E270" s="18"/>
    </row>
    <row r="271" spans="1:5" ht="14.25" customHeight="1" x14ac:dyDescent="0.3">
      <c r="A271" s="18"/>
      <c r="E271" s="18"/>
    </row>
    <row r="272" spans="1:5" ht="14.25" customHeight="1" x14ac:dyDescent="0.3">
      <c r="A272" s="18"/>
      <c r="E272" s="18"/>
    </row>
    <row r="273" spans="1:5" ht="14.25" customHeight="1" x14ac:dyDescent="0.3">
      <c r="A273" s="18"/>
      <c r="E273" s="18"/>
    </row>
    <row r="274" spans="1:5" ht="14.25" customHeight="1" x14ac:dyDescent="0.3">
      <c r="A274" s="18"/>
      <c r="E274" s="18"/>
    </row>
    <row r="275" spans="1:5" ht="14.25" customHeight="1" x14ac:dyDescent="0.3">
      <c r="A275" s="18"/>
      <c r="E275" s="18"/>
    </row>
    <row r="276" spans="1:5" ht="14.25" customHeight="1" x14ac:dyDescent="0.3">
      <c r="A276" s="18"/>
      <c r="E276" s="18"/>
    </row>
    <row r="277" spans="1:5" ht="14.25" customHeight="1" x14ac:dyDescent="0.3">
      <c r="A277" s="18"/>
      <c r="E277" s="18"/>
    </row>
    <row r="278" spans="1:5" ht="14.25" customHeight="1" x14ac:dyDescent="0.3">
      <c r="A278" s="18"/>
      <c r="E278" s="18"/>
    </row>
    <row r="279" spans="1:5" ht="14.25" customHeight="1" x14ac:dyDescent="0.3">
      <c r="A279" s="18"/>
      <c r="E279" s="18"/>
    </row>
    <row r="280" spans="1:5" ht="14.25" customHeight="1" x14ac:dyDescent="0.3">
      <c r="A280" s="18"/>
      <c r="E280" s="18"/>
    </row>
    <row r="281" spans="1:5" ht="14.25" customHeight="1" x14ac:dyDescent="0.3">
      <c r="A281" s="18"/>
      <c r="E281" s="18"/>
    </row>
    <row r="282" spans="1:5" ht="14.25" customHeight="1" x14ac:dyDescent="0.3">
      <c r="A282" s="18"/>
      <c r="E282" s="18"/>
    </row>
    <row r="283" spans="1:5" ht="14.25" customHeight="1" x14ac:dyDescent="0.3">
      <c r="A283" s="18"/>
      <c r="E283" s="18"/>
    </row>
    <row r="284" spans="1:5" ht="14.25" customHeight="1" x14ac:dyDescent="0.3">
      <c r="A284" s="18"/>
      <c r="E284" s="18"/>
    </row>
    <row r="285" spans="1:5" ht="14.25" customHeight="1" x14ac:dyDescent="0.3">
      <c r="A285" s="18"/>
      <c r="E285" s="18"/>
    </row>
    <row r="286" spans="1:5" ht="14.25" customHeight="1" x14ac:dyDescent="0.3">
      <c r="A286" s="18"/>
      <c r="E286" s="18"/>
    </row>
    <row r="287" spans="1:5" ht="14.25" customHeight="1" x14ac:dyDescent="0.3">
      <c r="A287" s="18"/>
      <c r="E287" s="18"/>
    </row>
    <row r="288" spans="1:5" ht="14.25" customHeight="1" x14ac:dyDescent="0.3">
      <c r="A288" s="18"/>
      <c r="E288" s="18"/>
    </row>
    <row r="289" spans="1:5" ht="14.25" customHeight="1" x14ac:dyDescent="0.3">
      <c r="A289" s="18"/>
      <c r="E289" s="18"/>
    </row>
    <row r="290" spans="1:5" ht="14.25" customHeight="1" x14ac:dyDescent="0.3">
      <c r="A290" s="18"/>
      <c r="E290" s="18"/>
    </row>
    <row r="291" spans="1:5" ht="14.25" customHeight="1" x14ac:dyDescent="0.3">
      <c r="A291" s="18"/>
      <c r="E291" s="18"/>
    </row>
    <row r="292" spans="1:5" ht="14.25" customHeight="1" x14ac:dyDescent="0.3">
      <c r="A292" s="18"/>
      <c r="E292" s="18"/>
    </row>
    <row r="293" spans="1:5" ht="14.25" customHeight="1" x14ac:dyDescent="0.3">
      <c r="A293" s="18"/>
      <c r="E293" s="18"/>
    </row>
    <row r="294" spans="1:5" ht="14.25" customHeight="1" x14ac:dyDescent="0.3">
      <c r="A294" s="18"/>
      <c r="E294" s="18"/>
    </row>
    <row r="295" spans="1:5" ht="14.25" customHeight="1" x14ac:dyDescent="0.3">
      <c r="A295" s="18"/>
      <c r="E295" s="18"/>
    </row>
    <row r="296" spans="1:5" ht="14.25" customHeight="1" x14ac:dyDescent="0.3">
      <c r="A296" s="18"/>
      <c r="E296" s="18"/>
    </row>
    <row r="297" spans="1:5" ht="14.25" customHeight="1" x14ac:dyDescent="0.3">
      <c r="A297" s="18"/>
      <c r="E297" s="18"/>
    </row>
    <row r="298" spans="1:5" ht="14.25" customHeight="1" x14ac:dyDescent="0.3">
      <c r="A298" s="18"/>
      <c r="E298" s="18"/>
    </row>
    <row r="299" spans="1:5" ht="14.25" customHeight="1" x14ac:dyDescent="0.3">
      <c r="A299" s="18"/>
      <c r="E299" s="18"/>
    </row>
    <row r="300" spans="1:5" ht="14.25" customHeight="1" x14ac:dyDescent="0.3">
      <c r="A300" s="18"/>
      <c r="E300" s="18"/>
    </row>
    <row r="301" spans="1:5" ht="14.25" customHeight="1" x14ac:dyDescent="0.3">
      <c r="A301" s="18"/>
      <c r="E301" s="18"/>
    </row>
    <row r="302" spans="1:5" ht="14.25" customHeight="1" x14ac:dyDescent="0.3">
      <c r="A302" s="18"/>
      <c r="E302" s="18"/>
    </row>
    <row r="303" spans="1:5" ht="14.25" customHeight="1" x14ac:dyDescent="0.3">
      <c r="A303" s="18"/>
      <c r="E303" s="18"/>
    </row>
    <row r="304" spans="1:5" ht="14.25" customHeight="1" x14ac:dyDescent="0.3">
      <c r="A304" s="18"/>
      <c r="E304" s="18"/>
    </row>
    <row r="305" spans="1:5" ht="14.25" customHeight="1" x14ac:dyDescent="0.3">
      <c r="A305" s="18"/>
      <c r="E305" s="18"/>
    </row>
    <row r="306" spans="1:5" ht="14.25" customHeight="1" x14ac:dyDescent="0.3">
      <c r="A306" s="18"/>
      <c r="E306" s="18"/>
    </row>
    <row r="307" spans="1:5" ht="14.25" customHeight="1" x14ac:dyDescent="0.3">
      <c r="A307" s="18"/>
      <c r="E307" s="18"/>
    </row>
    <row r="308" spans="1:5" ht="14.25" customHeight="1" x14ac:dyDescent="0.3">
      <c r="A308" s="18"/>
      <c r="E308" s="18"/>
    </row>
    <row r="309" spans="1:5" ht="14.25" customHeight="1" x14ac:dyDescent="0.3">
      <c r="A309" s="18"/>
      <c r="E309" s="18"/>
    </row>
    <row r="310" spans="1:5" ht="14.25" customHeight="1" x14ac:dyDescent="0.3">
      <c r="A310" s="18"/>
      <c r="E310" s="18"/>
    </row>
    <row r="311" spans="1:5" ht="14.25" customHeight="1" x14ac:dyDescent="0.3">
      <c r="A311" s="18"/>
      <c r="E311" s="18"/>
    </row>
    <row r="312" spans="1:5" ht="14.25" customHeight="1" x14ac:dyDescent="0.3">
      <c r="A312" s="18"/>
      <c r="E312" s="18"/>
    </row>
    <row r="313" spans="1:5" ht="14.25" customHeight="1" x14ac:dyDescent="0.3">
      <c r="A313" s="18"/>
      <c r="E313" s="18"/>
    </row>
    <row r="314" spans="1:5" ht="14.25" customHeight="1" x14ac:dyDescent="0.3">
      <c r="A314" s="18"/>
      <c r="E314" s="18"/>
    </row>
    <row r="315" spans="1:5" ht="14.25" customHeight="1" x14ac:dyDescent="0.3">
      <c r="A315" s="18"/>
      <c r="E315" s="18"/>
    </row>
    <row r="316" spans="1:5" ht="14.25" customHeight="1" x14ac:dyDescent="0.3">
      <c r="A316" s="18"/>
      <c r="E316" s="18"/>
    </row>
    <row r="317" spans="1:5" ht="14.25" customHeight="1" x14ac:dyDescent="0.3">
      <c r="A317" s="18"/>
      <c r="E317" s="18"/>
    </row>
    <row r="318" spans="1:5" ht="14.25" customHeight="1" x14ac:dyDescent="0.3">
      <c r="A318" s="18"/>
      <c r="E318" s="18"/>
    </row>
    <row r="319" spans="1:5" ht="14.25" customHeight="1" x14ac:dyDescent="0.3">
      <c r="A319" s="18"/>
      <c r="E319" s="18"/>
    </row>
    <row r="320" spans="1:5" ht="14.25" customHeight="1" x14ac:dyDescent="0.3">
      <c r="A320" s="18"/>
      <c r="E320" s="18"/>
    </row>
    <row r="321" spans="1:5" ht="14.25" customHeight="1" x14ac:dyDescent="0.3">
      <c r="A321" s="18"/>
      <c r="E321" s="18"/>
    </row>
    <row r="322" spans="1:5" ht="14.25" customHeight="1" x14ac:dyDescent="0.3">
      <c r="A322" s="18"/>
      <c r="E322" s="18"/>
    </row>
    <row r="323" spans="1:5" ht="14.25" customHeight="1" x14ac:dyDescent="0.3">
      <c r="A323" s="18"/>
      <c r="E323" s="18"/>
    </row>
    <row r="324" spans="1:5" ht="14.25" customHeight="1" x14ac:dyDescent="0.3">
      <c r="A324" s="18"/>
      <c r="E324" s="18"/>
    </row>
    <row r="325" spans="1:5" ht="14.25" customHeight="1" x14ac:dyDescent="0.3">
      <c r="A325" s="18"/>
      <c r="E325" s="18"/>
    </row>
    <row r="326" spans="1:5" ht="14.25" customHeight="1" x14ac:dyDescent="0.3">
      <c r="A326" s="18"/>
      <c r="E326" s="18"/>
    </row>
    <row r="327" spans="1:5" ht="14.25" customHeight="1" x14ac:dyDescent="0.3">
      <c r="A327" s="18"/>
      <c r="E327" s="18"/>
    </row>
    <row r="328" spans="1:5" ht="14.25" customHeight="1" x14ac:dyDescent="0.3">
      <c r="A328" s="18"/>
      <c r="E328" s="18"/>
    </row>
    <row r="329" spans="1:5" ht="14.25" customHeight="1" x14ac:dyDescent="0.3">
      <c r="A329" s="18"/>
      <c r="E329" s="18"/>
    </row>
    <row r="330" spans="1:5" ht="14.25" customHeight="1" x14ac:dyDescent="0.3">
      <c r="A330" s="18"/>
      <c r="E330" s="18"/>
    </row>
    <row r="331" spans="1:5" ht="14.25" customHeight="1" x14ac:dyDescent="0.3">
      <c r="A331" s="18"/>
      <c r="E331" s="18"/>
    </row>
    <row r="332" spans="1:5" ht="14.25" customHeight="1" x14ac:dyDescent="0.3">
      <c r="A332" s="18"/>
      <c r="E332" s="18"/>
    </row>
    <row r="333" spans="1:5" ht="14.25" customHeight="1" x14ac:dyDescent="0.3">
      <c r="A333" s="18"/>
      <c r="E333" s="18"/>
    </row>
    <row r="334" spans="1:5" ht="14.25" customHeight="1" x14ac:dyDescent="0.3">
      <c r="A334" s="18"/>
      <c r="E334" s="18"/>
    </row>
    <row r="335" spans="1:5" ht="14.25" customHeight="1" x14ac:dyDescent="0.3">
      <c r="A335" s="18"/>
      <c r="E335" s="18"/>
    </row>
    <row r="336" spans="1:5" ht="14.25" customHeight="1" x14ac:dyDescent="0.3">
      <c r="A336" s="18"/>
      <c r="E336" s="18"/>
    </row>
    <row r="337" spans="1:5" ht="14.25" customHeight="1" x14ac:dyDescent="0.3">
      <c r="A337" s="18"/>
      <c r="E337" s="18"/>
    </row>
    <row r="338" spans="1:5" ht="14.25" customHeight="1" x14ac:dyDescent="0.3">
      <c r="A338" s="18"/>
      <c r="E338" s="18"/>
    </row>
    <row r="339" spans="1:5" ht="14.25" customHeight="1" x14ac:dyDescent="0.3">
      <c r="A339" s="18"/>
      <c r="E339" s="18"/>
    </row>
    <row r="340" spans="1:5" ht="14.25" customHeight="1" x14ac:dyDescent="0.3">
      <c r="A340" s="18"/>
      <c r="E340" s="18"/>
    </row>
    <row r="341" spans="1:5" ht="14.25" customHeight="1" x14ac:dyDescent="0.3">
      <c r="A341" s="18"/>
      <c r="E341" s="18"/>
    </row>
    <row r="342" spans="1:5" ht="14.25" customHeight="1" x14ac:dyDescent="0.3">
      <c r="A342" s="18"/>
      <c r="E342" s="18"/>
    </row>
    <row r="343" spans="1:5" ht="14.25" customHeight="1" x14ac:dyDescent="0.3">
      <c r="A343" s="18"/>
      <c r="E343" s="18"/>
    </row>
    <row r="344" spans="1:5" ht="14.25" customHeight="1" x14ac:dyDescent="0.3">
      <c r="A344" s="18"/>
      <c r="E344" s="18"/>
    </row>
    <row r="345" spans="1:5" ht="14.25" customHeight="1" x14ac:dyDescent="0.3">
      <c r="A345" s="18"/>
      <c r="E345" s="18"/>
    </row>
    <row r="346" spans="1:5" ht="14.25" customHeight="1" x14ac:dyDescent="0.3">
      <c r="A346" s="18"/>
      <c r="E346" s="18"/>
    </row>
    <row r="347" spans="1:5" ht="14.25" customHeight="1" x14ac:dyDescent="0.3">
      <c r="A347" s="18"/>
      <c r="E347" s="18"/>
    </row>
    <row r="348" spans="1:5" ht="14.25" customHeight="1" x14ac:dyDescent="0.3">
      <c r="A348" s="18"/>
      <c r="E348" s="18"/>
    </row>
    <row r="349" spans="1:5" ht="14.25" customHeight="1" x14ac:dyDescent="0.3">
      <c r="A349" s="18"/>
      <c r="E349" s="18"/>
    </row>
    <row r="350" spans="1:5" ht="14.25" customHeight="1" x14ac:dyDescent="0.3">
      <c r="A350" s="18"/>
      <c r="E350" s="18"/>
    </row>
    <row r="351" spans="1:5" ht="14.25" customHeight="1" x14ac:dyDescent="0.3">
      <c r="A351" s="18"/>
      <c r="E351" s="18"/>
    </row>
    <row r="352" spans="1:5" ht="14.25" customHeight="1" x14ac:dyDescent="0.3">
      <c r="A352" s="18"/>
      <c r="E352" s="18"/>
    </row>
    <row r="353" spans="1:5" ht="14.25" customHeight="1" x14ac:dyDescent="0.3">
      <c r="A353" s="18"/>
      <c r="E353" s="18"/>
    </row>
    <row r="354" spans="1:5" ht="14.25" customHeight="1" x14ac:dyDescent="0.3">
      <c r="A354" s="18"/>
      <c r="E354" s="18"/>
    </row>
    <row r="355" spans="1:5" ht="14.25" customHeight="1" x14ac:dyDescent="0.3">
      <c r="A355" s="18"/>
      <c r="E355" s="18"/>
    </row>
    <row r="356" spans="1:5" ht="14.25" customHeight="1" x14ac:dyDescent="0.3">
      <c r="A356" s="18"/>
      <c r="E356" s="18"/>
    </row>
    <row r="357" spans="1:5" ht="14.25" customHeight="1" x14ac:dyDescent="0.3">
      <c r="A357" s="18"/>
      <c r="E357" s="18"/>
    </row>
    <row r="358" spans="1:5" ht="14.25" customHeight="1" x14ac:dyDescent="0.3">
      <c r="A358" s="18"/>
      <c r="E358" s="18"/>
    </row>
    <row r="359" spans="1:5" ht="14.25" customHeight="1" x14ac:dyDescent="0.3">
      <c r="A359" s="18"/>
      <c r="E359" s="18"/>
    </row>
    <row r="360" spans="1:5" ht="14.25" customHeight="1" x14ac:dyDescent="0.3">
      <c r="A360" s="18"/>
      <c r="E360" s="18"/>
    </row>
    <row r="361" spans="1:5" ht="14.25" customHeight="1" x14ac:dyDescent="0.3">
      <c r="A361" s="18"/>
      <c r="E361" s="18"/>
    </row>
    <row r="362" spans="1:5" ht="14.25" customHeight="1" x14ac:dyDescent="0.3">
      <c r="A362" s="18"/>
      <c r="E362" s="18"/>
    </row>
    <row r="363" spans="1:5" ht="14.25" customHeight="1" x14ac:dyDescent="0.3">
      <c r="A363" s="18"/>
      <c r="E363" s="18"/>
    </row>
    <row r="364" spans="1:5" ht="14.25" customHeight="1" x14ac:dyDescent="0.3">
      <c r="A364" s="18"/>
      <c r="E364" s="18"/>
    </row>
    <row r="365" spans="1:5" ht="14.25" customHeight="1" x14ac:dyDescent="0.3">
      <c r="A365" s="18"/>
      <c r="E365" s="18"/>
    </row>
    <row r="366" spans="1:5" ht="14.25" customHeight="1" x14ac:dyDescent="0.3">
      <c r="A366" s="18"/>
      <c r="E366" s="18"/>
    </row>
    <row r="367" spans="1:5" ht="14.25" customHeight="1" x14ac:dyDescent="0.3">
      <c r="A367" s="18"/>
      <c r="E367" s="18"/>
    </row>
    <row r="368" spans="1:5" ht="14.25" customHeight="1" x14ac:dyDescent="0.3">
      <c r="A368" s="18"/>
      <c r="E368" s="18"/>
    </row>
    <row r="369" spans="1:5" ht="14.25" customHeight="1" x14ac:dyDescent="0.3">
      <c r="A369" s="18"/>
      <c r="E369" s="18"/>
    </row>
    <row r="370" spans="1:5" ht="14.25" customHeight="1" x14ac:dyDescent="0.3">
      <c r="A370" s="18"/>
      <c r="E370" s="18"/>
    </row>
    <row r="371" spans="1:5" ht="14.25" customHeight="1" x14ac:dyDescent="0.3">
      <c r="A371" s="18"/>
      <c r="E371" s="18"/>
    </row>
    <row r="372" spans="1:5" ht="14.25" customHeight="1" x14ac:dyDescent="0.3">
      <c r="A372" s="18"/>
      <c r="E372" s="18"/>
    </row>
    <row r="373" spans="1:5" ht="14.25" customHeight="1" x14ac:dyDescent="0.3">
      <c r="A373" s="18"/>
      <c r="E373" s="18"/>
    </row>
    <row r="374" spans="1:5" ht="14.25" customHeight="1" x14ac:dyDescent="0.3">
      <c r="A374" s="18"/>
      <c r="E374" s="18"/>
    </row>
    <row r="375" spans="1:5" ht="14.25" customHeight="1" x14ac:dyDescent="0.3">
      <c r="A375" s="18"/>
      <c r="E375" s="18"/>
    </row>
    <row r="376" spans="1:5" ht="14.25" customHeight="1" x14ac:dyDescent="0.3">
      <c r="A376" s="18"/>
      <c r="E376" s="18"/>
    </row>
    <row r="377" spans="1:5" ht="14.25" customHeight="1" x14ac:dyDescent="0.3">
      <c r="A377" s="18"/>
      <c r="E377" s="18"/>
    </row>
    <row r="378" spans="1:5" ht="14.25" customHeight="1" x14ac:dyDescent="0.3">
      <c r="A378" s="18"/>
      <c r="E378" s="18"/>
    </row>
    <row r="379" spans="1:5" ht="14.25" customHeight="1" x14ac:dyDescent="0.3">
      <c r="A379" s="18"/>
      <c r="E379" s="18"/>
    </row>
    <row r="380" spans="1:5" ht="14.25" customHeight="1" x14ac:dyDescent="0.3">
      <c r="A380" s="18"/>
      <c r="E380" s="18"/>
    </row>
    <row r="381" spans="1:5" ht="14.25" customHeight="1" x14ac:dyDescent="0.3">
      <c r="A381" s="18"/>
      <c r="E381" s="18"/>
    </row>
    <row r="382" spans="1:5" ht="14.25" customHeight="1" x14ac:dyDescent="0.3">
      <c r="A382" s="18"/>
      <c r="E382" s="18"/>
    </row>
    <row r="383" spans="1:5" ht="14.25" customHeight="1" x14ac:dyDescent="0.3">
      <c r="A383" s="18"/>
      <c r="E383" s="18"/>
    </row>
    <row r="384" spans="1:5" ht="14.25" customHeight="1" x14ac:dyDescent="0.3">
      <c r="A384" s="18"/>
      <c r="E384" s="18"/>
    </row>
    <row r="385" spans="1:5" ht="14.25" customHeight="1" x14ac:dyDescent="0.3">
      <c r="A385" s="18"/>
      <c r="E385" s="18"/>
    </row>
    <row r="386" spans="1:5" ht="14.25" customHeight="1" x14ac:dyDescent="0.3">
      <c r="A386" s="18"/>
      <c r="E386" s="18"/>
    </row>
    <row r="387" spans="1:5" ht="14.25" customHeight="1" x14ac:dyDescent="0.3">
      <c r="A387" s="18"/>
      <c r="E387" s="18"/>
    </row>
    <row r="388" spans="1:5" ht="14.25" customHeight="1" x14ac:dyDescent="0.3">
      <c r="A388" s="18"/>
      <c r="E388" s="18"/>
    </row>
    <row r="389" spans="1:5" ht="14.25" customHeight="1" x14ac:dyDescent="0.3">
      <c r="A389" s="18"/>
      <c r="E389" s="18"/>
    </row>
    <row r="390" spans="1:5" ht="14.25" customHeight="1" x14ac:dyDescent="0.3">
      <c r="A390" s="18"/>
      <c r="E390" s="18"/>
    </row>
    <row r="391" spans="1:5" ht="14.25" customHeight="1" x14ac:dyDescent="0.3">
      <c r="A391" s="18"/>
      <c r="E391" s="18"/>
    </row>
    <row r="392" spans="1:5" ht="14.25" customHeight="1" x14ac:dyDescent="0.3">
      <c r="A392" s="18"/>
      <c r="E392" s="18"/>
    </row>
    <row r="393" spans="1:5" ht="14.25" customHeight="1" x14ac:dyDescent="0.3">
      <c r="A393" s="18"/>
      <c r="E393" s="18"/>
    </row>
    <row r="394" spans="1:5" ht="14.25" customHeight="1" x14ac:dyDescent="0.3">
      <c r="A394" s="18"/>
      <c r="E394" s="18"/>
    </row>
    <row r="395" spans="1:5" ht="14.25" customHeight="1" x14ac:dyDescent="0.3">
      <c r="A395" s="18"/>
      <c r="E395" s="18"/>
    </row>
    <row r="396" spans="1:5" ht="14.25" customHeight="1" x14ac:dyDescent="0.3">
      <c r="A396" s="18"/>
      <c r="E396" s="18"/>
    </row>
    <row r="397" spans="1:5" ht="14.25" customHeight="1" x14ac:dyDescent="0.3">
      <c r="A397" s="18"/>
      <c r="E397" s="18"/>
    </row>
    <row r="398" spans="1:5" ht="14.25" customHeight="1" x14ac:dyDescent="0.3">
      <c r="A398" s="18"/>
      <c r="E398" s="18"/>
    </row>
    <row r="399" spans="1:5" ht="14.25" customHeight="1" x14ac:dyDescent="0.3">
      <c r="A399" s="18"/>
      <c r="E399" s="18"/>
    </row>
    <row r="400" spans="1:5" ht="14.25" customHeight="1" x14ac:dyDescent="0.3">
      <c r="A400" s="18"/>
      <c r="E400" s="18"/>
    </row>
    <row r="401" spans="1:5" ht="14.25" customHeight="1" x14ac:dyDescent="0.3">
      <c r="A401" s="18"/>
      <c r="E401" s="18"/>
    </row>
    <row r="402" spans="1:5" ht="14.25" customHeight="1" x14ac:dyDescent="0.3">
      <c r="A402" s="18"/>
      <c r="E402" s="18"/>
    </row>
    <row r="403" spans="1:5" ht="14.25" customHeight="1" x14ac:dyDescent="0.3">
      <c r="A403" s="18"/>
      <c r="E403" s="18"/>
    </row>
    <row r="404" spans="1:5" ht="14.25" customHeight="1" x14ac:dyDescent="0.3">
      <c r="A404" s="18"/>
      <c r="E404" s="18"/>
    </row>
    <row r="405" spans="1:5" ht="14.25" customHeight="1" x14ac:dyDescent="0.3">
      <c r="A405" s="18"/>
      <c r="E405" s="18"/>
    </row>
    <row r="406" spans="1:5" ht="14.25" customHeight="1" x14ac:dyDescent="0.3">
      <c r="A406" s="18"/>
      <c r="E406" s="18"/>
    </row>
    <row r="407" spans="1:5" ht="14.25" customHeight="1" x14ac:dyDescent="0.3">
      <c r="A407" s="18"/>
      <c r="E407" s="18"/>
    </row>
    <row r="408" spans="1:5" ht="14.25" customHeight="1" x14ac:dyDescent="0.3">
      <c r="A408" s="18"/>
      <c r="E408" s="18"/>
    </row>
    <row r="409" spans="1:5" ht="14.25" customHeight="1" x14ac:dyDescent="0.3">
      <c r="A409" s="18"/>
      <c r="E409" s="18"/>
    </row>
    <row r="410" spans="1:5" ht="14.25" customHeight="1" x14ac:dyDescent="0.3">
      <c r="A410" s="18"/>
      <c r="E410" s="18"/>
    </row>
    <row r="411" spans="1:5" ht="14.25" customHeight="1" x14ac:dyDescent="0.3">
      <c r="A411" s="18"/>
      <c r="E411" s="18"/>
    </row>
    <row r="412" spans="1:5" ht="14.25" customHeight="1" x14ac:dyDescent="0.3">
      <c r="A412" s="18"/>
      <c r="E412" s="18"/>
    </row>
    <row r="413" spans="1:5" ht="14.25" customHeight="1" x14ac:dyDescent="0.3">
      <c r="A413" s="18"/>
      <c r="E413" s="18"/>
    </row>
    <row r="414" spans="1:5" ht="14.25" customHeight="1" x14ac:dyDescent="0.3">
      <c r="A414" s="18"/>
      <c r="E414" s="18"/>
    </row>
    <row r="415" spans="1:5" ht="14.25" customHeight="1" x14ac:dyDescent="0.3">
      <c r="A415" s="18"/>
      <c r="E415" s="18"/>
    </row>
    <row r="416" spans="1:5" ht="14.25" customHeight="1" x14ac:dyDescent="0.3">
      <c r="A416" s="18"/>
      <c r="E416" s="18"/>
    </row>
    <row r="417" spans="1:5" ht="14.25" customHeight="1" x14ac:dyDescent="0.3">
      <c r="A417" s="18"/>
      <c r="E417" s="18"/>
    </row>
    <row r="418" spans="1:5" ht="14.25" customHeight="1" x14ac:dyDescent="0.3">
      <c r="A418" s="18"/>
      <c r="E418" s="18"/>
    </row>
    <row r="419" spans="1:5" ht="14.25" customHeight="1" x14ac:dyDescent="0.3">
      <c r="A419" s="18"/>
      <c r="E419" s="18"/>
    </row>
    <row r="420" spans="1:5" ht="14.25" customHeight="1" x14ac:dyDescent="0.3">
      <c r="A420" s="18"/>
      <c r="E420" s="18"/>
    </row>
    <row r="421" spans="1:5" ht="14.25" customHeight="1" x14ac:dyDescent="0.3">
      <c r="A421" s="18"/>
      <c r="E421" s="18"/>
    </row>
    <row r="422" spans="1:5" ht="14.25" customHeight="1" x14ac:dyDescent="0.3">
      <c r="A422" s="18"/>
      <c r="E422" s="18"/>
    </row>
    <row r="423" spans="1:5" ht="14.25" customHeight="1" x14ac:dyDescent="0.3">
      <c r="A423" s="18"/>
      <c r="E423" s="18"/>
    </row>
    <row r="424" spans="1:5" ht="14.25" customHeight="1" x14ac:dyDescent="0.3">
      <c r="A424" s="18"/>
      <c r="E424" s="18"/>
    </row>
    <row r="425" spans="1:5" ht="14.25" customHeight="1" x14ac:dyDescent="0.3">
      <c r="A425" s="18"/>
      <c r="E425" s="18"/>
    </row>
    <row r="426" spans="1:5" ht="14.25" customHeight="1" x14ac:dyDescent="0.3">
      <c r="A426" s="18"/>
      <c r="E426" s="18"/>
    </row>
    <row r="427" spans="1:5" ht="14.25" customHeight="1" x14ac:dyDescent="0.3">
      <c r="A427" s="18"/>
      <c r="E427" s="18"/>
    </row>
    <row r="428" spans="1:5" ht="14.25" customHeight="1" x14ac:dyDescent="0.3">
      <c r="A428" s="18"/>
      <c r="E428" s="18"/>
    </row>
    <row r="429" spans="1:5" ht="14.25" customHeight="1" x14ac:dyDescent="0.3">
      <c r="A429" s="18"/>
      <c r="E429" s="18"/>
    </row>
    <row r="430" spans="1:5" ht="14.25" customHeight="1" x14ac:dyDescent="0.3">
      <c r="A430" s="18"/>
      <c r="E430" s="18"/>
    </row>
    <row r="431" spans="1:5" ht="14.25" customHeight="1" x14ac:dyDescent="0.3">
      <c r="A431" s="18"/>
      <c r="E431" s="18"/>
    </row>
    <row r="432" spans="1:5" ht="14.25" customHeight="1" x14ac:dyDescent="0.3">
      <c r="A432" s="18"/>
      <c r="E432" s="18"/>
    </row>
    <row r="433" spans="1:5" ht="14.25" customHeight="1" x14ac:dyDescent="0.3">
      <c r="A433" s="18"/>
      <c r="E433" s="18"/>
    </row>
    <row r="434" spans="1:5" ht="14.25" customHeight="1" x14ac:dyDescent="0.3">
      <c r="A434" s="18"/>
      <c r="E434" s="18"/>
    </row>
    <row r="435" spans="1:5" ht="14.25" customHeight="1" x14ac:dyDescent="0.3">
      <c r="A435" s="18"/>
      <c r="E435" s="18"/>
    </row>
    <row r="436" spans="1:5" ht="14.25" customHeight="1" x14ac:dyDescent="0.3">
      <c r="A436" s="18"/>
      <c r="E436" s="18"/>
    </row>
    <row r="437" spans="1:5" ht="14.25" customHeight="1" x14ac:dyDescent="0.3">
      <c r="A437" s="18"/>
      <c r="E437" s="18"/>
    </row>
    <row r="438" spans="1:5" ht="14.25" customHeight="1" x14ac:dyDescent="0.3">
      <c r="A438" s="18"/>
      <c r="E438" s="18"/>
    </row>
    <row r="439" spans="1:5" ht="14.25" customHeight="1" x14ac:dyDescent="0.3">
      <c r="A439" s="18"/>
      <c r="E439" s="18"/>
    </row>
    <row r="440" spans="1:5" ht="14.25" customHeight="1" x14ac:dyDescent="0.3">
      <c r="A440" s="18"/>
      <c r="E440" s="18"/>
    </row>
    <row r="441" spans="1:5" ht="14.25" customHeight="1" x14ac:dyDescent="0.3">
      <c r="A441" s="18"/>
      <c r="E441" s="18"/>
    </row>
    <row r="442" spans="1:5" ht="14.25" customHeight="1" x14ac:dyDescent="0.3">
      <c r="A442" s="18"/>
      <c r="E442" s="18"/>
    </row>
    <row r="443" spans="1:5" ht="14.25" customHeight="1" x14ac:dyDescent="0.3">
      <c r="A443" s="18"/>
      <c r="E443" s="18"/>
    </row>
    <row r="444" spans="1:5" ht="14.25" customHeight="1" x14ac:dyDescent="0.3">
      <c r="A444" s="18"/>
      <c r="E444" s="18"/>
    </row>
    <row r="445" spans="1:5" ht="14.25" customHeight="1" x14ac:dyDescent="0.3">
      <c r="A445" s="18"/>
      <c r="E445" s="18"/>
    </row>
    <row r="446" spans="1:5" ht="14.25" customHeight="1" x14ac:dyDescent="0.3">
      <c r="A446" s="18"/>
      <c r="E446" s="18"/>
    </row>
    <row r="447" spans="1:5" ht="14.25" customHeight="1" x14ac:dyDescent="0.3">
      <c r="A447" s="18"/>
      <c r="E447" s="18"/>
    </row>
    <row r="448" spans="1:5" ht="14.25" customHeight="1" x14ac:dyDescent="0.3">
      <c r="A448" s="18"/>
      <c r="E448" s="18"/>
    </row>
    <row r="449" spans="1:5" ht="14.25" customHeight="1" x14ac:dyDescent="0.3">
      <c r="A449" s="18"/>
      <c r="E449" s="18"/>
    </row>
    <row r="450" spans="1:5" ht="14.25" customHeight="1" x14ac:dyDescent="0.3">
      <c r="A450" s="18"/>
      <c r="E450" s="18"/>
    </row>
    <row r="451" spans="1:5" ht="14.25" customHeight="1" x14ac:dyDescent="0.3">
      <c r="A451" s="18"/>
      <c r="E451" s="18"/>
    </row>
    <row r="452" spans="1:5" ht="14.25" customHeight="1" x14ac:dyDescent="0.3">
      <c r="A452" s="18"/>
      <c r="E452" s="18"/>
    </row>
    <row r="453" spans="1:5" ht="14.25" customHeight="1" x14ac:dyDescent="0.3">
      <c r="A453" s="18"/>
      <c r="E453" s="18"/>
    </row>
    <row r="454" spans="1:5" ht="14.25" customHeight="1" x14ac:dyDescent="0.3">
      <c r="A454" s="18"/>
      <c r="E454" s="18"/>
    </row>
    <row r="455" spans="1:5" ht="14.25" customHeight="1" x14ac:dyDescent="0.3">
      <c r="A455" s="18"/>
      <c r="E455" s="18"/>
    </row>
    <row r="456" spans="1:5" ht="14.25" customHeight="1" x14ac:dyDescent="0.3">
      <c r="A456" s="18"/>
      <c r="E456" s="18"/>
    </row>
    <row r="457" spans="1:5" ht="14.25" customHeight="1" x14ac:dyDescent="0.3">
      <c r="A457" s="18"/>
      <c r="E457" s="18"/>
    </row>
    <row r="458" spans="1:5" ht="14.25" customHeight="1" x14ac:dyDescent="0.3">
      <c r="A458" s="18"/>
      <c r="E458" s="18"/>
    </row>
    <row r="459" spans="1:5" ht="14.25" customHeight="1" x14ac:dyDescent="0.3">
      <c r="A459" s="18"/>
      <c r="E459" s="18"/>
    </row>
    <row r="460" spans="1:5" ht="14.25" customHeight="1" x14ac:dyDescent="0.3">
      <c r="A460" s="18"/>
      <c r="E460" s="18"/>
    </row>
    <row r="461" spans="1:5" ht="14.25" customHeight="1" x14ac:dyDescent="0.3">
      <c r="A461" s="18"/>
      <c r="E461" s="18"/>
    </row>
    <row r="462" spans="1:5" ht="14.25" customHeight="1" x14ac:dyDescent="0.3">
      <c r="A462" s="18"/>
      <c r="E462" s="18"/>
    </row>
    <row r="463" spans="1:5" ht="14.25" customHeight="1" x14ac:dyDescent="0.3">
      <c r="A463" s="18"/>
      <c r="E463" s="18"/>
    </row>
    <row r="464" spans="1:5" ht="14.25" customHeight="1" x14ac:dyDescent="0.3">
      <c r="A464" s="18"/>
      <c r="E464" s="18"/>
    </row>
    <row r="465" spans="1:5" ht="14.25" customHeight="1" x14ac:dyDescent="0.3">
      <c r="A465" s="18"/>
      <c r="E465" s="18"/>
    </row>
    <row r="466" spans="1:5" ht="14.25" customHeight="1" x14ac:dyDescent="0.3">
      <c r="A466" s="18"/>
      <c r="E466" s="18"/>
    </row>
    <row r="467" spans="1:5" ht="14.25" customHeight="1" x14ac:dyDescent="0.3">
      <c r="A467" s="18"/>
      <c r="E467" s="18"/>
    </row>
    <row r="468" spans="1:5" ht="14.25" customHeight="1" x14ac:dyDescent="0.3">
      <c r="A468" s="18"/>
      <c r="E468" s="18"/>
    </row>
    <row r="469" spans="1:5" ht="14.25" customHeight="1" x14ac:dyDescent="0.3">
      <c r="A469" s="18"/>
      <c r="E469" s="18"/>
    </row>
    <row r="470" spans="1:5" ht="14.25" customHeight="1" x14ac:dyDescent="0.3">
      <c r="A470" s="18"/>
      <c r="E470" s="18"/>
    </row>
    <row r="471" spans="1:5" ht="14.25" customHeight="1" x14ac:dyDescent="0.3">
      <c r="A471" s="18"/>
      <c r="E471" s="18"/>
    </row>
    <row r="472" spans="1:5" ht="14.25" customHeight="1" x14ac:dyDescent="0.3">
      <c r="A472" s="18"/>
      <c r="E472" s="18"/>
    </row>
    <row r="473" spans="1:5" ht="14.25" customHeight="1" x14ac:dyDescent="0.3">
      <c r="A473" s="18"/>
      <c r="E473" s="18"/>
    </row>
    <row r="474" spans="1:5" ht="14.25" customHeight="1" x14ac:dyDescent="0.3">
      <c r="A474" s="18"/>
      <c r="E474" s="18"/>
    </row>
    <row r="475" spans="1:5" ht="14.25" customHeight="1" x14ac:dyDescent="0.3">
      <c r="A475" s="18"/>
      <c r="E475" s="18"/>
    </row>
    <row r="476" spans="1:5" ht="14.25" customHeight="1" x14ac:dyDescent="0.3">
      <c r="A476" s="18"/>
      <c r="E476" s="18"/>
    </row>
    <row r="477" spans="1:5" ht="14.25" customHeight="1" x14ac:dyDescent="0.3">
      <c r="A477" s="18"/>
      <c r="E477" s="18"/>
    </row>
    <row r="478" spans="1:5" ht="14.25" customHeight="1" x14ac:dyDescent="0.3">
      <c r="A478" s="18"/>
      <c r="E478" s="18"/>
    </row>
    <row r="479" spans="1:5" ht="14.25" customHeight="1" x14ac:dyDescent="0.3">
      <c r="A479" s="18"/>
      <c r="E479" s="18"/>
    </row>
    <row r="480" spans="1:5" ht="14.25" customHeight="1" x14ac:dyDescent="0.3">
      <c r="A480" s="18"/>
      <c r="E480" s="18"/>
    </row>
    <row r="481" spans="1:5" ht="14.25" customHeight="1" x14ac:dyDescent="0.3">
      <c r="A481" s="18"/>
      <c r="E481" s="18"/>
    </row>
    <row r="482" spans="1:5" ht="14.25" customHeight="1" x14ac:dyDescent="0.3">
      <c r="A482" s="18"/>
      <c r="E482" s="18"/>
    </row>
    <row r="483" spans="1:5" ht="14.25" customHeight="1" x14ac:dyDescent="0.3">
      <c r="A483" s="18"/>
      <c r="E483" s="18"/>
    </row>
    <row r="484" spans="1:5" ht="14.25" customHeight="1" x14ac:dyDescent="0.3">
      <c r="A484" s="18"/>
      <c r="E484" s="18"/>
    </row>
    <row r="485" spans="1:5" ht="14.25" customHeight="1" x14ac:dyDescent="0.3">
      <c r="A485" s="18"/>
      <c r="E485" s="18"/>
    </row>
    <row r="486" spans="1:5" ht="14.25" customHeight="1" x14ac:dyDescent="0.3">
      <c r="A486" s="18"/>
      <c r="E486" s="18"/>
    </row>
    <row r="487" spans="1:5" ht="14.25" customHeight="1" x14ac:dyDescent="0.3">
      <c r="A487" s="18"/>
      <c r="E487" s="18"/>
    </row>
    <row r="488" spans="1:5" ht="14.25" customHeight="1" x14ac:dyDescent="0.3">
      <c r="A488" s="18"/>
      <c r="E488" s="18"/>
    </row>
    <row r="489" spans="1:5" ht="14.25" customHeight="1" x14ac:dyDescent="0.3">
      <c r="A489" s="18"/>
      <c r="E489" s="18"/>
    </row>
    <row r="490" spans="1:5" ht="14.25" customHeight="1" x14ac:dyDescent="0.3">
      <c r="A490" s="18"/>
      <c r="E490" s="18"/>
    </row>
    <row r="491" spans="1:5" ht="14.25" customHeight="1" x14ac:dyDescent="0.3">
      <c r="A491" s="18"/>
      <c r="E491" s="18"/>
    </row>
    <row r="492" spans="1:5" ht="14.25" customHeight="1" x14ac:dyDescent="0.3">
      <c r="A492" s="18"/>
      <c r="E492" s="18"/>
    </row>
    <row r="493" spans="1:5" ht="14.25" customHeight="1" x14ac:dyDescent="0.3">
      <c r="A493" s="18"/>
      <c r="E493" s="18"/>
    </row>
    <row r="494" spans="1:5" ht="14.25" customHeight="1" x14ac:dyDescent="0.3">
      <c r="A494" s="18"/>
      <c r="E494" s="18"/>
    </row>
    <row r="495" spans="1:5" ht="14.25" customHeight="1" x14ac:dyDescent="0.3">
      <c r="A495" s="18"/>
      <c r="E495" s="18"/>
    </row>
    <row r="496" spans="1:5" ht="14.25" customHeight="1" x14ac:dyDescent="0.3">
      <c r="A496" s="18"/>
      <c r="E496" s="18"/>
    </row>
    <row r="497" spans="1:5" ht="14.25" customHeight="1" x14ac:dyDescent="0.3">
      <c r="A497" s="18"/>
      <c r="E497" s="18"/>
    </row>
    <row r="498" spans="1:5" ht="14.25" customHeight="1" x14ac:dyDescent="0.3">
      <c r="A498" s="18"/>
      <c r="E498" s="18"/>
    </row>
    <row r="499" spans="1:5" ht="14.25" customHeight="1" x14ac:dyDescent="0.3">
      <c r="A499" s="18"/>
      <c r="E499" s="18"/>
    </row>
    <row r="500" spans="1:5" ht="14.25" customHeight="1" x14ac:dyDescent="0.3">
      <c r="A500" s="18"/>
      <c r="E500" s="18"/>
    </row>
    <row r="501" spans="1:5" ht="14.25" customHeight="1" x14ac:dyDescent="0.3">
      <c r="A501" s="18"/>
      <c r="E501" s="18"/>
    </row>
    <row r="502" spans="1:5" ht="14.25" customHeight="1" x14ac:dyDescent="0.3">
      <c r="A502" s="18"/>
      <c r="E502" s="18"/>
    </row>
    <row r="503" spans="1:5" ht="14.25" customHeight="1" x14ac:dyDescent="0.3">
      <c r="A503" s="18"/>
      <c r="E503" s="18"/>
    </row>
    <row r="504" spans="1:5" ht="14.25" customHeight="1" x14ac:dyDescent="0.3">
      <c r="A504" s="18"/>
      <c r="E504" s="18"/>
    </row>
    <row r="505" spans="1:5" ht="14.25" customHeight="1" x14ac:dyDescent="0.3">
      <c r="A505" s="18"/>
      <c r="E505" s="18"/>
    </row>
    <row r="506" spans="1:5" ht="14.25" customHeight="1" x14ac:dyDescent="0.3">
      <c r="A506" s="18"/>
      <c r="E506" s="18"/>
    </row>
    <row r="507" spans="1:5" ht="14.25" customHeight="1" x14ac:dyDescent="0.3">
      <c r="A507" s="18"/>
      <c r="E507" s="18"/>
    </row>
    <row r="508" spans="1:5" ht="14.25" customHeight="1" x14ac:dyDescent="0.3">
      <c r="A508" s="18"/>
      <c r="E508" s="18"/>
    </row>
    <row r="509" spans="1:5" ht="14.25" customHeight="1" x14ac:dyDescent="0.3">
      <c r="A509" s="18"/>
      <c r="E509" s="18"/>
    </row>
    <row r="510" spans="1:5" ht="14.25" customHeight="1" x14ac:dyDescent="0.3">
      <c r="A510" s="18"/>
      <c r="E510" s="18"/>
    </row>
    <row r="511" spans="1:5" ht="14.25" customHeight="1" x14ac:dyDescent="0.3">
      <c r="A511" s="18"/>
      <c r="E511" s="18"/>
    </row>
    <row r="512" spans="1:5" ht="14.25" customHeight="1" x14ac:dyDescent="0.3">
      <c r="A512" s="18"/>
      <c r="E512" s="18"/>
    </row>
    <row r="513" spans="1:5" ht="14.25" customHeight="1" x14ac:dyDescent="0.3">
      <c r="A513" s="18"/>
      <c r="E513" s="18"/>
    </row>
    <row r="514" spans="1:5" ht="14.25" customHeight="1" x14ac:dyDescent="0.3">
      <c r="A514" s="18"/>
      <c r="E514" s="18"/>
    </row>
    <row r="515" spans="1:5" ht="14.25" customHeight="1" x14ac:dyDescent="0.3">
      <c r="A515" s="18"/>
      <c r="E515" s="18"/>
    </row>
    <row r="516" spans="1:5" ht="14.25" customHeight="1" x14ac:dyDescent="0.3">
      <c r="A516" s="18"/>
      <c r="E516" s="18"/>
    </row>
    <row r="517" spans="1:5" ht="14.25" customHeight="1" x14ac:dyDescent="0.3">
      <c r="A517" s="18"/>
      <c r="E517" s="18"/>
    </row>
    <row r="518" spans="1:5" ht="14.25" customHeight="1" x14ac:dyDescent="0.3">
      <c r="A518" s="18"/>
      <c r="E518" s="18"/>
    </row>
    <row r="519" spans="1:5" ht="14.25" customHeight="1" x14ac:dyDescent="0.3">
      <c r="A519" s="18"/>
      <c r="E519" s="18"/>
    </row>
    <row r="520" spans="1:5" ht="14.25" customHeight="1" x14ac:dyDescent="0.3">
      <c r="A520" s="18"/>
      <c r="E520" s="18"/>
    </row>
    <row r="521" spans="1:5" ht="14.25" customHeight="1" x14ac:dyDescent="0.3">
      <c r="A521" s="18"/>
      <c r="E521" s="18"/>
    </row>
    <row r="522" spans="1:5" ht="14.25" customHeight="1" x14ac:dyDescent="0.3">
      <c r="A522" s="18"/>
      <c r="E522" s="18"/>
    </row>
    <row r="523" spans="1:5" ht="14.25" customHeight="1" x14ac:dyDescent="0.3">
      <c r="A523" s="18"/>
      <c r="E523" s="18"/>
    </row>
    <row r="524" spans="1:5" ht="14.25" customHeight="1" x14ac:dyDescent="0.3">
      <c r="A524" s="18"/>
      <c r="E524" s="18"/>
    </row>
    <row r="525" spans="1:5" ht="14.25" customHeight="1" x14ac:dyDescent="0.3">
      <c r="A525" s="18"/>
      <c r="E525" s="18"/>
    </row>
    <row r="526" spans="1:5" ht="14.25" customHeight="1" x14ac:dyDescent="0.3">
      <c r="A526" s="18"/>
      <c r="E526" s="18"/>
    </row>
    <row r="527" spans="1:5" ht="14.25" customHeight="1" x14ac:dyDescent="0.3">
      <c r="A527" s="18"/>
      <c r="E527" s="18"/>
    </row>
    <row r="528" spans="1:5" ht="14.25" customHeight="1" x14ac:dyDescent="0.3">
      <c r="A528" s="18"/>
      <c r="E528" s="18"/>
    </row>
    <row r="529" spans="1:5" ht="14.25" customHeight="1" x14ac:dyDescent="0.3">
      <c r="A529" s="18"/>
      <c r="E529" s="18"/>
    </row>
    <row r="530" spans="1:5" ht="14.25" customHeight="1" x14ac:dyDescent="0.3">
      <c r="A530" s="18"/>
      <c r="E530" s="18"/>
    </row>
    <row r="531" spans="1:5" ht="14.25" customHeight="1" x14ac:dyDescent="0.3">
      <c r="A531" s="18"/>
      <c r="E531" s="18"/>
    </row>
    <row r="532" spans="1:5" ht="14.25" customHeight="1" x14ac:dyDescent="0.3">
      <c r="A532" s="18"/>
      <c r="E532" s="18"/>
    </row>
    <row r="533" spans="1:5" ht="14.25" customHeight="1" x14ac:dyDescent="0.3">
      <c r="A533" s="18"/>
      <c r="E533" s="18"/>
    </row>
    <row r="534" spans="1:5" ht="14.25" customHeight="1" x14ac:dyDescent="0.3">
      <c r="A534" s="18"/>
      <c r="E534" s="18"/>
    </row>
    <row r="535" spans="1:5" ht="14.25" customHeight="1" x14ac:dyDescent="0.3">
      <c r="A535" s="18"/>
      <c r="E535" s="18"/>
    </row>
    <row r="536" spans="1:5" ht="14.25" customHeight="1" x14ac:dyDescent="0.3">
      <c r="A536" s="18"/>
      <c r="E536" s="18"/>
    </row>
    <row r="537" spans="1:5" ht="14.25" customHeight="1" x14ac:dyDescent="0.3">
      <c r="A537" s="18"/>
      <c r="E537" s="18"/>
    </row>
    <row r="538" spans="1:5" ht="14.25" customHeight="1" x14ac:dyDescent="0.3">
      <c r="A538" s="18"/>
      <c r="E538" s="18"/>
    </row>
    <row r="539" spans="1:5" ht="14.25" customHeight="1" x14ac:dyDescent="0.3">
      <c r="A539" s="18"/>
      <c r="E539" s="18"/>
    </row>
    <row r="540" spans="1:5" ht="14.25" customHeight="1" x14ac:dyDescent="0.3">
      <c r="A540" s="18"/>
      <c r="E540" s="18"/>
    </row>
    <row r="541" spans="1:5" ht="14.25" customHeight="1" x14ac:dyDescent="0.3">
      <c r="A541" s="18"/>
      <c r="E541" s="18"/>
    </row>
    <row r="542" spans="1:5" ht="14.25" customHeight="1" x14ac:dyDescent="0.3">
      <c r="A542" s="18"/>
      <c r="E542" s="18"/>
    </row>
    <row r="543" spans="1:5" ht="14.25" customHeight="1" x14ac:dyDescent="0.3">
      <c r="A543" s="18"/>
      <c r="E543" s="18"/>
    </row>
    <row r="544" spans="1:5" ht="14.25" customHeight="1" x14ac:dyDescent="0.3">
      <c r="A544" s="18"/>
      <c r="E544" s="18"/>
    </row>
    <row r="545" spans="1:5" ht="14.25" customHeight="1" x14ac:dyDescent="0.3">
      <c r="A545" s="18"/>
      <c r="E545" s="18"/>
    </row>
    <row r="546" spans="1:5" ht="14.25" customHeight="1" x14ac:dyDescent="0.3">
      <c r="A546" s="18"/>
      <c r="E546" s="18"/>
    </row>
    <row r="547" spans="1:5" ht="14.25" customHeight="1" x14ac:dyDescent="0.3">
      <c r="A547" s="18"/>
      <c r="E547" s="18"/>
    </row>
    <row r="548" spans="1:5" ht="14.25" customHeight="1" x14ac:dyDescent="0.3">
      <c r="A548" s="18"/>
      <c r="E548" s="18"/>
    </row>
    <row r="549" spans="1:5" ht="14.25" customHeight="1" x14ac:dyDescent="0.3">
      <c r="A549" s="18"/>
      <c r="E549" s="18"/>
    </row>
    <row r="550" spans="1:5" ht="14.25" customHeight="1" x14ac:dyDescent="0.3">
      <c r="A550" s="18"/>
      <c r="E550" s="18"/>
    </row>
    <row r="551" spans="1:5" ht="14.25" customHeight="1" x14ac:dyDescent="0.3">
      <c r="A551" s="18"/>
      <c r="E551" s="18"/>
    </row>
    <row r="552" spans="1:5" ht="14.25" customHeight="1" x14ac:dyDescent="0.3">
      <c r="A552" s="18"/>
      <c r="E552" s="18"/>
    </row>
    <row r="553" spans="1:5" ht="14.25" customHeight="1" x14ac:dyDescent="0.3">
      <c r="A553" s="18"/>
      <c r="E553" s="18"/>
    </row>
    <row r="554" spans="1:5" ht="14.25" customHeight="1" x14ac:dyDescent="0.3">
      <c r="A554" s="18"/>
      <c r="E554" s="18"/>
    </row>
    <row r="555" spans="1:5" ht="14.25" customHeight="1" x14ac:dyDescent="0.3">
      <c r="A555" s="18"/>
      <c r="E555" s="18"/>
    </row>
    <row r="556" spans="1:5" ht="14.25" customHeight="1" x14ac:dyDescent="0.3">
      <c r="A556" s="18"/>
      <c r="E556" s="18"/>
    </row>
    <row r="557" spans="1:5" ht="14.25" customHeight="1" x14ac:dyDescent="0.3">
      <c r="A557" s="18"/>
      <c r="E557" s="18"/>
    </row>
    <row r="558" spans="1:5" ht="14.25" customHeight="1" x14ac:dyDescent="0.3">
      <c r="A558" s="18"/>
      <c r="E558" s="18"/>
    </row>
    <row r="559" spans="1:5" ht="14.25" customHeight="1" x14ac:dyDescent="0.3">
      <c r="A559" s="18"/>
      <c r="E559" s="18"/>
    </row>
    <row r="560" spans="1:5" ht="14.25" customHeight="1" x14ac:dyDescent="0.3">
      <c r="A560" s="18"/>
      <c r="E560" s="18"/>
    </row>
    <row r="561" spans="1:5" ht="14.25" customHeight="1" x14ac:dyDescent="0.3">
      <c r="A561" s="18"/>
      <c r="E561" s="18"/>
    </row>
    <row r="562" spans="1:5" ht="14.25" customHeight="1" x14ac:dyDescent="0.3">
      <c r="A562" s="18"/>
      <c r="E562" s="18"/>
    </row>
    <row r="563" spans="1:5" ht="14.25" customHeight="1" x14ac:dyDescent="0.3">
      <c r="A563" s="18"/>
      <c r="E563" s="18"/>
    </row>
    <row r="564" spans="1:5" ht="14.25" customHeight="1" x14ac:dyDescent="0.3">
      <c r="A564" s="18"/>
      <c r="E564" s="18"/>
    </row>
    <row r="565" spans="1:5" ht="14.25" customHeight="1" x14ac:dyDescent="0.3">
      <c r="A565" s="18"/>
      <c r="E565" s="18"/>
    </row>
    <row r="566" spans="1:5" ht="14.25" customHeight="1" x14ac:dyDescent="0.3">
      <c r="A566" s="18"/>
      <c r="E566" s="18"/>
    </row>
    <row r="567" spans="1:5" ht="14.25" customHeight="1" x14ac:dyDescent="0.3">
      <c r="A567" s="18"/>
      <c r="E567" s="18"/>
    </row>
    <row r="568" spans="1:5" ht="14.25" customHeight="1" x14ac:dyDescent="0.3">
      <c r="A568" s="18"/>
      <c r="E568" s="18"/>
    </row>
    <row r="569" spans="1:5" ht="14.25" customHeight="1" x14ac:dyDescent="0.3">
      <c r="A569" s="18"/>
      <c r="E569" s="18"/>
    </row>
    <row r="570" spans="1:5" ht="14.25" customHeight="1" x14ac:dyDescent="0.3">
      <c r="A570" s="18"/>
      <c r="E570" s="18"/>
    </row>
    <row r="571" spans="1:5" ht="14.25" customHeight="1" x14ac:dyDescent="0.3">
      <c r="A571" s="18"/>
      <c r="E571" s="18"/>
    </row>
    <row r="572" spans="1:5" ht="14.25" customHeight="1" x14ac:dyDescent="0.3">
      <c r="A572" s="18"/>
      <c r="E572" s="18"/>
    </row>
    <row r="573" spans="1:5" ht="14.25" customHeight="1" x14ac:dyDescent="0.3">
      <c r="A573" s="18"/>
      <c r="E573" s="18"/>
    </row>
    <row r="574" spans="1:5" ht="14.25" customHeight="1" x14ac:dyDescent="0.3">
      <c r="A574" s="18"/>
      <c r="E574" s="18"/>
    </row>
    <row r="575" spans="1:5" ht="14.25" customHeight="1" x14ac:dyDescent="0.3">
      <c r="A575" s="18"/>
      <c r="E575" s="18"/>
    </row>
    <row r="576" spans="1:5" ht="14.25" customHeight="1" x14ac:dyDescent="0.3">
      <c r="A576" s="18"/>
      <c r="E576" s="18"/>
    </row>
    <row r="577" spans="1:5" ht="14.25" customHeight="1" x14ac:dyDescent="0.3">
      <c r="A577" s="18"/>
      <c r="E577" s="18"/>
    </row>
    <row r="578" spans="1:5" ht="14.25" customHeight="1" x14ac:dyDescent="0.3">
      <c r="A578" s="18"/>
      <c r="E578" s="18"/>
    </row>
    <row r="579" spans="1:5" ht="14.25" customHeight="1" x14ac:dyDescent="0.3">
      <c r="A579" s="18"/>
      <c r="E579" s="18"/>
    </row>
    <row r="580" spans="1:5" ht="14.25" customHeight="1" x14ac:dyDescent="0.3">
      <c r="A580" s="18"/>
      <c r="E580" s="18"/>
    </row>
    <row r="581" spans="1:5" ht="14.25" customHeight="1" x14ac:dyDescent="0.3">
      <c r="A581" s="18"/>
      <c r="E581" s="18"/>
    </row>
    <row r="582" spans="1:5" ht="14.25" customHeight="1" x14ac:dyDescent="0.3">
      <c r="A582" s="18"/>
      <c r="E582" s="18"/>
    </row>
    <row r="583" spans="1:5" ht="14.25" customHeight="1" x14ac:dyDescent="0.3">
      <c r="A583" s="18"/>
      <c r="E583" s="18"/>
    </row>
    <row r="584" spans="1:5" ht="14.25" customHeight="1" x14ac:dyDescent="0.3">
      <c r="A584" s="18"/>
      <c r="E584" s="18"/>
    </row>
    <row r="585" spans="1:5" ht="14.25" customHeight="1" x14ac:dyDescent="0.3">
      <c r="A585" s="18"/>
      <c r="E585" s="18"/>
    </row>
    <row r="586" spans="1:5" ht="14.25" customHeight="1" x14ac:dyDescent="0.3">
      <c r="A586" s="18"/>
      <c r="E586" s="18"/>
    </row>
    <row r="587" spans="1:5" ht="14.25" customHeight="1" x14ac:dyDescent="0.3">
      <c r="A587" s="18"/>
      <c r="E587" s="18"/>
    </row>
    <row r="588" spans="1:5" ht="14.25" customHeight="1" x14ac:dyDescent="0.3">
      <c r="A588" s="18"/>
      <c r="E588" s="18"/>
    </row>
    <row r="589" spans="1:5" ht="14.25" customHeight="1" x14ac:dyDescent="0.3">
      <c r="A589" s="18"/>
      <c r="E589" s="18"/>
    </row>
    <row r="590" spans="1:5" ht="14.25" customHeight="1" x14ac:dyDescent="0.3">
      <c r="A590" s="18"/>
      <c r="E590" s="18"/>
    </row>
    <row r="591" spans="1:5" ht="14.25" customHeight="1" x14ac:dyDescent="0.3">
      <c r="A591" s="18"/>
      <c r="E591" s="18"/>
    </row>
    <row r="592" spans="1:5" ht="14.25" customHeight="1" x14ac:dyDescent="0.3">
      <c r="A592" s="18"/>
      <c r="E592" s="18"/>
    </row>
    <row r="593" spans="1:5" ht="14.25" customHeight="1" x14ac:dyDescent="0.3">
      <c r="A593" s="18"/>
      <c r="E593" s="18"/>
    </row>
    <row r="594" spans="1:5" ht="14.25" customHeight="1" x14ac:dyDescent="0.3">
      <c r="A594" s="18"/>
      <c r="E594" s="18"/>
    </row>
    <row r="595" spans="1:5" ht="14.25" customHeight="1" x14ac:dyDescent="0.3">
      <c r="A595" s="18"/>
      <c r="E595" s="18"/>
    </row>
    <row r="596" spans="1:5" ht="14.25" customHeight="1" x14ac:dyDescent="0.3">
      <c r="A596" s="18"/>
      <c r="E596" s="18"/>
    </row>
    <row r="597" spans="1:5" ht="14.25" customHeight="1" x14ac:dyDescent="0.3">
      <c r="A597" s="18"/>
      <c r="E597" s="18"/>
    </row>
    <row r="598" spans="1:5" ht="14.25" customHeight="1" x14ac:dyDescent="0.3">
      <c r="A598" s="18"/>
      <c r="E598" s="18"/>
    </row>
    <row r="599" spans="1:5" ht="14.25" customHeight="1" x14ac:dyDescent="0.3">
      <c r="A599" s="18"/>
      <c r="E599" s="18"/>
    </row>
    <row r="600" spans="1:5" ht="14.25" customHeight="1" x14ac:dyDescent="0.3">
      <c r="A600" s="18"/>
      <c r="E600" s="18"/>
    </row>
    <row r="601" spans="1:5" ht="14.25" customHeight="1" x14ac:dyDescent="0.3">
      <c r="A601" s="18"/>
      <c r="E601" s="18"/>
    </row>
    <row r="602" spans="1:5" ht="14.25" customHeight="1" x14ac:dyDescent="0.3">
      <c r="A602" s="18"/>
      <c r="E602" s="18"/>
    </row>
    <row r="603" spans="1:5" ht="14.25" customHeight="1" x14ac:dyDescent="0.3">
      <c r="A603" s="18"/>
      <c r="E603" s="18"/>
    </row>
    <row r="604" spans="1:5" ht="14.25" customHeight="1" x14ac:dyDescent="0.3">
      <c r="A604" s="18"/>
      <c r="E604" s="18"/>
    </row>
    <row r="605" spans="1:5" ht="14.25" customHeight="1" x14ac:dyDescent="0.3">
      <c r="A605" s="18"/>
      <c r="E605" s="18"/>
    </row>
    <row r="606" spans="1:5" ht="14.25" customHeight="1" x14ac:dyDescent="0.3">
      <c r="A606" s="18"/>
      <c r="E606" s="18"/>
    </row>
    <row r="607" spans="1:5" ht="14.25" customHeight="1" x14ac:dyDescent="0.3">
      <c r="A607" s="18"/>
      <c r="E607" s="18"/>
    </row>
    <row r="608" spans="1:5" ht="14.25" customHeight="1" x14ac:dyDescent="0.3">
      <c r="A608" s="18"/>
      <c r="E608" s="18"/>
    </row>
    <row r="609" spans="1:5" ht="14.25" customHeight="1" x14ac:dyDescent="0.3">
      <c r="A609" s="18"/>
      <c r="E609" s="18"/>
    </row>
    <row r="610" spans="1:5" ht="14.25" customHeight="1" x14ac:dyDescent="0.3">
      <c r="A610" s="18"/>
      <c r="E610" s="18"/>
    </row>
    <row r="611" spans="1:5" ht="14.25" customHeight="1" x14ac:dyDescent="0.3">
      <c r="A611" s="18"/>
      <c r="E611" s="18"/>
    </row>
    <row r="612" spans="1:5" ht="14.25" customHeight="1" x14ac:dyDescent="0.3">
      <c r="A612" s="18"/>
      <c r="E612" s="18"/>
    </row>
    <row r="613" spans="1:5" ht="14.25" customHeight="1" x14ac:dyDescent="0.3">
      <c r="A613" s="18"/>
      <c r="E613" s="18"/>
    </row>
    <row r="614" spans="1:5" ht="14.25" customHeight="1" x14ac:dyDescent="0.3">
      <c r="A614" s="18"/>
      <c r="E614" s="18"/>
    </row>
    <row r="615" spans="1:5" ht="14.25" customHeight="1" x14ac:dyDescent="0.3">
      <c r="A615" s="18"/>
      <c r="E615" s="18"/>
    </row>
    <row r="616" spans="1:5" ht="14.25" customHeight="1" x14ac:dyDescent="0.3">
      <c r="A616" s="18"/>
      <c r="E616" s="18"/>
    </row>
    <row r="617" spans="1:5" ht="14.25" customHeight="1" x14ac:dyDescent="0.3">
      <c r="A617" s="18"/>
      <c r="E617" s="18"/>
    </row>
    <row r="618" spans="1:5" ht="14.25" customHeight="1" x14ac:dyDescent="0.3">
      <c r="A618" s="18"/>
      <c r="E618" s="18"/>
    </row>
    <row r="619" spans="1:5" ht="14.25" customHeight="1" x14ac:dyDescent="0.3">
      <c r="A619" s="18"/>
      <c r="E619" s="18"/>
    </row>
    <row r="620" spans="1:5" ht="14.25" customHeight="1" x14ac:dyDescent="0.3">
      <c r="A620" s="18"/>
      <c r="E620" s="18"/>
    </row>
    <row r="621" spans="1:5" ht="14.25" customHeight="1" x14ac:dyDescent="0.3">
      <c r="A621" s="18"/>
      <c r="E621" s="18"/>
    </row>
    <row r="622" spans="1:5" ht="14.25" customHeight="1" x14ac:dyDescent="0.3">
      <c r="A622" s="18"/>
      <c r="E622" s="18"/>
    </row>
    <row r="623" spans="1:5" ht="14.25" customHeight="1" x14ac:dyDescent="0.3">
      <c r="A623" s="18"/>
      <c r="E623" s="18"/>
    </row>
    <row r="624" spans="1:5" ht="14.25" customHeight="1" x14ac:dyDescent="0.3">
      <c r="A624" s="18"/>
      <c r="E624" s="18"/>
    </row>
    <row r="625" spans="1:5" ht="14.25" customHeight="1" x14ac:dyDescent="0.3">
      <c r="A625" s="18"/>
      <c r="E625" s="18"/>
    </row>
    <row r="626" spans="1:5" ht="14.25" customHeight="1" x14ac:dyDescent="0.3">
      <c r="A626" s="18"/>
      <c r="E626" s="18"/>
    </row>
    <row r="627" spans="1:5" ht="14.25" customHeight="1" x14ac:dyDescent="0.3">
      <c r="A627" s="18"/>
      <c r="E627" s="18"/>
    </row>
    <row r="628" spans="1:5" ht="14.25" customHeight="1" x14ac:dyDescent="0.3">
      <c r="A628" s="18"/>
      <c r="E628" s="18"/>
    </row>
    <row r="629" spans="1:5" ht="14.25" customHeight="1" x14ac:dyDescent="0.3">
      <c r="A629" s="18"/>
      <c r="E629" s="18"/>
    </row>
    <row r="630" spans="1:5" ht="14.25" customHeight="1" x14ac:dyDescent="0.3">
      <c r="A630" s="18"/>
      <c r="E630" s="18"/>
    </row>
    <row r="631" spans="1:5" ht="14.25" customHeight="1" x14ac:dyDescent="0.3">
      <c r="A631" s="18"/>
      <c r="E631" s="18"/>
    </row>
    <row r="632" spans="1:5" ht="14.25" customHeight="1" x14ac:dyDescent="0.3">
      <c r="A632" s="18"/>
      <c r="E632" s="18"/>
    </row>
    <row r="633" spans="1:5" ht="14.25" customHeight="1" x14ac:dyDescent="0.3">
      <c r="A633" s="18"/>
      <c r="E633" s="18"/>
    </row>
    <row r="634" spans="1:5" ht="14.25" customHeight="1" x14ac:dyDescent="0.3">
      <c r="A634" s="18"/>
      <c r="E634" s="18"/>
    </row>
    <row r="635" spans="1:5" ht="14.25" customHeight="1" x14ac:dyDescent="0.3">
      <c r="A635" s="18"/>
      <c r="E635" s="18"/>
    </row>
    <row r="636" spans="1:5" ht="14.25" customHeight="1" x14ac:dyDescent="0.3">
      <c r="A636" s="18"/>
      <c r="E636" s="18"/>
    </row>
    <row r="637" spans="1:5" ht="14.25" customHeight="1" x14ac:dyDescent="0.3">
      <c r="A637" s="18"/>
      <c r="E637" s="18"/>
    </row>
    <row r="638" spans="1:5" ht="14.25" customHeight="1" x14ac:dyDescent="0.3">
      <c r="A638" s="18"/>
      <c r="E638" s="18"/>
    </row>
    <row r="639" spans="1:5" ht="14.25" customHeight="1" x14ac:dyDescent="0.3">
      <c r="A639" s="18"/>
      <c r="E639" s="18"/>
    </row>
    <row r="640" spans="1:5" ht="14.25" customHeight="1" x14ac:dyDescent="0.3">
      <c r="A640" s="18"/>
      <c r="E640" s="18"/>
    </row>
    <row r="641" spans="1:5" ht="14.25" customHeight="1" x14ac:dyDescent="0.3">
      <c r="A641" s="18"/>
      <c r="E641" s="18"/>
    </row>
    <row r="642" spans="1:5" ht="14.25" customHeight="1" x14ac:dyDescent="0.3">
      <c r="A642" s="18"/>
      <c r="E642" s="18"/>
    </row>
    <row r="643" spans="1:5" ht="14.25" customHeight="1" x14ac:dyDescent="0.3">
      <c r="A643" s="18"/>
      <c r="E643" s="18"/>
    </row>
    <row r="644" spans="1:5" ht="14.25" customHeight="1" x14ac:dyDescent="0.3">
      <c r="A644" s="18"/>
      <c r="E644" s="18"/>
    </row>
    <row r="645" spans="1:5" ht="14.25" customHeight="1" x14ac:dyDescent="0.3">
      <c r="A645" s="18"/>
      <c r="E645" s="18"/>
    </row>
    <row r="646" spans="1:5" ht="14.25" customHeight="1" x14ac:dyDescent="0.3">
      <c r="A646" s="18"/>
      <c r="E646" s="18"/>
    </row>
    <row r="647" spans="1:5" ht="14.25" customHeight="1" x14ac:dyDescent="0.3">
      <c r="A647" s="18"/>
      <c r="E647" s="18"/>
    </row>
    <row r="648" spans="1:5" ht="14.25" customHeight="1" x14ac:dyDescent="0.3">
      <c r="A648" s="18"/>
      <c r="E648" s="18"/>
    </row>
    <row r="649" spans="1:5" ht="14.25" customHeight="1" x14ac:dyDescent="0.3">
      <c r="A649" s="18"/>
      <c r="E649" s="18"/>
    </row>
    <row r="650" spans="1:5" ht="14.25" customHeight="1" x14ac:dyDescent="0.3">
      <c r="A650" s="18"/>
      <c r="E650" s="18"/>
    </row>
    <row r="651" spans="1:5" ht="14.25" customHeight="1" x14ac:dyDescent="0.3">
      <c r="A651" s="18"/>
      <c r="E651" s="18"/>
    </row>
    <row r="652" spans="1:5" ht="14.25" customHeight="1" x14ac:dyDescent="0.3">
      <c r="A652" s="18"/>
      <c r="E652" s="18"/>
    </row>
    <row r="653" spans="1:5" ht="14.25" customHeight="1" x14ac:dyDescent="0.3">
      <c r="A653" s="18"/>
      <c r="E653" s="18"/>
    </row>
    <row r="654" spans="1:5" ht="14.25" customHeight="1" x14ac:dyDescent="0.3">
      <c r="A654" s="18"/>
      <c r="E654" s="18"/>
    </row>
    <row r="655" spans="1:5" ht="14.25" customHeight="1" x14ac:dyDescent="0.3">
      <c r="A655" s="18"/>
      <c r="E655" s="18"/>
    </row>
    <row r="656" spans="1:5" ht="14.25" customHeight="1" x14ac:dyDescent="0.3">
      <c r="A656" s="18"/>
      <c r="E656" s="18"/>
    </row>
    <row r="657" spans="1:5" ht="14.25" customHeight="1" x14ac:dyDescent="0.3">
      <c r="A657" s="18"/>
      <c r="E657" s="18"/>
    </row>
    <row r="658" spans="1:5" ht="14.25" customHeight="1" x14ac:dyDescent="0.3">
      <c r="A658" s="18"/>
      <c r="E658" s="18"/>
    </row>
    <row r="659" spans="1:5" ht="14.25" customHeight="1" x14ac:dyDescent="0.3">
      <c r="A659" s="18"/>
      <c r="E659" s="18"/>
    </row>
    <row r="660" spans="1:5" ht="14.25" customHeight="1" x14ac:dyDescent="0.3">
      <c r="A660" s="18"/>
      <c r="E660" s="18"/>
    </row>
    <row r="661" spans="1:5" ht="14.25" customHeight="1" x14ac:dyDescent="0.3">
      <c r="A661" s="18"/>
      <c r="E661" s="18"/>
    </row>
    <row r="662" spans="1:5" ht="14.25" customHeight="1" x14ac:dyDescent="0.3">
      <c r="A662" s="18"/>
      <c r="E662" s="18"/>
    </row>
    <row r="663" spans="1:5" ht="14.25" customHeight="1" x14ac:dyDescent="0.3">
      <c r="A663" s="18"/>
      <c r="E663" s="18"/>
    </row>
    <row r="664" spans="1:5" ht="14.25" customHeight="1" x14ac:dyDescent="0.3">
      <c r="A664" s="18"/>
      <c r="E664" s="18"/>
    </row>
    <row r="665" spans="1:5" ht="14.25" customHeight="1" x14ac:dyDescent="0.3">
      <c r="A665" s="18"/>
      <c r="E665" s="18"/>
    </row>
    <row r="666" spans="1:5" ht="14.25" customHeight="1" x14ac:dyDescent="0.3">
      <c r="A666" s="18"/>
      <c r="E666" s="18"/>
    </row>
    <row r="667" spans="1:5" ht="14.25" customHeight="1" x14ac:dyDescent="0.3">
      <c r="A667" s="18"/>
      <c r="E667" s="18"/>
    </row>
    <row r="668" spans="1:5" ht="14.25" customHeight="1" x14ac:dyDescent="0.3">
      <c r="A668" s="18"/>
      <c r="E668" s="18"/>
    </row>
    <row r="669" spans="1:5" ht="14.25" customHeight="1" x14ac:dyDescent="0.3">
      <c r="A669" s="18"/>
      <c r="E669" s="18"/>
    </row>
    <row r="670" spans="1:5" ht="14.25" customHeight="1" x14ac:dyDescent="0.3">
      <c r="A670" s="18"/>
      <c r="E670" s="18"/>
    </row>
    <row r="671" spans="1:5" ht="14.25" customHeight="1" x14ac:dyDescent="0.3">
      <c r="A671" s="18"/>
      <c r="E671" s="18"/>
    </row>
    <row r="672" spans="1:5" ht="14.25" customHeight="1" x14ac:dyDescent="0.3">
      <c r="A672" s="18"/>
      <c r="E672" s="18"/>
    </row>
    <row r="673" spans="1:5" ht="14.25" customHeight="1" x14ac:dyDescent="0.3">
      <c r="A673" s="18"/>
      <c r="E673" s="18"/>
    </row>
    <row r="674" spans="1:5" ht="14.25" customHeight="1" x14ac:dyDescent="0.3">
      <c r="A674" s="18"/>
      <c r="E674" s="18"/>
    </row>
    <row r="675" spans="1:5" ht="14.25" customHeight="1" x14ac:dyDescent="0.3">
      <c r="A675" s="18"/>
      <c r="E675" s="18"/>
    </row>
    <row r="676" spans="1:5" ht="14.25" customHeight="1" x14ac:dyDescent="0.3">
      <c r="A676" s="18"/>
      <c r="E676" s="18"/>
    </row>
    <row r="677" spans="1:5" ht="14.25" customHeight="1" x14ac:dyDescent="0.3">
      <c r="A677" s="18"/>
      <c r="E677" s="18"/>
    </row>
    <row r="678" spans="1:5" ht="14.25" customHeight="1" x14ac:dyDescent="0.3">
      <c r="A678" s="18"/>
      <c r="E678" s="18"/>
    </row>
    <row r="679" spans="1:5" ht="14.25" customHeight="1" x14ac:dyDescent="0.3">
      <c r="A679" s="18"/>
      <c r="E679" s="18"/>
    </row>
    <row r="680" spans="1:5" ht="14.25" customHeight="1" x14ac:dyDescent="0.3">
      <c r="A680" s="18"/>
      <c r="E680" s="18"/>
    </row>
    <row r="681" spans="1:5" ht="14.25" customHeight="1" x14ac:dyDescent="0.3">
      <c r="A681" s="18"/>
      <c r="E681" s="18"/>
    </row>
    <row r="682" spans="1:5" ht="14.25" customHeight="1" x14ac:dyDescent="0.3">
      <c r="A682" s="18"/>
      <c r="E682" s="18"/>
    </row>
    <row r="683" spans="1:5" ht="14.25" customHeight="1" x14ac:dyDescent="0.3">
      <c r="A683" s="18"/>
      <c r="E683" s="18"/>
    </row>
    <row r="684" spans="1:5" ht="14.25" customHeight="1" x14ac:dyDescent="0.3">
      <c r="A684" s="18"/>
      <c r="E684" s="18"/>
    </row>
    <row r="685" spans="1:5" ht="14.25" customHeight="1" x14ac:dyDescent="0.3">
      <c r="A685" s="18"/>
      <c r="E685" s="18"/>
    </row>
    <row r="686" spans="1:5" ht="14.25" customHeight="1" x14ac:dyDescent="0.3">
      <c r="A686" s="18"/>
      <c r="E686" s="18"/>
    </row>
    <row r="687" spans="1:5" ht="14.25" customHeight="1" x14ac:dyDescent="0.3">
      <c r="A687" s="18"/>
      <c r="E687" s="18"/>
    </row>
    <row r="688" spans="1:5" ht="14.25" customHeight="1" x14ac:dyDescent="0.3">
      <c r="A688" s="18"/>
      <c r="E688" s="18"/>
    </row>
    <row r="689" spans="1:5" ht="14.25" customHeight="1" x14ac:dyDescent="0.3">
      <c r="A689" s="18"/>
      <c r="E689" s="18"/>
    </row>
    <row r="690" spans="1:5" ht="14.25" customHeight="1" x14ac:dyDescent="0.3">
      <c r="A690" s="18"/>
      <c r="E690" s="18"/>
    </row>
    <row r="691" spans="1:5" ht="14.25" customHeight="1" x14ac:dyDescent="0.3">
      <c r="A691" s="18"/>
      <c r="E691" s="18"/>
    </row>
    <row r="692" spans="1:5" ht="14.25" customHeight="1" x14ac:dyDescent="0.3">
      <c r="A692" s="18"/>
      <c r="E692" s="18"/>
    </row>
    <row r="693" spans="1:5" ht="14.25" customHeight="1" x14ac:dyDescent="0.3">
      <c r="A693" s="18"/>
      <c r="E693" s="18"/>
    </row>
    <row r="694" spans="1:5" ht="14.25" customHeight="1" x14ac:dyDescent="0.3">
      <c r="A694" s="18"/>
      <c r="E694" s="18"/>
    </row>
    <row r="695" spans="1:5" ht="14.25" customHeight="1" x14ac:dyDescent="0.3">
      <c r="A695" s="18"/>
      <c r="E695" s="18"/>
    </row>
    <row r="696" spans="1:5" ht="14.25" customHeight="1" x14ac:dyDescent="0.3">
      <c r="A696" s="18"/>
      <c r="E696" s="18"/>
    </row>
    <row r="697" spans="1:5" ht="14.25" customHeight="1" x14ac:dyDescent="0.3">
      <c r="A697" s="18"/>
      <c r="E697" s="18"/>
    </row>
    <row r="698" spans="1:5" ht="14.25" customHeight="1" x14ac:dyDescent="0.3">
      <c r="A698" s="18"/>
      <c r="E698" s="18"/>
    </row>
    <row r="699" spans="1:5" ht="14.25" customHeight="1" x14ac:dyDescent="0.3">
      <c r="A699" s="18"/>
      <c r="E699" s="18"/>
    </row>
    <row r="700" spans="1:5" ht="14.25" customHeight="1" x14ac:dyDescent="0.3">
      <c r="A700" s="18"/>
      <c r="E700" s="18"/>
    </row>
    <row r="701" spans="1:5" ht="14.25" customHeight="1" x14ac:dyDescent="0.3">
      <c r="A701" s="18"/>
      <c r="E701" s="18"/>
    </row>
    <row r="702" spans="1:5" ht="14.25" customHeight="1" x14ac:dyDescent="0.3">
      <c r="A702" s="18"/>
      <c r="E702" s="18"/>
    </row>
    <row r="703" spans="1:5" ht="14.25" customHeight="1" x14ac:dyDescent="0.3">
      <c r="A703" s="18"/>
      <c r="E703" s="18"/>
    </row>
    <row r="704" spans="1:5" ht="14.25" customHeight="1" x14ac:dyDescent="0.3">
      <c r="A704" s="18"/>
      <c r="E704" s="18"/>
    </row>
    <row r="705" spans="1:5" ht="14.25" customHeight="1" x14ac:dyDescent="0.3">
      <c r="A705" s="18"/>
      <c r="E705" s="18"/>
    </row>
    <row r="706" spans="1:5" ht="14.25" customHeight="1" x14ac:dyDescent="0.3">
      <c r="A706" s="18"/>
      <c r="E706" s="18"/>
    </row>
    <row r="707" spans="1:5" ht="14.25" customHeight="1" x14ac:dyDescent="0.3">
      <c r="A707" s="18"/>
      <c r="E707" s="18"/>
    </row>
    <row r="708" spans="1:5" ht="14.25" customHeight="1" x14ac:dyDescent="0.3">
      <c r="A708" s="18"/>
      <c r="E708" s="18"/>
    </row>
    <row r="709" spans="1:5" ht="14.25" customHeight="1" x14ac:dyDescent="0.3">
      <c r="A709" s="18"/>
      <c r="E709" s="18"/>
    </row>
    <row r="710" spans="1:5" ht="14.25" customHeight="1" x14ac:dyDescent="0.3">
      <c r="A710" s="18"/>
      <c r="E710" s="18"/>
    </row>
    <row r="711" spans="1:5" ht="14.25" customHeight="1" x14ac:dyDescent="0.3">
      <c r="A711" s="18"/>
      <c r="E711" s="18"/>
    </row>
    <row r="712" spans="1:5" ht="14.25" customHeight="1" x14ac:dyDescent="0.3">
      <c r="A712" s="18"/>
      <c r="E712" s="18"/>
    </row>
    <row r="713" spans="1:5" ht="14.25" customHeight="1" x14ac:dyDescent="0.3">
      <c r="A713" s="18"/>
      <c r="E713" s="18"/>
    </row>
    <row r="714" spans="1:5" ht="14.25" customHeight="1" x14ac:dyDescent="0.3">
      <c r="A714" s="18"/>
      <c r="E714" s="18"/>
    </row>
    <row r="715" spans="1:5" ht="14.25" customHeight="1" x14ac:dyDescent="0.3">
      <c r="A715" s="18"/>
      <c r="E715" s="18"/>
    </row>
    <row r="716" spans="1:5" ht="14.25" customHeight="1" x14ac:dyDescent="0.3">
      <c r="A716" s="18"/>
      <c r="E716" s="18"/>
    </row>
    <row r="717" spans="1:5" ht="14.25" customHeight="1" x14ac:dyDescent="0.3">
      <c r="A717" s="18"/>
      <c r="E717" s="18"/>
    </row>
    <row r="718" spans="1:5" ht="14.25" customHeight="1" x14ac:dyDescent="0.3">
      <c r="A718" s="18"/>
      <c r="E718" s="18"/>
    </row>
    <row r="719" spans="1:5" ht="14.25" customHeight="1" x14ac:dyDescent="0.3">
      <c r="A719" s="18"/>
      <c r="E719" s="18"/>
    </row>
    <row r="720" spans="1:5" ht="14.25" customHeight="1" x14ac:dyDescent="0.3">
      <c r="A720" s="18"/>
      <c r="E720" s="18"/>
    </row>
    <row r="721" spans="1:5" ht="14.25" customHeight="1" x14ac:dyDescent="0.3">
      <c r="A721" s="18"/>
      <c r="E721" s="18"/>
    </row>
    <row r="722" spans="1:5" ht="14.25" customHeight="1" x14ac:dyDescent="0.3">
      <c r="A722" s="18"/>
      <c r="E722" s="18"/>
    </row>
    <row r="723" spans="1:5" ht="14.25" customHeight="1" x14ac:dyDescent="0.3">
      <c r="A723" s="18"/>
      <c r="E723" s="18"/>
    </row>
    <row r="724" spans="1:5" ht="14.25" customHeight="1" x14ac:dyDescent="0.3">
      <c r="A724" s="18"/>
      <c r="E724" s="18"/>
    </row>
    <row r="725" spans="1:5" ht="14.25" customHeight="1" x14ac:dyDescent="0.3">
      <c r="A725" s="18"/>
      <c r="E725" s="18"/>
    </row>
    <row r="726" spans="1:5" ht="14.25" customHeight="1" x14ac:dyDescent="0.3">
      <c r="A726" s="18"/>
      <c r="E726" s="18"/>
    </row>
    <row r="727" spans="1:5" ht="14.25" customHeight="1" x14ac:dyDescent="0.3">
      <c r="A727" s="18"/>
      <c r="E727" s="18"/>
    </row>
    <row r="728" spans="1:5" ht="14.25" customHeight="1" x14ac:dyDescent="0.3">
      <c r="A728" s="18"/>
      <c r="E728" s="18"/>
    </row>
    <row r="729" spans="1:5" ht="14.25" customHeight="1" x14ac:dyDescent="0.3">
      <c r="A729" s="18"/>
      <c r="E729" s="18"/>
    </row>
    <row r="730" spans="1:5" ht="14.25" customHeight="1" x14ac:dyDescent="0.3">
      <c r="A730" s="18"/>
      <c r="E730" s="18"/>
    </row>
    <row r="731" spans="1:5" ht="14.25" customHeight="1" x14ac:dyDescent="0.3">
      <c r="A731" s="18"/>
      <c r="E731" s="18"/>
    </row>
    <row r="732" spans="1:5" ht="14.25" customHeight="1" x14ac:dyDescent="0.3">
      <c r="A732" s="18"/>
      <c r="E732" s="18"/>
    </row>
    <row r="733" spans="1:5" ht="14.25" customHeight="1" x14ac:dyDescent="0.3">
      <c r="A733" s="18"/>
      <c r="E733" s="18"/>
    </row>
    <row r="734" spans="1:5" ht="14.25" customHeight="1" x14ac:dyDescent="0.3">
      <c r="A734" s="18"/>
      <c r="E734" s="18"/>
    </row>
    <row r="735" spans="1:5" ht="14.25" customHeight="1" x14ac:dyDescent="0.3">
      <c r="A735" s="18"/>
      <c r="E735" s="18"/>
    </row>
    <row r="736" spans="1:5" ht="14.25" customHeight="1" x14ac:dyDescent="0.3">
      <c r="A736" s="18"/>
      <c r="E736" s="18"/>
    </row>
    <row r="737" spans="1:5" ht="14.25" customHeight="1" x14ac:dyDescent="0.3">
      <c r="A737" s="18"/>
      <c r="E737" s="18"/>
    </row>
    <row r="738" spans="1:5" ht="14.25" customHeight="1" x14ac:dyDescent="0.3">
      <c r="A738" s="18"/>
      <c r="E738" s="18"/>
    </row>
    <row r="739" spans="1:5" ht="14.25" customHeight="1" x14ac:dyDescent="0.3">
      <c r="A739" s="18"/>
      <c r="E739" s="18"/>
    </row>
    <row r="740" spans="1:5" ht="14.25" customHeight="1" x14ac:dyDescent="0.3">
      <c r="A740" s="18"/>
      <c r="E740" s="18"/>
    </row>
    <row r="741" spans="1:5" ht="14.25" customHeight="1" x14ac:dyDescent="0.3">
      <c r="A741" s="18"/>
      <c r="E741" s="18"/>
    </row>
    <row r="742" spans="1:5" ht="14.25" customHeight="1" x14ac:dyDescent="0.3">
      <c r="A742" s="18"/>
      <c r="E742" s="18"/>
    </row>
    <row r="743" spans="1:5" ht="14.25" customHeight="1" x14ac:dyDescent="0.3">
      <c r="A743" s="18"/>
      <c r="E743" s="18"/>
    </row>
    <row r="744" spans="1:5" ht="14.25" customHeight="1" x14ac:dyDescent="0.3">
      <c r="A744" s="18"/>
      <c r="E744" s="18"/>
    </row>
    <row r="745" spans="1:5" ht="14.25" customHeight="1" x14ac:dyDescent="0.3">
      <c r="A745" s="18"/>
      <c r="E745" s="18"/>
    </row>
    <row r="746" spans="1:5" ht="14.25" customHeight="1" x14ac:dyDescent="0.3">
      <c r="A746" s="18"/>
      <c r="E746" s="18"/>
    </row>
    <row r="747" spans="1:5" ht="14.25" customHeight="1" x14ac:dyDescent="0.3">
      <c r="A747" s="18"/>
      <c r="E747" s="18"/>
    </row>
    <row r="748" spans="1:5" ht="14.25" customHeight="1" x14ac:dyDescent="0.3">
      <c r="A748" s="18"/>
      <c r="E748" s="18"/>
    </row>
    <row r="749" spans="1:5" ht="14.25" customHeight="1" x14ac:dyDescent="0.3">
      <c r="A749" s="18"/>
      <c r="E749" s="18"/>
    </row>
    <row r="750" spans="1:5" ht="14.25" customHeight="1" x14ac:dyDescent="0.3">
      <c r="A750" s="18"/>
      <c r="E750" s="18"/>
    </row>
    <row r="751" spans="1:5" ht="14.25" customHeight="1" x14ac:dyDescent="0.3">
      <c r="A751" s="18"/>
      <c r="E751" s="18"/>
    </row>
    <row r="752" spans="1:5" ht="14.25" customHeight="1" x14ac:dyDescent="0.3">
      <c r="A752" s="18"/>
      <c r="E752" s="18"/>
    </row>
    <row r="753" spans="1:5" ht="14.25" customHeight="1" x14ac:dyDescent="0.3">
      <c r="A753" s="18"/>
      <c r="E753" s="18"/>
    </row>
    <row r="754" spans="1:5" ht="14.25" customHeight="1" x14ac:dyDescent="0.3">
      <c r="A754" s="18"/>
      <c r="E754" s="18"/>
    </row>
    <row r="755" spans="1:5" ht="14.25" customHeight="1" x14ac:dyDescent="0.3">
      <c r="A755" s="18"/>
      <c r="E755" s="18"/>
    </row>
    <row r="756" spans="1:5" ht="14.25" customHeight="1" x14ac:dyDescent="0.3">
      <c r="A756" s="18"/>
      <c r="E756" s="18"/>
    </row>
    <row r="757" spans="1:5" ht="14.25" customHeight="1" x14ac:dyDescent="0.3">
      <c r="A757" s="18"/>
      <c r="E757" s="18"/>
    </row>
    <row r="758" spans="1:5" ht="14.25" customHeight="1" x14ac:dyDescent="0.3">
      <c r="A758" s="18"/>
      <c r="E758" s="18"/>
    </row>
    <row r="759" spans="1:5" ht="14.25" customHeight="1" x14ac:dyDescent="0.3">
      <c r="A759" s="18"/>
      <c r="E759" s="18"/>
    </row>
    <row r="760" spans="1:5" ht="14.25" customHeight="1" x14ac:dyDescent="0.3">
      <c r="A760" s="18"/>
      <c r="E760" s="18"/>
    </row>
    <row r="761" spans="1:5" ht="14.25" customHeight="1" x14ac:dyDescent="0.3">
      <c r="A761" s="18"/>
      <c r="E761" s="18"/>
    </row>
    <row r="762" spans="1:5" ht="14.25" customHeight="1" x14ac:dyDescent="0.3">
      <c r="A762" s="18"/>
      <c r="E762" s="18"/>
    </row>
    <row r="763" spans="1:5" ht="14.25" customHeight="1" x14ac:dyDescent="0.3">
      <c r="A763" s="18"/>
      <c r="E763" s="18"/>
    </row>
    <row r="764" spans="1:5" ht="14.25" customHeight="1" x14ac:dyDescent="0.3">
      <c r="A764" s="18"/>
      <c r="E764" s="18"/>
    </row>
    <row r="765" spans="1:5" ht="14.25" customHeight="1" x14ac:dyDescent="0.3">
      <c r="A765" s="18"/>
      <c r="E765" s="18"/>
    </row>
    <row r="766" spans="1:5" ht="14.25" customHeight="1" x14ac:dyDescent="0.3">
      <c r="A766" s="18"/>
      <c r="E766" s="18"/>
    </row>
    <row r="767" spans="1:5" ht="14.25" customHeight="1" x14ac:dyDescent="0.3">
      <c r="A767" s="18"/>
      <c r="E767" s="18"/>
    </row>
    <row r="768" spans="1:5" ht="14.25" customHeight="1" x14ac:dyDescent="0.3">
      <c r="A768" s="18"/>
      <c r="E768" s="18"/>
    </row>
    <row r="769" spans="1:5" ht="14.25" customHeight="1" x14ac:dyDescent="0.3">
      <c r="A769" s="18"/>
      <c r="E769" s="18"/>
    </row>
    <row r="770" spans="1:5" ht="14.25" customHeight="1" x14ac:dyDescent="0.3">
      <c r="A770" s="18"/>
      <c r="E770" s="18"/>
    </row>
    <row r="771" spans="1:5" ht="14.25" customHeight="1" x14ac:dyDescent="0.3">
      <c r="A771" s="18"/>
      <c r="E771" s="18"/>
    </row>
    <row r="772" spans="1:5" ht="14.25" customHeight="1" x14ac:dyDescent="0.3">
      <c r="A772" s="18"/>
      <c r="E772" s="18"/>
    </row>
    <row r="773" spans="1:5" ht="14.25" customHeight="1" x14ac:dyDescent="0.3">
      <c r="A773" s="18"/>
      <c r="E773" s="18"/>
    </row>
    <row r="774" spans="1:5" ht="14.25" customHeight="1" x14ac:dyDescent="0.3">
      <c r="A774" s="18"/>
      <c r="E774" s="18"/>
    </row>
    <row r="775" spans="1:5" ht="14.25" customHeight="1" x14ac:dyDescent="0.3">
      <c r="A775" s="18"/>
      <c r="E775" s="18"/>
    </row>
    <row r="776" spans="1:5" ht="14.25" customHeight="1" x14ac:dyDescent="0.3">
      <c r="A776" s="18"/>
      <c r="E776" s="18"/>
    </row>
    <row r="777" spans="1:5" ht="14.25" customHeight="1" x14ac:dyDescent="0.3">
      <c r="A777" s="18"/>
      <c r="E777" s="18"/>
    </row>
    <row r="778" spans="1:5" ht="14.25" customHeight="1" x14ac:dyDescent="0.3">
      <c r="A778" s="18"/>
      <c r="E778" s="18"/>
    </row>
    <row r="779" spans="1:5" ht="14.25" customHeight="1" x14ac:dyDescent="0.3">
      <c r="A779" s="18"/>
      <c r="E779" s="18"/>
    </row>
    <row r="780" spans="1:5" ht="14.25" customHeight="1" x14ac:dyDescent="0.3">
      <c r="A780" s="18"/>
      <c r="E780" s="18"/>
    </row>
    <row r="781" spans="1:5" ht="14.25" customHeight="1" x14ac:dyDescent="0.3">
      <c r="A781" s="18"/>
      <c r="E781" s="18"/>
    </row>
    <row r="782" spans="1:5" ht="14.25" customHeight="1" x14ac:dyDescent="0.3">
      <c r="A782" s="18"/>
      <c r="E782" s="18"/>
    </row>
    <row r="783" spans="1:5" ht="14.25" customHeight="1" x14ac:dyDescent="0.3">
      <c r="A783" s="18"/>
      <c r="E783" s="18"/>
    </row>
    <row r="784" spans="1:5" ht="14.25" customHeight="1" x14ac:dyDescent="0.3">
      <c r="A784" s="18"/>
      <c r="E784" s="18"/>
    </row>
    <row r="785" spans="1:5" ht="14.25" customHeight="1" x14ac:dyDescent="0.3">
      <c r="A785" s="18"/>
      <c r="E785" s="18"/>
    </row>
    <row r="786" spans="1:5" ht="14.25" customHeight="1" x14ac:dyDescent="0.3">
      <c r="A786" s="18"/>
      <c r="E786" s="18"/>
    </row>
    <row r="787" spans="1:5" ht="14.25" customHeight="1" x14ac:dyDescent="0.3">
      <c r="A787" s="18"/>
      <c r="E787" s="18"/>
    </row>
    <row r="788" spans="1:5" ht="14.25" customHeight="1" x14ac:dyDescent="0.3">
      <c r="A788" s="18"/>
      <c r="E788" s="18"/>
    </row>
    <row r="789" spans="1:5" ht="14.25" customHeight="1" x14ac:dyDescent="0.3">
      <c r="A789" s="18"/>
      <c r="E789" s="18"/>
    </row>
    <row r="790" spans="1:5" ht="14.25" customHeight="1" x14ac:dyDescent="0.3">
      <c r="A790" s="18"/>
      <c r="E790" s="18"/>
    </row>
    <row r="791" spans="1:5" ht="14.25" customHeight="1" x14ac:dyDescent="0.3">
      <c r="A791" s="18"/>
      <c r="E791" s="18"/>
    </row>
    <row r="792" spans="1:5" ht="14.25" customHeight="1" x14ac:dyDescent="0.3">
      <c r="A792" s="18"/>
      <c r="E792" s="18"/>
    </row>
    <row r="793" spans="1:5" ht="14.25" customHeight="1" x14ac:dyDescent="0.3">
      <c r="A793" s="18"/>
      <c r="E793" s="18"/>
    </row>
    <row r="794" spans="1:5" ht="14.25" customHeight="1" x14ac:dyDescent="0.3">
      <c r="A794" s="18"/>
      <c r="E794" s="18"/>
    </row>
    <row r="795" spans="1:5" ht="14.25" customHeight="1" x14ac:dyDescent="0.3">
      <c r="A795" s="18"/>
      <c r="E795" s="18"/>
    </row>
    <row r="796" spans="1:5" ht="14.25" customHeight="1" x14ac:dyDescent="0.3">
      <c r="A796" s="18"/>
      <c r="E796" s="18"/>
    </row>
    <row r="797" spans="1:5" ht="14.25" customHeight="1" x14ac:dyDescent="0.3">
      <c r="A797" s="18"/>
      <c r="E797" s="18"/>
    </row>
    <row r="798" spans="1:5" ht="14.25" customHeight="1" x14ac:dyDescent="0.3">
      <c r="A798" s="18"/>
      <c r="E798" s="18"/>
    </row>
    <row r="799" spans="1:5" ht="14.25" customHeight="1" x14ac:dyDescent="0.3">
      <c r="A799" s="18"/>
      <c r="E799" s="18"/>
    </row>
    <row r="800" spans="1:5" ht="14.25" customHeight="1" x14ac:dyDescent="0.3">
      <c r="A800" s="18"/>
      <c r="E800" s="18"/>
    </row>
    <row r="801" spans="1:5" ht="14.25" customHeight="1" x14ac:dyDescent="0.3">
      <c r="A801" s="18"/>
      <c r="E801" s="18"/>
    </row>
    <row r="802" spans="1:5" ht="14.25" customHeight="1" x14ac:dyDescent="0.3">
      <c r="A802" s="18"/>
      <c r="E802" s="18"/>
    </row>
    <row r="803" spans="1:5" ht="14.25" customHeight="1" x14ac:dyDescent="0.3">
      <c r="A803" s="18"/>
      <c r="E803" s="18"/>
    </row>
    <row r="804" spans="1:5" ht="14.25" customHeight="1" x14ac:dyDescent="0.3">
      <c r="A804" s="18"/>
      <c r="E804" s="18"/>
    </row>
    <row r="805" spans="1:5" ht="14.25" customHeight="1" x14ac:dyDescent="0.3">
      <c r="A805" s="18"/>
      <c r="E805" s="18"/>
    </row>
    <row r="806" spans="1:5" ht="14.25" customHeight="1" x14ac:dyDescent="0.3">
      <c r="A806" s="18"/>
      <c r="E806" s="18"/>
    </row>
    <row r="807" spans="1:5" ht="14.25" customHeight="1" x14ac:dyDescent="0.3">
      <c r="A807" s="18"/>
      <c r="E807" s="18"/>
    </row>
    <row r="808" spans="1:5" ht="14.25" customHeight="1" x14ac:dyDescent="0.3">
      <c r="A808" s="18"/>
      <c r="E808" s="18"/>
    </row>
    <row r="809" spans="1:5" ht="14.25" customHeight="1" x14ac:dyDescent="0.3">
      <c r="A809" s="18"/>
      <c r="E809" s="18"/>
    </row>
    <row r="810" spans="1:5" ht="14.25" customHeight="1" x14ac:dyDescent="0.3">
      <c r="A810" s="18"/>
      <c r="E810" s="18"/>
    </row>
    <row r="811" spans="1:5" ht="14.25" customHeight="1" x14ac:dyDescent="0.3">
      <c r="A811" s="18"/>
      <c r="E811" s="18"/>
    </row>
    <row r="812" spans="1:5" ht="14.25" customHeight="1" x14ac:dyDescent="0.3">
      <c r="A812" s="18"/>
      <c r="E812" s="18"/>
    </row>
    <row r="813" spans="1:5" ht="14.25" customHeight="1" x14ac:dyDescent="0.3">
      <c r="A813" s="18"/>
      <c r="E813" s="18"/>
    </row>
    <row r="814" spans="1:5" ht="14.25" customHeight="1" x14ac:dyDescent="0.3">
      <c r="A814" s="18"/>
      <c r="E814" s="18"/>
    </row>
    <row r="815" spans="1:5" ht="14.25" customHeight="1" x14ac:dyDescent="0.3">
      <c r="A815" s="18"/>
      <c r="E815" s="18"/>
    </row>
    <row r="816" spans="1:5" ht="14.25" customHeight="1" x14ac:dyDescent="0.3">
      <c r="A816" s="18"/>
      <c r="E816" s="18"/>
    </row>
    <row r="817" spans="1:5" ht="14.25" customHeight="1" x14ac:dyDescent="0.3">
      <c r="A817" s="18"/>
      <c r="E817" s="18"/>
    </row>
    <row r="818" spans="1:5" ht="14.25" customHeight="1" x14ac:dyDescent="0.3">
      <c r="A818" s="18"/>
      <c r="E818" s="18"/>
    </row>
    <row r="819" spans="1:5" ht="14.25" customHeight="1" x14ac:dyDescent="0.3">
      <c r="A819" s="18"/>
      <c r="E819" s="18"/>
    </row>
    <row r="820" spans="1:5" ht="14.25" customHeight="1" x14ac:dyDescent="0.3">
      <c r="A820" s="18"/>
      <c r="E820" s="18"/>
    </row>
    <row r="821" spans="1:5" ht="14.25" customHeight="1" x14ac:dyDescent="0.3">
      <c r="A821" s="18"/>
      <c r="E821" s="18"/>
    </row>
    <row r="822" spans="1:5" ht="14.25" customHeight="1" x14ac:dyDescent="0.3">
      <c r="A822" s="18"/>
      <c r="E822" s="18"/>
    </row>
    <row r="823" spans="1:5" ht="14.25" customHeight="1" x14ac:dyDescent="0.3">
      <c r="A823" s="18"/>
      <c r="E823" s="18"/>
    </row>
    <row r="824" spans="1:5" ht="14.25" customHeight="1" x14ac:dyDescent="0.3">
      <c r="A824" s="18"/>
      <c r="E824" s="18"/>
    </row>
    <row r="825" spans="1:5" ht="14.25" customHeight="1" x14ac:dyDescent="0.3">
      <c r="A825" s="18"/>
      <c r="E825" s="18"/>
    </row>
    <row r="826" spans="1:5" ht="14.25" customHeight="1" x14ac:dyDescent="0.3">
      <c r="A826" s="18"/>
      <c r="E826" s="18"/>
    </row>
    <row r="827" spans="1:5" ht="14.25" customHeight="1" x14ac:dyDescent="0.3">
      <c r="A827" s="18"/>
      <c r="E827" s="18"/>
    </row>
    <row r="828" spans="1:5" ht="14.25" customHeight="1" x14ac:dyDescent="0.3">
      <c r="A828" s="18"/>
      <c r="E828" s="18"/>
    </row>
    <row r="829" spans="1:5" ht="14.25" customHeight="1" x14ac:dyDescent="0.3">
      <c r="A829" s="18"/>
      <c r="E829" s="18"/>
    </row>
    <row r="830" spans="1:5" ht="14.25" customHeight="1" x14ac:dyDescent="0.3">
      <c r="A830" s="18"/>
      <c r="E830" s="18"/>
    </row>
    <row r="831" spans="1:5" ht="14.25" customHeight="1" x14ac:dyDescent="0.3">
      <c r="A831" s="18"/>
      <c r="E831" s="18"/>
    </row>
    <row r="832" spans="1:5" ht="14.25" customHeight="1" x14ac:dyDescent="0.3">
      <c r="A832" s="18"/>
      <c r="E832" s="18"/>
    </row>
    <row r="833" spans="1:5" ht="14.25" customHeight="1" x14ac:dyDescent="0.3">
      <c r="A833" s="18"/>
      <c r="E833" s="18"/>
    </row>
    <row r="834" spans="1:5" ht="14.25" customHeight="1" x14ac:dyDescent="0.3">
      <c r="A834" s="18"/>
      <c r="E834" s="18"/>
    </row>
    <row r="835" spans="1:5" ht="14.25" customHeight="1" x14ac:dyDescent="0.3">
      <c r="A835" s="18"/>
      <c r="E835" s="18"/>
    </row>
    <row r="836" spans="1:5" ht="14.25" customHeight="1" x14ac:dyDescent="0.3">
      <c r="A836" s="18"/>
      <c r="E836" s="18"/>
    </row>
    <row r="837" spans="1:5" ht="14.25" customHeight="1" x14ac:dyDescent="0.3">
      <c r="A837" s="18"/>
      <c r="E837" s="18"/>
    </row>
    <row r="838" spans="1:5" ht="14.25" customHeight="1" x14ac:dyDescent="0.3">
      <c r="A838" s="18"/>
      <c r="E838" s="18"/>
    </row>
    <row r="839" spans="1:5" ht="14.25" customHeight="1" x14ac:dyDescent="0.3">
      <c r="A839" s="18"/>
      <c r="E839" s="18"/>
    </row>
    <row r="840" spans="1:5" ht="14.25" customHeight="1" x14ac:dyDescent="0.3">
      <c r="A840" s="18"/>
      <c r="E840" s="18"/>
    </row>
    <row r="841" spans="1:5" ht="14.25" customHeight="1" x14ac:dyDescent="0.3">
      <c r="A841" s="18"/>
      <c r="E841" s="18"/>
    </row>
    <row r="842" spans="1:5" ht="14.25" customHeight="1" x14ac:dyDescent="0.3">
      <c r="A842" s="18"/>
      <c r="E842" s="18"/>
    </row>
    <row r="843" spans="1:5" ht="14.25" customHeight="1" x14ac:dyDescent="0.3">
      <c r="A843" s="18"/>
      <c r="E843" s="18"/>
    </row>
    <row r="844" spans="1:5" ht="14.25" customHeight="1" x14ac:dyDescent="0.3">
      <c r="A844" s="18"/>
      <c r="E844" s="18"/>
    </row>
    <row r="845" spans="1:5" ht="14.25" customHeight="1" x14ac:dyDescent="0.3">
      <c r="A845" s="18"/>
      <c r="E845" s="18"/>
    </row>
    <row r="846" spans="1:5" ht="14.25" customHeight="1" x14ac:dyDescent="0.3">
      <c r="A846" s="18"/>
      <c r="E846" s="18"/>
    </row>
    <row r="847" spans="1:5" ht="14.25" customHeight="1" x14ac:dyDescent="0.3">
      <c r="A847" s="18"/>
      <c r="E847" s="18"/>
    </row>
    <row r="848" spans="1:5" ht="14.25" customHeight="1" x14ac:dyDescent="0.3">
      <c r="A848" s="18"/>
      <c r="E848" s="18"/>
    </row>
    <row r="849" spans="1:5" ht="14.25" customHeight="1" x14ac:dyDescent="0.3">
      <c r="A849" s="18"/>
      <c r="E849" s="18"/>
    </row>
    <row r="850" spans="1:5" ht="14.25" customHeight="1" x14ac:dyDescent="0.3">
      <c r="A850" s="18"/>
      <c r="E850" s="18"/>
    </row>
    <row r="851" spans="1:5" ht="14.25" customHeight="1" x14ac:dyDescent="0.3">
      <c r="A851" s="18"/>
      <c r="E851" s="18"/>
    </row>
    <row r="852" spans="1:5" ht="14.25" customHeight="1" x14ac:dyDescent="0.3">
      <c r="A852" s="18"/>
      <c r="E852" s="18"/>
    </row>
    <row r="853" spans="1:5" ht="14.25" customHeight="1" x14ac:dyDescent="0.3">
      <c r="A853" s="18"/>
      <c r="E853" s="18"/>
    </row>
    <row r="854" spans="1:5" ht="14.25" customHeight="1" x14ac:dyDescent="0.3">
      <c r="A854" s="18"/>
      <c r="E854" s="18"/>
    </row>
    <row r="855" spans="1:5" ht="14.25" customHeight="1" x14ac:dyDescent="0.3">
      <c r="A855" s="18"/>
      <c r="E855" s="18"/>
    </row>
    <row r="856" spans="1:5" ht="14.25" customHeight="1" x14ac:dyDescent="0.3">
      <c r="A856" s="18"/>
      <c r="E856" s="18"/>
    </row>
    <row r="857" spans="1:5" ht="14.25" customHeight="1" x14ac:dyDescent="0.3">
      <c r="A857" s="18"/>
      <c r="E857" s="18"/>
    </row>
    <row r="858" spans="1:5" ht="14.25" customHeight="1" x14ac:dyDescent="0.3">
      <c r="A858" s="18"/>
      <c r="E858" s="18"/>
    </row>
    <row r="859" spans="1:5" ht="14.25" customHeight="1" x14ac:dyDescent="0.3">
      <c r="A859" s="18"/>
      <c r="E859" s="18"/>
    </row>
    <row r="860" spans="1:5" ht="14.25" customHeight="1" x14ac:dyDescent="0.3">
      <c r="A860" s="18"/>
      <c r="E860" s="18"/>
    </row>
    <row r="861" spans="1:5" ht="14.25" customHeight="1" x14ac:dyDescent="0.3">
      <c r="A861" s="18"/>
      <c r="E861" s="18"/>
    </row>
    <row r="862" spans="1:5" ht="14.25" customHeight="1" x14ac:dyDescent="0.3">
      <c r="A862" s="18"/>
      <c r="E862" s="18"/>
    </row>
    <row r="863" spans="1:5" ht="14.25" customHeight="1" x14ac:dyDescent="0.3">
      <c r="A863" s="18"/>
      <c r="E863" s="18"/>
    </row>
    <row r="864" spans="1:5" ht="14.25" customHeight="1" x14ac:dyDescent="0.3">
      <c r="A864" s="18"/>
      <c r="E864" s="18"/>
    </row>
    <row r="865" spans="1:5" ht="14.25" customHeight="1" x14ac:dyDescent="0.3">
      <c r="A865" s="18"/>
      <c r="E865" s="18"/>
    </row>
    <row r="866" spans="1:5" ht="14.25" customHeight="1" x14ac:dyDescent="0.3">
      <c r="A866" s="18"/>
      <c r="E866" s="18"/>
    </row>
    <row r="867" spans="1:5" ht="14.25" customHeight="1" x14ac:dyDescent="0.3">
      <c r="A867" s="18"/>
      <c r="E867" s="18"/>
    </row>
    <row r="868" spans="1:5" ht="14.25" customHeight="1" x14ac:dyDescent="0.3">
      <c r="A868" s="18"/>
      <c r="E868" s="18"/>
    </row>
    <row r="869" spans="1:5" ht="14.25" customHeight="1" x14ac:dyDescent="0.3">
      <c r="A869" s="18"/>
      <c r="E869" s="18"/>
    </row>
    <row r="870" spans="1:5" ht="14.25" customHeight="1" x14ac:dyDescent="0.3">
      <c r="A870" s="18"/>
      <c r="E870" s="18"/>
    </row>
    <row r="871" spans="1:5" ht="14.25" customHeight="1" x14ac:dyDescent="0.3">
      <c r="A871" s="18"/>
      <c r="E871" s="18"/>
    </row>
    <row r="872" spans="1:5" ht="14.25" customHeight="1" x14ac:dyDescent="0.3">
      <c r="A872" s="18"/>
      <c r="E872" s="18"/>
    </row>
    <row r="873" spans="1:5" ht="14.25" customHeight="1" x14ac:dyDescent="0.3">
      <c r="A873" s="18"/>
      <c r="E873" s="18"/>
    </row>
    <row r="874" spans="1:5" ht="14.25" customHeight="1" x14ac:dyDescent="0.3">
      <c r="A874" s="18"/>
      <c r="E874" s="18"/>
    </row>
    <row r="875" spans="1:5" ht="14.25" customHeight="1" x14ac:dyDescent="0.3">
      <c r="A875" s="18"/>
      <c r="E875" s="18"/>
    </row>
    <row r="876" spans="1:5" ht="14.25" customHeight="1" x14ac:dyDescent="0.3">
      <c r="A876" s="18"/>
      <c r="E876" s="18"/>
    </row>
    <row r="877" spans="1:5" ht="14.25" customHeight="1" x14ac:dyDescent="0.3">
      <c r="A877" s="18"/>
      <c r="E877" s="18"/>
    </row>
    <row r="878" spans="1:5" ht="14.25" customHeight="1" x14ac:dyDescent="0.3">
      <c r="A878" s="18"/>
      <c r="E878" s="18"/>
    </row>
    <row r="879" spans="1:5" ht="14.25" customHeight="1" x14ac:dyDescent="0.3">
      <c r="A879" s="18"/>
      <c r="E879" s="18"/>
    </row>
    <row r="880" spans="1:5" ht="14.25" customHeight="1" x14ac:dyDescent="0.3">
      <c r="A880" s="18"/>
      <c r="E880" s="18"/>
    </row>
    <row r="881" spans="1:5" ht="14.25" customHeight="1" x14ac:dyDescent="0.3">
      <c r="A881" s="18"/>
      <c r="E881" s="18"/>
    </row>
    <row r="882" spans="1:5" ht="14.25" customHeight="1" x14ac:dyDescent="0.3">
      <c r="A882" s="18"/>
      <c r="E882" s="18"/>
    </row>
    <row r="883" spans="1:5" ht="14.25" customHeight="1" x14ac:dyDescent="0.3">
      <c r="A883" s="18"/>
      <c r="E883" s="18"/>
    </row>
    <row r="884" spans="1:5" ht="14.25" customHeight="1" x14ac:dyDescent="0.3">
      <c r="A884" s="18"/>
      <c r="E884" s="18"/>
    </row>
    <row r="885" spans="1:5" ht="14.25" customHeight="1" x14ac:dyDescent="0.3">
      <c r="A885" s="18"/>
      <c r="E885" s="18"/>
    </row>
    <row r="886" spans="1:5" ht="14.25" customHeight="1" x14ac:dyDescent="0.3">
      <c r="A886" s="18"/>
      <c r="E886" s="18"/>
    </row>
    <row r="887" spans="1:5" ht="14.25" customHeight="1" x14ac:dyDescent="0.3">
      <c r="A887" s="18"/>
      <c r="E887" s="18"/>
    </row>
    <row r="888" spans="1:5" ht="14.25" customHeight="1" x14ac:dyDescent="0.3">
      <c r="A888" s="18"/>
      <c r="E888" s="18"/>
    </row>
    <row r="889" spans="1:5" ht="14.25" customHeight="1" x14ac:dyDescent="0.3">
      <c r="A889" s="18"/>
      <c r="E889" s="18"/>
    </row>
    <row r="890" spans="1:5" ht="14.25" customHeight="1" x14ac:dyDescent="0.3">
      <c r="A890" s="18"/>
      <c r="E890" s="18"/>
    </row>
    <row r="891" spans="1:5" ht="14.25" customHeight="1" x14ac:dyDescent="0.3">
      <c r="A891" s="18"/>
      <c r="E891" s="18"/>
    </row>
    <row r="892" spans="1:5" ht="14.25" customHeight="1" x14ac:dyDescent="0.3">
      <c r="A892" s="18"/>
      <c r="E892" s="18"/>
    </row>
    <row r="893" spans="1:5" ht="14.25" customHeight="1" x14ac:dyDescent="0.3">
      <c r="A893" s="18"/>
      <c r="E893" s="18"/>
    </row>
    <row r="894" spans="1:5" ht="14.25" customHeight="1" x14ac:dyDescent="0.3">
      <c r="A894" s="18"/>
      <c r="E894" s="18"/>
    </row>
    <row r="895" spans="1:5" ht="14.25" customHeight="1" x14ac:dyDescent="0.3">
      <c r="A895" s="18"/>
      <c r="E895" s="18"/>
    </row>
    <row r="896" spans="1:5" ht="14.25" customHeight="1" x14ac:dyDescent="0.3">
      <c r="A896" s="18"/>
      <c r="E896" s="18"/>
    </row>
    <row r="897" spans="1:5" ht="14.25" customHeight="1" x14ac:dyDescent="0.3">
      <c r="A897" s="18"/>
      <c r="E897" s="18"/>
    </row>
    <row r="898" spans="1:5" ht="14.25" customHeight="1" x14ac:dyDescent="0.3">
      <c r="A898" s="18"/>
      <c r="E898" s="18"/>
    </row>
    <row r="899" spans="1:5" ht="14.25" customHeight="1" x14ac:dyDescent="0.3">
      <c r="A899" s="18"/>
      <c r="E899" s="18"/>
    </row>
    <row r="900" spans="1:5" ht="14.25" customHeight="1" x14ac:dyDescent="0.3">
      <c r="A900" s="18"/>
      <c r="E900" s="18"/>
    </row>
    <row r="901" spans="1:5" ht="14.25" customHeight="1" x14ac:dyDescent="0.3">
      <c r="A901" s="18"/>
      <c r="E901" s="18"/>
    </row>
    <row r="902" spans="1:5" ht="14.25" customHeight="1" x14ac:dyDescent="0.3">
      <c r="A902" s="18"/>
      <c r="E902" s="18"/>
    </row>
    <row r="903" spans="1:5" ht="14.25" customHeight="1" x14ac:dyDescent="0.3">
      <c r="A903" s="18"/>
      <c r="E903" s="18"/>
    </row>
    <row r="904" spans="1:5" ht="14.25" customHeight="1" x14ac:dyDescent="0.3">
      <c r="A904" s="18"/>
      <c r="E904" s="18"/>
    </row>
    <row r="905" spans="1:5" ht="14.25" customHeight="1" x14ac:dyDescent="0.3">
      <c r="A905" s="18"/>
      <c r="E905" s="18"/>
    </row>
    <row r="906" spans="1:5" ht="14.25" customHeight="1" x14ac:dyDescent="0.3">
      <c r="A906" s="18"/>
      <c r="E906" s="18"/>
    </row>
    <row r="907" spans="1:5" ht="14.25" customHeight="1" x14ac:dyDescent="0.3">
      <c r="A907" s="18"/>
      <c r="E907" s="18"/>
    </row>
    <row r="908" spans="1:5" ht="14.25" customHeight="1" x14ac:dyDescent="0.3">
      <c r="A908" s="18"/>
      <c r="E908" s="18"/>
    </row>
    <row r="909" spans="1:5" ht="14.25" customHeight="1" x14ac:dyDescent="0.3">
      <c r="A909" s="18"/>
      <c r="E909" s="18"/>
    </row>
    <row r="910" spans="1:5" ht="14.25" customHeight="1" x14ac:dyDescent="0.3">
      <c r="A910" s="18"/>
      <c r="E910" s="18"/>
    </row>
    <row r="911" spans="1:5" ht="14.25" customHeight="1" x14ac:dyDescent="0.3">
      <c r="A911" s="18"/>
      <c r="E911" s="18"/>
    </row>
    <row r="912" spans="1:5" ht="14.25" customHeight="1" x14ac:dyDescent="0.3">
      <c r="A912" s="18"/>
      <c r="E912" s="18"/>
    </row>
    <row r="913" spans="1:5" ht="14.25" customHeight="1" x14ac:dyDescent="0.3">
      <c r="A913" s="18"/>
      <c r="E913" s="18"/>
    </row>
    <row r="914" spans="1:5" ht="14.25" customHeight="1" x14ac:dyDescent="0.3">
      <c r="A914" s="18"/>
      <c r="E914" s="18"/>
    </row>
    <row r="915" spans="1:5" ht="14.25" customHeight="1" x14ac:dyDescent="0.3">
      <c r="A915" s="18"/>
      <c r="E915" s="18"/>
    </row>
    <row r="916" spans="1:5" ht="14.25" customHeight="1" x14ac:dyDescent="0.3">
      <c r="A916" s="18"/>
      <c r="E916" s="18"/>
    </row>
    <row r="917" spans="1:5" ht="14.25" customHeight="1" x14ac:dyDescent="0.3">
      <c r="A917" s="18"/>
      <c r="E917" s="18"/>
    </row>
    <row r="918" spans="1:5" ht="14.25" customHeight="1" x14ac:dyDescent="0.3">
      <c r="A918" s="18"/>
      <c r="E918" s="18"/>
    </row>
    <row r="919" spans="1:5" ht="14.25" customHeight="1" x14ac:dyDescent="0.3">
      <c r="A919" s="18"/>
      <c r="E919" s="18"/>
    </row>
    <row r="920" spans="1:5" ht="14.25" customHeight="1" x14ac:dyDescent="0.3">
      <c r="A920" s="18"/>
      <c r="E920" s="18"/>
    </row>
    <row r="921" spans="1:5" ht="14.25" customHeight="1" x14ac:dyDescent="0.3">
      <c r="A921" s="18"/>
      <c r="E921" s="18"/>
    </row>
    <row r="922" spans="1:5" ht="14.25" customHeight="1" x14ac:dyDescent="0.3">
      <c r="A922" s="18"/>
      <c r="E922" s="18"/>
    </row>
    <row r="923" spans="1:5" ht="14.25" customHeight="1" x14ac:dyDescent="0.3">
      <c r="A923" s="18"/>
      <c r="E923" s="18"/>
    </row>
    <row r="924" spans="1:5" ht="14.25" customHeight="1" x14ac:dyDescent="0.3">
      <c r="A924" s="18"/>
      <c r="E924" s="18"/>
    </row>
    <row r="925" spans="1:5" ht="14.25" customHeight="1" x14ac:dyDescent="0.3">
      <c r="A925" s="18"/>
      <c r="E925" s="18"/>
    </row>
    <row r="926" spans="1:5" ht="14.25" customHeight="1" x14ac:dyDescent="0.3">
      <c r="A926" s="18"/>
      <c r="E926" s="18"/>
    </row>
    <row r="927" spans="1:5" ht="14.25" customHeight="1" x14ac:dyDescent="0.3">
      <c r="A927" s="18"/>
      <c r="E927" s="18"/>
    </row>
    <row r="928" spans="1:5" ht="14.25" customHeight="1" x14ac:dyDescent="0.3">
      <c r="A928" s="18"/>
      <c r="E928" s="18"/>
    </row>
    <row r="929" spans="1:5" ht="14.25" customHeight="1" x14ac:dyDescent="0.3">
      <c r="A929" s="18"/>
      <c r="E929" s="18"/>
    </row>
    <row r="930" spans="1:5" ht="14.25" customHeight="1" x14ac:dyDescent="0.3">
      <c r="A930" s="18"/>
      <c r="E930" s="18"/>
    </row>
    <row r="931" spans="1:5" ht="14.25" customHeight="1" x14ac:dyDescent="0.3">
      <c r="A931" s="18"/>
      <c r="E931" s="18"/>
    </row>
    <row r="932" spans="1:5" ht="14.25" customHeight="1" x14ac:dyDescent="0.3">
      <c r="A932" s="18"/>
      <c r="E932" s="18"/>
    </row>
    <row r="933" spans="1:5" ht="14.25" customHeight="1" x14ac:dyDescent="0.3">
      <c r="A933" s="18"/>
      <c r="E933" s="18"/>
    </row>
    <row r="934" spans="1:5" ht="14.25" customHeight="1" x14ac:dyDescent="0.3">
      <c r="A934" s="18"/>
      <c r="E934" s="18"/>
    </row>
    <row r="935" spans="1:5" ht="14.25" customHeight="1" x14ac:dyDescent="0.3">
      <c r="A935" s="18"/>
      <c r="E935" s="18"/>
    </row>
    <row r="936" spans="1:5" ht="14.25" customHeight="1" x14ac:dyDescent="0.3">
      <c r="A936" s="18"/>
      <c r="E936" s="18"/>
    </row>
    <row r="937" spans="1:5" ht="14.25" customHeight="1" x14ac:dyDescent="0.3">
      <c r="A937" s="18"/>
      <c r="E937" s="18"/>
    </row>
    <row r="938" spans="1:5" ht="14.25" customHeight="1" x14ac:dyDescent="0.3">
      <c r="A938" s="18"/>
      <c r="E938" s="18"/>
    </row>
    <row r="939" spans="1:5" ht="14.25" customHeight="1" x14ac:dyDescent="0.3">
      <c r="A939" s="18"/>
      <c r="E939" s="18"/>
    </row>
    <row r="940" spans="1:5" ht="14.25" customHeight="1" x14ac:dyDescent="0.3">
      <c r="A940" s="18"/>
      <c r="E940" s="18"/>
    </row>
    <row r="941" spans="1:5" ht="14.25" customHeight="1" x14ac:dyDescent="0.3">
      <c r="A941" s="18"/>
      <c r="E941" s="18"/>
    </row>
    <row r="942" spans="1:5" ht="14.25" customHeight="1" x14ac:dyDescent="0.3">
      <c r="A942" s="18"/>
      <c r="E942" s="18"/>
    </row>
    <row r="943" spans="1:5" ht="14.25" customHeight="1" x14ac:dyDescent="0.3">
      <c r="A943" s="18"/>
      <c r="E943" s="18"/>
    </row>
    <row r="944" spans="1:5" ht="14.25" customHeight="1" x14ac:dyDescent="0.3">
      <c r="A944" s="18"/>
      <c r="E944" s="18"/>
    </row>
    <row r="945" spans="1:5" ht="14.25" customHeight="1" x14ac:dyDescent="0.3">
      <c r="A945" s="18"/>
      <c r="E945" s="18"/>
    </row>
    <row r="946" spans="1:5" ht="14.25" customHeight="1" x14ac:dyDescent="0.3">
      <c r="A946" s="18"/>
      <c r="E946" s="18"/>
    </row>
    <row r="947" spans="1:5" ht="14.25" customHeight="1" x14ac:dyDescent="0.3">
      <c r="A947" s="18"/>
      <c r="E947" s="18"/>
    </row>
    <row r="948" spans="1:5" ht="14.25" customHeight="1" x14ac:dyDescent="0.3">
      <c r="A948" s="18"/>
      <c r="E948" s="18"/>
    </row>
    <row r="949" spans="1:5" ht="14.25" customHeight="1" x14ac:dyDescent="0.3">
      <c r="A949" s="18"/>
      <c r="E949" s="18"/>
    </row>
    <row r="950" spans="1:5" ht="14.25" customHeight="1" x14ac:dyDescent="0.3">
      <c r="A950" s="18"/>
      <c r="E950" s="18"/>
    </row>
    <row r="951" spans="1:5" ht="14.25" customHeight="1" x14ac:dyDescent="0.3">
      <c r="A951" s="18"/>
      <c r="E951" s="18"/>
    </row>
    <row r="952" spans="1:5" ht="14.25" customHeight="1" x14ac:dyDescent="0.3">
      <c r="A952" s="18"/>
      <c r="E952" s="18"/>
    </row>
    <row r="953" spans="1:5" ht="14.25" customHeight="1" x14ac:dyDescent="0.3">
      <c r="A953" s="18"/>
      <c r="E953" s="18"/>
    </row>
    <row r="954" spans="1:5" ht="14.25" customHeight="1" x14ac:dyDescent="0.3">
      <c r="A954" s="18"/>
      <c r="E954" s="18"/>
    </row>
    <row r="955" spans="1:5" ht="14.25" customHeight="1" x14ac:dyDescent="0.3">
      <c r="A955" s="18"/>
      <c r="E955" s="18"/>
    </row>
    <row r="956" spans="1:5" ht="14.25" customHeight="1" x14ac:dyDescent="0.3">
      <c r="A956" s="18"/>
      <c r="E956" s="18"/>
    </row>
    <row r="957" spans="1:5" ht="14.25" customHeight="1" x14ac:dyDescent="0.3">
      <c r="A957" s="18"/>
      <c r="E957" s="18"/>
    </row>
    <row r="958" spans="1:5" ht="14.25" customHeight="1" x14ac:dyDescent="0.3">
      <c r="A958" s="18"/>
      <c r="E958" s="18"/>
    </row>
    <row r="959" spans="1:5" ht="14.25" customHeight="1" x14ac:dyDescent="0.3">
      <c r="A959" s="18"/>
      <c r="E959" s="18"/>
    </row>
    <row r="960" spans="1:5" ht="14.25" customHeight="1" x14ac:dyDescent="0.3">
      <c r="A960" s="18"/>
      <c r="E960" s="18"/>
    </row>
    <row r="961" spans="1:5" ht="14.25" customHeight="1" x14ac:dyDescent="0.3">
      <c r="A961" s="18"/>
      <c r="E961" s="18"/>
    </row>
    <row r="962" spans="1:5" ht="14.25" customHeight="1" x14ac:dyDescent="0.3">
      <c r="A962" s="18"/>
      <c r="E962" s="18"/>
    </row>
    <row r="963" spans="1:5" ht="14.25" customHeight="1" x14ac:dyDescent="0.3">
      <c r="A963" s="18"/>
      <c r="E963" s="18"/>
    </row>
    <row r="964" spans="1:5" ht="14.25" customHeight="1" x14ac:dyDescent="0.3">
      <c r="A964" s="18"/>
      <c r="E964" s="18"/>
    </row>
    <row r="965" spans="1:5" ht="14.25" customHeight="1" x14ac:dyDescent="0.3">
      <c r="A965" s="18"/>
      <c r="E965" s="18"/>
    </row>
    <row r="966" spans="1:5" ht="14.25" customHeight="1" x14ac:dyDescent="0.3">
      <c r="A966" s="18"/>
      <c r="E966" s="18"/>
    </row>
    <row r="967" spans="1:5" ht="14.25" customHeight="1" x14ac:dyDescent="0.3">
      <c r="A967" s="18"/>
      <c r="E967" s="18"/>
    </row>
    <row r="968" spans="1:5" ht="14.25" customHeight="1" x14ac:dyDescent="0.3">
      <c r="A968" s="18"/>
      <c r="E968" s="18"/>
    </row>
    <row r="969" spans="1:5" ht="14.25" customHeight="1" x14ac:dyDescent="0.3">
      <c r="A969" s="18"/>
      <c r="E969" s="18"/>
    </row>
    <row r="970" spans="1:5" ht="14.25" customHeight="1" x14ac:dyDescent="0.3">
      <c r="A970" s="18"/>
      <c r="E970" s="18"/>
    </row>
    <row r="971" spans="1:5" ht="14.25" customHeight="1" x14ac:dyDescent="0.3">
      <c r="A971" s="18"/>
      <c r="E971" s="18"/>
    </row>
    <row r="972" spans="1:5" ht="14.25" customHeight="1" x14ac:dyDescent="0.3">
      <c r="A972" s="18"/>
      <c r="E972" s="18"/>
    </row>
    <row r="973" spans="1:5" ht="14.25" customHeight="1" x14ac:dyDescent="0.3">
      <c r="A973" s="18"/>
      <c r="E973" s="18"/>
    </row>
    <row r="974" spans="1:5" ht="14.25" customHeight="1" x14ac:dyDescent="0.3">
      <c r="A974" s="18"/>
      <c r="E974" s="18"/>
    </row>
    <row r="975" spans="1:5" ht="14.25" customHeight="1" x14ac:dyDescent="0.3">
      <c r="A975" s="18"/>
      <c r="E975" s="18"/>
    </row>
    <row r="976" spans="1:5" ht="14.25" customHeight="1" x14ac:dyDescent="0.3">
      <c r="A976" s="18"/>
      <c r="E976" s="18"/>
    </row>
    <row r="977" spans="1:5" ht="14.25" customHeight="1" x14ac:dyDescent="0.3">
      <c r="A977" s="18"/>
      <c r="E977" s="18"/>
    </row>
    <row r="978" spans="1:5" ht="14.25" customHeight="1" x14ac:dyDescent="0.3">
      <c r="A978" s="18"/>
      <c r="E978" s="18"/>
    </row>
    <row r="979" spans="1:5" ht="14.25" customHeight="1" x14ac:dyDescent="0.3">
      <c r="A979" s="18"/>
      <c r="E979" s="18"/>
    </row>
    <row r="980" spans="1:5" ht="14.25" customHeight="1" x14ac:dyDescent="0.3">
      <c r="A980" s="18"/>
      <c r="E980" s="18"/>
    </row>
    <row r="981" spans="1:5" ht="14.25" customHeight="1" x14ac:dyDescent="0.3">
      <c r="A981" s="18"/>
      <c r="E981" s="18"/>
    </row>
    <row r="982" spans="1:5" ht="14.25" customHeight="1" x14ac:dyDescent="0.3">
      <c r="A982" s="18"/>
      <c r="E982" s="18"/>
    </row>
    <row r="983" spans="1:5" ht="14.25" customHeight="1" x14ac:dyDescent="0.3">
      <c r="A983" s="18"/>
      <c r="E983" s="18"/>
    </row>
    <row r="984" spans="1:5" ht="14.25" customHeight="1" x14ac:dyDescent="0.3">
      <c r="A984" s="18"/>
      <c r="E984" s="18"/>
    </row>
    <row r="985" spans="1:5" ht="14.25" customHeight="1" x14ac:dyDescent="0.3">
      <c r="A985" s="18"/>
      <c r="E985" s="18"/>
    </row>
    <row r="986" spans="1:5" ht="14.25" customHeight="1" x14ac:dyDescent="0.3">
      <c r="A986" s="18"/>
      <c r="E986" s="18"/>
    </row>
    <row r="987" spans="1:5" ht="14.25" customHeight="1" x14ac:dyDescent="0.3">
      <c r="A987" s="18"/>
      <c r="E987" s="18"/>
    </row>
    <row r="988" spans="1:5" ht="14.25" customHeight="1" x14ac:dyDescent="0.3">
      <c r="A988" s="18"/>
      <c r="E988" s="18"/>
    </row>
    <row r="989" spans="1:5" ht="14.25" customHeight="1" x14ac:dyDescent="0.3">
      <c r="A989" s="18"/>
      <c r="E989" s="18"/>
    </row>
    <row r="990" spans="1:5" ht="14.25" customHeight="1" x14ac:dyDescent="0.3">
      <c r="A990" s="18"/>
      <c r="E990" s="18"/>
    </row>
    <row r="991" spans="1:5" ht="14.25" customHeight="1" x14ac:dyDescent="0.3">
      <c r="A991" s="18"/>
      <c r="E991" s="18"/>
    </row>
    <row r="992" spans="1:5" ht="14.25" customHeight="1" x14ac:dyDescent="0.3">
      <c r="A992" s="18"/>
      <c r="E992" s="18"/>
    </row>
    <row r="993" spans="1:5" ht="14.25" customHeight="1" x14ac:dyDescent="0.3">
      <c r="A993" s="18"/>
      <c r="E993" s="18"/>
    </row>
    <row r="994" spans="1:5" ht="14.25" customHeight="1" x14ac:dyDescent="0.3">
      <c r="A994" s="18"/>
      <c r="E994" s="18"/>
    </row>
    <row r="995" spans="1:5" ht="14.25" customHeight="1" x14ac:dyDescent="0.3">
      <c r="A995" s="18"/>
      <c r="E995" s="18"/>
    </row>
    <row r="996" spans="1:5" ht="14.25" customHeight="1" x14ac:dyDescent="0.3">
      <c r="A996" s="18"/>
      <c r="E996" s="18"/>
    </row>
    <row r="997" spans="1:5" ht="14.25" customHeight="1" x14ac:dyDescent="0.3">
      <c r="A997" s="18"/>
      <c r="E997" s="18"/>
    </row>
    <row r="998" spans="1:5" ht="14.25" customHeight="1" x14ac:dyDescent="0.3">
      <c r="A998" s="18"/>
      <c r="E998" s="18"/>
    </row>
    <row r="999" spans="1:5" ht="14.25" customHeight="1" x14ac:dyDescent="0.3">
      <c r="A999" s="18"/>
      <c r="E999" s="18"/>
    </row>
    <row r="1000" spans="1:5" ht="14.25" customHeight="1" x14ac:dyDescent="0.3">
      <c r="A1000" s="18"/>
      <c r="E1000" s="18"/>
    </row>
  </sheetData>
  <mergeCells count="1">
    <mergeCell ref="C1:D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BS</vt:lpstr>
      <vt:lpstr>IE</vt:lpstr>
      <vt:lpstr>FD-Sch I</vt:lpstr>
      <vt:lpstr>FA-Sch II</vt:lpstr>
      <vt:lpstr>Sch-III,IV,V</vt:lpstr>
      <vt:lpstr>BRS</vt:lpstr>
      <vt:lpstr>Sheet</vt:lpstr>
      <vt:lpstr>FD Interest Working</vt:lpstr>
      <vt:lpstr>Working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Rosario</dc:creator>
  <cp:lastModifiedBy>ivanrosario1957@outlook.com</cp:lastModifiedBy>
  <dcterms:created xsi:type="dcterms:W3CDTF">2023-06-17T17:12:26Z</dcterms:created>
  <dcterms:modified xsi:type="dcterms:W3CDTF">2026-06-28T07:47:56Z</dcterms:modified>
</cp:coreProperties>
</file>