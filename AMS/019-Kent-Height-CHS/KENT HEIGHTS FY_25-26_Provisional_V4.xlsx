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AMS\019-Kent-Height-CHS\"/>
    </mc:Choice>
  </mc:AlternateContent>
  <xr:revisionPtr revIDLastSave="0" documentId="13_ncr:1_{72BFFCB5-0CF3-4D44-870B-C9BBFEE714EC}" xr6:coauthVersionLast="47" xr6:coauthVersionMax="47" xr10:uidLastSave="{00000000-0000-0000-0000-000000000000}"/>
  <bookViews>
    <workbookView xWindow="-108" yWindow="-108" windowWidth="23256" windowHeight="12456" tabRatio="724" activeTab="1" xr2:uid="{00000000-000D-0000-FFFF-FFFF00000000}"/>
  </bookViews>
  <sheets>
    <sheet name="BS" sheetId="2" r:id="rId1"/>
    <sheet name="IE" sheetId="1" r:id="rId2"/>
    <sheet name="Sch - F FDR" sheetId="10" r:id="rId3"/>
    <sheet name="Members Rec &amp; Adv" sheetId="5" r:id="rId4"/>
    <sheet name="Reserves &amp; Provision" sheetId="9" r:id="rId5"/>
    <sheet name="Sch - G FA" sheetId="4" r:id="rId6"/>
    <sheet name="BRS" sheetId="7" r:id="rId7"/>
    <sheet name="Workings" sheetId="11" r:id="rId8"/>
    <sheet name="Major Rep. Chgs" sheetId="13" r:id="rId9"/>
  </sheets>
  <definedNames>
    <definedName name="_xlnm._FilterDatabase" localSheetId="8" hidden="1">'Major Rep. Chgs'!$A$2:$R$94</definedName>
    <definedName name="_xlnm._FilterDatabase" localSheetId="3" hidden="1">'Members Rec &amp; Adv'!#REF!</definedName>
    <definedName name="_xlnm.Print_Area" localSheetId="0">BS!$A$1:$H$52</definedName>
    <definedName name="_xlnm.Print_Area" localSheetId="1">IE!$A$1:$H$66</definedName>
    <definedName name="_xlnm.Print_Area" localSheetId="3">'Members Rec &amp; Adv'!$A$1:$F$50</definedName>
    <definedName name="_xlnm.Print_Area" localSheetId="4">'Reserves &amp; Provision'!$A$1:$H$38</definedName>
    <definedName name="_xlnm.Print_Area" localSheetId="2">'Sch - F FDR'!$A$1:$M$25</definedName>
    <definedName name="_xlnm.Print_Area" localSheetId="5">'Sch - G FA'!$A$1:$J$16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11" l="1"/>
  <c r="C40" i="2"/>
  <c r="H57" i="1"/>
  <c r="H55" i="1"/>
  <c r="D32" i="5" l="1"/>
  <c r="K12" i="13"/>
  <c r="E21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5" i="5"/>
  <c r="H4" i="13" l="1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8" i="13"/>
  <c r="H89" i="13"/>
  <c r="H90" i="13"/>
  <c r="H91" i="13"/>
  <c r="H92" i="13"/>
  <c r="H93" i="13"/>
  <c r="H3" i="13"/>
  <c r="J94" i="13"/>
  <c r="I94" i="13"/>
  <c r="K4" i="13"/>
  <c r="K5" i="13"/>
  <c r="K6" i="13"/>
  <c r="K7" i="13"/>
  <c r="K8" i="13"/>
  <c r="K9" i="13"/>
  <c r="K10" i="13"/>
  <c r="K11" i="13"/>
  <c r="D33" i="5"/>
  <c r="C31" i="2" s="1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8" i="13"/>
  <c r="K89" i="13"/>
  <c r="K90" i="13"/>
  <c r="K91" i="13"/>
  <c r="K92" i="13"/>
  <c r="K93" i="13"/>
  <c r="K3" i="13"/>
  <c r="G93" i="13"/>
  <c r="G92" i="13"/>
  <c r="G91" i="13"/>
  <c r="G90" i="13"/>
  <c r="G89" i="13"/>
  <c r="G88" i="13"/>
  <c r="I87" i="13"/>
  <c r="H87" i="13" s="1"/>
  <c r="G87" i="13"/>
  <c r="I86" i="13"/>
  <c r="H86" i="13" s="1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I71" i="13"/>
  <c r="H71" i="13" s="1"/>
  <c r="G71" i="13"/>
  <c r="I70" i="13"/>
  <c r="H70" i="13" s="1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I56" i="13"/>
  <c r="H56" i="13" s="1"/>
  <c r="G56" i="13"/>
  <c r="I55" i="13"/>
  <c r="H55" i="13" s="1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I33" i="13"/>
  <c r="G33" i="13"/>
  <c r="I32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H94" i="13" l="1"/>
  <c r="K87" i="13"/>
  <c r="K71" i="13"/>
  <c r="K55" i="13"/>
  <c r="K33" i="13"/>
  <c r="K86" i="13"/>
  <c r="K70" i="13"/>
  <c r="K56" i="13"/>
  <c r="K32" i="13"/>
  <c r="K94" i="13" s="1"/>
  <c r="D20" i="5" s="1"/>
  <c r="C23" i="1"/>
  <c r="E9" i="4" l="1"/>
  <c r="E10" i="4"/>
  <c r="F6" i="4"/>
  <c r="D21" i="5" l="1"/>
  <c r="F20" i="5"/>
  <c r="F21" i="5" s="1"/>
  <c r="G19" i="2" s="1"/>
  <c r="R30" i="11"/>
  <c r="R29" i="11"/>
  <c r="R28" i="11"/>
  <c r="C32" i="1" l="1"/>
  <c r="D35" i="9" l="1"/>
  <c r="O7" i="11"/>
  <c r="O5" i="11"/>
  <c r="O4" i="11"/>
  <c r="O8" i="11" s="1"/>
  <c r="O10" i="11" s="1"/>
  <c r="O14" i="11" l="1"/>
  <c r="O15" i="11" l="1"/>
  <c r="O16" i="11" s="1"/>
  <c r="O17" i="11" s="1"/>
  <c r="D52" i="1" s="1"/>
  <c r="R31" i="11" s="1"/>
  <c r="E6" i="4"/>
  <c r="C24" i="1" l="1"/>
  <c r="D26" i="1" s="1"/>
  <c r="H33" i="1"/>
  <c r="G11" i="2" l="1"/>
  <c r="G10" i="2"/>
  <c r="G9" i="2"/>
  <c r="E6" i="7"/>
  <c r="B6" i="7" s="1"/>
  <c r="B8" i="7" s="1"/>
  <c r="B21" i="7"/>
  <c r="B14" i="7"/>
  <c r="C41" i="2" l="1"/>
  <c r="G26" i="1"/>
  <c r="E6" i="9" s="1"/>
  <c r="D29" i="1"/>
  <c r="D16" i="1"/>
  <c r="C27" i="2"/>
  <c r="C37" i="2"/>
  <c r="D44" i="5"/>
  <c r="D8" i="9"/>
  <c r="D35" i="1"/>
  <c r="C47" i="1"/>
  <c r="G12" i="1"/>
  <c r="G15" i="1"/>
  <c r="E20" i="11"/>
  <c r="E17" i="11"/>
  <c r="G17" i="10"/>
  <c r="H17" i="10"/>
  <c r="I16" i="10"/>
  <c r="J16" i="10" s="1"/>
  <c r="I15" i="10"/>
  <c r="J15" i="10" s="1"/>
  <c r="I14" i="10"/>
  <c r="J14" i="10" s="1"/>
  <c r="I13" i="10"/>
  <c r="J13" i="10" s="1"/>
  <c r="H22" i="10"/>
  <c r="G22" i="10"/>
  <c r="I12" i="10"/>
  <c r="J12" i="10" s="1"/>
  <c r="I10" i="10"/>
  <c r="J10" i="10" s="1"/>
  <c r="I11" i="10"/>
  <c r="J11" i="10" s="1"/>
  <c r="H9" i="10"/>
  <c r="G9" i="10"/>
  <c r="I17" i="10" l="1"/>
  <c r="J17" i="10" s="1"/>
  <c r="I9" i="10"/>
  <c r="J9" i="10" s="1"/>
  <c r="G21" i="10"/>
  <c r="H21" i="10"/>
  <c r="H8" i="10"/>
  <c r="G8" i="10"/>
  <c r="H20" i="10"/>
  <c r="G20" i="10"/>
  <c r="H7" i="10"/>
  <c r="G7" i="10"/>
  <c r="G27" i="1" s="1"/>
  <c r="E8" i="9" s="1"/>
  <c r="H19" i="10"/>
  <c r="G19" i="10"/>
  <c r="H6" i="10"/>
  <c r="H23" i="10" s="1"/>
  <c r="G6" i="10"/>
  <c r="I22" i="10"/>
  <c r="E6" i="1"/>
  <c r="A42" i="2"/>
  <c r="I6" i="10" l="1"/>
  <c r="J6" i="10" s="1"/>
  <c r="G23" i="10"/>
  <c r="G25" i="1"/>
  <c r="E7" i="9" s="1"/>
  <c r="I8" i="10"/>
  <c r="J8" i="10" s="1"/>
  <c r="I7" i="10"/>
  <c r="J7" i="10" s="1"/>
  <c r="I20" i="10"/>
  <c r="I21" i="10"/>
  <c r="I19" i="10"/>
  <c r="D34" i="11"/>
  <c r="D33" i="11"/>
  <c r="D30" i="11"/>
  <c r="D29" i="11"/>
  <c r="D26" i="11"/>
  <c r="D25" i="11"/>
  <c r="H11" i="4"/>
  <c r="H13" i="4"/>
  <c r="G13" i="4"/>
  <c r="E30" i="11" l="1"/>
  <c r="I13" i="4"/>
  <c r="E34" i="11"/>
  <c r="E26" i="11"/>
  <c r="L23" i="10" l="1"/>
  <c r="F23" i="10"/>
  <c r="E23" i="10"/>
  <c r="C23" i="10"/>
  <c r="E42" i="2"/>
  <c r="I48" i="2" s="1"/>
  <c r="D12" i="11"/>
  <c r="D11" i="11"/>
  <c r="I42" i="2" l="1"/>
  <c r="D21" i="11"/>
  <c r="D20" i="11"/>
  <c r="D18" i="11"/>
  <c r="D17" i="11"/>
  <c r="E12" i="11"/>
  <c r="D9" i="11"/>
  <c r="D8" i="11"/>
  <c r="D6" i="11"/>
  <c r="D5" i="11"/>
  <c r="E10" i="9"/>
  <c r="G10" i="9"/>
  <c r="C10" i="9"/>
  <c r="E6" i="11" l="1"/>
  <c r="E9" i="11"/>
  <c r="E21" i="11"/>
  <c r="E18" i="11"/>
  <c r="D22" i="9" l="1"/>
  <c r="H27" i="1" l="1"/>
  <c r="D9" i="9" l="1"/>
  <c r="H9" i="9" s="1"/>
  <c r="C18" i="2" s="1"/>
  <c r="G15" i="2"/>
  <c r="D15" i="4"/>
  <c r="H14" i="4"/>
  <c r="G14" i="4"/>
  <c r="E15" i="4"/>
  <c r="F15" i="4"/>
  <c r="I14" i="4" l="1"/>
  <c r="J22" i="10"/>
  <c r="J21" i="10"/>
  <c r="J20" i="10"/>
  <c r="H7" i="4"/>
  <c r="J19" i="10"/>
  <c r="C23" i="2"/>
  <c r="D28" i="2" s="1"/>
  <c r="D10" i="9"/>
  <c r="H7" i="9"/>
  <c r="C16" i="2" s="1"/>
  <c r="H6" i="9"/>
  <c r="C17" i="2" s="1"/>
  <c r="G11" i="4"/>
  <c r="H9" i="4"/>
  <c r="G9" i="4"/>
  <c r="H8" i="4"/>
  <c r="G8" i="4"/>
  <c r="G7" i="4"/>
  <c r="H6" i="4"/>
  <c r="G6" i="4"/>
  <c r="H5" i="4"/>
  <c r="G5" i="4"/>
  <c r="J23" i="10" l="1"/>
  <c r="I23" i="10"/>
  <c r="G16" i="2" s="1"/>
  <c r="H16" i="2" s="1"/>
  <c r="I8" i="4"/>
  <c r="I5" i="4"/>
  <c r="I9" i="4"/>
  <c r="I6" i="4"/>
  <c r="I7" i="4"/>
  <c r="I11" i="4"/>
  <c r="G10" i="4"/>
  <c r="H12" i="4"/>
  <c r="H10" i="4"/>
  <c r="G12" i="4"/>
  <c r="H15" i="4" l="1"/>
  <c r="G15" i="4"/>
  <c r="I12" i="4"/>
  <c r="I10" i="4"/>
  <c r="C41" i="1" l="1"/>
  <c r="D48" i="1" s="1"/>
  <c r="I15" i="4"/>
  <c r="H25" i="2" s="1"/>
  <c r="H18" i="1"/>
  <c r="A3" i="2"/>
  <c r="A2" i="2"/>
  <c r="H6" i="2"/>
  <c r="E6" i="2"/>
  <c r="B1" i="4"/>
  <c r="A1" i="5" s="1"/>
  <c r="H6" i="1"/>
  <c r="B1" i="9" l="1"/>
  <c r="D37" i="9"/>
  <c r="D49" i="5" l="1"/>
  <c r="C32" i="2" s="1"/>
  <c r="H32" i="2"/>
  <c r="H11" i="2"/>
  <c r="E57" i="1"/>
  <c r="I63" i="1" s="1"/>
  <c r="D32" i="2" l="1"/>
  <c r="D9" i="2" l="1"/>
  <c r="A57" i="1"/>
  <c r="I57" i="1" s="1"/>
  <c r="H23" i="2" l="1"/>
  <c r="H42" i="2" s="1"/>
  <c r="F8" i="9"/>
  <c r="F10" i="9" s="1"/>
  <c r="H8" i="9" l="1"/>
  <c r="C15" i="2" l="1"/>
  <c r="D18" i="2" s="1"/>
  <c r="H10" i="9"/>
  <c r="D57" i="1"/>
  <c r="J63" i="1" l="1"/>
  <c r="D41" i="2" l="1"/>
  <c r="D42" i="2" s="1"/>
  <c r="J48" i="2" s="1"/>
  <c r="J57" i="1"/>
  <c r="J42" i="2" l="1"/>
</calcChain>
</file>

<file path=xl/sharedStrings.xml><?xml version="1.0" encoding="utf-8"?>
<sst xmlns="http://schemas.openxmlformats.org/spreadsheetml/2006/main" count="696" uniqueCount="454">
  <si>
    <t>Liabilities</t>
  </si>
  <si>
    <t>Assets</t>
  </si>
  <si>
    <t>General Reserve Fund</t>
  </si>
  <si>
    <t>Sinking Fund</t>
  </si>
  <si>
    <t>Repair  and  Maintenance Fund</t>
  </si>
  <si>
    <t>TDS Payable</t>
  </si>
  <si>
    <t>Contribution for Land and Building</t>
  </si>
  <si>
    <t>Total</t>
  </si>
  <si>
    <t>MDCC Bank A/c</t>
  </si>
  <si>
    <t>Investments</t>
  </si>
  <si>
    <t>Shares of MDCC Bank</t>
  </si>
  <si>
    <t>Accrued Interest on FD</t>
  </si>
  <si>
    <t>CCTV Installations</t>
  </si>
  <si>
    <t>Deposit with BMC</t>
  </si>
  <si>
    <t>Income</t>
  </si>
  <si>
    <t>Water Expenses</t>
  </si>
  <si>
    <t>Lift AMC Expenses</t>
  </si>
  <si>
    <t>House Keeping Expenses</t>
  </si>
  <si>
    <t>Office Expenses</t>
  </si>
  <si>
    <t>Insurance Expenses</t>
  </si>
  <si>
    <t>Subscription Federation</t>
  </si>
  <si>
    <t>Accounting Charges</t>
  </si>
  <si>
    <t>Printing  and  Stationary</t>
  </si>
  <si>
    <t>Meeting Expenses</t>
  </si>
  <si>
    <t>Conveyance Charges</t>
  </si>
  <si>
    <t>Bank Charges</t>
  </si>
  <si>
    <t>Miscellaneous Expenses</t>
  </si>
  <si>
    <t xml:space="preserve">General Maintenance </t>
  </si>
  <si>
    <t>Contribution for Electricity Charges</t>
  </si>
  <si>
    <t>Contribution for Water Charges</t>
  </si>
  <si>
    <t>Non Occupancy Charges</t>
  </si>
  <si>
    <t>Parking Charges</t>
  </si>
  <si>
    <t>Other charges</t>
  </si>
  <si>
    <t>Late Payment Interest</t>
  </si>
  <si>
    <t>Interest Income  Savings Account</t>
  </si>
  <si>
    <t>Sale of Scrap</t>
  </si>
  <si>
    <t>Sl.No</t>
  </si>
  <si>
    <t>Vendor</t>
  </si>
  <si>
    <t>Mr. Jayesh C. Shah</t>
  </si>
  <si>
    <t>Mr. Anupkumar Bhagchand Agrawal</t>
  </si>
  <si>
    <t>Mr. Vasudev B. Prabhu</t>
  </si>
  <si>
    <t>Mr. Hasmukh D. Jogia</t>
  </si>
  <si>
    <t>Mr. Jinendra T. Kothari</t>
  </si>
  <si>
    <t>Saarjan H. Bardwaj</t>
  </si>
  <si>
    <t>Audit Fees</t>
  </si>
  <si>
    <t xml:space="preserve">Authorised Share  Capital </t>
  </si>
  <si>
    <t>Fund</t>
  </si>
  <si>
    <t>Repair Fund</t>
  </si>
  <si>
    <t>General Reserve</t>
  </si>
  <si>
    <t>Education &amp; Training Fund</t>
  </si>
  <si>
    <t>Rate          %</t>
  </si>
  <si>
    <t>Depreciation for the year</t>
  </si>
  <si>
    <t>Closing W.D.V. as on 31.03.2022</t>
  </si>
  <si>
    <t>Land &amp; Building</t>
  </si>
  <si>
    <t xml:space="preserve">Lift </t>
  </si>
  <si>
    <t>Furniture &amp; Fixture</t>
  </si>
  <si>
    <t>Fire Fighting Eqpts</t>
  </si>
  <si>
    <t>Pipeline &amp; Water Pump</t>
  </si>
  <si>
    <t xml:space="preserve">Date </t>
  </si>
  <si>
    <t>Lift AMC</t>
  </si>
  <si>
    <t>Intercom</t>
  </si>
  <si>
    <t>Computer &amp; Printer</t>
  </si>
  <si>
    <t>FD No</t>
  </si>
  <si>
    <t xml:space="preserve">Maturity Date </t>
  </si>
  <si>
    <t>Rate of Interest</t>
  </si>
  <si>
    <t>Salary  / Security Expenses</t>
  </si>
  <si>
    <t xml:space="preserve">Provisions </t>
  </si>
  <si>
    <t>(455 Shares of Rs 50/- each)</t>
  </si>
  <si>
    <t>As per my report of even date</t>
  </si>
  <si>
    <t xml:space="preserve">Education Training Fund </t>
  </si>
  <si>
    <t>To AMC Expenses</t>
  </si>
  <si>
    <t>To Repair &amp; Maintenance</t>
  </si>
  <si>
    <t>To Service Charges</t>
  </si>
  <si>
    <t>To Office Expenses</t>
  </si>
  <si>
    <t xml:space="preserve">To Income Tax </t>
  </si>
  <si>
    <t xml:space="preserve">To Festival Expenses  </t>
  </si>
  <si>
    <t>By Interest Income</t>
  </si>
  <si>
    <t>By Other Income</t>
  </si>
  <si>
    <t>Other Repairs Maintenance</t>
  </si>
  <si>
    <t>KENT - HEIGHTS CO-OPERATIVE HOUSING SOCIETY LTD.</t>
  </si>
  <si>
    <t>Expenditure</t>
  </si>
  <si>
    <t>By Contribution from Members towards:-</t>
  </si>
  <si>
    <t>To Property Tax  (BMC)</t>
  </si>
  <si>
    <t>Interest Income  Fixed Deposits</t>
  </si>
  <si>
    <t>Depreciation on Fixed Assets</t>
  </si>
  <si>
    <t>Sr. No.</t>
  </si>
  <si>
    <t>Reserve &amp; Other Funds (As per Schedule - A )</t>
  </si>
  <si>
    <t>(3,20,610 shares of Rs 50/- each)</t>
  </si>
  <si>
    <t>Issued, Subscribed &amp; Paid Up Share Capital</t>
  </si>
  <si>
    <t>TDS Receivables on Bank Interest</t>
  </si>
  <si>
    <t>Amount(Rs.)</t>
  </si>
  <si>
    <t>Flat No.</t>
  </si>
  <si>
    <t>Sr.No</t>
  </si>
  <si>
    <t>Name of the Members</t>
  </si>
  <si>
    <t>Name of the Member</t>
  </si>
  <si>
    <t>Amount (Rs.)</t>
  </si>
  <si>
    <t>Insurance Charges</t>
  </si>
  <si>
    <t>Schedule - A</t>
  </si>
  <si>
    <t>SCHEDULE - C</t>
  </si>
  <si>
    <t>SCHEDULE - E</t>
  </si>
  <si>
    <t>Payables/ Provisions (As per Schedule-B)</t>
  </si>
  <si>
    <t>Current liabilities :</t>
  </si>
  <si>
    <t>Members Payable :</t>
  </si>
  <si>
    <t>Income &amp; Expenditure A/c.:</t>
  </si>
  <si>
    <t>Prepaid Expenses :</t>
  </si>
  <si>
    <t>Current Assets ,Loans &amp; Advances :</t>
  </si>
  <si>
    <t>Cash In Hand  / Banks :</t>
  </si>
  <si>
    <t>Cash in Hand</t>
  </si>
  <si>
    <t>Cosmos A/c - 023204201220212</t>
  </si>
  <si>
    <t>Plumbing</t>
  </si>
  <si>
    <t>Canara Bank A/c. 110059785323</t>
  </si>
  <si>
    <t>Fixed Assets (As per Schedule -  G )</t>
  </si>
  <si>
    <t xml:space="preserve"> Principal Amount </t>
  </si>
  <si>
    <t xml:space="preserve"> TDS  </t>
  </si>
  <si>
    <t>Net Interest Accrued</t>
  </si>
  <si>
    <t xml:space="preserve"> Maturity Value </t>
  </si>
  <si>
    <t>Canara Bank</t>
  </si>
  <si>
    <t>Mr. Sanjay Babulal Patel</t>
  </si>
  <si>
    <t>Mr. Satyaprakash Arya</t>
  </si>
  <si>
    <t>Mr. Niraj H. Poddar</t>
  </si>
  <si>
    <t>Mr. Dushyant G. Shah</t>
  </si>
  <si>
    <t>Shah</t>
  </si>
  <si>
    <t>Mr. Rajubhai P. Patel</t>
  </si>
  <si>
    <t>SCHEDULE -  G</t>
  </si>
  <si>
    <t>Particulars</t>
  </si>
  <si>
    <t>Additions during the year</t>
  </si>
  <si>
    <t>Utilization during the year</t>
  </si>
  <si>
    <t>Members contribution</t>
  </si>
  <si>
    <t>25% surplus</t>
  </si>
  <si>
    <t>Schedule - B</t>
  </si>
  <si>
    <t>Adani Electricity Mumbai Ltd</t>
  </si>
  <si>
    <t>Misc. Income</t>
  </si>
  <si>
    <t>Fines / Penalty</t>
  </si>
  <si>
    <t>Electrical Repairs Maintenance</t>
  </si>
  <si>
    <t>Water Tank Cleaning</t>
  </si>
  <si>
    <t>Water Pump Repairs Charges</t>
  </si>
  <si>
    <t>Deepa Shailesh Adhiya</t>
  </si>
  <si>
    <t>Laxmi R. Marri</t>
  </si>
  <si>
    <t>Mr. Sameer J.</t>
  </si>
  <si>
    <t>Mr. Paresh Mavjibhai Patel</t>
  </si>
  <si>
    <t>Utility</t>
  </si>
  <si>
    <t>Mr. Narendra Pravinchandra Shah &amp; Mr. Karan Narendra Shah</t>
  </si>
  <si>
    <t>Daksha &amp; Nilesh D. Bhanshali</t>
  </si>
  <si>
    <t>Mr. Nirav Bipin Shah &amp; Mrs. Pooja Nirav Shah</t>
  </si>
  <si>
    <t>Lalita B. &amp; Bhavarlal A. Chopra</t>
  </si>
  <si>
    <t>Mr. Rakesh B. &amp; Mrs. Esha R. Chopra</t>
  </si>
  <si>
    <t>Nitima H. &amp; Mrs. Krishna H. Poddar</t>
  </si>
  <si>
    <t>Mr. Pankaj M. Shah &amp; Mrs. Jolly P. Shah</t>
  </si>
  <si>
    <t>Mr. Kirtibhai N. Patel &amp; Mrs. Hanshaben K. Patel</t>
  </si>
  <si>
    <t>Mrs. Lili Panchal</t>
  </si>
  <si>
    <t>Mr. Bhavarlal A. Chopra</t>
  </si>
  <si>
    <t>Mr. Vithalbhai D. &amp; D. V. Patel</t>
  </si>
  <si>
    <t>Mr. Nandkishor B. &amp; Mrs. Manjudevi N. Khatod</t>
  </si>
  <si>
    <t>Mr. Mohanlal C. &amp; Mrs. Saroj M. Mistry</t>
  </si>
  <si>
    <t>Manjulaben L. Patel</t>
  </si>
  <si>
    <t>Mr. Jatin M. &amp; Markandrai P. Bhatt</t>
  </si>
  <si>
    <t>Mr. Ramdas V. Marri</t>
  </si>
  <si>
    <t>Priti V. Doshi &amp; Vipul K. Doshi</t>
  </si>
  <si>
    <t>Kalavati V. &amp; Mrs. Hetal K. Prajapati</t>
  </si>
  <si>
    <t>Kiran M. &amp; Mrs. Surekha K. Mehta</t>
  </si>
  <si>
    <t>BINAL D. SHAH &amp; DHAVAL B. SHAH</t>
  </si>
  <si>
    <t>Mr. Naresh M. Sharma</t>
  </si>
  <si>
    <t>Mr. Chetan Navinchandra Shah &amp; Mrs. Niketa Chetan Shah</t>
  </si>
  <si>
    <t>Niketa Chetan Shah &amp; Chetan N. Shah</t>
  </si>
  <si>
    <t>Lavjibhai H. &amp; Kalubhai H. Korat</t>
  </si>
  <si>
    <t>Mr. Dinesh B. &amp; Mrs. Meena D. Agarawal</t>
  </si>
  <si>
    <t>Shruti S. &amp; Shailesh M. Parekh</t>
  </si>
  <si>
    <t>Shailesh M . &amp; Mrs. Shruti S. Parekh</t>
  </si>
  <si>
    <t>Sitaben M. &amp; Sudhir M. Patel</t>
  </si>
  <si>
    <t>Mr. Mehul Kantilal Doshi</t>
  </si>
  <si>
    <t>Mr. Vinay M. &amp; Rekha V. Patel</t>
  </si>
  <si>
    <t>Mrs. Vipa Virat Desai &amp; Mr. Sunit S. Desai</t>
  </si>
  <si>
    <t>Mr. Rajnikant Vachhraj Vora</t>
  </si>
  <si>
    <t>Daksha R. Vora &amp; Rajnikant V. Vora</t>
  </si>
  <si>
    <t>Mr. Eknath Gopal Krishna Hegde &amp; Mrs. Bhakti Eknath Hegde</t>
  </si>
  <si>
    <t>Mr. Haresh N. &amp; Mrs. Harsha N. Modi</t>
  </si>
  <si>
    <t>Mr. Yogesh Hansraj Harkani</t>
  </si>
  <si>
    <t>Mr. Jitendra S. &amp; Mrs. Meeta J. Sanghvi</t>
  </si>
  <si>
    <t>Mitaben J. &amp; Jitendra S. Sanghvi</t>
  </si>
  <si>
    <t>Mr. Jitendra A. &amp; Mrs. Nayana J. Doshi</t>
  </si>
  <si>
    <t>Priyank J. Doshi &amp; Nayana J. Doshi</t>
  </si>
  <si>
    <t>Induben M. Parekh &amp; Pintu M. Parekh</t>
  </si>
  <si>
    <t>Mr. Dilip B. &amp; Mrs. Truti D. Mehta</t>
  </si>
  <si>
    <t>Mr. Ramesh Bhuralal Patel &amp; Heena R. Patel</t>
  </si>
  <si>
    <t>Mr. Ajay Jamnadas Padia</t>
  </si>
  <si>
    <t>Mr. Ramesh Hansraj Patel</t>
  </si>
  <si>
    <t>Mr. Ramesh S. Neena R. &amp; Rishabh R. Panchamia</t>
  </si>
  <si>
    <t>Sonal S. Shah &amp; Sunil G. Shah</t>
  </si>
  <si>
    <t>Mr. Bipin S., Smt. Meena B. &amp; Nirav Shah</t>
  </si>
  <si>
    <t>Vidya V. &amp; Vasudeo V. Prabhu</t>
  </si>
  <si>
    <t>Mr. Navin M. &amp; Smt. Hasumati N. , Sumit N. &amp; Neha S. Sanghvi</t>
  </si>
  <si>
    <t>Mr. Rajesh S. &amp; Smt. Parul Patel</t>
  </si>
  <si>
    <t>Mr. Rajesh Ramachandra Kamath &amp; Mrs. Anitha Rajesh Kamath</t>
  </si>
  <si>
    <t>Mrs. Tanvi R  Panchamia &amp; Mr. Rishabh R Panchamia</t>
  </si>
  <si>
    <t>Bhupat L. &amp; Smt. Aruna B. Patel</t>
  </si>
  <si>
    <t>Mr. Hitesh K. &amp; Shilpa H.</t>
  </si>
  <si>
    <t>Mr. Mahsukhbhai Shah &amp; Mr. Rajesh M. Shah</t>
  </si>
  <si>
    <t>Mr. Vipul Amrutlal Patel &amp; Mrs. Chetna Vipul Patel</t>
  </si>
  <si>
    <t>MRS. VINDYA U. GADIYAR</t>
  </si>
  <si>
    <t>Mr. Tejas Bharatkumar Shah &amp; Mrs. Dhruti Tejas Shah</t>
  </si>
  <si>
    <t>Devang P. Mehta</t>
  </si>
  <si>
    <t>Mr. Jayesh Thakorbhai Mistry &amp; Thakorbhai N. Mistry</t>
  </si>
  <si>
    <t>Rajeshri Associates</t>
  </si>
  <si>
    <t>Mr. Yogeshchandra S. &amp; Mrs. Kusum Y. Shah</t>
  </si>
  <si>
    <t>Sound System</t>
  </si>
  <si>
    <t>Grill Charges</t>
  </si>
  <si>
    <t>Shifting Charges</t>
  </si>
  <si>
    <t>Fire Fighting System</t>
  </si>
  <si>
    <t>CCTV</t>
  </si>
  <si>
    <t>Major Repair Expenses</t>
  </si>
  <si>
    <t>Advance to Vendor</t>
  </si>
  <si>
    <t>Fire Fighting Equipments</t>
  </si>
  <si>
    <t>Devang Arvind Patel</t>
  </si>
  <si>
    <t>Property tax payable to member</t>
  </si>
  <si>
    <t>Net Investment Value</t>
  </si>
  <si>
    <t>25.09.2024</t>
  </si>
  <si>
    <t>02.06.2024</t>
  </si>
  <si>
    <t>Grand-total</t>
  </si>
  <si>
    <t>Sinking</t>
  </si>
  <si>
    <t>R&amp;M</t>
  </si>
  <si>
    <t>Reserve</t>
  </si>
  <si>
    <t>Less: Trfd to Respective Funds</t>
  </si>
  <si>
    <t>a. Sinking Fund</t>
  </si>
  <si>
    <t>b. Repair &amp; Maintenance fund</t>
  </si>
  <si>
    <t>c. General Reserve Fund</t>
  </si>
  <si>
    <t>Interest Recd</t>
  </si>
  <si>
    <t>To Common Area Electricity Exp.</t>
  </si>
  <si>
    <t>SCHEDULE - D</t>
  </si>
  <si>
    <t>Advance Members (As per Schedule - D)</t>
  </si>
  <si>
    <t>Retention - Devang Patel</t>
  </si>
  <si>
    <t>Retention - Astrix Solutions</t>
  </si>
  <si>
    <t>25% Surplus trfd to Reserves</t>
  </si>
  <si>
    <t>Advance Taxes Paid</t>
  </si>
  <si>
    <t>(Amt. in Rs.)</t>
  </si>
  <si>
    <t>Add : Narsing Lane, Vardhaman Nagar, Goraswadi , Malad (West), Mumbai - 400064.</t>
  </si>
  <si>
    <t>(Regd. No. MUM / WP / HSG / 11721 / 2002-2003)</t>
  </si>
  <si>
    <t>SCHEDULE  - F</t>
  </si>
  <si>
    <t>Total   (A)</t>
  </si>
  <si>
    <t>Total  (B)</t>
  </si>
  <si>
    <t>Total  ( A + B )</t>
  </si>
  <si>
    <t>Refundable Deposit (As per Schedule - E)</t>
  </si>
  <si>
    <t>Member Receivables (Schedule - C )</t>
  </si>
  <si>
    <t>Fixed Deposits with Bk - (Schedule - F )</t>
  </si>
  <si>
    <t>Not to print</t>
  </si>
  <si>
    <t>Period</t>
  </si>
  <si>
    <t>From</t>
  </si>
  <si>
    <t>To</t>
  </si>
  <si>
    <t>Days/Month</t>
  </si>
  <si>
    <t>Amount</t>
  </si>
  <si>
    <t>prepaid</t>
  </si>
  <si>
    <t>Water</t>
  </si>
  <si>
    <t>PN0004387</t>
  </si>
  <si>
    <t>provision</t>
  </si>
  <si>
    <t>PN0056740</t>
  </si>
  <si>
    <t>31.03.2025</t>
  </si>
  <si>
    <t>2024-2025</t>
  </si>
  <si>
    <t>26.09.2025</t>
  </si>
  <si>
    <t>140057802073/11</t>
  </si>
  <si>
    <t>140057802073/12</t>
  </si>
  <si>
    <t>140057802073/13</t>
  </si>
  <si>
    <t>140057802073/14</t>
  </si>
  <si>
    <t>140057802073/15</t>
  </si>
  <si>
    <t>140100289855/4</t>
  </si>
  <si>
    <t>02.06.2025</t>
  </si>
  <si>
    <t>140100289855/5</t>
  </si>
  <si>
    <t>140100289855/6</t>
  </si>
  <si>
    <t>140205412160/3</t>
  </si>
  <si>
    <t>04.01.2025</t>
  </si>
  <si>
    <t>04.01.2026</t>
  </si>
  <si>
    <t>Mr. Bhavesh &amp; Mr. Manish D. Meghani</t>
  </si>
  <si>
    <t>Mr. Pritesh A. Gandhi, Mrs. Hina P. Gandhi &amp; Mrs. Ansuya A. Gandhi</t>
  </si>
  <si>
    <t>Mr. Sameer J. , Mr. Jitendra R. , Mrs. Pramila J. &amp; Mrs. Sapna S. Sangani</t>
  </si>
  <si>
    <t>Mr. Piyush M. &amp; Mrs. Jyoti M. Kothari</t>
  </si>
  <si>
    <t>Pritesh Rajendraprasad Joshi (HUF) Karta Pritesh Rajendaprasad Joshi &amp; Mrs. Chhaya Pritesh Joshi</t>
  </si>
  <si>
    <t>Astrix Solutions</t>
  </si>
  <si>
    <t>Shri Siddharth Plastic</t>
  </si>
  <si>
    <t>Electric Installation</t>
  </si>
  <si>
    <t>Insurance</t>
  </si>
  <si>
    <t>Fire AMC</t>
  </si>
  <si>
    <t>Telephone/Internet Expenses</t>
  </si>
  <si>
    <t>Legal Fees</t>
  </si>
  <si>
    <t>Less: Expenses trfd to Fund/Income</t>
  </si>
  <si>
    <t>Less: Member's Receivable</t>
  </si>
  <si>
    <t>To Excess of Income over Expenditure</t>
  </si>
  <si>
    <t>Balance as per last year</t>
  </si>
  <si>
    <t>Add: Surplus during the year</t>
  </si>
  <si>
    <t>EMD from Hetcon LLP/Vaibhav</t>
  </si>
  <si>
    <t>Less: FY 22-23 prepaid exps of lift</t>
  </si>
  <si>
    <t>Balance Sheet As at 31.03.2026</t>
  </si>
  <si>
    <t>2025-2026</t>
  </si>
  <si>
    <t>Income &amp; Expenditure Statement for the period  01-04-2025 to 31-03-2026</t>
  </si>
  <si>
    <t>31.03.2026</t>
  </si>
  <si>
    <t>Details of Fixed Deposits with Banks as on 31.03.2026</t>
  </si>
  <si>
    <t xml:space="preserve"> Interest Accrued        24-25</t>
  </si>
  <si>
    <t xml:space="preserve"> Interest Accrued        25-26</t>
  </si>
  <si>
    <t xml:space="preserve">  Receivable from Members as on 31-03-2026</t>
  </si>
  <si>
    <t>Advance Maintenance from Members As on 31.03.2026</t>
  </si>
  <si>
    <t>Refundable Deposit- Member as on 31.03.2026</t>
  </si>
  <si>
    <t>Reserves &amp; Surplus as on 31.03.2026</t>
  </si>
  <si>
    <t>Opening balance 01.04.2025</t>
  </si>
  <si>
    <t>Closing Balance as on 31.03.2026</t>
  </si>
  <si>
    <t>Payables/ Provisions  as on 31.03.2026</t>
  </si>
  <si>
    <t>Fixed Assets Details as at 31st March 2026</t>
  </si>
  <si>
    <t>Opening W.D.V. as on 01.04.2025</t>
  </si>
  <si>
    <t>Additions during the year before 30.09.2025</t>
  </si>
  <si>
    <t>Additions during the year after 30.09.2025</t>
  </si>
  <si>
    <t>Gross Block (at cost) as on 31.03.2026</t>
  </si>
  <si>
    <t>Closing W.D.V. as on 31.03.2026</t>
  </si>
  <si>
    <t>140057802073/16</t>
  </si>
  <si>
    <t>26.09.2026</t>
  </si>
  <si>
    <t>140057802073/17</t>
  </si>
  <si>
    <t>140057802073/18</t>
  </si>
  <si>
    <t>MATURED</t>
  </si>
  <si>
    <t>PREMATURED BUT CHECK PROPERLY</t>
  </si>
  <si>
    <t>140057802073/19</t>
  </si>
  <si>
    <t>26.11.2025</t>
  </si>
  <si>
    <t>140100289855/9</t>
  </si>
  <si>
    <t>02.06.2026</t>
  </si>
  <si>
    <t>140100289855/7</t>
  </si>
  <si>
    <t>140100289855/8</t>
  </si>
  <si>
    <t>PREMATURED</t>
  </si>
  <si>
    <t>???</t>
  </si>
  <si>
    <t>OCT 25 TO DEC 25 NOT PAID</t>
  </si>
  <si>
    <t>????</t>
  </si>
  <si>
    <t>NOT PAID</t>
  </si>
  <si>
    <t>Water Charges</t>
  </si>
  <si>
    <t>To Interest on Income Tax</t>
  </si>
  <si>
    <t>Brihanmumbai Municipal Corporation</t>
  </si>
  <si>
    <t>MADHU PANDEY</t>
  </si>
  <si>
    <t>Electricity Expenses</t>
  </si>
  <si>
    <t>Manager Salary</t>
  </si>
  <si>
    <t>Plumbing Maint Expenses</t>
  </si>
  <si>
    <t>Retention - Vaibhav Enterprises</t>
  </si>
  <si>
    <t>Legal Charges</t>
  </si>
  <si>
    <t>Deemed Conveyance Expenses</t>
  </si>
  <si>
    <t>Mrs Mittal Furia Mr. Bhavya Furia &amp; Mr. Dhiraj Furia</t>
  </si>
  <si>
    <t>0101</t>
  </si>
  <si>
    <t>0102</t>
  </si>
  <si>
    <t>0103A</t>
  </si>
  <si>
    <t>0103B</t>
  </si>
  <si>
    <t>0202</t>
  </si>
  <si>
    <t>0203</t>
  </si>
  <si>
    <t>0301</t>
  </si>
  <si>
    <t>0302</t>
  </si>
  <si>
    <t>0303</t>
  </si>
  <si>
    <t>0304</t>
  </si>
  <si>
    <t>0401</t>
  </si>
  <si>
    <t>0402</t>
  </si>
  <si>
    <t>0403</t>
  </si>
  <si>
    <t>0404</t>
  </si>
  <si>
    <t>0501</t>
  </si>
  <si>
    <t>0502</t>
  </si>
  <si>
    <t>0503</t>
  </si>
  <si>
    <t>MRS. VIDYA VASUDEV PRABHU &amp; MR. VASUDEV BABURAO PRABHU</t>
  </si>
  <si>
    <t>0504</t>
  </si>
  <si>
    <t>MR. VASUDEV BABURAO PRABHU</t>
  </si>
  <si>
    <t>0601</t>
  </si>
  <si>
    <t>0602</t>
  </si>
  <si>
    <t>0603</t>
  </si>
  <si>
    <t>0604</t>
  </si>
  <si>
    <t>0702</t>
  </si>
  <si>
    <t>0703</t>
  </si>
  <si>
    <t>0704</t>
  </si>
  <si>
    <t>0803</t>
  </si>
  <si>
    <t>0902</t>
  </si>
  <si>
    <t>0903</t>
  </si>
  <si>
    <t>0904</t>
  </si>
  <si>
    <t>Mr. Ritesh J. Shah &amp; Mrs. Isha R. Shah</t>
  </si>
  <si>
    <t>Mr. Amrish  Patel</t>
  </si>
  <si>
    <t>Mr. Mayank Sanjay Patel</t>
  </si>
  <si>
    <t xml:space="preserve">	Mr. Hitesh K. &amp; Shilpa H.</t>
  </si>
  <si>
    <t>Mr. Narendra Pravinchandra Shah</t>
  </si>
  <si>
    <t>Excess of Expenditure over Income</t>
  </si>
  <si>
    <t>Less: Deficit during the year</t>
  </si>
  <si>
    <t>Electrician Salary</t>
  </si>
  <si>
    <t>Date</t>
  </si>
  <si>
    <t xml:space="preserve"> Amount </t>
  </si>
  <si>
    <t>Balance as per System (Book Balance)</t>
  </si>
  <si>
    <t>Less: Cheques deposited but not cleared</t>
  </si>
  <si>
    <t>Balance as per Passbook</t>
  </si>
  <si>
    <t>Kent Heights CHS Ltd.</t>
  </si>
  <si>
    <t>Canara Bank Reconciliation as of 31.03.2026</t>
  </si>
  <si>
    <t>Instru. No.</t>
  </si>
  <si>
    <t>Remarks</t>
  </si>
  <si>
    <t>13.03.2026</t>
  </si>
  <si>
    <t>00257</t>
  </si>
  <si>
    <t>Flat 1703 - Mainatenance</t>
  </si>
  <si>
    <t>Flat 0903 - Mainatenance</t>
  </si>
  <si>
    <t>Flat 0904 - Mainatenance</t>
  </si>
  <si>
    <t>MDCC Bank Reconciliation as of 31.03.2026</t>
  </si>
  <si>
    <t>Cosmos Bank Reconciliation as of 31.05.2025</t>
  </si>
  <si>
    <t>A/c closed</t>
  </si>
  <si>
    <t>Deemed Conveyance</t>
  </si>
  <si>
    <t>Less: Expense Incurred during the Year</t>
  </si>
  <si>
    <t>Income Tax Provision</t>
  </si>
  <si>
    <t>Income from Savings A/c.</t>
  </si>
  <si>
    <t>Income from Fixed Deposit</t>
  </si>
  <si>
    <t>Interest on IT Refund</t>
  </si>
  <si>
    <t>Sale of scrap &amp; Promotional</t>
  </si>
  <si>
    <t>Gross Taxable Income</t>
  </si>
  <si>
    <t>Less:</t>
  </si>
  <si>
    <t>Deduction U/S 80P</t>
  </si>
  <si>
    <t>Net Taxable Income</t>
  </si>
  <si>
    <t>0-10000</t>
  </si>
  <si>
    <t>10000-20000</t>
  </si>
  <si>
    <t>20000 or More</t>
  </si>
  <si>
    <t>Tax</t>
  </si>
  <si>
    <t>Add</t>
  </si>
  <si>
    <t>Education cess</t>
  </si>
  <si>
    <t>Total Tax</t>
  </si>
  <si>
    <t>Say</t>
  </si>
  <si>
    <t xml:space="preserve">Income Tax </t>
  </si>
  <si>
    <t>To Water Charges</t>
  </si>
  <si>
    <t>Depreciation</t>
  </si>
  <si>
    <t>Festival</t>
  </si>
  <si>
    <t>Income Tax</t>
  </si>
  <si>
    <t>Property Tax  (BMC)</t>
  </si>
  <si>
    <t>Common Area Electricity Exp.</t>
  </si>
  <si>
    <t>Expense Short fall</t>
  </si>
  <si>
    <t>to check for major repair</t>
  </si>
  <si>
    <t>Block</t>
  </si>
  <si>
    <t>Unit</t>
  </si>
  <si>
    <t>Invoiced till 01-04-2025</t>
  </si>
  <si>
    <t>Invoiced after 01-04-2025</t>
  </si>
  <si>
    <t>0104</t>
  </si>
  <si>
    <t>0201</t>
  </si>
  <si>
    <t>0204</t>
  </si>
  <si>
    <t>Mr. Shivkumar M. Baid, Mrs. Sunita Shivkumar Baid &amp; Mr. Prakshit Shivkumar Baid</t>
  </si>
  <si>
    <t>0701</t>
  </si>
  <si>
    <t>0801</t>
  </si>
  <si>
    <t>0802</t>
  </si>
  <si>
    <t>0901</t>
  </si>
  <si>
    <t>₹41,59,984.00</t>
  </si>
  <si>
    <t>₹20,79,992.00</t>
  </si>
  <si>
    <t>Billed till 31.03.2026</t>
  </si>
  <si>
    <t>Actual Receivables</t>
  </si>
  <si>
    <t>Total Receipt</t>
  </si>
  <si>
    <t>Name</t>
  </si>
  <si>
    <t>Sl. No</t>
  </si>
  <si>
    <t>Actual to be collected for 4 inst. (Incl. Prov.)</t>
  </si>
  <si>
    <t>Kent Heights CHS LTD - Major Repair Charges Collection Summary</t>
  </si>
  <si>
    <t>Per Qtr</t>
  </si>
  <si>
    <t>Utility '0301</t>
  </si>
  <si>
    <t>Major repair receivables for 4 Instalment</t>
  </si>
  <si>
    <t>Principal</t>
  </si>
  <si>
    <t>Interest</t>
  </si>
  <si>
    <t>Paid excess</t>
  </si>
  <si>
    <t>Flat 301 Paid excess</t>
  </si>
  <si>
    <t>Shri. Bharat C. Boridkar</t>
  </si>
  <si>
    <t>Govt. Certified Panel Auditor</t>
  </si>
  <si>
    <t>[Panel No.: Mumbai-4/C1/1011404]</t>
  </si>
  <si>
    <t>Chairman                       Secretary                       Treasurer</t>
  </si>
  <si>
    <t>FOR KENT - HEIGHTS CO-OPERATIVE HOUSING SOCIETY LTD.</t>
  </si>
  <si>
    <t>Add: Property Tax Payable write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</si>
</sst>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  <numFmt numFmtId="166" formatCode="&quot;Mumbai: &quot;dd&quot;th&quot;\ mmmm\,\ yyyy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5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u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2"/>
      <color theme="1"/>
      <name val="Calibri"/>
      <family val="2"/>
      <scheme val="minor"/>
    </font>
    <font>
      <b/>
      <sz val="12"/>
      <name val="Calibri"/>
      <family val="2"/>
    </font>
    <font>
      <b/>
      <u/>
      <sz val="14"/>
      <name val="Calibri"/>
      <family val="2"/>
    </font>
    <font>
      <b/>
      <sz val="12"/>
      <name val="Arial"/>
      <family val="2"/>
    </font>
    <font>
      <sz val="11"/>
      <name val="Calibri"/>
      <family val="2"/>
    </font>
    <font>
      <b/>
      <u/>
      <sz val="12"/>
      <name val="Calibri"/>
      <family val="2"/>
    </font>
    <font>
      <sz val="8"/>
      <color theme="1"/>
      <name val="Arial"/>
      <family val="2"/>
    </font>
    <font>
      <b/>
      <u/>
      <sz val="16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0"/>
      <name val="Times New Roman"/>
      <family val="1"/>
    </font>
    <font>
      <b/>
      <sz val="11"/>
      <name val="Bookman Old Style"/>
      <family val="1"/>
    </font>
    <font>
      <sz val="11"/>
      <name val="Times New Roman"/>
      <family val="1"/>
    </font>
    <font>
      <sz val="12"/>
      <name val="Calibri"/>
      <family val="2"/>
      <scheme val="minor"/>
    </font>
    <font>
      <sz val="10"/>
      <name val="Arial"/>
      <family val="2"/>
    </font>
    <font>
      <b/>
      <u/>
      <sz val="16"/>
      <name val="Calibri"/>
      <family val="2"/>
    </font>
    <font>
      <b/>
      <u/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1" fillId="0" borderId="0"/>
    <xf numFmtId="0" fontId="31" fillId="0" borderId="0"/>
    <xf numFmtId="0" fontId="33" fillId="0" borderId="0"/>
  </cellStyleXfs>
  <cellXfs count="368">
    <xf numFmtId="0" fontId="0" fillId="0" borderId="0" xfId="0"/>
    <xf numFmtId="0" fontId="0" fillId="0" borderId="1" xfId="0" applyBorder="1"/>
    <xf numFmtId="43" fontId="0" fillId="0" borderId="1" xfId="1" applyFont="1" applyFill="1" applyBorder="1"/>
    <xf numFmtId="43" fontId="0" fillId="0" borderId="0" xfId="1" applyFont="1" applyFill="1" applyBorder="1"/>
    <xf numFmtId="0" fontId="0" fillId="0" borderId="0" xfId="0" applyAlignment="1">
      <alignment horizontal="center"/>
    </xf>
    <xf numFmtId="43" fontId="0" fillId="0" borderId="0" xfId="1" applyFont="1" applyAlignment="1"/>
    <xf numFmtId="43" fontId="0" fillId="0" borderId="0" xfId="0" applyNumberForma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43" fontId="3" fillId="0" borderId="14" xfId="1" applyFont="1" applyFill="1" applyBorder="1" applyAlignment="1">
      <alignment horizontal="center" vertical="center" wrapText="1"/>
    </xf>
    <xf numFmtId="43" fontId="4" fillId="0" borderId="0" xfId="1" applyFont="1" applyFill="1"/>
    <xf numFmtId="43" fontId="10" fillId="0" borderId="0" xfId="1" applyFont="1" applyFill="1" applyBorder="1"/>
    <xf numFmtId="43" fontId="0" fillId="0" borderId="0" xfId="1" applyFont="1" applyFill="1"/>
    <xf numFmtId="43" fontId="1" fillId="0" borderId="3" xfId="1" applyFont="1" applyFill="1" applyBorder="1" applyAlignment="1">
      <alignment horizontal="right"/>
    </xf>
    <xf numFmtId="43" fontId="1" fillId="0" borderId="3" xfId="1" applyFont="1" applyFill="1" applyBorder="1" applyAlignment="1">
      <alignment wrapText="1"/>
    </xf>
    <xf numFmtId="43" fontId="1" fillId="0" borderId="3" xfId="1" applyFont="1" applyFill="1" applyBorder="1"/>
    <xf numFmtId="43" fontId="1" fillId="0" borderId="8" xfId="1" applyFont="1" applyFill="1" applyBorder="1"/>
    <xf numFmtId="43" fontId="0" fillId="0" borderId="5" xfId="1" applyFont="1" applyFill="1" applyBorder="1" applyAlignment="1">
      <alignment wrapText="1"/>
    </xf>
    <xf numFmtId="43" fontId="0" fillId="0" borderId="6" xfId="1" applyFont="1" applyFill="1" applyBorder="1" applyAlignment="1">
      <alignment horizontal="right"/>
    </xf>
    <xf numFmtId="0" fontId="1" fillId="0" borderId="11" xfId="0" applyFont="1" applyBorder="1"/>
    <xf numFmtId="164" fontId="0" fillId="0" borderId="1" xfId="1" applyNumberFormat="1" applyFont="1" applyFill="1" applyBorder="1"/>
    <xf numFmtId="0" fontId="1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43" fontId="1" fillId="0" borderId="14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vertical="center"/>
    </xf>
    <xf numFmtId="164" fontId="5" fillId="0" borderId="14" xfId="1" applyNumberFormat="1" applyFont="1" applyFill="1" applyBorder="1"/>
    <xf numFmtId="1" fontId="0" fillId="0" borderId="1" xfId="0" applyNumberForma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1" fillId="0" borderId="14" xfId="1" applyNumberFormat="1" applyFont="1" applyFill="1" applyBorder="1"/>
    <xf numFmtId="0" fontId="1" fillId="0" borderId="0" xfId="0" applyFont="1"/>
    <xf numFmtId="164" fontId="1" fillId="0" borderId="0" xfId="1" applyNumberFormat="1" applyFont="1" applyFill="1" applyBorder="1"/>
    <xf numFmtId="43" fontId="0" fillId="0" borderId="0" xfId="1" applyFont="1" applyFill="1" applyBorder="1" applyAlignment="1">
      <alignment horizontal="right"/>
    </xf>
    <xf numFmtId="4" fontId="0" fillId="0" borderId="0" xfId="0" applyNumberFormat="1"/>
    <xf numFmtId="164" fontId="18" fillId="0" borderId="14" xfId="1" applyNumberFormat="1" applyFont="1" applyFill="1" applyBorder="1"/>
    <xf numFmtId="1" fontId="0" fillId="0" borderId="2" xfId="0" applyNumberFormat="1" applyBorder="1" applyAlignment="1">
      <alignment horizontal="center"/>
    </xf>
    <xf numFmtId="43" fontId="0" fillId="0" borderId="5" xfId="1" applyFont="1" applyFill="1" applyBorder="1" applyAlignment="1">
      <alignment horizontal="right"/>
    </xf>
    <xf numFmtId="43" fontId="1" fillId="0" borderId="5" xfId="1" applyFont="1" applyFill="1" applyBorder="1" applyAlignment="1">
      <alignment horizontal="left" vertical="center" wrapText="1"/>
    </xf>
    <xf numFmtId="0" fontId="0" fillId="2" borderId="0" xfId="0" applyFill="1"/>
    <xf numFmtId="14" fontId="0" fillId="0" borderId="0" xfId="0" applyNumberFormat="1"/>
    <xf numFmtId="43" fontId="0" fillId="0" borderId="3" xfId="1" applyFont="1" applyFill="1" applyBorder="1"/>
    <xf numFmtId="43" fontId="0" fillId="0" borderId="7" xfId="1" applyFont="1" applyFill="1" applyBorder="1"/>
    <xf numFmtId="43" fontId="6" fillId="0" borderId="20" xfId="1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43" fontId="3" fillId="0" borderId="32" xfId="1" applyFont="1" applyFill="1" applyBorder="1" applyAlignment="1">
      <alignment horizontal="center" vertical="center" wrapText="1"/>
    </xf>
    <xf numFmtId="43" fontId="0" fillId="0" borderId="6" xfId="1" applyFont="1" applyFill="1" applyBorder="1"/>
    <xf numFmtId="43" fontId="0" fillId="0" borderId="2" xfId="1" applyFont="1" applyFill="1" applyBorder="1"/>
    <xf numFmtId="0" fontId="26" fillId="0" borderId="0" xfId="0" applyFont="1"/>
    <xf numFmtId="164" fontId="4" fillId="0" borderId="1" xfId="1" applyNumberFormat="1" applyFont="1" applyFill="1" applyBorder="1"/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right" vertical="center"/>
    </xf>
    <xf numFmtId="0" fontId="4" fillId="0" borderId="0" xfId="0" applyFont="1"/>
    <xf numFmtId="43" fontId="0" fillId="0" borderId="3" xfId="1" applyFont="1" applyFill="1" applyBorder="1" applyAlignment="1">
      <alignment horizontal="left" vertical="center" wrapText="1"/>
    </xf>
    <xf numFmtId="43" fontId="1" fillId="0" borderId="0" xfId="1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43" fontId="2" fillId="0" borderId="0" xfId="1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43" fontId="0" fillId="0" borderId="5" xfId="1" applyFont="1" applyFill="1" applyBorder="1" applyAlignment="1">
      <alignment horizontal="left" vertical="center" wrapText="1"/>
    </xf>
    <xf numFmtId="43" fontId="2" fillId="0" borderId="0" xfId="1" applyFont="1" applyFill="1" applyBorder="1" applyAlignment="1">
      <alignment wrapText="1"/>
    </xf>
    <xf numFmtId="0" fontId="0" fillId="0" borderId="4" xfId="0" applyBorder="1" applyAlignment="1">
      <alignment wrapText="1"/>
    </xf>
    <xf numFmtId="43" fontId="25" fillId="0" borderId="5" xfId="1" applyFont="1" applyFill="1" applyBorder="1" applyAlignment="1">
      <alignment horizontal="right"/>
    </xf>
    <xf numFmtId="43" fontId="1" fillId="0" borderId="3" xfId="1" applyFont="1" applyFill="1" applyBorder="1" applyAlignment="1">
      <alignment horizontal="left" vertical="center" wrapText="1"/>
    </xf>
    <xf numFmtId="43" fontId="1" fillId="0" borderId="15" xfId="1" applyFont="1" applyFill="1" applyBorder="1" applyAlignment="1">
      <alignment horizontal="left" vertical="center" wrapText="1"/>
    </xf>
    <xf numFmtId="43" fontId="0" fillId="0" borderId="0" xfId="1" applyFont="1" applyFill="1" applyBorder="1" applyAlignment="1">
      <alignment horizontal="left" vertical="center" wrapText="1"/>
    </xf>
    <xf numFmtId="43" fontId="0" fillId="0" borderId="3" xfId="1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4" fontId="1" fillId="0" borderId="3" xfId="0" applyNumberFormat="1" applyFont="1" applyBorder="1" applyAlignment="1">
      <alignment horizontal="right"/>
    </xf>
    <xf numFmtId="0" fontId="0" fillId="0" borderId="0" xfId="0" applyAlignment="1">
      <alignment wrapText="1"/>
    </xf>
    <xf numFmtId="0" fontId="1" fillId="0" borderId="3" xfId="0" applyFont="1" applyBorder="1"/>
    <xf numFmtId="43" fontId="2" fillId="0" borderId="0" xfId="1" applyFont="1" applyFill="1" applyBorder="1"/>
    <xf numFmtId="0" fontId="0" fillId="0" borderId="4" xfId="0" applyBorder="1"/>
    <xf numFmtId="43" fontId="0" fillId="0" borderId="5" xfId="1" applyFont="1" applyFill="1" applyBorder="1"/>
    <xf numFmtId="43" fontId="2" fillId="0" borderId="0" xfId="1" applyFont="1" applyFill="1" applyBorder="1" applyAlignment="1"/>
    <xf numFmtId="0" fontId="8" fillId="0" borderId="4" xfId="0" applyFont="1" applyBorder="1"/>
    <xf numFmtId="43" fontId="0" fillId="0" borderId="3" xfId="1" applyFont="1" applyFill="1" applyBorder="1" applyAlignment="1">
      <alignment horizontal="right"/>
    </xf>
    <xf numFmtId="43" fontId="0" fillId="0" borderId="0" xfId="1" applyFont="1" applyFill="1" applyAlignment="1">
      <alignment vertical="center"/>
    </xf>
    <xf numFmtId="0" fontId="0" fillId="0" borderId="0" xfId="0" applyAlignment="1">
      <alignment vertical="center"/>
    </xf>
    <xf numFmtId="43" fontId="2" fillId="0" borderId="0" xfId="1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4" fontId="1" fillId="0" borderId="3" xfId="0" applyNumberFormat="1" applyFont="1" applyBorder="1" applyAlignment="1">
      <alignment wrapText="1"/>
    </xf>
    <xf numFmtId="43" fontId="1" fillId="0" borderId="3" xfId="1" applyFont="1" applyFill="1" applyBorder="1" applyAlignment="1">
      <alignment vertical="center" wrapText="1"/>
    </xf>
    <xf numFmtId="0" fontId="8" fillId="0" borderId="4" xfId="0" applyFont="1" applyBorder="1" applyAlignment="1">
      <alignment wrapText="1"/>
    </xf>
    <xf numFmtId="0" fontId="1" fillId="0" borderId="0" xfId="0" applyFont="1" applyAlignment="1">
      <alignment vertical="center"/>
    </xf>
    <xf numFmtId="43" fontId="0" fillId="0" borderId="0" xfId="1" applyFont="1" applyFill="1" applyBorder="1" applyAlignment="1">
      <alignment wrapText="1"/>
    </xf>
    <xf numFmtId="43" fontId="0" fillId="0" borderId="0" xfId="1" applyFont="1" applyFill="1" applyBorder="1" applyAlignment="1">
      <alignment vertical="center"/>
    </xf>
    <xf numFmtId="43" fontId="2" fillId="0" borderId="5" xfId="1" applyFont="1" applyFill="1" applyBorder="1" applyAlignment="1">
      <alignment vertical="center" wrapText="1"/>
    </xf>
    <xf numFmtId="43" fontId="1" fillId="0" borderId="6" xfId="1" applyFont="1" applyFill="1" applyBorder="1" applyAlignment="1">
      <alignment vertical="center" wrapText="1"/>
    </xf>
    <xf numFmtId="43" fontId="1" fillId="0" borderId="5" xfId="1" applyFont="1" applyFill="1" applyBorder="1" applyAlignment="1">
      <alignment horizontal="right"/>
    </xf>
    <xf numFmtId="43" fontId="1" fillId="0" borderId="5" xfId="1" applyFont="1" applyFill="1" applyBorder="1" applyAlignment="1">
      <alignment vertical="center" wrapText="1"/>
    </xf>
    <xf numFmtId="43" fontId="0" fillId="0" borderId="2" xfId="1" applyFont="1" applyFill="1" applyBorder="1" applyAlignment="1">
      <alignment wrapText="1"/>
    </xf>
    <xf numFmtId="0" fontId="0" fillId="0" borderId="30" xfId="0" applyBorder="1" applyAlignment="1">
      <alignment wrapText="1"/>
    </xf>
    <xf numFmtId="43" fontId="0" fillId="0" borderId="6" xfId="1" applyFont="1" applyFill="1" applyBorder="1" applyAlignment="1">
      <alignment wrapText="1"/>
    </xf>
    <xf numFmtId="0" fontId="1" fillId="0" borderId="30" xfId="0" applyFont="1" applyBorder="1" applyAlignment="1">
      <alignment wrapText="1"/>
    </xf>
    <xf numFmtId="43" fontId="1" fillId="0" borderId="6" xfId="1" applyFont="1" applyFill="1" applyBorder="1" applyAlignment="1">
      <alignment horizontal="right"/>
    </xf>
    <xf numFmtId="4" fontId="1" fillId="0" borderId="14" xfId="0" applyNumberFormat="1" applyFont="1" applyBorder="1" applyAlignment="1">
      <alignment horizontal="right" vertical="center"/>
    </xf>
    <xf numFmtId="43" fontId="1" fillId="0" borderId="10" xfId="1" applyFont="1" applyFill="1" applyBorder="1" applyAlignment="1">
      <alignment horizontal="right" vertical="center"/>
    </xf>
    <xf numFmtId="0" fontId="10" fillId="0" borderId="0" xfId="0" applyFont="1"/>
    <xf numFmtId="0" fontId="9" fillId="0" borderId="0" xfId="0" applyFont="1"/>
    <xf numFmtId="43" fontId="10" fillId="0" borderId="0" xfId="1" applyFont="1" applyFill="1"/>
    <xf numFmtId="43" fontId="2" fillId="0" borderId="0" xfId="1" applyFont="1" applyFill="1"/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3" fontId="3" fillId="0" borderId="3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/>
    <xf numFmtId="0" fontId="0" fillId="0" borderId="5" xfId="0" applyBorder="1" applyAlignment="1">
      <alignment wrapText="1"/>
    </xf>
    <xf numFmtId="4" fontId="0" fillId="0" borderId="5" xfId="0" applyNumberFormat="1" applyBorder="1" applyAlignment="1">
      <alignment horizontal="right"/>
    </xf>
    <xf numFmtId="4" fontId="0" fillId="0" borderId="6" xfId="0" applyNumberFormat="1" applyBorder="1" applyAlignment="1">
      <alignment horizontal="right" vertical="center"/>
    </xf>
    <xf numFmtId="4" fontId="0" fillId="0" borderId="6" xfId="0" applyNumberFormat="1" applyBorder="1" applyAlignment="1">
      <alignment horizontal="right"/>
    </xf>
    <xf numFmtId="0" fontId="0" fillId="0" borderId="4" xfId="0" applyBorder="1" applyAlignment="1">
      <alignment horizontal="left" vertical="center" wrapText="1"/>
    </xf>
    <xf numFmtId="43" fontId="1" fillId="0" borderId="5" xfId="1" applyFont="1" applyFill="1" applyBorder="1" applyAlignment="1">
      <alignment wrapText="1"/>
    </xf>
    <xf numFmtId="43" fontId="1" fillId="0" borderId="5" xfId="0" applyNumberFormat="1" applyFont="1" applyBorder="1" applyAlignment="1">
      <alignment wrapText="1"/>
    </xf>
    <xf numFmtId="0" fontId="1" fillId="0" borderId="5" xfId="0" applyFont="1" applyBorder="1" applyAlignment="1">
      <alignment wrapText="1"/>
    </xf>
    <xf numFmtId="43" fontId="1" fillId="0" borderId="5" xfId="0" applyNumberFormat="1" applyFont="1" applyBorder="1"/>
    <xf numFmtId="43" fontId="14" fillId="0" borderId="0" xfId="1" applyFont="1" applyFill="1" applyAlignment="1">
      <alignment vertical="center"/>
    </xf>
    <xf numFmtId="0" fontId="9" fillId="0" borderId="0" xfId="0" applyFont="1" applyAlignment="1">
      <alignment vertical="center"/>
    </xf>
    <xf numFmtId="0" fontId="0" fillId="0" borderId="27" xfId="0" applyBorder="1"/>
    <xf numFmtId="0" fontId="1" fillId="0" borderId="6" xfId="0" applyFont="1" applyBorder="1" applyAlignment="1">
      <alignment wrapText="1"/>
    </xf>
    <xf numFmtId="0" fontId="0" fillId="0" borderId="30" xfId="0" applyBorder="1"/>
    <xf numFmtId="0" fontId="1" fillId="0" borderId="2" xfId="0" applyFont="1" applyBorder="1"/>
    <xf numFmtId="43" fontId="4" fillId="0" borderId="5" xfId="1" applyFont="1" applyFill="1" applyBorder="1" applyAlignment="1">
      <alignment horizontal="right"/>
    </xf>
    <xf numFmtId="0" fontId="1" fillId="0" borderId="14" xfId="0" applyFont="1" applyBorder="1" applyAlignment="1">
      <alignment horizontal="center" vertical="center" wrapText="1"/>
    </xf>
    <xf numFmtId="0" fontId="0" fillId="0" borderId="6" xfId="0" applyBorder="1"/>
    <xf numFmtId="0" fontId="0" fillId="0" borderId="28" xfId="0" applyBorder="1"/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43" fontId="6" fillId="0" borderId="1" xfId="1" applyFont="1" applyFill="1" applyBorder="1" applyAlignment="1">
      <alignment horizontal="center" vertical="center" wrapText="1"/>
    </xf>
    <xf numFmtId="0" fontId="6" fillId="0" borderId="0" xfId="0" applyFont="1"/>
    <xf numFmtId="1" fontId="21" fillId="0" borderId="1" xfId="0" quotePrefix="1" applyNumberFormat="1" applyFont="1" applyBorder="1" applyAlignment="1">
      <alignment horizontal="left"/>
    </xf>
    <xf numFmtId="0" fontId="0" fillId="0" borderId="2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3" fontId="4" fillId="0" borderId="1" xfId="1" applyFont="1" applyFill="1" applyBorder="1"/>
    <xf numFmtId="0" fontId="4" fillId="0" borderId="2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43" fontId="4" fillId="0" borderId="7" xfId="1" applyFont="1" applyFill="1" applyBorder="1"/>
    <xf numFmtId="0" fontId="0" fillId="0" borderId="30" xfId="0" applyBorder="1" applyAlignment="1">
      <alignment horizontal="center"/>
    </xf>
    <xf numFmtId="43" fontId="4" fillId="0" borderId="30" xfId="1" applyFont="1" applyFill="1" applyBorder="1"/>
    <xf numFmtId="0" fontId="4" fillId="0" borderId="30" xfId="0" applyFont="1" applyBorder="1" applyAlignment="1">
      <alignment horizontal="center"/>
    </xf>
    <xf numFmtId="0" fontId="0" fillId="0" borderId="5" xfId="0" applyBorder="1" applyAlignment="1">
      <alignment horizontal="center"/>
    </xf>
    <xf numFmtId="43" fontId="0" fillId="0" borderId="5" xfId="1" applyFont="1" applyBorder="1"/>
    <xf numFmtId="43" fontId="1" fillId="0" borderId="13" xfId="1" applyFont="1" applyBorder="1"/>
    <xf numFmtId="4" fontId="0" fillId="0" borderId="5" xfId="0" applyNumberFormat="1" applyBorder="1"/>
    <xf numFmtId="4" fontId="1" fillId="0" borderId="13" xfId="0" applyNumberFormat="1" applyFont="1" applyBorder="1"/>
    <xf numFmtId="43" fontId="0" fillId="0" borderId="34" xfId="1" applyFont="1" applyBorder="1"/>
    <xf numFmtId="43" fontId="0" fillId="0" borderId="1" xfId="1" applyFont="1" applyBorder="1"/>
    <xf numFmtId="0" fontId="0" fillId="0" borderId="1" xfId="0" quotePrefix="1" applyBorder="1" applyAlignment="1">
      <alignment horizontal="center"/>
    </xf>
    <xf numFmtId="43" fontId="2" fillId="0" borderId="1" xfId="1" applyFont="1" applyBorder="1" applyAlignment="1">
      <alignment horizontal="center"/>
    </xf>
    <xf numFmtId="4" fontId="4" fillId="0" borderId="5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43" fontId="27" fillId="0" borderId="3" xfId="0" applyNumberFormat="1" applyFont="1" applyBorder="1"/>
    <xf numFmtId="43" fontId="0" fillId="0" borderId="0" xfId="1" applyFont="1"/>
    <xf numFmtId="43" fontId="0" fillId="0" borderId="30" xfId="1" applyFont="1" applyBorder="1"/>
    <xf numFmtId="9" fontId="0" fillId="0" borderId="0" xfId="0" applyNumberFormat="1"/>
    <xf numFmtId="0" fontId="1" fillId="0" borderId="0" xfId="0" applyFont="1" applyAlignment="1">
      <alignment horizontal="left"/>
    </xf>
    <xf numFmtId="165" fontId="1" fillId="0" borderId="11" xfId="0" applyNumberFormat="1" applyFont="1" applyBorder="1"/>
    <xf numFmtId="43" fontId="0" fillId="0" borderId="0" xfId="0" applyNumberFormat="1" applyAlignment="1">
      <alignment vertical="center"/>
    </xf>
    <xf numFmtId="43" fontId="1" fillId="2" borderId="35" xfId="1" applyFont="1" applyFill="1" applyBorder="1"/>
    <xf numFmtId="43" fontId="1" fillId="0" borderId="1" xfId="0" applyNumberFormat="1" applyFont="1" applyBorder="1"/>
    <xf numFmtId="43" fontId="2" fillId="0" borderId="1" xfId="1" applyFont="1" applyFill="1" applyBorder="1" applyAlignment="1">
      <alignment horizontal="right"/>
    </xf>
    <xf numFmtId="43" fontId="4" fillId="0" borderId="1" xfId="1" applyFont="1" applyFill="1" applyBorder="1" applyAlignment="1">
      <alignment wrapText="1"/>
    </xf>
    <xf numFmtId="43" fontId="2" fillId="0" borderId="1" xfId="1" applyFont="1" applyFill="1" applyBorder="1" applyAlignment="1">
      <alignment wrapText="1"/>
    </xf>
    <xf numFmtId="43" fontId="0" fillId="0" borderId="1" xfId="0" applyNumberFormat="1" applyBorder="1"/>
    <xf numFmtId="43" fontId="0" fillId="0" borderId="5" xfId="1" applyFont="1" applyFill="1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28" fillId="0" borderId="0" xfId="0" applyFont="1"/>
    <xf numFmtId="1" fontId="0" fillId="0" borderId="0" xfId="0" applyNumberFormat="1" applyAlignment="1">
      <alignment horizontal="center"/>
    </xf>
    <xf numFmtId="164" fontId="0" fillId="0" borderId="0" xfId="1" applyNumberFormat="1" applyFont="1" applyFill="1" applyBorder="1"/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0" fillId="0" borderId="31" xfId="0" quotePrefix="1" applyNumberFormat="1" applyBorder="1" applyAlignment="1">
      <alignment horizontal="center"/>
    </xf>
    <xf numFmtId="4" fontId="1" fillId="0" borderId="0" xfId="0" applyNumberFormat="1" applyFont="1"/>
    <xf numFmtId="164" fontId="1" fillId="0" borderId="0" xfId="0" applyNumberFormat="1" applyFont="1"/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0" fillId="0" borderId="0" xfId="0" applyNumberFormat="1"/>
    <xf numFmtId="164" fontId="0" fillId="0" borderId="1" xfId="1" applyNumberFormat="1" applyFont="1" applyBorder="1"/>
    <xf numFmtId="164" fontId="0" fillId="0" borderId="28" xfId="1" applyNumberFormat="1" applyFont="1" applyBorder="1"/>
    <xf numFmtId="164" fontId="0" fillId="3" borderId="0" xfId="1" applyNumberFormat="1" applyFont="1" applyFill="1" applyBorder="1"/>
    <xf numFmtId="43" fontId="0" fillId="3" borderId="0" xfId="0" applyNumberFormat="1" applyFill="1"/>
    <xf numFmtId="43" fontId="1" fillId="0" borderId="4" xfId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43" fontId="29" fillId="0" borderId="0" xfId="1" applyFont="1" applyFill="1" applyBorder="1" applyAlignment="1">
      <alignment vertical="center"/>
    </xf>
    <xf numFmtId="43" fontId="0" fillId="0" borderId="5" xfId="1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43" fontId="1" fillId="0" borderId="0" xfId="2" applyFont="1" applyFill="1" applyBorder="1" applyAlignment="1">
      <alignment vertical="center"/>
    </xf>
    <xf numFmtId="43" fontId="0" fillId="0" borderId="0" xfId="2" applyFont="1" applyFill="1" applyBorder="1" applyAlignment="1">
      <alignment vertical="center"/>
    </xf>
    <xf numFmtId="43" fontId="1" fillId="0" borderId="5" xfId="2" applyFont="1" applyFill="1" applyBorder="1" applyAlignment="1">
      <alignment vertical="center"/>
    </xf>
    <xf numFmtId="43" fontId="0" fillId="0" borderId="0" xfId="1" applyFont="1" applyFill="1" applyAlignment="1"/>
    <xf numFmtId="0" fontId="7" fillId="0" borderId="4" xfId="0" applyFont="1" applyBorder="1" applyAlignment="1">
      <alignment vertical="center"/>
    </xf>
    <xf numFmtId="0" fontId="1" fillId="0" borderId="0" xfId="2" applyNumberFormat="1" applyFont="1" applyFill="1" applyBorder="1" applyAlignment="1">
      <alignment horizontal="left" vertical="center"/>
    </xf>
    <xf numFmtId="0" fontId="0" fillId="0" borderId="0" xfId="2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5" xfId="2" applyNumberFormat="1" applyFont="1" applyFill="1" applyBorder="1" applyAlignment="1">
      <alignment horizontal="left" vertical="center"/>
    </xf>
    <xf numFmtId="1" fontId="3" fillId="0" borderId="4" xfId="4" applyNumberFormat="1" applyFont="1" applyBorder="1" applyAlignment="1">
      <alignment vertical="center"/>
    </xf>
    <xf numFmtId="0" fontId="32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4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" fontId="32" fillId="0" borderId="4" xfId="4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30" xfId="2" applyNumberFormat="1" applyFont="1" applyFill="1" applyBorder="1" applyAlignment="1">
      <alignment horizontal="left" vertical="center"/>
    </xf>
    <xf numFmtId="0" fontId="0" fillId="0" borderId="30" xfId="2" applyNumberFormat="1" applyFont="1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1" fillId="0" borderId="6" xfId="2" applyNumberFormat="1" applyFont="1" applyFill="1" applyBorder="1" applyAlignment="1">
      <alignment horizontal="left" vertical="center"/>
    </xf>
    <xf numFmtId="0" fontId="0" fillId="0" borderId="36" xfId="0" applyBorder="1" applyAlignment="1">
      <alignment horizontal="center"/>
    </xf>
    <xf numFmtId="0" fontId="1" fillId="0" borderId="36" xfId="0" applyFont="1" applyBorder="1"/>
    <xf numFmtId="43" fontId="6" fillId="0" borderId="36" xfId="1" applyFont="1" applyFill="1" applyBorder="1"/>
    <xf numFmtId="43" fontId="0" fillId="0" borderId="36" xfId="1" applyFont="1" applyFill="1" applyBorder="1"/>
    <xf numFmtId="0" fontId="0" fillId="0" borderId="2" xfId="0" applyBorder="1"/>
    <xf numFmtId="164" fontId="0" fillId="0" borderId="2" xfId="1" applyNumberFormat="1" applyFont="1" applyBorder="1"/>
    <xf numFmtId="0" fontId="6" fillId="0" borderId="36" xfId="0" applyFont="1" applyBorder="1" applyAlignment="1">
      <alignment horizontal="center"/>
    </xf>
    <xf numFmtId="43" fontId="6" fillId="0" borderId="36" xfId="1" applyFont="1" applyFill="1" applyBorder="1" applyAlignment="1">
      <alignment horizontal="center"/>
    </xf>
    <xf numFmtId="164" fontId="0" fillId="0" borderId="2" xfId="1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43" fontId="1" fillId="0" borderId="14" xfId="1" applyFont="1" applyFill="1" applyBorder="1" applyAlignment="1">
      <alignment horizontal="center" vertical="center"/>
    </xf>
    <xf numFmtId="164" fontId="1" fillId="0" borderId="14" xfId="1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6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7" xfId="1" applyNumberFormat="1" applyFont="1" applyFill="1" applyBorder="1" applyAlignment="1">
      <alignment horizontal="center" vertical="center"/>
    </xf>
    <xf numFmtId="164" fontId="5" fillId="0" borderId="14" xfId="1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4" fontId="0" fillId="0" borderId="20" xfId="1" applyNumberFormat="1" applyFont="1" applyFill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8" xfId="0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3" fontId="0" fillId="0" borderId="19" xfId="2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43" fontId="0" fillId="0" borderId="20" xfId="2" applyFont="1" applyFill="1" applyBorder="1" applyAlignment="1">
      <alignment vertical="center"/>
    </xf>
    <xf numFmtId="43" fontId="1" fillId="0" borderId="14" xfId="0" applyNumberFormat="1" applyFont="1" applyBorder="1" applyAlignment="1">
      <alignment vertical="center"/>
    </xf>
    <xf numFmtId="43" fontId="3" fillId="0" borderId="13" xfId="1" applyFont="1" applyFill="1" applyBorder="1" applyAlignment="1">
      <alignment horizontal="center" vertical="center" wrapText="1"/>
    </xf>
    <xf numFmtId="43" fontId="2" fillId="0" borderId="5" xfId="1" applyFont="1" applyFill="1" applyBorder="1" applyAlignment="1">
      <alignment wrapText="1"/>
    </xf>
    <xf numFmtId="43" fontId="2" fillId="0" borderId="6" xfId="1" applyFont="1" applyFill="1" applyBorder="1" applyAlignment="1">
      <alignment wrapText="1"/>
    </xf>
    <xf numFmtId="43" fontId="1" fillId="0" borderId="13" xfId="1" applyFont="1" applyFill="1" applyBorder="1" applyAlignment="1">
      <alignment horizontal="right" vertical="center"/>
    </xf>
    <xf numFmtId="0" fontId="3" fillId="0" borderId="3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43" fontId="1" fillId="0" borderId="39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38" xfId="0" applyFont="1" applyBorder="1" applyAlignment="1">
      <alignment wrapText="1"/>
    </xf>
    <xf numFmtId="4" fontId="1" fillId="0" borderId="38" xfId="0" applyNumberFormat="1" applyFont="1" applyBorder="1" applyAlignment="1">
      <alignment horizontal="right"/>
    </xf>
    <xf numFmtId="0" fontId="1" fillId="0" borderId="38" xfId="0" applyFont="1" applyBorder="1"/>
    <xf numFmtId="43" fontId="1" fillId="0" borderId="38" xfId="0" applyNumberFormat="1" applyFont="1" applyBorder="1" applyAlignment="1">
      <alignment horizontal="left" vertical="center" wrapText="1"/>
    </xf>
    <xf numFmtId="43" fontId="1" fillId="0" borderId="38" xfId="0" applyNumberFormat="1" applyFont="1" applyBorder="1" applyAlignment="1">
      <alignment wrapText="1"/>
    </xf>
    <xf numFmtId="0" fontId="8" fillId="0" borderId="0" xfId="0" applyFont="1" applyAlignment="1">
      <alignment wrapText="1"/>
    </xf>
    <xf numFmtId="4" fontId="1" fillId="0" borderId="38" xfId="0" applyNumberFormat="1" applyFont="1" applyBorder="1" applyAlignment="1">
      <alignment wrapText="1"/>
    </xf>
    <xf numFmtId="43" fontId="1" fillId="0" borderId="38" xfId="1" applyFont="1" applyFill="1" applyBorder="1" applyAlignment="1">
      <alignment horizontal="right"/>
    </xf>
    <xf numFmtId="0" fontId="0" fillId="0" borderId="0" xfId="0" applyAlignment="1">
      <alignment horizontal="left" wrapText="1"/>
    </xf>
    <xf numFmtId="4" fontId="1" fillId="0" borderId="40" xfId="0" applyNumberFormat="1" applyFont="1" applyBorder="1" applyAlignment="1">
      <alignment horizontal="right"/>
    </xf>
    <xf numFmtId="0" fontId="4" fillId="0" borderId="0" xfId="0" applyFont="1" applyAlignment="1">
      <alignment wrapText="1"/>
    </xf>
    <xf numFmtId="165" fontId="1" fillId="0" borderId="41" xfId="0" applyNumberFormat="1" applyFont="1" applyBorder="1" applyAlignment="1">
      <alignment horizontal="right"/>
    </xf>
    <xf numFmtId="4" fontId="1" fillId="0" borderId="37" xfId="0" applyNumberFormat="1" applyFont="1" applyBorder="1" applyAlignment="1">
      <alignment horizontal="right" vertical="center"/>
    </xf>
    <xf numFmtId="43" fontId="3" fillId="0" borderId="10" xfId="1" applyFont="1" applyFill="1" applyBorder="1" applyAlignment="1">
      <alignment horizontal="center" vertical="center" wrapText="1"/>
    </xf>
    <xf numFmtId="43" fontId="0" fillId="0" borderId="5" xfId="1" applyFont="1" applyFill="1" applyBorder="1" applyAlignment="1">
      <alignment vertical="center" wrapText="1"/>
    </xf>
    <xf numFmtId="43" fontId="2" fillId="0" borderId="5" xfId="1" applyFont="1" applyFill="1" applyBorder="1" applyAlignment="1">
      <alignment horizontal="left" vertical="center" wrapText="1"/>
    </xf>
    <xf numFmtId="43" fontId="4" fillId="0" borderId="5" xfId="1" applyFont="1" applyFill="1" applyBorder="1"/>
    <xf numFmtId="43" fontId="0" fillId="0" borderId="30" xfId="1" applyFont="1" applyFill="1" applyBorder="1"/>
    <xf numFmtId="43" fontId="1" fillId="0" borderId="10" xfId="1" applyFont="1" applyFill="1" applyBorder="1"/>
    <xf numFmtId="43" fontId="3" fillId="0" borderId="42" xfId="1" applyFont="1" applyFill="1" applyBorder="1" applyAlignment="1">
      <alignment horizontal="center" vertical="center" wrapText="1"/>
    </xf>
    <xf numFmtId="43" fontId="1" fillId="0" borderId="38" xfId="1" applyFont="1" applyFill="1" applyBorder="1" applyAlignment="1">
      <alignment horizontal="left" vertical="center" wrapText="1"/>
    </xf>
    <xf numFmtId="43" fontId="27" fillId="0" borderId="38" xfId="1" applyFont="1" applyFill="1" applyBorder="1" applyAlignment="1">
      <alignment wrapText="1"/>
    </xf>
    <xf numFmtId="43" fontId="1" fillId="0" borderId="38" xfId="1" applyFont="1" applyFill="1" applyBorder="1" applyAlignment="1">
      <alignment wrapText="1"/>
    </xf>
    <xf numFmtId="43" fontId="1" fillId="0" borderId="38" xfId="1" applyFont="1" applyFill="1" applyBorder="1"/>
    <xf numFmtId="43" fontId="1" fillId="0" borderId="38" xfId="1" applyFont="1" applyFill="1" applyBorder="1" applyAlignment="1">
      <alignment horizontal="right" wrapText="1"/>
    </xf>
    <xf numFmtId="43" fontId="27" fillId="0" borderId="38" xfId="1" applyFont="1" applyFill="1" applyBorder="1"/>
    <xf numFmtId="43" fontId="27" fillId="0" borderId="38" xfId="1" applyFont="1" applyFill="1" applyBorder="1" applyAlignment="1">
      <alignment horizontal="right"/>
    </xf>
    <xf numFmtId="43" fontId="1" fillId="0" borderId="43" xfId="1" applyFont="1" applyFill="1" applyBorder="1" applyAlignment="1">
      <alignment horizontal="right"/>
    </xf>
    <xf numFmtId="43" fontId="1" fillId="0" borderId="42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1" applyNumberFormat="1" applyFont="1" applyBorder="1" applyAlignment="1">
      <alignment vertical="center"/>
    </xf>
    <xf numFmtId="41" fontId="0" fillId="0" borderId="0" xfId="0" applyNumberFormat="1" applyAlignment="1">
      <alignment vertical="center"/>
    </xf>
    <xf numFmtId="166" fontId="32" fillId="0" borderId="27" xfId="5" applyNumberFormat="1" applyFont="1" applyBorder="1" applyAlignment="1">
      <alignment horizontal="left" vertical="center"/>
    </xf>
    <xf numFmtId="166" fontId="32" fillId="0" borderId="30" xfId="5" applyNumberFormat="1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30" fillId="0" borderId="0" xfId="3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4" fillId="0" borderId="28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3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Comma" xfId="1" builtinId="3"/>
    <cellStyle name="Comma 2 2" xfId="2" xr:uid="{00000000-0005-0000-0000-000001000000}"/>
    <cellStyle name="Normal" xfId="0" builtinId="0"/>
    <cellStyle name="Normal 2" xfId="3" xr:uid="{7C8F3329-F520-40AE-B1EF-EEE29C4162BF}"/>
    <cellStyle name="Normal_BSPL 2004 NS" xfId="5" xr:uid="{8E861439-F19C-4451-A812-4C1BF416DFC8}"/>
    <cellStyle name="Normal_FY 2003-2004  2 2" xfId="4" xr:uid="{8C7E7D60-1390-45B3-8B69-404B474D0D7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3"/>
  <sheetViews>
    <sheetView view="pageBreakPreview" topLeftCell="D15" zoomScaleNormal="100" zoomScaleSheetLayoutView="100" workbookViewId="0">
      <selection activeCell="G15" sqref="G15"/>
    </sheetView>
  </sheetViews>
  <sheetFormatPr defaultColWidth="8.6640625" defaultRowHeight="14.4" x14ac:dyDescent="0.3"/>
  <cols>
    <col min="1" max="1" width="15.33203125" style="12" bestFit="1" customWidth="1"/>
    <col min="2" max="2" width="37.6640625" customWidth="1"/>
    <col min="3" max="3" width="13.33203125" style="12" customWidth="1"/>
    <col min="4" max="4" width="15.6640625" customWidth="1"/>
    <col min="5" max="5" width="15.6640625" style="101" customWidth="1"/>
    <col min="6" max="6" width="34.88671875" customWidth="1"/>
    <col min="7" max="7" width="14" style="12" customWidth="1"/>
    <col min="8" max="8" width="15.33203125" style="12" customWidth="1"/>
    <col min="9" max="9" width="14.33203125" style="12" bestFit="1" customWidth="1"/>
    <col min="10" max="10" width="13.109375" bestFit="1" customWidth="1"/>
  </cols>
  <sheetData>
    <row r="1" spans="1:9" ht="21" x14ac:dyDescent="0.3">
      <c r="A1" s="318" t="s">
        <v>79</v>
      </c>
      <c r="B1" s="319"/>
      <c r="C1" s="319"/>
      <c r="D1" s="319"/>
      <c r="E1" s="319"/>
      <c r="F1" s="319"/>
      <c r="G1" s="319"/>
      <c r="H1" s="320"/>
    </row>
    <row r="2" spans="1:9" x14ac:dyDescent="0.3">
      <c r="A2" s="328" t="str">
        <f>IE!A2</f>
        <v>(Regd. No. MUM / WP / HSG / 11721 / 2002-2003)</v>
      </c>
      <c r="B2" s="329"/>
      <c r="C2" s="329"/>
      <c r="D2" s="329"/>
      <c r="E2" s="329"/>
      <c r="F2" s="329"/>
      <c r="G2" s="329"/>
      <c r="H2" s="330"/>
    </row>
    <row r="3" spans="1:9" x14ac:dyDescent="0.3">
      <c r="A3" s="328" t="str">
        <f>IE!A3</f>
        <v>Add : Narsing Lane, Vardhaman Nagar, Goraswadi , Malad (West), Mumbai - 400064.</v>
      </c>
      <c r="B3" s="329"/>
      <c r="C3" s="329"/>
      <c r="D3" s="329"/>
      <c r="E3" s="329"/>
      <c r="F3" s="329"/>
      <c r="G3" s="329"/>
      <c r="H3" s="330"/>
    </row>
    <row r="4" spans="1:9" ht="17.399999999999999" x14ac:dyDescent="0.3">
      <c r="A4" s="321" t="s">
        <v>288</v>
      </c>
      <c r="B4" s="322"/>
      <c r="C4" s="322"/>
      <c r="D4" s="322"/>
      <c r="E4" s="322"/>
      <c r="F4" s="322"/>
      <c r="G4" s="322"/>
      <c r="H4" s="323"/>
    </row>
    <row r="5" spans="1:9" ht="17.399999999999999" x14ac:dyDescent="0.3">
      <c r="A5" s="49"/>
      <c r="B5" s="50"/>
      <c r="C5" s="50"/>
      <c r="D5" s="50"/>
      <c r="E5" s="50"/>
      <c r="F5" s="50"/>
      <c r="G5" s="50"/>
      <c r="H5" s="51" t="s">
        <v>233</v>
      </c>
    </row>
    <row r="6" spans="1:9" s="52" customFormat="1" ht="16.2" thickBot="1" x14ac:dyDescent="0.35">
      <c r="A6" s="9" t="s">
        <v>255</v>
      </c>
      <c r="B6" s="326" t="s">
        <v>0</v>
      </c>
      <c r="C6" s="327"/>
      <c r="D6" s="258" t="s">
        <v>289</v>
      </c>
      <c r="E6" s="254" t="str">
        <f>A6</f>
        <v>2024-2025</v>
      </c>
      <c r="F6" s="326" t="s">
        <v>1</v>
      </c>
      <c r="G6" s="327"/>
      <c r="H6" s="9" t="str">
        <f>D6</f>
        <v>2025-2026</v>
      </c>
      <c r="I6" s="10"/>
    </row>
    <row r="7" spans="1:9" ht="15" thickTop="1" x14ac:dyDescent="0.3">
      <c r="A7" s="53"/>
      <c r="B7" s="259"/>
      <c r="C7" s="54"/>
      <c r="D7" s="260"/>
      <c r="E7" s="56"/>
      <c r="F7" s="57" t="s">
        <v>106</v>
      </c>
      <c r="G7" s="58"/>
      <c r="H7" s="53"/>
    </row>
    <row r="8" spans="1:9" x14ac:dyDescent="0.3">
      <c r="A8" s="53"/>
      <c r="B8" s="261" t="s">
        <v>45</v>
      </c>
      <c r="C8" s="54"/>
      <c r="D8" s="260"/>
      <c r="E8" s="59">
        <v>13895</v>
      </c>
      <c r="F8" s="60" t="s">
        <v>107</v>
      </c>
      <c r="G8" s="123">
        <v>7701</v>
      </c>
      <c r="H8" s="62"/>
    </row>
    <row r="9" spans="1:9" ht="15" thickBot="1" x14ac:dyDescent="0.35">
      <c r="A9" s="63">
        <v>16030500</v>
      </c>
      <c r="B9" s="259" t="s">
        <v>87</v>
      </c>
      <c r="C9" s="37"/>
      <c r="D9" s="262">
        <f>50*320610</f>
        <v>16030500</v>
      </c>
      <c r="E9" s="59">
        <v>52982.29</v>
      </c>
      <c r="F9" s="60" t="s">
        <v>108</v>
      </c>
      <c r="G9" s="123">
        <f>BRS!B19</f>
        <v>0</v>
      </c>
      <c r="H9" s="62"/>
    </row>
    <row r="10" spans="1:9" ht="15" thickTop="1" x14ac:dyDescent="0.3">
      <c r="A10" s="53"/>
      <c r="B10" s="263"/>
      <c r="C10" s="64"/>
      <c r="D10" s="260"/>
      <c r="E10" s="59">
        <v>4616</v>
      </c>
      <c r="F10" s="60" t="s">
        <v>8</v>
      </c>
      <c r="G10" s="36">
        <f>BRS!B12</f>
        <v>4760</v>
      </c>
      <c r="H10" s="14"/>
    </row>
    <row r="11" spans="1:9" x14ac:dyDescent="0.3">
      <c r="A11" s="65"/>
      <c r="B11" s="331" t="s">
        <v>88</v>
      </c>
      <c r="C11" s="332"/>
      <c r="D11" s="264"/>
      <c r="E11" s="59">
        <v>1158211.8799999999</v>
      </c>
      <c r="F11" s="60" t="s">
        <v>110</v>
      </c>
      <c r="G11" s="18">
        <f>BRS!B4</f>
        <v>890014.17</v>
      </c>
      <c r="H11" s="14">
        <f>SUM(G8:G12)</f>
        <v>902475.17</v>
      </c>
    </row>
    <row r="12" spans="1:9" x14ac:dyDescent="0.3">
      <c r="A12" s="65">
        <v>22750</v>
      </c>
      <c r="B12" s="67" t="s">
        <v>67</v>
      </c>
      <c r="C12" s="32"/>
      <c r="D12" s="265">
        <v>22750</v>
      </c>
      <c r="E12" s="59"/>
      <c r="F12" s="60"/>
      <c r="G12" s="36"/>
      <c r="H12" s="14"/>
    </row>
    <row r="13" spans="1:9" x14ac:dyDescent="0.3">
      <c r="A13" s="65"/>
      <c r="B13" s="69"/>
      <c r="C13" s="32"/>
      <c r="D13" s="264"/>
      <c r="E13" s="56"/>
      <c r="F13" s="57" t="s">
        <v>9</v>
      </c>
      <c r="G13" s="58"/>
      <c r="H13" s="15"/>
    </row>
    <row r="14" spans="1:9" x14ac:dyDescent="0.3">
      <c r="A14" s="53"/>
      <c r="B14" s="316" t="s">
        <v>86</v>
      </c>
      <c r="C14" s="317"/>
      <c r="D14" s="266"/>
      <c r="E14" s="59">
        <v>1000</v>
      </c>
      <c r="F14" s="60" t="s">
        <v>10</v>
      </c>
      <c r="G14" s="36">
        <v>1000</v>
      </c>
      <c r="H14" s="15"/>
    </row>
    <row r="15" spans="1:9" x14ac:dyDescent="0.3">
      <c r="A15" s="65">
        <v>7751959</v>
      </c>
      <c r="B15" s="69" t="s">
        <v>2</v>
      </c>
      <c r="C15" s="32">
        <f>'Reserves &amp; Provision'!H8</f>
        <v>8052398</v>
      </c>
      <c r="D15" s="260"/>
      <c r="E15" s="56">
        <v>15506994</v>
      </c>
      <c r="F15" s="57" t="s">
        <v>242</v>
      </c>
      <c r="G15" s="17">
        <f>'Sch - F FDR'!C23</f>
        <v>11315043</v>
      </c>
      <c r="H15" s="13"/>
    </row>
    <row r="16" spans="1:9" x14ac:dyDescent="0.3">
      <c r="A16" s="65">
        <v>7990970</v>
      </c>
      <c r="B16" s="69" t="s">
        <v>3</v>
      </c>
      <c r="C16" s="32">
        <f>'Reserves &amp; Provision'!H7</f>
        <v>8662034</v>
      </c>
      <c r="D16" s="264"/>
      <c r="E16" s="59">
        <v>553474</v>
      </c>
      <c r="F16" s="60" t="s">
        <v>11</v>
      </c>
      <c r="G16" s="18">
        <f>'Sch - F FDR'!I23</f>
        <v>354744</v>
      </c>
      <c r="H16" s="62">
        <f>SUM(G14:G16)</f>
        <v>11670787</v>
      </c>
    </row>
    <row r="17" spans="1:19" x14ac:dyDescent="0.3">
      <c r="A17" s="65">
        <v>2739568</v>
      </c>
      <c r="B17" s="69" t="s">
        <v>4</v>
      </c>
      <c r="C17" s="32">
        <f>'Reserves &amp; Provision'!H6</f>
        <v>3264005</v>
      </c>
      <c r="D17" s="264"/>
      <c r="E17" s="71"/>
      <c r="F17" s="72"/>
      <c r="G17" s="73"/>
      <c r="H17" s="14"/>
    </row>
    <row r="18" spans="1:19" x14ac:dyDescent="0.3">
      <c r="A18" s="53">
        <v>118670</v>
      </c>
      <c r="B18" s="69" t="s">
        <v>69</v>
      </c>
      <c r="C18" s="45">
        <f>'Reserves &amp; Provision'!H9</f>
        <v>129590</v>
      </c>
      <c r="D18" s="267">
        <f>SUM(C15:C18)</f>
        <v>20108027</v>
      </c>
      <c r="E18" s="59"/>
      <c r="F18" s="57" t="s">
        <v>105</v>
      </c>
      <c r="G18" s="17"/>
      <c r="H18" s="13"/>
    </row>
    <row r="19" spans="1:19" x14ac:dyDescent="0.3">
      <c r="A19" s="53"/>
      <c r="C19" s="3"/>
      <c r="D19" s="260"/>
      <c r="E19" s="74">
        <v>2126253</v>
      </c>
      <c r="F19" s="75" t="s">
        <v>241</v>
      </c>
      <c r="G19" s="123">
        <f>'Members Rec &amp; Adv'!F21</f>
        <v>2708282</v>
      </c>
      <c r="H19" s="62"/>
    </row>
    <row r="20" spans="1:19" ht="15" customHeight="1" x14ac:dyDescent="0.3">
      <c r="A20" s="76">
        <v>112852000</v>
      </c>
      <c r="B20" s="331" t="s">
        <v>6</v>
      </c>
      <c r="C20" s="332"/>
      <c r="D20" s="265">
        <v>112852000</v>
      </c>
      <c r="E20" s="59">
        <v>7600</v>
      </c>
      <c r="F20" s="60" t="s">
        <v>13</v>
      </c>
      <c r="G20" s="36">
        <v>7600</v>
      </c>
      <c r="H20" s="14"/>
      <c r="I20" s="77"/>
      <c r="J20" s="78"/>
      <c r="K20" s="78"/>
    </row>
    <row r="21" spans="1:19" x14ac:dyDescent="0.3">
      <c r="A21" s="76"/>
      <c r="B21" s="263"/>
      <c r="C21" s="64"/>
      <c r="D21" s="265"/>
      <c r="E21" s="79">
        <v>1885977</v>
      </c>
      <c r="F21" s="80" t="s">
        <v>210</v>
      </c>
      <c r="G21" s="171">
        <v>0</v>
      </c>
      <c r="H21" s="14"/>
    </row>
    <row r="22" spans="1:19" x14ac:dyDescent="0.3">
      <c r="A22" s="65"/>
      <c r="B22" s="261" t="s">
        <v>101</v>
      </c>
      <c r="C22" s="64"/>
      <c r="D22" s="268"/>
      <c r="E22" s="59">
        <v>105373</v>
      </c>
      <c r="F22" s="60" t="s">
        <v>89</v>
      </c>
      <c r="G22" s="36">
        <v>82343</v>
      </c>
      <c r="H22" s="14"/>
      <c r="I22" s="77"/>
    </row>
    <row r="23" spans="1:19" ht="21.9" customHeight="1" x14ac:dyDescent="0.3">
      <c r="A23" s="65">
        <v>1295618</v>
      </c>
      <c r="B23" s="269" t="s">
        <v>100</v>
      </c>
      <c r="C23" s="32">
        <f>'Reserves &amp; Provision'!D22+'Reserves &amp; Provision'!D35</f>
        <v>890694</v>
      </c>
      <c r="D23" s="264"/>
      <c r="E23" s="59">
        <v>215000</v>
      </c>
      <c r="F23" s="60" t="s">
        <v>232</v>
      </c>
      <c r="G23" s="130">
        <v>231800</v>
      </c>
      <c r="H23" s="14">
        <f>SUM(G19:G23)</f>
        <v>3030025</v>
      </c>
    </row>
    <row r="24" spans="1:19" s="78" customFormat="1" x14ac:dyDescent="0.3">
      <c r="A24" s="65">
        <v>14313</v>
      </c>
      <c r="B24" s="69" t="s">
        <v>5</v>
      </c>
      <c r="C24" s="32">
        <v>26369</v>
      </c>
      <c r="D24" s="270"/>
      <c r="E24" s="59"/>
      <c r="F24" s="60"/>
      <c r="G24" s="36"/>
      <c r="H24" s="14"/>
      <c r="I24" s="12"/>
      <c r="J24"/>
      <c r="K24"/>
      <c r="L24"/>
      <c r="M24"/>
      <c r="N24"/>
      <c r="O24"/>
      <c r="P24"/>
      <c r="Q24"/>
      <c r="R24"/>
      <c r="S24"/>
    </row>
    <row r="25" spans="1:19" x14ac:dyDescent="0.3">
      <c r="A25" s="65">
        <v>18835</v>
      </c>
      <c r="B25" s="69" t="s">
        <v>229</v>
      </c>
      <c r="C25" s="32">
        <v>18835</v>
      </c>
      <c r="D25" s="270"/>
      <c r="E25" s="56">
        <v>114661910</v>
      </c>
      <c r="F25" s="316" t="s">
        <v>111</v>
      </c>
      <c r="G25" s="317"/>
      <c r="H25" s="82">
        <f>'Sch - G FA'!I15</f>
        <v>118569311</v>
      </c>
    </row>
    <row r="26" spans="1:19" x14ac:dyDescent="0.3">
      <c r="A26" s="65">
        <v>18835</v>
      </c>
      <c r="B26" s="69" t="s">
        <v>230</v>
      </c>
      <c r="C26" s="32">
        <v>18835</v>
      </c>
      <c r="D26" s="270"/>
      <c r="E26" s="59"/>
      <c r="F26" s="60"/>
      <c r="G26" s="36"/>
      <c r="H26" s="14"/>
    </row>
    <row r="27" spans="1:19" x14ac:dyDescent="0.3">
      <c r="A27" s="65">
        <v>0</v>
      </c>
      <c r="B27" s="69" t="s">
        <v>332</v>
      </c>
      <c r="C27" s="32">
        <f>42256+91829</f>
        <v>134085</v>
      </c>
      <c r="D27" s="270"/>
      <c r="E27" s="59"/>
      <c r="F27" s="60"/>
      <c r="G27" s="36"/>
      <c r="H27" s="14"/>
    </row>
    <row r="28" spans="1:19" x14ac:dyDescent="0.3">
      <c r="A28" s="65">
        <v>200000</v>
      </c>
      <c r="B28" s="69" t="s">
        <v>286</v>
      </c>
      <c r="C28" s="18">
        <v>0</v>
      </c>
      <c r="D28" s="270">
        <f>SUM(C23:C28)</f>
        <v>1088818</v>
      </c>
      <c r="E28" s="59"/>
      <c r="F28" s="83" t="s">
        <v>104</v>
      </c>
      <c r="G28" s="36"/>
      <c r="H28" s="14"/>
    </row>
    <row r="29" spans="1:19" x14ac:dyDescent="0.3">
      <c r="A29" s="65"/>
      <c r="B29" s="69"/>
      <c r="C29" s="32"/>
      <c r="D29" s="270"/>
      <c r="E29" s="59">
        <v>457975</v>
      </c>
      <c r="F29" s="60" t="s">
        <v>59</v>
      </c>
      <c r="G29" s="36">
        <v>472986</v>
      </c>
      <c r="H29" s="14"/>
    </row>
    <row r="30" spans="1:19" ht="17.7" customHeight="1" x14ac:dyDescent="0.3">
      <c r="A30" s="53"/>
      <c r="B30" s="261" t="s">
        <v>102</v>
      </c>
      <c r="C30" s="64"/>
      <c r="D30" s="264"/>
      <c r="E30" s="59">
        <v>38905</v>
      </c>
      <c r="F30" s="60" t="s">
        <v>96</v>
      </c>
      <c r="G30" s="36">
        <v>38905</v>
      </c>
      <c r="H30" s="14"/>
    </row>
    <row r="31" spans="1:19" x14ac:dyDescent="0.3">
      <c r="A31" s="65">
        <v>2451073</v>
      </c>
      <c r="B31" s="269" t="s">
        <v>228</v>
      </c>
      <c r="C31" s="32">
        <f>'Members Rec &amp; Adv'!D33</f>
        <v>8252</v>
      </c>
      <c r="D31" s="264"/>
      <c r="E31" s="59">
        <v>10529</v>
      </c>
      <c r="F31" s="60" t="s">
        <v>60</v>
      </c>
      <c r="G31" s="36">
        <v>3000</v>
      </c>
      <c r="H31" s="14"/>
      <c r="K31" s="84"/>
    </row>
    <row r="32" spans="1:19" x14ac:dyDescent="0.3">
      <c r="A32" s="65">
        <v>1100000</v>
      </c>
      <c r="B32" s="269" t="s">
        <v>240</v>
      </c>
      <c r="C32" s="18">
        <f>'Members Rec &amp; Adv'!D49</f>
        <v>1400000</v>
      </c>
      <c r="D32" s="270">
        <f>SUM(C31:C32)</f>
        <v>1408252</v>
      </c>
      <c r="E32" s="59">
        <v>3944</v>
      </c>
      <c r="F32" s="60" t="s">
        <v>211</v>
      </c>
      <c r="G32" s="18">
        <v>0</v>
      </c>
      <c r="H32" s="14">
        <f>SUM(G29:G32)</f>
        <v>514891</v>
      </c>
      <c r="I32" s="86"/>
      <c r="J32" s="78"/>
      <c r="L32" s="84"/>
      <c r="M32" s="84"/>
    </row>
    <row r="33" spans="1:19" ht="13.5" customHeight="1" x14ac:dyDescent="0.3">
      <c r="A33" s="65"/>
      <c r="B33" s="69"/>
      <c r="C33" s="85"/>
      <c r="D33" s="265"/>
      <c r="E33" s="59"/>
      <c r="F33" s="60"/>
      <c r="G33" s="36"/>
      <c r="H33" s="14"/>
      <c r="I33" s="86"/>
      <c r="J33" s="78"/>
      <c r="L33" s="84"/>
      <c r="M33" s="84"/>
      <c r="O33" s="84"/>
    </row>
    <row r="34" spans="1:19" ht="15.75" customHeight="1" x14ac:dyDescent="0.3">
      <c r="A34" s="65">
        <v>6756</v>
      </c>
      <c r="B34" s="69" t="s">
        <v>213</v>
      </c>
      <c r="C34" s="85"/>
      <c r="D34" s="271">
        <v>0</v>
      </c>
      <c r="E34" s="59"/>
      <c r="F34" s="60"/>
      <c r="G34" s="36"/>
      <c r="H34" s="14"/>
      <c r="I34" s="3"/>
      <c r="L34" s="78"/>
      <c r="M34" s="78"/>
      <c r="N34" s="84"/>
      <c r="O34" s="78"/>
    </row>
    <row r="35" spans="1:19" x14ac:dyDescent="0.3">
      <c r="A35" s="65"/>
      <c r="B35" s="69"/>
      <c r="C35" s="85"/>
      <c r="D35" s="270"/>
      <c r="E35" s="71"/>
      <c r="F35" s="72"/>
      <c r="G35" s="73"/>
      <c r="H35" s="15"/>
      <c r="I35" s="3"/>
      <c r="N35" s="78"/>
      <c r="P35" s="84"/>
      <c r="Q35" s="84"/>
      <c r="R35" s="84"/>
      <c r="S35" s="84"/>
    </row>
    <row r="36" spans="1:19" x14ac:dyDescent="0.3">
      <c r="A36" s="65"/>
      <c r="B36" s="57" t="s">
        <v>103</v>
      </c>
      <c r="C36" s="85"/>
      <c r="D36" s="265"/>
      <c r="E36" s="255"/>
      <c r="F36" s="57"/>
      <c r="G36" s="36"/>
      <c r="H36" s="14"/>
      <c r="I36" s="3"/>
      <c r="P36" s="84"/>
      <c r="Q36" s="78"/>
      <c r="R36" s="78"/>
      <c r="S36" s="78"/>
    </row>
    <row r="37" spans="1:19" s="84" customFormat="1" x14ac:dyDescent="0.3">
      <c r="A37" s="65">
        <v>87689.17</v>
      </c>
      <c r="B37" s="272" t="s">
        <v>284</v>
      </c>
      <c r="C37" s="87">
        <f>SUM(A37:A41)</f>
        <v>223292.16999999998</v>
      </c>
      <c r="D37" s="265"/>
      <c r="E37" s="255"/>
      <c r="F37" s="69"/>
      <c r="G37" s="17"/>
      <c r="H37" s="13"/>
      <c r="I37" s="3"/>
      <c r="J37"/>
      <c r="K37"/>
      <c r="L37"/>
      <c r="M37"/>
      <c r="N37"/>
      <c r="O37"/>
      <c r="Q37"/>
      <c r="R37"/>
      <c r="S37"/>
    </row>
    <row r="38" spans="1:19" s="78" customFormat="1" x14ac:dyDescent="0.3">
      <c r="A38" s="65">
        <v>0</v>
      </c>
      <c r="B38" s="272" t="s">
        <v>453</v>
      </c>
      <c r="C38" s="87">
        <v>6756</v>
      </c>
      <c r="D38" s="273"/>
      <c r="E38" s="255"/>
      <c r="F38" s="69"/>
      <c r="G38" s="17"/>
      <c r="H38" s="89"/>
      <c r="I38" s="3"/>
      <c r="J38"/>
      <c r="K38"/>
      <c r="L38"/>
      <c r="M38"/>
      <c r="N38"/>
      <c r="O38"/>
      <c r="Q38"/>
      <c r="R38"/>
      <c r="S38"/>
    </row>
    <row r="39" spans="1:19" s="78" customFormat="1" x14ac:dyDescent="0.3">
      <c r="A39" s="65">
        <v>-364491</v>
      </c>
      <c r="B39" s="274" t="s">
        <v>287</v>
      </c>
      <c r="C39" s="17">
        <v>0</v>
      </c>
      <c r="D39" s="273"/>
      <c r="E39" s="255"/>
      <c r="F39" s="69"/>
      <c r="G39" s="87"/>
      <c r="H39" s="89"/>
      <c r="I39" s="3"/>
      <c r="J39"/>
      <c r="K39"/>
      <c r="L39"/>
      <c r="M39"/>
      <c r="N39"/>
      <c r="O39"/>
      <c r="Q39"/>
      <c r="R39"/>
      <c r="S39"/>
    </row>
    <row r="40" spans="1:19" s="78" customFormat="1" x14ac:dyDescent="0.3">
      <c r="A40" s="65">
        <v>0</v>
      </c>
      <c r="B40" s="274" t="s">
        <v>373</v>
      </c>
      <c r="C40" s="17">
        <f>-IE!H55</f>
        <v>-1022406</v>
      </c>
      <c r="D40" s="273"/>
      <c r="E40" s="255"/>
      <c r="F40" s="67"/>
      <c r="G40" s="90"/>
      <c r="H40" s="89"/>
      <c r="I40" s="3"/>
      <c r="J40"/>
      <c r="K40"/>
      <c r="L40"/>
      <c r="M40"/>
      <c r="N40"/>
      <c r="O40"/>
      <c r="Q40"/>
      <c r="R40"/>
      <c r="S40"/>
    </row>
    <row r="41" spans="1:19" s="78" customFormat="1" x14ac:dyDescent="0.3">
      <c r="A41" s="91">
        <v>500094</v>
      </c>
      <c r="B41" s="92" t="s">
        <v>285</v>
      </c>
      <c r="C41" s="93">
        <f>IE!D56</f>
        <v>0</v>
      </c>
      <c r="D41" s="275">
        <f>SUM(C37:C41)</f>
        <v>-792357.83000000007</v>
      </c>
      <c r="E41" s="256"/>
      <c r="F41" s="94"/>
      <c r="G41" s="88"/>
      <c r="H41" s="95"/>
      <c r="I41" s="3"/>
      <c r="J41"/>
      <c r="K41"/>
      <c r="L41"/>
      <c r="M41"/>
      <c r="N41"/>
      <c r="O41"/>
      <c r="Q41"/>
      <c r="R41"/>
      <c r="S41"/>
    </row>
    <row r="42" spans="1:19" ht="15" thickBot="1" x14ac:dyDescent="0.35">
      <c r="A42" s="96">
        <f>SUM(A11:A41)</f>
        <v>136804639.16999999</v>
      </c>
      <c r="B42" s="324" t="s">
        <v>7</v>
      </c>
      <c r="C42" s="325"/>
      <c r="D42" s="276">
        <f>SUM(D11:D41)</f>
        <v>134687489.16999999</v>
      </c>
      <c r="E42" s="257">
        <f>SUM(E7:E38)</f>
        <v>136804639.17000002</v>
      </c>
      <c r="F42" s="324" t="s">
        <v>7</v>
      </c>
      <c r="G42" s="325"/>
      <c r="H42" s="97">
        <f>SUM(H7:H38)</f>
        <v>134687489.17000002</v>
      </c>
      <c r="I42" s="3">
        <f>A42-E42</f>
        <v>0</v>
      </c>
      <c r="J42" s="6">
        <f>D42-H42</f>
        <v>0</v>
      </c>
      <c r="O42" s="98"/>
      <c r="Q42" s="98"/>
      <c r="R42" s="98"/>
      <c r="S42" s="98"/>
    </row>
    <row r="43" spans="1:19" ht="15" thickTop="1" x14ac:dyDescent="0.3">
      <c r="A43" s="190"/>
      <c r="B43" s="191"/>
      <c r="C43" s="192"/>
      <c r="D43" s="86"/>
      <c r="E43" s="311"/>
      <c r="F43" s="311"/>
      <c r="G43" s="311"/>
      <c r="H43" s="193"/>
      <c r="I43"/>
      <c r="J43" s="6"/>
    </row>
    <row r="44" spans="1:19" x14ac:dyDescent="0.3">
      <c r="A44" s="194" t="s">
        <v>68</v>
      </c>
      <c r="B44" s="78"/>
      <c r="C44" s="78"/>
      <c r="D44" s="195"/>
      <c r="E44" s="196"/>
      <c r="F44" s="78"/>
      <c r="G44" s="196"/>
      <c r="H44" s="197"/>
      <c r="I44" s="198"/>
    </row>
    <row r="45" spans="1:19" x14ac:dyDescent="0.3">
      <c r="A45" s="199"/>
      <c r="B45" s="78"/>
      <c r="C45" s="78"/>
      <c r="D45" s="200"/>
      <c r="E45" s="201"/>
      <c r="F45" s="312" t="s">
        <v>452</v>
      </c>
      <c r="G45" s="312"/>
      <c r="H45" s="313"/>
      <c r="I45" s="198"/>
    </row>
    <row r="46" spans="1:19" x14ac:dyDescent="0.3">
      <c r="A46" s="199"/>
      <c r="B46" s="78"/>
      <c r="C46" s="78"/>
      <c r="D46" s="200"/>
      <c r="E46" s="201"/>
      <c r="F46" s="203"/>
      <c r="G46" s="201"/>
      <c r="H46" s="204"/>
      <c r="I46" s="198"/>
    </row>
    <row r="47" spans="1:19" x14ac:dyDescent="0.3">
      <c r="A47" s="199"/>
      <c r="B47" s="78"/>
      <c r="C47" s="78"/>
      <c r="D47" s="200"/>
      <c r="E47" s="201"/>
      <c r="F47" s="203"/>
      <c r="G47" s="201"/>
      <c r="H47" s="204"/>
      <c r="I47" s="198"/>
    </row>
    <row r="48" spans="1:19" s="210" customFormat="1" ht="19.5" customHeight="1" x14ac:dyDescent="0.3">
      <c r="A48" s="205" t="s">
        <v>448</v>
      </c>
      <c r="B48" s="206"/>
      <c r="C48" s="207"/>
      <c r="D48" s="200"/>
      <c r="E48" s="201"/>
      <c r="F48" s="203"/>
      <c r="G48" s="201"/>
      <c r="H48" s="204"/>
      <c r="I48" s="208">
        <f>A42-E42</f>
        <v>0</v>
      </c>
      <c r="J48" s="208">
        <f>D42-H42</f>
        <v>0</v>
      </c>
      <c r="K48" s="209"/>
      <c r="L48" s="209"/>
    </row>
    <row r="49" spans="1:19" s="78" customFormat="1" ht="9.9" customHeight="1" x14ac:dyDescent="0.3">
      <c r="A49" s="211" t="s">
        <v>449</v>
      </c>
      <c r="B49" s="206"/>
      <c r="C49" s="207"/>
      <c r="D49" s="200"/>
      <c r="E49" s="201"/>
      <c r="F49" s="203"/>
      <c r="G49" s="201"/>
      <c r="H49" s="204"/>
      <c r="J49" s="164"/>
    </row>
    <row r="50" spans="1:19" s="78" customFormat="1" ht="15.6" x14ac:dyDescent="0.3">
      <c r="A50" s="211" t="s">
        <v>450</v>
      </c>
      <c r="B50" s="206"/>
      <c r="C50" s="207"/>
      <c r="D50" s="200"/>
      <c r="E50" s="201"/>
      <c r="F50" s="314" t="s">
        <v>451</v>
      </c>
      <c r="G50" s="314"/>
      <c r="H50" s="315"/>
      <c r="J50" s="164"/>
    </row>
    <row r="51" spans="1:19" s="78" customFormat="1" ht="14.1" customHeight="1" x14ac:dyDescent="0.3">
      <c r="A51" s="297">
        <v>46261</v>
      </c>
      <c r="B51" s="298"/>
      <c r="C51" s="298"/>
      <c r="D51" s="213"/>
      <c r="E51" s="214"/>
      <c r="F51" s="215"/>
      <c r="G51" s="214"/>
      <c r="H51" s="216"/>
      <c r="J51" s="164"/>
    </row>
    <row r="52" spans="1:19" s="98" customFormat="1" x14ac:dyDescent="0.3">
      <c r="A52" s="11"/>
      <c r="C52" s="11"/>
      <c r="E52" s="11"/>
      <c r="G52" s="11"/>
      <c r="H52" s="11"/>
      <c r="I52" s="100"/>
      <c r="O52"/>
      <c r="Q52"/>
      <c r="R52"/>
      <c r="S52"/>
    </row>
    <row r="53" spans="1:19" x14ac:dyDescent="0.3">
      <c r="L53" s="98"/>
      <c r="M53" s="98"/>
    </row>
  </sheetData>
  <mergeCells count="16">
    <mergeCell ref="F50:H50"/>
    <mergeCell ref="A51:C51"/>
    <mergeCell ref="F25:G25"/>
    <mergeCell ref="A1:H1"/>
    <mergeCell ref="A4:H4"/>
    <mergeCell ref="B42:C42"/>
    <mergeCell ref="F42:G42"/>
    <mergeCell ref="B14:C14"/>
    <mergeCell ref="F6:G6"/>
    <mergeCell ref="B6:C6"/>
    <mergeCell ref="A2:H2"/>
    <mergeCell ref="A3:H3"/>
    <mergeCell ref="B11:C11"/>
    <mergeCell ref="B20:C20"/>
    <mergeCell ref="E43:G43"/>
    <mergeCell ref="F45:H45"/>
  </mergeCells>
  <printOptions horizontalCentered="1"/>
  <pageMargins left="0.11811023622047245" right="0.11811023622047245" top="0.74803149606299213" bottom="0.35433070866141736" header="0.31496062992125984" footer="0.31496062992125984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70"/>
  <sheetViews>
    <sheetView tabSelected="1" view="pageBreakPreview" topLeftCell="F22" zoomScaleNormal="100" zoomScaleSheetLayoutView="100" workbookViewId="0">
      <selection activeCell="K29" sqref="K29:L29"/>
    </sheetView>
  </sheetViews>
  <sheetFormatPr defaultColWidth="8.6640625" defaultRowHeight="14.4" x14ac:dyDescent="0.3"/>
  <cols>
    <col min="1" max="1" width="14.33203125" style="12" customWidth="1"/>
    <col min="2" max="2" width="34.44140625" customWidth="1"/>
    <col min="3" max="3" width="13.5546875" customWidth="1"/>
    <col min="4" max="4" width="14.44140625" style="12" customWidth="1"/>
    <col min="5" max="5" width="13.6640625" style="12" customWidth="1"/>
    <col min="6" max="6" width="34.44140625" customWidth="1"/>
    <col min="7" max="7" width="13.6640625" bestFit="1" customWidth="1"/>
    <col min="8" max="8" width="14.33203125" bestFit="1" customWidth="1"/>
    <col min="9" max="9" width="15.6640625" bestFit="1" customWidth="1"/>
    <col min="10" max="10" width="12.5546875" bestFit="1" customWidth="1"/>
    <col min="11" max="11" width="12.33203125" bestFit="1" customWidth="1"/>
  </cols>
  <sheetData>
    <row r="1" spans="1:10" ht="19.2" x14ac:dyDescent="0.3">
      <c r="A1" s="303" t="s">
        <v>79</v>
      </c>
      <c r="B1" s="304"/>
      <c r="C1" s="304"/>
      <c r="D1" s="304"/>
      <c r="E1" s="304"/>
      <c r="F1" s="304"/>
      <c r="G1" s="304"/>
      <c r="H1" s="305"/>
    </row>
    <row r="2" spans="1:10" x14ac:dyDescent="0.3">
      <c r="A2" s="308" t="s">
        <v>235</v>
      </c>
      <c r="B2" s="309"/>
      <c r="C2" s="309"/>
      <c r="D2" s="309"/>
      <c r="E2" s="309"/>
      <c r="F2" s="309"/>
      <c r="G2" s="309"/>
      <c r="H2" s="310"/>
    </row>
    <row r="3" spans="1:10" x14ac:dyDescent="0.3">
      <c r="A3" s="308" t="s">
        <v>234</v>
      </c>
      <c r="B3" s="309"/>
      <c r="C3" s="309"/>
      <c r="D3" s="309"/>
      <c r="E3" s="309"/>
      <c r="F3" s="309"/>
      <c r="G3" s="309"/>
      <c r="H3" s="310"/>
    </row>
    <row r="4" spans="1:10" ht="15.6" x14ac:dyDescent="0.3">
      <c r="A4" s="299" t="s">
        <v>290</v>
      </c>
      <c r="B4" s="300"/>
      <c r="C4" s="300"/>
      <c r="D4" s="300"/>
      <c r="E4" s="300"/>
      <c r="F4" s="300"/>
      <c r="G4" s="300"/>
      <c r="H4" s="301"/>
    </row>
    <row r="5" spans="1:10" ht="15.6" x14ac:dyDescent="0.3">
      <c r="A5" s="102"/>
      <c r="B5" s="103"/>
      <c r="C5" s="103"/>
      <c r="D5" s="103"/>
      <c r="E5" s="103"/>
      <c r="F5" s="103"/>
      <c r="G5" s="103"/>
      <c r="H5" s="51" t="s">
        <v>233</v>
      </c>
    </row>
    <row r="6" spans="1:10" s="52" customFormat="1" ht="16.2" thickBot="1" x14ac:dyDescent="0.35">
      <c r="A6" s="44" t="s">
        <v>254</v>
      </c>
      <c r="B6" s="302" t="s">
        <v>80</v>
      </c>
      <c r="C6" s="302"/>
      <c r="D6" s="283" t="s">
        <v>291</v>
      </c>
      <c r="E6" s="277" t="str">
        <f>A6</f>
        <v>31.03.2025</v>
      </c>
      <c r="F6" s="302" t="s">
        <v>14</v>
      </c>
      <c r="G6" s="302"/>
      <c r="H6" s="104" t="str">
        <f>D6</f>
        <v>31.03.2026</v>
      </c>
    </row>
    <row r="7" spans="1:10" ht="15" thickTop="1" x14ac:dyDescent="0.3">
      <c r="A7" s="62"/>
      <c r="B7" s="105"/>
      <c r="C7" s="106"/>
      <c r="D7" s="284"/>
      <c r="E7" s="73"/>
      <c r="F7" s="75" t="s">
        <v>81</v>
      </c>
      <c r="G7" s="107"/>
      <c r="H7" s="55"/>
    </row>
    <row r="8" spans="1:10" ht="16.5" customHeight="1" x14ac:dyDescent="0.3">
      <c r="A8" s="65">
        <v>340</v>
      </c>
      <c r="B8" s="60" t="s">
        <v>82</v>
      </c>
      <c r="C8" s="107"/>
      <c r="D8" s="271">
        <v>43053</v>
      </c>
      <c r="E8" s="17">
        <v>3017560</v>
      </c>
      <c r="F8" s="60" t="s">
        <v>27</v>
      </c>
      <c r="G8" s="36">
        <v>3126760</v>
      </c>
      <c r="H8" s="14"/>
    </row>
    <row r="9" spans="1:10" x14ac:dyDescent="0.3">
      <c r="A9" s="65">
        <v>0</v>
      </c>
      <c r="B9" s="60" t="s">
        <v>226</v>
      </c>
      <c r="C9" s="108"/>
      <c r="D9" s="285">
        <v>73780</v>
      </c>
      <c r="E9" s="17">
        <v>9723</v>
      </c>
      <c r="F9" s="72" t="s">
        <v>28</v>
      </c>
      <c r="G9" s="61">
        <v>0</v>
      </c>
      <c r="H9" s="14"/>
    </row>
    <row r="10" spans="1:10" x14ac:dyDescent="0.3">
      <c r="A10" s="65">
        <v>0</v>
      </c>
      <c r="B10" s="60" t="s">
        <v>412</v>
      </c>
      <c r="C10" s="108"/>
      <c r="D10" s="286">
        <v>79252</v>
      </c>
      <c r="E10" s="17">
        <v>7173</v>
      </c>
      <c r="F10" s="60" t="s">
        <v>29</v>
      </c>
      <c r="G10" s="36">
        <v>0</v>
      </c>
      <c r="H10" s="14"/>
      <c r="I10" s="6"/>
    </row>
    <row r="11" spans="1:10" x14ac:dyDescent="0.3">
      <c r="A11" s="62"/>
      <c r="B11" s="105"/>
      <c r="C11" s="106"/>
      <c r="D11" s="284"/>
      <c r="E11" s="17">
        <v>24000</v>
      </c>
      <c r="F11" s="60" t="s">
        <v>205</v>
      </c>
      <c r="G11" s="36">
        <v>6000</v>
      </c>
      <c r="H11" s="14"/>
    </row>
    <row r="12" spans="1:10" x14ac:dyDescent="0.3">
      <c r="A12" s="62"/>
      <c r="B12" s="57" t="s">
        <v>70</v>
      </c>
      <c r="C12" s="106"/>
      <c r="D12" s="287"/>
      <c r="E12" s="17">
        <v>28970</v>
      </c>
      <c r="F12" s="60" t="s">
        <v>30</v>
      </c>
      <c r="G12" s="36">
        <f>32166+1109</f>
        <v>33275</v>
      </c>
      <c r="H12" s="66"/>
    </row>
    <row r="13" spans="1:10" x14ac:dyDescent="0.3">
      <c r="A13" s="65">
        <v>771693</v>
      </c>
      <c r="B13" s="60" t="s">
        <v>16</v>
      </c>
      <c r="C13" s="109">
        <v>789673</v>
      </c>
      <c r="D13" s="271"/>
      <c r="E13" s="17">
        <v>45000</v>
      </c>
      <c r="F13" s="60" t="s">
        <v>206</v>
      </c>
      <c r="G13" s="36">
        <v>45000</v>
      </c>
      <c r="H13" s="66"/>
    </row>
    <row r="14" spans="1:10" x14ac:dyDescent="0.3">
      <c r="A14" s="65">
        <v>10471</v>
      </c>
      <c r="B14" s="80" t="s">
        <v>60</v>
      </c>
      <c r="C14" s="109">
        <v>13529</v>
      </c>
      <c r="D14" s="271"/>
      <c r="E14" s="17">
        <v>27000</v>
      </c>
      <c r="F14" s="60" t="s">
        <v>132</v>
      </c>
      <c r="G14" s="36">
        <v>12000</v>
      </c>
      <c r="H14" s="66"/>
    </row>
    <row r="15" spans="1:10" x14ac:dyDescent="0.3">
      <c r="A15" s="65">
        <v>47150</v>
      </c>
      <c r="B15" s="80" t="s">
        <v>207</v>
      </c>
      <c r="C15" s="109">
        <v>3944</v>
      </c>
      <c r="D15" s="271"/>
      <c r="E15" s="17">
        <v>504000</v>
      </c>
      <c r="F15" s="60" t="s">
        <v>31</v>
      </c>
      <c r="G15" s="109">
        <f>189000+272800+7600</f>
        <v>469400</v>
      </c>
      <c r="H15" s="66"/>
    </row>
    <row r="16" spans="1:10" x14ac:dyDescent="0.3">
      <c r="A16" s="65">
        <v>3667</v>
      </c>
      <c r="B16" s="80" t="s">
        <v>208</v>
      </c>
      <c r="C16" s="110">
        <v>0</v>
      </c>
      <c r="D16" s="288">
        <f>SUM(C13:C16)</f>
        <v>807146</v>
      </c>
      <c r="E16" s="17">
        <v>457800</v>
      </c>
      <c r="F16" s="60" t="s">
        <v>32</v>
      </c>
      <c r="G16" s="109">
        <v>30000</v>
      </c>
      <c r="H16" s="66"/>
      <c r="J16" s="6"/>
    </row>
    <row r="17" spans="1:11" x14ac:dyDescent="0.3">
      <c r="A17" s="40"/>
      <c r="B17" s="72"/>
      <c r="C17" s="107"/>
      <c r="D17" s="287"/>
      <c r="E17" s="17">
        <v>0</v>
      </c>
      <c r="F17" s="60" t="s">
        <v>333</v>
      </c>
      <c r="G17" s="154">
        <v>24000</v>
      </c>
      <c r="H17" s="66"/>
    </row>
    <row r="18" spans="1:11" x14ac:dyDescent="0.3">
      <c r="A18" s="65"/>
      <c r="B18" s="57" t="s">
        <v>71</v>
      </c>
      <c r="C18" s="106"/>
      <c r="D18" s="286"/>
      <c r="E18" s="17">
        <v>96462</v>
      </c>
      <c r="F18" s="60" t="s">
        <v>33</v>
      </c>
      <c r="G18" s="111">
        <v>128043</v>
      </c>
      <c r="H18" s="81">
        <f>SUM(G8:G18)</f>
        <v>3874478</v>
      </c>
    </row>
    <row r="19" spans="1:11" x14ac:dyDescent="0.3">
      <c r="A19" s="65">
        <v>110440</v>
      </c>
      <c r="B19" s="60" t="s">
        <v>133</v>
      </c>
      <c r="C19" s="109">
        <v>46154</v>
      </c>
      <c r="D19" s="271"/>
      <c r="E19" s="17"/>
      <c r="F19" s="60"/>
      <c r="G19" s="109"/>
      <c r="H19" s="66"/>
    </row>
    <row r="20" spans="1:11" x14ac:dyDescent="0.3">
      <c r="A20" s="40">
        <v>213402</v>
      </c>
      <c r="B20" s="60" t="s">
        <v>78</v>
      </c>
      <c r="C20" s="109">
        <v>17897</v>
      </c>
      <c r="D20" s="284"/>
      <c r="E20" s="17"/>
      <c r="F20" s="60"/>
      <c r="G20" s="109"/>
      <c r="H20" s="66"/>
    </row>
    <row r="21" spans="1:11" x14ac:dyDescent="0.3">
      <c r="A21" s="40">
        <v>147277</v>
      </c>
      <c r="B21" s="60" t="s">
        <v>109</v>
      </c>
      <c r="C21" s="109">
        <v>82116</v>
      </c>
      <c r="D21" s="284"/>
      <c r="E21" s="37"/>
      <c r="F21" s="57" t="s">
        <v>76</v>
      </c>
      <c r="G21" s="106"/>
      <c r="H21" s="66"/>
    </row>
    <row r="22" spans="1:11" x14ac:dyDescent="0.3">
      <c r="A22" s="40">
        <v>2926652</v>
      </c>
      <c r="B22" s="83" t="s">
        <v>209</v>
      </c>
      <c r="C22" s="109">
        <v>6158426</v>
      </c>
      <c r="D22" s="284"/>
      <c r="E22" s="17">
        <v>1800</v>
      </c>
      <c r="F22" s="60" t="s">
        <v>34</v>
      </c>
      <c r="G22" s="109"/>
      <c r="H22" s="81">
        <v>383</v>
      </c>
    </row>
    <row r="23" spans="1:11" x14ac:dyDescent="0.3">
      <c r="A23" s="40">
        <v>-2229992</v>
      </c>
      <c r="B23" s="60" t="s">
        <v>281</v>
      </c>
      <c r="C23" s="109">
        <f>-2359188-3760112</f>
        <v>-6119300</v>
      </c>
      <c r="D23" s="284"/>
      <c r="E23" s="278">
        <v>1053741</v>
      </c>
      <c r="F23" s="80" t="s">
        <v>83</v>
      </c>
      <c r="G23" s="109">
        <v>810492</v>
      </c>
      <c r="H23" s="81"/>
    </row>
    <row r="24" spans="1:11" x14ac:dyDescent="0.3">
      <c r="A24" s="40">
        <v>-696660</v>
      </c>
      <c r="B24" s="60" t="s">
        <v>282</v>
      </c>
      <c r="C24" s="36">
        <f>-(C22-C23)*0</f>
        <v>0</v>
      </c>
      <c r="D24" s="284"/>
      <c r="E24" s="17"/>
      <c r="F24" s="60" t="s">
        <v>221</v>
      </c>
      <c r="G24" s="109"/>
      <c r="H24" s="66"/>
    </row>
    <row r="25" spans="1:11" x14ac:dyDescent="0.3">
      <c r="A25" s="40">
        <v>3500</v>
      </c>
      <c r="B25" s="60" t="s">
        <v>134</v>
      </c>
      <c r="C25" s="109">
        <v>12500</v>
      </c>
      <c r="D25" s="284"/>
      <c r="E25" s="17">
        <v>-501316</v>
      </c>
      <c r="F25" s="60" t="s">
        <v>222</v>
      </c>
      <c r="G25" s="109">
        <f>-SUM('Sch - F FDR'!G6,'Sch - F FDR'!G19)</f>
        <v>-506688</v>
      </c>
      <c r="H25" s="68"/>
      <c r="I25" s="6"/>
    </row>
    <row r="26" spans="1:11" x14ac:dyDescent="0.3">
      <c r="A26" s="65">
        <v>28391</v>
      </c>
      <c r="B26" s="60" t="s">
        <v>135</v>
      </c>
      <c r="C26" s="111">
        <v>34790</v>
      </c>
      <c r="D26" s="287">
        <f>SUM(C19:C26)</f>
        <v>232583</v>
      </c>
      <c r="E26" s="279">
        <v>-148234</v>
      </c>
      <c r="F26" s="112" t="s">
        <v>223</v>
      </c>
      <c r="G26" s="109">
        <f>-SUM('Sch - F FDR'!G13:G14,'Sch - F FDR'!G16)</f>
        <v>-29965</v>
      </c>
      <c r="H26" s="55"/>
    </row>
    <row r="27" spans="1:11" x14ac:dyDescent="0.3">
      <c r="A27" s="65"/>
      <c r="B27" s="60"/>
      <c r="C27" s="108"/>
      <c r="D27" s="287"/>
      <c r="E27" s="17">
        <v>-404191</v>
      </c>
      <c r="F27" s="60" t="s">
        <v>224</v>
      </c>
      <c r="G27" s="111">
        <f>-SUM('Sch - F FDR'!G7:G12,'Sch - F FDR'!G15,'Sch - F FDR'!G17,'Sch - F FDR'!G20:G22)</f>
        <v>-273839</v>
      </c>
      <c r="H27" s="113">
        <f>SUM(G23:G27)</f>
        <v>0</v>
      </c>
    </row>
    <row r="28" spans="1:11" x14ac:dyDescent="0.3">
      <c r="A28" s="65"/>
      <c r="B28" s="83" t="s">
        <v>334</v>
      </c>
      <c r="C28" s="154">
        <v>1125000</v>
      </c>
      <c r="D28" s="289"/>
      <c r="E28" s="17"/>
      <c r="F28" s="60"/>
      <c r="G28" s="36"/>
      <c r="H28" s="114"/>
    </row>
    <row r="29" spans="1:11" x14ac:dyDescent="0.3">
      <c r="A29" s="65">
        <v>0</v>
      </c>
      <c r="B29" s="60" t="s">
        <v>281</v>
      </c>
      <c r="C29" s="155">
        <v>-1092000</v>
      </c>
      <c r="D29" s="289">
        <f>C28+C29</f>
        <v>33000</v>
      </c>
      <c r="E29" s="37"/>
      <c r="F29" s="57" t="s">
        <v>77</v>
      </c>
      <c r="G29" s="106"/>
      <c r="H29" s="55"/>
      <c r="K29" s="6"/>
    </row>
    <row r="30" spans="1:11" x14ac:dyDescent="0.3">
      <c r="A30" s="65"/>
      <c r="B30" s="60"/>
      <c r="C30" s="108"/>
      <c r="D30" s="287"/>
      <c r="E30" s="17">
        <v>0</v>
      </c>
      <c r="F30" s="112" t="s">
        <v>392</v>
      </c>
      <c r="G30" s="109">
        <v>1092000</v>
      </c>
      <c r="H30" s="106"/>
    </row>
    <row r="31" spans="1:11" x14ac:dyDescent="0.3">
      <c r="A31" s="62"/>
      <c r="B31" s="57" t="s">
        <v>72</v>
      </c>
      <c r="C31" s="37"/>
      <c r="D31" s="284"/>
      <c r="E31" s="17">
        <v>0</v>
      </c>
      <c r="F31" s="112" t="s">
        <v>393</v>
      </c>
      <c r="G31" s="109">
        <v>-1092000</v>
      </c>
      <c r="H31" s="106"/>
    </row>
    <row r="32" spans="1:11" x14ac:dyDescent="0.3">
      <c r="A32" s="65">
        <v>931157</v>
      </c>
      <c r="B32" s="60" t="s">
        <v>65</v>
      </c>
      <c r="C32" s="123">
        <f>224754+525084+45000</f>
        <v>794838</v>
      </c>
      <c r="D32" s="286"/>
      <c r="E32" s="17">
        <v>274900</v>
      </c>
      <c r="F32" s="60" t="s">
        <v>35</v>
      </c>
      <c r="G32" s="36">
        <v>33700</v>
      </c>
      <c r="H32" s="115"/>
    </row>
    <row r="33" spans="1:18" x14ac:dyDescent="0.3">
      <c r="A33" s="65">
        <v>210711</v>
      </c>
      <c r="B33" s="60" t="s">
        <v>17</v>
      </c>
      <c r="C33" s="36">
        <v>270394</v>
      </c>
      <c r="D33" s="286"/>
      <c r="E33" s="73">
        <v>37100</v>
      </c>
      <c r="F33" s="72" t="s">
        <v>131</v>
      </c>
      <c r="G33" s="45">
        <v>24000</v>
      </c>
      <c r="H33" s="116">
        <f>SUM(G30:G33)</f>
        <v>57700</v>
      </c>
      <c r="I33" s="164"/>
      <c r="J33" s="78"/>
    </row>
    <row r="34" spans="1:18" x14ac:dyDescent="0.3">
      <c r="A34" s="65">
        <v>39777</v>
      </c>
      <c r="B34" s="60" t="s">
        <v>19</v>
      </c>
      <c r="C34" s="36">
        <v>39777</v>
      </c>
      <c r="D34" s="286"/>
      <c r="E34" s="17"/>
      <c r="F34" s="60"/>
      <c r="G34" s="109"/>
      <c r="H34" s="66"/>
    </row>
    <row r="35" spans="1:18" x14ac:dyDescent="0.3">
      <c r="A35" s="65">
        <v>826</v>
      </c>
      <c r="B35" s="60" t="s">
        <v>20</v>
      </c>
      <c r="C35" s="18">
        <v>826</v>
      </c>
      <c r="D35" s="286">
        <f>SUM(C32:C35)</f>
        <v>1105835</v>
      </c>
      <c r="E35" s="17"/>
      <c r="F35" s="60"/>
      <c r="G35" s="109"/>
      <c r="H35" s="66"/>
      <c r="L35" s="78"/>
      <c r="M35" s="78"/>
      <c r="N35" s="78"/>
      <c r="O35" s="78"/>
      <c r="P35" s="78"/>
      <c r="Q35" s="78"/>
      <c r="R35" s="78"/>
    </row>
    <row r="36" spans="1:18" s="78" customFormat="1" x14ac:dyDescent="0.3">
      <c r="A36" s="40"/>
      <c r="B36" s="72"/>
      <c r="C36" s="107"/>
      <c r="D36" s="286"/>
      <c r="E36" s="17"/>
      <c r="F36" s="60"/>
      <c r="G36" s="109"/>
      <c r="H36" s="66"/>
      <c r="I36"/>
      <c r="J36"/>
      <c r="K36"/>
      <c r="L36"/>
      <c r="M36"/>
      <c r="N36"/>
      <c r="O36"/>
      <c r="P36"/>
      <c r="Q36"/>
      <c r="R36"/>
    </row>
    <row r="37" spans="1:18" x14ac:dyDescent="0.3">
      <c r="A37" s="62"/>
      <c r="B37" s="57" t="s">
        <v>73</v>
      </c>
      <c r="C37" s="106"/>
      <c r="D37" s="284"/>
      <c r="E37" s="17"/>
      <c r="F37" s="60"/>
      <c r="G37" s="109"/>
      <c r="H37" s="66"/>
    </row>
    <row r="38" spans="1:18" x14ac:dyDescent="0.3">
      <c r="A38" s="65">
        <v>66000</v>
      </c>
      <c r="B38" s="60" t="s">
        <v>21</v>
      </c>
      <c r="C38" s="36">
        <v>66000</v>
      </c>
      <c r="D38" s="286"/>
      <c r="E38" s="17"/>
      <c r="F38" s="60"/>
      <c r="G38" s="109"/>
      <c r="H38" s="66"/>
    </row>
    <row r="39" spans="1:18" x14ac:dyDescent="0.3">
      <c r="A39" s="65">
        <v>9100</v>
      </c>
      <c r="B39" s="60" t="s">
        <v>44</v>
      </c>
      <c r="C39" s="36">
        <v>10000</v>
      </c>
      <c r="D39" s="286"/>
      <c r="E39" s="17"/>
      <c r="F39" s="60"/>
      <c r="G39" s="109"/>
      <c r="H39" s="66"/>
    </row>
    <row r="40" spans="1:18" x14ac:dyDescent="0.3">
      <c r="A40" s="65">
        <v>11686</v>
      </c>
      <c r="B40" s="60" t="s">
        <v>22</v>
      </c>
      <c r="C40" s="36">
        <v>12208</v>
      </c>
      <c r="D40" s="286"/>
      <c r="E40" s="17"/>
      <c r="F40" s="60"/>
      <c r="G40" s="109"/>
      <c r="H40" s="66"/>
    </row>
    <row r="41" spans="1:18" x14ac:dyDescent="0.3">
      <c r="A41" s="65">
        <v>289917</v>
      </c>
      <c r="B41" s="60" t="s">
        <v>84</v>
      </c>
      <c r="C41" s="36">
        <f>'Sch - G FA'!H15</f>
        <v>971160</v>
      </c>
      <c r="D41" s="286"/>
      <c r="E41" s="17"/>
      <c r="F41" s="60"/>
      <c r="G41" s="109"/>
      <c r="H41" s="66"/>
      <c r="I41" s="6"/>
    </row>
    <row r="42" spans="1:18" x14ac:dyDescent="0.3">
      <c r="A42" s="65">
        <v>4819</v>
      </c>
      <c r="B42" s="60" t="s">
        <v>23</v>
      </c>
      <c r="C42" s="36">
        <v>2230</v>
      </c>
      <c r="D42" s="286"/>
      <c r="E42" s="17"/>
      <c r="F42" s="60"/>
      <c r="G42" s="109"/>
      <c r="H42" s="66"/>
    </row>
    <row r="43" spans="1:18" x14ac:dyDescent="0.3">
      <c r="A43" s="65">
        <v>7307</v>
      </c>
      <c r="B43" s="60" t="s">
        <v>24</v>
      </c>
      <c r="C43" s="36">
        <v>154</v>
      </c>
      <c r="D43" s="286"/>
      <c r="E43" s="17"/>
      <c r="F43" s="60"/>
      <c r="G43" s="108"/>
      <c r="H43" s="68"/>
    </row>
    <row r="44" spans="1:18" x14ac:dyDescent="0.3">
      <c r="A44" s="65">
        <v>21612</v>
      </c>
      <c r="B44" s="60" t="s">
        <v>279</v>
      </c>
      <c r="C44" s="36">
        <v>6120</v>
      </c>
      <c r="D44" s="286"/>
      <c r="E44" s="37"/>
      <c r="F44" s="105"/>
      <c r="G44" s="106"/>
      <c r="H44" s="55"/>
    </row>
    <row r="45" spans="1:18" x14ac:dyDescent="0.3">
      <c r="A45" s="65">
        <v>90000</v>
      </c>
      <c r="B45" s="60" t="s">
        <v>280</v>
      </c>
      <c r="C45" s="36">
        <v>135000</v>
      </c>
      <c r="D45" s="286"/>
      <c r="E45" s="17"/>
      <c r="F45" s="60"/>
      <c r="G45" s="108"/>
      <c r="H45" s="68"/>
    </row>
    <row r="46" spans="1:18" x14ac:dyDescent="0.3">
      <c r="A46" s="65">
        <v>34760</v>
      </c>
      <c r="B46" s="60" t="s">
        <v>18</v>
      </c>
      <c r="C46" s="36">
        <v>4150</v>
      </c>
      <c r="D46" s="286"/>
      <c r="E46" s="17"/>
      <c r="F46" s="60"/>
      <c r="G46" s="108"/>
      <c r="H46" s="68"/>
    </row>
    <row r="47" spans="1:18" x14ac:dyDescent="0.3">
      <c r="A47" s="65">
        <v>3317</v>
      </c>
      <c r="B47" s="60" t="s">
        <v>25</v>
      </c>
      <c r="C47" s="36">
        <f>1836-300</f>
        <v>1536</v>
      </c>
      <c r="D47" s="286"/>
      <c r="E47" s="17"/>
      <c r="F47" s="60"/>
      <c r="G47" s="108"/>
      <c r="H47" s="68"/>
    </row>
    <row r="48" spans="1:18" x14ac:dyDescent="0.3">
      <c r="A48" s="65">
        <v>51388</v>
      </c>
      <c r="B48" s="60" t="s">
        <v>26</v>
      </c>
      <c r="C48" s="18">
        <v>6160</v>
      </c>
      <c r="D48" s="286">
        <f>SUM(C38:C48)</f>
        <v>1214718</v>
      </c>
      <c r="E48" s="73"/>
      <c r="F48" s="72"/>
      <c r="G48" s="107"/>
      <c r="H48" s="66"/>
    </row>
    <row r="49" spans="1:12" x14ac:dyDescent="0.3">
      <c r="A49" s="40"/>
      <c r="B49" s="72"/>
      <c r="C49" s="107"/>
      <c r="D49" s="287"/>
      <c r="E49" s="73"/>
      <c r="F49" s="72"/>
      <c r="G49" s="107"/>
      <c r="H49" s="70"/>
    </row>
    <row r="50" spans="1:12" ht="15.75" customHeight="1" x14ac:dyDescent="0.3">
      <c r="A50" s="65">
        <v>629243</v>
      </c>
      <c r="B50" s="60" t="s">
        <v>75</v>
      </c>
      <c r="C50" s="109"/>
      <c r="D50" s="271">
        <v>838537</v>
      </c>
      <c r="E50" s="280"/>
      <c r="F50" s="156"/>
      <c r="G50" s="157"/>
      <c r="H50" s="158"/>
      <c r="I50" s="6"/>
      <c r="J50" s="6"/>
    </row>
    <row r="51" spans="1:12" ht="15.75" customHeight="1" x14ac:dyDescent="0.3">
      <c r="A51" s="65"/>
      <c r="B51" s="60"/>
      <c r="C51" s="109"/>
      <c r="D51" s="271"/>
      <c r="E51" s="73"/>
      <c r="F51" s="72"/>
      <c r="G51" s="107"/>
      <c r="H51" s="70"/>
      <c r="J51" s="6"/>
    </row>
    <row r="52" spans="1:12" x14ac:dyDescent="0.3">
      <c r="A52" s="65">
        <v>126745</v>
      </c>
      <c r="B52" s="60" t="s">
        <v>74</v>
      </c>
      <c r="C52" s="17"/>
      <c r="D52" s="290">
        <f>254774+Workings!O17</f>
        <v>522674</v>
      </c>
      <c r="E52" s="73"/>
      <c r="F52" s="72"/>
      <c r="G52" s="107"/>
      <c r="H52" s="70"/>
      <c r="I52" s="6"/>
      <c r="J52" s="6"/>
    </row>
    <row r="53" spans="1:12" x14ac:dyDescent="0.3">
      <c r="A53" s="65">
        <v>0</v>
      </c>
      <c r="B53" s="60" t="s">
        <v>326</v>
      </c>
      <c r="C53" s="17"/>
      <c r="D53" s="290">
        <v>4389</v>
      </c>
      <c r="E53" s="73"/>
      <c r="F53" s="72"/>
      <c r="G53" s="107"/>
      <c r="H53" s="70"/>
    </row>
    <row r="54" spans="1:12" x14ac:dyDescent="0.3">
      <c r="A54" s="65"/>
      <c r="B54" s="60"/>
      <c r="C54" s="108"/>
      <c r="D54" s="271"/>
      <c r="E54" s="73"/>
      <c r="F54" s="72"/>
      <c r="G54" s="107"/>
      <c r="H54" s="70"/>
      <c r="I54" s="6"/>
      <c r="J54" s="6"/>
    </row>
    <row r="55" spans="1:12" x14ac:dyDescent="0.3">
      <c r="A55" s="65">
        <v>166698</v>
      </c>
      <c r="B55" s="60" t="s">
        <v>231</v>
      </c>
      <c r="C55" s="108"/>
      <c r="D55" s="271">
        <v>0</v>
      </c>
      <c r="E55" s="280">
        <v>0</v>
      </c>
      <c r="F55" s="156" t="s">
        <v>372</v>
      </c>
      <c r="G55" s="157"/>
      <c r="H55" s="158">
        <f>(D57-SUM(H13:H54))</f>
        <v>1022406</v>
      </c>
      <c r="I55" s="117"/>
      <c r="J55" s="118"/>
    </row>
    <row r="56" spans="1:12" ht="15" customHeight="1" x14ac:dyDescent="0.3">
      <c r="A56" s="91">
        <v>500094</v>
      </c>
      <c r="B56" s="119" t="s">
        <v>283</v>
      </c>
      <c r="C56" s="120"/>
      <c r="D56" s="291">
        <v>0</v>
      </c>
      <c r="E56" s="281"/>
      <c r="F56" s="119"/>
      <c r="G56" s="121"/>
      <c r="H56" s="122"/>
      <c r="I56" s="6"/>
    </row>
    <row r="57" spans="1:12" ht="15" customHeight="1" thickBot="1" x14ac:dyDescent="0.35">
      <c r="A57" s="16">
        <f>SUM(A7:A56)</f>
        <v>4531488</v>
      </c>
      <c r="B57" s="306" t="s">
        <v>7</v>
      </c>
      <c r="C57" s="307"/>
      <c r="D57" s="292">
        <f>SUM(D7:D56)</f>
        <v>4954967</v>
      </c>
      <c r="E57" s="282">
        <f>SUM(E7:E54)</f>
        <v>4531488</v>
      </c>
      <c r="F57" s="306" t="s">
        <v>7</v>
      </c>
      <c r="G57" s="307"/>
      <c r="H57" s="16">
        <f>SUM(H7:H56)</f>
        <v>4954967</v>
      </c>
      <c r="I57" s="6">
        <f>A57-E57</f>
        <v>0</v>
      </c>
      <c r="J57" s="6">
        <f>D57-H57</f>
        <v>0</v>
      </c>
    </row>
    <row r="58" spans="1:12" ht="15" thickTop="1" x14ac:dyDescent="0.3">
      <c r="A58" s="190"/>
      <c r="B58" s="191"/>
      <c r="C58" s="192"/>
      <c r="D58" s="86"/>
      <c r="E58" s="311"/>
      <c r="F58" s="311"/>
      <c r="G58" s="311"/>
      <c r="H58" s="193"/>
      <c r="J58" s="6"/>
    </row>
    <row r="59" spans="1:12" x14ac:dyDescent="0.3">
      <c r="A59" s="194" t="s">
        <v>68</v>
      </c>
      <c r="B59" s="78"/>
      <c r="C59" s="78"/>
      <c r="D59" s="195"/>
      <c r="E59" s="196"/>
      <c r="F59" s="78"/>
      <c r="G59" s="196"/>
      <c r="H59" s="197"/>
      <c r="I59" s="198"/>
    </row>
    <row r="60" spans="1:12" x14ac:dyDescent="0.3">
      <c r="A60" s="199"/>
      <c r="B60" s="78"/>
      <c r="C60" s="78"/>
      <c r="D60" s="200"/>
      <c r="E60" s="201"/>
      <c r="F60" s="312" t="s">
        <v>452</v>
      </c>
      <c r="G60" s="312"/>
      <c r="H60" s="313"/>
      <c r="I60" s="198"/>
    </row>
    <row r="61" spans="1:12" x14ac:dyDescent="0.3">
      <c r="A61" s="199"/>
      <c r="B61" s="78"/>
      <c r="C61" s="78"/>
      <c r="D61" s="200"/>
      <c r="E61" s="201"/>
      <c r="F61" s="203"/>
      <c r="G61" s="201"/>
      <c r="H61" s="204"/>
      <c r="I61" s="198"/>
    </row>
    <row r="62" spans="1:12" x14ac:dyDescent="0.3">
      <c r="A62" s="199"/>
      <c r="B62" s="78"/>
      <c r="C62" s="78"/>
      <c r="D62" s="200"/>
      <c r="E62" s="201"/>
      <c r="F62" s="203"/>
      <c r="G62" s="201"/>
      <c r="H62" s="204"/>
      <c r="I62" s="198"/>
    </row>
    <row r="63" spans="1:12" s="210" customFormat="1" ht="19.5" customHeight="1" x14ac:dyDescent="0.3">
      <c r="A63" s="205" t="s">
        <v>448</v>
      </c>
      <c r="B63" s="206"/>
      <c r="C63" s="207"/>
      <c r="D63" s="200"/>
      <c r="E63" s="201"/>
      <c r="F63" s="203"/>
      <c r="G63" s="201"/>
      <c r="H63" s="204"/>
      <c r="I63" s="208">
        <f>A57-E57</f>
        <v>0</v>
      </c>
      <c r="J63" s="208">
        <f>D57-H57</f>
        <v>0</v>
      </c>
      <c r="K63" s="209"/>
      <c r="L63" s="209"/>
    </row>
    <row r="64" spans="1:12" s="78" customFormat="1" ht="9.9" customHeight="1" x14ac:dyDescent="0.3">
      <c r="A64" s="211" t="s">
        <v>449</v>
      </c>
      <c r="B64" s="206"/>
      <c r="C64" s="207"/>
      <c r="D64" s="200"/>
      <c r="E64" s="201"/>
      <c r="F64" s="203"/>
      <c r="G64" s="201"/>
      <c r="H64" s="204"/>
      <c r="J64" s="164"/>
    </row>
    <row r="65" spans="1:10" s="78" customFormat="1" ht="15.6" x14ac:dyDescent="0.3">
      <c r="A65" s="211" t="s">
        <v>450</v>
      </c>
      <c r="B65" s="206"/>
      <c r="C65" s="207"/>
      <c r="D65" s="200"/>
      <c r="E65" s="201"/>
      <c r="F65" s="314" t="s">
        <v>451</v>
      </c>
      <c r="G65" s="314"/>
      <c r="H65" s="315"/>
      <c r="J65" s="164"/>
    </row>
    <row r="66" spans="1:10" s="78" customFormat="1" ht="14.1" customHeight="1" x14ac:dyDescent="0.3">
      <c r="A66" s="297">
        <v>46261</v>
      </c>
      <c r="B66" s="298"/>
      <c r="C66" s="298"/>
      <c r="D66" s="213"/>
      <c r="E66" s="214"/>
      <c r="F66" s="215"/>
      <c r="G66" s="214"/>
      <c r="H66" s="216"/>
      <c r="J66" s="164"/>
    </row>
    <row r="67" spans="1:10" x14ac:dyDescent="0.3">
      <c r="A67" s="99"/>
      <c r="D67" s="3"/>
      <c r="E67" s="71"/>
    </row>
    <row r="68" spans="1:10" x14ac:dyDescent="0.3">
      <c r="A68" s="98"/>
      <c r="D68" s="3"/>
      <c r="E68" s="3"/>
    </row>
    <row r="69" spans="1:10" x14ac:dyDescent="0.3">
      <c r="A69" s="98"/>
      <c r="D69" s="3"/>
      <c r="E69" s="3"/>
    </row>
    <row r="70" spans="1:10" x14ac:dyDescent="0.3">
      <c r="A70" s="3"/>
      <c r="D70" s="3"/>
    </row>
  </sheetData>
  <mergeCells count="12">
    <mergeCell ref="A66:C66"/>
    <mergeCell ref="A4:H4"/>
    <mergeCell ref="B6:C6"/>
    <mergeCell ref="F6:G6"/>
    <mergeCell ref="A1:H1"/>
    <mergeCell ref="B57:C57"/>
    <mergeCell ref="F57:G57"/>
    <mergeCell ref="A2:H2"/>
    <mergeCell ref="A3:H3"/>
    <mergeCell ref="E58:G58"/>
    <mergeCell ref="F60:H60"/>
    <mergeCell ref="F65:H65"/>
  </mergeCells>
  <printOptions horizontalCentered="1"/>
  <pageMargins left="0.31496062992125984" right="0.23622047244094491" top="0.74803149606299213" bottom="0.35433070866141736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view="pageBreakPreview" topLeftCell="D1" zoomScaleNormal="100" zoomScaleSheetLayoutView="100" workbookViewId="0">
      <selection activeCell="J20" sqref="J20:J22"/>
    </sheetView>
  </sheetViews>
  <sheetFormatPr defaultColWidth="8.6640625" defaultRowHeight="14.4" x14ac:dyDescent="0.3"/>
  <cols>
    <col min="1" max="1" width="5.5546875" style="4" bestFit="1" customWidth="1"/>
    <col min="2" max="2" width="15.5546875" bestFit="1" customWidth="1"/>
    <col min="3" max="3" width="19.44140625" style="12" bestFit="1" customWidth="1"/>
    <col min="4" max="4" width="10.44140625" style="4" customWidth="1"/>
    <col min="5" max="5" width="8.33203125" style="12" bestFit="1" customWidth="1"/>
    <col min="6" max="6" width="13" style="12" bestFit="1" customWidth="1"/>
    <col min="7" max="7" width="11.33203125" style="12" customWidth="1"/>
    <col min="8" max="8" width="14.88671875" style="12" bestFit="1" customWidth="1"/>
    <col min="9" max="9" width="17.33203125" style="12" bestFit="1" customWidth="1"/>
    <col min="10" max="10" width="19.88671875" style="12" bestFit="1" customWidth="1"/>
    <col min="11" max="11" width="9.6640625" bestFit="1" customWidth="1"/>
    <col min="12" max="12" width="14.6640625" bestFit="1" customWidth="1"/>
    <col min="13" max="13" width="7.33203125" style="4" bestFit="1" customWidth="1"/>
  </cols>
  <sheetData>
    <row r="1" spans="1:14" ht="21" x14ac:dyDescent="0.4">
      <c r="A1" s="333" t="s">
        <v>79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</row>
    <row r="2" spans="1:14" ht="14.7" customHeight="1" x14ac:dyDescent="0.3">
      <c r="A2" s="335" t="s">
        <v>236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</row>
    <row r="3" spans="1:14" x14ac:dyDescent="0.3">
      <c r="A3" s="334" t="s">
        <v>292</v>
      </c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</row>
    <row r="4" spans="1:14" ht="43.2" x14ac:dyDescent="0.3">
      <c r="A4" s="131" t="s">
        <v>85</v>
      </c>
      <c r="B4" s="131" t="s">
        <v>62</v>
      </c>
      <c r="C4" s="132" t="s">
        <v>112</v>
      </c>
      <c r="D4" s="131" t="s">
        <v>58</v>
      </c>
      <c r="E4" s="132" t="s">
        <v>46</v>
      </c>
      <c r="F4" s="132" t="s">
        <v>293</v>
      </c>
      <c r="G4" s="132" t="s">
        <v>294</v>
      </c>
      <c r="H4" s="132" t="s">
        <v>113</v>
      </c>
      <c r="I4" s="132" t="s">
        <v>114</v>
      </c>
      <c r="J4" s="132" t="s">
        <v>214</v>
      </c>
      <c r="K4" s="131" t="s">
        <v>63</v>
      </c>
      <c r="L4" s="131" t="s">
        <v>115</v>
      </c>
      <c r="M4" s="131" t="s">
        <v>64</v>
      </c>
    </row>
    <row r="5" spans="1:14" ht="12.6" customHeight="1" x14ac:dyDescent="0.3">
      <c r="B5" s="133" t="s">
        <v>116</v>
      </c>
    </row>
    <row r="6" spans="1:14" hidden="1" x14ac:dyDescent="0.3">
      <c r="A6" s="8">
        <v>1</v>
      </c>
      <c r="B6" s="134" t="s">
        <v>257</v>
      </c>
      <c r="C6" s="2">
        <v>7341359</v>
      </c>
      <c r="D6" s="135" t="s">
        <v>215</v>
      </c>
      <c r="E6" s="136" t="s">
        <v>218</v>
      </c>
      <c r="F6" s="41">
        <v>235819</v>
      </c>
      <c r="G6" s="41">
        <f>120984+131624+1465</f>
        <v>254073</v>
      </c>
      <c r="H6" s="2">
        <f>12098+13163+146</f>
        <v>25407</v>
      </c>
      <c r="I6" s="2">
        <f>F6+G6-H6</f>
        <v>464485</v>
      </c>
      <c r="J6" s="2">
        <f>C6+I6</f>
        <v>7805844</v>
      </c>
      <c r="K6" s="8" t="s">
        <v>256</v>
      </c>
      <c r="L6" s="2">
        <v>7858784</v>
      </c>
      <c r="M6" s="137">
        <v>6.8500000000000005E-2</v>
      </c>
      <c r="N6" t="s">
        <v>308</v>
      </c>
    </row>
    <row r="7" spans="1:14" hidden="1" x14ac:dyDescent="0.3">
      <c r="A7" s="8">
        <v>2</v>
      </c>
      <c r="B7" s="134" t="s">
        <v>258</v>
      </c>
      <c r="C7" s="2">
        <v>1118030</v>
      </c>
      <c r="D7" s="135" t="s">
        <v>215</v>
      </c>
      <c r="E7" s="136" t="s">
        <v>220</v>
      </c>
      <c r="F7" s="41">
        <v>35913</v>
      </c>
      <c r="G7" s="41">
        <f>18425+20045+223</f>
        <v>38693</v>
      </c>
      <c r="H7" s="2">
        <f>1843+2004+22</f>
        <v>3869</v>
      </c>
      <c r="I7" s="2">
        <f t="shared" ref="I7:I14" si="0">F7+G7-H7</f>
        <v>70737</v>
      </c>
      <c r="J7" s="2">
        <f t="shared" ref="J7:J14" si="1">C7+I7</f>
        <v>1188767</v>
      </c>
      <c r="K7" s="8" t="s">
        <v>256</v>
      </c>
      <c r="L7" s="2">
        <v>1196830</v>
      </c>
      <c r="M7" s="137">
        <v>6.8500000000000005E-2</v>
      </c>
      <c r="N7" t="s">
        <v>310</v>
      </c>
    </row>
    <row r="8" spans="1:14" hidden="1" x14ac:dyDescent="0.3">
      <c r="A8" s="8">
        <v>3</v>
      </c>
      <c r="B8" s="134" t="s">
        <v>259</v>
      </c>
      <c r="C8" s="2">
        <v>1118030</v>
      </c>
      <c r="D8" s="135" t="s">
        <v>215</v>
      </c>
      <c r="E8" s="136" t="s">
        <v>220</v>
      </c>
      <c r="F8" s="41">
        <v>35913</v>
      </c>
      <c r="G8" s="41">
        <f>18425+20045+223</f>
        <v>38693</v>
      </c>
      <c r="H8" s="2">
        <f>1843+2004+22</f>
        <v>3869</v>
      </c>
      <c r="I8" s="2">
        <f t="shared" si="0"/>
        <v>70737</v>
      </c>
      <c r="J8" s="2">
        <f t="shared" si="1"/>
        <v>1188767</v>
      </c>
      <c r="K8" s="8" t="s">
        <v>256</v>
      </c>
      <c r="L8" s="2">
        <v>1196830</v>
      </c>
      <c r="M8" s="137">
        <v>6.8500000000000005E-2</v>
      </c>
      <c r="N8" t="s">
        <v>311</v>
      </c>
    </row>
    <row r="9" spans="1:14" hidden="1" x14ac:dyDescent="0.3">
      <c r="A9" s="8">
        <v>4</v>
      </c>
      <c r="B9" s="134" t="s">
        <v>260</v>
      </c>
      <c r="C9" s="138">
        <v>1118030</v>
      </c>
      <c r="D9" s="139" t="s">
        <v>215</v>
      </c>
      <c r="E9" s="140" t="s">
        <v>220</v>
      </c>
      <c r="F9" s="141">
        <v>35913</v>
      </c>
      <c r="G9" s="141">
        <f>18425+20045+223</f>
        <v>38693</v>
      </c>
      <c r="H9" s="138">
        <f>1843+2004+22</f>
        <v>3869</v>
      </c>
      <c r="I9" s="2">
        <f t="shared" si="0"/>
        <v>70737</v>
      </c>
      <c r="J9" s="2">
        <f t="shared" si="1"/>
        <v>1188767</v>
      </c>
      <c r="K9" s="8" t="s">
        <v>256</v>
      </c>
      <c r="L9" s="2">
        <v>1196830</v>
      </c>
      <c r="M9" s="137">
        <v>6.8500000000000005E-2</v>
      </c>
      <c r="N9" t="s">
        <v>314</v>
      </c>
    </row>
    <row r="10" spans="1:14" ht="16.95" hidden="1" customHeight="1" x14ac:dyDescent="0.3">
      <c r="A10" s="8">
        <v>4</v>
      </c>
      <c r="B10" s="134" t="s">
        <v>314</v>
      </c>
      <c r="C10" s="138">
        <v>1188767</v>
      </c>
      <c r="D10" s="139" t="s">
        <v>256</v>
      </c>
      <c r="E10" s="140" t="s">
        <v>220</v>
      </c>
      <c r="F10" s="141"/>
      <c r="G10" s="141">
        <v>5292</v>
      </c>
      <c r="H10" s="138">
        <v>529</v>
      </c>
      <c r="I10" s="2">
        <f t="shared" si="0"/>
        <v>4763</v>
      </c>
      <c r="J10" s="2">
        <f t="shared" si="1"/>
        <v>1193530</v>
      </c>
      <c r="K10" s="8" t="s">
        <v>315</v>
      </c>
      <c r="L10" s="2"/>
      <c r="M10" s="137"/>
      <c r="N10" t="s">
        <v>312</v>
      </c>
    </row>
    <row r="11" spans="1:14" hidden="1" x14ac:dyDescent="0.3">
      <c r="A11" s="8">
        <v>5</v>
      </c>
      <c r="B11" s="134" t="s">
        <v>261</v>
      </c>
      <c r="C11" s="138">
        <v>1118030</v>
      </c>
      <c r="D11" s="139" t="s">
        <v>215</v>
      </c>
      <c r="E11" s="140" t="s">
        <v>220</v>
      </c>
      <c r="F11" s="141">
        <v>35913</v>
      </c>
      <c r="G11" s="141">
        <v>-9501</v>
      </c>
      <c r="H11" s="138"/>
      <c r="I11" s="2">
        <f t="shared" si="0"/>
        <v>26412</v>
      </c>
      <c r="J11" s="2">
        <f t="shared" si="1"/>
        <v>1144442</v>
      </c>
      <c r="K11" s="8" t="s">
        <v>256</v>
      </c>
      <c r="L11" s="2">
        <v>1196830</v>
      </c>
      <c r="M11" s="137">
        <v>6.8500000000000005E-2</v>
      </c>
      <c r="N11" t="s">
        <v>320</v>
      </c>
    </row>
    <row r="12" spans="1:14" hidden="1" x14ac:dyDescent="0.3">
      <c r="A12" s="8">
        <v>6</v>
      </c>
      <c r="B12" s="134" t="s">
        <v>262</v>
      </c>
      <c r="C12" s="138">
        <v>1064505</v>
      </c>
      <c r="D12" s="139" t="s">
        <v>216</v>
      </c>
      <c r="E12" s="140" t="s">
        <v>220</v>
      </c>
      <c r="F12" s="141">
        <v>55518</v>
      </c>
      <c r="G12" s="141">
        <v>12936</v>
      </c>
      <c r="H12" s="138">
        <v>1294</v>
      </c>
      <c r="I12" s="2">
        <f t="shared" si="0"/>
        <v>67160</v>
      </c>
      <c r="J12" s="2">
        <f t="shared" si="1"/>
        <v>1131665</v>
      </c>
      <c r="K12" s="8" t="s">
        <v>263</v>
      </c>
      <c r="L12" s="2">
        <v>1139318</v>
      </c>
      <c r="M12" s="137">
        <v>6.8500000000000005E-2</v>
      </c>
      <c r="N12" t="s">
        <v>318</v>
      </c>
    </row>
    <row r="13" spans="1:14" hidden="1" x14ac:dyDescent="0.3">
      <c r="A13" s="8">
        <v>7</v>
      </c>
      <c r="B13" s="134" t="s">
        <v>264</v>
      </c>
      <c r="C13" s="138">
        <v>1064505</v>
      </c>
      <c r="D13" s="139" t="s">
        <v>216</v>
      </c>
      <c r="E13" s="140" t="s">
        <v>219</v>
      </c>
      <c r="F13" s="141">
        <v>55518</v>
      </c>
      <c r="G13" s="141">
        <v>12936</v>
      </c>
      <c r="H13" s="138">
        <v>1294</v>
      </c>
      <c r="I13" s="2">
        <f t="shared" si="0"/>
        <v>67160</v>
      </c>
      <c r="J13" s="2">
        <f t="shared" si="1"/>
        <v>1131665</v>
      </c>
      <c r="K13" s="8" t="s">
        <v>263</v>
      </c>
      <c r="L13" s="2">
        <v>1139318</v>
      </c>
      <c r="M13" s="137">
        <v>6.8500000000000005E-2</v>
      </c>
      <c r="N13" t="s">
        <v>319</v>
      </c>
    </row>
    <row r="14" spans="1:14" hidden="1" x14ac:dyDescent="0.3">
      <c r="A14" s="8">
        <v>8</v>
      </c>
      <c r="B14" s="134" t="s">
        <v>265</v>
      </c>
      <c r="C14" s="138">
        <v>1064505</v>
      </c>
      <c r="D14" s="139" t="s">
        <v>216</v>
      </c>
      <c r="E14" s="140" t="s">
        <v>219</v>
      </c>
      <c r="F14" s="141">
        <v>55518</v>
      </c>
      <c r="G14" s="141">
        <v>12936</v>
      </c>
      <c r="H14" s="138">
        <v>1294</v>
      </c>
      <c r="I14" s="2">
        <f t="shared" si="0"/>
        <v>67160</v>
      </c>
      <c r="J14" s="2">
        <f t="shared" si="1"/>
        <v>1131665</v>
      </c>
      <c r="K14" s="8" t="s">
        <v>263</v>
      </c>
      <c r="L14" s="2">
        <v>1139318</v>
      </c>
      <c r="M14" s="137">
        <v>6.8500000000000005E-2</v>
      </c>
      <c r="N14" t="s">
        <v>316</v>
      </c>
    </row>
    <row r="15" spans="1:14" hidden="1" x14ac:dyDescent="0.3">
      <c r="A15" s="8">
        <v>7</v>
      </c>
      <c r="B15" s="134" t="s">
        <v>318</v>
      </c>
      <c r="C15" s="138">
        <v>1131665</v>
      </c>
      <c r="D15" s="139" t="s">
        <v>263</v>
      </c>
      <c r="E15" s="140" t="s">
        <v>220</v>
      </c>
      <c r="F15" s="141"/>
      <c r="G15" s="141">
        <v>1953</v>
      </c>
      <c r="H15" s="138">
        <v>195</v>
      </c>
      <c r="I15" s="2">
        <f t="shared" ref="I15:I17" si="2">F15+G15-H15</f>
        <v>1758</v>
      </c>
      <c r="J15" s="2">
        <f t="shared" ref="J15:J16" si="3">C15+I15</f>
        <v>1133423</v>
      </c>
      <c r="K15" s="8" t="s">
        <v>263</v>
      </c>
      <c r="L15" s="2">
        <v>1139318</v>
      </c>
      <c r="M15" s="137">
        <v>6.8500000000000005E-2</v>
      </c>
      <c r="N15" t="s">
        <v>320</v>
      </c>
    </row>
    <row r="16" spans="1:14" hidden="1" x14ac:dyDescent="0.3">
      <c r="A16" s="8">
        <v>8</v>
      </c>
      <c r="B16" s="134" t="s">
        <v>319</v>
      </c>
      <c r="C16" s="138">
        <v>1131665</v>
      </c>
      <c r="D16" s="139" t="s">
        <v>263</v>
      </c>
      <c r="E16" s="140" t="s">
        <v>219</v>
      </c>
      <c r="F16" s="141"/>
      <c r="G16" s="141">
        <v>4093</v>
      </c>
      <c r="H16" s="138">
        <v>409</v>
      </c>
      <c r="I16" s="2">
        <f t="shared" si="2"/>
        <v>3684</v>
      </c>
      <c r="J16" s="2">
        <f t="shared" si="3"/>
        <v>1135349</v>
      </c>
      <c r="K16" s="8" t="s">
        <v>263</v>
      </c>
      <c r="L16" s="2">
        <v>1139318</v>
      </c>
      <c r="M16" s="137">
        <v>6.8500000000000005E-2</v>
      </c>
      <c r="N16" t="s">
        <v>320</v>
      </c>
    </row>
    <row r="17" spans="1:14" hidden="1" x14ac:dyDescent="0.3">
      <c r="A17" s="142">
        <v>9</v>
      </c>
      <c r="B17" s="134" t="s">
        <v>266</v>
      </c>
      <c r="C17" s="143">
        <v>500000</v>
      </c>
      <c r="D17" s="144" t="s">
        <v>267</v>
      </c>
      <c r="E17" s="140" t="s">
        <v>220</v>
      </c>
      <c r="F17" s="143">
        <v>7449</v>
      </c>
      <c r="G17" s="143">
        <f>285+8694-3444</f>
        <v>5535</v>
      </c>
      <c r="H17" s="143">
        <f>29+869</f>
        <v>898</v>
      </c>
      <c r="I17" s="2">
        <f t="shared" si="2"/>
        <v>12086</v>
      </c>
      <c r="J17" s="2">
        <f>C17+I17</f>
        <v>512086</v>
      </c>
      <c r="K17" s="24" t="s">
        <v>268</v>
      </c>
      <c r="L17" s="46">
        <v>535140</v>
      </c>
      <c r="M17" s="137">
        <v>6.8500000000000005E-2</v>
      </c>
      <c r="N17" t="s">
        <v>313</v>
      </c>
    </row>
    <row r="18" spans="1:14" hidden="1" x14ac:dyDescent="0.3">
      <c r="B18" s="133"/>
      <c r="C18" s="3"/>
      <c r="E18" s="3"/>
      <c r="F18" s="3"/>
      <c r="G18" s="3"/>
      <c r="H18" s="3"/>
      <c r="I18" s="3"/>
      <c r="J18" s="3"/>
    </row>
    <row r="19" spans="1:14" ht="20.100000000000001" customHeight="1" x14ac:dyDescent="0.3">
      <c r="A19" s="8">
        <v>1</v>
      </c>
      <c r="B19" s="134" t="s">
        <v>308</v>
      </c>
      <c r="C19" s="2">
        <v>7805844</v>
      </c>
      <c r="D19" s="8" t="s">
        <v>256</v>
      </c>
      <c r="E19" s="136" t="s">
        <v>218</v>
      </c>
      <c r="F19" s="2">
        <v>0</v>
      </c>
      <c r="G19" s="2">
        <f>121966+123681+6968</f>
        <v>252615</v>
      </c>
      <c r="H19" s="2">
        <f>12197+12368+697</f>
        <v>25262</v>
      </c>
      <c r="I19" s="2">
        <f>F19+G19-H19</f>
        <v>227353</v>
      </c>
      <c r="J19" s="2">
        <f>C19+I19</f>
        <v>8033197</v>
      </c>
      <c r="K19" s="8" t="s">
        <v>309</v>
      </c>
      <c r="L19" s="2">
        <v>0</v>
      </c>
      <c r="M19" s="137"/>
    </row>
    <row r="20" spans="1:14" ht="20.100000000000001" customHeight="1" x14ac:dyDescent="0.3">
      <c r="A20" s="8">
        <v>2</v>
      </c>
      <c r="B20" s="134" t="s">
        <v>310</v>
      </c>
      <c r="C20" s="2">
        <v>1188767</v>
      </c>
      <c r="D20" s="8" t="s">
        <v>256</v>
      </c>
      <c r="E20" s="136" t="s">
        <v>220</v>
      </c>
      <c r="F20" s="2">
        <v>0</v>
      </c>
      <c r="G20" s="2">
        <f>18574+18836+1061</f>
        <v>38471</v>
      </c>
      <c r="H20" s="2">
        <f>1857+1884+106</f>
        <v>3847</v>
      </c>
      <c r="I20" s="2">
        <f t="shared" ref="I20:I22" si="4">F20+G20-H20</f>
        <v>34624</v>
      </c>
      <c r="J20" s="2">
        <f t="shared" ref="J20:J22" si="5">C20+I20</f>
        <v>1223391</v>
      </c>
      <c r="K20" s="8" t="s">
        <v>309</v>
      </c>
      <c r="L20" s="2">
        <v>0</v>
      </c>
      <c r="M20" s="137"/>
    </row>
    <row r="21" spans="1:14" ht="20.100000000000001" customHeight="1" x14ac:dyDescent="0.3">
      <c r="A21" s="8">
        <v>3</v>
      </c>
      <c r="B21" s="134" t="s">
        <v>311</v>
      </c>
      <c r="C21" s="2">
        <v>1188767</v>
      </c>
      <c r="D21" s="8" t="s">
        <v>256</v>
      </c>
      <c r="E21" s="136" t="s">
        <v>220</v>
      </c>
      <c r="F21" s="2">
        <v>0</v>
      </c>
      <c r="G21" s="2">
        <f>18574+18836+1061</f>
        <v>38471</v>
      </c>
      <c r="H21" s="2">
        <f>1857+1884+106</f>
        <v>3847</v>
      </c>
      <c r="I21" s="2">
        <f t="shared" si="4"/>
        <v>34624</v>
      </c>
      <c r="J21" s="2">
        <f t="shared" si="5"/>
        <v>1223391</v>
      </c>
      <c r="K21" s="8" t="s">
        <v>309</v>
      </c>
      <c r="L21" s="2">
        <v>0</v>
      </c>
      <c r="M21" s="137"/>
    </row>
    <row r="22" spans="1:14" ht="20.100000000000001" customHeight="1" x14ac:dyDescent="0.3">
      <c r="A22" s="8">
        <v>4</v>
      </c>
      <c r="B22" s="134" t="s">
        <v>316</v>
      </c>
      <c r="C22" s="2">
        <v>1131665</v>
      </c>
      <c r="D22" s="8" t="s">
        <v>263</v>
      </c>
      <c r="E22" s="136" t="s">
        <v>220</v>
      </c>
      <c r="F22" s="2">
        <v>0</v>
      </c>
      <c r="G22" s="2">
        <f>19097+19387+19681+6438</f>
        <v>64603</v>
      </c>
      <c r="H22" s="2">
        <f>1910+1938+1969+643</f>
        <v>6460</v>
      </c>
      <c r="I22" s="2">
        <f t="shared" si="4"/>
        <v>58143</v>
      </c>
      <c r="J22" s="2">
        <f t="shared" si="5"/>
        <v>1189808</v>
      </c>
      <c r="K22" s="8" t="s">
        <v>317</v>
      </c>
      <c r="L22" s="2">
        <v>0</v>
      </c>
      <c r="M22" s="137"/>
    </row>
    <row r="23" spans="1:14" ht="20.100000000000001" customHeight="1" thickBot="1" x14ac:dyDescent="0.35">
      <c r="A23" s="217"/>
      <c r="B23" s="218" t="s">
        <v>217</v>
      </c>
      <c r="C23" s="219">
        <f>SUM(C19:C22)</f>
        <v>11315043</v>
      </c>
      <c r="D23" s="217"/>
      <c r="E23" s="219">
        <f>SUM(E19:E22)</f>
        <v>0</v>
      </c>
      <c r="F23" s="219">
        <f>SUM(F19:F22)</f>
        <v>0</v>
      </c>
      <c r="G23" s="219">
        <f>SUM(G6:G22)</f>
        <v>810492</v>
      </c>
      <c r="H23" s="219">
        <f>SUM(H6:H22)</f>
        <v>82343</v>
      </c>
      <c r="I23" s="219">
        <f>SUM(I19:I22)</f>
        <v>354744</v>
      </c>
      <c r="J23" s="219">
        <f>SUM(J19:J22)</f>
        <v>11669787</v>
      </c>
      <c r="K23" s="220"/>
      <c r="L23" s="219">
        <f>SUM(L19:L22)</f>
        <v>0</v>
      </c>
      <c r="M23" s="217"/>
    </row>
  </sheetData>
  <mergeCells count="3">
    <mergeCell ref="A1:M1"/>
    <mergeCell ref="A3:M3"/>
    <mergeCell ref="A2:M2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view="pageBreakPreview" topLeftCell="A31" zoomScaleNormal="100" zoomScaleSheetLayoutView="100" workbookViewId="0">
      <selection activeCell="H8" sqref="H8"/>
    </sheetView>
  </sheetViews>
  <sheetFormatPr defaultColWidth="9.33203125" defaultRowHeight="14.4" x14ac:dyDescent="0.3"/>
  <cols>
    <col min="1" max="1" width="7.44140625" style="4" customWidth="1"/>
    <col min="2" max="2" width="10.6640625" style="4" bestFit="1" customWidth="1"/>
    <col min="3" max="3" width="57.33203125" bestFit="1" customWidth="1"/>
    <col min="4" max="4" width="12.5546875" bestFit="1" customWidth="1"/>
    <col min="5" max="5" width="10.5546875" customWidth="1"/>
    <col min="6" max="6" width="12.88671875" customWidth="1"/>
    <col min="7" max="7" width="22.6640625" customWidth="1"/>
    <col min="8" max="8" width="11.5546875" bestFit="1" customWidth="1"/>
  </cols>
  <sheetData>
    <row r="1" spans="1:7" ht="18" x14ac:dyDescent="0.35">
      <c r="A1" s="336" t="str">
        <f>'Sch - G FA'!B1</f>
        <v>KENT - HEIGHTS CO-OPERATIVE HOUSING SOCIETY LTD.</v>
      </c>
      <c r="B1" s="336"/>
      <c r="C1" s="336"/>
      <c r="D1" s="336"/>
    </row>
    <row r="2" spans="1:7" ht="15.6" x14ac:dyDescent="0.3">
      <c r="A2" s="337" t="s">
        <v>98</v>
      </c>
      <c r="B2" s="337"/>
      <c r="C2" s="337"/>
      <c r="D2" s="337"/>
    </row>
    <row r="3" spans="1:7" ht="15.6" x14ac:dyDescent="0.3">
      <c r="A3" s="335" t="s">
        <v>295</v>
      </c>
      <c r="B3" s="335"/>
      <c r="C3" s="335"/>
      <c r="D3" s="335"/>
    </row>
    <row r="4" spans="1:7" ht="18" customHeight="1" thickBot="1" x14ac:dyDescent="0.35">
      <c r="A4" s="223" t="s">
        <v>36</v>
      </c>
      <c r="B4" s="223" t="s">
        <v>91</v>
      </c>
      <c r="C4" s="223" t="s">
        <v>93</v>
      </c>
      <c r="D4" s="223" t="s">
        <v>444</v>
      </c>
      <c r="E4" s="223" t="s">
        <v>445</v>
      </c>
      <c r="F4" s="224" t="s">
        <v>7</v>
      </c>
    </row>
    <row r="5" spans="1:7" ht="18" customHeight="1" x14ac:dyDescent="0.3">
      <c r="A5" s="24">
        <v>1</v>
      </c>
      <c r="B5" s="24">
        <v>101</v>
      </c>
      <c r="C5" s="221" t="s">
        <v>335</v>
      </c>
      <c r="D5" s="222">
        <v>21096</v>
      </c>
      <c r="E5" s="222">
        <v>0</v>
      </c>
      <c r="F5" s="222">
        <f>D5+E5</f>
        <v>21096</v>
      </c>
      <c r="G5" s="185"/>
    </row>
    <row r="6" spans="1:7" ht="18" customHeight="1" x14ac:dyDescent="0.3">
      <c r="A6" s="8">
        <v>2</v>
      </c>
      <c r="B6" s="8">
        <v>201</v>
      </c>
      <c r="C6" s="1" t="s">
        <v>120</v>
      </c>
      <c r="D6" s="186">
        <v>7924</v>
      </c>
      <c r="E6" s="186">
        <v>0</v>
      </c>
      <c r="F6" s="186">
        <f t="shared" ref="F6:F20" si="0">D6+E6</f>
        <v>7924</v>
      </c>
      <c r="G6" s="185"/>
    </row>
    <row r="7" spans="1:7" s="78" customFormat="1" ht="31.5" customHeight="1" x14ac:dyDescent="0.3">
      <c r="A7" s="293">
        <v>3</v>
      </c>
      <c r="B7" s="293">
        <v>204</v>
      </c>
      <c r="C7" s="294" t="s">
        <v>271</v>
      </c>
      <c r="D7" s="295">
        <v>63296</v>
      </c>
      <c r="E7" s="295">
        <v>0</v>
      </c>
      <c r="F7" s="295">
        <f t="shared" si="0"/>
        <v>63296</v>
      </c>
      <c r="G7" s="296"/>
    </row>
    <row r="8" spans="1:7" ht="18" customHeight="1" x14ac:dyDescent="0.3">
      <c r="A8" s="8">
        <v>4</v>
      </c>
      <c r="B8" s="8">
        <v>901</v>
      </c>
      <c r="C8" s="1" t="s">
        <v>182</v>
      </c>
      <c r="D8" s="186">
        <v>140717</v>
      </c>
      <c r="E8" s="186">
        <v>16373</v>
      </c>
      <c r="F8" s="186">
        <f t="shared" si="0"/>
        <v>157090</v>
      </c>
      <c r="G8" s="185"/>
    </row>
    <row r="9" spans="1:7" ht="18" customHeight="1" x14ac:dyDescent="0.3">
      <c r="A9" s="8">
        <v>5</v>
      </c>
      <c r="B9" s="8">
        <v>1001</v>
      </c>
      <c r="C9" s="1" t="s">
        <v>178</v>
      </c>
      <c r="D9" s="186">
        <v>54949</v>
      </c>
      <c r="E9" s="186">
        <v>0</v>
      </c>
      <c r="F9" s="186">
        <f t="shared" si="0"/>
        <v>54949</v>
      </c>
      <c r="G9" s="185"/>
    </row>
    <row r="10" spans="1:7" ht="18" customHeight="1" x14ac:dyDescent="0.3">
      <c r="A10" s="8">
        <v>6</v>
      </c>
      <c r="B10" s="8">
        <v>1002</v>
      </c>
      <c r="C10" s="1" t="s">
        <v>177</v>
      </c>
      <c r="D10" s="186">
        <v>51349</v>
      </c>
      <c r="E10" s="186">
        <v>0</v>
      </c>
      <c r="F10" s="186">
        <f t="shared" si="0"/>
        <v>51349</v>
      </c>
      <c r="G10" s="185"/>
    </row>
    <row r="11" spans="1:7" s="78" customFormat="1" ht="31.5" customHeight="1" x14ac:dyDescent="0.3">
      <c r="A11" s="293">
        <v>7</v>
      </c>
      <c r="B11" s="293">
        <v>1102</v>
      </c>
      <c r="C11" s="294" t="s">
        <v>273</v>
      </c>
      <c r="D11" s="295">
        <v>22468</v>
      </c>
      <c r="E11" s="295">
        <v>0</v>
      </c>
      <c r="F11" s="295">
        <f t="shared" si="0"/>
        <v>22468</v>
      </c>
      <c r="G11" s="296"/>
    </row>
    <row r="12" spans="1:7" ht="18" customHeight="1" x14ac:dyDescent="0.3">
      <c r="A12" s="8">
        <v>8</v>
      </c>
      <c r="B12" s="8">
        <v>1303</v>
      </c>
      <c r="C12" s="1" t="s">
        <v>167</v>
      </c>
      <c r="D12" s="186">
        <v>12404</v>
      </c>
      <c r="E12" s="186">
        <v>0</v>
      </c>
      <c r="F12" s="186">
        <f t="shared" si="0"/>
        <v>12404</v>
      </c>
      <c r="G12" s="185"/>
    </row>
    <row r="13" spans="1:7" ht="18" customHeight="1" x14ac:dyDescent="0.3">
      <c r="A13" s="8">
        <v>9</v>
      </c>
      <c r="B13" s="8">
        <v>1401</v>
      </c>
      <c r="C13" s="1" t="s">
        <v>165</v>
      </c>
      <c r="D13" s="186">
        <v>5000</v>
      </c>
      <c r="E13" s="186">
        <v>0</v>
      </c>
      <c r="F13" s="186">
        <f t="shared" si="0"/>
        <v>5000</v>
      </c>
      <c r="G13" s="185"/>
    </row>
    <row r="14" spans="1:7" ht="18" customHeight="1" x14ac:dyDescent="0.3">
      <c r="A14" s="8">
        <v>10</v>
      </c>
      <c r="B14" s="8">
        <v>1701</v>
      </c>
      <c r="C14" s="1" t="s">
        <v>42</v>
      </c>
      <c r="D14" s="186">
        <v>400778</v>
      </c>
      <c r="E14" s="186">
        <v>61204</v>
      </c>
      <c r="F14" s="186">
        <f t="shared" si="0"/>
        <v>461982</v>
      </c>
      <c r="G14" s="185"/>
    </row>
    <row r="15" spans="1:7" ht="18" customHeight="1" x14ac:dyDescent="0.3">
      <c r="A15" s="8">
        <v>11</v>
      </c>
      <c r="B15" s="8">
        <v>1901</v>
      </c>
      <c r="C15" s="1" t="s">
        <v>154</v>
      </c>
      <c r="D15" s="186">
        <v>19434</v>
      </c>
      <c r="E15" s="186">
        <v>0</v>
      </c>
      <c r="F15" s="186">
        <f t="shared" si="0"/>
        <v>19434</v>
      </c>
      <c r="G15" s="185"/>
    </row>
    <row r="16" spans="1:7" ht="18" customHeight="1" x14ac:dyDescent="0.3">
      <c r="A16" s="8">
        <v>12</v>
      </c>
      <c r="B16" s="8">
        <v>1902</v>
      </c>
      <c r="C16" s="1" t="s">
        <v>154</v>
      </c>
      <c r="D16" s="186">
        <v>19434</v>
      </c>
      <c r="E16" s="186">
        <v>0</v>
      </c>
      <c r="F16" s="186">
        <f t="shared" si="0"/>
        <v>19434</v>
      </c>
      <c r="G16" s="185"/>
    </row>
    <row r="17" spans="1:7" ht="18" customHeight="1" x14ac:dyDescent="0.3">
      <c r="A17" s="8">
        <v>13</v>
      </c>
      <c r="B17" s="8">
        <v>2102</v>
      </c>
      <c r="C17" s="1" t="s">
        <v>148</v>
      </c>
      <c r="D17" s="186">
        <v>19599</v>
      </c>
      <c r="E17" s="186">
        <v>0</v>
      </c>
      <c r="F17" s="186">
        <f t="shared" si="0"/>
        <v>19599</v>
      </c>
      <c r="G17" s="185"/>
    </row>
    <row r="18" spans="1:7" ht="18" customHeight="1" x14ac:dyDescent="0.3">
      <c r="A18" s="8">
        <v>14</v>
      </c>
      <c r="B18" s="8">
        <v>2301</v>
      </c>
      <c r="C18" s="1" t="s">
        <v>43</v>
      </c>
      <c r="D18" s="186">
        <v>34618</v>
      </c>
      <c r="E18" s="186">
        <v>0</v>
      </c>
      <c r="F18" s="186">
        <f t="shared" si="0"/>
        <v>34618</v>
      </c>
      <c r="G18" s="185"/>
    </row>
    <row r="19" spans="1:7" ht="18" customHeight="1" x14ac:dyDescent="0.3">
      <c r="A19" s="8">
        <v>15</v>
      </c>
      <c r="B19" s="8">
        <v>2304</v>
      </c>
      <c r="C19" s="1" t="s">
        <v>141</v>
      </c>
      <c r="D19" s="186">
        <v>22631</v>
      </c>
      <c r="E19" s="186">
        <v>3261</v>
      </c>
      <c r="F19" s="186">
        <f t="shared" si="0"/>
        <v>25892</v>
      </c>
      <c r="G19" s="185"/>
    </row>
    <row r="20" spans="1:7" ht="18" customHeight="1" x14ac:dyDescent="0.3">
      <c r="A20" s="172"/>
      <c r="B20" s="173"/>
      <c r="C20" s="126" t="s">
        <v>443</v>
      </c>
      <c r="D20" s="187">
        <f>'Major Rep. Chgs'!K94</f>
        <v>1731747</v>
      </c>
      <c r="E20" s="187">
        <v>0</v>
      </c>
      <c r="F20" s="186">
        <f t="shared" si="0"/>
        <v>1731747</v>
      </c>
    </row>
    <row r="21" spans="1:7" ht="18" customHeight="1" thickBot="1" x14ac:dyDescent="0.35">
      <c r="A21" s="344"/>
      <c r="B21" s="345"/>
      <c r="C21" s="43" t="s">
        <v>7</v>
      </c>
      <c r="D21" s="34">
        <f>SUM(D5:D20)</f>
        <v>2627444</v>
      </c>
      <c r="E21" s="34">
        <f>SUM(E5:E20)</f>
        <v>80838</v>
      </c>
      <c r="F21" s="34">
        <f>SUM(F5:F20)</f>
        <v>2708282</v>
      </c>
    </row>
    <row r="22" spans="1:7" ht="18" customHeight="1" thickTop="1" x14ac:dyDescent="0.3"/>
    <row r="23" spans="1:7" ht="15.6" x14ac:dyDescent="0.3">
      <c r="A23" s="337" t="s">
        <v>227</v>
      </c>
      <c r="B23" s="337"/>
      <c r="C23" s="337"/>
      <c r="D23" s="337"/>
    </row>
    <row r="24" spans="1:7" ht="15.6" x14ac:dyDescent="0.3">
      <c r="A24" s="343" t="s">
        <v>296</v>
      </c>
      <c r="B24" s="343"/>
      <c r="C24" s="343"/>
      <c r="D24" s="343"/>
    </row>
    <row r="25" spans="1:7" ht="18" customHeight="1" thickBot="1" x14ac:dyDescent="0.35">
      <c r="A25" s="22" t="s">
        <v>92</v>
      </c>
      <c r="B25" s="22" t="s">
        <v>91</v>
      </c>
      <c r="C25" s="22" t="s">
        <v>94</v>
      </c>
      <c r="D25" s="42" t="s">
        <v>248</v>
      </c>
    </row>
    <row r="26" spans="1:7" ht="18" customHeight="1" thickTop="1" x14ac:dyDescent="0.3">
      <c r="A26" s="35">
        <v>1</v>
      </c>
      <c r="B26" s="8" t="s">
        <v>351</v>
      </c>
      <c r="C26" s="1" t="s">
        <v>190</v>
      </c>
      <c r="D26" s="20">
        <v>7</v>
      </c>
    </row>
    <row r="27" spans="1:7" ht="18" customHeight="1" x14ac:dyDescent="0.3">
      <c r="A27" s="35">
        <v>2</v>
      </c>
      <c r="B27" s="8" t="s">
        <v>356</v>
      </c>
      <c r="C27" s="1" t="s">
        <v>38</v>
      </c>
      <c r="D27" s="20">
        <v>730</v>
      </c>
    </row>
    <row r="28" spans="1:7" ht="18" customHeight="1" x14ac:dyDescent="0.3">
      <c r="A28" s="35">
        <v>3</v>
      </c>
      <c r="B28" s="8" t="s">
        <v>358</v>
      </c>
      <c r="C28" s="1" t="s">
        <v>187</v>
      </c>
      <c r="D28" s="20">
        <v>257</v>
      </c>
    </row>
    <row r="29" spans="1:7" ht="18" customHeight="1" x14ac:dyDescent="0.3">
      <c r="A29" s="35">
        <v>4</v>
      </c>
      <c r="B29" s="27">
        <v>1801</v>
      </c>
      <c r="C29" s="1" t="s">
        <v>137</v>
      </c>
      <c r="D29" s="20">
        <v>899</v>
      </c>
    </row>
    <row r="30" spans="1:7" ht="18" customHeight="1" x14ac:dyDescent="0.3">
      <c r="A30" s="35">
        <v>5</v>
      </c>
      <c r="B30" s="27">
        <v>1802</v>
      </c>
      <c r="C30" s="1" t="s">
        <v>156</v>
      </c>
      <c r="D30" s="20">
        <v>899</v>
      </c>
    </row>
    <row r="31" spans="1:7" ht="18" customHeight="1" x14ac:dyDescent="0.3">
      <c r="A31" s="35">
        <v>6</v>
      </c>
      <c r="B31" s="27">
        <v>2303</v>
      </c>
      <c r="C31" t="s">
        <v>136</v>
      </c>
      <c r="D31" s="20">
        <v>10</v>
      </c>
    </row>
    <row r="32" spans="1:7" ht="18" customHeight="1" x14ac:dyDescent="0.3">
      <c r="A32" s="35">
        <v>7</v>
      </c>
      <c r="B32" s="180" t="s">
        <v>442</v>
      </c>
      <c r="C32" s="1" t="s">
        <v>199</v>
      </c>
      <c r="D32" s="20">
        <f>'Major Rep. Chgs'!K95</f>
        <v>5450</v>
      </c>
    </row>
    <row r="33" spans="1:8" ht="18" customHeight="1" thickBot="1" x14ac:dyDescent="0.35">
      <c r="A33" s="19"/>
      <c r="B33" s="28"/>
      <c r="C33" s="28" t="s">
        <v>7</v>
      </c>
      <c r="D33" s="29">
        <f>SUM(D26:D32)</f>
        <v>8252</v>
      </c>
    </row>
    <row r="34" spans="1:8" ht="15" thickTop="1" x14ac:dyDescent="0.3">
      <c r="A34" s="30"/>
      <c r="B34" s="7"/>
      <c r="C34" s="7"/>
      <c r="D34" s="31"/>
    </row>
    <row r="35" spans="1:8" ht="15.6" x14ac:dyDescent="0.3">
      <c r="A35" s="341" t="s">
        <v>99</v>
      </c>
      <c r="B35" s="337"/>
      <c r="C35" s="337"/>
      <c r="D35" s="337"/>
    </row>
    <row r="36" spans="1:8" ht="18" customHeight="1" x14ac:dyDescent="0.3">
      <c r="A36" s="342" t="s">
        <v>297</v>
      </c>
      <c r="B36" s="342"/>
      <c r="C36" s="342"/>
      <c r="D36" s="342"/>
    </row>
    <row r="37" spans="1:8" ht="18" customHeight="1" thickBot="1" x14ac:dyDescent="0.35">
      <c r="A37" s="21" t="s">
        <v>92</v>
      </c>
      <c r="B37" s="21" t="s">
        <v>91</v>
      </c>
      <c r="C37" s="22" t="s">
        <v>93</v>
      </c>
      <c r="D37" s="23" t="s">
        <v>90</v>
      </c>
    </row>
    <row r="38" spans="1:8" ht="18" customHeight="1" thickTop="1" x14ac:dyDescent="0.3">
      <c r="A38" s="8">
        <v>1</v>
      </c>
      <c r="B38" s="8">
        <v>204</v>
      </c>
      <c r="C38" s="25" t="s">
        <v>138</v>
      </c>
      <c r="D38" s="20">
        <v>50000</v>
      </c>
    </row>
    <row r="39" spans="1:8" ht="18" customHeight="1" x14ac:dyDescent="0.3">
      <c r="A39" s="24">
        <v>2</v>
      </c>
      <c r="B39" s="8">
        <v>401</v>
      </c>
      <c r="C39" s="25" t="s">
        <v>370</v>
      </c>
      <c r="D39" s="48">
        <v>50000</v>
      </c>
    </row>
    <row r="40" spans="1:8" ht="18" customHeight="1" x14ac:dyDescent="0.3">
      <c r="A40" s="24">
        <v>3</v>
      </c>
      <c r="B40" s="8">
        <v>501</v>
      </c>
      <c r="C40" s="25" t="s">
        <v>191</v>
      </c>
      <c r="D40" s="48">
        <v>50000</v>
      </c>
      <c r="H40" s="3"/>
    </row>
    <row r="41" spans="1:8" ht="18" customHeight="1" x14ac:dyDescent="0.3">
      <c r="A41" s="8">
        <v>4</v>
      </c>
      <c r="B41" s="8">
        <v>503</v>
      </c>
      <c r="C41" s="25" t="s">
        <v>189</v>
      </c>
      <c r="D41" s="20">
        <v>200000</v>
      </c>
    </row>
    <row r="42" spans="1:8" ht="18" customHeight="1" x14ac:dyDescent="0.3">
      <c r="A42" s="24">
        <v>5</v>
      </c>
      <c r="B42" s="8">
        <v>504</v>
      </c>
      <c r="C42" s="25" t="s">
        <v>40</v>
      </c>
      <c r="D42" s="20">
        <v>200000</v>
      </c>
    </row>
    <row r="43" spans="1:8" ht="18" customHeight="1" x14ac:dyDescent="0.3">
      <c r="A43" s="24">
        <v>6</v>
      </c>
      <c r="B43" s="8">
        <v>1001</v>
      </c>
      <c r="C43" s="25" t="s">
        <v>178</v>
      </c>
      <c r="D43" s="20">
        <v>100000</v>
      </c>
    </row>
    <row r="44" spans="1:8" ht="18" customHeight="1" x14ac:dyDescent="0.3">
      <c r="A44" s="8">
        <v>7</v>
      </c>
      <c r="B44" s="8">
        <v>1003</v>
      </c>
      <c r="C44" s="25" t="s">
        <v>176</v>
      </c>
      <c r="D44" s="20">
        <f>50000+150000</f>
        <v>200000</v>
      </c>
    </row>
    <row r="45" spans="1:8" ht="18" customHeight="1" x14ac:dyDescent="0.3">
      <c r="A45" s="24">
        <v>8</v>
      </c>
      <c r="B45" s="8">
        <v>1204</v>
      </c>
      <c r="C45" s="25" t="s">
        <v>169</v>
      </c>
      <c r="D45" s="20">
        <v>50000</v>
      </c>
    </row>
    <row r="46" spans="1:8" ht="18" customHeight="1" x14ac:dyDescent="0.3">
      <c r="A46" s="24">
        <v>9</v>
      </c>
      <c r="B46" s="8">
        <v>1402</v>
      </c>
      <c r="C46" s="25" t="s">
        <v>39</v>
      </c>
      <c r="D46" s="20">
        <v>200000</v>
      </c>
    </row>
    <row r="47" spans="1:8" ht="18" customHeight="1" x14ac:dyDescent="0.3">
      <c r="A47" s="8">
        <v>10</v>
      </c>
      <c r="B47" s="8">
        <v>1403</v>
      </c>
      <c r="C47" s="25" t="s">
        <v>367</v>
      </c>
      <c r="D47" s="20">
        <v>200000</v>
      </c>
    </row>
    <row r="48" spans="1:8" ht="18" customHeight="1" x14ac:dyDescent="0.3">
      <c r="A48" s="24">
        <v>11</v>
      </c>
      <c r="B48" s="8">
        <v>2304</v>
      </c>
      <c r="C48" s="25" t="s">
        <v>371</v>
      </c>
      <c r="D48" s="20">
        <v>100000</v>
      </c>
    </row>
    <row r="49" spans="1:4" ht="18" customHeight="1" thickBot="1" x14ac:dyDescent="0.35">
      <c r="A49" s="338" t="s">
        <v>7</v>
      </c>
      <c r="B49" s="339"/>
      <c r="C49" s="340"/>
      <c r="D49" s="26">
        <f>SUM(D38:D48)</f>
        <v>1400000</v>
      </c>
    </row>
    <row r="50" spans="1:4" ht="8.25" customHeight="1" thickTop="1" x14ac:dyDescent="0.3"/>
  </sheetData>
  <mergeCells count="9">
    <mergeCell ref="A1:D1"/>
    <mergeCell ref="A2:D2"/>
    <mergeCell ref="A3:D3"/>
    <mergeCell ref="A49:C49"/>
    <mergeCell ref="A35:D35"/>
    <mergeCell ref="A36:D36"/>
    <mergeCell ref="A24:D24"/>
    <mergeCell ref="A23:D23"/>
    <mergeCell ref="A21:B21"/>
  </mergeCells>
  <printOptions horizontalCentered="1"/>
  <pageMargins left="0.39370078740157483" right="0.19685039370078741" top="0.59055118110236227" bottom="0.35433070866141736" header="0.31496062992125984" footer="0.31496062992125984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8"/>
  <sheetViews>
    <sheetView view="pageBreakPreview" topLeftCell="A27" zoomScaleNormal="100" zoomScaleSheetLayoutView="100" workbookViewId="0">
      <selection activeCell="G34" sqref="G34"/>
    </sheetView>
  </sheetViews>
  <sheetFormatPr defaultColWidth="8.6640625" defaultRowHeight="14.4" x14ac:dyDescent="0.3"/>
  <cols>
    <col min="1" max="1" width="3.109375" style="212" customWidth="1"/>
    <col min="2" max="2" width="35" style="212" bestFit="1" customWidth="1"/>
    <col min="3" max="3" width="14.44140625" style="212" bestFit="1" customWidth="1"/>
    <col min="4" max="4" width="12.33203125" style="212" bestFit="1" customWidth="1"/>
    <col min="5" max="5" width="11.5546875" style="212" bestFit="1" customWidth="1"/>
    <col min="6" max="6" width="10.5546875" style="212" bestFit="1" customWidth="1"/>
    <col min="7" max="7" width="13.33203125" style="212" bestFit="1" customWidth="1"/>
    <col min="8" max="8" width="14.6640625" style="212" bestFit="1" customWidth="1"/>
    <col min="9" max="16384" width="8.6640625" style="212"/>
  </cols>
  <sheetData>
    <row r="1" spans="2:8" ht="18" x14ac:dyDescent="0.3">
      <c r="B1" s="351" t="str">
        <f>'Sch - G FA'!B1</f>
        <v>KENT - HEIGHTS CO-OPERATIVE HOUSING SOCIETY LTD.</v>
      </c>
      <c r="C1" s="351"/>
      <c r="D1" s="351"/>
      <c r="E1" s="351"/>
      <c r="F1" s="351"/>
      <c r="G1" s="351"/>
      <c r="H1" s="351"/>
    </row>
    <row r="2" spans="2:8" ht="15.6" x14ac:dyDescent="0.3">
      <c r="B2" s="348" t="s">
        <v>97</v>
      </c>
      <c r="C2" s="348"/>
      <c r="D2" s="348"/>
      <c r="E2" s="348"/>
      <c r="F2" s="348"/>
      <c r="G2" s="348"/>
      <c r="H2" s="348"/>
    </row>
    <row r="3" spans="2:8" ht="15.6" x14ac:dyDescent="0.3">
      <c r="B3" s="342" t="s">
        <v>298</v>
      </c>
      <c r="C3" s="342"/>
      <c r="D3" s="342"/>
      <c r="E3" s="342"/>
      <c r="F3" s="342"/>
      <c r="G3" s="342"/>
      <c r="H3" s="342"/>
    </row>
    <row r="4" spans="2:8" ht="37.5" customHeight="1" x14ac:dyDescent="0.3">
      <c r="B4" s="355" t="s">
        <v>46</v>
      </c>
      <c r="C4" s="353" t="s">
        <v>299</v>
      </c>
      <c r="D4" s="352" t="s">
        <v>125</v>
      </c>
      <c r="E4" s="352"/>
      <c r="F4" s="352"/>
      <c r="G4" s="353" t="s">
        <v>126</v>
      </c>
      <c r="H4" s="353" t="s">
        <v>300</v>
      </c>
    </row>
    <row r="5" spans="2:8" ht="29.4" thickBot="1" x14ac:dyDescent="0.35">
      <c r="B5" s="356"/>
      <c r="C5" s="354"/>
      <c r="D5" s="124" t="s">
        <v>127</v>
      </c>
      <c r="E5" s="124" t="s">
        <v>225</v>
      </c>
      <c r="F5" s="124" t="s">
        <v>128</v>
      </c>
      <c r="G5" s="354"/>
      <c r="H5" s="354"/>
    </row>
    <row r="6" spans="2:8" ht="30" customHeight="1" thickTop="1" x14ac:dyDescent="0.3">
      <c r="B6" s="241" t="s">
        <v>47</v>
      </c>
      <c r="C6" s="225">
        <v>2739568</v>
      </c>
      <c r="D6" s="225">
        <v>494472</v>
      </c>
      <c r="E6" s="225">
        <f>-IE!G26</f>
        <v>29965</v>
      </c>
      <c r="F6" s="225">
        <v>0</v>
      </c>
      <c r="G6" s="225">
        <v>0</v>
      </c>
      <c r="H6" s="225">
        <f>+C6+D6+E6+F6+-G6</f>
        <v>3264005</v>
      </c>
    </row>
    <row r="7" spans="2:8" ht="30" customHeight="1" x14ac:dyDescent="0.3">
      <c r="B7" s="242" t="s">
        <v>3</v>
      </c>
      <c r="C7" s="226">
        <v>7990970</v>
      </c>
      <c r="D7" s="226">
        <v>164376</v>
      </c>
      <c r="E7" s="226">
        <f>-IE!G25</f>
        <v>506688</v>
      </c>
      <c r="F7" s="226">
        <v>0</v>
      </c>
      <c r="G7" s="226">
        <v>0</v>
      </c>
      <c r="H7" s="226">
        <f>+C7+D7+E7+F7+-G7</f>
        <v>8662034</v>
      </c>
    </row>
    <row r="8" spans="2:8" ht="30" customHeight="1" x14ac:dyDescent="0.3">
      <c r="B8" s="242" t="s">
        <v>48</v>
      </c>
      <c r="C8" s="226">
        <v>7751959</v>
      </c>
      <c r="D8" s="226">
        <f>200+400+1000+25000</f>
        <v>26600</v>
      </c>
      <c r="E8" s="226">
        <f>-IE!G27</f>
        <v>273839</v>
      </c>
      <c r="F8" s="226">
        <f>IE!D55</f>
        <v>0</v>
      </c>
      <c r="G8" s="226">
        <v>0</v>
      </c>
      <c r="H8" s="226">
        <f>+C8+D8+E8+F8+-G8</f>
        <v>8052398</v>
      </c>
    </row>
    <row r="9" spans="2:8" ht="30" customHeight="1" x14ac:dyDescent="0.3">
      <c r="B9" s="242" t="s">
        <v>49</v>
      </c>
      <c r="C9" s="226">
        <v>118670</v>
      </c>
      <c r="D9" s="226">
        <f>10920</f>
        <v>10920</v>
      </c>
      <c r="E9" s="226">
        <v>0</v>
      </c>
      <c r="F9" s="226">
        <v>0</v>
      </c>
      <c r="G9" s="226">
        <v>0</v>
      </c>
      <c r="H9" s="226">
        <f>+C9+D9+E9+F9+-G9</f>
        <v>129590</v>
      </c>
    </row>
    <row r="10" spans="2:8" ht="30" customHeight="1" thickBot="1" x14ac:dyDescent="0.35">
      <c r="B10" s="227" t="s">
        <v>7</v>
      </c>
      <c r="C10" s="228">
        <f t="shared" ref="C10:H10" si="0">SUM(C6:C9)</f>
        <v>18601167</v>
      </c>
      <c r="D10" s="228">
        <f t="shared" si="0"/>
        <v>696368</v>
      </c>
      <c r="E10" s="228">
        <f t="shared" si="0"/>
        <v>810492</v>
      </c>
      <c r="F10" s="228">
        <f t="shared" si="0"/>
        <v>0</v>
      </c>
      <c r="G10" s="228">
        <f t="shared" si="0"/>
        <v>0</v>
      </c>
      <c r="H10" s="228">
        <f t="shared" si="0"/>
        <v>20108027</v>
      </c>
    </row>
    <row r="11" spans="2:8" ht="15" thickTop="1" x14ac:dyDescent="0.3"/>
    <row r="12" spans="2:8" x14ac:dyDescent="0.3">
      <c r="C12" s="202"/>
      <c r="D12" s="202"/>
      <c r="E12" s="202"/>
      <c r="F12" s="202"/>
      <c r="G12" s="202"/>
      <c r="H12" s="202"/>
    </row>
    <row r="13" spans="2:8" ht="15.6" x14ac:dyDescent="0.3">
      <c r="B13" s="348" t="s">
        <v>129</v>
      </c>
      <c r="C13" s="348"/>
      <c r="D13" s="348"/>
      <c r="E13" s="184"/>
      <c r="F13" s="184"/>
      <c r="G13" s="184"/>
      <c r="H13" s="184"/>
    </row>
    <row r="14" spans="2:8" ht="18" customHeight="1" x14ac:dyDescent="0.3">
      <c r="B14" s="342" t="s">
        <v>301</v>
      </c>
      <c r="C14" s="342"/>
      <c r="D14" s="342"/>
      <c r="E14" s="183"/>
      <c r="F14" s="183"/>
      <c r="G14" s="183"/>
      <c r="H14" s="183"/>
    </row>
    <row r="15" spans="2:8" ht="18" customHeight="1" thickBot="1" x14ac:dyDescent="0.35">
      <c r="B15" s="349" t="s">
        <v>37</v>
      </c>
      <c r="C15" s="350"/>
      <c r="D15" s="227" t="s">
        <v>95</v>
      </c>
    </row>
    <row r="16" spans="2:8" ht="18" customHeight="1" thickTop="1" x14ac:dyDescent="0.3">
      <c r="B16" s="243" t="s">
        <v>130</v>
      </c>
      <c r="C16" s="229"/>
      <c r="D16" s="230">
        <v>11560</v>
      </c>
    </row>
    <row r="17" spans="2:4" ht="18" customHeight="1" x14ac:dyDescent="0.3">
      <c r="B17" s="244" t="s">
        <v>274</v>
      </c>
      <c r="C17" s="231"/>
      <c r="D17" s="232">
        <v>4472</v>
      </c>
    </row>
    <row r="18" spans="2:4" ht="18" customHeight="1" x14ac:dyDescent="0.3">
      <c r="B18" s="244" t="s">
        <v>327</v>
      </c>
      <c r="C18" s="231"/>
      <c r="D18" s="232">
        <v>307070</v>
      </c>
    </row>
    <row r="19" spans="2:4" ht="18" customHeight="1" x14ac:dyDescent="0.3">
      <c r="B19" s="245" t="s">
        <v>212</v>
      </c>
      <c r="C19" s="233"/>
      <c r="D19" s="234">
        <v>4472</v>
      </c>
    </row>
    <row r="20" spans="2:4" ht="18" customHeight="1" x14ac:dyDescent="0.3">
      <c r="B20" s="245" t="s">
        <v>328</v>
      </c>
      <c r="C20" s="233"/>
      <c r="D20" s="234">
        <v>33660</v>
      </c>
    </row>
    <row r="21" spans="2:4" ht="18" customHeight="1" x14ac:dyDescent="0.3">
      <c r="B21" s="245" t="s">
        <v>275</v>
      </c>
      <c r="C21" s="233"/>
      <c r="D21" s="234">
        <v>7802</v>
      </c>
    </row>
    <row r="22" spans="2:4" ht="18" customHeight="1" thickBot="1" x14ac:dyDescent="0.35">
      <c r="B22" s="346" t="s">
        <v>237</v>
      </c>
      <c r="C22" s="347"/>
      <c r="D22" s="235">
        <f>SUM(D16:D21)</f>
        <v>369036</v>
      </c>
    </row>
    <row r="23" spans="2:4" ht="18" customHeight="1" thickTop="1" x14ac:dyDescent="0.3"/>
    <row r="24" spans="2:4" ht="18" customHeight="1" x14ac:dyDescent="0.3">
      <c r="B24" s="312" t="s">
        <v>66</v>
      </c>
      <c r="C24" s="312"/>
      <c r="D24" s="312"/>
    </row>
    <row r="25" spans="2:4" ht="18" customHeight="1" thickBot="1" x14ac:dyDescent="0.35">
      <c r="B25" s="349" t="s">
        <v>37</v>
      </c>
      <c r="C25" s="350"/>
      <c r="D25" s="227" t="s">
        <v>95</v>
      </c>
    </row>
    <row r="26" spans="2:4" ht="18" customHeight="1" thickTop="1" x14ac:dyDescent="0.3">
      <c r="B26" s="243" t="s">
        <v>44</v>
      </c>
      <c r="C26" s="229"/>
      <c r="D26" s="225">
        <v>9100</v>
      </c>
    </row>
    <row r="27" spans="2:4" ht="18" customHeight="1" x14ac:dyDescent="0.3">
      <c r="B27" s="244" t="s">
        <v>329</v>
      </c>
      <c r="C27" s="231"/>
      <c r="D27" s="225">
        <v>76400</v>
      </c>
    </row>
    <row r="28" spans="2:4" ht="18" customHeight="1" x14ac:dyDescent="0.3">
      <c r="B28" s="244" t="s">
        <v>330</v>
      </c>
      <c r="C28" s="231"/>
      <c r="D28" s="225">
        <v>18710</v>
      </c>
    </row>
    <row r="29" spans="2:4" ht="18" customHeight="1" x14ac:dyDescent="0.3">
      <c r="B29" s="244" t="s">
        <v>17</v>
      </c>
      <c r="C29" s="231"/>
      <c r="D29" s="225">
        <v>13097</v>
      </c>
    </row>
    <row r="30" spans="2:4" ht="18" customHeight="1" x14ac:dyDescent="0.3">
      <c r="B30" s="244" t="s">
        <v>331</v>
      </c>
      <c r="C30" s="231"/>
      <c r="D30" s="225">
        <v>6000</v>
      </c>
    </row>
    <row r="31" spans="2:4" ht="18" customHeight="1" x14ac:dyDescent="0.3">
      <c r="B31" s="245" t="s">
        <v>15</v>
      </c>
      <c r="C31" s="233"/>
      <c r="D31" s="226">
        <v>125125</v>
      </c>
    </row>
    <row r="32" spans="2:4" ht="18" customHeight="1" x14ac:dyDescent="0.3">
      <c r="B32" s="245" t="s">
        <v>374</v>
      </c>
      <c r="C32" s="233"/>
      <c r="D32" s="226">
        <v>4500</v>
      </c>
    </row>
    <row r="33" spans="2:4" ht="18" customHeight="1" x14ac:dyDescent="0.3">
      <c r="B33" s="246" t="s">
        <v>20</v>
      </c>
      <c r="C33" s="236"/>
      <c r="D33" s="237">
        <v>826</v>
      </c>
    </row>
    <row r="34" spans="2:4" ht="18" customHeight="1" x14ac:dyDescent="0.3">
      <c r="B34" s="246" t="s">
        <v>411</v>
      </c>
      <c r="C34" s="236"/>
      <c r="D34" s="237">
        <v>267900</v>
      </c>
    </row>
    <row r="35" spans="2:4" ht="18" customHeight="1" thickBot="1" x14ac:dyDescent="0.35">
      <c r="B35" s="346" t="s">
        <v>238</v>
      </c>
      <c r="C35" s="347"/>
      <c r="D35" s="238">
        <f>SUM(D26:D34)</f>
        <v>521658</v>
      </c>
    </row>
    <row r="36" spans="2:4" ht="18" customHeight="1" thickTop="1" x14ac:dyDescent="0.3">
      <c r="B36" s="239"/>
      <c r="D36" s="240"/>
    </row>
    <row r="37" spans="2:4" ht="18" customHeight="1" thickBot="1" x14ac:dyDescent="0.35">
      <c r="B37" s="346" t="s">
        <v>239</v>
      </c>
      <c r="C37" s="347"/>
      <c r="D37" s="238">
        <f>+D22+D35</f>
        <v>890694</v>
      </c>
    </row>
    <row r="38" spans="2:4" ht="15" thickTop="1" x14ac:dyDescent="0.3"/>
  </sheetData>
  <mergeCells count="16">
    <mergeCell ref="B13:D13"/>
    <mergeCell ref="B25:C25"/>
    <mergeCell ref="B1:H1"/>
    <mergeCell ref="B2:H2"/>
    <mergeCell ref="B3:H3"/>
    <mergeCell ref="B15:C15"/>
    <mergeCell ref="D4:F4"/>
    <mergeCell ref="C4:C5"/>
    <mergeCell ref="B4:B5"/>
    <mergeCell ref="H4:H5"/>
    <mergeCell ref="G4:G5"/>
    <mergeCell ref="B37:C37"/>
    <mergeCell ref="B35:C35"/>
    <mergeCell ref="B22:C22"/>
    <mergeCell ref="B14:D14"/>
    <mergeCell ref="B24:D24"/>
  </mergeCells>
  <printOptions horizontalCentered="1"/>
  <pageMargins left="0.39370078740157483" right="0.31496062992125984" top="0.59055118110236227" bottom="0.35433070866141736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L17"/>
  <sheetViews>
    <sheetView view="pageBreakPreview" topLeftCell="C9" zoomScaleNormal="100" zoomScaleSheetLayoutView="100" workbookViewId="0">
      <selection activeCell="I5" sqref="I5:I14"/>
    </sheetView>
  </sheetViews>
  <sheetFormatPr defaultColWidth="8.6640625" defaultRowHeight="14.4" x14ac:dyDescent="0.3"/>
  <cols>
    <col min="1" max="1" width="3" style="78" customWidth="1"/>
    <col min="2" max="2" width="32.6640625" style="212" customWidth="1"/>
    <col min="3" max="3" width="6.5546875" style="78" customWidth="1"/>
    <col min="4" max="4" width="19.6640625" style="78" customWidth="1"/>
    <col min="5" max="5" width="13.44140625" style="78" customWidth="1"/>
    <col min="6" max="6" width="12.5546875" style="78" customWidth="1"/>
    <col min="7" max="7" width="15.33203125" style="78" bestFit="1" customWidth="1"/>
    <col min="8" max="8" width="12.44140625" style="78" customWidth="1"/>
    <col min="9" max="9" width="15.5546875" style="78" customWidth="1"/>
    <col min="10" max="10" width="15.33203125" style="78" hidden="1" customWidth="1"/>
    <col min="11" max="11" width="8.6640625" style="78"/>
    <col min="12" max="12" width="12.33203125" style="78" bestFit="1" customWidth="1"/>
    <col min="13" max="16384" width="8.6640625" style="78"/>
  </cols>
  <sheetData>
    <row r="1" spans="2:12" ht="15.75" customHeight="1" x14ac:dyDescent="0.3">
      <c r="B1" s="357" t="str">
        <f>IE!A1</f>
        <v>KENT - HEIGHTS CO-OPERATIVE HOUSING SOCIETY LTD.</v>
      </c>
      <c r="C1" s="357"/>
      <c r="D1" s="357"/>
      <c r="E1" s="357"/>
      <c r="F1" s="357"/>
      <c r="G1" s="357"/>
      <c r="H1" s="357"/>
      <c r="I1" s="357"/>
      <c r="J1" s="357"/>
    </row>
    <row r="2" spans="2:12" ht="15.75" customHeight="1" x14ac:dyDescent="0.3">
      <c r="B2" s="359" t="s">
        <v>123</v>
      </c>
      <c r="C2" s="359"/>
      <c r="D2" s="359"/>
      <c r="E2" s="359"/>
      <c r="F2" s="359"/>
      <c r="G2" s="359"/>
      <c r="H2" s="359"/>
      <c r="I2" s="359"/>
      <c r="J2" s="359"/>
    </row>
    <row r="3" spans="2:12" ht="16.2" thickBot="1" x14ac:dyDescent="0.35">
      <c r="B3" s="358" t="s">
        <v>302</v>
      </c>
      <c r="C3" s="358"/>
      <c r="D3" s="358"/>
      <c r="E3" s="358"/>
      <c r="F3" s="358"/>
      <c r="G3" s="358"/>
      <c r="H3" s="358"/>
      <c r="I3" s="358"/>
      <c r="J3" s="358"/>
    </row>
    <row r="4" spans="2:12" ht="58.2" thickBot="1" x14ac:dyDescent="0.35">
      <c r="B4" s="127" t="s">
        <v>124</v>
      </c>
      <c r="C4" s="128" t="s">
        <v>50</v>
      </c>
      <c r="D4" s="128" t="s">
        <v>303</v>
      </c>
      <c r="E4" s="128" t="s">
        <v>304</v>
      </c>
      <c r="F4" s="128" t="s">
        <v>305</v>
      </c>
      <c r="G4" s="128" t="s">
        <v>306</v>
      </c>
      <c r="H4" s="128" t="s">
        <v>51</v>
      </c>
      <c r="I4" s="129" t="s">
        <v>307</v>
      </c>
      <c r="J4" s="124" t="s">
        <v>52</v>
      </c>
    </row>
    <row r="5" spans="2:12" ht="30" customHeight="1" thickTop="1" x14ac:dyDescent="0.3">
      <c r="B5" s="247" t="s">
        <v>53</v>
      </c>
      <c r="C5" s="248">
        <v>0</v>
      </c>
      <c r="D5" s="248">
        <v>112852000</v>
      </c>
      <c r="E5" s="248">
        <v>0</v>
      </c>
      <c r="F5" s="248">
        <v>0</v>
      </c>
      <c r="G5" s="248">
        <f>D5+E5+F5</f>
        <v>112852000</v>
      </c>
      <c r="H5" s="248">
        <f>ROUND(((E5+D5)*C5)+(F5*C5)/2,0)</f>
        <v>0</v>
      </c>
      <c r="I5" s="249">
        <f>G5-H5</f>
        <v>112852000</v>
      </c>
      <c r="J5" s="250"/>
    </row>
    <row r="6" spans="2:12" ht="30" customHeight="1" x14ac:dyDescent="0.3">
      <c r="B6" s="247" t="s">
        <v>54</v>
      </c>
      <c r="C6" s="248">
        <v>0.15</v>
      </c>
      <c r="D6" s="248">
        <v>821828</v>
      </c>
      <c r="E6" s="248">
        <f>1340400+1340400+259600</f>
        <v>2940400</v>
      </c>
      <c r="F6" s="248">
        <f>259600+64900</f>
        <v>324500</v>
      </c>
      <c r="G6" s="248">
        <f>D6+E6+F6</f>
        <v>4086728</v>
      </c>
      <c r="H6" s="248">
        <f>ROUND(((E6+D6)*C6)+(F6*C6)/2,0)</f>
        <v>588672</v>
      </c>
      <c r="I6" s="249">
        <f>G6-H6</f>
        <v>3498056</v>
      </c>
      <c r="J6" s="248"/>
      <c r="L6" s="164"/>
    </row>
    <row r="7" spans="2:12" ht="30" customHeight="1" x14ac:dyDescent="0.3">
      <c r="B7" s="247" t="s">
        <v>55</v>
      </c>
      <c r="C7" s="248">
        <v>0.1</v>
      </c>
      <c r="D7" s="248">
        <v>99552</v>
      </c>
      <c r="E7" s="248">
        <v>0</v>
      </c>
      <c r="F7" s="248">
        <v>0</v>
      </c>
      <c r="G7" s="248">
        <f t="shared" ref="G7:G9" si="0">D7+E7+F7</f>
        <v>99552</v>
      </c>
      <c r="H7" s="248">
        <f>ROUND(((E7+D7)*C7)+(F7*C7)/2,0)</f>
        <v>9955</v>
      </c>
      <c r="I7" s="249">
        <f t="shared" ref="I7:I9" si="1">G7-H7</f>
        <v>89597</v>
      </c>
      <c r="J7" s="248"/>
    </row>
    <row r="8" spans="2:12" ht="30" customHeight="1" x14ac:dyDescent="0.3">
      <c r="B8" s="247" t="s">
        <v>56</v>
      </c>
      <c r="C8" s="248">
        <v>0.15</v>
      </c>
      <c r="D8" s="248">
        <v>34191</v>
      </c>
      <c r="E8" s="248">
        <v>0</v>
      </c>
      <c r="F8" s="248">
        <v>0</v>
      </c>
      <c r="G8" s="248">
        <f t="shared" si="0"/>
        <v>34191</v>
      </c>
      <c r="H8" s="248">
        <f t="shared" ref="H8:H9" si="2">ROUND(((E8+D8)*C8)+(F8*C8)/2,0)</f>
        <v>5129</v>
      </c>
      <c r="I8" s="249">
        <f t="shared" si="1"/>
        <v>29062</v>
      </c>
      <c r="J8" s="248"/>
    </row>
    <row r="9" spans="2:12" ht="30" customHeight="1" x14ac:dyDescent="0.3">
      <c r="B9" s="247" t="s">
        <v>12</v>
      </c>
      <c r="C9" s="248">
        <v>0.15</v>
      </c>
      <c r="D9" s="248">
        <v>372885</v>
      </c>
      <c r="E9" s="248">
        <f>18000</f>
        <v>18000</v>
      </c>
      <c r="F9" s="248">
        <v>16900</v>
      </c>
      <c r="G9" s="248">
        <f t="shared" si="0"/>
        <v>407785</v>
      </c>
      <c r="H9" s="248">
        <f t="shared" si="2"/>
        <v>59900</v>
      </c>
      <c r="I9" s="249">
        <f t="shared" si="1"/>
        <v>347885</v>
      </c>
      <c r="J9" s="248"/>
      <c r="L9" s="164"/>
    </row>
    <row r="10" spans="2:12" ht="30" customHeight="1" x14ac:dyDescent="0.3">
      <c r="B10" s="247" t="s">
        <v>57</v>
      </c>
      <c r="C10" s="248">
        <v>0.15</v>
      </c>
      <c r="D10" s="248">
        <v>373457</v>
      </c>
      <c r="E10" s="248">
        <f>22500+1083582+393980</f>
        <v>1500062</v>
      </c>
      <c r="F10" s="248">
        <v>35307</v>
      </c>
      <c r="G10" s="248">
        <f t="shared" ref="G10" si="3">D10+E10+F10</f>
        <v>1908826</v>
      </c>
      <c r="H10" s="248">
        <f>ROUND(((E10+D10)*C10)+(F10*C10)/2,0)</f>
        <v>283676</v>
      </c>
      <c r="I10" s="249">
        <f t="shared" ref="I10" si="4">G10-H10</f>
        <v>1625150</v>
      </c>
      <c r="J10" s="248"/>
      <c r="L10" s="164"/>
    </row>
    <row r="11" spans="2:12" ht="30" customHeight="1" x14ac:dyDescent="0.3">
      <c r="B11" s="247" t="s">
        <v>60</v>
      </c>
      <c r="C11" s="248">
        <v>0.15</v>
      </c>
      <c r="D11" s="248">
        <v>17989</v>
      </c>
      <c r="E11" s="248">
        <v>0</v>
      </c>
      <c r="F11" s="248">
        <v>26400</v>
      </c>
      <c r="G11" s="248">
        <f t="shared" ref="G11" si="5">D11+E11+F11</f>
        <v>44389</v>
      </c>
      <c r="H11" s="248">
        <f>ROUND(((E11+D11)*C11)+(F11*C11)/2,0)</f>
        <v>4678</v>
      </c>
      <c r="I11" s="249">
        <f t="shared" ref="I11" si="6">G11-H11</f>
        <v>39711</v>
      </c>
      <c r="J11" s="248"/>
      <c r="L11" s="164"/>
    </row>
    <row r="12" spans="2:12" ht="30" customHeight="1" x14ac:dyDescent="0.3">
      <c r="B12" s="247" t="s">
        <v>61</v>
      </c>
      <c r="C12" s="248">
        <v>0.4</v>
      </c>
      <c r="D12" s="248">
        <v>12401</v>
      </c>
      <c r="E12" s="248">
        <v>0</v>
      </c>
      <c r="F12" s="248">
        <v>0</v>
      </c>
      <c r="G12" s="248">
        <f t="shared" ref="G12:G14" si="7">D12+E12+F12</f>
        <v>12401</v>
      </c>
      <c r="H12" s="248">
        <f t="shared" ref="H12:H14" si="8">ROUND(((E12+D12)*C12)+(F12*C12)/2,0)</f>
        <v>4960</v>
      </c>
      <c r="I12" s="249">
        <f t="shared" ref="I12:I14" si="9">G12-H12</f>
        <v>7441</v>
      </c>
      <c r="J12" s="248"/>
    </row>
    <row r="13" spans="2:12" ht="30" customHeight="1" x14ac:dyDescent="0.3">
      <c r="B13" s="251" t="s">
        <v>276</v>
      </c>
      <c r="C13" s="252">
        <v>0.15</v>
      </c>
      <c r="D13" s="252">
        <v>33577</v>
      </c>
      <c r="E13" s="252">
        <v>16992</v>
      </c>
      <c r="F13" s="252">
        <v>0</v>
      </c>
      <c r="G13" s="248">
        <f t="shared" si="7"/>
        <v>50569</v>
      </c>
      <c r="H13" s="248">
        <f>ROUND(((E13+D13)*C13)+(F13*C13)/2,0)</f>
        <v>7585</v>
      </c>
      <c r="I13" s="249">
        <f t="shared" ref="I13" si="10">G13-H13</f>
        <v>42984</v>
      </c>
      <c r="J13" s="248"/>
    </row>
    <row r="14" spans="2:12" ht="30" customHeight="1" x14ac:dyDescent="0.3">
      <c r="B14" s="251" t="s">
        <v>204</v>
      </c>
      <c r="C14" s="248">
        <v>0.15</v>
      </c>
      <c r="D14" s="252">
        <v>44030</v>
      </c>
      <c r="E14" s="252">
        <v>0</v>
      </c>
      <c r="F14" s="252">
        <v>0</v>
      </c>
      <c r="G14" s="248">
        <f t="shared" si="7"/>
        <v>44030</v>
      </c>
      <c r="H14" s="248">
        <f t="shared" si="8"/>
        <v>6605</v>
      </c>
      <c r="I14" s="249">
        <f t="shared" si="9"/>
        <v>37425</v>
      </c>
      <c r="J14" s="248"/>
    </row>
    <row r="15" spans="2:12" ht="30" customHeight="1" thickBot="1" x14ac:dyDescent="0.35">
      <c r="B15" s="360" t="s">
        <v>7</v>
      </c>
      <c r="C15" s="350"/>
      <c r="D15" s="253">
        <f t="shared" ref="D15:I15" si="11">SUM(D5:D14)</f>
        <v>114661910</v>
      </c>
      <c r="E15" s="253">
        <f t="shared" si="11"/>
        <v>4475454</v>
      </c>
      <c r="F15" s="253">
        <f t="shared" si="11"/>
        <v>403107</v>
      </c>
      <c r="G15" s="253">
        <f t="shared" si="11"/>
        <v>119540471</v>
      </c>
      <c r="H15" s="253">
        <f t="shared" si="11"/>
        <v>971160</v>
      </c>
      <c r="I15" s="253">
        <f t="shared" si="11"/>
        <v>118569311</v>
      </c>
      <c r="J15" s="25"/>
    </row>
    <row r="16" spans="2:12" ht="30" customHeight="1" thickTop="1" x14ac:dyDescent="0.3"/>
    <row r="17" spans="8:8" x14ac:dyDescent="0.3">
      <c r="H17" s="164"/>
    </row>
  </sheetData>
  <mergeCells count="4">
    <mergeCell ref="B1:J1"/>
    <mergeCell ref="B3:J3"/>
    <mergeCell ref="B2:J2"/>
    <mergeCell ref="B15:C15"/>
  </mergeCells>
  <printOptions horizontalCentered="1"/>
  <pageMargins left="0.39370078740157483" right="0.19685039370078741" top="0.59055118110236227" bottom="0.35433070866141736" header="0.31496062992125984" footer="0.31496062992125984"/>
  <pageSetup paperSize="9" scale="7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topLeftCell="A4" workbookViewId="0">
      <selection activeCell="C1" sqref="C1"/>
    </sheetView>
  </sheetViews>
  <sheetFormatPr defaultColWidth="9.33203125" defaultRowHeight="14.4" x14ac:dyDescent="0.3"/>
  <cols>
    <col min="1" max="1" width="43.33203125" bestFit="1" customWidth="1"/>
    <col min="2" max="2" width="12.6640625" style="5" bestFit="1" customWidth="1"/>
    <col min="3" max="3" width="9.44140625" bestFit="1" customWidth="1"/>
    <col min="4" max="4" width="10.109375" bestFit="1" customWidth="1"/>
    <col min="5" max="5" width="9.88671875" bestFit="1" customWidth="1"/>
    <col min="6" max="6" width="16.5546875" bestFit="1" customWidth="1"/>
    <col min="7" max="7" width="22" bestFit="1" customWidth="1"/>
  </cols>
  <sheetData>
    <row r="1" spans="1:7" ht="15.6" x14ac:dyDescent="0.3">
      <c r="A1" s="363" t="s">
        <v>380</v>
      </c>
      <c r="B1" s="364"/>
    </row>
    <row r="2" spans="1:7" x14ac:dyDescent="0.3">
      <c r="A2" s="365" t="s">
        <v>381</v>
      </c>
      <c r="B2" s="366"/>
      <c r="D2" s="136" t="s">
        <v>375</v>
      </c>
      <c r="E2" s="136" t="s">
        <v>248</v>
      </c>
      <c r="F2" s="136" t="s">
        <v>382</v>
      </c>
      <c r="G2" s="136" t="s">
        <v>383</v>
      </c>
    </row>
    <row r="3" spans="1:7" x14ac:dyDescent="0.3">
      <c r="A3" s="72"/>
      <c r="B3" s="145" t="s">
        <v>376</v>
      </c>
      <c r="D3" s="1" t="s">
        <v>384</v>
      </c>
      <c r="E3" s="151">
        <v>41783</v>
      </c>
      <c r="F3" s="152" t="s">
        <v>385</v>
      </c>
      <c r="G3" s="1" t="s">
        <v>386</v>
      </c>
    </row>
    <row r="4" spans="1:7" x14ac:dyDescent="0.3">
      <c r="A4" s="72" t="s">
        <v>377</v>
      </c>
      <c r="B4" s="146">
        <v>890014.17</v>
      </c>
      <c r="D4" s="1" t="s">
        <v>291</v>
      </c>
      <c r="E4" s="151">
        <v>20470</v>
      </c>
      <c r="F4" s="8">
        <v>866372</v>
      </c>
      <c r="G4" s="1" t="s">
        <v>387</v>
      </c>
    </row>
    <row r="5" spans="1:7" x14ac:dyDescent="0.3">
      <c r="A5" s="72"/>
      <c r="B5" s="146"/>
      <c r="D5" s="1" t="s">
        <v>291</v>
      </c>
      <c r="E5" s="153">
        <v>21613</v>
      </c>
      <c r="F5" s="8">
        <v>866372</v>
      </c>
      <c r="G5" s="1" t="s">
        <v>388</v>
      </c>
    </row>
    <row r="6" spans="1:7" ht="15" thickBot="1" x14ac:dyDescent="0.35">
      <c r="A6" s="72" t="s">
        <v>378</v>
      </c>
      <c r="B6" s="146">
        <f>E6</f>
        <v>83866</v>
      </c>
      <c r="E6" s="150">
        <f>SUM(E3:E5)</f>
        <v>83866</v>
      </c>
      <c r="F6" s="4"/>
    </row>
    <row r="7" spans="1:7" ht="15" thickTop="1" x14ac:dyDescent="0.3">
      <c r="A7" s="72"/>
      <c r="B7" s="146"/>
      <c r="F7" s="4"/>
    </row>
    <row r="8" spans="1:7" ht="15" thickBot="1" x14ac:dyDescent="0.35">
      <c r="A8" s="72" t="s">
        <v>379</v>
      </c>
      <c r="B8" s="147">
        <f>B4-B6</f>
        <v>806148.17</v>
      </c>
    </row>
    <row r="9" spans="1:7" ht="15" thickTop="1" x14ac:dyDescent="0.3">
      <c r="A9" s="119"/>
      <c r="B9" s="125"/>
    </row>
    <row r="10" spans="1:7" x14ac:dyDescent="0.3">
      <c r="A10" s="361" t="s">
        <v>389</v>
      </c>
      <c r="B10" s="362"/>
    </row>
    <row r="11" spans="1:7" x14ac:dyDescent="0.3">
      <c r="A11" s="72"/>
      <c r="B11" s="145" t="s">
        <v>376</v>
      </c>
    </row>
    <row r="12" spans="1:7" x14ac:dyDescent="0.3">
      <c r="A12" s="72" t="s">
        <v>377</v>
      </c>
      <c r="B12" s="148">
        <v>4760</v>
      </c>
      <c r="E12" s="7"/>
      <c r="F12" s="7"/>
    </row>
    <row r="13" spans="1:7" x14ac:dyDescent="0.3">
      <c r="A13" s="72"/>
      <c r="B13" s="107"/>
      <c r="E13" s="33"/>
      <c r="F13" s="33"/>
    </row>
    <row r="14" spans="1:7" ht="15" thickBot="1" x14ac:dyDescent="0.35">
      <c r="A14" s="72" t="s">
        <v>379</v>
      </c>
      <c r="B14" s="149">
        <f>B12</f>
        <v>4760</v>
      </c>
      <c r="E14" s="6"/>
      <c r="F14" s="6"/>
    </row>
    <row r="15" spans="1:7" ht="15" thickTop="1" x14ac:dyDescent="0.3">
      <c r="A15" s="119"/>
      <c r="B15" s="125"/>
    </row>
    <row r="16" spans="1:7" x14ac:dyDescent="0.3">
      <c r="A16" s="119"/>
      <c r="B16" s="125"/>
    </row>
    <row r="17" spans="1:3" x14ac:dyDescent="0.3">
      <c r="A17" s="361" t="s">
        <v>390</v>
      </c>
      <c r="B17" s="362"/>
    </row>
    <row r="18" spans="1:3" x14ac:dyDescent="0.3">
      <c r="A18" s="72"/>
      <c r="B18" s="145" t="s">
        <v>376</v>
      </c>
    </row>
    <row r="19" spans="1:3" x14ac:dyDescent="0.3">
      <c r="A19" s="72" t="s">
        <v>377</v>
      </c>
      <c r="B19" s="148">
        <v>0</v>
      </c>
    </row>
    <row r="20" spans="1:3" x14ac:dyDescent="0.3">
      <c r="A20" s="72"/>
      <c r="B20" s="107"/>
    </row>
    <row r="21" spans="1:3" ht="15" thickBot="1" x14ac:dyDescent="0.35">
      <c r="A21" s="72" t="s">
        <v>379</v>
      </c>
      <c r="B21" s="149">
        <f>B19</f>
        <v>0</v>
      </c>
      <c r="C21" t="s">
        <v>391</v>
      </c>
    </row>
    <row r="22" spans="1:3" ht="15" thickTop="1" x14ac:dyDescent="0.3">
      <c r="A22" s="119"/>
      <c r="B22" s="125"/>
    </row>
  </sheetData>
  <mergeCells count="4">
    <mergeCell ref="A17:B17"/>
    <mergeCell ref="A1:B1"/>
    <mergeCell ref="A2:B2"/>
    <mergeCell ref="A10:B1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6"/>
  <sheetViews>
    <sheetView workbookViewId="0">
      <selection activeCell="O17" sqref="O17"/>
    </sheetView>
  </sheetViews>
  <sheetFormatPr defaultRowHeight="14.4" x14ac:dyDescent="0.3"/>
  <cols>
    <col min="1" max="3" width="10.44140625" bestFit="1" customWidth="1"/>
    <col min="4" max="4" width="11.33203125" bestFit="1" customWidth="1"/>
    <col min="5" max="5" width="7.5546875" bestFit="1" customWidth="1"/>
    <col min="6" max="6" width="8.5546875" bestFit="1" customWidth="1"/>
    <col min="11" max="11" width="6.33203125" bestFit="1" customWidth="1"/>
    <col min="15" max="15" width="12" bestFit="1" customWidth="1"/>
    <col min="16" max="16" width="13.109375" bestFit="1" customWidth="1"/>
    <col min="17" max="17" width="25.44140625" bestFit="1" customWidth="1"/>
    <col min="18" max="18" width="13.33203125" bestFit="1" customWidth="1"/>
  </cols>
  <sheetData>
    <row r="1" spans="1:15" x14ac:dyDescent="0.3">
      <c r="A1" s="38" t="s">
        <v>243</v>
      </c>
    </row>
    <row r="3" spans="1:15" x14ac:dyDescent="0.3">
      <c r="A3" s="30" t="s">
        <v>59</v>
      </c>
      <c r="K3" s="7"/>
      <c r="L3" s="30" t="s">
        <v>394</v>
      </c>
    </row>
    <row r="4" spans="1:15" x14ac:dyDescent="0.3">
      <c r="A4" t="s">
        <v>244</v>
      </c>
      <c r="B4" s="4" t="s">
        <v>245</v>
      </c>
      <c r="C4" s="4" t="s">
        <v>246</v>
      </c>
      <c r="D4" s="4" t="s">
        <v>247</v>
      </c>
      <c r="E4" s="4" t="s">
        <v>248</v>
      </c>
      <c r="K4" s="7"/>
      <c r="L4" t="s">
        <v>395</v>
      </c>
      <c r="O4" s="159">
        <f>IE!H22</f>
        <v>383</v>
      </c>
    </row>
    <row r="5" spans="1:15" x14ac:dyDescent="0.3">
      <c r="B5" s="39">
        <v>46023</v>
      </c>
      <c r="C5" s="39">
        <v>46387</v>
      </c>
      <c r="D5">
        <f>C5-B5+1</f>
        <v>365</v>
      </c>
      <c r="E5">
        <v>292597</v>
      </c>
      <c r="K5" s="7"/>
      <c r="L5" t="s">
        <v>396</v>
      </c>
      <c r="O5" s="159">
        <f>IE!G23</f>
        <v>810492</v>
      </c>
    </row>
    <row r="6" spans="1:15" x14ac:dyDescent="0.3">
      <c r="B6" s="39">
        <v>46113</v>
      </c>
      <c r="C6" s="39">
        <v>46387</v>
      </c>
      <c r="D6">
        <f>C6-B6+1</f>
        <v>275</v>
      </c>
      <c r="E6" s="47">
        <f>ROUND(E5*D6/D5,0)</f>
        <v>220450</v>
      </c>
      <c r="F6" s="30" t="s">
        <v>249</v>
      </c>
      <c r="K6" s="7"/>
      <c r="L6" t="s">
        <v>397</v>
      </c>
      <c r="O6" s="159">
        <v>0</v>
      </c>
    </row>
    <row r="7" spans="1:15" x14ac:dyDescent="0.3">
      <c r="K7" s="7"/>
      <c r="L7" t="s">
        <v>398</v>
      </c>
      <c r="O7" s="160">
        <f>IE!G32+IE!G33</f>
        <v>57700</v>
      </c>
    </row>
    <row r="8" spans="1:15" x14ac:dyDescent="0.3">
      <c r="B8" s="39">
        <v>45928</v>
      </c>
      <c r="C8" s="39">
        <v>46292</v>
      </c>
      <c r="D8">
        <f>C8-B8+1</f>
        <v>365</v>
      </c>
      <c r="E8">
        <v>176988</v>
      </c>
      <c r="K8" s="7"/>
      <c r="L8" s="30" t="s">
        <v>399</v>
      </c>
      <c r="O8" s="159">
        <f>SUM(O4:O7)</f>
        <v>868575</v>
      </c>
    </row>
    <row r="9" spans="1:15" x14ac:dyDescent="0.3">
      <c r="B9" s="39">
        <v>46113</v>
      </c>
      <c r="C9" s="39">
        <v>46292</v>
      </c>
      <c r="D9">
        <f>C9-B9+1</f>
        <v>180</v>
      </c>
      <c r="E9" s="47">
        <f>ROUND(E8*D9/D8,0)</f>
        <v>87282</v>
      </c>
      <c r="F9" s="30" t="s">
        <v>249</v>
      </c>
      <c r="K9" s="7" t="s">
        <v>400</v>
      </c>
      <c r="L9" t="s">
        <v>401</v>
      </c>
      <c r="O9" s="160">
        <v>0</v>
      </c>
    </row>
    <row r="10" spans="1:15" x14ac:dyDescent="0.3">
      <c r="K10" s="7"/>
      <c r="L10" s="30" t="s">
        <v>402</v>
      </c>
      <c r="O10" s="159">
        <f>O8-O9</f>
        <v>868575</v>
      </c>
    </row>
    <row r="11" spans="1:15" x14ac:dyDescent="0.3">
      <c r="B11" s="39">
        <v>45928</v>
      </c>
      <c r="C11" s="39">
        <v>46292</v>
      </c>
      <c r="D11">
        <f>C11-B11+1</f>
        <v>365</v>
      </c>
      <c r="E11">
        <v>335099</v>
      </c>
      <c r="K11" s="7"/>
      <c r="L11" t="s">
        <v>403</v>
      </c>
      <c r="N11" s="161">
        <v>0.1</v>
      </c>
      <c r="O11" s="159">
        <v>1000</v>
      </c>
    </row>
    <row r="12" spans="1:15" x14ac:dyDescent="0.3">
      <c r="B12" s="39">
        <v>46113</v>
      </c>
      <c r="C12" s="39">
        <v>46292</v>
      </c>
      <c r="D12">
        <f>C12-B12+1</f>
        <v>180</v>
      </c>
      <c r="E12" s="47">
        <f>ROUND(E11*D12/D11,0)</f>
        <v>165254</v>
      </c>
      <c r="F12" s="30" t="s">
        <v>249</v>
      </c>
      <c r="K12" s="7"/>
      <c r="L12" t="s">
        <v>404</v>
      </c>
      <c r="N12" s="161">
        <v>0.2</v>
      </c>
      <c r="O12" s="159">
        <v>2000</v>
      </c>
    </row>
    <row r="13" spans="1:15" x14ac:dyDescent="0.3">
      <c r="K13" s="7"/>
      <c r="L13" t="s">
        <v>405</v>
      </c>
      <c r="N13" s="161">
        <v>0.3</v>
      </c>
      <c r="O13" s="160">
        <f>(O10-20000)*N13</f>
        <v>254572.5</v>
      </c>
    </row>
    <row r="14" spans="1:15" x14ac:dyDescent="0.3">
      <c r="K14" s="7"/>
      <c r="L14" t="s">
        <v>406</v>
      </c>
      <c r="O14" s="159">
        <f>SUM(O11:O13)</f>
        <v>257572.5</v>
      </c>
    </row>
    <row r="15" spans="1:15" x14ac:dyDescent="0.3">
      <c r="A15" s="30" t="s">
        <v>250</v>
      </c>
      <c r="K15" s="7" t="s">
        <v>407</v>
      </c>
      <c r="L15" t="s">
        <v>408</v>
      </c>
      <c r="N15" s="161">
        <v>0.04</v>
      </c>
      <c r="O15" s="160">
        <f>ROUND(O14*N15,0)</f>
        <v>10303</v>
      </c>
    </row>
    <row r="16" spans="1:15" x14ac:dyDescent="0.3">
      <c r="A16" t="s">
        <v>244</v>
      </c>
      <c r="B16" s="4" t="s">
        <v>245</v>
      </c>
      <c r="C16" s="4" t="s">
        <v>246</v>
      </c>
      <c r="D16" s="4" t="s">
        <v>247</v>
      </c>
      <c r="E16" s="4" t="s">
        <v>248</v>
      </c>
      <c r="K16" s="7"/>
      <c r="L16" t="s">
        <v>409</v>
      </c>
      <c r="O16" s="165">
        <f>SUM(O14:O15)</f>
        <v>267875.5</v>
      </c>
    </row>
    <row r="17" spans="1:18" ht="15" thickBot="1" x14ac:dyDescent="0.35">
      <c r="A17" t="s">
        <v>251</v>
      </c>
      <c r="B17" s="39">
        <v>45677</v>
      </c>
      <c r="C17" s="39">
        <v>46042</v>
      </c>
      <c r="D17">
        <f>C17-B17+1</f>
        <v>366</v>
      </c>
      <c r="E17">
        <f>25918+25918+24459+23836</f>
        <v>100131</v>
      </c>
      <c r="K17" s="7"/>
      <c r="L17" s="162" t="s">
        <v>410</v>
      </c>
      <c r="O17" s="163">
        <f>ROUND(O16,-2)</f>
        <v>267900</v>
      </c>
    </row>
    <row r="18" spans="1:18" ht="15" thickTop="1" x14ac:dyDescent="0.3">
      <c r="B18" s="39">
        <v>46042</v>
      </c>
      <c r="C18" s="39">
        <v>46112</v>
      </c>
      <c r="D18">
        <f>C18-B18+1</f>
        <v>71</v>
      </c>
      <c r="E18" s="47">
        <f>ROUND(E17*D18/D17,0)</f>
        <v>19424</v>
      </c>
      <c r="F18" s="30" t="s">
        <v>252</v>
      </c>
    </row>
    <row r="20" spans="1:18" x14ac:dyDescent="0.3">
      <c r="A20" t="s">
        <v>253</v>
      </c>
      <c r="B20" s="39">
        <v>45677</v>
      </c>
      <c r="C20" s="39">
        <v>46042</v>
      </c>
      <c r="D20">
        <f>C20-B20+1</f>
        <v>366</v>
      </c>
      <c r="E20">
        <f>143052+143052+130864+127911</f>
        <v>544879</v>
      </c>
    </row>
    <row r="21" spans="1:18" x14ac:dyDescent="0.3">
      <c r="B21" s="39">
        <v>46042</v>
      </c>
      <c r="C21" s="39">
        <v>46112</v>
      </c>
      <c r="D21">
        <f>C21-B21+1</f>
        <v>71</v>
      </c>
      <c r="E21" s="47">
        <f>ROUND(E20*D21/D20,0)</f>
        <v>105701</v>
      </c>
      <c r="F21" s="30" t="s">
        <v>252</v>
      </c>
    </row>
    <row r="24" spans="1:18" x14ac:dyDescent="0.3">
      <c r="A24" s="30" t="s">
        <v>277</v>
      </c>
      <c r="B24" s="4" t="s">
        <v>245</v>
      </c>
      <c r="C24" s="4" t="s">
        <v>246</v>
      </c>
      <c r="D24" s="4" t="s">
        <v>247</v>
      </c>
      <c r="E24" s="4" t="s">
        <v>248</v>
      </c>
      <c r="Q24" s="136" t="s">
        <v>418</v>
      </c>
      <c r="R24" s="136" t="s">
        <v>248</v>
      </c>
    </row>
    <row r="25" spans="1:18" x14ac:dyDescent="0.3">
      <c r="B25" s="39">
        <v>46105</v>
      </c>
      <c r="C25" s="39">
        <v>46469</v>
      </c>
      <c r="D25">
        <f>C25-B25+1</f>
        <v>365</v>
      </c>
      <c r="E25">
        <v>39777</v>
      </c>
      <c r="Q25" s="1" t="s">
        <v>416</v>
      </c>
      <c r="R25" s="167">
        <v>43053</v>
      </c>
    </row>
    <row r="26" spans="1:18" x14ac:dyDescent="0.3">
      <c r="B26" s="39">
        <v>46113</v>
      </c>
      <c r="C26" s="39">
        <v>46469</v>
      </c>
      <c r="D26">
        <f>C26-B26+1</f>
        <v>357</v>
      </c>
      <c r="E26" s="30">
        <f>ROUND(E25*D26/D25,0)</f>
        <v>38905</v>
      </c>
      <c r="F26" s="30" t="s">
        <v>249</v>
      </c>
      <c r="Q26" s="1" t="s">
        <v>417</v>
      </c>
      <c r="R26" s="168">
        <v>73780</v>
      </c>
    </row>
    <row r="27" spans="1:18" x14ac:dyDescent="0.3">
      <c r="Q27" s="1" t="s">
        <v>325</v>
      </c>
      <c r="R27" s="169">
        <v>79252</v>
      </c>
    </row>
    <row r="28" spans="1:18" x14ac:dyDescent="0.3">
      <c r="A28" s="30" t="s">
        <v>60</v>
      </c>
      <c r="B28" s="4" t="s">
        <v>245</v>
      </c>
      <c r="C28" s="4" t="s">
        <v>246</v>
      </c>
      <c r="D28" s="4" t="s">
        <v>247</v>
      </c>
      <c r="E28" s="4" t="s">
        <v>248</v>
      </c>
      <c r="Q28" s="1" t="s">
        <v>413</v>
      </c>
      <c r="R28" s="170">
        <f>-IE!I41</f>
        <v>0</v>
      </c>
    </row>
    <row r="29" spans="1:18" x14ac:dyDescent="0.3">
      <c r="B29" s="39">
        <v>46023</v>
      </c>
      <c r="C29" s="39">
        <v>46203</v>
      </c>
      <c r="D29">
        <f>C29-B29+1</f>
        <v>181</v>
      </c>
      <c r="E29">
        <v>6000</v>
      </c>
      <c r="Q29" s="1" t="s">
        <v>414</v>
      </c>
      <c r="R29" s="170">
        <f>-IE!I50</f>
        <v>0</v>
      </c>
    </row>
    <row r="30" spans="1:18" x14ac:dyDescent="0.3">
      <c r="B30" s="39">
        <v>46113</v>
      </c>
      <c r="C30" s="39">
        <v>46203</v>
      </c>
      <c r="D30">
        <f>C30-B30+1</f>
        <v>91</v>
      </c>
      <c r="E30" s="30">
        <f>ROUND(E29*D30/D29,0)</f>
        <v>3017</v>
      </c>
      <c r="F30" s="30" t="s">
        <v>249</v>
      </c>
      <c r="G30" t="s">
        <v>321</v>
      </c>
      <c r="H30" t="s">
        <v>322</v>
      </c>
      <c r="Q30" s="1" t="s">
        <v>415</v>
      </c>
      <c r="R30" s="170">
        <f>-IE!I52</f>
        <v>0</v>
      </c>
    </row>
    <row r="31" spans="1:18" x14ac:dyDescent="0.3">
      <c r="Q31" s="136" t="s">
        <v>7</v>
      </c>
      <c r="R31" s="166">
        <f>SUM(R25:R30)</f>
        <v>196085</v>
      </c>
    </row>
    <row r="32" spans="1:18" x14ac:dyDescent="0.3">
      <c r="A32" s="30" t="s">
        <v>278</v>
      </c>
      <c r="B32" s="4" t="s">
        <v>245</v>
      </c>
      <c r="C32" s="4" t="s">
        <v>246</v>
      </c>
      <c r="D32" s="4" t="s">
        <v>247</v>
      </c>
      <c r="E32" s="4" t="s">
        <v>248</v>
      </c>
    </row>
    <row r="33" spans="2:19" x14ac:dyDescent="0.3">
      <c r="B33" s="39">
        <v>45809</v>
      </c>
      <c r="C33" s="39">
        <v>46173</v>
      </c>
      <c r="D33">
        <f>C33-B33+1</f>
        <v>365</v>
      </c>
      <c r="E33">
        <v>0</v>
      </c>
      <c r="G33" t="s">
        <v>323</v>
      </c>
      <c r="H33" t="s">
        <v>324</v>
      </c>
      <c r="R33">
        <v>203</v>
      </c>
      <c r="S33" t="s">
        <v>419</v>
      </c>
    </row>
    <row r="34" spans="2:19" x14ac:dyDescent="0.3">
      <c r="B34" s="39">
        <v>45748</v>
      </c>
      <c r="C34" s="39">
        <v>45808</v>
      </c>
      <c r="D34">
        <f>C34-B34+1</f>
        <v>61</v>
      </c>
      <c r="E34" s="30">
        <f>ROUND(E33*D34/D33,0)</f>
        <v>0</v>
      </c>
      <c r="F34" s="30" t="s">
        <v>249</v>
      </c>
      <c r="R34">
        <v>1201</v>
      </c>
      <c r="S34" t="s">
        <v>419</v>
      </c>
    </row>
    <row r="35" spans="2:19" x14ac:dyDescent="0.3">
      <c r="R35">
        <v>1702</v>
      </c>
      <c r="S35" t="s">
        <v>419</v>
      </c>
    </row>
    <row r="36" spans="2:19" x14ac:dyDescent="0.3">
      <c r="R36">
        <v>2204</v>
      </c>
      <c r="S36" t="s">
        <v>419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8"/>
  <sheetViews>
    <sheetView topLeftCell="A22" workbookViewId="0">
      <selection activeCell="I99" sqref="I99"/>
    </sheetView>
  </sheetViews>
  <sheetFormatPr defaultColWidth="8.88671875" defaultRowHeight="14.4" x14ac:dyDescent="0.3"/>
  <cols>
    <col min="1" max="1" width="6.6640625" style="4" customWidth="1"/>
    <col min="2" max="2" width="9.44140625" style="4" customWidth="1"/>
    <col min="3" max="3" width="6.6640625" style="4" customWidth="1"/>
    <col min="4" max="4" width="53.6640625" customWidth="1"/>
    <col min="5" max="5" width="0.33203125" hidden="1" customWidth="1"/>
    <col min="6" max="6" width="33.6640625" hidden="1" customWidth="1"/>
    <col min="7" max="7" width="20.109375" hidden="1" customWidth="1"/>
    <col min="8" max="8" width="20.109375" customWidth="1"/>
    <col min="9" max="9" width="15.33203125" bestFit="1" customWidth="1"/>
    <col min="10" max="10" width="11.33203125" bestFit="1" customWidth="1"/>
    <col min="11" max="11" width="15.33203125" bestFit="1" customWidth="1"/>
    <col min="12" max="12" width="10.33203125" bestFit="1" customWidth="1"/>
  </cols>
  <sheetData>
    <row r="1" spans="1:12" x14ac:dyDescent="0.3">
      <c r="A1" s="367" t="s">
        <v>440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</row>
    <row r="2" spans="1:12" s="178" customFormat="1" ht="85.2" customHeight="1" x14ac:dyDescent="0.3">
      <c r="A2" s="177" t="s">
        <v>438</v>
      </c>
      <c r="B2" s="177" t="s">
        <v>420</v>
      </c>
      <c r="C2" s="177" t="s">
        <v>421</v>
      </c>
      <c r="D2" s="177" t="s">
        <v>437</v>
      </c>
      <c r="E2" s="177" t="s">
        <v>422</v>
      </c>
      <c r="F2" s="177" t="s">
        <v>423</v>
      </c>
      <c r="G2" s="177" t="s">
        <v>434</v>
      </c>
      <c r="H2" s="179" t="s">
        <v>441</v>
      </c>
      <c r="I2" s="177" t="s">
        <v>439</v>
      </c>
      <c r="J2" s="177" t="s">
        <v>436</v>
      </c>
      <c r="K2" s="177" t="s">
        <v>435</v>
      </c>
    </row>
    <row r="3" spans="1:12" x14ac:dyDescent="0.3">
      <c r="A3" s="175">
        <v>1</v>
      </c>
      <c r="B3" s="4" t="s">
        <v>140</v>
      </c>
      <c r="C3" s="4" t="s">
        <v>336</v>
      </c>
      <c r="D3" t="s">
        <v>335</v>
      </c>
      <c r="E3" s="33">
        <v>43600</v>
      </c>
      <c r="F3" s="33">
        <v>21800</v>
      </c>
      <c r="G3" s="176">
        <f>E3+F3</f>
        <v>65400</v>
      </c>
      <c r="H3" s="176">
        <f>I3/4</f>
        <v>26202</v>
      </c>
      <c r="I3" s="176">
        <v>104808</v>
      </c>
      <c r="J3" s="176">
        <v>104808</v>
      </c>
      <c r="K3" s="176">
        <f t="shared" ref="K3:K34" si="0">I3-J3</f>
        <v>0</v>
      </c>
    </row>
    <row r="4" spans="1:12" x14ac:dyDescent="0.3">
      <c r="A4" s="175">
        <v>2</v>
      </c>
      <c r="B4" s="4" t="s">
        <v>140</v>
      </c>
      <c r="C4" s="4" t="s">
        <v>337</v>
      </c>
      <c r="D4" t="s">
        <v>202</v>
      </c>
      <c r="E4" s="33">
        <v>43600</v>
      </c>
      <c r="F4" s="33">
        <v>21800</v>
      </c>
      <c r="G4" s="176">
        <f t="shared" ref="G4:G67" si="1">E4+F4</f>
        <v>65400</v>
      </c>
      <c r="H4" s="176">
        <f t="shared" ref="H4:H67" si="2">I4/4</f>
        <v>26202</v>
      </c>
      <c r="I4" s="176">
        <v>104808</v>
      </c>
      <c r="J4" s="176">
        <v>104808</v>
      </c>
      <c r="K4" s="176">
        <f t="shared" si="0"/>
        <v>0</v>
      </c>
    </row>
    <row r="5" spans="1:12" x14ac:dyDescent="0.3">
      <c r="A5" s="175">
        <v>3</v>
      </c>
      <c r="B5" s="4" t="s">
        <v>140</v>
      </c>
      <c r="C5" s="4" t="s">
        <v>338</v>
      </c>
      <c r="D5" t="s">
        <v>201</v>
      </c>
      <c r="E5" s="33">
        <v>22864</v>
      </c>
      <c r="F5" s="33">
        <v>11432</v>
      </c>
      <c r="G5" s="176">
        <f t="shared" si="1"/>
        <v>34296</v>
      </c>
      <c r="H5" s="176">
        <f t="shared" si="2"/>
        <v>13737</v>
      </c>
      <c r="I5" s="176">
        <v>54948</v>
      </c>
      <c r="J5" s="176">
        <v>54948</v>
      </c>
      <c r="K5" s="176">
        <f t="shared" si="0"/>
        <v>0</v>
      </c>
    </row>
    <row r="6" spans="1:12" x14ac:dyDescent="0.3">
      <c r="A6" s="175">
        <v>4</v>
      </c>
      <c r="B6" s="4" t="s">
        <v>140</v>
      </c>
      <c r="C6" s="4" t="s">
        <v>339</v>
      </c>
      <c r="D6" t="s">
        <v>200</v>
      </c>
      <c r="E6" s="33">
        <v>23048</v>
      </c>
      <c r="F6" s="33">
        <v>11524</v>
      </c>
      <c r="G6" s="176">
        <f t="shared" si="1"/>
        <v>34572</v>
      </c>
      <c r="H6" s="176">
        <f t="shared" si="2"/>
        <v>13854</v>
      </c>
      <c r="I6" s="176">
        <v>55416</v>
      </c>
      <c r="J6" s="176">
        <v>55416</v>
      </c>
      <c r="K6" s="176">
        <f t="shared" si="0"/>
        <v>0</v>
      </c>
    </row>
    <row r="7" spans="1:12" x14ac:dyDescent="0.3">
      <c r="A7" s="175">
        <v>5</v>
      </c>
      <c r="B7" s="4" t="s">
        <v>140</v>
      </c>
      <c r="C7" s="4" t="s">
        <v>424</v>
      </c>
      <c r="D7" t="s">
        <v>269</v>
      </c>
      <c r="E7" s="33">
        <v>54616</v>
      </c>
      <c r="F7" s="33">
        <v>27308</v>
      </c>
      <c r="G7" s="176">
        <f t="shared" si="1"/>
        <v>81924</v>
      </c>
      <c r="H7" s="176">
        <f t="shared" si="2"/>
        <v>32823</v>
      </c>
      <c r="I7" s="176">
        <v>131292</v>
      </c>
      <c r="J7" s="176">
        <v>0</v>
      </c>
      <c r="K7" s="176">
        <f t="shared" si="0"/>
        <v>131292</v>
      </c>
    </row>
    <row r="8" spans="1:12" x14ac:dyDescent="0.3">
      <c r="A8" s="175">
        <v>6</v>
      </c>
      <c r="B8" s="4" t="s">
        <v>140</v>
      </c>
      <c r="C8" s="4" t="s">
        <v>425</v>
      </c>
      <c r="D8" t="s">
        <v>120</v>
      </c>
      <c r="E8" s="33">
        <v>43600</v>
      </c>
      <c r="F8" s="33">
        <v>21800</v>
      </c>
      <c r="G8" s="176">
        <f t="shared" si="1"/>
        <v>65400</v>
      </c>
      <c r="H8" s="176">
        <f t="shared" si="2"/>
        <v>26202</v>
      </c>
      <c r="I8" s="176">
        <v>104808</v>
      </c>
      <c r="J8" s="176">
        <v>26202</v>
      </c>
      <c r="K8" s="176">
        <f t="shared" si="0"/>
        <v>78606</v>
      </c>
    </row>
    <row r="9" spans="1:12" x14ac:dyDescent="0.3">
      <c r="A9" s="175">
        <v>7</v>
      </c>
      <c r="B9" s="4" t="s">
        <v>140</v>
      </c>
      <c r="C9" s="4" t="s">
        <v>340</v>
      </c>
      <c r="D9" t="s">
        <v>139</v>
      </c>
      <c r="E9" s="33">
        <v>43600</v>
      </c>
      <c r="F9" s="33">
        <v>21800</v>
      </c>
      <c r="G9" s="176">
        <f t="shared" si="1"/>
        <v>65400</v>
      </c>
      <c r="H9" s="176">
        <f t="shared" si="2"/>
        <v>26202</v>
      </c>
      <c r="I9" s="176">
        <v>104808</v>
      </c>
      <c r="J9" s="176">
        <v>104808</v>
      </c>
      <c r="K9" s="176">
        <f t="shared" si="0"/>
        <v>0</v>
      </c>
    </row>
    <row r="10" spans="1:12" x14ac:dyDescent="0.3">
      <c r="A10" s="175">
        <v>8</v>
      </c>
      <c r="B10" s="4" t="s">
        <v>140</v>
      </c>
      <c r="C10" s="4" t="s">
        <v>341</v>
      </c>
      <c r="D10" t="s">
        <v>270</v>
      </c>
      <c r="E10" s="33">
        <v>43600</v>
      </c>
      <c r="F10" s="33">
        <v>21800</v>
      </c>
      <c r="G10" s="176">
        <f t="shared" si="1"/>
        <v>65400</v>
      </c>
      <c r="H10" s="176">
        <f t="shared" si="2"/>
        <v>26202</v>
      </c>
      <c r="I10" s="176">
        <v>104808</v>
      </c>
      <c r="J10" s="176">
        <v>78606</v>
      </c>
      <c r="K10" s="176">
        <f t="shared" si="0"/>
        <v>26202</v>
      </c>
    </row>
    <row r="11" spans="1:12" x14ac:dyDescent="0.3">
      <c r="A11" s="175">
        <v>9</v>
      </c>
      <c r="B11" s="4" t="s">
        <v>140</v>
      </c>
      <c r="C11" s="4" t="s">
        <v>426</v>
      </c>
      <c r="D11" t="s">
        <v>271</v>
      </c>
      <c r="E11" s="33">
        <v>54616</v>
      </c>
      <c r="F11" s="33">
        <v>27308</v>
      </c>
      <c r="G11" s="176">
        <f t="shared" si="1"/>
        <v>81924</v>
      </c>
      <c r="H11" s="176">
        <f t="shared" si="2"/>
        <v>32823</v>
      </c>
      <c r="I11" s="176">
        <v>131292</v>
      </c>
      <c r="J11" s="176">
        <v>32823</v>
      </c>
      <c r="K11" s="176">
        <f t="shared" si="0"/>
        <v>98469</v>
      </c>
    </row>
    <row r="12" spans="1:12" x14ac:dyDescent="0.3">
      <c r="A12" s="175">
        <v>10</v>
      </c>
      <c r="B12" s="4" t="s">
        <v>140</v>
      </c>
      <c r="C12" s="4" t="s">
        <v>342</v>
      </c>
      <c r="D12" t="s">
        <v>199</v>
      </c>
      <c r="E12" s="33">
        <v>43600</v>
      </c>
      <c r="F12" s="33">
        <v>21800</v>
      </c>
      <c r="G12" s="176">
        <f t="shared" si="1"/>
        <v>65400</v>
      </c>
      <c r="H12" s="176">
        <f t="shared" si="2"/>
        <v>26202</v>
      </c>
      <c r="I12" s="176">
        <v>104808</v>
      </c>
      <c r="J12" s="176">
        <v>110258</v>
      </c>
      <c r="K12" s="188">
        <f>(I12-J12)*0</f>
        <v>0</v>
      </c>
      <c r="L12" t="s">
        <v>446</v>
      </c>
    </row>
    <row r="13" spans="1:12" x14ac:dyDescent="0.3">
      <c r="A13" s="175">
        <v>11</v>
      </c>
      <c r="B13" s="4" t="s">
        <v>140</v>
      </c>
      <c r="C13" s="4" t="s">
        <v>343</v>
      </c>
      <c r="D13" t="s">
        <v>198</v>
      </c>
      <c r="E13" s="33">
        <v>43600</v>
      </c>
      <c r="F13" s="33">
        <v>21800</v>
      </c>
      <c r="G13" s="176">
        <f t="shared" si="1"/>
        <v>65400</v>
      </c>
      <c r="H13" s="176">
        <f t="shared" si="2"/>
        <v>26202</v>
      </c>
      <c r="I13" s="176">
        <v>104808</v>
      </c>
      <c r="J13" s="176">
        <v>104808</v>
      </c>
      <c r="K13" s="176">
        <f t="shared" si="0"/>
        <v>0</v>
      </c>
    </row>
    <row r="14" spans="1:12" x14ac:dyDescent="0.3">
      <c r="A14" s="175">
        <v>12</v>
      </c>
      <c r="B14" s="4" t="s">
        <v>140</v>
      </c>
      <c r="C14" s="4" t="s">
        <v>344</v>
      </c>
      <c r="D14" t="s">
        <v>197</v>
      </c>
      <c r="E14" s="33">
        <v>43600</v>
      </c>
      <c r="F14" s="33">
        <v>21800</v>
      </c>
      <c r="G14" s="176">
        <f t="shared" si="1"/>
        <v>65400</v>
      </c>
      <c r="H14" s="176">
        <f t="shared" si="2"/>
        <v>26202</v>
      </c>
      <c r="I14" s="176">
        <v>104808</v>
      </c>
      <c r="J14" s="176">
        <v>104808</v>
      </c>
      <c r="K14" s="176">
        <f t="shared" si="0"/>
        <v>0</v>
      </c>
    </row>
    <row r="15" spans="1:12" x14ac:dyDescent="0.3">
      <c r="A15" s="175">
        <v>13</v>
      </c>
      <c r="B15" s="4" t="s">
        <v>140</v>
      </c>
      <c r="C15" s="4" t="s">
        <v>345</v>
      </c>
      <c r="D15" t="s">
        <v>196</v>
      </c>
      <c r="E15" s="33">
        <v>54616</v>
      </c>
      <c r="F15" s="33">
        <v>27308</v>
      </c>
      <c r="G15" s="176">
        <f t="shared" si="1"/>
        <v>81924</v>
      </c>
      <c r="H15" s="176">
        <f t="shared" si="2"/>
        <v>32823</v>
      </c>
      <c r="I15" s="176">
        <v>131292</v>
      </c>
      <c r="J15" s="176">
        <v>131292</v>
      </c>
      <c r="K15" s="176">
        <f t="shared" si="0"/>
        <v>0</v>
      </c>
    </row>
    <row r="16" spans="1:12" x14ac:dyDescent="0.3">
      <c r="A16" s="175">
        <v>14</v>
      </c>
      <c r="B16" s="4" t="s">
        <v>140</v>
      </c>
      <c r="C16" s="4" t="s">
        <v>346</v>
      </c>
      <c r="D16" t="s">
        <v>195</v>
      </c>
      <c r="E16" s="33">
        <v>43600</v>
      </c>
      <c r="F16" s="33">
        <v>21800</v>
      </c>
      <c r="G16" s="176">
        <f t="shared" si="1"/>
        <v>65400</v>
      </c>
      <c r="H16" s="176">
        <f t="shared" si="2"/>
        <v>26202</v>
      </c>
      <c r="I16" s="176">
        <v>104808</v>
      </c>
      <c r="J16" s="176">
        <v>104808</v>
      </c>
      <c r="K16" s="176">
        <f t="shared" si="0"/>
        <v>0</v>
      </c>
    </row>
    <row r="17" spans="1:11" x14ac:dyDescent="0.3">
      <c r="A17" s="175">
        <v>15</v>
      </c>
      <c r="B17" s="4" t="s">
        <v>140</v>
      </c>
      <c r="C17" s="4" t="s">
        <v>347</v>
      </c>
      <c r="D17" t="s">
        <v>194</v>
      </c>
      <c r="E17" s="33">
        <v>43600</v>
      </c>
      <c r="F17" s="33">
        <v>21800</v>
      </c>
      <c r="G17" s="176">
        <f t="shared" si="1"/>
        <v>65400</v>
      </c>
      <c r="H17" s="176">
        <f t="shared" si="2"/>
        <v>26202</v>
      </c>
      <c r="I17" s="176">
        <v>104808</v>
      </c>
      <c r="J17" s="176">
        <v>104808</v>
      </c>
      <c r="K17" s="176">
        <f t="shared" si="0"/>
        <v>0</v>
      </c>
    </row>
    <row r="18" spans="1:11" x14ac:dyDescent="0.3">
      <c r="A18" s="175">
        <v>16</v>
      </c>
      <c r="B18" s="4" t="s">
        <v>140</v>
      </c>
      <c r="C18" s="4" t="s">
        <v>348</v>
      </c>
      <c r="D18" t="s">
        <v>193</v>
      </c>
      <c r="E18" s="33">
        <v>43600</v>
      </c>
      <c r="F18" s="33">
        <v>21800</v>
      </c>
      <c r="G18" s="176">
        <f t="shared" si="1"/>
        <v>65400</v>
      </c>
      <c r="H18" s="176">
        <f t="shared" si="2"/>
        <v>26202</v>
      </c>
      <c r="I18" s="176">
        <v>104808</v>
      </c>
      <c r="J18" s="176">
        <v>104808</v>
      </c>
      <c r="K18" s="176">
        <f t="shared" si="0"/>
        <v>0</v>
      </c>
    </row>
    <row r="19" spans="1:11" x14ac:dyDescent="0.3">
      <c r="A19" s="175">
        <v>17</v>
      </c>
      <c r="B19" s="4" t="s">
        <v>140</v>
      </c>
      <c r="C19" s="4" t="s">
        <v>349</v>
      </c>
      <c r="D19" t="s">
        <v>192</v>
      </c>
      <c r="E19" s="33">
        <v>54616</v>
      </c>
      <c r="F19" s="33">
        <v>27308</v>
      </c>
      <c r="G19" s="176">
        <f t="shared" si="1"/>
        <v>81924</v>
      </c>
      <c r="H19" s="176">
        <f t="shared" si="2"/>
        <v>32823</v>
      </c>
      <c r="I19" s="176">
        <v>131292</v>
      </c>
      <c r="J19" s="176">
        <v>131292</v>
      </c>
      <c r="K19" s="176">
        <f t="shared" si="0"/>
        <v>0</v>
      </c>
    </row>
    <row r="20" spans="1:11" x14ac:dyDescent="0.3">
      <c r="A20" s="175">
        <v>18</v>
      </c>
      <c r="B20" s="4" t="s">
        <v>140</v>
      </c>
      <c r="C20" s="4" t="s">
        <v>350</v>
      </c>
      <c r="D20" t="s">
        <v>191</v>
      </c>
      <c r="E20" s="33">
        <v>43600</v>
      </c>
      <c r="F20" s="33">
        <v>21800</v>
      </c>
      <c r="G20" s="176">
        <f t="shared" si="1"/>
        <v>65400</v>
      </c>
      <c r="H20" s="176">
        <f t="shared" si="2"/>
        <v>26202</v>
      </c>
      <c r="I20" s="176">
        <v>104808</v>
      </c>
      <c r="J20" s="176">
        <v>104808</v>
      </c>
      <c r="K20" s="176">
        <f t="shared" si="0"/>
        <v>0</v>
      </c>
    </row>
    <row r="21" spans="1:11" x14ac:dyDescent="0.3">
      <c r="A21" s="175">
        <v>19</v>
      </c>
      <c r="B21" s="4" t="s">
        <v>140</v>
      </c>
      <c r="C21" s="4" t="s">
        <v>351</v>
      </c>
      <c r="D21" t="s">
        <v>190</v>
      </c>
      <c r="E21" s="33">
        <v>43600</v>
      </c>
      <c r="F21" s="33">
        <v>21800</v>
      </c>
      <c r="G21" s="176">
        <f t="shared" si="1"/>
        <v>65400</v>
      </c>
      <c r="H21" s="176">
        <f t="shared" si="2"/>
        <v>26202</v>
      </c>
      <c r="I21" s="176">
        <v>104808</v>
      </c>
      <c r="J21" s="176">
        <v>104808</v>
      </c>
      <c r="K21" s="176">
        <f t="shared" si="0"/>
        <v>0</v>
      </c>
    </row>
    <row r="22" spans="1:11" x14ac:dyDescent="0.3">
      <c r="A22" s="175">
        <v>20</v>
      </c>
      <c r="B22" s="4" t="s">
        <v>140</v>
      </c>
      <c r="C22" s="4" t="s">
        <v>352</v>
      </c>
      <c r="D22" t="s">
        <v>353</v>
      </c>
      <c r="E22" s="33">
        <v>43600</v>
      </c>
      <c r="F22" s="33">
        <v>21800</v>
      </c>
      <c r="G22" s="176">
        <f t="shared" si="1"/>
        <v>65400</v>
      </c>
      <c r="H22" s="176">
        <f t="shared" si="2"/>
        <v>26202</v>
      </c>
      <c r="I22" s="176">
        <v>104808</v>
      </c>
      <c r="J22" s="176">
        <v>104808</v>
      </c>
      <c r="K22" s="176">
        <f t="shared" si="0"/>
        <v>0</v>
      </c>
    </row>
    <row r="23" spans="1:11" x14ac:dyDescent="0.3">
      <c r="A23" s="175">
        <v>21</v>
      </c>
      <c r="B23" s="4" t="s">
        <v>140</v>
      </c>
      <c r="C23" s="4" t="s">
        <v>354</v>
      </c>
      <c r="D23" t="s">
        <v>355</v>
      </c>
      <c r="E23" s="33">
        <v>54616</v>
      </c>
      <c r="F23" s="33">
        <v>27308</v>
      </c>
      <c r="G23" s="176">
        <f t="shared" si="1"/>
        <v>81924</v>
      </c>
      <c r="H23" s="176">
        <f t="shared" si="2"/>
        <v>32823</v>
      </c>
      <c r="I23" s="176">
        <v>131292</v>
      </c>
      <c r="J23" s="176">
        <v>131292</v>
      </c>
      <c r="K23" s="176">
        <f t="shared" si="0"/>
        <v>0</v>
      </c>
    </row>
    <row r="24" spans="1:11" x14ac:dyDescent="0.3">
      <c r="A24" s="175">
        <v>22</v>
      </c>
      <c r="B24" s="4" t="s">
        <v>140</v>
      </c>
      <c r="C24" s="4" t="s">
        <v>356</v>
      </c>
      <c r="D24" t="s">
        <v>38</v>
      </c>
      <c r="E24" s="33">
        <v>43600</v>
      </c>
      <c r="F24" s="33">
        <v>21800</v>
      </c>
      <c r="G24" s="176">
        <f t="shared" si="1"/>
        <v>65400</v>
      </c>
      <c r="H24" s="176">
        <f t="shared" si="2"/>
        <v>26202</v>
      </c>
      <c r="I24" s="176">
        <v>104808</v>
      </c>
      <c r="J24" s="176">
        <v>104808</v>
      </c>
      <c r="K24" s="176">
        <f t="shared" si="0"/>
        <v>0</v>
      </c>
    </row>
    <row r="25" spans="1:11" x14ac:dyDescent="0.3">
      <c r="A25" s="175">
        <v>23</v>
      </c>
      <c r="B25" s="4" t="s">
        <v>140</v>
      </c>
      <c r="C25" s="4" t="s">
        <v>357</v>
      </c>
      <c r="D25" t="s">
        <v>188</v>
      </c>
      <c r="E25" s="33">
        <v>43600</v>
      </c>
      <c r="F25" s="33">
        <v>21800</v>
      </c>
      <c r="G25" s="176">
        <f t="shared" si="1"/>
        <v>65400</v>
      </c>
      <c r="H25" s="176">
        <f t="shared" si="2"/>
        <v>26202</v>
      </c>
      <c r="I25" s="176">
        <v>104808</v>
      </c>
      <c r="J25" s="176">
        <v>104808</v>
      </c>
      <c r="K25" s="176">
        <f t="shared" si="0"/>
        <v>0</v>
      </c>
    </row>
    <row r="26" spans="1:11" x14ac:dyDescent="0.3">
      <c r="A26" s="175">
        <v>24</v>
      </c>
      <c r="B26" s="4" t="s">
        <v>140</v>
      </c>
      <c r="C26" s="4" t="s">
        <v>358</v>
      </c>
      <c r="D26" t="s">
        <v>187</v>
      </c>
      <c r="E26" s="33">
        <v>43600</v>
      </c>
      <c r="F26" s="33">
        <v>21800</v>
      </c>
      <c r="G26" s="176">
        <f t="shared" si="1"/>
        <v>65400</v>
      </c>
      <c r="H26" s="176">
        <f t="shared" si="2"/>
        <v>26202</v>
      </c>
      <c r="I26" s="176">
        <v>104808</v>
      </c>
      <c r="J26" s="176">
        <v>104800</v>
      </c>
      <c r="K26" s="176">
        <f t="shared" si="0"/>
        <v>8</v>
      </c>
    </row>
    <row r="27" spans="1:11" x14ac:dyDescent="0.3">
      <c r="A27" s="175">
        <v>25</v>
      </c>
      <c r="B27" s="4" t="s">
        <v>140</v>
      </c>
      <c r="C27" s="4" t="s">
        <v>359</v>
      </c>
      <c r="D27" t="s">
        <v>427</v>
      </c>
      <c r="E27" s="33">
        <v>54616</v>
      </c>
      <c r="F27" s="33">
        <v>27308</v>
      </c>
      <c r="G27" s="176">
        <f t="shared" si="1"/>
        <v>81924</v>
      </c>
      <c r="H27" s="176">
        <f t="shared" si="2"/>
        <v>32823</v>
      </c>
      <c r="I27" s="176">
        <v>131292</v>
      </c>
      <c r="J27" s="176">
        <v>131292</v>
      </c>
      <c r="K27" s="176">
        <f t="shared" si="0"/>
        <v>0</v>
      </c>
    </row>
    <row r="28" spans="1:11" x14ac:dyDescent="0.3">
      <c r="A28" s="175">
        <v>26</v>
      </c>
      <c r="B28" s="4" t="s">
        <v>140</v>
      </c>
      <c r="C28" s="4" t="s">
        <v>428</v>
      </c>
      <c r="D28" t="s">
        <v>117</v>
      </c>
      <c r="E28" s="33">
        <v>43600</v>
      </c>
      <c r="F28" s="33">
        <v>21800</v>
      </c>
      <c r="G28" s="176">
        <f t="shared" si="1"/>
        <v>65400</v>
      </c>
      <c r="H28" s="176">
        <f t="shared" si="2"/>
        <v>26202</v>
      </c>
      <c r="I28" s="176">
        <v>104808</v>
      </c>
      <c r="J28" s="176">
        <v>26202</v>
      </c>
      <c r="K28" s="176">
        <f t="shared" si="0"/>
        <v>78606</v>
      </c>
    </row>
    <row r="29" spans="1:11" x14ac:dyDescent="0.3">
      <c r="A29" s="175">
        <v>27</v>
      </c>
      <c r="B29" s="4" t="s">
        <v>140</v>
      </c>
      <c r="C29" s="4" t="s">
        <v>360</v>
      </c>
      <c r="D29" t="s">
        <v>186</v>
      </c>
      <c r="E29" s="33">
        <v>43600</v>
      </c>
      <c r="F29" s="33">
        <v>21800</v>
      </c>
      <c r="G29" s="176">
        <f t="shared" si="1"/>
        <v>65400</v>
      </c>
      <c r="H29" s="176">
        <f t="shared" si="2"/>
        <v>26202</v>
      </c>
      <c r="I29" s="176">
        <v>104808</v>
      </c>
      <c r="J29" s="176">
        <v>104606</v>
      </c>
      <c r="K29" s="176">
        <f t="shared" si="0"/>
        <v>202</v>
      </c>
    </row>
    <row r="30" spans="1:11" x14ac:dyDescent="0.3">
      <c r="A30" s="175">
        <v>28</v>
      </c>
      <c r="B30" s="4" t="s">
        <v>140</v>
      </c>
      <c r="C30" s="4" t="s">
        <v>361</v>
      </c>
      <c r="D30" t="s">
        <v>185</v>
      </c>
      <c r="E30" s="33">
        <v>43600</v>
      </c>
      <c r="F30" s="33">
        <v>21800</v>
      </c>
      <c r="G30" s="176">
        <f t="shared" si="1"/>
        <v>65400</v>
      </c>
      <c r="H30" s="176">
        <f t="shared" si="2"/>
        <v>26202</v>
      </c>
      <c r="I30" s="176">
        <v>104808</v>
      </c>
      <c r="J30" s="176">
        <v>104808</v>
      </c>
      <c r="K30" s="176">
        <f t="shared" si="0"/>
        <v>0</v>
      </c>
    </row>
    <row r="31" spans="1:11" x14ac:dyDescent="0.3">
      <c r="A31" s="175">
        <v>29</v>
      </c>
      <c r="B31" s="4" t="s">
        <v>140</v>
      </c>
      <c r="C31" s="4" t="s">
        <v>362</v>
      </c>
      <c r="D31" t="s">
        <v>184</v>
      </c>
      <c r="E31" s="33">
        <v>54616</v>
      </c>
      <c r="F31" s="33">
        <v>27308</v>
      </c>
      <c r="G31" s="176">
        <f t="shared" si="1"/>
        <v>81924</v>
      </c>
      <c r="H31" s="176">
        <f t="shared" si="2"/>
        <v>32823</v>
      </c>
      <c r="I31" s="176">
        <v>131292</v>
      </c>
      <c r="J31" s="176">
        <v>131292</v>
      </c>
      <c r="K31" s="176">
        <f t="shared" si="0"/>
        <v>0</v>
      </c>
    </row>
    <row r="32" spans="1:11" x14ac:dyDescent="0.3">
      <c r="A32" s="175">
        <v>30</v>
      </c>
      <c r="B32" s="4" t="s">
        <v>140</v>
      </c>
      <c r="C32" s="4" t="s">
        <v>429</v>
      </c>
      <c r="D32" t="s">
        <v>203</v>
      </c>
      <c r="E32" s="33">
        <v>44184</v>
      </c>
      <c r="F32" s="33">
        <v>22092</v>
      </c>
      <c r="G32" s="176">
        <f t="shared" si="1"/>
        <v>66276</v>
      </c>
      <c r="H32" s="176">
        <f t="shared" si="2"/>
        <v>26555</v>
      </c>
      <c r="I32" s="176">
        <f>(212436/2)+2</f>
        <v>106220</v>
      </c>
      <c r="J32" s="176">
        <v>20000</v>
      </c>
      <c r="K32" s="176">
        <f t="shared" si="0"/>
        <v>86220</v>
      </c>
    </row>
    <row r="33" spans="1:11" x14ac:dyDescent="0.3">
      <c r="A33" s="175">
        <v>31</v>
      </c>
      <c r="B33" s="4" t="s">
        <v>140</v>
      </c>
      <c r="C33" s="4" t="s">
        <v>430</v>
      </c>
      <c r="D33" t="s">
        <v>121</v>
      </c>
      <c r="E33" s="33">
        <v>44184</v>
      </c>
      <c r="F33" s="33">
        <v>22092</v>
      </c>
      <c r="G33" s="176">
        <f t="shared" si="1"/>
        <v>66276</v>
      </c>
      <c r="H33" s="176">
        <f t="shared" si="2"/>
        <v>26555</v>
      </c>
      <c r="I33" s="176">
        <f>(212436/2)+2</f>
        <v>106220</v>
      </c>
      <c r="J33" s="176">
        <v>0</v>
      </c>
      <c r="K33" s="176">
        <f t="shared" si="0"/>
        <v>106220</v>
      </c>
    </row>
    <row r="34" spans="1:11" x14ac:dyDescent="0.3">
      <c r="A34" s="175">
        <v>32</v>
      </c>
      <c r="B34" s="4" t="s">
        <v>140</v>
      </c>
      <c r="C34" s="4" t="s">
        <v>363</v>
      </c>
      <c r="D34" t="s">
        <v>183</v>
      </c>
      <c r="E34" s="33">
        <v>43600</v>
      </c>
      <c r="F34" s="33">
        <v>21800</v>
      </c>
      <c r="G34" s="176">
        <f t="shared" si="1"/>
        <v>65400</v>
      </c>
      <c r="H34" s="176">
        <f t="shared" si="2"/>
        <v>26202</v>
      </c>
      <c r="I34" s="176">
        <v>104808</v>
      </c>
      <c r="J34" s="176">
        <v>104808</v>
      </c>
      <c r="K34" s="176">
        <f t="shared" si="0"/>
        <v>0</v>
      </c>
    </row>
    <row r="35" spans="1:11" x14ac:dyDescent="0.3">
      <c r="A35" s="175">
        <v>33</v>
      </c>
      <c r="B35" s="4" t="s">
        <v>140</v>
      </c>
      <c r="C35" s="4" t="s">
        <v>431</v>
      </c>
      <c r="D35" t="s">
        <v>182</v>
      </c>
      <c r="E35" s="33">
        <v>43600</v>
      </c>
      <c r="F35" s="33">
        <v>21800</v>
      </c>
      <c r="G35" s="176">
        <f t="shared" si="1"/>
        <v>65400</v>
      </c>
      <c r="H35" s="176">
        <f t="shared" si="2"/>
        <v>26202</v>
      </c>
      <c r="I35" s="176">
        <v>104808</v>
      </c>
      <c r="J35" s="176">
        <v>26202</v>
      </c>
      <c r="K35" s="176">
        <f t="shared" ref="K35:K66" si="3">I35-J35</f>
        <v>78606</v>
      </c>
    </row>
    <row r="36" spans="1:11" x14ac:dyDescent="0.3">
      <c r="A36" s="175">
        <v>34</v>
      </c>
      <c r="B36" s="4" t="s">
        <v>140</v>
      </c>
      <c r="C36" s="4" t="s">
        <v>364</v>
      </c>
      <c r="D36" t="s">
        <v>181</v>
      </c>
      <c r="E36" s="33">
        <v>43600</v>
      </c>
      <c r="F36" s="33">
        <v>21800</v>
      </c>
      <c r="G36" s="176">
        <f t="shared" si="1"/>
        <v>65400</v>
      </c>
      <c r="H36" s="176">
        <f t="shared" si="2"/>
        <v>26202</v>
      </c>
      <c r="I36" s="176">
        <v>104808</v>
      </c>
      <c r="J36" s="176">
        <v>104808</v>
      </c>
      <c r="K36" s="176">
        <f t="shared" si="3"/>
        <v>0</v>
      </c>
    </row>
    <row r="37" spans="1:11" x14ac:dyDescent="0.3">
      <c r="A37" s="175">
        <v>35</v>
      </c>
      <c r="B37" s="4" t="s">
        <v>140</v>
      </c>
      <c r="C37" s="4" t="s">
        <v>365</v>
      </c>
      <c r="D37" t="s">
        <v>180</v>
      </c>
      <c r="E37" s="33">
        <v>43600</v>
      </c>
      <c r="F37" s="33">
        <v>21800</v>
      </c>
      <c r="G37" s="176">
        <f t="shared" si="1"/>
        <v>65400</v>
      </c>
      <c r="H37" s="176">
        <f t="shared" si="2"/>
        <v>26202</v>
      </c>
      <c r="I37" s="176">
        <v>104808</v>
      </c>
      <c r="J37" s="176">
        <v>104808</v>
      </c>
      <c r="K37" s="176">
        <f t="shared" si="3"/>
        <v>0</v>
      </c>
    </row>
    <row r="38" spans="1:11" x14ac:dyDescent="0.3">
      <c r="A38" s="175">
        <v>36</v>
      </c>
      <c r="B38" s="4" t="s">
        <v>140</v>
      </c>
      <c r="C38" s="4" t="s">
        <v>366</v>
      </c>
      <c r="D38" t="s">
        <v>179</v>
      </c>
      <c r="E38" s="33">
        <v>54616</v>
      </c>
      <c r="F38" s="33">
        <v>27308</v>
      </c>
      <c r="G38" s="176">
        <f t="shared" si="1"/>
        <v>81924</v>
      </c>
      <c r="H38" s="176">
        <f t="shared" si="2"/>
        <v>32823</v>
      </c>
      <c r="I38" s="176">
        <v>131292</v>
      </c>
      <c r="J38" s="176">
        <v>131292</v>
      </c>
      <c r="K38" s="176">
        <f t="shared" si="3"/>
        <v>0</v>
      </c>
    </row>
    <row r="39" spans="1:11" x14ac:dyDescent="0.3">
      <c r="A39" s="175">
        <v>37</v>
      </c>
      <c r="B39" s="4" t="s">
        <v>140</v>
      </c>
      <c r="C39" s="175">
        <v>1001</v>
      </c>
      <c r="D39" t="s">
        <v>178</v>
      </c>
      <c r="E39" s="33">
        <v>43600</v>
      </c>
      <c r="F39" s="33">
        <v>21800</v>
      </c>
      <c r="G39" s="176">
        <f t="shared" si="1"/>
        <v>65400</v>
      </c>
      <c r="H39" s="176">
        <f t="shared" si="2"/>
        <v>26202</v>
      </c>
      <c r="I39" s="176">
        <v>104808</v>
      </c>
      <c r="J39" s="176">
        <v>54500</v>
      </c>
      <c r="K39" s="176">
        <f t="shared" si="3"/>
        <v>50308</v>
      </c>
    </row>
    <row r="40" spans="1:11" x14ac:dyDescent="0.3">
      <c r="A40" s="175">
        <v>38</v>
      </c>
      <c r="B40" s="4" t="s">
        <v>140</v>
      </c>
      <c r="C40" s="175">
        <v>1002</v>
      </c>
      <c r="D40" t="s">
        <v>177</v>
      </c>
      <c r="E40" s="33">
        <v>43600</v>
      </c>
      <c r="F40" s="33">
        <v>21800</v>
      </c>
      <c r="G40" s="176">
        <f t="shared" si="1"/>
        <v>65400</v>
      </c>
      <c r="H40" s="176">
        <f t="shared" si="2"/>
        <v>26202</v>
      </c>
      <c r="I40" s="176">
        <v>104808</v>
      </c>
      <c r="J40" s="176">
        <v>54500</v>
      </c>
      <c r="K40" s="176">
        <f t="shared" si="3"/>
        <v>50308</v>
      </c>
    </row>
    <row r="41" spans="1:11" x14ac:dyDescent="0.3">
      <c r="A41" s="175">
        <v>39</v>
      </c>
      <c r="B41" s="4" t="s">
        <v>140</v>
      </c>
      <c r="C41" s="175">
        <v>1003</v>
      </c>
      <c r="D41" t="s">
        <v>176</v>
      </c>
      <c r="E41" s="33">
        <v>43600</v>
      </c>
      <c r="F41" s="33">
        <v>21800</v>
      </c>
      <c r="G41" s="176">
        <f t="shared" si="1"/>
        <v>65400</v>
      </c>
      <c r="H41" s="176">
        <f t="shared" si="2"/>
        <v>26202</v>
      </c>
      <c r="I41" s="176">
        <v>104808</v>
      </c>
      <c r="J41" s="176">
        <v>104808</v>
      </c>
      <c r="K41" s="176">
        <f t="shared" si="3"/>
        <v>0</v>
      </c>
    </row>
    <row r="42" spans="1:11" x14ac:dyDescent="0.3">
      <c r="A42" s="175">
        <v>40</v>
      </c>
      <c r="B42" s="4" t="s">
        <v>140</v>
      </c>
      <c r="C42" s="175">
        <v>1004</v>
      </c>
      <c r="D42" t="s">
        <v>175</v>
      </c>
      <c r="E42" s="33">
        <v>54616</v>
      </c>
      <c r="F42" s="33">
        <v>27308</v>
      </c>
      <c r="G42" s="176">
        <f t="shared" si="1"/>
        <v>81924</v>
      </c>
      <c r="H42" s="176">
        <f t="shared" si="2"/>
        <v>32823</v>
      </c>
      <c r="I42" s="176">
        <v>131292</v>
      </c>
      <c r="J42" s="176">
        <v>131292</v>
      </c>
      <c r="K42" s="176">
        <f t="shared" si="3"/>
        <v>0</v>
      </c>
    </row>
    <row r="43" spans="1:11" x14ac:dyDescent="0.3">
      <c r="A43" s="175">
        <v>41</v>
      </c>
      <c r="B43" s="4" t="s">
        <v>140</v>
      </c>
      <c r="C43" s="175">
        <v>1101</v>
      </c>
      <c r="D43" t="s">
        <v>174</v>
      </c>
      <c r="E43" s="33">
        <v>43600</v>
      </c>
      <c r="F43" s="33">
        <v>21800</v>
      </c>
      <c r="G43" s="176">
        <f t="shared" si="1"/>
        <v>65400</v>
      </c>
      <c r="H43" s="176">
        <f t="shared" si="2"/>
        <v>26202</v>
      </c>
      <c r="I43" s="176">
        <v>104808</v>
      </c>
      <c r="J43" s="176">
        <v>104808</v>
      </c>
      <c r="K43" s="176">
        <f t="shared" si="3"/>
        <v>0</v>
      </c>
    </row>
    <row r="44" spans="1:11" x14ac:dyDescent="0.3">
      <c r="A44" s="175">
        <v>42</v>
      </c>
      <c r="B44" s="4" t="s">
        <v>140</v>
      </c>
      <c r="C44" s="175">
        <v>1102</v>
      </c>
      <c r="D44" t="s">
        <v>273</v>
      </c>
      <c r="E44" s="33">
        <v>43600</v>
      </c>
      <c r="F44" s="33">
        <v>21800</v>
      </c>
      <c r="G44" s="176">
        <f t="shared" si="1"/>
        <v>65400</v>
      </c>
      <c r="H44" s="176">
        <f t="shared" si="2"/>
        <v>26202</v>
      </c>
      <c r="I44" s="176">
        <v>104808</v>
      </c>
      <c r="J44" s="176">
        <v>104808</v>
      </c>
      <c r="K44" s="176">
        <f t="shared" si="3"/>
        <v>0</v>
      </c>
    </row>
    <row r="45" spans="1:11" x14ac:dyDescent="0.3">
      <c r="A45" s="175">
        <v>43</v>
      </c>
      <c r="B45" s="4" t="s">
        <v>140</v>
      </c>
      <c r="C45" s="175">
        <v>1103</v>
      </c>
      <c r="D45" t="s">
        <v>173</v>
      </c>
      <c r="E45" s="33">
        <v>43600</v>
      </c>
      <c r="F45" s="33">
        <v>21800</v>
      </c>
      <c r="G45" s="176">
        <f t="shared" si="1"/>
        <v>65400</v>
      </c>
      <c r="H45" s="176">
        <f t="shared" si="2"/>
        <v>26202</v>
      </c>
      <c r="I45" s="176">
        <v>104808</v>
      </c>
      <c r="J45" s="176">
        <v>104808</v>
      </c>
      <c r="K45" s="176">
        <f t="shared" si="3"/>
        <v>0</v>
      </c>
    </row>
    <row r="46" spans="1:11" x14ac:dyDescent="0.3">
      <c r="A46" s="175">
        <v>44</v>
      </c>
      <c r="B46" s="4" t="s">
        <v>140</v>
      </c>
      <c r="C46" s="175">
        <v>1104</v>
      </c>
      <c r="D46" t="s">
        <v>172</v>
      </c>
      <c r="E46" s="33">
        <v>54616</v>
      </c>
      <c r="F46" s="33">
        <v>27308</v>
      </c>
      <c r="G46" s="176">
        <f t="shared" si="1"/>
        <v>81924</v>
      </c>
      <c r="H46" s="176">
        <f t="shared" si="2"/>
        <v>32823</v>
      </c>
      <c r="I46" s="176">
        <v>131292</v>
      </c>
      <c r="J46" s="176">
        <v>131292</v>
      </c>
      <c r="K46" s="176">
        <f t="shared" si="3"/>
        <v>0</v>
      </c>
    </row>
    <row r="47" spans="1:11" x14ac:dyDescent="0.3">
      <c r="A47" s="175">
        <v>45</v>
      </c>
      <c r="B47" s="4" t="s">
        <v>140</v>
      </c>
      <c r="C47" s="175">
        <v>1201</v>
      </c>
      <c r="D47" t="s">
        <v>171</v>
      </c>
      <c r="E47" s="33">
        <v>43600</v>
      </c>
      <c r="F47" s="33">
        <v>21800</v>
      </c>
      <c r="G47" s="176">
        <f t="shared" si="1"/>
        <v>65400</v>
      </c>
      <c r="H47" s="176">
        <f t="shared" si="2"/>
        <v>26202</v>
      </c>
      <c r="I47" s="176">
        <v>104808</v>
      </c>
      <c r="J47" s="176">
        <v>78606</v>
      </c>
      <c r="K47" s="176">
        <f t="shared" si="3"/>
        <v>26202</v>
      </c>
    </row>
    <row r="48" spans="1:11" x14ac:dyDescent="0.3">
      <c r="A48" s="175">
        <v>46</v>
      </c>
      <c r="B48" s="4" t="s">
        <v>140</v>
      </c>
      <c r="C48" s="175">
        <v>1202</v>
      </c>
      <c r="D48" t="s">
        <v>170</v>
      </c>
      <c r="E48" s="33">
        <v>43600</v>
      </c>
      <c r="F48" s="33">
        <v>21800</v>
      </c>
      <c r="G48" s="176">
        <f t="shared" si="1"/>
        <v>65400</v>
      </c>
      <c r="H48" s="176">
        <f t="shared" si="2"/>
        <v>26202</v>
      </c>
      <c r="I48" s="176">
        <v>104808</v>
      </c>
      <c r="J48" s="176">
        <v>104808</v>
      </c>
      <c r="K48" s="176">
        <f t="shared" si="3"/>
        <v>0</v>
      </c>
    </row>
    <row r="49" spans="1:11" x14ac:dyDescent="0.3">
      <c r="A49" s="175">
        <v>47</v>
      </c>
      <c r="B49" s="4" t="s">
        <v>140</v>
      </c>
      <c r="C49" s="175">
        <v>1203</v>
      </c>
      <c r="D49" t="s">
        <v>118</v>
      </c>
      <c r="E49" s="33">
        <v>43600</v>
      </c>
      <c r="F49" s="33">
        <v>21800</v>
      </c>
      <c r="G49" s="176">
        <f t="shared" si="1"/>
        <v>65400</v>
      </c>
      <c r="H49" s="176">
        <f t="shared" si="2"/>
        <v>26202</v>
      </c>
      <c r="I49" s="176">
        <v>104808</v>
      </c>
      <c r="J49" s="176">
        <v>104808</v>
      </c>
      <c r="K49" s="176">
        <f t="shared" si="3"/>
        <v>0</v>
      </c>
    </row>
    <row r="50" spans="1:11" x14ac:dyDescent="0.3">
      <c r="A50" s="175">
        <v>48</v>
      </c>
      <c r="B50" s="4" t="s">
        <v>140</v>
      </c>
      <c r="C50" s="175">
        <v>1204</v>
      </c>
      <c r="D50" t="s">
        <v>169</v>
      </c>
      <c r="E50" s="33">
        <v>54616</v>
      </c>
      <c r="F50" s="33">
        <v>27308</v>
      </c>
      <c r="G50" s="176">
        <f t="shared" si="1"/>
        <v>81924</v>
      </c>
      <c r="H50" s="176">
        <f t="shared" si="2"/>
        <v>32823</v>
      </c>
      <c r="I50" s="176">
        <v>131292</v>
      </c>
      <c r="J50" s="176">
        <v>131292</v>
      </c>
      <c r="K50" s="176">
        <f t="shared" si="3"/>
        <v>0</v>
      </c>
    </row>
    <row r="51" spans="1:11" x14ac:dyDescent="0.3">
      <c r="A51" s="175">
        <v>49</v>
      </c>
      <c r="B51" s="4" t="s">
        <v>140</v>
      </c>
      <c r="C51" s="175">
        <v>1301</v>
      </c>
      <c r="D51" t="s">
        <v>122</v>
      </c>
      <c r="E51" s="33">
        <v>43600</v>
      </c>
      <c r="F51" s="33">
        <v>21800</v>
      </c>
      <c r="G51" s="176">
        <f t="shared" si="1"/>
        <v>65400</v>
      </c>
      <c r="H51" s="176">
        <f t="shared" si="2"/>
        <v>26202</v>
      </c>
      <c r="I51" s="176">
        <v>104808</v>
      </c>
      <c r="J51" s="176">
        <v>104808</v>
      </c>
      <c r="K51" s="176">
        <f t="shared" si="3"/>
        <v>0</v>
      </c>
    </row>
    <row r="52" spans="1:11" x14ac:dyDescent="0.3">
      <c r="A52" s="175">
        <v>50</v>
      </c>
      <c r="B52" s="4" t="s">
        <v>140</v>
      </c>
      <c r="C52" s="175">
        <v>1302</v>
      </c>
      <c r="D52" t="s">
        <v>168</v>
      </c>
      <c r="E52" s="33">
        <v>43600</v>
      </c>
      <c r="F52" s="33">
        <v>21800</v>
      </c>
      <c r="G52" s="176">
        <f t="shared" si="1"/>
        <v>65400</v>
      </c>
      <c r="H52" s="176">
        <f t="shared" si="2"/>
        <v>26202</v>
      </c>
      <c r="I52" s="176">
        <v>104808</v>
      </c>
      <c r="J52" s="176">
        <v>104808</v>
      </c>
      <c r="K52" s="176">
        <f t="shared" si="3"/>
        <v>0</v>
      </c>
    </row>
    <row r="53" spans="1:11" x14ac:dyDescent="0.3">
      <c r="A53" s="175">
        <v>51</v>
      </c>
      <c r="B53" s="4" t="s">
        <v>140</v>
      </c>
      <c r="C53" s="175">
        <v>1303</v>
      </c>
      <c r="D53" t="s">
        <v>167</v>
      </c>
      <c r="E53" s="33">
        <v>43600</v>
      </c>
      <c r="F53" s="33">
        <v>21800</v>
      </c>
      <c r="G53" s="176">
        <f t="shared" si="1"/>
        <v>65400</v>
      </c>
      <c r="H53" s="176">
        <f t="shared" si="2"/>
        <v>26202</v>
      </c>
      <c r="I53" s="176">
        <v>104808</v>
      </c>
      <c r="J53" s="176">
        <v>104808</v>
      </c>
      <c r="K53" s="176">
        <f t="shared" si="3"/>
        <v>0</v>
      </c>
    </row>
    <row r="54" spans="1:11" x14ac:dyDescent="0.3">
      <c r="A54" s="175">
        <v>52</v>
      </c>
      <c r="B54" s="4" t="s">
        <v>140</v>
      </c>
      <c r="C54" s="175">
        <v>1304</v>
      </c>
      <c r="D54" t="s">
        <v>166</v>
      </c>
      <c r="E54" s="33">
        <v>54616</v>
      </c>
      <c r="F54" s="33">
        <v>27308</v>
      </c>
      <c r="G54" s="176">
        <f t="shared" si="1"/>
        <v>81924</v>
      </c>
      <c r="H54" s="176">
        <f t="shared" si="2"/>
        <v>32823</v>
      </c>
      <c r="I54" s="176">
        <v>131292</v>
      </c>
      <c r="J54" s="176">
        <v>131292</v>
      </c>
      <c r="K54" s="176">
        <f t="shared" si="3"/>
        <v>0</v>
      </c>
    </row>
    <row r="55" spans="1:11" x14ac:dyDescent="0.3">
      <c r="A55" s="175">
        <v>53</v>
      </c>
      <c r="B55" s="4" t="s">
        <v>140</v>
      </c>
      <c r="C55" s="175">
        <v>1401</v>
      </c>
      <c r="D55" t="s">
        <v>165</v>
      </c>
      <c r="E55" s="33">
        <v>44184</v>
      </c>
      <c r="F55" s="33">
        <v>22092</v>
      </c>
      <c r="G55" s="176">
        <f t="shared" si="1"/>
        <v>66276</v>
      </c>
      <c r="H55" s="176">
        <f t="shared" si="2"/>
        <v>26555</v>
      </c>
      <c r="I55" s="176">
        <f>(212436/2)+2</f>
        <v>106220</v>
      </c>
      <c r="J55" s="176">
        <v>26554</v>
      </c>
      <c r="K55" s="176">
        <f t="shared" si="3"/>
        <v>79666</v>
      </c>
    </row>
    <row r="56" spans="1:11" x14ac:dyDescent="0.3">
      <c r="A56" s="175">
        <v>54</v>
      </c>
      <c r="B56" s="4" t="s">
        <v>140</v>
      </c>
      <c r="C56" s="175">
        <v>1402</v>
      </c>
      <c r="D56" t="s">
        <v>39</v>
      </c>
      <c r="E56" s="33">
        <v>44184</v>
      </c>
      <c r="F56" s="33">
        <v>22092</v>
      </c>
      <c r="G56" s="176">
        <f t="shared" si="1"/>
        <v>66276</v>
      </c>
      <c r="H56" s="176">
        <f t="shared" si="2"/>
        <v>26555</v>
      </c>
      <c r="I56" s="176">
        <f>(212436/2)+2</f>
        <v>106220</v>
      </c>
      <c r="J56" s="176">
        <v>26555</v>
      </c>
      <c r="K56" s="176">
        <f t="shared" si="3"/>
        <v>79665</v>
      </c>
    </row>
    <row r="57" spans="1:11" x14ac:dyDescent="0.3">
      <c r="A57" s="175">
        <v>55</v>
      </c>
      <c r="B57" s="4" t="s">
        <v>140</v>
      </c>
      <c r="C57" s="175">
        <v>1403</v>
      </c>
      <c r="D57" t="s">
        <v>367</v>
      </c>
      <c r="E57" s="33">
        <v>43600</v>
      </c>
      <c r="F57" s="33">
        <v>21800</v>
      </c>
      <c r="G57" s="176">
        <f t="shared" si="1"/>
        <v>65400</v>
      </c>
      <c r="H57" s="176">
        <f t="shared" si="2"/>
        <v>26202</v>
      </c>
      <c r="I57" s="176">
        <v>104808</v>
      </c>
      <c r="J57" s="176">
        <v>104808</v>
      </c>
      <c r="K57" s="176">
        <f t="shared" si="3"/>
        <v>0</v>
      </c>
    </row>
    <row r="58" spans="1:11" x14ac:dyDescent="0.3">
      <c r="A58" s="175">
        <v>56</v>
      </c>
      <c r="B58" s="4" t="s">
        <v>140</v>
      </c>
      <c r="C58" s="175">
        <v>1404</v>
      </c>
      <c r="D58" t="s">
        <v>164</v>
      </c>
      <c r="E58" s="33">
        <v>54616</v>
      </c>
      <c r="F58" s="33">
        <v>27308</v>
      </c>
      <c r="G58" s="176">
        <f t="shared" si="1"/>
        <v>81924</v>
      </c>
      <c r="H58" s="176">
        <f t="shared" si="2"/>
        <v>32823</v>
      </c>
      <c r="I58" s="176">
        <v>131292</v>
      </c>
      <c r="J58" s="176">
        <v>131292</v>
      </c>
      <c r="K58" s="176">
        <f t="shared" si="3"/>
        <v>0</v>
      </c>
    </row>
    <row r="59" spans="1:11" x14ac:dyDescent="0.3">
      <c r="A59" s="175">
        <v>57</v>
      </c>
      <c r="B59" s="4" t="s">
        <v>140</v>
      </c>
      <c r="C59" s="175">
        <v>1501</v>
      </c>
      <c r="D59" t="s">
        <v>163</v>
      </c>
      <c r="E59" s="33">
        <v>43600</v>
      </c>
      <c r="F59" s="33">
        <v>21800</v>
      </c>
      <c r="G59" s="176">
        <f t="shared" si="1"/>
        <v>65400</v>
      </c>
      <c r="H59" s="176">
        <f t="shared" si="2"/>
        <v>26202</v>
      </c>
      <c r="I59" s="176">
        <v>104808</v>
      </c>
      <c r="J59" s="176">
        <v>104808</v>
      </c>
      <c r="K59" s="176">
        <f t="shared" si="3"/>
        <v>0</v>
      </c>
    </row>
    <row r="60" spans="1:11" x14ac:dyDescent="0.3">
      <c r="A60" s="175">
        <v>58</v>
      </c>
      <c r="B60" s="4" t="s">
        <v>140</v>
      </c>
      <c r="C60" s="175">
        <v>1502</v>
      </c>
      <c r="D60" t="s">
        <v>162</v>
      </c>
      <c r="E60" s="33">
        <v>43600</v>
      </c>
      <c r="F60" s="33">
        <v>21800</v>
      </c>
      <c r="G60" s="176">
        <f t="shared" si="1"/>
        <v>65400</v>
      </c>
      <c r="H60" s="176">
        <f t="shared" si="2"/>
        <v>26202</v>
      </c>
      <c r="I60" s="176">
        <v>104808</v>
      </c>
      <c r="J60" s="176">
        <v>104808</v>
      </c>
      <c r="K60" s="176">
        <f t="shared" si="3"/>
        <v>0</v>
      </c>
    </row>
    <row r="61" spans="1:11" x14ac:dyDescent="0.3">
      <c r="A61" s="175">
        <v>59</v>
      </c>
      <c r="B61" s="4" t="s">
        <v>140</v>
      </c>
      <c r="C61" s="175">
        <v>1503</v>
      </c>
      <c r="D61" t="s">
        <v>368</v>
      </c>
      <c r="E61" s="33">
        <v>43600</v>
      </c>
      <c r="F61" s="33">
        <v>21800</v>
      </c>
      <c r="G61" s="176">
        <f t="shared" si="1"/>
        <v>65400</v>
      </c>
      <c r="H61" s="176">
        <f t="shared" si="2"/>
        <v>26202</v>
      </c>
      <c r="I61" s="176">
        <v>104808</v>
      </c>
      <c r="J61" s="176">
        <v>104808</v>
      </c>
      <c r="K61" s="176">
        <f t="shared" si="3"/>
        <v>0</v>
      </c>
    </row>
    <row r="62" spans="1:11" x14ac:dyDescent="0.3">
      <c r="A62" s="175">
        <v>60</v>
      </c>
      <c r="B62" s="4" t="s">
        <v>140</v>
      </c>
      <c r="C62" s="175">
        <v>1601</v>
      </c>
      <c r="D62" t="s">
        <v>161</v>
      </c>
      <c r="E62" s="33">
        <v>43600</v>
      </c>
      <c r="F62" s="33">
        <v>21800</v>
      </c>
      <c r="G62" s="176">
        <f t="shared" si="1"/>
        <v>65400</v>
      </c>
      <c r="H62" s="176">
        <f t="shared" si="2"/>
        <v>26202</v>
      </c>
      <c r="I62" s="176">
        <v>104808</v>
      </c>
      <c r="J62" s="176">
        <v>104808</v>
      </c>
      <c r="K62" s="176">
        <f t="shared" si="3"/>
        <v>0</v>
      </c>
    </row>
    <row r="63" spans="1:11" x14ac:dyDescent="0.3">
      <c r="A63" s="175">
        <v>61</v>
      </c>
      <c r="B63" s="4" t="s">
        <v>140</v>
      </c>
      <c r="C63" s="175">
        <v>1602</v>
      </c>
      <c r="D63" t="s">
        <v>41</v>
      </c>
      <c r="E63" s="33">
        <v>43600</v>
      </c>
      <c r="F63" s="33">
        <v>21800</v>
      </c>
      <c r="G63" s="176">
        <f t="shared" si="1"/>
        <v>65400</v>
      </c>
      <c r="H63" s="176">
        <f t="shared" si="2"/>
        <v>26202</v>
      </c>
      <c r="I63" s="176">
        <v>104808</v>
      </c>
      <c r="J63" s="176">
        <v>104808</v>
      </c>
      <c r="K63" s="176">
        <f t="shared" si="3"/>
        <v>0</v>
      </c>
    </row>
    <row r="64" spans="1:11" x14ac:dyDescent="0.3">
      <c r="A64" s="175">
        <v>62</v>
      </c>
      <c r="B64" s="4" t="s">
        <v>140</v>
      </c>
      <c r="C64" s="175">
        <v>1603</v>
      </c>
      <c r="D64" t="s">
        <v>160</v>
      </c>
      <c r="E64" s="33">
        <v>43600</v>
      </c>
      <c r="F64" s="33">
        <v>21800</v>
      </c>
      <c r="G64" s="176">
        <f t="shared" si="1"/>
        <v>65400</v>
      </c>
      <c r="H64" s="176">
        <f t="shared" si="2"/>
        <v>26202</v>
      </c>
      <c r="I64" s="176">
        <v>104808</v>
      </c>
      <c r="J64" s="176">
        <v>104808</v>
      </c>
      <c r="K64" s="176">
        <f t="shared" si="3"/>
        <v>0</v>
      </c>
    </row>
    <row r="65" spans="1:11" x14ac:dyDescent="0.3">
      <c r="A65" s="175">
        <v>63</v>
      </c>
      <c r="B65" s="4" t="s">
        <v>140</v>
      </c>
      <c r="C65" s="175">
        <v>1604</v>
      </c>
      <c r="D65" t="s">
        <v>159</v>
      </c>
      <c r="E65" s="33">
        <v>54616</v>
      </c>
      <c r="F65" s="33">
        <v>27308</v>
      </c>
      <c r="G65" s="176">
        <f t="shared" si="1"/>
        <v>81924</v>
      </c>
      <c r="H65" s="176">
        <f t="shared" si="2"/>
        <v>32823</v>
      </c>
      <c r="I65" s="176">
        <v>131292</v>
      </c>
      <c r="J65" s="176">
        <v>131292</v>
      </c>
      <c r="K65" s="176">
        <f t="shared" si="3"/>
        <v>0</v>
      </c>
    </row>
    <row r="66" spans="1:11" x14ac:dyDescent="0.3">
      <c r="A66" s="175">
        <v>64</v>
      </c>
      <c r="B66" s="4" t="s">
        <v>140</v>
      </c>
      <c r="C66" s="175">
        <v>1701</v>
      </c>
      <c r="D66" t="s">
        <v>42</v>
      </c>
      <c r="E66" s="33">
        <v>43600</v>
      </c>
      <c r="F66" s="33">
        <v>21800</v>
      </c>
      <c r="G66" s="176">
        <f t="shared" si="1"/>
        <v>65400</v>
      </c>
      <c r="H66" s="176">
        <f t="shared" si="2"/>
        <v>26202</v>
      </c>
      <c r="I66" s="176">
        <v>104808</v>
      </c>
      <c r="J66" s="176">
        <v>0</v>
      </c>
      <c r="K66" s="176">
        <f t="shared" si="3"/>
        <v>104808</v>
      </c>
    </row>
    <row r="67" spans="1:11" x14ac:dyDescent="0.3">
      <c r="A67" s="175">
        <v>65</v>
      </c>
      <c r="B67" s="4" t="s">
        <v>140</v>
      </c>
      <c r="C67" s="175">
        <v>1702</v>
      </c>
      <c r="D67" t="s">
        <v>158</v>
      </c>
      <c r="E67" s="33">
        <v>43600</v>
      </c>
      <c r="F67" s="33">
        <v>21800</v>
      </c>
      <c r="G67" s="176">
        <f t="shared" si="1"/>
        <v>65400</v>
      </c>
      <c r="H67" s="176">
        <f t="shared" si="2"/>
        <v>26202</v>
      </c>
      <c r="I67" s="176">
        <v>104808</v>
      </c>
      <c r="J67" s="176">
        <v>78402</v>
      </c>
      <c r="K67" s="176">
        <f t="shared" ref="K67:K93" si="4">I67-J67</f>
        <v>26406</v>
      </c>
    </row>
    <row r="68" spans="1:11" x14ac:dyDescent="0.3">
      <c r="A68" s="175">
        <v>66</v>
      </c>
      <c r="B68" s="4" t="s">
        <v>140</v>
      </c>
      <c r="C68" s="175">
        <v>1703</v>
      </c>
      <c r="D68" t="s">
        <v>272</v>
      </c>
      <c r="E68" s="33">
        <v>43600</v>
      </c>
      <c r="F68" s="33">
        <v>21800</v>
      </c>
      <c r="G68" s="176">
        <f t="shared" ref="G68:G93" si="5">E68+F68</f>
        <v>65400</v>
      </c>
      <c r="H68" s="176">
        <f t="shared" ref="H68:H93" si="6">I68/4</f>
        <v>26202</v>
      </c>
      <c r="I68" s="176">
        <v>104808</v>
      </c>
      <c r="J68" s="176">
        <v>0</v>
      </c>
      <c r="K68" s="176">
        <f t="shared" si="4"/>
        <v>104808</v>
      </c>
    </row>
    <row r="69" spans="1:11" x14ac:dyDescent="0.3">
      <c r="A69" s="175">
        <v>67</v>
      </c>
      <c r="B69" s="4" t="s">
        <v>140</v>
      </c>
      <c r="C69" s="175">
        <v>1704</v>
      </c>
      <c r="D69" t="s">
        <v>157</v>
      </c>
      <c r="E69" s="33">
        <v>54616</v>
      </c>
      <c r="F69" s="33">
        <v>27308</v>
      </c>
      <c r="G69" s="176">
        <f t="shared" si="5"/>
        <v>81924</v>
      </c>
      <c r="H69" s="176">
        <f t="shared" si="6"/>
        <v>32823</v>
      </c>
      <c r="I69" s="176">
        <v>131292</v>
      </c>
      <c r="J69" s="176">
        <v>130469</v>
      </c>
      <c r="K69" s="176">
        <f t="shared" si="4"/>
        <v>823</v>
      </c>
    </row>
    <row r="70" spans="1:11" x14ac:dyDescent="0.3">
      <c r="A70" s="175">
        <v>68</v>
      </c>
      <c r="B70" s="4" t="s">
        <v>140</v>
      </c>
      <c r="C70" s="175">
        <v>1801</v>
      </c>
      <c r="D70" t="s">
        <v>137</v>
      </c>
      <c r="E70" s="33">
        <v>43600</v>
      </c>
      <c r="F70" s="33">
        <v>21800</v>
      </c>
      <c r="G70" s="176">
        <f t="shared" si="5"/>
        <v>65400</v>
      </c>
      <c r="H70" s="176">
        <f t="shared" si="6"/>
        <v>26202</v>
      </c>
      <c r="I70" s="176">
        <f>209616/2</f>
        <v>104808</v>
      </c>
      <c r="J70" s="176">
        <v>52404</v>
      </c>
      <c r="K70" s="176">
        <f t="shared" si="4"/>
        <v>52404</v>
      </c>
    </row>
    <row r="71" spans="1:11" x14ac:dyDescent="0.3">
      <c r="A71" s="175">
        <v>69</v>
      </c>
      <c r="B71" s="4" t="s">
        <v>140</v>
      </c>
      <c r="C71" s="175">
        <v>1802</v>
      </c>
      <c r="D71" t="s">
        <v>156</v>
      </c>
      <c r="E71" s="33">
        <v>43600</v>
      </c>
      <c r="F71" s="33">
        <v>21800</v>
      </c>
      <c r="G71" s="176">
        <f t="shared" si="5"/>
        <v>65400</v>
      </c>
      <c r="H71" s="176">
        <f t="shared" si="6"/>
        <v>26202</v>
      </c>
      <c r="I71" s="176">
        <f>209616/2</f>
        <v>104808</v>
      </c>
      <c r="J71" s="176">
        <v>52404</v>
      </c>
      <c r="K71" s="176">
        <f t="shared" si="4"/>
        <v>52404</v>
      </c>
    </row>
    <row r="72" spans="1:11" x14ac:dyDescent="0.3">
      <c r="A72" s="175">
        <v>70</v>
      </c>
      <c r="B72" s="4" t="s">
        <v>140</v>
      </c>
      <c r="C72" s="175">
        <v>1803</v>
      </c>
      <c r="D72" t="s">
        <v>155</v>
      </c>
      <c r="E72" s="33">
        <v>43600</v>
      </c>
      <c r="F72" s="33">
        <v>21800</v>
      </c>
      <c r="G72" s="176">
        <f t="shared" si="5"/>
        <v>65400</v>
      </c>
      <c r="H72" s="176">
        <f t="shared" si="6"/>
        <v>26202</v>
      </c>
      <c r="I72" s="176">
        <v>104808</v>
      </c>
      <c r="J72" s="176">
        <v>104808</v>
      </c>
      <c r="K72" s="176">
        <f t="shared" si="4"/>
        <v>0</v>
      </c>
    </row>
    <row r="73" spans="1:11" x14ac:dyDescent="0.3">
      <c r="A73" s="175">
        <v>71</v>
      </c>
      <c r="B73" s="4" t="s">
        <v>140</v>
      </c>
      <c r="C73" s="175">
        <v>1804</v>
      </c>
      <c r="D73" t="s">
        <v>155</v>
      </c>
      <c r="E73" s="33">
        <v>54616</v>
      </c>
      <c r="F73" s="33">
        <v>27308</v>
      </c>
      <c r="G73" s="176">
        <f t="shared" si="5"/>
        <v>81924</v>
      </c>
      <c r="H73" s="176">
        <f t="shared" si="6"/>
        <v>32823</v>
      </c>
      <c r="I73" s="176">
        <v>131292</v>
      </c>
      <c r="J73" s="176">
        <v>131292</v>
      </c>
      <c r="K73" s="176">
        <f t="shared" si="4"/>
        <v>0</v>
      </c>
    </row>
    <row r="74" spans="1:11" x14ac:dyDescent="0.3">
      <c r="A74" s="175">
        <v>72</v>
      </c>
      <c r="B74" s="4" t="s">
        <v>140</v>
      </c>
      <c r="C74" s="175">
        <v>1901</v>
      </c>
      <c r="D74" t="s">
        <v>154</v>
      </c>
      <c r="E74" s="33">
        <v>43600</v>
      </c>
      <c r="F74" s="33">
        <v>21800</v>
      </c>
      <c r="G74" s="176">
        <f t="shared" si="5"/>
        <v>65400</v>
      </c>
      <c r="H74" s="176">
        <f t="shared" si="6"/>
        <v>26202</v>
      </c>
      <c r="I74" s="176">
        <v>104808</v>
      </c>
      <c r="J74" s="176">
        <v>52404</v>
      </c>
      <c r="K74" s="176">
        <f t="shared" si="4"/>
        <v>52404</v>
      </c>
    </row>
    <row r="75" spans="1:11" x14ac:dyDescent="0.3">
      <c r="A75" s="175">
        <v>73</v>
      </c>
      <c r="B75" s="4" t="s">
        <v>140</v>
      </c>
      <c r="C75" s="175">
        <v>1902</v>
      </c>
      <c r="D75" t="s">
        <v>154</v>
      </c>
      <c r="E75" s="33">
        <v>43600</v>
      </c>
      <c r="F75" s="33">
        <v>21800</v>
      </c>
      <c r="G75" s="176">
        <f t="shared" si="5"/>
        <v>65400</v>
      </c>
      <c r="H75" s="176">
        <f t="shared" si="6"/>
        <v>26202</v>
      </c>
      <c r="I75" s="176">
        <v>104808</v>
      </c>
      <c r="J75" s="176">
        <v>52404</v>
      </c>
      <c r="K75" s="176">
        <f t="shared" si="4"/>
        <v>52404</v>
      </c>
    </row>
    <row r="76" spans="1:11" x14ac:dyDescent="0.3">
      <c r="A76" s="175">
        <v>74</v>
      </c>
      <c r="B76" s="4" t="s">
        <v>140</v>
      </c>
      <c r="C76" s="175">
        <v>1903</v>
      </c>
      <c r="D76" t="s">
        <v>153</v>
      </c>
      <c r="E76" s="33">
        <v>43600</v>
      </c>
      <c r="F76" s="33">
        <v>21800</v>
      </c>
      <c r="G76" s="176">
        <f t="shared" si="5"/>
        <v>65400</v>
      </c>
      <c r="H76" s="176">
        <f t="shared" si="6"/>
        <v>26202</v>
      </c>
      <c r="I76" s="176">
        <v>104808</v>
      </c>
      <c r="J76" s="176">
        <v>104808</v>
      </c>
      <c r="K76" s="176">
        <f t="shared" si="4"/>
        <v>0</v>
      </c>
    </row>
    <row r="77" spans="1:11" x14ac:dyDescent="0.3">
      <c r="A77" s="175">
        <v>75</v>
      </c>
      <c r="B77" s="4" t="s">
        <v>140</v>
      </c>
      <c r="C77" s="175">
        <v>1904</v>
      </c>
      <c r="D77" t="s">
        <v>152</v>
      </c>
      <c r="E77" s="33">
        <v>54616</v>
      </c>
      <c r="F77" s="33">
        <v>27308</v>
      </c>
      <c r="G77" s="176">
        <f t="shared" si="5"/>
        <v>81924</v>
      </c>
      <c r="H77" s="176">
        <f t="shared" si="6"/>
        <v>32823</v>
      </c>
      <c r="I77" s="176">
        <v>131292</v>
      </c>
      <c r="J77" s="176">
        <v>131292</v>
      </c>
      <c r="K77" s="176">
        <f t="shared" si="4"/>
        <v>0</v>
      </c>
    </row>
    <row r="78" spans="1:11" x14ac:dyDescent="0.3">
      <c r="A78" s="175">
        <v>76</v>
      </c>
      <c r="B78" s="4" t="s">
        <v>140</v>
      </c>
      <c r="C78" s="175">
        <v>2001</v>
      </c>
      <c r="D78" t="s">
        <v>151</v>
      </c>
      <c r="E78" s="33">
        <v>43600</v>
      </c>
      <c r="F78" s="33">
        <v>21800</v>
      </c>
      <c r="G78" s="176">
        <f t="shared" si="5"/>
        <v>65400</v>
      </c>
      <c r="H78" s="176">
        <f t="shared" si="6"/>
        <v>26202</v>
      </c>
      <c r="I78" s="176">
        <v>104808</v>
      </c>
      <c r="J78" s="176">
        <v>104808</v>
      </c>
      <c r="K78" s="176">
        <f t="shared" si="4"/>
        <v>0</v>
      </c>
    </row>
    <row r="79" spans="1:11" x14ac:dyDescent="0.3">
      <c r="A79" s="175">
        <v>77</v>
      </c>
      <c r="B79" s="4" t="s">
        <v>140</v>
      </c>
      <c r="C79" s="175">
        <v>2002</v>
      </c>
      <c r="D79" t="s">
        <v>150</v>
      </c>
      <c r="E79" s="33">
        <v>43600</v>
      </c>
      <c r="F79" s="33">
        <v>21800</v>
      </c>
      <c r="G79" s="176">
        <f t="shared" si="5"/>
        <v>65400</v>
      </c>
      <c r="H79" s="176">
        <f t="shared" si="6"/>
        <v>26202</v>
      </c>
      <c r="I79" s="176">
        <v>104808</v>
      </c>
      <c r="J79" s="176">
        <v>104808</v>
      </c>
      <c r="K79" s="176">
        <f t="shared" si="4"/>
        <v>0</v>
      </c>
    </row>
    <row r="80" spans="1:11" x14ac:dyDescent="0.3">
      <c r="A80" s="175">
        <v>78</v>
      </c>
      <c r="B80" s="4" t="s">
        <v>140</v>
      </c>
      <c r="C80" s="175">
        <v>2003</v>
      </c>
      <c r="D80" t="s">
        <v>119</v>
      </c>
      <c r="E80" s="33">
        <v>43600</v>
      </c>
      <c r="F80" s="33">
        <v>21800</v>
      </c>
      <c r="G80" s="176">
        <f t="shared" si="5"/>
        <v>65400</v>
      </c>
      <c r="H80" s="176">
        <f t="shared" si="6"/>
        <v>26202</v>
      </c>
      <c r="I80" s="176">
        <v>104808</v>
      </c>
      <c r="J80" s="176">
        <v>104808</v>
      </c>
      <c r="K80" s="176">
        <f t="shared" si="4"/>
        <v>0</v>
      </c>
    </row>
    <row r="81" spans="1:12" x14ac:dyDescent="0.3">
      <c r="A81" s="175">
        <v>79</v>
      </c>
      <c r="B81" s="4" t="s">
        <v>140</v>
      </c>
      <c r="C81" s="175">
        <v>2004</v>
      </c>
      <c r="D81" t="s">
        <v>369</v>
      </c>
      <c r="E81" s="33">
        <v>54616</v>
      </c>
      <c r="F81" s="33">
        <v>27308</v>
      </c>
      <c r="G81" s="176">
        <f t="shared" si="5"/>
        <v>81924</v>
      </c>
      <c r="H81" s="176">
        <f t="shared" si="6"/>
        <v>32823</v>
      </c>
      <c r="I81" s="176">
        <v>131292</v>
      </c>
      <c r="J81" s="176">
        <v>131292</v>
      </c>
      <c r="K81" s="176">
        <f t="shared" si="4"/>
        <v>0</v>
      </c>
    </row>
    <row r="82" spans="1:12" x14ac:dyDescent="0.3">
      <c r="A82" s="175">
        <v>80</v>
      </c>
      <c r="B82" s="4" t="s">
        <v>140</v>
      </c>
      <c r="C82" s="175">
        <v>2101</v>
      </c>
      <c r="D82" t="s">
        <v>149</v>
      </c>
      <c r="E82" s="33">
        <v>43600</v>
      </c>
      <c r="F82" s="33">
        <v>21800</v>
      </c>
      <c r="G82" s="176">
        <f t="shared" si="5"/>
        <v>65400</v>
      </c>
      <c r="H82" s="176">
        <f t="shared" si="6"/>
        <v>26202</v>
      </c>
      <c r="I82" s="176">
        <v>104808</v>
      </c>
      <c r="J82" s="176">
        <v>104808</v>
      </c>
      <c r="K82" s="176">
        <f t="shared" si="4"/>
        <v>0</v>
      </c>
    </row>
    <row r="83" spans="1:12" x14ac:dyDescent="0.3">
      <c r="A83" s="175">
        <v>81</v>
      </c>
      <c r="B83" s="4" t="s">
        <v>140</v>
      </c>
      <c r="C83" s="175">
        <v>2102</v>
      </c>
      <c r="D83" t="s">
        <v>148</v>
      </c>
      <c r="E83" s="33">
        <v>43600</v>
      </c>
      <c r="F83" s="33">
        <v>21800</v>
      </c>
      <c r="G83" s="176">
        <f t="shared" si="5"/>
        <v>65400</v>
      </c>
      <c r="H83" s="176">
        <f t="shared" si="6"/>
        <v>26202</v>
      </c>
      <c r="I83" s="176">
        <v>104808</v>
      </c>
      <c r="J83" s="176">
        <v>52404</v>
      </c>
      <c r="K83" s="176">
        <f t="shared" si="4"/>
        <v>52404</v>
      </c>
    </row>
    <row r="84" spans="1:12" x14ac:dyDescent="0.3">
      <c r="A84" s="175">
        <v>82</v>
      </c>
      <c r="B84" s="4" t="s">
        <v>140</v>
      </c>
      <c r="C84" s="175">
        <v>2103</v>
      </c>
      <c r="D84" t="s">
        <v>147</v>
      </c>
      <c r="E84" s="33">
        <v>43600</v>
      </c>
      <c r="F84" s="33">
        <v>21800</v>
      </c>
      <c r="G84" s="176">
        <f t="shared" si="5"/>
        <v>65400</v>
      </c>
      <c r="H84" s="176">
        <f t="shared" si="6"/>
        <v>26202</v>
      </c>
      <c r="I84" s="176">
        <v>104808</v>
      </c>
      <c r="J84" s="176">
        <v>104808</v>
      </c>
      <c r="K84" s="176">
        <f t="shared" si="4"/>
        <v>0</v>
      </c>
    </row>
    <row r="85" spans="1:12" x14ac:dyDescent="0.3">
      <c r="A85" s="175">
        <v>83</v>
      </c>
      <c r="B85" s="4" t="s">
        <v>140</v>
      </c>
      <c r="C85" s="175">
        <v>2104</v>
      </c>
      <c r="D85" t="s">
        <v>146</v>
      </c>
      <c r="E85" s="33">
        <v>54616</v>
      </c>
      <c r="F85" s="33">
        <v>27308</v>
      </c>
      <c r="G85" s="176">
        <f t="shared" si="5"/>
        <v>81924</v>
      </c>
      <c r="H85" s="176">
        <f t="shared" si="6"/>
        <v>32823</v>
      </c>
      <c r="I85" s="176">
        <v>131292</v>
      </c>
      <c r="J85" s="176">
        <v>131292</v>
      </c>
      <c r="K85" s="176">
        <f t="shared" si="4"/>
        <v>0</v>
      </c>
    </row>
    <row r="86" spans="1:12" x14ac:dyDescent="0.3">
      <c r="A86" s="175">
        <v>84</v>
      </c>
      <c r="B86" s="4" t="s">
        <v>140</v>
      </c>
      <c r="C86" s="175">
        <v>2201</v>
      </c>
      <c r="D86" t="s">
        <v>145</v>
      </c>
      <c r="E86" s="33">
        <v>43600</v>
      </c>
      <c r="F86" s="33">
        <v>21800</v>
      </c>
      <c r="G86" s="176">
        <f t="shared" si="5"/>
        <v>65400</v>
      </c>
      <c r="H86" s="176">
        <f t="shared" si="6"/>
        <v>26202</v>
      </c>
      <c r="I86" s="176">
        <f>209616/2</f>
        <v>104808</v>
      </c>
      <c r="J86" s="176">
        <v>104808</v>
      </c>
      <c r="K86" s="176">
        <f t="shared" si="4"/>
        <v>0</v>
      </c>
    </row>
    <row r="87" spans="1:12" x14ac:dyDescent="0.3">
      <c r="A87" s="175">
        <v>85</v>
      </c>
      <c r="B87" s="4" t="s">
        <v>140</v>
      </c>
      <c r="C87" s="175">
        <v>2202</v>
      </c>
      <c r="D87" t="s">
        <v>144</v>
      </c>
      <c r="E87" s="33">
        <v>43600</v>
      </c>
      <c r="F87" s="33">
        <v>21800</v>
      </c>
      <c r="G87" s="176">
        <f t="shared" si="5"/>
        <v>65400</v>
      </c>
      <c r="H87" s="176">
        <f t="shared" si="6"/>
        <v>26202</v>
      </c>
      <c r="I87" s="176">
        <f>209616/2</f>
        <v>104808</v>
      </c>
      <c r="J87" s="176">
        <v>104808</v>
      </c>
      <c r="K87" s="176">
        <f t="shared" si="4"/>
        <v>0</v>
      </c>
    </row>
    <row r="88" spans="1:12" x14ac:dyDescent="0.3">
      <c r="A88" s="175">
        <v>86</v>
      </c>
      <c r="B88" s="4" t="s">
        <v>140</v>
      </c>
      <c r="C88" s="175">
        <v>2203</v>
      </c>
      <c r="D88" t="s">
        <v>143</v>
      </c>
      <c r="E88" s="33">
        <v>43600</v>
      </c>
      <c r="F88" s="33">
        <v>21800</v>
      </c>
      <c r="G88" s="176">
        <f t="shared" si="5"/>
        <v>65400</v>
      </c>
      <c r="H88" s="176">
        <f t="shared" si="6"/>
        <v>26202</v>
      </c>
      <c r="I88" s="176">
        <v>104808</v>
      </c>
      <c r="J88" s="176">
        <v>104808</v>
      </c>
      <c r="K88" s="176">
        <f t="shared" si="4"/>
        <v>0</v>
      </c>
    </row>
    <row r="89" spans="1:12" x14ac:dyDescent="0.3">
      <c r="A89" s="175">
        <v>87</v>
      </c>
      <c r="B89" s="4" t="s">
        <v>140</v>
      </c>
      <c r="C89" s="175">
        <v>2204</v>
      </c>
      <c r="D89" t="s">
        <v>142</v>
      </c>
      <c r="E89" s="33">
        <v>54616</v>
      </c>
      <c r="F89" s="33">
        <v>27308</v>
      </c>
      <c r="G89" s="176">
        <f t="shared" si="5"/>
        <v>81924</v>
      </c>
      <c r="H89" s="176">
        <f t="shared" si="6"/>
        <v>32823</v>
      </c>
      <c r="I89" s="176">
        <v>131292</v>
      </c>
      <c r="J89" s="176">
        <v>98469</v>
      </c>
      <c r="K89" s="176">
        <f t="shared" si="4"/>
        <v>32823</v>
      </c>
    </row>
    <row r="90" spans="1:12" x14ac:dyDescent="0.3">
      <c r="A90" s="175">
        <v>88</v>
      </c>
      <c r="B90" s="4" t="s">
        <v>140</v>
      </c>
      <c r="C90" s="175">
        <v>2301</v>
      </c>
      <c r="D90" t="s">
        <v>43</v>
      </c>
      <c r="E90" s="33">
        <v>43600</v>
      </c>
      <c r="F90" s="33">
        <v>21800</v>
      </c>
      <c r="G90" s="176">
        <f t="shared" si="5"/>
        <v>65400</v>
      </c>
      <c r="H90" s="176">
        <f t="shared" si="6"/>
        <v>26202</v>
      </c>
      <c r="I90" s="176">
        <v>104808</v>
      </c>
      <c r="J90" s="176">
        <v>52404</v>
      </c>
      <c r="K90" s="176">
        <f t="shared" si="4"/>
        <v>52404</v>
      </c>
    </row>
    <row r="91" spans="1:12" x14ac:dyDescent="0.3">
      <c r="A91" s="175">
        <v>89</v>
      </c>
      <c r="B91" s="4" t="s">
        <v>140</v>
      </c>
      <c r="C91" s="175">
        <v>2302</v>
      </c>
      <c r="D91" t="s">
        <v>367</v>
      </c>
      <c r="E91" s="33">
        <v>43600</v>
      </c>
      <c r="F91" s="33">
        <v>21800</v>
      </c>
      <c r="G91" s="176">
        <f t="shared" si="5"/>
        <v>65400</v>
      </c>
      <c r="H91" s="176">
        <f t="shared" si="6"/>
        <v>26202</v>
      </c>
      <c r="I91" s="176">
        <v>104808</v>
      </c>
      <c r="J91" s="176">
        <v>104808</v>
      </c>
      <c r="K91" s="176">
        <f t="shared" si="4"/>
        <v>0</v>
      </c>
    </row>
    <row r="92" spans="1:12" x14ac:dyDescent="0.3">
      <c r="A92" s="175">
        <v>90</v>
      </c>
      <c r="B92" s="4" t="s">
        <v>140</v>
      </c>
      <c r="C92" s="175">
        <v>2303</v>
      </c>
      <c r="D92" t="s">
        <v>136</v>
      </c>
      <c r="E92" s="33">
        <v>43600</v>
      </c>
      <c r="F92" s="33">
        <v>21800</v>
      </c>
      <c r="G92" s="176">
        <f t="shared" si="5"/>
        <v>65400</v>
      </c>
      <c r="H92" s="176">
        <f t="shared" si="6"/>
        <v>26202</v>
      </c>
      <c r="I92" s="176">
        <v>104808</v>
      </c>
      <c r="J92" s="176">
        <v>26202</v>
      </c>
      <c r="K92" s="176">
        <f t="shared" si="4"/>
        <v>78606</v>
      </c>
    </row>
    <row r="93" spans="1:12" x14ac:dyDescent="0.3">
      <c r="A93" s="175">
        <v>91</v>
      </c>
      <c r="B93" s="4" t="s">
        <v>140</v>
      </c>
      <c r="C93" s="175">
        <v>2304</v>
      </c>
      <c r="D93" t="s">
        <v>141</v>
      </c>
      <c r="E93" s="33">
        <v>54616</v>
      </c>
      <c r="F93" s="33">
        <v>27308</v>
      </c>
      <c r="G93" s="176">
        <f t="shared" si="5"/>
        <v>81924</v>
      </c>
      <c r="H93" s="176">
        <f t="shared" si="6"/>
        <v>32823</v>
      </c>
      <c r="I93" s="176">
        <v>131292</v>
      </c>
      <c r="J93" s="176">
        <v>32823</v>
      </c>
      <c r="K93" s="176">
        <f t="shared" si="4"/>
        <v>98469</v>
      </c>
    </row>
    <row r="94" spans="1:12" s="30" customFormat="1" x14ac:dyDescent="0.3">
      <c r="A94" s="334" t="s">
        <v>7</v>
      </c>
      <c r="B94" s="334"/>
      <c r="C94" s="334"/>
      <c r="D94" s="334"/>
      <c r="E94" s="133" t="s">
        <v>432</v>
      </c>
      <c r="F94" s="133" t="s">
        <v>433</v>
      </c>
      <c r="G94" s="133"/>
      <c r="H94" s="181">
        <f>SUM(H3:H93)</f>
        <v>2500022</v>
      </c>
      <c r="I94" s="181">
        <f>SUM(I3:I93)</f>
        <v>10000088</v>
      </c>
      <c r="J94" s="182">
        <f>SUM(J3:J93)</f>
        <v>8273791</v>
      </c>
      <c r="K94" s="181">
        <f>SUM(K3:K93)</f>
        <v>1731747</v>
      </c>
    </row>
    <row r="95" spans="1:12" x14ac:dyDescent="0.3">
      <c r="I95" s="33"/>
      <c r="K95" s="189">
        <v>5450</v>
      </c>
      <c r="L95" t="s">
        <v>447</v>
      </c>
    </row>
    <row r="96" spans="1:12" x14ac:dyDescent="0.3">
      <c r="I96" s="33"/>
    </row>
    <row r="97" spans="9:9" x14ac:dyDescent="0.3">
      <c r="I97" s="33"/>
    </row>
    <row r="98" spans="9:9" x14ac:dyDescent="0.3">
      <c r="I98" s="174"/>
    </row>
  </sheetData>
  <autoFilter ref="A2:R94" xr:uid="{00000000-0009-0000-0000-000008000000}"/>
  <mergeCells count="2">
    <mergeCell ref="A1:K1"/>
    <mergeCell ref="A94:D9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BS</vt:lpstr>
      <vt:lpstr>IE</vt:lpstr>
      <vt:lpstr>Sch - F FDR</vt:lpstr>
      <vt:lpstr>Members Rec &amp; Adv</vt:lpstr>
      <vt:lpstr>Reserves &amp; Provision</vt:lpstr>
      <vt:lpstr>Sch - G FA</vt:lpstr>
      <vt:lpstr>BRS</vt:lpstr>
      <vt:lpstr>Workings</vt:lpstr>
      <vt:lpstr>Major Rep. Chgs</vt:lpstr>
      <vt:lpstr>BS!Print_Area</vt:lpstr>
      <vt:lpstr>IE!Print_Area</vt:lpstr>
      <vt:lpstr>'Members Rec &amp; Adv'!Print_Area</vt:lpstr>
      <vt:lpstr>'Reserves &amp; Provision'!Print_Area</vt:lpstr>
      <vt:lpstr>'Sch - F FDR'!Print_Area</vt:lpstr>
      <vt:lpstr>'Sch - G FA'!Print_Area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bharatboridkar@gmail.com</cp:lastModifiedBy>
  <cp:lastPrinted>2026-08-27T06:13:17Z</cp:lastPrinted>
  <dcterms:created xsi:type="dcterms:W3CDTF">2022-06-02T10:58:57Z</dcterms:created>
  <dcterms:modified xsi:type="dcterms:W3CDTF">2026-08-30T19:16:55Z</dcterms:modified>
</cp:coreProperties>
</file>