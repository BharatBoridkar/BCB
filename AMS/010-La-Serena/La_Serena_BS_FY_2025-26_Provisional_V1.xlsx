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BHARAT\2025-2026\BCB\AMS\010-La-Serena\"/>
    </mc:Choice>
  </mc:AlternateContent>
  <xr:revisionPtr revIDLastSave="0" documentId="13_ncr:1_{FB62DA1F-6C9A-4A63-8E87-88CCB3A7FB2B}" xr6:coauthVersionLast="47" xr6:coauthVersionMax="47" xr10:uidLastSave="{00000000-0000-0000-0000-000000000000}"/>
  <bookViews>
    <workbookView xWindow="-108" yWindow="-108" windowWidth="23256" windowHeight="12456" tabRatio="849" xr2:uid="{00000000-000D-0000-FFFF-FFFF00000000}"/>
  </bookViews>
  <sheets>
    <sheet name="BS" sheetId="1" r:id="rId1"/>
    <sheet name="IE" sheetId="10" r:id="rId2"/>
    <sheet name="Sch-I FD" sheetId="18" r:id="rId3"/>
    <sheet name="Sch-II FA" sheetId="24" r:id="rId4"/>
    <sheet name="Sch-III, IV &amp; V" sheetId="19" r:id="rId5"/>
    <sheet name="Sch-VI &amp; VII" sheetId="20" r:id="rId6"/>
    <sheet name="BRS" sheetId="23" r:id="rId7"/>
    <sheet name="Working" sheetId="22" r:id="rId8"/>
    <sheet name="Old Member Balance" sheetId="25" r:id="rId9"/>
    <sheet name="Interest" sheetId="17" state="hidden" r:id="rId10"/>
  </sheets>
  <definedNames>
    <definedName name="_xlnm._FilterDatabase" localSheetId="9" hidden="1">Interest!$A$2:$F$37</definedName>
    <definedName name="_xlnm.Print_Area" localSheetId="0">BS!$A$1:$H$57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0" l="1"/>
  <c r="I64" i="10"/>
  <c r="C35" i="1" l="1"/>
  <c r="E20" i="25"/>
  <c r="C36" i="1" s="1"/>
  <c r="F20" i="25"/>
  <c r="G20" i="25" s="1"/>
  <c r="N5" i="22" l="1"/>
  <c r="N9" i="22" s="1"/>
  <c r="N4" i="22"/>
  <c r="N8" i="22" s="1"/>
  <c r="N10" i="22" s="1"/>
  <c r="N13" i="22" s="1"/>
  <c r="N14" i="22" s="1"/>
  <c r="N15" i="22" s="1"/>
  <c r="N16" i="22" l="1"/>
  <c r="N17" i="22" s="1"/>
  <c r="D34" i="20" s="1"/>
  <c r="D35" i="20" s="1"/>
  <c r="C29" i="1" l="1"/>
  <c r="H28" i="10"/>
  <c r="G25" i="18" l="1"/>
  <c r="G15" i="18"/>
  <c r="G20" i="18"/>
  <c r="C44" i="1"/>
  <c r="G5" i="18"/>
  <c r="D24" i="20"/>
  <c r="C27" i="1"/>
  <c r="D29" i="1" s="1"/>
  <c r="C23" i="1"/>
  <c r="C19" i="1"/>
  <c r="C14" i="1"/>
  <c r="D29" i="19"/>
  <c r="D28" i="10"/>
  <c r="C53" i="10"/>
  <c r="G8" i="10"/>
  <c r="G15" i="10"/>
  <c r="F20" i="22"/>
  <c r="H19" i="10" l="1"/>
  <c r="J11" i="18"/>
  <c r="G10" i="18"/>
  <c r="H10" i="18" s="1"/>
  <c r="G26" i="18"/>
  <c r="H26" i="18"/>
  <c r="E11" i="18"/>
  <c r="G11" i="18"/>
  <c r="D11" i="18"/>
  <c r="G27" i="18"/>
  <c r="H27" i="18" s="1"/>
  <c r="J28" i="18"/>
  <c r="E28" i="18"/>
  <c r="D28" i="18"/>
  <c r="G16" i="18"/>
  <c r="G16" i="1" s="1"/>
  <c r="G21" i="18"/>
  <c r="G14" i="18"/>
  <c r="G9" i="18"/>
  <c r="G28" i="18" l="1"/>
  <c r="H18" i="24"/>
  <c r="G18" i="24"/>
  <c r="I18" i="24" l="1"/>
  <c r="D29" i="22"/>
  <c r="E29" i="22" s="1"/>
  <c r="F28" i="22"/>
  <c r="F12" i="22"/>
  <c r="E5" i="22"/>
  <c r="F8" i="22"/>
  <c r="G22" i="18" l="1"/>
  <c r="G17" i="18"/>
  <c r="G6" i="18"/>
  <c r="H21" i="18"/>
  <c r="H16" i="18"/>
  <c r="H14" i="18"/>
  <c r="D13" i="20"/>
  <c r="D20" i="19"/>
  <c r="G30" i="18" l="1"/>
  <c r="D36" i="10"/>
  <c r="J22" i="18" l="1"/>
  <c r="E22" i="18"/>
  <c r="D22" i="18"/>
  <c r="J17" i="18"/>
  <c r="E17" i="18"/>
  <c r="D17" i="18"/>
  <c r="F20" i="18"/>
  <c r="H20" i="18" s="1"/>
  <c r="H22" i="18" s="1"/>
  <c r="F15" i="18"/>
  <c r="H15" i="18" s="1"/>
  <c r="H17" i="18" s="1"/>
  <c r="F25" i="18"/>
  <c r="F28" i="18" l="1"/>
  <c r="H25" i="18"/>
  <c r="H28" i="18" s="1"/>
  <c r="F17" i="18"/>
  <c r="F22" i="18"/>
  <c r="F9" i="18"/>
  <c r="C25" i="1"/>
  <c r="D25" i="1" s="1"/>
  <c r="C21" i="1"/>
  <c r="D21" i="1" s="1"/>
  <c r="C16" i="1"/>
  <c r="F11" i="18" l="1"/>
  <c r="H9" i="18"/>
  <c r="H11" i="18" s="1"/>
  <c r="D36" i="20"/>
  <c r="C41" i="1" s="1"/>
  <c r="C39" i="1"/>
  <c r="D36" i="1"/>
  <c r="G14" i="24"/>
  <c r="H14" i="24"/>
  <c r="E21" i="24"/>
  <c r="F21" i="24"/>
  <c r="D21" i="24"/>
  <c r="H8" i="24"/>
  <c r="G6" i="24"/>
  <c r="G20" i="24"/>
  <c r="H20" i="24"/>
  <c r="H12" i="24"/>
  <c r="H16" i="24"/>
  <c r="H10" i="24"/>
  <c r="B2" i="24"/>
  <c r="G12" i="24"/>
  <c r="G16" i="24"/>
  <c r="G8" i="24"/>
  <c r="G10" i="24"/>
  <c r="H6" i="24"/>
  <c r="H21" i="24" l="1"/>
  <c r="D41" i="1"/>
  <c r="C48" i="10"/>
  <c r="I14" i="24"/>
  <c r="I6" i="24"/>
  <c r="G21" i="24"/>
  <c r="I20" i="24"/>
  <c r="I10" i="24"/>
  <c r="I8" i="24"/>
  <c r="I16" i="24"/>
  <c r="I12" i="24"/>
  <c r="I21" i="24" l="1"/>
  <c r="H28" i="1" s="1"/>
  <c r="G10" i="1"/>
  <c r="G9" i="1"/>
  <c r="H10" i="1" l="1"/>
  <c r="E61" i="10"/>
  <c r="D17" i="10"/>
  <c r="D9" i="10"/>
  <c r="F33" i="22"/>
  <c r="D11" i="19" s="1"/>
  <c r="D33" i="22"/>
  <c r="E28" i="22"/>
  <c r="F29" i="22" s="1"/>
  <c r="D10" i="19" s="1"/>
  <c r="D25" i="22"/>
  <c r="E25" i="22" s="1"/>
  <c r="E24" i="22"/>
  <c r="F21" i="22"/>
  <c r="D13" i="22"/>
  <c r="E13" i="22" s="1"/>
  <c r="D17" i="22"/>
  <c r="E17" i="22" s="1"/>
  <c r="E16" i="22"/>
  <c r="E12" i="22"/>
  <c r="D8" i="22"/>
  <c r="C9" i="22" s="1"/>
  <c r="E9" i="22" s="1"/>
  <c r="F9" i="22" s="1"/>
  <c r="C8" i="22"/>
  <c r="C7" i="22"/>
  <c r="E7" i="22" s="1"/>
  <c r="C6" i="22"/>
  <c r="E6" i="22" s="1"/>
  <c r="E8" i="22" l="1"/>
  <c r="F25" i="22"/>
  <c r="F13" i="22"/>
  <c r="D9" i="19" s="1"/>
  <c r="D8" i="19"/>
  <c r="F17" i="22"/>
  <c r="D6" i="19" s="1"/>
  <c r="D55" i="10"/>
  <c r="G25" i="1"/>
  <c r="G22" i="1"/>
  <c r="D12" i="19" l="1"/>
  <c r="H30" i="1" s="1"/>
  <c r="H26" i="1"/>
  <c r="F5" i="18" l="1"/>
  <c r="J6" i="18"/>
  <c r="J30" i="18" s="1"/>
  <c r="D6" i="18"/>
  <c r="D30" i="18" s="1"/>
  <c r="E6" i="18"/>
  <c r="E30" i="18" s="1"/>
  <c r="F6" i="18" l="1"/>
  <c r="F30" i="18" s="1"/>
  <c r="G15" i="1" s="1"/>
  <c r="H5" i="18"/>
  <c r="H6" i="18" s="1"/>
  <c r="H30" i="18" s="1"/>
  <c r="G14" i="1"/>
  <c r="H16" i="1" l="1"/>
  <c r="H47" i="1" s="1"/>
  <c r="E5" i="10"/>
  <c r="E47" i="1"/>
  <c r="A47" i="1"/>
  <c r="H5" i="1"/>
  <c r="E5" i="1"/>
  <c r="H5" i="10"/>
  <c r="I51" i="1" l="1"/>
  <c r="I54" i="1"/>
  <c r="A61" i="10"/>
  <c r="H61" i="10"/>
  <c r="I61" i="10" l="1"/>
  <c r="D59" i="10"/>
  <c r="D61" i="10" l="1"/>
  <c r="J61" i="10" s="1"/>
  <c r="C58" i="10"/>
  <c r="C17" i="1" s="1"/>
  <c r="C59" i="10" l="1"/>
  <c r="C45" i="1" s="1"/>
  <c r="D45" i="1" s="1"/>
  <c r="D17" i="1"/>
  <c r="D47" i="1" l="1"/>
  <c r="J51" i="1" l="1"/>
  <c r="J54" i="1"/>
</calcChain>
</file>

<file path=xl/sharedStrings.xml><?xml version="1.0" encoding="utf-8"?>
<sst xmlns="http://schemas.openxmlformats.org/spreadsheetml/2006/main" count="614" uniqueCount="396">
  <si>
    <t>LIABILITIES</t>
  </si>
  <si>
    <t>ASSETS</t>
  </si>
  <si>
    <t>Authorised Share Capital</t>
  </si>
  <si>
    <t>Sinking Fund</t>
  </si>
  <si>
    <t>Total</t>
  </si>
  <si>
    <t>Cash and Bank Balance</t>
  </si>
  <si>
    <t>Depreciation</t>
  </si>
  <si>
    <t>Education &amp; Training Fund</t>
  </si>
  <si>
    <t>Share Capital</t>
  </si>
  <si>
    <t>Insurance Charges</t>
  </si>
  <si>
    <t>Audit Fees</t>
  </si>
  <si>
    <t>Bank Charges</t>
  </si>
  <si>
    <t>Security Charges</t>
  </si>
  <si>
    <t>Expenditure</t>
  </si>
  <si>
    <t>Income</t>
  </si>
  <si>
    <t> </t>
  </si>
  <si>
    <t>Accounting Charges</t>
  </si>
  <si>
    <t>Dosti Corona ( Dosti Imperia) Co.op housing society Ltd. - Income - Non Members &gt; Interest Income - Fixed Deposits ( 306002 ) &lt;br&gt;Transactions From 01-04-2022 to 30-04-2023</t>
  </si>
  <si>
    <t>Journal No.</t>
  </si>
  <si>
    <t>Posted Date</t>
  </si>
  <si>
    <t>Comments</t>
  </si>
  <si>
    <t>Debit</t>
  </si>
  <si>
    <t>Credit</t>
  </si>
  <si>
    <t>Account</t>
  </si>
  <si>
    <t>JE-2022-0000342</t>
  </si>
  <si>
    <t>06-07-2022</t>
  </si>
  <si>
    <t>Being old FD   TD0000439672 renewed vide new FD   TD0000439672-1 RF SCB</t>
  </si>
  <si>
    <t>RF</t>
  </si>
  <si>
    <t>JE-2022-0000345</t>
  </si>
  <si>
    <t>29-09-2022</t>
  </si>
  <si>
    <t>Being old FD   TD0000439766 renewed vide new FD   TD0000439766-1 GF SCB</t>
  </si>
  <si>
    <t>GF</t>
  </si>
  <si>
    <t>JE-2022-0000349</t>
  </si>
  <si>
    <t>13-11-2022</t>
  </si>
  <si>
    <t>Being old FD   12458-1 renewed vide new FD   12458-2 Corp. UBI</t>
  </si>
  <si>
    <t>Corp</t>
  </si>
  <si>
    <t>JE-2022-0000347</t>
  </si>
  <si>
    <t>30-12-2022</t>
  </si>
  <si>
    <t>Being FD TD0000439674 redeemed on maturity SCB - RMF</t>
  </si>
  <si>
    <t>JE-2022-0000348</t>
  </si>
  <si>
    <t>Being FD TD0000439675 redeemed on maturity SCB - GF</t>
  </si>
  <si>
    <t>JE-2022-0000343</t>
  </si>
  <si>
    <t>Being old FD   TD0000439673-1 renewed vide new FD   TD0000439673-2 SF SCB</t>
  </si>
  <si>
    <t>SF</t>
  </si>
  <si>
    <t>JE-2022-0000344</t>
  </si>
  <si>
    <t>Being old FD   TD0000439676-1 renewed vide new FD   TD0000439676-2 E&amp;T SCB</t>
  </si>
  <si>
    <t>JE-2022-0000351</t>
  </si>
  <si>
    <t>19-01-2023</t>
  </si>
  <si>
    <t>Being old FD   349022 renewed vide new FD   13612 SF UBI</t>
  </si>
  <si>
    <t>JE-2022-0000352</t>
  </si>
  <si>
    <t>Being old FD   349023 renewed vide new FD   13613 ET UBI</t>
  </si>
  <si>
    <t>JE-2022-0000350</t>
  </si>
  <si>
    <t>15-02-2023</t>
  </si>
  <si>
    <t>Being old FD   12758-1 renewed vide new FD   16416 Corp. UBI</t>
  </si>
  <si>
    <t>JE-2022-0000353</t>
  </si>
  <si>
    <t>31-03-2023</t>
  </si>
  <si>
    <t>Being accrued int. on FD   TD0000439679 SF SCB</t>
  </si>
  <si>
    <t>JE-2022-0000354</t>
  </si>
  <si>
    <t>Being accrued int. on FD   TD0000439673-2 SF SCB</t>
  </si>
  <si>
    <t>JE-2022-0000355</t>
  </si>
  <si>
    <t>Being accrued int. on FD   TD1000197217 SF SCB</t>
  </si>
  <si>
    <t>JE-2022-0000356</t>
  </si>
  <si>
    <t>Being accrued int. on FD   TD1000505665 SF SCB</t>
  </si>
  <si>
    <t>JE-2022-0000357</t>
  </si>
  <si>
    <t>Being accrued int. on FD   TD1000689273 SF SCB</t>
  </si>
  <si>
    <t>JE-2022-0000358</t>
  </si>
  <si>
    <t>Being accrued int. on FD   30013612 SF UBI</t>
  </si>
  <si>
    <t>JE-2022-0000359</t>
  </si>
  <si>
    <t>Being accrued int. on FD   TD0000439672-1 RF SCB</t>
  </si>
  <si>
    <t>JE-2022-0000360</t>
  </si>
  <si>
    <t>Being accrued int. on FD   TD0000439767 GF SCB</t>
  </si>
  <si>
    <t>JE-2022-0000361</t>
  </si>
  <si>
    <t>Being accrued int. on FD   TD0000439768 GF SCB</t>
  </si>
  <si>
    <t>JE-2022-0000362</t>
  </si>
  <si>
    <t>Being accrued int. on FD   TD0000439766 GF SCB</t>
  </si>
  <si>
    <t>JE-2022-0000363</t>
  </si>
  <si>
    <t>Being accrued int. on FD   TD0000439765 GF SCB</t>
  </si>
  <si>
    <t>JE-2022-0000364</t>
  </si>
  <si>
    <t>Being accrued int. on FD   TD1000505645 GF SCB</t>
  </si>
  <si>
    <t>JE-2022-0000365</t>
  </si>
  <si>
    <t>Being accrued int. on FD   TD0000439676-2 ETF SCB</t>
  </si>
  <si>
    <t>ETF</t>
  </si>
  <si>
    <t>JE-2022-0000366</t>
  </si>
  <si>
    <t>Being accrued int. on FD   TD1000197215 ETF SCB</t>
  </si>
  <si>
    <t>JE-2022-0000367</t>
  </si>
  <si>
    <t>Being accrued int. on FD   30013613 ETF UBI</t>
  </si>
  <si>
    <t>JE-2022-0000368</t>
  </si>
  <si>
    <t>Being accrued int. on FD   30012458 Corp. UBI</t>
  </si>
  <si>
    <t>JE-2022-0000369</t>
  </si>
  <si>
    <t>Being accrued int. on FD   30016416 Corp. UBI</t>
  </si>
  <si>
    <t>JE-2022-0000371</t>
  </si>
  <si>
    <t>Being accrued int. on FD   30013283 Corp. UBI</t>
  </si>
  <si>
    <t>JE-2022-0000372</t>
  </si>
  <si>
    <t>Being accrued int. on FD   TD1000689356 Corp. SCB</t>
  </si>
  <si>
    <t>JE-2022-0000373</t>
  </si>
  <si>
    <t>Being accrued int. on FD   30014846 Corp. UBI</t>
  </si>
  <si>
    <t>JE-2022-0000374</t>
  </si>
  <si>
    <t>Being accrued int. on FD   143382 SC TDCC</t>
  </si>
  <si>
    <t>SC</t>
  </si>
  <si>
    <t>JE-2022-0000375</t>
  </si>
  <si>
    <t>Being accrued int. on FD   TD1000236392 Gen.F SCB</t>
  </si>
  <si>
    <t>JE-2022-0000376</t>
  </si>
  <si>
    <t>Being accrued int. on FD   30014846 Gen.F UBI</t>
  </si>
  <si>
    <t>JE-2022-0000377</t>
  </si>
  <si>
    <t>Being accrued int. on FD   30013282 Corp. UBI</t>
  </si>
  <si>
    <t>Balance :</t>
  </si>
  <si>
    <t>                      ₹1,081,151.00(Credit)</t>
  </si>
  <si>
    <t>₹1,081,151.00</t>
  </si>
  <si>
    <t>Res.</t>
  </si>
  <si>
    <t>FY 2024-25</t>
  </si>
  <si>
    <t>LA SERENA CO-OP.HOUSING SOCIETY LTD.</t>
  </si>
  <si>
    <t>PLOT No.7&amp;8,SUNDER LANE,ORLEM,MALAD WEST,MUMBAI 400 064.</t>
  </si>
  <si>
    <t>BOM/HSG/3758 of 1972 Dated-16/9/1972.</t>
  </si>
  <si>
    <t>Cash Account</t>
  </si>
  <si>
    <t>SVC Bank (631)</t>
  </si>
  <si>
    <t>Investments</t>
  </si>
  <si>
    <t>1 share of MDHF</t>
  </si>
  <si>
    <t>Security Deposits</t>
  </si>
  <si>
    <t>Tata Power</t>
  </si>
  <si>
    <t>Land &amp; Building</t>
  </si>
  <si>
    <t>Furniture &amp; Fixture</t>
  </si>
  <si>
    <t>Intercom</t>
  </si>
  <si>
    <t>CCTV</t>
  </si>
  <si>
    <t>200 shares of Rs.50/-each</t>
  </si>
  <si>
    <t>Issued,Subscribed &amp; Paidup</t>
  </si>
  <si>
    <t>430 shares of Rs.50/-each</t>
  </si>
  <si>
    <t>Reserve Fund &amp; Others</t>
  </si>
  <si>
    <t>Repair Fund</t>
  </si>
  <si>
    <t>Members Contribution Towards</t>
  </si>
  <si>
    <t>Old Member Account</t>
  </si>
  <si>
    <t>As Per last B/s.</t>
  </si>
  <si>
    <t>Current Liabilities &amp; Provisions</t>
  </si>
  <si>
    <t>Water Charges</t>
  </si>
  <si>
    <t>Income &amp; Expenditure Account</t>
  </si>
  <si>
    <t>As per last B/s</t>
  </si>
  <si>
    <t>Add:Excess of Income over Expenditure</t>
  </si>
  <si>
    <t>Chairman           Secretary        Treasurer</t>
  </si>
  <si>
    <t>House Keeping Charges</t>
  </si>
  <si>
    <t>Electricity Charges</t>
  </si>
  <si>
    <t>Municipal Taxes</t>
  </si>
  <si>
    <t>Municipal Tax</t>
  </si>
  <si>
    <t>Parking Charges</t>
  </si>
  <si>
    <t>Non Occupancy Charges</t>
  </si>
  <si>
    <t>Interest from Members</t>
  </si>
  <si>
    <t>Misc.Charges</t>
  </si>
  <si>
    <t>Fixed Deposit Interest</t>
  </si>
  <si>
    <t>Salary &amp; Wages</t>
  </si>
  <si>
    <t>Repair &amp; Maintenance</t>
  </si>
  <si>
    <t>Meeting Expenses</t>
  </si>
  <si>
    <t>Misc.Expenses</t>
  </si>
  <si>
    <t>Printing &amp; Stationery</t>
  </si>
  <si>
    <t>Postage &amp; Telephone</t>
  </si>
  <si>
    <t>Conveyance Charges</t>
  </si>
  <si>
    <t>Sch I</t>
  </si>
  <si>
    <t>Fixed Deposits as at 31.03.2025</t>
  </si>
  <si>
    <t>Sr.No</t>
  </si>
  <si>
    <t>Certificate No</t>
  </si>
  <si>
    <t>Date</t>
  </si>
  <si>
    <t>Principal Amount</t>
  </si>
  <si>
    <t>FY 23-24 Accrued Interest</t>
  </si>
  <si>
    <t>FY 24-25 Accrued Interest</t>
  </si>
  <si>
    <t>Maturity Date</t>
  </si>
  <si>
    <t>Maturity Value</t>
  </si>
  <si>
    <t>Int  %</t>
  </si>
  <si>
    <t>Bank</t>
  </si>
  <si>
    <t>La Serena CHS Ltd</t>
  </si>
  <si>
    <t>05.04.2023</t>
  </si>
  <si>
    <t>Reserve Fund</t>
  </si>
  <si>
    <t>05.04.2028</t>
  </si>
  <si>
    <t>SVC</t>
  </si>
  <si>
    <t>Sr.</t>
  </si>
  <si>
    <t>Flat</t>
  </si>
  <si>
    <t>Name of Member</t>
  </si>
  <si>
    <t>Amount (Rs.)</t>
  </si>
  <si>
    <t>0501</t>
  </si>
  <si>
    <t>Mr. Domnic G. C. Miranda</t>
  </si>
  <si>
    <t>Sch-III</t>
  </si>
  <si>
    <t>Mukesh Badge</t>
  </si>
  <si>
    <t>Vendor</t>
  </si>
  <si>
    <t>Water Meter</t>
  </si>
  <si>
    <t>Account head</t>
  </si>
  <si>
    <t>Period</t>
  </si>
  <si>
    <t>From</t>
  </si>
  <si>
    <t>To</t>
  </si>
  <si>
    <t>No. of days</t>
  </si>
  <si>
    <t>Amount</t>
  </si>
  <si>
    <t>Water Expense</t>
  </si>
  <si>
    <t>Provision</t>
  </si>
  <si>
    <t>Lift AMC</t>
  </si>
  <si>
    <t>Prepaid</t>
  </si>
  <si>
    <t>Intercom AMC</t>
  </si>
  <si>
    <t>Sr. no.</t>
  </si>
  <si>
    <t>Fire Fighting AMC</t>
  </si>
  <si>
    <t>CCTV AMC</t>
  </si>
  <si>
    <t>Insurance</t>
  </si>
  <si>
    <t>Pest Control AMC</t>
  </si>
  <si>
    <t>Maintenance/AMC Charges</t>
  </si>
  <si>
    <t>Interest from Bank</t>
  </si>
  <si>
    <t>Recurring Deposit Interest</t>
  </si>
  <si>
    <t>Saving Interest</t>
  </si>
  <si>
    <t>Salary Expenses</t>
  </si>
  <si>
    <t>Bonus</t>
  </si>
  <si>
    <t>BMC Water</t>
  </si>
  <si>
    <t>Water Tanker Expense</t>
  </si>
  <si>
    <t>Water Tank Cleaning Charges</t>
  </si>
  <si>
    <t>Water Pump Repair Charges</t>
  </si>
  <si>
    <t>Annual Maintenance Charges</t>
  </si>
  <si>
    <t>R &amp; M - Others</t>
  </si>
  <si>
    <t>R &amp; M - AC</t>
  </si>
  <si>
    <t>R &amp; M - Electricals</t>
  </si>
  <si>
    <t>R &amp; M - Plumbing</t>
  </si>
  <si>
    <t>AMC - Lift</t>
  </si>
  <si>
    <t>AMC - Intercom</t>
  </si>
  <si>
    <t>R &amp; M - Fire Fighting</t>
  </si>
  <si>
    <t>AMC - CCTV</t>
  </si>
  <si>
    <t>AMC - Pest Control</t>
  </si>
  <si>
    <t>Administrative/Other Expenses</t>
  </si>
  <si>
    <t>Professional Fees</t>
  </si>
  <si>
    <t>Festival Expense</t>
  </si>
  <si>
    <t>Income &amp; Expenditure A/c</t>
  </si>
  <si>
    <t>Excess of Income over Expenditure</t>
  </si>
  <si>
    <t>25% Surplus Trfd to Reserve Fund</t>
  </si>
  <si>
    <t xml:space="preserve"> Amount </t>
  </si>
  <si>
    <t>Balance as per System (Book Balance)</t>
  </si>
  <si>
    <t>Balance as per Passbook</t>
  </si>
  <si>
    <t>La Serena CHS Ltd.</t>
  </si>
  <si>
    <t>Citizen Credit Bank (459)</t>
  </si>
  <si>
    <t>Accrued Interest - FD</t>
  </si>
  <si>
    <t>Accrued Interest - RD</t>
  </si>
  <si>
    <r>
      <t xml:space="preserve">Fixed Deposits with Banks </t>
    </r>
    <r>
      <rPr>
        <b/>
        <sz val="11"/>
        <color theme="1"/>
        <rFont val="Calibri"/>
        <family val="2"/>
        <scheme val="minor"/>
      </rPr>
      <t>(Sch-I)</t>
    </r>
  </si>
  <si>
    <t>Particulars</t>
  </si>
  <si>
    <t>ROD</t>
  </si>
  <si>
    <t>Depreciation for the year</t>
  </si>
  <si>
    <t>Computer &amp; Printer</t>
  </si>
  <si>
    <t>Schedule - II</t>
  </si>
  <si>
    <t>Water Pump</t>
  </si>
  <si>
    <t>AMC - Fire Fighting</t>
  </si>
  <si>
    <t>Sch-IV</t>
  </si>
  <si>
    <r>
      <t xml:space="preserve">Dues From Members </t>
    </r>
    <r>
      <rPr>
        <b/>
        <sz val="11"/>
        <color theme="1"/>
        <rFont val="Calibri"/>
        <family val="2"/>
        <scheme val="minor"/>
      </rPr>
      <t>(Sch-IV)</t>
    </r>
  </si>
  <si>
    <t>Other Current Assets</t>
  </si>
  <si>
    <t>TDS Receivables</t>
  </si>
  <si>
    <r>
      <t xml:space="preserve">Advance Payment to Vendors </t>
    </r>
    <r>
      <rPr>
        <b/>
        <sz val="11"/>
        <color theme="1"/>
        <rFont val="Calibri"/>
        <family val="2"/>
        <scheme val="minor"/>
      </rPr>
      <t>(Sch-V)</t>
    </r>
  </si>
  <si>
    <t>Opening Balance</t>
  </si>
  <si>
    <t>Add: Addition during the year</t>
  </si>
  <si>
    <t>Less: Refunded to Members</t>
  </si>
  <si>
    <t>Sch-V</t>
  </si>
  <si>
    <t>Name</t>
  </si>
  <si>
    <t>0201</t>
  </si>
  <si>
    <t>0401</t>
  </si>
  <si>
    <t>Mr. John D'Souza</t>
  </si>
  <si>
    <t>0801</t>
  </si>
  <si>
    <t>0802</t>
  </si>
  <si>
    <t>Mr. Godfrey Sequeira</t>
  </si>
  <si>
    <t>Mrs. Samiksha Niraj Desai Sheth</t>
  </si>
  <si>
    <t>Sr.no.</t>
  </si>
  <si>
    <r>
      <t xml:space="preserve">Advance from Members </t>
    </r>
    <r>
      <rPr>
        <b/>
        <sz val="11"/>
        <color theme="1"/>
        <rFont val="Calibri"/>
        <family val="2"/>
        <scheme val="minor"/>
      </rPr>
      <t>(Sch-VI)</t>
    </r>
  </si>
  <si>
    <r>
      <t xml:space="preserve">Fixed Assets </t>
    </r>
    <r>
      <rPr>
        <b/>
        <sz val="11"/>
        <color theme="1"/>
        <rFont val="Calibri"/>
        <family val="2"/>
        <scheme val="minor"/>
      </rPr>
      <t>(Sch-II)</t>
    </r>
  </si>
  <si>
    <r>
      <t xml:space="preserve">Prepaid Expenses </t>
    </r>
    <r>
      <rPr>
        <b/>
        <sz val="11"/>
        <color theme="1"/>
        <rFont val="Calibri"/>
        <family val="2"/>
        <scheme val="minor"/>
      </rPr>
      <t>(Sch-III)</t>
    </r>
  </si>
  <si>
    <r>
      <t xml:space="preserve">Payables &amp; Provision </t>
    </r>
    <r>
      <rPr>
        <b/>
        <sz val="11"/>
        <color theme="1"/>
        <rFont val="Calibri"/>
        <family val="2"/>
        <scheme val="minor"/>
      </rPr>
      <t>(Sch-VII)</t>
    </r>
  </si>
  <si>
    <t>Electricity</t>
  </si>
  <si>
    <t>Total (A)</t>
  </si>
  <si>
    <t>Sch-VI</t>
  </si>
  <si>
    <t>Sch-VII</t>
  </si>
  <si>
    <t>Subscription</t>
  </si>
  <si>
    <t>Auditor</t>
  </si>
  <si>
    <t>BMC</t>
  </si>
  <si>
    <t>MDFH</t>
  </si>
  <si>
    <t>Total (B)</t>
  </si>
  <si>
    <t>Total (A+B)</t>
  </si>
  <si>
    <t>Add: 25% Surplus</t>
  </si>
  <si>
    <t>TDS Payable</t>
  </si>
  <si>
    <t>Less: Trfd to Reserve Fund</t>
  </si>
  <si>
    <t>Less: Trfd to Sinking Fund</t>
  </si>
  <si>
    <t>Less: Trfd to Repair Fund</t>
  </si>
  <si>
    <t>Add: Interest on FD</t>
  </si>
  <si>
    <t>Excess Maint. Receivable (Cecil D'souza)</t>
  </si>
  <si>
    <t>Education Fund</t>
  </si>
  <si>
    <t>19.03.2025</t>
  </si>
  <si>
    <t>04.06.2025</t>
  </si>
  <si>
    <t>CCB</t>
  </si>
  <si>
    <t>19.03.2030</t>
  </si>
  <si>
    <t>AMC - Stack Parking</t>
  </si>
  <si>
    <t>Less: Trfd to Education Fund</t>
  </si>
  <si>
    <t>Add: Interest on FD/RD</t>
  </si>
  <si>
    <t>FY 2025-26</t>
  </si>
  <si>
    <t>BALANCE SHEET AS ON 31st MARCH 2026</t>
  </si>
  <si>
    <t>INCOME AND EXPENDITURE ACCOUNT FOR THE YEAR ENDED MARCH 31, 2026</t>
  </si>
  <si>
    <t>Members' Receivables as at 31.03.2026</t>
  </si>
  <si>
    <t>Mr. Jaison David &amp; Mrs. Jefna Jaison</t>
  </si>
  <si>
    <t>Mr. Rudolph Rodrigues</t>
  </si>
  <si>
    <t>Mr. Rozario Carvalho</t>
  </si>
  <si>
    <t>Mr. Archie Fernandes &amp; Mr. Joseph Fernandes</t>
  </si>
  <si>
    <t>0202</t>
  </si>
  <si>
    <t>0301</t>
  </si>
  <si>
    <t>Advance Members as of 31.03.2026</t>
  </si>
  <si>
    <t>FY 25-26 Accrued Interest</t>
  </si>
  <si>
    <t>Fixed Asset &amp; Depreciation as on 31st March 2026</t>
  </si>
  <si>
    <t>Letter Box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</si>
  <si>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</si>
  <si>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</si>
  <si>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</si>
  <si>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</si>
  <si>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</si>
  <si>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Citizen Credit Bank as of 31.03.2026</t>
  </si>
  <si>
    <t>SVCC Bank as of 31.03.2026</t>
  </si>
  <si>
    <t>1000112701_1</t>
  </si>
  <si>
    <t xml:space="preserve">RD-334596 </t>
  </si>
  <si>
    <t>11.06.2025</t>
  </si>
  <si>
    <t>RD-334624</t>
  </si>
  <si>
    <t>RD-334630</t>
  </si>
  <si>
    <t>17.03.2026</t>
  </si>
  <si>
    <t>Garden Maintenance Expense</t>
  </si>
  <si>
    <t>R &amp; M - CCTV</t>
  </si>
  <si>
    <t>Housekeeping Material</t>
  </si>
  <si>
    <t>Housekeeping Expense</t>
  </si>
  <si>
    <t>Prepaid Expense as of 31.03.2026</t>
  </si>
  <si>
    <t>Advance Payament to Vendors as of 31.03.2026</t>
  </si>
  <si>
    <t>Solar System</t>
  </si>
  <si>
    <t>MNM Solar Power</t>
  </si>
  <si>
    <t>TDS</t>
  </si>
  <si>
    <t>Ivan Rosario</t>
  </si>
  <si>
    <t xml:space="preserve">Members Receivable </t>
  </si>
  <si>
    <t>Payables as of 31.03.2026</t>
  </si>
  <si>
    <t>Ram Kishor Bind</t>
  </si>
  <si>
    <t>Sher Ali M. Qureshi</t>
  </si>
  <si>
    <t>Singh Detective Service</t>
  </si>
  <si>
    <t>MCGM</t>
  </si>
  <si>
    <t>Stack AMC</t>
  </si>
  <si>
    <t>Provision as of 31.03.2026</t>
  </si>
  <si>
    <t>Income Tax Provision</t>
  </si>
  <si>
    <t>Income from Savings A/c.</t>
  </si>
  <si>
    <t>Interest on IT Refund</t>
  </si>
  <si>
    <t>Sale of scrap &amp; Promotional</t>
  </si>
  <si>
    <t>Gross Taxable Income</t>
  </si>
  <si>
    <t>Less:</t>
  </si>
  <si>
    <t>Deduction U/S 80P</t>
  </si>
  <si>
    <t>Net Taxable Income</t>
  </si>
  <si>
    <t>0-10000</t>
  </si>
  <si>
    <t>10000-20000</t>
  </si>
  <si>
    <t>20000 or More</t>
  </si>
  <si>
    <t>Tax</t>
  </si>
  <si>
    <t>Add</t>
  </si>
  <si>
    <t>Education cess</t>
  </si>
  <si>
    <t>Total Tax</t>
  </si>
  <si>
    <t>Say</t>
  </si>
  <si>
    <t>Income from FD/RD</t>
  </si>
  <si>
    <t>Income Tax Expense</t>
  </si>
  <si>
    <t>Income Tax</t>
  </si>
  <si>
    <t>Wohr Parking</t>
  </si>
  <si>
    <t>Ceasex Fire</t>
  </si>
  <si>
    <t xml:space="preserve">La Serena CHS Ltd - Old Member Balance </t>
  </si>
  <si>
    <t>Sr, no.</t>
  </si>
  <si>
    <t>Old Member Balance</t>
  </si>
  <si>
    <t>01-04-2024</t>
  </si>
  <si>
    <t>Opening balance as on 01.04.2024</t>
  </si>
  <si>
    <t>Flat 101</t>
  </si>
  <si>
    <t>29-04-2025</t>
  </si>
  <si>
    <t>Being balance amount of Flat 101 refunded vide ch. 031174</t>
  </si>
  <si>
    <t>Flat 102</t>
  </si>
  <si>
    <t>25-10-2024</t>
  </si>
  <si>
    <t>Being balance amount of Flat 102 refunded vide ch.   020030</t>
  </si>
  <si>
    <t>Flat 202</t>
  </si>
  <si>
    <t>Being balance amount of Flat 202 refunded vide ch.   026302</t>
  </si>
  <si>
    <t>Flat 301</t>
  </si>
  <si>
    <t>Being balance amount of Flat 301 refunded vide ch.   020032</t>
  </si>
  <si>
    <t>Flat 302</t>
  </si>
  <si>
    <t>22-10-2024</t>
  </si>
  <si>
    <t>Being balance amount of Flat 302 refunded vide ch. 020033</t>
  </si>
  <si>
    <t>Flat 401</t>
  </si>
  <si>
    <t>Being balance amount of Flat 401 refunded vide ch.   020034</t>
  </si>
  <si>
    <t>flat 402</t>
  </si>
  <si>
    <t>Being balance amount of Flat 402 refunded vide ch.   020035</t>
  </si>
  <si>
    <t>Flat 502</t>
  </si>
  <si>
    <t>Being balance amount of Flat 502 refunded vide ch. 020037</t>
  </si>
  <si>
    <t>Flat 602</t>
  </si>
  <si>
    <t>Being balance amount of Flat 602 refunded vide ch.   020038</t>
  </si>
  <si>
    <t>Flat 603</t>
  </si>
  <si>
    <t>Being balance amount of Flat 603 refunded vide ch.   020045</t>
  </si>
  <si>
    <t>Flat 701</t>
  </si>
  <si>
    <t>Being balance amount of Flat 701 refunded vide ch.   020039</t>
  </si>
  <si>
    <t>Flat 702</t>
  </si>
  <si>
    <t>Being balance amount of warren Monteiro refunded vide ch.   020047</t>
  </si>
  <si>
    <t>Flat 802</t>
  </si>
  <si>
    <t>Being balance amount of Flat 802 refunded vide ch.   020041</t>
  </si>
  <si>
    <t>Flat 902</t>
  </si>
  <si>
    <t>Being balance amount of Flat 902  refunded vide ch.   020046</t>
  </si>
  <si>
    <t>Flat 903</t>
  </si>
  <si>
    <t>Being balance amount of Flat 903 refunded vide ch.   020044</t>
  </si>
  <si>
    <t>Flat 1001</t>
  </si>
  <si>
    <t>Being balance amount of Flat 1001 refunded vide ch.   020042</t>
  </si>
  <si>
    <t>Balance</t>
  </si>
  <si>
    <t>As per my report of even date</t>
  </si>
  <si>
    <t>FOR LA SERENA CO-OPERATIVE HOUSING SOCIETY LTD.</t>
  </si>
  <si>
    <t>Shri. Bharat C. Boridkar</t>
  </si>
  <si>
    <t>Govt. Certified Panel Auditor</t>
  </si>
  <si>
    <t>[Panel No.: Mumbai-4/B2/1011404]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</si>
</sst>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&quot;Mumbai: &quot;dd&quot;th&quot;\ mmmm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8" fillId="0" borderId="0"/>
  </cellStyleXfs>
  <cellXfs count="199">
    <xf numFmtId="0" fontId="0" fillId="0" borderId="0" xfId="0"/>
    <xf numFmtId="43" fontId="0" fillId="0" borderId="0" xfId="0" applyNumberFormat="1"/>
    <xf numFmtId="0" fontId="2" fillId="0" borderId="5" xfId="0" applyFont="1" applyBorder="1"/>
    <xf numFmtId="0" fontId="2" fillId="0" borderId="0" xfId="0" applyFont="1" applyAlignment="1">
      <alignment horizontal="center"/>
    </xf>
    <xf numFmtId="2" fontId="0" fillId="0" borderId="0" xfId="0" applyNumberFormat="1"/>
    <xf numFmtId="43" fontId="0" fillId="0" borderId="0" xfId="1" applyFont="1" applyFill="1"/>
    <xf numFmtId="43" fontId="2" fillId="0" borderId="0" xfId="1" applyFont="1" applyFill="1"/>
    <xf numFmtId="0" fontId="4" fillId="0" borderId="0" xfId="0" applyFont="1"/>
    <xf numFmtId="4" fontId="0" fillId="0" borderId="0" xfId="0" applyNumberFormat="1"/>
    <xf numFmtId="0" fontId="5" fillId="0" borderId="0" xfId="3" applyFill="1"/>
    <xf numFmtId="0" fontId="0" fillId="0" borderId="0" xfId="0" applyAlignment="1">
      <alignment horizontal="center"/>
    </xf>
    <xf numFmtId="0" fontId="0" fillId="0" borderId="0" xfId="1" applyNumberFormat="1" applyFont="1" applyFill="1"/>
    <xf numFmtId="0" fontId="2" fillId="0" borderId="0" xfId="1" applyNumberFormat="1" applyFont="1" applyFill="1"/>
    <xf numFmtId="0" fontId="2" fillId="0" borderId="1" xfId="1" applyNumberFormat="1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43" fontId="2" fillId="0" borderId="5" xfId="1" applyFont="1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3" fontId="0" fillId="0" borderId="8" xfId="1" applyFont="1" applyFill="1" applyBorder="1" applyAlignment="1">
      <alignment horizontal="left" vertical="top"/>
    </xf>
    <xf numFmtId="43" fontId="2" fillId="0" borderId="8" xfId="1" applyFont="1" applyFill="1" applyBorder="1" applyAlignment="1">
      <alignment horizontal="left" vertical="top"/>
    </xf>
    <xf numFmtId="43" fontId="0" fillId="0" borderId="7" xfId="1" applyFont="1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43" fontId="2" fillId="0" borderId="1" xfId="1" applyFont="1" applyFill="1" applyBorder="1" applyAlignment="1">
      <alignment horizontal="left" vertical="top"/>
    </xf>
    <xf numFmtId="43" fontId="0" fillId="0" borderId="4" xfId="1" applyFont="1" applyFill="1" applyBorder="1" applyAlignment="1">
      <alignment horizontal="left" vertical="top"/>
    </xf>
    <xf numFmtId="43" fontId="1" fillId="0" borderId="5" xfId="1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43" fontId="2" fillId="0" borderId="4" xfId="1" applyFont="1" applyFill="1" applyBorder="1" applyAlignment="1">
      <alignment horizontal="left" vertical="top"/>
    </xf>
    <xf numFmtId="0" fontId="0" fillId="0" borderId="0" xfId="1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NumberFormat="1" applyFont="1" applyFill="1" applyAlignment="1">
      <alignment horizontal="left" vertical="top"/>
    </xf>
    <xf numFmtId="0" fontId="2" fillId="0" borderId="0" xfId="0" applyFont="1" applyAlignment="1">
      <alignment horizontal="center" vertical="center"/>
    </xf>
    <xf numFmtId="43" fontId="2" fillId="0" borderId="7" xfId="1" applyFont="1" applyFill="1" applyBorder="1" applyAlignment="1">
      <alignment horizontal="left" vertical="top"/>
    </xf>
    <xf numFmtId="43" fontId="2" fillId="0" borderId="5" xfId="0" applyNumberFormat="1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43" fontId="0" fillId="0" borderId="6" xfId="1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43" fontId="2" fillId="0" borderId="7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1" fillId="0" borderId="1" xfId="1" applyFont="1" applyFill="1" applyBorder="1" applyAlignment="1"/>
    <xf numFmtId="43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43" fontId="2" fillId="0" borderId="10" xfId="1" applyFont="1" applyFill="1" applyBorder="1" applyAlignment="1"/>
    <xf numFmtId="43" fontId="2" fillId="0" borderId="1" xfId="1" applyFont="1" applyFill="1" applyBorder="1" applyAlignment="1"/>
    <xf numFmtId="43" fontId="2" fillId="0" borderId="0" xfId="1" applyFont="1" applyFill="1" applyBorder="1" applyAlignment="1"/>
    <xf numFmtId="43" fontId="2" fillId="0" borderId="6" xfId="1" applyFont="1" applyFill="1" applyBorder="1" applyAlignme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43" fontId="2" fillId="0" borderId="1" xfId="0" applyNumberFormat="1" applyFont="1" applyBorder="1"/>
    <xf numFmtId="43" fontId="2" fillId="0" borderId="11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43" fontId="2" fillId="0" borderId="4" xfId="1" applyFont="1" applyBorder="1" applyAlignment="1">
      <alignment horizontal="center"/>
    </xf>
    <xf numFmtId="43" fontId="0" fillId="0" borderId="1" xfId="1" applyFont="1" applyBorder="1"/>
    <xf numFmtId="43" fontId="2" fillId="0" borderId="11" xfId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0" xfId="0" applyNumberFormat="1"/>
    <xf numFmtId="0" fontId="0" fillId="0" borderId="13" xfId="0" applyBorder="1"/>
    <xf numFmtId="0" fontId="0" fillId="0" borderId="13" xfId="0" applyBorder="1" applyAlignment="1">
      <alignment horizontal="center"/>
    </xf>
    <xf numFmtId="17" fontId="0" fillId="0" borderId="0" xfId="0" applyNumberFormat="1" applyAlignment="1">
      <alignment horizontal="center"/>
    </xf>
    <xf numFmtId="43" fontId="2" fillId="0" borderId="1" xfId="1" applyFont="1" applyFill="1" applyBorder="1" applyAlignment="1">
      <alignment horizontal="center" vertical="center"/>
    </xf>
    <xf numFmtId="43" fontId="0" fillId="0" borderId="5" xfId="1" applyFont="1" applyFill="1" applyBorder="1"/>
    <xf numFmtId="43" fontId="0" fillId="0" borderId="0" xfId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43" fontId="0" fillId="0" borderId="0" xfId="1" applyFont="1" applyFill="1" applyBorder="1" applyAlignment="1">
      <alignment horizontal="left" vertical="top"/>
    </xf>
    <xf numFmtId="0" fontId="0" fillId="0" borderId="8" xfId="0" applyBorder="1"/>
    <xf numFmtId="4" fontId="0" fillId="0" borderId="7" xfId="0" applyNumberFormat="1" applyBorder="1"/>
    <xf numFmtId="4" fontId="2" fillId="0" borderId="12" xfId="0" applyNumberFormat="1" applyFont="1" applyBorder="1"/>
    <xf numFmtId="0" fontId="0" fillId="0" borderId="15" xfId="0" applyBorder="1"/>
    <xf numFmtId="0" fontId="0" fillId="0" borderId="10" xfId="0" applyBorder="1"/>
    <xf numFmtId="9" fontId="11" fillId="0" borderId="5" xfId="0" applyNumberFormat="1" applyFont="1" applyBorder="1" applyAlignment="1">
      <alignment horizontal="center" vertical="center" wrapText="1"/>
    </xf>
    <xf numFmtId="43" fontId="11" fillId="0" borderId="5" xfId="1" applyFont="1" applyBorder="1" applyAlignment="1">
      <alignment horizontal="center" vertical="center"/>
    </xf>
    <xf numFmtId="43" fontId="11" fillId="0" borderId="5" xfId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/>
    </xf>
    <xf numFmtId="43" fontId="11" fillId="0" borderId="1" xfId="1" applyFont="1" applyBorder="1" applyAlignment="1">
      <alignment vertical="center"/>
    </xf>
    <xf numFmtId="43" fontId="8" fillId="0" borderId="1" xfId="1" applyFont="1" applyBorder="1" applyAlignment="1">
      <alignment vertical="center"/>
    </xf>
    <xf numFmtId="9" fontId="11" fillId="0" borderId="1" xfId="4" applyNumberFormat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/>
    </xf>
    <xf numFmtId="165" fontId="2" fillId="0" borderId="1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43" fontId="11" fillId="0" borderId="0" xfId="1" applyFont="1" applyBorder="1" applyAlignment="1">
      <alignment horizontal="right" vertical="center"/>
    </xf>
    <xf numFmtId="43" fontId="11" fillId="0" borderId="0" xfId="1" applyFont="1" applyBorder="1" applyAlignment="1">
      <alignment horizontal="center" vertical="center"/>
    </xf>
    <xf numFmtId="43" fontId="11" fillId="0" borderId="0" xfId="1" applyFont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9" fontId="11" fillId="0" borderId="5" xfId="4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43" fontId="11" fillId="0" borderId="16" xfId="1" applyFont="1" applyBorder="1" applyAlignment="1">
      <alignment horizontal="right" vertical="center"/>
    </xf>
    <xf numFmtId="43" fontId="11" fillId="0" borderId="16" xfId="1" applyFont="1" applyBorder="1" applyAlignment="1">
      <alignment horizontal="center" vertical="center"/>
    </xf>
    <xf numFmtId="43" fontId="11" fillId="0" borderId="16" xfId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0" fillId="0" borderId="1" xfId="1" applyFont="1" applyFill="1" applyBorder="1"/>
    <xf numFmtId="43" fontId="2" fillId="0" borderId="1" xfId="1" applyFont="1" applyBorder="1"/>
    <xf numFmtId="43" fontId="0" fillId="0" borderId="1" xfId="1" applyFont="1" applyBorder="1" applyAlignment="1">
      <alignment horizontal="center"/>
    </xf>
    <xf numFmtId="43" fontId="0" fillId="0" borderId="1" xfId="1" applyFont="1" applyBorder="1" applyAlignment="1">
      <alignment horizontal="left"/>
    </xf>
    <xf numFmtId="9" fontId="0" fillId="0" borderId="0" xfId="0" applyNumberFormat="1"/>
    <xf numFmtId="0" fontId="2" fillId="0" borderId="0" xfId="0" applyFont="1" applyAlignment="1">
      <alignment horizontal="left"/>
    </xf>
    <xf numFmtId="164" fontId="0" fillId="0" borderId="1" xfId="0" applyNumberFormat="1" applyBorder="1" applyAlignment="1">
      <alignment horizontal="center"/>
    </xf>
    <xf numFmtId="43" fontId="2" fillId="0" borderId="0" xfId="0" applyNumberFormat="1" applyFont="1"/>
    <xf numFmtId="0" fontId="0" fillId="0" borderId="7" xfId="0" applyBorder="1"/>
    <xf numFmtId="43" fontId="1" fillId="0" borderId="0" xfId="1" applyFont="1" applyAlignment="1">
      <alignment horizontal="left" vertical="top"/>
    </xf>
    <xf numFmtId="0" fontId="0" fillId="0" borderId="4" xfId="0" quotePrefix="1" applyBorder="1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4" xfId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1" fillId="2" borderId="1" xfId="1" applyFont="1" applyFill="1" applyBorder="1" applyAlignment="1"/>
    <xf numFmtId="164" fontId="0" fillId="0" borderId="0" xfId="0" applyNumberFormat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2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4" xfId="0" applyBorder="1"/>
    <xf numFmtId="43" fontId="0" fillId="0" borderId="4" xfId="1" applyFont="1" applyFill="1" applyBorder="1"/>
    <xf numFmtId="0" fontId="2" fillId="0" borderId="11" xfId="0" applyFont="1" applyBorder="1" applyAlignment="1">
      <alignment horizontal="center"/>
    </xf>
    <xf numFmtId="43" fontId="0" fillId="0" borderId="0" xfId="1" applyFont="1"/>
    <xf numFmtId="43" fontId="0" fillId="0" borderId="13" xfId="1" applyFont="1" applyBorder="1"/>
    <xf numFmtId="43" fontId="2" fillId="0" borderId="16" xfId="1" applyFont="1" applyBorder="1"/>
    <xf numFmtId="166" fontId="2" fillId="0" borderId="17" xfId="0" applyNumberFormat="1" applyFont="1" applyBorder="1"/>
    <xf numFmtId="0" fontId="0" fillId="0" borderId="0" xfId="0" applyAlignment="1">
      <alignment horizontal="left"/>
    </xf>
    <xf numFmtId="0" fontId="12" fillId="0" borderId="0" xfId="0" applyFont="1"/>
    <xf numFmtId="43" fontId="12" fillId="0" borderId="0" xfId="1" applyFont="1" applyFill="1" applyBorder="1"/>
    <xf numFmtId="0" fontId="1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43" fontId="0" fillId="0" borderId="8" xfId="1" applyFont="1" applyFill="1" applyBorder="1"/>
    <xf numFmtId="43" fontId="0" fillId="0" borderId="0" xfId="1" applyFont="1" applyFill="1" applyBorder="1"/>
    <xf numFmtId="43" fontId="2" fillId="0" borderId="0" xfId="1" applyFont="1" applyFill="1" applyBorder="1"/>
    <xf numFmtId="43" fontId="2" fillId="0" borderId="7" xfId="1" applyFont="1" applyFill="1" applyBorder="1"/>
    <xf numFmtId="0" fontId="13" fillId="0" borderId="8" xfId="0" applyFont="1" applyBorder="1"/>
    <xf numFmtId="0" fontId="14" fillId="0" borderId="8" xfId="0" applyFont="1" applyBorder="1"/>
    <xf numFmtId="0" fontId="2" fillId="0" borderId="0" xfId="1" applyNumberFormat="1" applyFon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0" fontId="2" fillId="0" borderId="7" xfId="1" applyNumberFormat="1" applyFont="1" applyFill="1" applyBorder="1" applyAlignment="1">
      <alignment horizontal="left" vertical="top"/>
    </xf>
    <xf numFmtId="43" fontId="0" fillId="0" borderId="8" xfId="1" applyFont="1" applyBorder="1"/>
    <xf numFmtId="1" fontId="16" fillId="0" borderId="8" xfId="5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1" fontId="17" fillId="0" borderId="8" xfId="5" applyNumberFormat="1" applyFont="1" applyBorder="1" applyAlignment="1">
      <alignment vertical="center"/>
    </xf>
    <xf numFmtId="167" fontId="17" fillId="0" borderId="15" xfId="6" applyNumberFormat="1" applyFont="1" applyBorder="1" applyAlignment="1">
      <alignment horizontal="left" vertical="center"/>
    </xf>
    <xf numFmtId="167" fontId="17" fillId="0" borderId="13" xfId="6" applyNumberFormat="1" applyFont="1" applyBorder="1" applyAlignment="1">
      <alignment horizontal="left" vertical="center"/>
    </xf>
    <xf numFmtId="0" fontId="2" fillId="0" borderId="13" xfId="1" applyNumberFormat="1" applyFont="1" applyFill="1" applyBorder="1" applyAlignment="1">
      <alignment horizontal="left" vertical="top"/>
    </xf>
    <xf numFmtId="0" fontId="0" fillId="0" borderId="13" xfId="1" applyNumberFormat="1" applyFont="1" applyFill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" fillId="0" borderId="10" xfId="1" applyNumberFormat="1" applyFont="1" applyFill="1" applyBorder="1" applyAlignment="1">
      <alignment horizontal="left" vertical="top"/>
    </xf>
    <xf numFmtId="0" fontId="19" fillId="0" borderId="1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3" fontId="2" fillId="0" borderId="11" xfId="1" applyFont="1" applyFill="1" applyBorder="1" applyAlignment="1">
      <alignment horizontal="left" vertical="top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0" xfId="1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7" fillId="0" borderId="0" xfId="0" applyFont="1" applyBorder="1" applyAlignment="1">
      <alignment vertical="center"/>
    </xf>
    <xf numFmtId="2" fontId="17" fillId="0" borderId="0" xfId="0" applyNumberFormat="1" applyFont="1" applyBorder="1" applyAlignment="1">
      <alignment vertical="center"/>
    </xf>
  </cellXfs>
  <cellStyles count="7">
    <cellStyle name="Comma" xfId="1" builtinId="3"/>
    <cellStyle name="Comma 2" xfId="4" xr:uid="{00000000-0005-0000-0000-000001000000}"/>
    <cellStyle name="Hyperlink" xfId="3" builtinId="8"/>
    <cellStyle name="Normal" xfId="0" builtinId="0"/>
    <cellStyle name="Normal 2" xfId="2" xr:uid="{00000000-0005-0000-0000-000004000000}"/>
    <cellStyle name="Normal_BSPL 2004 NS" xfId="6" xr:uid="{45BCC1F0-D39B-4B3D-98BD-30B45EDD4A6B}"/>
    <cellStyle name="Normal_FY 2003-2004  2 2" xfId="5" xr:uid="{A912FF84-5F3A-4240-83CE-C04D080BA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Normal="100" zoomScaleSheetLayoutView="100" workbookViewId="0">
      <selection activeCell="G8" sqref="G8"/>
    </sheetView>
  </sheetViews>
  <sheetFormatPr defaultColWidth="8.88671875" defaultRowHeight="14.4" x14ac:dyDescent="0.3"/>
  <cols>
    <col min="1" max="1" width="14.77734375" style="5" customWidth="1"/>
    <col min="2" max="2" width="33.6640625" bestFit="1" customWidth="1"/>
    <col min="3" max="3" width="14.77734375" style="5" customWidth="1"/>
    <col min="4" max="4" width="14.77734375" style="6" customWidth="1"/>
    <col min="5" max="5" width="14.77734375" style="5" customWidth="1"/>
    <col min="6" max="6" width="40.6640625" bestFit="1" customWidth="1"/>
    <col min="7" max="7" width="14.77734375" style="5" customWidth="1"/>
    <col min="8" max="8" width="14.77734375" style="6" customWidth="1"/>
    <col min="9" max="9" width="13.88671875" bestFit="1" customWidth="1"/>
    <col min="10" max="10" width="13.109375" bestFit="1" customWidth="1"/>
  </cols>
  <sheetData>
    <row r="1" spans="1:9" ht="18" x14ac:dyDescent="0.3">
      <c r="A1" s="179" t="s">
        <v>110</v>
      </c>
      <c r="B1" s="180"/>
      <c r="C1" s="180"/>
      <c r="D1" s="180"/>
      <c r="E1" s="180"/>
      <c r="F1" s="180"/>
      <c r="G1" s="180"/>
      <c r="H1" s="181"/>
    </row>
    <row r="2" spans="1:9" x14ac:dyDescent="0.3">
      <c r="A2" s="182" t="s">
        <v>111</v>
      </c>
      <c r="B2" s="183"/>
      <c r="C2" s="183"/>
      <c r="D2" s="183"/>
      <c r="E2" s="183"/>
      <c r="F2" s="183"/>
      <c r="G2" s="183"/>
      <c r="H2" s="184"/>
    </row>
    <row r="3" spans="1:9" x14ac:dyDescent="0.3">
      <c r="A3" s="182" t="s">
        <v>112</v>
      </c>
      <c r="B3" s="183"/>
      <c r="C3" s="183"/>
      <c r="D3" s="183"/>
      <c r="E3" s="183"/>
      <c r="F3" s="183"/>
      <c r="G3" s="183"/>
      <c r="H3" s="184"/>
    </row>
    <row r="4" spans="1:9" ht="15.6" x14ac:dyDescent="0.3">
      <c r="A4" s="185" t="s">
        <v>285</v>
      </c>
      <c r="B4" s="186"/>
      <c r="C4" s="186"/>
      <c r="D4" s="186"/>
      <c r="E4" s="186"/>
      <c r="F4" s="186"/>
      <c r="G4" s="186"/>
      <c r="H4" s="187"/>
    </row>
    <row r="5" spans="1:9" s="31" customFormat="1" ht="15" thickBot="1" x14ac:dyDescent="0.35">
      <c r="A5" s="191" t="s">
        <v>109</v>
      </c>
      <c r="B5" s="192" t="s">
        <v>0</v>
      </c>
      <c r="C5" s="193"/>
      <c r="D5" s="191" t="s">
        <v>284</v>
      </c>
      <c r="E5" s="191" t="str">
        <f>A5</f>
        <v>FY 2024-25</v>
      </c>
      <c r="F5" s="192" t="s">
        <v>1</v>
      </c>
      <c r="G5" s="193"/>
      <c r="H5" s="191" t="str">
        <f>D5</f>
        <v>FY 2025-26</v>
      </c>
    </row>
    <row r="6" spans="1:9" s="3" customFormat="1" x14ac:dyDescent="0.3">
      <c r="A6" s="16"/>
      <c r="B6" s="26"/>
      <c r="C6" s="33"/>
      <c r="D6" s="16"/>
      <c r="E6" s="16"/>
      <c r="F6" s="34"/>
      <c r="G6" s="37"/>
      <c r="H6" s="32"/>
    </row>
    <row r="7" spans="1:9" x14ac:dyDescent="0.3">
      <c r="A7" s="14"/>
      <c r="B7" s="26" t="s">
        <v>8</v>
      </c>
      <c r="C7" s="14"/>
      <c r="D7" s="16"/>
      <c r="E7" s="20"/>
      <c r="F7" s="26" t="s">
        <v>5</v>
      </c>
      <c r="G7" s="14"/>
      <c r="H7" s="16"/>
    </row>
    <row r="8" spans="1:9" x14ac:dyDescent="0.3">
      <c r="A8" s="24"/>
      <c r="B8" s="34" t="s">
        <v>2</v>
      </c>
      <c r="C8" s="14"/>
      <c r="D8" s="16"/>
      <c r="E8" s="14">
        <v>97</v>
      </c>
      <c r="F8" s="15" t="s">
        <v>113</v>
      </c>
      <c r="G8" s="14">
        <v>-4268</v>
      </c>
      <c r="H8" s="16"/>
    </row>
    <row r="9" spans="1:9" x14ac:dyDescent="0.3">
      <c r="A9" s="14">
        <v>10000</v>
      </c>
      <c r="B9" s="15" t="s">
        <v>123</v>
      </c>
      <c r="C9" s="14"/>
      <c r="D9" s="16">
        <v>10000</v>
      </c>
      <c r="E9" s="14">
        <v>72489.600000000006</v>
      </c>
      <c r="F9" s="15" t="s">
        <v>226</v>
      </c>
      <c r="G9" s="14">
        <f>BRS!C4</f>
        <v>67689.600000000006</v>
      </c>
      <c r="H9" s="16"/>
    </row>
    <row r="10" spans="1:9" x14ac:dyDescent="0.3">
      <c r="A10" s="14"/>
      <c r="B10" s="26"/>
      <c r="C10" s="14"/>
      <c r="D10" s="16"/>
      <c r="E10" s="14">
        <v>819015.53</v>
      </c>
      <c r="F10" s="15" t="s">
        <v>114</v>
      </c>
      <c r="G10" s="35">
        <f>BRS!C14</f>
        <v>1747041.53</v>
      </c>
      <c r="H10" s="16">
        <f>SUM(G8:G10)</f>
        <v>1810463.1300000001</v>
      </c>
    </row>
    <row r="11" spans="1:9" x14ac:dyDescent="0.3">
      <c r="A11" s="14"/>
      <c r="B11" s="15" t="s">
        <v>124</v>
      </c>
      <c r="C11" s="14"/>
      <c r="D11" s="16"/>
      <c r="E11" s="14"/>
      <c r="F11" s="15"/>
      <c r="G11" s="14"/>
      <c r="H11" s="16"/>
    </row>
    <row r="12" spans="1:9" x14ac:dyDescent="0.3">
      <c r="A12" s="14">
        <v>21500</v>
      </c>
      <c r="B12" s="15" t="s">
        <v>125</v>
      </c>
      <c r="C12" s="14"/>
      <c r="D12" s="16">
        <v>21500</v>
      </c>
      <c r="E12" s="14"/>
      <c r="F12" s="26" t="s">
        <v>115</v>
      </c>
      <c r="G12" s="14"/>
      <c r="H12" s="16"/>
    </row>
    <row r="13" spans="1:9" x14ac:dyDescent="0.3">
      <c r="A13" s="14"/>
      <c r="B13" s="26" t="s">
        <v>126</v>
      </c>
      <c r="C13" s="14"/>
      <c r="D13" s="16"/>
      <c r="E13" s="14">
        <v>100</v>
      </c>
      <c r="F13" s="15" t="s">
        <v>116</v>
      </c>
      <c r="G13" s="14">
        <v>100</v>
      </c>
      <c r="H13" s="16"/>
    </row>
    <row r="14" spans="1:9" x14ac:dyDescent="0.3">
      <c r="A14" s="14">
        <v>27956</v>
      </c>
      <c r="B14" s="15" t="s">
        <v>242</v>
      </c>
      <c r="C14" s="14">
        <f>27956+1200+330+2170</f>
        <v>31656</v>
      </c>
      <c r="D14" s="16"/>
      <c r="E14" s="14">
        <v>1342632</v>
      </c>
      <c r="F14" s="15" t="s">
        <v>229</v>
      </c>
      <c r="G14" s="14">
        <f>'Sch-I FD'!D30</f>
        <v>1577151</v>
      </c>
      <c r="H14" s="16"/>
    </row>
    <row r="15" spans="1:9" x14ac:dyDescent="0.3">
      <c r="A15" s="14">
        <v>1200</v>
      </c>
      <c r="B15" s="17" t="s">
        <v>243</v>
      </c>
      <c r="C15" s="14">
        <v>25700</v>
      </c>
      <c r="D15" s="32"/>
      <c r="E15" s="14">
        <v>31988</v>
      </c>
      <c r="F15" s="15" t="s">
        <v>227</v>
      </c>
      <c r="G15" s="14">
        <f>'Sch-I FD'!E30+'Sch-I FD'!F30+'Sch-I FD'!G30-'Sch-I FD'!G16-'Sch-I FD'!G21-'Sch-I FD'!G27</f>
        <v>62799</v>
      </c>
      <c r="H15" s="16"/>
    </row>
    <row r="16" spans="1:9" x14ac:dyDescent="0.3">
      <c r="A16" s="14">
        <v>330</v>
      </c>
      <c r="B16" s="15" t="s">
        <v>274</v>
      </c>
      <c r="C16" s="14">
        <f>IE!G25</f>
        <v>498</v>
      </c>
      <c r="D16" s="32"/>
      <c r="E16" s="14">
        <v>13461</v>
      </c>
      <c r="F16" s="15" t="s">
        <v>228</v>
      </c>
      <c r="G16" s="35">
        <f>'Sch-I FD'!G16+'Sch-I FD'!G21+'Sch-I FD'!G27</f>
        <v>15668</v>
      </c>
      <c r="H16" s="16">
        <f>SUM(G13:G16)</f>
        <v>1655718</v>
      </c>
      <c r="I16" s="1"/>
    </row>
    <row r="17" spans="1:9" x14ac:dyDescent="0.3">
      <c r="A17" s="14">
        <v>2170</v>
      </c>
      <c r="B17" s="15" t="s">
        <v>269</v>
      </c>
      <c r="C17" s="35">
        <f>IE!C58</f>
        <v>50376</v>
      </c>
      <c r="D17" s="16">
        <f>SUM(C14:C17)</f>
        <v>108230</v>
      </c>
      <c r="E17" s="14"/>
      <c r="F17" s="15"/>
      <c r="G17" s="14"/>
      <c r="H17" s="16"/>
    </row>
    <row r="18" spans="1:9" x14ac:dyDescent="0.3">
      <c r="A18" s="14"/>
      <c r="B18" s="26" t="s">
        <v>3</v>
      </c>
      <c r="C18" s="14"/>
      <c r="D18" s="16"/>
      <c r="E18" s="14"/>
      <c r="F18" s="26" t="s">
        <v>117</v>
      </c>
      <c r="G18" s="14"/>
      <c r="H18" s="16"/>
    </row>
    <row r="19" spans="1:9" x14ac:dyDescent="0.3">
      <c r="A19" s="14">
        <v>152852</v>
      </c>
      <c r="B19" s="15" t="s">
        <v>242</v>
      </c>
      <c r="C19" s="14">
        <f>152852+169992+7025</f>
        <v>329869</v>
      </c>
      <c r="D19" s="16"/>
      <c r="E19" s="14">
        <v>34740</v>
      </c>
      <c r="F19" s="15" t="s">
        <v>118</v>
      </c>
      <c r="G19" s="14"/>
      <c r="H19" s="16">
        <v>34740</v>
      </c>
    </row>
    <row r="20" spans="1:9" x14ac:dyDescent="0.3">
      <c r="A20" s="14">
        <v>169992</v>
      </c>
      <c r="B20" s="17" t="s">
        <v>243</v>
      </c>
      <c r="C20" s="14">
        <v>169956</v>
      </c>
      <c r="D20" s="16"/>
      <c r="E20" s="14"/>
      <c r="F20" s="26"/>
      <c r="G20" s="14"/>
      <c r="H20" s="16"/>
    </row>
    <row r="21" spans="1:9" x14ac:dyDescent="0.3">
      <c r="A21" s="14">
        <v>7025</v>
      </c>
      <c r="B21" s="15" t="s">
        <v>283</v>
      </c>
      <c r="C21" s="35">
        <f>IE!G26</f>
        <v>13072</v>
      </c>
      <c r="D21" s="16">
        <f>SUM(C19:C21)</f>
        <v>512897</v>
      </c>
      <c r="E21" s="14"/>
      <c r="F21" s="26" t="s">
        <v>239</v>
      </c>
      <c r="G21" s="14"/>
      <c r="H21" s="16"/>
      <c r="I21" s="1"/>
    </row>
    <row r="22" spans="1:9" x14ac:dyDescent="0.3">
      <c r="A22" s="14"/>
      <c r="B22" s="26" t="s">
        <v>127</v>
      </c>
      <c r="C22" s="14"/>
      <c r="D22" s="16"/>
      <c r="E22" s="14">
        <v>13233</v>
      </c>
      <c r="F22" s="15" t="s">
        <v>238</v>
      </c>
      <c r="G22" s="14">
        <f>'Sch-III, IV &amp; V'!D20</f>
        <v>23319</v>
      </c>
      <c r="H22" s="16"/>
      <c r="I22" s="1"/>
    </row>
    <row r="23" spans="1:9" x14ac:dyDescent="0.3">
      <c r="A23" s="14">
        <v>193500</v>
      </c>
      <c r="B23" s="15" t="s">
        <v>242</v>
      </c>
      <c r="C23" s="14">
        <f>193500+509976+39324</f>
        <v>742800</v>
      </c>
      <c r="D23" s="16"/>
      <c r="E23" s="14">
        <v>216192</v>
      </c>
      <c r="F23" s="15" t="s">
        <v>321</v>
      </c>
      <c r="G23" s="14">
        <v>0</v>
      </c>
      <c r="H23" s="16"/>
      <c r="I23" s="1"/>
    </row>
    <row r="24" spans="1:9" x14ac:dyDescent="0.3">
      <c r="A24" s="14">
        <v>509976</v>
      </c>
      <c r="B24" s="17" t="s">
        <v>243</v>
      </c>
      <c r="C24" s="14">
        <v>509805</v>
      </c>
      <c r="D24" s="16"/>
      <c r="E24" s="14">
        <v>4736</v>
      </c>
      <c r="F24" s="15" t="s">
        <v>240</v>
      </c>
      <c r="G24" s="14">
        <v>10928</v>
      </c>
      <c r="H24" s="16"/>
      <c r="I24" s="1"/>
    </row>
    <row r="25" spans="1:9" x14ac:dyDescent="0.3">
      <c r="A25" s="14">
        <v>39324</v>
      </c>
      <c r="B25" s="15" t="s">
        <v>283</v>
      </c>
      <c r="C25" s="35">
        <f>IE!G28</f>
        <v>52724</v>
      </c>
      <c r="D25" s="16">
        <f>SUM(C23:C25)</f>
        <v>1305329</v>
      </c>
      <c r="E25" s="14">
        <v>23000</v>
      </c>
      <c r="F25" s="15" t="s">
        <v>241</v>
      </c>
      <c r="G25" s="14">
        <f>'Sch-III, IV &amp; V'!D29</f>
        <v>320420</v>
      </c>
      <c r="H25" s="16"/>
      <c r="I25" s="1"/>
    </row>
    <row r="26" spans="1:9" x14ac:dyDescent="0.3">
      <c r="A26" s="14"/>
      <c r="B26" s="26" t="s">
        <v>7</v>
      </c>
      <c r="C26" s="14"/>
      <c r="D26" s="16"/>
      <c r="E26" s="14">
        <v>3868</v>
      </c>
      <c r="F26" s="15" t="s">
        <v>275</v>
      </c>
      <c r="G26" s="35">
        <v>3868</v>
      </c>
      <c r="H26" s="16">
        <f>SUM(G22:G26)</f>
        <v>358535</v>
      </c>
    </row>
    <row r="27" spans="1:9" x14ac:dyDescent="0.3">
      <c r="A27" s="14">
        <v>3870</v>
      </c>
      <c r="B27" s="15" t="s">
        <v>242</v>
      </c>
      <c r="C27" s="14">
        <f>3870+5160+21</f>
        <v>9051</v>
      </c>
      <c r="D27" s="16"/>
      <c r="E27" s="14"/>
      <c r="F27" s="15"/>
      <c r="G27" s="14"/>
      <c r="H27" s="16"/>
    </row>
    <row r="28" spans="1:9" x14ac:dyDescent="0.3">
      <c r="A28" s="14">
        <v>5160</v>
      </c>
      <c r="B28" s="17" t="s">
        <v>243</v>
      </c>
      <c r="C28" s="14">
        <v>5160</v>
      </c>
      <c r="D28" s="16"/>
      <c r="E28" s="14">
        <v>15453533</v>
      </c>
      <c r="F28" s="15" t="s">
        <v>256</v>
      </c>
      <c r="G28" s="14"/>
      <c r="H28" s="16">
        <f>'Sch-II FA'!I21</f>
        <v>15439046</v>
      </c>
    </row>
    <row r="29" spans="1:9" x14ac:dyDescent="0.3">
      <c r="A29" s="14">
        <v>21</v>
      </c>
      <c r="B29" s="15" t="s">
        <v>274</v>
      </c>
      <c r="C29" s="35">
        <f>IE!G27</f>
        <v>634</v>
      </c>
      <c r="D29" s="16">
        <f>SUM(C27:C29)</f>
        <v>14845</v>
      </c>
      <c r="E29" s="14"/>
      <c r="F29" s="15"/>
      <c r="G29" s="20"/>
      <c r="H29" s="32"/>
    </row>
    <row r="30" spans="1:9" x14ac:dyDescent="0.3">
      <c r="A30" s="14"/>
      <c r="B30" s="26"/>
      <c r="C30" s="14"/>
      <c r="D30" s="19"/>
      <c r="E30" s="14">
        <v>152155</v>
      </c>
      <c r="F30" s="15" t="s">
        <v>257</v>
      </c>
      <c r="G30" s="20"/>
      <c r="H30" s="32">
        <f>'Sch-III, IV &amp; V'!D12</f>
        <v>45763</v>
      </c>
    </row>
    <row r="31" spans="1:9" x14ac:dyDescent="0.3">
      <c r="A31" s="14"/>
      <c r="B31" s="26" t="s">
        <v>128</v>
      </c>
      <c r="C31" s="14"/>
      <c r="D31" s="19"/>
      <c r="E31" s="14"/>
      <c r="F31" s="15"/>
      <c r="G31" s="20"/>
      <c r="H31" s="32"/>
    </row>
    <row r="32" spans="1:9" x14ac:dyDescent="0.3">
      <c r="A32" s="14">
        <v>15147120</v>
      </c>
      <c r="B32" s="15" t="s">
        <v>119</v>
      </c>
      <c r="C32" s="14"/>
      <c r="D32" s="16">
        <v>15147120</v>
      </c>
      <c r="E32" s="14"/>
      <c r="F32" s="15"/>
      <c r="G32" s="20"/>
      <c r="H32" s="32"/>
    </row>
    <row r="33" spans="1:8" x14ac:dyDescent="0.3">
      <c r="A33" s="14"/>
      <c r="B33" s="26"/>
      <c r="C33" s="14"/>
      <c r="D33" s="16"/>
      <c r="E33" s="14"/>
      <c r="F33" s="15"/>
      <c r="G33" s="20"/>
      <c r="H33" s="32"/>
    </row>
    <row r="34" spans="1:8" x14ac:dyDescent="0.3">
      <c r="A34" s="14"/>
      <c r="B34" s="26" t="s">
        <v>129</v>
      </c>
      <c r="C34" s="14"/>
      <c r="D34" s="16"/>
      <c r="E34" s="14"/>
      <c r="F34" s="15"/>
      <c r="G34" s="20"/>
      <c r="H34" s="32"/>
    </row>
    <row r="35" spans="1:8" x14ac:dyDescent="0.3">
      <c r="A35" s="14">
        <v>81340.53</v>
      </c>
      <c r="B35" s="15" t="s">
        <v>130</v>
      </c>
      <c r="C35" s="14">
        <f>'Old Member Balance'!F3</f>
        <v>81340.53</v>
      </c>
      <c r="D35" s="16"/>
      <c r="E35" s="14"/>
      <c r="F35" s="15"/>
      <c r="G35" s="20"/>
      <c r="H35" s="32"/>
    </row>
    <row r="36" spans="1:8" x14ac:dyDescent="0.3">
      <c r="A36" s="14">
        <v>-61005</v>
      </c>
      <c r="B36" s="15" t="s">
        <v>244</v>
      </c>
      <c r="C36" s="35">
        <f>'Old Member Balance'!E20</f>
        <v>65072</v>
      </c>
      <c r="D36" s="16">
        <f>C35-C36</f>
        <v>16268.529999999999</v>
      </c>
      <c r="E36" s="14"/>
      <c r="F36" s="15"/>
      <c r="G36" s="20"/>
      <c r="H36" s="32"/>
    </row>
    <row r="37" spans="1:8" x14ac:dyDescent="0.3">
      <c r="A37" s="14"/>
      <c r="B37" s="15"/>
      <c r="C37" s="14"/>
      <c r="D37" s="16"/>
      <c r="E37" s="14"/>
      <c r="F37" s="15"/>
      <c r="G37" s="20"/>
      <c r="H37" s="32"/>
    </row>
    <row r="38" spans="1:8" x14ac:dyDescent="0.3">
      <c r="A38" s="14"/>
      <c r="B38" s="36" t="s">
        <v>131</v>
      </c>
      <c r="C38" s="14"/>
      <c r="D38" s="16"/>
      <c r="E38" s="14"/>
      <c r="F38" s="15"/>
      <c r="G38" s="20"/>
      <c r="H38" s="32"/>
    </row>
    <row r="39" spans="1:8" x14ac:dyDescent="0.3">
      <c r="A39" s="14">
        <v>116328</v>
      </c>
      <c r="B39" s="17" t="s">
        <v>255</v>
      </c>
      <c r="C39" s="14">
        <f>'Sch-VI &amp; VII'!D13</f>
        <v>125806</v>
      </c>
      <c r="D39" s="16"/>
      <c r="E39" s="14"/>
      <c r="F39" s="15"/>
      <c r="G39" s="20"/>
      <c r="H39" s="32"/>
    </row>
    <row r="40" spans="1:8" x14ac:dyDescent="0.3">
      <c r="A40" s="14">
        <v>4084</v>
      </c>
      <c r="B40" s="17" t="s">
        <v>270</v>
      </c>
      <c r="C40" s="14">
        <v>425</v>
      </c>
      <c r="D40" s="16"/>
      <c r="E40" s="14"/>
      <c r="F40" s="15"/>
      <c r="G40" s="20"/>
      <c r="H40" s="32"/>
    </row>
    <row r="41" spans="1:8" x14ac:dyDescent="0.3">
      <c r="A41" s="14">
        <v>64003</v>
      </c>
      <c r="B41" s="17" t="s">
        <v>258</v>
      </c>
      <c r="C41" s="35">
        <f>'Sch-VI &amp; VII'!D36</f>
        <v>246224.5</v>
      </c>
      <c r="D41" s="16">
        <f>SUM(C39:C41)</f>
        <v>372455.5</v>
      </c>
      <c r="E41" s="14"/>
      <c r="F41" s="15"/>
      <c r="G41" s="20"/>
      <c r="H41" s="32"/>
    </row>
    <row r="42" spans="1:8" x14ac:dyDescent="0.3">
      <c r="A42" s="14"/>
      <c r="B42" s="17"/>
      <c r="C42" s="14"/>
      <c r="D42" s="16"/>
      <c r="E42" s="14"/>
      <c r="F42" s="15"/>
      <c r="G42" s="20"/>
      <c r="H42" s="32"/>
    </row>
    <row r="43" spans="1:8" x14ac:dyDescent="0.3">
      <c r="A43" s="14"/>
      <c r="B43" s="36" t="s">
        <v>133</v>
      </c>
      <c r="C43" s="14"/>
      <c r="D43" s="16"/>
      <c r="E43" s="14"/>
      <c r="F43" s="15"/>
      <c r="G43" s="20"/>
      <c r="H43" s="32"/>
    </row>
    <row r="44" spans="1:8" x14ac:dyDescent="0.3">
      <c r="A44" s="14">
        <v>1687985</v>
      </c>
      <c r="B44" s="17" t="s">
        <v>134</v>
      </c>
      <c r="C44" s="14">
        <f>1687985+6508.6</f>
        <v>1694493.6</v>
      </c>
      <c r="D44" s="16"/>
      <c r="E44" s="14"/>
      <c r="F44" s="15"/>
      <c r="G44" s="20"/>
      <c r="H44" s="32"/>
    </row>
    <row r="45" spans="1:8" x14ac:dyDescent="0.3">
      <c r="A45" s="14">
        <v>6508.6</v>
      </c>
      <c r="B45" s="17" t="s">
        <v>135</v>
      </c>
      <c r="C45" s="35">
        <f>IE!C59</f>
        <v>151126.5</v>
      </c>
      <c r="D45" s="16">
        <f>SUM(C44:C45)</f>
        <v>1845620.1</v>
      </c>
      <c r="E45" s="14"/>
      <c r="F45" s="15"/>
      <c r="G45" s="20"/>
      <c r="H45" s="32"/>
    </row>
    <row r="46" spans="1:8" x14ac:dyDescent="0.3">
      <c r="A46" s="14"/>
      <c r="B46" s="17"/>
      <c r="C46" s="35"/>
      <c r="D46" s="16"/>
      <c r="E46" s="14"/>
      <c r="F46" s="15"/>
      <c r="G46" s="20"/>
      <c r="H46" s="32"/>
    </row>
    <row r="47" spans="1:8" ht="15" thickBot="1" x14ac:dyDescent="0.35">
      <c r="A47" s="188">
        <f>SUM(A12:A45)</f>
        <v>18181240.130000003</v>
      </c>
      <c r="B47" s="189" t="s">
        <v>4</v>
      </c>
      <c r="C47" s="190"/>
      <c r="D47" s="188">
        <f>SUM(D10:D46)</f>
        <v>19344265.130000003</v>
      </c>
      <c r="E47" s="188">
        <f>SUM(E8:E40)</f>
        <v>18181240.129999999</v>
      </c>
      <c r="F47" s="189" t="s">
        <v>4</v>
      </c>
      <c r="G47" s="190"/>
      <c r="H47" s="188">
        <f>SUM(H6:H46)</f>
        <v>19344265.129999999</v>
      </c>
    </row>
    <row r="48" spans="1:8" ht="15" thickTop="1" x14ac:dyDescent="0.3">
      <c r="A48" s="159"/>
      <c r="B48" s="194"/>
      <c r="C48" s="160"/>
      <c r="D48" s="161"/>
      <c r="E48" s="160"/>
      <c r="F48" s="194"/>
      <c r="G48" s="160"/>
      <c r="H48" s="162"/>
    </row>
    <row r="49" spans="1:10" x14ac:dyDescent="0.3">
      <c r="A49" s="163" t="s">
        <v>391</v>
      </c>
      <c r="B49" s="194"/>
      <c r="C49" s="194"/>
      <c r="D49" s="161"/>
      <c r="E49" s="160"/>
      <c r="F49" s="194"/>
      <c r="G49" s="160"/>
      <c r="H49" s="162"/>
    </row>
    <row r="50" spans="1:10" x14ac:dyDescent="0.3">
      <c r="A50" s="164"/>
      <c r="B50" s="194"/>
      <c r="C50" s="194"/>
      <c r="D50" s="165"/>
      <c r="E50" s="166"/>
      <c r="F50" s="195" t="s">
        <v>392</v>
      </c>
      <c r="G50" s="166"/>
      <c r="H50" s="167"/>
      <c r="I50" s="1"/>
      <c r="J50" s="1"/>
    </row>
    <row r="51" spans="1:10" x14ac:dyDescent="0.3">
      <c r="A51" s="168"/>
      <c r="B51" s="194"/>
      <c r="C51" s="194"/>
      <c r="D51" s="165"/>
      <c r="E51" s="166"/>
      <c r="F51" s="196"/>
      <c r="G51" s="166"/>
      <c r="H51" s="167"/>
      <c r="I51" s="1">
        <f>A47-E47</f>
        <v>0</v>
      </c>
      <c r="J51" s="1">
        <f>D47-H47</f>
        <v>0</v>
      </c>
    </row>
    <row r="52" spans="1:10" ht="9.9" customHeight="1" x14ac:dyDescent="0.3">
      <c r="A52" s="164"/>
      <c r="B52" s="194"/>
      <c r="C52" s="194"/>
      <c r="D52" s="165"/>
      <c r="E52" s="166"/>
      <c r="F52" s="196"/>
      <c r="G52" s="166"/>
      <c r="H52" s="167"/>
    </row>
    <row r="53" spans="1:10" x14ac:dyDescent="0.3">
      <c r="A53" s="164"/>
      <c r="B53" s="194"/>
      <c r="C53" s="194"/>
      <c r="D53" s="165"/>
      <c r="E53" s="166"/>
      <c r="F53" s="196"/>
      <c r="G53" s="166"/>
      <c r="H53" s="167"/>
      <c r="I53" s="1"/>
      <c r="J53" s="1"/>
    </row>
    <row r="54" spans="1:10" ht="15.6" x14ac:dyDescent="0.3">
      <c r="A54" s="169" t="s">
        <v>393</v>
      </c>
      <c r="B54" s="197"/>
      <c r="C54" s="198"/>
      <c r="D54" s="165"/>
      <c r="E54" s="166"/>
      <c r="F54" s="196"/>
      <c r="G54" s="166"/>
      <c r="H54" s="167"/>
      <c r="I54" s="1">
        <f>A47-E47</f>
        <v>0</v>
      </c>
      <c r="J54" s="1">
        <f>D47-H47</f>
        <v>0</v>
      </c>
    </row>
    <row r="55" spans="1:10" ht="15.6" x14ac:dyDescent="0.3">
      <c r="A55" s="172" t="s">
        <v>394</v>
      </c>
      <c r="B55" s="197"/>
      <c r="C55" s="198"/>
      <c r="D55" s="165"/>
      <c r="E55" s="166"/>
      <c r="F55" s="196"/>
      <c r="G55" s="166"/>
      <c r="H55" s="167"/>
    </row>
    <row r="56" spans="1:10" ht="15.6" x14ac:dyDescent="0.3">
      <c r="A56" s="172" t="s">
        <v>395</v>
      </c>
      <c r="B56" s="197"/>
      <c r="C56" s="198"/>
      <c r="D56" s="165"/>
      <c r="E56" s="166"/>
      <c r="F56" s="196" t="s">
        <v>136</v>
      </c>
      <c r="G56" s="166"/>
      <c r="H56" s="167"/>
    </row>
    <row r="57" spans="1:10" ht="15.6" x14ac:dyDescent="0.3">
      <c r="A57" s="173">
        <v>46248</v>
      </c>
      <c r="B57" s="174"/>
      <c r="C57" s="174"/>
      <c r="D57" s="175"/>
      <c r="E57" s="176"/>
      <c r="F57" s="177"/>
      <c r="G57" s="176"/>
      <c r="H57" s="178"/>
      <c r="I57" s="29"/>
      <c r="J57" s="29"/>
    </row>
    <row r="58" spans="1:10" s="29" customFormat="1" x14ac:dyDescent="0.3">
      <c r="A58" s="28"/>
      <c r="C58" s="28"/>
      <c r="D58" s="30"/>
      <c r="E58" s="28"/>
      <c r="G58" s="28"/>
      <c r="H58" s="30"/>
    </row>
    <row r="59" spans="1:10" s="29" customFormat="1" x14ac:dyDescent="0.3">
      <c r="A59" s="28"/>
      <c r="C59" s="28"/>
      <c r="D59" s="30"/>
      <c r="E59" s="28"/>
      <c r="G59" s="28"/>
      <c r="H59" s="30"/>
    </row>
    <row r="60" spans="1:10" s="29" customFormat="1" x14ac:dyDescent="0.3">
      <c r="A60" s="5"/>
      <c r="B60"/>
      <c r="C60" s="5"/>
      <c r="D60" s="6"/>
      <c r="E60" s="5"/>
      <c r="F60"/>
      <c r="G60" s="5"/>
      <c r="H60" s="6"/>
    </row>
    <row r="61" spans="1:10" s="29" customFormat="1" x14ac:dyDescent="0.3">
      <c r="A61" s="5"/>
      <c r="B61"/>
      <c r="C61" s="5"/>
      <c r="D61" s="6"/>
      <c r="E61" s="5"/>
      <c r="F61"/>
      <c r="G61" s="5"/>
      <c r="H61" s="6"/>
    </row>
    <row r="62" spans="1:10" s="29" customFormat="1" x14ac:dyDescent="0.3">
      <c r="A62" s="5"/>
      <c r="B62"/>
      <c r="C62" s="5"/>
      <c r="D62" s="6"/>
      <c r="E62" s="5"/>
      <c r="F62"/>
      <c r="G62" s="5"/>
      <c r="H62" s="6"/>
    </row>
    <row r="63" spans="1:10" s="29" customFormat="1" x14ac:dyDescent="0.3">
      <c r="A63" s="5"/>
      <c r="B63"/>
      <c r="C63" s="5"/>
      <c r="D63" s="6"/>
      <c r="E63" s="5"/>
      <c r="F63"/>
      <c r="G63" s="5"/>
      <c r="H63" s="6"/>
    </row>
    <row r="64" spans="1:10" s="29" customFormat="1" x14ac:dyDescent="0.3">
      <c r="A64" s="5"/>
      <c r="B64"/>
      <c r="C64" s="5"/>
      <c r="D64" s="6"/>
      <c r="E64" s="5"/>
      <c r="F64"/>
      <c r="G64" s="5"/>
      <c r="H64" s="6"/>
      <c r="I64"/>
      <c r="J64"/>
    </row>
  </sheetData>
  <mergeCells count="9">
    <mergeCell ref="A57:C57"/>
    <mergeCell ref="A1:H1"/>
    <mergeCell ref="B5:C5"/>
    <mergeCell ref="F5:G5"/>
    <mergeCell ref="B47:C47"/>
    <mergeCell ref="F47:G47"/>
    <mergeCell ref="A4:H4"/>
    <mergeCell ref="A3:H3"/>
    <mergeCell ref="A2:H2"/>
  </mergeCells>
  <printOptions horizontalCentered="1"/>
  <pageMargins left="0.31496062992125984" right="0.31496062992125984" top="0.39370078740157483" bottom="0.19685039370078741" header="0.31496062992125984" footer="0.31496062992125984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4"/>
  <sheetViews>
    <sheetView topLeftCell="A60" workbookViewId="0">
      <selection activeCell="G83" sqref="G83"/>
    </sheetView>
  </sheetViews>
  <sheetFormatPr defaultColWidth="8.88671875" defaultRowHeight="14.4" x14ac:dyDescent="0.3"/>
  <cols>
    <col min="1" max="1" width="14" style="5" customWidth="1"/>
    <col min="2" max="2" width="35.88671875" bestFit="1" customWidth="1"/>
    <col min="3" max="3" width="12.5546875" style="5" bestFit="1" customWidth="1"/>
    <col min="4" max="4" width="14.33203125" style="6" bestFit="1" customWidth="1"/>
    <col min="5" max="5" width="14.33203125" style="5" bestFit="1" customWidth="1"/>
    <col min="6" max="6" width="32.44140625" bestFit="1" customWidth="1"/>
    <col min="7" max="7" width="14.33203125" style="5" bestFit="1" customWidth="1"/>
    <col min="8" max="8" width="14.33203125" style="6" bestFit="1" customWidth="1"/>
    <col min="9" max="9" width="11.33203125" bestFit="1" customWidth="1"/>
    <col min="10" max="10" width="12" bestFit="1" customWidth="1"/>
  </cols>
  <sheetData>
    <row r="1" spans="1:11" ht="18" x14ac:dyDescent="0.3">
      <c r="A1" s="179" t="s">
        <v>110</v>
      </c>
      <c r="B1" s="180"/>
      <c r="C1" s="180"/>
      <c r="D1" s="180"/>
      <c r="E1" s="180"/>
      <c r="F1" s="180"/>
      <c r="G1" s="180"/>
      <c r="H1" s="181"/>
    </row>
    <row r="2" spans="1:11" x14ac:dyDescent="0.3">
      <c r="A2" s="182" t="s">
        <v>111</v>
      </c>
      <c r="B2" s="183"/>
      <c r="C2" s="183"/>
      <c r="D2" s="183"/>
      <c r="E2" s="183"/>
      <c r="F2" s="183"/>
      <c r="G2" s="183"/>
      <c r="H2" s="184"/>
    </row>
    <row r="3" spans="1:11" x14ac:dyDescent="0.3">
      <c r="A3" s="182" t="s">
        <v>112</v>
      </c>
      <c r="B3" s="183"/>
      <c r="C3" s="183"/>
      <c r="D3" s="183"/>
      <c r="E3" s="183"/>
      <c r="F3" s="183"/>
      <c r="G3" s="183"/>
      <c r="H3" s="184"/>
    </row>
    <row r="4" spans="1:11" ht="15.6" x14ac:dyDescent="0.3">
      <c r="A4" s="185" t="s">
        <v>286</v>
      </c>
      <c r="B4" s="186"/>
      <c r="C4" s="186"/>
      <c r="D4" s="186"/>
      <c r="E4" s="186"/>
      <c r="F4" s="186"/>
      <c r="G4" s="186"/>
      <c r="H4" s="187"/>
    </row>
    <row r="5" spans="1:11" s="3" customFormat="1" x14ac:dyDescent="0.3">
      <c r="A5" s="68" t="s">
        <v>109</v>
      </c>
      <c r="B5" s="135" t="s">
        <v>13</v>
      </c>
      <c r="C5" s="136"/>
      <c r="D5" s="13" t="s">
        <v>284</v>
      </c>
      <c r="E5" s="13" t="str">
        <f>A5</f>
        <v>FY 2024-25</v>
      </c>
      <c r="F5" s="135" t="s">
        <v>14</v>
      </c>
      <c r="G5" s="136"/>
      <c r="H5" s="13" t="str">
        <f>D5</f>
        <v>FY 2025-26</v>
      </c>
    </row>
    <row r="6" spans="1:11" x14ac:dyDescent="0.3">
      <c r="A6" s="69"/>
      <c r="B6" s="2"/>
      <c r="C6" s="14"/>
      <c r="D6" s="16"/>
      <c r="E6" s="23"/>
      <c r="F6" s="25"/>
      <c r="G6" s="23"/>
      <c r="H6" s="27"/>
    </row>
    <row r="7" spans="1:11" x14ac:dyDescent="0.3">
      <c r="A7" s="69"/>
      <c r="B7" s="2" t="s">
        <v>200</v>
      </c>
      <c r="C7" s="14"/>
      <c r="D7" s="16"/>
      <c r="E7" s="14"/>
      <c r="F7" s="26" t="s">
        <v>128</v>
      </c>
      <c r="G7" s="14"/>
      <c r="H7" s="16"/>
      <c r="K7" s="1"/>
    </row>
    <row r="8" spans="1:11" x14ac:dyDescent="0.3">
      <c r="A8" s="14">
        <v>129600</v>
      </c>
      <c r="B8" s="17" t="s">
        <v>146</v>
      </c>
      <c r="C8" s="14">
        <v>12000</v>
      </c>
      <c r="D8" s="16"/>
      <c r="E8" s="14">
        <v>503760</v>
      </c>
      <c r="F8" s="15" t="s">
        <v>196</v>
      </c>
      <c r="G8" s="14">
        <f>1135904+216000</f>
        <v>1351904</v>
      </c>
      <c r="H8" s="16"/>
    </row>
    <row r="9" spans="1:11" x14ac:dyDescent="0.3">
      <c r="A9" s="69">
        <v>38800</v>
      </c>
      <c r="B9" s="17" t="s">
        <v>201</v>
      </c>
      <c r="C9" s="35">
        <v>22292</v>
      </c>
      <c r="D9" s="16">
        <f>SUM(C8:C9)</f>
        <v>34292</v>
      </c>
      <c r="E9" s="14">
        <v>140352</v>
      </c>
      <c r="F9" s="15" t="s">
        <v>137</v>
      </c>
      <c r="G9" s="14">
        <v>0</v>
      </c>
      <c r="H9" s="16"/>
    </row>
    <row r="10" spans="1:11" x14ac:dyDescent="0.3">
      <c r="A10" s="69"/>
      <c r="B10" s="2"/>
      <c r="C10" s="14"/>
      <c r="D10" s="16"/>
      <c r="E10" s="14">
        <v>237360</v>
      </c>
      <c r="F10" s="21" t="s">
        <v>138</v>
      </c>
      <c r="G10" s="14">
        <v>315792</v>
      </c>
      <c r="H10" s="16"/>
    </row>
    <row r="11" spans="1:11" x14ac:dyDescent="0.3">
      <c r="A11" s="14">
        <v>52864</v>
      </c>
      <c r="B11" s="15" t="s">
        <v>139</v>
      </c>
      <c r="C11" s="14"/>
      <c r="D11" s="16">
        <v>58148</v>
      </c>
      <c r="E11" s="14">
        <v>363780</v>
      </c>
      <c r="F11" s="15" t="s">
        <v>12</v>
      </c>
      <c r="G11" s="14">
        <v>0</v>
      </c>
      <c r="H11" s="16"/>
    </row>
    <row r="12" spans="1:11" x14ac:dyDescent="0.3">
      <c r="A12" s="14"/>
      <c r="B12" s="15"/>
      <c r="C12" s="14"/>
      <c r="D12" s="16"/>
      <c r="E12" s="14">
        <v>258000</v>
      </c>
      <c r="F12" s="15" t="s">
        <v>132</v>
      </c>
      <c r="G12" s="14">
        <v>80246</v>
      </c>
      <c r="H12" s="16"/>
    </row>
    <row r="13" spans="1:11" x14ac:dyDescent="0.3">
      <c r="A13" s="14">
        <v>315504</v>
      </c>
      <c r="B13" s="15" t="s">
        <v>138</v>
      </c>
      <c r="C13" s="14"/>
      <c r="D13" s="16">
        <v>282919</v>
      </c>
      <c r="E13" s="14">
        <v>34572</v>
      </c>
      <c r="F13" s="15" t="s">
        <v>16</v>
      </c>
      <c r="G13" s="14">
        <v>0</v>
      </c>
      <c r="H13" s="16"/>
    </row>
    <row r="14" spans="1:11" x14ac:dyDescent="0.3">
      <c r="A14" s="18"/>
      <c r="B14" s="17"/>
      <c r="C14" s="18"/>
      <c r="D14" s="19"/>
      <c r="E14" s="14">
        <v>62436</v>
      </c>
      <c r="F14" s="15" t="s">
        <v>140</v>
      </c>
      <c r="G14" s="14">
        <v>58308</v>
      </c>
      <c r="H14" s="16"/>
    </row>
    <row r="15" spans="1:11" x14ac:dyDescent="0.3">
      <c r="A15" s="18"/>
      <c r="B15" s="36" t="s">
        <v>186</v>
      </c>
      <c r="C15" s="18"/>
      <c r="D15" s="19"/>
      <c r="E15" s="14">
        <v>99850</v>
      </c>
      <c r="F15" s="15" t="s">
        <v>141</v>
      </c>
      <c r="G15" s="14">
        <f>53700+67900+21700+100</f>
        <v>143400</v>
      </c>
      <c r="H15" s="16"/>
      <c r="J15" s="1"/>
      <c r="K15" s="1"/>
    </row>
    <row r="16" spans="1:11" x14ac:dyDescent="0.3">
      <c r="A16" s="18">
        <v>67468</v>
      </c>
      <c r="B16" s="17" t="s">
        <v>202</v>
      </c>
      <c r="C16" s="18">
        <v>87772</v>
      </c>
      <c r="D16" s="19"/>
      <c r="E16" s="14">
        <v>25068</v>
      </c>
      <c r="F16" s="15" t="s">
        <v>9</v>
      </c>
      <c r="G16" s="14">
        <v>29985</v>
      </c>
      <c r="H16" s="16"/>
    </row>
    <row r="17" spans="1:11" x14ac:dyDescent="0.3">
      <c r="A17" s="18">
        <v>248600</v>
      </c>
      <c r="B17" s="17" t="s">
        <v>203</v>
      </c>
      <c r="C17" s="35">
        <v>0</v>
      </c>
      <c r="D17" s="19">
        <f>SUM(C16:C17)</f>
        <v>87772</v>
      </c>
      <c r="E17" s="14">
        <v>30705</v>
      </c>
      <c r="F17" s="15" t="s">
        <v>142</v>
      </c>
      <c r="G17" s="14">
        <v>31672</v>
      </c>
      <c r="H17" s="16"/>
    </row>
    <row r="18" spans="1:11" x14ac:dyDescent="0.3">
      <c r="A18" s="18"/>
      <c r="B18" s="17"/>
      <c r="C18" s="18"/>
      <c r="D18" s="19"/>
      <c r="E18" s="24">
        <v>16664</v>
      </c>
      <c r="F18" s="15" t="s">
        <v>143</v>
      </c>
      <c r="G18" s="14">
        <v>2087</v>
      </c>
      <c r="H18" s="16"/>
    </row>
    <row r="19" spans="1:11" x14ac:dyDescent="0.3">
      <c r="A19" s="18"/>
      <c r="B19" s="17"/>
      <c r="C19" s="18"/>
      <c r="D19" s="19"/>
      <c r="E19" s="14">
        <v>126</v>
      </c>
      <c r="F19" s="15" t="s">
        <v>144</v>
      </c>
      <c r="G19" s="35">
        <v>0</v>
      </c>
      <c r="H19" s="16">
        <f>SUM(G8:G19)</f>
        <v>2013394</v>
      </c>
      <c r="I19" s="1"/>
    </row>
    <row r="20" spans="1:11" x14ac:dyDescent="0.3">
      <c r="A20" s="18"/>
      <c r="B20" s="36" t="s">
        <v>147</v>
      </c>
      <c r="C20" s="18"/>
      <c r="D20" s="19"/>
      <c r="E20" s="14"/>
      <c r="F20" s="15"/>
      <c r="G20" s="14"/>
      <c r="H20" s="16"/>
    </row>
    <row r="21" spans="1:11" x14ac:dyDescent="0.3">
      <c r="A21" s="18">
        <v>59536</v>
      </c>
      <c r="B21" s="17" t="s">
        <v>207</v>
      </c>
      <c r="C21" s="18">
        <v>61020.5</v>
      </c>
      <c r="D21" s="19"/>
      <c r="E21" s="14"/>
      <c r="F21" s="26" t="s">
        <v>197</v>
      </c>
      <c r="G21" s="14"/>
      <c r="H21" s="16"/>
    </row>
    <row r="22" spans="1:11" x14ac:dyDescent="0.3">
      <c r="A22" s="18">
        <v>0</v>
      </c>
      <c r="B22" s="17" t="s">
        <v>312</v>
      </c>
      <c r="C22" s="18">
        <v>2800</v>
      </c>
      <c r="D22" s="19"/>
      <c r="E22" s="24">
        <v>41959</v>
      </c>
      <c r="F22" s="15" t="s">
        <v>199</v>
      </c>
      <c r="G22" s="14">
        <v>45539</v>
      </c>
      <c r="H22" s="16"/>
    </row>
    <row r="23" spans="1:11" x14ac:dyDescent="0.3">
      <c r="A23" s="18">
        <v>3000</v>
      </c>
      <c r="B23" s="17" t="s">
        <v>208</v>
      </c>
      <c r="C23" s="18">
        <v>0</v>
      </c>
      <c r="D23" s="19"/>
      <c r="E23" s="14">
        <v>33394</v>
      </c>
      <c r="F23" s="15" t="s">
        <v>145</v>
      </c>
      <c r="G23" s="14">
        <v>68684</v>
      </c>
      <c r="H23" s="16"/>
    </row>
    <row r="24" spans="1:11" x14ac:dyDescent="0.3">
      <c r="A24" s="18">
        <v>18250</v>
      </c>
      <c r="B24" s="17" t="s">
        <v>209</v>
      </c>
      <c r="C24" s="18">
        <v>45006</v>
      </c>
      <c r="D24" s="19"/>
      <c r="E24" s="24">
        <v>14957</v>
      </c>
      <c r="F24" s="15" t="s">
        <v>198</v>
      </c>
      <c r="G24" s="14">
        <v>23490</v>
      </c>
      <c r="H24" s="16"/>
    </row>
    <row r="25" spans="1:11" x14ac:dyDescent="0.3">
      <c r="A25" s="18">
        <v>95879</v>
      </c>
      <c r="B25" s="17" t="s">
        <v>210</v>
      </c>
      <c r="C25" s="18">
        <v>2700</v>
      </c>
      <c r="D25" s="19"/>
      <c r="E25" s="24">
        <v>-330</v>
      </c>
      <c r="F25" s="15" t="s">
        <v>271</v>
      </c>
      <c r="G25" s="14">
        <v>498</v>
      </c>
      <c r="H25" s="16"/>
      <c r="I25" s="1"/>
    </row>
    <row r="26" spans="1:11" x14ac:dyDescent="0.3">
      <c r="A26" s="18">
        <v>12586</v>
      </c>
      <c r="B26" s="17" t="s">
        <v>213</v>
      </c>
      <c r="C26" s="18">
        <v>0</v>
      </c>
      <c r="D26" s="19"/>
      <c r="E26" s="24">
        <v>-7025</v>
      </c>
      <c r="F26" s="15" t="s">
        <v>272</v>
      </c>
      <c r="G26" s="14">
        <v>13072</v>
      </c>
      <c r="H26" s="16"/>
    </row>
    <row r="27" spans="1:11" x14ac:dyDescent="0.3">
      <c r="A27" s="18">
        <v>8000</v>
      </c>
      <c r="B27" s="17" t="s">
        <v>204</v>
      </c>
      <c r="C27" s="18">
        <v>8100</v>
      </c>
      <c r="D27" s="19"/>
      <c r="E27" s="24">
        <v>-21</v>
      </c>
      <c r="F27" s="15" t="s">
        <v>282</v>
      </c>
      <c r="G27" s="14">
        <v>634</v>
      </c>
      <c r="H27" s="16"/>
    </row>
    <row r="28" spans="1:11" x14ac:dyDescent="0.3">
      <c r="A28" s="18">
        <v>23205</v>
      </c>
      <c r="B28" s="17" t="s">
        <v>205</v>
      </c>
      <c r="C28" s="35">
        <v>3179</v>
      </c>
      <c r="D28" s="19">
        <f>SUM(C21:C28)</f>
        <v>122805.5</v>
      </c>
      <c r="E28" s="24">
        <v>-39324</v>
      </c>
      <c r="F28" s="15" t="s">
        <v>273</v>
      </c>
      <c r="G28" s="35">
        <v>52724</v>
      </c>
      <c r="H28" s="16">
        <f>G22+G23+G24-G25-G26-G27-G28</f>
        <v>70785</v>
      </c>
      <c r="I28" s="1"/>
      <c r="J28" s="9"/>
      <c r="K28" s="1"/>
    </row>
    <row r="29" spans="1:11" x14ac:dyDescent="0.3">
      <c r="A29" s="18"/>
      <c r="B29" s="17"/>
      <c r="C29" s="18"/>
      <c r="D29" s="19"/>
      <c r="E29" s="14"/>
      <c r="F29" s="26"/>
      <c r="G29" s="14"/>
      <c r="H29" s="16"/>
    </row>
    <row r="30" spans="1:11" x14ac:dyDescent="0.3">
      <c r="A30" s="18"/>
      <c r="B30" s="36" t="s">
        <v>206</v>
      </c>
      <c r="C30" s="18"/>
      <c r="D30" s="19"/>
      <c r="E30" s="14"/>
      <c r="F30" s="26"/>
      <c r="G30" s="14"/>
      <c r="H30" s="16"/>
    </row>
    <row r="31" spans="1:11" x14ac:dyDescent="0.3">
      <c r="A31" s="14">
        <v>150764</v>
      </c>
      <c r="B31" s="15" t="s">
        <v>211</v>
      </c>
      <c r="C31" s="14">
        <v>155100</v>
      </c>
      <c r="D31" s="16"/>
      <c r="E31" s="14"/>
      <c r="F31" s="26"/>
      <c r="G31" s="14"/>
      <c r="H31" s="16"/>
    </row>
    <row r="32" spans="1:11" x14ac:dyDescent="0.3">
      <c r="A32" s="18">
        <v>3877</v>
      </c>
      <c r="B32" s="15" t="s">
        <v>212</v>
      </c>
      <c r="C32" s="18">
        <v>5000</v>
      </c>
      <c r="D32" s="19"/>
      <c r="E32" s="14"/>
      <c r="F32" s="26"/>
      <c r="G32" s="14"/>
      <c r="H32" s="16"/>
    </row>
    <row r="33" spans="1:10" x14ac:dyDescent="0.3">
      <c r="A33" s="18">
        <v>8333</v>
      </c>
      <c r="B33" s="15" t="s">
        <v>215</v>
      </c>
      <c r="C33" s="18">
        <v>10250</v>
      </c>
      <c r="D33" s="19"/>
      <c r="E33" s="14"/>
      <c r="F33" s="26"/>
      <c r="G33" s="14"/>
      <c r="H33" s="16"/>
    </row>
    <row r="34" spans="1:10" x14ac:dyDescent="0.3">
      <c r="A34" s="18">
        <v>12500</v>
      </c>
      <c r="B34" s="15" t="s">
        <v>236</v>
      </c>
      <c r="C34" s="18">
        <v>50000</v>
      </c>
      <c r="D34" s="19"/>
      <c r="E34" s="14"/>
      <c r="F34" s="26"/>
      <c r="G34" s="14"/>
      <c r="H34" s="16"/>
    </row>
    <row r="35" spans="1:10" x14ac:dyDescent="0.3">
      <c r="A35" s="18">
        <v>64900</v>
      </c>
      <c r="B35" s="15" t="s">
        <v>281</v>
      </c>
      <c r="C35" s="18">
        <v>372074</v>
      </c>
      <c r="D35" s="19"/>
      <c r="E35" s="14"/>
      <c r="F35" s="26"/>
      <c r="G35" s="14"/>
      <c r="H35" s="16"/>
    </row>
    <row r="36" spans="1:10" x14ac:dyDescent="0.3">
      <c r="A36" s="18">
        <v>8529</v>
      </c>
      <c r="B36" s="15" t="s">
        <v>214</v>
      </c>
      <c r="C36" s="35">
        <v>11775</v>
      </c>
      <c r="D36" s="19">
        <f>SUM(C31:C36)</f>
        <v>604199</v>
      </c>
      <c r="E36" s="14"/>
      <c r="F36" s="26"/>
      <c r="G36" s="14"/>
      <c r="H36" s="16"/>
    </row>
    <row r="37" spans="1:10" x14ac:dyDescent="0.3">
      <c r="A37" s="18"/>
      <c r="B37" s="17"/>
      <c r="C37" s="18"/>
      <c r="D37" s="19"/>
      <c r="E37" s="14"/>
      <c r="F37" s="26"/>
      <c r="G37" s="14"/>
      <c r="H37" s="16"/>
    </row>
    <row r="38" spans="1:10" s="29" customFormat="1" x14ac:dyDescent="0.3">
      <c r="A38" s="18"/>
      <c r="B38" s="36" t="s">
        <v>216</v>
      </c>
      <c r="C38" s="18"/>
      <c r="D38" s="19"/>
      <c r="E38" s="14"/>
      <c r="F38" s="26"/>
      <c r="G38" s="14"/>
      <c r="H38" s="16"/>
      <c r="I38"/>
      <c r="J38"/>
    </row>
    <row r="39" spans="1:10" s="29" customFormat="1" x14ac:dyDescent="0.3">
      <c r="A39" s="14">
        <v>336000</v>
      </c>
      <c r="B39" s="15" t="s">
        <v>12</v>
      </c>
      <c r="C39" s="14">
        <v>336000</v>
      </c>
      <c r="D39" s="16"/>
      <c r="E39" s="14"/>
      <c r="F39" s="26"/>
      <c r="G39" s="14"/>
      <c r="H39" s="16"/>
      <c r="I39"/>
      <c r="J39"/>
    </row>
    <row r="40" spans="1:10" s="29" customFormat="1" x14ac:dyDescent="0.3">
      <c r="A40" s="14">
        <v>0</v>
      </c>
      <c r="B40" s="15" t="s">
        <v>314</v>
      </c>
      <c r="C40" s="14">
        <v>158097</v>
      </c>
      <c r="D40" s="16"/>
      <c r="E40" s="14"/>
      <c r="F40" s="26"/>
      <c r="G40" s="14"/>
      <c r="H40" s="16"/>
      <c r="I40"/>
      <c r="J40"/>
    </row>
    <row r="41" spans="1:10" s="29" customFormat="1" x14ac:dyDescent="0.3">
      <c r="A41" s="14">
        <v>35700</v>
      </c>
      <c r="B41" s="15" t="s">
        <v>16</v>
      </c>
      <c r="C41" s="14">
        <v>44400</v>
      </c>
      <c r="D41" s="16"/>
      <c r="E41" s="14"/>
      <c r="F41" s="26"/>
      <c r="G41" s="14"/>
      <c r="H41" s="16"/>
      <c r="I41"/>
      <c r="J41"/>
    </row>
    <row r="42" spans="1:10" s="29" customFormat="1" x14ac:dyDescent="0.3">
      <c r="A42" s="14">
        <v>18833</v>
      </c>
      <c r="B42" s="15" t="s">
        <v>9</v>
      </c>
      <c r="C42" s="14">
        <v>38416</v>
      </c>
      <c r="D42" s="16"/>
      <c r="E42" s="14"/>
      <c r="F42" s="26"/>
      <c r="G42" s="14"/>
      <c r="H42" s="16"/>
      <c r="I42"/>
      <c r="J42"/>
    </row>
    <row r="43" spans="1:10" s="29" customFormat="1" x14ac:dyDescent="0.3">
      <c r="A43" s="14">
        <v>1888</v>
      </c>
      <c r="B43" s="15" t="s">
        <v>148</v>
      </c>
      <c r="C43" s="14">
        <v>8153</v>
      </c>
      <c r="D43" s="16"/>
      <c r="E43" s="14"/>
      <c r="F43" s="26"/>
      <c r="G43" s="14"/>
      <c r="H43" s="16"/>
      <c r="I43"/>
      <c r="J43"/>
    </row>
    <row r="44" spans="1:10" s="29" customFormat="1" x14ac:dyDescent="0.3">
      <c r="A44" s="14">
        <v>10500</v>
      </c>
      <c r="B44" s="15" t="s">
        <v>217</v>
      </c>
      <c r="C44" s="14">
        <v>0</v>
      </c>
      <c r="D44" s="16"/>
      <c r="E44" s="14"/>
      <c r="F44" s="26"/>
      <c r="G44" s="14"/>
      <c r="H44" s="16"/>
      <c r="I44"/>
      <c r="J44"/>
    </row>
    <row r="45" spans="1:10" s="29" customFormat="1" x14ac:dyDescent="0.3">
      <c r="A45" s="14">
        <v>4300</v>
      </c>
      <c r="B45" s="15" t="s">
        <v>10</v>
      </c>
      <c r="C45" s="14">
        <v>4800</v>
      </c>
      <c r="D45" s="16"/>
      <c r="E45" s="14"/>
      <c r="F45" s="26"/>
      <c r="G45" s="14"/>
      <c r="H45" s="16"/>
      <c r="I45"/>
      <c r="J45"/>
    </row>
    <row r="46" spans="1:10" s="29" customFormat="1" x14ac:dyDescent="0.3">
      <c r="A46" s="14">
        <v>4878</v>
      </c>
      <c r="B46" s="15" t="s">
        <v>149</v>
      </c>
      <c r="C46" s="14">
        <v>0</v>
      </c>
      <c r="D46" s="16"/>
      <c r="E46" s="14"/>
      <c r="F46" s="26"/>
      <c r="G46" s="14"/>
      <c r="H46" s="16"/>
      <c r="I46"/>
      <c r="J46"/>
    </row>
    <row r="47" spans="1:10" s="29" customFormat="1" x14ac:dyDescent="0.3">
      <c r="A47" s="14">
        <v>4550</v>
      </c>
      <c r="B47" s="15" t="s">
        <v>150</v>
      </c>
      <c r="C47" s="14">
        <v>4886</v>
      </c>
      <c r="D47" s="16"/>
      <c r="E47" s="14"/>
      <c r="F47" s="26"/>
      <c r="G47" s="14"/>
      <c r="H47" s="16"/>
      <c r="I47"/>
      <c r="J47"/>
    </row>
    <row r="48" spans="1:10" s="29" customFormat="1" x14ac:dyDescent="0.3">
      <c r="A48" s="20">
        <v>47537</v>
      </c>
      <c r="B48" s="21" t="s">
        <v>6</v>
      </c>
      <c r="C48" s="14">
        <f>'Sch-II FA'!H21</f>
        <v>51171</v>
      </c>
      <c r="D48" s="16"/>
      <c r="E48" s="14"/>
      <c r="F48" s="26"/>
      <c r="G48" s="14"/>
      <c r="H48" s="16"/>
      <c r="I48"/>
      <c r="J48"/>
    </row>
    <row r="49" spans="1:10" s="29" customFormat="1" x14ac:dyDescent="0.3">
      <c r="A49" s="20">
        <v>0</v>
      </c>
      <c r="B49" s="21" t="s">
        <v>313</v>
      </c>
      <c r="C49" s="14">
        <v>11225</v>
      </c>
      <c r="D49" s="16"/>
      <c r="E49" s="14"/>
      <c r="F49" s="26"/>
      <c r="G49" s="14"/>
      <c r="H49" s="16"/>
      <c r="I49"/>
      <c r="J49"/>
    </row>
    <row r="50" spans="1:10" s="29" customFormat="1" x14ac:dyDescent="0.3">
      <c r="A50" s="14">
        <v>0</v>
      </c>
      <c r="B50" s="15" t="s">
        <v>311</v>
      </c>
      <c r="C50" s="14">
        <v>16600</v>
      </c>
      <c r="D50" s="16"/>
      <c r="E50" s="14"/>
      <c r="F50" s="26"/>
      <c r="G50" s="14"/>
      <c r="H50" s="16"/>
      <c r="I50"/>
      <c r="J50"/>
    </row>
    <row r="51" spans="1:10" s="29" customFormat="1" x14ac:dyDescent="0.3">
      <c r="A51" s="14">
        <v>0</v>
      </c>
      <c r="B51" s="15" t="s">
        <v>346</v>
      </c>
      <c r="C51" s="14">
        <v>11100</v>
      </c>
      <c r="D51" s="16"/>
      <c r="E51" s="14"/>
      <c r="F51" s="26"/>
      <c r="G51" s="14"/>
      <c r="H51" s="16"/>
      <c r="I51"/>
      <c r="J51"/>
    </row>
    <row r="52" spans="1:10" s="29" customFormat="1" x14ac:dyDescent="0.3">
      <c r="A52" s="14">
        <v>15000</v>
      </c>
      <c r="B52" s="15" t="s">
        <v>218</v>
      </c>
      <c r="C52" s="14">
        <v>5410</v>
      </c>
      <c r="D52" s="16"/>
      <c r="E52" s="14"/>
      <c r="F52" s="15"/>
      <c r="G52" s="14"/>
      <c r="H52" s="16"/>
      <c r="I52"/>
      <c r="J52"/>
    </row>
    <row r="53" spans="1:10" s="29" customFormat="1" x14ac:dyDescent="0.3">
      <c r="A53" s="14">
        <v>5276</v>
      </c>
      <c r="B53" s="15" t="s">
        <v>151</v>
      </c>
      <c r="C53" s="14">
        <f>35+1748</f>
        <v>1783</v>
      </c>
      <c r="D53" s="16"/>
      <c r="E53" s="14"/>
      <c r="F53" s="15"/>
      <c r="G53" s="14"/>
      <c r="H53" s="16"/>
      <c r="I53"/>
      <c r="J53"/>
    </row>
    <row r="54" spans="1:10" s="29" customFormat="1" x14ac:dyDescent="0.3">
      <c r="A54" s="14">
        <v>360</v>
      </c>
      <c r="B54" s="15" t="s">
        <v>152</v>
      </c>
      <c r="C54" s="14">
        <v>500</v>
      </c>
      <c r="D54" s="16"/>
      <c r="E54" s="14"/>
      <c r="F54" s="15"/>
      <c r="G54" s="14"/>
      <c r="H54" s="16"/>
      <c r="I54"/>
      <c r="J54"/>
    </row>
    <row r="55" spans="1:10" s="29" customFormat="1" x14ac:dyDescent="0.3">
      <c r="A55" s="14">
        <v>587.4</v>
      </c>
      <c r="B55" s="15" t="s">
        <v>11</v>
      </c>
      <c r="C55" s="35">
        <v>0</v>
      </c>
      <c r="D55" s="16">
        <f>SUM(C39:C55)</f>
        <v>692541</v>
      </c>
      <c r="E55" s="14"/>
      <c r="F55" s="15"/>
      <c r="G55" s="14"/>
      <c r="H55" s="16"/>
      <c r="I55"/>
      <c r="J55"/>
    </row>
    <row r="56" spans="1:10" s="29" customFormat="1" x14ac:dyDescent="0.3">
      <c r="A56" s="14"/>
      <c r="B56" s="15"/>
      <c r="C56" s="14"/>
      <c r="D56" s="16"/>
      <c r="E56" s="14"/>
      <c r="F56" s="15"/>
      <c r="G56" s="14"/>
      <c r="H56" s="16"/>
      <c r="I56"/>
      <c r="J56"/>
    </row>
    <row r="57" spans="1:10" s="29" customFormat="1" x14ac:dyDescent="0.3">
      <c r="A57" s="14"/>
      <c r="B57" s="26" t="s">
        <v>219</v>
      </c>
      <c r="C57" s="14"/>
      <c r="D57" s="16"/>
      <c r="E57" s="14"/>
      <c r="F57" s="15"/>
      <c r="G57" s="14"/>
      <c r="H57" s="16"/>
      <c r="I57"/>
      <c r="J57"/>
    </row>
    <row r="58" spans="1:10" s="71" customFormat="1" x14ac:dyDescent="0.3">
      <c r="A58" s="72">
        <v>2170</v>
      </c>
      <c r="B58" s="26" t="s">
        <v>221</v>
      </c>
      <c r="C58" s="14">
        <f>ROUND(D59*25%,0)</f>
        <v>50376</v>
      </c>
      <c r="D58" s="16"/>
      <c r="E58" s="14"/>
      <c r="F58" s="15"/>
      <c r="G58" s="14"/>
      <c r="H58" s="16"/>
      <c r="I58"/>
      <c r="J58"/>
    </row>
    <row r="59" spans="1:10" s="29" customFormat="1" x14ac:dyDescent="0.3">
      <c r="A59" s="113">
        <v>6508.6</v>
      </c>
      <c r="B59" s="26" t="s">
        <v>220</v>
      </c>
      <c r="C59" s="35">
        <f>D59-C58</f>
        <v>151126.5</v>
      </c>
      <c r="D59" s="16">
        <f>H61-SUM(D6:D58)</f>
        <v>201502.5</v>
      </c>
      <c r="E59" s="16"/>
      <c r="F59" s="26"/>
      <c r="G59" s="16"/>
      <c r="H59" s="16"/>
      <c r="I59" s="111"/>
      <c r="J59" s="41"/>
    </row>
    <row r="60" spans="1:10" s="29" customFormat="1" x14ac:dyDescent="0.3">
      <c r="A60" s="14"/>
      <c r="B60" s="15"/>
      <c r="C60" s="14"/>
      <c r="D60" s="16"/>
      <c r="E60" s="14"/>
      <c r="F60" s="15"/>
      <c r="G60" s="14"/>
      <c r="H60" s="16"/>
      <c r="I60" s="1"/>
      <c r="J60" s="1"/>
    </row>
    <row r="61" spans="1:10" s="29" customFormat="1" x14ac:dyDescent="0.3">
      <c r="A61" s="22">
        <f>SUM(A6:A60)</f>
        <v>1816283</v>
      </c>
      <c r="B61" s="135" t="s">
        <v>4</v>
      </c>
      <c r="C61" s="136"/>
      <c r="D61" s="22">
        <f>SUM(D6:D60)</f>
        <v>2084179</v>
      </c>
      <c r="E61" s="22">
        <f>SUM(E6:E60)</f>
        <v>1816283</v>
      </c>
      <c r="F61" s="135" t="s">
        <v>4</v>
      </c>
      <c r="G61" s="136"/>
      <c r="H61" s="22">
        <f>SUM(H6:H60)</f>
        <v>2084179</v>
      </c>
      <c r="I61" s="1">
        <f>A61-E61</f>
        <v>0</v>
      </c>
      <c r="J61" s="1">
        <f>D61-H61</f>
        <v>0</v>
      </c>
    </row>
    <row r="62" spans="1:10" ht="9.9" customHeight="1" x14ac:dyDescent="0.3">
      <c r="A62" s="159"/>
      <c r="C62" s="160"/>
      <c r="D62" s="161"/>
      <c r="E62" s="160"/>
      <c r="G62" s="160"/>
      <c r="H62" s="162"/>
    </row>
    <row r="63" spans="1:10" x14ac:dyDescent="0.3">
      <c r="A63" s="163" t="s">
        <v>391</v>
      </c>
      <c r="C63"/>
      <c r="D63" s="161"/>
      <c r="E63" s="160"/>
      <c r="G63" s="160"/>
      <c r="H63" s="162"/>
      <c r="I63" s="1"/>
      <c r="J63" s="1"/>
    </row>
    <row r="64" spans="1:10" x14ac:dyDescent="0.3">
      <c r="A64" s="164"/>
      <c r="C64"/>
      <c r="D64" s="165"/>
      <c r="E64" s="166"/>
      <c r="F64" s="71" t="s">
        <v>392</v>
      </c>
      <c r="G64" s="166"/>
      <c r="H64" s="167"/>
      <c r="I64" s="1">
        <f>A61-E61</f>
        <v>0</v>
      </c>
      <c r="J64" s="1">
        <f>D61-H61</f>
        <v>0</v>
      </c>
    </row>
    <row r="65" spans="1:10" x14ac:dyDescent="0.3">
      <c r="A65" s="168"/>
      <c r="C65"/>
      <c r="D65" s="165"/>
      <c r="E65" s="166"/>
      <c r="F65" s="29"/>
      <c r="G65" s="166"/>
      <c r="H65" s="167"/>
    </row>
    <row r="66" spans="1:10" x14ac:dyDescent="0.3">
      <c r="A66" s="164"/>
      <c r="C66"/>
      <c r="D66" s="165"/>
      <c r="E66" s="166"/>
      <c r="F66" s="29"/>
      <c r="G66" s="166"/>
      <c r="H66" s="167"/>
    </row>
    <row r="67" spans="1:10" x14ac:dyDescent="0.3">
      <c r="A67" s="164"/>
      <c r="C67"/>
      <c r="D67" s="165"/>
      <c r="E67" s="166"/>
      <c r="F67" s="29"/>
      <c r="G67" s="166"/>
      <c r="H67" s="167"/>
      <c r="I67" s="29"/>
      <c r="J67" s="29"/>
    </row>
    <row r="68" spans="1:10" s="29" customFormat="1" ht="15.6" x14ac:dyDescent="0.3">
      <c r="A68" s="169" t="s">
        <v>393</v>
      </c>
      <c r="B68" s="170"/>
      <c r="C68" s="171"/>
      <c r="D68" s="165"/>
      <c r="E68" s="166"/>
      <c r="G68" s="166"/>
      <c r="H68" s="167"/>
    </row>
    <row r="69" spans="1:10" s="29" customFormat="1" ht="15.6" x14ac:dyDescent="0.3">
      <c r="A69" s="172" t="s">
        <v>394</v>
      </c>
      <c r="B69" s="170"/>
      <c r="C69" s="171"/>
      <c r="D69" s="165"/>
      <c r="E69" s="166"/>
      <c r="G69" s="166"/>
      <c r="H69" s="167"/>
    </row>
    <row r="70" spans="1:10" s="29" customFormat="1" ht="15.6" x14ac:dyDescent="0.3">
      <c r="A70" s="172" t="s">
        <v>395</v>
      </c>
      <c r="B70" s="170"/>
      <c r="C70" s="171"/>
      <c r="D70" s="165"/>
      <c r="E70" s="166"/>
      <c r="F70" s="29" t="s">
        <v>136</v>
      </c>
      <c r="G70" s="166"/>
      <c r="H70" s="167"/>
    </row>
    <row r="71" spans="1:10" s="29" customFormat="1" ht="15.6" x14ac:dyDescent="0.3">
      <c r="A71" s="173">
        <v>46248</v>
      </c>
      <c r="B71" s="174"/>
      <c r="C71" s="174"/>
      <c r="D71" s="175"/>
      <c r="E71" s="176"/>
      <c r="F71" s="177"/>
      <c r="G71" s="176"/>
      <c r="H71" s="178"/>
    </row>
    <row r="72" spans="1:10" x14ac:dyDescent="0.3">
      <c r="A72" s="70"/>
      <c r="B72" s="29"/>
      <c r="C72" s="28"/>
      <c r="D72" s="30"/>
      <c r="E72" s="28"/>
      <c r="F72" s="29"/>
      <c r="G72" s="28"/>
      <c r="H72" s="30"/>
      <c r="I72" s="29"/>
      <c r="J72" s="29"/>
    </row>
    <row r="73" spans="1:10" x14ac:dyDescent="0.3">
      <c r="A73" s="70"/>
      <c r="B73" s="29"/>
      <c r="C73" s="28"/>
      <c r="D73" s="30"/>
      <c r="E73" s="28"/>
      <c r="F73" s="29"/>
      <c r="G73" s="28"/>
      <c r="H73" s="30"/>
      <c r="I73" s="29"/>
      <c r="J73" s="29"/>
    </row>
    <row r="74" spans="1:10" x14ac:dyDescent="0.3">
      <c r="A74" s="70"/>
      <c r="B74" s="29"/>
      <c r="C74" s="28"/>
      <c r="D74" s="30"/>
      <c r="E74" s="28"/>
      <c r="F74" s="29"/>
      <c r="G74" s="28"/>
      <c r="H74" s="30"/>
      <c r="I74" s="29"/>
      <c r="J74" s="29"/>
    </row>
    <row r="75" spans="1:10" x14ac:dyDescent="0.3">
      <c r="A75" s="70"/>
      <c r="B75" s="29"/>
      <c r="C75" s="28"/>
      <c r="D75" s="30"/>
      <c r="E75" s="28"/>
      <c r="F75" s="29"/>
      <c r="G75" s="28"/>
      <c r="H75" s="30"/>
      <c r="I75" s="29"/>
      <c r="J75" s="29"/>
    </row>
    <row r="76" spans="1:10" x14ac:dyDescent="0.3">
      <c r="A76" s="70"/>
      <c r="B76" s="29"/>
      <c r="C76" s="28"/>
      <c r="D76" s="30"/>
      <c r="E76" s="28"/>
      <c r="F76" s="29"/>
      <c r="G76" s="28"/>
      <c r="H76" s="30"/>
      <c r="I76" s="29"/>
      <c r="J76" s="29"/>
    </row>
    <row r="77" spans="1:10" x14ac:dyDescent="0.3">
      <c r="A77" s="70"/>
      <c r="B77" s="29"/>
      <c r="C77" s="28"/>
      <c r="D77" s="30"/>
      <c r="E77" s="28"/>
      <c r="F77" s="29"/>
      <c r="G77" s="28"/>
      <c r="H77" s="30"/>
      <c r="I77" s="29"/>
      <c r="J77" s="29"/>
    </row>
    <row r="78" spans="1:10" x14ac:dyDescent="0.3">
      <c r="A78" s="70"/>
      <c r="B78" s="29"/>
      <c r="C78" s="28"/>
      <c r="D78" s="30"/>
      <c r="E78" s="28"/>
      <c r="F78" s="29"/>
      <c r="G78" s="28"/>
      <c r="H78" s="30"/>
      <c r="I78" s="29"/>
      <c r="J78" s="29"/>
    </row>
    <row r="79" spans="1:10" x14ac:dyDescent="0.3">
      <c r="A79" s="70"/>
      <c r="B79" s="29"/>
      <c r="C79" s="28"/>
      <c r="D79" s="30"/>
      <c r="E79" s="28"/>
      <c r="F79" s="29"/>
      <c r="G79" s="28"/>
      <c r="H79" s="30"/>
      <c r="I79" s="29"/>
      <c r="J79" s="29"/>
    </row>
    <row r="80" spans="1:10" x14ac:dyDescent="0.3">
      <c r="A80" s="70"/>
      <c r="B80" s="29"/>
      <c r="C80" s="28"/>
      <c r="D80" s="30"/>
      <c r="E80" s="28"/>
      <c r="F80" s="29"/>
      <c r="G80" s="28"/>
      <c r="H80" s="30"/>
      <c r="I80" s="29"/>
      <c r="J80" s="29"/>
    </row>
    <row r="81" spans="1:10" x14ac:dyDescent="0.3">
      <c r="A81" s="70"/>
      <c r="B81" s="29"/>
      <c r="C81" s="28"/>
      <c r="D81" s="30"/>
      <c r="E81" s="28"/>
      <c r="F81" s="29"/>
      <c r="G81" s="28"/>
      <c r="H81" s="30"/>
      <c r="I81" s="29"/>
      <c r="J81" s="29"/>
    </row>
    <row r="82" spans="1:10" x14ac:dyDescent="0.3">
      <c r="A82" s="70"/>
      <c r="B82" s="29"/>
      <c r="C82" s="28"/>
      <c r="D82" s="30"/>
      <c r="E82" s="28"/>
      <c r="F82" s="29"/>
      <c r="G82" s="28"/>
      <c r="H82" s="30"/>
      <c r="I82" s="29"/>
      <c r="J82" s="29"/>
    </row>
    <row r="83" spans="1:10" x14ac:dyDescent="0.3">
      <c r="A83" s="70"/>
      <c r="B83" s="29"/>
      <c r="C83" s="28"/>
      <c r="D83" s="30"/>
      <c r="E83" s="28"/>
      <c r="F83" s="29"/>
      <c r="G83" s="28"/>
      <c r="H83" s="30"/>
      <c r="I83" s="29"/>
      <c r="J83" s="29"/>
    </row>
    <row r="84" spans="1:10" x14ac:dyDescent="0.3">
      <c r="C84" s="11"/>
      <c r="D84" s="12"/>
      <c r="E84" s="11"/>
      <c r="G84" s="11"/>
      <c r="H84" s="12"/>
    </row>
  </sheetData>
  <mergeCells count="9">
    <mergeCell ref="A71:C71"/>
    <mergeCell ref="B61:C61"/>
    <mergeCell ref="F61:G61"/>
    <mergeCell ref="A1:H1"/>
    <mergeCell ref="A2:H2"/>
    <mergeCell ref="A3:H3"/>
    <mergeCell ref="A4:H4"/>
    <mergeCell ref="B5:C5"/>
    <mergeCell ref="F5:G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>
      <selection activeCell="I13" sqref="I13"/>
    </sheetView>
  </sheetViews>
  <sheetFormatPr defaultRowHeight="14.4" x14ac:dyDescent="0.3"/>
  <cols>
    <col min="1" max="1" width="5.6640625" bestFit="1" customWidth="1"/>
    <col min="2" max="2" width="19.33203125" bestFit="1" customWidth="1"/>
    <col min="3" max="3" width="10.109375" bestFit="1" customWidth="1"/>
    <col min="4" max="4" width="12.5546875" bestFit="1" customWidth="1"/>
    <col min="5" max="5" width="8.88671875" bestFit="1" customWidth="1"/>
    <col min="6" max="6" width="11.5546875" bestFit="1" customWidth="1"/>
    <col min="7" max="7" width="11.5546875" customWidth="1"/>
    <col min="8" max="8" width="12.5546875" bestFit="1" customWidth="1"/>
    <col min="9" max="9" width="10.109375" bestFit="1" customWidth="1"/>
    <col min="10" max="10" width="12.5546875" bestFit="1" customWidth="1"/>
    <col min="11" max="11" width="5.6640625" bestFit="1" customWidth="1"/>
    <col min="12" max="12" width="6.109375" bestFit="1" customWidth="1"/>
    <col min="14" max="14" width="11.33203125" bestFit="1" customWidth="1"/>
  </cols>
  <sheetData>
    <row r="1" spans="1:14" ht="15.6" x14ac:dyDescent="0.3">
      <c r="A1" s="3" t="s">
        <v>153</v>
      </c>
      <c r="B1" s="137" t="s">
        <v>165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spans="1:14" x14ac:dyDescent="0.3">
      <c r="A2" s="10"/>
      <c r="B2" s="138" t="s">
        <v>154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spans="1:14" ht="43.2" x14ac:dyDescent="0.3">
      <c r="A3" s="38" t="s">
        <v>155</v>
      </c>
      <c r="B3" s="39" t="s">
        <v>156</v>
      </c>
      <c r="C3" s="39" t="s">
        <v>157</v>
      </c>
      <c r="D3" s="40" t="s">
        <v>158</v>
      </c>
      <c r="E3" s="40" t="s">
        <v>159</v>
      </c>
      <c r="F3" s="40" t="s">
        <v>160</v>
      </c>
      <c r="G3" s="40" t="s">
        <v>295</v>
      </c>
      <c r="H3" s="39" t="s">
        <v>4</v>
      </c>
      <c r="I3" s="40" t="s">
        <v>161</v>
      </c>
      <c r="J3" s="40" t="s">
        <v>162</v>
      </c>
      <c r="K3" s="39" t="s">
        <v>163</v>
      </c>
      <c r="L3" s="39" t="s">
        <v>164</v>
      </c>
    </row>
    <row r="4" spans="1:14" x14ac:dyDescent="0.3">
      <c r="A4" s="10"/>
      <c r="B4" s="41" t="s">
        <v>8</v>
      </c>
      <c r="K4" s="42"/>
      <c r="L4" s="42"/>
    </row>
    <row r="5" spans="1:14" x14ac:dyDescent="0.3">
      <c r="A5" s="10">
        <v>1</v>
      </c>
      <c r="B5" s="43">
        <v>44039</v>
      </c>
      <c r="C5" s="44" t="s">
        <v>166</v>
      </c>
      <c r="D5" s="45">
        <v>21500</v>
      </c>
      <c r="E5" s="46">
        <v>1528</v>
      </c>
      <c r="F5" s="46">
        <f>1651-165</f>
        <v>1486</v>
      </c>
      <c r="G5" s="46">
        <f>(428+436+443+449)-(42+44+44+45)</f>
        <v>1581</v>
      </c>
      <c r="H5" s="46">
        <f>SUM(D5:G5)</f>
        <v>26095</v>
      </c>
      <c r="I5" s="44" t="s">
        <v>168</v>
      </c>
      <c r="J5" s="45">
        <v>30418</v>
      </c>
      <c r="K5" s="53">
        <v>7</v>
      </c>
      <c r="L5" s="47" t="s">
        <v>169</v>
      </c>
    </row>
    <row r="6" spans="1:14" x14ac:dyDescent="0.3">
      <c r="A6" s="10"/>
      <c r="B6" s="3"/>
      <c r="C6" s="48"/>
      <c r="D6" s="49">
        <f>SUM(D5:D5)</f>
        <v>21500</v>
      </c>
      <c r="E6" s="49">
        <f>SUM(E5:E5)</f>
        <v>1528</v>
      </c>
      <c r="F6" s="49">
        <f>SUM(F5:F5)</f>
        <v>1486</v>
      </c>
      <c r="G6" s="49">
        <f t="shared" ref="G6:H6" si="0">SUM(G5:G5)</f>
        <v>1581</v>
      </c>
      <c r="H6" s="49">
        <f t="shared" si="0"/>
        <v>26095</v>
      </c>
      <c r="I6" s="3"/>
      <c r="J6" s="50">
        <f>SUM(J5:J5)</f>
        <v>30418</v>
      </c>
      <c r="K6" s="10"/>
      <c r="L6" s="10"/>
    </row>
    <row r="7" spans="1:14" x14ac:dyDescent="0.3">
      <c r="A7" s="10"/>
    </row>
    <row r="8" spans="1:14" x14ac:dyDescent="0.3">
      <c r="A8" s="10"/>
      <c r="B8" s="41" t="s">
        <v>167</v>
      </c>
    </row>
    <row r="9" spans="1:14" x14ac:dyDescent="0.3">
      <c r="A9" s="10">
        <v>2</v>
      </c>
      <c r="B9" s="43">
        <v>44040</v>
      </c>
      <c r="C9" s="44" t="s">
        <v>166</v>
      </c>
      <c r="D9" s="45">
        <v>4300</v>
      </c>
      <c r="E9" s="46">
        <v>306</v>
      </c>
      <c r="F9" s="46">
        <f>330-33</f>
        <v>297</v>
      </c>
      <c r="G9" s="46">
        <f>(85+87+89+90)-(8+8+9+9)</f>
        <v>317</v>
      </c>
      <c r="H9" s="46">
        <f>SUM(D9:G9)</f>
        <v>5220</v>
      </c>
      <c r="I9" s="44" t="s">
        <v>168</v>
      </c>
      <c r="J9" s="45">
        <v>6084</v>
      </c>
      <c r="K9" s="53">
        <v>7</v>
      </c>
      <c r="L9" s="47" t="s">
        <v>169</v>
      </c>
    </row>
    <row r="10" spans="1:14" x14ac:dyDescent="0.3">
      <c r="A10" s="10"/>
      <c r="B10" s="43">
        <v>496244</v>
      </c>
      <c r="C10" s="44" t="s">
        <v>310</v>
      </c>
      <c r="D10" s="45">
        <v>52453</v>
      </c>
      <c r="E10" s="46">
        <v>0</v>
      </c>
      <c r="F10" s="46">
        <v>0</v>
      </c>
      <c r="G10" s="46">
        <f>147-15</f>
        <v>132</v>
      </c>
      <c r="H10" s="46">
        <f>SUM(D10:G10)</f>
        <v>52585</v>
      </c>
      <c r="I10" s="10"/>
      <c r="J10" s="45"/>
      <c r="K10" s="120"/>
      <c r="L10" s="42"/>
    </row>
    <row r="11" spans="1:14" x14ac:dyDescent="0.3">
      <c r="A11" s="10"/>
      <c r="D11" s="50">
        <f>SUM(D9:D10)</f>
        <v>56753</v>
      </c>
      <c r="E11" s="50">
        <f t="shared" ref="E11:J11" si="1">SUM(E9:E10)</f>
        <v>306</v>
      </c>
      <c r="F11" s="50">
        <f t="shared" si="1"/>
        <v>297</v>
      </c>
      <c r="G11" s="50">
        <f t="shared" si="1"/>
        <v>449</v>
      </c>
      <c r="H11" s="50">
        <f t="shared" si="1"/>
        <v>57805</v>
      </c>
      <c r="I11" s="4"/>
      <c r="J11" s="50">
        <f t="shared" si="1"/>
        <v>6084</v>
      </c>
    </row>
    <row r="13" spans="1:14" x14ac:dyDescent="0.3">
      <c r="A13" s="10"/>
      <c r="B13" s="41" t="s">
        <v>127</v>
      </c>
    </row>
    <row r="14" spans="1:14" x14ac:dyDescent="0.3">
      <c r="A14" s="10">
        <v>3</v>
      </c>
      <c r="B14" s="43" t="s">
        <v>305</v>
      </c>
      <c r="C14" s="44" t="s">
        <v>278</v>
      </c>
      <c r="D14" s="45">
        <v>494920</v>
      </c>
      <c r="E14" s="46">
        <v>0</v>
      </c>
      <c r="F14" s="46">
        <v>0</v>
      </c>
      <c r="G14" s="46">
        <f>(2691+8992+9149+9288)-(1482+899+915+929)</f>
        <v>25895</v>
      </c>
      <c r="H14" s="46">
        <f t="shared" ref="H14:H16" si="2">SUM(D14:G14)</f>
        <v>520815</v>
      </c>
      <c r="I14" s="118"/>
      <c r="J14" s="119"/>
      <c r="K14" s="121"/>
      <c r="L14" s="47" t="s">
        <v>169</v>
      </c>
    </row>
    <row r="15" spans="1:14" x14ac:dyDescent="0.3">
      <c r="A15" s="10">
        <v>4</v>
      </c>
      <c r="B15" s="43">
        <v>101043021003944</v>
      </c>
      <c r="C15" s="44" t="s">
        <v>277</v>
      </c>
      <c r="D15" s="45">
        <v>236500</v>
      </c>
      <c r="E15" s="46">
        <v>0</v>
      </c>
      <c r="F15" s="46">
        <f>544-0</f>
        <v>544</v>
      </c>
      <c r="G15" s="46">
        <f>16556-0</f>
        <v>16556</v>
      </c>
      <c r="H15" s="46">
        <f t="shared" si="2"/>
        <v>253600</v>
      </c>
      <c r="I15" s="44" t="s">
        <v>280</v>
      </c>
      <c r="J15" s="45">
        <v>319275</v>
      </c>
      <c r="K15" s="110">
        <v>7</v>
      </c>
      <c r="L15" s="47" t="s">
        <v>279</v>
      </c>
    </row>
    <row r="16" spans="1:14" x14ac:dyDescent="0.3">
      <c r="A16" s="10">
        <v>5</v>
      </c>
      <c r="B16" s="43" t="s">
        <v>308</v>
      </c>
      <c r="C16" s="44" t="s">
        <v>307</v>
      </c>
      <c r="D16" s="45">
        <v>424860</v>
      </c>
      <c r="E16" s="46">
        <v>0</v>
      </c>
      <c r="F16" s="46">
        <v>0</v>
      </c>
      <c r="G16" s="46">
        <f>(164+1982+4263+6550)-(17+198+427+655)</f>
        <v>11662</v>
      </c>
      <c r="H16" s="46">
        <f t="shared" si="2"/>
        <v>436522</v>
      </c>
      <c r="I16" s="118"/>
      <c r="J16" s="119"/>
      <c r="K16" s="121"/>
      <c r="L16" s="47" t="s">
        <v>169</v>
      </c>
      <c r="N16" s="1"/>
    </row>
    <row r="17" spans="1:14" x14ac:dyDescent="0.3">
      <c r="A17" s="10"/>
      <c r="D17" s="52">
        <f>SUM(D14:D16)</f>
        <v>1156280</v>
      </c>
      <c r="E17" s="52">
        <f t="shared" ref="E17:H17" si="3">SUM(E14:E16)</f>
        <v>0</v>
      </c>
      <c r="F17" s="52">
        <f t="shared" si="3"/>
        <v>544</v>
      </c>
      <c r="G17" s="52">
        <f t="shared" si="3"/>
        <v>54113</v>
      </c>
      <c r="H17" s="52">
        <f t="shared" si="3"/>
        <v>1210937</v>
      </c>
      <c r="I17" s="4"/>
      <c r="J17" s="52">
        <f>SUM(J14:J16)</f>
        <v>319275</v>
      </c>
      <c r="N17" s="1"/>
    </row>
    <row r="19" spans="1:14" x14ac:dyDescent="0.3">
      <c r="A19" s="10"/>
      <c r="B19" s="41" t="s">
        <v>3</v>
      </c>
    </row>
    <row r="20" spans="1:14" x14ac:dyDescent="0.3">
      <c r="A20" s="10">
        <v>6</v>
      </c>
      <c r="B20" s="43">
        <v>101043021003955</v>
      </c>
      <c r="C20" s="44" t="s">
        <v>277</v>
      </c>
      <c r="D20" s="45">
        <v>186768</v>
      </c>
      <c r="E20" s="46">
        <v>0</v>
      </c>
      <c r="F20" s="46">
        <f>430-0</f>
        <v>430</v>
      </c>
      <c r="G20" s="46">
        <f>13072-0</f>
        <v>13072</v>
      </c>
      <c r="H20" s="46">
        <f t="shared" ref="H20:H21" si="4">SUM(D20:G20)</f>
        <v>200270</v>
      </c>
      <c r="I20" s="44" t="s">
        <v>280</v>
      </c>
      <c r="J20" s="45">
        <v>252137</v>
      </c>
      <c r="K20" s="110">
        <v>7</v>
      </c>
      <c r="L20" s="47" t="s">
        <v>279</v>
      </c>
    </row>
    <row r="21" spans="1:14" x14ac:dyDescent="0.3">
      <c r="A21" s="10">
        <v>7</v>
      </c>
      <c r="B21" s="43" t="s">
        <v>306</v>
      </c>
      <c r="C21" s="44" t="s">
        <v>307</v>
      </c>
      <c r="D21" s="45">
        <v>141660</v>
      </c>
      <c r="E21" s="46">
        <v>0</v>
      </c>
      <c r="F21" s="46">
        <v>0</v>
      </c>
      <c r="G21" s="46">
        <f>(55+661+1421+2184)-(6+66+142+218)</f>
        <v>3889</v>
      </c>
      <c r="H21" s="46">
        <f t="shared" si="4"/>
        <v>145549</v>
      </c>
      <c r="I21" s="118"/>
      <c r="J21" s="119"/>
      <c r="K21" s="121"/>
      <c r="L21" s="47" t="s">
        <v>169</v>
      </c>
    </row>
    <row r="22" spans="1:14" x14ac:dyDescent="0.3">
      <c r="A22" s="10"/>
      <c r="D22" s="50">
        <f>SUM(D20:D21)</f>
        <v>328428</v>
      </c>
      <c r="E22" s="50">
        <f t="shared" ref="E22:J22" si="5">SUM(E20:E21)</f>
        <v>0</v>
      </c>
      <c r="F22" s="50">
        <f t="shared" si="5"/>
        <v>430</v>
      </c>
      <c r="G22" s="50">
        <f t="shared" si="5"/>
        <v>16961</v>
      </c>
      <c r="H22" s="50">
        <f t="shared" si="5"/>
        <v>345819</v>
      </c>
      <c r="I22" s="4"/>
      <c r="J22" s="50">
        <f t="shared" si="5"/>
        <v>252137</v>
      </c>
    </row>
    <row r="23" spans="1:14" x14ac:dyDescent="0.3">
      <c r="A23" s="10"/>
      <c r="D23" s="51"/>
      <c r="E23" s="51"/>
      <c r="F23" s="51"/>
      <c r="G23" s="51"/>
      <c r="H23" s="51"/>
      <c r="I23" s="4"/>
      <c r="J23" s="51"/>
    </row>
    <row r="24" spans="1:14" x14ac:dyDescent="0.3">
      <c r="A24" s="10"/>
      <c r="B24" s="41" t="s">
        <v>276</v>
      </c>
    </row>
    <row r="25" spans="1:14" x14ac:dyDescent="0.3">
      <c r="A25" s="10">
        <v>8</v>
      </c>
      <c r="B25" s="43">
        <v>101043021003939</v>
      </c>
      <c r="C25" s="44" t="s">
        <v>277</v>
      </c>
      <c r="D25" s="45">
        <v>9030</v>
      </c>
      <c r="E25" s="46">
        <v>0</v>
      </c>
      <c r="F25" s="46">
        <f>21-0</f>
        <v>21</v>
      </c>
      <c r="G25" s="46">
        <f>632-0</f>
        <v>632</v>
      </c>
      <c r="H25" s="46">
        <f>SUM(D25:G25)</f>
        <v>9683</v>
      </c>
      <c r="I25" s="44" t="s">
        <v>280</v>
      </c>
      <c r="J25" s="45">
        <v>12191</v>
      </c>
      <c r="K25" s="110">
        <v>7</v>
      </c>
      <c r="L25" s="47" t="s">
        <v>279</v>
      </c>
    </row>
    <row r="26" spans="1:14" x14ac:dyDescent="0.3">
      <c r="A26" s="10"/>
      <c r="B26" s="43">
        <v>496253</v>
      </c>
      <c r="C26" s="44" t="s">
        <v>310</v>
      </c>
      <c r="D26" s="45">
        <v>860</v>
      </c>
      <c r="E26" s="46">
        <v>0</v>
      </c>
      <c r="F26" s="46">
        <v>0</v>
      </c>
      <c r="G26" s="46">
        <f>2</f>
        <v>2</v>
      </c>
      <c r="H26" s="46">
        <f>SUM(D26:G26)</f>
        <v>862</v>
      </c>
      <c r="I26" s="118"/>
      <c r="J26" s="119"/>
      <c r="K26" s="121"/>
      <c r="L26" s="47" t="s">
        <v>169</v>
      </c>
    </row>
    <row r="27" spans="1:14" x14ac:dyDescent="0.3">
      <c r="A27" s="10"/>
      <c r="B27" s="43" t="s">
        <v>309</v>
      </c>
      <c r="C27" s="44" t="s">
        <v>307</v>
      </c>
      <c r="D27" s="45">
        <v>4300</v>
      </c>
      <c r="E27" s="46">
        <v>0</v>
      </c>
      <c r="F27" s="46">
        <v>0</v>
      </c>
      <c r="G27" s="46">
        <f>(2+20+43+66)-(1+2+4+7)</f>
        <v>117</v>
      </c>
      <c r="H27" s="46">
        <f t="shared" ref="H27" si="6">SUM(D27:G27)</f>
        <v>4417</v>
      </c>
      <c r="I27" s="118"/>
      <c r="J27" s="119"/>
      <c r="K27" s="121"/>
      <c r="L27" s="47" t="s">
        <v>169</v>
      </c>
    </row>
    <row r="28" spans="1:14" x14ac:dyDescent="0.3">
      <c r="A28" s="10"/>
      <c r="D28" s="50">
        <f>SUM(D25:D27)</f>
        <v>14190</v>
      </c>
      <c r="E28" s="50">
        <f t="shared" ref="E28:J28" si="7">SUM(E25:E27)</f>
        <v>0</v>
      </c>
      <c r="F28" s="50">
        <f t="shared" si="7"/>
        <v>21</v>
      </c>
      <c r="G28" s="50">
        <f t="shared" si="7"/>
        <v>751</v>
      </c>
      <c r="H28" s="50">
        <f t="shared" si="7"/>
        <v>14962</v>
      </c>
      <c r="I28" s="122"/>
      <c r="J28" s="50">
        <f t="shared" si="7"/>
        <v>12191</v>
      </c>
      <c r="K28" s="54"/>
      <c r="L28" s="47" t="s">
        <v>169</v>
      </c>
    </row>
    <row r="29" spans="1:14" x14ac:dyDescent="0.3">
      <c r="A29" s="10"/>
      <c r="D29" s="51"/>
      <c r="E29" s="51"/>
      <c r="F29" s="51"/>
      <c r="G29" s="51"/>
      <c r="H29" s="51"/>
      <c r="I29" s="4"/>
      <c r="J29" s="51"/>
    </row>
    <row r="30" spans="1:14" s="41" customFormat="1" ht="15" thickBot="1" x14ac:dyDescent="0.35">
      <c r="B30" s="126" t="s">
        <v>4</v>
      </c>
      <c r="D30" s="57">
        <f>D6+D11+D17+D22+D28</f>
        <v>1577151</v>
      </c>
      <c r="E30" s="57">
        <f t="shared" ref="E30:H30" si="8">E6+E11+E17+E22+E28</f>
        <v>1834</v>
      </c>
      <c r="F30" s="57">
        <f t="shared" si="8"/>
        <v>2778</v>
      </c>
      <c r="G30" s="57">
        <f t="shared" si="8"/>
        <v>73855</v>
      </c>
      <c r="H30" s="57">
        <f t="shared" si="8"/>
        <v>1655618</v>
      </c>
      <c r="J30" s="57">
        <f>J6+J11+J17+J22+J28</f>
        <v>620105</v>
      </c>
    </row>
    <row r="31" spans="1:14" ht="15" thickTop="1" x14ac:dyDescent="0.3"/>
  </sheetData>
  <mergeCells count="2">
    <mergeCell ref="B1:L1"/>
    <mergeCell ref="B2: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2"/>
  <sheetViews>
    <sheetView workbookViewId="0">
      <selection activeCell="H20" sqref="H20"/>
    </sheetView>
  </sheetViews>
  <sheetFormatPr defaultRowHeight="14.4" x14ac:dyDescent="0.3"/>
  <cols>
    <col min="2" max="2" width="16.77734375" bestFit="1" customWidth="1"/>
    <col min="3" max="3" width="5.109375" bestFit="1" customWidth="1"/>
    <col min="4" max="4" width="14.44140625" bestFit="1" customWidth="1"/>
    <col min="5" max="5" width="10.21875" bestFit="1" customWidth="1"/>
    <col min="6" max="6" width="11.77734375" bestFit="1" customWidth="1"/>
    <col min="7" max="7" width="14.44140625" bestFit="1" customWidth="1"/>
    <col min="8" max="8" width="11.77734375" bestFit="1" customWidth="1"/>
    <col min="9" max="9" width="14.44140625" bestFit="1" customWidth="1"/>
  </cols>
  <sheetData>
    <row r="2" spans="2:9" ht="15.6" x14ac:dyDescent="0.3">
      <c r="B2" s="139" t="str">
        <f>'Sch-I FD'!B1:L1</f>
        <v>La Serena CHS Ltd</v>
      </c>
      <c r="C2" s="139"/>
      <c r="D2" s="139"/>
      <c r="E2" s="139"/>
      <c r="F2" s="139"/>
      <c r="G2" s="139"/>
      <c r="H2" s="139"/>
      <c r="I2" s="139"/>
    </row>
    <row r="3" spans="2:9" x14ac:dyDescent="0.3">
      <c r="B3" s="140" t="s">
        <v>234</v>
      </c>
      <c r="C3" s="140"/>
      <c r="D3" s="140"/>
      <c r="E3" s="140"/>
      <c r="F3" s="140"/>
      <c r="G3" s="140"/>
      <c r="H3" s="140"/>
      <c r="I3" s="140"/>
    </row>
    <row r="4" spans="2:9" x14ac:dyDescent="0.3">
      <c r="B4" s="141" t="s">
        <v>296</v>
      </c>
      <c r="C4" s="141"/>
      <c r="D4" s="141"/>
      <c r="E4" s="141"/>
      <c r="F4" s="141"/>
      <c r="G4" s="141"/>
      <c r="H4" s="141"/>
      <c r="I4" s="141"/>
    </row>
    <row r="5" spans="2:9" ht="66" x14ac:dyDescent="0.3">
      <c r="B5" s="100" t="s">
        <v>230</v>
      </c>
      <c r="C5" s="81" t="s">
        <v>231</v>
      </c>
      <c r="D5" s="101" t="s">
        <v>298</v>
      </c>
      <c r="E5" s="82" t="s">
        <v>299</v>
      </c>
      <c r="F5" s="102" t="s">
        <v>300</v>
      </c>
      <c r="G5" s="81" t="s">
        <v>301</v>
      </c>
      <c r="H5" s="101" t="s">
        <v>232</v>
      </c>
      <c r="I5" s="81" t="s">
        <v>302</v>
      </c>
    </row>
    <row r="6" spans="2:9" x14ac:dyDescent="0.3">
      <c r="B6" s="96" t="s">
        <v>119</v>
      </c>
      <c r="C6" s="83">
        <v>0</v>
      </c>
      <c r="D6" s="97">
        <v>15147120</v>
      </c>
      <c r="E6" s="84">
        <v>0</v>
      </c>
      <c r="F6" s="98">
        <v>0</v>
      </c>
      <c r="G6" s="85">
        <f>D6+E6+F6</f>
        <v>15147120</v>
      </c>
      <c r="H6" s="99">
        <f>ROUND((D6*C6)+(E6*C6)+(F6*C6/2),0)</f>
        <v>0</v>
      </c>
      <c r="I6" s="85">
        <f>G6-H6</f>
        <v>15147120</v>
      </c>
    </row>
    <row r="7" spans="2:9" x14ac:dyDescent="0.3">
      <c r="B7" s="94"/>
      <c r="C7" s="78"/>
      <c r="D7" s="91"/>
      <c r="E7" s="79"/>
      <c r="F7" s="92"/>
      <c r="G7" s="80"/>
      <c r="H7" s="93"/>
      <c r="I7" s="80"/>
    </row>
    <row r="8" spans="2:9" x14ac:dyDescent="0.3">
      <c r="B8" s="96" t="s">
        <v>235</v>
      </c>
      <c r="C8" s="87">
        <v>0.15</v>
      </c>
      <c r="D8" s="97">
        <v>50575</v>
      </c>
      <c r="E8" s="84">
        <v>0</v>
      </c>
      <c r="F8" s="98">
        <v>0</v>
      </c>
      <c r="G8" s="85">
        <f t="shared" ref="G8" si="0">D8+E8+F8</f>
        <v>50575</v>
      </c>
      <c r="H8" s="99">
        <f>ROUND((D8*C8)+(E8*C8)+(F8*C8/2),0)</f>
        <v>7586</v>
      </c>
      <c r="I8" s="85">
        <f t="shared" ref="I8" si="1">G8-H8</f>
        <v>42989</v>
      </c>
    </row>
    <row r="9" spans="2:9" x14ac:dyDescent="0.3">
      <c r="B9" s="94"/>
      <c r="C9" s="95"/>
      <c r="D9" s="91"/>
      <c r="E9" s="79"/>
      <c r="F9" s="92"/>
      <c r="G9" s="80"/>
      <c r="H9" s="93"/>
      <c r="I9" s="80"/>
    </row>
    <row r="10" spans="2:9" x14ac:dyDescent="0.3">
      <c r="B10" s="96" t="s">
        <v>120</v>
      </c>
      <c r="C10" s="87">
        <v>0.1</v>
      </c>
      <c r="D10" s="97">
        <v>14499</v>
      </c>
      <c r="E10" s="84">
        <v>12000</v>
      </c>
      <c r="F10" s="98">
        <v>0</v>
      </c>
      <c r="G10" s="85">
        <f>D10+E10+F10</f>
        <v>26499</v>
      </c>
      <c r="H10" s="99">
        <f>ROUND((D10*C10)+(E10*C10)+(F10*C10/2),0)</f>
        <v>2650</v>
      </c>
      <c r="I10" s="85">
        <f>G10-H10</f>
        <v>23849</v>
      </c>
    </row>
    <row r="11" spans="2:9" x14ac:dyDescent="0.3">
      <c r="B11" s="94"/>
      <c r="C11" s="95"/>
      <c r="D11" s="91"/>
      <c r="E11" s="79"/>
      <c r="F11" s="92"/>
      <c r="G11" s="80"/>
      <c r="H11" s="93"/>
      <c r="I11" s="80"/>
    </row>
    <row r="12" spans="2:9" x14ac:dyDescent="0.3">
      <c r="B12" s="96" t="s">
        <v>121</v>
      </c>
      <c r="C12" s="87">
        <v>0.15</v>
      </c>
      <c r="D12" s="97">
        <v>43350</v>
      </c>
      <c r="E12" s="84">
        <v>0</v>
      </c>
      <c r="F12" s="98">
        <v>0</v>
      </c>
      <c r="G12" s="85">
        <f>D12+E12+F12</f>
        <v>43350</v>
      </c>
      <c r="H12" s="99">
        <f>ROUND((D12*C12)+(E12*C12)+(F12*C12/2),0)</f>
        <v>6503</v>
      </c>
      <c r="I12" s="85">
        <f>G12-H12</f>
        <v>36847</v>
      </c>
    </row>
    <row r="13" spans="2:9" x14ac:dyDescent="0.3">
      <c r="B13" s="94"/>
      <c r="C13" s="95"/>
      <c r="D13" s="91"/>
      <c r="E13" s="79"/>
      <c r="F13" s="92"/>
      <c r="G13" s="80"/>
      <c r="H13" s="93"/>
      <c r="I13" s="80"/>
    </row>
    <row r="14" spans="2:9" x14ac:dyDescent="0.3">
      <c r="B14" s="96" t="s">
        <v>122</v>
      </c>
      <c r="C14" s="87">
        <v>0.15</v>
      </c>
      <c r="D14" s="97">
        <v>114615</v>
      </c>
      <c r="E14" s="84">
        <v>0</v>
      </c>
      <c r="F14" s="98">
        <v>0</v>
      </c>
      <c r="G14" s="85">
        <f>D14+E14+F14</f>
        <v>114615</v>
      </c>
      <c r="H14" s="99">
        <f>ROUND((D14*C14)+(E14*C14)+(F14*C14/2),0)</f>
        <v>17192</v>
      </c>
      <c r="I14" s="85">
        <f>G14-H14</f>
        <v>97423</v>
      </c>
    </row>
    <row r="15" spans="2:9" x14ac:dyDescent="0.3">
      <c r="B15" s="94"/>
      <c r="C15" s="95"/>
      <c r="D15" s="91"/>
      <c r="E15" s="79"/>
      <c r="F15" s="92"/>
      <c r="G15" s="80"/>
      <c r="H15" s="93"/>
      <c r="I15" s="80"/>
    </row>
    <row r="16" spans="2:9" x14ac:dyDescent="0.3">
      <c r="B16" s="96" t="s">
        <v>179</v>
      </c>
      <c r="C16" s="87">
        <v>0.15</v>
      </c>
      <c r="D16" s="97">
        <v>69375</v>
      </c>
      <c r="E16" s="84">
        <v>0</v>
      </c>
      <c r="F16" s="98">
        <v>0</v>
      </c>
      <c r="G16" s="85">
        <f>D16+E16+F16</f>
        <v>69375</v>
      </c>
      <c r="H16" s="99">
        <f>ROUND((D16*C16)+(E16*C16)+(F16*C16/2),0)</f>
        <v>10406</v>
      </c>
      <c r="I16" s="85">
        <f>G16-H16</f>
        <v>58969</v>
      </c>
    </row>
    <row r="17" spans="2:9" x14ac:dyDescent="0.3">
      <c r="B17" s="94"/>
      <c r="C17" s="95"/>
      <c r="D17" s="91"/>
      <c r="E17" s="79"/>
      <c r="F17" s="92"/>
      <c r="G17" s="80"/>
      <c r="H17" s="93"/>
      <c r="I17" s="80"/>
    </row>
    <row r="18" spans="2:9" x14ac:dyDescent="0.3">
      <c r="B18" s="96" t="s">
        <v>297</v>
      </c>
      <c r="C18" s="87">
        <v>0.1</v>
      </c>
      <c r="D18" s="97">
        <v>0</v>
      </c>
      <c r="E18" s="84">
        <v>0</v>
      </c>
      <c r="F18" s="98">
        <v>24684</v>
      </c>
      <c r="G18" s="85">
        <f>D18+E18+F18</f>
        <v>24684</v>
      </c>
      <c r="H18" s="99">
        <f>ROUND((D18*C18)+(E18*C18)+(F18*C18/2),0)</f>
        <v>1234</v>
      </c>
      <c r="I18" s="85">
        <f>G18-H18</f>
        <v>23450</v>
      </c>
    </row>
    <row r="19" spans="2:9" x14ac:dyDescent="0.3">
      <c r="B19" s="94"/>
      <c r="C19" s="95"/>
      <c r="D19" s="91"/>
      <c r="E19" s="79"/>
      <c r="F19" s="92"/>
      <c r="G19" s="80"/>
      <c r="H19" s="93"/>
      <c r="I19" s="80"/>
    </row>
    <row r="20" spans="2:9" x14ac:dyDescent="0.3">
      <c r="B20" s="96" t="s">
        <v>233</v>
      </c>
      <c r="C20" s="83">
        <v>0.4</v>
      </c>
      <c r="D20" s="97">
        <v>13999</v>
      </c>
      <c r="E20" s="84">
        <v>0</v>
      </c>
      <c r="F20" s="98">
        <v>0</v>
      </c>
      <c r="G20" s="85">
        <f>D20+E20+F20</f>
        <v>13999</v>
      </c>
      <c r="H20" s="99">
        <f>ROUND((D20*C20)+(E20*C20)+(F20*C20/2),0)</f>
        <v>5600</v>
      </c>
      <c r="I20" s="85">
        <f>G20-H20</f>
        <v>8399</v>
      </c>
    </row>
    <row r="21" spans="2:9" x14ac:dyDescent="0.3">
      <c r="B21" s="142" t="s">
        <v>4</v>
      </c>
      <c r="C21" s="143"/>
      <c r="D21" s="86">
        <f t="shared" ref="D21:I21" si="2">SUM(D6:D20)</f>
        <v>15453533</v>
      </c>
      <c r="E21" s="86">
        <f t="shared" si="2"/>
        <v>12000</v>
      </c>
      <c r="F21" s="86">
        <f t="shared" si="2"/>
        <v>24684</v>
      </c>
      <c r="G21" s="86">
        <f t="shared" si="2"/>
        <v>15490217</v>
      </c>
      <c r="H21" s="86">
        <f>SUM(H6:H20)</f>
        <v>51171</v>
      </c>
      <c r="I21" s="86">
        <f t="shared" si="2"/>
        <v>15439046</v>
      </c>
    </row>
    <row r="22" spans="2:9" x14ac:dyDescent="0.3">
      <c r="D22" s="1"/>
    </row>
  </sheetData>
  <mergeCells count="4">
    <mergeCell ref="B2:I2"/>
    <mergeCell ref="B3:I3"/>
    <mergeCell ref="B4:I4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30"/>
  <sheetViews>
    <sheetView topLeftCell="A4" workbookViewId="0">
      <selection activeCell="D28" sqref="D28"/>
    </sheetView>
  </sheetViews>
  <sheetFormatPr defaultRowHeight="14.4" x14ac:dyDescent="0.3"/>
  <cols>
    <col min="1" max="1" width="6.33203125" bestFit="1" customWidth="1"/>
    <col min="2" max="2" width="11.5546875" bestFit="1" customWidth="1"/>
    <col min="3" max="3" width="22.44140625" bestFit="1" customWidth="1"/>
    <col min="4" max="4" width="13.109375" bestFit="1" customWidth="1"/>
  </cols>
  <sheetData>
    <row r="2" spans="1:4" ht="15.6" x14ac:dyDescent="0.3">
      <c r="A2" s="144" t="s">
        <v>165</v>
      </c>
      <c r="B2" s="144"/>
      <c r="C2" s="144"/>
      <c r="D2" s="144"/>
    </row>
    <row r="3" spans="1:4" x14ac:dyDescent="0.3">
      <c r="A3" s="41" t="s">
        <v>176</v>
      </c>
      <c r="B3" s="138"/>
      <c r="C3" s="138"/>
      <c r="D3" s="138"/>
    </row>
    <row r="4" spans="1:4" x14ac:dyDescent="0.3">
      <c r="A4" s="138" t="s">
        <v>315</v>
      </c>
      <c r="B4" s="138"/>
      <c r="C4" s="138"/>
      <c r="D4" s="138"/>
    </row>
    <row r="5" spans="1:4" x14ac:dyDescent="0.3">
      <c r="A5" s="55" t="s">
        <v>170</v>
      </c>
      <c r="B5" s="148" t="s">
        <v>178</v>
      </c>
      <c r="C5" s="148"/>
      <c r="D5" s="88" t="s">
        <v>173</v>
      </c>
    </row>
    <row r="6" spans="1:4" x14ac:dyDescent="0.3">
      <c r="A6" s="44">
        <v>1</v>
      </c>
      <c r="B6" s="146" t="s">
        <v>190</v>
      </c>
      <c r="C6" s="146"/>
      <c r="D6" s="90">
        <f>Working!F17</f>
        <v>1123</v>
      </c>
    </row>
    <row r="7" spans="1:4" x14ac:dyDescent="0.3">
      <c r="A7" s="44">
        <v>2</v>
      </c>
      <c r="B7" s="146" t="s">
        <v>192</v>
      </c>
      <c r="C7" s="146"/>
      <c r="D7" s="90">
        <v>0</v>
      </c>
    </row>
    <row r="8" spans="1:4" x14ac:dyDescent="0.3">
      <c r="A8" s="44">
        <v>3</v>
      </c>
      <c r="B8" s="146" t="s">
        <v>193</v>
      </c>
      <c r="C8" s="146"/>
      <c r="D8" s="90">
        <f>Working!F25</f>
        <v>2696</v>
      </c>
    </row>
    <row r="9" spans="1:4" x14ac:dyDescent="0.3">
      <c r="A9" s="44">
        <v>4</v>
      </c>
      <c r="B9" s="146" t="s">
        <v>188</v>
      </c>
      <c r="C9" s="146"/>
      <c r="D9" s="90">
        <f>Working!F13</f>
        <v>27289</v>
      </c>
    </row>
    <row r="10" spans="1:4" x14ac:dyDescent="0.3">
      <c r="A10" s="44">
        <v>5</v>
      </c>
      <c r="B10" s="146" t="s">
        <v>194</v>
      </c>
      <c r="C10" s="146"/>
      <c r="D10" s="90">
        <f>Working!F29</f>
        <v>12938</v>
      </c>
    </row>
    <row r="11" spans="1:4" x14ac:dyDescent="0.3">
      <c r="A11" s="44">
        <v>6</v>
      </c>
      <c r="B11" s="146" t="s">
        <v>195</v>
      </c>
      <c r="C11" s="146"/>
      <c r="D11" s="90">
        <f>Working!F33</f>
        <v>1717</v>
      </c>
    </row>
    <row r="12" spans="1:4" ht="15" thickBot="1" x14ac:dyDescent="0.35">
      <c r="A12" s="147" t="s">
        <v>4</v>
      </c>
      <c r="B12" s="147"/>
      <c r="C12" s="147"/>
      <c r="D12" s="89">
        <f>SUM(D6:D11)</f>
        <v>45763</v>
      </c>
    </row>
    <row r="13" spans="1:4" ht="15" thickTop="1" x14ac:dyDescent="0.3">
      <c r="A13" s="41"/>
      <c r="B13" s="3"/>
      <c r="C13" s="3"/>
      <c r="D13" s="3"/>
    </row>
    <row r="14" spans="1:4" x14ac:dyDescent="0.3">
      <c r="A14" s="41"/>
      <c r="B14" s="3"/>
      <c r="C14" s="3"/>
      <c r="D14" s="3"/>
    </row>
    <row r="15" spans="1:4" x14ac:dyDescent="0.3">
      <c r="A15" s="41" t="s">
        <v>237</v>
      </c>
      <c r="B15" s="3"/>
      <c r="C15" s="3"/>
      <c r="D15" s="3"/>
    </row>
    <row r="16" spans="1:4" x14ac:dyDescent="0.3">
      <c r="A16" s="145" t="s">
        <v>287</v>
      </c>
      <c r="B16" s="145"/>
      <c r="C16" s="145"/>
      <c r="D16" s="145"/>
    </row>
    <row r="17" spans="1:4" x14ac:dyDescent="0.3">
      <c r="A17" s="55" t="s">
        <v>170</v>
      </c>
      <c r="B17" s="58" t="s">
        <v>171</v>
      </c>
      <c r="C17" s="59" t="s">
        <v>172</v>
      </c>
      <c r="D17" s="60" t="s">
        <v>173</v>
      </c>
    </row>
    <row r="18" spans="1:4" x14ac:dyDescent="0.3">
      <c r="A18" s="44">
        <v>1</v>
      </c>
      <c r="B18" s="114" t="s">
        <v>248</v>
      </c>
      <c r="C18" s="115" t="s">
        <v>249</v>
      </c>
      <c r="D18" s="116">
        <v>10946</v>
      </c>
    </row>
    <row r="19" spans="1:4" x14ac:dyDescent="0.3">
      <c r="A19" s="44">
        <v>2</v>
      </c>
      <c r="B19" s="63" t="s">
        <v>174</v>
      </c>
      <c r="C19" s="54" t="s">
        <v>175</v>
      </c>
      <c r="D19" s="61">
        <v>12373</v>
      </c>
    </row>
    <row r="20" spans="1:4" ht="15" thickBot="1" x14ac:dyDescent="0.35">
      <c r="A20" s="147" t="s">
        <v>4</v>
      </c>
      <c r="B20" s="147"/>
      <c r="C20" s="147"/>
      <c r="D20" s="62">
        <f>SUM(D18:D19)</f>
        <v>23319</v>
      </c>
    </row>
    <row r="21" spans="1:4" ht="15" thickTop="1" x14ac:dyDescent="0.3"/>
    <row r="23" spans="1:4" x14ac:dyDescent="0.3">
      <c r="A23" s="41" t="s">
        <v>245</v>
      </c>
    </row>
    <row r="24" spans="1:4" x14ac:dyDescent="0.3">
      <c r="A24" s="145" t="s">
        <v>316</v>
      </c>
      <c r="B24" s="145"/>
      <c r="C24" s="145"/>
      <c r="D24" s="145"/>
    </row>
    <row r="25" spans="1:4" x14ac:dyDescent="0.3">
      <c r="A25" s="58" t="s">
        <v>170</v>
      </c>
      <c r="B25" s="58" t="s">
        <v>23</v>
      </c>
      <c r="C25" s="59" t="s">
        <v>178</v>
      </c>
      <c r="D25" s="60" t="s">
        <v>173</v>
      </c>
    </row>
    <row r="26" spans="1:4" x14ac:dyDescent="0.3">
      <c r="A26" s="44">
        <v>1</v>
      </c>
      <c r="B26" s="44" t="s">
        <v>179</v>
      </c>
      <c r="C26" s="54" t="s">
        <v>177</v>
      </c>
      <c r="D26" s="104">
        <v>23000</v>
      </c>
    </row>
    <row r="27" spans="1:4" x14ac:dyDescent="0.3">
      <c r="A27" s="123">
        <v>2</v>
      </c>
      <c r="B27" s="123" t="s">
        <v>317</v>
      </c>
      <c r="C27" s="124" t="s">
        <v>318</v>
      </c>
      <c r="D27" s="125">
        <v>293975</v>
      </c>
    </row>
    <row r="28" spans="1:4" x14ac:dyDescent="0.3">
      <c r="A28" s="123">
        <v>3</v>
      </c>
      <c r="B28" s="123" t="s">
        <v>319</v>
      </c>
      <c r="C28" s="124" t="s">
        <v>320</v>
      </c>
      <c r="D28" s="125">
        <v>3445</v>
      </c>
    </row>
    <row r="29" spans="1:4" ht="15" thickBot="1" x14ac:dyDescent="0.35">
      <c r="A29" s="147" t="s">
        <v>4</v>
      </c>
      <c r="B29" s="147"/>
      <c r="C29" s="147"/>
      <c r="D29" s="62">
        <f>SUM(D26:D28)</f>
        <v>320420</v>
      </c>
    </row>
    <row r="30" spans="1:4" ht="15" thickTop="1" x14ac:dyDescent="0.3"/>
  </sheetData>
  <mergeCells count="15">
    <mergeCell ref="A29:C29"/>
    <mergeCell ref="A4:D4"/>
    <mergeCell ref="B5:C5"/>
    <mergeCell ref="B6:C6"/>
    <mergeCell ref="B7:C7"/>
    <mergeCell ref="A16:D16"/>
    <mergeCell ref="A20:C20"/>
    <mergeCell ref="B3:D3"/>
    <mergeCell ref="A2:D2"/>
    <mergeCell ref="A24:D24"/>
    <mergeCell ref="B8:C8"/>
    <mergeCell ref="B9:C9"/>
    <mergeCell ref="B10:C10"/>
    <mergeCell ref="B11:C11"/>
    <mergeCell ref="A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36"/>
  <sheetViews>
    <sheetView workbookViewId="0">
      <selection activeCell="A34" sqref="A34"/>
    </sheetView>
  </sheetViews>
  <sheetFormatPr defaultRowHeight="14.4" x14ac:dyDescent="0.3"/>
  <cols>
    <col min="1" max="1" width="6" bestFit="1" customWidth="1"/>
    <col min="2" max="2" width="14.21875" style="10" bestFit="1" customWidth="1"/>
    <col min="3" max="3" width="38.88671875" bestFit="1" customWidth="1"/>
    <col min="4" max="4" width="13.109375" bestFit="1" customWidth="1"/>
  </cols>
  <sheetData>
    <row r="3" spans="1:4" x14ac:dyDescent="0.3">
      <c r="A3" s="41" t="s">
        <v>261</v>
      </c>
    </row>
    <row r="4" spans="1:4" ht="15.6" x14ac:dyDescent="0.3">
      <c r="A4" s="144" t="s">
        <v>165</v>
      </c>
      <c r="B4" s="144"/>
      <c r="C4" s="144"/>
      <c r="D4" s="144"/>
    </row>
    <row r="5" spans="1:4" x14ac:dyDescent="0.3">
      <c r="A5" s="148" t="s">
        <v>294</v>
      </c>
      <c r="B5" s="148"/>
      <c r="C5" s="148"/>
      <c r="D5" s="148"/>
    </row>
    <row r="6" spans="1:4" x14ac:dyDescent="0.3">
      <c r="A6" s="103" t="s">
        <v>254</v>
      </c>
      <c r="B6" s="103" t="s">
        <v>171</v>
      </c>
      <c r="C6" s="103" t="s">
        <v>246</v>
      </c>
      <c r="D6" s="103" t="s">
        <v>185</v>
      </c>
    </row>
    <row r="7" spans="1:4" x14ac:dyDescent="0.3">
      <c r="A7" s="44">
        <v>1</v>
      </c>
      <c r="B7" s="44" t="s">
        <v>247</v>
      </c>
      <c r="C7" s="54" t="s">
        <v>288</v>
      </c>
      <c r="D7" s="104">
        <v>25185</v>
      </c>
    </row>
    <row r="8" spans="1:4" x14ac:dyDescent="0.3">
      <c r="A8" s="44">
        <v>2</v>
      </c>
      <c r="B8" s="63" t="s">
        <v>292</v>
      </c>
      <c r="C8" s="54" t="s">
        <v>289</v>
      </c>
      <c r="D8" s="104">
        <v>7355</v>
      </c>
    </row>
    <row r="9" spans="1:4" x14ac:dyDescent="0.3">
      <c r="A9" s="44">
        <v>3</v>
      </c>
      <c r="B9" s="44" t="s">
        <v>293</v>
      </c>
      <c r="C9" s="54" t="s">
        <v>290</v>
      </c>
      <c r="D9" s="104">
        <v>6745</v>
      </c>
    </row>
    <row r="10" spans="1:4" x14ac:dyDescent="0.3">
      <c r="A10" s="44">
        <v>4</v>
      </c>
      <c r="B10" s="44" t="s">
        <v>250</v>
      </c>
      <c r="C10" s="54" t="s">
        <v>291</v>
      </c>
      <c r="D10" s="104">
        <v>44446</v>
      </c>
    </row>
    <row r="11" spans="1:4" x14ac:dyDescent="0.3">
      <c r="A11" s="44">
        <v>5</v>
      </c>
      <c r="B11" s="44" t="s">
        <v>251</v>
      </c>
      <c r="C11" s="54" t="s">
        <v>252</v>
      </c>
      <c r="D11" s="104">
        <v>4119</v>
      </c>
    </row>
    <row r="12" spans="1:4" x14ac:dyDescent="0.3">
      <c r="A12" s="44">
        <v>6</v>
      </c>
      <c r="B12" s="44">
        <v>1003</v>
      </c>
      <c r="C12" s="54" t="s">
        <v>253</v>
      </c>
      <c r="D12" s="104">
        <v>37956</v>
      </c>
    </row>
    <row r="13" spans="1:4" x14ac:dyDescent="0.3">
      <c r="A13" s="148" t="s">
        <v>4</v>
      </c>
      <c r="B13" s="148"/>
      <c r="C13" s="148"/>
      <c r="D13" s="105">
        <f>SUM(D7:D12)</f>
        <v>125806</v>
      </c>
    </row>
    <row r="16" spans="1:4" x14ac:dyDescent="0.3">
      <c r="A16" s="41" t="s">
        <v>262</v>
      </c>
    </row>
    <row r="17" spans="1:4" x14ac:dyDescent="0.3">
      <c r="A17" s="148" t="s">
        <v>322</v>
      </c>
      <c r="B17" s="148"/>
      <c r="C17" s="148"/>
      <c r="D17" s="148"/>
    </row>
    <row r="18" spans="1:4" x14ac:dyDescent="0.3">
      <c r="A18" s="58" t="s">
        <v>170</v>
      </c>
      <c r="B18" s="58" t="s">
        <v>23</v>
      </c>
      <c r="C18" s="59" t="s">
        <v>178</v>
      </c>
      <c r="D18" s="60" t="s">
        <v>173</v>
      </c>
    </row>
    <row r="19" spans="1:4" x14ac:dyDescent="0.3">
      <c r="A19" s="44">
        <v>1</v>
      </c>
      <c r="B19" s="106" t="s">
        <v>259</v>
      </c>
      <c r="C19" s="61" t="s">
        <v>118</v>
      </c>
      <c r="D19" s="61">
        <v>452</v>
      </c>
    </row>
    <row r="20" spans="1:4" x14ac:dyDescent="0.3">
      <c r="A20" s="44">
        <v>2</v>
      </c>
      <c r="B20" s="106"/>
      <c r="C20" s="61" t="s">
        <v>323</v>
      </c>
      <c r="D20" s="61">
        <v>2000</v>
      </c>
    </row>
    <row r="21" spans="1:4" x14ac:dyDescent="0.3">
      <c r="A21" s="44">
        <v>3</v>
      </c>
      <c r="B21" s="106"/>
      <c r="C21" s="61" t="s">
        <v>324</v>
      </c>
      <c r="D21" s="61">
        <v>4887.5</v>
      </c>
    </row>
    <row r="22" spans="1:4" x14ac:dyDescent="0.3">
      <c r="A22" s="44">
        <v>4</v>
      </c>
      <c r="B22" s="106"/>
      <c r="C22" s="61" t="s">
        <v>325</v>
      </c>
      <c r="D22" s="61">
        <v>42075</v>
      </c>
    </row>
    <row r="23" spans="1:4" x14ac:dyDescent="0.3">
      <c r="A23" s="44">
        <v>5</v>
      </c>
      <c r="B23" s="106"/>
      <c r="C23" s="61" t="s">
        <v>326</v>
      </c>
      <c r="D23" s="61">
        <v>65213</v>
      </c>
    </row>
    <row r="24" spans="1:4" x14ac:dyDescent="0.3">
      <c r="A24" s="149" t="s">
        <v>260</v>
      </c>
      <c r="B24" s="149"/>
      <c r="C24" s="149"/>
      <c r="D24" s="105">
        <f>SUM(D19:D23)</f>
        <v>114627.5</v>
      </c>
    </row>
    <row r="27" spans="1:4" x14ac:dyDescent="0.3">
      <c r="A27" s="148" t="s">
        <v>328</v>
      </c>
      <c r="B27" s="148"/>
      <c r="C27" s="148"/>
      <c r="D27" s="148"/>
    </row>
    <row r="28" spans="1:4" x14ac:dyDescent="0.3">
      <c r="A28" s="58" t="s">
        <v>170</v>
      </c>
      <c r="B28" s="58" t="s">
        <v>23</v>
      </c>
      <c r="C28" s="59" t="s">
        <v>178</v>
      </c>
      <c r="D28" s="60" t="s">
        <v>173</v>
      </c>
    </row>
    <row r="29" spans="1:4" x14ac:dyDescent="0.3">
      <c r="A29" s="44">
        <v>1</v>
      </c>
      <c r="B29" s="107" t="s">
        <v>10</v>
      </c>
      <c r="C29" s="107" t="s">
        <v>264</v>
      </c>
      <c r="D29" s="61">
        <v>4300</v>
      </c>
    </row>
    <row r="30" spans="1:4" x14ac:dyDescent="0.3">
      <c r="A30" s="44">
        <v>2</v>
      </c>
      <c r="B30" s="107" t="s">
        <v>186</v>
      </c>
      <c r="C30" s="107" t="s">
        <v>265</v>
      </c>
      <c r="D30" s="61">
        <v>33425</v>
      </c>
    </row>
    <row r="31" spans="1:4" x14ac:dyDescent="0.3">
      <c r="A31" s="44">
        <v>3</v>
      </c>
      <c r="B31" s="107" t="s">
        <v>263</v>
      </c>
      <c r="C31" s="107" t="s">
        <v>266</v>
      </c>
      <c r="D31" s="61">
        <v>826</v>
      </c>
    </row>
    <row r="32" spans="1:4" x14ac:dyDescent="0.3">
      <c r="A32" s="44">
        <v>4</v>
      </c>
      <c r="B32" s="107" t="s">
        <v>348</v>
      </c>
      <c r="C32" s="107" t="s">
        <v>327</v>
      </c>
      <c r="D32" s="61">
        <v>69446</v>
      </c>
    </row>
    <row r="33" spans="1:4" x14ac:dyDescent="0.3">
      <c r="A33" s="44">
        <v>5</v>
      </c>
      <c r="B33" s="107" t="s">
        <v>349</v>
      </c>
      <c r="C33" s="107" t="s">
        <v>192</v>
      </c>
      <c r="D33" s="61">
        <v>12500</v>
      </c>
    </row>
    <row r="34" spans="1:4" x14ac:dyDescent="0.3">
      <c r="A34" s="44"/>
      <c r="B34" s="107"/>
      <c r="C34" s="107" t="s">
        <v>347</v>
      </c>
      <c r="D34" s="61">
        <f>Working!N17</f>
        <v>11100</v>
      </c>
    </row>
    <row r="35" spans="1:4" x14ac:dyDescent="0.3">
      <c r="A35" s="149" t="s">
        <v>267</v>
      </c>
      <c r="B35" s="149"/>
      <c r="C35" s="149"/>
      <c r="D35" s="105">
        <f>SUM(D29:D34)</f>
        <v>131597</v>
      </c>
    </row>
    <row r="36" spans="1:4" x14ac:dyDescent="0.3">
      <c r="A36" s="148" t="s">
        <v>268</v>
      </c>
      <c r="B36" s="148"/>
      <c r="C36" s="148"/>
      <c r="D36" s="56">
        <f>D24+D35</f>
        <v>246224.5</v>
      </c>
    </row>
  </sheetData>
  <mergeCells count="8">
    <mergeCell ref="A35:C35"/>
    <mergeCell ref="A36:C36"/>
    <mergeCell ref="A5:D5"/>
    <mergeCell ref="A4:D4"/>
    <mergeCell ref="A13:C13"/>
    <mergeCell ref="A17:D17"/>
    <mergeCell ref="A24:C24"/>
    <mergeCell ref="A27:D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B1:F17"/>
  <sheetViews>
    <sheetView workbookViewId="0">
      <selection activeCell="E21" sqref="E21"/>
    </sheetView>
  </sheetViews>
  <sheetFormatPr defaultRowHeight="14.4" x14ac:dyDescent="0.3"/>
  <cols>
    <col min="2" max="2" width="34.21875" bestFit="1" customWidth="1"/>
    <col min="3" max="3" width="11.6640625" bestFit="1" customWidth="1"/>
    <col min="5" max="5" width="10.33203125" bestFit="1" customWidth="1"/>
    <col min="7" max="7" width="15.109375" bestFit="1" customWidth="1"/>
    <col min="8" max="8" width="14.33203125" bestFit="1" customWidth="1"/>
    <col min="9" max="9" width="25.88671875" bestFit="1" customWidth="1"/>
    <col min="10" max="10" width="17" bestFit="1" customWidth="1"/>
  </cols>
  <sheetData>
    <row r="1" spans="2:6" ht="15.6" x14ac:dyDescent="0.3">
      <c r="B1" s="150" t="s">
        <v>225</v>
      </c>
      <c r="C1" s="151"/>
    </row>
    <row r="2" spans="2:6" x14ac:dyDescent="0.3">
      <c r="B2" s="152" t="s">
        <v>303</v>
      </c>
      <c r="C2" s="153"/>
    </row>
    <row r="3" spans="2:6" ht="14.4" customHeight="1" x14ac:dyDescent="0.3">
      <c r="B3" s="76"/>
      <c r="C3" s="117" t="s">
        <v>222</v>
      </c>
    </row>
    <row r="4" spans="2:6" x14ac:dyDescent="0.3">
      <c r="B4" s="73" t="s">
        <v>223</v>
      </c>
      <c r="C4" s="74">
        <v>67689.600000000006</v>
      </c>
    </row>
    <row r="5" spans="2:6" x14ac:dyDescent="0.3">
      <c r="B5" s="73"/>
      <c r="C5" s="112"/>
    </row>
    <row r="6" spans="2:6" ht="15" customHeight="1" thickBot="1" x14ac:dyDescent="0.35">
      <c r="B6" s="73" t="s">
        <v>224</v>
      </c>
      <c r="C6" s="75">
        <v>67689.600000000006</v>
      </c>
    </row>
    <row r="7" spans="2:6" ht="15" thickTop="1" x14ac:dyDescent="0.3">
      <c r="B7" s="76"/>
      <c r="C7" s="77"/>
    </row>
    <row r="12" spans="2:6" ht="14.4" customHeight="1" x14ac:dyDescent="0.3">
      <c r="B12" s="154" t="s">
        <v>304</v>
      </c>
      <c r="C12" s="155"/>
    </row>
    <row r="13" spans="2:6" x14ac:dyDescent="0.3">
      <c r="B13" s="76"/>
      <c r="C13" s="117" t="s">
        <v>222</v>
      </c>
      <c r="E13" s="3"/>
      <c r="F13" s="3"/>
    </row>
    <row r="14" spans="2:6" ht="14.4" customHeight="1" x14ac:dyDescent="0.3">
      <c r="B14" s="73" t="s">
        <v>223</v>
      </c>
      <c r="C14" s="74">
        <v>1747041.53</v>
      </c>
    </row>
    <row r="15" spans="2:6" x14ac:dyDescent="0.3">
      <c r="B15" s="73"/>
      <c r="C15" s="74"/>
    </row>
    <row r="16" spans="2:6" ht="15" thickBot="1" x14ac:dyDescent="0.35">
      <c r="B16" s="73" t="s">
        <v>224</v>
      </c>
      <c r="C16" s="75">
        <v>1747041.53</v>
      </c>
    </row>
    <row r="17" spans="2:3" ht="15" thickTop="1" x14ac:dyDescent="0.3">
      <c r="B17" s="76"/>
      <c r="C17" s="77"/>
    </row>
  </sheetData>
  <mergeCells count="3">
    <mergeCell ref="B1:C1"/>
    <mergeCell ref="B2:C2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3"/>
  <sheetViews>
    <sheetView workbookViewId="0">
      <selection activeCell="M17" sqref="M17"/>
    </sheetView>
  </sheetViews>
  <sheetFormatPr defaultRowHeight="14.4" x14ac:dyDescent="0.3"/>
  <cols>
    <col min="1" max="1" width="6.44140625" style="10" bestFit="1" customWidth="1"/>
    <col min="2" max="2" width="15.77734375" bestFit="1" customWidth="1"/>
    <col min="3" max="4" width="10.33203125" bestFit="1" customWidth="1"/>
    <col min="5" max="5" width="10.33203125" style="10" bestFit="1" customWidth="1"/>
    <col min="11" max="11" width="24" bestFit="1" customWidth="1"/>
    <col min="14" max="14" width="11.33203125" bestFit="1" customWidth="1"/>
  </cols>
  <sheetData>
    <row r="1" spans="1:14" s="3" customFormat="1" x14ac:dyDescent="0.3">
      <c r="A1" s="3" t="s">
        <v>191</v>
      </c>
      <c r="B1" s="3" t="s">
        <v>180</v>
      </c>
      <c r="C1" s="138" t="s">
        <v>181</v>
      </c>
      <c r="D1" s="138"/>
      <c r="E1" s="3" t="s">
        <v>184</v>
      </c>
      <c r="F1" s="3" t="s">
        <v>185</v>
      </c>
    </row>
    <row r="2" spans="1:14" s="3" customFormat="1" x14ac:dyDescent="0.3">
      <c r="C2" s="3" t="s">
        <v>182</v>
      </c>
      <c r="D2" s="3" t="s">
        <v>183</v>
      </c>
      <c r="K2" s="41"/>
      <c r="L2"/>
    </row>
    <row r="3" spans="1:14" s="3" customFormat="1" x14ac:dyDescent="0.3">
      <c r="J3" s="3">
        <v>8</v>
      </c>
      <c r="K3" s="41" t="s">
        <v>329</v>
      </c>
      <c r="L3"/>
      <c r="M3"/>
      <c r="N3"/>
    </row>
    <row r="4" spans="1:14" x14ac:dyDescent="0.3">
      <c r="A4" s="3">
        <v>1</v>
      </c>
      <c r="B4" s="41" t="s">
        <v>186</v>
      </c>
      <c r="C4" s="3"/>
      <c r="D4" s="3"/>
      <c r="E4" s="3"/>
      <c r="F4" s="3"/>
      <c r="G4" s="3"/>
      <c r="J4" s="3"/>
      <c r="K4" t="s">
        <v>330</v>
      </c>
      <c r="N4" s="127">
        <f>IE!G22</f>
        <v>45539</v>
      </c>
    </row>
    <row r="5" spans="1:14" x14ac:dyDescent="0.3">
      <c r="C5" s="64">
        <v>45750</v>
      </c>
      <c r="D5" s="64">
        <v>45841</v>
      </c>
      <c r="E5" s="10">
        <f>D5-C5+1</f>
        <v>92</v>
      </c>
      <c r="F5">
        <v>17983</v>
      </c>
      <c r="J5" s="3"/>
      <c r="K5" t="s">
        <v>345</v>
      </c>
      <c r="N5" s="127">
        <f>IE!G23+IE!G24</f>
        <v>92174</v>
      </c>
    </row>
    <row r="6" spans="1:14" x14ac:dyDescent="0.3">
      <c r="C6" s="64">
        <f>D5</f>
        <v>45841</v>
      </c>
      <c r="D6" s="64">
        <v>45933</v>
      </c>
      <c r="E6" s="10">
        <f>D6-C6+1</f>
        <v>93</v>
      </c>
      <c r="F6">
        <v>17705</v>
      </c>
      <c r="J6" s="3"/>
      <c r="K6" t="s">
        <v>331</v>
      </c>
      <c r="N6" s="127">
        <v>0</v>
      </c>
    </row>
    <row r="7" spans="1:14" x14ac:dyDescent="0.3">
      <c r="C7" s="64">
        <f>D6</f>
        <v>45933</v>
      </c>
      <c r="D7" s="64">
        <v>46024</v>
      </c>
      <c r="E7" s="10">
        <f>D7-C7+1</f>
        <v>92</v>
      </c>
      <c r="F7" s="65">
        <v>18659</v>
      </c>
      <c r="J7" s="3"/>
      <c r="K7" t="s">
        <v>332</v>
      </c>
      <c r="N7" s="128">
        <v>0</v>
      </c>
    </row>
    <row r="8" spans="1:14" x14ac:dyDescent="0.3">
      <c r="C8" s="64">
        <f>C5</f>
        <v>45750</v>
      </c>
      <c r="D8" s="64">
        <f>D7</f>
        <v>46024</v>
      </c>
      <c r="E8" s="10">
        <f>SUM(E5:E7)</f>
        <v>277</v>
      </c>
      <c r="F8">
        <f>SUM(F5:F7)</f>
        <v>54347</v>
      </c>
      <c r="J8" s="3"/>
      <c r="K8" s="41" t="s">
        <v>333</v>
      </c>
      <c r="N8" s="127">
        <f>SUM(N4:N7)</f>
        <v>137713</v>
      </c>
    </row>
    <row r="9" spans="1:14" x14ac:dyDescent="0.3">
      <c r="C9" s="64">
        <f>D8</f>
        <v>46024</v>
      </c>
      <c r="D9" s="64">
        <v>46112</v>
      </c>
      <c r="E9" s="66">
        <f>D9-C9</f>
        <v>88</v>
      </c>
      <c r="F9" s="65">
        <f>ROUND(34185/90*E9,)</f>
        <v>33425</v>
      </c>
      <c r="G9" s="41" t="s">
        <v>187</v>
      </c>
      <c r="J9" s="3" t="s">
        <v>334</v>
      </c>
      <c r="K9" t="s">
        <v>335</v>
      </c>
      <c r="N9" s="128">
        <f>N5</f>
        <v>92174</v>
      </c>
    </row>
    <row r="10" spans="1:14" x14ac:dyDescent="0.3">
      <c r="D10" s="64"/>
      <c r="J10" s="3"/>
      <c r="K10" s="41" t="s">
        <v>336</v>
      </c>
      <c r="N10" s="127">
        <f>N8-N9</f>
        <v>45539</v>
      </c>
    </row>
    <row r="11" spans="1:14" x14ac:dyDescent="0.3">
      <c r="A11" s="3">
        <v>2</v>
      </c>
      <c r="B11" s="41" t="s">
        <v>188</v>
      </c>
      <c r="J11" s="3"/>
      <c r="K11" t="s">
        <v>337</v>
      </c>
      <c r="M11" s="108">
        <v>0.1</v>
      </c>
      <c r="N11" s="127">
        <v>1000</v>
      </c>
    </row>
    <row r="12" spans="1:14" x14ac:dyDescent="0.3">
      <c r="C12" s="64">
        <v>45992</v>
      </c>
      <c r="D12" s="64">
        <v>46173</v>
      </c>
      <c r="E12" s="10">
        <f>D12-C12+1</f>
        <v>182</v>
      </c>
      <c r="F12">
        <f>43070+38350</f>
        <v>81420</v>
      </c>
      <c r="J12" s="3"/>
      <c r="K12" t="s">
        <v>338</v>
      </c>
      <c r="M12" s="108">
        <v>0.2</v>
      </c>
      <c r="N12" s="127">
        <v>2000</v>
      </c>
    </row>
    <row r="13" spans="1:14" x14ac:dyDescent="0.3">
      <c r="C13" s="64">
        <v>46113</v>
      </c>
      <c r="D13" s="64">
        <f>D12</f>
        <v>46173</v>
      </c>
      <c r="E13" s="66">
        <f>D13-C13+1</f>
        <v>61</v>
      </c>
      <c r="F13" s="65">
        <f>ROUND(E13*F12/E12,0)</f>
        <v>27289</v>
      </c>
      <c r="G13" s="41" t="s">
        <v>189</v>
      </c>
      <c r="J13" s="3"/>
      <c r="K13" t="s">
        <v>339</v>
      </c>
      <c r="M13" s="108">
        <v>0.3</v>
      </c>
      <c r="N13" s="128">
        <f>ROUND((N10-20000)*M13,0)</f>
        <v>7662</v>
      </c>
    </row>
    <row r="14" spans="1:14" x14ac:dyDescent="0.3">
      <c r="J14" s="3"/>
      <c r="K14" t="s">
        <v>340</v>
      </c>
      <c r="N14" s="127">
        <f>SUM(N11:N13)</f>
        <v>10662</v>
      </c>
    </row>
    <row r="15" spans="1:14" x14ac:dyDescent="0.3">
      <c r="A15" s="3">
        <v>3</v>
      </c>
      <c r="B15" s="41" t="s">
        <v>190</v>
      </c>
      <c r="J15" s="3" t="s">
        <v>341</v>
      </c>
      <c r="K15" t="s">
        <v>342</v>
      </c>
      <c r="M15" s="108">
        <v>0.04</v>
      </c>
      <c r="N15" s="128">
        <f>ROUND(N14*M15,0)</f>
        <v>426</v>
      </c>
    </row>
    <row r="16" spans="1:14" x14ac:dyDescent="0.3">
      <c r="C16" s="64">
        <v>45830</v>
      </c>
      <c r="D16" s="64">
        <v>46194</v>
      </c>
      <c r="E16" s="10">
        <f>D16-C16+1</f>
        <v>365</v>
      </c>
      <c r="F16">
        <v>5000</v>
      </c>
      <c r="J16" s="3"/>
      <c r="K16" t="s">
        <v>343</v>
      </c>
      <c r="N16" s="129">
        <f>SUM(N14:N15)</f>
        <v>11088</v>
      </c>
    </row>
    <row r="17" spans="1:14" ht="15" thickBot="1" x14ac:dyDescent="0.35">
      <c r="C17" s="64">
        <v>46113</v>
      </c>
      <c r="D17" s="64">
        <f>D16</f>
        <v>46194</v>
      </c>
      <c r="E17" s="66">
        <f>D17-C17+1</f>
        <v>82</v>
      </c>
      <c r="F17" s="65">
        <f>ROUND(E17*F16/E16,0)</f>
        <v>1123</v>
      </c>
      <c r="G17" s="41" t="s">
        <v>189</v>
      </c>
      <c r="J17" s="3"/>
      <c r="K17" s="109" t="s">
        <v>344</v>
      </c>
      <c r="N17" s="130">
        <f>ROUND(N16,-2)</f>
        <v>11100</v>
      </c>
    </row>
    <row r="18" spans="1:14" ht="15" thickTop="1" x14ac:dyDescent="0.3">
      <c r="J18" s="3"/>
      <c r="K18" s="131"/>
      <c r="N18" s="127"/>
    </row>
    <row r="19" spans="1:14" x14ac:dyDescent="0.3">
      <c r="A19" s="3">
        <v>4</v>
      </c>
      <c r="B19" s="41" t="s">
        <v>192</v>
      </c>
    </row>
    <row r="20" spans="1:14" x14ac:dyDescent="0.3">
      <c r="C20" s="67">
        <v>45748</v>
      </c>
      <c r="D20" s="67">
        <v>45992</v>
      </c>
      <c r="E20" s="10">
        <v>9</v>
      </c>
      <c r="F20">
        <f>50000-12500</f>
        <v>37500</v>
      </c>
    </row>
    <row r="21" spans="1:14" x14ac:dyDescent="0.3">
      <c r="C21" s="67">
        <v>46023</v>
      </c>
      <c r="D21" s="67">
        <v>46082</v>
      </c>
      <c r="E21" s="66">
        <v>3</v>
      </c>
      <c r="F21" s="65">
        <f>ROUND(E21*F20/E20,0)</f>
        <v>12500</v>
      </c>
      <c r="G21" s="41" t="s">
        <v>187</v>
      </c>
    </row>
    <row r="23" spans="1:14" x14ac:dyDescent="0.3">
      <c r="A23" s="3">
        <v>5</v>
      </c>
      <c r="B23" s="41" t="s">
        <v>193</v>
      </c>
    </row>
    <row r="24" spans="1:14" x14ac:dyDescent="0.3">
      <c r="C24" s="64">
        <v>45830</v>
      </c>
      <c r="D24" s="64">
        <v>46194</v>
      </c>
      <c r="E24" s="10">
        <f>D24-C24+1</f>
        <v>365</v>
      </c>
      <c r="F24">
        <v>12000</v>
      </c>
    </row>
    <row r="25" spans="1:14" x14ac:dyDescent="0.3">
      <c r="C25" s="64">
        <v>46113</v>
      </c>
      <c r="D25" s="64">
        <f>D24</f>
        <v>46194</v>
      </c>
      <c r="E25" s="66">
        <f>D25-C25+1</f>
        <v>82</v>
      </c>
      <c r="F25" s="65">
        <f>ROUND(E25*F24/E24,0)</f>
        <v>2696</v>
      </c>
      <c r="G25" s="41" t="s">
        <v>189</v>
      </c>
    </row>
    <row r="27" spans="1:14" x14ac:dyDescent="0.3">
      <c r="A27" s="3">
        <v>6</v>
      </c>
      <c r="B27" s="41" t="s">
        <v>194</v>
      </c>
    </row>
    <row r="28" spans="1:14" x14ac:dyDescent="0.3">
      <c r="C28" s="64">
        <v>45858</v>
      </c>
      <c r="D28" s="64">
        <v>46222</v>
      </c>
      <c r="E28" s="10">
        <f>D28-C28+1</f>
        <v>365</v>
      </c>
      <c r="F28">
        <f>36084+1649+5196</f>
        <v>42929</v>
      </c>
    </row>
    <row r="29" spans="1:14" x14ac:dyDescent="0.3">
      <c r="C29" s="64">
        <v>46113</v>
      </c>
      <c r="D29" s="64">
        <f>D28</f>
        <v>46222</v>
      </c>
      <c r="E29" s="66">
        <f>D29-C29+1</f>
        <v>110</v>
      </c>
      <c r="F29" s="65">
        <f>ROUND(E29*F28/E28,0)</f>
        <v>12938</v>
      </c>
      <c r="G29" s="41" t="s">
        <v>189</v>
      </c>
    </row>
    <row r="31" spans="1:14" x14ac:dyDescent="0.3">
      <c r="A31" s="3">
        <v>7</v>
      </c>
      <c r="B31" s="41" t="s">
        <v>195</v>
      </c>
    </row>
    <row r="32" spans="1:14" x14ac:dyDescent="0.3">
      <c r="C32" s="67">
        <v>45809</v>
      </c>
      <c r="D32" s="67">
        <v>46143</v>
      </c>
      <c r="E32" s="10">
        <v>12</v>
      </c>
      <c r="F32">
        <v>10300</v>
      </c>
    </row>
    <row r="33" spans="3:7" x14ac:dyDescent="0.3">
      <c r="C33" s="67">
        <v>46113</v>
      </c>
      <c r="D33" s="67">
        <f>D32</f>
        <v>46143</v>
      </c>
      <c r="E33" s="66">
        <v>2</v>
      </c>
      <c r="F33" s="65">
        <f>ROUND(E33*F32/E32,0)</f>
        <v>1717</v>
      </c>
      <c r="G33" s="41" t="s">
        <v>189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workbookViewId="0">
      <selection sqref="A1:F1"/>
    </sheetView>
  </sheetViews>
  <sheetFormatPr defaultRowHeight="14.4" x14ac:dyDescent="0.3"/>
  <cols>
    <col min="1" max="1" width="6.44140625" style="10" bestFit="1" customWidth="1"/>
    <col min="2" max="2" width="18.21875" style="10" bestFit="1" customWidth="1"/>
    <col min="3" max="3" width="11.109375" style="10" bestFit="1" customWidth="1"/>
    <col min="4" max="4" width="58.6640625" bestFit="1" customWidth="1"/>
    <col min="5" max="6" width="10" bestFit="1" customWidth="1"/>
    <col min="7" max="7" width="9.88671875" bestFit="1" customWidth="1"/>
  </cols>
  <sheetData>
    <row r="1" spans="1:6" x14ac:dyDescent="0.3">
      <c r="A1" s="138" t="s">
        <v>350</v>
      </c>
      <c r="B1" s="156"/>
      <c r="C1" s="156"/>
      <c r="D1" s="156"/>
      <c r="E1" s="156"/>
      <c r="F1" s="156"/>
    </row>
    <row r="2" spans="1:6" x14ac:dyDescent="0.3">
      <c r="A2" s="134" t="s">
        <v>351</v>
      </c>
      <c r="B2" s="134" t="s">
        <v>23</v>
      </c>
      <c r="C2" s="134" t="s">
        <v>19</v>
      </c>
      <c r="D2" s="132" t="s">
        <v>20</v>
      </c>
      <c r="E2" s="132" t="s">
        <v>21</v>
      </c>
      <c r="F2" s="132" t="s">
        <v>22</v>
      </c>
    </row>
    <row r="3" spans="1:6" x14ac:dyDescent="0.3">
      <c r="A3" s="10">
        <v>1</v>
      </c>
      <c r="B3" s="10" t="s">
        <v>352</v>
      </c>
      <c r="C3" s="10" t="s">
        <v>353</v>
      </c>
      <c r="D3" t="s">
        <v>354</v>
      </c>
      <c r="E3" t="s">
        <v>15</v>
      </c>
      <c r="F3" s="8">
        <v>81340.53</v>
      </c>
    </row>
    <row r="4" spans="1:6" x14ac:dyDescent="0.3">
      <c r="A4" s="10">
        <v>2</v>
      </c>
      <c r="B4" s="10" t="s">
        <v>355</v>
      </c>
      <c r="C4" s="10" t="s">
        <v>356</v>
      </c>
      <c r="D4" t="s">
        <v>357</v>
      </c>
      <c r="E4" s="8">
        <v>4067</v>
      </c>
      <c r="F4" t="s">
        <v>15</v>
      </c>
    </row>
    <row r="5" spans="1:6" x14ac:dyDescent="0.3">
      <c r="A5" s="10">
        <v>3</v>
      </c>
      <c r="B5" s="10" t="s">
        <v>358</v>
      </c>
      <c r="C5" s="10" t="s">
        <v>359</v>
      </c>
      <c r="D5" t="s">
        <v>360</v>
      </c>
      <c r="E5" s="8">
        <v>4067</v>
      </c>
      <c r="F5" t="s">
        <v>15</v>
      </c>
    </row>
    <row r="6" spans="1:6" x14ac:dyDescent="0.3">
      <c r="A6" s="10">
        <v>4</v>
      </c>
      <c r="B6" s="10" t="s">
        <v>361</v>
      </c>
      <c r="C6" s="10" t="s">
        <v>359</v>
      </c>
      <c r="D6" t="s">
        <v>362</v>
      </c>
      <c r="E6" s="8">
        <v>4067</v>
      </c>
      <c r="F6" t="s">
        <v>15</v>
      </c>
    </row>
    <row r="7" spans="1:6" x14ac:dyDescent="0.3">
      <c r="A7" s="10">
        <v>5</v>
      </c>
      <c r="B7" s="10" t="s">
        <v>363</v>
      </c>
      <c r="C7" s="10" t="s">
        <v>359</v>
      </c>
      <c r="D7" t="s">
        <v>364</v>
      </c>
      <c r="E7" s="8">
        <v>4067</v>
      </c>
      <c r="F7" t="s">
        <v>15</v>
      </c>
    </row>
    <row r="8" spans="1:6" x14ac:dyDescent="0.3">
      <c r="A8" s="10">
        <v>6</v>
      </c>
      <c r="B8" s="10" t="s">
        <v>365</v>
      </c>
      <c r="C8" s="10" t="s">
        <v>366</v>
      </c>
      <c r="D8" t="s">
        <v>367</v>
      </c>
      <c r="E8" s="8">
        <v>4067</v>
      </c>
      <c r="F8" t="s">
        <v>15</v>
      </c>
    </row>
    <row r="9" spans="1:6" x14ac:dyDescent="0.3">
      <c r="A9" s="10">
        <v>7</v>
      </c>
      <c r="B9" s="10" t="s">
        <v>368</v>
      </c>
      <c r="C9" s="10" t="s">
        <v>366</v>
      </c>
      <c r="D9" t="s">
        <v>369</v>
      </c>
      <c r="E9" s="8">
        <v>4067</v>
      </c>
      <c r="F9" t="s">
        <v>15</v>
      </c>
    </row>
    <row r="10" spans="1:6" x14ac:dyDescent="0.3">
      <c r="A10" s="10">
        <v>8</v>
      </c>
      <c r="B10" s="10" t="s">
        <v>370</v>
      </c>
      <c r="C10" s="10" t="s">
        <v>359</v>
      </c>
      <c r="D10" t="s">
        <v>371</v>
      </c>
      <c r="E10" s="8">
        <v>4067</v>
      </c>
      <c r="F10" t="s">
        <v>15</v>
      </c>
    </row>
    <row r="11" spans="1:6" x14ac:dyDescent="0.3">
      <c r="A11" s="10">
        <v>9</v>
      </c>
      <c r="B11" s="10" t="s">
        <v>372</v>
      </c>
      <c r="C11" s="10" t="s">
        <v>366</v>
      </c>
      <c r="D11" t="s">
        <v>373</v>
      </c>
      <c r="E11" s="8">
        <v>4067</v>
      </c>
      <c r="F11" t="s">
        <v>15</v>
      </c>
    </row>
    <row r="12" spans="1:6" x14ac:dyDescent="0.3">
      <c r="A12" s="10">
        <v>10</v>
      </c>
      <c r="B12" s="10" t="s">
        <v>374</v>
      </c>
      <c r="C12" s="10" t="s">
        <v>359</v>
      </c>
      <c r="D12" t="s">
        <v>375</v>
      </c>
      <c r="E12" s="8">
        <v>4067</v>
      </c>
      <c r="F12" t="s">
        <v>15</v>
      </c>
    </row>
    <row r="13" spans="1:6" x14ac:dyDescent="0.3">
      <c r="A13" s="10">
        <v>11</v>
      </c>
      <c r="B13" s="10" t="s">
        <v>376</v>
      </c>
      <c r="C13" s="10" t="s">
        <v>366</v>
      </c>
      <c r="D13" t="s">
        <v>377</v>
      </c>
      <c r="E13" s="8">
        <v>4067</v>
      </c>
      <c r="F13" t="s">
        <v>15</v>
      </c>
    </row>
    <row r="14" spans="1:6" x14ac:dyDescent="0.3">
      <c r="A14" s="10">
        <v>12</v>
      </c>
      <c r="B14" s="10" t="s">
        <v>378</v>
      </c>
      <c r="C14" s="10" t="s">
        <v>366</v>
      </c>
      <c r="D14" t="s">
        <v>379</v>
      </c>
      <c r="E14" s="8">
        <v>4067</v>
      </c>
      <c r="F14" t="s">
        <v>15</v>
      </c>
    </row>
    <row r="15" spans="1:6" x14ac:dyDescent="0.3">
      <c r="A15" s="10">
        <v>13</v>
      </c>
      <c r="B15" s="10" t="s">
        <v>380</v>
      </c>
      <c r="C15" s="10" t="s">
        <v>366</v>
      </c>
      <c r="D15" t="s">
        <v>381</v>
      </c>
      <c r="E15" s="8">
        <v>4067</v>
      </c>
      <c r="F15" t="s">
        <v>15</v>
      </c>
    </row>
    <row r="16" spans="1:6" x14ac:dyDescent="0.3">
      <c r="A16" s="10">
        <v>14</v>
      </c>
      <c r="B16" s="10" t="s">
        <v>382</v>
      </c>
      <c r="C16" s="10" t="s">
        <v>366</v>
      </c>
      <c r="D16" t="s">
        <v>383</v>
      </c>
      <c r="E16" s="8">
        <v>4067</v>
      </c>
      <c r="F16" t="s">
        <v>15</v>
      </c>
    </row>
    <row r="17" spans="1:8" x14ac:dyDescent="0.3">
      <c r="A17" s="10">
        <v>15</v>
      </c>
      <c r="B17" s="10" t="s">
        <v>384</v>
      </c>
      <c r="C17" s="10" t="s">
        <v>366</v>
      </c>
      <c r="D17" t="s">
        <v>385</v>
      </c>
      <c r="E17" s="8">
        <v>4067</v>
      </c>
      <c r="F17" t="s">
        <v>15</v>
      </c>
    </row>
    <row r="18" spans="1:8" x14ac:dyDescent="0.3">
      <c r="A18" s="10">
        <v>16</v>
      </c>
      <c r="B18" s="10" t="s">
        <v>386</v>
      </c>
      <c r="C18" s="10" t="s">
        <v>359</v>
      </c>
      <c r="D18" t="s">
        <v>387</v>
      </c>
      <c r="E18" s="8">
        <v>4067</v>
      </c>
      <c r="F18" t="s">
        <v>15</v>
      </c>
    </row>
    <row r="19" spans="1:8" x14ac:dyDescent="0.3">
      <c r="A19" s="10">
        <v>17</v>
      </c>
      <c r="B19" s="10" t="s">
        <v>388</v>
      </c>
      <c r="C19" s="10" t="s">
        <v>359</v>
      </c>
      <c r="D19" t="s">
        <v>389</v>
      </c>
      <c r="E19" s="8">
        <v>4067</v>
      </c>
      <c r="F19" t="s">
        <v>15</v>
      </c>
    </row>
    <row r="20" spans="1:8" x14ac:dyDescent="0.3">
      <c r="A20" s="134"/>
      <c r="C20" s="134" t="s">
        <v>15</v>
      </c>
      <c r="D20" s="132" t="s">
        <v>15</v>
      </c>
      <c r="E20" s="133">
        <f>SUM(E3:E19)</f>
        <v>65072</v>
      </c>
      <c r="F20" s="133">
        <f>SUM(F3:F19)</f>
        <v>81340.53</v>
      </c>
      <c r="G20" s="111">
        <f>F20-E20</f>
        <v>16268.529999999999</v>
      </c>
      <c r="H20" t="s">
        <v>390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F37"/>
  <sheetViews>
    <sheetView workbookViewId="0">
      <selection activeCell="C46" sqref="C46"/>
    </sheetView>
  </sheetViews>
  <sheetFormatPr defaultColWidth="9.109375" defaultRowHeight="14.4" x14ac:dyDescent="0.3"/>
  <cols>
    <col min="1" max="1" width="20.33203125" customWidth="1"/>
    <col min="2" max="2" width="28.33203125" customWidth="1"/>
    <col min="3" max="3" width="72" bestFit="1" customWidth="1"/>
    <col min="4" max="4" width="6.6640625" customWidth="1"/>
    <col min="5" max="5" width="17.5546875" customWidth="1"/>
  </cols>
  <sheetData>
    <row r="1" spans="1:6" x14ac:dyDescent="0.3">
      <c r="A1" s="157" t="s">
        <v>17</v>
      </c>
      <c r="B1" s="158"/>
      <c r="C1" s="158"/>
      <c r="D1" s="158"/>
      <c r="E1" s="158"/>
    </row>
    <row r="2" spans="1:6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</row>
    <row r="3" spans="1:6" x14ac:dyDescent="0.3">
      <c r="A3" t="s">
        <v>24</v>
      </c>
      <c r="B3" t="s">
        <v>25</v>
      </c>
      <c r="C3" t="s">
        <v>26</v>
      </c>
      <c r="D3" t="s">
        <v>15</v>
      </c>
      <c r="E3" s="8">
        <v>6987</v>
      </c>
      <c r="F3" t="s">
        <v>27</v>
      </c>
    </row>
    <row r="4" spans="1:6" hidden="1" x14ac:dyDescent="0.3">
      <c r="A4" t="s">
        <v>28</v>
      </c>
      <c r="B4" t="s">
        <v>29</v>
      </c>
      <c r="C4" t="s">
        <v>30</v>
      </c>
      <c r="D4" t="s">
        <v>15</v>
      </c>
      <c r="E4" s="4">
        <v>728</v>
      </c>
      <c r="F4" t="s">
        <v>108</v>
      </c>
    </row>
    <row r="5" spans="1:6" hidden="1" x14ac:dyDescent="0.3">
      <c r="A5" t="s">
        <v>32</v>
      </c>
      <c r="B5" t="s">
        <v>33</v>
      </c>
      <c r="C5" t="s">
        <v>34</v>
      </c>
      <c r="D5" t="s">
        <v>15</v>
      </c>
      <c r="E5" s="8">
        <v>70590</v>
      </c>
      <c r="F5" t="s">
        <v>35</v>
      </c>
    </row>
    <row r="6" spans="1:6" x14ac:dyDescent="0.3">
      <c r="A6" t="s">
        <v>36</v>
      </c>
      <c r="B6" t="s">
        <v>37</v>
      </c>
      <c r="C6" t="s">
        <v>38</v>
      </c>
      <c r="D6" t="s">
        <v>15</v>
      </c>
      <c r="E6" s="8">
        <v>27590</v>
      </c>
      <c r="F6" t="s">
        <v>27</v>
      </c>
    </row>
    <row r="7" spans="1:6" hidden="1" x14ac:dyDescent="0.3">
      <c r="A7" t="s">
        <v>39</v>
      </c>
      <c r="B7" t="s">
        <v>37</v>
      </c>
      <c r="C7" t="s">
        <v>40</v>
      </c>
      <c r="D7" t="s">
        <v>15</v>
      </c>
      <c r="E7" s="8">
        <v>4918</v>
      </c>
      <c r="F7" t="s">
        <v>108</v>
      </c>
    </row>
    <row r="8" spans="1:6" hidden="1" x14ac:dyDescent="0.3">
      <c r="A8" t="s">
        <v>41</v>
      </c>
      <c r="B8" t="s">
        <v>37</v>
      </c>
      <c r="C8" t="s">
        <v>42</v>
      </c>
      <c r="D8" t="s">
        <v>15</v>
      </c>
      <c r="E8" s="8">
        <v>27594</v>
      </c>
      <c r="F8" t="s">
        <v>43</v>
      </c>
    </row>
    <row r="9" spans="1:6" hidden="1" x14ac:dyDescent="0.3">
      <c r="A9" t="s">
        <v>44</v>
      </c>
      <c r="B9" t="s">
        <v>37</v>
      </c>
      <c r="C9" t="s">
        <v>45</v>
      </c>
      <c r="D9" t="s">
        <v>15</v>
      </c>
      <c r="E9" s="4">
        <v>808</v>
      </c>
      <c r="F9" t="s">
        <v>81</v>
      </c>
    </row>
    <row r="10" spans="1:6" hidden="1" x14ac:dyDescent="0.3">
      <c r="A10" t="s">
        <v>46</v>
      </c>
      <c r="B10" t="s">
        <v>47</v>
      </c>
      <c r="C10" t="s">
        <v>48</v>
      </c>
      <c r="D10" t="s">
        <v>15</v>
      </c>
      <c r="E10" s="8">
        <v>41749</v>
      </c>
      <c r="F10" t="s">
        <v>43</v>
      </c>
    </row>
    <row r="11" spans="1:6" hidden="1" x14ac:dyDescent="0.3">
      <c r="A11" t="s">
        <v>49</v>
      </c>
      <c r="B11" t="s">
        <v>47</v>
      </c>
      <c r="C11" t="s">
        <v>50</v>
      </c>
      <c r="D11" t="s">
        <v>15</v>
      </c>
      <c r="E11" s="8">
        <v>2442</v>
      </c>
      <c r="F11" t="s">
        <v>81</v>
      </c>
    </row>
    <row r="12" spans="1:6" hidden="1" x14ac:dyDescent="0.3">
      <c r="A12" t="s">
        <v>51</v>
      </c>
      <c r="B12" t="s">
        <v>52</v>
      </c>
      <c r="C12" t="s">
        <v>53</v>
      </c>
      <c r="D12" t="s">
        <v>15</v>
      </c>
      <c r="E12" s="8">
        <v>77702</v>
      </c>
      <c r="F12" t="s">
        <v>35</v>
      </c>
    </row>
    <row r="13" spans="1:6" hidden="1" x14ac:dyDescent="0.3">
      <c r="A13" t="s">
        <v>54</v>
      </c>
      <c r="B13" t="s">
        <v>55</v>
      </c>
      <c r="C13" t="s">
        <v>56</v>
      </c>
      <c r="D13" t="s">
        <v>15</v>
      </c>
      <c r="E13" s="8">
        <v>54793</v>
      </c>
      <c r="F13" t="s">
        <v>43</v>
      </c>
    </row>
    <row r="14" spans="1:6" hidden="1" x14ac:dyDescent="0.3">
      <c r="A14" t="s">
        <v>57</v>
      </c>
      <c r="B14" t="s">
        <v>55</v>
      </c>
      <c r="C14" t="s">
        <v>58</v>
      </c>
      <c r="D14" t="s">
        <v>15</v>
      </c>
      <c r="E14" s="8">
        <v>12802</v>
      </c>
      <c r="F14" t="s">
        <v>43</v>
      </c>
    </row>
    <row r="15" spans="1:6" hidden="1" x14ac:dyDescent="0.3">
      <c r="A15" t="s">
        <v>59</v>
      </c>
      <c r="B15" t="s">
        <v>55</v>
      </c>
      <c r="C15" t="s">
        <v>60</v>
      </c>
      <c r="D15" t="s">
        <v>15</v>
      </c>
      <c r="E15" s="8">
        <v>47976</v>
      </c>
      <c r="F15" t="s">
        <v>43</v>
      </c>
    </row>
    <row r="16" spans="1:6" hidden="1" x14ac:dyDescent="0.3">
      <c r="A16" t="s">
        <v>61</v>
      </c>
      <c r="B16" t="s">
        <v>55</v>
      </c>
      <c r="C16" t="s">
        <v>62</v>
      </c>
      <c r="D16" t="s">
        <v>15</v>
      </c>
      <c r="E16" s="8">
        <v>22075</v>
      </c>
      <c r="F16" t="s">
        <v>43</v>
      </c>
    </row>
    <row r="17" spans="1:6" hidden="1" x14ac:dyDescent="0.3">
      <c r="A17" t="s">
        <v>63</v>
      </c>
      <c r="B17" t="s">
        <v>55</v>
      </c>
      <c r="C17" t="s">
        <v>64</v>
      </c>
      <c r="D17" t="s">
        <v>15</v>
      </c>
      <c r="E17" s="4">
        <v>147</v>
      </c>
      <c r="F17" t="s">
        <v>43</v>
      </c>
    </row>
    <row r="18" spans="1:6" hidden="1" x14ac:dyDescent="0.3">
      <c r="A18" t="s">
        <v>65</v>
      </c>
      <c r="B18" t="s">
        <v>55</v>
      </c>
      <c r="C18" t="s">
        <v>66</v>
      </c>
      <c r="D18" t="s">
        <v>15</v>
      </c>
      <c r="E18" s="8">
        <v>12167</v>
      </c>
      <c r="F18" t="s">
        <v>43</v>
      </c>
    </row>
    <row r="19" spans="1:6" x14ac:dyDescent="0.3">
      <c r="A19" t="s">
        <v>67</v>
      </c>
      <c r="B19" t="s">
        <v>55</v>
      </c>
      <c r="C19" t="s">
        <v>68</v>
      </c>
      <c r="D19" t="s">
        <v>15</v>
      </c>
      <c r="E19" s="8">
        <v>20777</v>
      </c>
      <c r="F19" t="s">
        <v>27</v>
      </c>
    </row>
    <row r="20" spans="1:6" hidden="1" x14ac:dyDescent="0.3">
      <c r="A20" t="s">
        <v>69</v>
      </c>
      <c r="B20" t="s">
        <v>55</v>
      </c>
      <c r="C20" t="s">
        <v>70</v>
      </c>
      <c r="D20" t="s">
        <v>15</v>
      </c>
      <c r="E20" s="8">
        <v>104263</v>
      </c>
      <c r="F20" t="s">
        <v>108</v>
      </c>
    </row>
    <row r="21" spans="1:6" hidden="1" x14ac:dyDescent="0.3">
      <c r="A21" t="s">
        <v>71</v>
      </c>
      <c r="B21" t="s">
        <v>55</v>
      </c>
      <c r="C21" t="s">
        <v>72</v>
      </c>
      <c r="D21" t="s">
        <v>15</v>
      </c>
      <c r="E21" s="8">
        <v>4774</v>
      </c>
      <c r="F21" t="s">
        <v>108</v>
      </c>
    </row>
    <row r="22" spans="1:6" hidden="1" x14ac:dyDescent="0.3">
      <c r="A22" t="s">
        <v>73</v>
      </c>
      <c r="B22" t="s">
        <v>55</v>
      </c>
      <c r="C22" t="s">
        <v>74</v>
      </c>
      <c r="D22" t="s">
        <v>15</v>
      </c>
      <c r="E22" s="4">
        <v>820</v>
      </c>
      <c r="F22" t="s">
        <v>108</v>
      </c>
    </row>
    <row r="23" spans="1:6" hidden="1" x14ac:dyDescent="0.3">
      <c r="A23" t="s">
        <v>75</v>
      </c>
      <c r="B23" t="s">
        <v>55</v>
      </c>
      <c r="C23" t="s">
        <v>76</v>
      </c>
      <c r="D23" t="s">
        <v>15</v>
      </c>
      <c r="E23" s="8">
        <v>8767</v>
      </c>
      <c r="F23" t="s">
        <v>108</v>
      </c>
    </row>
    <row r="24" spans="1:6" hidden="1" x14ac:dyDescent="0.3">
      <c r="A24" t="s">
        <v>77</v>
      </c>
      <c r="B24" t="s">
        <v>55</v>
      </c>
      <c r="C24" t="s">
        <v>78</v>
      </c>
      <c r="D24" t="s">
        <v>15</v>
      </c>
      <c r="E24" s="8">
        <v>2555</v>
      </c>
      <c r="F24" t="s">
        <v>108</v>
      </c>
    </row>
    <row r="25" spans="1:6" hidden="1" x14ac:dyDescent="0.3">
      <c r="A25" t="s">
        <v>79</v>
      </c>
      <c r="B25" t="s">
        <v>55</v>
      </c>
      <c r="C25" t="s">
        <v>80</v>
      </c>
      <c r="D25" t="s">
        <v>15</v>
      </c>
      <c r="E25" s="4">
        <v>375</v>
      </c>
      <c r="F25" t="s">
        <v>81</v>
      </c>
    </row>
    <row r="26" spans="1:6" hidden="1" x14ac:dyDescent="0.3">
      <c r="A26" t="s">
        <v>82</v>
      </c>
      <c r="B26" t="s">
        <v>55</v>
      </c>
      <c r="C26" t="s">
        <v>83</v>
      </c>
      <c r="D26" t="s">
        <v>15</v>
      </c>
      <c r="E26" s="8">
        <v>7242</v>
      </c>
      <c r="F26" t="s">
        <v>81</v>
      </c>
    </row>
    <row r="27" spans="1:6" hidden="1" x14ac:dyDescent="0.3">
      <c r="A27" t="s">
        <v>84</v>
      </c>
      <c r="B27" t="s">
        <v>55</v>
      </c>
      <c r="C27" t="s">
        <v>85</v>
      </c>
      <c r="D27" t="s">
        <v>15</v>
      </c>
      <c r="E27" s="4">
        <v>712</v>
      </c>
      <c r="F27" t="s">
        <v>81</v>
      </c>
    </row>
    <row r="28" spans="1:6" hidden="1" x14ac:dyDescent="0.3">
      <c r="A28" t="s">
        <v>86</v>
      </c>
      <c r="B28" t="s">
        <v>55</v>
      </c>
      <c r="C28" t="s">
        <v>87</v>
      </c>
      <c r="D28" t="s">
        <v>15</v>
      </c>
      <c r="E28" s="8">
        <v>56310</v>
      </c>
      <c r="F28" t="s">
        <v>35</v>
      </c>
    </row>
    <row r="29" spans="1:6" hidden="1" x14ac:dyDescent="0.3">
      <c r="A29" t="s">
        <v>88</v>
      </c>
      <c r="B29" t="s">
        <v>55</v>
      </c>
      <c r="C29" t="s">
        <v>89</v>
      </c>
      <c r="D29" t="s">
        <v>15</v>
      </c>
      <c r="E29" s="8">
        <v>14010</v>
      </c>
      <c r="F29" t="s">
        <v>35</v>
      </c>
    </row>
    <row r="30" spans="1:6" hidden="1" x14ac:dyDescent="0.3">
      <c r="A30" t="s">
        <v>90</v>
      </c>
      <c r="B30" t="s">
        <v>55</v>
      </c>
      <c r="C30" t="s">
        <v>91</v>
      </c>
      <c r="D30" t="s">
        <v>15</v>
      </c>
      <c r="E30" s="8">
        <v>111859</v>
      </c>
      <c r="F30" t="s">
        <v>35</v>
      </c>
    </row>
    <row r="31" spans="1:6" hidden="1" x14ac:dyDescent="0.3">
      <c r="A31" t="s">
        <v>92</v>
      </c>
      <c r="B31" t="s">
        <v>55</v>
      </c>
      <c r="C31" t="s">
        <v>93</v>
      </c>
      <c r="D31" t="s">
        <v>15</v>
      </c>
      <c r="E31" s="8">
        <v>9296</v>
      </c>
      <c r="F31" t="s">
        <v>35</v>
      </c>
    </row>
    <row r="32" spans="1:6" hidden="1" x14ac:dyDescent="0.3">
      <c r="A32" t="s">
        <v>94</v>
      </c>
      <c r="B32" t="s">
        <v>55</v>
      </c>
      <c r="C32" t="s">
        <v>95</v>
      </c>
      <c r="D32" t="s">
        <v>15</v>
      </c>
      <c r="E32" s="8">
        <v>13400</v>
      </c>
      <c r="F32" t="s">
        <v>35</v>
      </c>
    </row>
    <row r="33" spans="1:6" hidden="1" x14ac:dyDescent="0.3">
      <c r="A33" t="s">
        <v>96</v>
      </c>
      <c r="B33" t="s">
        <v>55</v>
      </c>
      <c r="C33" t="s">
        <v>97</v>
      </c>
      <c r="D33" t="s">
        <v>15</v>
      </c>
      <c r="E33" s="8">
        <v>9686</v>
      </c>
      <c r="F33" t="s">
        <v>98</v>
      </c>
    </row>
    <row r="34" spans="1:6" x14ac:dyDescent="0.3">
      <c r="A34" t="s">
        <v>99</v>
      </c>
      <c r="B34" t="s">
        <v>55</v>
      </c>
      <c r="C34" t="s">
        <v>100</v>
      </c>
      <c r="D34" t="s">
        <v>15</v>
      </c>
      <c r="E34" s="8">
        <v>84580</v>
      </c>
      <c r="F34" t="s">
        <v>27</v>
      </c>
    </row>
    <row r="35" spans="1:6" hidden="1" x14ac:dyDescent="0.3">
      <c r="A35" t="s">
        <v>101</v>
      </c>
      <c r="B35" t="s">
        <v>55</v>
      </c>
      <c r="C35" t="s">
        <v>102</v>
      </c>
      <c r="D35" t="s">
        <v>15</v>
      </c>
      <c r="E35" s="8">
        <v>108798</v>
      </c>
      <c r="F35" t="s">
        <v>31</v>
      </c>
    </row>
    <row r="36" spans="1:6" hidden="1" x14ac:dyDescent="0.3">
      <c r="A36" t="s">
        <v>103</v>
      </c>
      <c r="B36" t="s">
        <v>55</v>
      </c>
      <c r="C36" t="s">
        <v>104</v>
      </c>
      <c r="D36" t="s">
        <v>15</v>
      </c>
      <c r="E36" s="8">
        <v>111859</v>
      </c>
      <c r="F36" t="s">
        <v>35</v>
      </c>
    </row>
    <row r="37" spans="1:6" hidden="1" x14ac:dyDescent="0.3">
      <c r="A37" s="7" t="s">
        <v>105</v>
      </c>
      <c r="B37" s="7" t="s">
        <v>106</v>
      </c>
      <c r="E37" s="7" t="s">
        <v>107</v>
      </c>
    </row>
  </sheetData>
  <autoFilter ref="A2:F37" xr:uid="{00000000-0009-0000-0000-000009000000}">
    <filterColumn colId="5">
      <filters>
        <filter val="RF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BS</vt:lpstr>
      <vt:lpstr>IE</vt:lpstr>
      <vt:lpstr>Sch-I FD</vt:lpstr>
      <vt:lpstr>Sch-II FA</vt:lpstr>
      <vt:lpstr>Sch-III, IV &amp; V</vt:lpstr>
      <vt:lpstr>Sch-VI &amp; VII</vt:lpstr>
      <vt:lpstr>BRS</vt:lpstr>
      <vt:lpstr>Working</vt:lpstr>
      <vt:lpstr>Old Member Balance</vt:lpstr>
      <vt:lpstr>Interest</vt:lpstr>
      <vt:lpstr>BS!Print_Area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2026-08-14T14:29:54Z</cp:lastPrinted>
  <dcterms:created xsi:type="dcterms:W3CDTF">2015-06-05T18:17:20Z</dcterms:created>
  <dcterms:modified xsi:type="dcterms:W3CDTF">2026-08-14T14:34:09Z</dcterms:modified>
</cp:coreProperties>
</file>