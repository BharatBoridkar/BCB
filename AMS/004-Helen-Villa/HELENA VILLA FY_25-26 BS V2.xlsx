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BHARAT\2025-2026\AMS\004-Helen-Villa\"/>
    </mc:Choice>
  </mc:AlternateContent>
  <xr:revisionPtr revIDLastSave="0" documentId="13_ncr:1_{76FAA49C-1E78-43F9-A4A9-B130F7D12034}" xr6:coauthVersionLast="47" xr6:coauthVersionMax="47" xr10:uidLastSave="{00000000-0000-0000-0000-000000000000}"/>
  <bookViews>
    <workbookView xWindow="-108" yWindow="-108" windowWidth="23256" windowHeight="12456" tabRatio="760" activeTab="2" xr2:uid="{00000000-000D-0000-FFFF-FFFF00000000}"/>
  </bookViews>
  <sheets>
    <sheet name="BS" sheetId="2" r:id="rId1"/>
    <sheet name="IE" sheetId="1" r:id="rId2"/>
    <sheet name="Sch I - FD" sheetId="5" r:id="rId3"/>
    <sheet name="Sch II - FA" sheetId="4" r:id="rId4"/>
    <sheet name="Sch III - R&amp;S" sheetId="8" r:id="rId5"/>
    <sheet name="Sch IV - Mem. Adv" sheetId="9" r:id="rId6"/>
    <sheet name="Sch V -R&amp;M" sheetId="7" r:id="rId7"/>
    <sheet name="BRS" sheetId="3" r:id="rId8"/>
    <sheet name="Workings" sheetId="6" r:id="rId9"/>
    <sheet name="FD Interest Working Sheet" sheetId="10" r:id="rId10"/>
  </sheets>
  <definedNames>
    <definedName name="_xlnm._FilterDatabase" localSheetId="9" hidden="1">'FD Interest Working Sheet'!$A$1:$G$22</definedName>
    <definedName name="_xlnm.Print_Area" localSheetId="0">BS!$A$1:$H$49</definedName>
    <definedName name="_xlnm.Print_Area" localSheetId="1">IE!$A$1:$H$50</definedName>
    <definedName name="_xlnm.Print_Area" localSheetId="2">'Sch I - FD'!$A$1:$K$31</definedName>
    <definedName name="_xlnm.Print_Area" localSheetId="3">'Sch II - FA'!$A$1:$I$14</definedName>
    <definedName name="_xlnm.Print_Area" localSheetId="4">'Sch III - R&amp;S'!$A$1:$E$35</definedName>
    <definedName name="_xlnm.Print_Area" localSheetId="5">'Sch IV - Mem. Adv'!$A$1:$E$24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9" l="1"/>
  <c r="B23" i="9"/>
  <c r="D18" i="9"/>
  <c r="D23" i="9" s="1"/>
  <c r="A40" i="1" l="1"/>
  <c r="D36" i="10"/>
  <c r="D22" i="10"/>
  <c r="D30" i="10"/>
  <c r="H24" i="1"/>
  <c r="D8" i="2"/>
  <c r="F10" i="5"/>
  <c r="G11" i="1"/>
  <c r="G10" i="1"/>
  <c r="H29" i="1"/>
  <c r="F19" i="5"/>
  <c r="I24" i="5"/>
  <c r="H24" i="5"/>
  <c r="F24" i="5"/>
  <c r="E24" i="5"/>
  <c r="D24" i="5"/>
  <c r="C24" i="5"/>
  <c r="G23" i="5"/>
  <c r="G22" i="5"/>
  <c r="G24" i="5" s="1"/>
  <c r="E18" i="5"/>
  <c r="D18" i="5"/>
  <c r="E17" i="5"/>
  <c r="D17" i="5"/>
  <c r="G17" i="5" s="1"/>
  <c r="E16" i="5"/>
  <c r="D16" i="5"/>
  <c r="G16" i="5" s="1"/>
  <c r="E15" i="5"/>
  <c r="D15" i="5"/>
  <c r="G15" i="5" s="1"/>
  <c r="E14" i="5"/>
  <c r="D14" i="5"/>
  <c r="E13" i="5"/>
  <c r="D13" i="5"/>
  <c r="G13" i="5" s="1"/>
  <c r="G9" i="5"/>
  <c r="G8" i="5"/>
  <c r="G7" i="5"/>
  <c r="N10" i="5" s="1"/>
  <c r="N14" i="5" s="1"/>
  <c r="G6" i="5"/>
  <c r="G4" i="4"/>
  <c r="E29" i="6"/>
  <c r="B17" i="3"/>
  <c r="C27" i="1"/>
  <c r="G10" i="2"/>
  <c r="G9" i="2"/>
  <c r="H10" i="2" s="1"/>
  <c r="C33" i="1"/>
  <c r="C8" i="7"/>
  <c r="C13" i="7" s="1"/>
  <c r="D16" i="1" s="1"/>
  <c r="E24" i="6"/>
  <c r="C16" i="2"/>
  <c r="C20" i="2"/>
  <c r="G7" i="4"/>
  <c r="I28" i="5"/>
  <c r="E28" i="5"/>
  <c r="D28" i="5"/>
  <c r="C28" i="5"/>
  <c r="B7" i="3"/>
  <c r="F30" i="5" l="1"/>
  <c r="G14" i="5"/>
  <c r="H16" i="1"/>
  <c r="G18" i="5"/>
  <c r="I10" i="5"/>
  <c r="I30" i="5" s="1"/>
  <c r="E10" i="5"/>
  <c r="D10" i="5"/>
  <c r="C10" i="5"/>
  <c r="G27" i="5"/>
  <c r="G28" i="5" s="1"/>
  <c r="I19" i="5"/>
  <c r="C19" i="5"/>
  <c r="C30" i="5" l="1"/>
  <c r="G18" i="2" s="1"/>
  <c r="G10" i="5"/>
  <c r="E19" i="5"/>
  <c r="E30" i="5" s="1"/>
  <c r="M10" i="5" l="1"/>
  <c r="M14" i="5" s="1"/>
  <c r="B20" i="8"/>
  <c r="D17" i="8" s="1"/>
  <c r="D20" i="8" s="1"/>
  <c r="B58" i="8" l="1"/>
  <c r="D50" i="8"/>
  <c r="D58" i="8" s="1"/>
  <c r="D44" i="8"/>
  <c r="B27" i="8"/>
  <c r="D23" i="8" s="1"/>
  <c r="D27" i="8" s="1"/>
  <c r="D25" i="6"/>
  <c r="D24" i="6"/>
  <c r="E15" i="6"/>
  <c r="G30" i="2" s="1"/>
  <c r="D4" i="6"/>
  <c r="D3" i="6"/>
  <c r="E9" i="6"/>
  <c r="G29" i="2" s="1"/>
  <c r="D19" i="5" l="1"/>
  <c r="D30" i="5" s="1"/>
  <c r="G19" i="2" s="1"/>
  <c r="H19" i="2" s="1"/>
  <c r="G19" i="5"/>
  <c r="G30" i="5" s="1"/>
  <c r="E4" i="6"/>
  <c r="H40" i="1"/>
  <c r="E25" i="6"/>
  <c r="G32" i="2" s="1"/>
  <c r="D6" i="9"/>
  <c r="D31" i="2" s="1"/>
  <c r="B32" i="8"/>
  <c r="D30" i="8" s="1"/>
  <c r="D32" i="8" s="1"/>
  <c r="B8" i="8"/>
  <c r="D4" i="8" s="1"/>
  <c r="D8" i="8" s="1"/>
  <c r="B14" i="8"/>
  <c r="D11" i="8" s="1"/>
  <c r="D14" i="8" s="1"/>
  <c r="E20" i="6"/>
  <c r="G28" i="2" s="1"/>
  <c r="H32" i="2" s="1"/>
  <c r="A13" i="7"/>
  <c r="E38" i="1" s="1"/>
  <c r="E40" i="1" l="1"/>
  <c r="A38" i="2"/>
  <c r="C36" i="2" s="1"/>
  <c r="D34" i="8"/>
  <c r="B34" i="8"/>
  <c r="J40" i="1" l="1"/>
  <c r="I45" i="1"/>
  <c r="I42" i="1"/>
  <c r="F8" i="4"/>
  <c r="G8" i="4"/>
  <c r="D17" i="2" s="1"/>
  <c r="F7" i="4"/>
  <c r="E10" i="4"/>
  <c r="D10" i="4"/>
  <c r="G9" i="4"/>
  <c r="F9" i="4"/>
  <c r="G6" i="4"/>
  <c r="F6" i="4"/>
  <c r="C10" i="4"/>
  <c r="F4" i="4"/>
  <c r="D21" i="2" l="1"/>
  <c r="H8" i="4"/>
  <c r="G11" i="4"/>
  <c r="G12" i="4"/>
  <c r="H7" i="4"/>
  <c r="H9" i="4"/>
  <c r="H6" i="4"/>
  <c r="H4" i="4"/>
  <c r="G5" i="4"/>
  <c r="G10" i="4" s="1"/>
  <c r="G13" i="4" s="1"/>
  <c r="C25" i="1" s="1"/>
  <c r="D36" i="1" s="1"/>
  <c r="D39" i="1" s="1"/>
  <c r="C38" i="2" s="1"/>
  <c r="D38" i="2" s="1"/>
  <c r="F5" i="4"/>
  <c r="H5" i="4" l="1"/>
  <c r="H10" i="4" s="1"/>
  <c r="H21" i="2" s="1"/>
  <c r="H39" i="2" s="1"/>
  <c r="L29" i="2" s="1"/>
  <c r="F10" i="4"/>
  <c r="A39" i="2" l="1"/>
  <c r="E39" i="2"/>
  <c r="D29" i="2"/>
  <c r="H6" i="2"/>
  <c r="E6" i="2"/>
  <c r="H6" i="1"/>
  <c r="E6" i="1"/>
  <c r="I44" i="2" l="1"/>
  <c r="I41" i="2"/>
  <c r="I39" i="2"/>
  <c r="D13" i="2"/>
  <c r="D39" i="2" s="1"/>
  <c r="J39" i="2" l="1"/>
  <c r="J44" i="2"/>
  <c r="D40" i="1"/>
  <c r="J45" i="1" s="1"/>
</calcChain>
</file>

<file path=xl/sharedStrings.xml><?xml version="1.0" encoding="utf-8"?>
<sst xmlns="http://schemas.openxmlformats.org/spreadsheetml/2006/main" count="464" uniqueCount="269">
  <si>
    <t>Previous Year</t>
  </si>
  <si>
    <t>EXPENDITURE</t>
  </si>
  <si>
    <t>Current Year</t>
  </si>
  <si>
    <t>INCOME</t>
  </si>
  <si>
    <t>Members Contribution Towards</t>
  </si>
  <si>
    <t>Property Tax</t>
  </si>
  <si>
    <t>Maintenance Charges</t>
  </si>
  <si>
    <t>Water Expenses</t>
  </si>
  <si>
    <t>Parking Charges</t>
  </si>
  <si>
    <t>Water Charges</t>
  </si>
  <si>
    <t>Late Payment Interest</t>
  </si>
  <si>
    <t>Electricity Charges</t>
  </si>
  <si>
    <t>Non Occupancy Charges</t>
  </si>
  <si>
    <t>Sinking Fund</t>
  </si>
  <si>
    <t>Interest Income</t>
  </si>
  <si>
    <t>Interest on Saving A/C</t>
  </si>
  <si>
    <t>Interest on Fixed Deposits</t>
  </si>
  <si>
    <t>Service Charges</t>
  </si>
  <si>
    <t>Audit Fees</t>
  </si>
  <si>
    <t>Subscription Charges</t>
  </si>
  <si>
    <t>Other Income</t>
  </si>
  <si>
    <t>Accounting Charges</t>
  </si>
  <si>
    <t>Printing and Stationery</t>
  </si>
  <si>
    <t>Total</t>
  </si>
  <si>
    <t>As per my report of even date</t>
  </si>
  <si>
    <t>LIABILITIES</t>
  </si>
  <si>
    <t>ASSETS</t>
  </si>
  <si>
    <t>Authorised Share Capital</t>
  </si>
  <si>
    <t>Cash &amp; Bank Balance</t>
  </si>
  <si>
    <t>Cash in hand</t>
  </si>
  <si>
    <t>Deposits</t>
  </si>
  <si>
    <t>As per Last year Balance Sheet</t>
  </si>
  <si>
    <t>Add: Addition during the year</t>
  </si>
  <si>
    <t>Investments</t>
  </si>
  <si>
    <t>Add: Interest on FD earned/accrued</t>
  </si>
  <si>
    <t>As per last year Balance Sheet</t>
  </si>
  <si>
    <t>Repair &amp; Maintenance Fund</t>
  </si>
  <si>
    <t>As per last Balance Sheet</t>
  </si>
  <si>
    <t>Income &amp; Expenditure Account</t>
  </si>
  <si>
    <t>HELENA VILLA CO-OPERATIVE HOUSING SOCIETY LIMITED</t>
  </si>
  <si>
    <t xml:space="preserve">Building Insurance </t>
  </si>
  <si>
    <t xml:space="preserve">Salaries </t>
  </si>
  <si>
    <t>Security Charges</t>
  </si>
  <si>
    <t>Pest Control Expense</t>
  </si>
  <si>
    <t>Depreciation</t>
  </si>
  <si>
    <t>Garage Tax</t>
  </si>
  <si>
    <t>Citizen Credit Bank</t>
  </si>
  <si>
    <t>MDCC Bank</t>
  </si>
  <si>
    <t>1 share of MDHF</t>
  </si>
  <si>
    <t>Share with MDCC</t>
  </si>
  <si>
    <t>Repairs &amp; Painting Fund</t>
  </si>
  <si>
    <t>New Water Pipeline Fund</t>
  </si>
  <si>
    <t>Less: Depreciation 15%</t>
  </si>
  <si>
    <t>Lift Upgradation Fund</t>
  </si>
  <si>
    <t>Date</t>
  </si>
  <si>
    <t>Balance as per System</t>
  </si>
  <si>
    <t>Particulars</t>
  </si>
  <si>
    <t>Rate %</t>
  </si>
  <si>
    <t>Depreciation for the year</t>
  </si>
  <si>
    <t>Letter Box</t>
  </si>
  <si>
    <t xml:space="preserve">Intercom </t>
  </si>
  <si>
    <t>Water pipe Enlargement</t>
  </si>
  <si>
    <t xml:space="preserve">Lift </t>
  </si>
  <si>
    <t>Less trfd to fund</t>
  </si>
  <si>
    <t>Amount Invested</t>
  </si>
  <si>
    <t>Maturity Date</t>
  </si>
  <si>
    <t>Maturity Value</t>
  </si>
  <si>
    <t>Interest %</t>
  </si>
  <si>
    <t>Bank</t>
  </si>
  <si>
    <t>MDCC</t>
  </si>
  <si>
    <t>General Fund</t>
  </si>
  <si>
    <t>Grand Total</t>
  </si>
  <si>
    <t>Cupboard</t>
  </si>
  <si>
    <t>Prov</t>
  </si>
  <si>
    <t>Period</t>
  </si>
  <si>
    <t>Months</t>
  </si>
  <si>
    <t>Amount</t>
  </si>
  <si>
    <t>Interest on Security Deposit</t>
  </si>
  <si>
    <t xml:space="preserve">Water </t>
  </si>
  <si>
    <t>Water Tank Cleaning Charges</t>
  </si>
  <si>
    <t>Lift AMC</t>
  </si>
  <si>
    <t>Prepaid</t>
  </si>
  <si>
    <t>Intercom AMC</t>
  </si>
  <si>
    <t>CCTV AMC</t>
  </si>
  <si>
    <t>FY 22-23</t>
  </si>
  <si>
    <t>R&amp;M - Electrical</t>
  </si>
  <si>
    <t xml:space="preserve">R&amp;M - Water Pump </t>
  </si>
  <si>
    <t xml:space="preserve">R&amp;M - Garden </t>
  </si>
  <si>
    <t>AMC - Lift</t>
  </si>
  <si>
    <t>AMC - Intercom</t>
  </si>
  <si>
    <t>AMC - CCTV</t>
  </si>
  <si>
    <t>Pest Control</t>
  </si>
  <si>
    <t>Professional Fees</t>
  </si>
  <si>
    <t>Miscellaneous Expense</t>
  </si>
  <si>
    <t>Total (a)</t>
  </si>
  <si>
    <t>Total (b)</t>
  </si>
  <si>
    <t>Total (c)</t>
  </si>
  <si>
    <t>Total (d)</t>
  </si>
  <si>
    <t>Education &amp; Training Fund</t>
  </si>
  <si>
    <t>Total (e)</t>
  </si>
  <si>
    <t>Total (a+b+c+d+e)</t>
  </si>
  <si>
    <t>Sl.No</t>
  </si>
  <si>
    <t xml:space="preserve">Insurance </t>
  </si>
  <si>
    <r>
      <t>Accrued Interest -</t>
    </r>
    <r>
      <rPr>
        <b/>
        <sz val="11"/>
        <color theme="1"/>
        <rFont val="Calibri"/>
        <family val="2"/>
        <scheme val="minor"/>
      </rPr>
      <t xml:space="preserve"> (Sch I)</t>
    </r>
  </si>
  <si>
    <t>Fixed Assets - (Sch II)</t>
  </si>
  <si>
    <t>Advance from Members - (Sch IV)</t>
  </si>
  <si>
    <t>Flat No.</t>
  </si>
  <si>
    <t>Member's Names</t>
  </si>
  <si>
    <t>Repair &amp; Maintenance - (Sch V)</t>
  </si>
  <si>
    <t>Schedule V - Repair and Maintenance Expense</t>
  </si>
  <si>
    <t>Helena Villa Chs Ltd</t>
  </si>
  <si>
    <t>Days</t>
  </si>
  <si>
    <t>Balance as per Pass Book</t>
  </si>
  <si>
    <t>Helena Villa CHS Ltd.</t>
  </si>
  <si>
    <t>Add: 25% of Surplus</t>
  </si>
  <si>
    <t>Security Deposit with Adani</t>
  </si>
  <si>
    <t>FY 23-24</t>
  </si>
  <si>
    <t>Schedule IV -Members Advance as on 31st March 2024</t>
  </si>
  <si>
    <t>Accrued Int. 2023-24</t>
  </si>
  <si>
    <t>22.03.2026</t>
  </si>
  <si>
    <t>Bonus</t>
  </si>
  <si>
    <t>R&amp;M - Others</t>
  </si>
  <si>
    <t>Bank Charges</t>
  </si>
  <si>
    <t>Less: Trfd to Painting Fund</t>
  </si>
  <si>
    <t>Less: Trfd to Sinking Fund</t>
  </si>
  <si>
    <t>Journal No.</t>
  </si>
  <si>
    <t>Posted Date</t>
  </si>
  <si>
    <t>Comments</t>
  </si>
  <si>
    <t>Credit</t>
  </si>
  <si>
    <t>GF</t>
  </si>
  <si>
    <t>PF</t>
  </si>
  <si>
    <t>SF</t>
  </si>
  <si>
    <t>Interest on IT refund</t>
  </si>
  <si>
    <t>Sale of Scrap</t>
  </si>
  <si>
    <t>CCB</t>
  </si>
  <si>
    <t>18.03.2024</t>
  </si>
  <si>
    <t>12.02.2024</t>
  </si>
  <si>
    <t>Retention Sejal Construction</t>
  </si>
  <si>
    <t>MR. ERIC LEWIS &amp; MR.MAXIE LEWIS</t>
  </si>
  <si>
    <t>MR. PAUL J. D'SOUZA &amp; MRS. VIRGINIA M. D'SOUZA</t>
  </si>
  <si>
    <t>MR. MALCOLM J. FERNANDES</t>
  </si>
  <si>
    <t>MR. JIBU VARGHESE THETHAYIL</t>
  </si>
  <si>
    <t>Less: Major Repair Expense</t>
  </si>
  <si>
    <t>Income tax Expense</t>
  </si>
  <si>
    <t>TDS Receivables</t>
  </si>
  <si>
    <t>Income tax</t>
  </si>
  <si>
    <t>(30000 Shares of Rs. 50 each)</t>
  </si>
  <si>
    <t>(70 shares of Rs. 50/- each )</t>
  </si>
  <si>
    <t>By Excess of Expenditure over Income</t>
  </si>
  <si>
    <t>Current Liabilities &amp; Provisions :</t>
  </si>
  <si>
    <t>Issued, Subscribed and Paid Up Share Capital</t>
  </si>
  <si>
    <t>Fixed Deposits - (Sch I)</t>
  </si>
  <si>
    <t>Prepaid Expenses:</t>
  </si>
  <si>
    <t>Other Current Assets:</t>
  </si>
  <si>
    <t>Building Insurance Charges</t>
  </si>
  <si>
    <t>Gen. Reserve and Surplus Fund - (Sch III)</t>
  </si>
  <si>
    <t>Amount (Rs.)</t>
  </si>
  <si>
    <t>Member's Name</t>
  </si>
  <si>
    <t>FDR No.</t>
  </si>
  <si>
    <t>(Amt in Rs.)</t>
  </si>
  <si>
    <t>Schedule V - Repair and Maintenance Expenses</t>
  </si>
  <si>
    <t>(Regd. No MUM/WP/HSG/TC/12195 DATED 19-09-2003)</t>
  </si>
  <si>
    <t>(Amt. in Rs.)</t>
  </si>
  <si>
    <t>2024-25</t>
  </si>
  <si>
    <t>Camera in Lobby</t>
  </si>
  <si>
    <t>FY 2024-25</t>
  </si>
  <si>
    <t>FY 24-25</t>
  </si>
  <si>
    <t>Office Expenses</t>
  </si>
  <si>
    <t>Share Capital</t>
  </si>
  <si>
    <t>17.03.2026</t>
  </si>
  <si>
    <t>Accrued Int. 2024-25</t>
  </si>
  <si>
    <t>20.03.2025</t>
  </si>
  <si>
    <t>20.06.2026</t>
  </si>
  <si>
    <t>20.12.2025</t>
  </si>
  <si>
    <t>12.11.2026</t>
  </si>
  <si>
    <t>18.12.2026</t>
  </si>
  <si>
    <t>Fund</t>
  </si>
  <si>
    <t>SC</t>
  </si>
  <si>
    <t>As per bank</t>
  </si>
  <si>
    <t>BMC (Water Charges)</t>
  </si>
  <si>
    <t>Add: Prov of FY 23-24 Income tax w/back</t>
  </si>
  <si>
    <t>Not for printing</t>
  </si>
  <si>
    <t>INCOME &amp; EXPENDITURE ACCOUNT FOR THE YEAR ENDED 31ST MARCH 2026</t>
  </si>
  <si>
    <t>2025-26</t>
  </si>
  <si>
    <t>Insurance Charges</t>
  </si>
  <si>
    <t>FY 25-26</t>
  </si>
  <si>
    <t>R&amp;M - Fire Fighting System</t>
  </si>
  <si>
    <t>House Keeping Expenses</t>
  </si>
  <si>
    <t>Meeting Expenses</t>
  </si>
  <si>
    <t>Conveyance Charges</t>
  </si>
  <si>
    <t>Festival Expenses  (Festival 1)</t>
  </si>
  <si>
    <t>By Excess of Income over Expenditure</t>
  </si>
  <si>
    <t>BALANCE  SHEET AS ON 31ST MARCH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</si>
  <si>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</si>
  <si>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</si>
  <si>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</si>
  <si>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</si>
  <si>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</si>
  <si>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Schedule - III Reserve and Surplus Fund as on 31st March 2026</t>
  </si>
  <si>
    <t>FY 2025-26</t>
  </si>
  <si>
    <t xml:space="preserve">Add: Excess of Income  over Expenditure  </t>
  </si>
  <si>
    <t>Total Depreciation for FY 25-26</t>
  </si>
  <si>
    <t>Intercom</t>
  </si>
  <si>
    <t>Add: Entr fees &amp; Share trf Fees</t>
  </si>
  <si>
    <t>22.03.2028</t>
  </si>
  <si>
    <t>3542476_R14</t>
  </si>
  <si>
    <t>30.03.2026</t>
  </si>
  <si>
    <t>30.03.2028</t>
  </si>
  <si>
    <t>Painting Fund</t>
  </si>
  <si>
    <t>20.12.2028</t>
  </si>
  <si>
    <t>Accrued Int. 2025-26</t>
  </si>
  <si>
    <t>Common Electricity Charges</t>
  </si>
  <si>
    <t>Miscellaneous Income</t>
  </si>
  <si>
    <t>17.03.2027</t>
  </si>
  <si>
    <t>Citizen Credit  Bank reconciliation statement as on 31st March 2026</t>
  </si>
  <si>
    <t>MDCC  Bank reconciliation statement as on 31st March 2026</t>
  </si>
  <si>
    <t>JE-2025-0000013</t>
  </si>
  <si>
    <t>30-06-2025</t>
  </si>
  <si>
    <t>Being int recd on FD   7650 - SC MDCC</t>
  </si>
  <si>
    <t>JE-2025-0000011</t>
  </si>
  <si>
    <t>30-09-2025</t>
  </si>
  <si>
    <t>JE-2025-0000040</t>
  </si>
  <si>
    <t>18-10-2025</t>
  </si>
  <si>
    <t>JE-2025-0000061</t>
  </si>
  <si>
    <t>20-12-2025</t>
  </si>
  <si>
    <t>Being FD 1004019 renewed and remade CCB - GF</t>
  </si>
  <si>
    <t>JE-2025-0000012</t>
  </si>
  <si>
    <t>31-12-2025</t>
  </si>
  <si>
    <t>JE-2025-0000032</t>
  </si>
  <si>
    <t>17-03-2026</t>
  </si>
  <si>
    <t>Being FD 3542476 renewed and remade CCB - SF</t>
  </si>
  <si>
    <t>JE-2025-0000036</t>
  </si>
  <si>
    <t>22-03-2026</t>
  </si>
  <si>
    <t>Being FD 15320 renewed and remade MDCC - SF</t>
  </si>
  <si>
    <t>JE-2025-0000039</t>
  </si>
  <si>
    <t>31-03-2026</t>
  </si>
  <si>
    <t>Being int accu on FD 16212 - SF - MDCC</t>
  </si>
  <si>
    <t>JE-2025-0000038</t>
  </si>
  <si>
    <t>Being int accu on FD 15752 - SF - MDCC</t>
  </si>
  <si>
    <t>JE-2025-0000037</t>
  </si>
  <si>
    <t>Being int accu on FD 15320 - SF - MDCC</t>
  </si>
  <si>
    <t>JE-2025-0000035</t>
  </si>
  <si>
    <t>Being int accu on FD 1007566 - PF - CCB</t>
  </si>
  <si>
    <t>JE-2025-0000034</t>
  </si>
  <si>
    <t>Being int accu on FD 1008237 - PF - CCB</t>
  </si>
  <si>
    <t>JE-2025-0000033</t>
  </si>
  <si>
    <t>Being int accu on FD 3542476  - SF - CCB</t>
  </si>
  <si>
    <t>JE-2025-0000030</t>
  </si>
  <si>
    <t>Being int accu on FD 1003962 - GF - CCB</t>
  </si>
  <si>
    <t>JE-2025-0000029</t>
  </si>
  <si>
    <t>Being int accu on FD 1003921 - GF - CCB</t>
  </si>
  <si>
    <t>JE-2025-0000028</t>
  </si>
  <si>
    <t>Being int accu on FD 1003957 - GF - CCB</t>
  </si>
  <si>
    <t>JE-2025-0000027</t>
  </si>
  <si>
    <t>Being int accu on FD 1003941 - GF - CCB</t>
  </si>
  <si>
    <t>JE-2025-0000026</t>
  </si>
  <si>
    <t>Being int accu on FD 1003938 - GF - CCB</t>
  </si>
  <si>
    <t>JE-2025-0000025</t>
  </si>
  <si>
    <t>Being int accru on FD 1004194 - GF - CCB</t>
  </si>
  <si>
    <t>JE-2025-0000018</t>
  </si>
  <si>
    <t>Being interest recd on fixed 00660120007650 - MDCC</t>
  </si>
  <si>
    <t>Balance :</t>
  </si>
  <si>
    <t>Being FD 15318 redeemed and recd in bank SF MDCC</t>
  </si>
  <si>
    <t>SCF</t>
  </si>
  <si>
    <t>Shri. Bharat C. Boridkar</t>
  </si>
  <si>
    <t>Govt. Certified Panel Auditor</t>
  </si>
  <si>
    <t>Chairman                Secretary              Treasurer</t>
  </si>
  <si>
    <t>[Panel No.: Mumbai-4/B2/1011404]</t>
  </si>
  <si>
    <t>FOR HELENA VILLA CO-OPERATIVE HOUSING SOCIETY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</si>
</sst>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_ * #,##0_ ;_ * \-#,##0_ ;_ * &quot;-&quot;??_ ;_ @_ "/>
    <numFmt numFmtId="167" formatCode="&quot;Mumbai: &quot;dd&quot;th&quot;\ mmmm\,\ 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22" fillId="0" borderId="0"/>
    <xf numFmtId="0" fontId="20" fillId="0" borderId="0"/>
  </cellStyleXfs>
  <cellXfs count="269">
    <xf numFmtId="0" fontId="0" fillId="0" borderId="0" xfId="0"/>
    <xf numFmtId="43" fontId="5" fillId="0" borderId="5" xfId="1" applyFont="1" applyFill="1" applyBorder="1"/>
    <xf numFmtId="43" fontId="5" fillId="0" borderId="4" xfId="1" applyFont="1" applyFill="1" applyBorder="1"/>
    <xf numFmtId="43" fontId="5" fillId="0" borderId="6" xfId="1" applyFont="1" applyFill="1" applyBorder="1"/>
    <xf numFmtId="43" fontId="5" fillId="0" borderId="0" xfId="1" applyFont="1" applyFill="1" applyBorder="1"/>
    <xf numFmtId="43" fontId="5" fillId="0" borderId="0" xfId="1" applyFont="1" applyFill="1" applyAlignment="1">
      <alignment horizontal="left"/>
    </xf>
    <xf numFmtId="43" fontId="5" fillId="0" borderId="0" xfId="1" applyFont="1" applyFill="1"/>
    <xf numFmtId="43" fontId="4" fillId="0" borderId="0" xfId="1" applyFont="1" applyFill="1"/>
    <xf numFmtId="0" fontId="2" fillId="0" borderId="0" xfId="0" applyFont="1"/>
    <xf numFmtId="43" fontId="0" fillId="0" borderId="0" xfId="1" applyFont="1" applyFill="1" applyBorder="1"/>
    <xf numFmtId="43" fontId="0" fillId="0" borderId="4" xfId="1" applyFont="1" applyFill="1" applyBorder="1"/>
    <xf numFmtId="43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43" fontId="2" fillId="0" borderId="10" xfId="0" applyNumberFormat="1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/>
    </xf>
    <xf numFmtId="43" fontId="2" fillId="0" borderId="6" xfId="0" applyNumberFormat="1" applyFont="1" applyBorder="1"/>
    <xf numFmtId="43" fontId="4" fillId="0" borderId="9" xfId="1" applyFont="1" applyFill="1" applyBorder="1"/>
    <xf numFmtId="1" fontId="11" fillId="0" borderId="6" xfId="3" applyNumberFormat="1" applyBorder="1" applyAlignment="1">
      <alignment horizontal="center"/>
    </xf>
    <xf numFmtId="0" fontId="2" fillId="0" borderId="10" xfId="0" applyFont="1" applyBorder="1"/>
    <xf numFmtId="0" fontId="0" fillId="0" borderId="6" xfId="0" applyBorder="1" applyAlignment="1">
      <alignment horizontal="left"/>
    </xf>
    <xf numFmtId="43" fontId="4" fillId="0" borderId="17" xfId="1" applyFont="1" applyFill="1" applyBorder="1"/>
    <xf numFmtId="43" fontId="4" fillId="0" borderId="16" xfId="1" applyFont="1" applyFill="1" applyBorder="1"/>
    <xf numFmtId="43" fontId="2" fillId="0" borderId="17" xfId="0" applyNumberFormat="1" applyFont="1" applyBorder="1"/>
    <xf numFmtId="0" fontId="12" fillId="0" borderId="17" xfId="3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3" fontId="12" fillId="0" borderId="17" xfId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3" fontId="5" fillId="0" borderId="17" xfId="1" applyFont="1" applyFill="1" applyBorder="1"/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43" fontId="0" fillId="0" borderId="5" xfId="2" applyFont="1" applyBorder="1" applyAlignment="1">
      <alignment horizontal="center" vertical="center"/>
    </xf>
    <xf numFmtId="43" fontId="0" fillId="0" borderId="5" xfId="1" applyFont="1" applyBorder="1" applyAlignment="1">
      <alignment vertical="center"/>
    </xf>
    <xf numFmtId="43" fontId="0" fillId="0" borderId="5" xfId="2" applyFont="1" applyBorder="1" applyAlignment="1">
      <alignment vertical="center"/>
    </xf>
    <xf numFmtId="43" fontId="0" fillId="0" borderId="5" xfId="2" applyFont="1" applyFill="1" applyBorder="1" applyAlignment="1">
      <alignment vertical="center"/>
    </xf>
    <xf numFmtId="43" fontId="0" fillId="0" borderId="9" xfId="2" applyFont="1" applyBorder="1" applyAlignment="1">
      <alignment vertical="center"/>
    </xf>
    <xf numFmtId="0" fontId="0" fillId="0" borderId="0" xfId="0" applyAlignment="1">
      <alignment vertical="center"/>
    </xf>
    <xf numFmtId="43" fontId="0" fillId="0" borderId="5" xfId="2" applyFont="1" applyFill="1" applyBorder="1" applyAlignment="1">
      <alignment horizontal="center" vertical="center"/>
    </xf>
    <xf numFmtId="43" fontId="0" fillId="0" borderId="9" xfId="2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3" fontId="2" fillId="0" borderId="17" xfId="0" applyNumberFormat="1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5" fillId="0" borderId="4" xfId="0" applyFont="1" applyBorder="1"/>
    <xf numFmtId="43" fontId="4" fillId="0" borderId="5" xfId="1" applyFont="1" applyFill="1" applyBorder="1"/>
    <xf numFmtId="43" fontId="4" fillId="0" borderId="4" xfId="1" applyFont="1" applyFill="1" applyBorder="1"/>
    <xf numFmtId="43" fontId="4" fillId="0" borderId="3" xfId="1" applyFont="1" applyFill="1" applyBorder="1"/>
    <xf numFmtId="164" fontId="5" fillId="0" borderId="5" xfId="1" applyNumberFormat="1" applyFont="1" applyFill="1" applyBorder="1"/>
    <xf numFmtId="43" fontId="2" fillId="0" borderId="5" xfId="1" applyFont="1" applyFill="1" applyBorder="1"/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43" fontId="0" fillId="0" borderId="2" xfId="1" applyFont="1" applyFill="1" applyBorder="1"/>
    <xf numFmtId="0" fontId="12" fillId="0" borderId="0" xfId="0" applyFont="1"/>
    <xf numFmtId="0" fontId="11" fillId="0" borderId="0" xfId="0" applyFont="1"/>
    <xf numFmtId="4" fontId="12" fillId="0" borderId="0" xfId="0" applyNumberFormat="1" applyFont="1"/>
    <xf numFmtId="0" fontId="0" fillId="0" borderId="7" xfId="0" applyBorder="1"/>
    <xf numFmtId="0" fontId="2" fillId="2" borderId="0" xfId="0" applyFont="1" applyFill="1" applyAlignment="1">
      <alignment horizontal="center"/>
    </xf>
    <xf numFmtId="43" fontId="5" fillId="2" borderId="6" xfId="1" applyFont="1" applyFill="1" applyBorder="1"/>
    <xf numFmtId="4" fontId="0" fillId="2" borderId="27" xfId="0" applyNumberFormat="1" applyFill="1" applyBorder="1" applyAlignment="1">
      <alignment horizontal="right"/>
    </xf>
    <xf numFmtId="0" fontId="8" fillId="0" borderId="2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" fillId="0" borderId="9" xfId="0" applyFont="1" applyBorder="1"/>
    <xf numFmtId="0" fontId="8" fillId="0" borderId="2" xfId="0" applyFont="1" applyBorder="1"/>
    <xf numFmtId="0" fontId="5" fillId="0" borderId="0" xfId="0" applyFont="1"/>
    <xf numFmtId="2" fontId="0" fillId="0" borderId="5" xfId="0" applyNumberFormat="1" applyBorder="1"/>
    <xf numFmtId="43" fontId="4" fillId="0" borderId="12" xfId="1" applyFont="1" applyFill="1" applyBorder="1"/>
    <xf numFmtId="0" fontId="0" fillId="0" borderId="2" xfId="0" applyBorder="1"/>
    <xf numFmtId="164" fontId="0" fillId="0" borderId="0" xfId="0" applyNumberFormat="1"/>
    <xf numFmtId="43" fontId="5" fillId="0" borderId="2" xfId="1" applyFont="1" applyFill="1" applyBorder="1"/>
    <xf numFmtId="0" fontId="2" fillId="0" borderId="2" xfId="0" applyFont="1" applyBorder="1"/>
    <xf numFmtId="165" fontId="4" fillId="0" borderId="9" xfId="0" applyNumberFormat="1" applyFont="1" applyBorder="1"/>
    <xf numFmtId="0" fontId="0" fillId="0" borderId="5" xfId="0" applyBorder="1"/>
    <xf numFmtId="4" fontId="0" fillId="0" borderId="5" xfId="0" applyNumberFormat="1" applyBorder="1" applyAlignment="1">
      <alignment horizontal="right"/>
    </xf>
    <xf numFmtId="43" fontId="1" fillId="0" borderId="5" xfId="1" applyFont="1" applyFill="1" applyBorder="1"/>
    <xf numFmtId="0" fontId="4" fillId="0" borderId="0" xfId="0" applyFont="1"/>
    <xf numFmtId="0" fontId="5" fillId="0" borderId="2" xfId="0" applyFont="1" applyBorder="1"/>
    <xf numFmtId="43" fontId="2" fillId="0" borderId="9" xfId="0" applyNumberFormat="1" applyFont="1" applyBorder="1"/>
    <xf numFmtId="43" fontId="0" fillId="0" borderId="28" xfId="1" applyFont="1" applyFill="1" applyBorder="1"/>
    <xf numFmtId="43" fontId="1" fillId="0" borderId="4" xfId="1" applyFont="1" applyFill="1" applyBorder="1"/>
    <xf numFmtId="0" fontId="2" fillId="0" borderId="14" xfId="0" applyFont="1" applyBorder="1" applyAlignment="1">
      <alignment horizontal="center"/>
    </xf>
    <xf numFmtId="43" fontId="2" fillId="0" borderId="15" xfId="1" applyFont="1" applyFill="1" applyBorder="1"/>
    <xf numFmtId="43" fontId="2" fillId="0" borderId="0" xfId="1" applyFont="1" applyFill="1" applyBorder="1"/>
    <xf numFmtId="43" fontId="2" fillId="0" borderId="0" xfId="0" applyNumberFormat="1" applyFont="1"/>
    <xf numFmtId="43" fontId="0" fillId="0" borderId="0" xfId="1" applyFont="1" applyFill="1"/>
    <xf numFmtId="165" fontId="0" fillId="0" borderId="0" xfId="0" applyNumberFormat="1"/>
    <xf numFmtId="0" fontId="6" fillId="0" borderId="26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5" xfId="0" applyNumberFormat="1" applyFont="1" applyBorder="1"/>
    <xf numFmtId="43" fontId="5" fillId="0" borderId="0" xfId="0" applyNumberFormat="1" applyFont="1"/>
    <xf numFmtId="164" fontId="5" fillId="0" borderId="0" xfId="0" applyNumberFormat="1" applyFont="1"/>
    <xf numFmtId="43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43" fontId="0" fillId="0" borderId="5" xfId="0" applyNumberFormat="1" applyBorder="1" applyAlignment="1">
      <alignment horizontal="right"/>
    </xf>
    <xf numFmtId="43" fontId="5" fillId="0" borderId="5" xfId="0" applyNumberFormat="1" applyFont="1" applyBorder="1"/>
    <xf numFmtId="43" fontId="5" fillId="0" borderId="4" xfId="0" applyNumberFormat="1" applyFont="1" applyBorder="1"/>
    <xf numFmtId="164" fontId="5" fillId="0" borderId="4" xfId="0" applyNumberFormat="1" applyFont="1" applyBorder="1"/>
    <xf numFmtId="43" fontId="3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43" fontId="7" fillId="0" borderId="0" xfId="0" applyNumberFormat="1" applyFont="1"/>
    <xf numFmtId="2" fontId="5" fillId="0" borderId="0" xfId="0" applyNumberFormat="1" applyFont="1"/>
    <xf numFmtId="2" fontId="4" fillId="0" borderId="0" xfId="0" applyNumberFormat="1" applyFont="1"/>
    <xf numFmtId="0" fontId="2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2" fontId="0" fillId="0" borderId="17" xfId="0" applyNumberFormat="1" applyBorder="1"/>
    <xf numFmtId="43" fontId="2" fillId="0" borderId="14" xfId="0" applyNumberFormat="1" applyFont="1" applyBorder="1"/>
    <xf numFmtId="0" fontId="12" fillId="0" borderId="18" xfId="3" applyFont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12" fillId="0" borderId="19" xfId="3" applyFont="1" applyBorder="1" applyAlignment="1">
      <alignment horizontal="center"/>
    </xf>
    <xf numFmtId="43" fontId="12" fillId="0" borderId="17" xfId="1" applyFont="1" applyFill="1" applyBorder="1"/>
    <xf numFmtId="1" fontId="11" fillId="0" borderId="4" xfId="3" applyNumberFormat="1" applyBorder="1" applyAlignment="1">
      <alignment horizontal="center"/>
    </xf>
    <xf numFmtId="0" fontId="0" fillId="0" borderId="4" xfId="0" applyBorder="1" applyAlignment="1">
      <alignment horizontal="left"/>
    </xf>
    <xf numFmtId="43" fontId="11" fillId="0" borderId="4" xfId="1" applyFont="1" applyFill="1" applyBorder="1"/>
    <xf numFmtId="43" fontId="11" fillId="0" borderId="6" xfId="1" applyFont="1" applyFill="1" applyBorder="1"/>
    <xf numFmtId="0" fontId="19" fillId="0" borderId="0" xfId="0" applyFont="1"/>
    <xf numFmtId="166" fontId="19" fillId="0" borderId="0" xfId="1" applyNumberFormat="1" applyFont="1"/>
    <xf numFmtId="166" fontId="0" fillId="2" borderId="0" xfId="1" applyNumberFormat="1" applyFont="1" applyFill="1"/>
    <xf numFmtId="166" fontId="0" fillId="3" borderId="0" xfId="1" applyNumberFormat="1" applyFont="1" applyFill="1"/>
    <xf numFmtId="0" fontId="0" fillId="3" borderId="0" xfId="0" applyFill="1"/>
    <xf numFmtId="0" fontId="0" fillId="2" borderId="0" xfId="0" applyFill="1"/>
    <xf numFmtId="0" fontId="2" fillId="0" borderId="2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43" fontId="21" fillId="0" borderId="2" xfId="1" applyFont="1" applyFill="1" applyBorder="1"/>
    <xf numFmtId="0" fontId="21" fillId="0" borderId="0" xfId="0" applyFont="1"/>
    <xf numFmtId="43" fontId="21" fillId="0" borderId="0" xfId="1" applyFont="1" applyFill="1" applyBorder="1"/>
    <xf numFmtId="43" fontId="2" fillId="0" borderId="3" xfId="1" applyFont="1" applyFill="1" applyBorder="1"/>
    <xf numFmtId="43" fontId="21" fillId="0" borderId="0" xfId="1" applyFont="1" applyAlignment="1">
      <alignment vertical="center"/>
    </xf>
    <xf numFmtId="0" fontId="1" fillId="0" borderId="2" xfId="0" applyFont="1" applyBorder="1"/>
    <xf numFmtId="0" fontId="2" fillId="0" borderId="0" xfId="1" applyNumberFormat="1" applyFont="1" applyFill="1" applyBorder="1" applyAlignment="1">
      <alignment horizontal="left" vertical="top"/>
    </xf>
    <xf numFmtId="0" fontId="21" fillId="0" borderId="0" xfId="1" applyNumberFormat="1" applyFont="1" applyFill="1" applyBorder="1" applyAlignment="1">
      <alignment horizontal="left" vertical="top"/>
    </xf>
    <xf numFmtId="43" fontId="21" fillId="0" borderId="2" xfId="1" applyFont="1" applyBorder="1"/>
    <xf numFmtId="0" fontId="21" fillId="0" borderId="0" xfId="0" applyFont="1" applyAlignment="1">
      <alignment horizontal="left" vertical="top"/>
    </xf>
    <xf numFmtId="0" fontId="2" fillId="0" borderId="3" xfId="1" applyNumberFormat="1" applyFont="1" applyFill="1" applyBorder="1" applyAlignment="1">
      <alignment horizontal="left" vertical="top"/>
    </xf>
    <xf numFmtId="43" fontId="21" fillId="0" borderId="0" xfId="0" applyNumberFormat="1" applyFont="1"/>
    <xf numFmtId="1" fontId="23" fillId="0" borderId="2" xfId="4" applyNumberFormat="1" applyFont="1" applyBorder="1" applyAlignment="1">
      <alignment vertical="center"/>
    </xf>
    <xf numFmtId="1" fontId="24" fillId="0" borderId="2" xfId="4" applyNumberFormat="1" applyFont="1" applyBorder="1" applyAlignment="1">
      <alignment vertical="center"/>
    </xf>
    <xf numFmtId="0" fontId="21" fillId="0" borderId="3" xfId="0" applyFont="1" applyBorder="1" applyAlignment="1">
      <alignment horizontal="left" vertical="top"/>
    </xf>
    <xf numFmtId="0" fontId="2" fillId="0" borderId="7" xfId="1" applyNumberFormat="1" applyFont="1" applyFill="1" applyBorder="1" applyAlignment="1">
      <alignment horizontal="left" vertical="top"/>
    </xf>
    <xf numFmtId="0" fontId="21" fillId="0" borderId="7" xfId="1" applyNumberFormat="1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" fillId="0" borderId="29" xfId="1" applyNumberFormat="1" applyFont="1" applyFill="1" applyBorder="1" applyAlignment="1">
      <alignment horizontal="left" vertical="top"/>
    </xf>
    <xf numFmtId="0" fontId="8" fillId="0" borderId="26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0" xfId="0" applyFont="1"/>
    <xf numFmtId="43" fontId="5" fillId="0" borderId="30" xfId="1" applyFont="1" applyFill="1" applyBorder="1"/>
    <xf numFmtId="0" fontId="6" fillId="0" borderId="0" xfId="0" applyFont="1"/>
    <xf numFmtId="43" fontId="2" fillId="0" borderId="17" xfId="1" applyFont="1" applyFill="1" applyBorder="1"/>
    <xf numFmtId="0" fontId="24" fillId="0" borderId="0" xfId="0" applyFont="1" applyAlignment="1">
      <alignment vertical="center"/>
    </xf>
    <xf numFmtId="2" fontId="24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4" fontId="4" fillId="0" borderId="17" xfId="1" applyNumberFormat="1" applyFont="1" applyFill="1" applyBorder="1"/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3" fontId="0" fillId="0" borderId="6" xfId="0" applyNumberFormat="1" applyBorder="1" applyAlignment="1">
      <alignment vertical="center"/>
    </xf>
    <xf numFmtId="43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43" fontId="0" fillId="0" borderId="6" xfId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4" fontId="0" fillId="0" borderId="19" xfId="0" applyNumberFormat="1" applyBorder="1" applyAlignment="1">
      <alignment horizontal="center" vertical="center"/>
    </xf>
    <xf numFmtId="43" fontId="0" fillId="0" borderId="26" xfId="0" applyNumberFormat="1" applyBorder="1" applyAlignment="1">
      <alignment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26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3" fontId="2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2" fontId="0" fillId="0" borderId="6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43" fontId="2" fillId="0" borderId="6" xfId="0" applyNumberFormat="1" applyFont="1" applyBorder="1" applyAlignment="1">
      <alignment vertical="center"/>
    </xf>
    <xf numFmtId="43" fontId="2" fillId="0" borderId="26" xfId="0" applyNumberFormat="1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0" fillId="0" borderId="0" xfId="1" applyFont="1" applyAlignment="1">
      <alignment vertical="center"/>
    </xf>
    <xf numFmtId="0" fontId="12" fillId="0" borderId="17" xfId="3" applyFont="1" applyBorder="1" applyAlignment="1">
      <alignment horizontal="center" vertical="center"/>
    </xf>
    <xf numFmtId="43" fontId="12" fillId="0" borderId="17" xfId="1" applyFont="1" applyFill="1" applyBorder="1" applyAlignment="1">
      <alignment vertical="center"/>
    </xf>
    <xf numFmtId="1" fontId="11" fillId="0" borderId="4" xfId="3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3" fontId="11" fillId="0" borderId="4" xfId="1" applyFont="1" applyFill="1" applyBorder="1" applyAlignment="1">
      <alignment vertical="center"/>
    </xf>
    <xf numFmtId="1" fontId="11" fillId="0" borderId="6" xfId="3" applyNumberFormat="1" applyBorder="1" applyAlignment="1">
      <alignment horizontal="center" vertical="center"/>
    </xf>
    <xf numFmtId="43" fontId="11" fillId="0" borderId="6" xfId="1" applyFont="1" applyFill="1" applyBorder="1" applyAlignment="1">
      <alignment vertical="center"/>
    </xf>
    <xf numFmtId="43" fontId="0" fillId="0" borderId="0" xfId="1" applyFont="1" applyFill="1" applyAlignment="1">
      <alignment vertical="center"/>
    </xf>
    <xf numFmtId="4" fontId="0" fillId="0" borderId="27" xfId="0" applyNumberFormat="1" applyBorder="1" applyAlignment="1">
      <alignment horizontal="right"/>
    </xf>
    <xf numFmtId="0" fontId="2" fillId="0" borderId="5" xfId="0" applyFont="1" applyBorder="1"/>
    <xf numFmtId="0" fontId="6" fillId="0" borderId="1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9" xfId="0" applyFont="1" applyBorder="1"/>
    <xf numFmtId="43" fontId="5" fillId="0" borderId="3" xfId="1" applyFont="1" applyFill="1" applyBorder="1"/>
    <xf numFmtId="43" fontId="5" fillId="0" borderId="29" xfId="1" applyFont="1" applyFill="1" applyBorder="1"/>
    <xf numFmtId="43" fontId="4" fillId="0" borderId="15" xfId="1" applyFont="1" applyFill="1" applyBorder="1"/>
    <xf numFmtId="0" fontId="6" fillId="0" borderId="22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43" fontId="4" fillId="0" borderId="9" xfId="0" applyNumberFormat="1" applyFont="1" applyBorder="1"/>
    <xf numFmtId="164" fontId="4" fillId="0" borderId="16" xfId="0" applyNumberFormat="1" applyFont="1" applyBorder="1"/>
    <xf numFmtId="0" fontId="5" fillId="0" borderId="5" xfId="0" applyFont="1" applyBorder="1"/>
    <xf numFmtId="0" fontId="15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7" fontId="24" fillId="0" borderId="28" xfId="5" applyNumberFormat="1" applyFont="1" applyBorder="1" applyAlignment="1">
      <alignment horizontal="left" vertical="center"/>
    </xf>
    <xf numFmtId="167" fontId="24" fillId="0" borderId="7" xfId="5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21" fillId="0" borderId="3" xfId="0" applyFont="1" applyBorder="1" applyAlignment="1">
      <alignment horizontal="center" vertical="top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4" fillId="0" borderId="7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20" xfId="3" applyFont="1" applyBorder="1" applyAlignment="1">
      <alignment horizontal="center"/>
    </xf>
    <xf numFmtId="0" fontId="12" fillId="0" borderId="11" xfId="3" applyFont="1" applyBorder="1" applyAlignment="1">
      <alignment horizontal="center"/>
    </xf>
    <xf numFmtId="0" fontId="12" fillId="0" borderId="21" xfId="3" applyFont="1" applyBorder="1" applyAlignment="1">
      <alignment horizontal="center"/>
    </xf>
    <xf numFmtId="0" fontId="12" fillId="0" borderId="6" xfId="3" applyFont="1" applyBorder="1" applyAlignment="1">
      <alignment horizontal="center" vertical="center"/>
    </xf>
    <xf numFmtId="0" fontId="12" fillId="0" borderId="6" xfId="3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6">
    <cellStyle name="Comma" xfId="1" builtinId="3"/>
    <cellStyle name="Comma 2 2" xfId="2" xr:uid="{00000000-0005-0000-0000-000001000000}"/>
    <cellStyle name="Normal" xfId="0" builtinId="0"/>
    <cellStyle name="Normal 2" xfId="3" xr:uid="{00000000-0005-0000-0000-000003000000}"/>
    <cellStyle name="Normal_BSPL 2004 NS" xfId="5" xr:uid="{00000000-0005-0000-0000-000004000000}"/>
    <cellStyle name="Normal_FY 2003-2004 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view="pageBreakPreview" topLeftCell="A10" zoomScaleNormal="100" zoomScaleSheetLayoutView="100" workbookViewId="0">
      <selection activeCell="F28" sqref="F28:G32"/>
    </sheetView>
  </sheetViews>
  <sheetFormatPr defaultColWidth="13.109375" defaultRowHeight="14.4" x14ac:dyDescent="0.3"/>
  <cols>
    <col min="1" max="1" width="14.6640625" customWidth="1"/>
    <col min="2" max="2" width="38.33203125" customWidth="1"/>
    <col min="3" max="3" width="14.6640625" style="91" customWidth="1"/>
    <col min="4" max="4" width="14.6640625" style="8" customWidth="1"/>
    <col min="5" max="5" width="14.6640625" customWidth="1"/>
    <col min="6" max="6" width="30.5546875" customWidth="1"/>
    <col min="7" max="7" width="14.6640625" style="91" customWidth="1"/>
    <col min="8" max="8" width="14.6640625" style="8" customWidth="1"/>
    <col min="9" max="9" width="12.109375" bestFit="1" customWidth="1"/>
  </cols>
  <sheetData>
    <row r="1" spans="1:10" ht="18" x14ac:dyDescent="0.35">
      <c r="A1" s="219" t="s">
        <v>39</v>
      </c>
      <c r="B1" s="220"/>
      <c r="C1" s="220"/>
      <c r="D1" s="220"/>
      <c r="E1" s="220"/>
      <c r="F1" s="220"/>
      <c r="G1" s="220"/>
      <c r="H1" s="221"/>
    </row>
    <row r="2" spans="1:10" x14ac:dyDescent="0.3">
      <c r="A2" s="222" t="s">
        <v>161</v>
      </c>
      <c r="B2" s="223"/>
      <c r="C2" s="223"/>
      <c r="D2" s="223"/>
      <c r="E2" s="223"/>
      <c r="F2" s="223"/>
      <c r="G2" s="223"/>
      <c r="H2" s="224"/>
    </row>
    <row r="3" spans="1:10" ht="18" x14ac:dyDescent="0.35">
      <c r="A3" s="225" t="s">
        <v>192</v>
      </c>
      <c r="B3" s="226"/>
      <c r="C3" s="226"/>
      <c r="D3" s="226"/>
      <c r="E3" s="226"/>
      <c r="F3" s="226"/>
      <c r="G3" s="226"/>
      <c r="H3" s="227"/>
    </row>
    <row r="4" spans="1:10" ht="12" customHeight="1" x14ac:dyDescent="0.3">
      <c r="A4" s="130"/>
      <c r="B4" s="131"/>
      <c r="C4" s="131"/>
      <c r="D4" s="131"/>
      <c r="E4" s="131"/>
      <c r="F4" s="131"/>
      <c r="G4" s="131"/>
      <c r="H4" s="132" t="s">
        <v>162</v>
      </c>
    </row>
    <row r="5" spans="1:10" x14ac:dyDescent="0.3">
      <c r="A5" s="152" t="s">
        <v>0</v>
      </c>
      <c r="B5" s="228" t="s">
        <v>25</v>
      </c>
      <c r="C5" s="229"/>
      <c r="D5" s="65" t="s">
        <v>2</v>
      </c>
      <c r="E5" s="66" t="s">
        <v>0</v>
      </c>
      <c r="F5" s="228" t="s">
        <v>26</v>
      </c>
      <c r="G5" s="229"/>
      <c r="H5" s="152" t="s">
        <v>2</v>
      </c>
    </row>
    <row r="6" spans="1:10" ht="15" thickBot="1" x14ac:dyDescent="0.35">
      <c r="A6" s="153" t="s">
        <v>163</v>
      </c>
      <c r="B6" s="230"/>
      <c r="C6" s="231"/>
      <c r="D6" s="67" t="s">
        <v>183</v>
      </c>
      <c r="E6" s="68" t="str">
        <f>A6</f>
        <v>2024-25</v>
      </c>
      <c r="F6" s="230"/>
      <c r="G6" s="231"/>
      <c r="H6" s="153" t="str">
        <f>D6</f>
        <v>2025-26</v>
      </c>
    </row>
    <row r="7" spans="1:10" ht="15" thickTop="1" x14ac:dyDescent="0.3">
      <c r="A7" s="79"/>
      <c r="B7" s="154" t="s">
        <v>27</v>
      </c>
      <c r="C7" s="72"/>
      <c r="D7" s="69"/>
      <c r="F7" s="70" t="s">
        <v>28</v>
      </c>
      <c r="G7" s="57"/>
      <c r="H7" s="207"/>
    </row>
    <row r="8" spans="1:10" ht="15" thickBot="1" x14ac:dyDescent="0.35">
      <c r="A8" s="155">
        <v>1500000</v>
      </c>
      <c r="B8" s="71" t="s">
        <v>146</v>
      </c>
      <c r="C8" s="72"/>
      <c r="D8" s="73">
        <f>30000*50</f>
        <v>1500000</v>
      </c>
      <c r="E8" s="9">
        <v>413</v>
      </c>
      <c r="F8" s="74" t="s">
        <v>29</v>
      </c>
      <c r="G8" s="57">
        <v>385</v>
      </c>
      <c r="H8" s="54"/>
    </row>
    <row r="9" spans="1:10" ht="15" thickTop="1" x14ac:dyDescent="0.3">
      <c r="A9" s="1"/>
      <c r="B9" s="71"/>
      <c r="C9" s="72"/>
      <c r="D9" s="20"/>
      <c r="E9" s="9">
        <v>44950.15</v>
      </c>
      <c r="F9" s="74" t="s">
        <v>46</v>
      </c>
      <c r="G9" s="57">
        <f>BRS!B4</f>
        <v>245299.35</v>
      </c>
      <c r="H9" s="54"/>
    </row>
    <row r="10" spans="1:10" x14ac:dyDescent="0.3">
      <c r="A10" s="1"/>
      <c r="B10" s="156" t="s">
        <v>150</v>
      </c>
      <c r="C10" s="72"/>
      <c r="D10" s="20"/>
      <c r="E10" s="10">
        <v>2453</v>
      </c>
      <c r="F10" s="74" t="s">
        <v>47</v>
      </c>
      <c r="G10" s="57">
        <f>BRS!B15</f>
        <v>6544</v>
      </c>
      <c r="H10" s="54">
        <f>SUM(G8:G10)</f>
        <v>252228.35</v>
      </c>
    </row>
    <row r="11" spans="1:10" x14ac:dyDescent="0.3">
      <c r="A11" s="1">
        <v>3500</v>
      </c>
      <c r="B11" s="71" t="s">
        <v>147</v>
      </c>
      <c r="C11" s="72"/>
      <c r="D11" s="20">
        <v>3500</v>
      </c>
      <c r="E11" s="4"/>
      <c r="F11" s="74"/>
      <c r="G11" s="57"/>
      <c r="H11" s="54"/>
    </row>
    <row r="12" spans="1:10" x14ac:dyDescent="0.3">
      <c r="A12" s="1"/>
      <c r="B12" s="71"/>
      <c r="C12" s="72"/>
      <c r="D12" s="20"/>
      <c r="E12" s="4"/>
      <c r="F12" s="70" t="s">
        <v>30</v>
      </c>
      <c r="G12" s="57"/>
      <c r="H12" s="54"/>
      <c r="J12" s="75"/>
    </row>
    <row r="13" spans="1:10" x14ac:dyDescent="0.3">
      <c r="A13" s="1">
        <v>705712</v>
      </c>
      <c r="B13" s="156" t="s">
        <v>155</v>
      </c>
      <c r="C13" s="72"/>
      <c r="D13" s="20">
        <f>'Sch III - R&amp;S'!D34</f>
        <v>789872</v>
      </c>
      <c r="E13" s="4">
        <v>1894.88</v>
      </c>
      <c r="F13" s="74" t="s">
        <v>115</v>
      </c>
      <c r="G13" s="57"/>
      <c r="H13" s="54">
        <v>1894.88</v>
      </c>
    </row>
    <row r="14" spans="1:10" x14ac:dyDescent="0.3">
      <c r="A14" s="1"/>
      <c r="B14" s="71"/>
      <c r="C14" s="1"/>
      <c r="D14" s="20"/>
      <c r="E14" s="4"/>
      <c r="F14" s="74"/>
      <c r="G14" s="57"/>
      <c r="H14" s="54"/>
    </row>
    <row r="15" spans="1:10" x14ac:dyDescent="0.3">
      <c r="A15" s="1"/>
      <c r="B15" s="156" t="s">
        <v>51</v>
      </c>
      <c r="C15" s="1"/>
      <c r="D15" s="20"/>
      <c r="E15" s="4"/>
      <c r="F15" s="70" t="s">
        <v>33</v>
      </c>
      <c r="G15" s="57"/>
      <c r="H15" s="54"/>
    </row>
    <row r="16" spans="1:10" x14ac:dyDescent="0.3">
      <c r="A16" s="1">
        <v>4814</v>
      </c>
      <c r="B16" s="71" t="s">
        <v>37</v>
      </c>
      <c r="C16" s="1">
        <f>A16+A17</f>
        <v>4092</v>
      </c>
      <c r="D16" s="20"/>
      <c r="E16" s="4">
        <v>1000</v>
      </c>
      <c r="F16" s="74" t="s">
        <v>49</v>
      </c>
      <c r="G16" s="76">
        <v>1000</v>
      </c>
      <c r="H16" s="54"/>
    </row>
    <row r="17" spans="1:12" x14ac:dyDescent="0.3">
      <c r="A17" s="1">
        <v>-722</v>
      </c>
      <c r="B17" s="71" t="s">
        <v>52</v>
      </c>
      <c r="C17" s="2">
        <v>-614</v>
      </c>
      <c r="D17" s="20">
        <f>SUM(C16:C17)</f>
        <v>3478</v>
      </c>
      <c r="E17" s="4">
        <v>100</v>
      </c>
      <c r="F17" s="74" t="s">
        <v>48</v>
      </c>
      <c r="G17" s="76">
        <v>100</v>
      </c>
      <c r="H17" s="54"/>
    </row>
    <row r="18" spans="1:12" x14ac:dyDescent="0.3">
      <c r="A18" s="1"/>
      <c r="B18" s="71"/>
      <c r="C18" s="1"/>
      <c r="D18" s="20"/>
      <c r="E18" s="4">
        <v>894741</v>
      </c>
      <c r="F18" s="70" t="s">
        <v>151</v>
      </c>
      <c r="G18" s="57">
        <f>'Sch I - FD'!C30</f>
        <v>678952</v>
      </c>
      <c r="H18" s="54"/>
    </row>
    <row r="19" spans="1:12" x14ac:dyDescent="0.3">
      <c r="A19" s="1"/>
      <c r="B19" s="156" t="s">
        <v>53</v>
      </c>
      <c r="C19" s="1"/>
      <c r="D19" s="20"/>
      <c r="E19" s="4">
        <v>63658</v>
      </c>
      <c r="F19" s="74" t="s">
        <v>103</v>
      </c>
      <c r="G19" s="57">
        <f>'Sch I - FD'!D30+'Sch I - FD'!E30+'Sch I - FD'!F30</f>
        <v>87056</v>
      </c>
      <c r="H19" s="54">
        <f>SUM(G16:G19)</f>
        <v>767108</v>
      </c>
    </row>
    <row r="20" spans="1:12" x14ac:dyDescent="0.3">
      <c r="A20" s="1">
        <v>137492</v>
      </c>
      <c r="B20" s="71" t="s">
        <v>37</v>
      </c>
      <c r="C20" s="1">
        <f>A20+A21</f>
        <v>116868</v>
      </c>
      <c r="D20" s="20"/>
      <c r="E20" s="4"/>
      <c r="F20" s="77"/>
      <c r="G20" s="57"/>
      <c r="H20" s="54"/>
      <c r="J20" s="11"/>
    </row>
    <row r="21" spans="1:12" x14ac:dyDescent="0.3">
      <c r="A21" s="1">
        <v>-20624</v>
      </c>
      <c r="B21" s="71" t="s">
        <v>52</v>
      </c>
      <c r="C21" s="2">
        <v>-17530</v>
      </c>
      <c r="D21" s="20">
        <f>SUM(C20:C21)</f>
        <v>99338</v>
      </c>
      <c r="E21" s="4">
        <v>157834</v>
      </c>
      <c r="F21" s="70" t="s">
        <v>104</v>
      </c>
      <c r="G21" s="57"/>
      <c r="H21" s="1">
        <f>'Sch II - FA'!H10</f>
        <v>134344</v>
      </c>
    </row>
    <row r="22" spans="1:12" x14ac:dyDescent="0.3">
      <c r="A22" s="1"/>
      <c r="B22" s="71"/>
      <c r="C22" s="72"/>
      <c r="D22" s="78"/>
      <c r="E22" s="4"/>
      <c r="F22" s="74"/>
      <c r="G22" s="57"/>
      <c r="H22" s="54"/>
    </row>
    <row r="23" spans="1:12" x14ac:dyDescent="0.3">
      <c r="A23" s="1"/>
      <c r="B23" s="156" t="s">
        <v>149</v>
      </c>
      <c r="C23" s="79"/>
      <c r="D23" s="69"/>
      <c r="E23" s="4"/>
      <c r="F23" s="70" t="s">
        <v>153</v>
      </c>
      <c r="G23" s="57"/>
      <c r="H23" s="54"/>
    </row>
    <row r="24" spans="1:12" x14ac:dyDescent="0.3">
      <c r="A24" s="1">
        <v>2000</v>
      </c>
      <c r="B24" s="71" t="s">
        <v>18</v>
      </c>
      <c r="C24" s="1">
        <v>2000</v>
      </c>
      <c r="D24" s="20"/>
      <c r="E24" s="9">
        <v>4402</v>
      </c>
      <c r="F24" s="74" t="s">
        <v>144</v>
      </c>
      <c r="G24" s="57"/>
      <c r="H24" s="80">
        <v>4402</v>
      </c>
    </row>
    <row r="25" spans="1:12" x14ac:dyDescent="0.3">
      <c r="A25" s="1">
        <v>9003</v>
      </c>
      <c r="B25" s="71" t="s">
        <v>179</v>
      </c>
      <c r="C25" s="1">
        <v>0</v>
      </c>
      <c r="D25" s="20"/>
      <c r="E25" s="9"/>
      <c r="F25" s="74"/>
      <c r="G25" s="57"/>
      <c r="H25" s="54"/>
    </row>
    <row r="26" spans="1:12" x14ac:dyDescent="0.3">
      <c r="A26" s="1">
        <v>3730</v>
      </c>
      <c r="B26" s="71" t="s">
        <v>11</v>
      </c>
      <c r="C26" s="1">
        <v>3361.59</v>
      </c>
      <c r="D26" s="20"/>
      <c r="E26" s="9"/>
      <c r="F26" s="74"/>
      <c r="G26" s="57"/>
      <c r="H26" s="54"/>
    </row>
    <row r="27" spans="1:12" x14ac:dyDescent="0.3">
      <c r="A27" s="1">
        <v>5326</v>
      </c>
      <c r="B27" s="71" t="s">
        <v>92</v>
      </c>
      <c r="C27" s="1">
        <v>1500</v>
      </c>
      <c r="D27" s="20"/>
      <c r="E27" s="4"/>
      <c r="F27" s="70" t="s">
        <v>152</v>
      </c>
      <c r="G27" s="57"/>
      <c r="H27" s="54"/>
    </row>
    <row r="28" spans="1:12" x14ac:dyDescent="0.3">
      <c r="A28" s="1">
        <v>0</v>
      </c>
      <c r="B28" s="71" t="s">
        <v>145</v>
      </c>
      <c r="C28" s="1">
        <v>0</v>
      </c>
      <c r="D28" s="20"/>
      <c r="E28" s="4">
        <v>967</v>
      </c>
      <c r="F28" s="74" t="s">
        <v>91</v>
      </c>
      <c r="G28" s="57">
        <f>Workings!E20</f>
        <v>967</v>
      </c>
      <c r="H28" s="81"/>
    </row>
    <row r="29" spans="1:12" x14ac:dyDescent="0.3">
      <c r="A29" s="1">
        <v>2602</v>
      </c>
      <c r="B29" s="71" t="s">
        <v>9</v>
      </c>
      <c r="C29" s="1">
        <v>2602</v>
      </c>
      <c r="D29" s="78">
        <f>SUM(C24:C29)</f>
        <v>9463.59</v>
      </c>
      <c r="E29" s="4">
        <v>20355</v>
      </c>
      <c r="F29" s="74" t="s">
        <v>80</v>
      </c>
      <c r="G29" s="76">
        <f>Workings!E9</f>
        <v>21240</v>
      </c>
      <c r="H29" s="81"/>
      <c r="L29" s="11">
        <f>+H39-1202767.23</f>
        <v>0</v>
      </c>
    </row>
    <row r="30" spans="1:12" x14ac:dyDescent="0.3">
      <c r="A30" s="1"/>
      <c r="B30" s="71"/>
      <c r="C30" s="1"/>
      <c r="D30" s="78"/>
      <c r="E30" s="4">
        <v>5841</v>
      </c>
      <c r="F30" s="74" t="s">
        <v>83</v>
      </c>
      <c r="G30" s="76">
        <f>Workings!E15</f>
        <v>5841</v>
      </c>
      <c r="H30" s="81"/>
    </row>
    <row r="31" spans="1:12" x14ac:dyDescent="0.3">
      <c r="A31" s="1">
        <v>73203</v>
      </c>
      <c r="B31" s="156" t="s">
        <v>105</v>
      </c>
      <c r="C31" s="1"/>
      <c r="D31" s="78">
        <f>'Sch IV - Mem. Adv'!D6</f>
        <v>40487</v>
      </c>
      <c r="E31" s="4">
        <v>3894</v>
      </c>
      <c r="F31" s="74" t="s">
        <v>82</v>
      </c>
      <c r="G31" s="76">
        <v>7788</v>
      </c>
      <c r="H31" s="81"/>
    </row>
    <row r="32" spans="1:12" x14ac:dyDescent="0.3">
      <c r="A32" s="1"/>
      <c r="B32" s="82"/>
      <c r="C32" s="1"/>
      <c r="D32" s="78"/>
      <c r="E32" s="4">
        <v>6954</v>
      </c>
      <c r="F32" s="74" t="s">
        <v>154</v>
      </c>
      <c r="G32" s="57">
        <f>Workings!E25</f>
        <v>6954</v>
      </c>
      <c r="H32" s="54">
        <f>SUM(G28:G32)</f>
        <v>42790</v>
      </c>
    </row>
    <row r="33" spans="1:10" x14ac:dyDescent="0.3">
      <c r="A33" s="1">
        <v>80300</v>
      </c>
      <c r="B33" s="82" t="s">
        <v>137</v>
      </c>
      <c r="C33" s="1"/>
      <c r="D33" s="78">
        <v>0</v>
      </c>
      <c r="E33" s="4"/>
      <c r="F33" s="74"/>
      <c r="G33" s="57"/>
      <c r="H33" s="54"/>
    </row>
    <row r="34" spans="1:10" x14ac:dyDescent="0.3">
      <c r="A34" s="1"/>
      <c r="B34" s="82"/>
      <c r="C34" s="1"/>
      <c r="D34" s="78"/>
      <c r="E34" s="4"/>
      <c r="F34" s="74"/>
      <c r="G34" s="57"/>
      <c r="H34" s="54"/>
    </row>
    <row r="35" spans="1:10" x14ac:dyDescent="0.3">
      <c r="A35" s="1"/>
      <c r="B35" s="156" t="s">
        <v>38</v>
      </c>
      <c r="C35" s="1"/>
      <c r="D35" s="20"/>
      <c r="E35" s="4"/>
      <c r="F35" s="74"/>
      <c r="G35" s="57"/>
      <c r="H35" s="54"/>
    </row>
    <row r="36" spans="1:10" x14ac:dyDescent="0.3">
      <c r="A36" s="1">
        <v>227732.49999999997</v>
      </c>
      <c r="B36" s="71" t="s">
        <v>37</v>
      </c>
      <c r="C36" s="1">
        <f>SUM(A36:A38)</f>
        <v>203121.02999999988</v>
      </c>
      <c r="D36" s="20"/>
      <c r="E36" s="4"/>
      <c r="F36" s="74"/>
      <c r="G36" s="57"/>
      <c r="H36" s="54"/>
    </row>
    <row r="37" spans="1:10" x14ac:dyDescent="0.3">
      <c r="A37" s="76">
        <v>1160</v>
      </c>
      <c r="B37" s="218" t="s">
        <v>180</v>
      </c>
      <c r="C37" s="1"/>
      <c r="D37" s="20"/>
      <c r="E37" s="4"/>
      <c r="F37" s="74"/>
      <c r="G37" s="57"/>
      <c r="H37" s="54"/>
    </row>
    <row r="38" spans="1:10" x14ac:dyDescent="0.3">
      <c r="A38" s="76">
        <f>-IE!E38</f>
        <v>-25771.470000000088</v>
      </c>
      <c r="B38" s="83" t="s">
        <v>200</v>
      </c>
      <c r="C38" s="2">
        <f>IE!D39</f>
        <v>53507.609999999986</v>
      </c>
      <c r="D38" s="84">
        <f>C36+C37+C38</f>
        <v>256628.63999999987</v>
      </c>
      <c r="E38" s="4"/>
      <c r="F38" s="74"/>
      <c r="G38" s="85"/>
      <c r="H38" s="86"/>
      <c r="I38" s="11"/>
      <c r="J38" s="11"/>
    </row>
    <row r="39" spans="1:10" ht="15" thickBot="1" x14ac:dyDescent="0.35">
      <c r="A39" s="157">
        <f>SUM(A11:A38)</f>
        <v>1209457.0299999998</v>
      </c>
      <c r="B39" s="238" t="s">
        <v>23</v>
      </c>
      <c r="C39" s="239"/>
      <c r="D39" s="25">
        <f>SUM(D10:D38)</f>
        <v>1202767.2299999997</v>
      </c>
      <c r="E39" s="88">
        <f>SUM(E7:E38)</f>
        <v>1209457.03</v>
      </c>
      <c r="F39" s="238" t="s">
        <v>23</v>
      </c>
      <c r="G39" s="240"/>
      <c r="H39" s="157">
        <f>SUM(H8:H38)</f>
        <v>1202767.23</v>
      </c>
      <c r="I39" s="11">
        <f>A39-E39</f>
        <v>0</v>
      </c>
      <c r="J39" s="11">
        <f>D39-H39</f>
        <v>0</v>
      </c>
    </row>
    <row r="40" spans="1:10" s="137" customFormat="1" ht="15" customHeight="1" thickTop="1" x14ac:dyDescent="0.3">
      <c r="A40" s="133"/>
      <c r="B40" s="134"/>
      <c r="C40" s="135"/>
      <c r="D40" s="89"/>
      <c r="E40" s="135"/>
      <c r="F40" s="134"/>
      <c r="G40" s="135"/>
      <c r="H40" s="136"/>
    </row>
    <row r="41" spans="1:10" s="137" customFormat="1" ht="15" customHeight="1" x14ac:dyDescent="0.3">
      <c r="A41" s="138" t="s">
        <v>24</v>
      </c>
      <c r="B41" s="134"/>
      <c r="C41" s="134"/>
      <c r="D41" s="89"/>
      <c r="E41" s="135"/>
      <c r="F41" s="134"/>
      <c r="G41" s="135"/>
      <c r="H41" s="136"/>
      <c r="I41" s="137">
        <f>A39-E39</f>
        <v>0</v>
      </c>
    </row>
    <row r="42" spans="1:10" s="134" customFormat="1" ht="15" customHeight="1" x14ac:dyDescent="0.3">
      <c r="A42" s="77"/>
      <c r="D42" s="139"/>
      <c r="E42" s="234" t="s">
        <v>268</v>
      </c>
      <c r="F42" s="234"/>
      <c r="G42" s="234"/>
      <c r="H42" s="235"/>
    </row>
    <row r="43" spans="1:10" s="134" customFormat="1" ht="15" customHeight="1" x14ac:dyDescent="0.3">
      <c r="A43" s="141"/>
      <c r="D43" s="139"/>
      <c r="E43" s="140"/>
      <c r="F43" s="142"/>
      <c r="G43" s="140"/>
      <c r="H43" s="143"/>
      <c r="I43" s="144"/>
      <c r="J43" s="144"/>
    </row>
    <row r="44" spans="1:10" s="134" customFormat="1" ht="15" customHeight="1" x14ac:dyDescent="0.3">
      <c r="A44" s="77"/>
      <c r="D44" s="139"/>
      <c r="E44" s="140"/>
      <c r="F44" s="142"/>
      <c r="G44" s="140"/>
      <c r="H44" s="143"/>
      <c r="I44" s="144">
        <f>A39-E39</f>
        <v>0</v>
      </c>
      <c r="J44" s="144">
        <f>D39-H39</f>
        <v>0</v>
      </c>
    </row>
    <row r="45" spans="1:10" s="134" customFormat="1" ht="15" customHeight="1" x14ac:dyDescent="0.3">
      <c r="A45" s="77"/>
      <c r="D45" s="139"/>
      <c r="E45" s="140"/>
      <c r="F45" s="142"/>
      <c r="G45" s="140"/>
      <c r="H45" s="143"/>
    </row>
    <row r="46" spans="1:10" s="134" customFormat="1" ht="15" customHeight="1" x14ac:dyDescent="0.3">
      <c r="A46" s="145" t="s">
        <v>264</v>
      </c>
      <c r="B46" s="158"/>
      <c r="C46" s="159"/>
      <c r="D46" s="139"/>
      <c r="E46" s="140"/>
      <c r="F46" s="142"/>
      <c r="G46" s="140"/>
      <c r="H46" s="143"/>
    </row>
    <row r="47" spans="1:10" s="134" customFormat="1" ht="15" customHeight="1" x14ac:dyDescent="0.3">
      <c r="A47" s="146" t="s">
        <v>265</v>
      </c>
      <c r="B47" s="158"/>
      <c r="C47" s="159"/>
      <c r="D47" s="139"/>
      <c r="E47" s="236" t="s">
        <v>266</v>
      </c>
      <c r="F47" s="236"/>
      <c r="G47" s="236"/>
      <c r="H47" s="237"/>
      <c r="I47" s="142"/>
      <c r="J47" s="142"/>
    </row>
    <row r="48" spans="1:10" s="142" customFormat="1" ht="15" customHeight="1" x14ac:dyDescent="0.3">
      <c r="A48" s="146" t="s">
        <v>267</v>
      </c>
      <c r="B48" s="158"/>
      <c r="C48" s="159"/>
      <c r="D48" s="139"/>
      <c r="E48" s="140"/>
      <c r="H48" s="147"/>
    </row>
    <row r="49" spans="1:9" s="142" customFormat="1" ht="15" customHeight="1" x14ac:dyDescent="0.3">
      <c r="A49" s="232">
        <v>46215</v>
      </c>
      <c r="B49" s="233"/>
      <c r="C49" s="233"/>
      <c r="D49" s="148"/>
      <c r="E49" s="149"/>
      <c r="F49" s="150"/>
      <c r="G49" s="149"/>
      <c r="H49" s="151"/>
    </row>
    <row r="50" spans="1:9" x14ac:dyDescent="0.3">
      <c r="I50" s="92"/>
    </row>
    <row r="51" spans="1:9" x14ac:dyDescent="0.3">
      <c r="I51" s="11"/>
    </row>
    <row r="52" spans="1:9" x14ac:dyDescent="0.3">
      <c r="I52" s="11"/>
    </row>
  </sheetData>
  <mergeCells count="10">
    <mergeCell ref="A49:C49"/>
    <mergeCell ref="E42:H42"/>
    <mergeCell ref="E47:H47"/>
    <mergeCell ref="B39:C39"/>
    <mergeCell ref="F39:G39"/>
    <mergeCell ref="A1:H1"/>
    <mergeCell ref="A2:H2"/>
    <mergeCell ref="A3:H3"/>
    <mergeCell ref="B5:C6"/>
    <mergeCell ref="F5:G6"/>
  </mergeCells>
  <printOptions horizontalCentered="1"/>
  <pageMargins left="0.19685039370078741" right="0.19685039370078741" top="0.59055118110236227" bottom="0.39370078740157483" header="0.31496062992125984" footer="0.19685039370078741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view="pageBreakPreview" topLeftCell="A23" zoomScaleNormal="100" zoomScaleSheetLayoutView="100" workbookViewId="0">
      <selection activeCell="D45" sqref="D45"/>
    </sheetView>
  </sheetViews>
  <sheetFormatPr defaultColWidth="9.109375" defaultRowHeight="14.4" x14ac:dyDescent="0.3"/>
  <cols>
    <col min="1" max="1" width="14.6640625" style="71" customWidth="1"/>
    <col min="2" max="2" width="36.44140625" style="71" customWidth="1"/>
    <col min="3" max="3" width="14.6640625" style="6" customWidth="1"/>
    <col min="4" max="4" width="14.6640625" style="82" customWidth="1"/>
    <col min="5" max="5" width="14.6640625" style="71" customWidth="1"/>
    <col min="6" max="6" width="34.109375" style="71" bestFit="1" customWidth="1"/>
    <col min="7" max="7" width="14.6640625" style="6" customWidth="1"/>
    <col min="8" max="8" width="14.6640625" style="82" customWidth="1"/>
    <col min="9" max="9" width="13.88671875" style="71" bestFit="1" customWidth="1"/>
    <col min="10" max="16384" width="9.109375" style="71"/>
  </cols>
  <sheetData>
    <row r="1" spans="1:9" ht="18" x14ac:dyDescent="0.35">
      <c r="A1" s="219" t="s">
        <v>39</v>
      </c>
      <c r="B1" s="220"/>
      <c r="C1" s="220"/>
      <c r="D1" s="220"/>
      <c r="E1" s="220"/>
      <c r="F1" s="220"/>
      <c r="G1" s="220"/>
      <c r="H1" s="221"/>
    </row>
    <row r="2" spans="1:9" x14ac:dyDescent="0.3">
      <c r="A2" s="222" t="s">
        <v>161</v>
      </c>
      <c r="B2" s="223"/>
      <c r="C2" s="223"/>
      <c r="D2" s="223"/>
      <c r="E2" s="223"/>
      <c r="F2" s="223"/>
      <c r="G2" s="223"/>
      <c r="H2" s="224"/>
    </row>
    <row r="3" spans="1:9" ht="18" x14ac:dyDescent="0.35">
      <c r="A3" s="241" t="s">
        <v>182</v>
      </c>
      <c r="B3" s="242"/>
      <c r="C3" s="242"/>
      <c r="D3" s="242"/>
      <c r="E3" s="242"/>
      <c r="F3" s="242"/>
      <c r="G3" s="242"/>
      <c r="H3" s="243"/>
    </row>
    <row r="4" spans="1:9" x14ac:dyDescent="0.3">
      <c r="A4" s="160"/>
      <c r="B4" s="161"/>
      <c r="C4" s="161"/>
      <c r="D4" s="161"/>
      <c r="E4" s="161"/>
      <c r="F4" s="161"/>
      <c r="G4" s="161"/>
      <c r="H4" s="162" t="s">
        <v>162</v>
      </c>
    </row>
    <row r="5" spans="1:9" s="94" customFormat="1" x14ac:dyDescent="0.3">
      <c r="A5" s="93" t="s">
        <v>0</v>
      </c>
      <c r="B5" s="244" t="s">
        <v>1</v>
      </c>
      <c r="C5" s="245"/>
      <c r="D5" s="214" t="s">
        <v>2</v>
      </c>
      <c r="E5" s="208" t="s">
        <v>0</v>
      </c>
      <c r="F5" s="244" t="s">
        <v>3</v>
      </c>
      <c r="G5" s="245"/>
      <c r="H5" s="93" t="s">
        <v>2</v>
      </c>
    </row>
    <row r="6" spans="1:9" s="94" customFormat="1" ht="15" thickBot="1" x14ac:dyDescent="0.35">
      <c r="A6" s="163" t="s">
        <v>163</v>
      </c>
      <c r="B6" s="246"/>
      <c r="C6" s="247"/>
      <c r="D6" s="215" t="s">
        <v>183</v>
      </c>
      <c r="E6" s="209" t="str">
        <f>A6</f>
        <v>2024-25</v>
      </c>
      <c r="F6" s="246"/>
      <c r="G6" s="247"/>
      <c r="H6" s="163" t="str">
        <f>D6</f>
        <v>2025-26</v>
      </c>
    </row>
    <row r="7" spans="1:9" ht="15" thickTop="1" x14ac:dyDescent="0.3">
      <c r="A7" s="1"/>
      <c r="B7" s="82"/>
      <c r="C7" s="1"/>
      <c r="D7" s="20"/>
      <c r="E7" s="210"/>
      <c r="F7" s="156" t="s">
        <v>4</v>
      </c>
      <c r="G7" s="1"/>
      <c r="H7" s="50"/>
    </row>
    <row r="8" spans="1:9" x14ac:dyDescent="0.3">
      <c r="A8" s="95">
        <v>154710</v>
      </c>
      <c r="B8" s="82" t="s">
        <v>5</v>
      </c>
      <c r="C8" s="1"/>
      <c r="D8" s="20">
        <v>214284</v>
      </c>
      <c r="E8" s="211">
        <v>0</v>
      </c>
      <c r="F8" s="71" t="s">
        <v>211</v>
      </c>
      <c r="G8" s="1">
        <v>45024</v>
      </c>
      <c r="H8" s="50"/>
      <c r="I8" s="96"/>
    </row>
    <row r="9" spans="1:9" x14ac:dyDescent="0.3">
      <c r="A9" s="53"/>
      <c r="C9" s="1"/>
      <c r="D9" s="20"/>
      <c r="E9" s="211">
        <v>0</v>
      </c>
      <c r="F9" s="71" t="s">
        <v>9</v>
      </c>
      <c r="G9" s="1">
        <v>35952</v>
      </c>
      <c r="H9" s="50"/>
      <c r="I9" s="97"/>
    </row>
    <row r="10" spans="1:9" x14ac:dyDescent="0.3">
      <c r="A10" s="53">
        <v>36258</v>
      </c>
      <c r="B10" s="82" t="s">
        <v>7</v>
      </c>
      <c r="C10" s="1"/>
      <c r="D10" s="20">
        <v>35981</v>
      </c>
      <c r="E10" s="211">
        <v>150384</v>
      </c>
      <c r="F10" s="71" t="s">
        <v>5</v>
      </c>
      <c r="G10" s="1">
        <f>193827+14481</f>
        <v>208308</v>
      </c>
      <c r="H10" s="50"/>
      <c r="I10" s="97"/>
    </row>
    <row r="11" spans="1:9" x14ac:dyDescent="0.3">
      <c r="A11" s="53"/>
      <c r="C11" s="1"/>
      <c r="D11" s="20"/>
      <c r="E11" s="211">
        <v>4368</v>
      </c>
      <c r="F11" s="71" t="s">
        <v>45</v>
      </c>
      <c r="G11" s="1">
        <f>5628+420</f>
        <v>6048</v>
      </c>
      <c r="H11" s="50"/>
      <c r="I11" s="97"/>
    </row>
    <row r="12" spans="1:9" x14ac:dyDescent="0.3">
      <c r="A12" s="53">
        <v>23593</v>
      </c>
      <c r="B12" s="82" t="s">
        <v>40</v>
      </c>
      <c r="C12" s="1"/>
      <c r="D12" s="216">
        <v>23720</v>
      </c>
      <c r="E12" s="211">
        <v>423360</v>
      </c>
      <c r="F12" s="71" t="s">
        <v>6</v>
      </c>
      <c r="G12" s="1">
        <v>421344</v>
      </c>
      <c r="H12" s="50"/>
      <c r="I12" s="97"/>
    </row>
    <row r="13" spans="1:9" x14ac:dyDescent="0.3">
      <c r="A13" s="53"/>
      <c r="B13" s="82"/>
      <c r="C13" s="1"/>
      <c r="D13" s="20"/>
      <c r="E13" s="211">
        <v>4800</v>
      </c>
      <c r="F13" s="71" t="s">
        <v>8</v>
      </c>
      <c r="G13" s="1">
        <v>4600</v>
      </c>
      <c r="H13" s="50"/>
      <c r="I13" s="97"/>
    </row>
    <row r="14" spans="1:9" x14ac:dyDescent="0.3">
      <c r="A14" s="53">
        <v>44898.57</v>
      </c>
      <c r="B14" s="82" t="s">
        <v>11</v>
      </c>
      <c r="C14" s="1"/>
      <c r="D14" s="20">
        <v>45888.69</v>
      </c>
      <c r="E14" s="211">
        <v>36</v>
      </c>
      <c r="F14" s="71" t="s">
        <v>10</v>
      </c>
      <c r="G14" s="1">
        <v>99</v>
      </c>
      <c r="H14" s="50"/>
      <c r="I14" s="97"/>
    </row>
    <row r="15" spans="1:9" x14ac:dyDescent="0.3">
      <c r="A15" s="53"/>
      <c r="C15" s="1"/>
      <c r="D15" s="20"/>
      <c r="E15" s="211">
        <v>15000</v>
      </c>
      <c r="F15" s="71" t="s">
        <v>12</v>
      </c>
      <c r="G15" s="1">
        <v>16402</v>
      </c>
      <c r="H15" s="50"/>
      <c r="I15" s="97"/>
    </row>
    <row r="16" spans="1:9" x14ac:dyDescent="0.3">
      <c r="A16" s="53">
        <v>62545</v>
      </c>
      <c r="B16" s="82" t="s">
        <v>108</v>
      </c>
      <c r="C16" s="1"/>
      <c r="D16" s="216">
        <f>'Sch V -R&amp;M'!C13</f>
        <v>86152.2</v>
      </c>
      <c r="E16" s="211"/>
      <c r="F16" s="71" t="s">
        <v>184</v>
      </c>
      <c r="G16" s="1">
        <v>23940</v>
      </c>
      <c r="H16" s="50">
        <f>SUM(G8:G16)</f>
        <v>761717</v>
      </c>
      <c r="I16" s="97"/>
    </row>
    <row r="17" spans="1:10" x14ac:dyDescent="0.3">
      <c r="A17" s="53"/>
      <c r="C17" s="1"/>
      <c r="D17" s="216"/>
      <c r="E17" s="211"/>
      <c r="G17" s="1"/>
      <c r="H17" s="50"/>
      <c r="I17" s="97"/>
      <c r="J17" s="99"/>
    </row>
    <row r="18" spans="1:10" x14ac:dyDescent="0.3">
      <c r="A18" s="53"/>
      <c r="B18" s="82" t="s">
        <v>17</v>
      </c>
      <c r="C18" s="1"/>
      <c r="D18" s="216"/>
      <c r="E18" s="211"/>
      <c r="F18" s="156" t="s">
        <v>14</v>
      </c>
      <c r="G18" s="1"/>
      <c r="H18" s="50"/>
      <c r="I18" s="100"/>
      <c r="J18" s="99"/>
    </row>
    <row r="19" spans="1:10" x14ac:dyDescent="0.3">
      <c r="A19" s="53">
        <v>2000</v>
      </c>
      <c r="B19" s="71" t="s">
        <v>18</v>
      </c>
      <c r="C19" s="1">
        <v>2000</v>
      </c>
      <c r="D19" s="216"/>
      <c r="E19" s="52">
        <v>3927</v>
      </c>
      <c r="F19" s="71" t="s">
        <v>15</v>
      </c>
      <c r="G19" s="1">
        <v>5805</v>
      </c>
      <c r="H19" s="50"/>
      <c r="I19" s="100"/>
      <c r="J19" s="99"/>
    </row>
    <row r="20" spans="1:10" x14ac:dyDescent="0.3">
      <c r="A20" s="53">
        <v>25452</v>
      </c>
      <c r="B20" s="71" t="s">
        <v>41</v>
      </c>
      <c r="C20" s="1">
        <v>13026</v>
      </c>
      <c r="D20" s="216"/>
      <c r="E20" s="211">
        <v>65206</v>
      </c>
      <c r="F20" s="71" t="s">
        <v>16</v>
      </c>
      <c r="G20" s="1">
        <v>56590</v>
      </c>
      <c r="H20" s="50"/>
      <c r="I20" s="100"/>
      <c r="J20" s="99"/>
    </row>
    <row r="21" spans="1:10" x14ac:dyDescent="0.3">
      <c r="A21" s="53">
        <v>7514</v>
      </c>
      <c r="B21" s="71" t="s">
        <v>120</v>
      </c>
      <c r="C21" s="1">
        <v>0</v>
      </c>
      <c r="D21" s="216"/>
      <c r="E21" s="211">
        <v>-32</v>
      </c>
      <c r="F21" s="71" t="s">
        <v>123</v>
      </c>
      <c r="G21" s="1">
        <v>-532</v>
      </c>
      <c r="H21" s="50"/>
      <c r="I21" s="99"/>
      <c r="J21" s="99"/>
    </row>
    <row r="22" spans="1:10" x14ac:dyDescent="0.3">
      <c r="A22" s="53">
        <v>271071.5</v>
      </c>
      <c r="B22" s="71" t="s">
        <v>42</v>
      </c>
      <c r="C22" s="101">
        <v>289000</v>
      </c>
      <c r="D22" s="216"/>
      <c r="E22" s="211">
        <v>-23958</v>
      </c>
      <c r="F22" s="71" t="s">
        <v>124</v>
      </c>
      <c r="G22" s="1">
        <v>-9780</v>
      </c>
      <c r="H22" s="52"/>
      <c r="J22" s="99"/>
    </row>
    <row r="23" spans="1:10" x14ac:dyDescent="0.3">
      <c r="A23" s="53">
        <v>1652</v>
      </c>
      <c r="B23" s="71" t="s">
        <v>19</v>
      </c>
      <c r="C23" s="1">
        <v>826</v>
      </c>
      <c r="D23" s="216"/>
      <c r="E23" s="211">
        <v>0</v>
      </c>
      <c r="F23" s="71" t="s">
        <v>77</v>
      </c>
      <c r="G23" s="1">
        <v>0</v>
      </c>
      <c r="H23" s="50"/>
      <c r="I23" s="97"/>
      <c r="J23" s="99"/>
    </row>
    <row r="24" spans="1:10" x14ac:dyDescent="0.3">
      <c r="A24" s="53">
        <v>0</v>
      </c>
      <c r="B24" s="71" t="s">
        <v>187</v>
      </c>
      <c r="C24" s="1">
        <v>13810.5</v>
      </c>
      <c r="D24" s="216"/>
      <c r="E24" s="212">
        <v>180</v>
      </c>
      <c r="F24" s="71" t="s">
        <v>132</v>
      </c>
      <c r="G24" s="2">
        <v>0</v>
      </c>
      <c r="H24" s="50">
        <f>SUM(G19:G24)</f>
        <v>52083</v>
      </c>
      <c r="I24" s="97"/>
      <c r="J24" s="99"/>
    </row>
    <row r="25" spans="1:10" x14ac:dyDescent="0.3">
      <c r="A25" s="53">
        <v>5589</v>
      </c>
      <c r="B25" s="71" t="s">
        <v>44</v>
      </c>
      <c r="C25" s="1">
        <f>'Sch II - FA'!G13</f>
        <v>5346</v>
      </c>
      <c r="D25" s="216"/>
      <c r="E25" s="211"/>
      <c r="G25" s="1"/>
      <c r="H25" s="50"/>
      <c r="I25" s="97"/>
      <c r="J25" s="99"/>
    </row>
    <row r="26" spans="1:10" x14ac:dyDescent="0.3">
      <c r="A26" s="53">
        <v>18000</v>
      </c>
      <c r="B26" s="71" t="s">
        <v>21</v>
      </c>
      <c r="C26" s="1">
        <v>19800</v>
      </c>
      <c r="D26" s="216"/>
      <c r="E26" s="211"/>
      <c r="F26" s="82"/>
      <c r="G26" s="102"/>
      <c r="H26" s="50"/>
      <c r="I26" s="97"/>
      <c r="J26" s="99"/>
    </row>
    <row r="27" spans="1:10" x14ac:dyDescent="0.3">
      <c r="A27" s="53">
        <v>3000</v>
      </c>
      <c r="B27" s="71" t="s">
        <v>92</v>
      </c>
      <c r="C27" s="1">
        <f>3000-3000+1500</f>
        <v>1500</v>
      </c>
      <c r="D27" s="216"/>
      <c r="E27" s="211"/>
      <c r="F27" s="156" t="s">
        <v>20</v>
      </c>
      <c r="G27" s="1"/>
      <c r="H27" s="50"/>
      <c r="I27" s="97"/>
      <c r="J27" s="99"/>
    </row>
    <row r="28" spans="1:10" x14ac:dyDescent="0.3">
      <c r="A28" s="53">
        <v>0</v>
      </c>
      <c r="B28" s="71" t="s">
        <v>93</v>
      </c>
      <c r="C28" s="1">
        <v>0</v>
      </c>
      <c r="D28" s="216"/>
      <c r="E28" s="211">
        <v>0</v>
      </c>
      <c r="F28" s="71" t="s">
        <v>133</v>
      </c>
      <c r="G28" s="1">
        <v>400</v>
      </c>
      <c r="H28" s="50"/>
      <c r="I28" s="97"/>
      <c r="J28" s="99"/>
    </row>
    <row r="29" spans="1:10" x14ac:dyDescent="0.3">
      <c r="A29" s="53">
        <v>5460</v>
      </c>
      <c r="B29" s="71" t="s">
        <v>167</v>
      </c>
      <c r="C29" s="1">
        <v>500</v>
      </c>
      <c r="D29" s="216"/>
      <c r="E29" s="211">
        <v>0</v>
      </c>
      <c r="F29" s="71" t="s">
        <v>212</v>
      </c>
      <c r="G29" s="2">
        <v>826</v>
      </c>
      <c r="H29" s="50">
        <f>SUM(G28:G29)</f>
        <v>1226</v>
      </c>
      <c r="I29" s="97"/>
      <c r="J29" s="99"/>
    </row>
    <row r="30" spans="1:10" x14ac:dyDescent="0.3">
      <c r="A30" s="53">
        <v>35.4</v>
      </c>
      <c r="B30" s="71" t="s">
        <v>122</v>
      </c>
      <c r="C30" s="1">
        <v>0</v>
      </c>
      <c r="D30" s="216"/>
      <c r="E30" s="211"/>
      <c r="G30" s="1"/>
      <c r="H30" s="50"/>
      <c r="I30" s="97"/>
      <c r="J30" s="99"/>
    </row>
    <row r="31" spans="1:10" x14ac:dyDescent="0.3">
      <c r="A31" s="53">
        <v>1277</v>
      </c>
      <c r="B31" s="71" t="s">
        <v>22</v>
      </c>
      <c r="C31" s="1">
        <v>896</v>
      </c>
      <c r="D31" s="216"/>
      <c r="E31" s="211"/>
      <c r="G31" s="1"/>
      <c r="H31" s="50"/>
      <c r="I31" s="97"/>
      <c r="J31" s="99"/>
    </row>
    <row r="32" spans="1:10" x14ac:dyDescent="0.3">
      <c r="A32" s="53">
        <v>187</v>
      </c>
      <c r="B32" s="71" t="s">
        <v>143</v>
      </c>
      <c r="C32" s="1">
        <v>0</v>
      </c>
      <c r="D32" s="216"/>
      <c r="E32" s="211"/>
      <c r="F32" s="156"/>
      <c r="G32" s="1"/>
      <c r="H32" s="50"/>
      <c r="J32" s="99"/>
    </row>
    <row r="33" spans="1:10" x14ac:dyDescent="0.3">
      <c r="A33" s="53">
        <v>5800</v>
      </c>
      <c r="B33" s="71" t="s">
        <v>43</v>
      </c>
      <c r="C33" s="1">
        <f>5800+967-967</f>
        <v>5800</v>
      </c>
      <c r="D33" s="216"/>
      <c r="E33" s="211"/>
      <c r="G33" s="1"/>
      <c r="H33" s="50"/>
      <c r="J33" s="99"/>
    </row>
    <row r="34" spans="1:10" x14ac:dyDescent="0.3">
      <c r="A34" s="95">
        <v>0</v>
      </c>
      <c r="B34" s="71" t="s">
        <v>188</v>
      </c>
      <c r="C34" s="102">
        <v>146</v>
      </c>
      <c r="D34" s="216"/>
      <c r="E34" s="211"/>
      <c r="G34" s="2"/>
      <c r="H34" s="50"/>
      <c r="J34" s="99"/>
    </row>
    <row r="35" spans="1:10" x14ac:dyDescent="0.3">
      <c r="A35" s="95">
        <v>0</v>
      </c>
      <c r="B35" s="71" t="s">
        <v>189</v>
      </c>
      <c r="C35" s="102">
        <v>1100</v>
      </c>
      <c r="D35" s="216"/>
      <c r="E35" s="211"/>
      <c r="G35" s="1"/>
      <c r="H35" s="50"/>
      <c r="J35" s="99"/>
    </row>
    <row r="36" spans="1:10" x14ac:dyDescent="0.3">
      <c r="A36" s="95">
        <v>0</v>
      </c>
      <c r="B36" s="71" t="s">
        <v>190</v>
      </c>
      <c r="C36" s="103">
        <v>1742</v>
      </c>
      <c r="D36" s="216">
        <f>SUM(C19:C36)</f>
        <v>355492.5</v>
      </c>
      <c r="E36" s="211"/>
      <c r="G36" s="1"/>
      <c r="H36" s="50"/>
      <c r="J36" s="99"/>
    </row>
    <row r="37" spans="1:10" ht="8.1" customHeight="1" x14ac:dyDescent="0.3">
      <c r="A37" s="95"/>
      <c r="C37" s="1"/>
      <c r="D37" s="216"/>
      <c r="E37" s="211"/>
      <c r="G37" s="1"/>
      <c r="H37" s="50"/>
      <c r="J37" s="99"/>
    </row>
    <row r="38" spans="1:10" x14ac:dyDescent="0.3">
      <c r="A38" s="95"/>
      <c r="C38" s="102"/>
      <c r="D38" s="216"/>
      <c r="E38" s="211">
        <f>A40-SUM(E10:E35)</f>
        <v>25771.470000000088</v>
      </c>
      <c r="F38" s="82" t="s">
        <v>148</v>
      </c>
      <c r="G38" s="1"/>
      <c r="H38" s="50"/>
      <c r="J38" s="99"/>
    </row>
    <row r="39" spans="1:10" x14ac:dyDescent="0.3">
      <c r="A39" s="104"/>
      <c r="B39" s="82" t="s">
        <v>191</v>
      </c>
      <c r="C39" s="103"/>
      <c r="D39" s="216">
        <f>H40-SUM(D7:D36)</f>
        <v>53507.609999999986</v>
      </c>
      <c r="E39" s="212"/>
      <c r="G39" s="2"/>
      <c r="H39" s="51"/>
      <c r="J39" s="99"/>
    </row>
    <row r="40" spans="1:10" ht="15" thickBot="1" x14ac:dyDescent="0.35">
      <c r="A40" s="164">
        <f>SUM(A7:A36)</f>
        <v>669042.47000000009</v>
      </c>
      <c r="B40" s="248" t="s">
        <v>23</v>
      </c>
      <c r="C40" s="249"/>
      <c r="D40" s="217">
        <f>SUM(D7:D39)</f>
        <v>815026</v>
      </c>
      <c r="E40" s="213">
        <f>SUM(E7:E39)</f>
        <v>669042.47000000009</v>
      </c>
      <c r="F40" s="248" t="s">
        <v>23</v>
      </c>
      <c r="G40" s="249"/>
      <c r="H40" s="24">
        <f>SUM(H10:H39)</f>
        <v>815026</v>
      </c>
      <c r="J40" s="105">
        <f>A40-E40</f>
        <v>0</v>
      </c>
    </row>
    <row r="41" spans="1:10" s="137" customFormat="1" ht="15" customHeight="1" thickTop="1" x14ac:dyDescent="0.3">
      <c r="A41" s="133"/>
      <c r="B41" s="134"/>
      <c r="C41" s="135"/>
      <c r="D41" s="89"/>
      <c r="E41" s="135"/>
      <c r="F41" s="134"/>
      <c r="G41" s="135"/>
      <c r="H41" s="136"/>
    </row>
    <row r="42" spans="1:10" s="137" customFormat="1" ht="15" customHeight="1" x14ac:dyDescent="0.3">
      <c r="A42" s="138" t="s">
        <v>24</v>
      </c>
      <c r="B42" s="134"/>
      <c r="C42" s="134"/>
      <c r="D42" s="89"/>
      <c r="E42" s="135"/>
      <c r="F42" s="134"/>
      <c r="G42" s="135"/>
      <c r="H42" s="136"/>
      <c r="I42" s="137">
        <f>A40-E40</f>
        <v>0</v>
      </c>
    </row>
    <row r="43" spans="1:10" s="134" customFormat="1" ht="15" customHeight="1" x14ac:dyDescent="0.3">
      <c r="A43" s="77"/>
      <c r="D43" s="139"/>
      <c r="E43" s="234" t="s">
        <v>268</v>
      </c>
      <c r="F43" s="234"/>
      <c r="G43" s="234"/>
      <c r="H43" s="235"/>
    </row>
    <row r="44" spans="1:10" s="134" customFormat="1" ht="15" customHeight="1" x14ac:dyDescent="0.3">
      <c r="A44" s="141"/>
      <c r="D44" s="139"/>
      <c r="E44" s="140"/>
      <c r="F44" s="142"/>
      <c r="G44" s="140"/>
      <c r="H44" s="143"/>
      <c r="I44" s="144"/>
      <c r="J44" s="144"/>
    </row>
    <row r="45" spans="1:10" s="134" customFormat="1" ht="15" customHeight="1" x14ac:dyDescent="0.3">
      <c r="A45" s="77"/>
      <c r="D45" s="139"/>
      <c r="E45" s="140"/>
      <c r="F45" s="142"/>
      <c r="G45" s="140"/>
      <c r="H45" s="143"/>
      <c r="I45" s="144">
        <f>A40-E40</f>
        <v>0</v>
      </c>
      <c r="J45" s="144">
        <f>D40-H40</f>
        <v>0</v>
      </c>
    </row>
    <row r="46" spans="1:10" s="134" customFormat="1" ht="15" customHeight="1" x14ac:dyDescent="0.3">
      <c r="A46" s="77"/>
      <c r="D46" s="139"/>
      <c r="E46" s="140"/>
      <c r="F46" s="142"/>
      <c r="G46" s="140"/>
      <c r="H46" s="143"/>
    </row>
    <row r="47" spans="1:10" s="134" customFormat="1" ht="15" customHeight="1" x14ac:dyDescent="0.3">
      <c r="A47" s="145" t="s">
        <v>264</v>
      </c>
      <c r="B47" s="158"/>
      <c r="C47" s="159"/>
      <c r="D47" s="139"/>
      <c r="E47" s="140"/>
      <c r="F47" s="142"/>
      <c r="G47" s="140"/>
      <c r="H47" s="143"/>
    </row>
    <row r="48" spans="1:10" s="134" customFormat="1" ht="15" customHeight="1" x14ac:dyDescent="0.3">
      <c r="A48" s="146" t="s">
        <v>265</v>
      </c>
      <c r="B48" s="158"/>
      <c r="C48" s="159"/>
      <c r="D48" s="139"/>
      <c r="E48" s="236" t="s">
        <v>266</v>
      </c>
      <c r="F48" s="236"/>
      <c r="G48" s="236"/>
      <c r="H48" s="237"/>
      <c r="I48" s="142"/>
      <c r="J48" s="142"/>
    </row>
    <row r="49" spans="1:8" s="142" customFormat="1" ht="15" customHeight="1" x14ac:dyDescent="0.3">
      <c r="A49" s="146" t="s">
        <v>267</v>
      </c>
      <c r="B49" s="158"/>
      <c r="C49" s="159"/>
      <c r="D49" s="139"/>
      <c r="E49" s="140"/>
      <c r="H49" s="147"/>
    </row>
    <row r="50" spans="1:8" s="142" customFormat="1" ht="15" customHeight="1" x14ac:dyDescent="0.3">
      <c r="A50" s="232">
        <v>46215</v>
      </c>
      <c r="B50" s="233"/>
      <c r="C50" s="233"/>
      <c r="D50" s="148"/>
      <c r="E50" s="149"/>
      <c r="F50" s="150"/>
      <c r="G50" s="149"/>
      <c r="H50" s="151"/>
    </row>
    <row r="51" spans="1:8" x14ac:dyDescent="0.3">
      <c r="A51" s="5"/>
      <c r="H51" s="107"/>
    </row>
    <row r="52" spans="1:8" x14ac:dyDescent="0.3">
      <c r="D52" s="7"/>
      <c r="H52" s="106"/>
    </row>
    <row r="53" spans="1:8" x14ac:dyDescent="0.3">
      <c r="D53" s="98"/>
    </row>
    <row r="55" spans="1:8" x14ac:dyDescent="0.3">
      <c r="D55" s="98"/>
    </row>
    <row r="56" spans="1:8" x14ac:dyDescent="0.3">
      <c r="D56" s="98"/>
    </row>
    <row r="57" spans="1:8" ht="16.2" x14ac:dyDescent="0.45">
      <c r="D57" s="108"/>
    </row>
    <row r="58" spans="1:8" x14ac:dyDescent="0.3">
      <c r="D58" s="98"/>
    </row>
    <row r="59" spans="1:8" x14ac:dyDescent="0.3">
      <c r="D59" s="98"/>
    </row>
    <row r="60" spans="1:8" x14ac:dyDescent="0.3">
      <c r="D60" s="98"/>
    </row>
    <row r="61" spans="1:8" x14ac:dyDescent="0.3">
      <c r="F61" s="96"/>
    </row>
    <row r="68" spans="1:3" x14ac:dyDescent="0.3">
      <c r="B68" s="7"/>
      <c r="C68" s="7"/>
    </row>
    <row r="69" spans="1:3" x14ac:dyDescent="0.3">
      <c r="A69" s="109"/>
      <c r="B69" s="110"/>
      <c r="C69" s="7"/>
    </row>
    <row r="70" spans="1:3" x14ac:dyDescent="0.3">
      <c r="A70" s="109"/>
      <c r="B70" s="110"/>
      <c r="C70" s="7"/>
    </row>
    <row r="71" spans="1:3" x14ac:dyDescent="0.3">
      <c r="B71" s="82"/>
      <c r="C71" s="7"/>
    </row>
    <row r="72" spans="1:3" x14ac:dyDescent="0.3">
      <c r="B72" s="82"/>
      <c r="C72" s="7"/>
    </row>
    <row r="73" spans="1:3" x14ac:dyDescent="0.3">
      <c r="B73" s="82"/>
      <c r="C73" s="7"/>
    </row>
    <row r="74" spans="1:3" x14ac:dyDescent="0.3">
      <c r="B74" s="82"/>
      <c r="C74" s="7"/>
    </row>
    <row r="75" spans="1:3" x14ac:dyDescent="0.3">
      <c r="B75" s="82"/>
      <c r="C75" s="7"/>
    </row>
    <row r="76" spans="1:3" x14ac:dyDescent="0.3">
      <c r="B76" s="82"/>
      <c r="C76" s="7"/>
    </row>
  </sheetData>
  <mergeCells count="10">
    <mergeCell ref="E43:H43"/>
    <mergeCell ref="E48:H48"/>
    <mergeCell ref="A50:C50"/>
    <mergeCell ref="A1:H1"/>
    <mergeCell ref="A2:H2"/>
    <mergeCell ref="A3:H3"/>
    <mergeCell ref="B5:C6"/>
    <mergeCell ref="F5:G6"/>
    <mergeCell ref="B40:C40"/>
    <mergeCell ref="F40:G40"/>
  </mergeCells>
  <printOptions horizontalCentered="1"/>
  <pageMargins left="0.19685039370078741" right="0.19685039370078741" top="0.59055118110236227" bottom="0.19685039370078741" header="0.19685039370078741" footer="0.19685039370078741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view="pageBreakPreview" zoomScaleNormal="100" zoomScaleSheetLayoutView="100" workbookViewId="0">
      <pane xSplit="1" ySplit="4" topLeftCell="B5" activePane="bottomRight" state="frozen"/>
      <selection activeCell="A2" sqref="A2:H2"/>
      <selection pane="topRight" activeCell="A2" sqref="A2:H2"/>
      <selection pane="bottomLeft" activeCell="A2" sqref="A2:H2"/>
      <selection pane="bottomRight" activeCell="A12" sqref="A12"/>
    </sheetView>
  </sheetViews>
  <sheetFormatPr defaultColWidth="11" defaultRowHeight="14.4" x14ac:dyDescent="0.3"/>
  <cols>
    <col min="1" max="1" width="14.33203125" style="42" bestFit="1" customWidth="1"/>
    <col min="2" max="2" width="11.33203125" style="167" bestFit="1" customWidth="1"/>
    <col min="3" max="3" width="12.5546875" style="42" bestFit="1" customWidth="1"/>
    <col min="4" max="6" width="11.5546875" style="42" customWidth="1"/>
    <col min="7" max="7" width="12.5546875" style="42" bestFit="1" customWidth="1"/>
    <col min="8" max="8" width="11" style="167" bestFit="1" customWidth="1"/>
    <col min="9" max="9" width="12.5546875" style="167" bestFit="1" customWidth="1"/>
    <col min="10" max="10" width="8" style="167" bestFit="1" customWidth="1"/>
    <col min="11" max="11" width="7.109375" style="167" bestFit="1" customWidth="1"/>
    <col min="12" max="13" width="11" style="42"/>
    <col min="14" max="14" width="11.5546875" style="42" bestFit="1" customWidth="1"/>
    <col min="15" max="16384" width="11" style="42"/>
  </cols>
  <sheetData>
    <row r="1" spans="1:14" ht="18" x14ac:dyDescent="0.3">
      <c r="A1" s="250" t="s">
        <v>39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</row>
    <row r="2" spans="1:14" ht="15.6" x14ac:dyDescent="0.3">
      <c r="A2" s="251" t="s">
        <v>161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</row>
    <row r="3" spans="1:14" x14ac:dyDescent="0.3">
      <c r="A3" s="165"/>
      <c r="B3" s="165"/>
      <c r="C3" s="165"/>
      <c r="D3" s="165"/>
      <c r="E3" s="165"/>
      <c r="F3" s="165"/>
      <c r="G3" s="165"/>
      <c r="H3" s="165"/>
      <c r="I3" s="165"/>
      <c r="J3" s="254" t="s">
        <v>159</v>
      </c>
      <c r="K3" s="254"/>
    </row>
    <row r="4" spans="1:14" ht="29.4" thickBot="1" x14ac:dyDescent="0.35">
      <c r="A4" s="111" t="s">
        <v>158</v>
      </c>
      <c r="B4" s="111" t="s">
        <v>54</v>
      </c>
      <c r="C4" s="111" t="s">
        <v>64</v>
      </c>
      <c r="D4" s="111" t="s">
        <v>118</v>
      </c>
      <c r="E4" s="111" t="s">
        <v>170</v>
      </c>
      <c r="F4" s="111" t="s">
        <v>210</v>
      </c>
      <c r="G4" s="111" t="s">
        <v>23</v>
      </c>
      <c r="H4" s="111" t="s">
        <v>65</v>
      </c>
      <c r="I4" s="111" t="s">
        <v>66</v>
      </c>
      <c r="J4" s="111" t="s">
        <v>67</v>
      </c>
      <c r="K4" s="111" t="s">
        <v>68</v>
      </c>
    </row>
    <row r="5" spans="1:14" ht="15" thickTop="1" x14ac:dyDescent="0.3">
      <c r="A5" s="166" t="s">
        <v>13</v>
      </c>
      <c r="K5" s="168"/>
    </row>
    <row r="6" spans="1:14" x14ac:dyDescent="0.3">
      <c r="A6" s="169">
        <v>15320</v>
      </c>
      <c r="B6" s="170" t="s">
        <v>119</v>
      </c>
      <c r="C6" s="171">
        <v>9756</v>
      </c>
      <c r="D6" s="171">
        <v>0</v>
      </c>
      <c r="E6" s="171">
        <v>0</v>
      </c>
      <c r="F6" s="171">
        <v>18</v>
      </c>
      <c r="G6" s="171">
        <f>SUM(C6+D6+E6+F6)</f>
        <v>9774</v>
      </c>
      <c r="H6" s="170" t="s">
        <v>204</v>
      </c>
      <c r="I6" s="172">
        <v>11154</v>
      </c>
      <c r="J6" s="170">
        <v>6.75</v>
      </c>
      <c r="K6" s="170" t="s">
        <v>69</v>
      </c>
    </row>
    <row r="7" spans="1:14" x14ac:dyDescent="0.3">
      <c r="A7" s="169" t="s">
        <v>205</v>
      </c>
      <c r="B7" s="173" t="s">
        <v>169</v>
      </c>
      <c r="C7" s="171">
        <v>43992</v>
      </c>
      <c r="D7" s="171">
        <v>0</v>
      </c>
      <c r="E7" s="171">
        <v>0</v>
      </c>
      <c r="F7" s="171">
        <v>103</v>
      </c>
      <c r="G7" s="171">
        <f>SUM(C7+D7+E7+F7)</f>
        <v>44095</v>
      </c>
      <c r="H7" s="174" t="s">
        <v>213</v>
      </c>
      <c r="I7" s="174">
        <v>44004</v>
      </c>
      <c r="J7" s="175">
        <v>6.1</v>
      </c>
      <c r="K7" s="170" t="s">
        <v>134</v>
      </c>
    </row>
    <row r="8" spans="1:14" x14ac:dyDescent="0.3">
      <c r="A8" s="176">
        <v>15752</v>
      </c>
      <c r="B8" s="177" t="s">
        <v>171</v>
      </c>
      <c r="C8" s="178">
        <v>6844</v>
      </c>
      <c r="D8" s="178">
        <v>0</v>
      </c>
      <c r="E8" s="178">
        <v>17</v>
      </c>
      <c r="F8" s="178">
        <v>542</v>
      </c>
      <c r="G8" s="171">
        <f>SUM(C8+D8+E8+F8)</f>
        <v>7403</v>
      </c>
      <c r="H8" s="179" t="s">
        <v>172</v>
      </c>
      <c r="I8" s="180">
        <v>7529</v>
      </c>
      <c r="J8" s="181">
        <v>7.7</v>
      </c>
      <c r="K8" s="170" t="s">
        <v>69</v>
      </c>
    </row>
    <row r="9" spans="1:14" x14ac:dyDescent="0.3">
      <c r="A9" s="176">
        <v>16212</v>
      </c>
      <c r="B9" s="177" t="s">
        <v>206</v>
      </c>
      <c r="C9" s="178">
        <v>6636</v>
      </c>
      <c r="D9" s="178">
        <v>0</v>
      </c>
      <c r="E9" s="178">
        <v>0</v>
      </c>
      <c r="F9" s="178">
        <v>2</v>
      </c>
      <c r="G9" s="178">
        <f>SUM(C9+D9+E9+F9)</f>
        <v>6638</v>
      </c>
      <c r="H9" s="179" t="s">
        <v>207</v>
      </c>
      <c r="I9" s="180">
        <v>7587</v>
      </c>
      <c r="J9" s="181">
        <v>6.75</v>
      </c>
      <c r="K9" s="170" t="s">
        <v>69</v>
      </c>
      <c r="M9" s="42" t="s">
        <v>69</v>
      </c>
      <c r="N9" s="42" t="s">
        <v>134</v>
      </c>
    </row>
    <row r="10" spans="1:14" ht="15" thickBot="1" x14ac:dyDescent="0.35">
      <c r="A10" s="252" t="s">
        <v>23</v>
      </c>
      <c r="B10" s="253"/>
      <c r="C10" s="47">
        <f>SUM(C6:C9)</f>
        <v>67228</v>
      </c>
      <c r="D10" s="47">
        <f t="shared" ref="D10:G10" si="0">SUM(D6:D9)</f>
        <v>0</v>
      </c>
      <c r="E10" s="47">
        <f t="shared" si="0"/>
        <v>17</v>
      </c>
      <c r="F10" s="47">
        <f>SUM(F6:F9)</f>
        <v>665</v>
      </c>
      <c r="G10" s="47">
        <f t="shared" si="0"/>
        <v>67910</v>
      </c>
      <c r="H10" s="183"/>
      <c r="I10" s="47">
        <f>SUM(I6:I9)</f>
        <v>70274</v>
      </c>
      <c r="J10" s="183"/>
      <c r="K10" s="184"/>
      <c r="M10" s="187">
        <f>+G10-G7</f>
        <v>23815</v>
      </c>
      <c r="N10" s="187">
        <f>+G7</f>
        <v>44095</v>
      </c>
    </row>
    <row r="11" spans="1:14" ht="15" thickTop="1" x14ac:dyDescent="0.3">
      <c r="A11" s="185"/>
      <c r="C11" s="186"/>
      <c r="D11" s="186"/>
      <c r="E11" s="186"/>
      <c r="F11" s="186"/>
      <c r="G11" s="187"/>
      <c r="K11" s="168"/>
      <c r="M11" s="42">
        <v>0</v>
      </c>
      <c r="N11" s="42">
        <v>635842</v>
      </c>
    </row>
    <row r="12" spans="1:14" x14ac:dyDescent="0.3">
      <c r="A12" s="166" t="s">
        <v>70</v>
      </c>
      <c r="K12" s="168"/>
      <c r="M12" s="42">
        <v>0</v>
      </c>
      <c r="N12" s="42">
        <v>58756</v>
      </c>
    </row>
    <row r="13" spans="1:14" ht="20.100000000000001" customHeight="1" x14ac:dyDescent="0.3">
      <c r="A13" s="169">
        <v>1003921</v>
      </c>
      <c r="B13" s="173" t="s">
        <v>136</v>
      </c>
      <c r="C13" s="171">
        <v>100000</v>
      </c>
      <c r="D13" s="171">
        <f>982-71</f>
        <v>911</v>
      </c>
      <c r="E13" s="171">
        <f>7497-750</f>
        <v>6747</v>
      </c>
      <c r="F13" s="171">
        <v>8020</v>
      </c>
      <c r="G13" s="171">
        <f t="shared" ref="G13:G18" si="1">SUM(C13+D13+E13+F13)</f>
        <v>115678</v>
      </c>
      <c r="H13" s="174" t="s">
        <v>174</v>
      </c>
      <c r="I13" s="174">
        <v>121846</v>
      </c>
      <c r="J13" s="174">
        <v>7.25</v>
      </c>
      <c r="K13" s="170" t="s">
        <v>134</v>
      </c>
      <c r="M13" s="42">
        <v>3500</v>
      </c>
    </row>
    <row r="14" spans="1:14" ht="20.100000000000001" customHeight="1" x14ac:dyDescent="0.3">
      <c r="A14" s="169">
        <v>1003938</v>
      </c>
      <c r="B14" s="173" t="s">
        <v>136</v>
      </c>
      <c r="C14" s="171">
        <v>100000</v>
      </c>
      <c r="D14" s="171">
        <f>982-71</f>
        <v>911</v>
      </c>
      <c r="E14" s="171">
        <f>7497-750</f>
        <v>6747</v>
      </c>
      <c r="F14" s="171">
        <v>8020</v>
      </c>
      <c r="G14" s="171">
        <f t="shared" si="1"/>
        <v>115678</v>
      </c>
      <c r="H14" s="174" t="s">
        <v>174</v>
      </c>
      <c r="I14" s="174">
        <v>121846</v>
      </c>
      <c r="J14" s="174">
        <v>7.25</v>
      </c>
      <c r="K14" s="170" t="s">
        <v>134</v>
      </c>
      <c r="M14" s="186">
        <f>SUM(M10:M13)</f>
        <v>27315</v>
      </c>
      <c r="N14" s="186">
        <f>SUM(N10:N13)</f>
        <v>738693</v>
      </c>
    </row>
    <row r="15" spans="1:14" ht="20.100000000000001" customHeight="1" x14ac:dyDescent="0.3">
      <c r="A15" s="169">
        <v>1003941</v>
      </c>
      <c r="B15" s="173" t="s">
        <v>136</v>
      </c>
      <c r="C15" s="171">
        <v>100000</v>
      </c>
      <c r="D15" s="171">
        <f>982-71</f>
        <v>911</v>
      </c>
      <c r="E15" s="171">
        <f>7497-750</f>
        <v>6747</v>
      </c>
      <c r="F15" s="171">
        <v>8020</v>
      </c>
      <c r="G15" s="171">
        <f t="shared" si="1"/>
        <v>115678</v>
      </c>
      <c r="H15" s="174" t="s">
        <v>174</v>
      </c>
      <c r="I15" s="174">
        <v>121846</v>
      </c>
      <c r="J15" s="174">
        <v>7.25</v>
      </c>
      <c r="K15" s="170" t="s">
        <v>134</v>
      </c>
    </row>
    <row r="16" spans="1:14" ht="20.100000000000001" customHeight="1" x14ac:dyDescent="0.3">
      <c r="A16" s="169">
        <v>1003957</v>
      </c>
      <c r="B16" s="173" t="s">
        <v>136</v>
      </c>
      <c r="C16" s="171">
        <v>100000</v>
      </c>
      <c r="D16" s="171">
        <f>982-71</f>
        <v>911</v>
      </c>
      <c r="E16" s="171">
        <f>7497-750</f>
        <v>6747</v>
      </c>
      <c r="F16" s="171">
        <v>8020</v>
      </c>
      <c r="G16" s="171">
        <f t="shared" si="1"/>
        <v>115678</v>
      </c>
      <c r="H16" s="174" t="s">
        <v>174</v>
      </c>
      <c r="I16" s="174">
        <v>121846</v>
      </c>
      <c r="J16" s="174">
        <v>7.25</v>
      </c>
      <c r="K16" s="170" t="s">
        <v>134</v>
      </c>
    </row>
    <row r="17" spans="1:11" ht="20.100000000000001" customHeight="1" x14ac:dyDescent="0.3">
      <c r="A17" s="169">
        <v>1003962</v>
      </c>
      <c r="B17" s="173" t="s">
        <v>136</v>
      </c>
      <c r="C17" s="171">
        <v>100000</v>
      </c>
      <c r="D17" s="171">
        <f>982-71</f>
        <v>911</v>
      </c>
      <c r="E17" s="171">
        <f>7497-750</f>
        <v>6747</v>
      </c>
      <c r="F17" s="171">
        <v>8020</v>
      </c>
      <c r="G17" s="171">
        <f t="shared" si="1"/>
        <v>115678</v>
      </c>
      <c r="H17" s="174" t="s">
        <v>174</v>
      </c>
      <c r="I17" s="174">
        <v>121846</v>
      </c>
      <c r="J17" s="174">
        <v>7.25</v>
      </c>
      <c r="K17" s="170" t="s">
        <v>134</v>
      </c>
    </row>
    <row r="18" spans="1:11" ht="20.100000000000001" customHeight="1" x14ac:dyDescent="0.3">
      <c r="A18" s="169">
        <v>1004194</v>
      </c>
      <c r="B18" s="173" t="s">
        <v>135</v>
      </c>
      <c r="C18" s="171">
        <v>50000</v>
      </c>
      <c r="D18" s="171">
        <f>129-10</f>
        <v>119</v>
      </c>
      <c r="E18" s="171">
        <f>3723-374</f>
        <v>3349</v>
      </c>
      <c r="F18" s="171">
        <v>3984</v>
      </c>
      <c r="G18" s="171">
        <f t="shared" si="1"/>
        <v>57452</v>
      </c>
      <c r="H18" s="174" t="s">
        <v>175</v>
      </c>
      <c r="I18" s="174">
        <v>60923</v>
      </c>
      <c r="J18" s="174">
        <v>7.25</v>
      </c>
      <c r="K18" s="170" t="s">
        <v>134</v>
      </c>
    </row>
    <row r="19" spans="1:11" ht="20.100000000000001" customHeight="1" thickBot="1" x14ac:dyDescent="0.35">
      <c r="A19" s="252" t="s">
        <v>23</v>
      </c>
      <c r="B19" s="253"/>
      <c r="C19" s="47">
        <f>SUM(C13:C18)</f>
        <v>550000</v>
      </c>
      <c r="D19" s="47">
        <f>SUM(D13:D18)</f>
        <v>4674</v>
      </c>
      <c r="E19" s="47">
        <f>SUM(E13:E18)</f>
        <v>37084</v>
      </c>
      <c r="F19" s="47">
        <f>SUM(F13:F18)</f>
        <v>44084</v>
      </c>
      <c r="G19" s="47">
        <f>SUM(G13:G18)</f>
        <v>635842</v>
      </c>
      <c r="H19" s="183"/>
      <c r="I19" s="47">
        <f>SUM(I13:I18)</f>
        <v>670153</v>
      </c>
      <c r="J19" s="183"/>
      <c r="K19" s="184"/>
    </row>
    <row r="20" spans="1:11" ht="20.100000000000001" customHeight="1" thickTop="1" x14ac:dyDescent="0.3">
      <c r="A20" s="188"/>
      <c r="B20" s="165"/>
      <c r="C20" s="186"/>
      <c r="D20" s="186"/>
      <c r="E20" s="186"/>
      <c r="F20" s="186"/>
      <c r="G20" s="186"/>
      <c r="I20" s="186"/>
      <c r="K20" s="168"/>
    </row>
    <row r="21" spans="1:11" ht="20.100000000000001" customHeight="1" x14ac:dyDescent="0.3">
      <c r="A21" s="189" t="s">
        <v>208</v>
      </c>
      <c r="K21" s="168"/>
    </row>
    <row r="22" spans="1:11" ht="20.100000000000001" customHeight="1" x14ac:dyDescent="0.3">
      <c r="A22" s="169">
        <v>1008237</v>
      </c>
      <c r="B22" s="173" t="s">
        <v>206</v>
      </c>
      <c r="C22" s="171">
        <v>28224</v>
      </c>
      <c r="D22" s="171">
        <v>0</v>
      </c>
      <c r="E22" s="171">
        <v>0</v>
      </c>
      <c r="F22" s="171">
        <v>5</v>
      </c>
      <c r="G22" s="171">
        <f>SUM(C22+D22+E22+F22)</f>
        <v>28229</v>
      </c>
      <c r="H22" s="174" t="s">
        <v>207</v>
      </c>
      <c r="I22" s="174">
        <v>31794</v>
      </c>
      <c r="J22" s="190">
        <v>6</v>
      </c>
      <c r="K22" s="170" t="s">
        <v>134</v>
      </c>
    </row>
    <row r="23" spans="1:11" ht="20.100000000000001" customHeight="1" x14ac:dyDescent="0.3">
      <c r="A23" s="176">
        <v>1007566</v>
      </c>
      <c r="B23" s="177" t="s">
        <v>173</v>
      </c>
      <c r="C23" s="178">
        <v>30000</v>
      </c>
      <c r="D23" s="178">
        <v>0</v>
      </c>
      <c r="E23" s="178">
        <v>0</v>
      </c>
      <c r="F23" s="178">
        <v>527</v>
      </c>
      <c r="G23" s="171">
        <f>SUM(C23+D23+E23+F23)</f>
        <v>30527</v>
      </c>
      <c r="H23" s="180" t="s">
        <v>209</v>
      </c>
      <c r="I23" s="180">
        <v>36134</v>
      </c>
      <c r="J23" s="191">
        <v>6.25</v>
      </c>
      <c r="K23" s="182" t="s">
        <v>134</v>
      </c>
    </row>
    <row r="24" spans="1:11" ht="20.100000000000001" customHeight="1" thickBot="1" x14ac:dyDescent="0.35">
      <c r="A24" s="252" t="s">
        <v>23</v>
      </c>
      <c r="B24" s="253"/>
      <c r="C24" s="47">
        <f>SUM(C22:C23)</f>
        <v>58224</v>
      </c>
      <c r="D24" s="47">
        <f t="shared" ref="D24:I24" si="2">SUM(D22:D23)</f>
        <v>0</v>
      </c>
      <c r="E24" s="47">
        <f t="shared" si="2"/>
        <v>0</v>
      </c>
      <c r="F24" s="47">
        <f t="shared" si="2"/>
        <v>532</v>
      </c>
      <c r="G24" s="47">
        <f>SUM(G22:G23)</f>
        <v>58756</v>
      </c>
      <c r="H24" s="47">
        <f t="shared" si="2"/>
        <v>0</v>
      </c>
      <c r="I24" s="47">
        <f t="shared" si="2"/>
        <v>67928</v>
      </c>
      <c r="J24" s="183"/>
      <c r="K24" s="184"/>
    </row>
    <row r="25" spans="1:11" ht="20.100000000000001" customHeight="1" thickTop="1" x14ac:dyDescent="0.3">
      <c r="A25" s="188"/>
      <c r="B25" s="165"/>
      <c r="C25" s="186"/>
      <c r="D25" s="186"/>
      <c r="E25" s="186"/>
      <c r="F25" s="186"/>
      <c r="G25" s="186"/>
      <c r="I25" s="186"/>
      <c r="K25" s="168"/>
    </row>
    <row r="26" spans="1:11" ht="20.100000000000001" customHeight="1" x14ac:dyDescent="0.3">
      <c r="A26" s="166" t="s">
        <v>168</v>
      </c>
      <c r="B26" s="165"/>
      <c r="C26" s="186"/>
      <c r="D26" s="186"/>
      <c r="E26" s="186"/>
      <c r="F26" s="186"/>
      <c r="G26" s="186"/>
      <c r="I26" s="186"/>
      <c r="K26" s="168"/>
    </row>
    <row r="27" spans="1:11" ht="20.100000000000001" customHeight="1" x14ac:dyDescent="0.3">
      <c r="A27" s="169">
        <v>7650</v>
      </c>
      <c r="B27" s="170" t="s">
        <v>171</v>
      </c>
      <c r="C27" s="171">
        <v>3500</v>
      </c>
      <c r="D27" s="192">
        <v>0</v>
      </c>
      <c r="E27" s="192">
        <v>0</v>
      </c>
      <c r="F27" s="192">
        <v>0</v>
      </c>
      <c r="G27" s="171">
        <f t="shared" ref="G27" si="3">SUM(C27+D27+E27)</f>
        <v>3500</v>
      </c>
      <c r="H27" s="170" t="s">
        <v>172</v>
      </c>
      <c r="I27" s="174">
        <v>3500</v>
      </c>
      <c r="J27" s="175">
        <v>7.7</v>
      </c>
      <c r="K27" s="170" t="s">
        <v>69</v>
      </c>
    </row>
    <row r="28" spans="1:11" ht="20.100000000000001" customHeight="1" thickBot="1" x14ac:dyDescent="0.35">
      <c r="A28" s="252" t="s">
        <v>23</v>
      </c>
      <c r="B28" s="253"/>
      <c r="C28" s="47">
        <f>SUM(C27)</f>
        <v>3500</v>
      </c>
      <c r="D28" s="47">
        <f t="shared" ref="D28:G28" si="4">SUM(D27)</f>
        <v>0</v>
      </c>
      <c r="E28" s="47">
        <f t="shared" si="4"/>
        <v>0</v>
      </c>
      <c r="F28" s="47">
        <v>0</v>
      </c>
      <c r="G28" s="47">
        <f t="shared" si="4"/>
        <v>3500</v>
      </c>
      <c r="H28" s="183"/>
      <c r="I28" s="47">
        <f>SUM(I27)</f>
        <v>3500</v>
      </c>
      <c r="J28" s="183"/>
      <c r="K28" s="184"/>
    </row>
    <row r="29" spans="1:11" ht="20.100000000000001" customHeight="1" thickTop="1" x14ac:dyDescent="0.3">
      <c r="A29" s="176"/>
      <c r="B29" s="182"/>
      <c r="C29" s="178"/>
      <c r="D29" s="193"/>
      <c r="E29" s="193"/>
      <c r="F29" s="193"/>
      <c r="G29" s="178"/>
      <c r="H29" s="194"/>
      <c r="I29" s="180"/>
      <c r="J29" s="195"/>
      <c r="K29" s="182"/>
    </row>
    <row r="30" spans="1:11" ht="20.100000000000001" customHeight="1" thickBot="1" x14ac:dyDescent="0.35">
      <c r="A30" s="252" t="s">
        <v>71</v>
      </c>
      <c r="B30" s="253"/>
      <c r="C30" s="47">
        <f>+C10+C19+C28+C24</f>
        <v>678952</v>
      </c>
      <c r="D30" s="47">
        <f t="shared" ref="D30:I30" si="5">+D10+D19+D28+D24</f>
        <v>4674</v>
      </c>
      <c r="E30" s="47">
        <f t="shared" si="5"/>
        <v>37101</v>
      </c>
      <c r="F30" s="47">
        <f t="shared" si="5"/>
        <v>45281</v>
      </c>
      <c r="G30" s="47">
        <f t="shared" si="5"/>
        <v>766008</v>
      </c>
      <c r="H30" s="47"/>
      <c r="I30" s="47">
        <f t="shared" si="5"/>
        <v>811855</v>
      </c>
      <c r="J30" s="196"/>
      <c r="K30" s="184"/>
    </row>
    <row r="31" spans="1:11" ht="20.100000000000001" customHeight="1" thickTop="1" x14ac:dyDescent="0.3"/>
    <row r="33" spans="7:7" x14ac:dyDescent="0.3">
      <c r="G33" s="187"/>
    </row>
  </sheetData>
  <mergeCells count="8">
    <mergeCell ref="A1:K1"/>
    <mergeCell ref="A2:K2"/>
    <mergeCell ref="A30:B30"/>
    <mergeCell ref="A19:B19"/>
    <mergeCell ref="A10:B10"/>
    <mergeCell ref="J3:K3"/>
    <mergeCell ref="A28:B28"/>
    <mergeCell ref="A24:B24"/>
  </mergeCells>
  <printOptions horizontalCentered="1"/>
  <pageMargins left="0.31496062992125984" right="0.31496062992125984" top="0.59055118110236227" bottom="0.19685039370078741" header="0.19685039370078741" footer="0.19685039370078741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view="pageBreakPreview" zoomScaleNormal="100" zoomScaleSheetLayoutView="100" workbookViewId="0">
      <selection activeCell="H4" sqref="H4:H9"/>
    </sheetView>
  </sheetViews>
  <sheetFormatPr defaultRowHeight="14.4" x14ac:dyDescent="0.3"/>
  <cols>
    <col min="1" max="1" width="26" customWidth="1"/>
    <col min="2" max="2" width="7" style="15" bestFit="1" customWidth="1"/>
    <col min="3" max="8" width="14.6640625" customWidth="1"/>
    <col min="9" max="9" width="3.33203125" customWidth="1"/>
  </cols>
  <sheetData>
    <row r="1" spans="1:8" ht="18" x14ac:dyDescent="0.3">
      <c r="A1" s="255" t="s">
        <v>39</v>
      </c>
      <c r="B1" s="255"/>
      <c r="C1" s="255"/>
      <c r="D1" s="255"/>
      <c r="E1" s="255"/>
      <c r="F1" s="255"/>
      <c r="G1" s="255"/>
      <c r="H1" s="255"/>
    </row>
    <row r="2" spans="1:8" x14ac:dyDescent="0.3">
      <c r="A2" s="223" t="s">
        <v>161</v>
      </c>
      <c r="B2" s="223"/>
      <c r="C2" s="223"/>
      <c r="D2" s="223"/>
      <c r="E2" s="223"/>
      <c r="F2" s="223"/>
      <c r="G2" s="223"/>
      <c r="H2" s="223"/>
    </row>
    <row r="3" spans="1:8" ht="76.2" customHeight="1" thickBot="1" x14ac:dyDescent="0.35">
      <c r="A3" s="33" t="s">
        <v>56</v>
      </c>
      <c r="B3" s="34" t="s">
        <v>57</v>
      </c>
      <c r="C3" s="34" t="s">
        <v>193</v>
      </c>
      <c r="D3" s="34" t="s">
        <v>194</v>
      </c>
      <c r="E3" s="34" t="s">
        <v>195</v>
      </c>
      <c r="F3" s="34" t="s">
        <v>196</v>
      </c>
      <c r="G3" s="34" t="s">
        <v>58</v>
      </c>
      <c r="H3" s="35" t="s">
        <v>197</v>
      </c>
    </row>
    <row r="4" spans="1:8" s="42" customFormat="1" ht="21.9" customHeight="1" thickTop="1" x14ac:dyDescent="0.3">
      <c r="A4" s="36" t="s">
        <v>59</v>
      </c>
      <c r="B4" s="37">
        <v>0.1</v>
      </c>
      <c r="C4" s="38">
        <v>3200</v>
      </c>
      <c r="D4" s="39">
        <v>0</v>
      </c>
      <c r="E4" s="39">
        <v>0</v>
      </c>
      <c r="F4" s="39">
        <f t="shared" ref="F4:F9" si="0">C4+D4+E4</f>
        <v>3200</v>
      </c>
      <c r="G4" s="40">
        <f>ROUND(((D4+C4)*B4)+(E4*B4)/2,0)</f>
        <v>320</v>
      </c>
      <c r="H4" s="41">
        <f t="shared" ref="H4:H9" si="1">F4-G4</f>
        <v>2880</v>
      </c>
    </row>
    <row r="5" spans="1:8" s="42" customFormat="1" ht="21.9" customHeight="1" x14ac:dyDescent="0.3">
      <c r="A5" s="36" t="s">
        <v>72</v>
      </c>
      <c r="B5" s="37">
        <v>0.1</v>
      </c>
      <c r="C5" s="39">
        <v>497</v>
      </c>
      <c r="D5" s="39">
        <v>0</v>
      </c>
      <c r="E5" s="39">
        <v>0</v>
      </c>
      <c r="F5" s="39">
        <f t="shared" si="0"/>
        <v>497</v>
      </c>
      <c r="G5" s="40">
        <f t="shared" ref="G5:G9" si="2">ROUND(((D5+C5)*B5)+(E5*B5)/2,0)</f>
        <v>50</v>
      </c>
      <c r="H5" s="41">
        <f t="shared" si="1"/>
        <v>447</v>
      </c>
    </row>
    <row r="6" spans="1:8" s="42" customFormat="1" ht="21.9" customHeight="1" x14ac:dyDescent="0.3">
      <c r="A6" s="36" t="s">
        <v>60</v>
      </c>
      <c r="B6" s="43">
        <v>0.15</v>
      </c>
      <c r="C6" s="40">
        <v>5709</v>
      </c>
      <c r="D6" s="39">
        <v>0</v>
      </c>
      <c r="E6" s="40">
        <v>0</v>
      </c>
      <c r="F6" s="40">
        <f t="shared" si="0"/>
        <v>5709</v>
      </c>
      <c r="G6" s="40">
        <f t="shared" si="2"/>
        <v>856</v>
      </c>
      <c r="H6" s="44">
        <f t="shared" si="1"/>
        <v>4853</v>
      </c>
    </row>
    <row r="7" spans="1:8" s="42" customFormat="1" ht="21.9" customHeight="1" x14ac:dyDescent="0.3">
      <c r="A7" s="36" t="s">
        <v>164</v>
      </c>
      <c r="B7" s="43">
        <v>0.15</v>
      </c>
      <c r="C7" s="40">
        <v>27468</v>
      </c>
      <c r="D7" s="40"/>
      <c r="E7" s="40"/>
      <c r="F7" s="39">
        <f t="shared" ref="F7" si="3">C7+D7+E7</f>
        <v>27468</v>
      </c>
      <c r="G7" s="40">
        <f>ROUND(((D7+C7)*B7)+(E7*B7)/2,0)</f>
        <v>4120</v>
      </c>
      <c r="H7" s="41">
        <f t="shared" ref="H7" si="4">F7-G7</f>
        <v>23348</v>
      </c>
    </row>
    <row r="8" spans="1:8" s="42" customFormat="1" ht="21.9" customHeight="1" x14ac:dyDescent="0.3">
      <c r="A8" s="36" t="s">
        <v>61</v>
      </c>
      <c r="B8" s="43">
        <v>0.15</v>
      </c>
      <c r="C8" s="40">
        <v>4092</v>
      </c>
      <c r="D8" s="40">
        <v>0</v>
      </c>
      <c r="E8" s="40">
        <v>0</v>
      </c>
      <c r="F8" s="39">
        <f t="shared" ref="F8" si="5">C8+D8+E8</f>
        <v>4092</v>
      </c>
      <c r="G8" s="40">
        <f t="shared" ref="G8" si="6">ROUND(((D8+C8)*B8)+(E8*B8)/2,0)</f>
        <v>614</v>
      </c>
      <c r="H8" s="41">
        <f t="shared" ref="H8" si="7">F8-G8</f>
        <v>3478</v>
      </c>
    </row>
    <row r="9" spans="1:8" s="42" customFormat="1" ht="21.9" customHeight="1" x14ac:dyDescent="0.3">
      <c r="A9" s="36" t="s">
        <v>62</v>
      </c>
      <c r="B9" s="37">
        <v>0.15</v>
      </c>
      <c r="C9" s="39">
        <v>116868</v>
      </c>
      <c r="D9" s="39">
        <v>0</v>
      </c>
      <c r="E9" s="39">
        <v>0</v>
      </c>
      <c r="F9" s="39">
        <f t="shared" si="0"/>
        <v>116868</v>
      </c>
      <c r="G9" s="40">
        <f t="shared" si="2"/>
        <v>17530</v>
      </c>
      <c r="H9" s="41">
        <f t="shared" si="1"/>
        <v>99338</v>
      </c>
    </row>
    <row r="10" spans="1:8" s="42" customFormat="1" ht="21.9" customHeight="1" thickBot="1" x14ac:dyDescent="0.35">
      <c r="A10" s="45" t="s">
        <v>23</v>
      </c>
      <c r="B10" s="46"/>
      <c r="C10" s="47">
        <f t="shared" ref="C10:H10" si="8">SUM(C4:C9)</f>
        <v>157834</v>
      </c>
      <c r="D10" s="47">
        <f t="shared" si="8"/>
        <v>0</v>
      </c>
      <c r="E10" s="47">
        <f t="shared" si="8"/>
        <v>0</v>
      </c>
      <c r="F10" s="47">
        <f t="shared" si="8"/>
        <v>157834</v>
      </c>
      <c r="G10" s="47">
        <f>SUM(G4:G9)</f>
        <v>23490</v>
      </c>
      <c r="H10" s="48">
        <f t="shared" si="8"/>
        <v>134344</v>
      </c>
    </row>
    <row r="11" spans="1:8" ht="15" thickTop="1" x14ac:dyDescent="0.3">
      <c r="E11" s="11" t="s">
        <v>63</v>
      </c>
      <c r="G11" s="11">
        <f>-G8</f>
        <v>-614</v>
      </c>
    </row>
    <row r="12" spans="1:8" x14ac:dyDescent="0.3">
      <c r="E12" s="11" t="s">
        <v>63</v>
      </c>
      <c r="G12" s="11">
        <f>-G9</f>
        <v>-17530</v>
      </c>
    </row>
    <row r="13" spans="1:8" x14ac:dyDescent="0.3">
      <c r="E13" s="90" t="s">
        <v>201</v>
      </c>
      <c r="F13" s="8"/>
      <c r="G13" s="90">
        <f>G10+G11+G12</f>
        <v>5346</v>
      </c>
    </row>
  </sheetData>
  <mergeCells count="2">
    <mergeCell ref="A1:H1"/>
    <mergeCell ref="A2:H2"/>
  </mergeCells>
  <printOptions horizontalCentered="1"/>
  <pageMargins left="0.31496062992125984" right="0.31496062992125984" top="0.59055118110236227" bottom="0.19685039370078741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9"/>
  <sheetViews>
    <sheetView view="pageBreakPreview" zoomScaleNormal="100" zoomScaleSheetLayoutView="100" workbookViewId="0">
      <selection activeCell="H22" sqref="H22"/>
    </sheetView>
  </sheetViews>
  <sheetFormatPr defaultRowHeight="14.4" x14ac:dyDescent="0.3"/>
  <cols>
    <col min="1" max="1" width="3" customWidth="1"/>
    <col min="2" max="2" width="14.6640625" customWidth="1"/>
    <col min="3" max="3" width="44" customWidth="1"/>
    <col min="4" max="4" width="14.6640625" customWidth="1"/>
    <col min="5" max="5" width="4.109375" customWidth="1"/>
    <col min="6" max="6" width="12.33203125" bestFit="1" customWidth="1"/>
  </cols>
  <sheetData>
    <row r="1" spans="1:4" ht="18" x14ac:dyDescent="0.35">
      <c r="A1" t="s">
        <v>39</v>
      </c>
      <c r="B1" s="260" t="s">
        <v>39</v>
      </c>
      <c r="C1" s="260"/>
      <c r="D1" s="260"/>
    </row>
    <row r="2" spans="1:4" x14ac:dyDescent="0.3">
      <c r="A2" t="s">
        <v>161</v>
      </c>
      <c r="B2" s="223" t="s">
        <v>198</v>
      </c>
      <c r="C2" s="223"/>
      <c r="D2" s="223"/>
    </row>
    <row r="3" spans="1:4" ht="15" thickBot="1" x14ac:dyDescent="0.35">
      <c r="B3" s="30" t="s">
        <v>165</v>
      </c>
      <c r="C3" s="31" t="s">
        <v>70</v>
      </c>
      <c r="D3" s="30" t="s">
        <v>199</v>
      </c>
    </row>
    <row r="4" spans="1:4" ht="15" thickTop="1" x14ac:dyDescent="0.3">
      <c r="B4" s="1">
        <v>300545</v>
      </c>
      <c r="C4" s="71" t="s">
        <v>31</v>
      </c>
      <c r="D4" s="1">
        <f>B8</f>
        <v>300545</v>
      </c>
    </row>
    <row r="5" spans="1:4" x14ac:dyDescent="0.3">
      <c r="B5" s="1">
        <v>0</v>
      </c>
      <c r="C5" s="71" t="s">
        <v>32</v>
      </c>
      <c r="D5" s="1"/>
    </row>
    <row r="6" spans="1:4" x14ac:dyDescent="0.3">
      <c r="B6" s="1">
        <v>0</v>
      </c>
      <c r="C6" s="71" t="s">
        <v>203</v>
      </c>
      <c r="D6" s="1">
        <v>600</v>
      </c>
    </row>
    <row r="7" spans="1:4" x14ac:dyDescent="0.3">
      <c r="B7" s="1">
        <v>0</v>
      </c>
      <c r="C7" s="71" t="s">
        <v>114</v>
      </c>
      <c r="D7" s="1"/>
    </row>
    <row r="8" spans="1:4" ht="15" thickBot="1" x14ac:dyDescent="0.35">
      <c r="B8" s="24">
        <f>SUM(B4:B7)</f>
        <v>300545</v>
      </c>
      <c r="C8" s="112" t="s">
        <v>94</v>
      </c>
      <c r="D8" s="24">
        <f>SUM(D4:D7)</f>
        <v>301145</v>
      </c>
    </row>
    <row r="9" spans="1:4" ht="15" thickTop="1" x14ac:dyDescent="0.3">
      <c r="B9" s="1"/>
      <c r="C9" s="71"/>
      <c r="D9" s="1"/>
    </row>
    <row r="10" spans="1:4" ht="15" thickBot="1" x14ac:dyDescent="0.35">
      <c r="B10" s="32"/>
      <c r="C10" s="113" t="s">
        <v>13</v>
      </c>
      <c r="D10" s="32"/>
    </row>
    <row r="11" spans="1:4" ht="15" thickTop="1" x14ac:dyDescent="0.3">
      <c r="B11" s="1">
        <v>304569</v>
      </c>
      <c r="C11" s="71" t="s">
        <v>35</v>
      </c>
      <c r="D11" s="1">
        <f>B14</f>
        <v>335163</v>
      </c>
    </row>
    <row r="12" spans="1:4" x14ac:dyDescent="0.3">
      <c r="B12" s="1">
        <v>6636</v>
      </c>
      <c r="C12" s="71" t="s">
        <v>32</v>
      </c>
      <c r="D12" s="1">
        <v>6636</v>
      </c>
    </row>
    <row r="13" spans="1:4" x14ac:dyDescent="0.3">
      <c r="B13" s="1">
        <v>23958</v>
      </c>
      <c r="C13" s="71" t="s">
        <v>34</v>
      </c>
      <c r="D13" s="1">
        <v>9780</v>
      </c>
    </row>
    <row r="14" spans="1:4" ht="15" thickBot="1" x14ac:dyDescent="0.35">
      <c r="B14" s="24">
        <f>SUM(B10:B13)</f>
        <v>335163</v>
      </c>
      <c r="C14" s="112" t="s">
        <v>95</v>
      </c>
      <c r="D14" s="24">
        <f>SUM(D11:D13)</f>
        <v>351579</v>
      </c>
    </row>
    <row r="15" spans="1:4" ht="15" thickTop="1" x14ac:dyDescent="0.3">
      <c r="B15" s="1"/>
      <c r="D15" s="1"/>
    </row>
    <row r="16" spans="1:4" ht="15" thickBot="1" x14ac:dyDescent="0.35">
      <c r="B16" s="32"/>
      <c r="C16" s="113" t="s">
        <v>36</v>
      </c>
      <c r="D16" s="114"/>
    </row>
    <row r="17" spans="2:6" ht="15" thickTop="1" x14ac:dyDescent="0.3">
      <c r="B17" s="1">
        <v>0</v>
      </c>
      <c r="C17" s="71" t="s">
        <v>37</v>
      </c>
      <c r="D17" s="1">
        <f>B20</f>
        <v>36708</v>
      </c>
    </row>
    <row r="18" spans="2:6" x14ac:dyDescent="0.3">
      <c r="B18" s="1">
        <v>36708</v>
      </c>
      <c r="C18" s="71" t="s">
        <v>32</v>
      </c>
      <c r="D18" s="1">
        <v>36708</v>
      </c>
    </row>
    <row r="19" spans="2:6" x14ac:dyDescent="0.3">
      <c r="B19" s="1">
        <v>0</v>
      </c>
      <c r="C19" s="71" t="s">
        <v>142</v>
      </c>
      <c r="D19" s="1">
        <v>0</v>
      </c>
      <c r="F19" s="11"/>
    </row>
    <row r="20" spans="2:6" ht="15" thickBot="1" x14ac:dyDescent="0.35">
      <c r="B20" s="24">
        <f>SUM(B17:B19)</f>
        <v>36708</v>
      </c>
      <c r="C20" s="112" t="s">
        <v>96</v>
      </c>
      <c r="D20" s="24">
        <f>SUM(D17:D19)</f>
        <v>73416</v>
      </c>
    </row>
    <row r="21" spans="2:6" ht="15" thickTop="1" x14ac:dyDescent="0.3">
      <c r="B21" s="1"/>
      <c r="C21" s="8"/>
      <c r="D21" s="1"/>
    </row>
    <row r="22" spans="2:6" ht="15" thickBot="1" x14ac:dyDescent="0.35">
      <c r="B22" s="32"/>
      <c r="C22" s="113" t="s">
        <v>50</v>
      </c>
      <c r="D22" s="32"/>
    </row>
    <row r="23" spans="2:6" ht="15" thickTop="1" x14ac:dyDescent="0.3">
      <c r="B23" s="1">
        <v>0</v>
      </c>
      <c r="C23" s="71" t="s">
        <v>37</v>
      </c>
      <c r="D23" s="1">
        <f>B27</f>
        <v>28256</v>
      </c>
    </row>
    <row r="24" spans="2:6" x14ac:dyDescent="0.3">
      <c r="B24" s="1">
        <v>28224</v>
      </c>
      <c r="C24" s="71" t="s">
        <v>32</v>
      </c>
      <c r="D24" s="1">
        <v>28224</v>
      </c>
      <c r="F24" s="11"/>
    </row>
    <row r="25" spans="2:6" x14ac:dyDescent="0.3">
      <c r="B25" s="1">
        <v>32</v>
      </c>
      <c r="C25" s="71" t="s">
        <v>34</v>
      </c>
      <c r="D25" s="1">
        <v>532</v>
      </c>
    </row>
    <row r="26" spans="2:6" x14ac:dyDescent="0.3">
      <c r="B26" s="1">
        <v>0</v>
      </c>
      <c r="C26" s="71" t="s">
        <v>142</v>
      </c>
      <c r="D26" s="1"/>
    </row>
    <row r="27" spans="2:6" ht="15" thickBot="1" x14ac:dyDescent="0.35">
      <c r="B27" s="24">
        <f>SUM(B22:B26)</f>
        <v>28256</v>
      </c>
      <c r="C27" s="31" t="s">
        <v>97</v>
      </c>
      <c r="D27" s="24">
        <f>SUM(D23:D26)</f>
        <v>57012</v>
      </c>
    </row>
    <row r="28" spans="2:6" ht="15" thickTop="1" x14ac:dyDescent="0.3">
      <c r="B28" s="1"/>
      <c r="C28" s="94"/>
      <c r="D28" s="1"/>
    </row>
    <row r="29" spans="2:6" ht="15" thickBot="1" x14ac:dyDescent="0.35">
      <c r="B29" s="32"/>
      <c r="C29" s="113" t="s">
        <v>98</v>
      </c>
      <c r="D29" s="32"/>
    </row>
    <row r="30" spans="2:6" ht="15" thickTop="1" x14ac:dyDescent="0.3">
      <c r="B30" s="1">
        <v>3360</v>
      </c>
      <c r="C30" s="71" t="s">
        <v>37</v>
      </c>
      <c r="D30" s="1">
        <f>B32</f>
        <v>5040</v>
      </c>
    </row>
    <row r="31" spans="2:6" x14ac:dyDescent="0.3">
      <c r="B31" s="1">
        <v>1680</v>
      </c>
      <c r="C31" s="71" t="s">
        <v>32</v>
      </c>
      <c r="D31" s="1">
        <v>1680</v>
      </c>
    </row>
    <row r="32" spans="2:6" ht="15" thickBot="1" x14ac:dyDescent="0.35">
      <c r="B32" s="24">
        <f>SUM(B28:B31)</f>
        <v>5040</v>
      </c>
      <c r="C32" s="31" t="s">
        <v>99</v>
      </c>
      <c r="D32" s="24">
        <f>SUM(D30:D31)</f>
        <v>6720</v>
      </c>
    </row>
    <row r="33" spans="2:5" ht="15" thickTop="1" x14ac:dyDescent="0.3">
      <c r="B33" s="4"/>
      <c r="C33" s="71"/>
      <c r="D33" s="4"/>
    </row>
    <row r="34" spans="2:5" ht="15" thickBot="1" x14ac:dyDescent="0.35">
      <c r="B34" s="115">
        <f>B8+B14+B20+B27+B32</f>
        <v>705712</v>
      </c>
      <c r="C34" s="87" t="s">
        <v>100</v>
      </c>
      <c r="D34" s="26">
        <f>D8+D14+D20+D27+D32</f>
        <v>789872</v>
      </c>
      <c r="E34" s="74"/>
    </row>
    <row r="35" spans="2:5" ht="15" thickTop="1" x14ac:dyDescent="0.3"/>
    <row r="36" spans="2:5" ht="0.6" customHeight="1" x14ac:dyDescent="0.3"/>
    <row r="37" spans="2:5" hidden="1" x14ac:dyDescent="0.3">
      <c r="B37" s="261" t="s">
        <v>117</v>
      </c>
      <c r="C37" s="262"/>
      <c r="D37" s="263"/>
    </row>
    <row r="38" spans="2:5" hidden="1" x14ac:dyDescent="0.3">
      <c r="B38" s="116"/>
      <c r="C38" s="117"/>
      <c r="D38" s="118"/>
    </row>
    <row r="39" spans="2:5" ht="15" hidden="1" thickBot="1" x14ac:dyDescent="0.35">
      <c r="B39" s="27" t="s">
        <v>106</v>
      </c>
      <c r="C39" s="28" t="s">
        <v>157</v>
      </c>
      <c r="D39" s="119" t="s">
        <v>156</v>
      </c>
    </row>
    <row r="40" spans="2:5" ht="15" hidden="1" thickTop="1" x14ac:dyDescent="0.3">
      <c r="B40" s="120">
        <v>102</v>
      </c>
      <c r="C40" s="121" t="s">
        <v>138</v>
      </c>
      <c r="D40" s="122">
        <v>949</v>
      </c>
    </row>
    <row r="41" spans="2:5" hidden="1" x14ac:dyDescent="0.3">
      <c r="B41" s="21">
        <v>301</v>
      </c>
      <c r="C41" s="23" t="s">
        <v>139</v>
      </c>
      <c r="D41" s="123">
        <v>42</v>
      </c>
    </row>
    <row r="42" spans="2:5" hidden="1" x14ac:dyDescent="0.3">
      <c r="B42" s="21">
        <v>501</v>
      </c>
      <c r="C42" s="23" t="s">
        <v>140</v>
      </c>
      <c r="D42" s="123">
        <v>7952</v>
      </c>
    </row>
    <row r="43" spans="2:5" hidden="1" x14ac:dyDescent="0.3">
      <c r="B43" s="21">
        <v>702</v>
      </c>
      <c r="C43" s="23" t="s">
        <v>141</v>
      </c>
      <c r="D43" s="123">
        <v>16962</v>
      </c>
    </row>
    <row r="44" spans="2:5" ht="15" hidden="1" thickBot="1" x14ac:dyDescent="0.35">
      <c r="B44" s="27" t="s">
        <v>23</v>
      </c>
      <c r="C44" s="27"/>
      <c r="D44" s="29">
        <f>SUM(D40:D43)</f>
        <v>25905</v>
      </c>
    </row>
    <row r="45" spans="2:5" ht="12.6" customHeight="1" x14ac:dyDescent="0.3"/>
    <row r="46" spans="2:5" hidden="1" x14ac:dyDescent="0.3"/>
    <row r="47" spans="2:5" hidden="1" x14ac:dyDescent="0.3">
      <c r="B47" s="256" t="s">
        <v>160</v>
      </c>
      <c r="C47" s="256"/>
      <c r="D47" s="256"/>
    </row>
    <row r="48" spans="2:5" hidden="1" x14ac:dyDescent="0.3">
      <c r="B48" s="257"/>
      <c r="C48" s="258"/>
      <c r="D48" s="259"/>
    </row>
    <row r="49" spans="2:4" ht="15" hidden="1" thickBot="1" x14ac:dyDescent="0.35">
      <c r="B49" s="31" t="s">
        <v>84</v>
      </c>
      <c r="C49" s="31" t="s">
        <v>56</v>
      </c>
      <c r="D49" s="31" t="s">
        <v>116</v>
      </c>
    </row>
    <row r="50" spans="2:4" ht="15" hidden="1" thickTop="1" x14ac:dyDescent="0.3">
      <c r="B50" s="2">
        <v>23200</v>
      </c>
      <c r="C50" s="49" t="s">
        <v>121</v>
      </c>
      <c r="D50" s="2">
        <f>179666-91632</f>
        <v>88034</v>
      </c>
    </row>
    <row r="51" spans="2:4" hidden="1" x14ac:dyDescent="0.3">
      <c r="B51" s="3">
        <v>2465</v>
      </c>
      <c r="C51" s="17" t="s">
        <v>85</v>
      </c>
      <c r="D51" s="3">
        <v>54220</v>
      </c>
    </row>
    <row r="52" spans="2:4" hidden="1" x14ac:dyDescent="0.3">
      <c r="B52" s="3">
        <v>8182</v>
      </c>
      <c r="C52" s="17" t="s">
        <v>86</v>
      </c>
      <c r="D52" s="3">
        <v>0</v>
      </c>
    </row>
    <row r="53" spans="2:4" hidden="1" x14ac:dyDescent="0.3">
      <c r="B53" s="3">
        <v>6500</v>
      </c>
      <c r="C53" s="17" t="s">
        <v>87</v>
      </c>
      <c r="D53" s="3">
        <v>0</v>
      </c>
    </row>
    <row r="54" spans="2:4" hidden="1" x14ac:dyDescent="0.3">
      <c r="B54" s="3">
        <v>25518</v>
      </c>
      <c r="C54" s="17" t="s">
        <v>88</v>
      </c>
      <c r="D54" s="3">
        <v>25960</v>
      </c>
    </row>
    <row r="55" spans="2:4" hidden="1" x14ac:dyDescent="0.3">
      <c r="B55" s="3">
        <v>4838</v>
      </c>
      <c r="C55" s="17" t="s">
        <v>89</v>
      </c>
      <c r="D55" s="3">
        <v>5192</v>
      </c>
    </row>
    <row r="56" spans="2:4" hidden="1" x14ac:dyDescent="0.3">
      <c r="B56" s="3">
        <v>7257</v>
      </c>
      <c r="C56" s="17" t="s">
        <v>90</v>
      </c>
      <c r="D56" s="3">
        <v>7788</v>
      </c>
    </row>
    <row r="57" spans="2:4" hidden="1" x14ac:dyDescent="0.3">
      <c r="B57" s="3">
        <v>4600</v>
      </c>
      <c r="C57" s="17" t="s">
        <v>79</v>
      </c>
      <c r="D57" s="3">
        <v>0</v>
      </c>
    </row>
    <row r="58" spans="2:4" ht="15" hidden="1" thickBot="1" x14ac:dyDescent="0.35">
      <c r="B58" s="26">
        <f>SUM(B50:B57)</f>
        <v>82560</v>
      </c>
      <c r="C58" s="28" t="s">
        <v>23</v>
      </c>
      <c r="D58" s="26">
        <f>SUM(D50:D57)</f>
        <v>181194</v>
      </c>
    </row>
    <row r="59" spans="2:4" ht="15" hidden="1" thickTop="1" x14ac:dyDescent="0.3"/>
  </sheetData>
  <mergeCells count="5">
    <mergeCell ref="B47:D47"/>
    <mergeCell ref="B48:D48"/>
    <mergeCell ref="B2:D2"/>
    <mergeCell ref="B1:D1"/>
    <mergeCell ref="B37:D37"/>
  </mergeCells>
  <printOptions horizontalCentered="1"/>
  <pageMargins left="0.23622047244094491" right="0.11811023622047245" top="0.59055118110236227" bottom="0.35433070866141736" header="0.31496062992125984" footer="0.31496062992125984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view="pageBreakPreview" zoomScaleNormal="100" zoomScaleSheetLayoutView="100" workbookViewId="0">
      <selection activeCell="G13" sqref="G13"/>
    </sheetView>
  </sheetViews>
  <sheetFormatPr defaultColWidth="9.109375" defaultRowHeight="14.4" x14ac:dyDescent="0.3"/>
  <cols>
    <col min="1" max="1" width="5.6640625" style="167" bestFit="1" customWidth="1"/>
    <col min="2" max="2" width="12.6640625" style="167" customWidth="1"/>
    <col min="3" max="3" width="46.6640625" style="42" bestFit="1" customWidth="1"/>
    <col min="4" max="4" width="12.6640625" style="197" customWidth="1"/>
    <col min="5" max="5" width="4.88671875" style="42" customWidth="1"/>
    <col min="6" max="16384" width="9.109375" style="42"/>
  </cols>
  <sheetData>
    <row r="1" spans="1:4" x14ac:dyDescent="0.3">
      <c r="A1" s="266" t="s">
        <v>39</v>
      </c>
      <c r="B1" s="266"/>
      <c r="C1" s="266"/>
      <c r="D1" s="266"/>
    </row>
    <row r="2" spans="1:4" x14ac:dyDescent="0.3">
      <c r="A2" s="264" t="s">
        <v>161</v>
      </c>
      <c r="B2" s="265"/>
      <c r="C2" s="265"/>
      <c r="D2" s="265"/>
    </row>
    <row r="3" spans="1:4" ht="21.9" customHeight="1" thickBot="1" x14ac:dyDescent="0.35">
      <c r="A3" s="198" t="s">
        <v>101</v>
      </c>
      <c r="B3" s="198" t="s">
        <v>106</v>
      </c>
      <c r="C3" s="46" t="s">
        <v>107</v>
      </c>
      <c r="D3" s="199" t="s">
        <v>76</v>
      </c>
    </row>
    <row r="4" spans="1:4" ht="21.9" customHeight="1" thickTop="1" x14ac:dyDescent="0.3">
      <c r="A4" s="200">
        <v>1</v>
      </c>
      <c r="B4" s="200">
        <v>102</v>
      </c>
      <c r="C4" s="201" t="s">
        <v>138</v>
      </c>
      <c r="D4" s="202">
        <v>3196</v>
      </c>
    </row>
    <row r="5" spans="1:4" ht="21.9" customHeight="1" x14ac:dyDescent="0.3">
      <c r="A5" s="203">
        <v>4</v>
      </c>
      <c r="B5" s="203">
        <v>702</v>
      </c>
      <c r="C5" s="169" t="s">
        <v>141</v>
      </c>
      <c r="D5" s="204">
        <v>37291</v>
      </c>
    </row>
    <row r="6" spans="1:4" ht="21.9" customHeight="1" thickBot="1" x14ac:dyDescent="0.35">
      <c r="A6" s="267" t="s">
        <v>23</v>
      </c>
      <c r="B6" s="267"/>
      <c r="C6" s="267"/>
      <c r="D6" s="199">
        <f>SUM(D4:D5)</f>
        <v>40487</v>
      </c>
    </row>
    <row r="7" spans="1:4" ht="15" thickTop="1" x14ac:dyDescent="0.3">
      <c r="D7" s="205"/>
    </row>
    <row r="8" spans="1:4" x14ac:dyDescent="0.3">
      <c r="D8" s="205"/>
    </row>
    <row r="9" spans="1:4" x14ac:dyDescent="0.3">
      <c r="D9" s="205"/>
    </row>
    <row r="10" spans="1:4" x14ac:dyDescent="0.3">
      <c r="D10" s="205"/>
    </row>
    <row r="11" spans="1:4" ht="20.100000000000001" customHeight="1" x14ac:dyDescent="0.3">
      <c r="B11" s="256" t="str">
        <f>+A1</f>
        <v>HELENA VILLA CO-OPERATIVE HOUSING SOCIETY LIMITED</v>
      </c>
      <c r="C11" s="256"/>
      <c r="D11" s="256"/>
    </row>
    <row r="12" spans="1:4" ht="20.100000000000001" customHeight="1" x14ac:dyDescent="0.3">
      <c r="B12" s="256" t="s">
        <v>109</v>
      </c>
      <c r="C12" s="256"/>
      <c r="D12" s="256"/>
    </row>
    <row r="13" spans="1:4" ht="20.100000000000001" customHeight="1" thickBot="1" x14ac:dyDescent="0.35">
      <c r="B13" s="31" t="s">
        <v>166</v>
      </c>
      <c r="C13" s="31" t="s">
        <v>56</v>
      </c>
      <c r="D13" s="31" t="s">
        <v>185</v>
      </c>
    </row>
    <row r="14" spans="1:4" ht="20.100000000000001" customHeight="1" thickTop="1" x14ac:dyDescent="0.3">
      <c r="B14" s="2">
        <v>700</v>
      </c>
      <c r="C14" s="49" t="s">
        <v>121</v>
      </c>
      <c r="D14" s="2">
        <v>8819</v>
      </c>
    </row>
    <row r="15" spans="1:4" ht="20.100000000000001" customHeight="1" x14ac:dyDescent="0.3">
      <c r="B15" s="3">
        <v>6050</v>
      </c>
      <c r="C15" s="17" t="s">
        <v>85</v>
      </c>
      <c r="D15" s="206">
        <v>3600</v>
      </c>
    </row>
    <row r="16" spans="1:4" ht="20.100000000000001" customHeight="1" x14ac:dyDescent="0.3">
      <c r="B16" s="3">
        <v>7060</v>
      </c>
      <c r="C16" s="17" t="s">
        <v>86</v>
      </c>
      <c r="D16" s="3"/>
    </row>
    <row r="17" spans="2:4" ht="20.100000000000001" customHeight="1" x14ac:dyDescent="0.3">
      <c r="B17" s="3">
        <v>4500</v>
      </c>
      <c r="C17" s="17" t="s">
        <v>87</v>
      </c>
      <c r="D17" s="3">
        <v>6000</v>
      </c>
    </row>
    <row r="18" spans="2:4" ht="20.100000000000001" customHeight="1" x14ac:dyDescent="0.3">
      <c r="B18" s="3">
        <v>26255</v>
      </c>
      <c r="C18" s="17" t="s">
        <v>88</v>
      </c>
      <c r="D18" s="3">
        <f>28320+20355-21240</f>
        <v>27435</v>
      </c>
    </row>
    <row r="19" spans="2:4" ht="20.100000000000001" customHeight="1" x14ac:dyDescent="0.3">
      <c r="B19" s="3">
        <v>5192</v>
      </c>
      <c r="C19" s="17" t="s">
        <v>89</v>
      </c>
      <c r="D19" s="3">
        <v>1298</v>
      </c>
    </row>
    <row r="20" spans="2:4" ht="20.100000000000001" customHeight="1" x14ac:dyDescent="0.3">
      <c r="B20" s="3">
        <v>7788</v>
      </c>
      <c r="C20" s="17" t="s">
        <v>90</v>
      </c>
      <c r="D20" s="3">
        <v>7788</v>
      </c>
    </row>
    <row r="21" spans="2:4" ht="20.100000000000001" customHeight="1" x14ac:dyDescent="0.3">
      <c r="B21" s="3">
        <v>5000</v>
      </c>
      <c r="C21" s="17" t="s">
        <v>79</v>
      </c>
      <c r="D21" s="3">
        <v>5500</v>
      </c>
    </row>
    <row r="22" spans="2:4" ht="20.100000000000001" customHeight="1" x14ac:dyDescent="0.3">
      <c r="B22" s="3"/>
      <c r="C22" s="17" t="s">
        <v>186</v>
      </c>
      <c r="D22" s="3">
        <v>25712.2</v>
      </c>
    </row>
    <row r="23" spans="2:4" ht="20.100000000000001" customHeight="1" thickBot="1" x14ac:dyDescent="0.35">
      <c r="B23" s="26">
        <f>SUM(B14:B21)</f>
        <v>62545</v>
      </c>
      <c r="C23" s="28" t="s">
        <v>23</v>
      </c>
      <c r="D23" s="26">
        <f>SUM(D14:D22)</f>
        <v>86152.2</v>
      </c>
    </row>
    <row r="24" spans="2:4" ht="15" thickTop="1" x14ac:dyDescent="0.3">
      <c r="D24" s="205"/>
    </row>
  </sheetData>
  <mergeCells count="5">
    <mergeCell ref="A2:D2"/>
    <mergeCell ref="A1:D1"/>
    <mergeCell ref="A6:C6"/>
    <mergeCell ref="B11:D11"/>
    <mergeCell ref="B12:D1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activeCell="B17" sqref="B17"/>
    </sheetView>
  </sheetViews>
  <sheetFormatPr defaultRowHeight="14.4" x14ac:dyDescent="0.3"/>
  <cols>
    <col min="1" max="1" width="11.5546875" bestFit="1" customWidth="1"/>
    <col min="2" max="2" width="27.109375" bestFit="1" customWidth="1"/>
    <col min="3" max="3" width="11.5546875" bestFit="1" customWidth="1"/>
  </cols>
  <sheetData>
    <row r="1" spans="1:3" x14ac:dyDescent="0.3">
      <c r="A1" s="256" t="s">
        <v>110</v>
      </c>
      <c r="B1" s="256"/>
      <c r="C1" s="256"/>
    </row>
    <row r="2" spans="1:3" x14ac:dyDescent="0.3">
      <c r="A2" s="256" t="s">
        <v>109</v>
      </c>
      <c r="B2" s="256"/>
      <c r="C2" s="256"/>
    </row>
    <row r="3" spans="1:3" x14ac:dyDescent="0.3">
      <c r="A3" s="18" t="s">
        <v>166</v>
      </c>
      <c r="B3" s="18" t="s">
        <v>56</v>
      </c>
      <c r="C3" s="18" t="s">
        <v>185</v>
      </c>
    </row>
    <row r="4" spans="1:3" x14ac:dyDescent="0.3">
      <c r="A4" s="3">
        <v>700</v>
      </c>
      <c r="B4" s="17" t="s">
        <v>121</v>
      </c>
      <c r="C4" s="63">
        <v>8819</v>
      </c>
    </row>
    <row r="5" spans="1:3" x14ac:dyDescent="0.3">
      <c r="A5" s="3">
        <v>6050</v>
      </c>
      <c r="B5" s="17" t="s">
        <v>85</v>
      </c>
      <c r="C5" s="64">
        <v>3600</v>
      </c>
    </row>
    <row r="6" spans="1:3" x14ac:dyDescent="0.3">
      <c r="A6" s="3">
        <v>7060</v>
      </c>
      <c r="B6" s="17" t="s">
        <v>86</v>
      </c>
      <c r="C6" s="3"/>
    </row>
    <row r="7" spans="1:3" x14ac:dyDescent="0.3">
      <c r="A7" s="3">
        <v>4500</v>
      </c>
      <c r="B7" s="17" t="s">
        <v>87</v>
      </c>
      <c r="C7" s="63">
        <v>6000</v>
      </c>
    </row>
    <row r="8" spans="1:3" x14ac:dyDescent="0.3">
      <c r="A8" s="3">
        <v>26255</v>
      </c>
      <c r="B8" s="17" t="s">
        <v>88</v>
      </c>
      <c r="C8" s="63">
        <f>28320+20355-21240</f>
        <v>27435</v>
      </c>
    </row>
    <row r="9" spans="1:3" x14ac:dyDescent="0.3">
      <c r="A9" s="3">
        <v>5192</v>
      </c>
      <c r="B9" s="17" t="s">
        <v>89</v>
      </c>
      <c r="C9" s="63">
        <v>1298</v>
      </c>
    </row>
    <row r="10" spans="1:3" x14ac:dyDescent="0.3">
      <c r="A10" s="3">
        <v>7788</v>
      </c>
      <c r="B10" s="17" t="s">
        <v>90</v>
      </c>
      <c r="C10" s="63">
        <v>7788</v>
      </c>
    </row>
    <row r="11" spans="1:3" x14ac:dyDescent="0.3">
      <c r="A11" s="3">
        <v>5000</v>
      </c>
      <c r="B11" s="17" t="s">
        <v>79</v>
      </c>
      <c r="C11" s="63">
        <v>5500</v>
      </c>
    </row>
    <row r="12" spans="1:3" x14ac:dyDescent="0.3">
      <c r="A12" s="3"/>
      <c r="B12" s="17" t="s">
        <v>186</v>
      </c>
      <c r="C12" s="63">
        <v>25712.2</v>
      </c>
    </row>
    <row r="13" spans="1:3" x14ac:dyDescent="0.3">
      <c r="A13" s="19">
        <f>SUM(A4:A11)</f>
        <v>62545</v>
      </c>
      <c r="B13" s="14" t="s">
        <v>23</v>
      </c>
      <c r="C13" s="19">
        <f>SUM(C4:C12)</f>
        <v>86152.2</v>
      </c>
    </row>
  </sheetData>
  <mergeCells count="2">
    <mergeCell ref="A2:C2"/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>
      <selection activeCell="H18" sqref="H18"/>
    </sheetView>
  </sheetViews>
  <sheetFormatPr defaultRowHeight="14.4" x14ac:dyDescent="0.3"/>
  <cols>
    <col min="1" max="1" width="47.44140625" customWidth="1"/>
    <col min="2" max="2" width="15.44140625" customWidth="1"/>
    <col min="3" max="3" width="10.6640625" bestFit="1" customWidth="1"/>
    <col min="4" max="4" width="9.109375" customWidth="1"/>
  </cols>
  <sheetData>
    <row r="1" spans="1:2" ht="15.6" x14ac:dyDescent="0.3">
      <c r="A1" s="268" t="s">
        <v>113</v>
      </c>
      <c r="B1" s="268"/>
    </row>
    <row r="2" spans="1:2" x14ac:dyDescent="0.3">
      <c r="A2" s="223" t="s">
        <v>214</v>
      </c>
      <c r="B2" s="223"/>
    </row>
    <row r="3" spans="1:2" x14ac:dyDescent="0.3">
      <c r="B3" s="13" t="s">
        <v>76</v>
      </c>
    </row>
    <row r="4" spans="1:2" x14ac:dyDescent="0.3">
      <c r="A4" t="s">
        <v>55</v>
      </c>
      <c r="B4" s="9">
        <v>245299.35</v>
      </c>
    </row>
    <row r="5" spans="1:2" x14ac:dyDescent="0.3">
      <c r="B5" s="12"/>
    </row>
    <row r="6" spans="1:2" x14ac:dyDescent="0.3">
      <c r="A6" s="8"/>
      <c r="B6" s="8"/>
    </row>
    <row r="7" spans="1:2" ht="15" thickBot="1" x14ac:dyDescent="0.35">
      <c r="A7" s="22" t="s">
        <v>112</v>
      </c>
      <c r="B7" s="16">
        <f>B4</f>
        <v>245299.35</v>
      </c>
    </row>
    <row r="8" spans="1:2" ht="15" thickTop="1" x14ac:dyDescent="0.3">
      <c r="B8" s="11"/>
    </row>
    <row r="9" spans="1:2" x14ac:dyDescent="0.3">
      <c r="B9" s="11"/>
    </row>
    <row r="10" spans="1:2" x14ac:dyDescent="0.3">
      <c r="B10" s="11"/>
    </row>
    <row r="12" spans="1:2" ht="15.6" x14ac:dyDescent="0.3">
      <c r="A12" s="268" t="s">
        <v>113</v>
      </c>
      <c r="B12" s="268"/>
    </row>
    <row r="13" spans="1:2" x14ac:dyDescent="0.3">
      <c r="A13" s="223" t="s">
        <v>215</v>
      </c>
      <c r="B13" s="223"/>
    </row>
    <row r="14" spans="1:2" x14ac:dyDescent="0.3">
      <c r="B14" s="13" t="s">
        <v>76</v>
      </c>
    </row>
    <row r="15" spans="1:2" x14ac:dyDescent="0.3">
      <c r="A15" t="s">
        <v>55</v>
      </c>
      <c r="B15" s="9">
        <v>6544</v>
      </c>
    </row>
    <row r="16" spans="1:2" x14ac:dyDescent="0.3">
      <c r="A16" s="8"/>
      <c r="B16" s="8"/>
    </row>
    <row r="17" spans="1:2" ht="15" thickBot="1" x14ac:dyDescent="0.35">
      <c r="A17" s="22" t="s">
        <v>112</v>
      </c>
      <c r="B17" s="16">
        <f>B15</f>
        <v>6544</v>
      </c>
    </row>
    <row r="18" spans="1:2" ht="15" thickTop="1" x14ac:dyDescent="0.3">
      <c r="B18" s="11"/>
    </row>
  </sheetData>
  <mergeCells count="4">
    <mergeCell ref="A1:B1"/>
    <mergeCell ref="A2:B2"/>
    <mergeCell ref="A12:B12"/>
    <mergeCell ref="A13:B1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9"/>
  <sheetViews>
    <sheetView workbookViewId="0">
      <selection activeCell="E4" sqref="E4"/>
    </sheetView>
  </sheetViews>
  <sheetFormatPr defaultColWidth="9.109375" defaultRowHeight="14.4" x14ac:dyDescent="0.3"/>
  <cols>
    <col min="1" max="1" width="13.6640625" bestFit="1" customWidth="1"/>
    <col min="2" max="3" width="10.44140625" bestFit="1" customWidth="1"/>
    <col min="4" max="4" width="7.88671875" bestFit="1" customWidth="1"/>
    <col min="5" max="5" width="8.109375" bestFit="1" customWidth="1"/>
  </cols>
  <sheetData>
    <row r="1" spans="1:11" x14ac:dyDescent="0.3">
      <c r="A1" t="s">
        <v>181</v>
      </c>
    </row>
    <row r="2" spans="1:11" x14ac:dyDescent="0.3">
      <c r="A2" s="8" t="s">
        <v>78</v>
      </c>
      <c r="B2" s="223" t="s">
        <v>74</v>
      </c>
      <c r="C2" s="223"/>
      <c r="D2" s="13" t="s">
        <v>111</v>
      </c>
      <c r="E2" s="13" t="s">
        <v>76</v>
      </c>
    </row>
    <row r="3" spans="1:11" x14ac:dyDescent="0.3">
      <c r="B3" s="55">
        <v>45996</v>
      </c>
      <c r="C3" s="55">
        <v>46086</v>
      </c>
      <c r="D3" s="15">
        <f>C3-B3</f>
        <v>90</v>
      </c>
      <c r="E3" s="15">
        <v>9008</v>
      </c>
    </row>
    <row r="4" spans="1:11" x14ac:dyDescent="0.3">
      <c r="B4" s="55">
        <v>46086</v>
      </c>
      <c r="C4" s="55">
        <v>46112</v>
      </c>
      <c r="D4" s="15">
        <f>C4-B4</f>
        <v>26</v>
      </c>
      <c r="E4" s="62">
        <f>ROUND(E3*D4/D3,0)</f>
        <v>2602</v>
      </c>
      <c r="F4" s="8" t="s">
        <v>73</v>
      </c>
    </row>
    <row r="7" spans="1:11" x14ac:dyDescent="0.3">
      <c r="A7" s="8" t="s">
        <v>80</v>
      </c>
      <c r="B7" s="223" t="s">
        <v>74</v>
      </c>
      <c r="C7" s="223"/>
      <c r="D7" s="13" t="s">
        <v>75</v>
      </c>
      <c r="E7" s="13" t="s">
        <v>76</v>
      </c>
    </row>
    <row r="8" spans="1:11" x14ac:dyDescent="0.3">
      <c r="B8" s="55">
        <v>46023</v>
      </c>
      <c r="C8" s="55">
        <v>46387</v>
      </c>
      <c r="D8" s="15">
        <v>12</v>
      </c>
      <c r="E8" s="15">
        <v>28320</v>
      </c>
    </row>
    <row r="9" spans="1:11" x14ac:dyDescent="0.3">
      <c r="B9" s="55">
        <v>46113</v>
      </c>
      <c r="C9" s="55">
        <v>46387</v>
      </c>
      <c r="D9" s="15">
        <v>9</v>
      </c>
      <c r="E9" s="62">
        <f>ROUND(E8*D9/D8,0)</f>
        <v>21240</v>
      </c>
      <c r="F9" s="8" t="s">
        <v>81</v>
      </c>
    </row>
    <row r="13" spans="1:11" x14ac:dyDescent="0.3">
      <c r="A13" s="8" t="s">
        <v>83</v>
      </c>
      <c r="B13" s="223" t="s">
        <v>74</v>
      </c>
      <c r="C13" s="223"/>
      <c r="D13" s="13" t="s">
        <v>75</v>
      </c>
      <c r="E13" s="13" t="s">
        <v>76</v>
      </c>
      <c r="J13" s="55"/>
      <c r="K13" s="55"/>
    </row>
    <row r="14" spans="1:11" x14ac:dyDescent="0.3">
      <c r="A14" s="8"/>
      <c r="B14" s="56">
        <v>46023</v>
      </c>
      <c r="C14" s="56">
        <v>46357</v>
      </c>
      <c r="D14" s="15">
        <v>12</v>
      </c>
      <c r="E14" s="15">
        <v>7788</v>
      </c>
    </row>
    <row r="15" spans="1:11" x14ac:dyDescent="0.3">
      <c r="A15" s="8"/>
      <c r="B15" s="56">
        <v>46113</v>
      </c>
      <c r="C15" s="56">
        <v>46357</v>
      </c>
      <c r="D15" s="15">
        <v>9</v>
      </c>
      <c r="E15" s="62">
        <f>ROUND(E14*D15/D14,0)</f>
        <v>5841</v>
      </c>
      <c r="F15" s="8" t="s">
        <v>81</v>
      </c>
    </row>
    <row r="16" spans="1:11" x14ac:dyDescent="0.3">
      <c r="A16" s="8"/>
    </row>
    <row r="17" spans="1:6" x14ac:dyDescent="0.3">
      <c r="A17" s="8"/>
    </row>
    <row r="18" spans="1:6" x14ac:dyDescent="0.3">
      <c r="A18" s="8" t="s">
        <v>91</v>
      </c>
      <c r="B18" s="223" t="s">
        <v>74</v>
      </c>
      <c r="C18" s="223"/>
      <c r="D18" s="13" t="s">
        <v>75</v>
      </c>
      <c r="E18" s="13" t="s">
        <v>76</v>
      </c>
    </row>
    <row r="19" spans="1:6" x14ac:dyDescent="0.3">
      <c r="B19" s="55">
        <v>45809</v>
      </c>
      <c r="C19" s="55">
        <v>46173</v>
      </c>
      <c r="D19" s="15">
        <v>12</v>
      </c>
      <c r="E19" s="15">
        <v>5800</v>
      </c>
    </row>
    <row r="20" spans="1:6" x14ac:dyDescent="0.3">
      <c r="B20" s="55">
        <v>46113</v>
      </c>
      <c r="C20" s="55">
        <v>46143</v>
      </c>
      <c r="D20" s="15">
        <v>2</v>
      </c>
      <c r="E20" s="62">
        <f>ROUND(E19*D20/D19,0)</f>
        <v>967</v>
      </c>
      <c r="F20" s="8" t="s">
        <v>81</v>
      </c>
    </row>
    <row r="23" spans="1:6" x14ac:dyDescent="0.3">
      <c r="A23" s="8" t="s">
        <v>102</v>
      </c>
      <c r="B23" s="223" t="s">
        <v>74</v>
      </c>
      <c r="C23" s="223"/>
      <c r="D23" s="13" t="s">
        <v>111</v>
      </c>
      <c r="E23" s="13" t="s">
        <v>76</v>
      </c>
    </row>
    <row r="24" spans="1:6" x14ac:dyDescent="0.3">
      <c r="B24" s="55">
        <v>45855</v>
      </c>
      <c r="C24" s="55">
        <v>46219</v>
      </c>
      <c r="D24" s="15">
        <f>C24-B24+1</f>
        <v>365</v>
      </c>
      <c r="E24" s="15">
        <f>21921+1799</f>
        <v>23720</v>
      </c>
    </row>
    <row r="25" spans="1:6" x14ac:dyDescent="0.3">
      <c r="B25" s="55">
        <v>46113</v>
      </c>
      <c r="C25" s="55">
        <v>46219</v>
      </c>
      <c r="D25" s="15">
        <f>C25-B25+1</f>
        <v>107</v>
      </c>
      <c r="E25" s="62">
        <f>ROUND(E24*D25/D24,0)</f>
        <v>6954</v>
      </c>
      <c r="F25" s="8" t="s">
        <v>81</v>
      </c>
    </row>
    <row r="27" spans="1:6" x14ac:dyDescent="0.3">
      <c r="A27" t="s">
        <v>202</v>
      </c>
      <c r="B27" s="223" t="s">
        <v>74</v>
      </c>
      <c r="C27" s="223"/>
      <c r="D27" s="13" t="s">
        <v>111</v>
      </c>
      <c r="E27" s="13" t="s">
        <v>76</v>
      </c>
    </row>
    <row r="28" spans="1:6" x14ac:dyDescent="0.3">
      <c r="B28" s="56">
        <v>46023</v>
      </c>
      <c r="C28" s="56">
        <v>46357</v>
      </c>
      <c r="D28" s="15">
        <v>12</v>
      </c>
      <c r="E28" s="15">
        <v>5192</v>
      </c>
    </row>
    <row r="29" spans="1:6" x14ac:dyDescent="0.3">
      <c r="B29" s="56">
        <v>46113</v>
      </c>
      <c r="C29" s="56">
        <v>46357</v>
      </c>
      <c r="D29" s="15">
        <v>9</v>
      </c>
      <c r="E29" s="62">
        <f>ROUND(E28*D29/D28,0)</f>
        <v>3894</v>
      </c>
    </row>
  </sheetData>
  <mergeCells count="6">
    <mergeCell ref="B27:C27"/>
    <mergeCell ref="B23:C23"/>
    <mergeCell ref="B2:C2"/>
    <mergeCell ref="B7:C7"/>
    <mergeCell ref="B13:C13"/>
    <mergeCell ref="B18:C1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6"/>
  <sheetViews>
    <sheetView workbookViewId="0">
      <selection activeCell="K23" sqref="K23"/>
    </sheetView>
  </sheetViews>
  <sheetFormatPr defaultColWidth="9.109375" defaultRowHeight="14.4" x14ac:dyDescent="0.3"/>
  <cols>
    <col min="1" max="1" width="14.5546875" bestFit="1" customWidth="1"/>
    <col min="2" max="2" width="26.33203125" bestFit="1" customWidth="1"/>
    <col min="3" max="3" width="69" bestFit="1" customWidth="1"/>
    <col min="4" max="4" width="10" bestFit="1" customWidth="1"/>
  </cols>
  <sheetData>
    <row r="1" spans="1:9" x14ac:dyDescent="0.3">
      <c r="A1" s="124" t="s">
        <v>125</v>
      </c>
      <c r="B1" s="124" t="s">
        <v>126</v>
      </c>
      <c r="C1" s="124" t="s">
        <v>127</v>
      </c>
      <c r="D1" s="124" t="s">
        <v>128</v>
      </c>
      <c r="E1" s="58" t="s">
        <v>176</v>
      </c>
      <c r="F1" s="58" t="s">
        <v>68</v>
      </c>
    </row>
    <row r="2" spans="1:9" x14ac:dyDescent="0.3">
      <c r="A2" t="s">
        <v>216</v>
      </c>
      <c r="B2" t="s">
        <v>217</v>
      </c>
      <c r="C2" t="s">
        <v>218</v>
      </c>
      <c r="D2" s="127">
        <v>67</v>
      </c>
      <c r="E2" s="59" t="s">
        <v>263</v>
      </c>
      <c r="F2" s="59" t="s">
        <v>69</v>
      </c>
    </row>
    <row r="3" spans="1:9" x14ac:dyDescent="0.3">
      <c r="A3" t="s">
        <v>219</v>
      </c>
      <c r="B3" t="s">
        <v>220</v>
      </c>
      <c r="C3" t="s">
        <v>218</v>
      </c>
      <c r="D3" s="127">
        <v>67</v>
      </c>
      <c r="E3" s="59" t="s">
        <v>263</v>
      </c>
      <c r="F3" s="59" t="s">
        <v>69</v>
      </c>
    </row>
    <row r="4" spans="1:9" x14ac:dyDescent="0.3">
      <c r="A4" t="s">
        <v>221</v>
      </c>
      <c r="B4" t="s">
        <v>222</v>
      </c>
      <c r="C4" t="s">
        <v>262</v>
      </c>
      <c r="D4" s="127">
        <v>6310</v>
      </c>
      <c r="E4" s="59" t="s">
        <v>131</v>
      </c>
      <c r="F4" s="59" t="s">
        <v>69</v>
      </c>
      <c r="H4" s="128"/>
      <c r="I4" t="s">
        <v>69</v>
      </c>
    </row>
    <row r="5" spans="1:9" x14ac:dyDescent="0.3">
      <c r="A5" t="s">
        <v>223</v>
      </c>
      <c r="B5" t="s">
        <v>224</v>
      </c>
      <c r="C5" t="s">
        <v>225</v>
      </c>
      <c r="D5" s="126">
        <v>1225</v>
      </c>
      <c r="E5" s="59" t="s">
        <v>129</v>
      </c>
      <c r="F5" s="59" t="s">
        <v>134</v>
      </c>
    </row>
    <row r="6" spans="1:9" x14ac:dyDescent="0.3">
      <c r="A6" t="s">
        <v>226</v>
      </c>
      <c r="B6" t="s">
        <v>227</v>
      </c>
      <c r="C6" t="s">
        <v>218</v>
      </c>
      <c r="D6" s="127">
        <v>67</v>
      </c>
      <c r="E6" s="59" t="s">
        <v>263</v>
      </c>
      <c r="F6" s="59" t="s">
        <v>69</v>
      </c>
    </row>
    <row r="7" spans="1:9" x14ac:dyDescent="0.3">
      <c r="A7" t="s">
        <v>228</v>
      </c>
      <c r="B7" t="s">
        <v>229</v>
      </c>
      <c r="C7" t="s">
        <v>230</v>
      </c>
      <c r="D7" s="126">
        <v>2805</v>
      </c>
      <c r="E7" s="59" t="s">
        <v>131</v>
      </c>
      <c r="F7" s="59" t="s">
        <v>134</v>
      </c>
      <c r="H7" s="129"/>
      <c r="I7" t="s">
        <v>134</v>
      </c>
    </row>
    <row r="8" spans="1:9" x14ac:dyDescent="0.3">
      <c r="A8" t="s">
        <v>231</v>
      </c>
      <c r="B8" t="s">
        <v>232</v>
      </c>
      <c r="C8" t="s">
        <v>233</v>
      </c>
      <c r="D8" s="127">
        <v>701</v>
      </c>
      <c r="E8" s="59" t="s">
        <v>131</v>
      </c>
      <c r="F8" s="59" t="s">
        <v>69</v>
      </c>
    </row>
    <row r="9" spans="1:9" x14ac:dyDescent="0.3">
      <c r="A9" t="s">
        <v>234</v>
      </c>
      <c r="B9" t="s">
        <v>235</v>
      </c>
      <c r="C9" t="s">
        <v>236</v>
      </c>
      <c r="D9" s="127">
        <v>2</v>
      </c>
      <c r="E9" s="59" t="s">
        <v>131</v>
      </c>
      <c r="F9" s="59" t="s">
        <v>69</v>
      </c>
    </row>
    <row r="10" spans="1:9" x14ac:dyDescent="0.3">
      <c r="A10" t="s">
        <v>237</v>
      </c>
      <c r="B10" t="s">
        <v>235</v>
      </c>
      <c r="C10" t="s">
        <v>238</v>
      </c>
      <c r="D10" s="127">
        <v>542</v>
      </c>
      <c r="E10" s="59" t="s">
        <v>131</v>
      </c>
      <c r="F10" s="59" t="s">
        <v>69</v>
      </c>
    </row>
    <row r="11" spans="1:9" x14ac:dyDescent="0.3">
      <c r="A11" t="s">
        <v>239</v>
      </c>
      <c r="B11" t="s">
        <v>235</v>
      </c>
      <c r="C11" t="s">
        <v>240</v>
      </c>
      <c r="D11" s="127">
        <v>18</v>
      </c>
      <c r="E11" s="59" t="s">
        <v>131</v>
      </c>
      <c r="F11" s="59" t="s">
        <v>69</v>
      </c>
    </row>
    <row r="12" spans="1:9" x14ac:dyDescent="0.3">
      <c r="A12" t="s">
        <v>241</v>
      </c>
      <c r="B12" t="s">
        <v>235</v>
      </c>
      <c r="C12" t="s">
        <v>242</v>
      </c>
      <c r="D12" s="126">
        <v>527</v>
      </c>
      <c r="E12" s="59" t="s">
        <v>130</v>
      </c>
      <c r="F12" s="59" t="s">
        <v>134</v>
      </c>
    </row>
    <row r="13" spans="1:9" x14ac:dyDescent="0.3">
      <c r="A13" t="s">
        <v>243</v>
      </c>
      <c r="B13" t="s">
        <v>235</v>
      </c>
      <c r="C13" t="s">
        <v>244</v>
      </c>
      <c r="D13" s="126">
        <v>5</v>
      </c>
      <c r="E13" s="59" t="s">
        <v>130</v>
      </c>
      <c r="F13" s="59" t="s">
        <v>134</v>
      </c>
    </row>
    <row r="14" spans="1:9" x14ac:dyDescent="0.3">
      <c r="A14" t="s">
        <v>245</v>
      </c>
      <c r="B14" t="s">
        <v>235</v>
      </c>
      <c r="C14" t="s">
        <v>246</v>
      </c>
      <c r="D14" s="126">
        <v>103</v>
      </c>
      <c r="E14" s="59" t="s">
        <v>131</v>
      </c>
      <c r="F14" s="59" t="s">
        <v>134</v>
      </c>
    </row>
    <row r="15" spans="1:9" x14ac:dyDescent="0.3">
      <c r="A15" t="s">
        <v>247</v>
      </c>
      <c r="B15" t="s">
        <v>235</v>
      </c>
      <c r="C15" t="s">
        <v>248</v>
      </c>
      <c r="D15" s="126">
        <v>8020</v>
      </c>
      <c r="E15" s="59" t="s">
        <v>129</v>
      </c>
      <c r="F15" s="59" t="s">
        <v>134</v>
      </c>
    </row>
    <row r="16" spans="1:9" x14ac:dyDescent="0.3">
      <c r="A16" t="s">
        <v>249</v>
      </c>
      <c r="B16" t="s">
        <v>235</v>
      </c>
      <c r="C16" t="s">
        <v>250</v>
      </c>
      <c r="D16" s="126">
        <v>8020</v>
      </c>
      <c r="E16" s="59" t="s">
        <v>129</v>
      </c>
      <c r="F16" s="59" t="s">
        <v>134</v>
      </c>
    </row>
    <row r="17" spans="1:6" x14ac:dyDescent="0.3">
      <c r="A17" t="s">
        <v>251</v>
      </c>
      <c r="B17" t="s">
        <v>235</v>
      </c>
      <c r="C17" t="s">
        <v>252</v>
      </c>
      <c r="D17" s="126">
        <v>8020</v>
      </c>
      <c r="E17" s="59" t="s">
        <v>129</v>
      </c>
      <c r="F17" s="59" t="s">
        <v>134</v>
      </c>
    </row>
    <row r="18" spans="1:6" x14ac:dyDescent="0.3">
      <c r="A18" t="s">
        <v>253</v>
      </c>
      <c r="B18" t="s">
        <v>235</v>
      </c>
      <c r="C18" t="s">
        <v>254</v>
      </c>
      <c r="D18" s="126">
        <v>8020</v>
      </c>
      <c r="E18" s="59" t="s">
        <v>129</v>
      </c>
      <c r="F18" s="59" t="s">
        <v>134</v>
      </c>
    </row>
    <row r="19" spans="1:6" x14ac:dyDescent="0.3">
      <c r="A19" t="s">
        <v>255</v>
      </c>
      <c r="B19" t="s">
        <v>235</v>
      </c>
      <c r="C19" t="s">
        <v>256</v>
      </c>
      <c r="D19" s="126">
        <v>8020</v>
      </c>
      <c r="E19" s="59" t="s">
        <v>129</v>
      </c>
      <c r="F19" s="59" t="s">
        <v>134</v>
      </c>
    </row>
    <row r="20" spans="1:6" x14ac:dyDescent="0.3">
      <c r="A20" t="s">
        <v>257</v>
      </c>
      <c r="B20" t="s">
        <v>235</v>
      </c>
      <c r="C20" t="s">
        <v>258</v>
      </c>
      <c r="D20" s="126">
        <v>3984</v>
      </c>
      <c r="E20" s="59" t="s">
        <v>129</v>
      </c>
      <c r="F20" s="59" t="s">
        <v>134</v>
      </c>
    </row>
    <row r="21" spans="1:6" x14ac:dyDescent="0.3">
      <c r="A21" t="s">
        <v>259</v>
      </c>
      <c r="B21" t="s">
        <v>235</v>
      </c>
      <c r="C21" t="s">
        <v>260</v>
      </c>
      <c r="D21" s="127">
        <v>67</v>
      </c>
      <c r="E21" s="59" t="s">
        <v>263</v>
      </c>
      <c r="F21" s="59" t="s">
        <v>69</v>
      </c>
    </row>
    <row r="22" spans="1:6" x14ac:dyDescent="0.3">
      <c r="A22" s="124" t="s">
        <v>261</v>
      </c>
      <c r="B22" s="124"/>
      <c r="D22" s="125">
        <f>SUM(D2:D21)</f>
        <v>56590</v>
      </c>
    </row>
    <row r="23" spans="1:6" x14ac:dyDescent="0.3">
      <c r="A23" s="58"/>
      <c r="B23" s="58"/>
      <c r="D23" s="60"/>
    </row>
    <row r="24" spans="1:6" x14ac:dyDescent="0.3">
      <c r="A24" s="58"/>
      <c r="B24" s="58"/>
      <c r="D24" s="60"/>
    </row>
    <row r="26" spans="1:6" x14ac:dyDescent="0.3">
      <c r="D26">
        <v>10481</v>
      </c>
      <c r="E26" s="59" t="s">
        <v>131</v>
      </c>
    </row>
    <row r="27" spans="1:6" x14ac:dyDescent="0.3">
      <c r="D27">
        <v>532</v>
      </c>
      <c r="E27" s="59" t="s">
        <v>130</v>
      </c>
    </row>
    <row r="28" spans="1:6" x14ac:dyDescent="0.3">
      <c r="D28">
        <v>45309</v>
      </c>
      <c r="E28" s="59" t="s">
        <v>129</v>
      </c>
    </row>
    <row r="29" spans="1:6" x14ac:dyDescent="0.3">
      <c r="D29" s="61">
        <v>268</v>
      </c>
      <c r="E29" s="59" t="s">
        <v>177</v>
      </c>
    </row>
    <row r="30" spans="1:6" x14ac:dyDescent="0.3">
      <c r="D30">
        <f>SUM(D26:D29)</f>
        <v>56590</v>
      </c>
    </row>
    <row r="33" spans="4:5" x14ac:dyDescent="0.3">
      <c r="D33" s="59" t="s">
        <v>178</v>
      </c>
    </row>
    <row r="34" spans="4:5" x14ac:dyDescent="0.3">
      <c r="D34">
        <v>7841</v>
      </c>
      <c r="E34" s="59" t="s">
        <v>69</v>
      </c>
    </row>
    <row r="35" spans="4:5" x14ac:dyDescent="0.3">
      <c r="D35" s="61">
        <v>48749</v>
      </c>
      <c r="E35" s="59" t="s">
        <v>134</v>
      </c>
    </row>
    <row r="36" spans="4:5" x14ac:dyDescent="0.3">
      <c r="D36">
        <f>SUM(D34:D35)</f>
        <v>56590</v>
      </c>
    </row>
  </sheetData>
  <autoFilter ref="A1:G22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BS</vt:lpstr>
      <vt:lpstr>IE</vt:lpstr>
      <vt:lpstr>Sch I - FD</vt:lpstr>
      <vt:lpstr>Sch II - FA</vt:lpstr>
      <vt:lpstr>Sch III - R&amp;S</vt:lpstr>
      <vt:lpstr>Sch IV - Mem. Adv</vt:lpstr>
      <vt:lpstr>Sch V -R&amp;M</vt:lpstr>
      <vt:lpstr>BRS</vt:lpstr>
      <vt:lpstr>Workings</vt:lpstr>
      <vt:lpstr>FD Interest Working Sheet</vt:lpstr>
      <vt:lpstr>BS!Print_Area</vt:lpstr>
      <vt:lpstr>IE!Print_Area</vt:lpstr>
      <vt:lpstr>'Sch I - FD'!Print_Area</vt:lpstr>
      <vt:lpstr>'Sch II - FA'!Print_Area</vt:lpstr>
      <vt:lpstr>'Sch III - R&amp;S'!Print_Area</vt:lpstr>
      <vt:lpstr>'Sch IV - Mem. Adv'!Print_Area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bharatboridkar@gmail.com</cp:lastModifiedBy>
  <cp:lastPrinted>2026-07-07T17:36:01Z</cp:lastPrinted>
  <dcterms:created xsi:type="dcterms:W3CDTF">2023-04-15T05:06:05Z</dcterms:created>
  <dcterms:modified xsi:type="dcterms:W3CDTF">2026-07-14T14:06:09Z</dcterms:modified>
</cp:coreProperties>
</file>