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22-VasantView CHS\"/>
    </mc:Choice>
  </mc:AlternateContent>
  <xr:revisionPtr revIDLastSave="0" documentId="13_ncr:1_{A29C1C53-140D-4A6F-AD43-5E529ABF2FA8}" xr6:coauthVersionLast="47" xr6:coauthVersionMax="47" xr10:uidLastSave="{00000000-0000-0000-0000-000000000000}"/>
  <bookViews>
    <workbookView xWindow="-108" yWindow="-108" windowWidth="23256" windowHeight="12456" tabRatio="800" activeTab="1" xr2:uid="{00000000-000D-0000-FFFF-FFFF00000000}"/>
  </bookViews>
  <sheets>
    <sheet name="Balance Sheet" sheetId="1" r:id="rId1"/>
    <sheet name="I&amp;E" sheetId="8" r:id="rId2"/>
    <sheet name="FD Schedule" sheetId="2" r:id="rId3"/>
    <sheet name="Fixed Assets" sheetId="6" r:id="rId4"/>
    <sheet name="Members Dues n Advances" sheetId="4" r:id="rId5"/>
    <sheet name="Vendors - Paya. &amp; Adv." sheetId="14" r:id="rId6"/>
    <sheet name="BRS" sheetId="12" r:id="rId7"/>
    <sheet name="Meeting on 11th July 2020" sheetId="13" state="hidden" r:id="rId8"/>
    <sheet name="Worksheet" sheetId="11" r:id="rId9"/>
    <sheet name="Note" sheetId="16" state="hidden" r:id="rId10"/>
    <sheet name="Refundable Deposit" sheetId="15" r:id="rId11"/>
  </sheets>
  <externalReferences>
    <externalReference r:id="rId12"/>
  </externalReferences>
  <definedNames>
    <definedName name="_xlnm.Print_Area" localSheetId="0">'Balance Sheet'!$A$1:$H$73</definedName>
    <definedName name="_xlnm.Print_Area" localSheetId="2">'FD Schedule'!$B$1:$K$42</definedName>
    <definedName name="_xlnm.Print_Area" localSheetId="3">'Fixed Assets'!$A$1:$H$19</definedName>
    <definedName name="_xlnm.Print_Area" localSheetId="1">'I&amp;E'!$A$1:$H$64</definedName>
    <definedName name="_xlnm.Print_Area" localSheetId="4">'Members Dues n Advances'!$A$1:$F$42</definedName>
    <definedName name="_xlnm.Print_Area" localSheetId="5">'Vendors - Paya. &amp; Adv.'!$A$1:$D$42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8" l="1"/>
  <c r="D24" i="14" l="1"/>
  <c r="C37" i="8"/>
  <c r="G8" i="1" l="1"/>
  <c r="D40" i="14" l="1"/>
  <c r="B40" i="14"/>
  <c r="D41" i="14"/>
  <c r="C24" i="1"/>
  <c r="C21" i="8"/>
  <c r="O12" i="2" l="1"/>
  <c r="F43" i="11" l="1"/>
  <c r="F36" i="11"/>
  <c r="F38" i="11" s="1"/>
  <c r="F44" i="11" l="1"/>
  <c r="F45" i="11" s="1"/>
  <c r="D46" i="1"/>
  <c r="D60" i="12"/>
  <c r="D51" i="12"/>
  <c r="D42" i="12"/>
  <c r="D33" i="12"/>
  <c r="D25" i="12"/>
  <c r="I12" i="12"/>
  <c r="D6" i="12" s="1"/>
  <c r="H12" i="12"/>
  <c r="D8" i="12" s="1"/>
  <c r="C11" i="1"/>
  <c r="D11" i="1" s="1"/>
  <c r="O13" i="2" s="1"/>
  <c r="C35" i="1"/>
  <c r="C25" i="1"/>
  <c r="H31" i="8"/>
  <c r="H35" i="8"/>
  <c r="C34" i="1" l="1"/>
  <c r="C33" i="1"/>
  <c r="D37" i="1"/>
  <c r="O14" i="2" s="1"/>
  <c r="Q14" i="2" s="1"/>
  <c r="C16" i="1"/>
  <c r="G54" i="1"/>
  <c r="D34" i="14"/>
  <c r="D12" i="2"/>
  <c r="D39" i="2"/>
  <c r="D24" i="2"/>
  <c r="D18" i="2"/>
  <c r="C29" i="1" l="1"/>
  <c r="B34" i="14"/>
  <c r="A57" i="1" s="1"/>
  <c r="H15" i="1"/>
  <c r="C43" i="8"/>
  <c r="G7" i="8"/>
  <c r="G8" i="8"/>
  <c r="G15" i="8"/>
  <c r="G14" i="8"/>
  <c r="D18" i="6" l="1"/>
  <c r="E17" i="6"/>
  <c r="E18" i="6" s="1"/>
  <c r="F17" i="6"/>
  <c r="F6" i="2"/>
  <c r="F7" i="2"/>
  <c r="F5" i="2"/>
  <c r="G17" i="6" l="1"/>
  <c r="H17" i="6" s="1"/>
  <c r="G7" i="6" l="1"/>
  <c r="F16" i="6"/>
  <c r="G16" i="6"/>
  <c r="H16" i="6" s="1"/>
  <c r="F15" i="6"/>
  <c r="F14" i="6"/>
  <c r="F13" i="6"/>
  <c r="F12" i="6"/>
  <c r="F11" i="6"/>
  <c r="F10" i="6"/>
  <c r="F9" i="6"/>
  <c r="F8" i="6"/>
  <c r="F7" i="6"/>
  <c r="C30" i="11"/>
  <c r="D30" i="11" s="1"/>
  <c r="E30" i="11" s="1"/>
  <c r="D29" i="11"/>
  <c r="C25" i="11"/>
  <c r="C19" i="11"/>
  <c r="D19" i="11" s="1"/>
  <c r="B14" i="11"/>
  <c r="E13" i="11"/>
  <c r="B10" i="11"/>
  <c r="E9" i="11"/>
  <c r="B6" i="11"/>
  <c r="E5" i="11"/>
  <c r="H7" i="6" l="1"/>
  <c r="E41" i="4"/>
  <c r="C52" i="1" s="1"/>
  <c r="E18" i="4"/>
  <c r="G42" i="1" s="1"/>
  <c r="F38" i="2"/>
  <c r="G38" i="2" s="1"/>
  <c r="F37" i="2"/>
  <c r="F33" i="2"/>
  <c r="G33" i="2" s="1"/>
  <c r="F17" i="2"/>
  <c r="G17" i="2" s="1"/>
  <c r="F23" i="2"/>
  <c r="G23" i="2" s="1"/>
  <c r="F11" i="2"/>
  <c r="G11" i="2" s="1"/>
  <c r="F32" i="2"/>
  <c r="F22" i="2"/>
  <c r="F10" i="2"/>
  <c r="F8" i="2"/>
  <c r="G8" i="2" s="1"/>
  <c r="F15" i="2"/>
  <c r="F18" i="2" s="1"/>
  <c r="G37" i="2"/>
  <c r="G28" i="2"/>
  <c r="G27" i="2"/>
  <c r="G21" i="2"/>
  <c r="G16" i="2"/>
  <c r="G6" i="2"/>
  <c r="G7" i="2"/>
  <c r="G9" i="2"/>
  <c r="G5" i="2"/>
  <c r="F34" i="2" l="1"/>
  <c r="G15" i="2"/>
  <c r="F12" i="2"/>
  <c r="F24" i="2"/>
  <c r="F39" i="2"/>
  <c r="D19" i="14"/>
  <c r="B19" i="14"/>
  <c r="A56" i="1" s="1"/>
  <c r="C44" i="1"/>
  <c r="C31" i="1"/>
  <c r="F41" i="2" l="1"/>
  <c r="G18" i="2"/>
  <c r="P9" i="2" s="1"/>
  <c r="I39" i="2" l="1"/>
  <c r="E39" i="2"/>
  <c r="G39" i="2"/>
  <c r="P12" i="2" s="1"/>
  <c r="Q12" i="2" s="1"/>
  <c r="E29" i="2" l="1"/>
  <c r="E32" i="2"/>
  <c r="E22" i="2"/>
  <c r="G22" i="2" s="1"/>
  <c r="G24" i="2" s="1"/>
  <c r="P10" i="2" s="1"/>
  <c r="E10" i="2"/>
  <c r="E18" i="2"/>
  <c r="E24" i="2" l="1"/>
  <c r="E12" i="2"/>
  <c r="G10" i="2"/>
  <c r="E34" i="2"/>
  <c r="G32" i="2"/>
  <c r="E41" i="2"/>
  <c r="G19" i="1" s="1"/>
  <c r="C9" i="15" l="1"/>
  <c r="C53" i="1" s="1"/>
  <c r="C49" i="1"/>
  <c r="D49" i="1" s="1"/>
  <c r="C39" i="1"/>
  <c r="D40" i="1" s="1"/>
  <c r="O15" i="2" s="1"/>
  <c r="Q15" i="2" s="1"/>
  <c r="C21" i="1"/>
  <c r="C18" i="1"/>
  <c r="D24" i="11" l="1"/>
  <c r="D25" i="11"/>
  <c r="E25" i="11" s="1"/>
  <c r="D18" i="11"/>
  <c r="E19" i="11" s="1"/>
  <c r="D14" i="11"/>
  <c r="D13" i="11"/>
  <c r="D10" i="11"/>
  <c r="D9" i="11"/>
  <c r="E10" i="11" l="1"/>
  <c r="E14" i="11"/>
  <c r="D6" i="11"/>
  <c r="D5" i="11"/>
  <c r="E6" i="11" l="1"/>
  <c r="E27" i="1" l="1"/>
  <c r="E7" i="8" l="1"/>
  <c r="C6" i="6"/>
  <c r="C42" i="1"/>
  <c r="D44" i="1" s="1"/>
  <c r="O11" i="2" s="1"/>
  <c r="C15" i="1"/>
  <c r="D16" i="1" s="1"/>
  <c r="F6" i="6" l="1"/>
  <c r="F18" i="6" s="1"/>
  <c r="C18" i="6"/>
  <c r="AU35" i="8"/>
  <c r="AP19" i="8"/>
  <c r="AO16" i="8"/>
  <c r="AQ16" i="8" s="1"/>
  <c r="AO15" i="8"/>
  <c r="AQ15" i="8" s="1"/>
  <c r="AO11" i="8"/>
  <c r="AP10" i="8"/>
  <c r="AO14" i="8"/>
  <c r="AQ14" i="8" s="1"/>
  <c r="AO8" i="8"/>
  <c r="AO9" i="8"/>
  <c r="AO13" i="8"/>
  <c r="AQ13" i="8" s="1"/>
  <c r="C56" i="1"/>
  <c r="AO7" i="8" l="1"/>
  <c r="D17" i="8"/>
  <c r="I12" i="2"/>
  <c r="I24" i="2"/>
  <c r="I18" i="2"/>
  <c r="I34" i="2"/>
  <c r="D34" i="2"/>
  <c r="B41" i="14" l="1"/>
  <c r="D38" i="14"/>
  <c r="B38" i="14"/>
  <c r="D23" i="14"/>
  <c r="B23" i="14"/>
  <c r="D5" i="8"/>
  <c r="A5" i="8"/>
  <c r="F34" i="11" l="1"/>
  <c r="F37" i="11" l="1"/>
  <c r="F39" i="11" l="1"/>
  <c r="AO18" i="8" l="1"/>
  <c r="AQ18" i="8" s="1"/>
  <c r="G34" i="2" l="1"/>
  <c r="P11" i="2" s="1"/>
  <c r="Q11" i="2" s="1"/>
  <c r="AP9" i="8"/>
  <c r="AQ9" i="8" s="1"/>
  <c r="A10" i="1" l="1"/>
  <c r="A1" i="8"/>
  <c r="D22" i="1"/>
  <c r="D19" i="1"/>
  <c r="H24" i="1"/>
  <c r="G15" i="6"/>
  <c r="H15" i="6" s="1"/>
  <c r="G9" i="6"/>
  <c r="H9" i="6" s="1"/>
  <c r="G10" i="6"/>
  <c r="H10" i="6" s="1"/>
  <c r="G11" i="6"/>
  <c r="H11" i="6" s="1"/>
  <c r="G12" i="6"/>
  <c r="H12" i="6" s="1"/>
  <c r="G13" i="6"/>
  <c r="G14" i="6"/>
  <c r="H14" i="6" s="1"/>
  <c r="G6" i="6"/>
  <c r="H6" i="6" s="1"/>
  <c r="AO17" i="8"/>
  <c r="D25" i="1"/>
  <c r="I29" i="2"/>
  <c r="I41" i="2" s="1"/>
  <c r="D29" i="2"/>
  <c r="D41" i="2" s="1"/>
  <c r="G18" i="1" s="1"/>
  <c r="G29" i="2"/>
  <c r="P13" i="2" s="1"/>
  <c r="Q13" i="2" s="1"/>
  <c r="D35" i="1"/>
  <c r="O9" i="2" s="1"/>
  <c r="Q9" i="2" s="1"/>
  <c r="G45" i="1"/>
  <c r="H46" i="1" s="1"/>
  <c r="H5" i="1"/>
  <c r="E5" i="1"/>
  <c r="H5" i="8"/>
  <c r="E5" i="8"/>
  <c r="D10" i="12"/>
  <c r="E11" i="13"/>
  <c r="E8" i="13"/>
  <c r="D61" i="1"/>
  <c r="AP7" i="8"/>
  <c r="H42" i="1"/>
  <c r="O10" i="2" l="1"/>
  <c r="Q10" i="2" s="1"/>
  <c r="H13" i="6"/>
  <c r="E20" i="11"/>
  <c r="G36" i="1"/>
  <c r="G33" i="1"/>
  <c r="G31" i="1"/>
  <c r="G30" i="1"/>
  <c r="G27" i="1"/>
  <c r="AQ17" i="8"/>
  <c r="AQ19" i="8" s="1"/>
  <c r="AO19" i="8"/>
  <c r="AQ7" i="8"/>
  <c r="H21" i="8"/>
  <c r="AO10" i="8"/>
  <c r="AO12" i="8" s="1"/>
  <c r="G12" i="2"/>
  <c r="D31" i="1"/>
  <c r="O8" i="2" s="1"/>
  <c r="G32" i="1"/>
  <c r="G28" i="1"/>
  <c r="G35" i="1"/>
  <c r="G8" i="6"/>
  <c r="H8" i="6" s="1"/>
  <c r="D14" i="12"/>
  <c r="D17" i="12" s="1"/>
  <c r="G18" i="6" l="1"/>
  <c r="H18" i="6"/>
  <c r="O16" i="2"/>
  <c r="G41" i="2"/>
  <c r="P8" i="2"/>
  <c r="Q8" i="2" s="1"/>
  <c r="G34" i="1"/>
  <c r="AO21" i="8"/>
  <c r="AQ10" i="8"/>
  <c r="H51" i="1"/>
  <c r="D29" i="8"/>
  <c r="D13" i="8"/>
  <c r="H19" i="1"/>
  <c r="C57" i="1"/>
  <c r="D57" i="1" s="1"/>
  <c r="D50" i="8"/>
  <c r="G29" i="1"/>
  <c r="H38" i="1" l="1"/>
  <c r="Q16" i="2"/>
  <c r="P16" i="2"/>
  <c r="AP11" i="8"/>
  <c r="AQ11" i="8" s="1"/>
  <c r="C33" i="8"/>
  <c r="D37" i="8" s="1"/>
  <c r="AP8" i="8" s="1"/>
  <c r="AP12" i="8" l="1"/>
  <c r="AP21" i="8" s="1"/>
  <c r="AQ8" i="8" l="1"/>
  <c r="AQ12" i="8" s="1"/>
  <c r="AQ21" i="8" s="1"/>
  <c r="H54" i="8" l="1"/>
  <c r="A63" i="1"/>
  <c r="D52" i="8" l="1"/>
  <c r="G55" i="1" s="1"/>
  <c r="H57" i="1" l="1"/>
  <c r="H63" i="1" s="1"/>
  <c r="E54" i="8"/>
  <c r="A52" i="8" s="1"/>
  <c r="A54" i="8" s="1"/>
  <c r="I64" i="8" s="1"/>
  <c r="E63" i="1"/>
  <c r="I71" i="1" s="1"/>
  <c r="D54" i="8"/>
  <c r="D63" i="1"/>
  <c r="J75" i="1" l="1"/>
  <c r="I70" i="1"/>
</calcChain>
</file>

<file path=xl/sharedStrings.xml><?xml version="1.0" encoding="utf-8"?>
<sst xmlns="http://schemas.openxmlformats.org/spreadsheetml/2006/main" count="664" uniqueCount="446">
  <si>
    <t>Liabilities</t>
  </si>
  <si>
    <t>Assets</t>
  </si>
  <si>
    <t>Share Capital</t>
  </si>
  <si>
    <t>Common Amenity Fund</t>
  </si>
  <si>
    <t>Sinking Fund</t>
  </si>
  <si>
    <t>Repair Fund</t>
  </si>
  <si>
    <t>Entrance Fees</t>
  </si>
  <si>
    <t>Sundry Creditors</t>
  </si>
  <si>
    <t>5% Retention payable to Regal Shades</t>
  </si>
  <si>
    <t>Total</t>
  </si>
  <si>
    <t>Saraswat Bank</t>
  </si>
  <si>
    <t>MDCC Bank (Repair  and  Painting A/c)</t>
  </si>
  <si>
    <t>Corporation Bank</t>
  </si>
  <si>
    <t>Accrued Interest on Fixed Deposits</t>
  </si>
  <si>
    <t>Deposits</t>
  </si>
  <si>
    <t>Share (MDCC)</t>
  </si>
  <si>
    <t>Share (MDHF)</t>
  </si>
  <si>
    <t>Security Deposit (Electricity)</t>
  </si>
  <si>
    <t>Land  and  Building Account</t>
  </si>
  <si>
    <t>Borewell Account</t>
  </si>
  <si>
    <t>Furniture  and  Fixtures</t>
  </si>
  <si>
    <t>Fencing</t>
  </si>
  <si>
    <t>Water Pump</t>
  </si>
  <si>
    <t>CCTV</t>
  </si>
  <si>
    <t>Prepaid Expenses</t>
  </si>
  <si>
    <t>Income</t>
  </si>
  <si>
    <t>Bonus</t>
  </si>
  <si>
    <t>Property Tax</t>
  </si>
  <si>
    <t>Water Expenses</t>
  </si>
  <si>
    <t>Garden Maintenance Expenses</t>
  </si>
  <si>
    <t>Pest Control Expenses</t>
  </si>
  <si>
    <t>Electrical Repair Maintenance</t>
  </si>
  <si>
    <t>Security Expenses</t>
  </si>
  <si>
    <t>Depreciation</t>
  </si>
  <si>
    <t>Insurance Expenses</t>
  </si>
  <si>
    <t>Audit Fees</t>
  </si>
  <si>
    <t>Accounting Charges</t>
  </si>
  <si>
    <t>Printing  and  Stationary</t>
  </si>
  <si>
    <t>Miscellaneous Expenses</t>
  </si>
  <si>
    <t>Maintenance Charges</t>
  </si>
  <si>
    <t>Water Charges</t>
  </si>
  <si>
    <t>Non Occupancy Charges</t>
  </si>
  <si>
    <t>Parking Charges</t>
  </si>
  <si>
    <t>Late Payment Interest</t>
  </si>
  <si>
    <t>Insurance Charges</t>
  </si>
  <si>
    <t>Date</t>
  </si>
  <si>
    <t>Amount Invested</t>
  </si>
  <si>
    <t>Maturity Date</t>
  </si>
  <si>
    <t>Maturity Value</t>
  </si>
  <si>
    <t>Interest %</t>
  </si>
  <si>
    <t>Bank</t>
  </si>
  <si>
    <t>MDCC</t>
  </si>
  <si>
    <t>Grand Total</t>
  </si>
  <si>
    <t xml:space="preserve">Conveyance </t>
  </si>
  <si>
    <t>Cash in hand</t>
  </si>
  <si>
    <t>As per last Balance Sheet</t>
  </si>
  <si>
    <t>Fixed Deposits (As per Schedule)</t>
  </si>
  <si>
    <t>Authorised Share Captial</t>
  </si>
  <si>
    <t>Add: Additions during the year</t>
  </si>
  <si>
    <t>Add: Contributions of Members</t>
  </si>
  <si>
    <t>Towards Land &amp; Building</t>
  </si>
  <si>
    <t>Sl.No</t>
  </si>
  <si>
    <t>Block</t>
  </si>
  <si>
    <t>Flat</t>
  </si>
  <si>
    <t>Name</t>
  </si>
  <si>
    <t>Amount</t>
  </si>
  <si>
    <t>Particulars</t>
  </si>
  <si>
    <t>Rate          %</t>
  </si>
  <si>
    <t>Depreciation for the year</t>
  </si>
  <si>
    <t>Furniture &amp; Fixtures</t>
  </si>
  <si>
    <t>Land &amp; Building Account</t>
  </si>
  <si>
    <t>Less: Transfer to:</t>
  </si>
  <si>
    <t xml:space="preserve">Property Tax </t>
  </si>
  <si>
    <t>Legal &amp; Professional Fees</t>
  </si>
  <si>
    <t>Add: Accrued/Earned Interest</t>
  </si>
  <si>
    <t>Lift</t>
  </si>
  <si>
    <t>Bank Charges</t>
  </si>
  <si>
    <t>Education &amp; Training Fund</t>
  </si>
  <si>
    <t xml:space="preserve"> </t>
  </si>
  <si>
    <t xml:space="preserve">Add: </t>
  </si>
  <si>
    <t>Balance as per Bank Passbook</t>
  </si>
  <si>
    <t>Sr. No.</t>
  </si>
  <si>
    <t>Plumbing Repair Maintenance</t>
  </si>
  <si>
    <t>Reserve Fund</t>
  </si>
  <si>
    <t>Common Electricity Charges</t>
  </si>
  <si>
    <t>R&amp;M / AMC - Lift</t>
  </si>
  <si>
    <t>VASANT VIEW CO-OP. HOUSING SOCIETY LIMITED.</t>
  </si>
  <si>
    <t>Printer</t>
  </si>
  <si>
    <t>Pest Control Exps</t>
  </si>
  <si>
    <t>Lift Maintenance</t>
  </si>
  <si>
    <t>Insurance</t>
  </si>
  <si>
    <t>5% Retention payable to RCC Structures</t>
  </si>
  <si>
    <t>Garage Charges (Property Tax)</t>
  </si>
  <si>
    <t>Intercom</t>
  </si>
  <si>
    <t>1. Rs.200 cash deposit on 23rd Aug 2019</t>
  </si>
  <si>
    <t>2. C wing toilet expenses 10th Jan 2020</t>
  </si>
  <si>
    <t>4. CCTV figures to be taken from Jerome</t>
  </si>
  <si>
    <t>5. 87000 - Rs.23,400 = 63600</t>
  </si>
  <si>
    <t>Meeting with Allwyn/Joshi/Jerome on 11th July at 8 pm</t>
  </si>
  <si>
    <t>Rs.100 each deposited in MDCC accounts</t>
  </si>
  <si>
    <t>Aug</t>
  </si>
  <si>
    <t>Sept</t>
  </si>
  <si>
    <t>Oct</t>
  </si>
  <si>
    <t>Nov</t>
  </si>
  <si>
    <t>Provision</t>
  </si>
  <si>
    <t>Dec to Mar 2020</t>
  </si>
  <si>
    <t>Done and provided Rs.2500 - Dec to Mar20</t>
  </si>
  <si>
    <t>3. Drive Rs.35,400 move to expense</t>
  </si>
  <si>
    <t>Done</t>
  </si>
  <si>
    <t>Jerome to give figures</t>
  </si>
  <si>
    <t>6. Garden maintenance - to move bonus here</t>
  </si>
  <si>
    <t>7. Rs.2400 garden maintenance</t>
  </si>
  <si>
    <t>8. Rs.500 to move lift to Intercomm asset</t>
  </si>
  <si>
    <t xml:space="preserve">9. Meter Rs.14925+17675 (electric refurbishing to merge </t>
  </si>
  <si>
    <t>10. Office renovation - Rs.7251 + 3600 from Major</t>
  </si>
  <si>
    <t>11. Rs.157349 to plumbing</t>
  </si>
  <si>
    <t>12. Advance schedule</t>
  </si>
  <si>
    <t>13. Ch # 031693 - Rs.90,690 to check</t>
  </si>
  <si>
    <t>14. Ch. 034316 - Rs.8160 breakup</t>
  </si>
  <si>
    <t>15. Rs.1980 + 9137 to move others from pumbling</t>
  </si>
  <si>
    <t>17. Rs.750 office renovation</t>
  </si>
  <si>
    <t>18. Ch. 031722 to electrical - Rs.1400</t>
  </si>
  <si>
    <t>19. salary ledger to be sent</t>
  </si>
  <si>
    <t>This is correct.</t>
  </si>
  <si>
    <t>20. Billing summary of FY 19-20</t>
  </si>
  <si>
    <t>done</t>
  </si>
  <si>
    <t>Major Repair payment made to RCC</t>
  </si>
  <si>
    <t>PDF file sent to Allwyn</t>
  </si>
  <si>
    <t>16. LED bulbs from electric to lift maint - Rs.2000</t>
  </si>
  <si>
    <t>Rs.750 for office renovation and Rs.650 plumbing are correct entries.</t>
  </si>
  <si>
    <t>VASANT VIEW A &amp; B CHS LTD</t>
  </si>
  <si>
    <t>Balance as per System (Book Balance)</t>
  </si>
  <si>
    <t xml:space="preserve">Less: </t>
  </si>
  <si>
    <t>Cheque issued but not presented (Outflow)</t>
  </si>
  <si>
    <t>Cheque deposited but not cleared (Inflow)</t>
  </si>
  <si>
    <t>Amount Debited by Bank but not entered in the system (Issued)</t>
  </si>
  <si>
    <t>Amount credited in Bank but not entered in the system (Deposit)</t>
  </si>
  <si>
    <t>Difference</t>
  </si>
  <si>
    <t>Particular</t>
  </si>
  <si>
    <t>Days</t>
  </si>
  <si>
    <t>Add:</t>
  </si>
  <si>
    <t>Lift - AMC</t>
  </si>
  <si>
    <t>SCB</t>
  </si>
  <si>
    <t>Other Current Assets</t>
  </si>
  <si>
    <t>VendorsName</t>
  </si>
  <si>
    <t>TOTAL</t>
  </si>
  <si>
    <t>Gate Opening Charges</t>
  </si>
  <si>
    <t>Provision for Income Tax</t>
  </si>
  <si>
    <t>Income from Savings A/c.</t>
  </si>
  <si>
    <t>Income from Fixed Deposit</t>
  </si>
  <si>
    <t>0-10000</t>
  </si>
  <si>
    <t>10000-20000</t>
  </si>
  <si>
    <t>20000 or More</t>
  </si>
  <si>
    <t>Tax</t>
  </si>
  <si>
    <t>Education cess</t>
  </si>
  <si>
    <t>Total Tax</t>
  </si>
  <si>
    <t>Water Pump Repair</t>
  </si>
  <si>
    <t>R&amp;M - Fire Fighting</t>
  </si>
  <si>
    <t>Income Tax Expenses</t>
  </si>
  <si>
    <t>Vendors Name</t>
  </si>
  <si>
    <t>Fan</t>
  </si>
  <si>
    <t>Asset</t>
  </si>
  <si>
    <t>Liability</t>
  </si>
  <si>
    <t>(FD Short)</t>
  </si>
  <si>
    <t>Investments</t>
  </si>
  <si>
    <t>Funds</t>
  </si>
  <si>
    <t>FD Excess</t>
  </si>
  <si>
    <t>Postage/ Telephone/ Internet Exp.</t>
  </si>
  <si>
    <t>Festival Expenses</t>
  </si>
  <si>
    <t>Name of the Member</t>
  </si>
  <si>
    <t>Schedule - A</t>
  </si>
  <si>
    <t>Schedule - B</t>
  </si>
  <si>
    <t>Member's Dues (as per schedule A)</t>
  </si>
  <si>
    <t>Advance from Members (Sch-B)</t>
  </si>
  <si>
    <t>Provision for Expenses (Sch -D)</t>
  </si>
  <si>
    <t>Vendors Payables (Sch - C)</t>
  </si>
  <si>
    <t>Advance to vendors (Sch - F)</t>
  </si>
  <si>
    <t>Schedule - E</t>
  </si>
  <si>
    <t>Fixed Assets ( Schedule - E )</t>
  </si>
  <si>
    <t>As per my report of even date</t>
  </si>
  <si>
    <t>To Water Expenses</t>
  </si>
  <si>
    <t>To Electricity Expenses</t>
  </si>
  <si>
    <t>Expenditure</t>
  </si>
  <si>
    <t>Authorised Share Capital</t>
  </si>
  <si>
    <t xml:space="preserve">Schedule - F </t>
  </si>
  <si>
    <t>(Amt. in Rs.)</t>
  </si>
  <si>
    <t>Schedule - C</t>
  </si>
  <si>
    <t>Schedule - D</t>
  </si>
  <si>
    <t xml:space="preserve">Provision for Expenses </t>
  </si>
  <si>
    <t>Flat No.</t>
  </si>
  <si>
    <t>Issued, Subscribed and Paid Up Share</t>
  </si>
  <si>
    <t>24.03.2025</t>
  </si>
  <si>
    <t>Edu. &amp; Trng. Fund</t>
  </si>
  <si>
    <t>TD100719487</t>
  </si>
  <si>
    <t>Meeting Expenses</t>
  </si>
  <si>
    <t>Other Income</t>
  </si>
  <si>
    <t>Shifting Charges</t>
  </si>
  <si>
    <t>Income from Sweep A/c.</t>
  </si>
  <si>
    <t>C</t>
  </si>
  <si>
    <t>TD1001134406</t>
  </si>
  <si>
    <t>Comm. Amen. Fund</t>
  </si>
  <si>
    <t>TD1001134417</t>
  </si>
  <si>
    <t>TD1001134251</t>
  </si>
  <si>
    <t>Education &amp; Training</t>
  </si>
  <si>
    <t>18.02.2025</t>
  </si>
  <si>
    <t>Gross Total Income</t>
  </si>
  <si>
    <t>Deduction u/s 80P</t>
  </si>
  <si>
    <t>Net Taxable Income</t>
  </si>
  <si>
    <t>Fines &amp; Penalties</t>
  </si>
  <si>
    <t>Interest on IT Refund</t>
  </si>
  <si>
    <t>Service Charges</t>
  </si>
  <si>
    <t>Water</t>
  </si>
  <si>
    <t>Electricity</t>
  </si>
  <si>
    <t>Expenses</t>
  </si>
  <si>
    <t>Surplus/ (Deficit)</t>
  </si>
  <si>
    <t>Parking</t>
  </si>
  <si>
    <t>NOC</t>
  </si>
  <si>
    <t>Late Payment</t>
  </si>
  <si>
    <t>Interest Income</t>
  </si>
  <si>
    <t>(A)</t>
  </si>
  <si>
    <t>(B)</t>
  </si>
  <si>
    <t>(C )</t>
  </si>
  <si>
    <t>Account Heads</t>
  </si>
  <si>
    <t>22.03.2026</t>
  </si>
  <si>
    <t>30.07.2025</t>
  </si>
  <si>
    <t>26.06.2025</t>
  </si>
  <si>
    <t>Sweeper Salary</t>
  </si>
  <si>
    <t>Gardner Salary</t>
  </si>
  <si>
    <t>Water tank &amp; Sewage system</t>
  </si>
  <si>
    <t>Staircase Railing</t>
  </si>
  <si>
    <t>Housekeeping Consumables</t>
  </si>
  <si>
    <t>General Repairs (Civil &amp; Carpentry)</t>
  </si>
  <si>
    <t>R&amp;M - CCTV &amp; Intercom</t>
  </si>
  <si>
    <t>Housekeeping &amp; Consumables</t>
  </si>
  <si>
    <t>By Contribution towards Maintenance :</t>
  </si>
  <si>
    <t>To Property &amp; N.A Tax :</t>
  </si>
  <si>
    <t>To Repair &amp; Maintenance :</t>
  </si>
  <si>
    <t>To Salary Expenses :</t>
  </si>
  <si>
    <t>To Service Charges :</t>
  </si>
  <si>
    <t>To Office Expenses :</t>
  </si>
  <si>
    <t>By Interest Income :</t>
  </si>
  <si>
    <t>Other Income :</t>
  </si>
  <si>
    <t>Interest on Fixed Deposits :</t>
  </si>
  <si>
    <t>Depreciation on Fixed Assets</t>
  </si>
  <si>
    <t>General Reserve &amp; Other Funds</t>
  </si>
  <si>
    <t>VASANT VIEW CO-OP. HSG. SOC. LTD. (A&amp;B Wing)</t>
  </si>
  <si>
    <t>Cash &amp; Bank Balance :</t>
  </si>
  <si>
    <t>Investments &amp; Deposits :</t>
  </si>
  <si>
    <t>Income &amp; Expenditure Account :</t>
  </si>
  <si>
    <t>Current Liabilities &amp; Provisions :</t>
  </si>
  <si>
    <t>Members Capital Contribution :</t>
  </si>
  <si>
    <t>Education &amp; Training Fund :</t>
  </si>
  <si>
    <t>Repair Fund :</t>
  </si>
  <si>
    <t>Sinking Fund :</t>
  </si>
  <si>
    <t>Common Amenity Fund :</t>
  </si>
  <si>
    <t>Reserve Fund :</t>
  </si>
  <si>
    <t>Transfer Premium :</t>
  </si>
  <si>
    <t>Transfer Fees :</t>
  </si>
  <si>
    <t>Accrued Int. 2024-25</t>
  </si>
  <si>
    <t>FY 2024-25</t>
  </si>
  <si>
    <t>Vasant View - Provisions &amp; Prepaid workings for FY 2024-25</t>
  </si>
  <si>
    <t>Security Deposit</t>
  </si>
  <si>
    <t>Advance from office Bearer</t>
  </si>
  <si>
    <t>Salary</t>
  </si>
  <si>
    <t>Gardenr Salary - C</t>
  </si>
  <si>
    <t>Security Charges - C</t>
  </si>
  <si>
    <t>Property Tax - C</t>
  </si>
  <si>
    <t>Other Charges</t>
  </si>
  <si>
    <t>Cheque Bounce Charges</t>
  </si>
  <si>
    <t>Manager Salary Not booked in Jan-25</t>
  </si>
  <si>
    <t>Sachin Salary not booked in Jan-25, Feb-25 &amp; Mar-25</t>
  </si>
  <si>
    <t>Property Tax A/C No. PN1805870430000 Bill booked for period FY2022 to 2025 Amount Rs.2,478, please check</t>
  </si>
  <si>
    <t>Tata Power Electricity Bill CA No.9000 0034 7794 Jan-25 bill not booked</t>
  </si>
  <si>
    <t>Tata Power Electricity Bill CA No.9000 0034 7826 Jan-25 bill not booked</t>
  </si>
  <si>
    <t>Tata Power Electricity Bill CA No.9000 0034 7860 Jan-25 bill not booked</t>
  </si>
  <si>
    <t>Tata Power Electricity Bill CA No.9000 0034 7874 Jan-25 bill not booked</t>
  </si>
  <si>
    <t>Tata Power Electricity Bill CA No.9000 0034 7891 Jan-25 bill not booked</t>
  </si>
  <si>
    <t>PN0001222</t>
  </si>
  <si>
    <t xml:space="preserve">PNK8460006 </t>
  </si>
  <si>
    <t>PNK9380006 </t>
  </si>
  <si>
    <t>Repair &amp; Maintenance Other</t>
  </si>
  <si>
    <t>Krishna Saple - Security Expe. Double bill booked in Sep-24 Paid in cash</t>
  </si>
  <si>
    <t>Krishna Saple - Jan-24 Security bill not booked</t>
  </si>
  <si>
    <t>Other Expenses</t>
  </si>
  <si>
    <t>Irene Rosario Accounting charges bill of Jan-Mar-25 bill not booked</t>
  </si>
  <si>
    <t>Salary Expenses</t>
  </si>
  <si>
    <t>Lift AMC provision made for 01.08.23 to 31.03.24 Rs.9.333/- but bill not booked in FY2024-25 of provision period</t>
  </si>
  <si>
    <t>Krishna Saple - garden maintenace Exp. Charges not booked of Mar-25 Rs.1,500/-</t>
  </si>
  <si>
    <t>Please check Insurance period</t>
  </si>
  <si>
    <t>VASANT VIEW C CHS LTD</t>
  </si>
  <si>
    <t>C Wing Saraswat Bank</t>
  </si>
  <si>
    <t>Corpoartion bank statement Required FY2024-25</t>
  </si>
  <si>
    <t>MDCC Bank (0006100600857)</t>
  </si>
  <si>
    <t>A</t>
  </si>
  <si>
    <t>B</t>
  </si>
  <si>
    <t>Mrs. Sunitha Nelson Mendonca &amp; Mr. Nelson A. Mendonca</t>
  </si>
  <si>
    <t>Mrs. Gloria S. Fernandes</t>
  </si>
  <si>
    <t>Mr. Benedict S. Soares</t>
  </si>
  <si>
    <t>Mr. Joaquim Fernandes &amp; Fenny B. Fernandes</t>
  </si>
  <si>
    <t>Mr. Joseph D. Collaco</t>
  </si>
  <si>
    <t>Mr. Merwyn Mascarenhas</t>
  </si>
  <si>
    <t>Mrs. Carol Mascarenhas &amp; Mr. Merwyn Mascarenhas</t>
  </si>
  <si>
    <t>Ms. Carmina Fernandes</t>
  </si>
  <si>
    <t>Mr. Clevy Rosario</t>
  </si>
  <si>
    <t>Mr. Paul Tony Menezes</t>
  </si>
  <si>
    <t>Vasant View Co-op. Hsg. Soc. Ltd.</t>
  </si>
  <si>
    <t xml:space="preserve">Vasant View Co-op. Housing Society Ltd. </t>
  </si>
  <si>
    <t>Adani Electricity Mumbai Ltd</t>
  </si>
  <si>
    <t xml:space="preserve">Dharmendra Shinde </t>
  </si>
  <si>
    <t>Gardener</t>
  </si>
  <si>
    <t xml:space="preserve">Krishna Saple </t>
  </si>
  <si>
    <t xml:space="preserve">Shrey Sanjay Shah </t>
  </si>
  <si>
    <t xml:space="preserve">Sweeper </t>
  </si>
  <si>
    <t xml:space="preserve">Swordsman Protection Service </t>
  </si>
  <si>
    <t xml:space="preserve">Tata Power </t>
  </si>
  <si>
    <t xml:space="preserve">Vasant view C Wing </t>
  </si>
  <si>
    <t xml:space="preserve">Vidhya Accounts Consultants </t>
  </si>
  <si>
    <t>Krishna Saple</t>
  </si>
  <si>
    <t xml:space="preserve">Sachin </t>
  </si>
  <si>
    <t>TDS Payable entries pending</t>
  </si>
  <si>
    <t>TDS Payable</t>
  </si>
  <si>
    <t>Professional Fees</t>
  </si>
  <si>
    <t>Lift AMC</t>
  </si>
  <si>
    <t>Provision N.A. Tax</t>
  </si>
  <si>
    <t>Refundable Deposit</t>
  </si>
  <si>
    <t>C-202</t>
  </si>
  <si>
    <t>C-203</t>
  </si>
  <si>
    <t>C-302</t>
  </si>
  <si>
    <t>C-304</t>
  </si>
  <si>
    <t>Unidentified Credit</t>
  </si>
  <si>
    <t>Opening</t>
  </si>
  <si>
    <t>1020813-4 5400011040_1</t>
  </si>
  <si>
    <t>18.08.2026</t>
  </si>
  <si>
    <t>1020814-4 5400011041_1</t>
  </si>
  <si>
    <t>TD1000719245_1</t>
  </si>
  <si>
    <t>TD1000719459_1</t>
  </si>
  <si>
    <t>Income Tax Provision not made</t>
  </si>
  <si>
    <t>Please check balance sheet side Retai earning, Unidentify credi….etc</t>
  </si>
  <si>
    <t>FD Schedule maturity date, value &amp; interest detail not updated FY2024-25, mark in red colour</t>
  </si>
  <si>
    <t>11.10.2025</t>
  </si>
  <si>
    <t>Property Tax Common area</t>
  </si>
  <si>
    <t>By Excess of Income over Expenditure</t>
  </si>
  <si>
    <t>Interest Income - Savings A/c</t>
  </si>
  <si>
    <t>TDS Receivables</t>
  </si>
  <si>
    <t>Less: TDS short booked FY 2023-24</t>
  </si>
  <si>
    <t>Irene Rosario</t>
  </si>
  <si>
    <t>Shri. Bharat C. Boridkar</t>
  </si>
  <si>
    <t>Govt. Certified Panel Auditor</t>
  </si>
  <si>
    <t>Accrued Int. 2025-26</t>
  </si>
  <si>
    <t>TD0000411007-3</t>
  </si>
  <si>
    <t>TD0000411008-3</t>
  </si>
  <si>
    <t>TD1000281021-2</t>
  </si>
  <si>
    <t>TD1000281015_2</t>
  </si>
  <si>
    <t>TD1000280978-2</t>
  </si>
  <si>
    <t>TD0000400794-2</t>
  </si>
  <si>
    <t>TD1000281044-2</t>
  </si>
  <si>
    <t>TD1001134370_1</t>
  </si>
  <si>
    <t>TD1001134388_1</t>
  </si>
  <si>
    <t>Utility A</t>
  </si>
  <si>
    <t>Utility B</t>
  </si>
  <si>
    <t>Utility C</t>
  </si>
  <si>
    <t>Mr. Devendra D. Sukhathankar</t>
  </si>
  <si>
    <t>Mr. Anthony Hanson Fernandes</t>
  </si>
  <si>
    <t>Mr. Sidharth K. Sabharwal</t>
  </si>
  <si>
    <t>Ms. Claudia N. Mahe</t>
  </si>
  <si>
    <t>Mr. Namdev A. Mhatre &amp; Mrs. Madhavi N. Mhatre</t>
  </si>
  <si>
    <t>Mrs. Carmina Fernandes</t>
  </si>
  <si>
    <t>Advance from Members as at 31-03-2026</t>
  </si>
  <si>
    <t>Members Dues as on 31-03-2026</t>
  </si>
  <si>
    <t>Ms. Anita Mendonca</t>
  </si>
  <si>
    <t>Argentina M. Cardozo and Michelle Cardozo</t>
  </si>
  <si>
    <t>Ms. Jennifred C Luiz</t>
  </si>
  <si>
    <t>Mr. Gleeson Rozario</t>
  </si>
  <si>
    <t>Mr. Shriram P. Singh &amp; Mrs. Gyanmati S. Singh</t>
  </si>
  <si>
    <t>Mr. Lawrence Dsouza &amp; Mrs. Doris Lawrence D''souza</t>
  </si>
  <si>
    <t>TD0000413196_1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</si>
  <si>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</si>
  <si>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</si>
  <si>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</si>
  <si>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</si>
  <si>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</si>
  <si>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Ladder</t>
  </si>
  <si>
    <t>1076328-6 5400011514_2</t>
  </si>
  <si>
    <t>11.10.2026</t>
  </si>
  <si>
    <t>Computer</t>
  </si>
  <si>
    <t xml:space="preserve">Garden Maintenance </t>
  </si>
  <si>
    <t>Balance Sheet as at 31st March 2026</t>
  </si>
  <si>
    <t>Previous Year 2024-25</t>
  </si>
  <si>
    <t>Current Year 2025-26</t>
  </si>
  <si>
    <t>Subscription Fedration</t>
  </si>
  <si>
    <t>Election Charges</t>
  </si>
  <si>
    <t>Deemed Conv (Saraswat Bank) 069534</t>
  </si>
  <si>
    <t>C Wing Repair (Saraswat Bank) 69488</t>
  </si>
  <si>
    <t>Fixed Assets as at 31st March 2026</t>
  </si>
  <si>
    <t>Computers</t>
  </si>
  <si>
    <t>Manager</t>
  </si>
  <si>
    <t>Vendor Payables &amp; Provisions as on 31-03-2026</t>
  </si>
  <si>
    <t>FY 2025-26</t>
  </si>
  <si>
    <t>Advance to Vendors as on 31-03-2026</t>
  </si>
  <si>
    <t xml:space="preserve">Reliable Pest Control </t>
  </si>
  <si>
    <t xml:space="preserve">CCTV &amp; Intercom Charges </t>
  </si>
  <si>
    <t xml:space="preserve">Major Repair Fund </t>
  </si>
  <si>
    <t>Member's Dues</t>
  </si>
  <si>
    <t>Conveyance Deed Fund</t>
  </si>
  <si>
    <t xml:space="preserve">Water Charges </t>
  </si>
  <si>
    <t xml:space="preserve">Audit Fees </t>
  </si>
  <si>
    <t>Add: Diff. of Accr. Int. of LY</t>
  </si>
  <si>
    <t>Less: Deficit/ (Surplus) for the period</t>
  </si>
  <si>
    <t>Posted Date</t>
  </si>
  <si>
    <t>Instr No</t>
  </si>
  <si>
    <t>Reconciled Date</t>
  </si>
  <si>
    <t>B 602</t>
  </si>
  <si>
    <t>Swordsman Protection Service</t>
  </si>
  <si>
    <t>Inflow</t>
  </si>
  <si>
    <t>Outflow</t>
  </si>
  <si>
    <t>Ledger</t>
  </si>
  <si>
    <t>Saraswat Bank Reconciliation Statement as on 31.03.2026</t>
  </si>
  <si>
    <t>A/c closed</t>
  </si>
  <si>
    <t xml:space="preserve">Saraswat Bank Reconciliation Statement as on 30.07.2025 - 152200100912972 </t>
  </si>
  <si>
    <t>MDCC Rep &amp; Paint. Bank Reconciliation Statement as on 31.03.2026 A/c. 1286</t>
  </si>
  <si>
    <t>MDCC Rep &amp; Paint. Bank Reconciliation Statement as on 31.03.2026 A/c. 0061006000857</t>
  </si>
  <si>
    <t xml:space="preserve">Saraswat Deemd Conv. Bank Reconciliation Statement as on 31.03.2026 - 610000000069534 </t>
  </si>
  <si>
    <t xml:space="preserve">Saraswat C wing Repair Bank Reconciliation Statement as on 31.03.2026 - 610000000069488 </t>
  </si>
  <si>
    <t>Round off</t>
  </si>
  <si>
    <t>Income Tax Provision</t>
  </si>
  <si>
    <t>Major Repair Fund</t>
  </si>
  <si>
    <t>Corpus Fund</t>
  </si>
  <si>
    <t>Investment to be made as of 31.03.2026</t>
  </si>
  <si>
    <t>Lift (Enhancement)</t>
  </si>
  <si>
    <t>Trfd to I&amp;E a/c</t>
  </si>
  <si>
    <t>Details of Fixed Deposits as on 31st March 2026</t>
  </si>
  <si>
    <t>22.03.2025</t>
  </si>
  <si>
    <t>17.06.2025</t>
  </si>
  <si>
    <t>17.07.2026</t>
  </si>
  <si>
    <t>30.08.2026</t>
  </si>
  <si>
    <t>26.09.2026</t>
  </si>
  <si>
    <t>24.03.2027</t>
  </si>
  <si>
    <t>22.03.2028</t>
  </si>
  <si>
    <t>D'Monte Lane, Orlem, Malad - West, Mumbai - 400 064</t>
  </si>
  <si>
    <t>[Panel No.: Mumbai-4/C1/1011404]</t>
  </si>
  <si>
    <t xml:space="preserve"> ( SECRETARY                                CHAIRMAN                              TREASURER )</t>
  </si>
  <si>
    <t>VASANT VIEW CO-OP HOUSING SOCIETY LTD.</t>
  </si>
  <si>
    <t>FOR VASANT VIEW CO-OP HOUSING SOCIETY LTD.</t>
  </si>
  <si>
    <t>Income and Expenditure A/c. for the year ended 31st March 2026</t>
  </si>
  <si>
    <t>Sachin</t>
  </si>
  <si>
    <t>Corpus  Fund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</si>
</sst>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&quot;Mumbai: &quot;dd&quot;th&quot;\ mmmm\,\ yyyy"/>
  </numFmts>
  <fonts count="2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b/>
      <sz val="12"/>
      <name val="Times New Roman"/>
      <family val="1"/>
    </font>
    <font>
      <b/>
      <u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626"/>
      <name val="Calibri"/>
      <family val="2"/>
    </font>
    <font>
      <sz val="11"/>
      <color rgb="FF000000"/>
      <name val="Calibri"/>
      <family val="2"/>
    </font>
    <font>
      <b/>
      <sz val="11"/>
      <color rgb="FF242626"/>
      <name val="Calibri"/>
      <family val="2"/>
    </font>
    <font>
      <b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0" fontId="26" fillId="0" borderId="0"/>
  </cellStyleXfs>
  <cellXfs count="319">
    <xf numFmtId="0" fontId="0" fillId="0" borderId="0" xfId="0"/>
    <xf numFmtId="0" fontId="7" fillId="0" borderId="0" xfId="0" applyFont="1"/>
    <xf numFmtId="0" fontId="0" fillId="0" borderId="1" xfId="0" applyBorder="1"/>
    <xf numFmtId="164" fontId="0" fillId="0" borderId="0" xfId="0" applyNumberFormat="1"/>
    <xf numFmtId="164" fontId="7" fillId="0" borderId="2" xfId="0" applyNumberFormat="1" applyFont="1" applyBorder="1"/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164" fontId="6" fillId="0" borderId="5" xfId="1" applyFont="1" applyBorder="1" applyAlignment="1">
      <alignment wrapText="1"/>
    </xf>
    <xf numFmtId="164" fontId="7" fillId="0" borderId="2" xfId="1" applyFont="1" applyBorder="1" applyAlignment="1">
      <alignment horizontal="right" vertical="center"/>
    </xf>
    <xf numFmtId="164" fontId="7" fillId="0" borderId="5" xfId="1" applyFont="1" applyBorder="1" applyAlignment="1">
      <alignment horizontal="left" vertical="center" wrapText="1"/>
    </xf>
    <xf numFmtId="164" fontId="6" fillId="0" borderId="5" xfId="1" applyFont="1" applyBorder="1" applyAlignment="1">
      <alignment horizontal="right"/>
    </xf>
    <xf numFmtId="43" fontId="0" fillId="0" borderId="0" xfId="0" applyNumberFormat="1"/>
    <xf numFmtId="0" fontId="0" fillId="0" borderId="5" xfId="0" applyBorder="1" applyAlignment="1">
      <alignment wrapText="1"/>
    </xf>
    <xf numFmtId="43" fontId="7" fillId="0" borderId="1" xfId="2" applyFont="1" applyBorder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  <xf numFmtId="164" fontId="6" fillId="0" borderId="6" xfId="1" applyFont="1" applyFill="1" applyBorder="1" applyAlignment="1">
      <alignment horizontal="right"/>
    </xf>
    <xf numFmtId="164" fontId="6" fillId="0" borderId="4" xfId="1" applyFont="1" applyFill="1" applyBorder="1" applyAlignment="1">
      <alignment horizontal="right"/>
    </xf>
    <xf numFmtId="164" fontId="7" fillId="0" borderId="4" xfId="1" applyFont="1" applyFill="1" applyBorder="1"/>
    <xf numFmtId="164" fontId="6" fillId="0" borderId="4" xfId="1" applyFont="1" applyFill="1" applyBorder="1"/>
    <xf numFmtId="164" fontId="6" fillId="0" borderId="5" xfId="1" applyFont="1" applyFill="1" applyBorder="1"/>
    <xf numFmtId="164" fontId="6" fillId="0" borderId="4" xfId="1" applyFont="1" applyFill="1" applyBorder="1" applyAlignment="1">
      <alignment wrapText="1"/>
    </xf>
    <xf numFmtId="164" fontId="6" fillId="0" borderId="6" xfId="1" applyFont="1" applyFill="1" applyBorder="1"/>
    <xf numFmtId="164" fontId="6" fillId="0" borderId="0" xfId="1" applyFont="1" applyFill="1" applyBorder="1"/>
    <xf numFmtId="0" fontId="0" fillId="0" borderId="8" xfId="0" applyBorder="1"/>
    <xf numFmtId="164" fontId="7" fillId="0" borderId="4" xfId="1" applyFont="1" applyFill="1" applyBorder="1" applyAlignment="1">
      <alignment horizontal="left" vertical="center" wrapText="1"/>
    </xf>
    <xf numFmtId="164" fontId="7" fillId="0" borderId="4" xfId="1" applyFont="1" applyFill="1" applyBorder="1" applyAlignment="1">
      <alignment horizontal="right"/>
    </xf>
    <xf numFmtId="0" fontId="0" fillId="0" borderId="5" xfId="0" applyBorder="1"/>
    <xf numFmtId="164" fontId="6" fillId="0" borderId="10" xfId="1" applyFont="1" applyFill="1" applyBorder="1"/>
    <xf numFmtId="43" fontId="6" fillId="0" borderId="0" xfId="2" applyFont="1" applyFill="1"/>
    <xf numFmtId="164" fontId="6" fillId="0" borderId="5" xfId="1" applyFont="1" applyFill="1" applyBorder="1" applyAlignment="1">
      <alignment wrapText="1"/>
    </xf>
    <xf numFmtId="164" fontId="6" fillId="0" borderId="5" xfId="1" applyFont="1" applyFill="1" applyBorder="1" applyAlignment="1">
      <alignment horizontal="right"/>
    </xf>
    <xf numFmtId="164" fontId="7" fillId="0" borderId="5" xfId="1" applyFont="1" applyFill="1" applyBorder="1" applyAlignment="1">
      <alignment horizontal="left" vertical="center" wrapText="1"/>
    </xf>
    <xf numFmtId="164" fontId="7" fillId="0" borderId="13" xfId="1" applyFont="1" applyFill="1" applyBorder="1" applyAlignment="1">
      <alignment vertical="center" wrapText="1"/>
    </xf>
    <xf numFmtId="164" fontId="7" fillId="0" borderId="2" xfId="1" applyFont="1" applyFill="1" applyBorder="1" applyAlignment="1">
      <alignment horizontal="right" vertical="center"/>
    </xf>
    <xf numFmtId="164" fontId="6" fillId="0" borderId="5" xfId="1" applyFont="1" applyBorder="1"/>
    <xf numFmtId="164" fontId="6" fillId="0" borderId="5" xfId="1" applyFont="1" applyBorder="1" applyAlignment="1">
      <alignment horizontal="left" vertical="center" wrapText="1"/>
    </xf>
    <xf numFmtId="43" fontId="6" fillId="0" borderId="0" xfId="2" applyFont="1" applyBorder="1"/>
    <xf numFmtId="164" fontId="7" fillId="0" borderId="12" xfId="1" applyFont="1" applyFill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17" xfId="0" applyFont="1" applyBorder="1"/>
    <xf numFmtId="4" fontId="12" fillId="0" borderId="17" xfId="0" applyNumberFormat="1" applyFont="1" applyBorder="1"/>
    <xf numFmtId="43" fontId="11" fillId="0" borderId="0" xfId="0" applyNumberFormat="1" applyFont="1"/>
    <xf numFmtId="43" fontId="11" fillId="0" borderId="17" xfId="0" applyNumberFormat="1" applyFont="1" applyBorder="1" applyAlignment="1">
      <alignment horizontal="right"/>
    </xf>
    <xf numFmtId="0" fontId="10" fillId="0" borderId="17" xfId="0" applyFont="1" applyBorder="1"/>
    <xf numFmtId="0" fontId="13" fillId="0" borderId="0" xfId="0" applyFont="1"/>
    <xf numFmtId="4" fontId="11" fillId="0" borderId="0" xfId="0" applyNumberFormat="1" applyFont="1"/>
    <xf numFmtId="43" fontId="7" fillId="0" borderId="0" xfId="2" applyFont="1" applyBorder="1"/>
    <xf numFmtId="164" fontId="6" fillId="0" borderId="5" xfId="1" applyFont="1" applyFill="1" applyBorder="1" applyAlignment="1"/>
    <xf numFmtId="164" fontId="6" fillId="0" borderId="12" xfId="1" applyFont="1" applyFill="1" applyBorder="1"/>
    <xf numFmtId="164" fontId="6" fillId="0" borderId="8" xfId="1" applyFont="1" applyFill="1" applyBorder="1"/>
    <xf numFmtId="4" fontId="14" fillId="0" borderId="17" xfId="0" applyNumberFormat="1" applyFont="1" applyBorder="1"/>
    <xf numFmtId="0" fontId="10" fillId="0" borderId="17" xfId="0" applyFont="1" applyBorder="1" applyAlignment="1">
      <alignment horizontal="center"/>
    </xf>
    <xf numFmtId="9" fontId="0" fillId="0" borderId="0" xfId="0" applyNumberFormat="1"/>
    <xf numFmtId="0" fontId="4" fillId="0" borderId="0" xfId="0" applyFont="1"/>
    <xf numFmtId="0" fontId="7" fillId="0" borderId="1" xfId="0" applyFont="1" applyBorder="1" applyAlignment="1">
      <alignment horizontal="center"/>
    </xf>
    <xf numFmtId="166" fontId="6" fillId="0" borderId="1" xfId="2" applyNumberFormat="1" applyFont="1" applyBorder="1"/>
    <xf numFmtId="166" fontId="7" fillId="0" borderId="1" xfId="2" applyNumberFormat="1" applyFont="1" applyBorder="1"/>
    <xf numFmtId="165" fontId="0" fillId="0" borderId="0" xfId="0" applyNumberFormat="1"/>
    <xf numFmtId="164" fontId="6" fillId="0" borderId="0" xfId="1" applyFont="1" applyFill="1" applyBorder="1" applyAlignment="1">
      <alignment horizontal="right"/>
    </xf>
    <xf numFmtId="164" fontId="7" fillId="0" borderId="12" xfId="1" applyFont="1" applyFill="1" applyBorder="1"/>
    <xf numFmtId="0" fontId="7" fillId="0" borderId="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43" fontId="7" fillId="0" borderId="2" xfId="0" applyNumberFormat="1" applyFont="1" applyBorder="1"/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5" xfId="0" applyFont="1" applyBorder="1"/>
    <xf numFmtId="164" fontId="0" fillId="0" borderId="0" xfId="1" applyFont="1" applyFill="1"/>
    <xf numFmtId="0" fontId="0" fillId="0" borderId="24" xfId="0" applyBorder="1"/>
    <xf numFmtId="164" fontId="0" fillId="0" borderId="6" xfId="1" applyFont="1" applyFill="1" applyBorder="1"/>
    <xf numFmtId="43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/>
    <xf numFmtId="164" fontId="7" fillId="0" borderId="1" xfId="0" applyNumberFormat="1" applyFont="1" applyBorder="1"/>
    <xf numFmtId="43" fontId="0" fillId="0" borderId="1" xfId="2" applyFont="1" applyFill="1" applyBorder="1"/>
    <xf numFmtId="43" fontId="6" fillId="0" borderId="1" xfId="2" applyFont="1" applyFill="1" applyBorder="1"/>
    <xf numFmtId="164" fontId="0" fillId="0" borderId="0" xfId="1" applyFont="1"/>
    <xf numFmtId="0" fontId="9" fillId="0" borderId="5" xfId="0" applyFont="1" applyBorder="1" applyAlignment="1">
      <alignment horizontal="left" vertical="center" wrapText="1"/>
    </xf>
    <xf numFmtId="0" fontId="0" fillId="0" borderId="26" xfId="0" applyBorder="1"/>
    <xf numFmtId="43" fontId="7" fillId="0" borderId="2" xfId="2" applyFont="1" applyBorder="1"/>
    <xf numFmtId="43" fontId="6" fillId="0" borderId="26" xfId="2" applyFont="1" applyBorder="1"/>
    <xf numFmtId="0" fontId="7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43" fontId="6" fillId="0" borderId="3" xfId="2" applyFont="1" applyBorder="1"/>
    <xf numFmtId="0" fontId="22" fillId="0" borderId="0" xfId="0" applyFont="1"/>
    <xf numFmtId="164" fontId="6" fillId="0" borderId="0" xfId="1" applyFont="1" applyFill="1" applyBorder="1" applyAlignment="1">
      <alignment wrapText="1"/>
    </xf>
    <xf numFmtId="14" fontId="0" fillId="0" borderId="0" xfId="0" applyNumberFormat="1"/>
    <xf numFmtId="14" fontId="7" fillId="0" borderId="0" xfId="0" applyNumberFormat="1" applyFont="1"/>
    <xf numFmtId="0" fontId="11" fillId="0" borderId="0" xfId="0" applyFont="1" applyAlignment="1">
      <alignment horizontal="center"/>
    </xf>
    <xf numFmtId="0" fontId="7" fillId="0" borderId="1" xfId="0" applyFont="1" applyBorder="1"/>
    <xf numFmtId="0" fontId="7" fillId="0" borderId="27" xfId="0" applyFont="1" applyBorder="1"/>
    <xf numFmtId="0" fontId="7" fillId="0" borderId="28" xfId="0" applyFont="1" applyBorder="1"/>
    <xf numFmtId="166" fontId="7" fillId="0" borderId="1" xfId="0" applyNumberFormat="1" applyFont="1" applyBorder="1" applyAlignment="1">
      <alignment horizontal="center"/>
    </xf>
    <xf numFmtId="166" fontId="6" fillId="0" borderId="1" xfId="2" applyNumberFormat="1" applyFont="1" applyFill="1" applyBorder="1"/>
    <xf numFmtId="166" fontId="7" fillId="0" borderId="1" xfId="2" applyNumberFormat="1" applyFont="1" applyFill="1" applyBorder="1"/>
    <xf numFmtId="0" fontId="0" fillId="0" borderId="12" xfId="0" applyBorder="1"/>
    <xf numFmtId="43" fontId="6" fillId="0" borderId="0" xfId="2" applyFont="1" applyFill="1" applyBorder="1"/>
    <xf numFmtId="43" fontId="7" fillId="0" borderId="2" xfId="2" applyFont="1" applyFill="1" applyBorder="1"/>
    <xf numFmtId="0" fontId="0" fillId="0" borderId="0" xfId="0" applyAlignment="1">
      <alignment horizontal="left"/>
    </xf>
    <xf numFmtId="43" fontId="7" fillId="0" borderId="0" xfId="2" applyFont="1" applyFill="1" applyBorder="1"/>
    <xf numFmtId="43" fontId="7" fillId="0" borderId="1" xfId="2" applyFont="1" applyFill="1" applyBorder="1"/>
    <xf numFmtId="0" fontId="0" fillId="0" borderId="13" xfId="0" applyBorder="1"/>
    <xf numFmtId="0" fontId="0" fillId="0" borderId="7" xfId="0" applyBorder="1"/>
    <xf numFmtId="0" fontId="9" fillId="0" borderId="5" xfId="0" applyFont="1" applyBorder="1"/>
    <xf numFmtId="43" fontId="22" fillId="0" borderId="0" xfId="0" applyNumberFormat="1" applyFont="1"/>
    <xf numFmtId="43" fontId="6" fillId="0" borderId="8" xfId="2" applyFont="1" applyFill="1" applyBorder="1"/>
    <xf numFmtId="166" fontId="0" fillId="0" borderId="0" xfId="0" applyNumberFormat="1"/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7" fillId="0" borderId="5" xfId="1" applyFont="1" applyBorder="1"/>
    <xf numFmtId="164" fontId="7" fillId="0" borderId="0" xfId="1" applyFont="1" applyFill="1" applyBorder="1" applyAlignment="1">
      <alignment horizontal="left" vertical="center" wrapText="1"/>
    </xf>
    <xf numFmtId="164" fontId="7" fillId="0" borderId="25" xfId="1" applyFont="1" applyFill="1" applyBorder="1" applyAlignment="1">
      <alignment horizontal="left" vertical="center" wrapText="1"/>
    </xf>
    <xf numFmtId="164" fontId="7" fillId="0" borderId="4" xfId="1" applyFont="1" applyFill="1" applyBorder="1" applyAlignment="1">
      <alignment wrapText="1"/>
    </xf>
    <xf numFmtId="164" fontId="6" fillId="0" borderId="15" xfId="1" applyFont="1" applyFill="1" applyBorder="1" applyAlignment="1">
      <alignment horizontal="right"/>
    </xf>
    <xf numFmtId="164" fontId="6" fillId="0" borderId="0" xfId="1" applyFont="1" applyFill="1" applyBorder="1" applyAlignment="1">
      <alignment horizontal="left" vertical="center" wrapText="1"/>
    </xf>
    <xf numFmtId="164" fontId="6" fillId="0" borderId="15" xfId="1" applyFont="1" applyFill="1" applyBorder="1"/>
    <xf numFmtId="164" fontId="6" fillId="0" borderId="4" xfId="1" applyFill="1" applyBorder="1" applyAlignment="1">
      <alignment horizontal="left" vertical="center" wrapText="1"/>
    </xf>
    <xf numFmtId="0" fontId="7" fillId="0" borderId="5" xfId="0" applyFont="1" applyBorder="1" applyAlignment="1">
      <alignment wrapText="1"/>
    </xf>
    <xf numFmtId="164" fontId="6" fillId="0" borderId="15" xfId="1" applyFont="1" applyFill="1" applyBorder="1" applyAlignment="1">
      <alignment wrapText="1"/>
    </xf>
    <xf numFmtId="1" fontId="0" fillId="0" borderId="1" xfId="0" applyNumberFormat="1" applyBorder="1" applyAlignment="1">
      <alignment horizontal="left"/>
    </xf>
    <xf numFmtId="14" fontId="11" fillId="0" borderId="1" xfId="0" applyNumberFormat="1" applyFont="1" applyBorder="1"/>
    <xf numFmtId="0" fontId="11" fillId="0" borderId="1" xfId="0" applyFont="1" applyBorder="1"/>
    <xf numFmtId="43" fontId="11" fillId="0" borderId="1" xfId="0" applyNumberFormat="1" applyFont="1" applyBorder="1"/>
    <xf numFmtId="164" fontId="11" fillId="0" borderId="1" xfId="1" applyFont="1" applyBorder="1"/>
    <xf numFmtId="0" fontId="10" fillId="0" borderId="1" xfId="0" applyFont="1" applyBorder="1" applyAlignment="1">
      <alignment horizontal="center"/>
    </xf>
    <xf numFmtId="164" fontId="12" fillId="0" borderId="17" xfId="1" applyFont="1" applyBorder="1"/>
    <xf numFmtId="164" fontId="11" fillId="0" borderId="17" xfId="1" applyFont="1" applyBorder="1"/>
    <xf numFmtId="164" fontId="14" fillId="0" borderId="17" xfId="1" applyFont="1" applyBorder="1"/>
    <xf numFmtId="1" fontId="11" fillId="0" borderId="1" xfId="0" applyNumberFormat="1" applyFont="1" applyBorder="1" applyAlignment="1">
      <alignment horizontal="center"/>
    </xf>
    <xf numFmtId="164" fontId="11" fillId="0" borderId="26" xfId="1" applyFont="1" applyBorder="1"/>
    <xf numFmtId="14" fontId="11" fillId="0" borderId="1" xfId="0" applyNumberFormat="1" applyFont="1" applyBorder="1" applyAlignment="1">
      <alignment horizontal="center"/>
    </xf>
    <xf numFmtId="43" fontId="0" fillId="0" borderId="0" xfId="2" applyFont="1" applyFill="1"/>
    <xf numFmtId="43" fontId="0" fillId="0" borderId="24" xfId="2" applyFont="1" applyFill="1" applyBorder="1"/>
    <xf numFmtId="43" fontId="6" fillId="0" borderId="24" xfId="2" applyFont="1" applyFill="1" applyBorder="1"/>
    <xf numFmtId="0" fontId="0" fillId="0" borderId="12" xfId="0" applyBorder="1" applyAlignment="1">
      <alignment horizontal="center"/>
    </xf>
    <xf numFmtId="43" fontId="6" fillId="0" borderId="1" xfId="2" applyFont="1" applyFill="1" applyBorder="1" applyAlignment="1">
      <alignment horizontal="center"/>
    </xf>
    <xf numFmtId="43" fontId="6" fillId="0" borderId="16" xfId="2" applyFont="1" applyFill="1" applyBorder="1" applyAlignment="1">
      <alignment horizontal="center"/>
    </xf>
    <xf numFmtId="43" fontId="6" fillId="0" borderId="12" xfId="2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43" fontId="6" fillId="0" borderId="0" xfId="2" applyFont="1" applyFill="1" applyBorder="1" applyAlignment="1">
      <alignment horizontal="center"/>
    </xf>
    <xf numFmtId="164" fontId="6" fillId="0" borderId="4" xfId="1" applyFont="1" applyFill="1" applyBorder="1" applyAlignment="1">
      <alignment horizontal="left" vertical="center" wrapText="1"/>
    </xf>
    <xf numFmtId="164" fontId="6" fillId="0" borderId="6" xfId="1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11" fillId="0" borderId="5" xfId="0" applyNumberFormat="1" applyFont="1" applyBorder="1" applyAlignment="1">
      <alignment vertical="center"/>
    </xf>
    <xf numFmtId="43" fontId="10" fillId="0" borderId="12" xfId="0" applyNumberFormat="1" applyFont="1" applyBorder="1" applyAlignment="1">
      <alignment vertical="center"/>
    </xf>
    <xf numFmtId="43" fontId="0" fillId="0" borderId="0" xfId="2" applyFont="1" applyAlignment="1">
      <alignment vertical="center"/>
    </xf>
    <xf numFmtId="43" fontId="11" fillId="0" borderId="12" xfId="0" applyNumberFormat="1" applyFont="1" applyBorder="1" applyAlignment="1">
      <alignment vertical="center"/>
    </xf>
    <xf numFmtId="43" fontId="25" fillId="0" borderId="0" xfId="2" applyFont="1" applyFill="1" applyAlignment="1">
      <alignment vertical="center"/>
    </xf>
    <xf numFmtId="43" fontId="10" fillId="0" borderId="5" xfId="0" applyNumberFormat="1" applyFont="1" applyBorder="1" applyAlignment="1">
      <alignment vertical="center"/>
    </xf>
    <xf numFmtId="43" fontId="10" fillId="0" borderId="3" xfId="0" applyNumberFormat="1" applyFont="1" applyBorder="1" applyAlignment="1">
      <alignment vertical="center"/>
    </xf>
    <xf numFmtId="43" fontId="11" fillId="0" borderId="3" xfId="0" applyNumberFormat="1" applyFont="1" applyBorder="1" applyAlignment="1">
      <alignment vertical="center"/>
    </xf>
    <xf numFmtId="43" fontId="10" fillId="0" borderId="15" xfId="0" applyNumberFormat="1" applyFont="1" applyBorder="1" applyAlignment="1">
      <alignment vertical="center"/>
    </xf>
    <xf numFmtId="164" fontId="7" fillId="0" borderId="26" xfId="1" applyFont="1" applyFill="1" applyBorder="1" applyAlignment="1">
      <alignment vertical="center" wrapText="1"/>
    </xf>
    <xf numFmtId="0" fontId="0" fillId="0" borderId="32" xfId="0" applyBorder="1"/>
    <xf numFmtId="164" fontId="7" fillId="0" borderId="33" xfId="1" applyFont="1" applyFill="1" applyBorder="1"/>
    <xf numFmtId="164" fontId="7" fillId="0" borderId="32" xfId="1" applyFont="1" applyFill="1" applyBorder="1"/>
    <xf numFmtId="164" fontId="6" fillId="0" borderId="32" xfId="1" applyFont="1" applyFill="1" applyBorder="1"/>
    <xf numFmtId="164" fontId="7" fillId="0" borderId="34" xfId="1" applyFont="1" applyFill="1" applyBorder="1"/>
    <xf numFmtId="164" fontId="6" fillId="0" borderId="34" xfId="1" applyFont="1" applyFill="1" applyBorder="1"/>
    <xf numFmtId="164" fontId="7" fillId="0" borderId="32" xfId="1" applyFont="1" applyFill="1" applyBorder="1" applyAlignment="1">
      <alignment horizontal="right"/>
    </xf>
    <xf numFmtId="164" fontId="7" fillId="0" borderId="35" xfId="1" applyFont="1" applyFill="1" applyBorder="1" applyAlignment="1">
      <alignment horizontal="right" vertical="center"/>
    </xf>
    <xf numFmtId="164" fontId="7" fillId="0" borderId="16" xfId="1" applyFont="1" applyFill="1" applyBorder="1" applyAlignment="1">
      <alignment horizontal="right" vertical="center"/>
    </xf>
    <xf numFmtId="164" fontId="7" fillId="0" borderId="36" xfId="1" applyFont="1" applyFill="1" applyBorder="1" applyAlignment="1">
      <alignment horizontal="left" vertical="center" wrapText="1"/>
    </xf>
    <xf numFmtId="164" fontId="7" fillId="0" borderId="32" xfId="1" applyFont="1" applyFill="1" applyBorder="1" applyAlignment="1">
      <alignment horizontal="left" vertical="center" wrapText="1"/>
    </xf>
    <xf numFmtId="164" fontId="7" fillId="0" borderId="32" xfId="1" applyFont="1" applyFill="1" applyBorder="1" applyAlignment="1">
      <alignment wrapText="1"/>
    </xf>
    <xf numFmtId="164" fontId="6" fillId="0" borderId="32" xfId="1" applyFont="1" applyFill="1" applyBorder="1" applyAlignment="1">
      <alignment wrapText="1"/>
    </xf>
    <xf numFmtId="164" fontId="6" fillId="0" borderId="32" xfId="1" applyFont="1" applyFill="1" applyBorder="1" applyAlignment="1">
      <alignment horizontal="right"/>
    </xf>
    <xf numFmtId="0" fontId="0" fillId="0" borderId="0" xfId="0" applyAlignment="1">
      <alignment wrapText="1"/>
    </xf>
    <xf numFmtId="164" fontId="6" fillId="0" borderId="0" xfId="1" applyFill="1" applyBorder="1" applyAlignment="1">
      <alignment horizontal="left" vertical="center" wrapText="1"/>
    </xf>
    <xf numFmtId="43" fontId="11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vertical="center"/>
    </xf>
    <xf numFmtId="9" fontId="6" fillId="0" borderId="4" xfId="4" applyFont="1" applyBorder="1" applyAlignment="1">
      <alignment horizontal="center" vertical="center"/>
    </xf>
    <xf numFmtId="165" fontId="6" fillId="0" borderId="0" xfId="1" applyNumberFormat="1" applyFont="1" applyBorder="1" applyAlignment="1">
      <alignment vertical="center"/>
    </xf>
    <xf numFmtId="43" fontId="6" fillId="0" borderId="4" xfId="2" applyFont="1" applyBorder="1" applyAlignment="1">
      <alignment vertical="center"/>
    </xf>
    <xf numFmtId="165" fontId="6" fillId="0" borderId="4" xfId="2" applyNumberFormat="1" applyFont="1" applyBorder="1" applyAlignment="1">
      <alignment vertical="center"/>
    </xf>
    <xf numFmtId="165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6" fontId="6" fillId="0" borderId="4" xfId="2" applyNumberFormat="1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65" fontId="6" fillId="0" borderId="25" xfId="2" applyNumberFormat="1" applyFont="1" applyBorder="1" applyAlignment="1">
      <alignment vertical="center"/>
    </xf>
    <xf numFmtId="165" fontId="7" fillId="0" borderId="42" xfId="0" applyNumberFormat="1" applyFont="1" applyBorder="1" applyAlignment="1">
      <alignment vertical="center"/>
    </xf>
    <xf numFmtId="165" fontId="6" fillId="0" borderId="1" xfId="1" applyNumberFormat="1" applyFont="1" applyBorder="1" applyAlignment="1">
      <alignment horizontal="center"/>
    </xf>
    <xf numFmtId="165" fontId="6" fillId="0" borderId="0" xfId="1" applyNumberFormat="1" applyFont="1" applyAlignment="1">
      <alignment horizontal="center"/>
    </xf>
    <xf numFmtId="0" fontId="7" fillId="0" borderId="42" xfId="0" applyFont="1" applyBorder="1" applyAlignment="1">
      <alignment horizontal="center"/>
    </xf>
    <xf numFmtId="165" fontId="7" fillId="0" borderId="42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6" fillId="0" borderId="6" xfId="1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65" fontId="2" fillId="0" borderId="42" xfId="1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" fontId="1" fillId="0" borderId="6" xfId="3" applyNumberFormat="1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165" fontId="1" fillId="0" borderId="6" xfId="1" applyNumberFormat="1" applyFont="1" applyFill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1" fillId="0" borderId="8" xfId="1" applyNumberFormat="1" applyFont="1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165" fontId="1" fillId="0" borderId="8" xfId="1" applyNumberFormat="1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3" fontId="2" fillId="0" borderId="2" xfId="3" applyNumberFormat="1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1" fillId="0" borderId="1" xfId="3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14" xfId="1" applyNumberFormat="1" applyFont="1" applyFill="1" applyBorder="1" applyAlignment="1">
      <alignment horizontal="center" vertical="center"/>
    </xf>
    <xf numFmtId="0" fontId="1" fillId="0" borderId="14" xfId="3" applyBorder="1" applyAlignment="1">
      <alignment horizontal="center" vertical="center"/>
    </xf>
    <xf numFmtId="165" fontId="2" fillId="0" borderId="13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5" fontId="0" fillId="0" borderId="4" xfId="1" applyNumberFormat="1" applyFont="1" applyFill="1" applyBorder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0" xfId="1" applyFont="1" applyFill="1" applyBorder="1"/>
    <xf numFmtId="165" fontId="7" fillId="0" borderId="6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9" fillId="0" borderId="4" xfId="0" applyFont="1" applyBorder="1"/>
    <xf numFmtId="0" fontId="0" fillId="0" borderId="4" xfId="0" applyBorder="1" applyAlignment="1">
      <alignment wrapText="1"/>
    </xf>
    <xf numFmtId="0" fontId="0" fillId="0" borderId="4" xfId="0" applyBorder="1"/>
    <xf numFmtId="164" fontId="7" fillId="0" borderId="32" xfId="0" applyNumberFormat="1" applyFont="1" applyBorder="1"/>
    <xf numFmtId="0" fontId="9" fillId="0" borderId="4" xfId="0" applyFont="1" applyBorder="1" applyAlignment="1">
      <alignment horizontal="left" vertical="center" wrapText="1"/>
    </xf>
    <xf numFmtId="164" fontId="7" fillId="0" borderId="4" xfId="0" applyNumberFormat="1" applyFont="1" applyBorder="1"/>
    <xf numFmtId="43" fontId="7" fillId="0" borderId="4" xfId="0" applyNumberFormat="1" applyFont="1" applyBorder="1"/>
    <xf numFmtId="0" fontId="0" fillId="0" borderId="9" xfId="0" applyBorder="1"/>
    <xf numFmtId="164" fontId="0" fillId="0" borderId="3" xfId="0" applyNumberFormat="1" applyBorder="1"/>
    <xf numFmtId="164" fontId="7" fillId="0" borderId="12" xfId="0" applyNumberFormat="1" applyFont="1" applyBorder="1"/>
    <xf numFmtId="164" fontId="7" fillId="0" borderId="34" xfId="0" applyNumberFormat="1" applyFont="1" applyBorder="1"/>
    <xf numFmtId="164" fontId="0" fillId="0" borderId="5" xfId="0" applyNumberFormat="1" applyBorder="1" applyAlignment="1">
      <alignment wrapText="1"/>
    </xf>
    <xf numFmtId="17" fontId="0" fillId="0" borderId="0" xfId="0" applyNumberFormat="1"/>
    <xf numFmtId="0" fontId="9" fillId="0" borderId="0" xfId="0" applyFont="1"/>
    <xf numFmtId="164" fontId="0" fillId="0" borderId="12" xfId="0" applyNumberFormat="1" applyBorder="1" applyAlignment="1">
      <alignment wrapText="1"/>
    </xf>
    <xf numFmtId="0" fontId="9" fillId="0" borderId="5" xfId="0" applyFont="1" applyBorder="1" applyAlignment="1">
      <alignment wrapText="1"/>
    </xf>
    <xf numFmtId="0" fontId="0" fillId="0" borderId="34" xfId="0" applyBorder="1"/>
    <xf numFmtId="164" fontId="0" fillId="0" borderId="4" xfId="0" applyNumberFormat="1" applyBorder="1" applyAlignment="1">
      <alignment wrapText="1"/>
    </xf>
    <xf numFmtId="43" fontId="0" fillId="0" borderId="0" xfId="2" applyFont="1" applyFill="1" applyAlignment="1">
      <alignment vertical="center"/>
    </xf>
    <xf numFmtId="167" fontId="27" fillId="0" borderId="7" xfId="5" applyNumberFormat="1" applyFont="1" applyBorder="1" applyAlignment="1">
      <alignment horizontal="left" vertical="center"/>
    </xf>
    <xf numFmtId="167" fontId="27" fillId="0" borderId="3" xfId="5" applyNumberFormat="1" applyFont="1" applyBorder="1" applyAlignment="1">
      <alignment horizontal="left" vertical="center"/>
    </xf>
    <xf numFmtId="43" fontId="24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43" fontId="10" fillId="0" borderId="12" xfId="0" applyNumberFormat="1" applyFont="1" applyBorder="1" applyAlignment="1">
      <alignment horizontal="center" vertical="center"/>
    </xf>
    <xf numFmtId="43" fontId="24" fillId="0" borderId="12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3" fillId="0" borderId="22" xfId="0" applyFont="1" applyBorder="1"/>
    <xf numFmtId="0" fontId="20" fillId="0" borderId="23" xfId="0" applyFont="1" applyBorder="1" applyAlignment="1">
      <alignment horizontal="center" vertical="center"/>
    </xf>
    <xf numFmtId="0" fontId="3" fillId="0" borderId="23" xfId="0" applyFont="1" applyBorder="1"/>
    <xf numFmtId="0" fontId="7" fillId="0" borderId="0" xfId="0" applyFont="1" applyAlignment="1">
      <alignment horizontal="center"/>
    </xf>
  </cellXfs>
  <cellStyles count="6">
    <cellStyle name="Comma" xfId="1" builtinId="3"/>
    <cellStyle name="Comma 2 2" xfId="2" xr:uid="{00000000-0005-0000-0000-000001000000}"/>
    <cellStyle name="Normal" xfId="0" builtinId="0"/>
    <cellStyle name="Normal 2" xfId="3" xr:uid="{00000000-0005-0000-0000-000003000000}"/>
    <cellStyle name="Normal_BSPL 2004 NS" xfId="5" xr:uid="{D9786BCE-F899-476F-8EE6-3CE9A07F077F}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njit\dsktp\Ranjit.B\Bank%20Reconciliation\FY%202020-21\Vasant%20View%20FY%202020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S"/>
      <sheetName val="Saraswat Attachment"/>
      <sheetName val="MDCC (Main) Attachment"/>
      <sheetName val="MDCC (R &amp; P) Attachment"/>
      <sheetName val="Sheet1"/>
    </sheetNames>
    <sheetDataSet>
      <sheetData sheetId="0"/>
      <sheetData sheetId="1">
        <row r="152">
          <cell r="C152"/>
        </row>
      </sheetData>
      <sheetData sheetId="2"/>
      <sheetData sheetId="3">
        <row r="8">
          <cell r="B8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5"/>
  <sheetViews>
    <sheetView view="pageBreakPreview" zoomScaleNormal="100" zoomScaleSheetLayoutView="100" workbookViewId="0">
      <selection activeCell="B29" sqref="B29"/>
    </sheetView>
  </sheetViews>
  <sheetFormatPr defaultColWidth="9.109375" defaultRowHeight="14.4" x14ac:dyDescent="0.3"/>
  <cols>
    <col min="1" max="1" width="14.6640625" customWidth="1"/>
    <col min="2" max="2" width="36.5546875" customWidth="1"/>
    <col min="3" max="5" width="14.6640625" customWidth="1"/>
    <col min="6" max="6" width="35.109375" bestFit="1" customWidth="1"/>
    <col min="7" max="8" width="14.6640625" customWidth="1"/>
    <col min="9" max="9" width="11.33203125" bestFit="1" customWidth="1"/>
    <col min="10" max="10" width="14" bestFit="1" customWidth="1"/>
    <col min="11" max="11" width="14.88671875" bestFit="1" customWidth="1"/>
    <col min="12" max="12" width="11.33203125" bestFit="1" customWidth="1"/>
    <col min="14" max="14" width="11" bestFit="1" customWidth="1"/>
    <col min="15" max="15" width="10" bestFit="1" customWidth="1"/>
    <col min="16" max="16" width="11.88671875" customWidth="1"/>
  </cols>
  <sheetData>
    <row r="1" spans="1:12" ht="21" x14ac:dyDescent="0.3">
      <c r="A1" s="270" t="s">
        <v>441</v>
      </c>
      <c r="B1" s="271"/>
      <c r="C1" s="271"/>
      <c r="D1" s="271"/>
      <c r="E1" s="271"/>
      <c r="F1" s="271"/>
      <c r="G1" s="271"/>
      <c r="H1" s="272"/>
      <c r="J1" t="s">
        <v>441</v>
      </c>
    </row>
    <row r="2" spans="1:12" x14ac:dyDescent="0.3">
      <c r="A2" s="280" t="s">
        <v>438</v>
      </c>
      <c r="B2" s="281"/>
      <c r="C2" s="281"/>
      <c r="D2" s="281"/>
      <c r="E2" s="281"/>
      <c r="F2" s="281"/>
      <c r="G2" s="281"/>
      <c r="H2" s="282"/>
    </row>
    <row r="3" spans="1:12" ht="18" x14ac:dyDescent="0.3">
      <c r="A3" s="273" t="s">
        <v>386</v>
      </c>
      <c r="B3" s="274"/>
      <c r="C3" s="274"/>
      <c r="D3" s="274"/>
      <c r="E3" s="274"/>
      <c r="F3" s="274"/>
      <c r="G3" s="274"/>
      <c r="H3" s="275"/>
    </row>
    <row r="4" spans="1:12" x14ac:dyDescent="0.3">
      <c r="A4" s="149"/>
      <c r="B4" s="150"/>
      <c r="C4" s="150"/>
      <c r="D4" s="150"/>
      <c r="E4" s="150"/>
      <c r="F4" s="150"/>
      <c r="G4" s="150"/>
      <c r="H4" s="242" t="s">
        <v>185</v>
      </c>
    </row>
    <row r="5" spans="1:12" ht="31.8" thickBot="1" x14ac:dyDescent="0.35">
      <c r="A5" s="243" t="s">
        <v>387</v>
      </c>
      <c r="B5" s="276" t="s">
        <v>0</v>
      </c>
      <c r="C5" s="276"/>
      <c r="D5" s="244" t="s">
        <v>388</v>
      </c>
      <c r="E5" s="245" t="str">
        <f>A5</f>
        <v>Previous Year 2024-25</v>
      </c>
      <c r="F5" s="276" t="s">
        <v>1</v>
      </c>
      <c r="G5" s="277"/>
      <c r="H5" s="246" t="str">
        <f>D5</f>
        <v>Current Year 2025-26</v>
      </c>
    </row>
    <row r="6" spans="1:12" ht="15" thickTop="1" x14ac:dyDescent="0.3">
      <c r="A6" s="28"/>
      <c r="B6" s="247" t="s">
        <v>183</v>
      </c>
      <c r="D6" s="161"/>
      <c r="E6" s="90"/>
      <c r="F6" s="248"/>
      <c r="G6" s="90"/>
      <c r="H6" s="22"/>
    </row>
    <row r="7" spans="1:12" ht="15" customHeight="1" thickBot="1" x14ac:dyDescent="0.35">
      <c r="A7" s="29">
        <v>1000000</v>
      </c>
      <c r="B7" s="249" t="s">
        <v>57</v>
      </c>
      <c r="D7" s="162">
        <v>1000000</v>
      </c>
      <c r="E7" s="115"/>
      <c r="F7" s="247" t="s">
        <v>246</v>
      </c>
      <c r="G7" s="115"/>
      <c r="H7" s="26"/>
    </row>
    <row r="8" spans="1:12" ht="15" customHeight="1" thickTop="1" x14ac:dyDescent="0.3">
      <c r="A8" s="28"/>
      <c r="B8" s="249"/>
      <c r="D8" s="161"/>
      <c r="E8" s="63">
        <v>55466.86</v>
      </c>
      <c r="F8" s="249" t="s">
        <v>54</v>
      </c>
      <c r="G8" s="63">
        <f>53001-2218.14</f>
        <v>50782.86</v>
      </c>
      <c r="H8" s="20"/>
    </row>
    <row r="9" spans="1:12" ht="15" customHeight="1" x14ac:dyDescent="0.3">
      <c r="A9" s="28"/>
      <c r="B9" s="247" t="s">
        <v>190</v>
      </c>
      <c r="D9" s="161"/>
      <c r="E9" s="63">
        <v>9802</v>
      </c>
      <c r="F9" s="248" t="s">
        <v>11</v>
      </c>
      <c r="G9" s="63">
        <v>62758.02</v>
      </c>
      <c r="H9" s="20"/>
    </row>
    <row r="10" spans="1:12" ht="15" customHeight="1" x14ac:dyDescent="0.3">
      <c r="A10" s="21">
        <f>24500+3750</f>
        <v>28250</v>
      </c>
      <c r="B10" s="249" t="s">
        <v>2</v>
      </c>
      <c r="C10" s="24">
        <v>28250</v>
      </c>
      <c r="D10" s="163"/>
      <c r="E10" s="63">
        <v>532643.65</v>
      </c>
      <c r="F10" s="248" t="s">
        <v>10</v>
      </c>
      <c r="G10" s="63">
        <v>1165792.3</v>
      </c>
      <c r="H10" s="22"/>
      <c r="I10" s="11"/>
    </row>
    <row r="11" spans="1:12" ht="15" customHeight="1" x14ac:dyDescent="0.3">
      <c r="A11" s="28"/>
      <c r="B11" s="249" t="s">
        <v>58</v>
      </c>
      <c r="C11" s="73">
        <f>15*250</f>
        <v>3750</v>
      </c>
      <c r="D11" s="250">
        <f>SUM(C10:C11)</f>
        <v>32000</v>
      </c>
      <c r="E11" s="63">
        <v>5724</v>
      </c>
      <c r="F11" s="248" t="s">
        <v>12</v>
      </c>
      <c r="G11" s="63">
        <v>5724</v>
      </c>
      <c r="H11" s="22"/>
    </row>
    <row r="12" spans="1:12" ht="15" customHeight="1" x14ac:dyDescent="0.3">
      <c r="A12" s="28"/>
      <c r="B12" s="249"/>
      <c r="C12" s="238"/>
      <c r="D12" s="250"/>
      <c r="E12" s="63">
        <v>81474.19</v>
      </c>
      <c r="F12" s="248" t="s">
        <v>290</v>
      </c>
      <c r="G12" s="63">
        <v>0</v>
      </c>
      <c r="H12" s="22"/>
    </row>
    <row r="13" spans="1:12" ht="15" customHeight="1" x14ac:dyDescent="0.3">
      <c r="A13" s="28"/>
      <c r="B13" s="251" t="s">
        <v>244</v>
      </c>
      <c r="D13" s="161"/>
      <c r="E13" s="63">
        <v>60383.02</v>
      </c>
      <c r="F13" s="248" t="s">
        <v>292</v>
      </c>
      <c r="G13" s="63">
        <v>10109</v>
      </c>
      <c r="H13" s="22"/>
      <c r="J13" s="11"/>
      <c r="K13" s="11"/>
      <c r="L13" s="11"/>
    </row>
    <row r="14" spans="1:12" ht="15" customHeight="1" x14ac:dyDescent="0.3">
      <c r="A14" s="28"/>
      <c r="B14" s="247" t="s">
        <v>6</v>
      </c>
      <c r="D14" s="164"/>
      <c r="E14" s="63">
        <v>0</v>
      </c>
      <c r="F14" s="248" t="s">
        <v>391</v>
      </c>
      <c r="G14" s="63">
        <v>5000</v>
      </c>
      <c r="H14" s="252"/>
    </row>
    <row r="15" spans="1:12" ht="15" customHeight="1" x14ac:dyDescent="0.3">
      <c r="A15" s="21">
        <v>6105</v>
      </c>
      <c r="B15" s="249" t="s">
        <v>55</v>
      </c>
      <c r="C15" s="24">
        <f>SUM(A15:A16)</f>
        <v>6405</v>
      </c>
      <c r="D15" s="164"/>
      <c r="E15" s="63">
        <v>0</v>
      </c>
      <c r="F15" s="248" t="s">
        <v>392</v>
      </c>
      <c r="G15" s="17">
        <v>5000</v>
      </c>
      <c r="H15" s="252">
        <f>SUM(G8:G15)</f>
        <v>1305166.1800000002</v>
      </c>
    </row>
    <row r="16" spans="1:12" ht="15" customHeight="1" x14ac:dyDescent="0.3">
      <c r="A16" s="21">
        <v>300</v>
      </c>
      <c r="B16" s="249" t="s">
        <v>58</v>
      </c>
      <c r="C16" s="23">
        <f>200+100</f>
        <v>300</v>
      </c>
      <c r="D16" s="163">
        <f>SUM(C15:C16)</f>
        <v>6705</v>
      </c>
      <c r="E16" s="115"/>
      <c r="F16" s="249"/>
      <c r="G16" s="24"/>
      <c r="H16" s="22"/>
      <c r="K16" s="11"/>
    </row>
    <row r="17" spans="1:11" ht="15" customHeight="1" x14ac:dyDescent="0.3">
      <c r="A17" s="12"/>
      <c r="B17" s="247" t="s">
        <v>257</v>
      </c>
      <c r="D17" s="164"/>
      <c r="E17" s="90"/>
      <c r="F17" s="247" t="s">
        <v>247</v>
      </c>
      <c r="G17" s="90"/>
      <c r="H17" s="18"/>
      <c r="J17" s="3"/>
    </row>
    <row r="18" spans="1:11" ht="15" customHeight="1" x14ac:dyDescent="0.3">
      <c r="A18" s="21">
        <v>17090</v>
      </c>
      <c r="B18" s="249" t="s">
        <v>55</v>
      </c>
      <c r="C18" s="24">
        <f>SUM(A18:A19)</f>
        <v>18590</v>
      </c>
      <c r="D18" s="164"/>
      <c r="E18" s="24">
        <v>1074978</v>
      </c>
      <c r="F18" s="249" t="s">
        <v>56</v>
      </c>
      <c r="G18" s="24">
        <f>'FD Schedule'!D41</f>
        <v>1129778</v>
      </c>
      <c r="H18" s="20"/>
      <c r="K18" s="11"/>
    </row>
    <row r="19" spans="1:11" ht="15" customHeight="1" x14ac:dyDescent="0.3">
      <c r="A19" s="31">
        <v>1500</v>
      </c>
      <c r="B19" s="249" t="s">
        <v>58</v>
      </c>
      <c r="C19" s="23">
        <v>500</v>
      </c>
      <c r="D19" s="163">
        <f>SUM(C18:C19)</f>
        <v>19090</v>
      </c>
      <c r="E19" s="24">
        <v>43989</v>
      </c>
      <c r="F19" s="249" t="s">
        <v>13</v>
      </c>
      <c r="G19" s="24">
        <f>'FD Schedule'!E41+'FD Schedule'!F41</f>
        <v>41174</v>
      </c>
      <c r="H19" s="253">
        <f>G18+G19</f>
        <v>1170952</v>
      </c>
    </row>
    <row r="20" spans="1:11" ht="15" customHeight="1" x14ac:dyDescent="0.3">
      <c r="A20" s="12"/>
      <c r="B20" s="247" t="s">
        <v>256</v>
      </c>
      <c r="D20" s="161"/>
      <c r="F20" s="249"/>
      <c r="G20" s="25"/>
      <c r="H20" s="249"/>
    </row>
    <row r="21" spans="1:11" ht="15" customHeight="1" x14ac:dyDescent="0.3">
      <c r="A21" s="21">
        <v>250000</v>
      </c>
      <c r="B21" s="249" t="s">
        <v>55</v>
      </c>
      <c r="C21" s="24">
        <f>SUM(A21:A22)</f>
        <v>275000</v>
      </c>
      <c r="D21" s="164"/>
      <c r="E21" s="24"/>
      <c r="F21" s="251" t="s">
        <v>14</v>
      </c>
      <c r="G21" s="115"/>
      <c r="H21" s="26"/>
    </row>
    <row r="22" spans="1:11" ht="15" customHeight="1" x14ac:dyDescent="0.3">
      <c r="A22" s="21">
        <v>25000</v>
      </c>
      <c r="B22" s="249" t="s">
        <v>58</v>
      </c>
      <c r="C22" s="23">
        <v>25000</v>
      </c>
      <c r="D22" s="163">
        <f>SUM(C21:C22)</f>
        <v>300000</v>
      </c>
      <c r="E22" s="24">
        <v>1000</v>
      </c>
      <c r="F22" s="248" t="s">
        <v>15</v>
      </c>
      <c r="G22" s="63">
        <v>1000</v>
      </c>
      <c r="H22" s="22"/>
    </row>
    <row r="23" spans="1:11" ht="15" customHeight="1" x14ac:dyDescent="0.3">
      <c r="A23" s="21"/>
      <c r="B23" s="247" t="s">
        <v>255</v>
      </c>
      <c r="C23" s="24"/>
      <c r="D23" s="163"/>
      <c r="E23" s="24">
        <v>77</v>
      </c>
      <c r="F23" s="248" t="s">
        <v>16</v>
      </c>
      <c r="G23" s="63">
        <v>77</v>
      </c>
      <c r="H23" s="22"/>
    </row>
    <row r="24" spans="1:11" ht="15" customHeight="1" x14ac:dyDescent="0.3">
      <c r="A24" s="21">
        <v>94261</v>
      </c>
      <c r="B24" s="249" t="s">
        <v>55</v>
      </c>
      <c r="C24" s="24">
        <f>SUM(A24:A25)</f>
        <v>121076</v>
      </c>
      <c r="D24" s="163"/>
      <c r="E24" s="24">
        <v>9390</v>
      </c>
      <c r="F24" s="248" t="s">
        <v>17</v>
      </c>
      <c r="G24" s="63">
        <v>9390</v>
      </c>
      <c r="H24" s="27">
        <f>SUM(G22:G24)</f>
        <v>10467</v>
      </c>
    </row>
    <row r="25" spans="1:11" ht="15" customHeight="1" x14ac:dyDescent="0.3">
      <c r="A25" s="21">
        <v>26815</v>
      </c>
      <c r="B25" s="249" t="s">
        <v>74</v>
      </c>
      <c r="C25" s="23">
        <f>'I&amp;E'!G30</f>
        <v>27018</v>
      </c>
      <c r="D25" s="163">
        <f>C24+C25</f>
        <v>148094</v>
      </c>
      <c r="F25" s="28"/>
      <c r="G25" s="254"/>
      <c r="H25" s="249"/>
    </row>
    <row r="26" spans="1:11" ht="15" customHeight="1" x14ac:dyDescent="0.3">
      <c r="A26" s="12"/>
      <c r="B26" s="247" t="s">
        <v>254</v>
      </c>
      <c r="C26" s="24"/>
      <c r="D26" s="164"/>
      <c r="E26" s="24"/>
      <c r="F26" s="251" t="s">
        <v>178</v>
      </c>
      <c r="G26" s="115"/>
      <c r="H26" s="26"/>
    </row>
    <row r="27" spans="1:11" ht="15" customHeight="1" x14ac:dyDescent="0.3">
      <c r="A27" s="21">
        <v>755161.5</v>
      </c>
      <c r="B27" s="249" t="s">
        <v>55</v>
      </c>
      <c r="C27" s="24"/>
      <c r="D27" s="163">
        <v>755161.5</v>
      </c>
      <c r="E27" s="63">
        <f>21800100+5117000</f>
        <v>26917100</v>
      </c>
      <c r="F27" s="248" t="s">
        <v>18</v>
      </c>
      <c r="G27" s="63">
        <f>'Fixed Assets'!H6</f>
        <v>26917100</v>
      </c>
      <c r="H27" s="22"/>
    </row>
    <row r="28" spans="1:11" ht="15" customHeight="1" x14ac:dyDescent="0.3">
      <c r="A28" s="28"/>
      <c r="B28" s="247" t="s">
        <v>253</v>
      </c>
      <c r="D28" s="164"/>
      <c r="E28" s="63">
        <v>3326</v>
      </c>
      <c r="F28" s="248" t="s">
        <v>19</v>
      </c>
      <c r="G28" s="63">
        <f>'Fixed Assets'!H7</f>
        <v>2827</v>
      </c>
      <c r="H28" s="22"/>
    </row>
    <row r="29" spans="1:11" ht="15" customHeight="1" x14ac:dyDescent="0.3">
      <c r="A29" s="31">
        <v>261770</v>
      </c>
      <c r="B29" s="249" t="s">
        <v>55</v>
      </c>
      <c r="C29" s="20">
        <f>SUM(A29:A31)</f>
        <v>291225</v>
      </c>
      <c r="D29" s="164"/>
      <c r="E29" s="63">
        <v>1577</v>
      </c>
      <c r="F29" s="248" t="s">
        <v>20</v>
      </c>
      <c r="G29" s="63">
        <f>'Fixed Assets'!H8</f>
        <v>1419</v>
      </c>
      <c r="H29" s="22"/>
    </row>
    <row r="30" spans="1:11" ht="15" customHeight="1" x14ac:dyDescent="0.3">
      <c r="A30" s="31">
        <v>11700</v>
      </c>
      <c r="B30" s="249" t="s">
        <v>59</v>
      </c>
      <c r="C30" s="24">
        <v>11700</v>
      </c>
      <c r="D30" s="164"/>
      <c r="E30" s="63">
        <v>1685</v>
      </c>
      <c r="F30" s="248" t="s">
        <v>21</v>
      </c>
      <c r="G30" s="63">
        <f>'Fixed Assets'!H9</f>
        <v>1516</v>
      </c>
      <c r="H30" s="22"/>
    </row>
    <row r="31" spans="1:11" ht="15" customHeight="1" x14ac:dyDescent="0.3">
      <c r="A31" s="31">
        <v>17755</v>
      </c>
      <c r="B31" s="249" t="s">
        <v>74</v>
      </c>
      <c r="C31" s="255">
        <f>'I&amp;E'!G28</f>
        <v>20619</v>
      </c>
      <c r="D31" s="163">
        <f>SUM(C29:C31)</f>
        <v>323544</v>
      </c>
      <c r="E31" s="63">
        <v>3689</v>
      </c>
      <c r="F31" s="248" t="s">
        <v>22</v>
      </c>
      <c r="G31" s="63">
        <f>'Fixed Assets'!H10</f>
        <v>3136</v>
      </c>
      <c r="H31" s="22"/>
    </row>
    <row r="32" spans="1:11" ht="15" customHeight="1" x14ac:dyDescent="0.3">
      <c r="A32" s="28"/>
      <c r="B32" s="247" t="s">
        <v>252</v>
      </c>
      <c r="D32" s="164"/>
      <c r="E32" s="63">
        <v>69088</v>
      </c>
      <c r="F32" s="12" t="s">
        <v>23</v>
      </c>
      <c r="G32" s="18">
        <f>'Fixed Assets'!H11</f>
        <v>58725</v>
      </c>
      <c r="H32" s="39"/>
    </row>
    <row r="33" spans="1:16" ht="15" customHeight="1" x14ac:dyDescent="0.3">
      <c r="A33" s="31">
        <v>268893</v>
      </c>
      <c r="B33" s="249" t="s">
        <v>55</v>
      </c>
      <c r="C33" s="24">
        <f>SUM(A33:A35)</f>
        <v>308019</v>
      </c>
      <c r="D33" s="161"/>
      <c r="E33" s="176">
        <v>98438</v>
      </c>
      <c r="F33" s="12" t="s">
        <v>428</v>
      </c>
      <c r="G33" s="18">
        <f>'Fixed Assets'!H12</f>
        <v>83672</v>
      </c>
      <c r="H33" s="39"/>
    </row>
    <row r="34" spans="1:16" ht="15" customHeight="1" x14ac:dyDescent="0.3">
      <c r="A34" s="31">
        <v>24264</v>
      </c>
      <c r="B34" s="249" t="s">
        <v>59</v>
      </c>
      <c r="C34" s="24">
        <f>18198+6066</f>
        <v>24264</v>
      </c>
      <c r="D34" s="164"/>
      <c r="E34" s="176">
        <v>1249</v>
      </c>
      <c r="F34" s="12" t="s">
        <v>160</v>
      </c>
      <c r="G34" s="18">
        <f>'Fixed Assets'!H14</f>
        <v>1062</v>
      </c>
      <c r="H34" s="39"/>
      <c r="J34" s="30"/>
      <c r="K34" s="30"/>
      <c r="L34" s="30"/>
      <c r="M34" s="30"/>
      <c r="N34" s="30"/>
      <c r="O34" s="30"/>
      <c r="P34" s="30"/>
    </row>
    <row r="35" spans="1:16" ht="15" customHeight="1" x14ac:dyDescent="0.3">
      <c r="A35" s="31">
        <v>14862</v>
      </c>
      <c r="B35" s="249" t="s">
        <v>74</v>
      </c>
      <c r="C35" s="23">
        <f>'I&amp;E'!G31</f>
        <v>15503</v>
      </c>
      <c r="D35" s="163">
        <f>SUM(C33:C35)</f>
        <v>347786</v>
      </c>
      <c r="E35" s="176">
        <v>625</v>
      </c>
      <c r="F35" s="12" t="s">
        <v>87</v>
      </c>
      <c r="G35" s="18">
        <f>'Fixed Assets'!H15</f>
        <v>375</v>
      </c>
      <c r="H35" s="39"/>
      <c r="J35" s="30"/>
      <c r="K35" s="30"/>
      <c r="L35" s="30"/>
      <c r="M35" s="30"/>
      <c r="N35" s="30"/>
      <c r="O35" s="30"/>
      <c r="P35" s="30"/>
    </row>
    <row r="36" spans="1:16" ht="15" customHeight="1" x14ac:dyDescent="0.3">
      <c r="A36" s="31">
        <v>0</v>
      </c>
      <c r="B36" s="247" t="s">
        <v>401</v>
      </c>
      <c r="C36" s="20"/>
      <c r="D36" s="163"/>
      <c r="E36" s="176">
        <v>26308</v>
      </c>
      <c r="F36" s="28" t="s">
        <v>93</v>
      </c>
      <c r="G36" s="18">
        <f>'Fixed Assets'!H13</f>
        <v>66014</v>
      </c>
      <c r="H36" s="39"/>
      <c r="J36" s="30"/>
      <c r="K36" s="30"/>
      <c r="L36" s="30"/>
      <c r="M36" s="30"/>
      <c r="N36" s="30"/>
      <c r="O36" s="30"/>
      <c r="P36" s="30"/>
    </row>
    <row r="37" spans="1:16" ht="15" customHeight="1" x14ac:dyDescent="0.3">
      <c r="A37" s="31">
        <v>0</v>
      </c>
      <c r="B37" s="249" t="s">
        <v>59</v>
      </c>
      <c r="C37" s="23">
        <v>165774</v>
      </c>
      <c r="D37" s="163">
        <f>SUM(C37)</f>
        <v>165774</v>
      </c>
      <c r="E37" s="176">
        <v>0</v>
      </c>
      <c r="F37" s="12" t="s">
        <v>381</v>
      </c>
      <c r="G37" s="18">
        <v>5180</v>
      </c>
      <c r="H37" s="39"/>
      <c r="J37" s="30"/>
      <c r="K37" s="136"/>
      <c r="L37" s="30"/>
      <c r="M37" s="30"/>
      <c r="N37" s="30"/>
      <c r="O37" s="30"/>
      <c r="P37" s="30"/>
    </row>
    <row r="38" spans="1:16" ht="15" customHeight="1" x14ac:dyDescent="0.3">
      <c r="A38" s="31"/>
      <c r="B38" s="247" t="s">
        <v>445</v>
      </c>
      <c r="C38" s="20"/>
      <c r="D38" s="163"/>
      <c r="E38" s="176">
        <v>0</v>
      </c>
      <c r="F38" s="12" t="s">
        <v>394</v>
      </c>
      <c r="G38" s="17">
        <v>28360</v>
      </c>
      <c r="H38" s="256">
        <f>SUM(G27:G38)</f>
        <v>27169386</v>
      </c>
      <c r="J38" s="30"/>
      <c r="K38" s="136"/>
      <c r="L38" s="30"/>
      <c r="M38" s="30"/>
      <c r="N38" s="30"/>
      <c r="O38" s="30"/>
      <c r="P38" s="30"/>
    </row>
    <row r="39" spans="1:16" ht="15" customHeight="1" x14ac:dyDescent="0.3">
      <c r="A39" s="52">
        <v>78864</v>
      </c>
      <c r="B39" s="249" t="s">
        <v>55</v>
      </c>
      <c r="C39" s="20">
        <f>SUM(A39:A40)</f>
        <v>157728</v>
      </c>
      <c r="D39" s="163"/>
      <c r="E39" s="24"/>
      <c r="F39" s="249"/>
      <c r="G39" s="24"/>
      <c r="H39" s="249"/>
    </row>
    <row r="40" spans="1:16" ht="15" customHeight="1" x14ac:dyDescent="0.3">
      <c r="A40" s="52">
        <v>78864</v>
      </c>
      <c r="B40" s="249" t="s">
        <v>59</v>
      </c>
      <c r="C40" s="23">
        <v>19716</v>
      </c>
      <c r="D40" s="165">
        <f>SUM(C39:C40)</f>
        <v>177444</v>
      </c>
      <c r="F40" s="247"/>
      <c r="H40" s="20"/>
    </row>
    <row r="41" spans="1:16" ht="15" customHeight="1" x14ac:dyDescent="0.3">
      <c r="A41" s="52"/>
      <c r="B41" s="108" t="s">
        <v>251</v>
      </c>
      <c r="C41" s="20"/>
      <c r="D41" s="165"/>
      <c r="E41" s="24">
        <v>0</v>
      </c>
      <c r="F41" s="247" t="s">
        <v>172</v>
      </c>
      <c r="H41" s="249"/>
    </row>
    <row r="42" spans="1:16" ht="15" customHeight="1" x14ac:dyDescent="0.3">
      <c r="A42" s="18">
        <v>61501</v>
      </c>
      <c r="B42" s="249" t="s">
        <v>55</v>
      </c>
      <c r="C42" s="20">
        <f>SUM(A42:A44)</f>
        <v>72939</v>
      </c>
      <c r="D42" s="257"/>
      <c r="E42" s="24">
        <v>50</v>
      </c>
      <c r="F42" s="249" t="s">
        <v>402</v>
      </c>
      <c r="G42" s="24">
        <f>'Members Dues n Advances'!E18+50</f>
        <v>97802</v>
      </c>
      <c r="H42" s="252">
        <f>SUM(G41:G42)</f>
        <v>97802</v>
      </c>
      <c r="I42" s="11"/>
    </row>
    <row r="43" spans="1:16" ht="15" customHeight="1" x14ac:dyDescent="0.3">
      <c r="A43" s="32">
        <v>7680</v>
      </c>
      <c r="B43" s="249" t="s">
        <v>59</v>
      </c>
      <c r="C43" s="20">
        <v>7680</v>
      </c>
      <c r="D43" s="257"/>
      <c r="F43" s="28"/>
      <c r="G43" s="28"/>
      <c r="H43" s="249"/>
    </row>
    <row r="44" spans="1:16" ht="15" customHeight="1" x14ac:dyDescent="0.3">
      <c r="A44" s="32">
        <v>3758</v>
      </c>
      <c r="B44" s="249" t="s">
        <v>74</v>
      </c>
      <c r="C44" s="23">
        <f>'I&amp;E'!G29</f>
        <v>3987</v>
      </c>
      <c r="D44" s="257">
        <f>SUM(C42:C44)</f>
        <v>84606</v>
      </c>
      <c r="F44" s="108" t="s">
        <v>143</v>
      </c>
      <c r="G44" s="249"/>
      <c r="H44" s="249"/>
    </row>
    <row r="45" spans="1:16" ht="15" customHeight="1" x14ac:dyDescent="0.3">
      <c r="A45" s="32"/>
      <c r="B45" s="108" t="s">
        <v>403</v>
      </c>
      <c r="C45" s="18"/>
      <c r="D45" s="257"/>
      <c r="E45" s="24">
        <v>6200</v>
      </c>
      <c r="F45" s="247" t="s">
        <v>176</v>
      </c>
      <c r="G45" s="24">
        <f>'Vendors - Paya. &amp; Adv.'!D41</f>
        <v>100</v>
      </c>
      <c r="H45" s="19"/>
    </row>
    <row r="46" spans="1:16" ht="15" customHeight="1" x14ac:dyDescent="0.3">
      <c r="A46" s="32">
        <v>0</v>
      </c>
      <c r="B46" s="249" t="s">
        <v>59</v>
      </c>
      <c r="C46" s="17">
        <v>170048</v>
      </c>
      <c r="D46" s="257">
        <f>SUM(C46)</f>
        <v>170048</v>
      </c>
      <c r="E46" s="24">
        <v>7188</v>
      </c>
      <c r="F46" s="28" t="s">
        <v>343</v>
      </c>
      <c r="G46" s="23">
        <v>14642</v>
      </c>
      <c r="H46" s="64">
        <f>SUM(G45:G46)</f>
        <v>14742</v>
      </c>
    </row>
    <row r="47" spans="1:16" ht="15" customHeight="1" x14ac:dyDescent="0.3">
      <c r="A47" s="32"/>
      <c r="B47" s="249"/>
      <c r="C47" s="18"/>
      <c r="D47" s="257"/>
      <c r="E47" s="53"/>
      <c r="F47" s="28"/>
      <c r="G47" s="20"/>
      <c r="H47" s="64"/>
    </row>
    <row r="48" spans="1:16" ht="15" customHeight="1" x14ac:dyDescent="0.3">
      <c r="A48" s="12"/>
      <c r="B48" s="247" t="s">
        <v>250</v>
      </c>
      <c r="C48" s="249"/>
      <c r="D48" s="166"/>
      <c r="E48" s="115"/>
      <c r="F48" s="251" t="s">
        <v>24</v>
      </c>
      <c r="G48" s="115"/>
      <c r="H48" s="26"/>
    </row>
    <row r="49" spans="1:11" ht="15" customHeight="1" x14ac:dyDescent="0.3">
      <c r="A49" s="258">
        <v>27278160</v>
      </c>
      <c r="B49" s="249" t="s">
        <v>60</v>
      </c>
      <c r="C49" s="73">
        <f>22161160+5117000</f>
        <v>27278160</v>
      </c>
      <c r="D49" s="163">
        <f>SUM(C49)</f>
        <v>27278160</v>
      </c>
      <c r="E49" s="90">
        <v>10380</v>
      </c>
      <c r="F49" s="248" t="s">
        <v>88</v>
      </c>
      <c r="G49" s="63">
        <v>25788</v>
      </c>
      <c r="H49" s="252"/>
    </row>
    <row r="50" spans="1:11" ht="15" customHeight="1" x14ac:dyDescent="0.3">
      <c r="A50" s="28"/>
      <c r="B50" s="249"/>
      <c r="C50" s="249"/>
      <c r="D50" s="161"/>
      <c r="E50" s="24">
        <v>4679</v>
      </c>
      <c r="F50" s="28" t="s">
        <v>89</v>
      </c>
      <c r="G50" s="18">
        <v>11832</v>
      </c>
      <c r="H50" s="249"/>
    </row>
    <row r="51" spans="1:11" ht="15" customHeight="1" x14ac:dyDescent="0.3">
      <c r="A51" s="12"/>
      <c r="B51" s="247" t="s">
        <v>249</v>
      </c>
      <c r="D51" s="164"/>
      <c r="E51" s="24">
        <v>9000</v>
      </c>
      <c r="F51" s="249" t="s">
        <v>90</v>
      </c>
      <c r="G51" s="17">
        <v>14777</v>
      </c>
      <c r="H51" s="252">
        <f>SUM(G49:G51)</f>
        <v>52397</v>
      </c>
    </row>
    <row r="52" spans="1:11" ht="15" customHeight="1" x14ac:dyDescent="0.3">
      <c r="A52" s="21">
        <v>55880</v>
      </c>
      <c r="B52" s="247" t="s">
        <v>173</v>
      </c>
      <c r="C52" s="24">
        <f>'Members Dues n Advances'!E41</f>
        <v>219608</v>
      </c>
      <c r="D52" s="164"/>
      <c r="E52" s="24"/>
      <c r="F52" s="249"/>
      <c r="G52" s="63"/>
      <c r="H52" s="252"/>
      <c r="I52" s="3"/>
      <c r="K52" s="259"/>
    </row>
    <row r="53" spans="1:11" ht="15" customHeight="1" x14ac:dyDescent="0.3">
      <c r="A53" s="21">
        <v>25000</v>
      </c>
      <c r="B53" s="249" t="s">
        <v>261</v>
      </c>
      <c r="C53" s="24">
        <f>'Refundable Deposit'!C9</f>
        <v>25000</v>
      </c>
      <c r="D53" s="164"/>
      <c r="E53" s="100"/>
      <c r="F53" s="260" t="s">
        <v>248</v>
      </c>
      <c r="G53" s="33"/>
      <c r="H53" s="26"/>
      <c r="I53" s="11"/>
    </row>
    <row r="54" spans="1:11" ht="15" customHeight="1" x14ac:dyDescent="0.3">
      <c r="A54" s="21">
        <v>1500</v>
      </c>
      <c r="B54" s="249" t="s">
        <v>329</v>
      </c>
      <c r="C54" s="24">
        <v>8672</v>
      </c>
      <c r="D54" s="164"/>
      <c r="E54" s="261">
        <v>956134.02</v>
      </c>
      <c r="F54" s="100" t="s">
        <v>55</v>
      </c>
      <c r="G54" s="32">
        <f>956134.02-110189.74-991</f>
        <v>844953.28</v>
      </c>
      <c r="H54" s="26"/>
      <c r="I54" s="11"/>
    </row>
    <row r="55" spans="1:11" ht="15" customHeight="1" x14ac:dyDescent="0.3">
      <c r="A55" s="21">
        <v>18448.5</v>
      </c>
      <c r="B55" s="249" t="s">
        <v>262</v>
      </c>
      <c r="C55" s="24">
        <v>18448.5</v>
      </c>
      <c r="D55" s="164"/>
      <c r="E55" s="261">
        <v>-110189.74</v>
      </c>
      <c r="F55" s="100" t="s">
        <v>407</v>
      </c>
      <c r="G55" s="32">
        <f>-'I&amp;E'!D52</f>
        <v>-258695.45999999996</v>
      </c>
      <c r="H55" s="26"/>
      <c r="I55" s="11"/>
    </row>
    <row r="56" spans="1:11" ht="15" customHeight="1" x14ac:dyDescent="0.3">
      <c r="A56" s="21">
        <f>'Vendors - Paya. &amp; Adv.'!B19</f>
        <v>110328</v>
      </c>
      <c r="B56" s="247" t="s">
        <v>175</v>
      </c>
      <c r="C56" s="24">
        <f>'Vendors - Paya. &amp; Adv.'!D19</f>
        <v>33724</v>
      </c>
      <c r="D56" s="164"/>
      <c r="E56" s="261">
        <v>0</v>
      </c>
      <c r="F56" s="100" t="s">
        <v>406</v>
      </c>
      <c r="G56" s="32">
        <v>1005</v>
      </c>
      <c r="H56" s="26"/>
      <c r="I56" s="11"/>
    </row>
    <row r="57" spans="1:11" ht="15" customHeight="1" x14ac:dyDescent="0.3">
      <c r="A57" s="18">
        <f>'Vendors - Paya. &amp; Adv.'!B34</f>
        <v>220599</v>
      </c>
      <c r="B57" s="262" t="s">
        <v>174</v>
      </c>
      <c r="C57" s="17">
        <f>'Vendors - Paya. &amp; Adv.'!D34</f>
        <v>158156</v>
      </c>
      <c r="D57" s="257">
        <f>SUM(C52:C57)</f>
        <v>463608.5</v>
      </c>
      <c r="E57" s="261">
        <v>-991</v>
      </c>
      <c r="F57" s="100" t="s">
        <v>344</v>
      </c>
      <c r="G57" s="17">
        <v>0</v>
      </c>
      <c r="H57" s="26">
        <f>SUM(G54:G57)</f>
        <v>587262.82000000007</v>
      </c>
      <c r="I57" s="11"/>
    </row>
    <row r="58" spans="1:11" ht="15" customHeight="1" x14ac:dyDescent="0.3">
      <c r="A58" s="21"/>
      <c r="B58" s="249"/>
      <c r="C58" s="54"/>
      <c r="D58" s="166"/>
      <c r="E58" s="261"/>
      <c r="F58" s="28"/>
      <c r="G58" s="18"/>
      <c r="H58" s="252"/>
      <c r="I58" s="11"/>
    </row>
    <row r="59" spans="1:11" ht="15" customHeight="1" x14ac:dyDescent="0.3">
      <c r="A59" s="248"/>
      <c r="B59" s="251" t="s">
        <v>7</v>
      </c>
      <c r="C59" s="26"/>
      <c r="D59" s="263"/>
      <c r="E59" s="261"/>
      <c r="F59" s="28"/>
      <c r="G59" s="18"/>
      <c r="H59" s="256"/>
      <c r="I59" s="11"/>
    </row>
    <row r="60" spans="1:11" ht="15" customHeight="1" x14ac:dyDescent="0.3">
      <c r="A60" s="264">
        <v>34705</v>
      </c>
      <c r="B60" s="249" t="s">
        <v>8</v>
      </c>
      <c r="C60" s="146">
        <v>34705</v>
      </c>
      <c r="D60" s="167"/>
      <c r="E60" s="261"/>
      <c r="G60" s="32"/>
      <c r="H60" s="256"/>
      <c r="I60" s="11"/>
    </row>
    <row r="61" spans="1:11" ht="15" customHeight="1" x14ac:dyDescent="0.3">
      <c r="A61" s="264">
        <v>101449</v>
      </c>
      <c r="B61" s="249" t="s">
        <v>91</v>
      </c>
      <c r="C61" s="147">
        <v>101449</v>
      </c>
      <c r="D61" s="167">
        <f>SUM(C60:C61)</f>
        <v>136154</v>
      </c>
      <c r="E61" s="261"/>
      <c r="F61" s="100"/>
      <c r="G61" s="32"/>
      <c r="H61" s="26"/>
      <c r="I61" s="11"/>
    </row>
    <row r="62" spans="1:11" ht="15.9" customHeight="1" x14ac:dyDescent="0.3">
      <c r="A62" s="21"/>
      <c r="B62" s="249"/>
      <c r="C62" s="26"/>
      <c r="D62" s="166"/>
      <c r="E62" s="261"/>
      <c r="F62" s="100"/>
      <c r="G62" s="32"/>
      <c r="H62" s="26"/>
      <c r="I62" s="11"/>
    </row>
    <row r="63" spans="1:11" ht="15.9" customHeight="1" thickBot="1" x14ac:dyDescent="0.35">
      <c r="A63" s="34">
        <f>SUM(A8:A62)</f>
        <v>29880463</v>
      </c>
      <c r="B63" s="278" t="s">
        <v>9</v>
      </c>
      <c r="C63" s="279"/>
      <c r="D63" s="168">
        <f>SUM(D10:D62)</f>
        <v>30408175</v>
      </c>
      <c r="E63" s="160">
        <f>SUM(E7:E62)</f>
        <v>29880463</v>
      </c>
      <c r="F63" s="278" t="s">
        <v>9</v>
      </c>
      <c r="G63" s="279"/>
      <c r="H63" s="35">
        <f>SUM(H7:H62)</f>
        <v>30408175</v>
      </c>
      <c r="I63" s="11"/>
      <c r="K63" s="3"/>
    </row>
    <row r="64" spans="1:11" ht="15.9" customHeight="1" thickTop="1" x14ac:dyDescent="0.3">
      <c r="A64" s="151"/>
      <c r="B64" s="177"/>
      <c r="C64" s="177"/>
      <c r="D64" s="178"/>
      <c r="E64" s="177"/>
      <c r="F64" s="177"/>
      <c r="G64" s="177"/>
      <c r="H64" s="152"/>
      <c r="I64" s="11"/>
    </row>
    <row r="65" spans="1:13" ht="15.9" customHeight="1" x14ac:dyDescent="0.3">
      <c r="A65" s="151" t="s">
        <v>179</v>
      </c>
      <c r="B65" s="177"/>
      <c r="C65" s="177"/>
      <c r="D65" s="177"/>
      <c r="E65" s="268" t="s">
        <v>442</v>
      </c>
      <c r="F65" s="268"/>
      <c r="G65" s="268"/>
      <c r="H65" s="154"/>
      <c r="I65" s="11"/>
    </row>
    <row r="66" spans="1:13" ht="15.9" customHeight="1" x14ac:dyDescent="0.3">
      <c r="A66" s="151"/>
      <c r="B66" s="177"/>
      <c r="C66" s="177"/>
      <c r="D66" s="178"/>
      <c r="E66" s="177"/>
      <c r="F66" s="177"/>
      <c r="G66" s="177"/>
      <c r="H66" s="152"/>
      <c r="I66" s="11"/>
    </row>
    <row r="67" spans="1:13" ht="15.9" customHeight="1" x14ac:dyDescent="0.3">
      <c r="A67" s="151"/>
      <c r="B67" s="177"/>
      <c r="C67" s="177"/>
      <c r="D67" s="178"/>
      <c r="E67" s="177"/>
      <c r="F67" s="177"/>
      <c r="G67" s="177"/>
      <c r="H67" s="152"/>
      <c r="I67" s="11"/>
      <c r="K67" s="14"/>
    </row>
    <row r="68" spans="1:13" ht="15.9" customHeight="1" x14ac:dyDescent="0.3">
      <c r="A68" s="151"/>
      <c r="B68" s="177"/>
      <c r="C68" s="177"/>
      <c r="D68" s="178"/>
      <c r="E68" s="177"/>
      <c r="F68" s="177"/>
      <c r="G68" s="177"/>
      <c r="H68" s="152"/>
      <c r="I68" s="11"/>
      <c r="K68" s="71"/>
    </row>
    <row r="69" spans="1:13" ht="15.9" customHeight="1" x14ac:dyDescent="0.3">
      <c r="A69" s="151"/>
      <c r="B69" s="177"/>
      <c r="C69" s="177"/>
      <c r="D69" s="178"/>
      <c r="E69" s="177"/>
      <c r="F69" s="177"/>
      <c r="G69" s="177"/>
      <c r="H69" s="152"/>
      <c r="I69" s="109"/>
      <c r="K69" s="71"/>
      <c r="L69" s="89"/>
      <c r="M69" s="89"/>
    </row>
    <row r="70" spans="1:13" ht="15.9" customHeight="1" x14ac:dyDescent="0.3">
      <c r="A70" s="156" t="s">
        <v>346</v>
      </c>
      <c r="B70" s="177"/>
      <c r="C70" s="177"/>
      <c r="D70" s="178"/>
      <c r="E70" s="177"/>
      <c r="F70" s="177"/>
      <c r="G70" s="177"/>
      <c r="H70" s="152"/>
      <c r="I70" s="11">
        <f>D63-H63</f>
        <v>0</v>
      </c>
      <c r="K70" s="3"/>
    </row>
    <row r="71" spans="1:13" s="265" customFormat="1" ht="15.9" customHeight="1" x14ac:dyDescent="0.3">
      <c r="A71" s="151" t="s">
        <v>347</v>
      </c>
      <c r="B71" s="177"/>
      <c r="C71" s="177"/>
      <c r="D71" s="178"/>
      <c r="E71"/>
      <c r="F71"/>
      <c r="G71"/>
      <c r="H71" s="100"/>
      <c r="I71" s="265">
        <f>A63-E63</f>
        <v>0</v>
      </c>
    </row>
    <row r="72" spans="1:13" s="155" customFormat="1" ht="16.2" customHeight="1" x14ac:dyDescent="0.3">
      <c r="A72" s="151" t="s">
        <v>439</v>
      </c>
      <c r="B72" s="177"/>
      <c r="C72" s="177"/>
      <c r="D72" s="178"/>
      <c r="E72" s="269" t="s">
        <v>440</v>
      </c>
      <c r="F72" s="269"/>
      <c r="G72" s="269"/>
      <c r="H72" s="152"/>
    </row>
    <row r="73" spans="1:13" s="155" customFormat="1" ht="16.2" customHeight="1" x14ac:dyDescent="0.3">
      <c r="A73" s="266">
        <v>46273</v>
      </c>
      <c r="B73" s="267"/>
      <c r="C73" s="267"/>
      <c r="D73" s="157"/>
      <c r="E73" s="158"/>
      <c r="F73" s="158"/>
      <c r="G73" s="158"/>
      <c r="H73" s="159"/>
    </row>
    <row r="74" spans="1:13" s="155" customFormat="1" ht="16.2" customHeight="1" x14ac:dyDescent="0.3">
      <c r="A74"/>
      <c r="B74"/>
      <c r="C74"/>
      <c r="D74"/>
      <c r="E74"/>
      <c r="F74"/>
      <c r="G74"/>
      <c r="H74"/>
    </row>
    <row r="75" spans="1:13" s="155" customFormat="1" ht="16.2" customHeight="1" x14ac:dyDescent="0.3">
      <c r="A75"/>
      <c r="B75"/>
      <c r="C75"/>
      <c r="D75"/>
      <c r="E75"/>
      <c r="F75"/>
      <c r="G75"/>
      <c r="H75"/>
      <c r="J75" s="155">
        <f>D63-H63</f>
        <v>0</v>
      </c>
    </row>
    <row r="76" spans="1:13" ht="16.2" customHeight="1" x14ac:dyDescent="0.3"/>
    <row r="77" spans="1:13" ht="16.2" customHeight="1" x14ac:dyDescent="0.3"/>
    <row r="78" spans="1:13" ht="16.2" customHeight="1" x14ac:dyDescent="0.3"/>
    <row r="79" spans="1:13" ht="16.2" customHeight="1" x14ac:dyDescent="0.3"/>
    <row r="80" spans="1:13" ht="15" customHeight="1" x14ac:dyDescent="0.3"/>
    <row r="81" spans="1:19" ht="15" customHeight="1" x14ac:dyDescent="0.3"/>
    <row r="82" spans="1:19" ht="15" customHeight="1" x14ac:dyDescent="0.3"/>
    <row r="83" spans="1:19" ht="15" customHeight="1" x14ac:dyDescent="0.3"/>
    <row r="84" spans="1:19" ht="15" customHeight="1" x14ac:dyDescent="0.3"/>
    <row r="86" spans="1:19" x14ac:dyDescent="0.3">
      <c r="P86" s="89"/>
    </row>
    <row r="89" spans="1:19" x14ac:dyDescent="0.3">
      <c r="Q89" s="89"/>
    </row>
    <row r="90" spans="1:19" x14ac:dyDescent="0.3">
      <c r="R90" s="89"/>
      <c r="S90" s="89"/>
    </row>
    <row r="92" spans="1:19" s="89" customForma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105" ht="17.399999999999999" customHeight="1" x14ac:dyDescent="0.3"/>
  </sheetData>
  <mergeCells count="10">
    <mergeCell ref="A73:C73"/>
    <mergeCell ref="E65:G65"/>
    <mergeCell ref="E72:G72"/>
    <mergeCell ref="A1:H1"/>
    <mergeCell ref="A3:H3"/>
    <mergeCell ref="B5:C5"/>
    <mergeCell ref="F5:G5"/>
    <mergeCell ref="B63:C63"/>
    <mergeCell ref="F63:G63"/>
    <mergeCell ref="A2:H2"/>
  </mergeCells>
  <printOptions horizontalCentered="1"/>
  <pageMargins left="0.39370078740157483" right="0.19685039370078741" top="0.59055118110236227" bottom="0.19685039370078741" header="0.19685039370078741" footer="0.19685039370078741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V65"/>
  <sheetViews>
    <sheetView tabSelected="1" view="pageBreakPreview" topLeftCell="A40" zoomScaleNormal="100" zoomScaleSheetLayoutView="100" workbookViewId="0">
      <selection activeCell="C69" sqref="C69"/>
    </sheetView>
  </sheetViews>
  <sheetFormatPr defaultRowHeight="14.4" x14ac:dyDescent="0.3"/>
  <cols>
    <col min="1" max="1" width="14.6640625" customWidth="1"/>
    <col min="2" max="2" width="32.44140625" customWidth="1"/>
    <col min="3" max="5" width="14.6640625" customWidth="1"/>
    <col min="6" max="6" width="27" customWidth="1"/>
    <col min="7" max="8" width="14.6640625" customWidth="1"/>
    <col min="9" max="9" width="4.5546875" bestFit="1" customWidth="1"/>
    <col min="10" max="39" width="4.5546875" customWidth="1"/>
    <col min="40" max="40" width="16.44140625" bestFit="1" customWidth="1"/>
    <col min="41" max="42" width="13.33203125" bestFit="1" customWidth="1"/>
    <col min="43" max="43" width="16.33203125" bestFit="1" customWidth="1"/>
    <col min="46" max="46" width="32.33203125" bestFit="1" customWidth="1"/>
    <col min="47" max="47" width="12.109375" bestFit="1" customWidth="1"/>
  </cols>
  <sheetData>
    <row r="1" spans="1:48" ht="21" x14ac:dyDescent="0.3">
      <c r="A1" s="270" t="str">
        <f>'Balance Sheet'!A1:H1</f>
        <v>VASANT VIEW CO-OP HOUSING SOCIETY LTD.</v>
      </c>
      <c r="B1" s="271"/>
      <c r="C1" s="271"/>
      <c r="D1" s="271"/>
      <c r="E1" s="271"/>
      <c r="F1" s="271"/>
      <c r="G1" s="271"/>
      <c r="H1" s="272"/>
    </row>
    <row r="2" spans="1:48" ht="20.100000000000001" customHeight="1" x14ac:dyDescent="0.3">
      <c r="A2" s="280" t="s">
        <v>438</v>
      </c>
      <c r="B2" s="281"/>
      <c r="C2" s="281"/>
      <c r="D2" s="281"/>
      <c r="E2" s="281"/>
      <c r="F2" s="281"/>
      <c r="G2" s="281"/>
      <c r="H2" s="282"/>
    </row>
    <row r="3" spans="1:48" ht="18" x14ac:dyDescent="0.3">
      <c r="A3" s="273" t="s">
        <v>443</v>
      </c>
      <c r="B3" s="274"/>
      <c r="C3" s="274"/>
      <c r="D3" s="274"/>
      <c r="E3" s="274"/>
      <c r="F3" s="274"/>
      <c r="G3" s="274"/>
      <c r="H3" s="275"/>
    </row>
    <row r="4" spans="1:48" ht="15" thickBot="1" x14ac:dyDescent="0.35">
      <c r="A4" s="184"/>
      <c r="B4" s="183"/>
      <c r="C4" s="183"/>
      <c r="D4" s="183"/>
      <c r="E4" s="183"/>
      <c r="F4" s="183"/>
      <c r="G4" s="183"/>
      <c r="H4" s="185" t="s">
        <v>185</v>
      </c>
    </row>
    <row r="5" spans="1:48" ht="30" thickTop="1" thickBot="1" x14ac:dyDescent="0.35">
      <c r="A5" s="179" t="str">
        <f>'Balance Sheet'!A5</f>
        <v>Previous Year 2024-25</v>
      </c>
      <c r="B5" s="283" t="s">
        <v>182</v>
      </c>
      <c r="C5" s="283"/>
      <c r="D5" s="180" t="str">
        <f>'Balance Sheet'!D5</f>
        <v>Current Year 2025-26</v>
      </c>
      <c r="E5" s="181" t="str">
        <f>A5</f>
        <v>Previous Year 2024-25</v>
      </c>
      <c r="F5" s="283" t="s">
        <v>25</v>
      </c>
      <c r="G5" s="283"/>
      <c r="H5" s="182" t="str">
        <f>D5</f>
        <v>Current Year 2025-26</v>
      </c>
    </row>
    <row r="6" spans="1:48" ht="20.399999999999999" customHeight="1" thickTop="1" x14ac:dyDescent="0.3">
      <c r="A6" s="9"/>
      <c r="B6" s="81" t="s">
        <v>235</v>
      </c>
      <c r="C6" s="115"/>
      <c r="D6" s="170"/>
      <c r="E6" s="115"/>
      <c r="F6" s="284" t="s">
        <v>234</v>
      </c>
      <c r="G6" s="285"/>
      <c r="H6" s="116"/>
      <c r="AN6" s="59" t="s">
        <v>222</v>
      </c>
      <c r="AO6" s="59" t="s">
        <v>25</v>
      </c>
      <c r="AP6" s="59" t="s">
        <v>213</v>
      </c>
      <c r="AQ6" s="59" t="s">
        <v>214</v>
      </c>
      <c r="AT6" s="41" t="s">
        <v>210</v>
      </c>
    </row>
    <row r="7" spans="1:48" x14ac:dyDescent="0.3">
      <c r="A7" s="36">
        <v>149661</v>
      </c>
      <c r="B7" s="12" t="s">
        <v>72</v>
      </c>
      <c r="C7" s="115"/>
      <c r="D7" s="167">
        <v>212284</v>
      </c>
      <c r="E7" s="63">
        <f>137740+0</f>
        <v>137740</v>
      </c>
      <c r="F7" s="12" t="s">
        <v>27</v>
      </c>
      <c r="G7" s="63">
        <f>175294+12518</f>
        <v>187812</v>
      </c>
      <c r="H7" s="22"/>
      <c r="AN7" s="2" t="s">
        <v>27</v>
      </c>
      <c r="AO7" s="74">
        <f>G7+G8+G9</f>
        <v>210184</v>
      </c>
      <c r="AP7" s="75">
        <f>D7</f>
        <v>212284</v>
      </c>
      <c r="AQ7" s="76">
        <f>AO7-AP7</f>
        <v>-2100</v>
      </c>
      <c r="AT7" t="s">
        <v>226</v>
      </c>
      <c r="AU7" s="80">
        <v>108000</v>
      </c>
    </row>
    <row r="8" spans="1:48" x14ac:dyDescent="0.3">
      <c r="A8" s="36"/>
      <c r="B8" s="28"/>
      <c r="C8" s="24"/>
      <c r="D8" s="163"/>
      <c r="E8" s="63">
        <v>5880</v>
      </c>
      <c r="F8" s="12" t="s">
        <v>340</v>
      </c>
      <c r="G8" s="63">
        <f>964+60</f>
        <v>1024</v>
      </c>
      <c r="H8" s="22"/>
      <c r="AN8" s="2" t="s">
        <v>210</v>
      </c>
      <c r="AO8" s="75">
        <f>G10</f>
        <v>1082102</v>
      </c>
      <c r="AP8" s="74">
        <f>D17+D29+D37+D50-C36</f>
        <v>1214539.54</v>
      </c>
      <c r="AQ8" s="76">
        <f t="shared" ref="AQ8:AQ18" si="0">AO8-AP8</f>
        <v>-132437.54000000004</v>
      </c>
      <c r="AT8" t="s">
        <v>227</v>
      </c>
      <c r="AU8" s="80">
        <v>36000</v>
      </c>
    </row>
    <row r="9" spans="1:48" x14ac:dyDescent="0.3">
      <c r="A9" s="37">
        <v>143966</v>
      </c>
      <c r="B9" s="81" t="s">
        <v>181</v>
      </c>
      <c r="C9" s="115"/>
      <c r="D9" s="171">
        <v>171767</v>
      </c>
      <c r="E9" s="63">
        <v>15024</v>
      </c>
      <c r="F9" s="28" t="s">
        <v>92</v>
      </c>
      <c r="G9" s="63">
        <v>21348</v>
      </c>
      <c r="H9" s="22"/>
      <c r="AN9" s="2" t="s">
        <v>90</v>
      </c>
      <c r="AO9" s="75">
        <f>G13</f>
        <v>39504</v>
      </c>
      <c r="AP9" s="75">
        <f>C36</f>
        <v>18518</v>
      </c>
      <c r="AQ9" s="76">
        <f t="shared" si="0"/>
        <v>20986</v>
      </c>
      <c r="AT9" t="s">
        <v>26</v>
      </c>
      <c r="AU9" s="80">
        <v>12000</v>
      </c>
    </row>
    <row r="10" spans="1:48" x14ac:dyDescent="0.3">
      <c r="A10" s="9"/>
      <c r="B10" s="81"/>
      <c r="C10" s="115"/>
      <c r="D10" s="171"/>
      <c r="E10" s="63">
        <v>1052226</v>
      </c>
      <c r="F10" s="12" t="s">
        <v>39</v>
      </c>
      <c r="G10" s="63">
        <v>1082102</v>
      </c>
      <c r="H10" s="22"/>
      <c r="AN10" s="2" t="s">
        <v>212</v>
      </c>
      <c r="AO10" s="74">
        <f>G12</f>
        <v>157959</v>
      </c>
      <c r="AP10" s="75">
        <f>D9</f>
        <v>171767</v>
      </c>
      <c r="AQ10" s="76">
        <f t="shared" si="0"/>
        <v>-13808</v>
      </c>
      <c r="AT10" t="s">
        <v>156</v>
      </c>
      <c r="AU10" s="80">
        <v>300</v>
      </c>
    </row>
    <row r="11" spans="1:48" x14ac:dyDescent="0.3">
      <c r="A11" s="9"/>
      <c r="B11" s="81" t="s">
        <v>180</v>
      </c>
      <c r="C11" s="115"/>
      <c r="D11" s="171"/>
      <c r="E11" s="63">
        <v>130200</v>
      </c>
      <c r="F11" s="12" t="s">
        <v>40</v>
      </c>
      <c r="G11" s="63">
        <v>141990</v>
      </c>
      <c r="H11" s="22"/>
      <c r="AN11" s="2" t="s">
        <v>211</v>
      </c>
      <c r="AO11" s="75">
        <f>G11</f>
        <v>141990</v>
      </c>
      <c r="AP11" s="75">
        <f>D13</f>
        <v>110855</v>
      </c>
      <c r="AQ11" s="76">
        <f t="shared" si="0"/>
        <v>31135</v>
      </c>
      <c r="AT11" t="s">
        <v>228</v>
      </c>
      <c r="AU11" s="80">
        <v>7730</v>
      </c>
    </row>
    <row r="12" spans="1:48" x14ac:dyDescent="0.3">
      <c r="A12" s="36">
        <v>148180</v>
      </c>
      <c r="B12" s="12" t="s">
        <v>28</v>
      </c>
      <c r="C12" s="63">
        <v>106455</v>
      </c>
      <c r="D12" s="172"/>
      <c r="E12" s="63">
        <v>73500</v>
      </c>
      <c r="F12" s="12" t="s">
        <v>84</v>
      </c>
      <c r="G12" s="63">
        <v>157959</v>
      </c>
      <c r="H12" s="22"/>
      <c r="AN12" s="59" t="s">
        <v>219</v>
      </c>
      <c r="AO12" s="77">
        <f>SUM(AO7:AO11)</f>
        <v>1631739</v>
      </c>
      <c r="AP12" s="77">
        <f t="shared" ref="AP12:AQ12" si="1">SUM(AP7:AP11)</f>
        <v>1727963.54</v>
      </c>
      <c r="AQ12" s="77">
        <f t="shared" si="1"/>
        <v>-96224.540000000037</v>
      </c>
      <c r="AT12" t="s">
        <v>85</v>
      </c>
      <c r="AU12" s="80">
        <v>53845</v>
      </c>
    </row>
    <row r="13" spans="1:48" x14ac:dyDescent="0.3">
      <c r="A13" s="36">
        <v>0</v>
      </c>
      <c r="B13" s="12" t="s">
        <v>228</v>
      </c>
      <c r="C13" s="118">
        <v>4400</v>
      </c>
      <c r="D13" s="172">
        <f>SUM(C12:C13)</f>
        <v>110855</v>
      </c>
      <c r="E13" s="63">
        <v>34752</v>
      </c>
      <c r="F13" s="12" t="s">
        <v>44</v>
      </c>
      <c r="G13" s="63">
        <v>39504</v>
      </c>
      <c r="H13" s="117"/>
      <c r="AN13" s="2" t="s">
        <v>215</v>
      </c>
      <c r="AO13" s="75">
        <f>G15</f>
        <v>152200</v>
      </c>
      <c r="AP13" s="2">
        <v>0</v>
      </c>
      <c r="AQ13" s="76">
        <f t="shared" si="0"/>
        <v>152200</v>
      </c>
      <c r="AT13" t="s">
        <v>29</v>
      </c>
      <c r="AU13" s="80">
        <v>7420</v>
      </c>
      <c r="AV13" s="62"/>
    </row>
    <row r="14" spans="1:48" x14ac:dyDescent="0.3">
      <c r="A14" s="7"/>
      <c r="B14" s="12"/>
      <c r="C14" s="90"/>
      <c r="D14" s="167"/>
      <c r="E14" s="63">
        <v>44945</v>
      </c>
      <c r="F14" s="12" t="s">
        <v>41</v>
      </c>
      <c r="G14" s="63">
        <f>49403+166</f>
        <v>49569</v>
      </c>
      <c r="H14" s="2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2" t="s">
        <v>216</v>
      </c>
      <c r="AO14" s="75">
        <f>G14</f>
        <v>49569</v>
      </c>
      <c r="AP14" s="2">
        <v>0</v>
      </c>
      <c r="AQ14" s="76">
        <f t="shared" si="0"/>
        <v>49569</v>
      </c>
      <c r="AT14" t="s">
        <v>30</v>
      </c>
      <c r="AU14" s="80">
        <v>8214</v>
      </c>
    </row>
    <row r="15" spans="1:48" x14ac:dyDescent="0.3">
      <c r="A15" s="6"/>
      <c r="B15" s="81" t="s">
        <v>237</v>
      </c>
      <c r="C15" s="115"/>
      <c r="D15" s="173"/>
      <c r="E15" s="63">
        <v>119050</v>
      </c>
      <c r="F15" s="12" t="s">
        <v>42</v>
      </c>
      <c r="G15" s="63">
        <f>102000+38400+4900+6900</f>
        <v>152200</v>
      </c>
      <c r="H15" s="22"/>
      <c r="AN15" s="2" t="s">
        <v>208</v>
      </c>
      <c r="AO15" s="75">
        <f>G18</f>
        <v>0</v>
      </c>
      <c r="AP15" s="2">
        <v>0</v>
      </c>
      <c r="AQ15" s="76">
        <f t="shared" si="0"/>
        <v>0</v>
      </c>
      <c r="AT15" t="s">
        <v>82</v>
      </c>
      <c r="AU15" s="80">
        <v>1320</v>
      </c>
    </row>
    <row r="16" spans="1:48" x14ac:dyDescent="0.3">
      <c r="A16" s="10">
        <v>141200</v>
      </c>
      <c r="B16" s="12" t="s">
        <v>263</v>
      </c>
      <c r="C16" s="63">
        <v>211500</v>
      </c>
      <c r="D16" s="173"/>
      <c r="E16" s="63">
        <v>0</v>
      </c>
      <c r="F16" s="12" t="s">
        <v>385</v>
      </c>
      <c r="G16" s="63">
        <v>19005</v>
      </c>
      <c r="H16" s="22"/>
      <c r="AN16" s="2" t="s">
        <v>217</v>
      </c>
      <c r="AO16" s="75">
        <f>G21</f>
        <v>12145</v>
      </c>
      <c r="AP16" s="2">
        <v>0</v>
      </c>
      <c r="AQ16" s="76">
        <f t="shared" si="0"/>
        <v>12145</v>
      </c>
      <c r="AT16" t="s">
        <v>31</v>
      </c>
      <c r="AU16" s="80">
        <v>15216</v>
      </c>
    </row>
    <row r="17" spans="1:47" x14ac:dyDescent="0.3">
      <c r="A17" s="7">
        <v>19600</v>
      </c>
      <c r="B17" s="12" t="s">
        <v>26</v>
      </c>
      <c r="C17" s="118">
        <v>30000</v>
      </c>
      <c r="D17" s="167">
        <f>SUM(C16:C17)</f>
        <v>241500</v>
      </c>
      <c r="E17" s="63">
        <v>0</v>
      </c>
      <c r="F17" s="12" t="s">
        <v>400</v>
      </c>
      <c r="G17" s="63">
        <v>51360</v>
      </c>
      <c r="H17" s="22"/>
      <c r="AN17" s="2" t="s">
        <v>218</v>
      </c>
      <c r="AO17" s="75">
        <f>SUM(H24:H31)</f>
        <v>33066</v>
      </c>
      <c r="AP17" s="2">
        <v>0</v>
      </c>
      <c r="AQ17" s="76">
        <f t="shared" si="0"/>
        <v>33066</v>
      </c>
      <c r="AT17" t="s">
        <v>231</v>
      </c>
      <c r="AU17" s="80">
        <v>950</v>
      </c>
    </row>
    <row r="18" spans="1:47" x14ac:dyDescent="0.3">
      <c r="A18" s="7"/>
      <c r="B18" s="12"/>
      <c r="C18" s="63"/>
      <c r="D18" s="167"/>
      <c r="E18" s="63">
        <v>3500</v>
      </c>
      <c r="F18" s="12" t="s">
        <v>208</v>
      </c>
      <c r="G18" s="63">
        <v>0</v>
      </c>
      <c r="H18" s="22"/>
      <c r="AN18" s="2" t="s">
        <v>195</v>
      </c>
      <c r="AO18" s="75" t="e">
        <f>#REF!</f>
        <v>#REF!</v>
      </c>
      <c r="AP18" s="2">
        <v>0</v>
      </c>
      <c r="AQ18" s="76" t="e">
        <f t="shared" si="0"/>
        <v>#REF!</v>
      </c>
      <c r="AT18" t="s">
        <v>229</v>
      </c>
      <c r="AU18" s="80">
        <v>21299</v>
      </c>
    </row>
    <row r="19" spans="1:47" x14ac:dyDescent="0.3">
      <c r="A19" s="9"/>
      <c r="B19" s="81" t="s">
        <v>236</v>
      </c>
      <c r="C19" s="115"/>
      <c r="D19" s="171"/>
      <c r="E19" s="63">
        <v>5000</v>
      </c>
      <c r="F19" s="12" t="s">
        <v>267</v>
      </c>
      <c r="G19" s="63">
        <v>0</v>
      </c>
      <c r="H19" s="22"/>
      <c r="AN19" s="59" t="s">
        <v>220</v>
      </c>
      <c r="AO19" s="76" t="e">
        <f>SUM(AO13:AO18)</f>
        <v>#REF!</v>
      </c>
      <c r="AP19" s="76">
        <f t="shared" ref="AP19:AQ19" si="2">SUM(AP13:AP18)</f>
        <v>0</v>
      </c>
      <c r="AQ19" s="76" t="e">
        <f t="shared" si="2"/>
        <v>#REF!</v>
      </c>
      <c r="AT19" t="s">
        <v>230</v>
      </c>
      <c r="AU19" s="80">
        <v>6170</v>
      </c>
    </row>
    <row r="20" spans="1:47" x14ac:dyDescent="0.3">
      <c r="A20" s="36">
        <v>2000</v>
      </c>
      <c r="B20" s="12" t="s">
        <v>156</v>
      </c>
      <c r="C20" s="119">
        <v>0</v>
      </c>
      <c r="D20" s="172"/>
      <c r="E20" s="63">
        <v>150</v>
      </c>
      <c r="F20" s="12" t="s">
        <v>268</v>
      </c>
      <c r="G20" s="63">
        <v>0</v>
      </c>
      <c r="H20" s="2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T20" t="s">
        <v>157</v>
      </c>
      <c r="AU20" s="80">
        <v>4900</v>
      </c>
    </row>
    <row r="21" spans="1:47" ht="15" thickBot="1" x14ac:dyDescent="0.35">
      <c r="A21" s="10">
        <v>52234</v>
      </c>
      <c r="B21" s="12" t="s">
        <v>85</v>
      </c>
      <c r="C21" s="63">
        <f>14400+20773</f>
        <v>35173</v>
      </c>
      <c r="D21" s="173"/>
      <c r="E21" s="63">
        <v>24298</v>
      </c>
      <c r="F21" s="12" t="s">
        <v>43</v>
      </c>
      <c r="G21" s="118">
        <v>12145</v>
      </c>
      <c r="H21" s="117">
        <f>SUM(G7:G21)</f>
        <v>1916018</v>
      </c>
      <c r="AN21" s="65" t="s">
        <v>221</v>
      </c>
      <c r="AO21" s="67" t="e">
        <f>AO12+AO19</f>
        <v>#REF!</v>
      </c>
      <c r="AP21" s="67">
        <f t="shared" ref="AP21:AQ21" si="3">AP12+AP19</f>
        <v>1727963.54</v>
      </c>
      <c r="AQ21" s="67" t="e">
        <f t="shared" si="3"/>
        <v>#REF!</v>
      </c>
      <c r="AT21" t="s">
        <v>232</v>
      </c>
      <c r="AU21" s="80">
        <v>2741</v>
      </c>
    </row>
    <row r="22" spans="1:47" ht="15" thickTop="1" x14ac:dyDescent="0.3">
      <c r="A22" s="10">
        <v>59800</v>
      </c>
      <c r="B22" s="12" t="s">
        <v>29</v>
      </c>
      <c r="C22" s="63">
        <v>65000</v>
      </c>
      <c r="D22" s="173"/>
      <c r="E22" s="63"/>
      <c r="F22" s="28"/>
      <c r="G22" s="63"/>
      <c r="H22" s="27"/>
      <c r="AT22" t="s">
        <v>32</v>
      </c>
      <c r="AU22" s="80">
        <v>485000</v>
      </c>
    </row>
    <row r="23" spans="1:47" x14ac:dyDescent="0.3">
      <c r="A23" s="10">
        <v>12020</v>
      </c>
      <c r="B23" s="12" t="s">
        <v>30</v>
      </c>
      <c r="C23" s="63">
        <v>26792</v>
      </c>
      <c r="D23" s="173"/>
      <c r="E23" s="115"/>
      <c r="F23" s="81" t="s">
        <v>240</v>
      </c>
      <c r="G23" s="115"/>
      <c r="H23" s="26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T23" t="s">
        <v>33</v>
      </c>
      <c r="AU23" s="80">
        <v>42920</v>
      </c>
    </row>
    <row r="24" spans="1:47" x14ac:dyDescent="0.3">
      <c r="A24" s="10">
        <v>2550</v>
      </c>
      <c r="B24" s="12" t="s">
        <v>82</v>
      </c>
      <c r="C24" s="63">
        <v>1940</v>
      </c>
      <c r="D24" s="161"/>
      <c r="E24" s="90">
        <v>8572</v>
      </c>
      <c r="F24" s="28" t="s">
        <v>342</v>
      </c>
      <c r="G24" s="63"/>
      <c r="H24" s="27">
        <v>19320</v>
      </c>
      <c r="AT24" t="s">
        <v>35</v>
      </c>
      <c r="AU24" s="80">
        <v>4900</v>
      </c>
    </row>
    <row r="25" spans="1:47" x14ac:dyDescent="0.3">
      <c r="A25" s="32">
        <v>11501</v>
      </c>
      <c r="B25" s="12" t="s">
        <v>31</v>
      </c>
      <c r="C25" s="63">
        <v>21490</v>
      </c>
      <c r="D25" s="161"/>
      <c r="E25" s="90">
        <v>210</v>
      </c>
      <c r="F25" s="12" t="s">
        <v>209</v>
      </c>
      <c r="G25" s="63"/>
      <c r="H25" s="27">
        <v>0</v>
      </c>
      <c r="AT25" t="s">
        <v>36</v>
      </c>
      <c r="AU25" s="80">
        <v>23520</v>
      </c>
    </row>
    <row r="26" spans="1:47" x14ac:dyDescent="0.3">
      <c r="A26" s="32">
        <v>104656.5</v>
      </c>
      <c r="B26" s="12" t="s">
        <v>280</v>
      </c>
      <c r="C26" s="63">
        <v>37243</v>
      </c>
      <c r="D26" s="161"/>
      <c r="E26" s="90">
        <v>77934</v>
      </c>
      <c r="F26" s="108" t="s">
        <v>242</v>
      </c>
      <c r="G26" s="24">
        <v>80873</v>
      </c>
      <c r="H26" s="26"/>
      <c r="AT26" t="s">
        <v>37</v>
      </c>
      <c r="AU26" s="80">
        <v>3617</v>
      </c>
    </row>
    <row r="27" spans="1:47" x14ac:dyDescent="0.3">
      <c r="A27" s="36">
        <v>6321</v>
      </c>
      <c r="B27" s="12" t="s">
        <v>233</v>
      </c>
      <c r="C27" s="63">
        <v>8623</v>
      </c>
      <c r="D27" s="161"/>
      <c r="E27" s="90"/>
      <c r="F27" s="108" t="s">
        <v>71</v>
      </c>
      <c r="G27" s="24"/>
      <c r="H27" s="22"/>
      <c r="AT27" t="s">
        <v>158</v>
      </c>
      <c r="AU27" s="80">
        <v>5024</v>
      </c>
    </row>
    <row r="28" spans="1:47" x14ac:dyDescent="0.3">
      <c r="A28" s="36">
        <v>7050</v>
      </c>
      <c r="B28" s="12" t="s">
        <v>157</v>
      </c>
      <c r="C28" s="63">
        <v>4000</v>
      </c>
      <c r="D28" s="161"/>
      <c r="E28" s="90">
        <v>-17755</v>
      </c>
      <c r="F28" s="28" t="s">
        <v>4</v>
      </c>
      <c r="G28" s="24">
        <v>20619</v>
      </c>
      <c r="H28" s="22"/>
      <c r="AT28" t="s">
        <v>73</v>
      </c>
      <c r="AU28" s="80">
        <v>8500</v>
      </c>
    </row>
    <row r="29" spans="1:47" x14ac:dyDescent="0.3">
      <c r="A29" s="36">
        <v>3050</v>
      </c>
      <c r="B29" s="12" t="s">
        <v>232</v>
      </c>
      <c r="C29" s="118">
        <v>11000</v>
      </c>
      <c r="D29" s="172">
        <f>SUM(C20:C29)</f>
        <v>211261</v>
      </c>
      <c r="E29" s="90">
        <v>-3758</v>
      </c>
      <c r="F29" s="28" t="s">
        <v>77</v>
      </c>
      <c r="G29" s="24">
        <v>3987</v>
      </c>
      <c r="H29" s="18"/>
      <c r="AT29" t="s">
        <v>194</v>
      </c>
      <c r="AU29" s="80">
        <v>2011</v>
      </c>
    </row>
    <row r="30" spans="1:47" x14ac:dyDescent="0.3">
      <c r="A30" s="7"/>
      <c r="B30" s="28"/>
      <c r="C30" s="24"/>
      <c r="D30" s="164"/>
      <c r="E30" s="90">
        <v>-26815</v>
      </c>
      <c r="F30" s="28" t="s">
        <v>83</v>
      </c>
      <c r="G30" s="24">
        <v>27018</v>
      </c>
      <c r="H30" s="18"/>
      <c r="AT30" t="s">
        <v>167</v>
      </c>
      <c r="AU30" s="80">
        <v>38</v>
      </c>
    </row>
    <row r="31" spans="1:47" x14ac:dyDescent="0.3">
      <c r="A31" s="9"/>
      <c r="B31" s="81" t="s">
        <v>238</v>
      </c>
      <c r="C31" s="115"/>
      <c r="D31" s="171"/>
      <c r="E31" s="90">
        <v>-14862</v>
      </c>
      <c r="F31" s="28" t="s">
        <v>5</v>
      </c>
      <c r="G31" s="120">
        <v>15503</v>
      </c>
      <c r="H31" s="26">
        <f>G26-SUM(G28:G31)</f>
        <v>13746</v>
      </c>
      <c r="AT31" t="s">
        <v>168</v>
      </c>
      <c r="AU31" s="80">
        <v>12245</v>
      </c>
    </row>
    <row r="32" spans="1:47" x14ac:dyDescent="0.3">
      <c r="A32" s="10">
        <v>596100</v>
      </c>
      <c r="B32" s="12" t="s">
        <v>32</v>
      </c>
      <c r="C32" s="63">
        <v>543000</v>
      </c>
      <c r="D32" s="173"/>
      <c r="E32" s="115"/>
      <c r="F32" s="28"/>
      <c r="G32" s="24"/>
      <c r="H32" s="121"/>
      <c r="AT32" t="s">
        <v>38</v>
      </c>
      <c r="AU32" s="80">
        <v>4323</v>
      </c>
    </row>
    <row r="33" spans="1:47" x14ac:dyDescent="0.3">
      <c r="A33" s="10">
        <v>36443</v>
      </c>
      <c r="B33" s="12" t="s">
        <v>243</v>
      </c>
      <c r="C33" s="63">
        <f>'Fixed Assets'!G18</f>
        <v>46104</v>
      </c>
      <c r="D33" s="173"/>
      <c r="E33" s="115"/>
      <c r="F33" s="108" t="s">
        <v>241</v>
      </c>
      <c r="G33" s="24"/>
      <c r="H33" s="121"/>
      <c r="AT33" t="s">
        <v>76</v>
      </c>
      <c r="AU33" s="80">
        <v>68.300000000000011</v>
      </c>
    </row>
    <row r="34" spans="1:47" x14ac:dyDescent="0.3">
      <c r="A34" s="10">
        <v>0</v>
      </c>
      <c r="B34" s="12" t="s">
        <v>389</v>
      </c>
      <c r="C34" s="63">
        <v>3304</v>
      </c>
      <c r="D34" s="173"/>
      <c r="E34" s="63">
        <v>80300</v>
      </c>
      <c r="F34" s="12" t="s">
        <v>146</v>
      </c>
      <c r="G34" s="63">
        <v>15075</v>
      </c>
      <c r="H34" s="22"/>
      <c r="AT34" t="s">
        <v>53</v>
      </c>
      <c r="AU34" s="80">
        <v>200</v>
      </c>
    </row>
    <row r="35" spans="1:47" x14ac:dyDescent="0.3">
      <c r="A35" s="10">
        <v>0</v>
      </c>
      <c r="B35" s="12" t="s">
        <v>390</v>
      </c>
      <c r="C35" s="63">
        <v>15000</v>
      </c>
      <c r="D35" s="173"/>
      <c r="E35" s="63">
        <v>12500</v>
      </c>
      <c r="F35" s="12" t="s">
        <v>196</v>
      </c>
      <c r="G35" s="118">
        <v>22500</v>
      </c>
      <c r="H35" s="117">
        <f>SUM(G34:G35)</f>
        <v>37575</v>
      </c>
      <c r="AU35" s="80">
        <f>SUM(AU7:AU34)</f>
        <v>878471.3</v>
      </c>
    </row>
    <row r="36" spans="1:47" x14ac:dyDescent="0.3">
      <c r="A36" s="10">
        <v>55313</v>
      </c>
      <c r="B36" s="12" t="s">
        <v>34</v>
      </c>
      <c r="C36" s="63">
        <v>18518</v>
      </c>
      <c r="D36" s="173"/>
      <c r="E36" s="90"/>
      <c r="F36" s="28"/>
      <c r="G36" s="24"/>
      <c r="H36" s="121"/>
    </row>
    <row r="37" spans="1:47" x14ac:dyDescent="0.3">
      <c r="A37" s="36">
        <v>8000</v>
      </c>
      <c r="B37" s="12" t="s">
        <v>35</v>
      </c>
      <c r="C37" s="118">
        <f>25960+6400</f>
        <v>32360</v>
      </c>
      <c r="D37" s="172">
        <f>SUM(C32:C37)</f>
        <v>658286</v>
      </c>
      <c r="E37" s="90"/>
      <c r="F37" s="12"/>
      <c r="G37" s="63"/>
      <c r="H37" s="27"/>
    </row>
    <row r="38" spans="1:47" ht="9.9" customHeight="1" x14ac:dyDescent="0.3">
      <c r="A38" s="7"/>
      <c r="B38" s="12"/>
      <c r="C38" s="90"/>
      <c r="D38" s="174"/>
      <c r="E38" s="90"/>
      <c r="F38" s="12"/>
      <c r="G38" s="63"/>
      <c r="H38" s="27"/>
    </row>
    <row r="39" spans="1:47" x14ac:dyDescent="0.3">
      <c r="A39" s="9"/>
      <c r="B39" s="81" t="s">
        <v>239</v>
      </c>
      <c r="C39" s="115"/>
      <c r="D39" s="171"/>
      <c r="E39" s="90"/>
      <c r="F39" s="28"/>
      <c r="G39" s="24"/>
      <c r="H39" s="26"/>
    </row>
    <row r="40" spans="1:47" x14ac:dyDescent="0.3">
      <c r="A40" s="10">
        <v>36784</v>
      </c>
      <c r="B40" s="12" t="s">
        <v>36</v>
      </c>
      <c r="C40" s="63">
        <v>33792</v>
      </c>
      <c r="D40" s="173"/>
      <c r="E40" s="90"/>
      <c r="F40" s="28"/>
      <c r="G40" s="24"/>
      <c r="H40" s="26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 spans="1:47" x14ac:dyDescent="0.3">
      <c r="A41" s="10">
        <v>2464</v>
      </c>
      <c r="B41" s="12" t="s">
        <v>37</v>
      </c>
      <c r="C41" s="63">
        <v>11369</v>
      </c>
      <c r="D41" s="173"/>
      <c r="E41" s="90"/>
      <c r="F41" s="12"/>
      <c r="G41" s="90"/>
      <c r="H41" s="18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r="42" spans="1:47" x14ac:dyDescent="0.3">
      <c r="A42" s="10">
        <v>46</v>
      </c>
      <c r="B42" s="12" t="s">
        <v>158</v>
      </c>
      <c r="C42" s="63">
        <v>3150</v>
      </c>
      <c r="D42" s="173"/>
      <c r="E42" s="90"/>
      <c r="F42" s="12"/>
      <c r="G42" s="63"/>
      <c r="H42" s="2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 spans="1:47" x14ac:dyDescent="0.3">
      <c r="A43" s="10">
        <v>20500</v>
      </c>
      <c r="B43" s="12" t="s">
        <v>73</v>
      </c>
      <c r="C43" s="63">
        <f>13000+9000</f>
        <v>22000</v>
      </c>
      <c r="D43" s="173"/>
      <c r="E43" s="90"/>
      <c r="F43" s="12"/>
      <c r="G43" s="90"/>
      <c r="H43" s="18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 spans="1:47" x14ac:dyDescent="0.3">
      <c r="A44" s="10">
        <v>740</v>
      </c>
      <c r="B44" s="12" t="s">
        <v>194</v>
      </c>
      <c r="C44" s="63">
        <v>22775</v>
      </c>
      <c r="D44" s="173"/>
      <c r="E44" s="90"/>
      <c r="F44" s="12"/>
      <c r="G44" s="90"/>
      <c r="H44" s="18"/>
    </row>
    <row r="45" spans="1:47" x14ac:dyDescent="0.3">
      <c r="A45" s="10">
        <v>58</v>
      </c>
      <c r="B45" s="12" t="s">
        <v>167</v>
      </c>
      <c r="C45" s="63">
        <v>0</v>
      </c>
      <c r="D45" s="173"/>
      <c r="E45" s="90"/>
      <c r="F45" s="12"/>
      <c r="G45" s="90"/>
      <c r="H45" s="18"/>
    </row>
    <row r="46" spans="1:47" x14ac:dyDescent="0.3">
      <c r="A46" s="10">
        <v>15390</v>
      </c>
      <c r="B46" s="12" t="s">
        <v>168</v>
      </c>
      <c r="C46" s="63">
        <v>26000</v>
      </c>
      <c r="D46" s="173"/>
      <c r="E46" s="90"/>
      <c r="F46" s="12"/>
      <c r="G46" s="90"/>
      <c r="H46" s="18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 spans="1:47" x14ac:dyDescent="0.3">
      <c r="A47" s="10">
        <v>2659</v>
      </c>
      <c r="B47" s="12" t="s">
        <v>38</v>
      </c>
      <c r="C47" s="63">
        <v>0</v>
      </c>
      <c r="D47" s="173"/>
      <c r="E47" s="90"/>
      <c r="F47" s="12"/>
      <c r="G47" s="90"/>
      <c r="H47" s="18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47" x14ac:dyDescent="0.3">
      <c r="A48" s="7">
        <v>232.76</v>
      </c>
      <c r="B48" s="12" t="s">
        <v>76</v>
      </c>
      <c r="C48" s="90">
        <v>330.54</v>
      </c>
      <c r="D48" s="174"/>
      <c r="E48" s="90"/>
      <c r="F48" s="122"/>
      <c r="G48" s="90"/>
      <c r="H48" s="18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 spans="1:41" x14ac:dyDescent="0.3">
      <c r="A49" s="7">
        <v>9900</v>
      </c>
      <c r="B49" s="12" t="s">
        <v>283</v>
      </c>
      <c r="C49" s="90">
        <v>0</v>
      </c>
      <c r="D49" s="174"/>
      <c r="E49" s="90"/>
      <c r="F49" s="12"/>
      <c r="G49" s="90"/>
      <c r="H49" s="18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r="50" spans="1:41" x14ac:dyDescent="0.3">
      <c r="A50" s="36">
        <v>3982</v>
      </c>
      <c r="B50" s="12" t="s">
        <v>53</v>
      </c>
      <c r="C50" s="123">
        <v>2594</v>
      </c>
      <c r="D50" s="163">
        <f>SUM(C40:C50)</f>
        <v>122010.54</v>
      </c>
      <c r="E50" s="24"/>
      <c r="F50" s="28"/>
      <c r="G50" s="24"/>
      <c r="H50" s="20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 spans="1:41" ht="9.9" customHeight="1" x14ac:dyDescent="0.3">
      <c r="A51" s="36"/>
      <c r="B51" s="12"/>
      <c r="C51" s="90"/>
      <c r="D51" s="163"/>
      <c r="E51" s="64"/>
      <c r="F51" s="70"/>
      <c r="G51" s="1"/>
      <c r="H51" s="2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 spans="1:41" ht="15" customHeight="1" x14ac:dyDescent="0.3">
      <c r="A52" s="114">
        <f>E54-SUM(A7:A50)</f>
        <v>110189.73999999999</v>
      </c>
      <c r="B52" s="70" t="s">
        <v>341</v>
      </c>
      <c r="C52" s="90"/>
      <c r="D52" s="163">
        <f>H54-SUM(D7:D50)</f>
        <v>258695.45999999996</v>
      </c>
      <c r="E52" s="64"/>
      <c r="F52" s="70"/>
      <c r="G52" s="1"/>
      <c r="H52" s="20"/>
    </row>
    <row r="53" spans="1:41" ht="9.9" customHeight="1" x14ac:dyDescent="0.3">
      <c r="A53" s="36"/>
      <c r="B53" s="12"/>
      <c r="C53" s="175"/>
      <c r="D53" s="163"/>
      <c r="E53" s="64"/>
      <c r="F53" s="70"/>
      <c r="G53" s="1"/>
      <c r="H53" s="20"/>
      <c r="AN53" s="11"/>
      <c r="AO53" s="80"/>
    </row>
    <row r="54" spans="1:41" ht="15" customHeight="1" thickBot="1" x14ac:dyDescent="0.35">
      <c r="A54" s="8">
        <f>SUM(A6:A53)</f>
        <v>1762591</v>
      </c>
      <c r="B54" s="278" t="s">
        <v>9</v>
      </c>
      <c r="C54" s="288"/>
      <c r="D54" s="168">
        <f>SUM(D6:D53)</f>
        <v>1986659</v>
      </c>
      <c r="E54" s="169">
        <f>SUM(E7:E53)</f>
        <v>1762591</v>
      </c>
      <c r="F54" s="278" t="s">
        <v>9</v>
      </c>
      <c r="G54" s="288"/>
      <c r="H54" s="35">
        <f>SUM(H7:H50)</f>
        <v>1986659</v>
      </c>
      <c r="AO54" s="80"/>
    </row>
    <row r="55" spans="1:41" ht="9.9" customHeight="1" thickTop="1" x14ac:dyDescent="0.3">
      <c r="A55" s="151"/>
      <c r="B55" s="177"/>
      <c r="C55" s="177"/>
      <c r="D55" s="178"/>
      <c r="E55" s="177"/>
      <c r="F55" s="177"/>
      <c r="G55" s="177"/>
      <c r="H55" s="152"/>
      <c r="I55" s="11"/>
    </row>
    <row r="56" spans="1:41" ht="15.9" customHeight="1" x14ac:dyDescent="0.3">
      <c r="A56" s="151" t="s">
        <v>179</v>
      </c>
      <c r="B56" s="177"/>
      <c r="C56" s="177"/>
      <c r="D56" s="177"/>
      <c r="H56" s="154"/>
      <c r="I56" s="11"/>
      <c r="K56" s="3"/>
    </row>
    <row r="57" spans="1:41" ht="15.9" customHeight="1" x14ac:dyDescent="0.3">
      <c r="A57" s="151"/>
      <c r="B57" s="177"/>
      <c r="C57" s="177"/>
      <c r="D57" s="178"/>
      <c r="E57" s="268" t="s">
        <v>442</v>
      </c>
      <c r="F57" s="268"/>
      <c r="G57" s="268"/>
      <c r="H57" s="287"/>
      <c r="I57" s="11"/>
    </row>
    <row r="58" spans="1:41" ht="15.9" customHeight="1" x14ac:dyDescent="0.3">
      <c r="A58" s="151"/>
      <c r="B58" s="177"/>
      <c r="C58" s="177"/>
      <c r="D58" s="178"/>
      <c r="E58" s="177"/>
      <c r="F58" s="177"/>
      <c r="G58" s="177"/>
      <c r="H58" s="152"/>
      <c r="I58" s="11"/>
    </row>
    <row r="59" spans="1:41" ht="15.9" customHeight="1" x14ac:dyDescent="0.3">
      <c r="A59" s="151"/>
      <c r="B59" s="177"/>
      <c r="C59" s="177"/>
      <c r="D59" s="178"/>
      <c r="E59" s="177"/>
      <c r="F59" s="177"/>
      <c r="G59" s="177"/>
      <c r="H59" s="152"/>
      <c r="I59" s="11"/>
    </row>
    <row r="60" spans="1:41" ht="15.9" customHeight="1" x14ac:dyDescent="0.3">
      <c r="A60" s="151"/>
      <c r="B60" s="177"/>
      <c r="C60" s="177"/>
      <c r="D60" s="178"/>
      <c r="E60" s="177"/>
      <c r="F60" s="177"/>
      <c r="G60" s="177"/>
      <c r="H60" s="152"/>
      <c r="I60" s="11"/>
      <c r="K60" s="14"/>
    </row>
    <row r="61" spans="1:41" ht="15.9" customHeight="1" x14ac:dyDescent="0.3">
      <c r="A61" s="156" t="s">
        <v>346</v>
      </c>
      <c r="B61" s="177"/>
      <c r="C61" s="177"/>
      <c r="D61" s="178"/>
      <c r="E61" s="177"/>
      <c r="F61" s="177"/>
      <c r="G61" s="177"/>
      <c r="H61" s="152"/>
      <c r="I61" s="11"/>
      <c r="K61" s="71"/>
    </row>
    <row r="62" spans="1:41" ht="15.9" customHeight="1" x14ac:dyDescent="0.3">
      <c r="A62" s="151" t="s">
        <v>347</v>
      </c>
      <c r="B62" s="177"/>
      <c r="C62" s="177"/>
      <c r="D62" s="178"/>
      <c r="H62" s="100"/>
      <c r="I62" s="109"/>
      <c r="K62" s="71"/>
      <c r="L62" s="89"/>
      <c r="M62" s="89"/>
    </row>
    <row r="63" spans="1:41" ht="15.9" customHeight="1" x14ac:dyDescent="0.3">
      <c r="A63" s="151" t="s">
        <v>439</v>
      </c>
      <c r="B63" s="177"/>
      <c r="C63" s="177"/>
      <c r="D63" s="178"/>
      <c r="E63" s="269" t="s">
        <v>440</v>
      </c>
      <c r="F63" s="269"/>
      <c r="G63" s="269"/>
      <c r="H63" s="286"/>
      <c r="I63" s="11">
        <f>D54-H54</f>
        <v>0</v>
      </c>
      <c r="K63" s="3"/>
    </row>
    <row r="64" spans="1:41" s="153" customFormat="1" ht="15.9" customHeight="1" x14ac:dyDescent="0.3">
      <c r="A64" s="266">
        <v>46273</v>
      </c>
      <c r="B64" s="267"/>
      <c r="C64" s="267"/>
      <c r="D64" s="157"/>
      <c r="E64" s="158"/>
      <c r="F64" s="158"/>
      <c r="G64" s="158"/>
      <c r="H64" s="159"/>
      <c r="I64" s="153">
        <f>A54-E54</f>
        <v>0</v>
      </c>
    </row>
    <row r="65" spans="1:1" ht="17.100000000000001" customHeight="1" x14ac:dyDescent="0.3">
      <c r="A65" s="1"/>
    </row>
  </sheetData>
  <mergeCells count="11">
    <mergeCell ref="A64:C64"/>
    <mergeCell ref="E63:H63"/>
    <mergeCell ref="E57:H57"/>
    <mergeCell ref="B54:C54"/>
    <mergeCell ref="F54:G54"/>
    <mergeCell ref="A1:H1"/>
    <mergeCell ref="A3:H3"/>
    <mergeCell ref="B5:C5"/>
    <mergeCell ref="F5:G5"/>
    <mergeCell ref="F6:G6"/>
    <mergeCell ref="A2:H2"/>
  </mergeCells>
  <printOptions horizontalCentered="1"/>
  <pageMargins left="0.19685039370078741" right="0.19685039370078741" top="0.59055118110236227" bottom="0.19685039370078741" header="0.31496062992125984" footer="0.31496062992125984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5"/>
  <sheetViews>
    <sheetView view="pageBreakPreview" topLeftCell="E5" zoomScaleNormal="100" zoomScaleSheetLayoutView="100" workbookViewId="0">
      <selection activeCell="C69" sqref="C69"/>
    </sheetView>
  </sheetViews>
  <sheetFormatPr defaultRowHeight="14.4" x14ac:dyDescent="0.3"/>
  <cols>
    <col min="1" max="1" width="4.109375" bestFit="1" customWidth="1"/>
    <col min="2" max="2" width="22" bestFit="1" customWidth="1"/>
    <col min="3" max="3" width="10.109375" bestFit="1" customWidth="1"/>
    <col min="4" max="4" width="13.33203125" bestFit="1" customWidth="1"/>
    <col min="5" max="6" width="11.5546875" customWidth="1"/>
    <col min="7" max="7" width="13.33203125" bestFit="1" customWidth="1"/>
    <col min="8" max="8" width="11" bestFit="1" customWidth="1"/>
    <col min="9" max="9" width="13.109375" bestFit="1" customWidth="1"/>
    <col min="10" max="10" width="8" bestFit="1" customWidth="1"/>
    <col min="11" max="11" width="7.109375" style="5" bestFit="1" customWidth="1"/>
    <col min="12" max="12" width="10" bestFit="1" customWidth="1"/>
    <col min="13" max="13" width="9.88671875" style="14" bestFit="1" customWidth="1"/>
    <col min="14" max="14" width="24.33203125" customWidth="1"/>
    <col min="15" max="15" width="10" customWidth="1"/>
    <col min="16" max="16" width="12.88671875" customWidth="1"/>
    <col min="17" max="17" width="10.6640625" bestFit="1" customWidth="1"/>
    <col min="18" max="18" width="10" customWidth="1"/>
  </cols>
  <sheetData>
    <row r="1" spans="1:18" ht="18" x14ac:dyDescent="0.35">
      <c r="B1" s="289" t="s">
        <v>86</v>
      </c>
      <c r="C1" s="290"/>
      <c r="D1" s="290"/>
      <c r="E1" s="290"/>
      <c r="F1" s="290"/>
      <c r="G1" s="290"/>
      <c r="H1" s="290"/>
      <c r="I1" s="290"/>
      <c r="J1" s="290"/>
      <c r="K1" s="291"/>
    </row>
    <row r="2" spans="1:18" ht="19.5" customHeight="1" x14ac:dyDescent="0.3">
      <c r="B2" s="292" t="s">
        <v>430</v>
      </c>
      <c r="C2" s="293"/>
      <c r="D2" s="293"/>
      <c r="E2" s="293"/>
      <c r="F2" s="293"/>
      <c r="G2" s="293"/>
      <c r="H2" s="293"/>
      <c r="I2" s="293"/>
      <c r="J2" s="293"/>
      <c r="K2" s="294"/>
    </row>
    <row r="3" spans="1:18" ht="34.5" customHeight="1" thickBot="1" x14ac:dyDescent="0.35">
      <c r="A3" s="148" t="s">
        <v>81</v>
      </c>
      <c r="B3" s="85" t="s">
        <v>78</v>
      </c>
      <c r="C3" s="85" t="s">
        <v>45</v>
      </c>
      <c r="D3" s="85" t="s">
        <v>46</v>
      </c>
      <c r="E3" s="85" t="s">
        <v>258</v>
      </c>
      <c r="F3" s="85" t="s">
        <v>348</v>
      </c>
      <c r="G3" s="85" t="s">
        <v>9</v>
      </c>
      <c r="H3" s="85" t="s">
        <v>47</v>
      </c>
      <c r="I3" s="85" t="s">
        <v>48</v>
      </c>
      <c r="J3" s="85" t="s">
        <v>49</v>
      </c>
      <c r="K3" s="85" t="s">
        <v>50</v>
      </c>
    </row>
    <row r="4" spans="1:18" ht="15" thickTop="1" x14ac:dyDescent="0.3">
      <c r="A4" s="86"/>
      <c r="B4" s="70" t="s">
        <v>4</v>
      </c>
      <c r="K4" s="139"/>
      <c r="L4" s="3"/>
    </row>
    <row r="5" spans="1:18" x14ac:dyDescent="0.3">
      <c r="A5" s="186">
        <v>1</v>
      </c>
      <c r="B5" s="124" t="s">
        <v>331</v>
      </c>
      <c r="C5" s="2" t="s">
        <v>204</v>
      </c>
      <c r="D5" s="79">
        <v>16287</v>
      </c>
      <c r="E5" s="79">
        <v>132</v>
      </c>
      <c r="F5" s="79">
        <f>1212</f>
        <v>1212</v>
      </c>
      <c r="G5" s="79">
        <f t="shared" ref="G5:G11" si="0">SUM(D5:F5)</f>
        <v>17631</v>
      </c>
      <c r="H5" s="78" t="s">
        <v>332</v>
      </c>
      <c r="I5" s="79">
        <v>18127</v>
      </c>
      <c r="J5" s="79">
        <v>7.2</v>
      </c>
      <c r="K5" s="140" t="s">
        <v>51</v>
      </c>
      <c r="L5" s="3"/>
      <c r="N5" s="297" t="s">
        <v>427</v>
      </c>
      <c r="O5" s="297"/>
      <c r="P5" s="297"/>
      <c r="Q5" s="297"/>
    </row>
    <row r="6" spans="1:18" x14ac:dyDescent="0.3">
      <c r="A6" s="186">
        <v>2</v>
      </c>
      <c r="B6" s="124" t="s">
        <v>333</v>
      </c>
      <c r="C6" s="2" t="s">
        <v>204</v>
      </c>
      <c r="D6" s="79">
        <v>38321</v>
      </c>
      <c r="E6" s="79">
        <v>312</v>
      </c>
      <c r="F6" s="79">
        <f>2855</f>
        <v>2855</v>
      </c>
      <c r="G6" s="79">
        <f t="shared" si="0"/>
        <v>41488</v>
      </c>
      <c r="H6" s="78" t="s">
        <v>332</v>
      </c>
      <c r="I6" s="79">
        <v>38321</v>
      </c>
      <c r="J6" s="79">
        <v>7.2</v>
      </c>
      <c r="K6" s="140" t="s">
        <v>51</v>
      </c>
      <c r="L6" s="3"/>
      <c r="N6" s="2"/>
      <c r="O6" s="59" t="s">
        <v>162</v>
      </c>
      <c r="P6" s="59" t="s">
        <v>161</v>
      </c>
      <c r="Q6" s="59" t="s">
        <v>163</v>
      </c>
      <c r="R6" s="11"/>
    </row>
    <row r="7" spans="1:18" x14ac:dyDescent="0.3">
      <c r="A7" s="186">
        <v>3</v>
      </c>
      <c r="B7" s="124" t="s">
        <v>382</v>
      </c>
      <c r="C7" s="2" t="s">
        <v>339</v>
      </c>
      <c r="D7" s="79">
        <v>32583</v>
      </c>
      <c r="E7" s="79">
        <v>0</v>
      </c>
      <c r="F7" s="79">
        <f>1058</f>
        <v>1058</v>
      </c>
      <c r="G7" s="79">
        <f t="shared" si="0"/>
        <v>33641</v>
      </c>
      <c r="H7" s="78" t="s">
        <v>383</v>
      </c>
      <c r="I7" s="79">
        <v>34856</v>
      </c>
      <c r="J7" s="79">
        <v>6.8</v>
      </c>
      <c r="K7" s="140" t="s">
        <v>51</v>
      </c>
      <c r="M7" s="11"/>
      <c r="N7" s="2"/>
      <c r="O7" s="97" t="s">
        <v>165</v>
      </c>
      <c r="P7" s="97" t="s">
        <v>164</v>
      </c>
      <c r="Q7" s="59" t="s">
        <v>166</v>
      </c>
    </row>
    <row r="8" spans="1:18" x14ac:dyDescent="0.3">
      <c r="A8" s="186">
        <v>4</v>
      </c>
      <c r="B8" s="124" t="s">
        <v>350</v>
      </c>
      <c r="C8" s="2" t="s">
        <v>224</v>
      </c>
      <c r="D8" s="79">
        <v>129197</v>
      </c>
      <c r="E8" s="79">
        <v>0</v>
      </c>
      <c r="F8" s="79">
        <f>6163-617</f>
        <v>5546</v>
      </c>
      <c r="G8" s="79">
        <f t="shared" si="0"/>
        <v>134743</v>
      </c>
      <c r="H8" s="78" t="s">
        <v>434</v>
      </c>
      <c r="I8" s="79">
        <v>139283</v>
      </c>
      <c r="J8" s="78">
        <v>7</v>
      </c>
      <c r="K8" s="140" t="s">
        <v>142</v>
      </c>
      <c r="M8" s="11"/>
      <c r="N8" s="2" t="s">
        <v>4</v>
      </c>
      <c r="O8" s="98">
        <f>'Balance Sheet'!D31</f>
        <v>323544</v>
      </c>
      <c r="P8" s="98">
        <f>G12</f>
        <v>273739</v>
      </c>
      <c r="Q8" s="99">
        <f t="shared" ref="Q8:Q13" si="1">O8-P8</f>
        <v>49805</v>
      </c>
    </row>
    <row r="9" spans="1:18" x14ac:dyDescent="0.3">
      <c r="A9" s="186">
        <v>5</v>
      </c>
      <c r="B9" s="124" t="s">
        <v>353</v>
      </c>
      <c r="C9" s="2" t="s">
        <v>431</v>
      </c>
      <c r="D9" s="79">
        <v>10836</v>
      </c>
      <c r="E9" s="79">
        <v>0</v>
      </c>
      <c r="F9" s="79">
        <v>0</v>
      </c>
      <c r="G9" s="79">
        <f t="shared" si="0"/>
        <v>10836</v>
      </c>
      <c r="H9" s="78" t="s">
        <v>437</v>
      </c>
      <c r="I9" s="79">
        <v>10836</v>
      </c>
      <c r="J9" s="79">
        <v>6.8</v>
      </c>
      <c r="K9" s="140" t="s">
        <v>142</v>
      </c>
      <c r="M9" s="11"/>
      <c r="N9" s="2" t="s">
        <v>5</v>
      </c>
      <c r="O9" s="98">
        <f>'Balance Sheet'!D35</f>
        <v>347786</v>
      </c>
      <c r="P9" s="98">
        <f>G18</f>
        <v>228429</v>
      </c>
      <c r="Q9" s="99">
        <f t="shared" si="1"/>
        <v>119357</v>
      </c>
    </row>
    <row r="10" spans="1:18" x14ac:dyDescent="0.3">
      <c r="A10" s="186">
        <v>6</v>
      </c>
      <c r="B10" s="124" t="s">
        <v>334</v>
      </c>
      <c r="C10" s="2" t="s">
        <v>191</v>
      </c>
      <c r="D10" s="79">
        <v>12977</v>
      </c>
      <c r="E10" s="79">
        <f>20-2</f>
        <v>18</v>
      </c>
      <c r="F10" s="79">
        <f>966-95</f>
        <v>871</v>
      </c>
      <c r="G10" s="79">
        <f t="shared" si="0"/>
        <v>13866</v>
      </c>
      <c r="H10" s="78" t="s">
        <v>436</v>
      </c>
      <c r="I10" s="79">
        <v>14974</v>
      </c>
      <c r="J10" s="79">
        <v>7.25</v>
      </c>
      <c r="K10" s="140" t="s">
        <v>142</v>
      </c>
      <c r="N10" s="2" t="s">
        <v>83</v>
      </c>
      <c r="O10" s="98">
        <f>'Balance Sheet'!D16+'Balance Sheet'!D19+'Balance Sheet'!D22+'Balance Sheet'!D25</f>
        <v>473889</v>
      </c>
      <c r="P10" s="98">
        <f>G24</f>
        <v>384388</v>
      </c>
      <c r="Q10" s="99">
        <f t="shared" si="1"/>
        <v>89501</v>
      </c>
    </row>
    <row r="11" spans="1:18" x14ac:dyDescent="0.3">
      <c r="A11" s="186">
        <v>7</v>
      </c>
      <c r="B11" s="124" t="s">
        <v>202</v>
      </c>
      <c r="C11" s="2" t="s">
        <v>225</v>
      </c>
      <c r="D11" s="79">
        <v>20528</v>
      </c>
      <c r="E11" s="79">
        <v>0</v>
      </c>
      <c r="F11" s="79">
        <f>1119-113</f>
        <v>1006</v>
      </c>
      <c r="G11" s="79">
        <f t="shared" si="0"/>
        <v>21534</v>
      </c>
      <c r="H11" s="78" t="s">
        <v>435</v>
      </c>
      <c r="I11" s="79">
        <v>22384</v>
      </c>
      <c r="J11" s="79">
        <v>7</v>
      </c>
      <c r="K11" s="140" t="s">
        <v>142</v>
      </c>
      <c r="N11" s="2" t="s">
        <v>203</v>
      </c>
      <c r="O11" s="98">
        <f>'Balance Sheet'!D44</f>
        <v>84606</v>
      </c>
      <c r="P11" s="98">
        <f>G34</f>
        <v>57372</v>
      </c>
      <c r="Q11" s="99">
        <f t="shared" si="1"/>
        <v>27234</v>
      </c>
    </row>
    <row r="12" spans="1:18" ht="15" thickBot="1" x14ac:dyDescent="0.35">
      <c r="A12" s="87"/>
      <c r="B12" s="187"/>
      <c r="C12" s="82"/>
      <c r="D12" s="102">
        <f>SUM(D5:D11)</f>
        <v>260729</v>
      </c>
      <c r="E12" s="102">
        <f t="shared" ref="E12:I12" si="2">SUM(E5:E11)</f>
        <v>462</v>
      </c>
      <c r="F12" s="102">
        <f t="shared" si="2"/>
        <v>12548</v>
      </c>
      <c r="G12" s="102">
        <f t="shared" si="2"/>
        <v>273739</v>
      </c>
      <c r="H12" s="84"/>
      <c r="I12" s="83">
        <f t="shared" si="2"/>
        <v>278781</v>
      </c>
      <c r="J12" s="84"/>
      <c r="K12" s="141"/>
      <c r="L12" s="11"/>
      <c r="N12" s="2" t="s">
        <v>3</v>
      </c>
      <c r="O12" s="60">
        <f>'Balance Sheet'!D27</f>
        <v>755161.5</v>
      </c>
      <c r="P12" s="60">
        <f>G39</f>
        <v>202524</v>
      </c>
      <c r="Q12" s="99">
        <f t="shared" si="1"/>
        <v>552637.5</v>
      </c>
    </row>
    <row r="13" spans="1:18" ht="15" thickTop="1" x14ac:dyDescent="0.3">
      <c r="A13" s="86"/>
      <c r="B13" s="188"/>
      <c r="D13" s="104"/>
      <c r="E13" s="104"/>
      <c r="F13" s="104"/>
      <c r="G13" s="104"/>
      <c r="H13" s="38"/>
      <c r="I13" s="51"/>
      <c r="J13" s="38"/>
      <c r="K13" s="142"/>
      <c r="L13" s="11"/>
      <c r="N13" s="2" t="s">
        <v>2</v>
      </c>
      <c r="O13" s="60">
        <f>'Balance Sheet'!D11</f>
        <v>32000</v>
      </c>
      <c r="P13" s="60">
        <f>G29</f>
        <v>24500</v>
      </c>
      <c r="Q13" s="99">
        <f t="shared" si="1"/>
        <v>7500</v>
      </c>
    </row>
    <row r="14" spans="1:18" x14ac:dyDescent="0.3">
      <c r="A14" s="86"/>
      <c r="B14" s="70" t="s">
        <v>5</v>
      </c>
      <c r="K14" s="139"/>
      <c r="L14" s="11"/>
      <c r="M14" s="11"/>
      <c r="N14" s="2" t="s">
        <v>425</v>
      </c>
      <c r="O14" s="60">
        <f>'Balance Sheet'!D37</f>
        <v>165774</v>
      </c>
      <c r="P14" s="60">
        <v>0</v>
      </c>
      <c r="Q14" s="99">
        <f>-O14-P14</f>
        <v>-165774</v>
      </c>
    </row>
    <row r="15" spans="1:18" x14ac:dyDescent="0.3">
      <c r="A15" s="186">
        <v>8</v>
      </c>
      <c r="B15" s="124" t="s">
        <v>349</v>
      </c>
      <c r="C15" s="2" t="s">
        <v>224</v>
      </c>
      <c r="D15" s="79">
        <v>153028</v>
      </c>
      <c r="E15" s="79">
        <v>0</v>
      </c>
      <c r="F15" s="78">
        <f>7299-730</f>
        <v>6569</v>
      </c>
      <c r="G15" s="79">
        <f>SUM(D15:F15)</f>
        <v>159597</v>
      </c>
      <c r="H15" s="78" t="s">
        <v>434</v>
      </c>
      <c r="I15" s="79">
        <v>164975</v>
      </c>
      <c r="J15" s="79">
        <v>7</v>
      </c>
      <c r="K15" s="140" t="s">
        <v>142</v>
      </c>
      <c r="M15" s="11"/>
      <c r="N15" s="2" t="s">
        <v>426</v>
      </c>
      <c r="O15" s="60">
        <f>'Balance Sheet'!D40</f>
        <v>177444</v>
      </c>
      <c r="P15" s="60">
        <v>0</v>
      </c>
      <c r="Q15" s="99">
        <f>-O15-P15</f>
        <v>-177444</v>
      </c>
    </row>
    <row r="16" spans="1:18" x14ac:dyDescent="0.3">
      <c r="A16" s="186">
        <v>9</v>
      </c>
      <c r="B16" s="124" t="s">
        <v>351</v>
      </c>
      <c r="C16" s="2" t="s">
        <v>223</v>
      </c>
      <c r="D16" s="79">
        <v>21672</v>
      </c>
      <c r="E16" s="79">
        <v>0</v>
      </c>
      <c r="F16" s="79">
        <v>0</v>
      </c>
      <c r="G16" s="79">
        <f>SUM(D16:F16)</f>
        <v>21672</v>
      </c>
      <c r="H16" s="78" t="s">
        <v>437</v>
      </c>
      <c r="I16" s="79">
        <v>21672</v>
      </c>
      <c r="J16" s="79">
        <v>6.8</v>
      </c>
      <c r="K16" s="140" t="s">
        <v>142</v>
      </c>
      <c r="N16" s="59" t="s">
        <v>145</v>
      </c>
      <c r="O16" s="61">
        <f>SUM(O8:O15)</f>
        <v>2360204.5</v>
      </c>
      <c r="P16" s="61">
        <f>SUM(P8:P15)</f>
        <v>1170952</v>
      </c>
      <c r="Q16" s="61">
        <f>SUM(Q8:Q15)</f>
        <v>502816.5</v>
      </c>
    </row>
    <row r="17" spans="1:16" x14ac:dyDescent="0.3">
      <c r="A17" s="186">
        <v>10</v>
      </c>
      <c r="B17" s="124" t="s">
        <v>357</v>
      </c>
      <c r="C17" s="2" t="s">
        <v>225</v>
      </c>
      <c r="D17" s="79">
        <v>44954</v>
      </c>
      <c r="E17" s="79">
        <v>0</v>
      </c>
      <c r="F17" s="79">
        <f>2451-245</f>
        <v>2206</v>
      </c>
      <c r="G17" s="79">
        <f>SUM(D17:F17)</f>
        <v>47160</v>
      </c>
      <c r="H17" s="78" t="s">
        <v>435</v>
      </c>
      <c r="I17" s="79">
        <v>49017</v>
      </c>
      <c r="J17" s="79">
        <v>7</v>
      </c>
      <c r="K17" s="140" t="s">
        <v>142</v>
      </c>
      <c r="O17" s="11"/>
      <c r="P17" s="111"/>
    </row>
    <row r="18" spans="1:16" ht="15" thickBot="1" x14ac:dyDescent="0.35">
      <c r="A18" s="87"/>
      <c r="B18" s="187"/>
      <c r="C18" s="82"/>
      <c r="D18" s="102">
        <f>SUM(D15:D17)</f>
        <v>219654</v>
      </c>
      <c r="E18" s="102">
        <f t="shared" ref="E18:I18" si="3">SUM(E15:E17)</f>
        <v>0</v>
      </c>
      <c r="F18" s="102">
        <f t="shared" si="3"/>
        <v>8775</v>
      </c>
      <c r="G18" s="102">
        <f>SUM(G15:G17)</f>
        <v>228429</v>
      </c>
      <c r="H18" s="84"/>
      <c r="I18" s="83">
        <f t="shared" si="3"/>
        <v>235664</v>
      </c>
      <c r="J18" s="84"/>
      <c r="K18" s="141"/>
      <c r="L18" s="11"/>
      <c r="O18" s="11"/>
    </row>
    <row r="19" spans="1:16" ht="15" thickTop="1" x14ac:dyDescent="0.3">
      <c r="A19" s="86"/>
      <c r="B19" s="188"/>
      <c r="D19" s="104"/>
      <c r="E19" s="104"/>
      <c r="F19" s="104"/>
      <c r="G19" s="104"/>
      <c r="H19" s="38"/>
      <c r="I19" s="51"/>
      <c r="J19" s="38"/>
      <c r="K19" s="142"/>
      <c r="L19" s="11"/>
      <c r="O19" s="11"/>
    </row>
    <row r="20" spans="1:16" x14ac:dyDescent="0.3">
      <c r="A20" s="86"/>
      <c r="B20" s="70" t="s">
        <v>83</v>
      </c>
      <c r="K20" s="139"/>
      <c r="L20" s="11"/>
      <c r="M20" s="11"/>
      <c r="O20" s="11"/>
    </row>
    <row r="21" spans="1:16" x14ac:dyDescent="0.3">
      <c r="A21" s="186">
        <v>11</v>
      </c>
      <c r="B21" s="124" t="s">
        <v>352</v>
      </c>
      <c r="C21" s="2" t="s">
        <v>223</v>
      </c>
      <c r="D21" s="79">
        <v>272382</v>
      </c>
      <c r="E21" s="79"/>
      <c r="F21" s="79"/>
      <c r="G21" s="79">
        <f>SUM(D21:F21)</f>
        <v>272382</v>
      </c>
      <c r="H21" s="78" t="s">
        <v>437</v>
      </c>
      <c r="I21" s="79">
        <v>272382</v>
      </c>
      <c r="J21" s="79">
        <v>6.8</v>
      </c>
      <c r="K21" s="140" t="s">
        <v>142</v>
      </c>
      <c r="N21" s="11"/>
      <c r="O21" s="11"/>
    </row>
    <row r="22" spans="1:16" x14ac:dyDescent="0.3">
      <c r="A22" s="186">
        <v>12</v>
      </c>
      <c r="B22" s="124" t="s">
        <v>335</v>
      </c>
      <c r="C22" s="2" t="s">
        <v>191</v>
      </c>
      <c r="D22" s="79">
        <v>31668</v>
      </c>
      <c r="E22" s="79">
        <f>49-5</f>
        <v>44</v>
      </c>
      <c r="F22" s="79">
        <f>2356-235</f>
        <v>2121</v>
      </c>
      <c r="G22" s="79">
        <f>SUM(D22:F22)</f>
        <v>33833</v>
      </c>
      <c r="H22" s="78" t="s">
        <v>436</v>
      </c>
      <c r="I22" s="79">
        <v>36542</v>
      </c>
      <c r="J22" s="79">
        <v>7.25</v>
      </c>
      <c r="K22" s="140" t="s">
        <v>142</v>
      </c>
      <c r="O22" s="11"/>
    </row>
    <row r="23" spans="1:16" x14ac:dyDescent="0.3">
      <c r="A23" s="186">
        <v>13</v>
      </c>
      <c r="B23" s="124" t="s">
        <v>356</v>
      </c>
      <c r="C23" s="2" t="s">
        <v>225</v>
      </c>
      <c r="D23" s="79">
        <v>74516</v>
      </c>
      <c r="E23" s="79">
        <v>0</v>
      </c>
      <c r="F23" s="79">
        <f>4062-405</f>
        <v>3657</v>
      </c>
      <c r="G23" s="79">
        <f>SUM(D23:F23)</f>
        <v>78173</v>
      </c>
      <c r="H23" s="78" t="s">
        <v>435</v>
      </c>
      <c r="I23" s="79">
        <v>81252</v>
      </c>
      <c r="J23" s="79">
        <v>7</v>
      </c>
      <c r="K23" s="140" t="s">
        <v>142</v>
      </c>
      <c r="O23" s="11"/>
    </row>
    <row r="24" spans="1:16" ht="15" thickBot="1" x14ac:dyDescent="0.35">
      <c r="A24" s="87"/>
      <c r="B24" s="187"/>
      <c r="C24" s="82"/>
      <c r="D24" s="102">
        <f>SUM(D21:D23)</f>
        <v>378566</v>
      </c>
      <c r="E24" s="102">
        <f t="shared" ref="E24:I24" si="4">SUM(E21:E23)</f>
        <v>44</v>
      </c>
      <c r="F24" s="102">
        <f t="shared" si="4"/>
        <v>5778</v>
      </c>
      <c r="G24" s="102">
        <f>SUM(G21:G23)</f>
        <v>384388</v>
      </c>
      <c r="H24" s="84"/>
      <c r="I24" s="83">
        <f t="shared" si="4"/>
        <v>390176</v>
      </c>
      <c r="J24" s="84"/>
      <c r="K24" s="141"/>
      <c r="L24" s="11"/>
      <c r="O24" s="11"/>
    </row>
    <row r="25" spans="1:16" ht="15" thickTop="1" x14ac:dyDescent="0.3">
      <c r="A25" s="86"/>
      <c r="B25" s="188"/>
      <c r="D25" s="104"/>
      <c r="E25" s="104"/>
      <c r="F25" s="104"/>
      <c r="G25" s="104"/>
      <c r="H25" s="38"/>
      <c r="I25" s="51"/>
      <c r="J25" s="38"/>
      <c r="K25" s="142"/>
      <c r="L25" s="11"/>
      <c r="O25" s="11"/>
    </row>
    <row r="26" spans="1:16" x14ac:dyDescent="0.3">
      <c r="A26" s="86"/>
      <c r="B26" s="70" t="s">
        <v>2</v>
      </c>
      <c r="K26" s="139"/>
      <c r="L26" s="11"/>
      <c r="M26" s="11"/>
      <c r="O26" s="11"/>
    </row>
    <row r="27" spans="1:16" x14ac:dyDescent="0.3">
      <c r="A27" s="186">
        <v>14</v>
      </c>
      <c r="B27" s="124" t="s">
        <v>354</v>
      </c>
      <c r="C27" s="2" t="s">
        <v>224</v>
      </c>
      <c r="D27" s="79">
        <v>12250</v>
      </c>
      <c r="E27" s="79">
        <v>0</v>
      </c>
      <c r="F27" s="79"/>
      <c r="G27" s="79">
        <f>SUM(D27:F27)</f>
        <v>12250</v>
      </c>
      <c r="H27" s="78" t="s">
        <v>434</v>
      </c>
      <c r="I27" s="79">
        <v>12250</v>
      </c>
      <c r="J27" s="79">
        <v>7</v>
      </c>
      <c r="K27" s="140" t="s">
        <v>142</v>
      </c>
      <c r="M27" s="11"/>
      <c r="N27" s="11"/>
      <c r="O27" s="11"/>
    </row>
    <row r="28" spans="1:16" x14ac:dyDescent="0.3">
      <c r="A28" s="186">
        <v>15</v>
      </c>
      <c r="B28" s="124" t="s">
        <v>355</v>
      </c>
      <c r="C28" s="2" t="s">
        <v>223</v>
      </c>
      <c r="D28" s="79">
        <v>12250</v>
      </c>
      <c r="E28" s="79">
        <v>0</v>
      </c>
      <c r="F28" s="79"/>
      <c r="G28" s="79">
        <f>SUM(D28:F28)</f>
        <v>12250</v>
      </c>
      <c r="H28" s="78" t="s">
        <v>437</v>
      </c>
      <c r="I28" s="79">
        <v>12250</v>
      </c>
      <c r="J28" s="79">
        <v>6.8</v>
      </c>
      <c r="K28" s="140" t="s">
        <v>142</v>
      </c>
      <c r="N28" s="11"/>
      <c r="O28" s="11"/>
    </row>
    <row r="29" spans="1:16" x14ac:dyDescent="0.3">
      <c r="A29" s="86"/>
      <c r="B29" s="188"/>
      <c r="D29" s="105">
        <f>SUM(D27:D28)</f>
        <v>24500</v>
      </c>
      <c r="E29" s="105">
        <f>SUM(E27:E28)</f>
        <v>0</v>
      </c>
      <c r="F29" s="105"/>
      <c r="G29" s="105">
        <f>SUM(G27:G28)</f>
        <v>24500</v>
      </c>
      <c r="H29" s="38"/>
      <c r="I29" s="13">
        <f>SUM(I27:I28)</f>
        <v>24500</v>
      </c>
      <c r="J29" s="38"/>
      <c r="K29" s="142"/>
      <c r="L29" s="11"/>
      <c r="O29" s="11"/>
    </row>
    <row r="30" spans="1:16" x14ac:dyDescent="0.3">
      <c r="A30" s="86"/>
      <c r="B30" s="188"/>
      <c r="D30" s="104"/>
      <c r="E30" s="104"/>
      <c r="F30" s="104"/>
      <c r="G30" s="104"/>
      <c r="H30" s="38"/>
      <c r="I30" s="51"/>
      <c r="J30" s="38"/>
      <c r="K30" s="142"/>
      <c r="L30" s="11"/>
    </row>
    <row r="31" spans="1:16" x14ac:dyDescent="0.3">
      <c r="A31" s="86"/>
      <c r="B31" s="70" t="s">
        <v>192</v>
      </c>
      <c r="K31" s="139"/>
      <c r="L31" s="11"/>
      <c r="M31" s="11"/>
    </row>
    <row r="32" spans="1:16" x14ac:dyDescent="0.3">
      <c r="A32" s="186">
        <v>16</v>
      </c>
      <c r="B32" s="124" t="s">
        <v>193</v>
      </c>
      <c r="C32" s="2" t="s">
        <v>191</v>
      </c>
      <c r="D32" s="79">
        <v>47406</v>
      </c>
      <c r="E32" s="79">
        <f>74-7</f>
        <v>67</v>
      </c>
      <c r="F32" s="79">
        <f>3527-352</f>
        <v>3175</v>
      </c>
      <c r="G32" s="79">
        <f>SUM(D32:F32)</f>
        <v>50648</v>
      </c>
      <c r="H32" s="78" t="s">
        <v>436</v>
      </c>
      <c r="I32" s="79">
        <v>54702</v>
      </c>
      <c r="J32" s="79">
        <v>7.25</v>
      </c>
      <c r="K32" s="140" t="s">
        <v>142</v>
      </c>
      <c r="N32" s="11"/>
      <c r="O32" s="11"/>
    </row>
    <row r="33" spans="1:15" x14ac:dyDescent="0.3">
      <c r="A33" s="186">
        <v>17</v>
      </c>
      <c r="B33" s="124" t="s">
        <v>199</v>
      </c>
      <c r="C33" s="2" t="s">
        <v>225</v>
      </c>
      <c r="D33" s="79">
        <v>6410</v>
      </c>
      <c r="E33" s="79">
        <v>0</v>
      </c>
      <c r="F33" s="79">
        <f>349-35</f>
        <v>314</v>
      </c>
      <c r="G33" s="79">
        <f>SUM(D33:F33)</f>
        <v>6724</v>
      </c>
      <c r="H33" s="78" t="s">
        <v>435</v>
      </c>
      <c r="I33" s="79">
        <v>6989</v>
      </c>
      <c r="J33" s="79">
        <v>7</v>
      </c>
      <c r="K33" s="140" t="s">
        <v>142</v>
      </c>
      <c r="N33" s="11"/>
      <c r="O33" s="11"/>
    </row>
    <row r="34" spans="1:15" ht="15" thickBot="1" x14ac:dyDescent="0.35">
      <c r="A34" s="87"/>
      <c r="B34" s="187"/>
      <c r="C34" s="82"/>
      <c r="D34" s="102">
        <f>SUM(D32:D33)</f>
        <v>53816</v>
      </c>
      <c r="E34" s="102">
        <f t="shared" ref="E34:I34" si="5">SUM(E32:E33)</f>
        <v>67</v>
      </c>
      <c r="F34" s="102">
        <f t="shared" si="5"/>
        <v>3489</v>
      </c>
      <c r="G34" s="102">
        <f t="shared" si="5"/>
        <v>57372</v>
      </c>
      <c r="H34" s="84"/>
      <c r="I34" s="83">
        <f t="shared" si="5"/>
        <v>61691</v>
      </c>
      <c r="J34" s="84"/>
      <c r="K34" s="141"/>
      <c r="L34" s="11"/>
    </row>
    <row r="35" spans="1:15" ht="15" thickTop="1" x14ac:dyDescent="0.3">
      <c r="A35" s="86"/>
      <c r="B35" s="70"/>
      <c r="K35" s="139"/>
      <c r="L35" s="11"/>
      <c r="M35" s="11"/>
    </row>
    <row r="36" spans="1:15" x14ac:dyDescent="0.3">
      <c r="A36" s="86"/>
      <c r="B36" s="70" t="s">
        <v>200</v>
      </c>
      <c r="K36" s="139"/>
      <c r="L36" s="11"/>
      <c r="M36" s="11"/>
    </row>
    <row r="37" spans="1:15" x14ac:dyDescent="0.3">
      <c r="A37" s="186">
        <v>18</v>
      </c>
      <c r="B37" s="124" t="s">
        <v>201</v>
      </c>
      <c r="C37" s="2" t="s">
        <v>225</v>
      </c>
      <c r="D37" s="79">
        <v>54456</v>
      </c>
      <c r="E37" s="79">
        <v>0</v>
      </c>
      <c r="F37" s="79">
        <f>2969-298</f>
        <v>2671</v>
      </c>
      <c r="G37" s="79">
        <f>SUM(D37:F37)</f>
        <v>57127</v>
      </c>
      <c r="H37" s="78" t="s">
        <v>435</v>
      </c>
      <c r="I37" s="79">
        <v>59378</v>
      </c>
      <c r="J37" s="79">
        <v>7</v>
      </c>
      <c r="K37" s="140" t="s">
        <v>142</v>
      </c>
      <c r="O37" s="11"/>
    </row>
    <row r="38" spans="1:15" x14ac:dyDescent="0.3">
      <c r="A38" s="186">
        <v>19</v>
      </c>
      <c r="B38" s="124" t="s">
        <v>375</v>
      </c>
      <c r="C38" s="2" t="s">
        <v>432</v>
      </c>
      <c r="D38" s="110">
        <v>138057</v>
      </c>
      <c r="E38" s="110">
        <v>0</v>
      </c>
      <c r="F38" s="110">
        <f>8112-772</f>
        <v>7340</v>
      </c>
      <c r="G38" s="79">
        <f>SUM(D38:F38)</f>
        <v>145397</v>
      </c>
      <c r="H38" s="137" t="s">
        <v>433</v>
      </c>
      <c r="I38" s="110">
        <v>149280</v>
      </c>
      <c r="J38" s="138">
        <v>7.3</v>
      </c>
      <c r="K38" s="140" t="s">
        <v>142</v>
      </c>
      <c r="N38" s="11"/>
      <c r="O38" s="11"/>
    </row>
    <row r="39" spans="1:15" ht="15" thickBot="1" x14ac:dyDescent="0.35">
      <c r="A39" s="87"/>
      <c r="B39" s="187"/>
      <c r="C39" s="82"/>
      <c r="D39" s="102">
        <f>SUM(D37:D38)</f>
        <v>192513</v>
      </c>
      <c r="E39" s="102">
        <f t="shared" ref="E39:I39" si="6">SUM(E37:E38)</f>
        <v>0</v>
      </c>
      <c r="F39" s="102">
        <f t="shared" si="6"/>
        <v>10011</v>
      </c>
      <c r="G39" s="102">
        <f t="shared" si="6"/>
        <v>202524</v>
      </c>
      <c r="H39" s="84"/>
      <c r="I39" s="102">
        <f t="shared" si="6"/>
        <v>208658</v>
      </c>
      <c r="J39" s="84"/>
      <c r="K39" s="141"/>
      <c r="L39" s="11"/>
    </row>
    <row r="40" spans="1:15" ht="15" thickTop="1" x14ac:dyDescent="0.3">
      <c r="A40" s="86"/>
      <c r="B40" s="70"/>
      <c r="K40" s="139"/>
      <c r="L40" s="11"/>
      <c r="M40" s="111"/>
    </row>
    <row r="41" spans="1:15" ht="15" thickBot="1" x14ac:dyDescent="0.35">
      <c r="A41" s="106"/>
      <c r="B41" s="295" t="s">
        <v>52</v>
      </c>
      <c r="C41" s="296"/>
      <c r="D41" s="4">
        <f>D12+D18+D24+D29+D34+D39</f>
        <v>1129778</v>
      </c>
      <c r="E41" s="4">
        <f t="shared" ref="E41:I41" si="7">E12+E18+E24+E29+E34+E39</f>
        <v>573</v>
      </c>
      <c r="F41" s="4">
        <f t="shared" si="7"/>
        <v>40601</v>
      </c>
      <c r="G41" s="4">
        <f>G12+G18+G24+G29+G34+G39</f>
        <v>1170952</v>
      </c>
      <c r="H41" s="82"/>
      <c r="I41" s="4">
        <f t="shared" si="7"/>
        <v>1199470</v>
      </c>
      <c r="J41" s="84"/>
      <c r="K41" s="143"/>
    </row>
    <row r="42" spans="1:15" ht="15" thickTop="1" x14ac:dyDescent="0.3">
      <c r="A42" s="107"/>
      <c r="B42" s="107"/>
      <c r="C42" s="16"/>
      <c r="D42" s="16"/>
      <c r="E42" s="16"/>
      <c r="F42" s="16"/>
      <c r="G42" s="16"/>
      <c r="H42" s="88"/>
      <c r="I42" s="16"/>
      <c r="J42" s="16"/>
      <c r="K42" s="144"/>
      <c r="M42"/>
      <c r="O42" s="11"/>
    </row>
    <row r="43" spans="1:15" x14ac:dyDescent="0.3">
      <c r="B43" s="103"/>
      <c r="D43" s="101"/>
      <c r="E43" s="101"/>
      <c r="F43" s="101"/>
      <c r="G43" s="101"/>
      <c r="I43" s="38"/>
      <c r="J43" s="38"/>
      <c r="K43" s="145"/>
    </row>
    <row r="45" spans="1:15" x14ac:dyDescent="0.3">
      <c r="N45" s="111"/>
    </row>
  </sheetData>
  <mergeCells count="4">
    <mergeCell ref="B1:K1"/>
    <mergeCell ref="B2:K2"/>
    <mergeCell ref="B41:C41"/>
    <mergeCell ref="N5:Q5"/>
  </mergeCells>
  <printOptions horizontalCentered="1"/>
  <pageMargins left="0.39370078740157483" right="0.19685039370078741" top="0.59055118110236227" bottom="0.19685039370078741" header="0.19685039370078741" footer="0.19685039370078741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9"/>
  <sheetViews>
    <sheetView view="pageBreakPreview" zoomScaleNormal="100" zoomScaleSheetLayoutView="100" workbookViewId="0">
      <selection activeCell="C69" sqref="C69"/>
    </sheetView>
  </sheetViews>
  <sheetFormatPr defaultColWidth="9.109375" defaultRowHeight="14.4" x14ac:dyDescent="0.3"/>
  <cols>
    <col min="1" max="1" width="25.6640625" style="189" customWidth="1"/>
    <col min="2" max="2" width="5.44140625" style="189" bestFit="1" customWidth="1"/>
    <col min="3" max="3" width="12.33203125" style="189" bestFit="1" customWidth="1"/>
    <col min="4" max="4" width="12.109375" style="189" bestFit="1" customWidth="1"/>
    <col min="5" max="5" width="11.5546875" style="189" bestFit="1" customWidth="1"/>
    <col min="6" max="6" width="12.88671875" style="189" bestFit="1" customWidth="1"/>
    <col min="7" max="7" width="10.5546875" style="189" customWidth="1"/>
    <col min="8" max="8" width="12.33203125" style="189" bestFit="1" customWidth="1"/>
    <col min="9" max="9" width="9.109375" style="189"/>
    <col min="10" max="10" width="10" style="189" bestFit="1" customWidth="1"/>
    <col min="11" max="16384" width="9.109375" style="189"/>
  </cols>
  <sheetData>
    <row r="1" spans="1:13" ht="18" x14ac:dyDescent="0.3">
      <c r="A1" s="298" t="s">
        <v>245</v>
      </c>
      <c r="B1" s="299"/>
      <c r="C1" s="299"/>
      <c r="D1" s="299"/>
      <c r="E1" s="299"/>
      <c r="F1" s="299"/>
      <c r="G1" s="299"/>
      <c r="H1" s="300"/>
    </row>
    <row r="2" spans="1:13" x14ac:dyDescent="0.3">
      <c r="A2" s="306" t="s">
        <v>177</v>
      </c>
      <c r="B2" s="307"/>
      <c r="C2" s="307"/>
      <c r="D2" s="307"/>
      <c r="E2" s="307"/>
      <c r="F2" s="307"/>
      <c r="G2" s="307"/>
      <c r="H2" s="308"/>
    </row>
    <row r="3" spans="1:13" x14ac:dyDescent="0.3">
      <c r="A3" s="301" t="s">
        <v>393</v>
      </c>
      <c r="B3" s="302"/>
      <c r="C3" s="302"/>
      <c r="D3" s="302"/>
      <c r="E3" s="302"/>
      <c r="F3" s="302"/>
      <c r="G3" s="302"/>
      <c r="H3" s="303"/>
    </row>
    <row r="4" spans="1:13" ht="8.1" customHeight="1" x14ac:dyDescent="0.3">
      <c r="A4" s="149"/>
      <c r="B4" s="150"/>
      <c r="C4" s="150"/>
      <c r="D4" s="150"/>
      <c r="E4" s="150"/>
      <c r="F4" s="150"/>
      <c r="G4" s="150"/>
      <c r="H4" s="197"/>
    </row>
    <row r="5" spans="1:13" ht="58.2" thickBot="1" x14ac:dyDescent="0.35">
      <c r="A5" s="198" t="s">
        <v>66</v>
      </c>
      <c r="B5" s="85" t="s">
        <v>67</v>
      </c>
      <c r="C5" s="85" t="s">
        <v>376</v>
      </c>
      <c r="D5" s="85" t="s">
        <v>377</v>
      </c>
      <c r="E5" s="85" t="s">
        <v>378</v>
      </c>
      <c r="F5" s="85" t="s">
        <v>379</v>
      </c>
      <c r="G5" s="85" t="s">
        <v>68</v>
      </c>
      <c r="H5" s="85" t="s">
        <v>380</v>
      </c>
    </row>
    <row r="6" spans="1:13" ht="24.9" customHeight="1" thickTop="1" x14ac:dyDescent="0.3">
      <c r="A6" s="199" t="s">
        <v>70</v>
      </c>
      <c r="B6" s="190">
        <v>0</v>
      </c>
      <c r="C6" s="191">
        <f>21800100+5117000</f>
        <v>26917100</v>
      </c>
      <c r="D6" s="192">
        <v>0</v>
      </c>
      <c r="E6" s="192">
        <v>0</v>
      </c>
      <c r="F6" s="193">
        <f t="shared" ref="F6:F17" si="0">SUM(C6:E6)</f>
        <v>26917100</v>
      </c>
      <c r="G6" s="193">
        <f>ROUND(((C6+D6)*B6)+(E6*B6)/2,0)</f>
        <v>0</v>
      </c>
      <c r="H6" s="200">
        <f>F6-G6</f>
        <v>26917100</v>
      </c>
    </row>
    <row r="7" spans="1:13" ht="24.9" customHeight="1" x14ac:dyDescent="0.3">
      <c r="A7" s="199" t="s">
        <v>19</v>
      </c>
      <c r="B7" s="190">
        <v>0.15</v>
      </c>
      <c r="C7" s="193">
        <v>3326</v>
      </c>
      <c r="D7" s="192">
        <v>0</v>
      </c>
      <c r="E7" s="192">
        <v>0</v>
      </c>
      <c r="F7" s="193">
        <f t="shared" si="0"/>
        <v>3326</v>
      </c>
      <c r="G7" s="193">
        <f>ROUND(((C7+D7)*B7)+(E7*B7)/2,0)</f>
        <v>499</v>
      </c>
      <c r="H7" s="193">
        <f>F7-G7</f>
        <v>2827</v>
      </c>
      <c r="K7" s="194"/>
      <c r="M7" s="194"/>
    </row>
    <row r="8" spans="1:13" ht="24.9" customHeight="1" x14ac:dyDescent="0.3">
      <c r="A8" s="199" t="s">
        <v>69</v>
      </c>
      <c r="B8" s="190">
        <v>0.1</v>
      </c>
      <c r="C8" s="193">
        <v>1577</v>
      </c>
      <c r="D8" s="192">
        <v>0</v>
      </c>
      <c r="E8" s="192">
        <v>0</v>
      </c>
      <c r="F8" s="193">
        <f t="shared" si="0"/>
        <v>1577</v>
      </c>
      <c r="G8" s="193">
        <f>ROUND(((C8+D8)*B8)+(E8*B8)/2,0)</f>
        <v>158</v>
      </c>
      <c r="H8" s="193">
        <f t="shared" ref="H8:H15" si="1">F8-G8</f>
        <v>1419</v>
      </c>
      <c r="K8" s="194"/>
      <c r="M8" s="194"/>
    </row>
    <row r="9" spans="1:13" ht="24.9" customHeight="1" x14ac:dyDescent="0.3">
      <c r="A9" s="199" t="s">
        <v>21</v>
      </c>
      <c r="B9" s="190">
        <v>0.1</v>
      </c>
      <c r="C9" s="193">
        <v>1685</v>
      </c>
      <c r="D9" s="192">
        <v>0</v>
      </c>
      <c r="E9" s="192">
        <v>0</v>
      </c>
      <c r="F9" s="193">
        <f t="shared" si="0"/>
        <v>1685</v>
      </c>
      <c r="G9" s="193">
        <f t="shared" ref="G9:G14" si="2">ROUND(((C9+D9)*B9)+(E9*B9)/2,0)</f>
        <v>169</v>
      </c>
      <c r="H9" s="193">
        <f t="shared" si="1"/>
        <v>1516</v>
      </c>
      <c r="K9" s="194"/>
      <c r="M9" s="194"/>
    </row>
    <row r="10" spans="1:13" ht="24.9" customHeight="1" x14ac:dyDescent="0.3">
      <c r="A10" s="199" t="s">
        <v>22</v>
      </c>
      <c r="B10" s="190">
        <v>0.15</v>
      </c>
      <c r="C10" s="193">
        <v>3689</v>
      </c>
      <c r="D10" s="192">
        <v>0</v>
      </c>
      <c r="E10" s="192">
        <v>0</v>
      </c>
      <c r="F10" s="193">
        <f t="shared" si="0"/>
        <v>3689</v>
      </c>
      <c r="G10" s="193">
        <f t="shared" si="2"/>
        <v>553</v>
      </c>
      <c r="H10" s="193">
        <f t="shared" si="1"/>
        <v>3136</v>
      </c>
      <c r="K10" s="194"/>
      <c r="M10" s="194"/>
    </row>
    <row r="11" spans="1:13" ht="24.9" customHeight="1" x14ac:dyDescent="0.3">
      <c r="A11" s="199" t="s">
        <v>23</v>
      </c>
      <c r="B11" s="190">
        <v>0.15</v>
      </c>
      <c r="C11" s="193">
        <v>69088</v>
      </c>
      <c r="D11" s="192">
        <v>0</v>
      </c>
      <c r="E11" s="192">
        <v>0</v>
      </c>
      <c r="F11" s="193">
        <f t="shared" si="0"/>
        <v>69088</v>
      </c>
      <c r="G11" s="193">
        <f t="shared" si="2"/>
        <v>10363</v>
      </c>
      <c r="H11" s="193">
        <f t="shared" si="1"/>
        <v>58725</v>
      </c>
      <c r="K11" s="194"/>
      <c r="M11" s="194"/>
    </row>
    <row r="12" spans="1:13" ht="24.9" customHeight="1" x14ac:dyDescent="0.3">
      <c r="A12" s="199" t="s">
        <v>75</v>
      </c>
      <c r="B12" s="190">
        <v>0.15</v>
      </c>
      <c r="C12" s="193">
        <v>98438</v>
      </c>
      <c r="D12" s="192">
        <v>0</v>
      </c>
      <c r="E12" s="192">
        <v>0</v>
      </c>
      <c r="F12" s="193">
        <f t="shared" si="0"/>
        <v>98438</v>
      </c>
      <c r="G12" s="193">
        <f t="shared" si="2"/>
        <v>14766</v>
      </c>
      <c r="H12" s="193">
        <f t="shared" si="1"/>
        <v>83672</v>
      </c>
      <c r="J12" s="195"/>
      <c r="K12" s="194"/>
      <c r="M12" s="194"/>
    </row>
    <row r="13" spans="1:13" ht="24.9" customHeight="1" x14ac:dyDescent="0.3">
      <c r="A13" s="199" t="s">
        <v>93</v>
      </c>
      <c r="B13" s="190">
        <v>0.15</v>
      </c>
      <c r="C13" s="193">
        <v>26308</v>
      </c>
      <c r="D13" s="192">
        <v>51355</v>
      </c>
      <c r="E13" s="192">
        <v>0</v>
      </c>
      <c r="F13" s="193">
        <f t="shared" si="0"/>
        <v>77663</v>
      </c>
      <c r="G13" s="193">
        <f t="shared" si="2"/>
        <v>11649</v>
      </c>
      <c r="H13" s="193">
        <f t="shared" si="1"/>
        <v>66014</v>
      </c>
      <c r="J13" s="195"/>
      <c r="K13" s="194"/>
      <c r="M13" s="194"/>
    </row>
    <row r="14" spans="1:13" ht="24.9" customHeight="1" x14ac:dyDescent="0.3">
      <c r="A14" s="199" t="s">
        <v>160</v>
      </c>
      <c r="B14" s="190">
        <v>0.15</v>
      </c>
      <c r="C14" s="193">
        <v>1249</v>
      </c>
      <c r="D14" s="192">
        <v>0</v>
      </c>
      <c r="E14" s="192">
        <v>0</v>
      </c>
      <c r="F14" s="193">
        <f t="shared" si="0"/>
        <v>1249</v>
      </c>
      <c r="G14" s="193">
        <f t="shared" si="2"/>
        <v>187</v>
      </c>
      <c r="H14" s="193">
        <f t="shared" si="1"/>
        <v>1062</v>
      </c>
      <c r="J14" s="195"/>
      <c r="K14" s="194"/>
      <c r="M14" s="194"/>
    </row>
    <row r="15" spans="1:13" ht="24.9" customHeight="1" x14ac:dyDescent="0.3">
      <c r="A15" s="199" t="s">
        <v>87</v>
      </c>
      <c r="B15" s="190">
        <v>0.4</v>
      </c>
      <c r="C15" s="193">
        <v>625</v>
      </c>
      <c r="D15" s="192">
        <v>0</v>
      </c>
      <c r="E15" s="192">
        <v>0</v>
      </c>
      <c r="F15" s="193">
        <f t="shared" si="0"/>
        <v>625</v>
      </c>
      <c r="G15" s="193">
        <f>ROUND(((D15+C15)*B15)+(E15*B15)/2,0)</f>
        <v>250</v>
      </c>
      <c r="H15" s="193">
        <f t="shared" si="1"/>
        <v>375</v>
      </c>
      <c r="J15" s="195"/>
      <c r="K15" s="194"/>
      <c r="M15" s="194"/>
    </row>
    <row r="16" spans="1:13" ht="24.9" customHeight="1" x14ac:dyDescent="0.3">
      <c r="A16" s="199" t="s">
        <v>381</v>
      </c>
      <c r="B16" s="190">
        <v>0.15</v>
      </c>
      <c r="C16" s="193">
        <v>0</v>
      </c>
      <c r="D16" s="192">
        <v>0</v>
      </c>
      <c r="E16" s="196">
        <v>5600</v>
      </c>
      <c r="F16" s="193">
        <f t="shared" si="0"/>
        <v>5600</v>
      </c>
      <c r="G16" s="193">
        <f>ROUND(((D16+C16)*B16)+(E16*B16)/2,0)</f>
        <v>420</v>
      </c>
      <c r="H16" s="193">
        <f t="shared" ref="H16" si="3">F16-G16</f>
        <v>5180</v>
      </c>
      <c r="J16" s="195"/>
      <c r="K16" s="194"/>
      <c r="M16" s="194"/>
    </row>
    <row r="17" spans="1:13" ht="24.9" customHeight="1" x14ac:dyDescent="0.3">
      <c r="A17" s="199" t="s">
        <v>384</v>
      </c>
      <c r="B17" s="190">
        <v>0.4</v>
      </c>
      <c r="C17" s="193">
        <v>0</v>
      </c>
      <c r="D17" s="192">
        <v>0</v>
      </c>
      <c r="E17" s="196">
        <f>26000+9450</f>
        <v>35450</v>
      </c>
      <c r="F17" s="193">
        <f t="shared" si="0"/>
        <v>35450</v>
      </c>
      <c r="G17" s="193">
        <f>ROUND(((D17+C17)*B17)+(E17*B17)/2,0)</f>
        <v>7090</v>
      </c>
      <c r="H17" s="193">
        <f t="shared" ref="H17" si="4">F17-G17</f>
        <v>28360</v>
      </c>
      <c r="J17" s="195"/>
      <c r="K17" s="194"/>
      <c r="M17" s="194"/>
    </row>
    <row r="18" spans="1:13" ht="24.9" customHeight="1" thickBot="1" x14ac:dyDescent="0.35">
      <c r="A18" s="304" t="s">
        <v>9</v>
      </c>
      <c r="B18" s="305"/>
      <c r="C18" s="201">
        <f>SUM(C6:C17)</f>
        <v>27123085</v>
      </c>
      <c r="D18" s="201">
        <f t="shared" ref="D18:H18" si="5">SUM(D6:D17)</f>
        <v>51355</v>
      </c>
      <c r="E18" s="201">
        <f t="shared" si="5"/>
        <v>41050</v>
      </c>
      <c r="F18" s="201">
        <f t="shared" si="5"/>
        <v>27215490</v>
      </c>
      <c r="G18" s="201">
        <f t="shared" si="5"/>
        <v>46104</v>
      </c>
      <c r="H18" s="201">
        <f t="shared" si="5"/>
        <v>27169386</v>
      </c>
    </row>
    <row r="19" spans="1:13" x14ac:dyDescent="0.3">
      <c r="C19" s="194"/>
    </row>
  </sheetData>
  <mergeCells count="4">
    <mergeCell ref="A1:H1"/>
    <mergeCell ref="A3:H3"/>
    <mergeCell ref="A18:B18"/>
    <mergeCell ref="A2:H2"/>
  </mergeCells>
  <printOptions horizontalCentered="1"/>
  <pageMargins left="0.39370078740157483" right="0.19685039370078741" top="0.59055118110236227" bottom="0.19685039370078741" header="0.19685039370078741" footer="0.19685039370078741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1"/>
  <sheetViews>
    <sheetView view="pageBreakPreview" zoomScaleNormal="100" zoomScaleSheetLayoutView="100" workbookViewId="0">
      <selection activeCell="C69" sqref="C69"/>
    </sheetView>
  </sheetViews>
  <sheetFormatPr defaultColWidth="9.109375" defaultRowHeight="14.4" x14ac:dyDescent="0.3"/>
  <cols>
    <col min="1" max="1" width="5.6640625" style="5" bestFit="1" customWidth="1"/>
    <col min="2" max="2" width="8.6640625" style="5" customWidth="1"/>
    <col min="3" max="3" width="6" style="5" customWidth="1"/>
    <col min="4" max="4" width="53.88671875" style="5" bestFit="1" customWidth="1"/>
    <col min="5" max="5" width="14" style="203" customWidth="1"/>
    <col min="6" max="6" width="3.5546875" style="5" customWidth="1"/>
    <col min="7" max="16384" width="9.109375" style="5"/>
  </cols>
  <sheetData>
    <row r="1" spans="1:7" ht="18" x14ac:dyDescent="0.3">
      <c r="A1" s="310" t="s">
        <v>306</v>
      </c>
      <c r="B1" s="310"/>
      <c r="C1" s="310"/>
      <c r="D1" s="310"/>
      <c r="E1" s="310"/>
      <c r="F1" s="68"/>
      <c r="G1" s="68"/>
    </row>
    <row r="2" spans="1:7" ht="18" x14ac:dyDescent="0.3">
      <c r="A2" s="66"/>
      <c r="B2" s="66"/>
      <c r="C2" s="66"/>
      <c r="D2" s="69" t="s">
        <v>170</v>
      </c>
      <c r="E2" s="66"/>
      <c r="F2" s="68"/>
      <c r="G2" s="68"/>
    </row>
    <row r="3" spans="1:7" ht="15.6" x14ac:dyDescent="0.3">
      <c r="A3" s="293" t="s">
        <v>368</v>
      </c>
      <c r="B3" s="293"/>
      <c r="C3" s="293"/>
      <c r="D3" s="293"/>
      <c r="E3" s="293"/>
    </row>
    <row r="4" spans="1:7" ht="18" customHeight="1" thickBot="1" x14ac:dyDescent="0.35">
      <c r="A4" s="204" t="s">
        <v>61</v>
      </c>
      <c r="B4" s="204" t="s">
        <v>62</v>
      </c>
      <c r="C4" s="204" t="s">
        <v>63</v>
      </c>
      <c r="D4" s="204" t="s">
        <v>169</v>
      </c>
      <c r="E4" s="205" t="s">
        <v>9</v>
      </c>
    </row>
    <row r="5" spans="1:7" ht="18" customHeight="1" x14ac:dyDescent="0.3">
      <c r="A5" s="210">
        <v>1</v>
      </c>
      <c r="B5" s="206" t="s">
        <v>293</v>
      </c>
      <c r="C5" s="210">
        <v>301</v>
      </c>
      <c r="D5" s="206" t="s">
        <v>295</v>
      </c>
      <c r="E5" s="239">
        <v>23982</v>
      </c>
    </row>
    <row r="6" spans="1:7" ht="18" customHeight="1" x14ac:dyDescent="0.3">
      <c r="A6" s="40">
        <v>2</v>
      </c>
      <c r="B6" s="15" t="s">
        <v>293</v>
      </c>
      <c r="C6" s="40">
        <v>302</v>
      </c>
      <c r="D6" s="15" t="s">
        <v>296</v>
      </c>
      <c r="E6" s="202">
        <v>5413</v>
      </c>
    </row>
    <row r="7" spans="1:7" ht="18" customHeight="1" x14ac:dyDescent="0.3">
      <c r="A7" s="40">
        <v>3</v>
      </c>
      <c r="B7" s="15" t="s">
        <v>294</v>
      </c>
      <c r="C7" s="40">
        <v>502</v>
      </c>
      <c r="D7" s="15" t="s">
        <v>361</v>
      </c>
      <c r="E7" s="202">
        <v>300</v>
      </c>
    </row>
    <row r="8" spans="1:7" ht="18" customHeight="1" x14ac:dyDescent="0.3">
      <c r="A8" s="40">
        <v>4</v>
      </c>
      <c r="B8" s="15" t="s">
        <v>294</v>
      </c>
      <c r="C8" s="40">
        <v>701</v>
      </c>
      <c r="D8" s="15" t="s">
        <v>362</v>
      </c>
      <c r="E8" s="240">
        <v>17951</v>
      </c>
    </row>
    <row r="9" spans="1:7" ht="18" customHeight="1" x14ac:dyDescent="0.3">
      <c r="A9" s="40">
        <v>5</v>
      </c>
      <c r="B9" s="15" t="s">
        <v>294</v>
      </c>
      <c r="C9" s="40">
        <v>702</v>
      </c>
      <c r="D9" s="15" t="s">
        <v>362</v>
      </c>
      <c r="E9" s="240">
        <v>14868</v>
      </c>
    </row>
    <row r="10" spans="1:7" ht="18" customHeight="1" x14ac:dyDescent="0.3">
      <c r="A10" s="40">
        <v>6</v>
      </c>
      <c r="B10" s="15" t="s">
        <v>294</v>
      </c>
      <c r="C10" s="40">
        <v>704</v>
      </c>
      <c r="D10" s="15" t="s">
        <v>363</v>
      </c>
      <c r="E10" s="202">
        <v>7658</v>
      </c>
    </row>
    <row r="11" spans="1:7" ht="18" customHeight="1" x14ac:dyDescent="0.3">
      <c r="A11" s="40">
        <v>7</v>
      </c>
      <c r="B11" s="15" t="s">
        <v>198</v>
      </c>
      <c r="C11" s="40">
        <v>303</v>
      </c>
      <c r="D11" s="15" t="s">
        <v>364</v>
      </c>
      <c r="E11" s="202">
        <v>100</v>
      </c>
    </row>
    <row r="12" spans="1:7" ht="18" customHeight="1" x14ac:dyDescent="0.3">
      <c r="A12" s="40">
        <v>8</v>
      </c>
      <c r="B12" s="15" t="s">
        <v>358</v>
      </c>
      <c r="C12" s="40">
        <v>301</v>
      </c>
      <c r="D12" s="15" t="s">
        <v>295</v>
      </c>
      <c r="E12" s="202">
        <v>2657</v>
      </c>
    </row>
    <row r="13" spans="1:7" ht="18" customHeight="1" x14ac:dyDescent="0.3">
      <c r="A13" s="40">
        <v>9</v>
      </c>
      <c r="B13" s="15" t="s">
        <v>358</v>
      </c>
      <c r="C13" s="40">
        <v>303</v>
      </c>
      <c r="D13" s="15" t="s">
        <v>297</v>
      </c>
      <c r="E13" s="202">
        <v>2657</v>
      </c>
    </row>
    <row r="14" spans="1:7" ht="18" customHeight="1" x14ac:dyDescent="0.3">
      <c r="A14" s="40">
        <v>10</v>
      </c>
      <c r="B14" s="15" t="s">
        <v>359</v>
      </c>
      <c r="C14" s="40">
        <v>304</v>
      </c>
      <c r="D14" s="15" t="s">
        <v>365</v>
      </c>
      <c r="E14" s="202">
        <v>2657</v>
      </c>
    </row>
    <row r="15" spans="1:7" ht="18" customHeight="1" x14ac:dyDescent="0.3">
      <c r="A15" s="40">
        <v>11</v>
      </c>
      <c r="B15" s="15" t="s">
        <v>359</v>
      </c>
      <c r="C15" s="40">
        <v>701</v>
      </c>
      <c r="D15" s="15" t="s">
        <v>362</v>
      </c>
      <c r="E15" s="202">
        <v>2657</v>
      </c>
    </row>
    <row r="16" spans="1:7" ht="18" customHeight="1" x14ac:dyDescent="0.3">
      <c r="A16" s="40">
        <v>12</v>
      </c>
      <c r="B16" s="15" t="s">
        <v>359</v>
      </c>
      <c r="C16" s="40">
        <v>702</v>
      </c>
      <c r="D16" s="15" t="s">
        <v>362</v>
      </c>
      <c r="E16" s="202">
        <v>2657</v>
      </c>
    </row>
    <row r="17" spans="1:5" ht="18" customHeight="1" x14ac:dyDescent="0.3">
      <c r="A17" s="112">
        <v>13</v>
      </c>
      <c r="B17" s="113" t="s">
        <v>360</v>
      </c>
      <c r="C17" s="112">
        <v>402</v>
      </c>
      <c r="D17" s="113" t="s">
        <v>366</v>
      </c>
      <c r="E17" s="241">
        <v>14195</v>
      </c>
    </row>
    <row r="18" spans="1:5" ht="18" customHeight="1" thickBot="1" x14ac:dyDescent="0.35">
      <c r="A18" s="309" t="s">
        <v>9</v>
      </c>
      <c r="B18" s="309"/>
      <c r="C18" s="309"/>
      <c r="D18" s="309"/>
      <c r="E18" s="205">
        <f>SUM(E5:E17)</f>
        <v>97752</v>
      </c>
    </row>
    <row r="19" spans="1:5" ht="18" customHeight="1" x14ac:dyDescent="0.3"/>
    <row r="20" spans="1:5" ht="18" customHeight="1" x14ac:dyDescent="0.3">
      <c r="D20" s="69" t="s">
        <v>171</v>
      </c>
    </row>
    <row r="21" spans="1:5" ht="18" customHeight="1" x14ac:dyDescent="0.3">
      <c r="A21" s="311" t="s">
        <v>367</v>
      </c>
      <c r="B21" s="311"/>
      <c r="C21" s="311"/>
      <c r="D21" s="311"/>
      <c r="E21" s="311"/>
    </row>
    <row r="22" spans="1:5" ht="18" customHeight="1" thickBot="1" x14ac:dyDescent="0.35">
      <c r="A22" s="208" t="s">
        <v>61</v>
      </c>
      <c r="B22" s="208" t="s">
        <v>62</v>
      </c>
      <c r="C22" s="208" t="s">
        <v>63</v>
      </c>
      <c r="D22" s="208" t="s">
        <v>64</v>
      </c>
      <c r="E22" s="209" t="s">
        <v>65</v>
      </c>
    </row>
    <row r="23" spans="1:5" ht="18" customHeight="1" x14ac:dyDescent="0.3">
      <c r="A23" s="206">
        <v>1</v>
      </c>
      <c r="B23" s="206" t="s">
        <v>293</v>
      </c>
      <c r="C23" s="206">
        <v>103</v>
      </c>
      <c r="D23" s="206" t="s">
        <v>369</v>
      </c>
      <c r="E23" s="207">
        <v>507</v>
      </c>
    </row>
    <row r="24" spans="1:5" ht="18" customHeight="1" x14ac:dyDescent="0.3">
      <c r="A24" s="15">
        <v>2</v>
      </c>
      <c r="B24" s="15" t="s">
        <v>293</v>
      </c>
      <c r="C24" s="15">
        <v>401</v>
      </c>
      <c r="D24" s="15" t="s">
        <v>298</v>
      </c>
      <c r="E24" s="202">
        <v>21656</v>
      </c>
    </row>
    <row r="25" spans="1:5" ht="18" customHeight="1" x14ac:dyDescent="0.3">
      <c r="A25" s="15">
        <v>3</v>
      </c>
      <c r="B25" s="15" t="s">
        <v>293</v>
      </c>
      <c r="C25" s="15">
        <v>403</v>
      </c>
      <c r="D25" s="15" t="s">
        <v>299</v>
      </c>
      <c r="E25" s="202">
        <v>20814</v>
      </c>
    </row>
    <row r="26" spans="1:5" ht="18" customHeight="1" x14ac:dyDescent="0.3">
      <c r="A26" s="15">
        <v>4</v>
      </c>
      <c r="B26" s="15" t="s">
        <v>293</v>
      </c>
      <c r="C26" s="15">
        <v>501</v>
      </c>
      <c r="D26" s="15" t="s">
        <v>300</v>
      </c>
      <c r="E26" s="202">
        <v>115</v>
      </c>
    </row>
    <row r="27" spans="1:5" ht="18" customHeight="1" x14ac:dyDescent="0.3">
      <c r="A27" s="15">
        <v>5</v>
      </c>
      <c r="B27" s="15" t="s">
        <v>293</v>
      </c>
      <c r="C27" s="15">
        <v>502</v>
      </c>
      <c r="D27" s="15" t="s">
        <v>301</v>
      </c>
      <c r="E27" s="202">
        <v>985</v>
      </c>
    </row>
    <row r="28" spans="1:5" ht="18" customHeight="1" x14ac:dyDescent="0.3">
      <c r="A28" s="15">
        <v>6</v>
      </c>
      <c r="B28" s="15" t="s">
        <v>293</v>
      </c>
      <c r="C28" s="15">
        <v>503</v>
      </c>
      <c r="D28" s="15" t="s">
        <v>370</v>
      </c>
      <c r="E28" s="202">
        <v>51271</v>
      </c>
    </row>
    <row r="29" spans="1:5" ht="18" customHeight="1" x14ac:dyDescent="0.3">
      <c r="A29" s="15">
        <v>7</v>
      </c>
      <c r="B29" s="15" t="s">
        <v>293</v>
      </c>
      <c r="C29" s="15">
        <v>603</v>
      </c>
      <c r="D29" s="15" t="s">
        <v>371</v>
      </c>
      <c r="E29" s="202">
        <v>11568</v>
      </c>
    </row>
    <row r="30" spans="1:5" ht="18" customHeight="1" x14ac:dyDescent="0.3">
      <c r="A30" s="15">
        <v>8</v>
      </c>
      <c r="B30" s="15" t="s">
        <v>294</v>
      </c>
      <c r="C30" s="15">
        <v>101</v>
      </c>
      <c r="D30" s="15" t="s">
        <v>302</v>
      </c>
      <c r="E30" s="202">
        <v>14</v>
      </c>
    </row>
    <row r="31" spans="1:5" ht="18" customHeight="1" x14ac:dyDescent="0.3">
      <c r="A31" s="15">
        <v>9</v>
      </c>
      <c r="B31" s="15" t="s">
        <v>294</v>
      </c>
      <c r="C31" s="15">
        <v>204</v>
      </c>
      <c r="D31" s="15" t="s">
        <v>303</v>
      </c>
      <c r="E31" s="202">
        <v>10563</v>
      </c>
    </row>
    <row r="32" spans="1:5" ht="18" customHeight="1" x14ac:dyDescent="0.3">
      <c r="A32" s="15">
        <v>10</v>
      </c>
      <c r="B32" s="15" t="s">
        <v>294</v>
      </c>
      <c r="C32" s="15">
        <v>301</v>
      </c>
      <c r="D32" s="15" t="s">
        <v>372</v>
      </c>
      <c r="E32" s="202">
        <v>20224</v>
      </c>
    </row>
    <row r="33" spans="1:5" ht="18" customHeight="1" x14ac:dyDescent="0.3">
      <c r="A33" s="15">
        <v>11</v>
      </c>
      <c r="B33" s="15" t="s">
        <v>294</v>
      </c>
      <c r="C33" s="15">
        <v>603</v>
      </c>
      <c r="D33" s="15" t="s">
        <v>373</v>
      </c>
      <c r="E33" s="202">
        <v>263</v>
      </c>
    </row>
    <row r="34" spans="1:5" ht="18" customHeight="1" x14ac:dyDescent="0.3">
      <c r="A34" s="15">
        <v>12</v>
      </c>
      <c r="B34" s="15" t="s">
        <v>294</v>
      </c>
      <c r="C34" s="15">
        <v>703</v>
      </c>
      <c r="D34" s="15" t="s">
        <v>304</v>
      </c>
      <c r="E34" s="202">
        <v>4887</v>
      </c>
    </row>
    <row r="35" spans="1:5" ht="18" customHeight="1" x14ac:dyDescent="0.3">
      <c r="A35" s="15">
        <v>13</v>
      </c>
      <c r="B35" s="15" t="s">
        <v>198</v>
      </c>
      <c r="C35" s="15">
        <v>201</v>
      </c>
      <c r="D35" s="15" t="s">
        <v>374</v>
      </c>
      <c r="E35" s="202">
        <v>4625</v>
      </c>
    </row>
    <row r="36" spans="1:5" ht="18" customHeight="1" x14ac:dyDescent="0.3">
      <c r="A36" s="15">
        <v>14</v>
      </c>
      <c r="B36" s="15" t="s">
        <v>198</v>
      </c>
      <c r="C36" s="15">
        <v>303</v>
      </c>
      <c r="D36" s="15" t="s">
        <v>364</v>
      </c>
      <c r="E36" s="202">
        <v>100</v>
      </c>
    </row>
    <row r="37" spans="1:5" ht="18" customHeight="1" x14ac:dyDescent="0.3">
      <c r="A37" s="15">
        <v>15</v>
      </c>
      <c r="B37" s="15" t="s">
        <v>198</v>
      </c>
      <c r="C37" s="15">
        <v>402</v>
      </c>
      <c r="D37" s="15" t="s">
        <v>366</v>
      </c>
      <c r="E37" s="202">
        <v>2</v>
      </c>
    </row>
    <row r="38" spans="1:5" ht="18" customHeight="1" x14ac:dyDescent="0.3">
      <c r="A38" s="15">
        <v>16</v>
      </c>
      <c r="B38" s="15" t="s">
        <v>358</v>
      </c>
      <c r="C38" s="15">
        <v>503</v>
      </c>
      <c r="D38" s="15" t="s">
        <v>370</v>
      </c>
      <c r="E38" s="202">
        <v>69343</v>
      </c>
    </row>
    <row r="39" spans="1:5" ht="18" customHeight="1" x14ac:dyDescent="0.3">
      <c r="A39" s="15">
        <v>17</v>
      </c>
      <c r="B39" s="15" t="s">
        <v>359</v>
      </c>
      <c r="C39" s="15">
        <v>101</v>
      </c>
      <c r="D39" s="15" t="s">
        <v>302</v>
      </c>
      <c r="E39" s="202">
        <v>14</v>
      </c>
    </row>
    <row r="40" spans="1:5" ht="18" customHeight="1" x14ac:dyDescent="0.3">
      <c r="A40" s="15">
        <v>18</v>
      </c>
      <c r="B40" s="15" t="s">
        <v>359</v>
      </c>
      <c r="C40" s="15">
        <v>204</v>
      </c>
      <c r="D40" s="15" t="s">
        <v>303</v>
      </c>
      <c r="E40" s="202">
        <v>2657</v>
      </c>
    </row>
    <row r="41" spans="1:5" ht="18" customHeight="1" thickBot="1" x14ac:dyDescent="0.35">
      <c r="A41" s="309" t="s">
        <v>9</v>
      </c>
      <c r="B41" s="309"/>
      <c r="C41" s="309"/>
      <c r="D41" s="309"/>
      <c r="E41" s="205">
        <f>SUM(E23:E40)</f>
        <v>219608</v>
      </c>
    </row>
  </sheetData>
  <mergeCells count="5">
    <mergeCell ref="A41:D41"/>
    <mergeCell ref="A1:E1"/>
    <mergeCell ref="A3:E3"/>
    <mergeCell ref="A18:D18"/>
    <mergeCell ref="A21:E21"/>
  </mergeCells>
  <printOptions horizontalCentered="1"/>
  <pageMargins left="0.39370078740157483" right="0.19685039370078741" top="0.59055118110236227" bottom="0.19685039370078741" header="0.19685039370078741" footer="0.19685039370078741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42"/>
  <sheetViews>
    <sheetView view="pageBreakPreview" zoomScaleNormal="100" zoomScaleSheetLayoutView="100" workbookViewId="0">
      <selection activeCell="C69" sqref="C69"/>
    </sheetView>
  </sheetViews>
  <sheetFormatPr defaultColWidth="9.109375" defaultRowHeight="14.4" x14ac:dyDescent="0.3"/>
  <cols>
    <col min="1" max="1" width="8.88671875" style="213" customWidth="1"/>
    <col min="2" max="2" width="14" style="213" customWidth="1"/>
    <col min="3" max="3" width="34.109375" style="213" customWidth="1"/>
    <col min="4" max="4" width="14.88671875" style="213" customWidth="1"/>
    <col min="5" max="16384" width="9.109375" style="213"/>
  </cols>
  <sheetData>
    <row r="1" spans="1:4" ht="18" x14ac:dyDescent="0.3">
      <c r="A1" s="310" t="s">
        <v>305</v>
      </c>
      <c r="B1" s="310"/>
      <c r="C1" s="310"/>
      <c r="D1" s="310"/>
    </row>
    <row r="2" spans="1:4" ht="15.6" x14ac:dyDescent="0.3">
      <c r="A2" s="68"/>
      <c r="B2" s="68"/>
      <c r="C2" s="68"/>
      <c r="D2" s="68"/>
    </row>
    <row r="3" spans="1:4" ht="15.6" x14ac:dyDescent="0.3">
      <c r="A3" s="68"/>
      <c r="B3" s="68"/>
      <c r="C3" s="68" t="s">
        <v>186</v>
      </c>
      <c r="D3" s="68"/>
    </row>
    <row r="4" spans="1:4" ht="15.6" x14ac:dyDescent="0.3">
      <c r="A4" s="293" t="s">
        <v>396</v>
      </c>
      <c r="B4" s="293"/>
      <c r="C4" s="293"/>
      <c r="D4" s="293"/>
    </row>
    <row r="5" spans="1:4" ht="18" customHeight="1" thickBot="1" x14ac:dyDescent="0.35">
      <c r="A5" s="198" t="s">
        <v>61</v>
      </c>
      <c r="B5" s="214" t="s">
        <v>259</v>
      </c>
      <c r="C5" s="198" t="s">
        <v>159</v>
      </c>
      <c r="D5" s="214" t="s">
        <v>397</v>
      </c>
    </row>
    <row r="6" spans="1:4" ht="18" customHeight="1" thickTop="1" x14ac:dyDescent="0.3">
      <c r="A6" s="215">
        <v>1</v>
      </c>
      <c r="B6" s="216">
        <v>4520</v>
      </c>
      <c r="C6" s="212" t="s">
        <v>307</v>
      </c>
      <c r="D6" s="217">
        <v>3470</v>
      </c>
    </row>
    <row r="7" spans="1:4" ht="18" customHeight="1" x14ac:dyDescent="0.3">
      <c r="A7" s="215">
        <v>2</v>
      </c>
      <c r="B7" s="216">
        <v>0</v>
      </c>
      <c r="C7" s="212" t="s">
        <v>399</v>
      </c>
      <c r="D7" s="217">
        <v>17200</v>
      </c>
    </row>
    <row r="8" spans="1:4" ht="18" customHeight="1" x14ac:dyDescent="0.3">
      <c r="A8" s="215">
        <v>3</v>
      </c>
      <c r="B8" s="216">
        <v>5000</v>
      </c>
      <c r="C8" s="218" t="s">
        <v>308</v>
      </c>
      <c r="D8" s="219">
        <v>0</v>
      </c>
    </row>
    <row r="9" spans="1:4" ht="18" customHeight="1" x14ac:dyDescent="0.3">
      <c r="A9" s="215">
        <v>4</v>
      </c>
      <c r="B9" s="216">
        <v>3000</v>
      </c>
      <c r="C9" s="218" t="s">
        <v>309</v>
      </c>
      <c r="D9" s="219">
        <v>0</v>
      </c>
    </row>
    <row r="10" spans="1:4" ht="18" customHeight="1" x14ac:dyDescent="0.3">
      <c r="A10" s="215">
        <v>5</v>
      </c>
      <c r="B10" s="216">
        <v>8100</v>
      </c>
      <c r="C10" s="218" t="s">
        <v>310</v>
      </c>
      <c r="D10" s="219">
        <v>0</v>
      </c>
    </row>
    <row r="11" spans="1:4" ht="18" customHeight="1" x14ac:dyDescent="0.3">
      <c r="A11" s="215">
        <v>6</v>
      </c>
      <c r="B11" s="216">
        <v>100</v>
      </c>
      <c r="C11" s="218" t="s">
        <v>444</v>
      </c>
      <c r="D11" s="219"/>
    </row>
    <row r="12" spans="1:4" ht="18" customHeight="1" x14ac:dyDescent="0.3">
      <c r="A12" s="215">
        <v>7</v>
      </c>
      <c r="B12" s="216">
        <v>5000</v>
      </c>
      <c r="C12" s="218" t="s">
        <v>311</v>
      </c>
      <c r="D12" s="219">
        <v>0</v>
      </c>
    </row>
    <row r="13" spans="1:4" ht="18" customHeight="1" x14ac:dyDescent="0.3">
      <c r="A13" s="215">
        <v>8</v>
      </c>
      <c r="B13" s="216">
        <v>14100</v>
      </c>
      <c r="C13" s="218" t="s">
        <v>312</v>
      </c>
      <c r="D13" s="219">
        <v>8000</v>
      </c>
    </row>
    <row r="14" spans="1:4" ht="18" customHeight="1" x14ac:dyDescent="0.3">
      <c r="A14" s="215">
        <v>9</v>
      </c>
      <c r="B14" s="216">
        <v>39600</v>
      </c>
      <c r="C14" s="218" t="s">
        <v>313</v>
      </c>
      <c r="D14" s="219">
        <v>0</v>
      </c>
    </row>
    <row r="15" spans="1:4" ht="18" customHeight="1" x14ac:dyDescent="0.3">
      <c r="A15" s="215">
        <v>10</v>
      </c>
      <c r="B15" s="220">
        <v>19126</v>
      </c>
      <c r="C15" s="218" t="s">
        <v>314</v>
      </c>
      <c r="D15" s="219">
        <v>0</v>
      </c>
    </row>
    <row r="16" spans="1:4" ht="18" customHeight="1" x14ac:dyDescent="0.3">
      <c r="A16" s="215">
        <v>11</v>
      </c>
      <c r="B16" s="220">
        <v>5000</v>
      </c>
      <c r="C16" s="218" t="s">
        <v>315</v>
      </c>
      <c r="D16" s="219">
        <v>5000</v>
      </c>
    </row>
    <row r="17" spans="1:6" ht="18" customHeight="1" x14ac:dyDescent="0.3">
      <c r="A17" s="215">
        <v>12</v>
      </c>
      <c r="B17" s="220">
        <v>4782</v>
      </c>
      <c r="C17" s="218" t="s">
        <v>316</v>
      </c>
      <c r="D17" s="219">
        <v>54</v>
      </c>
    </row>
    <row r="18" spans="1:6" ht="18" customHeight="1" x14ac:dyDescent="0.3">
      <c r="A18" s="215">
        <v>13</v>
      </c>
      <c r="B18" s="221">
        <v>2000</v>
      </c>
      <c r="C18" s="222" t="s">
        <v>345</v>
      </c>
      <c r="D18" s="223">
        <v>0</v>
      </c>
    </row>
    <row r="19" spans="1:6" ht="18" customHeight="1" thickBot="1" x14ac:dyDescent="0.35">
      <c r="A19" s="224"/>
      <c r="B19" s="225">
        <f>SUM(B6:B18)</f>
        <v>110328</v>
      </c>
      <c r="C19" s="224" t="s">
        <v>145</v>
      </c>
      <c r="D19" s="226">
        <f>SUM(D6:D18)</f>
        <v>33724</v>
      </c>
      <c r="E19" s="227"/>
    </row>
    <row r="20" spans="1:6" ht="18" customHeight="1" thickTop="1" x14ac:dyDescent="0.3"/>
    <row r="21" spans="1:6" ht="18" customHeight="1" x14ac:dyDescent="0.3">
      <c r="C21" s="68" t="s">
        <v>187</v>
      </c>
    </row>
    <row r="22" spans="1:6" ht="18" customHeight="1" x14ac:dyDescent="0.3">
      <c r="A22" s="281" t="s">
        <v>188</v>
      </c>
      <c r="B22" s="281"/>
      <c r="C22" s="281"/>
      <c r="D22" s="281"/>
    </row>
    <row r="23" spans="1:6" ht="18" customHeight="1" thickBot="1" x14ac:dyDescent="0.35">
      <c r="A23" s="198" t="s">
        <v>61</v>
      </c>
      <c r="B23" s="214" t="str">
        <f>B5</f>
        <v>FY 2024-25</v>
      </c>
      <c r="C23" s="198" t="s">
        <v>66</v>
      </c>
      <c r="D23" s="214" t="str">
        <f>D5</f>
        <v>FY 2025-26</v>
      </c>
    </row>
    <row r="24" spans="1:6" ht="18" customHeight="1" thickTop="1" x14ac:dyDescent="0.3">
      <c r="A24" s="228">
        <v>1</v>
      </c>
      <c r="B24" s="219">
        <v>21200</v>
      </c>
      <c r="C24" s="218" t="s">
        <v>405</v>
      </c>
      <c r="D24" s="219">
        <f>14800+6400</f>
        <v>21200</v>
      </c>
      <c r="E24" s="229"/>
    </row>
    <row r="25" spans="1:6" ht="18" customHeight="1" x14ac:dyDescent="0.3">
      <c r="A25" s="228">
        <v>2</v>
      </c>
      <c r="B25" s="219">
        <v>74408</v>
      </c>
      <c r="C25" s="218" t="s">
        <v>404</v>
      </c>
      <c r="D25" s="219">
        <v>43009</v>
      </c>
      <c r="F25" s="229"/>
    </row>
    <row r="26" spans="1:6" ht="18" customHeight="1" x14ac:dyDescent="0.3">
      <c r="A26" s="228">
        <v>3</v>
      </c>
      <c r="B26" s="219">
        <v>1500</v>
      </c>
      <c r="C26" s="218" t="s">
        <v>264</v>
      </c>
      <c r="D26" s="219">
        <v>0</v>
      </c>
    </row>
    <row r="27" spans="1:6" ht="18" customHeight="1" x14ac:dyDescent="0.3">
      <c r="A27" s="228">
        <v>4</v>
      </c>
      <c r="B27" s="219">
        <v>9000</v>
      </c>
      <c r="C27" s="218" t="s">
        <v>265</v>
      </c>
      <c r="D27" s="219">
        <v>0</v>
      </c>
    </row>
    <row r="28" spans="1:6" ht="18" customHeight="1" x14ac:dyDescent="0.3">
      <c r="A28" s="228">
        <v>5</v>
      </c>
      <c r="B28" s="219">
        <v>6663</v>
      </c>
      <c r="C28" s="218" t="s">
        <v>266</v>
      </c>
      <c r="D28" s="219">
        <v>6663</v>
      </c>
    </row>
    <row r="29" spans="1:6" ht="18" customHeight="1" x14ac:dyDescent="0.3">
      <c r="A29" s="228">
        <v>6</v>
      </c>
      <c r="B29" s="219">
        <v>5000</v>
      </c>
      <c r="C29" s="218" t="s">
        <v>321</v>
      </c>
      <c r="D29" s="219">
        <v>4500</v>
      </c>
    </row>
    <row r="30" spans="1:6" ht="18" customHeight="1" x14ac:dyDescent="0.3">
      <c r="A30" s="228">
        <v>7</v>
      </c>
      <c r="B30" s="230">
        <v>23294</v>
      </c>
      <c r="C30" s="218" t="s">
        <v>322</v>
      </c>
      <c r="D30" s="219">
        <v>0</v>
      </c>
    </row>
    <row r="31" spans="1:6" ht="18" customHeight="1" x14ac:dyDescent="0.3">
      <c r="A31" s="228">
        <v>8</v>
      </c>
      <c r="B31" s="230">
        <v>670</v>
      </c>
      <c r="C31" s="231" t="s">
        <v>320</v>
      </c>
      <c r="D31" s="219">
        <v>770</v>
      </c>
    </row>
    <row r="32" spans="1:6" ht="18" customHeight="1" x14ac:dyDescent="0.3">
      <c r="A32" s="228">
        <v>9</v>
      </c>
      <c r="B32" s="230">
        <v>0</v>
      </c>
      <c r="C32" s="231" t="s">
        <v>424</v>
      </c>
      <c r="D32" s="219">
        <v>3150</v>
      </c>
    </row>
    <row r="33" spans="1:6" ht="18" customHeight="1" x14ac:dyDescent="0.3">
      <c r="A33" s="228">
        <v>10</v>
      </c>
      <c r="B33" s="230">
        <v>78864</v>
      </c>
      <c r="C33" s="231" t="s">
        <v>323</v>
      </c>
      <c r="D33" s="219">
        <v>78864</v>
      </c>
      <c r="E33" s="229"/>
      <c r="F33" s="229"/>
    </row>
    <row r="34" spans="1:6" ht="18" customHeight="1" thickBot="1" x14ac:dyDescent="0.35">
      <c r="A34" s="237"/>
      <c r="B34" s="232">
        <f>SUM(B24:B33)</f>
        <v>220599</v>
      </c>
      <c r="C34" s="224" t="s">
        <v>145</v>
      </c>
      <c r="D34" s="232">
        <f>SUM(D24:D33)</f>
        <v>158156</v>
      </c>
      <c r="E34" s="233"/>
    </row>
    <row r="35" spans="1:6" ht="18" customHeight="1" thickTop="1" x14ac:dyDescent="0.3"/>
    <row r="36" spans="1:6" ht="18" customHeight="1" x14ac:dyDescent="0.3">
      <c r="A36" s="313" t="s">
        <v>184</v>
      </c>
      <c r="B36" s="313"/>
      <c r="C36" s="313"/>
      <c r="D36" s="313"/>
    </row>
    <row r="37" spans="1:6" ht="18" customHeight="1" x14ac:dyDescent="0.3">
      <c r="A37" s="312" t="s">
        <v>398</v>
      </c>
      <c r="B37" s="312"/>
      <c r="C37" s="312"/>
      <c r="D37" s="312"/>
    </row>
    <row r="38" spans="1:6" ht="18" customHeight="1" thickBot="1" x14ac:dyDescent="0.35">
      <c r="A38" s="198" t="s">
        <v>61</v>
      </c>
      <c r="B38" s="214" t="str">
        <f>B5</f>
        <v>FY 2024-25</v>
      </c>
      <c r="C38" s="198" t="s">
        <v>144</v>
      </c>
      <c r="D38" s="214" t="str">
        <f>D5</f>
        <v>FY 2025-26</v>
      </c>
    </row>
    <row r="39" spans="1:6" ht="18" customHeight="1" thickTop="1" x14ac:dyDescent="0.3">
      <c r="A39" s="211">
        <v>1</v>
      </c>
      <c r="B39" s="234">
        <v>6000</v>
      </c>
      <c r="C39" s="211" t="s">
        <v>317</v>
      </c>
      <c r="D39" s="235">
        <v>0</v>
      </c>
    </row>
    <row r="40" spans="1:6" ht="18" customHeight="1" x14ac:dyDescent="0.3">
      <c r="A40" s="215">
        <v>2</v>
      </c>
      <c r="B40" s="217">
        <f>200-100</f>
        <v>100</v>
      </c>
      <c r="C40" s="212" t="s">
        <v>318</v>
      </c>
      <c r="D40" s="217">
        <f>200-100</f>
        <v>100</v>
      </c>
    </row>
    <row r="41" spans="1:6" ht="18" customHeight="1" thickBot="1" x14ac:dyDescent="0.35">
      <c r="A41" s="224"/>
      <c r="B41" s="236">
        <f>SUM(B40:B40)</f>
        <v>100</v>
      </c>
      <c r="C41" s="224" t="s">
        <v>145</v>
      </c>
      <c r="D41" s="226">
        <f>SUM(D39:D40)</f>
        <v>100</v>
      </c>
    </row>
    <row r="42" spans="1:6" ht="18" customHeight="1" thickTop="1" x14ac:dyDescent="0.3"/>
  </sheetData>
  <mergeCells count="5">
    <mergeCell ref="A1:D1"/>
    <mergeCell ref="A37:D37"/>
    <mergeCell ref="A4:D4"/>
    <mergeCell ref="A36:D36"/>
    <mergeCell ref="A22:D22"/>
  </mergeCells>
  <printOptions horizontalCentered="1"/>
  <pageMargins left="0.39370078740157483" right="0.31496062992125984" top="0.59055118110236227" bottom="0.35433070866141736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69"/>
  <sheetViews>
    <sheetView topLeftCell="A49" workbookViewId="0">
      <selection activeCell="J15" sqref="J15"/>
    </sheetView>
  </sheetViews>
  <sheetFormatPr defaultColWidth="14.44140625" defaultRowHeight="14.4" x14ac:dyDescent="0.3"/>
  <cols>
    <col min="1" max="1" width="5.6640625" bestFit="1" customWidth="1"/>
    <col min="2" max="2" width="60" bestFit="1" customWidth="1"/>
    <col min="3" max="3" width="10.44140625" bestFit="1" customWidth="1"/>
    <col min="4" max="4" width="12.33203125" bestFit="1" customWidth="1"/>
    <col min="5" max="5" width="9.109375" customWidth="1"/>
    <col min="6" max="6" width="6.6640625" bestFit="1" customWidth="1"/>
    <col min="7" max="7" width="11.109375" bestFit="1" customWidth="1"/>
    <col min="8" max="8" width="9.5546875" bestFit="1" customWidth="1"/>
    <col min="9" max="9" width="10.5546875" bestFit="1" customWidth="1"/>
    <col min="10" max="10" width="13.88671875" bestFit="1" customWidth="1"/>
    <col min="11" max="11" width="13.109375" style="5" bestFit="1" customWidth="1"/>
    <col min="12" max="12" width="14.33203125" bestFit="1" customWidth="1"/>
    <col min="13" max="25" width="9.88671875" customWidth="1"/>
  </cols>
  <sheetData>
    <row r="1" spans="1:25" ht="18" x14ac:dyDescent="0.3">
      <c r="A1" s="316" t="s">
        <v>130</v>
      </c>
      <c r="B1" s="317"/>
      <c r="C1" s="317"/>
      <c r="D1" s="317"/>
      <c r="E1" s="42"/>
      <c r="F1" s="42"/>
      <c r="G1" s="42"/>
      <c r="H1" s="43"/>
      <c r="I1" s="43"/>
      <c r="J1" s="43"/>
      <c r="K1" s="9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x14ac:dyDescent="0.3">
      <c r="A2" s="314" t="s">
        <v>416</v>
      </c>
      <c r="B2" s="315"/>
      <c r="C2" s="315"/>
      <c r="D2" s="315"/>
      <c r="E2" s="43"/>
      <c r="K2" s="9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x14ac:dyDescent="0.3">
      <c r="A3" s="44"/>
      <c r="B3" s="44"/>
      <c r="C3" s="44"/>
      <c r="D3" s="56" t="s">
        <v>65</v>
      </c>
      <c r="E3" s="43"/>
      <c r="F3" s="93"/>
      <c r="G3" s="93"/>
      <c r="H3" s="93"/>
      <c r="I3" s="93"/>
      <c r="J3" s="93"/>
      <c r="K3" s="9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x14ac:dyDescent="0.3">
      <c r="A4" s="44"/>
      <c r="B4" s="44" t="s">
        <v>131</v>
      </c>
      <c r="C4" s="44"/>
      <c r="D4" s="45">
        <v>1165792.3</v>
      </c>
      <c r="E4" s="43"/>
      <c r="F4" s="43"/>
      <c r="G4" s="129" t="s">
        <v>408</v>
      </c>
      <c r="H4" s="129" t="s">
        <v>413</v>
      </c>
      <c r="I4" s="129" t="s">
        <v>414</v>
      </c>
      <c r="J4" s="129" t="s">
        <v>415</v>
      </c>
      <c r="K4" s="129" t="s">
        <v>409</v>
      </c>
      <c r="L4" s="129" t="s">
        <v>410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x14ac:dyDescent="0.3">
      <c r="A5" s="44"/>
      <c r="B5" s="44"/>
      <c r="C5" s="44"/>
      <c r="D5" s="47"/>
      <c r="E5" s="43"/>
      <c r="F5" s="43"/>
      <c r="G5" s="125">
        <v>46054</v>
      </c>
      <c r="H5" s="128">
        <v>0</v>
      </c>
      <c r="I5" s="128">
        <v>7000</v>
      </c>
      <c r="J5" s="126" t="s">
        <v>312</v>
      </c>
      <c r="K5" s="133">
        <v>212183</v>
      </c>
      <c r="L5" s="135">
        <v>46129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x14ac:dyDescent="0.3">
      <c r="A6" s="44" t="s">
        <v>79</v>
      </c>
      <c r="B6" s="48" t="s">
        <v>133</v>
      </c>
      <c r="C6" s="44"/>
      <c r="D6" s="47">
        <f>I12</f>
        <v>77120</v>
      </c>
      <c r="E6" s="43"/>
      <c r="F6" s="43"/>
      <c r="G6" s="125">
        <v>46112</v>
      </c>
      <c r="H6" s="128">
        <v>6239</v>
      </c>
      <c r="I6" s="128">
        <v>0</v>
      </c>
      <c r="J6" s="126" t="s">
        <v>411</v>
      </c>
      <c r="K6" s="133">
        <v>609419200362</v>
      </c>
      <c r="L6" s="135">
        <v>46116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x14ac:dyDescent="0.3">
      <c r="A7" s="44"/>
      <c r="B7" s="48"/>
      <c r="C7" s="48"/>
      <c r="D7" s="47"/>
      <c r="E7" s="43"/>
      <c r="F7" s="43"/>
      <c r="G7" s="125">
        <v>46112</v>
      </c>
      <c r="H7" s="128">
        <v>0</v>
      </c>
      <c r="I7" s="128">
        <v>6000</v>
      </c>
      <c r="J7" s="126" t="s">
        <v>309</v>
      </c>
      <c r="K7" s="133">
        <v>213505</v>
      </c>
      <c r="L7" s="135">
        <v>46119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x14ac:dyDescent="0.3">
      <c r="A8" s="44" t="s">
        <v>132</v>
      </c>
      <c r="B8" s="48" t="s">
        <v>134</v>
      </c>
      <c r="C8" s="48"/>
      <c r="D8" s="47">
        <f>H12</f>
        <v>6239</v>
      </c>
      <c r="E8" s="43"/>
      <c r="F8" s="43"/>
      <c r="G8" s="125">
        <v>46112</v>
      </c>
      <c r="H8" s="128">
        <v>0</v>
      </c>
      <c r="I8" s="128">
        <v>7000</v>
      </c>
      <c r="J8" s="126" t="s">
        <v>312</v>
      </c>
      <c r="K8" s="133">
        <v>213507</v>
      </c>
      <c r="L8" s="135">
        <v>46121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x14ac:dyDescent="0.3">
      <c r="A9" s="44"/>
      <c r="B9" s="48"/>
      <c r="C9" s="48"/>
      <c r="D9" s="47"/>
      <c r="E9" s="43"/>
      <c r="F9" s="43"/>
      <c r="G9" s="125">
        <v>46112</v>
      </c>
      <c r="H9" s="128">
        <v>0</v>
      </c>
      <c r="I9" s="128">
        <v>5600</v>
      </c>
      <c r="J9" s="127" t="s">
        <v>381</v>
      </c>
      <c r="K9" s="133">
        <v>213502</v>
      </c>
      <c r="L9" s="135">
        <v>46114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x14ac:dyDescent="0.3">
      <c r="A10" s="44" t="s">
        <v>132</v>
      </c>
      <c r="B10" s="48" t="s">
        <v>135</v>
      </c>
      <c r="C10" s="44"/>
      <c r="D10" s="47">
        <f>'[1]Saraswat Attachment'!C152</f>
        <v>0</v>
      </c>
      <c r="E10" s="43"/>
      <c r="F10" s="43"/>
      <c r="G10" s="125">
        <v>46112</v>
      </c>
      <c r="H10" s="128">
        <v>0</v>
      </c>
      <c r="I10" s="128">
        <v>47520</v>
      </c>
      <c r="J10" s="127" t="s">
        <v>412</v>
      </c>
      <c r="K10" s="133">
        <v>213504</v>
      </c>
      <c r="L10" s="135">
        <v>46119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x14ac:dyDescent="0.3">
      <c r="A11" s="44"/>
      <c r="B11" s="48"/>
      <c r="C11" s="48"/>
      <c r="D11" s="47"/>
      <c r="E11" s="43"/>
      <c r="F11" s="43"/>
      <c r="G11" s="125">
        <v>46112</v>
      </c>
      <c r="H11" s="128">
        <v>0</v>
      </c>
      <c r="I11" s="128">
        <v>4000</v>
      </c>
      <c r="J11" s="127" t="s">
        <v>395</v>
      </c>
      <c r="K11" s="133">
        <v>213508</v>
      </c>
      <c r="L11" s="135">
        <v>46114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15" thickBot="1" x14ac:dyDescent="0.35">
      <c r="A12" s="44" t="s">
        <v>79</v>
      </c>
      <c r="B12" s="48" t="s">
        <v>136</v>
      </c>
      <c r="C12" s="48"/>
      <c r="D12" s="47">
        <v>0</v>
      </c>
      <c r="E12" s="43"/>
      <c r="F12" s="43"/>
      <c r="G12" s="43"/>
      <c r="H12" s="134">
        <f>SUM(H5:H11)</f>
        <v>6239</v>
      </c>
      <c r="I12" s="134">
        <f>SUM(I5:I11)</f>
        <v>77120</v>
      </c>
      <c r="J12" s="46"/>
      <c r="K12" s="9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5" thickTop="1" x14ac:dyDescent="0.3">
      <c r="A13" s="44"/>
      <c r="B13" s="48" t="s">
        <v>78</v>
      </c>
      <c r="C13" s="48"/>
      <c r="D13" s="47"/>
      <c r="E13" s="43"/>
      <c r="F13" s="43"/>
      <c r="G13" s="43"/>
      <c r="H13" s="43"/>
      <c r="I13" s="43"/>
      <c r="J13" s="43"/>
      <c r="K13" s="9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x14ac:dyDescent="0.3">
      <c r="A14" s="44"/>
      <c r="B14" s="44"/>
      <c r="C14" s="48"/>
      <c r="D14" s="47">
        <f>D4+D6-D8-D10+D12</f>
        <v>1236673.3</v>
      </c>
      <c r="E14" s="43"/>
      <c r="F14" s="43"/>
      <c r="G14" s="43"/>
      <c r="H14" s="43"/>
      <c r="I14" s="43"/>
      <c r="J14" s="43"/>
      <c r="K14" s="9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x14ac:dyDescent="0.3">
      <c r="A15" s="44"/>
      <c r="B15" s="44"/>
      <c r="C15" s="47"/>
      <c r="D15" s="44"/>
      <c r="E15" s="43"/>
      <c r="F15" s="43"/>
      <c r="G15" s="49"/>
      <c r="H15" s="43"/>
      <c r="I15" s="46"/>
      <c r="J15" s="46"/>
      <c r="K15" s="9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x14ac:dyDescent="0.3">
      <c r="A16" s="44"/>
      <c r="B16" s="48" t="s">
        <v>80</v>
      </c>
      <c r="C16" s="48"/>
      <c r="D16" s="55">
        <v>1236673.3</v>
      </c>
      <c r="E16" s="43"/>
      <c r="F16" s="43"/>
      <c r="G16" s="49"/>
      <c r="H16" s="43"/>
      <c r="I16" s="43"/>
      <c r="J16" s="43"/>
      <c r="K16" s="9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x14ac:dyDescent="0.3">
      <c r="A17" s="43"/>
      <c r="B17" s="43"/>
      <c r="C17" s="43" t="s">
        <v>137</v>
      </c>
      <c r="D17" s="46">
        <f>D14-D16</f>
        <v>0</v>
      </c>
      <c r="E17" s="43"/>
      <c r="F17" s="43"/>
      <c r="G17" s="49"/>
      <c r="H17" s="43"/>
      <c r="I17" s="43"/>
      <c r="J17" s="43"/>
      <c r="K17" s="9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x14ac:dyDescent="0.3">
      <c r="A18" s="43"/>
      <c r="B18" s="43"/>
      <c r="C18" s="43"/>
      <c r="D18" s="43"/>
      <c r="E18" s="50"/>
      <c r="F18" s="43"/>
      <c r="G18" s="49"/>
      <c r="H18" s="43"/>
      <c r="I18" s="43"/>
      <c r="J18" s="43"/>
      <c r="K18" s="9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8" x14ac:dyDescent="0.3">
      <c r="A19" s="316" t="s">
        <v>289</v>
      </c>
      <c r="B19" s="317"/>
      <c r="C19" s="317"/>
      <c r="D19" s="317"/>
      <c r="E19" s="43"/>
      <c r="F19" s="43"/>
      <c r="G19" s="49"/>
      <c r="H19" s="43"/>
      <c r="I19" s="43"/>
      <c r="J19" s="43"/>
      <c r="K19" s="9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5.75" customHeight="1" x14ac:dyDescent="0.3">
      <c r="A20" s="314" t="s">
        <v>418</v>
      </c>
      <c r="B20" s="315"/>
      <c r="C20" s="315"/>
      <c r="D20" s="315"/>
      <c r="E20" s="43"/>
      <c r="F20" s="50"/>
      <c r="G20" s="49"/>
      <c r="H20" s="43"/>
      <c r="I20" s="43"/>
      <c r="J20" s="43"/>
      <c r="K20" s="9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5.75" customHeight="1" x14ac:dyDescent="0.3">
      <c r="A21" s="44"/>
      <c r="B21" s="44"/>
      <c r="C21" s="44"/>
      <c r="D21" s="56" t="s">
        <v>65</v>
      </c>
      <c r="E21" s="43"/>
      <c r="F21" s="43"/>
      <c r="G21" s="43"/>
      <c r="H21" s="43"/>
      <c r="I21" s="43"/>
      <c r="J21" s="43"/>
      <c r="K21" s="9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5.75" customHeight="1" x14ac:dyDescent="0.3">
      <c r="A22" s="44"/>
      <c r="B22" s="44" t="s">
        <v>131</v>
      </c>
      <c r="C22" s="44"/>
      <c r="D22" s="130">
        <v>0</v>
      </c>
      <c r="E22" s="43"/>
      <c r="F22" s="43"/>
      <c r="G22" s="43"/>
      <c r="H22" s="43"/>
      <c r="I22" s="43"/>
      <c r="J22" s="43"/>
      <c r="K22" s="9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5.75" customHeight="1" x14ac:dyDescent="0.3">
      <c r="A23" s="44"/>
      <c r="B23" s="44"/>
      <c r="C23" s="47"/>
      <c r="D23" s="131"/>
      <c r="E23" s="43"/>
      <c r="F23" s="43"/>
      <c r="G23" s="43"/>
      <c r="H23" s="43"/>
      <c r="I23" s="43"/>
      <c r="J23" s="43"/>
      <c r="K23" s="9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5.75" customHeight="1" x14ac:dyDescent="0.3">
      <c r="A24" s="44"/>
      <c r="B24" s="48" t="s">
        <v>80</v>
      </c>
      <c r="C24" s="48"/>
      <c r="D24" s="132">
        <v>0</v>
      </c>
      <c r="E24" s="43" t="s">
        <v>417</v>
      </c>
      <c r="F24" s="43"/>
      <c r="G24" s="43"/>
      <c r="H24" s="43"/>
      <c r="I24" s="43"/>
      <c r="J24" s="43"/>
      <c r="K24" s="9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5.75" customHeight="1" x14ac:dyDescent="0.3">
      <c r="A25" s="43"/>
      <c r="B25" s="43"/>
      <c r="C25" s="43" t="s">
        <v>137</v>
      </c>
      <c r="D25" s="46">
        <f>D22-D24</f>
        <v>0</v>
      </c>
      <c r="E25" s="43"/>
      <c r="F25" s="43"/>
      <c r="G25" s="43"/>
      <c r="H25" s="43"/>
      <c r="I25" s="43"/>
      <c r="J25" s="43"/>
      <c r="K25" s="9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9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5.75" customHeight="1" x14ac:dyDescent="0.3">
      <c r="A27" s="316" t="s">
        <v>130</v>
      </c>
      <c r="B27" s="317"/>
      <c r="C27" s="317"/>
      <c r="D27" s="317"/>
      <c r="E27" s="43"/>
      <c r="F27" s="43"/>
      <c r="G27" s="43"/>
      <c r="H27" s="43"/>
      <c r="I27" s="43"/>
      <c r="J27" s="43"/>
      <c r="K27" s="9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5.75" customHeight="1" x14ac:dyDescent="0.3">
      <c r="A28" s="314" t="s">
        <v>419</v>
      </c>
      <c r="B28" s="315"/>
      <c r="C28" s="315"/>
      <c r="D28" s="315"/>
      <c r="E28" s="43"/>
      <c r="F28" s="43"/>
      <c r="G28" s="43"/>
      <c r="H28" s="43"/>
      <c r="I28" s="43"/>
      <c r="J28" s="43"/>
      <c r="K28" s="9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5.75" customHeight="1" x14ac:dyDescent="0.3">
      <c r="A29" s="44"/>
      <c r="B29" s="44"/>
      <c r="C29" s="44"/>
      <c r="D29" s="56" t="s">
        <v>65</v>
      </c>
      <c r="E29" s="43"/>
      <c r="F29" s="43"/>
      <c r="G29" s="43"/>
      <c r="H29" s="43"/>
      <c r="I29" s="43"/>
      <c r="J29" s="43"/>
      <c r="K29" s="9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5.75" customHeight="1" x14ac:dyDescent="0.3">
      <c r="A30" s="44"/>
      <c r="B30" s="44" t="s">
        <v>131</v>
      </c>
      <c r="C30" s="44"/>
      <c r="D30" s="45">
        <v>10109</v>
      </c>
      <c r="E30" s="43"/>
      <c r="F30" s="43"/>
      <c r="G30" s="43"/>
      <c r="H30" s="43"/>
      <c r="I30" s="43"/>
      <c r="J30" s="43"/>
      <c r="K30" s="9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5.75" customHeight="1" x14ac:dyDescent="0.3">
      <c r="A31" s="44"/>
      <c r="B31" s="48"/>
      <c r="C31" s="48"/>
      <c r="D31" s="47"/>
      <c r="E31" s="43"/>
      <c r="F31" s="43"/>
      <c r="G31" s="43"/>
      <c r="H31" s="43"/>
      <c r="I31" s="43"/>
      <c r="J31" s="43"/>
      <c r="K31" s="9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5.75" customHeight="1" x14ac:dyDescent="0.3">
      <c r="A32" s="44"/>
      <c r="B32" s="48" t="s">
        <v>80</v>
      </c>
      <c r="C32" s="48"/>
      <c r="D32" s="55">
        <v>10109</v>
      </c>
      <c r="E32" s="43"/>
      <c r="F32" s="43"/>
      <c r="G32" s="43"/>
      <c r="H32" s="43"/>
      <c r="I32" s="43"/>
      <c r="J32" s="43"/>
      <c r="K32" s="9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5.75" customHeight="1" x14ac:dyDescent="0.3">
      <c r="A33" s="43"/>
      <c r="B33" s="43"/>
      <c r="C33" s="43" t="s">
        <v>137</v>
      </c>
      <c r="D33" s="46">
        <f>D30-D32</f>
        <v>0</v>
      </c>
      <c r="E33" s="43"/>
      <c r="F33" s="43"/>
      <c r="G33" s="43"/>
      <c r="H33" s="43"/>
      <c r="I33" s="43"/>
      <c r="J33" s="43"/>
      <c r="K33" s="9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9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9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5.75" customHeight="1" x14ac:dyDescent="0.3">
      <c r="A36" s="316" t="s">
        <v>130</v>
      </c>
      <c r="B36" s="317"/>
      <c r="C36" s="317"/>
      <c r="D36" s="317"/>
      <c r="E36" s="43"/>
      <c r="F36" s="43"/>
      <c r="G36" s="43"/>
      <c r="H36" s="43"/>
      <c r="I36" s="43"/>
      <c r="J36" s="43"/>
      <c r="K36" s="9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5.75" customHeight="1" x14ac:dyDescent="0.3">
      <c r="A37" s="314" t="s">
        <v>420</v>
      </c>
      <c r="B37" s="315"/>
      <c r="C37" s="315"/>
      <c r="D37" s="315"/>
      <c r="E37" s="43"/>
      <c r="F37" s="43"/>
      <c r="G37" s="43"/>
      <c r="H37" s="43"/>
      <c r="I37" s="43"/>
      <c r="J37" s="43"/>
      <c r="K37" s="9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5.75" customHeight="1" x14ac:dyDescent="0.3">
      <c r="A38" s="44"/>
      <c r="B38" s="44"/>
      <c r="C38" s="44"/>
      <c r="D38" s="56" t="s">
        <v>65</v>
      </c>
      <c r="E38" s="43"/>
      <c r="F38" s="43"/>
      <c r="G38" s="43"/>
      <c r="H38" s="43"/>
      <c r="I38" s="43"/>
      <c r="J38" s="43"/>
      <c r="K38" s="9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5.75" customHeight="1" x14ac:dyDescent="0.3">
      <c r="A39" s="44"/>
      <c r="B39" s="44" t="s">
        <v>131</v>
      </c>
      <c r="C39" s="44"/>
      <c r="D39" s="45">
        <v>62758.02</v>
      </c>
      <c r="E39" s="43"/>
      <c r="F39" s="43"/>
      <c r="G39" s="43"/>
      <c r="H39" s="43"/>
      <c r="I39" s="43"/>
      <c r="J39" s="43"/>
      <c r="K39" s="9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5.75" customHeight="1" x14ac:dyDescent="0.3">
      <c r="A40" s="44"/>
      <c r="B40" s="44"/>
      <c r="C40" s="44"/>
      <c r="D40" s="47"/>
      <c r="E40" s="43"/>
      <c r="F40" s="43"/>
      <c r="G40" s="43"/>
      <c r="H40" s="43"/>
      <c r="I40" s="43"/>
      <c r="J40" s="43"/>
      <c r="K40" s="9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5.75" customHeight="1" x14ac:dyDescent="0.3">
      <c r="A41" s="44"/>
      <c r="B41" s="48" t="s">
        <v>80</v>
      </c>
      <c r="C41" s="48"/>
      <c r="D41" s="55">
        <v>62758.02</v>
      </c>
      <c r="E41" s="43"/>
      <c r="F41" s="43"/>
      <c r="G41" s="43"/>
      <c r="H41" s="43"/>
      <c r="I41" s="43"/>
      <c r="J41" s="43"/>
      <c r="K41" s="9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5.75" customHeight="1" x14ac:dyDescent="0.3">
      <c r="A42" s="43"/>
      <c r="B42" s="43"/>
      <c r="C42" s="43" t="s">
        <v>137</v>
      </c>
      <c r="D42" s="46">
        <f>D39-D41</f>
        <v>0</v>
      </c>
      <c r="E42" s="43"/>
      <c r="F42" s="43"/>
      <c r="G42" s="43"/>
      <c r="H42" s="43"/>
      <c r="I42" s="43"/>
      <c r="J42" s="43"/>
      <c r="K42" s="9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9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9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5.75" customHeight="1" x14ac:dyDescent="0.3">
      <c r="A45" s="316" t="s">
        <v>289</v>
      </c>
      <c r="B45" s="317"/>
      <c r="C45" s="317"/>
      <c r="D45" s="317"/>
      <c r="E45" s="43"/>
      <c r="F45" s="43"/>
      <c r="G45" s="43"/>
      <c r="H45" s="43"/>
      <c r="I45" s="43"/>
      <c r="J45" s="43"/>
      <c r="K45" s="9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5.75" customHeight="1" x14ac:dyDescent="0.3">
      <c r="A46" s="314" t="s">
        <v>421</v>
      </c>
      <c r="B46" s="315"/>
      <c r="C46" s="315"/>
      <c r="D46" s="315"/>
      <c r="E46" s="43"/>
      <c r="F46" s="43"/>
      <c r="G46" s="43"/>
      <c r="H46" s="43"/>
      <c r="I46" s="43"/>
      <c r="J46" s="43"/>
      <c r="K46" s="9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5.75" customHeight="1" x14ac:dyDescent="0.3">
      <c r="A47" s="44"/>
      <c r="B47" s="44"/>
      <c r="C47" s="44"/>
      <c r="D47" s="56" t="s">
        <v>65</v>
      </c>
      <c r="E47" s="43"/>
      <c r="F47" s="43"/>
      <c r="G47" s="43"/>
      <c r="H47" s="43"/>
      <c r="I47" s="43"/>
      <c r="J47" s="43"/>
      <c r="K47" s="9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5.75" customHeight="1" x14ac:dyDescent="0.3">
      <c r="A48" s="44"/>
      <c r="B48" s="44" t="s">
        <v>131</v>
      </c>
      <c r="C48" s="44"/>
      <c r="D48" s="130">
        <v>5000</v>
      </c>
      <c r="E48" s="43"/>
      <c r="F48" s="43"/>
      <c r="G48" s="43"/>
      <c r="H48" s="43"/>
      <c r="I48" s="43"/>
      <c r="J48" s="43"/>
      <c r="K48" s="9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5.75" customHeight="1" x14ac:dyDescent="0.3">
      <c r="A49" s="44"/>
      <c r="B49" s="44"/>
      <c r="C49" s="47"/>
      <c r="D49" s="131"/>
      <c r="E49" s="43"/>
      <c r="F49" s="43"/>
      <c r="G49" s="43"/>
      <c r="H49" s="43"/>
      <c r="I49" s="43"/>
      <c r="J49" s="43"/>
      <c r="K49" s="9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5.75" customHeight="1" x14ac:dyDescent="0.3">
      <c r="A50" s="44"/>
      <c r="B50" s="48" t="s">
        <v>80</v>
      </c>
      <c r="C50" s="48"/>
      <c r="D50" s="132">
        <v>5000</v>
      </c>
      <c r="E50" s="43"/>
      <c r="F50" s="43"/>
      <c r="G50" s="43"/>
      <c r="H50" s="43"/>
      <c r="I50" s="43"/>
      <c r="J50" s="43"/>
      <c r="K50" s="9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5.75" customHeight="1" x14ac:dyDescent="0.3">
      <c r="A51" s="43"/>
      <c r="B51" s="43"/>
      <c r="C51" s="43" t="s">
        <v>137</v>
      </c>
      <c r="D51" s="46">
        <f>D48-D50</f>
        <v>0</v>
      </c>
      <c r="E51" s="43"/>
      <c r="F51" s="43"/>
      <c r="G51" s="43"/>
      <c r="H51" s="43"/>
      <c r="I51" s="43"/>
      <c r="J51" s="43"/>
      <c r="K51" s="9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5.75" customHeight="1" x14ac:dyDescent="0.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9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customHeight="1" x14ac:dyDescent="0.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9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5.75" customHeight="1" x14ac:dyDescent="0.3">
      <c r="A54" s="316" t="s">
        <v>289</v>
      </c>
      <c r="B54" s="317"/>
      <c r="C54" s="317"/>
      <c r="D54" s="317"/>
      <c r="E54" s="43"/>
      <c r="F54" s="43"/>
      <c r="G54" s="43"/>
      <c r="H54" s="43"/>
      <c r="I54" s="43"/>
      <c r="J54" s="43"/>
      <c r="K54" s="9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5.75" customHeight="1" x14ac:dyDescent="0.3">
      <c r="A55" s="314" t="s">
        <v>422</v>
      </c>
      <c r="B55" s="315"/>
      <c r="C55" s="315"/>
      <c r="D55" s="315"/>
      <c r="E55" s="43"/>
      <c r="F55" s="43"/>
      <c r="G55" s="43"/>
      <c r="H55" s="43"/>
      <c r="I55" s="43"/>
      <c r="J55" s="43"/>
      <c r="K55" s="9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5.75" customHeight="1" x14ac:dyDescent="0.3">
      <c r="A56" s="44"/>
      <c r="B56" s="44"/>
      <c r="C56" s="44"/>
      <c r="D56" s="56" t="s">
        <v>65</v>
      </c>
      <c r="E56" s="43"/>
      <c r="F56" s="43"/>
      <c r="G56" s="43"/>
      <c r="H56" s="43"/>
      <c r="I56" s="43"/>
      <c r="J56" s="43"/>
      <c r="K56" s="9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customHeight="1" x14ac:dyDescent="0.3">
      <c r="A57" s="44"/>
      <c r="B57" s="44" t="s">
        <v>131</v>
      </c>
      <c r="C57" s="44"/>
      <c r="D57" s="130">
        <v>5000</v>
      </c>
      <c r="E57" s="43"/>
      <c r="F57" s="43"/>
      <c r="G57" s="43"/>
      <c r="H57" s="43"/>
      <c r="I57" s="43"/>
      <c r="J57" s="43"/>
      <c r="K57" s="9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customHeight="1" x14ac:dyDescent="0.3">
      <c r="A58" s="44"/>
      <c r="B58" s="44"/>
      <c r="C58" s="47"/>
      <c r="D58" s="131"/>
      <c r="E58" s="43"/>
      <c r="F58" s="43"/>
      <c r="G58" s="43"/>
      <c r="H58" s="43"/>
      <c r="I58" s="43"/>
      <c r="J58" s="43"/>
      <c r="K58" s="9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customHeight="1" x14ac:dyDescent="0.3">
      <c r="A59" s="44"/>
      <c r="B59" s="48" t="s">
        <v>80</v>
      </c>
      <c r="C59" s="48"/>
      <c r="D59" s="132">
        <v>5000</v>
      </c>
      <c r="E59" s="43"/>
      <c r="F59" s="43"/>
      <c r="G59" s="43"/>
      <c r="H59" s="43"/>
      <c r="I59" s="43"/>
      <c r="J59" s="43"/>
      <c r="K59" s="9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customHeight="1" x14ac:dyDescent="0.3">
      <c r="A60" s="43"/>
      <c r="B60" s="43"/>
      <c r="C60" s="43" t="s">
        <v>137</v>
      </c>
      <c r="D60" s="46">
        <f>D57-D59</f>
        <v>0</v>
      </c>
      <c r="E60" s="43"/>
      <c r="F60" s="43"/>
      <c r="G60" s="43"/>
      <c r="H60" s="43"/>
      <c r="I60" s="43"/>
      <c r="J60" s="43"/>
      <c r="K60" s="9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customHeight="1" x14ac:dyDescent="0.3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9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customHeight="1" x14ac:dyDescent="0.3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9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customHeight="1" x14ac:dyDescent="0.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9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customHeight="1" x14ac:dyDescent="0.3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9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5.75" customHeight="1" x14ac:dyDescent="0.3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9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5.75" customHeight="1" x14ac:dyDescent="0.3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9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5.75" customHeight="1" x14ac:dyDescent="0.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9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5.75" customHeight="1" x14ac:dyDescent="0.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9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5.75" customHeight="1" x14ac:dyDescent="0.3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9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5.75" customHeight="1" x14ac:dyDescent="0.3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9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5.75" customHeight="1" x14ac:dyDescent="0.3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9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5.75" customHeight="1" x14ac:dyDescent="0.3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9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5.75" customHeight="1" x14ac:dyDescent="0.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9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5.75" customHeight="1" x14ac:dyDescent="0.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9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5.75" customHeight="1" x14ac:dyDescent="0.3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9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5.75" customHeight="1" x14ac:dyDescent="0.3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9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5.75" customHeight="1" x14ac:dyDescent="0.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9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5.75" customHeight="1" x14ac:dyDescent="0.3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9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5.75" customHeight="1" x14ac:dyDescent="0.3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9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5.75" customHeight="1" x14ac:dyDescent="0.3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9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5.75" customHeight="1" x14ac:dyDescent="0.3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9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5.75" customHeight="1" x14ac:dyDescent="0.3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9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5.75" customHeight="1" x14ac:dyDescent="0.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9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5.75" customHeight="1" x14ac:dyDescent="0.3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9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5.75" customHeight="1" x14ac:dyDescent="0.3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9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5.75" customHeight="1" x14ac:dyDescent="0.3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9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5.75" customHeight="1" x14ac:dyDescent="0.3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9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5.75" customHeight="1" x14ac:dyDescent="0.3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9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5.75" customHeight="1" x14ac:dyDescent="0.3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9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5.75" customHeight="1" x14ac:dyDescent="0.3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9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5.75" customHeight="1" x14ac:dyDescent="0.3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9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5.75" customHeight="1" x14ac:dyDescent="0.3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9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5.75" customHeight="1" x14ac:dyDescent="0.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9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5.75" customHeight="1" x14ac:dyDescent="0.3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9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5.75" customHeight="1" x14ac:dyDescent="0.3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9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5.75" customHeight="1" x14ac:dyDescent="0.3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9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5.75" customHeight="1" x14ac:dyDescent="0.3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9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5.75" customHeight="1" x14ac:dyDescent="0.3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9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5.75" customHeight="1" x14ac:dyDescent="0.3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9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5.75" customHeight="1" x14ac:dyDescent="0.3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9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5.75" customHeight="1" x14ac:dyDescent="0.3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9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5.75" customHeight="1" x14ac:dyDescent="0.3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9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5.75" customHeight="1" x14ac:dyDescent="0.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9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5.75" customHeight="1" x14ac:dyDescent="0.3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9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5.75" customHeight="1" x14ac:dyDescent="0.3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9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5.75" customHeight="1" x14ac:dyDescent="0.3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9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5.75" customHeight="1" x14ac:dyDescent="0.3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9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5.75" customHeight="1" x14ac:dyDescent="0.3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9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5.75" customHeight="1" x14ac:dyDescent="0.3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9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5.75" customHeight="1" x14ac:dyDescent="0.3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9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5.75" customHeight="1" x14ac:dyDescent="0.3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9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5.75" customHeight="1" x14ac:dyDescent="0.3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9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5.75" customHeight="1" x14ac:dyDescent="0.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9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5.75" customHeight="1" x14ac:dyDescent="0.3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9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5.75" customHeight="1" x14ac:dyDescent="0.3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9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5.75" customHeight="1" x14ac:dyDescent="0.3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9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5.75" customHeight="1" x14ac:dyDescent="0.3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9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5.75" customHeight="1" x14ac:dyDescent="0.3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9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5.75" customHeight="1" x14ac:dyDescent="0.3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9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5.75" customHeight="1" x14ac:dyDescent="0.3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9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5.75" customHeight="1" x14ac:dyDescent="0.3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9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5.75" customHeight="1" x14ac:dyDescent="0.3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9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5.75" customHeight="1" x14ac:dyDescent="0.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9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5.75" customHeight="1" x14ac:dyDescent="0.3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9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5.75" customHeight="1" x14ac:dyDescent="0.3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9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5.75" customHeight="1" x14ac:dyDescent="0.3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9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5.75" customHeight="1" x14ac:dyDescent="0.3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9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5.75" customHeight="1" x14ac:dyDescent="0.3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9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5.75" customHeight="1" x14ac:dyDescent="0.3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9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5.75" customHeight="1" x14ac:dyDescent="0.3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9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5.75" customHeight="1" x14ac:dyDescent="0.3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9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5.75" customHeight="1" x14ac:dyDescent="0.3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9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5.75" customHeight="1" x14ac:dyDescent="0.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9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5.75" customHeight="1" x14ac:dyDescent="0.3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9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5.75" customHeight="1" x14ac:dyDescent="0.3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9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5.75" customHeight="1" x14ac:dyDescent="0.3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9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5.75" customHeight="1" x14ac:dyDescent="0.3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9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5.75" customHeight="1" x14ac:dyDescent="0.3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9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5.75" customHeight="1" x14ac:dyDescent="0.3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9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5.75" customHeight="1" x14ac:dyDescent="0.3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9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5.75" customHeight="1" x14ac:dyDescent="0.3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9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5.75" customHeight="1" x14ac:dyDescent="0.3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9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5.75" customHeight="1" x14ac:dyDescent="0.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9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5.75" customHeight="1" x14ac:dyDescent="0.3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9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5.75" customHeight="1" x14ac:dyDescent="0.3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9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5.75" customHeight="1" x14ac:dyDescent="0.3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9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5.75" customHeight="1" x14ac:dyDescent="0.3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9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5.75" customHeight="1" x14ac:dyDescent="0.3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9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5.75" customHeight="1" x14ac:dyDescent="0.3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9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5.75" customHeight="1" x14ac:dyDescent="0.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9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5.75" customHeight="1" x14ac:dyDescent="0.3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9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5.75" customHeight="1" x14ac:dyDescent="0.3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9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5.75" customHeight="1" x14ac:dyDescent="0.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9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5.75" customHeight="1" x14ac:dyDescent="0.3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9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5.75" customHeight="1" x14ac:dyDescent="0.3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9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5.75" customHeight="1" x14ac:dyDescent="0.3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9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5.75" customHeight="1" x14ac:dyDescent="0.3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9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5.75" customHeight="1" x14ac:dyDescent="0.3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9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5.75" customHeight="1" x14ac:dyDescent="0.3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9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5.75" customHeight="1" x14ac:dyDescent="0.3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9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5.75" customHeight="1" x14ac:dyDescent="0.3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9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5.75" customHeight="1" x14ac:dyDescent="0.3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9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5.75" customHeight="1" x14ac:dyDescent="0.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9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5.75" customHeight="1" x14ac:dyDescent="0.3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9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5.75" customHeight="1" x14ac:dyDescent="0.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9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5.75" customHeight="1" x14ac:dyDescent="0.3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9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5.75" customHeight="1" x14ac:dyDescent="0.3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9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5.75" customHeight="1" x14ac:dyDescent="0.3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9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5.75" customHeight="1" x14ac:dyDescent="0.3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9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5.75" customHeight="1" x14ac:dyDescent="0.3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9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5.75" customHeight="1" x14ac:dyDescent="0.3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9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5.75" customHeight="1" x14ac:dyDescent="0.3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9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5.75" customHeight="1" x14ac:dyDescent="0.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9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5.75" customHeight="1" x14ac:dyDescent="0.3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9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5.75" customHeight="1" x14ac:dyDescent="0.3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9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5.75" customHeight="1" x14ac:dyDescent="0.3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9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5.75" customHeight="1" x14ac:dyDescent="0.3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9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5.75" customHeight="1" x14ac:dyDescent="0.3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9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5.75" customHeight="1" x14ac:dyDescent="0.3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9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5.75" customHeight="1" x14ac:dyDescent="0.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9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5.75" customHeight="1" x14ac:dyDescent="0.3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9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5.75" customHeight="1" x14ac:dyDescent="0.3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9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5.75" customHeight="1" x14ac:dyDescent="0.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9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5.75" customHeight="1" x14ac:dyDescent="0.3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9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5.75" customHeight="1" x14ac:dyDescent="0.3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9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5.75" customHeight="1" x14ac:dyDescent="0.3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9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5.75" customHeight="1" x14ac:dyDescent="0.3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9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5.75" customHeight="1" x14ac:dyDescent="0.3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9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5.75" customHeight="1" x14ac:dyDescent="0.3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9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5.75" customHeight="1" x14ac:dyDescent="0.3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9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5.75" customHeight="1" x14ac:dyDescent="0.3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9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5.75" customHeight="1" x14ac:dyDescent="0.3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9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5.75" customHeight="1" x14ac:dyDescent="0.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9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5.75" customHeight="1" x14ac:dyDescent="0.3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9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5.75" customHeight="1" x14ac:dyDescent="0.3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9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5.75" customHeight="1" x14ac:dyDescent="0.3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9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5.75" customHeight="1" x14ac:dyDescent="0.3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9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5.75" customHeight="1" x14ac:dyDescent="0.3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9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5.75" customHeight="1" x14ac:dyDescent="0.3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9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5.75" customHeight="1" x14ac:dyDescent="0.3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9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5.75" customHeight="1" x14ac:dyDescent="0.3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9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5.75" customHeight="1" x14ac:dyDescent="0.3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9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5.75" customHeight="1" x14ac:dyDescent="0.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9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5.75" customHeight="1" x14ac:dyDescent="0.3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9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5.75" customHeight="1" x14ac:dyDescent="0.3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9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5.75" customHeight="1" x14ac:dyDescent="0.3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9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5.75" customHeight="1" x14ac:dyDescent="0.3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9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5.75" customHeight="1" x14ac:dyDescent="0.3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9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5.75" customHeight="1" x14ac:dyDescent="0.3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9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5.75" customHeight="1" x14ac:dyDescent="0.3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9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5.75" customHeight="1" x14ac:dyDescent="0.3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9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5.75" customHeight="1" x14ac:dyDescent="0.3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9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5.75" customHeight="1" x14ac:dyDescent="0.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9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5.75" customHeight="1" x14ac:dyDescent="0.3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9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5.75" customHeight="1" x14ac:dyDescent="0.3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9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5.75" customHeight="1" x14ac:dyDescent="0.3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9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5.75" customHeight="1" x14ac:dyDescent="0.3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9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5.75" customHeight="1" x14ac:dyDescent="0.3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9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5.75" customHeight="1" x14ac:dyDescent="0.3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9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5.75" customHeight="1" x14ac:dyDescent="0.3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9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5.75" customHeight="1" x14ac:dyDescent="0.3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9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5.75" customHeight="1" x14ac:dyDescent="0.3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9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5.75" customHeight="1" x14ac:dyDescent="0.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9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5.75" customHeight="1" x14ac:dyDescent="0.3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9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5.75" customHeight="1" x14ac:dyDescent="0.3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9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5.75" customHeight="1" x14ac:dyDescent="0.3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9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5.75" customHeight="1" x14ac:dyDescent="0.3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9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5.75" customHeight="1" x14ac:dyDescent="0.3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9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5.75" customHeight="1" x14ac:dyDescent="0.3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9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5.75" customHeight="1" x14ac:dyDescent="0.3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9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5.75" customHeight="1" x14ac:dyDescent="0.3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9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5.75" customHeight="1" x14ac:dyDescent="0.3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9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5.75" customHeight="1" x14ac:dyDescent="0.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9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5.75" customHeight="1" x14ac:dyDescent="0.3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9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5.75" customHeight="1" x14ac:dyDescent="0.3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9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5.75" customHeight="1" x14ac:dyDescent="0.3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9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5.75" customHeight="1" x14ac:dyDescent="0.3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9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5.75" customHeight="1" x14ac:dyDescent="0.3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9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5.75" customHeight="1" x14ac:dyDescent="0.3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9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5.75" customHeight="1" x14ac:dyDescent="0.3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9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5.75" customHeight="1" x14ac:dyDescent="0.3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9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5.75" customHeight="1" x14ac:dyDescent="0.3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9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5.75" customHeight="1" x14ac:dyDescent="0.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9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5.75" customHeight="1" x14ac:dyDescent="0.3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9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5.75" customHeight="1" x14ac:dyDescent="0.3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9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5.75" customHeight="1" x14ac:dyDescent="0.3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9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5.75" customHeight="1" x14ac:dyDescent="0.3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9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5.75" customHeight="1" x14ac:dyDescent="0.3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9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5.75" customHeight="1" x14ac:dyDescent="0.3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9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5.75" customHeight="1" x14ac:dyDescent="0.3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9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5.75" customHeight="1" x14ac:dyDescent="0.3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9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5.75" customHeight="1" x14ac:dyDescent="0.3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9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5.75" customHeight="1" x14ac:dyDescent="0.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9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5.75" customHeight="1" x14ac:dyDescent="0.3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9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5.75" customHeight="1" x14ac:dyDescent="0.3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9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5.75" customHeight="1" x14ac:dyDescent="0.3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9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5.75" customHeight="1" x14ac:dyDescent="0.3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9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5.75" customHeight="1" x14ac:dyDescent="0.3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9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5.75" customHeight="1" x14ac:dyDescent="0.3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9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5.75" customHeight="1" x14ac:dyDescent="0.3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9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5.75" customHeight="1" x14ac:dyDescent="0.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9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5.75" customHeight="1" x14ac:dyDescent="0.3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9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5.75" customHeight="1" x14ac:dyDescent="0.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9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5.75" customHeight="1" x14ac:dyDescent="0.3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9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5.75" customHeight="1" x14ac:dyDescent="0.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9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5.75" customHeight="1" x14ac:dyDescent="0.3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9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5.75" customHeight="1" x14ac:dyDescent="0.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9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5.75" customHeight="1" x14ac:dyDescent="0.3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9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5.75" customHeight="1" x14ac:dyDescent="0.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9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5.75" customHeight="1" x14ac:dyDescent="0.3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9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5.75" customHeight="1" x14ac:dyDescent="0.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9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5.75" customHeight="1" x14ac:dyDescent="0.3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9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5.75" customHeight="1" x14ac:dyDescent="0.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9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5.75" customHeight="1" x14ac:dyDescent="0.3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9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5.75" customHeight="1" x14ac:dyDescent="0.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9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5.75" customHeight="1" x14ac:dyDescent="0.3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9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5.75" customHeight="1" x14ac:dyDescent="0.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9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5.75" customHeight="1" x14ac:dyDescent="0.3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9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5.75" customHeight="1" x14ac:dyDescent="0.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9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5.75" customHeight="1" x14ac:dyDescent="0.3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9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5.75" customHeight="1" x14ac:dyDescent="0.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9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5.75" customHeight="1" x14ac:dyDescent="0.3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9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5.75" customHeight="1" x14ac:dyDescent="0.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9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5.75" customHeight="1" x14ac:dyDescent="0.3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9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5.75" customHeight="1" x14ac:dyDescent="0.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9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5.75" customHeight="1" x14ac:dyDescent="0.3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9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5.75" customHeight="1" x14ac:dyDescent="0.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9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5.75" customHeight="1" x14ac:dyDescent="0.3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9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5.75" customHeight="1" x14ac:dyDescent="0.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9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5.75" customHeight="1" x14ac:dyDescent="0.3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9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5.75" customHeight="1" x14ac:dyDescent="0.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9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5.75" customHeight="1" x14ac:dyDescent="0.3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9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5.75" customHeight="1" x14ac:dyDescent="0.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9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5.75" customHeight="1" x14ac:dyDescent="0.3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9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5.75" customHeight="1" x14ac:dyDescent="0.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9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5.75" customHeight="1" x14ac:dyDescent="0.3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9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5.75" customHeight="1" x14ac:dyDescent="0.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9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5.75" customHeight="1" x14ac:dyDescent="0.3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9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5.75" customHeight="1" x14ac:dyDescent="0.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9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5.75" customHeight="1" x14ac:dyDescent="0.3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9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5.75" customHeight="1" x14ac:dyDescent="0.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9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5.75" customHeight="1" x14ac:dyDescent="0.3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9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5.75" customHeight="1" x14ac:dyDescent="0.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9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5.75" customHeight="1" x14ac:dyDescent="0.3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9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5.75" customHeight="1" x14ac:dyDescent="0.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9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5.75" customHeight="1" x14ac:dyDescent="0.3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9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5.75" customHeight="1" x14ac:dyDescent="0.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9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5.75" customHeight="1" x14ac:dyDescent="0.3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9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5.75" customHeight="1" x14ac:dyDescent="0.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9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5.75" customHeight="1" x14ac:dyDescent="0.3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9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5.75" customHeight="1" x14ac:dyDescent="0.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9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5.75" customHeight="1" x14ac:dyDescent="0.3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9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5.75" customHeight="1" x14ac:dyDescent="0.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9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5.75" customHeight="1" x14ac:dyDescent="0.3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9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5.75" customHeight="1" x14ac:dyDescent="0.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9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5.75" customHeight="1" x14ac:dyDescent="0.3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9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5.75" customHeight="1" x14ac:dyDescent="0.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9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5.75" customHeight="1" x14ac:dyDescent="0.3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9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5.75" customHeight="1" x14ac:dyDescent="0.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9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5.75" customHeight="1" x14ac:dyDescent="0.3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9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5.75" customHeight="1" x14ac:dyDescent="0.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9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5.75" customHeight="1" x14ac:dyDescent="0.3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9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5.75" customHeight="1" x14ac:dyDescent="0.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9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5.75" customHeight="1" x14ac:dyDescent="0.3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9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5.75" customHeight="1" x14ac:dyDescent="0.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9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5.75" customHeight="1" x14ac:dyDescent="0.3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9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5.75" customHeight="1" x14ac:dyDescent="0.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9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5.75" customHeight="1" x14ac:dyDescent="0.3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9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5.75" customHeight="1" x14ac:dyDescent="0.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9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5.75" customHeight="1" x14ac:dyDescent="0.3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9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5.75" customHeight="1" x14ac:dyDescent="0.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9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5.75" customHeight="1" x14ac:dyDescent="0.3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9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5.75" customHeight="1" x14ac:dyDescent="0.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9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5.75" customHeight="1" x14ac:dyDescent="0.3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9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5.75" customHeight="1" x14ac:dyDescent="0.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9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5.75" customHeight="1" x14ac:dyDescent="0.3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9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5.75" customHeight="1" x14ac:dyDescent="0.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9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5.75" customHeight="1" x14ac:dyDescent="0.3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9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5.75" customHeight="1" x14ac:dyDescent="0.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9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5.75" customHeight="1" x14ac:dyDescent="0.3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9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5.75" customHeight="1" x14ac:dyDescent="0.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9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5.75" customHeight="1" x14ac:dyDescent="0.3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9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5.75" customHeight="1" x14ac:dyDescent="0.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9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5.75" customHeight="1" x14ac:dyDescent="0.3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9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5.75" customHeight="1" x14ac:dyDescent="0.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9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5.75" customHeight="1" x14ac:dyDescent="0.3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9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5.75" customHeight="1" x14ac:dyDescent="0.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9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5.75" customHeight="1" x14ac:dyDescent="0.3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9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5.75" customHeight="1" x14ac:dyDescent="0.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9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5.75" customHeight="1" x14ac:dyDescent="0.3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9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5.75" customHeight="1" x14ac:dyDescent="0.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9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5.75" customHeight="1" x14ac:dyDescent="0.3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9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5.75" customHeight="1" x14ac:dyDescent="0.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9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5.75" customHeight="1" x14ac:dyDescent="0.3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9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5.75" customHeight="1" x14ac:dyDescent="0.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9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5.75" customHeight="1" x14ac:dyDescent="0.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9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5.75" customHeight="1" x14ac:dyDescent="0.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9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5.75" customHeight="1" x14ac:dyDescent="0.3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9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5.75" customHeight="1" x14ac:dyDescent="0.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9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5.75" customHeight="1" x14ac:dyDescent="0.3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9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5.75" customHeight="1" x14ac:dyDescent="0.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9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5.75" customHeight="1" x14ac:dyDescent="0.3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9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5.75" customHeight="1" x14ac:dyDescent="0.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9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5.75" customHeight="1" x14ac:dyDescent="0.3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9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5.75" customHeight="1" x14ac:dyDescent="0.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9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5.75" customHeight="1" x14ac:dyDescent="0.3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9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5.75" customHeight="1" x14ac:dyDescent="0.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9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5.75" customHeight="1" x14ac:dyDescent="0.3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9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5.75" customHeight="1" x14ac:dyDescent="0.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9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5.75" customHeight="1" x14ac:dyDescent="0.3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9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5.75" customHeight="1" x14ac:dyDescent="0.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9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5.75" customHeight="1" x14ac:dyDescent="0.3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9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5.75" customHeight="1" x14ac:dyDescent="0.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9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5.75" customHeight="1" x14ac:dyDescent="0.3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9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5.75" customHeight="1" x14ac:dyDescent="0.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9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5.75" customHeight="1" x14ac:dyDescent="0.3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9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5.75" customHeight="1" x14ac:dyDescent="0.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9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5.75" customHeight="1" x14ac:dyDescent="0.3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9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5.75" customHeight="1" x14ac:dyDescent="0.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9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5.75" customHeight="1" x14ac:dyDescent="0.3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9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5.75" customHeight="1" x14ac:dyDescent="0.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9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5.75" customHeight="1" x14ac:dyDescent="0.3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9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5.75" customHeight="1" x14ac:dyDescent="0.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9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5.75" customHeight="1" x14ac:dyDescent="0.3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9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5.75" customHeight="1" x14ac:dyDescent="0.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9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5.75" customHeight="1" x14ac:dyDescent="0.3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9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5.75" customHeight="1" x14ac:dyDescent="0.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9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5.75" customHeight="1" x14ac:dyDescent="0.3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9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5.75" customHeight="1" x14ac:dyDescent="0.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9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5.75" customHeight="1" x14ac:dyDescent="0.3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9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5.75" customHeight="1" x14ac:dyDescent="0.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9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5.75" customHeight="1" x14ac:dyDescent="0.3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9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5.75" customHeight="1" x14ac:dyDescent="0.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9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5.75" customHeight="1" x14ac:dyDescent="0.3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9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5.75" customHeight="1" x14ac:dyDescent="0.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9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5.75" customHeight="1" x14ac:dyDescent="0.3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9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5.75" customHeight="1" x14ac:dyDescent="0.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9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5.75" customHeight="1" x14ac:dyDescent="0.3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9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5.75" customHeight="1" x14ac:dyDescent="0.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9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5.75" customHeight="1" x14ac:dyDescent="0.3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9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5.75" customHeight="1" x14ac:dyDescent="0.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9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5.75" customHeight="1" x14ac:dyDescent="0.3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9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5.75" customHeight="1" x14ac:dyDescent="0.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9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5.75" customHeight="1" x14ac:dyDescent="0.3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9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5.75" customHeight="1" x14ac:dyDescent="0.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9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5.75" customHeight="1" x14ac:dyDescent="0.3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9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5.75" customHeight="1" x14ac:dyDescent="0.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9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5.75" customHeight="1" x14ac:dyDescent="0.3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9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5.75" customHeight="1" x14ac:dyDescent="0.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9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5.75" customHeight="1" x14ac:dyDescent="0.3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9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5.75" customHeight="1" x14ac:dyDescent="0.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9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5.75" customHeight="1" x14ac:dyDescent="0.3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9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5.75" customHeight="1" x14ac:dyDescent="0.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9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5.75" customHeight="1" x14ac:dyDescent="0.3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9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5.75" customHeight="1" x14ac:dyDescent="0.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9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5.75" customHeight="1" x14ac:dyDescent="0.3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9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5.75" customHeight="1" x14ac:dyDescent="0.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9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5.75" customHeight="1" x14ac:dyDescent="0.3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9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5.75" customHeight="1" x14ac:dyDescent="0.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9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5.75" customHeight="1" x14ac:dyDescent="0.3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9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5.75" customHeight="1" x14ac:dyDescent="0.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9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5.75" customHeight="1" x14ac:dyDescent="0.3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9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5.75" customHeight="1" x14ac:dyDescent="0.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9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5.75" customHeight="1" x14ac:dyDescent="0.3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9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5.75" customHeight="1" x14ac:dyDescent="0.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9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5.75" customHeight="1" x14ac:dyDescent="0.3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9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5.75" customHeight="1" x14ac:dyDescent="0.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9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5.75" customHeight="1" x14ac:dyDescent="0.3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9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5.75" customHeight="1" x14ac:dyDescent="0.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9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5.75" customHeight="1" x14ac:dyDescent="0.3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9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5.75" customHeight="1" x14ac:dyDescent="0.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9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5.75" customHeight="1" x14ac:dyDescent="0.3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9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5.75" customHeight="1" x14ac:dyDescent="0.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9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5.75" customHeight="1" x14ac:dyDescent="0.3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9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5.75" customHeight="1" x14ac:dyDescent="0.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9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5.75" customHeight="1" x14ac:dyDescent="0.3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9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5.75" customHeight="1" x14ac:dyDescent="0.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9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5.75" customHeight="1" x14ac:dyDescent="0.3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9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5.75" customHeight="1" x14ac:dyDescent="0.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9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5.75" customHeight="1" x14ac:dyDescent="0.3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9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5.75" customHeight="1" x14ac:dyDescent="0.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9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5.75" customHeight="1" x14ac:dyDescent="0.3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9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5.75" customHeight="1" x14ac:dyDescent="0.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9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5.75" customHeight="1" x14ac:dyDescent="0.3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9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5.75" customHeight="1" x14ac:dyDescent="0.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9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5.75" customHeight="1" x14ac:dyDescent="0.3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9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5.75" customHeight="1" x14ac:dyDescent="0.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9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5.75" customHeight="1" x14ac:dyDescent="0.3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9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5.75" customHeight="1" x14ac:dyDescent="0.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9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5.75" customHeight="1" x14ac:dyDescent="0.3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9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5.75" customHeight="1" x14ac:dyDescent="0.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9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5.75" customHeight="1" x14ac:dyDescent="0.3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9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5.75" customHeight="1" x14ac:dyDescent="0.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9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5.75" customHeight="1" x14ac:dyDescent="0.3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9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5.75" customHeight="1" x14ac:dyDescent="0.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9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5.75" customHeight="1" x14ac:dyDescent="0.3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9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5.75" customHeight="1" x14ac:dyDescent="0.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9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5.75" customHeight="1" x14ac:dyDescent="0.3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9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5.75" customHeight="1" x14ac:dyDescent="0.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9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5.75" customHeight="1" x14ac:dyDescent="0.3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9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5.75" customHeight="1" x14ac:dyDescent="0.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9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5.75" customHeight="1" x14ac:dyDescent="0.3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9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5.75" customHeight="1" x14ac:dyDescent="0.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9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5.75" customHeight="1" x14ac:dyDescent="0.3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9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5.75" customHeight="1" x14ac:dyDescent="0.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9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5.75" customHeight="1" x14ac:dyDescent="0.3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9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5.75" customHeight="1" x14ac:dyDescent="0.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9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5.75" customHeight="1" x14ac:dyDescent="0.3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9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5.75" customHeight="1" x14ac:dyDescent="0.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9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5.75" customHeight="1" x14ac:dyDescent="0.3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9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5.75" customHeight="1" x14ac:dyDescent="0.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9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5.75" customHeight="1" x14ac:dyDescent="0.3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9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5.75" customHeight="1" x14ac:dyDescent="0.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9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5.75" customHeight="1" x14ac:dyDescent="0.3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9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5.75" customHeight="1" x14ac:dyDescent="0.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9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5.75" customHeight="1" x14ac:dyDescent="0.3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9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5.75" customHeight="1" x14ac:dyDescent="0.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9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5.75" customHeight="1" x14ac:dyDescent="0.3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9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5.75" customHeight="1" x14ac:dyDescent="0.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9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5.75" customHeight="1" x14ac:dyDescent="0.3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9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5.75" customHeight="1" x14ac:dyDescent="0.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9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5.75" customHeight="1" x14ac:dyDescent="0.3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9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5.75" customHeight="1" x14ac:dyDescent="0.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9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5.75" customHeight="1" x14ac:dyDescent="0.3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9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5.75" customHeight="1" x14ac:dyDescent="0.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9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5.75" customHeight="1" x14ac:dyDescent="0.3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9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5.75" customHeight="1" x14ac:dyDescent="0.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9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5.75" customHeight="1" x14ac:dyDescent="0.3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9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5.75" customHeight="1" x14ac:dyDescent="0.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9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5.75" customHeight="1" x14ac:dyDescent="0.3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9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5.75" customHeight="1" x14ac:dyDescent="0.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9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5.75" customHeight="1" x14ac:dyDescent="0.3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9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5.75" customHeight="1" x14ac:dyDescent="0.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9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5.75" customHeight="1" x14ac:dyDescent="0.3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9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5.75" customHeight="1" x14ac:dyDescent="0.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9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5.75" customHeight="1" x14ac:dyDescent="0.3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9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5.75" customHeight="1" x14ac:dyDescent="0.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9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5.75" customHeight="1" x14ac:dyDescent="0.3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9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5.75" customHeight="1" x14ac:dyDescent="0.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9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5.75" customHeight="1" x14ac:dyDescent="0.3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9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5.75" customHeight="1" x14ac:dyDescent="0.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9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5.75" customHeight="1" x14ac:dyDescent="0.3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9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5.75" customHeight="1" x14ac:dyDescent="0.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9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5.75" customHeight="1" x14ac:dyDescent="0.3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9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5.75" customHeight="1" x14ac:dyDescent="0.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9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5.75" customHeight="1" x14ac:dyDescent="0.3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9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5.75" customHeight="1" x14ac:dyDescent="0.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9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5.75" customHeight="1" x14ac:dyDescent="0.3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9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5.75" customHeight="1" x14ac:dyDescent="0.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9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5.75" customHeight="1" x14ac:dyDescent="0.3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9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5.75" customHeight="1" x14ac:dyDescent="0.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9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5.75" customHeight="1" x14ac:dyDescent="0.3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9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5.75" customHeight="1" x14ac:dyDescent="0.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9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5.75" customHeight="1" x14ac:dyDescent="0.3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9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5.75" customHeight="1" x14ac:dyDescent="0.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9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5.75" customHeight="1" x14ac:dyDescent="0.3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9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5.75" customHeight="1" x14ac:dyDescent="0.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9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5.75" customHeight="1" x14ac:dyDescent="0.3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9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5.75" customHeight="1" x14ac:dyDescent="0.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9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5.75" customHeight="1" x14ac:dyDescent="0.3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9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5.75" customHeight="1" x14ac:dyDescent="0.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9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5.75" customHeight="1" x14ac:dyDescent="0.3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9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5.75" customHeight="1" x14ac:dyDescent="0.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9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5.75" customHeight="1" x14ac:dyDescent="0.3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9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5.75" customHeight="1" x14ac:dyDescent="0.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9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5.75" customHeight="1" x14ac:dyDescent="0.3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9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5.75" customHeight="1" x14ac:dyDescent="0.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9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5.75" customHeight="1" x14ac:dyDescent="0.3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9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5.75" customHeight="1" x14ac:dyDescent="0.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9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5.75" customHeight="1" x14ac:dyDescent="0.3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9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5.75" customHeight="1" x14ac:dyDescent="0.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9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5.75" customHeight="1" x14ac:dyDescent="0.3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9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5.75" customHeight="1" x14ac:dyDescent="0.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9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5.75" customHeight="1" x14ac:dyDescent="0.3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9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5.75" customHeight="1" x14ac:dyDescent="0.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9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5.75" customHeight="1" x14ac:dyDescent="0.3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9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5.75" customHeight="1" x14ac:dyDescent="0.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9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5.75" customHeight="1" x14ac:dyDescent="0.3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9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5.75" customHeight="1" x14ac:dyDescent="0.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9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5.75" customHeight="1" x14ac:dyDescent="0.3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9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5.75" customHeight="1" x14ac:dyDescent="0.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9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5.75" customHeight="1" x14ac:dyDescent="0.3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9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5.75" customHeight="1" x14ac:dyDescent="0.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9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5.75" customHeight="1" x14ac:dyDescent="0.3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9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5.75" customHeight="1" x14ac:dyDescent="0.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9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5.75" customHeight="1" x14ac:dyDescent="0.3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9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5.75" customHeight="1" x14ac:dyDescent="0.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9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5.75" customHeight="1" x14ac:dyDescent="0.3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9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5.75" customHeight="1" x14ac:dyDescent="0.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9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5.75" customHeight="1" x14ac:dyDescent="0.3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9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5.75" customHeight="1" x14ac:dyDescent="0.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9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5.75" customHeight="1" x14ac:dyDescent="0.3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9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5.75" customHeight="1" x14ac:dyDescent="0.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9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5.75" customHeight="1" x14ac:dyDescent="0.3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9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5.75" customHeight="1" x14ac:dyDescent="0.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9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5.75" customHeight="1" x14ac:dyDescent="0.3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9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5.75" customHeight="1" x14ac:dyDescent="0.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9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5.75" customHeight="1" x14ac:dyDescent="0.3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9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5.75" customHeight="1" x14ac:dyDescent="0.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9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5.75" customHeight="1" x14ac:dyDescent="0.3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9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5.75" customHeight="1" x14ac:dyDescent="0.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9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5.75" customHeight="1" x14ac:dyDescent="0.3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9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5.75" customHeight="1" x14ac:dyDescent="0.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9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5.75" customHeight="1" x14ac:dyDescent="0.3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9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5.75" customHeight="1" x14ac:dyDescent="0.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9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5.75" customHeight="1" x14ac:dyDescent="0.3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9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5.75" customHeight="1" x14ac:dyDescent="0.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9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5.75" customHeight="1" x14ac:dyDescent="0.3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9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5.75" customHeight="1" x14ac:dyDescent="0.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9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5.75" customHeight="1" x14ac:dyDescent="0.3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9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5.75" customHeight="1" x14ac:dyDescent="0.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9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5.75" customHeight="1" x14ac:dyDescent="0.3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9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5.75" customHeight="1" x14ac:dyDescent="0.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9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5.75" customHeight="1" x14ac:dyDescent="0.3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9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5.75" customHeight="1" x14ac:dyDescent="0.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9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5.75" customHeight="1" x14ac:dyDescent="0.3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9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5.75" customHeight="1" x14ac:dyDescent="0.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9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5.75" customHeight="1" x14ac:dyDescent="0.3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9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5.75" customHeight="1" x14ac:dyDescent="0.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9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5.75" customHeight="1" x14ac:dyDescent="0.3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9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5.75" customHeight="1" x14ac:dyDescent="0.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9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5.75" customHeight="1" x14ac:dyDescent="0.3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9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5.75" customHeight="1" x14ac:dyDescent="0.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9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5.75" customHeight="1" x14ac:dyDescent="0.3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9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5.75" customHeight="1" x14ac:dyDescent="0.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9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5.75" customHeight="1" x14ac:dyDescent="0.3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9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5.75" customHeight="1" x14ac:dyDescent="0.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9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5.75" customHeight="1" x14ac:dyDescent="0.3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9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5.75" customHeight="1" x14ac:dyDescent="0.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9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5.75" customHeight="1" x14ac:dyDescent="0.3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9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5.75" customHeight="1" x14ac:dyDescent="0.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9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5.75" customHeight="1" x14ac:dyDescent="0.3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9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5.75" customHeight="1" x14ac:dyDescent="0.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9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5.75" customHeight="1" x14ac:dyDescent="0.3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9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5.75" customHeight="1" x14ac:dyDescent="0.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9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5.75" customHeight="1" x14ac:dyDescent="0.3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9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5.75" customHeight="1" x14ac:dyDescent="0.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9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5.75" customHeight="1" x14ac:dyDescent="0.3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9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5.75" customHeight="1" x14ac:dyDescent="0.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9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5.75" customHeight="1" x14ac:dyDescent="0.3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9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5.75" customHeight="1" x14ac:dyDescent="0.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9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5.75" customHeight="1" x14ac:dyDescent="0.3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9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5.75" customHeight="1" x14ac:dyDescent="0.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9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5.75" customHeight="1" x14ac:dyDescent="0.3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9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5.75" customHeight="1" x14ac:dyDescent="0.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9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5.75" customHeight="1" x14ac:dyDescent="0.3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9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5.75" customHeight="1" x14ac:dyDescent="0.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9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5.75" customHeight="1" x14ac:dyDescent="0.3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9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5.75" customHeight="1" x14ac:dyDescent="0.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9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5.75" customHeight="1" x14ac:dyDescent="0.3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9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5.75" customHeight="1" x14ac:dyDescent="0.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9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5.75" customHeight="1" x14ac:dyDescent="0.3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9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5.75" customHeight="1" x14ac:dyDescent="0.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9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5.75" customHeight="1" x14ac:dyDescent="0.3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9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5.75" customHeight="1" x14ac:dyDescent="0.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9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5.75" customHeight="1" x14ac:dyDescent="0.3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9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5.75" customHeight="1" x14ac:dyDescent="0.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9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5.75" customHeight="1" x14ac:dyDescent="0.3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9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5.75" customHeight="1" x14ac:dyDescent="0.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9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5.75" customHeight="1" x14ac:dyDescent="0.3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9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5.75" customHeight="1" x14ac:dyDescent="0.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9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5.75" customHeight="1" x14ac:dyDescent="0.3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9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5.75" customHeight="1" x14ac:dyDescent="0.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9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5.75" customHeight="1" x14ac:dyDescent="0.3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9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5.75" customHeight="1" x14ac:dyDescent="0.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9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5.75" customHeight="1" x14ac:dyDescent="0.3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9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5.75" customHeight="1" x14ac:dyDescent="0.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9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5.75" customHeight="1" x14ac:dyDescent="0.3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9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5.75" customHeight="1" x14ac:dyDescent="0.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9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5.75" customHeight="1" x14ac:dyDescent="0.3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9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5.75" customHeight="1" x14ac:dyDescent="0.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9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5.75" customHeight="1" x14ac:dyDescent="0.3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9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5.75" customHeight="1" x14ac:dyDescent="0.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9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5.75" customHeight="1" x14ac:dyDescent="0.3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9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5.75" customHeight="1" x14ac:dyDescent="0.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9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5.75" customHeight="1" x14ac:dyDescent="0.3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9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5.75" customHeight="1" x14ac:dyDescent="0.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9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5.75" customHeight="1" x14ac:dyDescent="0.3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9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5.75" customHeight="1" x14ac:dyDescent="0.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9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5.75" customHeight="1" x14ac:dyDescent="0.3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9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5.75" customHeight="1" x14ac:dyDescent="0.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9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5.75" customHeight="1" x14ac:dyDescent="0.3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9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5.75" customHeight="1" x14ac:dyDescent="0.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9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5.75" customHeight="1" x14ac:dyDescent="0.3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9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5.75" customHeight="1" x14ac:dyDescent="0.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9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5.75" customHeight="1" x14ac:dyDescent="0.3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9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5.75" customHeight="1" x14ac:dyDescent="0.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9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5.75" customHeight="1" x14ac:dyDescent="0.3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9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5.75" customHeight="1" x14ac:dyDescent="0.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9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5.75" customHeight="1" x14ac:dyDescent="0.3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9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5.75" customHeight="1" x14ac:dyDescent="0.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9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5.75" customHeight="1" x14ac:dyDescent="0.3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9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5.75" customHeight="1" x14ac:dyDescent="0.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9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5.75" customHeight="1" x14ac:dyDescent="0.3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9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5.75" customHeight="1" x14ac:dyDescent="0.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9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5.75" customHeight="1" x14ac:dyDescent="0.3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9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5.75" customHeight="1" x14ac:dyDescent="0.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9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5.75" customHeight="1" x14ac:dyDescent="0.3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9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5.75" customHeight="1" x14ac:dyDescent="0.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9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5.75" customHeight="1" x14ac:dyDescent="0.3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9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5.75" customHeight="1" x14ac:dyDescent="0.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9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5.75" customHeight="1" x14ac:dyDescent="0.3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9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5.75" customHeight="1" x14ac:dyDescent="0.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9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5.75" customHeight="1" x14ac:dyDescent="0.3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9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5.75" customHeight="1" x14ac:dyDescent="0.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9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5.75" customHeight="1" x14ac:dyDescent="0.3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9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5.75" customHeight="1" x14ac:dyDescent="0.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9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5.75" customHeight="1" x14ac:dyDescent="0.3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9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5.75" customHeight="1" x14ac:dyDescent="0.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9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5.75" customHeight="1" x14ac:dyDescent="0.3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9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5.75" customHeight="1" x14ac:dyDescent="0.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9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5.75" customHeight="1" x14ac:dyDescent="0.3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9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5.75" customHeight="1" x14ac:dyDescent="0.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9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5.75" customHeight="1" x14ac:dyDescent="0.3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9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5.75" customHeight="1" x14ac:dyDescent="0.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9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5.75" customHeight="1" x14ac:dyDescent="0.3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9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5.75" customHeight="1" x14ac:dyDescent="0.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9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5.75" customHeight="1" x14ac:dyDescent="0.3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9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5.75" customHeight="1" x14ac:dyDescent="0.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9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5.75" customHeight="1" x14ac:dyDescent="0.3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9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5.75" customHeight="1" x14ac:dyDescent="0.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9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5.75" customHeight="1" x14ac:dyDescent="0.3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9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5.75" customHeight="1" x14ac:dyDescent="0.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9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5.75" customHeight="1" x14ac:dyDescent="0.3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9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5.75" customHeight="1" x14ac:dyDescent="0.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9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5.75" customHeight="1" x14ac:dyDescent="0.3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9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5.75" customHeight="1" x14ac:dyDescent="0.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9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5.75" customHeight="1" x14ac:dyDescent="0.3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9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5.75" customHeight="1" x14ac:dyDescent="0.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9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5.75" customHeight="1" x14ac:dyDescent="0.3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9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5.75" customHeight="1" x14ac:dyDescent="0.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9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5.75" customHeight="1" x14ac:dyDescent="0.3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9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5.75" customHeight="1" x14ac:dyDescent="0.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9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5.75" customHeight="1" x14ac:dyDescent="0.3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9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5.75" customHeight="1" x14ac:dyDescent="0.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9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5.75" customHeight="1" x14ac:dyDescent="0.3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9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5.75" customHeight="1" x14ac:dyDescent="0.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9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5.75" customHeight="1" x14ac:dyDescent="0.3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9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5.75" customHeight="1" x14ac:dyDescent="0.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9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5.75" customHeight="1" x14ac:dyDescent="0.3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9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5.75" customHeight="1" x14ac:dyDescent="0.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9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5.75" customHeight="1" x14ac:dyDescent="0.3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9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5.75" customHeight="1" x14ac:dyDescent="0.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9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5.75" customHeight="1" x14ac:dyDescent="0.3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9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5.75" customHeight="1" x14ac:dyDescent="0.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9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5.75" customHeight="1" x14ac:dyDescent="0.3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9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5.75" customHeight="1" x14ac:dyDescent="0.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9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5.75" customHeight="1" x14ac:dyDescent="0.3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9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5.75" customHeight="1" x14ac:dyDescent="0.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9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5.75" customHeight="1" x14ac:dyDescent="0.3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9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5.75" customHeight="1" x14ac:dyDescent="0.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9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5.75" customHeight="1" x14ac:dyDescent="0.3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9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5.75" customHeight="1" x14ac:dyDescent="0.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9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5.75" customHeight="1" x14ac:dyDescent="0.3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9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5.75" customHeight="1" x14ac:dyDescent="0.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9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5.75" customHeight="1" x14ac:dyDescent="0.3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9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5.75" customHeight="1" x14ac:dyDescent="0.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9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5.75" customHeight="1" x14ac:dyDescent="0.3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9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5.75" customHeight="1" x14ac:dyDescent="0.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9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5.75" customHeight="1" x14ac:dyDescent="0.3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9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5.75" customHeight="1" x14ac:dyDescent="0.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9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5.75" customHeight="1" x14ac:dyDescent="0.3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9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5.75" customHeight="1" x14ac:dyDescent="0.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9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5.75" customHeight="1" x14ac:dyDescent="0.3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9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5.75" customHeight="1" x14ac:dyDescent="0.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9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5.75" customHeight="1" x14ac:dyDescent="0.3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9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5.75" customHeight="1" x14ac:dyDescent="0.3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9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5.75" customHeight="1" x14ac:dyDescent="0.3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9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5.75" customHeight="1" x14ac:dyDescent="0.3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9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5.75" customHeight="1" x14ac:dyDescent="0.3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9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5.75" customHeight="1" x14ac:dyDescent="0.3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9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5.75" customHeight="1" x14ac:dyDescent="0.3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9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5.75" customHeight="1" x14ac:dyDescent="0.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9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5.75" customHeight="1" x14ac:dyDescent="0.3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9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5.75" customHeight="1" x14ac:dyDescent="0.3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9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5.75" customHeight="1" x14ac:dyDescent="0.3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9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5.75" customHeight="1" x14ac:dyDescent="0.3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9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5.75" customHeight="1" x14ac:dyDescent="0.3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9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5.75" customHeight="1" x14ac:dyDescent="0.3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9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5.75" customHeight="1" x14ac:dyDescent="0.3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9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5.75" customHeight="1" x14ac:dyDescent="0.3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9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5.75" customHeight="1" x14ac:dyDescent="0.3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9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5.75" customHeight="1" x14ac:dyDescent="0.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9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5.75" customHeight="1" x14ac:dyDescent="0.3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9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5.75" customHeight="1" x14ac:dyDescent="0.3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9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5.75" customHeight="1" x14ac:dyDescent="0.3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9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5.75" customHeight="1" x14ac:dyDescent="0.3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9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5.75" customHeight="1" x14ac:dyDescent="0.3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9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5.75" customHeight="1" x14ac:dyDescent="0.3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9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5.75" customHeight="1" x14ac:dyDescent="0.3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9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5.75" customHeight="1" x14ac:dyDescent="0.3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9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5.75" customHeight="1" x14ac:dyDescent="0.3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9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5.75" customHeight="1" x14ac:dyDescent="0.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9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5.75" customHeight="1" x14ac:dyDescent="0.3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9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5.75" customHeight="1" x14ac:dyDescent="0.3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9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5.75" customHeight="1" x14ac:dyDescent="0.3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9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5.75" customHeight="1" x14ac:dyDescent="0.3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9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5.75" customHeight="1" x14ac:dyDescent="0.3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9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5.75" customHeight="1" x14ac:dyDescent="0.3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9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5.75" customHeight="1" x14ac:dyDescent="0.3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9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5.75" customHeight="1" x14ac:dyDescent="0.3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9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5.75" customHeight="1" x14ac:dyDescent="0.3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9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5.75" customHeight="1" x14ac:dyDescent="0.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9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5.75" customHeight="1" x14ac:dyDescent="0.3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9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5.75" customHeight="1" x14ac:dyDescent="0.3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9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5.75" customHeight="1" x14ac:dyDescent="0.3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9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5.75" customHeight="1" x14ac:dyDescent="0.3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9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5.75" customHeight="1" x14ac:dyDescent="0.3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9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5.75" customHeight="1" x14ac:dyDescent="0.3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9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5.75" customHeight="1" x14ac:dyDescent="0.3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9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5.75" customHeight="1" x14ac:dyDescent="0.3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9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5.75" customHeight="1" x14ac:dyDescent="0.3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9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5.75" customHeight="1" x14ac:dyDescent="0.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9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5.75" customHeight="1" x14ac:dyDescent="0.3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9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5.75" customHeight="1" x14ac:dyDescent="0.3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9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5.75" customHeight="1" x14ac:dyDescent="0.3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9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5.75" customHeight="1" x14ac:dyDescent="0.3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9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5.75" customHeight="1" x14ac:dyDescent="0.3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9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5.75" customHeight="1" x14ac:dyDescent="0.3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9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5.75" customHeight="1" x14ac:dyDescent="0.3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9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5.75" customHeight="1" x14ac:dyDescent="0.3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9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5.75" customHeight="1" x14ac:dyDescent="0.3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9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5.75" customHeight="1" x14ac:dyDescent="0.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9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5.75" customHeight="1" x14ac:dyDescent="0.3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9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5.75" customHeight="1" x14ac:dyDescent="0.3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9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5.75" customHeight="1" x14ac:dyDescent="0.3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9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5.75" customHeight="1" x14ac:dyDescent="0.3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9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5.75" customHeight="1" x14ac:dyDescent="0.3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9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5.75" customHeight="1" x14ac:dyDescent="0.3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9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5.75" customHeight="1" x14ac:dyDescent="0.3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9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5.75" customHeight="1" x14ac:dyDescent="0.3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9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5.75" customHeight="1" x14ac:dyDescent="0.3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9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5.75" customHeight="1" x14ac:dyDescent="0.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9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5.75" customHeight="1" x14ac:dyDescent="0.3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9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5.75" customHeight="1" x14ac:dyDescent="0.3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9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5.75" customHeight="1" x14ac:dyDescent="0.3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9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5.75" customHeight="1" x14ac:dyDescent="0.3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9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5.75" customHeight="1" x14ac:dyDescent="0.3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9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5.75" customHeight="1" x14ac:dyDescent="0.3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9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5.75" customHeight="1" x14ac:dyDescent="0.3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9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5.75" customHeight="1" x14ac:dyDescent="0.3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9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5.75" customHeight="1" x14ac:dyDescent="0.3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9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5.75" customHeight="1" x14ac:dyDescent="0.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9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5.75" customHeight="1" x14ac:dyDescent="0.3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9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5.75" customHeight="1" x14ac:dyDescent="0.3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9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5.75" customHeight="1" x14ac:dyDescent="0.3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9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5.75" customHeight="1" x14ac:dyDescent="0.3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9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5.75" customHeight="1" x14ac:dyDescent="0.3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9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5.75" customHeight="1" x14ac:dyDescent="0.3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9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5.75" customHeight="1" x14ac:dyDescent="0.3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9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5.75" customHeight="1" x14ac:dyDescent="0.3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9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5.75" customHeight="1" x14ac:dyDescent="0.3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9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5.75" customHeight="1" x14ac:dyDescent="0.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9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5.75" customHeight="1" x14ac:dyDescent="0.3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9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5.75" customHeight="1" x14ac:dyDescent="0.3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9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5.75" customHeight="1" x14ac:dyDescent="0.3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9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5.75" customHeight="1" x14ac:dyDescent="0.3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9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5.75" customHeight="1" x14ac:dyDescent="0.3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9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5.75" customHeight="1" x14ac:dyDescent="0.3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9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5.75" customHeight="1" x14ac:dyDescent="0.3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9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5.75" customHeight="1" x14ac:dyDescent="0.3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9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5.75" customHeight="1" x14ac:dyDescent="0.3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9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5.75" customHeight="1" x14ac:dyDescent="0.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9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5.75" customHeight="1" x14ac:dyDescent="0.3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9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5.75" customHeight="1" x14ac:dyDescent="0.3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9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5.75" customHeight="1" x14ac:dyDescent="0.3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9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5.75" customHeight="1" x14ac:dyDescent="0.3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9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5.75" customHeight="1" x14ac:dyDescent="0.3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9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5.75" customHeight="1" x14ac:dyDescent="0.3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9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5.75" customHeight="1" x14ac:dyDescent="0.3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9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5.75" customHeight="1" x14ac:dyDescent="0.3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9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5.75" customHeight="1" x14ac:dyDescent="0.3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9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5.75" customHeight="1" x14ac:dyDescent="0.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9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5.75" customHeight="1" x14ac:dyDescent="0.3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9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5.75" customHeight="1" x14ac:dyDescent="0.3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9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5.75" customHeight="1" x14ac:dyDescent="0.3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9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5.75" customHeight="1" x14ac:dyDescent="0.3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9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5.75" customHeight="1" x14ac:dyDescent="0.3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9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5.75" customHeight="1" x14ac:dyDescent="0.3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9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5.75" customHeight="1" x14ac:dyDescent="0.3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9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5.75" customHeight="1" x14ac:dyDescent="0.3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9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5.75" customHeight="1" x14ac:dyDescent="0.3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9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5.75" customHeight="1" x14ac:dyDescent="0.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9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5.75" customHeight="1" x14ac:dyDescent="0.3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9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5.75" customHeight="1" x14ac:dyDescent="0.3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9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5.75" customHeight="1" x14ac:dyDescent="0.3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9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5.75" customHeight="1" x14ac:dyDescent="0.3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9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5.75" customHeight="1" x14ac:dyDescent="0.3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9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5.75" customHeight="1" x14ac:dyDescent="0.3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9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5.75" customHeight="1" x14ac:dyDescent="0.3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9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5.75" customHeight="1" x14ac:dyDescent="0.3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9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5.75" customHeight="1" x14ac:dyDescent="0.3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9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5.75" customHeight="1" x14ac:dyDescent="0.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9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5.75" customHeight="1" x14ac:dyDescent="0.3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9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5.75" customHeight="1" x14ac:dyDescent="0.3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9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5.75" customHeight="1" x14ac:dyDescent="0.3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9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5.75" customHeight="1" x14ac:dyDescent="0.3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9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5.75" customHeight="1" x14ac:dyDescent="0.3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9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5.75" customHeight="1" x14ac:dyDescent="0.3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9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5.75" customHeight="1" x14ac:dyDescent="0.3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9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5.75" customHeight="1" x14ac:dyDescent="0.3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9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5.75" customHeight="1" x14ac:dyDescent="0.3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9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5.75" customHeight="1" x14ac:dyDescent="0.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9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5.75" customHeight="1" x14ac:dyDescent="0.3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9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5.75" customHeight="1" x14ac:dyDescent="0.3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9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5.75" customHeight="1" x14ac:dyDescent="0.3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9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5.75" customHeight="1" x14ac:dyDescent="0.3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9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5.75" customHeight="1" x14ac:dyDescent="0.3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9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5.75" customHeight="1" x14ac:dyDescent="0.3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9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5.75" customHeight="1" x14ac:dyDescent="0.3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9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5.75" customHeight="1" x14ac:dyDescent="0.3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9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5.75" customHeight="1" x14ac:dyDescent="0.3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9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5.75" customHeight="1" x14ac:dyDescent="0.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9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5.75" customHeight="1" x14ac:dyDescent="0.3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9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5.75" customHeight="1" x14ac:dyDescent="0.3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9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5.75" customHeight="1" x14ac:dyDescent="0.3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9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5.75" customHeight="1" x14ac:dyDescent="0.3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9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5.75" customHeight="1" x14ac:dyDescent="0.3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9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5.75" customHeight="1" x14ac:dyDescent="0.3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9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5.75" customHeight="1" x14ac:dyDescent="0.3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9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5.75" customHeight="1" x14ac:dyDescent="0.3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9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5.75" customHeight="1" x14ac:dyDescent="0.3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9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5.75" customHeight="1" x14ac:dyDescent="0.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9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5.75" customHeight="1" x14ac:dyDescent="0.3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9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5.75" customHeight="1" x14ac:dyDescent="0.3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9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5.75" customHeight="1" x14ac:dyDescent="0.3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9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5.75" customHeight="1" x14ac:dyDescent="0.3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9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5.75" customHeight="1" x14ac:dyDescent="0.3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9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5.75" customHeight="1" x14ac:dyDescent="0.3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9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5.75" customHeight="1" x14ac:dyDescent="0.3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9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5.75" customHeight="1" x14ac:dyDescent="0.3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9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5.75" customHeight="1" x14ac:dyDescent="0.3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9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5.75" customHeight="1" x14ac:dyDescent="0.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9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5.75" customHeight="1" x14ac:dyDescent="0.3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9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5.75" customHeight="1" x14ac:dyDescent="0.3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9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5.75" customHeight="1" x14ac:dyDescent="0.3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9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5.75" customHeight="1" x14ac:dyDescent="0.3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9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5.75" customHeight="1" x14ac:dyDescent="0.3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9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5.75" customHeight="1" x14ac:dyDescent="0.3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9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5.75" customHeight="1" x14ac:dyDescent="0.3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9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5.75" customHeight="1" x14ac:dyDescent="0.3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9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5.75" customHeight="1" x14ac:dyDescent="0.3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9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5.75" customHeight="1" x14ac:dyDescent="0.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9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5.75" customHeight="1" x14ac:dyDescent="0.3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9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5.75" customHeight="1" x14ac:dyDescent="0.3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9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5.75" customHeight="1" x14ac:dyDescent="0.3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9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5.75" customHeight="1" x14ac:dyDescent="0.3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9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5.75" customHeight="1" x14ac:dyDescent="0.3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9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5.75" customHeight="1" x14ac:dyDescent="0.3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9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5.75" customHeight="1" x14ac:dyDescent="0.3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9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5.75" customHeight="1" x14ac:dyDescent="0.3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9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5.75" customHeight="1" x14ac:dyDescent="0.3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9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5.75" customHeight="1" x14ac:dyDescent="0.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9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5.75" customHeight="1" x14ac:dyDescent="0.3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9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5.75" customHeight="1" x14ac:dyDescent="0.3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9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5.75" customHeight="1" x14ac:dyDescent="0.3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9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5.75" customHeight="1" x14ac:dyDescent="0.3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9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5.75" customHeight="1" x14ac:dyDescent="0.3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9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5.75" customHeight="1" x14ac:dyDescent="0.3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9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5.75" customHeight="1" x14ac:dyDescent="0.3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9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5.75" customHeight="1" x14ac:dyDescent="0.3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9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5.75" customHeight="1" x14ac:dyDescent="0.3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9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5.75" customHeight="1" x14ac:dyDescent="0.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9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5.75" customHeight="1" x14ac:dyDescent="0.3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9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5.75" customHeight="1" x14ac:dyDescent="0.3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9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5.75" customHeight="1" x14ac:dyDescent="0.3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9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5.75" customHeight="1" x14ac:dyDescent="0.3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9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5.75" customHeight="1" x14ac:dyDescent="0.3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9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5.75" customHeight="1" x14ac:dyDescent="0.3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9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5.75" customHeight="1" x14ac:dyDescent="0.3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9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5.75" customHeight="1" x14ac:dyDescent="0.3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9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5.75" customHeight="1" x14ac:dyDescent="0.3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9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5.75" customHeight="1" x14ac:dyDescent="0.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9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5.75" customHeight="1" x14ac:dyDescent="0.3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9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5.75" customHeight="1" x14ac:dyDescent="0.3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9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5.75" customHeight="1" x14ac:dyDescent="0.3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9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5.75" customHeight="1" x14ac:dyDescent="0.3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9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5.75" customHeight="1" x14ac:dyDescent="0.3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9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5.75" customHeight="1" x14ac:dyDescent="0.3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9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5.75" customHeight="1" x14ac:dyDescent="0.3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9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5.75" customHeight="1" x14ac:dyDescent="0.3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9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5.75" customHeight="1" x14ac:dyDescent="0.3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9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5.75" customHeight="1" x14ac:dyDescent="0.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9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5.75" customHeight="1" x14ac:dyDescent="0.3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9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5.75" customHeight="1" x14ac:dyDescent="0.3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9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5.75" customHeight="1" x14ac:dyDescent="0.3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9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5.75" customHeight="1" x14ac:dyDescent="0.3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9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5.75" customHeight="1" x14ac:dyDescent="0.3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9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spans="1:25" ht="15.75" customHeight="1" x14ac:dyDescent="0.3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9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spans="1:25" ht="15.75" customHeight="1" x14ac:dyDescent="0.3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9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spans="1:25" ht="15.75" customHeight="1" x14ac:dyDescent="0.3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9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spans="1:25" ht="15.75" customHeight="1" x14ac:dyDescent="0.3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9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spans="1:25" ht="15.75" customHeight="1" x14ac:dyDescent="0.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9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spans="1:25" ht="15.75" customHeight="1" x14ac:dyDescent="0.3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9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spans="1:25" ht="15.75" customHeight="1" x14ac:dyDescent="0.3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9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spans="1:25" ht="15.75" customHeight="1" x14ac:dyDescent="0.3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9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spans="1:25" ht="15.75" customHeight="1" x14ac:dyDescent="0.3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9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spans="1:25" ht="15.75" customHeight="1" x14ac:dyDescent="0.3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9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spans="1:25" ht="15.75" customHeight="1" x14ac:dyDescent="0.3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9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spans="1:25" ht="15.75" customHeight="1" x14ac:dyDescent="0.3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9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spans="1:25" ht="15.75" customHeight="1" x14ac:dyDescent="0.3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9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spans="1:25" ht="15.75" customHeight="1" x14ac:dyDescent="0.3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9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spans="1:25" ht="15.75" customHeight="1" x14ac:dyDescent="0.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9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spans="1:25" ht="15.75" customHeight="1" x14ac:dyDescent="0.3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9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spans="1:25" ht="15.75" customHeight="1" x14ac:dyDescent="0.3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9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spans="1:25" ht="15.75" customHeight="1" x14ac:dyDescent="0.3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9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spans="1:25" ht="15.75" customHeight="1" x14ac:dyDescent="0.3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9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spans="1:25" x14ac:dyDescent="0.3">
      <c r="F968" s="43"/>
      <c r="G968" s="43"/>
      <c r="H968" s="43"/>
      <c r="I968" s="43"/>
      <c r="J968" s="43"/>
      <c r="K968" s="93"/>
      <c r="L968" s="43"/>
      <c r="M968" s="43"/>
    </row>
    <row r="969" spans="1:25" x14ac:dyDescent="0.3">
      <c r="F969" s="43"/>
      <c r="G969" s="43"/>
      <c r="H969" s="43"/>
      <c r="I969" s="43"/>
      <c r="J969" s="43"/>
      <c r="K969" s="93"/>
      <c r="L969" s="43"/>
      <c r="M969" s="43"/>
    </row>
  </sheetData>
  <mergeCells count="12">
    <mergeCell ref="A45:D45"/>
    <mergeCell ref="A46:D46"/>
    <mergeCell ref="A54:D54"/>
    <mergeCell ref="A55:D55"/>
    <mergeCell ref="A36:D36"/>
    <mergeCell ref="A37:D37"/>
    <mergeCell ref="A28:D28"/>
    <mergeCell ref="A27:D27"/>
    <mergeCell ref="A1:D1"/>
    <mergeCell ref="A2:D2"/>
    <mergeCell ref="A19:D19"/>
    <mergeCell ref="A20:D20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activeCell="B9" sqref="B9"/>
    </sheetView>
  </sheetViews>
  <sheetFormatPr defaultRowHeight="14.4" x14ac:dyDescent="0.3"/>
  <cols>
    <col min="2" max="2" width="45.88671875" customWidth="1"/>
    <col min="3" max="3" width="62.88671875" bestFit="1" customWidth="1"/>
  </cols>
  <sheetData>
    <row r="1" spans="1:6" x14ac:dyDescent="0.3">
      <c r="A1" t="s">
        <v>98</v>
      </c>
    </row>
    <row r="2" spans="1:6" x14ac:dyDescent="0.3">
      <c r="A2" t="s">
        <v>94</v>
      </c>
      <c r="C2" t="s">
        <v>99</v>
      </c>
    </row>
    <row r="3" spans="1:6" x14ac:dyDescent="0.3">
      <c r="A3" t="s">
        <v>95</v>
      </c>
      <c r="C3" t="s">
        <v>106</v>
      </c>
      <c r="E3">
        <v>425</v>
      </c>
      <c r="F3" t="s">
        <v>100</v>
      </c>
    </row>
    <row r="4" spans="1:6" x14ac:dyDescent="0.3">
      <c r="A4" t="s">
        <v>107</v>
      </c>
      <c r="C4" t="s">
        <v>108</v>
      </c>
      <c r="E4">
        <v>425</v>
      </c>
      <c r="F4" t="s">
        <v>101</v>
      </c>
    </row>
    <row r="5" spans="1:6" x14ac:dyDescent="0.3">
      <c r="A5" t="s">
        <v>96</v>
      </c>
      <c r="C5" t="s">
        <v>109</v>
      </c>
      <c r="E5">
        <v>625</v>
      </c>
      <c r="F5" t="s">
        <v>102</v>
      </c>
    </row>
    <row r="6" spans="1:6" x14ac:dyDescent="0.3">
      <c r="A6" t="s">
        <v>97</v>
      </c>
      <c r="C6" t="s">
        <v>108</v>
      </c>
      <c r="E6">
        <v>625</v>
      </c>
      <c r="F6" t="s">
        <v>103</v>
      </c>
    </row>
    <row r="7" spans="1:6" x14ac:dyDescent="0.3">
      <c r="A7" t="s">
        <v>110</v>
      </c>
      <c r="C7" t="s">
        <v>108</v>
      </c>
    </row>
    <row r="8" spans="1:6" x14ac:dyDescent="0.3">
      <c r="A8" t="s">
        <v>111</v>
      </c>
      <c r="C8" t="s">
        <v>123</v>
      </c>
      <c r="E8">
        <f>SUM(E3:E7)</f>
        <v>2100</v>
      </c>
    </row>
    <row r="9" spans="1:6" x14ac:dyDescent="0.3">
      <c r="A9" t="s">
        <v>112</v>
      </c>
      <c r="C9" t="s">
        <v>125</v>
      </c>
    </row>
    <row r="10" spans="1:6" x14ac:dyDescent="0.3">
      <c r="A10" t="s">
        <v>113</v>
      </c>
      <c r="C10" t="s">
        <v>108</v>
      </c>
      <c r="E10" t="s">
        <v>104</v>
      </c>
    </row>
    <row r="11" spans="1:6" x14ac:dyDescent="0.3">
      <c r="A11" t="s">
        <v>114</v>
      </c>
      <c r="C11" t="s">
        <v>108</v>
      </c>
      <c r="E11">
        <f>625*4</f>
        <v>2500</v>
      </c>
      <c r="F11" t="s">
        <v>105</v>
      </c>
    </row>
    <row r="12" spans="1:6" x14ac:dyDescent="0.3">
      <c r="A12" t="s">
        <v>115</v>
      </c>
      <c r="C12" t="s">
        <v>108</v>
      </c>
    </row>
    <row r="13" spans="1:6" x14ac:dyDescent="0.3">
      <c r="A13" t="s">
        <v>116</v>
      </c>
    </row>
    <row r="14" spans="1:6" x14ac:dyDescent="0.3">
      <c r="A14" t="s">
        <v>117</v>
      </c>
      <c r="C14" t="s">
        <v>126</v>
      </c>
    </row>
    <row r="15" spans="1:6" x14ac:dyDescent="0.3">
      <c r="A15" t="s">
        <v>118</v>
      </c>
      <c r="C15" t="s">
        <v>127</v>
      </c>
    </row>
    <row r="16" spans="1:6" x14ac:dyDescent="0.3">
      <c r="A16" t="s">
        <v>119</v>
      </c>
      <c r="C16" t="s">
        <v>108</v>
      </c>
    </row>
    <row r="17" spans="1:3" x14ac:dyDescent="0.3">
      <c r="A17" t="s">
        <v>128</v>
      </c>
      <c r="C17" t="s">
        <v>108</v>
      </c>
    </row>
    <row r="18" spans="1:3" x14ac:dyDescent="0.3">
      <c r="A18" t="s">
        <v>120</v>
      </c>
      <c r="C18" t="s">
        <v>108</v>
      </c>
    </row>
    <row r="19" spans="1:3" x14ac:dyDescent="0.3">
      <c r="A19" t="s">
        <v>121</v>
      </c>
      <c r="C19" t="s">
        <v>129</v>
      </c>
    </row>
    <row r="20" spans="1:3" x14ac:dyDescent="0.3">
      <c r="A20" t="s">
        <v>122</v>
      </c>
    </row>
    <row r="21" spans="1:3" x14ac:dyDescent="0.3">
      <c r="A21" t="s">
        <v>124</v>
      </c>
      <c r="C21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workbookViewId="0">
      <selection activeCell="G18" sqref="G18"/>
    </sheetView>
  </sheetViews>
  <sheetFormatPr defaultRowHeight="14.4" x14ac:dyDescent="0.3"/>
  <cols>
    <col min="1" max="1" width="6.88671875" style="5" bestFit="1" customWidth="1"/>
    <col min="2" max="2" width="12.33203125" customWidth="1"/>
    <col min="3" max="4" width="10.44140625" bestFit="1" customWidth="1"/>
    <col min="5" max="5" width="10.5546875" bestFit="1" customWidth="1"/>
    <col min="6" max="7" width="11.6640625" bestFit="1" customWidth="1"/>
    <col min="10" max="10" width="22.44140625" bestFit="1" customWidth="1"/>
    <col min="11" max="11" width="10.109375" bestFit="1" customWidth="1"/>
    <col min="12" max="13" width="11.6640625" bestFit="1" customWidth="1"/>
  </cols>
  <sheetData>
    <row r="1" spans="1:7" x14ac:dyDescent="0.3">
      <c r="A1" s="318" t="s">
        <v>260</v>
      </c>
      <c r="B1" s="318"/>
      <c r="C1" s="318"/>
      <c r="D1" s="318"/>
      <c r="E1" s="318"/>
      <c r="F1" s="318"/>
    </row>
    <row r="2" spans="1:7" x14ac:dyDescent="0.3">
      <c r="A2" s="41" t="s">
        <v>81</v>
      </c>
      <c r="B2" s="41" t="s">
        <v>138</v>
      </c>
      <c r="C2" s="41"/>
      <c r="D2" s="41" t="s">
        <v>139</v>
      </c>
      <c r="E2" s="41" t="s">
        <v>65</v>
      </c>
      <c r="F2" s="41" t="s">
        <v>65</v>
      </c>
    </row>
    <row r="3" spans="1:7" x14ac:dyDescent="0.3">
      <c r="A3" s="41">
        <v>1</v>
      </c>
      <c r="B3" s="1" t="s">
        <v>28</v>
      </c>
      <c r="C3" s="1"/>
      <c r="E3" s="1"/>
      <c r="F3" s="1"/>
      <c r="G3" s="1"/>
    </row>
    <row r="4" spans="1:7" x14ac:dyDescent="0.3">
      <c r="A4" s="41"/>
      <c r="B4" s="1" t="s">
        <v>277</v>
      </c>
      <c r="C4" s="1"/>
      <c r="E4" s="1"/>
      <c r="F4" s="1"/>
      <c r="G4" s="1"/>
    </row>
    <row r="5" spans="1:7" x14ac:dyDescent="0.3">
      <c r="B5" s="91">
        <v>45665</v>
      </c>
      <c r="C5" s="91">
        <v>45846</v>
      </c>
      <c r="D5">
        <f>C5-B5+1</f>
        <v>182</v>
      </c>
      <c r="E5">
        <f>6239+6185+6282+6595-6259</f>
        <v>19042</v>
      </c>
    </row>
    <row r="6" spans="1:7" x14ac:dyDescent="0.3">
      <c r="B6" s="91">
        <f>C5</f>
        <v>45846</v>
      </c>
      <c r="C6" s="91">
        <v>46112</v>
      </c>
      <c r="D6">
        <f>C6-B6+1</f>
        <v>267</v>
      </c>
      <c r="E6">
        <f>ROUND(E5*D6/D5,0)</f>
        <v>27935</v>
      </c>
      <c r="F6" s="1" t="s">
        <v>104</v>
      </c>
    </row>
    <row r="7" spans="1:7" x14ac:dyDescent="0.3">
      <c r="B7" s="91"/>
      <c r="C7" s="91"/>
    </row>
    <row r="8" spans="1:7" x14ac:dyDescent="0.3">
      <c r="B8" s="92" t="s">
        <v>278</v>
      </c>
      <c r="C8" s="91"/>
    </row>
    <row r="9" spans="1:7" x14ac:dyDescent="0.3">
      <c r="B9" s="91">
        <v>45573</v>
      </c>
      <c r="C9" s="91">
        <v>46030</v>
      </c>
      <c r="D9">
        <f>C9-B9+1</f>
        <v>458</v>
      </c>
      <c r="E9">
        <f>44341-15548</f>
        <v>28793</v>
      </c>
    </row>
    <row r="10" spans="1:7" x14ac:dyDescent="0.3">
      <c r="B10" s="91">
        <f>C9</f>
        <v>46030</v>
      </c>
      <c r="C10" s="91">
        <v>46112</v>
      </c>
      <c r="D10">
        <f>C10-B10+1</f>
        <v>83</v>
      </c>
      <c r="E10">
        <f>ROUND(E9*D10/D9,0)</f>
        <v>5218</v>
      </c>
      <c r="F10" s="1" t="s">
        <v>104</v>
      </c>
    </row>
    <row r="11" spans="1:7" x14ac:dyDescent="0.3">
      <c r="B11" s="91"/>
      <c r="C11" s="91"/>
    </row>
    <row r="12" spans="1:7" x14ac:dyDescent="0.3">
      <c r="B12" s="92" t="s">
        <v>279</v>
      </c>
      <c r="C12" s="91"/>
    </row>
    <row r="13" spans="1:7" x14ac:dyDescent="0.3">
      <c r="B13" s="91">
        <v>45573</v>
      </c>
      <c r="C13" s="91">
        <v>46030</v>
      </c>
      <c r="D13">
        <f>C13-B13+1</f>
        <v>458</v>
      </c>
      <c r="E13">
        <f>68212-13828</f>
        <v>54384</v>
      </c>
    </row>
    <row r="14" spans="1:7" x14ac:dyDescent="0.3">
      <c r="B14" s="91">
        <f>C13</f>
        <v>46030</v>
      </c>
      <c r="C14" s="91">
        <v>46112</v>
      </c>
      <c r="D14">
        <f>C14-B14+1</f>
        <v>83</v>
      </c>
      <c r="E14">
        <f>ROUND(E13*D14/D13,0)</f>
        <v>9856</v>
      </c>
      <c r="F14" s="1" t="s">
        <v>104</v>
      </c>
    </row>
    <row r="15" spans="1:7" x14ac:dyDescent="0.3">
      <c r="B15" s="91"/>
      <c r="C15" s="91"/>
    </row>
    <row r="16" spans="1:7" x14ac:dyDescent="0.3">
      <c r="A16" s="41">
        <v>2</v>
      </c>
      <c r="B16" s="1" t="s">
        <v>141</v>
      </c>
      <c r="C16" s="1"/>
    </row>
    <row r="17" spans="1:7" x14ac:dyDescent="0.3">
      <c r="A17" s="41"/>
      <c r="B17" s="1"/>
      <c r="C17" s="1"/>
    </row>
    <row r="18" spans="1:7" x14ac:dyDescent="0.3">
      <c r="A18" s="41"/>
      <c r="B18" s="91">
        <v>45870</v>
      </c>
      <c r="C18" s="91">
        <v>46234</v>
      </c>
      <c r="D18">
        <f>C18-B18+1</f>
        <v>365</v>
      </c>
      <c r="E18">
        <v>35400</v>
      </c>
    </row>
    <row r="19" spans="1:7" x14ac:dyDescent="0.3">
      <c r="B19" s="91">
        <v>46113</v>
      </c>
      <c r="C19" s="91">
        <f>C18</f>
        <v>46234</v>
      </c>
      <c r="D19">
        <f>C19-B19+1</f>
        <v>122</v>
      </c>
      <c r="E19" s="16">
        <f>ROUND(D19*E18/D18,0)</f>
        <v>11832</v>
      </c>
      <c r="F19" s="1"/>
    </row>
    <row r="20" spans="1:7" x14ac:dyDescent="0.3">
      <c r="B20" s="1"/>
      <c r="C20" s="1"/>
      <c r="D20" s="1"/>
      <c r="E20" s="1">
        <f>SUM(E18:E19)</f>
        <v>47232</v>
      </c>
    </row>
    <row r="21" spans="1:7" x14ac:dyDescent="0.3">
      <c r="B21" s="1"/>
      <c r="C21" s="1"/>
      <c r="D21" s="1"/>
      <c r="E21" s="1"/>
      <c r="F21" s="1"/>
    </row>
    <row r="23" spans="1:7" x14ac:dyDescent="0.3">
      <c r="A23" s="41">
        <v>2</v>
      </c>
      <c r="B23" s="1" t="s">
        <v>30</v>
      </c>
      <c r="C23" s="1"/>
    </row>
    <row r="24" spans="1:7" x14ac:dyDescent="0.3">
      <c r="A24"/>
      <c r="B24" s="91">
        <v>45930</v>
      </c>
      <c r="C24" s="91">
        <v>46660</v>
      </c>
      <c r="D24">
        <f t="shared" ref="D24:D25" si="0">C24-B24+1</f>
        <v>731</v>
      </c>
      <c r="E24">
        <v>34400</v>
      </c>
    </row>
    <row r="25" spans="1:7" x14ac:dyDescent="0.3">
      <c r="B25" s="91">
        <v>46113</v>
      </c>
      <c r="C25" s="91">
        <f>C24</f>
        <v>46660</v>
      </c>
      <c r="D25" s="16">
        <f t="shared" si="0"/>
        <v>548</v>
      </c>
      <c r="E25" s="16">
        <f>ROUND(D25*E24/D24,0)</f>
        <v>25788</v>
      </c>
      <c r="G25" s="1"/>
    </row>
    <row r="26" spans="1:7" x14ac:dyDescent="0.3">
      <c r="D26" s="1"/>
      <c r="F26" s="1"/>
    </row>
    <row r="27" spans="1:7" x14ac:dyDescent="0.3">
      <c r="A27" s="41">
        <v>3</v>
      </c>
      <c r="B27" s="1" t="s">
        <v>34</v>
      </c>
      <c r="C27" s="1"/>
    </row>
    <row r="28" spans="1:7" x14ac:dyDescent="0.3">
      <c r="A28" s="41"/>
    </row>
    <row r="29" spans="1:7" x14ac:dyDescent="0.3">
      <c r="A29"/>
      <c r="B29" s="91">
        <v>45970</v>
      </c>
      <c r="C29" s="91">
        <v>46334</v>
      </c>
      <c r="D29">
        <f t="shared" ref="D29:D30" si="1">C29-B29+1</f>
        <v>365</v>
      </c>
      <c r="E29">
        <v>24295</v>
      </c>
    </row>
    <row r="30" spans="1:7" x14ac:dyDescent="0.3">
      <c r="B30" s="91">
        <v>46113</v>
      </c>
      <c r="C30" s="91">
        <f>C29</f>
        <v>46334</v>
      </c>
      <c r="D30" s="16">
        <f t="shared" si="1"/>
        <v>222</v>
      </c>
      <c r="E30" s="16">
        <f>ROUND(D30*E29/D29,0)</f>
        <v>14777</v>
      </c>
      <c r="F30" s="16"/>
      <c r="G30" s="1"/>
    </row>
    <row r="31" spans="1:7" x14ac:dyDescent="0.3">
      <c r="B31" s="1"/>
      <c r="C31" s="1"/>
      <c r="D31" s="1"/>
      <c r="E31" s="1"/>
      <c r="F31" s="1"/>
    </row>
    <row r="33" spans="1:7" x14ac:dyDescent="0.3">
      <c r="A33" s="41">
        <v>4</v>
      </c>
      <c r="B33" s="1" t="s">
        <v>147</v>
      </c>
      <c r="C33" s="1"/>
    </row>
    <row r="34" spans="1:7" x14ac:dyDescent="0.3">
      <c r="B34" t="s">
        <v>148</v>
      </c>
      <c r="F34">
        <f>'I&amp;E'!H24</f>
        <v>19320</v>
      </c>
    </row>
    <row r="35" spans="1:7" x14ac:dyDescent="0.3">
      <c r="B35" t="s">
        <v>197</v>
      </c>
      <c r="F35">
        <v>0</v>
      </c>
    </row>
    <row r="36" spans="1:7" x14ac:dyDescent="0.3">
      <c r="B36" t="s">
        <v>149</v>
      </c>
      <c r="F36">
        <f>'I&amp;E'!G26</f>
        <v>80873</v>
      </c>
    </row>
    <row r="37" spans="1:7" x14ac:dyDescent="0.3">
      <c r="B37" t="s">
        <v>205</v>
      </c>
      <c r="F37" s="72">
        <f>SUM(F34:F36)</f>
        <v>100193</v>
      </c>
    </row>
    <row r="38" spans="1:7" x14ac:dyDescent="0.3">
      <c r="A38" s="5" t="s">
        <v>132</v>
      </c>
      <c r="B38" t="s">
        <v>206</v>
      </c>
      <c r="F38" s="16">
        <f>-(+F35+F36)</f>
        <v>-80873</v>
      </c>
    </row>
    <row r="39" spans="1:7" x14ac:dyDescent="0.3">
      <c r="B39" t="s">
        <v>207</v>
      </c>
      <c r="F39">
        <f>SUM(F37:F38)</f>
        <v>19320</v>
      </c>
    </row>
    <row r="40" spans="1:7" x14ac:dyDescent="0.3">
      <c r="B40" t="s">
        <v>150</v>
      </c>
      <c r="D40" s="57">
        <v>0.1</v>
      </c>
      <c r="E40" s="57"/>
      <c r="F40">
        <v>1000</v>
      </c>
    </row>
    <row r="41" spans="1:7" x14ac:dyDescent="0.3">
      <c r="B41" t="s">
        <v>151</v>
      </c>
      <c r="D41" s="57">
        <v>0.2</v>
      </c>
      <c r="E41" s="57"/>
      <c r="F41">
        <v>2000</v>
      </c>
    </row>
    <row r="42" spans="1:7" x14ac:dyDescent="0.3">
      <c r="B42" t="s">
        <v>152</v>
      </c>
      <c r="D42" s="57">
        <v>0.3</v>
      </c>
      <c r="E42" s="57"/>
      <c r="F42" s="16">
        <v>0</v>
      </c>
    </row>
    <row r="43" spans="1:7" x14ac:dyDescent="0.3">
      <c r="B43" t="s">
        <v>153</v>
      </c>
      <c r="F43">
        <f>SUM(F40:F42)</f>
        <v>3000</v>
      </c>
    </row>
    <row r="44" spans="1:7" x14ac:dyDescent="0.3">
      <c r="A44" s="5" t="s">
        <v>140</v>
      </c>
      <c r="B44" t="s">
        <v>154</v>
      </c>
      <c r="D44" s="57">
        <v>0.04</v>
      </c>
      <c r="E44" s="57"/>
      <c r="F44" s="16">
        <f>ROUND(F43*D44,0)</f>
        <v>120</v>
      </c>
    </row>
    <row r="45" spans="1:7" ht="15.6" x14ac:dyDescent="0.3">
      <c r="B45" t="s">
        <v>155</v>
      </c>
      <c r="F45" s="58">
        <f>SUM(F43:F44)</f>
        <v>3120</v>
      </c>
    </row>
    <row r="46" spans="1:7" x14ac:dyDescent="0.3">
      <c r="F46">
        <v>3150</v>
      </c>
      <c r="G46" t="s">
        <v>423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20"/>
  <sheetViews>
    <sheetView workbookViewId="0">
      <selection activeCell="B14" sqref="B14"/>
    </sheetView>
  </sheetViews>
  <sheetFormatPr defaultRowHeight="14.4" x14ac:dyDescent="0.3"/>
  <cols>
    <col min="2" max="2" width="101.109375" bestFit="1" customWidth="1"/>
  </cols>
  <sheetData>
    <row r="2" spans="1:3" x14ac:dyDescent="0.3">
      <c r="A2">
        <v>1</v>
      </c>
      <c r="B2" t="s">
        <v>269</v>
      </c>
      <c r="C2" t="s">
        <v>285</v>
      </c>
    </row>
    <row r="3" spans="1:3" x14ac:dyDescent="0.3">
      <c r="A3">
        <v>2</v>
      </c>
      <c r="B3" t="s">
        <v>270</v>
      </c>
      <c r="C3" t="s">
        <v>285</v>
      </c>
    </row>
    <row r="4" spans="1:3" x14ac:dyDescent="0.3">
      <c r="A4">
        <v>3</v>
      </c>
      <c r="B4" t="s">
        <v>271</v>
      </c>
    </row>
    <row r="5" spans="1:3" x14ac:dyDescent="0.3">
      <c r="A5">
        <v>4</v>
      </c>
      <c r="B5" t="s">
        <v>272</v>
      </c>
    </row>
    <row r="6" spans="1:3" x14ac:dyDescent="0.3">
      <c r="A6">
        <v>5</v>
      </c>
      <c r="B6" t="s">
        <v>273</v>
      </c>
    </row>
    <row r="7" spans="1:3" x14ac:dyDescent="0.3">
      <c r="A7">
        <v>6</v>
      </c>
      <c r="B7" t="s">
        <v>274</v>
      </c>
    </row>
    <row r="8" spans="1:3" x14ac:dyDescent="0.3">
      <c r="A8">
        <v>7</v>
      </c>
      <c r="B8" t="s">
        <v>275</v>
      </c>
    </row>
    <row r="9" spans="1:3" x14ac:dyDescent="0.3">
      <c r="A9">
        <v>8</v>
      </c>
      <c r="B9" t="s">
        <v>276</v>
      </c>
    </row>
    <row r="10" spans="1:3" x14ac:dyDescent="0.3">
      <c r="A10">
        <v>9</v>
      </c>
      <c r="B10" t="s">
        <v>286</v>
      </c>
    </row>
    <row r="11" spans="1:3" x14ac:dyDescent="0.3">
      <c r="A11">
        <v>10</v>
      </c>
      <c r="B11" t="s">
        <v>287</v>
      </c>
    </row>
    <row r="12" spans="1:3" x14ac:dyDescent="0.3">
      <c r="A12">
        <v>11</v>
      </c>
      <c r="B12" t="s">
        <v>281</v>
      </c>
    </row>
    <row r="13" spans="1:3" x14ac:dyDescent="0.3">
      <c r="A13">
        <v>12</v>
      </c>
      <c r="B13" t="s">
        <v>282</v>
      </c>
    </row>
    <row r="14" spans="1:3" x14ac:dyDescent="0.3">
      <c r="A14">
        <v>13</v>
      </c>
      <c r="B14" t="s">
        <v>288</v>
      </c>
    </row>
    <row r="15" spans="1:3" x14ac:dyDescent="0.3">
      <c r="A15">
        <v>14</v>
      </c>
      <c r="B15" t="s">
        <v>284</v>
      </c>
    </row>
    <row r="16" spans="1:3" x14ac:dyDescent="0.3">
      <c r="A16">
        <v>15</v>
      </c>
      <c r="B16" t="s">
        <v>291</v>
      </c>
    </row>
    <row r="17" spans="1:2" x14ac:dyDescent="0.3">
      <c r="A17">
        <v>16</v>
      </c>
      <c r="B17" t="s">
        <v>319</v>
      </c>
    </row>
    <row r="18" spans="1:2" x14ac:dyDescent="0.3">
      <c r="A18">
        <v>17</v>
      </c>
      <c r="B18" t="s">
        <v>336</v>
      </c>
    </row>
    <row r="19" spans="1:2" x14ac:dyDescent="0.3">
      <c r="A19">
        <v>18</v>
      </c>
      <c r="B19" t="s">
        <v>337</v>
      </c>
    </row>
    <row r="20" spans="1:2" x14ac:dyDescent="0.3">
      <c r="A20">
        <v>19</v>
      </c>
      <c r="B20" t="s">
        <v>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9"/>
  <sheetViews>
    <sheetView workbookViewId="0">
      <selection activeCell="C10" sqref="C10"/>
    </sheetView>
  </sheetViews>
  <sheetFormatPr defaultRowHeight="14.4" x14ac:dyDescent="0.3"/>
  <cols>
    <col min="3" max="3" width="13.44140625" customWidth="1"/>
    <col min="4" max="4" width="7.88671875" bestFit="1" customWidth="1"/>
    <col min="5" max="5" width="8.33203125" bestFit="1" customWidth="1"/>
    <col min="6" max="6" width="8.6640625" bestFit="1" customWidth="1"/>
    <col min="7" max="7" width="9.109375" bestFit="1" customWidth="1"/>
  </cols>
  <sheetData>
    <row r="2" spans="2:4" x14ac:dyDescent="0.3">
      <c r="B2" s="297" t="s">
        <v>324</v>
      </c>
      <c r="C2" s="297"/>
    </row>
    <row r="3" spans="2:4" x14ac:dyDescent="0.3">
      <c r="B3" s="94" t="s">
        <v>189</v>
      </c>
      <c r="C3" s="59" t="s">
        <v>65</v>
      </c>
    </row>
    <row r="4" spans="2:4" x14ac:dyDescent="0.3">
      <c r="B4" s="2" t="s">
        <v>325</v>
      </c>
      <c r="C4" s="2">
        <v>5000</v>
      </c>
    </row>
    <row r="5" spans="2:4" x14ac:dyDescent="0.3">
      <c r="B5" s="2" t="s">
        <v>326</v>
      </c>
      <c r="C5" s="2">
        <v>5000</v>
      </c>
    </row>
    <row r="6" spans="2:4" x14ac:dyDescent="0.3">
      <c r="B6" s="2" t="s">
        <v>327</v>
      </c>
      <c r="C6" s="2">
        <v>5000</v>
      </c>
    </row>
    <row r="7" spans="2:4" x14ac:dyDescent="0.3">
      <c r="B7" s="2" t="s">
        <v>328</v>
      </c>
      <c r="C7" s="2">
        <v>5000</v>
      </c>
    </row>
    <row r="8" spans="2:4" ht="15" thickBot="1" x14ac:dyDescent="0.35">
      <c r="B8" s="25" t="s">
        <v>330</v>
      </c>
      <c r="C8" s="25">
        <v>5000</v>
      </c>
    </row>
    <row r="9" spans="2:4" ht="15" thickBot="1" x14ac:dyDescent="0.35">
      <c r="B9" s="95" t="s">
        <v>9</v>
      </c>
      <c r="C9" s="96">
        <f>SUM(C4:C8)</f>
        <v>25000</v>
      </c>
      <c r="D9" t="s">
        <v>429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Balance Sheet</vt:lpstr>
      <vt:lpstr>I&amp;E</vt:lpstr>
      <vt:lpstr>FD Schedule</vt:lpstr>
      <vt:lpstr>Fixed Assets</vt:lpstr>
      <vt:lpstr>Members Dues n Advances</vt:lpstr>
      <vt:lpstr>Vendors - Paya. &amp; Adv.</vt:lpstr>
      <vt:lpstr>BRS</vt:lpstr>
      <vt:lpstr>Meeting on 11th July 2020</vt:lpstr>
      <vt:lpstr>Worksheet</vt:lpstr>
      <vt:lpstr>Note</vt:lpstr>
      <vt:lpstr>Refundable Deposit</vt:lpstr>
      <vt:lpstr>'Balance Sheet'!Print_Area</vt:lpstr>
      <vt:lpstr>'FD Schedule'!Print_Area</vt:lpstr>
      <vt:lpstr>'Fixed Assets'!Print_Area</vt:lpstr>
      <vt:lpstr>'I&amp;E'!Print_Area</vt:lpstr>
      <vt:lpstr>'Members Dues n Advances'!Print_Area</vt:lpstr>
      <vt:lpstr>'Vendors - Paya. &amp; Adv.'!Print_Area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Rosario</dc:creator>
  <cp:lastModifiedBy>bharatboridkar@gmail.com</cp:lastModifiedBy>
  <cp:lastPrinted>2026-09-15T10:55:37Z</cp:lastPrinted>
  <dcterms:created xsi:type="dcterms:W3CDTF">2016-05-15T10:19:20Z</dcterms:created>
  <dcterms:modified xsi:type="dcterms:W3CDTF">2026-09-15T11:36:34Z</dcterms:modified>
</cp:coreProperties>
</file>