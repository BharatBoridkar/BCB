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BHARAT\2025-2026\BCB\AMS\026-Oasis-CHS\"/>
    </mc:Choice>
  </mc:AlternateContent>
  <xr:revisionPtr revIDLastSave="0" documentId="13_ncr:1_{BFAC3D6B-3846-4086-A594-0D715BE292C0}" xr6:coauthVersionLast="47" xr6:coauthVersionMax="47" xr10:uidLastSave="{00000000-0000-0000-0000-000000000000}"/>
  <bookViews>
    <workbookView xWindow="-108" yWindow="-108" windowWidth="23256" windowHeight="12456" tabRatio="500" activeTab="5" xr2:uid="{00000000-000D-0000-FFFF-FFFF00000000}"/>
  </bookViews>
  <sheets>
    <sheet name="TIT" sheetId="1" r:id="rId1"/>
    <sheet name="FirstPage" sheetId="2" r:id="rId2"/>
    <sheet name="Sheet1" sheetId="3" r:id="rId3"/>
    <sheet name="AR" sheetId="4" r:id="rId4"/>
    <sheet name="SCHAR" sheetId="5" r:id="rId5"/>
    <sheet name="GR" sheetId="6" r:id="rId6"/>
    <sheet name="F-1" sheetId="7" r:id="rId7"/>
    <sheet name="F-28" sheetId="8" r:id="rId8"/>
    <sheet name="SCH" sheetId="9" r:id="rId9"/>
    <sheet name="Meeting" sheetId="10" r:id="rId10"/>
    <sheet name="X-Check" sheetId="11" r:id="rId1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29" i="11" l="1"/>
  <c r="E30" i="11" s="1"/>
  <c r="E28" i="11"/>
  <c r="E27" i="11"/>
  <c r="E26" i="11"/>
  <c r="E25" i="11"/>
  <c r="E24" i="11"/>
  <c r="E23" i="11"/>
  <c r="E22" i="11"/>
  <c r="E21" i="11"/>
  <c r="E20" i="11"/>
  <c r="E19" i="11"/>
  <c r="E18" i="11"/>
  <c r="E17" i="11"/>
  <c r="E16" i="11"/>
  <c r="E15" i="11"/>
  <c r="E14" i="11"/>
  <c r="E13" i="11"/>
  <c r="E12" i="11"/>
  <c r="E11" i="11"/>
  <c r="E10" i="11"/>
  <c r="E9" i="11"/>
  <c r="E8" i="11"/>
  <c r="E7" i="11"/>
  <c r="E6" i="11"/>
  <c r="E5" i="11"/>
  <c r="E4" i="11"/>
  <c r="F353" i="6"/>
  <c r="H352" i="6"/>
  <c r="G351" i="6"/>
  <c r="G353" i="6" s="1"/>
  <c r="F351" i="6"/>
  <c r="H350" i="6"/>
  <c r="I350" i="6" s="1"/>
  <c r="H349" i="6"/>
  <c r="I349" i="6" s="1"/>
  <c r="H348" i="6"/>
  <c r="I348" i="6" s="1"/>
  <c r="I347" i="6"/>
  <c r="H347" i="6"/>
  <c r="H346" i="6"/>
  <c r="I346" i="6" s="1"/>
  <c r="H345" i="6"/>
  <c r="I345" i="6" s="1"/>
  <c r="H344" i="6"/>
  <c r="I344" i="6" s="1"/>
  <c r="I343" i="6"/>
  <c r="H343" i="6"/>
  <c r="H342" i="6"/>
  <c r="I342" i="6" s="1"/>
  <c r="I341" i="6"/>
  <c r="H341" i="6"/>
  <c r="I340" i="6"/>
  <c r="H340" i="6"/>
  <c r="I339" i="6"/>
  <c r="H339" i="6"/>
  <c r="H337" i="6"/>
  <c r="I337" i="6" s="1"/>
  <c r="H336" i="6"/>
  <c r="I336" i="6" s="1"/>
  <c r="H335" i="6"/>
  <c r="I335" i="6" s="1"/>
  <c r="I334" i="6"/>
  <c r="H334" i="6"/>
  <c r="H332" i="6"/>
  <c r="I332" i="6" s="1"/>
  <c r="I331" i="6"/>
  <c r="H331" i="6"/>
  <c r="H330" i="6"/>
  <c r="I330" i="6" s="1"/>
  <c r="I329" i="6"/>
  <c r="H329" i="6"/>
  <c r="H328" i="6"/>
  <c r="I328" i="6" s="1"/>
  <c r="H327" i="6"/>
  <c r="I327" i="6" s="1"/>
  <c r="H326" i="6"/>
  <c r="I326" i="6" s="1"/>
  <c r="I325" i="6"/>
  <c r="H325" i="6"/>
  <c r="H323" i="6"/>
  <c r="I323" i="6" s="1"/>
  <c r="H322" i="6"/>
  <c r="I322" i="6" s="1"/>
  <c r="H321" i="6"/>
  <c r="I321" i="6" s="1"/>
  <c r="I320" i="6"/>
  <c r="H320" i="6"/>
  <c r="G317" i="6"/>
  <c r="F317" i="6"/>
  <c r="H317" i="6" s="1"/>
  <c r="I317" i="6" s="1"/>
  <c r="I316" i="6"/>
  <c r="H316" i="6"/>
  <c r="I315" i="6"/>
  <c r="H315" i="6"/>
  <c r="I314" i="6"/>
  <c r="H314" i="6"/>
  <c r="H297" i="6"/>
  <c r="G277" i="6"/>
  <c r="F277" i="6"/>
  <c r="H277" i="6" s="1"/>
  <c r="H276" i="6"/>
  <c r="H275" i="6"/>
  <c r="H274" i="6"/>
  <c r="H273" i="6"/>
  <c r="H272" i="6"/>
  <c r="H271" i="6"/>
  <c r="H270" i="6"/>
  <c r="H269" i="6"/>
  <c r="H268" i="6"/>
  <c r="H267" i="6"/>
  <c r="H266" i="6"/>
  <c r="H265" i="6"/>
  <c r="H264" i="6"/>
  <c r="G255" i="6"/>
  <c r="F255" i="6"/>
  <c r="H255" i="6" s="1"/>
  <c r="H254" i="6"/>
  <c r="H253" i="6"/>
  <c r="H252" i="6"/>
  <c r="H251" i="6"/>
  <c r="H250" i="6"/>
  <c r="G240" i="6"/>
  <c r="F240" i="6"/>
  <c r="H240" i="6" s="1"/>
  <c r="H239" i="6"/>
  <c r="H238" i="6"/>
  <c r="H237" i="6"/>
  <c r="G237" i="6"/>
  <c r="F237" i="6"/>
  <c r="H236" i="6"/>
  <c r="H235" i="6"/>
  <c r="H234" i="6"/>
  <c r="H233" i="6"/>
  <c r="H232" i="6"/>
  <c r="H231" i="6"/>
  <c r="G223" i="6"/>
  <c r="F223" i="6"/>
  <c r="H222" i="6"/>
  <c r="H221" i="6"/>
  <c r="G207" i="6"/>
  <c r="F207" i="6"/>
  <c r="H206" i="6"/>
  <c r="H205" i="6"/>
  <c r="G201" i="6"/>
  <c r="F201" i="6"/>
  <c r="H200" i="6"/>
  <c r="H199" i="6"/>
  <c r="G191" i="6"/>
  <c r="H191" i="6" s="1"/>
  <c r="F191" i="6"/>
  <c r="H190" i="6"/>
  <c r="H189" i="6"/>
  <c r="H188" i="6"/>
  <c r="H187" i="6"/>
  <c r="H186" i="6"/>
  <c r="H185" i="6"/>
  <c r="H184" i="6"/>
  <c r="H183" i="6"/>
  <c r="H182" i="6"/>
  <c r="H181" i="6"/>
  <c r="H180" i="6"/>
  <c r="H179" i="6"/>
  <c r="H178" i="6"/>
  <c r="H177" i="6"/>
  <c r="H176" i="6"/>
  <c r="H175" i="6"/>
  <c r="G166" i="6"/>
  <c r="F166" i="6"/>
  <c r="H165" i="6"/>
  <c r="H164" i="6"/>
  <c r="H163" i="6"/>
  <c r="H162" i="6"/>
  <c r="H161" i="6"/>
  <c r="H160" i="6"/>
  <c r="H166" i="6" s="1"/>
  <c r="G145" i="6"/>
  <c r="F145" i="6"/>
  <c r="H145" i="6" s="1"/>
  <c r="H144" i="6"/>
  <c r="H143" i="6"/>
  <c r="H142" i="6"/>
  <c r="H141" i="6"/>
  <c r="H140" i="6"/>
  <c r="H139" i="6"/>
  <c r="H138" i="6"/>
  <c r="G135" i="6"/>
  <c r="F135" i="6"/>
  <c r="H135" i="6" s="1"/>
  <c r="H134" i="6"/>
  <c r="H133" i="6"/>
  <c r="H132" i="6"/>
  <c r="H131" i="6"/>
  <c r="H130" i="6"/>
  <c r="H129" i="6"/>
  <c r="H128" i="6"/>
  <c r="F48" i="6"/>
  <c r="H353" i="6" l="1"/>
  <c r="H351" i="6"/>
  <c r="I351" i="6" s="1"/>
</calcChain>
</file>

<file path=xl/sharedStrings.xml><?xml version="1.0" encoding="utf-8"?>
<sst xmlns="http://schemas.openxmlformats.org/spreadsheetml/2006/main" count="1856" uniqueCount="1106">
  <si>
    <t>AUDIT REPORT - PARTICULARS OF THE SOCIETY : F.Y. 2025-2026</t>
  </si>
  <si>
    <t>Name</t>
  </si>
  <si>
    <t>OASIS CO-OPERATIVE HOUSING SOCIETY LTD.</t>
  </si>
  <si>
    <t>Registration No.</t>
  </si>
  <si>
    <t>BOM/WP/HSG/TC/1721/1985-86</t>
  </si>
  <si>
    <t>Date of Registration</t>
  </si>
  <si>
    <t>16-Jan-1996</t>
  </si>
  <si>
    <t>Area of operation</t>
  </si>
  <si>
    <t>As Per Bye-Law</t>
  </si>
  <si>
    <t>Address</t>
  </si>
  <si>
    <t>CTS. No. 302(Part) at Village Valnai, Plot No. 3,4, Mith Chowki, Marve Road, Malad - West, Mumbai - 400064</t>
  </si>
  <si>
    <t>Accounting Year</t>
  </si>
  <si>
    <t>from</t>
  </si>
  <si>
    <t>1st April, 2025</t>
  </si>
  <si>
    <t>to</t>
  </si>
  <si>
    <t>31st March, 2026</t>
  </si>
  <si>
    <t>Auditor</t>
  </si>
  <si>
    <t>Shri. Bharat C. Boridkar</t>
  </si>
  <si>
    <t>Panel No.</t>
  </si>
  <si>
    <t>Mumbai-4/C1/1011404</t>
  </si>
  <si>
    <t>Boridkar House, Pandurang Bhoir Road, Dahisar - West, Mumbai - 400 068</t>
  </si>
  <si>
    <t>DDR Order Generated</t>
  </si>
  <si>
    <t>[TO BE CONFIRMED BY THE SOCIETY]</t>
  </si>
  <si>
    <t>Place &amp; Date of Report</t>
  </si>
  <si>
    <t>Mumbai, 12-Sep-2026</t>
  </si>
  <si>
    <t>Sr. No. of the audit memo</t>
  </si>
  <si>
    <t>N.A.</t>
  </si>
  <si>
    <t>Date of commencement</t>
  </si>
  <si>
    <t>02-Sep-2026</t>
  </si>
  <si>
    <t>Date of completion</t>
  </si>
  <si>
    <t>11-Sep-2026</t>
  </si>
  <si>
    <t>Audit memo submitted</t>
  </si>
  <si>
    <t>Annual General Meeting</t>
  </si>
  <si>
    <t>28-Sep-2025</t>
  </si>
  <si>
    <t>Special General Meeting</t>
  </si>
  <si>
    <t>Nil</t>
  </si>
  <si>
    <t>M C Meetings</t>
  </si>
  <si>
    <t>12</t>
  </si>
  <si>
    <t>Rectification of Reports</t>
  </si>
  <si>
    <t>Previous year report - [TO BE CONFIRMED BY THE SOCIETY]</t>
  </si>
  <si>
    <t>Date of submission</t>
  </si>
  <si>
    <t>Audit Fees</t>
  </si>
  <si>
    <t>Amt</t>
  </si>
  <si>
    <t>Rs. 2,500/-</t>
  </si>
  <si>
    <t>Period</t>
  </si>
  <si>
    <t>01/04/2024 to 31/03/2025</t>
  </si>
  <si>
    <t>Paid on</t>
  </si>
  <si>
    <t>Not paid - Rs. 10,000/- outstanding as at 31.03.2026</t>
  </si>
  <si>
    <t>Secretary</t>
  </si>
  <si>
    <t>Pay drawn</t>
  </si>
  <si>
    <t>Cash verification</t>
  </si>
  <si>
    <t>Rs. 7,902/- as per books (cash not physically counted)</t>
  </si>
  <si>
    <t>Date</t>
  </si>
  <si>
    <t>Not applicable - cash not counted</t>
  </si>
  <si>
    <t>Audit Classification awarded</t>
  </si>
  <si>
    <t>"B"</t>
  </si>
  <si>
    <t>Transfer / Transmission of shares during the year</t>
  </si>
  <si>
    <t>Details of transfers / transmissions effected during F.Y. 2025-26 have not been furnished by the Management. [TO BE CONFIRMED BY THE SOCIETY]</t>
  </si>
  <si>
    <t>STATUTORY AUDIT REPORT</t>
  </si>
  <si>
    <t>FOR THE FINANCIAL YEAR 2025 - 2026</t>
  </si>
  <si>
    <t>(Year ended 31st March, 2026)</t>
  </si>
  <si>
    <t>STATEMENT OF AUDIT REPORTS &amp; ACCOUNTS STATEMENTS FOR THE YEAR ENDED 31ST MARCH, 2026</t>
  </si>
  <si>
    <t>AUDIT CLASSIFICATION :  "B"</t>
  </si>
  <si>
    <t>══════════════════════════════════════════════════════════════════════════════════════════</t>
  </si>
  <si>
    <t>Govt. Certified Panel Auditor</t>
  </si>
  <si>
    <t>COPY FOR SOCIETY        |        COPY FOR REGISTRAR        |        COPY FOR AUDITOR</t>
  </si>
  <si>
    <t>Boridkar House, Pandurang Bhoir Road, Dahisar - West, Mumbai - 400 068,  Mob. 9769556665</t>
  </si>
  <si>
    <t>Date : 12-Sep-2026</t>
  </si>
  <si>
    <t>To,</t>
  </si>
  <si>
    <t>The Chairman, Members</t>
  </si>
  <si>
    <t>Sub :- Statutory audit of your society for the Financial Year ending on 31-Mar-2026</t>
  </si>
  <si>
    <t>Enclosed please find 3 [Three only] sets of duly audited, signed and sealed report comprising Audit Report in Form N-2, Form-1 along with Schedules 1 to 6, Form-28, General Remarks, Balance Sheet, Income and Expenditure Account along with Schedules forming an integral part of the same, for the Financial Year ended on 31-Mar-2026, for the record of the Society.</t>
  </si>
  <si>
    <t>It is advised that one set be submitted to The Dy. Registrar, Co-Operative Societies, P Ward, 2nd Floor, C Wing, Municipal Godown Bldg., Nr. St. Lawrence School, 90 Feet Road, Sanskruti Complex, Kandivali East, Mumbai - 400101 under the Society's covering letter at your earliest.</t>
  </si>
  <si>
    <t>You are requested to upload the mandatory returns as prescribed u/s 79 of the MCS Act, i.e. 1] Annual Report of Activities, 2] Abridged Audit Report, 3] Balance Sheet, 4] Income and Expenditure Account, 5] Plan for Surplus Distribution, 6] List of Amendments to Bye-Laws, if any, 7] Date of holding AGBM and Election, and 8] Name of Auditor for the year ended 31-03-2026, and Return Consent on "www.mahasahakar.maharashtra.gov.in" within the time prescribed.</t>
  </si>
  <si>
    <t>Your attention is specifically drawn to the fact that the Society has earned a Surplus (Excess of Income over Expenditure) of Rs. 2,89,125/- for the year under audit, as against a Deficit of Rs. 41,173/- in the preceding year. The appropriation of the said surplus, including the statutory transfer to the Reserve Fund, is required to be placed before and approved by the General Body. Please refer to General Remarks (Part-C), Observation No. 1.</t>
  </si>
  <si>
    <t>I am also enclosing the Invoice for audit fees with a request to settle the same at your earliest. It is noted that audit fees aggregating Rs. 10,000/- remain outstanding as at 31st March, 2026.</t>
  </si>
  <si>
    <t>Please note that the Audit Rectification Report in Form 'O', duly approved by the Managing Committee, is to be submitted to the Registering Authority within the time permitted, i.e. 3 months from the date of the audit report, under section 82 of the MCS Act, 1960 read with Rule 73. Please ensure that an authenticated copy of the same, along with a soft copy, is provided to me for my comments thereon and for uploading thereafter on "www.mahasahakar.maharashtra.gov.in".</t>
  </si>
  <si>
    <t>In case any further information is required, please feel free to contact me at your convenience.</t>
  </si>
  <si>
    <t>Inconvenience, if any, is regretted.</t>
  </si>
  <si>
    <t>Thanks a lot.</t>
  </si>
  <si>
    <t>Yours faithfully,</t>
  </si>
  <si>
    <t>Co-op. Soc. Empanelment Number : A-2 / 13395</t>
  </si>
  <si>
    <t>Co-op. Soc. Empanelment Number : Mumbai-4/C1/1011404</t>
  </si>
  <si>
    <t>Encl:</t>
  </si>
  <si>
    <t>1] 3 [three only] sets as above</t>
  </si>
  <si>
    <t>2] Original Invoice of Audit Fees</t>
  </si>
  <si>
    <t>INDEPENDENT AUDITOR'S REPORT</t>
  </si>
  <si>
    <t>[As prescribed under section 81 of the Maharashtra Co-operative Societies Act, 1960 and Rule 69(3) of the Maharashtra Co-operative Societies Rules, 1961]</t>
  </si>
  <si>
    <t>Report on the Financial Statements as a Statutory Auditor</t>
  </si>
  <si>
    <t>1.</t>
  </si>
  <si>
    <t>We have audited the accompanying financial statements of OASIS CO-OPERATIVE HOUSING SOCIETY LTD., which comprise the Balance Sheet as at 31st MARCH, 2026 and the Statement of Income and Expenditure for the year ended on that date, and a summary of significant accounting policies and other explanatory information incorporated in these financial statements of the Society audited by us for the period 1st April 2025 to 31st March 2026.</t>
  </si>
  <si>
    <t>Management's Responsibility for the Financial Statements</t>
  </si>
  <si>
    <t>2.</t>
  </si>
  <si>
    <t>Management is responsible for the preparation of these financial statements that give a true and fair view of the financial position and financial performance of the Society in accordance with the accounting principles generally accepted in India, the Maharashtra Co-operative Societies Act, 1960 and the Rules thereunder. This responsibility includes maintenance of adequate accounting records in accordance with the provisions of the Act for safeguarding the assets of the Society and for preventing and detecting frauds and other irregularities; selection and application of appropriate accounting policies; making judgments and estimates that are reasonable and prudent; and design, implementation and maintenance of adequate internal financial controls, that were operating effectively for ensuring the accuracy and completeness of the accounting records, relevant to the preparation and presentation of the financial statements that give a true and fair view and are free from material misstatement, whether due to fraud or error.</t>
  </si>
  <si>
    <t>Auditor's Responsibility</t>
  </si>
  <si>
    <t>3.</t>
  </si>
  <si>
    <t>Our responsibility is to express an opinion on these financial statements based on our audit. We have taken into account the provisions of the Act, the accounting and auditing standards and matters which are required to be included in the audit report under the provisions of the Act and the Rules made thereunder. We have conducted our audit in accordance with the applicable standards issued by the Institute of Chartered Accountants of India and under the Maharashtra Co-operative Societies Act, 1960. Those standards require that we comply with ethical requirements and plan and perform the audit to obtain reasonable assurance about whether the financial statements are free from material misstatement.</t>
  </si>
  <si>
    <t>4.</t>
  </si>
  <si>
    <t>An audit involves performing procedures to obtain audit evidence about the amounts and disclosures in the financial statements. The procedures selected depend on the auditor's judgment, including the assessment of the risks of material misstatement of the financial statements, whether due to fraud or error. In making those risk assessments, the auditor considers internal control relevant to the Society's preparation and fair presentation of the financial statements in order to design audit procedures that are appropriate in the circumstances, but not for the purpose of expressing an opinion on the effectiveness of the Society's internal control. An audit also includes evaluating the appropriateness of accounting policies used and the reasonableness of the accounting estimates made by management, as well as evaluating the overall presentation of the financial statements.</t>
  </si>
  <si>
    <t>5.</t>
  </si>
  <si>
    <t>We believe that the audit evidence we have obtained is sufficient and appropriate to provide a basis for our audit opinion on the financial statements.</t>
  </si>
  <si>
    <t>Basis for Qualified Opinion</t>
  </si>
  <si>
    <t>6.</t>
  </si>
  <si>
    <t>We draw attention to the following matters, which are more fully described in the General Remarks (Part-C) forming part of this report :</t>
  </si>
  <si>
    <t>(a) Dues recoverable from members aggregate Rs. 20,97,862/-, of which Rs. 20,85,082/- (99.39%) is recoverable from Flat No. 404 and has remained outstanding since April 2018. No proceedings for recovery have been produced for our verification and no provision for doubtful recovery has been made in the accounts.</t>
  </si>
  <si>
    <t>(b) Advances to vendors aggregating Rs. 11,05,887/- (previous year Rs. 7,55,767/-) include balances of Rs. 5,09,386/- and Rs. 51,911/- outstanding for more than two years. Balance confirmations from the parties were not made available to us and we are unable to comment on the recoverability of these balances or on whether any part thereof represents expenditure required to be charged to revenue.</t>
  </si>
  <si>
    <t>(c) An amount of Rs. 32,600/- being income-tax refund for A.Y. 2019-20, and a write-off of Rs. 1,853/-, have been adjusted directly against the accumulated balance of the Income and Expenditure Account instead of being routed through the Income and Expenditure Account as prior period items.</t>
  </si>
  <si>
    <t>(d) The Society has earned a surplus of Rs. 2,89,125/- during the year under audit. No amount has been carried to the Reserve Fund out of the said surplus, as against Rs. 72,281/- being one-fourth thereof.</t>
  </si>
  <si>
    <t>Qualified Opinion</t>
  </si>
  <si>
    <t>7.</t>
  </si>
  <si>
    <t>In our opinion and to the best of our information and according to the explanations given to us, except for the possible effects of the matters described in the Basis for Qualified Opinion paragraph above, the said financial statements together with the notes thereon give the information required as per the Maharashtra Co-operative Societies Act, 1960 and the Maharashtra Co-operative Societies Rules, 1961, and any other applicable Acts and/or circulars issued by the Registrar, in the manner so required and give a true and fair view in conformity with the accounting principles generally accepted in India :</t>
  </si>
  <si>
    <t>i.</t>
  </si>
  <si>
    <t>In the case of the Balance Sheet, of the state of affairs of the Society as at 31st MARCH, 2026; and</t>
  </si>
  <si>
    <t>ii.</t>
  </si>
  <si>
    <t>In the case of the Statement of Income and Expenditure, of the Excess of Income over Expenditure of the Society for the year ended on that date.</t>
  </si>
  <si>
    <t>Report on Other Legal and Regulatory Matters</t>
  </si>
  <si>
    <t>As required by the Maharashtra Co-operative Societies Act, 1960 and the Rules made thereunder, and in terms of Circular No. 976/2014 dated 28/10/2014, we give in Parts A, B &amp; C a statement on the matters specified in the said parts to the extent applicable.</t>
  </si>
  <si>
    <t>8.</t>
  </si>
  <si>
    <t>The Balance Sheet and Income and Expenditure Account have been drawn up in accordance with the provisions of the Maharashtra Co-operative Societies Act, 1960.</t>
  </si>
  <si>
    <t>9.</t>
  </si>
  <si>
    <t>We report that :</t>
  </si>
  <si>
    <t>(a)</t>
  </si>
  <si>
    <t>We have obtained all the information and explanations which to the best of our knowledge and belief were necessary for the purpose of our audit, except for the balance confirmations and supporting records referred to in the Basis for Qualified Opinion paragraph and in the General Remarks.</t>
  </si>
  <si>
    <t>(b)</t>
  </si>
  <si>
    <t>The transactions of the Society which have come to our notice have been within the powers of the Society, except that the unsecured loan accepted from a member of the Managing Committee (balance Rs. 15,656/- as at 31.03.2026) was not supported by any sanction or approval produced for our verification.</t>
  </si>
  <si>
    <t>(c)</t>
  </si>
  <si>
    <t>The returns received from the office of the Society have been found adequate for the purposes of our audit.</t>
  </si>
  <si>
    <t>10.</t>
  </si>
  <si>
    <t>In our opinion, the Balance Sheet, Income and Expenditure Account comply with the applicable Accounting Standards to the extent applicable to the Society.</t>
  </si>
  <si>
    <t>11.</t>
  </si>
  <si>
    <t>We further report that :</t>
  </si>
  <si>
    <t>The Balance Sheet and Income and Expenditure Account dealt with by this report are in agreement with the books of account and the returns, and, subject to our Qualified Opinion above, give a true and fair view of the state of affairs.</t>
  </si>
  <si>
    <t>In our opinion, proper books of account as required by law have been kept by the Society so far as appears from our examination of those books.</t>
  </si>
  <si>
    <t>Audit Classification :-</t>
  </si>
  <si>
    <t>The Society has been awarded "B" Audit Classification for the Co-operative financial year 2025-2026.</t>
  </si>
  <si>
    <t>Place : Mumbai</t>
  </si>
  <si>
    <t>Period :- 01.04.2025 To 31.03.2026</t>
  </si>
  <si>
    <t>Schedules attached to and forming part of the Audit Report dated 12-Sep-2026</t>
  </si>
  <si>
    <t>Statutory Report as required u/s 81(2)</t>
  </si>
  <si>
    <t>SCHEDULE - I</t>
  </si>
  <si>
    <t>Transactions involving infringement of the provisions of the Act, the Rules &amp; the Bye-laws</t>
  </si>
  <si>
    <t>- Refer to Form No. 1, General Remarks (Part-A) item 7 and General Remarks (Part-C).</t>
  </si>
  <si>
    <t>SCHEDULE - II</t>
  </si>
  <si>
    <t>Particulars of sums which ought to have been but have not been brought into account.</t>
  </si>
  <si>
    <t>1. Transfer to Reserve Fund out of the surplus for the year - Rs. 72,281/- being one-fourth of the surplus of Rs. 2,89,125/-, required to be carried to the Reserve Fund under Section 66(2) of the MCS Act, 1960, has not been provided for in the accounts (appropriation being subject to approval of the General Body under Section 65).</t>
  </si>
  <si>
    <t>2. Prior period items aggregating Rs. 30,747/- (net) - viz. income-tax refund of Rs. 32,600/- for A.Y. 2019-20 and write-off of Rs. 1,853/- - have been adjusted directly against the accumulated balance of the Income and Expenditure Account and have not been brought into the Income and Expenditure Account for the year.</t>
  </si>
  <si>
    <t>3. Save as aforesaid - NIL</t>
  </si>
  <si>
    <t>SCHEDULE - III</t>
  </si>
  <si>
    <t>Improper &amp; Irregular payments.</t>
  </si>
  <si>
    <t>- Refer to General Remarks (Part-C). Attention is drawn in particular to payments carried as 'Advance to Vendors' aggregating Rs. 11,05,887/- in respect of which bills, completion certificates and confirmations were not produced for verification.</t>
  </si>
  <si>
    <t>SCHEDULE - III-A</t>
  </si>
  <si>
    <t>Irregularities in the realisation of money</t>
  </si>
  <si>
    <t>- Dues of Rs. 20,85,082/- recoverable from Flat No. 404, outstanding since April 2018, have not been realised and no recovery proceedings have been produced for verification. Refer to General Remarks (Part-A) item 10 and (Part-C) item 4.</t>
  </si>
  <si>
    <t>SCHEDULE - IV</t>
  </si>
  <si>
    <t>List of doubtful &amp; bad debts</t>
  </si>
  <si>
    <t>- Dues from Flat No. 404 - Rs. 20,85,082/-, outstanding since April 2018. Of this, late payment interest of Rs. 11,26,244/- has been credited to 'Unrealised Member's Dues' and is therefore not recognised as income. The balance of Rs. 9,58,838/- representing principal dues is considered doubtful of recovery in the absence of recovery proceedings. No provision has been made in the accounts.</t>
  </si>
  <si>
    <t>- Save as aforesaid - NIL</t>
  </si>
  <si>
    <t>SCHEDULE - V</t>
  </si>
  <si>
    <t>List of the movable &amp; immovable properties &amp; other assets considered doubtful of realisation</t>
  </si>
  <si>
    <t>- Advance to Vendors : Falcon Enterprises Rs. 5,09,386/- and Pinnacle Enterprises Rs. 51,911/-, each carried unchanged for more than two years and unconfirmed, are considered doubtful of realisation pending confirmation and reconciliation.</t>
  </si>
  <si>
    <t>- Unidentified Credits Rs. 25,486/- (Schedule VII to the accounts) dated 17.05.2024 remain unidentified as at 31.03.2026.</t>
  </si>
  <si>
    <t>SCHEDULE - VI</t>
  </si>
  <si>
    <t>Personal Expenditure debited to revenue</t>
  </si>
  <si>
    <t>- NIL. During the year under audit, we have not found any instance of personal expenditure debited to the Income and Expenditure Account.</t>
  </si>
  <si>
    <t>[Panel No.: Mumbai-4/C1/1011404]</t>
  </si>
  <si>
    <t>General Remarks and Observations attached to and forming part of the audit report dated 12-Sep-2026</t>
  </si>
  <si>
    <t>1</t>
  </si>
  <si>
    <t>Name of the society</t>
  </si>
  <si>
    <t>:-</t>
  </si>
  <si>
    <t>2</t>
  </si>
  <si>
    <t>Registered Address</t>
  </si>
  <si>
    <t>3</t>
  </si>
  <si>
    <t>Reg. No. &amp; date</t>
  </si>
  <si>
    <t>BOM/WP/HSG/TC/1721/1985-86  dated 16-Jan-1996</t>
  </si>
  <si>
    <t>4</t>
  </si>
  <si>
    <t>Period of audit</t>
  </si>
  <si>
    <t>01-Apr-2025 To 31-Mar-2026</t>
  </si>
  <si>
    <t>5</t>
  </si>
  <si>
    <t>Audit classification</t>
  </si>
  <si>
    <t>GENERAL REMARKS  (PART-A)</t>
  </si>
  <si>
    <t>The following are the major discrepancies found during the audit.</t>
  </si>
  <si>
    <t>Sr no</t>
  </si>
  <si>
    <t>Particulars</t>
  </si>
  <si>
    <t>Instances / Examples which require reporting</t>
  </si>
  <si>
    <t>Auditor's remarks</t>
  </si>
  <si>
    <t>Fraud</t>
  </si>
  <si>
    <t>1) Debiting excess amount than the voucher amount / bill amount.</t>
  </si>
  <si>
    <t>During the year under audit, I have not found any such instance.</t>
  </si>
  <si>
    <t>2) Withdrawing the amount from bank but not crediting in cash book.</t>
  </si>
  <si>
    <t>3) Debiting the bank account without depositing the amount in bank.</t>
  </si>
  <si>
    <t>4) Disbursing loans without sanction / without security / without loan documents / using forged documents.</t>
  </si>
  <si>
    <t>During the year under audit, I have not found any such instance. The Society is a Housing Society and does not disburse loans.</t>
  </si>
  <si>
    <t>5) Any other transaction with the intention to defraud the society by any person.</t>
  </si>
  <si>
    <t>On the basis of verification of the records made available to me, during the year under audit, I have not found any such instance.</t>
  </si>
  <si>
    <t>Misutilisation of funds and properties</t>
  </si>
  <si>
    <t>1) Purchasing / constructing building without inviting tenders.</t>
  </si>
  <si>
    <t>2) Purchasing computers / fixed assets without inviting tenders.</t>
  </si>
  <si>
    <t>Additions to fixed assets during the year were confined to CCTV equipment of Rs. 5,500/-. Quotations / comparative statements were not produced for verification; the amount involved is not material.</t>
  </si>
  <si>
    <t>3) Selling the movable / immovable properties without inviting bids.</t>
  </si>
  <si>
    <t>4) Selling the movable / immovable properties below Reserve Price (Upset price).</t>
  </si>
  <si>
    <t>Misapplication of funds</t>
  </si>
  <si>
    <t>1) Use of sinking fund for day to day maintenance without passing the required resolution in General Body.</t>
  </si>
  <si>
    <t>During the year under audit, no amount has been utilised out of the Sinking Fund (previous year Rs. 23,79,191/-). I have not found any such instance.</t>
  </si>
  <si>
    <t>2) Use of revenue reserve / general reserve for creating Reserve for Bad and Doubtful Debts.</t>
  </si>
  <si>
    <t>Manipulation of accounts</t>
  </si>
  <si>
    <t>I have not found any manipulation of accounts during the year under audit.</t>
  </si>
  <si>
    <t>Falsification of accounts</t>
  </si>
  <si>
    <t>I have not found any falsification of accounts during the year under audit.</t>
  </si>
  <si>
    <t>6</t>
  </si>
  <si>
    <t>Shortfall in various provisions</t>
  </si>
  <si>
    <t>Attention is drawn to the following : (i) no provision has been made for doubtful recovery of member dues of Rs. 9,58,838/- (net of unrealised interest) outstanding since April 2018 from Flat No. 404; and (ii) no amount has been carried to the Reserve Fund out of the surplus of Rs. 2,89,125/- for the year. Save as aforesaid, there is no material shortfall in the recognition of liability for outstanding expenses / provisions.</t>
  </si>
  <si>
    <t>7</t>
  </si>
  <si>
    <t>Infringement of the M.C.S. Act, 1960, Rules, 1961 and the Bye-Laws of the Society</t>
  </si>
  <si>
    <t>Srn</t>
  </si>
  <si>
    <t>Act</t>
  </si>
  <si>
    <t>Rules</t>
  </si>
  <si>
    <t>Bye-laws</t>
  </si>
  <si>
    <t>Descriptions</t>
  </si>
  <si>
    <t>66(1) &amp; 66(2)</t>
  </si>
  <si>
    <t>-</t>
  </si>
  <si>
    <t>148(a)</t>
  </si>
  <si>
    <t>One-fourth of the net surplus of the year, i.e. Rs. 72,281/-, not carried to the Reserve Fund. (New observation for F.Y. 2025-26 - the previous year resulted in a deficit and the question did not arise.)</t>
  </si>
  <si>
    <t>70</t>
  </si>
  <si>
    <t>54, 55</t>
  </si>
  <si>
    <t>15</t>
  </si>
  <si>
    <t>Investment of Funds - the funds of the Society are not invested to the extent of their balances. Aggregate shortfall Rs. 5,20,247/- as at 31.03.2026.</t>
  </si>
  <si>
    <t>107C</t>
  </si>
  <si>
    <t>143 / 145 [LEGAL PROVISION TO BE VERIFIED]</t>
  </si>
  <si>
    <t>Cash on hand of Rs. 7,902/- as at 31.03.2026 exceeds the prescribed closing cash limit of Rs. 5,000/-.</t>
  </si>
  <si>
    <t>81</t>
  </si>
  <si>
    <t>107D</t>
  </si>
  <si>
    <t>145</t>
  </si>
  <si>
    <t>Payments made by means other than crossed account payee cheque. The Society is advised to ensure that all single payments exceeding Rs. 1,500/- are made by crossed account payee cheque or by electronic transfer.</t>
  </si>
  <si>
    <t>20</t>
  </si>
  <si>
    <t>A sub-lettee / licensee has not applied for Nominal Membership of the Society. [TO BE CONFIRMED BY THE SOCIETY] - the position as at 31.03.2026 could not be verified from the records produced.</t>
  </si>
  <si>
    <t>24A</t>
  </si>
  <si>
    <t>Co-operative education and training was not organised for members and committee members during the year, although the Education &amp; Training Fund stood at Rs. 25,376/-.</t>
  </si>
  <si>
    <t>26</t>
  </si>
  <si>
    <t>32</t>
  </si>
  <si>
    <t>Nominations not fully received from members. Observation of the previous year remains unrectified.</t>
  </si>
  <si>
    <t>8</t>
  </si>
  <si>
    <t>154</t>
  </si>
  <si>
    <t>Conveyance of the property has not been executed in favour of the Society. The Conveyance Fund stood at NIL as at 31.03.2026.</t>
  </si>
  <si>
    <t>9</t>
  </si>
  <si>
    <t>82</t>
  </si>
  <si>
    <t>73</t>
  </si>
  <si>
    <t>153(a)</t>
  </si>
  <si>
    <t>Audit rectification report in Form 'O' in respect of the previous audit - placement before the Managing Committee and submission to the Registering Authority and to the auditor for comments to be confirmed. [TO BE CONFIRMED BY THE SOCIETY]</t>
  </si>
  <si>
    <t>10</t>
  </si>
  <si>
    <t>13(a) &amp; 13(c) [LEGAL PROVISION TO BE VERIFIED]</t>
  </si>
  <si>
    <t>Repairs &amp; Maintenance Fund is collected at Rs. 48,000/- p.a. (Rs. 200 per flat per month) and Sinking Fund at Rs. 10,920/- p.a. (Rs. 45.50 per flat per month). The architect-certified construction cost was not produced, and therefore compliance with the minimum rates of 0.75% and 0.25% per annum respectively could not be verified.</t>
  </si>
  <si>
    <t>Personal expenses debited to Income and Expenditure account.</t>
  </si>
  <si>
    <t>Transactions with relatives of members of the managing committee, companies or firms in which members of the managing committee are interested, which are not at reasonable rates.</t>
  </si>
  <si>
    <t>During the year under audit, I have not found any such instance. It is however noted that an unsecured loan from a member of the Managing Committee, with a balance of Rs. 15,656/- as at 31.03.2026 (previous year Rs. 22,656/-), continues to be carried in the books. No sanction, General Body approval or terms of repayment were produced for verification, and no interest was charged during the year (previous year Rs. 737/-).</t>
  </si>
  <si>
    <t>No action against overdues in excess of one year.</t>
  </si>
  <si>
    <t>According to the information and explanations given to me and based on my examination of the records of the Society, the following flat has amounts outstanding which include overdues for a period exceeding one year :</t>
  </si>
  <si>
    <t>Flat No. 404</t>
  </si>
  <si>
    <t>Of which : credited to 'Unrealised Member's Dues' (not recognised as income)</t>
  </si>
  <si>
    <t>Net principal dues outstanding</t>
  </si>
  <si>
    <t>Flat No. 101, which was in arrears of Rs. 24,333/- as at 31.03.2025, has cleared its dues during the year. During the audit I have been informed that the Society has not taken legal action for recovery in respect of the member having arrears for more than one year.</t>
  </si>
  <si>
    <t>GENERAL REMARKS  (PART-B)</t>
  </si>
  <si>
    <t>INTRODUCTION</t>
  </si>
  <si>
    <t>I have been appointed as the Statutory Auditor of OASIS CO-OPERATIVE HOUSING SOCIETY LTD., CTS. No. 302(Part) at Village Valnai, Plot No. 3,4, Mith Chowki, Marve Road, Malad - West, Mumbai - 400064 by the members of the Society in their Annual General Body Meeting dated 28-Sep-2025, and accordingly I have completed the audit work.</t>
  </si>
  <si>
    <t>The audit has been conducted for the period 1st April 2025 to 31st March 2026. This statutory audit is based on the books of accounts, records, financial statements, annexures and other relevant documents maintained in the computer system, and has been verified accordingly. Both written and oral information provided by the management at the time of the audit has been relied upon during the course of this work. It is assumed that all transactions have been carried out in compliance with the Maharashtra Co-operative Societies Act, 1960, the Rules of 1961, and the Bye-Laws of the Society.</t>
  </si>
  <si>
    <t>It is presumed that the computer-generated entries and transactions are strictly accurate, in proper working order as per standard software / programming requirements, and free from internal defects. The Society shall be solely responsible for any subsequent changes made to the records.</t>
  </si>
  <si>
    <t>Information obtained and irregularities observed during the audit are presented in Parts A, B and C of this report. Upon compliance with the irregularities noted, an Audit Compliance Report is to be submitted.</t>
  </si>
  <si>
    <t>MANAGEMENT :</t>
  </si>
  <si>
    <t>The list of the Managing Committee as on 31st March 2026 has not been separately furnished by the Society. The office bearers stated below are as per the records of the preceding audit period and are subject to confirmation by the Society. [TO BE CONFIRMED BY THE SOCIETY]</t>
  </si>
  <si>
    <t>Chairman</t>
  </si>
  <si>
    <t>-  Ms. Avanti Gujrathi   [TO BE CONFIRMED BY THE SOCIETY]</t>
  </si>
  <si>
    <t>-  Mrs. Priya Ningoo   [TO BE CONFIRMED BY THE SOCIETY]</t>
  </si>
  <si>
    <t>Treasurer</t>
  </si>
  <si>
    <t>-  Mr. Nativdas Monteiro   [TO BE CONFIRMED BY THE SOCIETY]</t>
  </si>
  <si>
    <t>Member</t>
  </si>
  <si>
    <t>-  Mr. Parag Thakur   [TO BE CONFIRMED BY THE SOCIETY]</t>
  </si>
  <si>
    <t>-  Mr. Glen Crasto   [TO BE CONFIRMED BY THE SOCIETY]</t>
  </si>
  <si>
    <t>-  Mr. Samson Menezes   [TO BE CONFIRMED BY THE SOCIETY]</t>
  </si>
  <si>
    <t>-  Mrs. Anagha Joshi   [TO BE CONFIRMED BY THE SOCIETY]</t>
  </si>
  <si>
    <t>-  Mr. Tony Varghese   [TO BE CONFIRMED BY THE SOCIETY]</t>
  </si>
  <si>
    <t>-  Ms. Jennifer John   [TO BE CONFIRMED BY THE SOCIETY]</t>
  </si>
  <si>
    <t>-  Mrs. Joyce Chatterton   [TO BE CONFIRMED BY THE SOCIETY]</t>
  </si>
  <si>
    <t>MEETINGS :-</t>
  </si>
  <si>
    <t>During the year of audit the following meetings were held.</t>
  </si>
  <si>
    <t>Sr. No.</t>
  </si>
  <si>
    <t>Meeting Name</t>
  </si>
  <si>
    <t>No. of Meetings</t>
  </si>
  <si>
    <t>Meetings Date</t>
  </si>
  <si>
    <t>Managing Committee Meetings</t>
  </si>
  <si>
    <t>21-04-2025, 05-05-2025, 14-06-2025, 13-07-2025, 07-08-2025, 14-09-2025, 11-10-2025, 07-11-2025, 13-12-2025, 04-01-2026, 08-02-2026, 15-03-2026</t>
  </si>
  <si>
    <t>Annual General Meetings</t>
  </si>
  <si>
    <t>28-09-2025</t>
  </si>
  <si>
    <t>Special General Meetings</t>
  </si>
  <si>
    <t>Annual General Meeting :-</t>
  </si>
  <si>
    <t>The Annual General Body Meeting was held on 28th September 2025, i.e. within the time prescribed under Section 75 of the MCS Act, 1960. I found that minutes of the meeting are maintained; the minutes are print-outs pasted in the minute book.</t>
  </si>
  <si>
    <t>In the case of minutes maintained by pasting print-outs, it is advised to affix the Society's seal on each page with authentication by the chairman of the meeting in which the minutes are confirmed.</t>
  </si>
  <si>
    <t>The folios of the minute book are not serially numbered.</t>
  </si>
  <si>
    <t>No Special General Body Meeting was held during the year under audit (previous year : two).</t>
  </si>
  <si>
    <t>Managing Committee :-</t>
  </si>
  <si>
    <t>Twelve Managing Committee meetings were held during the year, one in each calendar month. The requirement of Bye-Law No. 127(i) that the Committee shall meet at least once in a month has been complied with for the year under audit. The corresponding observation of the previous year stands rectified.</t>
  </si>
  <si>
    <t>The minutes of the above meetings are handwritten in the minute book.</t>
  </si>
  <si>
    <t>The name of the person who chaired the meeting is not mentioned in the minutes.</t>
  </si>
  <si>
    <t>The resolution regarding reading and confirming the minutes of the previous managing committee meeting, and signing of the same by the chairman of the meeting in which the minutes are read, is not recorded in the minutes.</t>
  </si>
  <si>
    <t>The place and date of signing the minutes by the chairman are not recorded in the minutes.</t>
  </si>
  <si>
    <t>Managing Committee resolutions for approval of periodic expenditure incurred, acceptance of quotations of vendors, and the rectification report in Form 'O' are not available in the minutes.</t>
  </si>
  <si>
    <t>MEMBERS</t>
  </si>
  <si>
    <t>The Society has 20 members as on date. The details of transfers or transmissions of shares, if any, effected during the year have not been provided by the Management.</t>
  </si>
  <si>
    <t>STATUS OF AUDIT OBJECTIONS OF THE PREVIOUS AUDIT REPORT (F.Y. 2024-25)</t>
  </si>
  <si>
    <t>Each observation of the previous year's audit report has been re-examined against the accounts and records for F.Y. 2025-26. The position is as under :</t>
  </si>
  <si>
    <t>Observation of F.Y. 2024-25</t>
  </si>
  <si>
    <t>Position as at 31.03.2026</t>
  </si>
  <si>
    <t>Status</t>
  </si>
  <si>
    <t>Managing Committee did not meet once in a month [Bye-Law 127(i)].</t>
  </si>
  <si>
    <t>12 meetings held, one in each calendar month.</t>
  </si>
  <si>
    <t>RECTIFIED</t>
  </si>
  <si>
    <t>Flat No. 101 in arrears of Rs. 24,333/-.</t>
  </si>
  <si>
    <t>Nil outstanding as at 31.03.2026.</t>
  </si>
  <si>
    <t>Bank balances / reconciliation of unadjusted entries.</t>
  </si>
  <si>
    <t>Reconciliation statements for both banks produced; difference NIL in each case.</t>
  </si>
  <si>
    <t>RECTIFIED / SATISFACTORY</t>
  </si>
  <si>
    <t>Many times cash in hand exceeded the prescribed limit.</t>
  </si>
  <si>
    <t>Cash on hand Rs. 7,902/- as at 31.03.2026 against a prescribed limit of Rs. 5,000/-. (Previous year closing cash was NIL.)</t>
  </si>
  <si>
    <t>STILL OUTSTANDING</t>
  </si>
  <si>
    <t>Society should take appropriate action to recover members' dues on time.</t>
  </si>
  <si>
    <t>Dues increased from Rs. 19,16,069/- to Rs. 20,97,862/-. No recovery proceedings produced.</t>
  </si>
  <si>
    <t>Nominations not fully received [Rule 26 / Bye-Law 32].</t>
  </si>
  <si>
    <t>Nomination register not produced in a complete form; position unchanged.</t>
  </si>
  <si>
    <t>Deficit in investment of earmarked funds [Sec. 70 / Bye-Law 15].</t>
  </si>
  <si>
    <t>Aggregate shortfall Rs. 5,20,247/- (previous year Rs. 3,39,823/-). Position has worsened.</t>
  </si>
  <si>
    <t>Education &amp; Training Fund not utilised [Sec. 24A].</t>
  </si>
  <si>
    <t>Fund balance Rs. 25,376/-; no training expenditure incurred during the year.</t>
  </si>
  <si>
    <t>Conveyance of the property not executed [Bye-Law 154].</t>
  </si>
  <si>
    <t>Title deeds not executed; Conveyance Fund NIL.</t>
  </si>
  <si>
    <t>Cash and bank payment vouchers not secured by putting 'Paid' remark.</t>
  </si>
  <si>
    <t>No change in practice was evidenced during the year.</t>
  </si>
  <si>
    <t>11</t>
  </si>
  <si>
    <t>Statutory registers under Bye-Law 142 to be updated.</t>
  </si>
  <si>
    <t>Property register and nomination register not produced in an updated form.</t>
  </si>
  <si>
    <t>Non-occupancy charges levied @10% of maintenance instead of @10% of service charges.</t>
  </si>
  <si>
    <t>Non-occupancy charges of Rs. 31,511/- were collected. The working of the levy, flat-wise, was not produced and the basis could not be verified.</t>
  </si>
  <si>
    <t>NOT VERIFIABLE - CARRIED FORWARD</t>
  </si>
  <si>
    <t>13</t>
  </si>
  <si>
    <t>TDS to be deducted and quarterly statements filed.</t>
  </si>
  <si>
    <t>TDS returns / certificates for F.Y. 2025-26 not produced for verification.</t>
  </si>
  <si>
    <t>14</t>
  </si>
  <si>
    <t>Audit rectification report in Form 'O' [Sec. 82 / Rule 73 / Bye-Law 153(a)].</t>
  </si>
  <si>
    <t>Submission of the Form 'O' report for F.Y. 2024-25 to be confirmed.</t>
  </si>
  <si>
    <t>TO BE CONFIRMED</t>
  </si>
  <si>
    <t>Use of Sinking Fund for major repairs (Rs. 23,79,191/- in F.Y. 2024-25).</t>
  </si>
  <si>
    <t>No utilisation of the Sinking Fund during F.Y. 2025-26.</t>
  </si>
  <si>
    <t>NO LONGER APPLICABLE</t>
  </si>
  <si>
    <t>FINANCIAL PERFORMANCE :</t>
  </si>
  <si>
    <t>During the year under audit the Society has shown a SURPLUS (Excess of Income over Expenditure) of Rs. 2,89,125/- for the year ending 31-Mar-2026, as against a DEFICIT of Rs. 41,173/- for the year ended 31-Mar-2025. The turnaround of Rs. 3,30,298/- is attributable principally to an increase of Rs. 1,61,691/- in contributions collected from members and to a reduction of Rs. 2,04,553/- in expenditure, the latter arising mainly from the absence of legal fees (previous year Rs. 1,50,000/-) and a sharp fall in repairs and maintenance expenditure. The sustainability of the reduction in repairs expenditure is commented upon in Part-C.</t>
  </si>
  <si>
    <t>OBSERVATION ON THE BALANCE SHEET AS ON 31-03-2026</t>
  </si>
  <si>
    <t>As at
31.03.2026</t>
  </si>
  <si>
    <t>As at
31.03.2025</t>
  </si>
  <si>
    <t>Increase /
(Decrease)</t>
  </si>
  <si>
    <t>LIABILITIES</t>
  </si>
  <si>
    <t>Issued, Subscribed &amp; Paid Up Share Capital</t>
  </si>
  <si>
    <t>Reserve and Other Funds</t>
  </si>
  <si>
    <t>Contribution from Members towards Bldg.</t>
  </si>
  <si>
    <t>Current Liabilities &amp; Provisions</t>
  </si>
  <si>
    <t>Deposits &amp; Advances</t>
  </si>
  <si>
    <t>Unrealised Member Dues</t>
  </si>
  <si>
    <t>Income &amp; Expenditure Account</t>
  </si>
  <si>
    <t>TOTAL :-</t>
  </si>
  <si>
    <t>ASSETS</t>
  </si>
  <si>
    <t>Cash &amp; Bank Balances</t>
  </si>
  <si>
    <t>Investments</t>
  </si>
  <si>
    <t>Fixed Assets (At Cost less Depreciation)</t>
  </si>
  <si>
    <t>Contribution towards Building</t>
  </si>
  <si>
    <t>Current Assets</t>
  </si>
  <si>
    <t>Prepaid Expenses</t>
  </si>
  <si>
    <t>The Balance Sheet as at 31.03.2026 tallies; the total of liabilities and the total of assets each amount to Rs. 77,63,249.09. The opening balances of all funds, of the Income and Expenditure Account and of Unrealised Member's Dues agree with the audited closing balances of the preceding year.</t>
  </si>
  <si>
    <t>ANALYSIS OF BALANCE SHEET :-</t>
  </si>
  <si>
    <t>SECTION I : CAPITAL AND LIABILITIES</t>
  </si>
  <si>
    <t>AUTHORISED SHARE CAPITAL :</t>
  </si>
  <si>
    <t>Authorised Share Capital was Rs. 2,00,000/- divided into 4,000 shares of Rs. 50/- each.</t>
  </si>
  <si>
    <t>PAID-UP SHARE CAPITAL :</t>
  </si>
  <si>
    <t>The amount of Paid-up Share Capital was Rs. 10,000/- comprising of 200 shares of Rs. 50/- each, held by 20 members (10 shares each). The share ledger balances agree with the figure of share capital in the Balance Sheet.</t>
  </si>
  <si>
    <t>RESERVES AND OTHER FUNDS :</t>
  </si>
  <si>
    <t>As on 31.03.2026 there is a deficit in the investment of the following funds, details of which are given below :</t>
  </si>
  <si>
    <t>Balance
(Rs.)</t>
  </si>
  <si>
    <t>Investment
(Rs.)</t>
  </si>
  <si>
    <t>Deficit /
(Surplus) (Rs.)</t>
  </si>
  <si>
    <t>Reserve Fund</t>
  </si>
  <si>
    <t>Sinking Fund</t>
  </si>
  <si>
    <t>Building Repair Fund</t>
  </si>
  <si>
    <t>Conveyance Fund</t>
  </si>
  <si>
    <t>Education &amp; Training Fund</t>
  </si>
  <si>
    <t>Share Capital</t>
  </si>
  <si>
    <t>a</t>
  </si>
  <si>
    <t>Share Capital, Repair Fund, Reserve Fund and Education &amp; Training Fund amounts should be invested separately. It has been suggested to keep the investment amount to the extent of the Fund value. The aggregate shortfall has increased from Rs. 3,39,823/- as at 31.03.2025 to Rs. 5,20,247/- as at 31.03.2026, principally because interest of Rs. 2,984/- only was credited to the Reserve Fund investment during the year while the Reserve Fund balance itself rose by Rs. 3,584/-, and the earlier Reserve Fund deposits were not renewed.</t>
  </si>
  <si>
    <t>b</t>
  </si>
  <si>
    <t>During the year under audit no amount has been utilised out of the Sinking Fund (previous year Rs. 23,79,191/- towards major repair expenses). The Sinking Fund investment of Rs. 11,27,473/- exceeds the fund balance of Rs. 9,34,838/- by Rs. 1,92,635/-; the excess should be re-allocated to the funds which are short of investment.</t>
  </si>
  <si>
    <t>c</t>
  </si>
  <si>
    <t>Interest of Rs. 1,13,760/- accrued/received on fixed deposits has been credited to the respective funds, and the balance of Rs. 1,678/- has been retained in the Income and Expenditure Account. The basis of this retention should be documented and consistently applied.</t>
  </si>
  <si>
    <t>CURRENT LIABILITIES &amp; PROVISIONS Rs. 1,33,787/-</t>
  </si>
  <si>
    <t>Details of Sundry Creditors &amp; Provisions made by the Society as on 31st March, 2026 are as under :</t>
  </si>
  <si>
    <t>Provision for Property Tax</t>
  </si>
  <si>
    <t>Adani Electricity</t>
  </si>
  <si>
    <t>Irene Rosario</t>
  </si>
  <si>
    <t>Laxmi</t>
  </si>
  <si>
    <t>MCGM</t>
  </si>
  <si>
    <t>Osmosis Autopump</t>
  </si>
  <si>
    <t>Pinnacle Enterprises</t>
  </si>
  <si>
    <t>Saurav Kumar (Gopinath Associates)</t>
  </si>
  <si>
    <t>SN Computers</t>
  </si>
  <si>
    <t>Watchman</t>
  </si>
  <si>
    <t>Income Tax</t>
  </si>
  <si>
    <t>Professional Fees</t>
  </si>
  <si>
    <t>Pest Control Payable</t>
  </si>
  <si>
    <t>Water Payable</t>
  </si>
  <si>
    <t>Loan from MC Member</t>
  </si>
  <si>
    <t>Audit fees payable have accumulated to Rs. 10,000/-, the fees of the current and earlier years remaining unpaid. The Society is advised to settle the same.</t>
  </si>
  <si>
    <t>The provision for property tax of Rs. 13,316/- has been carried forward unchanged for two years. The Society should reconcile the provision with the MCGM demand and either discharge or reverse it, as appropriate.</t>
  </si>
  <si>
    <t>The balance of Rs. 10/- due to SN Computers and Rs. 1,319/- due to Pinnacle Enterprises have remained unchanged for two years and should be settled or written back with the approval of the General Body in terms of Bye-Law No. 149 read with Bye-Law No. 150. [LEGAL PROVISION TO BE VERIFIED]</t>
  </si>
  <si>
    <t>The unsecured loan from a Managing Committee member has been reduced from Rs. 22,656/- to Rs. 15,656/- during the year. No sanction, terms of repayment or General Body approval was produced. The Society is advised to regularise or repay the balance and to ensure that borrowings are within the limit prescribed under Rule 35 of the MCS Rules, 1961.</t>
  </si>
  <si>
    <t>ADVANCES FROM MEMBERS :- Rs. 53,943/-</t>
  </si>
  <si>
    <t>Advance from Members for A.P. Tax</t>
  </si>
  <si>
    <t>Advance from Members (Schedule IV)</t>
  </si>
  <si>
    <t>These are subject to confirmation by the respective members. The advance of Rs. 37,272/- towards A.P. Tax has remained unchanged for two years and should be adjusted against the relevant demand or refunded.</t>
  </si>
  <si>
    <t>ADVANCES &amp; DEPOSITS Rs. 1,26,299/-</t>
  </si>
  <si>
    <t>Retention Money - Pinnacle</t>
  </si>
  <si>
    <t>Unidentified Credits - (Schedule VII)</t>
  </si>
  <si>
    <t>Both balances are unchanged from the preceding year. The retention money of Rs. 1,00,813/- relates to Pinnacle Enterprises, in respect of whom the books also carry an advance of Rs. 51,911/- and a payable of Rs. 1,319/-. The three balances should be reconciled with the party and settled. The unidentified credit of Rs. 25,486/- arising from Cheque No. 228179 of Axis Bank dated 17.05.2024 has remained unidentified for nearly two years and must be traced to the remitter.</t>
  </si>
  <si>
    <t>UNREALISED MEMBER'S DUES Rs. 11,26,244/-</t>
  </si>
  <si>
    <t>This represents late payment interest charged to Flat No. 404 from April 2018 to March 2026 which has not been realised and which has, correctly, been credited to a contra account instead of being recognised as income. The addition during the year of Rs. 1,64,999/- agrees with the flat-wise working produced by the Society. These are subject to confirmation by the respective member.</t>
  </si>
  <si>
    <t>SECTION II : ASSETS</t>
  </si>
  <si>
    <t>CASH ON HAND Rs. 7,902/-</t>
  </si>
  <si>
    <t>The cash balance as on 31st March 2026 was Rs. 7,902/- as per the books of account (previous year : NIL). The cash was not physically counted by me at the year end.</t>
  </si>
  <si>
    <t>The closing cash balance exceeds the limit of Rs. 5,000/- prescribed under Rule 107C of the MCS Rules, 1961 read with the registered Bye-Laws of the Society. [LEGAL PROVISION TO BE VERIFIED] The Society is advised to maintain the closing cash on hand within the prescribed limit and to deposit collections into the bank promptly.</t>
  </si>
  <si>
    <t>BANK BALANCES Rs. 5,33,997.37</t>
  </si>
  <si>
    <t>The Society is maintaining accounts with the following banks :</t>
  </si>
  <si>
    <t>S.V.C. Bank - 102103130002607</t>
  </si>
  <si>
    <t>MDCC Bank</t>
  </si>
  <si>
    <t>Total :-</t>
  </si>
  <si>
    <t>Bank Reconciliation Statements as at 31.03.2026 for both bank accounts were produced for audit. The balance as per the books agrees with the balance as per the bank pass book in each case and the difference is NIL. The balance confirmation certificates at the year end were submitted for my audit and the bank pass books produced by the Society were verified; the balances were found to be in agreement with the balances as per the books of account.</t>
  </si>
  <si>
    <t>The Society is advised to approach the Registrar of Co-operative Societies for permission to operate bank accounts with banks other than Co-operative banks, should it propose to do so.</t>
  </si>
  <si>
    <t>INVESTMENTS :</t>
  </si>
  <si>
    <t>The investment portfolio consists of Fixed Deposits with banks and shares of co-operative institutions. The details as at 31/03/2026 are as under :</t>
  </si>
  <si>
    <t>Fixed Deposits with banks, with Accrued Interest</t>
  </si>
  <si>
    <t>Building Repairs Fund</t>
  </si>
  <si>
    <t>Sub-total - Fixed Deposits</t>
  </si>
  <si>
    <t>1 share of Mumbai District Co-op. Hsg. Federation</t>
  </si>
  <si>
    <t>1 share of B.D.C.C. Bank Ltd.</t>
  </si>
  <si>
    <t>The fixed deposits aggregate Rs. 15,95,917/- of principal together with accrued interest of Rs. 70,091/- (of which Rs. 1,031/- pertains to the preceding year), totalling Rs. 16,66,008/-. The accrued interest recorded in Schedule I agrees with the accrued interest carried in the Balance Sheet.</t>
  </si>
  <si>
    <t>Fixed deposits of Rs. 7,23,402/- (maturity value) held with MDCC Bank carry stated maturity dates; the remaining deposits held with SVC Bank do not show maturity dates or rates of interest in the Schedule produced. The investment register should record, for every deposit, the certificate number, date, principal, rate, maturity date and maturity value.</t>
  </si>
  <si>
    <t>Fixed Deposit Certificate No. 40014-3 is recorded in Schedule I with a date of 23.06.2026, which falls after the close of the accounting year, while accrued interest of Rs. 1,839/- has been recognised on it for the year. This appears to be a typographical error for 23.06.2025 and requires correction in the records.</t>
  </si>
  <si>
    <t>The fixed deposits were verified from the certificates / statements produced and are held in the name of the Society.</t>
  </si>
  <si>
    <t>FIXED ASSETS :</t>
  </si>
  <si>
    <t>Fixed assets have been stated at cost inclusive of incidental expenses incurred on acquisition, less depreciation for the year, and are depreciated on the written down value basis at the rates determined by the management. Additions during the year comprise CCTV equipment of Rs. 5,500/- acquired on or before 30.09.2025. Depreciation of Rs. 4,718/- charged for the year has been recomputed and found to be arithmetically correct. The details of the Fixed Assets as on 31/03/2026 are as under :</t>
  </si>
  <si>
    <t>Net Block as at
31.03.2026</t>
  </si>
  <si>
    <t>Net Block as at
31.03.2025</t>
  </si>
  <si>
    <t>Land &amp; Building</t>
  </si>
  <si>
    <t>Furniture &amp; Fixtures : Less Depreciation</t>
  </si>
  <si>
    <t>Water Pumps : Less Depreciation</t>
  </si>
  <si>
    <t>CCTV : Less Depreciation</t>
  </si>
  <si>
    <t>Water Meter : Less Depreciation</t>
  </si>
  <si>
    <t>The Land &amp; Building of Rs. 22,38,160/- represents members' contribution towards land and building and is carried at the same amount on both sides of the Balance Sheet. As the conveyance has not been executed in favour of the Society, the title to the property does not vest in the Society.</t>
  </si>
  <si>
    <t>The heading of the Fixed Assets Schedule reads 'Cost as at 01.04.20254'. This is a typographical error for 01.04.2025 and should be corrected.</t>
  </si>
  <si>
    <t>A Property Register in proper form as required under Bye-Law No. 142 is not maintained. Physical verification of fixed assets was not carried out by the Society during the year.</t>
  </si>
  <si>
    <t>OTHER ASSETS :</t>
  </si>
  <si>
    <t>Details of Current Assets, Prepaid Expenses and Advances of the Society are as follows :</t>
  </si>
  <si>
    <t>Prepaid - Insurance Charges</t>
  </si>
  <si>
    <t>Prepaid - CCTV AMC</t>
  </si>
  <si>
    <t>TDS Receivables</t>
  </si>
  <si>
    <t>Dues from Members (Schedule III)</t>
  </si>
  <si>
    <t>V.R. Kadam</t>
  </si>
  <si>
    <t>Irene Rosario - TDS Payable</t>
  </si>
  <si>
    <t>Adani</t>
  </si>
  <si>
    <t>Saurav Kumar - Gopinath</t>
  </si>
  <si>
    <t>Pramod Nag</t>
  </si>
  <si>
    <t>Falcon Enterprises</t>
  </si>
  <si>
    <t>Mhatre Law Associates</t>
  </si>
  <si>
    <t>Laxmi (Sweeper)</t>
  </si>
  <si>
    <t>Dues from Members Rs. 20,97,862/-</t>
  </si>
  <si>
    <t>i</t>
  </si>
  <si>
    <t>These are subject to confirmation by the respective members. Statements of account were not circulated to members at the year end.</t>
  </si>
  <si>
    <t>ii</t>
  </si>
  <si>
    <t>Flat-wise dues as at 31.03.2026 are : Flat No. 404 - Rs. 20,85,082/-; Flat No. 203 - Rs. 8,476/-; Flat No. 302 - Rs. 3,764/-; Flat No. 102 - Rs. 540/-. Dues from Flat No. 404 constitute 99.39% of the total dues and have remained outstanding since April 2018.</t>
  </si>
  <si>
    <t>iii</t>
  </si>
  <si>
    <t>Of the dues of Rs. 20,85,082/- from Flat No. 404, an amount of Rs. 11,26,244/- represents late payment interest carried to 'Unrealised Member's Dues' and not recognised as income. The balance of Rs. 9,58,838/- represents principal dues which have been recognised as income in earlier years and the current year.</t>
  </si>
  <si>
    <t>iv</t>
  </si>
  <si>
    <t>The Society has to take necessary action as per the Bye-Laws of the Society, and under Section 101 of the MCS Act, 1960 and/or Section 154B-29 thereof [LEGAL PROVISION TO BE VERIFIED], to ensure prompt recovery from the defaulting member. No demand notice, recovery application or legal proceeding was produced for my verification.</t>
  </si>
  <si>
    <t>v</t>
  </si>
  <si>
    <t>No provision for doubtful recovery has been made in the accounts in respect of the said principal dues of Rs. 9,58,838/-. Any write-off would require the prior approval of the General Body in terms of Bye-Law Nos. 149 and 150.</t>
  </si>
  <si>
    <t>Advance to Vendors Rs. 11,05,887/- (Schedule V to the accounts)</t>
  </si>
  <si>
    <t>The aggregate of advances to vendors has increased by Rs. 3,50,120/- during the year, from Rs. 7,55,767/- to Rs. 11,05,887/-, an increase of 46.32%.</t>
  </si>
  <si>
    <t>Falcon Enterprises Rs. 5,09,386/-, Pinnacle Enterprises Rs. 51,911/-, V.R. Kadam Rs. 10,000/- and Adani Rs. 5,245/- have remained unchanged for two years. No confirmations of balance were obtained by the Society or produced for my verification.</t>
  </si>
  <si>
    <t>During the year, expenditure on repairs and maintenance charged to the Income and Expenditure Account fell from Rs. 96,325/- to Rs. 41,772/-, while advances to vendors rose by Rs. 3,50,120/-. I am unable to satisfy myself, in the absence of bills, work orders, completion certificates and confirmations, whether any part of the amounts carried as advances represents work already executed which ought to have been charged to revenue or to the Sinking Fund / Repairs Fund. To the extent that this is so, expenditure for the year is understated and the surplus of Rs. 2,89,125/- is correspondingly overstated. This matter has been reported in the Basis for Qualified Opinion.</t>
  </si>
  <si>
    <t>The item 'Irene Rosario - TDS Payable Rs. 1,325/-' is a liability by its description but has been carried as an asset under Advance to Vendors, while a separate payable of Rs. 6,480/- is also carried in the name of Irene Rosario under Schedule VI. The classification should be corrected and the two balances reconciled.</t>
  </si>
  <si>
    <t>Balances with Adani Electricity appear at three places - deposit Rs. 10,459.12, advance Rs. 5,245/- and payable Rs. 11,441/-. The Society is advised to reconcile these with the records of the electricity supply company.</t>
  </si>
  <si>
    <t>TDS Receivable Rs. 66,834.60</t>
  </si>
  <si>
    <t>TDS receivable has decreased by Rs. 26,220/- during the year, whereas an income-tax refund of Rs. 32,600/- relating to A.Y. 2019-20 was received and credited directly to the accumulated balance of the Income and Expenditure Account. The difference of Rs. 6,380/- has not been explained. Further, no fresh tax deducted at source on fixed deposit interest of Rs. 1,15,438/- earned during the year appears to have been added to this account. The Society is advised to reconcile the TDS Receivable account, year by year, with Form 26AS and the assessment records, and to claim or write off the balances with appropriate authority.</t>
  </si>
  <si>
    <t>DEPOSITS</t>
  </si>
  <si>
    <t>With Adani Electricity</t>
  </si>
  <si>
    <t>The Society is advised to reconcile the same with the record of the Electricity Supply Company.</t>
  </si>
  <si>
    <t>INCOME</t>
  </si>
  <si>
    <t>Contribution from Members towards outgoings</t>
  </si>
  <si>
    <t>The Society is advised to charge maintenance and other charges under the various applicable heads strictly as per the Bye-Laws, Act, Rules and Notifications issued by Government from time to time.</t>
  </si>
  <si>
    <t>Service charges recovered increased from Rs. 5,25,120/- to Rs. 6,35,120/-, an increase of 20.95%, and parking charges from Rs. 22,850/- to Rs. 38,050/-, an increase of 66.52%. The resolution of the General Body revising the said charges was not produced for my verification.</t>
  </si>
  <si>
    <t>Non-occupancy charges of Rs. 31,511/- were recovered during the year. The flat-wise working of the levy was not produced. Non-occupancy charges are required to be levied at 10% of service charges (excluding municipal taxes, water charges, insurance, lift maintenance and similar recoveries) as determined under Bye-Law No. 68 read with Bye-Law No. 69(a)(x) and Bye-Law No. 43(2)(iii)(c) and the Government Order dated 1st August, 2001. [LEGAL PROVISION TO BE VERIFIED] The Society should place the working before the auditor for verification.</t>
  </si>
  <si>
    <t>Late payment interest of Rs. 1,70,780/- has been charged, of which Rs. 1,64,999/- relating to Flat No. 404 has been transferred to 'Unrealised Member's Dues'. This figure agrees with the flat-wise working produced by the Society. The rate at which interest is levied should not exceed the rate permitted by the registered Bye-Laws. [LEGAL PROVISION TO BE VERIFIED]</t>
  </si>
  <si>
    <t>Property tax recovered from members amounted to Rs. 85,604/- together with arrears of Rs. 24,524/-, aggregating Rs. 1,10,128/-, as against property tax of Rs. 91,580/- charged to the Income and Expenditure Account. Recovery of arrears of property tax from members commenced during the year and is noted.</t>
  </si>
  <si>
    <t>Insurance charges of Rs. 7,560/- recovered from members are lower than the insurance premium of Rs. 14,865/- charged for the year. The Society may review the recovery.</t>
  </si>
  <si>
    <t>EXPENDITURE :-</t>
  </si>
  <si>
    <t>ANALYSIS OF INCOME AND EXPENDITURE ACCOUNT</t>
  </si>
  <si>
    <t>2025-26
(Rs.)</t>
  </si>
  <si>
    <t>2024-25
(Rs.)</t>
  </si>
  <si>
    <t>%</t>
  </si>
  <si>
    <t>Income :-</t>
  </si>
  <si>
    <t>Contribution from members (incl. property tax recovered)</t>
  </si>
  <si>
    <t>Interest on SB &amp; FD (net of amounts transferred to Funds)</t>
  </si>
  <si>
    <t>Other Income - Interest on Income Tax Refund</t>
  </si>
  <si>
    <t>Expenses :-</t>
  </si>
  <si>
    <t>To Property Tax - BMC</t>
  </si>
  <si>
    <t>To Salary Expenses</t>
  </si>
  <si>
    <t>To Common Area Electricity Expenses</t>
  </si>
  <si>
    <t>To Water Expenses</t>
  </si>
  <si>
    <t>To Repair &amp; Maintenance :</t>
  </si>
  <si>
    <t>Electrical Repair Maintenance</t>
  </si>
  <si>
    <t>Water Pump Repair Charges</t>
  </si>
  <si>
    <t>Other Repair Maintenance</t>
  </si>
  <si>
    <t>Less: Trfd to Sinking Fund - Major Repair</t>
  </si>
  <si>
    <t>Plumbing - Repairs and Maintenance</t>
  </si>
  <si>
    <t>Miscellaneous Expenses</t>
  </si>
  <si>
    <t>Garden Maintenance</t>
  </si>
  <si>
    <t>CCTV - AMC</t>
  </si>
  <si>
    <t>To Service Charges :</t>
  </si>
  <si>
    <t>Security Expenses</t>
  </si>
  <si>
    <t>Insurance Expenses</t>
  </si>
  <si>
    <t>Pest Control Expenses</t>
  </si>
  <si>
    <t>To Office Expenses :</t>
  </si>
  <si>
    <t>Accounting Charges</t>
  </si>
  <si>
    <t>Income Tax Expenses</t>
  </si>
  <si>
    <t>Structural Audit Fees</t>
  </si>
  <si>
    <t>Printing and Stationery / Postage</t>
  </si>
  <si>
    <t>Meeting Expenses</t>
  </si>
  <si>
    <t>Conveyance Charges</t>
  </si>
  <si>
    <t>Legal Fees</t>
  </si>
  <si>
    <t>Depreciation on Fixed Assets</t>
  </si>
  <si>
    <t>Interest on Loan</t>
  </si>
  <si>
    <t>Bank Charges</t>
  </si>
  <si>
    <t>To Festival Expenses</t>
  </si>
  <si>
    <t>Total Expenditure</t>
  </si>
  <si>
    <t>Surplus / (Deficit) for the Period</t>
  </si>
  <si>
    <t>Expenditure for the year (before surplus) amounts to Rs. 5,51,139/- as against Rs. 7,29,433/- in the preceding year. The principal reductions are in legal fees (Rs. 1,50,000/- to NIL), repairs and maintenance (Rs. 96,325/- to Rs. 41,772/-) and printing and stationery (Rs. 14,956/- to Rs. 4,980/-).</t>
  </si>
  <si>
    <t>Festival expenses have increased from Rs. 5,000/- to Rs. 27,500/-, an increase of 450%. Neither a specific collection from members towards festival / cultural activities nor a General Body resolution sanctioning the expenditure was produced for my verification.</t>
  </si>
  <si>
    <t>Income tax of Rs. 9,166/- has been charged to the Income and Expenditure Account while the Society's own computation of tax for the year, contained in the working papers accompanying the accounts, arrives at a liability of Rs. 2,300/-. The difference of Rs. 6,866/- has not been explained. The provision for income tax carried in the Balance Sheet is Rs. 4,853/-. The Society is advised to reconcile the income tax account with the returns filed, the demands raised and Form 26AS.</t>
  </si>
  <si>
    <t>Water expenses of Rs. 45,024/- have been charged for the year, whereas the working note accompanying the accounts computes Rs. 43,651/- for the period 10.03.2025 to 10.03.2026 together with a provision of Rs. 2,511/- for the period 10.03.2026 to 31.03.2026, aggregating Rs. 46,162/-. The difference of Rs. 1,138/- requires reconciliation.</t>
  </si>
  <si>
    <t>Common area electricity of Rs. 66,614/- agrees with the working note (Rs. 61,063/- billed for April 2025 to February 2026 plus a provision of Rs. 5,551/- for March 2026).</t>
  </si>
  <si>
    <t>The working note in respect of pest control expenses relates to the period March 2024 to February 2025 and has not been updated for the year under audit. The expenditure of Rs. 9,750/- and the payable of Rs. 750/- should be supported by the current contract and invoices.</t>
  </si>
  <si>
    <t>Payments to the security agency (Rs. 1,30,000/-), for professional fees (Rs. 34,500/-) and for accounting charges (Rs. 19,200/-) attract the tax deduction at source provisions of the Income Tax Act, 1961. Evidence of deduction, payment and filing of quarterly statements for F.Y. 2025-26 was not produced for my verification. [LEGAL PROVISION TO BE VERIFIED] in respect of the applicable thresholds for the year.</t>
  </si>
  <si>
    <t>GENERAL REMARKS  (PART-C)</t>
  </si>
  <si>
    <t>AUDIT OBJECTIONS &amp; GENERAL REMARKS</t>
  </si>
  <si>
    <t>Each observation below is set out under the headings : A. Particulars  |  B. Amount  |  C. Accounting impact  |  D. Statutory / Bye-law reference  |  E. Required corrective action  |  F. Audit conclusion.</t>
  </si>
  <si>
    <t>Non-transfer of one-fourth of the surplus to the Reserve Fund</t>
  </si>
  <si>
    <t>A.</t>
  </si>
  <si>
    <t>The Society has earned a surplus (excess of income over expenditure) of Rs. 2,89,125/- for the year under audit. The whole of the surplus has been carried to the accumulated balance of the Income and Expenditure Account. No amount has been carried to the Reserve Fund out of the surplus of the year. This is a fresh observation for F.Y. 2025-26; the preceding year resulted in a deficit and the question did not arise.</t>
  </si>
  <si>
    <t>B.</t>
  </si>
  <si>
    <t>Amount</t>
  </si>
  <si>
    <t>Rs. 72,281/- being one-fourth of Rs. 2,89,125/-.</t>
  </si>
  <si>
    <t>C.</t>
  </si>
  <si>
    <t>Accounting impact</t>
  </si>
  <si>
    <t>The Reserve Fund is understated and the accumulated balance of the Income and Expenditure Account is overstated, each by Rs. 72,281/-, if the statutory appropriation is held to apply.</t>
  </si>
  <si>
    <t>D.</t>
  </si>
  <si>
    <t>Statutory / Bye-law reference</t>
  </si>
  <si>
    <t>Section 66(1) and 66(2) of the Maharashtra Co-operative Societies Act, 1960, read with Section 65 (appropriations to be entered in the books only after approval of the Annual General Meeting) and Bye-Law No. 148(a).</t>
  </si>
  <si>
    <t>E.</t>
  </si>
  <si>
    <t>Required corrective action</t>
  </si>
  <si>
    <t>The Managing Committee should place a proposal for appropriation of the surplus, including the transfer of not less than one-fourth thereof to the Reserve Fund, before the ensuing Annual General Meeting, and give effect to the approved appropriation in the books.</t>
  </si>
  <si>
    <t>F.</t>
  </si>
  <si>
    <t>Audit conclusion</t>
  </si>
  <si>
    <t>Accounting adjustment and General Body approval are required.</t>
  </si>
  <si>
    <t>Cash on hand in excess of the prescribed limit</t>
  </si>
  <si>
    <t>The cash balance as per the books as at 31st March 2026 was Rs. 7,902/-, as against NIL in the preceding year. The prescribed closing cash limit for a co-operative housing society is Rs. 5,000/-. Cash was not physically counted at the year end. The corresponding observation of the previous audit report remains unrectified.</t>
  </si>
  <si>
    <t>Rs. 7,902/-, being an excess of Rs. 2,902/- over the prescribed limit.</t>
  </si>
  <si>
    <t>No effect on the reported figures; the matter is one of internal control and statutory compliance.</t>
  </si>
  <si>
    <t>Rule 107C of the Maharashtra Co-operative Societies Rules, 1961 read with the registered Bye-Laws of the Society governing cash on hand. [LEGAL PROVISION TO BE VERIFIED]</t>
  </si>
  <si>
    <t>The Society should deposit collections into the bank promptly and maintain the closing cash balance within the prescribed limit on every day. The Treasurer should produce the cash for counting at the year end and the cash book should be signed by the auditor.</t>
  </si>
  <si>
    <t>Rectification and statutory compliance are required.</t>
  </si>
  <si>
    <t>Prior period items adjusted directly against reserves</t>
  </si>
  <si>
    <t>An income-tax refund of Rs. 32,600/- relating to A.Y. 2019-20 has been credited directly to the opening accumulated balance of the Income and Expenditure Account, and a write-off described as 'Difference on FD Interest &amp; W/o Exp.' of Rs. 1,853/- has been debited to the same account. The interest of Rs. 1,250/- received on the same refund has, however, been credited to income for the year. The treatment of the refund and of the interest thereon is therefore inconsistent.</t>
  </si>
  <si>
    <t>Rs. 32,600/- credited and Rs. 1,853/- debited; net Rs. 30,747/-.</t>
  </si>
  <si>
    <t>Income for the year is understated by Rs. 30,747/- and the accumulated balance is correspondingly overstated. The surplus of Rs. 2,89,125/- does not reflect these items.</t>
  </si>
  <si>
    <t>Accounting principles generally accepted in India relating to the disclosure of prior period items, read with Section 81 of the MCS Act, 1960 and the accounting standards notified for co-operative societies.</t>
  </si>
  <si>
    <t>Prior period items should be routed through the Income and Expenditure Account of the year in which they are determined and disclosed separately, or, if adjusted against reserves, should be supported by a General Body resolution. The nature and composition of the write-off of Rs. 1,853/- should be documented.</t>
  </si>
  <si>
    <t>Accounting adjustment and supporting documents are required.</t>
  </si>
  <si>
    <t>Long outstanding dues from Flat No. 404 and absence of recovery proceedings</t>
  </si>
  <si>
    <t>Dues recoverable from members aggregate Rs. 20,97,862/-, of which Rs. 20,85,082/- (99.39%) is due from Flat No. 404 and has been outstanding since April 2018, i.e. for eight years. Of this amount, Rs. 11,26,244/- represents late payment interest carried to 'Unrealised Member's Dues' and not recognised as income, leaving principal dues of Rs. 9,58,838/-. The dues increased by Rs. 1,81,793/- during the year. No demand notice, recovery application or legal proceeding was produced for verification. The corresponding observation of the previous audit report remains unrectified and the position has deteriorated.</t>
  </si>
  <si>
    <t>Rs. 20,85,082/- total; Rs. 9,58,838/- principal dues.</t>
  </si>
  <si>
    <t>Sundry debtors are overstated to the extent that the principal dues are irrecoverable, since no provision for doubtful recovery has been made. The contra-crediting of interest to 'Unrealised Member's Dues' has correctly prevented the recognition of unrealised interest as income.</t>
  </si>
  <si>
    <t>Bye-Laws of the Society relating to recovery of charges, read with Section 101 of the MCS Act, 1960 and/or Section 154B-29 thereof relating to recovery of dues by co-operative housing societies. [LEGAL PROVISION TO BE VERIFIED]</t>
  </si>
  <si>
    <t>The Society should issue a formal demand notice, obtain the sanction of the Managing Committee and the General Body, and initiate recovery proceedings before the competent authority without further delay. Pending recovery, the Society should consider making a provision for doubtful recovery.</t>
  </si>
  <si>
    <t>Recovery, confirmation and accounting adjustment are required.</t>
  </si>
  <si>
    <t>Steep increase in advances to vendors coupled with a fall in repairs expenditure</t>
  </si>
  <si>
    <t>Advances to vendors rose from Rs. 7,55,767/- to Rs. 11,05,887/-, an increase of Rs. 3,50,120/- (46.32%), principally on account of Pramod Nag (Rs. 1,50,000/- to Rs. 3,91,751/-), Saurav Kumar - Gopinath (Rs. 5,900/- to Rs. 81,189/-) and Mhatre Law Associates (NIL to Rs. 55,080/-). Over the same period repairs and maintenance expenditure charged to revenue fell from Rs. 96,325/- to Rs. 41,772/-, and legal fees fell from Rs. 1,50,000/- to NIL. Bills, work orders, completion certificates and balance confirmations were not produced.</t>
  </si>
  <si>
    <t>Rs. 11,05,887/-; increase of Rs. 3,50,120/- during the year.</t>
  </si>
  <si>
    <t>If any part of these advances represents work already executed or services already received, expenditure for the year is understated and the surplus of Rs. 2,89,125/- is overstated to that extent. Assets are correspondingly overstated. This matter has been reported in the Basis for Qualified Opinion.</t>
  </si>
  <si>
    <t>Section 81 of the MCS Act, 1960 (true and fair presentation) read with Bye-Law No. 141 and 142 relating to maintenance of books and vouchers.</t>
  </si>
  <si>
    <t>The Society should obtain and place on record the bills, work orders, measurement of work, completion certificates and year-end balance confirmations for every vendor advance, and transfer to expenditure or to the appropriate Fund the amounts representing work already executed.</t>
  </si>
  <si>
    <t>Confirmation, reconciliation, supporting documents and accounting adjustment are required.</t>
  </si>
  <si>
    <t>Deficit in the earmarked investment of statutory funds</t>
  </si>
  <si>
    <t>The funds of the Society, aggregating Rs. 21,86,255/- (including share capital), are invested to the extent of Rs. 16,66,008/- only. The Reserve Fund is short by Rs. 6,46,021/-, the Building Repair Fund by Rs. 73,907/- and the Education &amp; Training Fund by Rs. 7,533/-, while the Sinking Fund is over-invested by Rs. 1,92,635/- and share capital by Rs. 14,579/-. The aggregate shortfall has increased from Rs. 3,39,823/- as at 31.03.2025 to Rs. 5,20,247/- as at 31.03.2026.</t>
  </si>
  <si>
    <t>Aggregate shortfall Rs. 5,20,247/-.</t>
  </si>
  <si>
    <t>No effect on the reported figures; the funds are, to the extent of the shortfall, represented by other assets of the Society rather than by earmarked investments.</t>
  </si>
  <si>
    <t>Section 70 of the MCS Act, 1960 read with Rules 54 and 55 of the MCS Rules, 1961 and Bye-Law No. 15 relating to investment of funds.</t>
  </si>
  <si>
    <t>The Society should invest each fund separately, to the extent of the fund balance, in a permitted mode, and should re-allocate the excess investment held against the Sinking Fund to the funds that are short of investment.</t>
  </si>
  <si>
    <t>Education &amp; Training Fund not utilised</t>
  </si>
  <si>
    <t>The Education &amp; Training Fund stood at Rs. 25,376/- as at 31.03.2026, contributions of Rs. 2,400/- (Rs. 10 per flat per month, being the rate prescribed under Bye-Law No. 13) having been collected during the year and interest of Rs. 1,238/- credited. No expenditure was incurred on the education and training of members or committee members during the year. The corresponding observation of the previous audit report remains unrectified.</t>
  </si>
  <si>
    <t>Fund balance Rs. 25,376/-.</t>
  </si>
  <si>
    <t>No effect on the reported figures.</t>
  </si>
  <si>
    <t>Section 24A of the MCS Act, 1960 relating to the co-operative education and training fund. The reference to Section 155-B(6) appearing in the previous year's report has not been repeated as its applicability to the Society could not be verified; [LEGAL PROVISION TO BE VERIFIED]</t>
  </si>
  <si>
    <t>The Society should organise education and training for members and committee members during the ensuing year and should remit the prescribed annual contribution to the notified federal society, obtaining a receipt therefor.</t>
  </si>
  <si>
    <t>Statutory compliance is required.</t>
  </si>
  <si>
    <t>Income tax charge not reconciled with the Society's own computation</t>
  </si>
  <si>
    <t>Income tax of Rs. 9,166/- has been debited to the Income and Expenditure Account, while the computation of income contained in the working papers accompanying the accounts arrives at a tax liability of Rs. 2,300/- for the year (taxable income Rs. 1,25,874/- less deduction claimed in respect of interest from co-operative banks Rs. 1,15,438/-). The provision carried in the Balance Sheet is Rs. 4,853/-. The return of income for A.Y. 2026-27 had not been filed as at the date of this report.</t>
  </si>
  <si>
    <t>Charge Rs. 9,166/-; computation Rs. 2,300/-; unexplained difference Rs. 6,866/-.</t>
  </si>
  <si>
    <t>To the extent the charge exceeds the liability, expenditure is overstated and the surplus understated.</t>
  </si>
  <si>
    <t>Section 81 of the MCS Act, 1960 read with the relevant provisions of the Income Tax Act, 1961. The admissibility of the deduction claimed in respect of interest received from co-operative banks is a matter for the Society's tax adviser. [LEGAL PROVISION TO BE VERIFIED]</t>
  </si>
  <si>
    <t>The Society should reconcile the income tax account with the returns filed, the demands raised, the refunds received and Form 26AS, and should restate the charge and the provision accordingly.</t>
  </si>
  <si>
    <t>Reconciliation, accounting adjustment and supporting documents are required.</t>
  </si>
  <si>
    <t>TDS Receivable not reconciled</t>
  </si>
  <si>
    <t>TDS Receivable decreased from Rs. 93,054.60 to Rs. 66,834.60, a reduction of Rs. 26,220/-, while a refund of Rs. 32,600/- relating to A.Y. 2019-20 was received. The difference of Rs. 6,380/- is unexplained. No addition on account of tax deducted at source on fixed deposit interest of Rs. 1,15,438/- earned during the year is reflected in the account.</t>
  </si>
  <si>
    <t>Rs. 66,834.60; unexplained difference Rs. 6,380/-.</t>
  </si>
  <si>
    <t>Current assets may be overstated to the extent that any part of the balance is no longer recoverable.</t>
  </si>
  <si>
    <t>Section 81 of the MCS Act, 1960 (true and fair presentation).</t>
  </si>
  <si>
    <t>The Society should prepare a year-wise break-up of the TDS Receivable balance, reconcile it with Form 26AS and the assessment orders, claim the amounts recoverable and seek the approval of the General Body for writing off any balance found irrecoverable.</t>
  </si>
  <si>
    <t>Reconciliation, recovery and supporting documents are required.</t>
  </si>
  <si>
    <t>Water charges not agreeing with the supporting working</t>
  </si>
  <si>
    <t>Water expenses of Rs. 45,024/- have been charged for the year. The working note accompanying the accounts computes Rs. 43,651/- for the period 10.03.2025 to 10.03.2026 together with a provision of Rs. 2,511/- for the period 10.03.2026 to 31.03.2026, aggregating Rs. 46,162/-.</t>
  </si>
  <si>
    <t>Difference Rs. 1,138/-.</t>
  </si>
  <si>
    <t>Expenditure and the related liability may be misstated to the extent of the difference. The amount is not material but the difference indicates that the working papers have not been reconciled to the ledger.</t>
  </si>
  <si>
    <t>Bye-Law No. 141 relating to the maintenance of books of account.</t>
  </si>
  <si>
    <t>The Society should reconcile the water charges ledger with the bills received and the working note, and should adjust the provision as necessary.</t>
  </si>
  <si>
    <t>Reconciliation is required.</t>
  </si>
  <si>
    <t>Old and dormant balances carried in the books</t>
  </si>
  <si>
    <t>The following balances have remained unchanged over two years : Provision for Property Tax Rs. 13,316/-; Advance from Members for A.P. Tax Rs. 37,272/-; Retention Money - Pinnacle Rs. 1,00,813/-; Unidentified Credits Rs. 25,486/- (Cheque No. 228179 of Axis Bank dated 17.05.2024); Saurav Kumar (Gopinath Associates) Rs. 20,000/-; SN Computers Rs. 10/-; and, on the asset side, Falcon Enterprises Rs. 5,09,386/-, Pinnacle Enterprises Rs. 51,911/-, V.R. Kadam Rs. 10,000/- and Adani Rs. 5,245/-.</t>
  </si>
  <si>
    <t>Aggregating Rs. 1,96,897/- on the liability side and Rs. 5,76,542/- on the asset side.</t>
  </si>
  <si>
    <t>Assets and liabilities are overstated to the extent that these balances are no longer payable or recoverable.</t>
  </si>
  <si>
    <t>Bye-Law No. 149 (amounts which may be written off) read with Bye-Law No. 150 (procedure to be followed before writing off any amount).</t>
  </si>
  <si>
    <t>The Society should obtain written confirmations from each party, trace the unidentified credit of Rs. 25,486/- to the remitter, and place a proposal before the General Body for adjustment or write-back of balances found no longer payable or recoverable.</t>
  </si>
  <si>
    <t>Confirmation, reconciliation and General Body approval are required.</t>
  </si>
  <si>
    <t>Unsecured loan from a member of the Managing Committee</t>
  </si>
  <si>
    <t>A loan from a member of the Managing Committee, with a balance of Rs. 15,656/- as at 31.03.2026 (previous year Rs. 22,656/-), continues to be carried in the books. No sanction, terms of repayment, General Body approval or loan document was produced for verification. No interest was charged during the year (previous year Rs. 737/-).</t>
  </si>
  <si>
    <t>Rs. 15,656/-.</t>
  </si>
  <si>
    <t>No effect on the reported figures; the matter relates to the authority for the borrowing and to the propriety of a transaction with an interested party.</t>
  </si>
  <si>
    <t>Rule 35 of the MCS Rules, 1961 relating to the limit on borrowings, read with the registered Bye-Laws of the Society and Bye-Law No. 114 relating to the Managing Committee. [LEGAL PROVISION TO BE VERIFIED] as to the applicability of the borrowing limit to a society of this class.</t>
  </si>
  <si>
    <t>The Society should repay the balance or regularise the borrowing by a resolution of the General Body specifying the amount, rate of interest and terms of repayment, and should record the interest of the committee member in the minutes.</t>
  </si>
  <si>
    <t>Rectification, General Body approval and supporting documents are required.</t>
  </si>
  <si>
    <t>Rates of contribution to the Repairs &amp; Maintenance Fund and Sinking Fund not verifiable</t>
  </si>
  <si>
    <t>The Repairs &amp; Maintenance Fund is collected at Rs. 48,000/- per annum (Rs. 200 per flat per month) and the Sinking Fund at Rs. 10,920/- per annum (Rs. 45.50 per flat per month) across 20 flats. The construction cost of the flats as certified by the Architect was not produced, and the rates of contribution could not therefore be tested against the prescribed minima.</t>
  </si>
  <si>
    <t>Repairs &amp; Maintenance Fund Rs. 48,000/- p.a.; Sinking Fund Rs. 10,920/- p.a.</t>
  </si>
  <si>
    <t>If the contributions are below the prescribed minima, the funds are being built up at less than the required rate and will be inadequate for future major repairs.</t>
  </si>
  <si>
    <t>Bye-Law No. 13(a) (Repairs and Maintenance Fund - minimum 0.75% per annum of the construction cost of each flat) and Bye-Law No. 13(c) (Sinking Fund - minimum 0.25% per annum of the construction cost of each flat, excluding the proportionate cost of land), as certified by the Architect. [LEGAL PROVISION TO BE VERIFIED] against the Society's own registered Bye-Laws.</t>
  </si>
  <si>
    <t>The Society should obtain the Architect's certificate of construction cost, compute the minimum contributions, and place the revised rates before the General Body for approval.</t>
  </si>
  <si>
    <t>Supporting documents, General Body approval and statutory compliance are required.</t>
  </si>
  <si>
    <t>Festival expenditure</t>
  </si>
  <si>
    <t>Festival expenses of Rs. 27,500/- were incurred during the year as against Rs. 5,000/- in the preceding year, an increase of 450%. No separate collection from members towards festival or cultural activities is reflected in the Income and Expenditure Account, and no General Body resolution sanctioning the expenditure or fixing a limit was produced for verification.</t>
  </si>
  <si>
    <t>Rs. 27,500/-.</t>
  </si>
  <si>
    <t>Expenditure of this nature met out of general funds reduces the surplus available to the Society and is borne by all members irrespective of participation.</t>
  </si>
  <si>
    <t>Bye-Law No. 13 and Bye-Law No. 67 relating to the heads under which contributions may be levied and applied. [LEGAL PROVISION TO BE VERIFIED]</t>
  </si>
  <si>
    <t>The Society should levy a specific contribution towards festival and cultural activities and should incur such expenditure only within the limit sanctioned by the General Body.</t>
  </si>
  <si>
    <t>General Body approval and supporting documents are required.</t>
  </si>
  <si>
    <t>Statutory registers and records</t>
  </si>
  <si>
    <t>The Property Register and the Nomination Register were not produced in an updated form. Cash and bank payment vouchers and supporting documents are not secured by putting a 'Paid' remark. The folios of the minute book are not serially numbered and the minutes do not record the name of the person who chaired the meeting, or the place and date of signing. These observations of the previous audit report remain unrectified.</t>
  </si>
  <si>
    <t>Not quantifiable.</t>
  </si>
  <si>
    <t>No effect on the reported figures; the matter relates to internal control and statutory record keeping.</t>
  </si>
  <si>
    <t>Bye-Law No. 142 relating to the registers to be maintained by the Society, read with Rule 32, Rule 33 and Rule 26 of the MCS Rules, 1961.</t>
  </si>
  <si>
    <t>The Society should write up and maintain all statutory registers on a current basis, obtain nominations from all members, and adopt the practice of cancelling vouchers with a 'Paid' stamp immediately on payment.</t>
  </si>
  <si>
    <t>16</t>
  </si>
  <si>
    <t>Conveyance of the property</t>
  </si>
  <si>
    <t>Conveyance of the land and building in favour of the Society has not been executed and the title deeds are not held in the name of the Society. The Conveyance Fund, which stood at Rs. 11,346/- as at 31.03.2025, was transferred to the Reserve Fund during the preceding year and the fund balance is NIL as at 31.03.2026. This observation of the previous audit report remains unrectified.</t>
  </si>
  <si>
    <t>Members' contribution towards land and building Rs. 22,38,160/-.</t>
  </si>
  <si>
    <t>The asset of Rs. 22,38,160/- is carried in the Balance Sheet against an equal liability to members, although the title does not vest in the Society.</t>
  </si>
  <si>
    <t>Bye-Law No. 154 relating to the approval of the General Body and the finalisation of the deed of conveyance of the property, read with the Maharashtra Ownership Flats Act, 1963 / the Real Estate (Regulation and Development) Act, 2016, as applicable. [LEGAL PROVISION TO BE VERIFIED]</t>
  </si>
  <si>
    <t>The Society should pursue conveyance, including deemed conveyance, with the competent authority, and should re-create a Conveyance Fund to meet the related costs.</t>
  </si>
  <si>
    <t>Statutory compliance and General Body approval are required.</t>
  </si>
  <si>
    <t>RECORDS</t>
  </si>
  <si>
    <t>The Society has maintained the following statutory registers, which are required as per Bye-Law No. 142 and which should be updated :</t>
  </si>
  <si>
    <t>Form I, Form J &amp; Share Register.</t>
  </si>
  <si>
    <t>Nomination Register.</t>
  </si>
  <si>
    <t>Property Register.</t>
  </si>
  <si>
    <t>d</t>
  </si>
  <si>
    <t>The Audit Rectification Register in Form 'O'.</t>
  </si>
  <si>
    <t>e</t>
  </si>
  <si>
    <t>Investment / Fixed Deposit Register recording certificate number, date, principal, rate of interest, maturity date and maturity value.</t>
  </si>
  <si>
    <t>SUGGESTIONS :-</t>
  </si>
  <si>
    <t>The Society should charge maintenance and other applicable charges strictly in accordance with the Bye-Laws, relevant Acts, Rules and Government Notifications issued from time to time, and should place the flat-wise working of the charges before the auditor.</t>
  </si>
  <si>
    <t>Non-occupancy charges should be levied at 10% of service charges as determined under Bye-Law No. 68 read with Bye-Law No. 69(a)(x) and Bye-Law No. 43(2)(iii)(c) and the Government Order dated 1st August, 2001, and not at 10% of total maintenance charges. Collections towards water charges, insurance, lift maintenance and similar recoveries do not form part of service charges for this purpose.</t>
  </si>
  <si>
    <t>Statutory registers should be updated regularly.</t>
  </si>
  <si>
    <t>All single payments above Rs. 1,500/- should be made only by crossed account payee cheque or by electronic transfer.</t>
  </si>
  <si>
    <t>Closing cash on hand should be maintained within the limit prescribed by the Rules and Bye-Laws, and cash should be physically verified and certified at the close of the year.</t>
  </si>
  <si>
    <t>The Education and Training Fund should be utilised to provide education and training to members and committee members every year in accordance with Section 24A of the Maharashtra Co-operative Societies Act, 1960.</t>
  </si>
  <si>
    <t>All mandatory returns prescribed under Section 79 of the MCS Act, 1960 should be uploaded on or before 30th September every year.</t>
  </si>
  <si>
    <t>Income tax should be deducted at source in accordance with the relevant provisions of the Income Tax Act, 1961 - for example on payments to the security agency and to professionals - and the quarterly TDS statements should be filed and certificates issued to the deductees.</t>
  </si>
  <si>
    <t>The Society should obtain year-end confirmations of balance from every member, vendor, bank and deposit-holder, and should retain them with the books of account.</t>
  </si>
  <si>
    <t>A more robust financial management system should be implemented, including budget monitoring, variance analysis and related MIS reporting. In particular, the working papers supporting provisions and prepaid expenses should be reconciled to the ledger before the accounts are finalised.</t>
  </si>
  <si>
    <t>Minutes of Managing Committee meetings as well as General Body meetings should be clear, complete and unambiguous. All resolutions should be serially numbered and the folios of the minute book should be serially numbered.</t>
  </si>
  <si>
    <t>Note that the Maharashtra Co-operative Societies Act, 1960 was amended on 13th August 2013. As per the amended provisions of Section 73CB(1), the State Co-operative Election Authority has been constituted. Elections of all Co-operative Societies must be conducted in accordance with the Maharashtra Co-operative Societies (Elections to Committee) Rules, 2014.</t>
  </si>
  <si>
    <t>The Audit Rectification Report should be prepared within three months as required under Section 82 of the Maharashtra Co-operative Societies Act, 1960, in Form 'O' prescribed under Rule 73. The report should be placed before the Managing Committee for approval, then submitted to the Registering Authority along with a copy of the Managing Committee resolution, and forwarded to the auditor for comments.</t>
  </si>
  <si>
    <t>The Managing Committee's attention is drawn to the fact that amendments to the Maharashtra Co-operative Societies Rules, 1961 in relation to co-operative housing societies are reported to have been notified in June 2026, after the close of the year under audit, prescribing, among other matters, statutory minimum rates of contribution to the Sinking Fund and the Repairs &amp; Maintenance Fund and limits on committee expenditure. These provisions do not govern the accounts for F.Y. 2025-26 but will apply prospectively. The Society is advised to obtain the notification and to place a compliance plan before the General Body. [LEGAL PROVISION TO BE VERIFIED] - the Managing Committee and the auditor should verify the text of the notification as published in the Maharashtra Government Gazette before acting upon it.</t>
  </si>
  <si>
    <t>CONCLUSION AND AWARD OF AUDIT CLASSIFICATION</t>
  </si>
  <si>
    <t>From the examination of the books of account and other records maintained and produced by the Society, I would like to appreciate the co-operation received from time to time from the office bearers of the Society.</t>
  </si>
  <si>
    <t>The Balance Sheet as at 31.03.2026 tallies, the opening balances agree with the audited closing balances of the preceding year, both bank accounts stand reconciled with NIL difference, the depreciation charge and the fund interest allocations have been verified and found arithmetically correct, and the flat-wise working of unrealised interest agrees with the accounts. The Society has returned to a surplus during the year.</t>
  </si>
  <si>
    <t>The matters set out in the Basis for Qualified Opinion and in Part-C above, particularly the long outstanding dues of Rs. 20,85,082/- from Flat No. 404 without recovery proceedings, the unsupported increase in vendor advances, the shortfall in the investment of earmarked funds and the non-appropriation of the surplus to the Reserve Fund, remain to be addressed.</t>
  </si>
  <si>
    <t>Having regard to the above, I am pleased to award 'B' classification to the Society for the year under audit.</t>
  </si>
  <si>
    <t>FORM NO. 1</t>
  </si>
  <si>
    <t>Audit Memo (For all types of Co-op. Societies)</t>
  </si>
  <si>
    <t>Part - I</t>
  </si>
  <si>
    <t>Name of the Society</t>
  </si>
  <si>
    <t>Sr. No. of the audit memo as per audit register</t>
  </si>
  <si>
    <t>Full registered address</t>
  </si>
  <si>
    <t>Taluka or Block</t>
  </si>
  <si>
    <t>Ward P North</t>
  </si>
  <si>
    <t>District</t>
  </si>
  <si>
    <t>Mumbai Suburban District</t>
  </si>
  <si>
    <t>No. of branches, depots and shops</t>
  </si>
  <si>
    <t>NA</t>
  </si>
  <si>
    <t>(i)</t>
  </si>
  <si>
    <t>'B'</t>
  </si>
  <si>
    <t>(ii)</t>
  </si>
  <si>
    <t>Audit classification given during the last three audits</t>
  </si>
  <si>
    <t>B / B / B</t>
  </si>
  <si>
    <t>Audit information :</t>
  </si>
  <si>
    <t>(1)</t>
  </si>
  <si>
    <t>Full name, designation and headquarters of the auditing officer.</t>
  </si>
  <si>
    <t>Shri. Bharat C. Boridkar, Govt. Certified Panel Auditor</t>
  </si>
  <si>
    <t>(2)</t>
  </si>
  <si>
    <t>Period covered during the present audit.</t>
  </si>
  <si>
    <t>1st April, 2025 to 31st March, 2026</t>
  </si>
  <si>
    <t>(3)</t>
  </si>
  <si>
    <t>Dates on which (1) Audit was commenced and continued.</t>
  </si>
  <si>
    <t>02-Sep-2026 to 11-Sep-2026</t>
  </si>
  <si>
    <t>(2) Audit was completed.</t>
  </si>
  <si>
    <t>(3) Audit memo was submitted.</t>
  </si>
  <si>
    <t>Membership :</t>
  </si>
  <si>
    <t>No. of Members : (a) Individual : (I) Ordinary</t>
  </si>
  <si>
    <t>(ii) Nominal</t>
  </si>
  <si>
    <t>0</t>
  </si>
  <si>
    <t>(iii) Sympathiser</t>
  </si>
  <si>
    <t>(b) Societies</t>
  </si>
  <si>
    <t>(c) Others</t>
  </si>
  <si>
    <t>Total</t>
  </si>
  <si>
    <t>Have new members been duly admitted? Have they paid entrance fees?</t>
  </si>
  <si>
    <t>No new members were admitted during the year.</t>
  </si>
  <si>
    <t>(iii)</t>
  </si>
  <si>
    <t>Are their written applications in order and are they filed properly?</t>
  </si>
  <si>
    <t>Not applicable for the year under audit.</t>
  </si>
  <si>
    <t>(iv)</t>
  </si>
  <si>
    <t>Is the members' register kept in Form 'I' prescribed under Rules 32 and 65(I) of the M.C.S. Rules, 1961?</t>
  </si>
  <si>
    <t>Yes</t>
  </si>
  <si>
    <t>(v)</t>
  </si>
  <si>
    <t>Is a list of members kept in Form 'J' under Rule 33 of the M.C.S. Rules, 1961?</t>
  </si>
  <si>
    <t>(vi)</t>
  </si>
  <si>
    <t>Have due remarks been passed against the names of deceased, dismissed or resigned members in the members' register?</t>
  </si>
  <si>
    <t>(vii)</t>
  </si>
  <si>
    <t>Are resignations in order and are they duly accepted?</t>
  </si>
  <si>
    <t>Not applicable - no resignations during the year.</t>
  </si>
  <si>
    <t>(viii)</t>
  </si>
  <si>
    <t>Have nominations made under Rule 25 of the M.C.S. Rules, 1961 been duly entered in the members' register under Rule 26?</t>
  </si>
  <si>
    <t>No - nominations have not been received from all members. Refer to General Remarks.</t>
  </si>
  <si>
    <t>Shares :</t>
  </si>
  <si>
    <t>Are applications for shares in order?</t>
  </si>
  <si>
    <t>Is the share register written up-to-date?</t>
  </si>
  <si>
    <t>Do the entries in the share register tally with the entries in the cash book?</t>
  </si>
  <si>
    <t>Is the share ledger written up-to-date?</t>
  </si>
  <si>
    <t>Do the totals of share ledger balances tally with the figures of share capital in the balance sheet?</t>
  </si>
  <si>
    <t>Yes - Rs. 10,000/- (200 shares of Rs. 50/- each).</t>
  </si>
  <si>
    <t>Have share certificates been issued to the shareholders for all the shares subscribed?</t>
  </si>
  <si>
    <t>Are share transfers and refunds in accordance with the provisions of the Bye-laws, Act and Rules?</t>
  </si>
  <si>
    <t>No transfers or transmissions were reported by the Management during the year. [TO BE CONFIRMED BY THE SOCIETY]</t>
  </si>
  <si>
    <t>Outside Borrowings :</t>
  </si>
  <si>
    <t>What is the limit fixed in the Bye-laws for borrowings of the society?</t>
  </si>
  <si>
    <t>As per Rule 35 of the MCS Rules, 1961.</t>
  </si>
  <si>
    <t>Has it been exceeded?</t>
  </si>
  <si>
    <t>No. An unsecured loan from a Managing Committee member with a balance of Rs. 15,656/- is outstanding; no sanction was produced. Refer to General Remarks (Part-C) item 12.</t>
  </si>
  <si>
    <t>If so, state whether necessary permission has been obtained from the competent authority.</t>
  </si>
  <si>
    <t>Not applicable</t>
  </si>
  <si>
    <t>Meetings :</t>
  </si>
  <si>
    <t>Give dates of : (a) Annual General Meeting</t>
  </si>
  <si>
    <t>(b) Special General Meeting</t>
  </si>
  <si>
    <t>State the No. of meetings held during the period : (a) Board or Managing Committee Meetings</t>
  </si>
  <si>
    <t>12 (one in each calendar month)</t>
  </si>
  <si>
    <t>(b) Executive or Sub-Committee meetings</t>
  </si>
  <si>
    <t>(c) Other Meetings</t>
  </si>
  <si>
    <t>Rectification of Reports :</t>
  </si>
  <si>
    <t>Has the society submitted audit rectification reports of the previous audit memos? If so, give dates of submission. If not, state the reason for non-submission.</t>
  </si>
  <si>
    <t>The Form 'O' rectification report for F.Y. 2024-25 was not produced for verification. [TO BE CONFIRMED BY THE SOCIETY]</t>
  </si>
  <si>
    <t>Have any important points mentioned in the previous audit memos been neglected by the society? If so, state them in general remarks.</t>
  </si>
  <si>
    <t>Yes - refer to 'Status of Audit Objections of the Previous Audit Report' in General Remarks (Part-B).</t>
  </si>
  <si>
    <t>Give the amount of audit fees last assessed.</t>
  </si>
  <si>
    <t>State the period for which assessed.</t>
  </si>
  <si>
    <t>01-Apr-2024 to 31-Mar-2025</t>
  </si>
  <si>
    <t>State the date of recovery of audit fees, name of Treasury and amount credited.</t>
  </si>
  <si>
    <t>Not recovered.</t>
  </si>
  <si>
    <t>If audit fees have not been paid by the society, give details about outstanding audit fees and reasons for non-payment.</t>
  </si>
  <si>
    <t>Audit fees aggregating Rs. 10,000/- are outstanding as at 31.03.2026 (previous year Rs. 7,500/-). No specific reason was furnished by the Society.</t>
  </si>
  <si>
    <t>Internal or Local Audit :</t>
  </si>
  <si>
    <t>If there is internal or local audit, state by whom done, period covered and whether the memo is on the record of the society.</t>
  </si>
  <si>
    <t>No Internal Audit</t>
  </si>
  <si>
    <t>State whether there is proper co-ordination between the Statutory Auditor and the Internal Auditor.</t>
  </si>
  <si>
    <t>Not Applicable</t>
  </si>
  <si>
    <t>(A) Managing Director / Manager / Secretary</t>
  </si>
  <si>
    <t>Name of the Officer</t>
  </si>
  <si>
    <t>State other allowances, if any, and any facilities given such as rent free quarters etc.</t>
  </si>
  <si>
    <t>State whether he / she is a member.</t>
  </si>
  <si>
    <t>If so, whether he / she has borrowed or has been given any credit facilities? State the amount borrowed and the amount overdue, if any.</t>
  </si>
  <si>
    <t>No</t>
  </si>
  <si>
    <t>If other amounts are due from him / her, give details.</t>
  </si>
  <si>
    <t>(B)</t>
  </si>
  <si>
    <t>Obtain a list of staff showing names, designations, qualifications, scales, present pay and allowances given, dates from which employed, security furnished etc.</t>
  </si>
  <si>
    <t>Payments made to a sweeper and to security guards. Salary Rs. 48,000/- and security expenses Rs. 1,30,000/-. Security bonds from persons handling cash were not produced.</t>
  </si>
  <si>
    <t>Breaches :</t>
  </si>
  <si>
    <t>Does the Society possess a copy of the Act, Rules and its registered Bye-laws?</t>
  </si>
  <si>
    <t>a) Act &amp; Rules - No    b) Bye-laws - Yes</t>
  </si>
  <si>
    <t>Give only numbers of breaches of the Act, Rules and Bye-laws.</t>
  </si>
  <si>
    <t>1. Sections : 24A, 66, 70, 82    2. Rules : 26, 54, 55, 73, 107C, 107D    3. Bye-laws : 13, 15, 20, 32, 142, 143/145, 148, 153(a), 154. Refer to General Remarks (Part-A) item 7.</t>
  </si>
  <si>
    <t>Have any rules been framed under the Bye-laws? Are they approved by the appropriate authority? Are they properly followed?</t>
  </si>
  <si>
    <t>Election Rules - Yes</t>
  </si>
  <si>
    <t>Profit and Loss :</t>
  </si>
  <si>
    <t>What is the amount of profit earned or loss incurred during the last co-operative year?</t>
  </si>
  <si>
    <t>Excess of Income over Expenditure - Rs. 2,89,125/- (previous year : Excess of Expenditure over Income Rs. 41,173/-)</t>
  </si>
  <si>
    <t>State how the net profits are distributed.</t>
  </si>
  <si>
    <t>No appropriation has been made. The transfer of not less than one-fourth of the surplus, i.e. Rs. 72,281/-, to the Reserve Fund under Section 66(2) is required to be placed before the General Body. Refer to General Remarks (Part-C) item 1.</t>
  </si>
  <si>
    <t>Cash, Bank Balances and Securities :</t>
  </si>
  <si>
    <t>Cash :</t>
  </si>
  <si>
    <t>Count cash and sign the cash book stating the amount so counted and the date on which counted.</t>
  </si>
  <si>
    <t>Cash was not counted. Balance as per books as at 31.03.2026 : Rs. 7,902/-, which exceeds the prescribed limit of Rs. 5,000/-.</t>
  </si>
  <si>
    <t>Who produced the cash for counting? Give his name and designation. Is he authorised to keep cash?</t>
  </si>
  <si>
    <t>Is it correct according to the Cash Book?</t>
  </si>
  <si>
    <t>Are arrangements for safety of cash in safe and cash in transit adequate?</t>
  </si>
  <si>
    <t>Generally, yes; however, the closing cash balance should be kept within the prescribed limit.</t>
  </si>
  <si>
    <t>Bank Balance :</t>
  </si>
  <si>
    <t>Do the bank balances shown in bank pass books or bank statements and bank balance certificates tally with such balances shown in the books of accounts? If not, check reconciliation statements.</t>
  </si>
  <si>
    <t>Yes. Bank Reconciliation Statements as at 31.03.2026 were produced for both accounts; the difference is NIL in each case. SVC Bank Rs. 4,08,718/- and MDCC Bank Rs. 1,25,279.37, aggregating Rs. 5,33,997.37.</t>
  </si>
  <si>
    <t>Securities :</t>
  </si>
  <si>
    <t>Verify securities physically and see whether they are in the name of the Society.</t>
  </si>
  <si>
    <t>Yes. Fixed deposits aggregating Rs. 16,66,008/- (including accrued interest) are held in the name of the Society.</t>
  </si>
  <si>
    <t>Are dividends and interest being duly collected?</t>
  </si>
  <si>
    <t>Interest is credited to the respective funds. Refer to General Remarks.</t>
  </si>
  <si>
    <t>If securities are lodged with the Bank, are relevant certificates obtained?</t>
  </si>
  <si>
    <t>Is the investment register kept and written up-to-date?</t>
  </si>
  <si>
    <t>The register produced does not record maturity dates and rates of interest for all deposits. Refer to General Remarks.</t>
  </si>
  <si>
    <t>Movable and Immovable Property :</t>
  </si>
  <si>
    <t>Are relevant registers maintained and written up-to-date?</t>
  </si>
  <si>
    <t>No - the Property Register is not maintained in proper form.</t>
  </si>
  <si>
    <t>Verify property physically and obtain its list. Do the balances tally with balance sheet figures?</t>
  </si>
  <si>
    <t>Physical verification of property was not carried out by me. Net block as per the Fixed Assets Schedule Rs. 22,65,062/- agrees with the Balance Sheet (Rs. 22,38,160/- plus Rs. 26,902/-).</t>
  </si>
  <si>
    <t>In the case of immovable property including land, verify title deeds and see whether they are in the name of the Society.</t>
  </si>
  <si>
    <t>No - conveyance has not been executed in favour of the Society.</t>
  </si>
  <si>
    <t>Is the property duly insured where necessary?</t>
  </si>
  <si>
    <t>Yes - premium of Rs. 14,865/- for the policy period 08.08.2025 to 07.08.2026; prepaid portion of Rs. 5,254/- carried forward.</t>
  </si>
  <si>
    <t>Depreciation :</t>
  </si>
  <si>
    <t>(i) Is due depreciation charged?</t>
  </si>
  <si>
    <t>Yes - Rs. 4,718/- charged for the year, recomputed and found correct.</t>
  </si>
  <si>
    <t>(ii) State the rate of depreciation charged on various assets.</t>
  </si>
  <si>
    <t>Furniture &amp; Fixtures 10%; CCTV, Water Pump and Water Meter 15% (WDV basis). Refer to Schedule II to the accounts.</t>
  </si>
  <si>
    <t>Have you discussed the draft audit memo in the Board or Managing Committee Meeting? If not, state the reasons for the same.</t>
  </si>
  <si>
    <t>Discussed with the Secretary and the Managing Committee members.</t>
  </si>
  <si>
    <t>Signature and Designation of Auditing Staff</t>
  </si>
  <si>
    <t>Address : Boridkar House, Pandurang Bhoir Road, Dahisar - West, Mumbai - 400 068</t>
  </si>
  <si>
    <t>FORM NO. 28</t>
  </si>
  <si>
    <t>Audit Memo (Co-operative Housing Societies)</t>
  </si>
  <si>
    <t>Part - II</t>
  </si>
  <si>
    <t>Borrowings :-</t>
  </si>
  <si>
    <t>State the loans obtained by the Society for various purposes from Government and other agencies.</t>
  </si>
  <si>
    <t>Not Applicable - no loans from Government or financing agencies. An unsecured loan from a Managing Committee member of Rs. 15,656/- is outstanding; refer to General Remarks (Part-C) item 12.</t>
  </si>
  <si>
    <t>Are repayments of loans punctual?</t>
  </si>
  <si>
    <t>Are all conditions laid down for grant of various loans and credits observed? Note breaches, if any.</t>
  </si>
  <si>
    <t>Are necessary documents executed in favour of the authority sanctioning the loan?</t>
  </si>
  <si>
    <t>Government Financial Assistance :-</t>
  </si>
  <si>
    <t>What is the amount of Government subsidy sanctioned and received by the society?</t>
  </si>
  <si>
    <t>Has Government sanctioned any amount for land development? If so, state the amount. Have development expenses exceeded the said amount?</t>
  </si>
  <si>
    <t>Membership :-</t>
  </si>
  <si>
    <t>State whether, in the case of backward class co-operative housing societies, certificates from the social welfare officers are obtained.</t>
  </si>
  <si>
    <t>State whether certificates are obtained from officers of the concerned industry in the case of the subsidised industrial housing scheme.</t>
  </si>
  <si>
    <t>Have declarations been obtained from members that they and their family members do not own lands or houses in the area of operation of the society as per provisions in the bye-laws?</t>
  </si>
  <si>
    <t>Lands and their development :-</t>
  </si>
  <si>
    <t>State whether lands for construction of houses have been secured, purchased or obtained on lease. Give details.</t>
  </si>
  <si>
    <t>See the title deeds and ascertain whether they are properly executed in favour of the Society.</t>
  </si>
  <si>
    <t>Title Deed not executed. Conveyance is pending. Refer to General Remarks (Part-C) item 16.</t>
  </si>
  <si>
    <t>State how the land has been utilised for :-</t>
  </si>
  <si>
    <t>Construction of houses.</t>
  </si>
  <si>
    <t>Residential Flats - 20 Flats</t>
  </si>
  <si>
    <t>Construction of roads.</t>
  </si>
  <si>
    <t>Open spaces.</t>
  </si>
  <si>
    <t>(d)</t>
  </si>
  <si>
    <t>Other purposes.</t>
  </si>
  <si>
    <t>Have the layouts and plans for development been approved by the Municipal authorities before actual commencement of the work?</t>
  </si>
  <si>
    <t>Have completion certificates been obtained from the appropriate authorities for drainage, water supply, roads, etc.?</t>
  </si>
  <si>
    <t>Already Constructed</t>
  </si>
  <si>
    <t>Construction of Buildings :-</t>
  </si>
  <si>
    <t>(a) Have building constructions commenced?</t>
  </si>
  <si>
    <t>(b) State the No. of houses or flats constructed and under construction.</t>
  </si>
  <si>
    <t>(c) Have the completed houses and flats been allotted to members?</t>
  </si>
  <si>
    <t>Are buildings constructed on contract basis? See the terms and conditions of contracts and state whether they have been properly observed.</t>
  </si>
  <si>
    <t>Are these contracts properly sanctioned by the competent authority as per bye-laws of the society?</t>
  </si>
  <si>
    <t>Have tenders or quotations been called after giving due advertisements in local newspapers?</t>
  </si>
  <si>
    <t>Already Constructed. In respect of repairs and maintenance work carried out during the year, comparative quotations and Managing Committee approvals were not produced for verification.</t>
  </si>
  <si>
    <t>Are contractors paid after necessary work progress certificates are obtained from the Architects? Are running and final bills obtained before payments are made to the contractors?</t>
  </si>
  <si>
    <t>No - advances to vendors of Rs. 11,05,887/- are carried without bills, work orders or completion certificates being produced. Refer to General Remarks (Part-C) item 5.</t>
  </si>
  <si>
    <t>See the terms on which the architects are employed. Are there any breaches?</t>
  </si>
  <si>
    <t>See whether completion certificates have been obtained from the qualified engineers and architects.</t>
  </si>
  <si>
    <t>Is a property register kept in proper form? Is it written up-to-date?</t>
  </si>
  <si>
    <t>(ix)</t>
  </si>
  <si>
    <t>When buildings are built departmentally, state whether job registers, measurement books and stock registers are kept and written up-to-date.</t>
  </si>
  <si>
    <t>(c) Are valuation certificates from qualified engineers and/or architects obtained?</t>
  </si>
  <si>
    <t>No - the Architect's certificate of construction cost was not produced. This is relevant to the computation of the Sinking Fund and Repairs Fund contributions. Refer to General Remarks (Part-C) item 13.</t>
  </si>
  <si>
    <t>(d) Is expenditure allocated properly between items of capital and revenue nature?</t>
  </si>
  <si>
    <t>Additions to fixed assets of Rs. 5,500/- (CCTV) have been capitalised and depreciation charged. However, I am unable to comment on the amounts carried as advances to vendors. Refer to General Remarks (Part-C) item 5.</t>
  </si>
  <si>
    <t>(x)</t>
  </si>
  <si>
    <t>State whether buildings have been constructed according to the original plans and estimates approved by the competent authority. Are there any deviations?</t>
  </si>
  <si>
    <t>(xi)</t>
  </si>
  <si>
    <t>In the case of flat-owners societies, see whether title to the land has been transferred in the name of the society.</t>
  </si>
  <si>
    <t>(xii)</t>
  </si>
  <si>
    <t>Are buildings and other constructions insured?</t>
  </si>
  <si>
    <t>Yes - policy period 08.08.2025 to 07.08.2026; premium Rs. 14,865/-. The adequacy of the sum insured was not independently verified.</t>
  </si>
  <si>
    <t>(xiii)</t>
  </si>
  <si>
    <t>In the case of flat-owners societies, have the promoters fulfilled their obligations as per agreements entered into with them by the members prior to the registration of the society?</t>
  </si>
  <si>
    <t>(xiv)</t>
  </si>
  <si>
    <t>Examine the agreements entered into with the promoters and see whether they are in the interest of the society.</t>
  </si>
  <si>
    <t>Not Available for Verification</t>
  </si>
  <si>
    <t>(xv)</t>
  </si>
  <si>
    <t>Has the society executed lease deeds in favour of members for giving plots and/or buildings on lease to them?</t>
  </si>
  <si>
    <t>(xvi)</t>
  </si>
  <si>
    <t>Has the society created a sinking fund as per the provisions of the bye-laws?</t>
  </si>
  <si>
    <t>Yes - Sinking Fund balance Rs. 9,34,838/- as at 31.03.2026. The rate of contribution could not be tested against the prescribed minimum in the absence of the Architect's certificate of construction cost.</t>
  </si>
  <si>
    <t>(xvii)</t>
  </si>
  <si>
    <t>Examine the basis on which monthly contributions are fixed in the case of flat-owners societies and see that the following items are adequately covered :-</t>
  </si>
  <si>
    <t>(i) Amounts required for repayment of loan instalments.</t>
  </si>
  <si>
    <t>(ii) Municipal and other taxes.</t>
  </si>
  <si>
    <t>Recovered separately - Rs. 85,604/- plus arrears Rs. 24,524/-.</t>
  </si>
  <si>
    <t>(iii) Lease rent.</t>
  </si>
  <si>
    <t>(iv) Service charges and common expenses.</t>
  </si>
  <si>
    <t>Recovered equally from all flats - Rs. 6,35,120/-.</t>
  </si>
  <si>
    <t>(v) Contribution to the sinking fund.</t>
  </si>
  <si>
    <t>Recovered equally from all flats - Rs. 10,920/- p.a.</t>
  </si>
  <si>
    <t>Loans to Members :-</t>
  </si>
  <si>
    <t>Are recoveries of loans punctual?</t>
  </si>
  <si>
    <t>Not Applicable - the Society does not grant loans to members.</t>
  </si>
  <si>
    <t>State the amounts of overdues.</t>
  </si>
  <si>
    <t>State what steps are being taken to recover overdues.</t>
  </si>
  <si>
    <t>Expenditure :-</t>
  </si>
  <si>
    <t>Has the expenditure been approved by the Managing Committee from time to time?</t>
  </si>
  <si>
    <t>No - Managing Committee resolutions approving periodic expenditure and accepting vendors' quotations are not recorded in the minutes. Refer to General Remarks (Part-B).</t>
  </si>
  <si>
    <t>Schedules attached to and forming part of the Annual Accounts for the year ended 31st March, 2026</t>
  </si>
  <si>
    <t>A</t>
  </si>
  <si>
    <t>Accounting Conventions :</t>
  </si>
  <si>
    <t>Basis of preparation</t>
  </si>
  <si>
    <t>The financial statements have been prepared under the historical cost convention, in accordance with the generally accepted accounting policies and according to the provisions of the Maharashtra Co-operative Societies Act, 1960 and the Rules framed thereunder and the registered Bye-Laws of the Society, and the same, unless specifically referred to otherwise, are adopted consistently by the Society.</t>
  </si>
  <si>
    <t>Recognition of Income and Expenditure :</t>
  </si>
  <si>
    <t>The Society generally follows the accrual system of accounting and recognises significant items of income and expenditure on an accrual basis, except contributions by members towards Non-Agricultural Tax and its payment, and the annual contribution towards the education and training fund of the State federal society.</t>
  </si>
  <si>
    <t>Late payment interest charged to a member whose dues are in long arrears is credited to 'Unrealised Member's Dues' and is not recognised as income until realised. During the year an amount of Rs. 1,64,999/- has been so treated.</t>
  </si>
  <si>
    <t>Fixed Assets :</t>
  </si>
  <si>
    <t>Fixed assets are stated at cost less depreciation. Cost comprises the cost of acquisition and any attributable cost of bringing the asset to the condition for its intended use.</t>
  </si>
  <si>
    <t>Depreciation is provided for the number of days the fixed assets were put to use during the year, on the written down value (WDV) basis, at the rates prescribed under the Income Tax Act, 1961.</t>
  </si>
  <si>
    <t>Investments :</t>
  </si>
  <si>
    <t>Investments are stated at cost. Interest accrued on fixed deposits earmarked against a fund is credited to that fund.</t>
  </si>
  <si>
    <t>Contingent Liabilities :</t>
  </si>
  <si>
    <t>Contingent liabilities are not provided for and, if any, the same are disclosed by way of a note. No contingent liability has been reported to us by the Management for the year ended 31st March, 2026. [TO BE CONFIRMED BY THE SOCIETY]</t>
  </si>
  <si>
    <t>B</t>
  </si>
  <si>
    <t>Notes on Accounts :</t>
  </si>
  <si>
    <t>Previous year figures :</t>
  </si>
  <si>
    <t>Previous year figures have been re-worked, re-grouped, re-arranged and re-classified wherever necessary to facilitate comparison with the current year figures.</t>
  </si>
  <si>
    <t>The dues from members, advances to vendors, sundry creditors and the credit balance of the members' security deposit with Adani Electricity are subject to confirmation.</t>
  </si>
  <si>
    <t>In the opinion of the Managing Committee, the value of other assets is as stated in the financial statements, if realised in the ordinary course of the operations of the Society.</t>
  </si>
  <si>
    <t>An amount of Rs. 32,600/- being income tax refunded for A.Y. 2019-20, and a write-off of Rs. 1,853/- described as 'Difference on FD Interest &amp; W/o Exp.', have been adjusted directly against the opening balance of the Income and Expenditure Account.</t>
  </si>
  <si>
    <t>No amount has been appropriated out of the surplus of Rs. 2,89,125/- for the year. The appropriation of the surplus, including the transfer to the Reserve Fund, is subject to the approval of the General Body.</t>
  </si>
  <si>
    <t>No provision has been made for doubtful recovery of member dues of Rs. 9,58,838/- (net of unrealised interest) outstanding from Flat No. 404 since April 2018.</t>
  </si>
  <si>
    <t>For OASIS CO-OPERATIVE HOUSING SOCIETY LTD.</t>
  </si>
  <si>
    <t>Chairman                    Hon. Secretary                    Hon. Treasurer</t>
  </si>
  <si>
    <t>As per my report of even date</t>
  </si>
  <si>
    <t>MC - Meetings</t>
  </si>
  <si>
    <t>Meet-1</t>
  </si>
  <si>
    <t>21-04-2025</t>
  </si>
  <si>
    <t>Meet-2</t>
  </si>
  <si>
    <t>05-05-2025</t>
  </si>
  <si>
    <t>Meet-3</t>
  </si>
  <si>
    <t>14-06-2025</t>
  </si>
  <si>
    <t>Meet-4</t>
  </si>
  <si>
    <t>13-07-2025</t>
  </si>
  <si>
    <t>Meet-5</t>
  </si>
  <si>
    <t>07-08-2025</t>
  </si>
  <si>
    <t>Meet-6</t>
  </si>
  <si>
    <t>14-09-2025</t>
  </si>
  <si>
    <t>Meet-7</t>
  </si>
  <si>
    <t>11-10-2025</t>
  </si>
  <si>
    <t>Meet-8</t>
  </si>
  <si>
    <t>07-11-2025</t>
  </si>
  <si>
    <t>Meet-9</t>
  </si>
  <si>
    <t>13-12-2025</t>
  </si>
  <si>
    <t>Meet-10</t>
  </si>
  <si>
    <t>04-01-2026</t>
  </si>
  <si>
    <t>Meet-11</t>
  </si>
  <si>
    <t>08-02-2026</t>
  </si>
  <si>
    <t>Meet-12</t>
  </si>
  <si>
    <t>15-03-2026</t>
  </si>
  <si>
    <t>AGM</t>
  </si>
  <si>
    <t>SGM</t>
  </si>
  <si>
    <t>Mumbai, 12-09-2026</t>
  </si>
  <si>
    <t>02-09-2026</t>
  </si>
  <si>
    <t>11-09-2026</t>
  </si>
  <si>
    <t>Note :</t>
  </si>
  <si>
    <t>One Managing Committee meeting was held in each calendar month of the year under audit, satisfying Bye-Law No. 127(i).</t>
  </si>
  <si>
    <t>INTERNAL AUDIT CROSS-CHECK - F.Y. 2025-26 (WORKING PAPER - NOT PART OF THE AUDIT REPORT / NOT TO BE PRINTED)</t>
  </si>
  <si>
    <t>Sr.</t>
  </si>
  <si>
    <t>Check performed</t>
  </si>
  <si>
    <t>Per accounts</t>
  </si>
  <si>
    <t>Per audit</t>
  </si>
  <si>
    <t>Difference</t>
  </si>
  <si>
    <t>Auditor's conclusion</t>
  </si>
  <si>
    <t>Balance Sheet - Total Liabilities</t>
  </si>
  <si>
    <t>Agrees. Liabilities recomputed line by line.</t>
  </si>
  <si>
    <t>Balance Sheet - Total Assets</t>
  </si>
  <si>
    <t>Agrees. Assets recomputed line by line.</t>
  </si>
  <si>
    <t>Income &amp; Expenditure - Total Income</t>
  </si>
  <si>
    <t>Agrees.</t>
  </si>
  <si>
    <t>Income &amp; Expenditure - Total Expenditure (incl. surplus)</t>
  </si>
  <si>
    <t>Surplus for the year</t>
  </si>
  <si>
    <t>Income Rs. 8,40,264 less expenditure Rs. 5,51,139.</t>
  </si>
  <si>
    <t>General Reserve Fund closing balance</t>
  </si>
  <si>
    <t>Op. 6,85,949.65 + collection 600 + interest 2,984.</t>
  </si>
  <si>
    <t>Sinking Fund closing balance</t>
  </si>
  <si>
    <t>Op. 8,45,260 + collection 10,920 + interest 78,658 - utilisation NIL.</t>
  </si>
  <si>
    <t>Repairs &amp; Maintenance Fund closing balance</t>
  </si>
  <si>
    <t>Op. 4,47,627 + collection 48,000 + interest 30,880.</t>
  </si>
  <si>
    <t>Education &amp; Training Fund closing balance</t>
  </si>
  <si>
    <t>Op. 21,738 + collection 2,400 + interest 1,238.</t>
  </si>
  <si>
    <t>Income &amp; Expenditure A/c closing balance</t>
  </si>
  <si>
    <t>Op. 15,78,689.44 + IT refund 32,600 - w/off 1,853 + surplus 2,89,125.</t>
  </si>
  <si>
    <t>Fixed Deposits - principal per Schedule I</t>
  </si>
  <si>
    <t>Fixed Deposits - accrued interest per Schedule I</t>
  </si>
  <si>
    <t>Prior year 1,031 + current year 69,060.</t>
  </si>
  <si>
    <t>Fixed Deposits - total carried to Balance Sheet</t>
  </si>
  <si>
    <t>Schedule I total agrees with the five FD lines in the Balance Sheet.</t>
  </si>
  <si>
    <t>Depreciation for the year (Schedule II)</t>
  </si>
  <si>
    <t>Recomputed : F&amp;F 51 + CCTV 2,611 + Pump 957 + Meter 1,099.</t>
  </si>
  <si>
    <t>Fixed Assets - net block (Schedule II)</t>
  </si>
  <si>
    <t>Agrees with Rs. 22,38,160 + Rs. 26,902 in the Balance Sheet.</t>
  </si>
  <si>
    <t>Members Receivable (Schedule III)</t>
  </si>
  <si>
    <t>Flat 404 20,85,082 + 203 8,476 + 302 3,764 + 102 540.</t>
  </si>
  <si>
    <t>Agrees with four members.</t>
  </si>
  <si>
    <t>Advance to Vendors (Schedule V)</t>
  </si>
  <si>
    <t>Vendor Payables &amp; Provisions (Schedule VI)</t>
  </si>
  <si>
    <t>Unidentified Credits (Schedule VII)</t>
  </si>
  <si>
    <t>Bank balances vs. Bank Reconciliation Statements</t>
  </si>
  <si>
    <t>SVC 4,08,718 + MDCC 1,25,279.37; BRS difference NIL for both.</t>
  </si>
  <si>
    <t>Unrealised Member's Dues - addition for the year</t>
  </si>
  <si>
    <t>Agrees with the flat-wise working for Flat 404 for FY 2025-26.</t>
  </si>
  <si>
    <t>Unrealised Member's Dues - cumulative</t>
  </si>
  <si>
    <t>Agrees with the total of the flat-wise working, April 2018 to March 2026.</t>
  </si>
  <si>
    <t>FD interest transferred to Funds</t>
  </si>
  <si>
    <t>RF 2,984 + SF 78,658 + Repair 30,880 + E&amp;T 1,238; balance 1,678 retained in I&amp;E.</t>
  </si>
  <si>
    <t>Common area electricity vs. working note</t>
  </si>
  <si>
    <t>Rs. 61,063 billed + Rs. 5,551 provision. Agrees.</t>
  </si>
  <si>
    <t>Opening balances vs. audited FY 2024-25 closing balances</t>
  </si>
  <si>
    <t>All funds, I&amp;E balance and Unrealised Dues agree with the preceding year.</t>
  </si>
  <si>
    <t>Aggregate of unexplained differences</t>
  </si>
  <si>
    <t>NIL - every figure in the audit report agrees with the financial statements.</t>
  </si>
  <si>
    <t>DIFFERENCES AND MATTERS IDENTIFIED DURING THE CROSS-CHECK (reported in the Audit Report)</t>
  </si>
  <si>
    <t>Matter</t>
  </si>
  <si>
    <t>Amount (Rs.)</t>
  </si>
  <si>
    <t>Basis</t>
  </si>
  <si>
    <t>Reported at</t>
  </si>
  <si>
    <t>Income tax charged vs. the Society's own tax computation</t>
  </si>
  <si>
    <t>Charge 9,166 less computation 2,300</t>
  </si>
  <si>
    <t>Part-C item 8</t>
  </si>
  <si>
    <t>Water charges vs. the supporting working note</t>
  </si>
  <si>
    <t>Working 46,162 less charge 45,024</t>
  </si>
  <si>
    <t>Part-C item 10</t>
  </si>
  <si>
    <t>TDS receivable movement vs. refund received</t>
  </si>
  <si>
    <t>Refund 32,600 less reduction in TDS receivable 26,220</t>
  </si>
  <si>
    <t>Part-C item 9</t>
  </si>
  <si>
    <t>Reserve Fund transfer not made out of the surplus</t>
  </si>
  <si>
    <t>25% of surplus of 2,89,125</t>
  </si>
  <si>
    <t>Part-C item 1 / Schedule II</t>
  </si>
  <si>
    <t>Prior period items adjusted against reserves</t>
  </si>
  <si>
    <t>Refund 32,600 less write-off 1,853</t>
  </si>
  <si>
    <t>Part-C item 3 / Schedule II</t>
  </si>
  <si>
    <t>Shortfall in earmarked investment of funds</t>
  </si>
  <si>
    <t>Funds 21,86,255 less investments 16,66,008</t>
  </si>
  <si>
    <t>Part-C item 6</t>
  </si>
  <si>
    <t>Cash 7,902 less limit 5,000</t>
  </si>
  <si>
    <t>Part-C item 2</t>
  </si>
  <si>
    <t>Increase in vendor advances against a fall in repairs expenditure</t>
  </si>
  <si>
    <t>Advances 11,05,887 less 7,55,767</t>
  </si>
  <si>
    <t>Part-C item 5 / Qualified Opinion</t>
  </si>
  <si>
    <t>Member dues considered doubtful, no provision made</t>
  </si>
  <si>
    <t>Flat 404 dues 20,85,082 less unrealised interest 11,26,244</t>
  </si>
  <si>
    <t>Part-C item 4 / Schedule IV</t>
  </si>
  <si>
    <t>FINAL AUDITOR REVIEW</t>
  </si>
  <si>
    <t>Financial Accuracy</t>
  </si>
  <si>
    <t>Every figure appearing in the audit report has been recomputed from the FY 2025-26 financial statements and agreed to the underlying schedules. The Balance Sheet tallies at Rs. 77,63,249.09 on both sides and the Income and Expenditure Account at Rs. 8,40,264. No figure has been carried over from the FY 2024-25 report.</t>
  </si>
  <si>
    <t>Statutory Compliance</t>
  </si>
  <si>
    <t>Each statutory reference used in the FY 2024-25 report has been re-tested against the FY 2025-26 accounts. Section 66 has been newly invoked because the year produced a surplus. References to Section 155-B(6), Section 73b and Bye-Law 114 (committee strength and quorum) and Bye-Law 127(i) have not been repeated, the first because applicability could not be verified and the others because the position was found rectified or not verifiable. References whose applicability could not be established from the material available are flagged '[LEGAL PROVISION TO BE VERIFIED]'.</t>
  </si>
  <si>
    <t>Audit Observations</t>
  </si>
  <si>
    <t>Sixteen observations are reported in Part-C, of which eight are new for FY 2025-26 (items 1, 3, 5, 8, 9, 10, 12 and 14). Each observation is supported by an amount traced to the accounts.</t>
  </si>
  <si>
    <t>Previous-Year Compliance</t>
  </si>
  <si>
    <t>All fifteen matters arising out of the FY 2024-25 report have been individually tracked. Three are rectified, one is no longer applicable, nine remain outstanding and two could not be verified from the records produced.</t>
  </si>
  <si>
    <t>Internal Consistency</t>
  </si>
  <si>
    <t>The aggregate of unexplained differences between the audit report and the financial statements is NIL, as shown in the table above. The differences reported in Part-C are differences within the Society's own records and working papers, not between the report and the accounts.</t>
  </si>
  <si>
    <t>Formatting</t>
  </si>
  <si>
    <t>The report follows the sequence, headings, terminology, schedules and presentation of the FY 2024-25 audit report : Title particulars, Cover, Covering letter, Independent Auditor's Report, Statutory Schedules I to VI, General Remarks Parts A / B / C, Form No. 1, Form No. 28, Accounting Policies and Notes, and Meetings.</t>
  </si>
  <si>
    <t>Matters requiring the auditor's personal verification</t>
  </si>
  <si>
    <t>The list of the Managing Committee as at 31.03.2026, the name of the Secretary, the status of the Form 'O' rectification report for FY 2024-25, the flat-wise working of non-occupancy charges, the Architect's certificate of construction cost, evidence of TDS compliance, and every item flagged '[LEGAL PROVISION TO BE VERIFIED]' in the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</si>
</sst>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
  </numFmts>
  <fonts count="7" x14ac:knownFonts="1">
    <font>
      <sz val="11"/>
      <color theme="1"/>
      <name val="Calibri"/>
      <family val="2"/>
      <charset val="1"/>
    </font>
    <font>
      <b/>
      <sz val="14"/>
      <name val="Arial"/>
      <charset val="1"/>
    </font>
    <font>
      <b/>
      <sz val="10"/>
      <name val="Arial"/>
      <charset val="1"/>
    </font>
    <font>
      <sz val="10"/>
      <name val="Arial"/>
      <charset val="1"/>
    </font>
    <font>
      <b/>
      <sz val="11"/>
      <name val="Arial"/>
      <charset val="1"/>
    </font>
    <font>
      <sz val="9"/>
      <name val="Arial"/>
      <charset val="1"/>
    </font>
    <font>
      <i/>
      <sz val="10"/>
      <name val="Arial"/>
      <charset val="1"/>
    </font>
  </fonts>
  <fills count="4">
    <fill>
      <patternFill patternType="none"/>
    </fill>
    <fill>
      <patternFill patternType="gray125"/>
    </fill>
    <fill>
      <patternFill patternType="solid">
        <fgColor rgb="FFD9D9D9"/>
        <bgColor rgb="FFC0C0C0"/>
      </patternFill>
    </fill>
    <fill>
      <patternFill patternType="solid">
        <fgColor rgb="FFFFF2CC"/>
        <bgColor rgb="FFFFFFFF"/>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43">
    <xf numFmtId="0" fontId="0" fillId="0" borderId="0" xfId="0"/>
    <xf numFmtId="0" fontId="3" fillId="0" borderId="2" xfId="0" applyFont="1" applyBorder="1" applyAlignment="1">
      <alignment horizontal="justify" vertical="top" wrapText="1"/>
    </xf>
    <xf numFmtId="0" fontId="4" fillId="0" borderId="0" xfId="0" applyFont="1" applyAlignment="1">
      <alignment horizontal="justify" vertical="top" wrapText="1"/>
    </xf>
    <xf numFmtId="0" fontId="6" fillId="0" borderId="0" xfId="0" applyFont="1" applyAlignment="1">
      <alignment horizontal="justify" vertical="top" wrapText="1"/>
    </xf>
    <xf numFmtId="0" fontId="2" fillId="0" borderId="2" xfId="0" applyFont="1" applyBorder="1" applyAlignment="1">
      <alignment horizontal="center" vertical="center" wrapText="1"/>
    </xf>
    <xf numFmtId="0" fontId="3" fillId="0" borderId="2" xfId="0" applyFont="1" applyBorder="1" applyAlignment="1">
      <alignment vertical="top" wrapText="1"/>
    </xf>
    <xf numFmtId="0" fontId="2" fillId="2" borderId="2" xfId="0" applyFont="1" applyFill="1" applyBorder="1" applyAlignment="1">
      <alignment horizontal="center" vertical="center" wrapText="1"/>
    </xf>
    <xf numFmtId="0" fontId="3" fillId="0" borderId="0" xfId="0" applyFont="1" applyAlignment="1">
      <alignment horizontal="justify" vertical="top" wrapText="1"/>
    </xf>
    <xf numFmtId="0" fontId="3" fillId="0" borderId="0" xfId="0" applyFont="1" applyAlignment="1">
      <alignment vertical="top" wrapText="1"/>
    </xf>
    <xf numFmtId="0" fontId="2" fillId="0" borderId="0" xfId="0" applyFont="1" applyAlignment="1">
      <alignment horizontal="justify" vertical="top" wrapText="1"/>
    </xf>
    <xf numFmtId="0" fontId="2" fillId="0" borderId="0" xfId="0" applyFont="1" applyAlignment="1">
      <alignment horizontal="center" vertical="center" wrapText="1"/>
    </xf>
    <xf numFmtId="0" fontId="5"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vertical="top"/>
    </xf>
    <xf numFmtId="0" fontId="3" fillId="0" borderId="0" xfId="0" applyFont="1" applyAlignment="1">
      <alignment vertical="top"/>
    </xf>
    <xf numFmtId="0" fontId="3" fillId="0" borderId="0" xfId="0" applyFont="1" applyAlignment="1">
      <alignment vertical="top" wrapText="1"/>
    </xf>
    <xf numFmtId="0" fontId="5" fillId="0" borderId="0" xfId="0" applyFont="1" applyAlignment="1">
      <alignment vertical="top"/>
    </xf>
    <xf numFmtId="0" fontId="3" fillId="0" borderId="0" xfId="0" applyFont="1" applyAlignment="1">
      <alignment horizontal="right" vertical="top"/>
    </xf>
    <xf numFmtId="0" fontId="2" fillId="0" borderId="0" xfId="0" applyFont="1" applyAlignment="1">
      <alignment vertical="top" wrapText="1"/>
    </xf>
    <xf numFmtId="0" fontId="3" fillId="0" borderId="0" xfId="0" applyFont="1" applyAlignment="1">
      <alignment horizontal="justify" vertical="top" wrapText="1"/>
    </xf>
    <xf numFmtId="0" fontId="3" fillId="0" borderId="0" xfId="0" applyFont="1"/>
    <xf numFmtId="0" fontId="4" fillId="0" borderId="0" xfId="0" applyFont="1" applyAlignment="1">
      <alignment vertical="top"/>
    </xf>
    <xf numFmtId="0" fontId="2"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vertical="top" wrapText="1"/>
    </xf>
    <xf numFmtId="0" fontId="3" fillId="0" borderId="1" xfId="0" applyFont="1" applyBorder="1" applyAlignment="1">
      <alignment vertical="top" wrapText="1"/>
    </xf>
    <xf numFmtId="0" fontId="3" fillId="0" borderId="1" xfId="0" applyFont="1" applyBorder="1" applyAlignment="1">
      <alignment vertical="top"/>
    </xf>
    <xf numFmtId="164" fontId="3" fillId="0" borderId="0" xfId="0" applyNumberFormat="1" applyFont="1" applyAlignment="1">
      <alignment horizontal="right" vertical="top"/>
    </xf>
    <xf numFmtId="164" fontId="2" fillId="0" borderId="0" xfId="0" applyNumberFormat="1" applyFont="1" applyAlignment="1">
      <alignment horizontal="right" vertical="top"/>
    </xf>
    <xf numFmtId="164" fontId="3" fillId="0" borderId="1" xfId="0" applyNumberFormat="1" applyFont="1" applyBorder="1" applyAlignment="1">
      <alignment horizontal="right" vertical="top"/>
    </xf>
    <xf numFmtId="165" fontId="3" fillId="0" borderId="1" xfId="0" applyNumberFormat="1" applyFont="1" applyBorder="1" applyAlignment="1">
      <alignment horizontal="right" vertical="top"/>
    </xf>
    <xf numFmtId="165" fontId="2" fillId="0" borderId="1" xfId="0" applyNumberFormat="1" applyFont="1" applyBorder="1" applyAlignment="1">
      <alignment horizontal="right" vertical="top"/>
    </xf>
    <xf numFmtId="164" fontId="2" fillId="0" borderId="1" xfId="0" applyNumberFormat="1" applyFont="1" applyBorder="1" applyAlignment="1">
      <alignment horizontal="right" vertical="top"/>
    </xf>
    <xf numFmtId="2" fontId="3" fillId="0" borderId="1" xfId="0" applyNumberFormat="1" applyFont="1" applyBorder="1" applyAlignment="1">
      <alignment horizontal="right" vertical="top"/>
    </xf>
    <xf numFmtId="2" fontId="2" fillId="0" borderId="1" xfId="0" applyNumberFormat="1" applyFont="1" applyBorder="1" applyAlignment="1">
      <alignment horizontal="right" vertical="top"/>
    </xf>
    <xf numFmtId="164" fontId="2" fillId="3" borderId="1" xfId="0" applyNumberFormat="1" applyFont="1" applyFill="1" applyBorder="1" applyAlignment="1">
      <alignment horizontal="right" vertical="top"/>
    </xf>
    <xf numFmtId="0" fontId="5" fillId="0" borderId="0" xfId="0" applyFont="1" applyAlignment="1">
      <alignment vertical="top" wrapText="1"/>
    </xf>
    <xf numFmtId="0" fontId="2" fillId="3" borderId="1" xfId="0" applyFont="1" applyFill="1" applyBorder="1" applyAlignment="1">
      <alignment vertical="top"/>
    </xf>
    <xf numFmtId="165" fontId="2" fillId="3" borderId="1" xfId="0" applyNumberFormat="1" applyFont="1" applyFill="1" applyBorder="1" applyAlignment="1">
      <alignment horizontal="right" vertical="top"/>
    </xf>
    <xf numFmtId="0" fontId="2" fillId="3" borderId="1" xfId="0" applyFont="1" applyFill="1" applyBorder="1" applyAlignment="1">
      <alignment vertical="top" wrapText="1"/>
    </xf>
    <xf numFmtId="0" fontId="2" fillId="2"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35"/>
  <sheetViews>
    <sheetView showGridLines="0" topLeftCell="A6" zoomScaleNormal="100" workbookViewId="0">
      <selection sqref="A1:E1"/>
    </sheetView>
  </sheetViews>
  <sheetFormatPr defaultColWidth="8.6640625" defaultRowHeight="14.4" x14ac:dyDescent="0.3"/>
  <cols>
    <col min="1" max="1" width="32" customWidth="1"/>
    <col min="2" max="2" width="12" customWidth="1"/>
    <col min="3" max="3" width="2" customWidth="1"/>
    <col min="4" max="4" width="62" customWidth="1"/>
    <col min="5" max="5" width="26" customWidth="1"/>
  </cols>
  <sheetData>
    <row r="1" spans="1:5" ht="17.399999999999999" customHeight="1" x14ac:dyDescent="0.3">
      <c r="A1" s="14" t="s">
        <v>0</v>
      </c>
      <c r="B1" s="14"/>
      <c r="C1" s="14"/>
      <c r="D1" s="14"/>
      <c r="E1" s="14"/>
    </row>
    <row r="3" spans="1:5" x14ac:dyDescent="0.3">
      <c r="A3" s="15" t="s">
        <v>1</v>
      </c>
      <c r="B3" s="16"/>
      <c r="D3" s="17" t="s">
        <v>2</v>
      </c>
    </row>
    <row r="4" spans="1:5" x14ac:dyDescent="0.3">
      <c r="A4" s="15" t="s">
        <v>3</v>
      </c>
      <c r="B4" s="16"/>
      <c r="D4" s="17" t="s">
        <v>4</v>
      </c>
    </row>
    <row r="5" spans="1:5" x14ac:dyDescent="0.3">
      <c r="A5" s="15" t="s">
        <v>5</v>
      </c>
      <c r="B5" s="16"/>
      <c r="D5" s="17" t="s">
        <v>6</v>
      </c>
    </row>
    <row r="6" spans="1:5" x14ac:dyDescent="0.3">
      <c r="A6" s="15" t="s">
        <v>7</v>
      </c>
      <c r="B6" s="16"/>
      <c r="D6" s="17" t="s">
        <v>8</v>
      </c>
    </row>
    <row r="7" spans="1:5" ht="26.4" x14ac:dyDescent="0.3">
      <c r="A7" s="15" t="s">
        <v>9</v>
      </c>
      <c r="B7" s="16"/>
      <c r="D7" s="17" t="s">
        <v>10</v>
      </c>
    </row>
    <row r="8" spans="1:5" x14ac:dyDescent="0.3">
      <c r="A8" s="15" t="s">
        <v>11</v>
      </c>
      <c r="B8" s="16" t="s">
        <v>12</v>
      </c>
      <c r="D8" s="17" t="s">
        <v>13</v>
      </c>
    </row>
    <row r="9" spans="1:5" x14ac:dyDescent="0.3">
      <c r="A9" s="16"/>
      <c r="B9" s="16" t="s">
        <v>14</v>
      </c>
      <c r="D9" s="17" t="s">
        <v>15</v>
      </c>
    </row>
    <row r="10" spans="1:5" x14ac:dyDescent="0.3">
      <c r="A10" s="15" t="s">
        <v>16</v>
      </c>
      <c r="B10" s="16" t="s">
        <v>1</v>
      </c>
      <c r="D10" s="17" t="s">
        <v>17</v>
      </c>
    </row>
    <row r="11" spans="1:5" x14ac:dyDescent="0.3">
      <c r="A11" s="15" t="s">
        <v>18</v>
      </c>
      <c r="B11" s="16"/>
      <c r="D11" s="17" t="s">
        <v>19</v>
      </c>
    </row>
    <row r="12" spans="1:5" ht="26.4" x14ac:dyDescent="0.3">
      <c r="A12" s="16"/>
      <c r="B12" s="16" t="s">
        <v>9</v>
      </c>
      <c r="D12" s="17" t="s">
        <v>20</v>
      </c>
    </row>
    <row r="13" spans="1:5" x14ac:dyDescent="0.3">
      <c r="A13" s="15" t="s">
        <v>21</v>
      </c>
      <c r="B13" s="16"/>
      <c r="D13" s="17" t="s">
        <v>22</v>
      </c>
    </row>
    <row r="14" spans="1:5" x14ac:dyDescent="0.3">
      <c r="A14" s="15" t="s">
        <v>23</v>
      </c>
      <c r="B14" s="16"/>
      <c r="D14" s="17" t="s">
        <v>24</v>
      </c>
    </row>
    <row r="15" spans="1:5" x14ac:dyDescent="0.3">
      <c r="A15" s="15" t="s">
        <v>25</v>
      </c>
      <c r="B15" s="16"/>
      <c r="D15" s="17" t="s">
        <v>26</v>
      </c>
    </row>
    <row r="16" spans="1:5" x14ac:dyDescent="0.3">
      <c r="A16" s="15" t="s">
        <v>27</v>
      </c>
      <c r="B16" s="16"/>
      <c r="D16" s="17" t="s">
        <v>28</v>
      </c>
    </row>
    <row r="17" spans="1:4" x14ac:dyDescent="0.3">
      <c r="A17" s="15" t="s">
        <v>29</v>
      </c>
      <c r="B17" s="16"/>
      <c r="D17" s="17" t="s">
        <v>30</v>
      </c>
    </row>
    <row r="18" spans="1:4" x14ac:dyDescent="0.3">
      <c r="A18" s="15" t="s">
        <v>31</v>
      </c>
      <c r="B18" s="16"/>
      <c r="D18" s="17" t="s">
        <v>30</v>
      </c>
    </row>
    <row r="19" spans="1:4" x14ac:dyDescent="0.3">
      <c r="A19" s="15" t="s">
        <v>32</v>
      </c>
      <c r="B19" s="16"/>
      <c r="D19" s="17" t="s">
        <v>33</v>
      </c>
    </row>
    <row r="20" spans="1:4" x14ac:dyDescent="0.3">
      <c r="A20" s="15" t="s">
        <v>34</v>
      </c>
      <c r="B20" s="16"/>
      <c r="D20" s="17" t="s">
        <v>35</v>
      </c>
    </row>
    <row r="21" spans="1:4" x14ac:dyDescent="0.3">
      <c r="A21" s="15" t="s">
        <v>36</v>
      </c>
      <c r="B21" s="16"/>
      <c r="D21" s="17" t="s">
        <v>37</v>
      </c>
    </row>
    <row r="22" spans="1:4" x14ac:dyDescent="0.3">
      <c r="A22" s="15" t="s">
        <v>38</v>
      </c>
      <c r="B22" s="16"/>
      <c r="D22" s="17" t="s">
        <v>39</v>
      </c>
    </row>
    <row r="23" spans="1:4" x14ac:dyDescent="0.3">
      <c r="A23" s="15" t="s">
        <v>40</v>
      </c>
      <c r="B23" s="16"/>
      <c r="D23" s="17" t="s">
        <v>22</v>
      </c>
    </row>
    <row r="24" spans="1:4" x14ac:dyDescent="0.3">
      <c r="A24" s="15" t="s">
        <v>41</v>
      </c>
      <c r="B24" s="16" t="s">
        <v>42</v>
      </c>
      <c r="D24" s="17" t="s">
        <v>43</v>
      </c>
    </row>
    <row r="25" spans="1:4" x14ac:dyDescent="0.3">
      <c r="A25" s="16"/>
      <c r="B25" s="16" t="s">
        <v>44</v>
      </c>
      <c r="D25" s="17" t="s">
        <v>45</v>
      </c>
    </row>
    <row r="26" spans="1:4" x14ac:dyDescent="0.3">
      <c r="A26" s="16"/>
      <c r="B26" s="16" t="s">
        <v>46</v>
      </c>
      <c r="D26" s="17" t="s">
        <v>47</v>
      </c>
    </row>
    <row r="27" spans="1:4" x14ac:dyDescent="0.3">
      <c r="A27" s="15" t="s">
        <v>48</v>
      </c>
      <c r="B27" s="16" t="s">
        <v>1</v>
      </c>
      <c r="D27" s="17" t="s">
        <v>22</v>
      </c>
    </row>
    <row r="28" spans="1:4" x14ac:dyDescent="0.3">
      <c r="A28" s="15" t="s">
        <v>49</v>
      </c>
      <c r="B28" s="16"/>
      <c r="D28" s="17" t="s">
        <v>35</v>
      </c>
    </row>
    <row r="29" spans="1:4" x14ac:dyDescent="0.3">
      <c r="A29" s="15" t="s">
        <v>50</v>
      </c>
      <c r="B29" s="16" t="s">
        <v>42</v>
      </c>
      <c r="D29" s="17" t="s">
        <v>51</v>
      </c>
    </row>
    <row r="30" spans="1:4" x14ac:dyDescent="0.3">
      <c r="A30" s="16"/>
      <c r="B30" s="16" t="s">
        <v>52</v>
      </c>
      <c r="D30" s="17" t="s">
        <v>53</v>
      </c>
    </row>
    <row r="32" spans="1:4" x14ac:dyDescent="0.3">
      <c r="A32" s="15" t="s">
        <v>54</v>
      </c>
      <c r="D32" s="15" t="s">
        <v>55</v>
      </c>
    </row>
    <row r="34" spans="1:4" x14ac:dyDescent="0.3">
      <c r="A34" s="15" t="s">
        <v>56</v>
      </c>
    </row>
    <row r="35" spans="1:4" ht="39.6" x14ac:dyDescent="0.3">
      <c r="D35" s="17" t="s">
        <v>57</v>
      </c>
    </row>
  </sheetData>
  <mergeCells count="1">
    <mergeCell ref="A1:E1"/>
  </mergeCells>
  <pageMargins left="0.75" right="0.75" top="1" bottom="1"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F41"/>
  <sheetViews>
    <sheetView showGridLines="0" zoomScaleNormal="100" workbookViewId="0"/>
  </sheetViews>
  <sheetFormatPr defaultColWidth="8.6640625" defaultRowHeight="14.4" x14ac:dyDescent="0.3"/>
  <cols>
    <col min="1" max="1" width="4" customWidth="1"/>
    <col min="2" max="5" width="22" customWidth="1"/>
    <col min="6" max="6" width="4" customWidth="1"/>
  </cols>
  <sheetData>
    <row r="4" spans="1:6" ht="17.399999999999999" customHeight="1" x14ac:dyDescent="0.3">
      <c r="A4" s="14" t="s">
        <v>58</v>
      </c>
      <c r="B4" s="14"/>
      <c r="C4" s="14"/>
      <c r="D4" s="14"/>
      <c r="E4" s="14"/>
      <c r="F4" s="14"/>
    </row>
    <row r="8" spans="1:6" ht="15" customHeight="1" x14ac:dyDescent="0.3">
      <c r="A8" s="13" t="s">
        <v>59</v>
      </c>
      <c r="B8" s="13"/>
      <c r="C8" s="13"/>
      <c r="D8" s="13"/>
      <c r="E8" s="13"/>
      <c r="F8" s="13"/>
    </row>
    <row r="12" spans="1:6" ht="15" customHeight="1" x14ac:dyDescent="0.3">
      <c r="A12" s="12" t="s">
        <v>60</v>
      </c>
      <c r="B12" s="12"/>
      <c r="C12" s="12"/>
      <c r="D12" s="12"/>
      <c r="E12" s="12"/>
      <c r="F12" s="12"/>
    </row>
    <row r="18" spans="1:6" ht="17.399999999999999" customHeight="1" x14ac:dyDescent="0.3">
      <c r="A18" s="14" t="s">
        <v>2</v>
      </c>
      <c r="B18" s="14"/>
      <c r="C18" s="14"/>
      <c r="D18" s="14"/>
      <c r="E18" s="14"/>
      <c r="F18" s="14"/>
    </row>
    <row r="20" spans="1:6" ht="15" customHeight="1" x14ac:dyDescent="0.3">
      <c r="A20" s="12" t="s">
        <v>4</v>
      </c>
      <c r="B20" s="12"/>
      <c r="C20" s="12"/>
      <c r="D20" s="12"/>
      <c r="E20" s="12"/>
      <c r="F20" s="12"/>
    </row>
    <row r="21" spans="1:6" ht="15" customHeight="1" x14ac:dyDescent="0.3">
      <c r="A21" s="12" t="s">
        <v>10</v>
      </c>
      <c r="B21" s="12"/>
      <c r="C21" s="12"/>
      <c r="D21" s="12"/>
      <c r="E21" s="12"/>
      <c r="F21" s="12"/>
    </row>
    <row r="24" spans="1:6" ht="26.85" customHeight="1" x14ac:dyDescent="0.3">
      <c r="A24" s="13" t="s">
        <v>61</v>
      </c>
      <c r="B24" s="13"/>
      <c r="C24" s="13"/>
      <c r="D24" s="13"/>
      <c r="E24" s="13"/>
      <c r="F24" s="13"/>
    </row>
    <row r="30" spans="1:6" ht="15" customHeight="1" x14ac:dyDescent="0.3">
      <c r="A30" s="13" t="s">
        <v>62</v>
      </c>
      <c r="B30" s="13"/>
      <c r="C30" s="13"/>
      <c r="D30" s="13"/>
      <c r="E30" s="13"/>
      <c r="F30" s="13"/>
    </row>
    <row r="34" spans="1:6" ht="22.35" customHeight="1" x14ac:dyDescent="0.3">
      <c r="A34" s="11" t="s">
        <v>63</v>
      </c>
      <c r="B34" s="11"/>
      <c r="C34" s="11"/>
      <c r="D34" s="11"/>
      <c r="E34" s="11"/>
      <c r="F34" s="11"/>
    </row>
    <row r="35" spans="1:6" ht="15" customHeight="1" x14ac:dyDescent="0.3">
      <c r="A35" s="10" t="s">
        <v>17</v>
      </c>
      <c r="B35" s="10"/>
      <c r="C35" s="10"/>
      <c r="D35" s="10"/>
      <c r="E35" s="10"/>
      <c r="F35" s="10"/>
    </row>
    <row r="36" spans="1:6" ht="15" customHeight="1" x14ac:dyDescent="0.3">
      <c r="A36" s="12" t="s">
        <v>64</v>
      </c>
      <c r="B36" s="12"/>
      <c r="C36" s="12"/>
      <c r="D36" s="12"/>
      <c r="E36" s="12"/>
      <c r="F36" s="12"/>
    </row>
    <row r="37" spans="1:6" ht="15" customHeight="1" x14ac:dyDescent="0.3">
      <c r="A37" s="11" t="s">
        <v>20</v>
      </c>
      <c r="B37" s="11"/>
      <c r="C37" s="11"/>
      <c r="D37" s="11"/>
      <c r="E37" s="11"/>
      <c r="F37" s="11"/>
    </row>
    <row r="39" spans="1:6" ht="15" customHeight="1" x14ac:dyDescent="0.3">
      <c r="A39" s="11" t="s">
        <v>65</v>
      </c>
      <c r="B39" s="11"/>
      <c r="C39" s="11"/>
      <c r="D39" s="11"/>
      <c r="E39" s="11"/>
      <c r="F39" s="11"/>
    </row>
    <row r="41" spans="1:6" ht="22.35" customHeight="1" x14ac:dyDescent="0.3">
      <c r="A41" s="11" t="s">
        <v>63</v>
      </c>
      <c r="B41" s="11"/>
      <c r="C41" s="11"/>
      <c r="D41" s="11"/>
      <c r="E41" s="11"/>
      <c r="F41" s="11"/>
    </row>
  </sheetData>
  <mergeCells count="14">
    <mergeCell ref="A36:F36"/>
    <mergeCell ref="A37:F37"/>
    <mergeCell ref="A39:F39"/>
    <mergeCell ref="A41:F41"/>
    <mergeCell ref="A21:F21"/>
    <mergeCell ref="A24:F24"/>
    <mergeCell ref="A30:F30"/>
    <mergeCell ref="A34:F34"/>
    <mergeCell ref="A35:F35"/>
    <mergeCell ref="A4:F4"/>
    <mergeCell ref="A8:F8"/>
    <mergeCell ref="A12:F12"/>
    <mergeCell ref="A18:F18"/>
    <mergeCell ref="A20:F20"/>
  </mergeCells>
  <pageMargins left="0.75" right="0.75" top="1" bottom="1"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B44"/>
  <sheetViews>
    <sheetView showGridLines="0" zoomScaleNormal="100" workbookViewId="0"/>
  </sheetViews>
  <sheetFormatPr defaultColWidth="8.6640625" defaultRowHeight="14.4" x14ac:dyDescent="0.3"/>
  <cols>
    <col min="1" max="1" width="4" customWidth="1"/>
    <col min="2" max="2" width="100" customWidth="1"/>
    <col min="3" max="3" width="20" customWidth="1"/>
  </cols>
  <sheetData>
    <row r="2" spans="2:2" x14ac:dyDescent="0.3">
      <c r="B2" s="15" t="s">
        <v>17</v>
      </c>
    </row>
    <row r="3" spans="2:2" x14ac:dyDescent="0.3">
      <c r="B3" s="16" t="s">
        <v>64</v>
      </c>
    </row>
    <row r="4" spans="2:2" x14ac:dyDescent="0.3">
      <c r="B4" s="18" t="s">
        <v>66</v>
      </c>
    </row>
    <row r="6" spans="2:2" x14ac:dyDescent="0.3">
      <c r="B6" s="19" t="s">
        <v>67</v>
      </c>
    </row>
    <row r="8" spans="2:2" x14ac:dyDescent="0.3">
      <c r="B8" s="16" t="s">
        <v>68</v>
      </c>
    </row>
    <row r="9" spans="2:2" x14ac:dyDescent="0.3">
      <c r="B9" s="16" t="s">
        <v>69</v>
      </c>
    </row>
    <row r="10" spans="2:2" x14ac:dyDescent="0.3">
      <c r="B10" s="15" t="s">
        <v>2</v>
      </c>
    </row>
    <row r="11" spans="2:2" ht="27.75" customHeight="1" x14ac:dyDescent="0.3">
      <c r="B11" s="17" t="s">
        <v>10</v>
      </c>
    </row>
    <row r="13" spans="2:2" x14ac:dyDescent="0.3">
      <c r="B13" s="20" t="s">
        <v>70</v>
      </c>
    </row>
    <row r="15" spans="2:2" ht="51.75" customHeight="1" x14ac:dyDescent="0.3">
      <c r="B15" s="21" t="s">
        <v>71</v>
      </c>
    </row>
    <row r="17" spans="2:2" ht="39" customHeight="1" x14ac:dyDescent="0.3">
      <c r="B17" s="21" t="s">
        <v>72</v>
      </c>
    </row>
    <row r="19" spans="2:2" ht="64.5" customHeight="1" x14ac:dyDescent="0.3">
      <c r="B19" s="21" t="s">
        <v>73</v>
      </c>
    </row>
    <row r="21" spans="2:2" ht="64.5" customHeight="1" x14ac:dyDescent="0.3">
      <c r="B21" s="21" t="s">
        <v>74</v>
      </c>
    </row>
    <row r="23" spans="2:2" ht="39" customHeight="1" x14ac:dyDescent="0.3">
      <c r="B23" s="21" t="s">
        <v>75</v>
      </c>
    </row>
    <row r="25" spans="2:2" ht="64.5" customHeight="1" x14ac:dyDescent="0.3">
      <c r="B25" s="21" t="s">
        <v>76</v>
      </c>
    </row>
    <row r="27" spans="2:2" ht="25.5" customHeight="1" x14ac:dyDescent="0.3">
      <c r="B27" s="21" t="s">
        <v>77</v>
      </c>
    </row>
    <row r="29" spans="2:2" ht="13.5" customHeight="1" x14ac:dyDescent="0.3">
      <c r="B29" s="21" t="s">
        <v>78</v>
      </c>
    </row>
    <row r="31" spans="2:2" ht="13.5" customHeight="1" x14ac:dyDescent="0.3">
      <c r="B31" s="21" t="s">
        <v>79</v>
      </c>
    </row>
    <row r="33" spans="1:2" x14ac:dyDescent="0.3">
      <c r="B33" s="16" t="s">
        <v>80</v>
      </c>
    </row>
    <row r="36" spans="1:2" x14ac:dyDescent="0.3">
      <c r="B36" s="15" t="s">
        <v>17</v>
      </c>
    </row>
    <row r="37" spans="1:2" x14ac:dyDescent="0.3">
      <c r="B37" s="16" t="s">
        <v>64</v>
      </c>
    </row>
    <row r="38" spans="1:2" x14ac:dyDescent="0.3">
      <c r="B38" s="18" t="s">
        <v>81</v>
      </c>
    </row>
    <row r="39" spans="1:2" x14ac:dyDescent="0.3">
      <c r="B39" s="18" t="s">
        <v>82</v>
      </c>
    </row>
    <row r="41" spans="1:2" x14ac:dyDescent="0.3">
      <c r="B41" s="16" t="s">
        <v>67</v>
      </c>
    </row>
    <row r="43" spans="1:2" x14ac:dyDescent="0.3">
      <c r="A43" s="15" t="s">
        <v>83</v>
      </c>
      <c r="B43" s="16" t="s">
        <v>84</v>
      </c>
    </row>
    <row r="44" spans="1:2" x14ac:dyDescent="0.3">
      <c r="B44" s="16" t="s">
        <v>85</v>
      </c>
    </row>
  </sheetData>
  <pageMargins left="0.75" right="0.75" top="1" bottom="1"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2:D74"/>
  <sheetViews>
    <sheetView showGridLines="0" zoomScaleNormal="100" workbookViewId="0"/>
  </sheetViews>
  <sheetFormatPr defaultColWidth="8.6640625" defaultRowHeight="14.4" x14ac:dyDescent="0.3"/>
  <cols>
    <col min="1" max="1" width="4" customWidth="1"/>
    <col min="2" max="3" width="6" customWidth="1"/>
    <col min="4" max="4" width="96" customWidth="1"/>
  </cols>
  <sheetData>
    <row r="2" spans="2:4" x14ac:dyDescent="0.3">
      <c r="B2" s="15" t="s">
        <v>17</v>
      </c>
    </row>
    <row r="3" spans="2:4" x14ac:dyDescent="0.3">
      <c r="B3" s="16" t="s">
        <v>64</v>
      </c>
    </row>
    <row r="4" spans="2:4" x14ac:dyDescent="0.3">
      <c r="B4" s="18" t="s">
        <v>66</v>
      </c>
    </row>
    <row r="7" spans="2:4" ht="17.399999999999999" customHeight="1" x14ac:dyDescent="0.3">
      <c r="B7" s="14" t="s">
        <v>86</v>
      </c>
      <c r="C7" s="14"/>
      <c r="D7" s="14"/>
    </row>
    <row r="8" spans="2:4" ht="27.75" customHeight="1" x14ac:dyDescent="0.3">
      <c r="B8" s="12" t="s">
        <v>87</v>
      </c>
      <c r="C8" s="12"/>
      <c r="D8" s="12"/>
    </row>
    <row r="10" spans="2:4" x14ac:dyDescent="0.3">
      <c r="B10" s="16" t="s">
        <v>68</v>
      </c>
    </row>
    <row r="11" spans="2:4" x14ac:dyDescent="0.3">
      <c r="B11" s="16" t="s">
        <v>69</v>
      </c>
    </row>
    <row r="12" spans="2:4" x14ac:dyDescent="0.3">
      <c r="B12" s="15" t="s">
        <v>2</v>
      </c>
    </row>
    <row r="13" spans="2:4" x14ac:dyDescent="0.3">
      <c r="B13" s="16" t="s">
        <v>10</v>
      </c>
    </row>
    <row r="15" spans="2:4" x14ac:dyDescent="0.3">
      <c r="B15" s="15" t="s">
        <v>70</v>
      </c>
    </row>
    <row r="17" spans="2:4" x14ac:dyDescent="0.3">
      <c r="C17" s="15" t="s">
        <v>88</v>
      </c>
    </row>
    <row r="18" spans="2:4" ht="62.25" customHeight="1" x14ac:dyDescent="0.3">
      <c r="B18" s="22" t="s">
        <v>89</v>
      </c>
      <c r="D18" s="21" t="s">
        <v>90</v>
      </c>
    </row>
    <row r="20" spans="2:4" x14ac:dyDescent="0.3">
      <c r="C20" s="15" t="s">
        <v>91</v>
      </c>
    </row>
    <row r="21" spans="2:4" ht="150" customHeight="1" x14ac:dyDescent="0.3">
      <c r="B21" s="16" t="s">
        <v>92</v>
      </c>
      <c r="D21" s="21" t="s">
        <v>93</v>
      </c>
    </row>
    <row r="23" spans="2:4" x14ac:dyDescent="0.3">
      <c r="C23" s="15" t="s">
        <v>94</v>
      </c>
    </row>
    <row r="24" spans="2:4" ht="99.75" customHeight="1" x14ac:dyDescent="0.3">
      <c r="B24" s="16" t="s">
        <v>95</v>
      </c>
      <c r="D24" s="21" t="s">
        <v>96</v>
      </c>
    </row>
    <row r="26" spans="2:4" ht="124.5" customHeight="1" x14ac:dyDescent="0.3">
      <c r="B26" s="16" t="s">
        <v>97</v>
      </c>
      <c r="D26" s="21" t="s">
        <v>98</v>
      </c>
    </row>
    <row r="28" spans="2:4" ht="24.75" customHeight="1" x14ac:dyDescent="0.3">
      <c r="B28" s="16" t="s">
        <v>99</v>
      </c>
      <c r="D28" s="21" t="s">
        <v>100</v>
      </c>
    </row>
    <row r="30" spans="2:4" x14ac:dyDescent="0.3">
      <c r="C30" s="15" t="s">
        <v>101</v>
      </c>
    </row>
    <row r="31" spans="2:4" ht="24.75" customHeight="1" x14ac:dyDescent="0.3">
      <c r="B31" s="16" t="s">
        <v>102</v>
      </c>
      <c r="D31" s="21" t="s">
        <v>103</v>
      </c>
    </row>
    <row r="33" spans="2:4" ht="49.5" customHeight="1" x14ac:dyDescent="0.3">
      <c r="D33" s="21" t="s">
        <v>104</v>
      </c>
    </row>
    <row r="34" spans="2:4" ht="62.25" customHeight="1" x14ac:dyDescent="0.3">
      <c r="D34" s="21" t="s">
        <v>105</v>
      </c>
    </row>
    <row r="35" spans="2:4" ht="49.5" customHeight="1" x14ac:dyDescent="0.3">
      <c r="D35" s="21" t="s">
        <v>106</v>
      </c>
    </row>
    <row r="36" spans="2:4" ht="37.5" customHeight="1" x14ac:dyDescent="0.3">
      <c r="D36" s="21" t="s">
        <v>107</v>
      </c>
    </row>
    <row r="38" spans="2:4" x14ac:dyDescent="0.3">
      <c r="C38" s="15" t="s">
        <v>108</v>
      </c>
    </row>
    <row r="39" spans="2:4" ht="87" customHeight="1" x14ac:dyDescent="0.3">
      <c r="B39" s="16" t="s">
        <v>109</v>
      </c>
      <c r="D39" s="21" t="s">
        <v>110</v>
      </c>
    </row>
    <row r="41" spans="2:4" x14ac:dyDescent="0.3">
      <c r="C41" s="16" t="s">
        <v>111</v>
      </c>
      <c r="D41" s="21" t="s">
        <v>112</v>
      </c>
    </row>
    <row r="43" spans="2:4" ht="26.4" x14ac:dyDescent="0.3">
      <c r="C43" s="16" t="s">
        <v>113</v>
      </c>
      <c r="D43" s="21" t="s">
        <v>114</v>
      </c>
    </row>
    <row r="46" spans="2:4" x14ac:dyDescent="0.3">
      <c r="C46" s="15" t="s">
        <v>115</v>
      </c>
    </row>
    <row r="47" spans="2:4" ht="37.5" customHeight="1" x14ac:dyDescent="0.3">
      <c r="D47" s="21" t="s">
        <v>116</v>
      </c>
    </row>
    <row r="49" spans="2:4" ht="24.75" customHeight="1" x14ac:dyDescent="0.3">
      <c r="B49" s="16" t="s">
        <v>117</v>
      </c>
      <c r="D49" s="21" t="s">
        <v>118</v>
      </c>
    </row>
    <row r="51" spans="2:4" x14ac:dyDescent="0.3">
      <c r="B51" s="16" t="s">
        <v>119</v>
      </c>
      <c r="D51" s="15" t="s">
        <v>120</v>
      </c>
    </row>
    <row r="52" spans="2:4" ht="49.5" customHeight="1" x14ac:dyDescent="0.3">
      <c r="C52" s="16" t="s">
        <v>121</v>
      </c>
      <c r="D52" s="21" t="s">
        <v>122</v>
      </c>
    </row>
    <row r="54" spans="2:4" ht="49.5" customHeight="1" x14ac:dyDescent="0.3">
      <c r="C54" s="16" t="s">
        <v>123</v>
      </c>
      <c r="D54" s="21" t="s">
        <v>124</v>
      </c>
    </row>
    <row r="56" spans="2:4" ht="24.75" customHeight="1" x14ac:dyDescent="0.3">
      <c r="C56" s="16" t="s">
        <v>125</v>
      </c>
      <c r="D56" s="21" t="s">
        <v>126</v>
      </c>
    </row>
    <row r="58" spans="2:4" ht="24.75" customHeight="1" x14ac:dyDescent="0.3">
      <c r="B58" s="16" t="s">
        <v>127</v>
      </c>
      <c r="D58" s="21" t="s">
        <v>128</v>
      </c>
    </row>
    <row r="60" spans="2:4" x14ac:dyDescent="0.3">
      <c r="B60" s="16" t="s">
        <v>129</v>
      </c>
      <c r="D60" s="15" t="s">
        <v>130</v>
      </c>
    </row>
    <row r="61" spans="2:4" ht="37.5" customHeight="1" x14ac:dyDescent="0.3">
      <c r="C61" s="16" t="s">
        <v>111</v>
      </c>
      <c r="D61" s="21" t="s">
        <v>131</v>
      </c>
    </row>
    <row r="63" spans="2:4" ht="24.75" customHeight="1" x14ac:dyDescent="0.3">
      <c r="C63" s="16" t="s">
        <v>113</v>
      </c>
      <c r="D63" s="21" t="s">
        <v>132</v>
      </c>
    </row>
    <row r="65" spans="2:4" x14ac:dyDescent="0.3">
      <c r="B65" s="15" t="s">
        <v>133</v>
      </c>
    </row>
    <row r="66" spans="2:4" x14ac:dyDescent="0.3">
      <c r="D66" s="16" t="s">
        <v>134</v>
      </c>
    </row>
    <row r="69" spans="2:4" x14ac:dyDescent="0.3">
      <c r="C69" s="15" t="s">
        <v>17</v>
      </c>
    </row>
    <row r="70" spans="2:4" x14ac:dyDescent="0.3">
      <c r="C70" s="16" t="s">
        <v>64</v>
      </c>
    </row>
    <row r="71" spans="2:4" x14ac:dyDescent="0.3">
      <c r="C71" s="18" t="s">
        <v>81</v>
      </c>
    </row>
    <row r="72" spans="2:4" x14ac:dyDescent="0.3">
      <c r="C72" s="18" t="s">
        <v>82</v>
      </c>
    </row>
    <row r="74" spans="2:4" x14ac:dyDescent="0.3">
      <c r="B74" s="16" t="s">
        <v>135</v>
      </c>
      <c r="C74" s="16" t="s">
        <v>67</v>
      </c>
    </row>
  </sheetData>
  <mergeCells count="2">
    <mergeCell ref="B7:D7"/>
    <mergeCell ref="B8:D8"/>
  </mergeCells>
  <pageMargins left="0.75" right="0.75" top="1" bottom="1"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C49"/>
  <sheetViews>
    <sheetView showGridLines="0" zoomScaleNormal="100" workbookViewId="0"/>
  </sheetViews>
  <sheetFormatPr defaultColWidth="8.6640625" defaultRowHeight="14.4" x14ac:dyDescent="0.3"/>
  <cols>
    <col min="1" max="2" width="4" customWidth="1"/>
    <col min="3" max="3" width="100" customWidth="1"/>
  </cols>
  <sheetData>
    <row r="1" spans="1:3" x14ac:dyDescent="0.3">
      <c r="A1" s="23" t="s">
        <v>2</v>
      </c>
    </row>
    <row r="2" spans="1:3" x14ac:dyDescent="0.3">
      <c r="A2" s="16" t="s">
        <v>4</v>
      </c>
    </row>
    <row r="3" spans="1:3" x14ac:dyDescent="0.3">
      <c r="A3" s="16" t="s">
        <v>10</v>
      </c>
    </row>
    <row r="4" spans="1:3" x14ac:dyDescent="0.3">
      <c r="A4" s="15" t="s">
        <v>136</v>
      </c>
    </row>
    <row r="7" spans="1:3" x14ac:dyDescent="0.3">
      <c r="A7" s="15" t="s">
        <v>137</v>
      </c>
    </row>
    <row r="8" spans="1:3" x14ac:dyDescent="0.3">
      <c r="A8" s="15" t="s">
        <v>138</v>
      </c>
    </row>
    <row r="10" spans="1:3" x14ac:dyDescent="0.3">
      <c r="A10" s="15" t="s">
        <v>139</v>
      </c>
    </row>
    <row r="11" spans="1:3" ht="13.5" customHeight="1" x14ac:dyDescent="0.3">
      <c r="C11" s="20" t="s">
        <v>140</v>
      </c>
    </row>
    <row r="12" spans="1:3" ht="13.5" customHeight="1" x14ac:dyDescent="0.3">
      <c r="C12" s="21" t="s">
        <v>141</v>
      </c>
    </row>
    <row r="14" spans="1:3" x14ac:dyDescent="0.3">
      <c r="A14" s="15" t="s">
        <v>142</v>
      </c>
    </row>
    <row r="15" spans="1:3" ht="13.5" customHeight="1" x14ac:dyDescent="0.3">
      <c r="C15" s="20" t="s">
        <v>143</v>
      </c>
    </row>
    <row r="16" spans="1:3" ht="51.75" customHeight="1" x14ac:dyDescent="0.3">
      <c r="C16" s="21" t="s">
        <v>144</v>
      </c>
    </row>
    <row r="17" spans="1:3" ht="51.75" customHeight="1" x14ac:dyDescent="0.3">
      <c r="C17" s="21" t="s">
        <v>145</v>
      </c>
    </row>
    <row r="18" spans="1:3" ht="13.5" customHeight="1" x14ac:dyDescent="0.3">
      <c r="C18" s="21" t="s">
        <v>146</v>
      </c>
    </row>
    <row r="20" spans="1:3" x14ac:dyDescent="0.3">
      <c r="A20" s="15" t="s">
        <v>147</v>
      </c>
    </row>
    <row r="21" spans="1:3" ht="13.5" customHeight="1" x14ac:dyDescent="0.3">
      <c r="C21" s="20" t="s">
        <v>148</v>
      </c>
    </row>
    <row r="22" spans="1:3" ht="39" customHeight="1" x14ac:dyDescent="0.3">
      <c r="C22" s="21" t="s">
        <v>149</v>
      </c>
    </row>
    <row r="24" spans="1:3" x14ac:dyDescent="0.3">
      <c r="A24" s="15" t="s">
        <v>150</v>
      </c>
    </row>
    <row r="25" spans="1:3" ht="13.5" customHeight="1" x14ac:dyDescent="0.3">
      <c r="C25" s="20" t="s">
        <v>151</v>
      </c>
    </row>
    <row r="26" spans="1:3" ht="39" customHeight="1" x14ac:dyDescent="0.3">
      <c r="C26" s="21" t="s">
        <v>152</v>
      </c>
    </row>
    <row r="28" spans="1:3" x14ac:dyDescent="0.3">
      <c r="A28" s="15" t="s">
        <v>153</v>
      </c>
    </row>
    <row r="29" spans="1:3" ht="13.5" customHeight="1" x14ac:dyDescent="0.3">
      <c r="C29" s="20" t="s">
        <v>154</v>
      </c>
    </row>
    <row r="30" spans="1:3" ht="51.75" customHeight="1" x14ac:dyDescent="0.3">
      <c r="C30" s="21" t="s">
        <v>155</v>
      </c>
    </row>
    <row r="31" spans="1:3" ht="13.5" customHeight="1" x14ac:dyDescent="0.3">
      <c r="C31" s="21" t="s">
        <v>156</v>
      </c>
    </row>
    <row r="33" spans="1:3" x14ac:dyDescent="0.3">
      <c r="A33" s="15" t="s">
        <v>157</v>
      </c>
    </row>
    <row r="34" spans="1:3" ht="13.5" customHeight="1" x14ac:dyDescent="0.3">
      <c r="C34" s="20" t="s">
        <v>158</v>
      </c>
    </row>
    <row r="35" spans="1:3" ht="39" customHeight="1" x14ac:dyDescent="0.3">
      <c r="C35" s="21" t="s">
        <v>159</v>
      </c>
    </row>
    <row r="36" spans="1:3" ht="25.5" customHeight="1" x14ac:dyDescent="0.3">
      <c r="C36" s="21" t="s">
        <v>160</v>
      </c>
    </row>
    <row r="37" spans="1:3" ht="13.5" customHeight="1" x14ac:dyDescent="0.3">
      <c r="C37" s="21" t="s">
        <v>156</v>
      </c>
    </row>
    <row r="39" spans="1:3" x14ac:dyDescent="0.3">
      <c r="A39" s="15" t="s">
        <v>161</v>
      </c>
    </row>
    <row r="40" spans="1:3" ht="13.5" customHeight="1" x14ac:dyDescent="0.3">
      <c r="C40" s="20" t="s">
        <v>162</v>
      </c>
    </row>
    <row r="41" spans="1:3" ht="25.5" customHeight="1" x14ac:dyDescent="0.3">
      <c r="C41" s="21" t="s">
        <v>163</v>
      </c>
    </row>
    <row r="45" spans="1:3" x14ac:dyDescent="0.3">
      <c r="C45" s="15" t="s">
        <v>17</v>
      </c>
    </row>
    <row r="46" spans="1:3" x14ac:dyDescent="0.3">
      <c r="C46" s="16" t="s">
        <v>164</v>
      </c>
    </row>
    <row r="47" spans="1:3" x14ac:dyDescent="0.3">
      <c r="C47" s="16" t="s">
        <v>64</v>
      </c>
    </row>
    <row r="49" spans="1:3" x14ac:dyDescent="0.3">
      <c r="A49" s="16" t="s">
        <v>135</v>
      </c>
      <c r="C49" s="16" t="s">
        <v>67</v>
      </c>
    </row>
  </sheetData>
  <pageMargins left="0.75" right="0.75" top="1" bottom="1"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533"/>
  <sheetViews>
    <sheetView showGridLines="0" tabSelected="1" topLeftCell="A435" zoomScaleNormal="100" workbookViewId="0">
      <selection activeCell="D393" sqref="D393:I393"/>
    </sheetView>
  </sheetViews>
  <sheetFormatPr defaultColWidth="8.6640625" defaultRowHeight="14.4" x14ac:dyDescent="0.3"/>
  <cols>
    <col min="1" max="1" width="6" customWidth="1"/>
    <col min="2" max="2" width="5" customWidth="1"/>
    <col min="3" max="3" width="23.109375" customWidth="1"/>
    <col min="4" max="4" width="35.5546875" customWidth="1"/>
    <col min="5" max="5" width="17" customWidth="1"/>
    <col min="6" max="9" width="14.77734375" customWidth="1"/>
  </cols>
  <sheetData>
    <row r="1" spans="1:9" x14ac:dyDescent="0.3">
      <c r="A1" s="23" t="s">
        <v>2</v>
      </c>
    </row>
    <row r="2" spans="1:9" ht="13.5" customHeight="1" x14ac:dyDescent="0.3">
      <c r="A2" s="9" t="s">
        <v>165</v>
      </c>
      <c r="B2" s="9"/>
      <c r="C2" s="9"/>
      <c r="D2" s="9"/>
      <c r="E2" s="9"/>
      <c r="F2" s="9"/>
      <c r="G2" s="9"/>
      <c r="H2" s="9"/>
      <c r="I2" s="9"/>
    </row>
    <row r="4" spans="1:9" ht="15" customHeight="1" x14ac:dyDescent="0.3">
      <c r="A4" s="16" t="s">
        <v>166</v>
      </c>
      <c r="C4" s="16" t="s">
        <v>167</v>
      </c>
      <c r="E4" s="16" t="s">
        <v>168</v>
      </c>
      <c r="F4" s="8" t="s">
        <v>2</v>
      </c>
      <c r="G4" s="8"/>
      <c r="H4" s="8"/>
      <c r="I4" s="8"/>
    </row>
    <row r="5" spans="1:9" ht="23.85" customHeight="1" x14ac:dyDescent="0.3">
      <c r="A5" s="16" t="s">
        <v>169</v>
      </c>
      <c r="C5" s="16" t="s">
        <v>170</v>
      </c>
      <c r="E5" s="16" t="s">
        <v>168</v>
      </c>
      <c r="F5" s="8" t="s">
        <v>10</v>
      </c>
      <c r="G5" s="8"/>
      <c r="H5" s="8"/>
      <c r="I5" s="8"/>
    </row>
    <row r="6" spans="1:9" ht="15" customHeight="1" x14ac:dyDescent="0.3">
      <c r="A6" s="16" t="s">
        <v>171</v>
      </c>
      <c r="C6" s="16" t="s">
        <v>172</v>
      </c>
      <c r="E6" s="16" t="s">
        <v>168</v>
      </c>
      <c r="F6" s="8" t="s">
        <v>173</v>
      </c>
      <c r="G6" s="8"/>
      <c r="H6" s="8"/>
      <c r="I6" s="8"/>
    </row>
    <row r="7" spans="1:9" ht="15" customHeight="1" x14ac:dyDescent="0.3">
      <c r="A7" s="16" t="s">
        <v>174</v>
      </c>
      <c r="C7" s="16" t="s">
        <v>175</v>
      </c>
      <c r="E7" s="16" t="s">
        <v>168</v>
      </c>
      <c r="F7" s="8" t="s">
        <v>176</v>
      </c>
      <c r="G7" s="8"/>
      <c r="H7" s="8"/>
      <c r="I7" s="8"/>
    </row>
    <row r="8" spans="1:9" ht="15" customHeight="1" x14ac:dyDescent="0.3">
      <c r="A8" s="16" t="s">
        <v>177</v>
      </c>
      <c r="C8" s="16" t="s">
        <v>178</v>
      </c>
      <c r="E8" s="16" t="s">
        <v>168</v>
      </c>
      <c r="F8" s="8" t="s">
        <v>55</v>
      </c>
      <c r="G8" s="8"/>
      <c r="H8" s="8"/>
      <c r="I8" s="8"/>
    </row>
    <row r="10" spans="1:9" ht="13.5" customHeight="1" x14ac:dyDescent="0.3">
      <c r="A10" s="13" t="s">
        <v>179</v>
      </c>
      <c r="B10" s="13"/>
      <c r="C10" s="13"/>
      <c r="D10" s="13"/>
      <c r="E10" s="13"/>
      <c r="F10" s="13"/>
      <c r="G10" s="13"/>
      <c r="H10" s="13"/>
      <c r="I10" s="13"/>
    </row>
    <row r="11" spans="1:9" ht="13.5" customHeight="1" x14ac:dyDescent="0.3">
      <c r="A11" s="7" t="s">
        <v>180</v>
      </c>
      <c r="B11" s="7"/>
      <c r="C11" s="7"/>
      <c r="D11" s="7"/>
      <c r="E11" s="7"/>
      <c r="F11" s="7"/>
      <c r="G11" s="7"/>
      <c r="H11" s="7"/>
      <c r="I11" s="7"/>
    </row>
    <row r="13" spans="1:9" ht="30" customHeight="1" x14ac:dyDescent="0.3">
      <c r="A13" s="24" t="s">
        <v>181</v>
      </c>
      <c r="C13" s="24" t="s">
        <v>182</v>
      </c>
      <c r="D13" s="24" t="s">
        <v>183</v>
      </c>
      <c r="E13" s="6" t="s">
        <v>184</v>
      </c>
      <c r="F13" s="6"/>
      <c r="G13" s="6"/>
      <c r="H13" s="6"/>
      <c r="I13" s="6"/>
    </row>
    <row r="14" spans="1:9" ht="30" customHeight="1" x14ac:dyDescent="0.3">
      <c r="A14" s="25" t="s">
        <v>166</v>
      </c>
      <c r="C14" s="26" t="s">
        <v>185</v>
      </c>
      <c r="D14" s="27" t="s">
        <v>186</v>
      </c>
      <c r="E14" s="5" t="s">
        <v>187</v>
      </c>
      <c r="F14" s="5"/>
      <c r="G14" s="5"/>
      <c r="H14" s="5"/>
      <c r="I14" s="5"/>
    </row>
    <row r="15" spans="1:9" ht="30" customHeight="1" x14ac:dyDescent="0.3">
      <c r="A15" s="28"/>
      <c r="C15" s="28"/>
      <c r="D15" s="27" t="s">
        <v>188</v>
      </c>
      <c r="E15" s="5" t="s">
        <v>187</v>
      </c>
      <c r="F15" s="5"/>
      <c r="G15" s="5"/>
      <c r="H15" s="5"/>
      <c r="I15" s="5"/>
    </row>
    <row r="16" spans="1:9" ht="30" customHeight="1" x14ac:dyDescent="0.3">
      <c r="A16" s="28"/>
      <c r="C16" s="28"/>
      <c r="D16" s="27" t="s">
        <v>189</v>
      </c>
      <c r="E16" s="5" t="s">
        <v>187</v>
      </c>
      <c r="F16" s="5"/>
      <c r="G16" s="5"/>
      <c r="H16" s="5"/>
      <c r="I16" s="5"/>
    </row>
    <row r="17" spans="1:9" ht="36" customHeight="1" x14ac:dyDescent="0.3">
      <c r="A17" s="28"/>
      <c r="C17" s="28"/>
      <c r="D17" s="27" t="s">
        <v>190</v>
      </c>
      <c r="E17" s="5" t="s">
        <v>191</v>
      </c>
      <c r="F17" s="5"/>
      <c r="G17" s="5"/>
      <c r="H17" s="5"/>
      <c r="I17" s="5"/>
    </row>
    <row r="18" spans="1:9" ht="36" customHeight="1" x14ac:dyDescent="0.3">
      <c r="A18" s="28"/>
      <c r="C18" s="28"/>
      <c r="D18" s="27" t="s">
        <v>192</v>
      </c>
      <c r="E18" s="5" t="s">
        <v>193</v>
      </c>
      <c r="F18" s="5"/>
      <c r="G18" s="5"/>
      <c r="H18" s="5"/>
      <c r="I18" s="5"/>
    </row>
    <row r="19" spans="1:9" ht="30" customHeight="1" x14ac:dyDescent="0.3">
      <c r="A19" s="25" t="s">
        <v>169</v>
      </c>
      <c r="C19" s="26" t="s">
        <v>194</v>
      </c>
      <c r="D19" s="27" t="s">
        <v>195</v>
      </c>
      <c r="E19" s="5" t="s">
        <v>187</v>
      </c>
      <c r="F19" s="5"/>
      <c r="G19" s="5"/>
      <c r="H19" s="5"/>
      <c r="I19" s="5"/>
    </row>
    <row r="20" spans="1:9" ht="36" customHeight="1" x14ac:dyDescent="0.3">
      <c r="A20" s="28"/>
      <c r="C20" s="28"/>
      <c r="D20" s="27" t="s">
        <v>196</v>
      </c>
      <c r="E20" s="5" t="s">
        <v>197</v>
      </c>
      <c r="F20" s="5"/>
      <c r="G20" s="5"/>
      <c r="H20" s="5"/>
      <c r="I20" s="5"/>
    </row>
    <row r="21" spans="1:9" ht="30" customHeight="1" x14ac:dyDescent="0.3">
      <c r="A21" s="28"/>
      <c r="C21" s="28"/>
      <c r="D21" s="27" t="s">
        <v>198</v>
      </c>
      <c r="E21" s="5" t="s">
        <v>187</v>
      </c>
      <c r="F21" s="5"/>
      <c r="G21" s="5"/>
      <c r="H21" s="5"/>
      <c r="I21" s="5"/>
    </row>
    <row r="22" spans="1:9" ht="36" customHeight="1" x14ac:dyDescent="0.3">
      <c r="A22" s="28"/>
      <c r="C22" s="28"/>
      <c r="D22" s="27" t="s">
        <v>199</v>
      </c>
      <c r="E22" s="5" t="s">
        <v>187</v>
      </c>
      <c r="F22" s="5"/>
      <c r="G22" s="5"/>
      <c r="H22" s="5"/>
      <c r="I22" s="5"/>
    </row>
    <row r="23" spans="1:9" ht="36" customHeight="1" x14ac:dyDescent="0.3">
      <c r="A23" s="25" t="s">
        <v>171</v>
      </c>
      <c r="C23" s="26" t="s">
        <v>200</v>
      </c>
      <c r="D23" s="27" t="s">
        <v>201</v>
      </c>
      <c r="E23" s="5" t="s">
        <v>202</v>
      </c>
      <c r="F23" s="5"/>
      <c r="G23" s="5"/>
      <c r="H23" s="5"/>
      <c r="I23" s="5"/>
    </row>
    <row r="24" spans="1:9" ht="36" customHeight="1" x14ac:dyDescent="0.3">
      <c r="A24" s="28"/>
      <c r="C24" s="28"/>
      <c r="D24" s="27" t="s">
        <v>203</v>
      </c>
      <c r="E24" s="5" t="s">
        <v>187</v>
      </c>
      <c r="F24" s="5"/>
      <c r="G24" s="5"/>
      <c r="H24" s="5"/>
      <c r="I24" s="5"/>
    </row>
    <row r="25" spans="1:9" ht="30" customHeight="1" x14ac:dyDescent="0.3">
      <c r="A25" s="25" t="s">
        <v>174</v>
      </c>
      <c r="C25" s="26" t="s">
        <v>204</v>
      </c>
      <c r="D25" s="27"/>
      <c r="E25" s="5" t="s">
        <v>205</v>
      </c>
      <c r="F25" s="5"/>
      <c r="G25" s="5"/>
      <c r="H25" s="5"/>
      <c r="I25" s="5"/>
    </row>
    <row r="26" spans="1:9" ht="30" customHeight="1" x14ac:dyDescent="0.3">
      <c r="A26" s="25" t="s">
        <v>177</v>
      </c>
      <c r="C26" s="26" t="s">
        <v>206</v>
      </c>
      <c r="D26" s="27"/>
      <c r="E26" s="5" t="s">
        <v>207</v>
      </c>
      <c r="F26" s="5"/>
      <c r="G26" s="5"/>
      <c r="H26" s="5"/>
      <c r="I26" s="5"/>
    </row>
    <row r="27" spans="1:9" ht="60" customHeight="1" x14ac:dyDescent="0.3">
      <c r="A27" s="25" t="s">
        <v>208</v>
      </c>
      <c r="C27" s="26" t="s">
        <v>209</v>
      </c>
      <c r="D27" s="27"/>
      <c r="E27" s="5" t="s">
        <v>210</v>
      </c>
      <c r="F27" s="5"/>
      <c r="G27" s="5"/>
      <c r="H27" s="5"/>
      <c r="I27" s="5"/>
    </row>
    <row r="29" spans="1:9" ht="13.5" customHeight="1" x14ac:dyDescent="0.3">
      <c r="A29" s="15" t="s">
        <v>211</v>
      </c>
      <c r="C29" s="9" t="s">
        <v>212</v>
      </c>
      <c r="D29" s="9"/>
      <c r="E29" s="9"/>
      <c r="F29" s="9"/>
      <c r="G29" s="9"/>
      <c r="H29" s="9"/>
      <c r="I29" s="9"/>
    </row>
    <row r="30" spans="1:9" ht="15" customHeight="1" x14ac:dyDescent="0.3">
      <c r="A30" s="24" t="s">
        <v>213</v>
      </c>
      <c r="C30" s="24" t="s">
        <v>214</v>
      </c>
      <c r="D30" s="24" t="s">
        <v>215</v>
      </c>
      <c r="E30" s="24" t="s">
        <v>216</v>
      </c>
      <c r="F30" s="6" t="s">
        <v>217</v>
      </c>
      <c r="G30" s="6"/>
      <c r="H30" s="6"/>
      <c r="I30" s="6"/>
    </row>
    <row r="31" spans="1:9" ht="48" customHeight="1" x14ac:dyDescent="0.3">
      <c r="A31" s="25" t="s">
        <v>166</v>
      </c>
      <c r="C31" s="25" t="s">
        <v>218</v>
      </c>
      <c r="D31" s="25" t="s">
        <v>219</v>
      </c>
      <c r="E31" s="25" t="s">
        <v>220</v>
      </c>
      <c r="F31" s="5" t="s">
        <v>221</v>
      </c>
      <c r="G31" s="5"/>
      <c r="H31" s="5"/>
      <c r="I31" s="5"/>
    </row>
    <row r="32" spans="1:9" ht="43.2" customHeight="1" x14ac:dyDescent="0.3">
      <c r="A32" s="25" t="s">
        <v>169</v>
      </c>
      <c r="C32" s="25" t="s">
        <v>222</v>
      </c>
      <c r="D32" s="25" t="s">
        <v>223</v>
      </c>
      <c r="E32" s="25" t="s">
        <v>224</v>
      </c>
      <c r="F32" s="5" t="s">
        <v>225</v>
      </c>
      <c r="G32" s="5"/>
      <c r="H32" s="5"/>
      <c r="I32" s="5"/>
    </row>
    <row r="33" spans="1:9" ht="40.799999999999997" customHeight="1" x14ac:dyDescent="0.3">
      <c r="A33" s="25" t="s">
        <v>171</v>
      </c>
      <c r="C33" s="25" t="s">
        <v>219</v>
      </c>
      <c r="D33" s="25" t="s">
        <v>226</v>
      </c>
      <c r="E33" s="25" t="s">
        <v>227</v>
      </c>
      <c r="F33" s="5" t="s">
        <v>228</v>
      </c>
      <c r="G33" s="5"/>
      <c r="H33" s="5"/>
      <c r="I33" s="5"/>
    </row>
    <row r="34" spans="1:9" ht="60" customHeight="1" x14ac:dyDescent="0.3">
      <c r="A34" s="25" t="s">
        <v>174</v>
      </c>
      <c r="C34" s="25" t="s">
        <v>229</v>
      </c>
      <c r="D34" s="25" t="s">
        <v>230</v>
      </c>
      <c r="E34" s="25" t="s">
        <v>231</v>
      </c>
      <c r="F34" s="5" t="s">
        <v>232</v>
      </c>
      <c r="G34" s="5"/>
      <c r="H34" s="5"/>
      <c r="I34" s="5"/>
    </row>
    <row r="35" spans="1:9" ht="48" customHeight="1" x14ac:dyDescent="0.3">
      <c r="A35" s="25" t="s">
        <v>177</v>
      </c>
      <c r="C35" s="25" t="s">
        <v>219</v>
      </c>
      <c r="D35" s="25" t="s">
        <v>219</v>
      </c>
      <c r="E35" s="25" t="s">
        <v>233</v>
      </c>
      <c r="F35" s="5" t="s">
        <v>234</v>
      </c>
      <c r="G35" s="5"/>
      <c r="H35" s="5"/>
      <c r="I35" s="5"/>
    </row>
    <row r="36" spans="1:9" ht="48" customHeight="1" x14ac:dyDescent="0.3">
      <c r="A36" s="25" t="s">
        <v>208</v>
      </c>
      <c r="C36" s="25" t="s">
        <v>235</v>
      </c>
      <c r="D36" s="25" t="s">
        <v>219</v>
      </c>
      <c r="E36" s="25" t="s">
        <v>219</v>
      </c>
      <c r="F36" s="5" t="s">
        <v>236</v>
      </c>
      <c r="G36" s="5"/>
      <c r="H36" s="5"/>
      <c r="I36" s="5"/>
    </row>
    <row r="37" spans="1:9" ht="27.75" customHeight="1" x14ac:dyDescent="0.3">
      <c r="A37" s="25" t="s">
        <v>211</v>
      </c>
      <c r="C37" s="25" t="s">
        <v>219</v>
      </c>
      <c r="D37" s="25" t="s">
        <v>237</v>
      </c>
      <c r="E37" s="25" t="s">
        <v>238</v>
      </c>
      <c r="F37" s="5" t="s">
        <v>239</v>
      </c>
      <c r="G37" s="5"/>
      <c r="H37" s="5"/>
      <c r="I37" s="5"/>
    </row>
    <row r="38" spans="1:9" ht="36" customHeight="1" x14ac:dyDescent="0.3">
      <c r="A38" s="25" t="s">
        <v>240</v>
      </c>
      <c r="C38" s="25" t="s">
        <v>219</v>
      </c>
      <c r="D38" s="25" t="s">
        <v>219</v>
      </c>
      <c r="E38" s="25" t="s">
        <v>241</v>
      </c>
      <c r="F38" s="5" t="s">
        <v>242</v>
      </c>
      <c r="G38" s="5"/>
      <c r="H38" s="5"/>
      <c r="I38" s="5"/>
    </row>
    <row r="39" spans="1:9" ht="60" customHeight="1" x14ac:dyDescent="0.3">
      <c r="A39" s="25" t="s">
        <v>243</v>
      </c>
      <c r="C39" s="25" t="s">
        <v>244</v>
      </c>
      <c r="D39" s="25" t="s">
        <v>245</v>
      </c>
      <c r="E39" s="25" t="s">
        <v>246</v>
      </c>
      <c r="F39" s="5" t="s">
        <v>247</v>
      </c>
      <c r="G39" s="5"/>
      <c r="H39" s="5"/>
      <c r="I39" s="5"/>
    </row>
    <row r="40" spans="1:9" ht="84" customHeight="1" x14ac:dyDescent="0.3">
      <c r="A40" s="25" t="s">
        <v>248</v>
      </c>
      <c r="C40" s="25" t="s">
        <v>219</v>
      </c>
      <c r="D40" s="25" t="s">
        <v>219</v>
      </c>
      <c r="E40" s="25" t="s">
        <v>249</v>
      </c>
      <c r="F40" s="5" t="s">
        <v>250</v>
      </c>
      <c r="G40" s="5"/>
      <c r="H40" s="5"/>
      <c r="I40" s="5"/>
    </row>
    <row r="42" spans="1:9" ht="27.75" customHeight="1" x14ac:dyDescent="0.3">
      <c r="A42" s="25" t="s">
        <v>240</v>
      </c>
      <c r="C42" s="26" t="s">
        <v>251</v>
      </c>
      <c r="D42" s="28"/>
      <c r="E42" s="5" t="s">
        <v>187</v>
      </c>
      <c r="F42" s="5"/>
      <c r="G42" s="5"/>
      <c r="H42" s="5"/>
      <c r="I42" s="5"/>
    </row>
    <row r="43" spans="1:9" ht="60" customHeight="1" x14ac:dyDescent="0.3">
      <c r="A43" s="25" t="s">
        <v>243</v>
      </c>
      <c r="C43" s="26" t="s">
        <v>252</v>
      </c>
      <c r="D43" s="28"/>
      <c r="E43" s="5" t="s">
        <v>253</v>
      </c>
      <c r="F43" s="5"/>
      <c r="G43" s="5"/>
      <c r="H43" s="5"/>
      <c r="I43" s="5"/>
    </row>
    <row r="44" spans="1:9" ht="36" customHeight="1" x14ac:dyDescent="0.3">
      <c r="A44" s="25" t="s">
        <v>248</v>
      </c>
      <c r="C44" s="26" t="s">
        <v>254</v>
      </c>
      <c r="D44" s="28"/>
      <c r="E44" s="5" t="s">
        <v>255</v>
      </c>
      <c r="F44" s="5"/>
      <c r="G44" s="5"/>
      <c r="H44" s="5"/>
      <c r="I44" s="5"/>
    </row>
    <row r="46" spans="1:9" x14ac:dyDescent="0.3">
      <c r="C46" s="16" t="s">
        <v>256</v>
      </c>
      <c r="F46" s="29">
        <v>2085082</v>
      </c>
    </row>
    <row r="47" spans="1:9" x14ac:dyDescent="0.3">
      <c r="C47" s="16" t="s">
        <v>257</v>
      </c>
      <c r="F47" s="29">
        <v>1126244</v>
      </c>
    </row>
    <row r="48" spans="1:9" x14ac:dyDescent="0.3">
      <c r="C48" s="15" t="s">
        <v>258</v>
      </c>
      <c r="F48" s="30">
        <f>F46-F47</f>
        <v>958838</v>
      </c>
    </row>
    <row r="49" spans="1:9" ht="25.5" customHeight="1" x14ac:dyDescent="0.3">
      <c r="C49" s="7" t="s">
        <v>259</v>
      </c>
      <c r="D49" s="7"/>
      <c r="E49" s="7"/>
      <c r="F49" s="7"/>
      <c r="G49" s="7"/>
      <c r="H49" s="7"/>
      <c r="I49" s="7"/>
    </row>
    <row r="52" spans="1:9" x14ac:dyDescent="0.3">
      <c r="E52" s="15" t="s">
        <v>17</v>
      </c>
    </row>
    <row r="53" spans="1:9" x14ac:dyDescent="0.3">
      <c r="E53" s="16" t="s">
        <v>64</v>
      </c>
    </row>
    <row r="54" spans="1:9" x14ac:dyDescent="0.3">
      <c r="E54" s="16" t="s">
        <v>164</v>
      </c>
    </row>
    <row r="55" spans="1:9" x14ac:dyDescent="0.3">
      <c r="A55" s="16" t="s">
        <v>67</v>
      </c>
    </row>
    <row r="58" spans="1:9" ht="13.5" customHeight="1" x14ac:dyDescent="0.3">
      <c r="A58" s="13" t="s">
        <v>260</v>
      </c>
      <c r="B58" s="13"/>
      <c r="C58" s="13"/>
      <c r="D58" s="13"/>
      <c r="E58" s="13"/>
      <c r="F58" s="13"/>
      <c r="G58" s="13"/>
      <c r="H58" s="13"/>
      <c r="I58" s="13"/>
    </row>
    <row r="59" spans="1:9" ht="13.5" customHeight="1" x14ac:dyDescent="0.3">
      <c r="A59" s="9" t="s">
        <v>261</v>
      </c>
      <c r="B59" s="9"/>
      <c r="C59" s="9"/>
      <c r="D59" s="9"/>
      <c r="E59" s="9"/>
      <c r="F59" s="9"/>
      <c r="G59" s="9"/>
      <c r="H59" s="9"/>
      <c r="I59" s="9"/>
    </row>
    <row r="60" spans="1:9" ht="25.5" customHeight="1" x14ac:dyDescent="0.3">
      <c r="B60" s="7" t="s">
        <v>262</v>
      </c>
      <c r="C60" s="7"/>
      <c r="D60" s="7"/>
      <c r="E60" s="7"/>
      <c r="F60" s="7"/>
      <c r="G60" s="7"/>
      <c r="H60" s="7"/>
      <c r="I60" s="7"/>
    </row>
    <row r="61" spans="1:9" ht="51.75" customHeight="1" x14ac:dyDescent="0.3">
      <c r="B61" s="7" t="s">
        <v>263</v>
      </c>
      <c r="C61" s="7"/>
      <c r="D61" s="7"/>
      <c r="E61" s="7"/>
      <c r="F61" s="7"/>
      <c r="G61" s="7"/>
      <c r="H61" s="7"/>
      <c r="I61" s="7"/>
    </row>
    <row r="62" spans="1:9" ht="25.5" customHeight="1" x14ac:dyDescent="0.3">
      <c r="B62" s="7" t="s">
        <v>264</v>
      </c>
      <c r="C62" s="7"/>
      <c r="D62" s="7"/>
      <c r="E62" s="7"/>
      <c r="F62" s="7"/>
      <c r="G62" s="7"/>
      <c r="H62" s="7"/>
      <c r="I62" s="7"/>
    </row>
    <row r="63" spans="1:9" ht="25.5" customHeight="1" x14ac:dyDescent="0.3">
      <c r="B63" s="7" t="s">
        <v>265</v>
      </c>
      <c r="C63" s="7"/>
      <c r="D63" s="7"/>
      <c r="E63" s="7"/>
      <c r="F63" s="7"/>
      <c r="G63" s="7"/>
      <c r="H63" s="7"/>
      <c r="I63" s="7"/>
    </row>
    <row r="65" spans="1:9" ht="13.5" customHeight="1" x14ac:dyDescent="0.3">
      <c r="A65" s="9" t="s">
        <v>266</v>
      </c>
      <c r="B65" s="9"/>
      <c r="C65" s="9"/>
      <c r="D65" s="9"/>
      <c r="E65" s="9"/>
      <c r="F65" s="9"/>
      <c r="G65" s="9"/>
      <c r="H65" s="9"/>
      <c r="I65" s="9"/>
    </row>
    <row r="66" spans="1:9" ht="25.5" customHeight="1" x14ac:dyDescent="0.3">
      <c r="B66" s="7" t="s">
        <v>267</v>
      </c>
      <c r="C66" s="7"/>
      <c r="D66" s="7"/>
      <c r="E66" s="7"/>
      <c r="F66" s="7"/>
      <c r="G66" s="7"/>
      <c r="H66" s="7"/>
      <c r="I66" s="7"/>
    </row>
    <row r="67" spans="1:9" x14ac:dyDescent="0.3">
      <c r="C67" s="16" t="s">
        <v>268</v>
      </c>
      <c r="E67" s="16" t="s">
        <v>269</v>
      </c>
    </row>
    <row r="68" spans="1:9" x14ac:dyDescent="0.3">
      <c r="C68" s="16" t="s">
        <v>48</v>
      </c>
      <c r="E68" s="16" t="s">
        <v>270</v>
      </c>
    </row>
    <row r="69" spans="1:9" x14ac:dyDescent="0.3">
      <c r="C69" s="16" t="s">
        <v>271</v>
      </c>
      <c r="E69" s="16" t="s">
        <v>272</v>
      </c>
    </row>
    <row r="70" spans="1:9" x14ac:dyDescent="0.3">
      <c r="C70" s="16" t="s">
        <v>273</v>
      </c>
      <c r="E70" s="16" t="s">
        <v>274</v>
      </c>
    </row>
    <row r="71" spans="1:9" x14ac:dyDescent="0.3">
      <c r="C71" s="16" t="s">
        <v>273</v>
      </c>
      <c r="E71" s="16" t="s">
        <v>275</v>
      </c>
    </row>
    <row r="72" spans="1:9" x14ac:dyDescent="0.3">
      <c r="C72" s="16" t="s">
        <v>273</v>
      </c>
      <c r="E72" s="16" t="s">
        <v>276</v>
      </c>
    </row>
    <row r="73" spans="1:9" x14ac:dyDescent="0.3">
      <c r="C73" s="16" t="s">
        <v>273</v>
      </c>
      <c r="E73" s="16" t="s">
        <v>277</v>
      </c>
    </row>
    <row r="74" spans="1:9" x14ac:dyDescent="0.3">
      <c r="C74" s="16" t="s">
        <v>273</v>
      </c>
      <c r="E74" s="16" t="s">
        <v>278</v>
      </c>
    </row>
    <row r="75" spans="1:9" x14ac:dyDescent="0.3">
      <c r="C75" s="16" t="s">
        <v>273</v>
      </c>
      <c r="E75" s="16" t="s">
        <v>279</v>
      </c>
    </row>
    <row r="76" spans="1:9" x14ac:dyDescent="0.3">
      <c r="C76" s="16" t="s">
        <v>273</v>
      </c>
      <c r="E76" s="16" t="s">
        <v>280</v>
      </c>
    </row>
    <row r="78" spans="1:9" ht="13.5" customHeight="1" x14ac:dyDescent="0.3">
      <c r="A78" s="9" t="s">
        <v>281</v>
      </c>
      <c r="B78" s="9"/>
      <c r="C78" s="9"/>
      <c r="D78" s="9"/>
      <c r="E78" s="9"/>
      <c r="F78" s="9"/>
      <c r="G78" s="9"/>
      <c r="H78" s="9"/>
      <c r="I78" s="9"/>
    </row>
    <row r="79" spans="1:9" ht="13.5" customHeight="1" x14ac:dyDescent="0.3">
      <c r="B79" s="7" t="s">
        <v>282</v>
      </c>
      <c r="C79" s="7"/>
      <c r="D79" s="7"/>
      <c r="E79" s="7"/>
      <c r="F79" s="7"/>
      <c r="G79" s="7"/>
      <c r="H79" s="7"/>
      <c r="I79" s="7"/>
    </row>
    <row r="80" spans="1:9" ht="23.85" customHeight="1" x14ac:dyDescent="0.3">
      <c r="A80" s="24" t="s">
        <v>283</v>
      </c>
      <c r="C80" s="24" t="s">
        <v>284</v>
      </c>
      <c r="D80" s="24" t="s">
        <v>285</v>
      </c>
      <c r="E80" s="6" t="s">
        <v>286</v>
      </c>
      <c r="F80" s="6"/>
      <c r="G80" s="6"/>
      <c r="H80" s="6"/>
      <c r="I80" s="6"/>
    </row>
    <row r="81" spans="1:9" ht="24" customHeight="1" x14ac:dyDescent="0.3">
      <c r="A81" s="25" t="s">
        <v>166</v>
      </c>
      <c r="C81" s="28" t="s">
        <v>287</v>
      </c>
      <c r="D81" s="25">
        <v>12</v>
      </c>
      <c r="E81" s="5" t="s">
        <v>288</v>
      </c>
      <c r="F81" s="5"/>
      <c r="G81" s="5"/>
      <c r="H81" s="5"/>
      <c r="I81" s="5"/>
    </row>
    <row r="82" spans="1:9" ht="15.75" customHeight="1" x14ac:dyDescent="0.3">
      <c r="A82" s="25" t="s">
        <v>169</v>
      </c>
      <c r="C82" s="28" t="s">
        <v>289</v>
      </c>
      <c r="D82" s="25">
        <v>1</v>
      </c>
      <c r="E82" s="5" t="s">
        <v>290</v>
      </c>
      <c r="F82" s="5"/>
      <c r="G82" s="5"/>
      <c r="H82" s="5"/>
      <c r="I82" s="5"/>
    </row>
    <row r="83" spans="1:9" ht="15.75" customHeight="1" x14ac:dyDescent="0.3">
      <c r="A83" s="25" t="s">
        <v>171</v>
      </c>
      <c r="C83" s="28" t="s">
        <v>291</v>
      </c>
      <c r="D83" s="25">
        <v>0</v>
      </c>
      <c r="E83" s="5" t="s">
        <v>35</v>
      </c>
      <c r="F83" s="5"/>
      <c r="G83" s="5"/>
      <c r="H83" s="5"/>
      <c r="I83" s="5"/>
    </row>
    <row r="85" spans="1:9" ht="13.5" customHeight="1" x14ac:dyDescent="0.3">
      <c r="B85" s="9" t="s">
        <v>292</v>
      </c>
      <c r="C85" s="9"/>
      <c r="D85" s="9"/>
      <c r="E85" s="9"/>
      <c r="F85" s="9"/>
      <c r="G85" s="9"/>
      <c r="H85" s="9"/>
      <c r="I85" s="9"/>
    </row>
    <row r="86" spans="1:9" ht="25.5" customHeight="1" x14ac:dyDescent="0.3">
      <c r="B86" s="16">
        <v>1</v>
      </c>
      <c r="C86" s="7" t="s">
        <v>293</v>
      </c>
      <c r="D86" s="7"/>
      <c r="E86" s="7"/>
      <c r="F86" s="7"/>
      <c r="G86" s="7"/>
      <c r="H86" s="7"/>
      <c r="I86" s="7"/>
    </row>
    <row r="87" spans="1:9" ht="25.5" customHeight="1" x14ac:dyDescent="0.3">
      <c r="B87" s="16">
        <v>2</v>
      </c>
      <c r="C87" s="7" t="s">
        <v>294</v>
      </c>
      <c r="D87" s="7"/>
      <c r="E87" s="7"/>
      <c r="F87" s="7"/>
      <c r="G87" s="7"/>
      <c r="H87" s="7"/>
      <c r="I87" s="7"/>
    </row>
    <row r="88" spans="1:9" ht="13.5" customHeight="1" x14ac:dyDescent="0.3">
      <c r="B88" s="16">
        <v>3</v>
      </c>
      <c r="C88" s="7" t="s">
        <v>295</v>
      </c>
      <c r="D88" s="7"/>
      <c r="E88" s="7"/>
      <c r="F88" s="7"/>
      <c r="G88" s="7"/>
      <c r="H88" s="7"/>
      <c r="I88" s="7"/>
    </row>
    <row r="89" spans="1:9" ht="13.5" customHeight="1" x14ac:dyDescent="0.3">
      <c r="B89" s="16">
        <v>4</v>
      </c>
      <c r="C89" s="7" t="s">
        <v>296</v>
      </c>
      <c r="D89" s="7"/>
      <c r="E89" s="7"/>
      <c r="F89" s="7"/>
      <c r="G89" s="7"/>
      <c r="H89" s="7"/>
      <c r="I89" s="7"/>
    </row>
    <row r="91" spans="1:9" ht="13.5" customHeight="1" x14ac:dyDescent="0.3">
      <c r="B91" s="9" t="s">
        <v>297</v>
      </c>
      <c r="C91" s="9"/>
      <c r="D91" s="9"/>
      <c r="E91" s="9"/>
      <c r="F91" s="9"/>
      <c r="G91" s="9"/>
      <c r="H91" s="9"/>
      <c r="I91" s="9"/>
    </row>
    <row r="92" spans="1:9" ht="25.5" customHeight="1" x14ac:dyDescent="0.3">
      <c r="B92" s="16">
        <v>1</v>
      </c>
      <c r="C92" s="7" t="s">
        <v>298</v>
      </c>
      <c r="D92" s="7"/>
      <c r="E92" s="7"/>
      <c r="F92" s="7"/>
      <c r="G92" s="7"/>
      <c r="H92" s="7"/>
      <c r="I92" s="7"/>
    </row>
    <row r="93" spans="1:9" ht="13.5" customHeight="1" x14ac:dyDescent="0.3">
      <c r="B93" s="16">
        <v>2</v>
      </c>
      <c r="C93" s="7" t="s">
        <v>299</v>
      </c>
      <c r="D93" s="7"/>
      <c r="E93" s="7"/>
      <c r="F93" s="7"/>
      <c r="G93" s="7"/>
      <c r="H93" s="7"/>
      <c r="I93" s="7"/>
    </row>
    <row r="94" spans="1:9" ht="13.5" customHeight="1" x14ac:dyDescent="0.3">
      <c r="B94" s="16">
        <v>3</v>
      </c>
      <c r="C94" s="7" t="s">
        <v>300</v>
      </c>
      <c r="D94" s="7"/>
      <c r="E94" s="7"/>
      <c r="F94" s="7"/>
      <c r="G94" s="7"/>
      <c r="H94" s="7"/>
      <c r="I94" s="7"/>
    </row>
    <row r="95" spans="1:9" ht="25.5" customHeight="1" x14ac:dyDescent="0.3">
      <c r="B95" s="16">
        <v>4</v>
      </c>
      <c r="C95" s="7" t="s">
        <v>301</v>
      </c>
      <c r="D95" s="7"/>
      <c r="E95" s="7"/>
      <c r="F95" s="7"/>
      <c r="G95" s="7"/>
      <c r="H95" s="7"/>
      <c r="I95" s="7"/>
    </row>
    <row r="96" spans="1:9" ht="13.5" customHeight="1" x14ac:dyDescent="0.3">
      <c r="B96" s="16">
        <v>5</v>
      </c>
      <c r="C96" s="7" t="s">
        <v>302</v>
      </c>
      <c r="D96" s="7"/>
      <c r="E96" s="7"/>
      <c r="F96" s="7"/>
      <c r="G96" s="7"/>
      <c r="H96" s="7"/>
      <c r="I96" s="7"/>
    </row>
    <row r="97" spans="1:9" ht="25.5" customHeight="1" x14ac:dyDescent="0.3">
      <c r="B97" s="16">
        <v>6</v>
      </c>
      <c r="C97" s="7" t="s">
        <v>303</v>
      </c>
      <c r="D97" s="7"/>
      <c r="E97" s="7"/>
      <c r="F97" s="7"/>
      <c r="G97" s="7"/>
      <c r="H97" s="7"/>
      <c r="I97" s="7"/>
    </row>
    <row r="99" spans="1:9" ht="13.5" customHeight="1" x14ac:dyDescent="0.3">
      <c r="A99" s="9" t="s">
        <v>304</v>
      </c>
      <c r="B99" s="9"/>
      <c r="C99" s="9"/>
      <c r="D99" s="9"/>
      <c r="E99" s="9"/>
      <c r="F99" s="9"/>
      <c r="G99" s="9"/>
      <c r="H99" s="9"/>
      <c r="I99" s="9"/>
    </row>
    <row r="100" spans="1:9" ht="13.5" customHeight="1" x14ac:dyDescent="0.3">
      <c r="B100" s="7" t="s">
        <v>305</v>
      </c>
      <c r="C100" s="7"/>
      <c r="D100" s="7"/>
      <c r="E100" s="7"/>
      <c r="F100" s="7"/>
      <c r="G100" s="7"/>
      <c r="H100" s="7"/>
      <c r="I100" s="7"/>
    </row>
    <row r="102" spans="1:9" ht="13.5" customHeight="1" x14ac:dyDescent="0.3">
      <c r="A102" s="9" t="s">
        <v>306</v>
      </c>
      <c r="B102" s="9"/>
      <c r="C102" s="9"/>
      <c r="D102" s="9"/>
      <c r="E102" s="9"/>
      <c r="F102" s="9"/>
      <c r="G102" s="9"/>
      <c r="H102" s="9"/>
      <c r="I102" s="9"/>
    </row>
    <row r="103" spans="1:9" ht="13.5" customHeight="1" x14ac:dyDescent="0.3">
      <c r="B103" s="7" t="s">
        <v>307</v>
      </c>
      <c r="C103" s="7"/>
      <c r="D103" s="7"/>
      <c r="E103" s="7"/>
      <c r="F103" s="7"/>
      <c r="G103" s="7"/>
      <c r="H103" s="7"/>
      <c r="I103" s="7"/>
    </row>
    <row r="104" spans="1:9" ht="23.85" customHeight="1" x14ac:dyDescent="0.3">
      <c r="A104" s="24" t="s">
        <v>283</v>
      </c>
      <c r="C104" s="24" t="s">
        <v>308</v>
      </c>
      <c r="D104" s="6" t="s">
        <v>309</v>
      </c>
      <c r="E104" s="6"/>
      <c r="F104" s="6" t="s">
        <v>310</v>
      </c>
      <c r="G104" s="6"/>
      <c r="H104" s="6"/>
      <c r="I104" s="6"/>
    </row>
    <row r="105" spans="1:9" ht="27.75" customHeight="1" x14ac:dyDescent="0.3">
      <c r="A105" s="25" t="s">
        <v>166</v>
      </c>
      <c r="C105" s="27" t="s">
        <v>311</v>
      </c>
      <c r="D105" s="5" t="s">
        <v>312</v>
      </c>
      <c r="E105" s="5"/>
      <c r="F105" s="4" t="s">
        <v>313</v>
      </c>
      <c r="G105" s="4"/>
      <c r="H105" s="4"/>
      <c r="I105" s="4"/>
    </row>
    <row r="106" spans="1:9" ht="27.75" customHeight="1" x14ac:dyDescent="0.3">
      <c r="A106" s="25" t="s">
        <v>169</v>
      </c>
      <c r="C106" s="27" t="s">
        <v>314</v>
      </c>
      <c r="D106" s="5" t="s">
        <v>315</v>
      </c>
      <c r="E106" s="5"/>
      <c r="F106" s="4" t="s">
        <v>313</v>
      </c>
      <c r="G106" s="4"/>
      <c r="H106" s="4"/>
      <c r="I106" s="4"/>
    </row>
    <row r="107" spans="1:9" ht="27.75" customHeight="1" x14ac:dyDescent="0.3">
      <c r="A107" s="25" t="s">
        <v>171</v>
      </c>
      <c r="C107" s="27" t="s">
        <v>316</v>
      </c>
      <c r="D107" s="5" t="s">
        <v>317</v>
      </c>
      <c r="E107" s="5"/>
      <c r="F107" s="4" t="s">
        <v>318</v>
      </c>
      <c r="G107" s="4"/>
      <c r="H107" s="4"/>
      <c r="I107" s="4"/>
    </row>
    <row r="108" spans="1:9" ht="27.75" customHeight="1" x14ac:dyDescent="0.3">
      <c r="A108" s="25" t="s">
        <v>174</v>
      </c>
      <c r="C108" s="27" t="s">
        <v>319</v>
      </c>
      <c r="D108" s="5" t="s">
        <v>320</v>
      </c>
      <c r="E108" s="5"/>
      <c r="F108" s="4" t="s">
        <v>321</v>
      </c>
      <c r="G108" s="4"/>
      <c r="H108" s="4"/>
      <c r="I108" s="4"/>
    </row>
    <row r="109" spans="1:9" ht="27.75" customHeight="1" x14ac:dyDescent="0.3">
      <c r="A109" s="25" t="s">
        <v>177</v>
      </c>
      <c r="C109" s="27" t="s">
        <v>322</v>
      </c>
      <c r="D109" s="5" t="s">
        <v>323</v>
      </c>
      <c r="E109" s="5"/>
      <c r="F109" s="4" t="s">
        <v>321</v>
      </c>
      <c r="G109" s="4"/>
      <c r="H109" s="4"/>
      <c r="I109" s="4"/>
    </row>
    <row r="110" spans="1:9" ht="27.75" customHeight="1" x14ac:dyDescent="0.3">
      <c r="A110" s="25" t="s">
        <v>208</v>
      </c>
      <c r="C110" s="27" t="s">
        <v>324</v>
      </c>
      <c r="D110" s="5" t="s">
        <v>325</v>
      </c>
      <c r="E110" s="5"/>
      <c r="F110" s="4" t="s">
        <v>321</v>
      </c>
      <c r="G110" s="4"/>
      <c r="H110" s="4"/>
      <c r="I110" s="4"/>
    </row>
    <row r="111" spans="1:9" ht="27.75" customHeight="1" x14ac:dyDescent="0.3">
      <c r="A111" s="25" t="s">
        <v>211</v>
      </c>
      <c r="C111" s="27" t="s">
        <v>326</v>
      </c>
      <c r="D111" s="5" t="s">
        <v>327</v>
      </c>
      <c r="E111" s="5"/>
      <c r="F111" s="4" t="s">
        <v>321</v>
      </c>
      <c r="G111" s="4"/>
      <c r="H111" s="4"/>
      <c r="I111" s="4"/>
    </row>
    <row r="112" spans="1:9" ht="27.75" customHeight="1" x14ac:dyDescent="0.3">
      <c r="A112" s="25" t="s">
        <v>240</v>
      </c>
      <c r="C112" s="27" t="s">
        <v>328</v>
      </c>
      <c r="D112" s="5" t="s">
        <v>329</v>
      </c>
      <c r="E112" s="5"/>
      <c r="F112" s="4" t="s">
        <v>321</v>
      </c>
      <c r="G112" s="4"/>
      <c r="H112" s="4"/>
      <c r="I112" s="4"/>
    </row>
    <row r="113" spans="1:9" ht="27.75" customHeight="1" x14ac:dyDescent="0.3">
      <c r="A113" s="25" t="s">
        <v>243</v>
      </c>
      <c r="C113" s="27" t="s">
        <v>330</v>
      </c>
      <c r="D113" s="5" t="s">
        <v>331</v>
      </c>
      <c r="E113" s="5"/>
      <c r="F113" s="4" t="s">
        <v>321</v>
      </c>
      <c r="G113" s="4"/>
      <c r="H113" s="4"/>
      <c r="I113" s="4"/>
    </row>
    <row r="114" spans="1:9" ht="27.75" customHeight="1" x14ac:dyDescent="0.3">
      <c r="A114" s="25" t="s">
        <v>248</v>
      </c>
      <c r="C114" s="27" t="s">
        <v>332</v>
      </c>
      <c r="D114" s="5" t="s">
        <v>333</v>
      </c>
      <c r="E114" s="5"/>
      <c r="F114" s="4" t="s">
        <v>321</v>
      </c>
      <c r="G114" s="4"/>
      <c r="H114" s="4"/>
      <c r="I114" s="4"/>
    </row>
    <row r="115" spans="1:9" ht="27.75" customHeight="1" x14ac:dyDescent="0.3">
      <c r="A115" s="25" t="s">
        <v>334</v>
      </c>
      <c r="C115" s="27" t="s">
        <v>335</v>
      </c>
      <c r="D115" s="5" t="s">
        <v>336</v>
      </c>
      <c r="E115" s="5"/>
      <c r="F115" s="4" t="s">
        <v>321</v>
      </c>
      <c r="G115" s="4"/>
      <c r="H115" s="4"/>
      <c r="I115" s="4"/>
    </row>
    <row r="116" spans="1:9" ht="36" customHeight="1" x14ac:dyDescent="0.3">
      <c r="A116" s="25" t="s">
        <v>37</v>
      </c>
      <c r="C116" s="27" t="s">
        <v>337</v>
      </c>
      <c r="D116" s="5" t="s">
        <v>338</v>
      </c>
      <c r="E116" s="5"/>
      <c r="F116" s="4" t="s">
        <v>339</v>
      </c>
      <c r="G116" s="4"/>
      <c r="H116" s="4"/>
      <c r="I116" s="4"/>
    </row>
    <row r="117" spans="1:9" ht="27.75" customHeight="1" x14ac:dyDescent="0.3">
      <c r="A117" s="25" t="s">
        <v>340</v>
      </c>
      <c r="C117" s="27" t="s">
        <v>341</v>
      </c>
      <c r="D117" s="5" t="s">
        <v>342</v>
      </c>
      <c r="E117" s="5"/>
      <c r="F117" s="4" t="s">
        <v>339</v>
      </c>
      <c r="G117" s="4"/>
      <c r="H117" s="4"/>
      <c r="I117" s="4"/>
    </row>
    <row r="118" spans="1:9" ht="36" customHeight="1" x14ac:dyDescent="0.3">
      <c r="A118" s="25" t="s">
        <v>343</v>
      </c>
      <c r="C118" s="27" t="s">
        <v>344</v>
      </c>
      <c r="D118" s="5" t="s">
        <v>345</v>
      </c>
      <c r="E118" s="5"/>
      <c r="F118" s="4" t="s">
        <v>346</v>
      </c>
      <c r="G118" s="4"/>
      <c r="H118" s="4"/>
      <c r="I118" s="4"/>
    </row>
    <row r="119" spans="1:9" ht="27.75" customHeight="1" x14ac:dyDescent="0.3">
      <c r="A119" s="25" t="s">
        <v>224</v>
      </c>
      <c r="C119" s="27" t="s">
        <v>347</v>
      </c>
      <c r="D119" s="5" t="s">
        <v>348</v>
      </c>
      <c r="E119" s="5"/>
      <c r="F119" s="4" t="s">
        <v>349</v>
      </c>
      <c r="G119" s="4"/>
      <c r="H119" s="4"/>
      <c r="I119" s="4"/>
    </row>
    <row r="122" spans="1:9" ht="13.5" customHeight="1" x14ac:dyDescent="0.3">
      <c r="A122" s="9" t="s">
        <v>350</v>
      </c>
      <c r="B122" s="9"/>
      <c r="C122" s="9"/>
      <c r="D122" s="9"/>
      <c r="E122" s="9"/>
      <c r="F122" s="9"/>
      <c r="G122" s="9"/>
      <c r="H122" s="9"/>
      <c r="I122" s="9"/>
    </row>
    <row r="123" spans="1:9" ht="51.75" customHeight="1" x14ac:dyDescent="0.3">
      <c r="B123" s="7" t="s">
        <v>351</v>
      </c>
      <c r="C123" s="7"/>
      <c r="D123" s="7"/>
      <c r="E123" s="7"/>
      <c r="F123" s="7"/>
      <c r="G123" s="7"/>
      <c r="H123" s="7"/>
      <c r="I123" s="7"/>
    </row>
    <row r="125" spans="1:9" ht="13.5" customHeight="1" x14ac:dyDescent="0.3">
      <c r="A125" s="9" t="s">
        <v>352</v>
      </c>
      <c r="B125" s="9"/>
      <c r="C125" s="9"/>
      <c r="D125" s="9"/>
      <c r="E125" s="9"/>
      <c r="F125" s="9"/>
      <c r="G125" s="9"/>
      <c r="H125" s="9"/>
      <c r="I125" s="9"/>
    </row>
    <row r="126" spans="1:9" ht="30" customHeight="1" x14ac:dyDescent="0.3">
      <c r="A126" s="24" t="s">
        <v>283</v>
      </c>
      <c r="C126" s="24" t="s">
        <v>182</v>
      </c>
      <c r="F126" s="24" t="s">
        <v>353</v>
      </c>
      <c r="G126" s="24" t="s">
        <v>354</v>
      </c>
      <c r="H126" s="24" t="s">
        <v>355</v>
      </c>
    </row>
    <row r="127" spans="1:9" x14ac:dyDescent="0.3">
      <c r="C127" s="15" t="s">
        <v>356</v>
      </c>
    </row>
    <row r="128" spans="1:9" x14ac:dyDescent="0.3">
      <c r="A128" s="16" t="s">
        <v>166</v>
      </c>
      <c r="C128" s="16" t="s">
        <v>357</v>
      </c>
      <c r="F128" s="31">
        <v>10000</v>
      </c>
      <c r="G128" s="31">
        <v>10000</v>
      </c>
      <c r="H128" s="32">
        <f t="shared" ref="H128:H135" si="0">F128-G128</f>
        <v>0</v>
      </c>
    </row>
    <row r="129" spans="1:8" x14ac:dyDescent="0.3">
      <c r="A129" s="16" t="s">
        <v>169</v>
      </c>
      <c r="C129" s="16" t="s">
        <v>358</v>
      </c>
      <c r="F129" s="32">
        <v>2176254.65</v>
      </c>
      <c r="G129" s="32">
        <v>2000574.65</v>
      </c>
      <c r="H129" s="32">
        <f t="shared" si="0"/>
        <v>175680</v>
      </c>
    </row>
    <row r="130" spans="1:8" x14ac:dyDescent="0.3">
      <c r="A130" s="16" t="s">
        <v>171</v>
      </c>
      <c r="C130" s="16" t="s">
        <v>359</v>
      </c>
      <c r="F130" s="31">
        <v>2238160</v>
      </c>
      <c r="G130" s="31">
        <v>2238160</v>
      </c>
      <c r="H130" s="32">
        <f t="shared" si="0"/>
        <v>0</v>
      </c>
    </row>
    <row r="131" spans="1:8" x14ac:dyDescent="0.3">
      <c r="A131" s="16" t="s">
        <v>174</v>
      </c>
      <c r="C131" s="16" t="s">
        <v>360</v>
      </c>
      <c r="F131" s="31">
        <v>133787</v>
      </c>
      <c r="G131" s="31">
        <v>111802</v>
      </c>
      <c r="H131" s="32">
        <f t="shared" si="0"/>
        <v>21985</v>
      </c>
    </row>
    <row r="132" spans="1:8" x14ac:dyDescent="0.3">
      <c r="A132" s="16" t="s">
        <v>177</v>
      </c>
      <c r="C132" s="16" t="s">
        <v>361</v>
      </c>
      <c r="F132" s="31">
        <v>180242</v>
      </c>
      <c r="G132" s="31">
        <v>177356</v>
      </c>
      <c r="H132" s="32">
        <f t="shared" si="0"/>
        <v>2886</v>
      </c>
    </row>
    <row r="133" spans="1:8" x14ac:dyDescent="0.3">
      <c r="A133" s="16" t="s">
        <v>208</v>
      </c>
      <c r="C133" s="16" t="s">
        <v>362</v>
      </c>
      <c r="F133" s="31">
        <v>1126244</v>
      </c>
      <c r="G133" s="31">
        <v>961245</v>
      </c>
      <c r="H133" s="32">
        <f t="shared" si="0"/>
        <v>164999</v>
      </c>
    </row>
    <row r="134" spans="1:8" x14ac:dyDescent="0.3">
      <c r="A134" s="16" t="s">
        <v>211</v>
      </c>
      <c r="C134" s="16" t="s">
        <v>363</v>
      </c>
      <c r="F134" s="32">
        <v>1898561.44</v>
      </c>
      <c r="G134" s="32">
        <v>1578689.44</v>
      </c>
      <c r="H134" s="32">
        <f t="shared" si="0"/>
        <v>319872</v>
      </c>
    </row>
    <row r="135" spans="1:8" x14ac:dyDescent="0.3">
      <c r="C135" s="15" t="s">
        <v>364</v>
      </c>
      <c r="F135" s="33">
        <f>SUM(F128:F134)</f>
        <v>7763249.0899999999</v>
      </c>
      <c r="G135" s="33">
        <f>SUM(G128:G134)</f>
        <v>7077827.0899999999</v>
      </c>
      <c r="H135" s="33">
        <f t="shared" si="0"/>
        <v>685422</v>
      </c>
    </row>
    <row r="137" spans="1:8" x14ac:dyDescent="0.3">
      <c r="C137" s="15" t="s">
        <v>365</v>
      </c>
    </row>
    <row r="138" spans="1:8" x14ac:dyDescent="0.3">
      <c r="A138" s="16" t="s">
        <v>166</v>
      </c>
      <c r="C138" s="16" t="s">
        <v>366</v>
      </c>
      <c r="F138" s="32">
        <v>541899.37</v>
      </c>
      <c r="G138" s="32">
        <v>358133.37</v>
      </c>
      <c r="H138" s="32">
        <f t="shared" ref="H138:H145" si="1">F138-G138</f>
        <v>183766</v>
      </c>
    </row>
    <row r="139" spans="1:8" x14ac:dyDescent="0.3">
      <c r="A139" s="16" t="s">
        <v>169</v>
      </c>
      <c r="C139" s="16" t="s">
        <v>367</v>
      </c>
      <c r="F139" s="31">
        <v>1667108</v>
      </c>
      <c r="G139" s="31">
        <v>1671852</v>
      </c>
      <c r="H139" s="32">
        <f t="shared" si="1"/>
        <v>-4744</v>
      </c>
    </row>
    <row r="140" spans="1:8" x14ac:dyDescent="0.3">
      <c r="A140" s="16" t="s">
        <v>171</v>
      </c>
      <c r="C140" s="16" t="s">
        <v>368</v>
      </c>
      <c r="F140" s="31">
        <v>26902</v>
      </c>
      <c r="G140" s="31">
        <v>26120</v>
      </c>
      <c r="H140" s="32">
        <f t="shared" si="1"/>
        <v>782</v>
      </c>
    </row>
    <row r="141" spans="1:8" x14ac:dyDescent="0.3">
      <c r="A141" s="16" t="s">
        <v>174</v>
      </c>
      <c r="C141" s="16" t="s">
        <v>369</v>
      </c>
      <c r="F141" s="31">
        <v>2238160</v>
      </c>
      <c r="G141" s="31">
        <v>2238160</v>
      </c>
      <c r="H141" s="32">
        <f t="shared" si="1"/>
        <v>0</v>
      </c>
    </row>
    <row r="142" spans="1:8" x14ac:dyDescent="0.3">
      <c r="A142" s="16" t="s">
        <v>177</v>
      </c>
      <c r="C142" s="16" t="s">
        <v>370</v>
      </c>
      <c r="F142" s="32">
        <v>2164696.6</v>
      </c>
      <c r="G142" s="32">
        <v>2009123.6</v>
      </c>
      <c r="H142" s="32">
        <f t="shared" si="1"/>
        <v>155573</v>
      </c>
    </row>
    <row r="143" spans="1:8" x14ac:dyDescent="0.3">
      <c r="A143" s="16" t="s">
        <v>208</v>
      </c>
      <c r="C143" s="16" t="s">
        <v>361</v>
      </c>
      <c r="F143" s="32">
        <v>1116346.1200000001</v>
      </c>
      <c r="G143" s="32">
        <v>766226.12</v>
      </c>
      <c r="H143" s="32">
        <f t="shared" si="1"/>
        <v>350120.00000000012</v>
      </c>
    </row>
    <row r="144" spans="1:8" x14ac:dyDescent="0.3">
      <c r="A144" s="16" t="s">
        <v>211</v>
      </c>
      <c r="C144" s="16" t="s">
        <v>371</v>
      </c>
      <c r="F144" s="31">
        <v>8137</v>
      </c>
      <c r="G144" s="31">
        <v>8212</v>
      </c>
      <c r="H144" s="32">
        <f t="shared" si="1"/>
        <v>-75</v>
      </c>
    </row>
    <row r="145" spans="1:9" x14ac:dyDescent="0.3">
      <c r="C145" s="15" t="s">
        <v>364</v>
      </c>
      <c r="F145" s="33">
        <f>SUM(F138:F144)</f>
        <v>7763249.0900000008</v>
      </c>
      <c r="G145" s="33">
        <f>SUM(G138:G144)</f>
        <v>7077827.0900000008</v>
      </c>
      <c r="H145" s="33">
        <f t="shared" si="1"/>
        <v>685422</v>
      </c>
    </row>
    <row r="147" spans="1:9" ht="25.5" customHeight="1" x14ac:dyDescent="0.3">
      <c r="B147" s="3" t="s">
        <v>372</v>
      </c>
      <c r="C147" s="3"/>
      <c r="D147" s="3"/>
      <c r="E147" s="3"/>
      <c r="F147" s="3"/>
      <c r="G147" s="3"/>
      <c r="H147" s="3"/>
      <c r="I147" s="3"/>
    </row>
    <row r="150" spans="1:9" ht="13.5" customHeight="1" x14ac:dyDescent="0.3">
      <c r="A150" s="2" t="s">
        <v>373</v>
      </c>
      <c r="B150" s="2"/>
      <c r="C150" s="2"/>
      <c r="D150" s="2"/>
      <c r="E150" s="2"/>
      <c r="F150" s="2"/>
      <c r="G150" s="2"/>
      <c r="H150" s="2"/>
      <c r="I150" s="2"/>
    </row>
    <row r="151" spans="1:9" ht="13.5" customHeight="1" x14ac:dyDescent="0.3">
      <c r="A151" s="9" t="s">
        <v>374</v>
      </c>
      <c r="B151" s="9"/>
      <c r="C151" s="9"/>
      <c r="D151" s="9"/>
      <c r="E151" s="9"/>
      <c r="F151" s="9"/>
      <c r="G151" s="9"/>
      <c r="H151" s="9"/>
      <c r="I151" s="9"/>
    </row>
    <row r="152" spans="1:9" ht="13.5" customHeight="1" x14ac:dyDescent="0.3">
      <c r="B152" s="15" t="s">
        <v>166</v>
      </c>
      <c r="C152" s="9" t="s">
        <v>375</v>
      </c>
      <c r="D152" s="9"/>
      <c r="E152" s="9"/>
      <c r="F152" s="9"/>
      <c r="G152" s="9"/>
      <c r="H152" s="9"/>
      <c r="I152" s="9"/>
    </row>
    <row r="153" spans="1:9" ht="13.5" customHeight="1" x14ac:dyDescent="0.3">
      <c r="C153" s="7" t="s">
        <v>376</v>
      </c>
      <c r="D153" s="7"/>
      <c r="E153" s="7"/>
      <c r="F153" s="7"/>
      <c r="G153" s="7"/>
      <c r="H153" s="7"/>
      <c r="I153" s="7"/>
    </row>
    <row r="154" spans="1:9" ht="13.5" customHeight="1" x14ac:dyDescent="0.3">
      <c r="B154" s="15" t="s">
        <v>169</v>
      </c>
      <c r="C154" s="9" t="s">
        <v>377</v>
      </c>
      <c r="D154" s="9"/>
      <c r="E154" s="9"/>
      <c r="F154" s="9"/>
      <c r="G154" s="9"/>
      <c r="H154" s="9"/>
      <c r="I154" s="9"/>
    </row>
    <row r="155" spans="1:9" ht="25.5" customHeight="1" x14ac:dyDescent="0.3">
      <c r="C155" s="7" t="s">
        <v>378</v>
      </c>
      <c r="D155" s="7"/>
      <c r="E155" s="7"/>
      <c r="F155" s="7"/>
      <c r="G155" s="7"/>
      <c r="H155" s="7"/>
      <c r="I155" s="7"/>
    </row>
    <row r="157" spans="1:9" ht="13.5" customHeight="1" x14ac:dyDescent="0.3">
      <c r="B157" s="15" t="s">
        <v>171</v>
      </c>
      <c r="C157" s="9" t="s">
        <v>379</v>
      </c>
      <c r="D157" s="9"/>
      <c r="E157" s="9"/>
      <c r="F157" s="9"/>
      <c r="G157" s="9"/>
      <c r="H157" s="9"/>
      <c r="I157" s="9"/>
    </row>
    <row r="158" spans="1:9" ht="13.5" customHeight="1" x14ac:dyDescent="0.3">
      <c r="C158" s="7" t="s">
        <v>380</v>
      </c>
      <c r="D158" s="7"/>
      <c r="E158" s="7"/>
      <c r="F158" s="7"/>
      <c r="G158" s="7"/>
      <c r="H158" s="7"/>
      <c r="I158" s="7"/>
    </row>
    <row r="159" spans="1:9" ht="30" customHeight="1" x14ac:dyDescent="0.3">
      <c r="A159" s="24" t="s">
        <v>283</v>
      </c>
      <c r="C159" s="24" t="s">
        <v>182</v>
      </c>
      <c r="F159" s="24" t="s">
        <v>381</v>
      </c>
      <c r="G159" s="24" t="s">
        <v>382</v>
      </c>
      <c r="H159" s="24" t="s">
        <v>383</v>
      </c>
    </row>
    <row r="160" spans="1:9" x14ac:dyDescent="0.3">
      <c r="A160" s="16" t="s">
        <v>166</v>
      </c>
      <c r="C160" s="16" t="s">
        <v>384</v>
      </c>
      <c r="F160" s="32">
        <v>689533.65</v>
      </c>
      <c r="G160" s="32">
        <v>43513</v>
      </c>
      <c r="H160" s="32">
        <f t="shared" ref="H160:H165" si="2">F160-G160</f>
        <v>646020.65</v>
      </c>
    </row>
    <row r="161" spans="1:9" x14ac:dyDescent="0.3">
      <c r="A161" s="16" t="s">
        <v>169</v>
      </c>
      <c r="C161" s="16" t="s">
        <v>385</v>
      </c>
      <c r="F161" s="32">
        <v>934838</v>
      </c>
      <c r="G161" s="32">
        <v>1127473</v>
      </c>
      <c r="H161" s="32">
        <f t="shared" si="2"/>
        <v>-192635</v>
      </c>
    </row>
    <row r="162" spans="1:9" x14ac:dyDescent="0.3">
      <c r="A162" s="16" t="s">
        <v>171</v>
      </c>
      <c r="C162" s="16" t="s">
        <v>386</v>
      </c>
      <c r="F162" s="32">
        <v>526507</v>
      </c>
      <c r="G162" s="32">
        <v>452600</v>
      </c>
      <c r="H162" s="32">
        <f t="shared" si="2"/>
        <v>73907</v>
      </c>
    </row>
    <row r="163" spans="1:9" x14ac:dyDescent="0.3">
      <c r="A163" s="16" t="s">
        <v>174</v>
      </c>
      <c r="C163" s="16" t="s">
        <v>387</v>
      </c>
      <c r="F163" s="32">
        <v>0</v>
      </c>
      <c r="G163" s="32">
        <v>0</v>
      </c>
      <c r="H163" s="32">
        <f t="shared" si="2"/>
        <v>0</v>
      </c>
    </row>
    <row r="164" spans="1:9" x14ac:dyDescent="0.3">
      <c r="A164" s="16" t="s">
        <v>177</v>
      </c>
      <c r="C164" s="16" t="s">
        <v>388</v>
      </c>
      <c r="F164" s="32">
        <v>25376</v>
      </c>
      <c r="G164" s="32">
        <v>17843</v>
      </c>
      <c r="H164" s="32">
        <f t="shared" si="2"/>
        <v>7533</v>
      </c>
    </row>
    <row r="165" spans="1:9" x14ac:dyDescent="0.3">
      <c r="A165" s="16" t="s">
        <v>208</v>
      </c>
      <c r="C165" s="16" t="s">
        <v>389</v>
      </c>
      <c r="F165" s="32">
        <v>10000</v>
      </c>
      <c r="G165" s="32">
        <v>24579</v>
      </c>
      <c r="H165" s="32">
        <f t="shared" si="2"/>
        <v>-14579</v>
      </c>
    </row>
    <row r="166" spans="1:9" x14ac:dyDescent="0.3">
      <c r="C166" s="15" t="s">
        <v>364</v>
      </c>
      <c r="F166" s="33">
        <f>SUM(F160:F165)</f>
        <v>2186254.65</v>
      </c>
      <c r="G166" s="33">
        <f>SUM(G160:G165)</f>
        <v>1666008</v>
      </c>
      <c r="H166" s="33">
        <f>SUM(H160:H165)</f>
        <v>520246.65</v>
      </c>
    </row>
    <row r="168" spans="1:9" ht="39" customHeight="1" x14ac:dyDescent="0.3">
      <c r="B168" s="16" t="s">
        <v>390</v>
      </c>
      <c r="C168" s="7" t="s">
        <v>391</v>
      </c>
      <c r="D168" s="7"/>
      <c r="E168" s="7"/>
      <c r="F168" s="7"/>
      <c r="G168" s="7"/>
      <c r="H168" s="7"/>
      <c r="I168" s="7"/>
    </row>
    <row r="169" spans="1:9" ht="25.5" customHeight="1" x14ac:dyDescent="0.3">
      <c r="B169" s="16" t="s">
        <v>392</v>
      </c>
      <c r="C169" s="7" t="s">
        <v>393</v>
      </c>
      <c r="D169" s="7"/>
      <c r="E169" s="7"/>
      <c r="F169" s="7"/>
      <c r="G169" s="7"/>
      <c r="H169" s="7"/>
      <c r="I169" s="7"/>
    </row>
    <row r="170" spans="1:9" ht="25.5" customHeight="1" x14ac:dyDescent="0.3">
      <c r="B170" s="16" t="s">
        <v>394</v>
      </c>
      <c r="C170" s="7" t="s">
        <v>395</v>
      </c>
      <c r="D170" s="7"/>
      <c r="E170" s="7"/>
      <c r="F170" s="7"/>
      <c r="G170" s="7"/>
      <c r="H170" s="7"/>
      <c r="I170" s="7"/>
    </row>
    <row r="172" spans="1:9" ht="13.5" customHeight="1" x14ac:dyDescent="0.3">
      <c r="B172" s="15" t="s">
        <v>174</v>
      </c>
      <c r="C172" s="9" t="s">
        <v>396</v>
      </c>
      <c r="D172" s="9"/>
      <c r="E172" s="9"/>
      <c r="F172" s="9"/>
      <c r="G172" s="9"/>
      <c r="H172" s="9"/>
      <c r="I172" s="9"/>
    </row>
    <row r="173" spans="1:9" ht="13.5" customHeight="1" x14ac:dyDescent="0.3">
      <c r="C173" s="7" t="s">
        <v>397</v>
      </c>
      <c r="D173" s="7"/>
      <c r="E173" s="7"/>
      <c r="F173" s="7"/>
      <c r="G173" s="7"/>
      <c r="H173" s="7"/>
      <c r="I173" s="7"/>
    </row>
    <row r="174" spans="1:9" ht="30" customHeight="1" x14ac:dyDescent="0.3">
      <c r="A174" s="24" t="s">
        <v>283</v>
      </c>
      <c r="C174" s="24" t="s">
        <v>182</v>
      </c>
      <c r="F174" s="24" t="s">
        <v>353</v>
      </c>
      <c r="G174" s="24" t="s">
        <v>354</v>
      </c>
      <c r="H174" s="24" t="s">
        <v>355</v>
      </c>
    </row>
    <row r="175" spans="1:9" x14ac:dyDescent="0.3">
      <c r="A175" s="16">
        <v>1</v>
      </c>
      <c r="C175" s="16" t="s">
        <v>398</v>
      </c>
      <c r="F175" s="31">
        <v>13316</v>
      </c>
      <c r="G175" s="31">
        <v>13316</v>
      </c>
      <c r="H175" s="32">
        <f t="shared" ref="H175:H191" si="3">F175-G175</f>
        <v>0</v>
      </c>
    </row>
    <row r="176" spans="1:9" x14ac:dyDescent="0.3">
      <c r="A176" s="16">
        <v>2</v>
      </c>
      <c r="C176" s="16" t="s">
        <v>399</v>
      </c>
      <c r="F176" s="31">
        <v>11441</v>
      </c>
      <c r="G176" s="31">
        <v>6237</v>
      </c>
      <c r="H176" s="32">
        <f t="shared" si="3"/>
        <v>5204</v>
      </c>
    </row>
    <row r="177" spans="1:8" x14ac:dyDescent="0.3">
      <c r="A177" s="16">
        <v>3</v>
      </c>
      <c r="C177" s="16" t="s">
        <v>400</v>
      </c>
      <c r="F177" s="31">
        <v>6480</v>
      </c>
      <c r="G177" s="31">
        <v>0</v>
      </c>
      <c r="H177" s="32">
        <f t="shared" si="3"/>
        <v>6480</v>
      </c>
    </row>
    <row r="178" spans="1:8" x14ac:dyDescent="0.3">
      <c r="A178" s="16">
        <v>4</v>
      </c>
      <c r="C178" s="16" t="s">
        <v>401</v>
      </c>
      <c r="F178" s="31">
        <v>0</v>
      </c>
      <c r="G178" s="31">
        <v>6000</v>
      </c>
      <c r="H178" s="32">
        <f t="shared" si="3"/>
        <v>-6000</v>
      </c>
    </row>
    <row r="179" spans="1:8" x14ac:dyDescent="0.3">
      <c r="A179" s="16">
        <v>5</v>
      </c>
      <c r="C179" s="16" t="s">
        <v>402</v>
      </c>
      <c r="F179" s="31">
        <v>24451</v>
      </c>
      <c r="G179" s="31">
        <v>14761</v>
      </c>
      <c r="H179" s="32">
        <f t="shared" si="3"/>
        <v>9690</v>
      </c>
    </row>
    <row r="180" spans="1:8" x14ac:dyDescent="0.3">
      <c r="A180" s="16">
        <v>6</v>
      </c>
      <c r="C180" s="16" t="s">
        <v>403</v>
      </c>
      <c r="F180" s="31">
        <v>0</v>
      </c>
      <c r="G180" s="31">
        <v>4130</v>
      </c>
      <c r="H180" s="32">
        <f t="shared" si="3"/>
        <v>-4130</v>
      </c>
    </row>
    <row r="181" spans="1:8" x14ac:dyDescent="0.3">
      <c r="A181" s="16">
        <v>7</v>
      </c>
      <c r="C181" s="16" t="s">
        <v>404</v>
      </c>
      <c r="F181" s="31">
        <v>1319</v>
      </c>
      <c r="G181" s="31">
        <v>1319</v>
      </c>
      <c r="H181" s="32">
        <f t="shared" si="3"/>
        <v>0</v>
      </c>
    </row>
    <row r="182" spans="1:8" x14ac:dyDescent="0.3">
      <c r="A182" s="16">
        <v>8</v>
      </c>
      <c r="C182" s="16" t="s">
        <v>405</v>
      </c>
      <c r="F182" s="31">
        <v>20000</v>
      </c>
      <c r="G182" s="31">
        <v>20000</v>
      </c>
      <c r="H182" s="32">
        <f t="shared" si="3"/>
        <v>0</v>
      </c>
    </row>
    <row r="183" spans="1:8" x14ac:dyDescent="0.3">
      <c r="A183" s="16">
        <v>9</v>
      </c>
      <c r="C183" s="16" t="s">
        <v>406</v>
      </c>
      <c r="F183" s="31">
        <v>10</v>
      </c>
      <c r="G183" s="31">
        <v>10</v>
      </c>
      <c r="H183" s="32">
        <f t="shared" si="3"/>
        <v>0</v>
      </c>
    </row>
    <row r="184" spans="1:8" x14ac:dyDescent="0.3">
      <c r="A184" s="16">
        <v>10</v>
      </c>
      <c r="C184" s="16" t="s">
        <v>407</v>
      </c>
      <c r="F184" s="31">
        <v>20000</v>
      </c>
      <c r="G184" s="31">
        <v>10000</v>
      </c>
      <c r="H184" s="32">
        <f t="shared" si="3"/>
        <v>10000</v>
      </c>
    </row>
    <row r="185" spans="1:8" x14ac:dyDescent="0.3">
      <c r="A185" s="16">
        <v>11</v>
      </c>
      <c r="C185" s="16" t="s">
        <v>41</v>
      </c>
      <c r="F185" s="31">
        <v>10000</v>
      </c>
      <c r="G185" s="31">
        <v>7500</v>
      </c>
      <c r="H185" s="32">
        <f t="shared" si="3"/>
        <v>2500</v>
      </c>
    </row>
    <row r="186" spans="1:8" x14ac:dyDescent="0.3">
      <c r="A186" s="16">
        <v>12</v>
      </c>
      <c r="C186" s="16" t="s">
        <v>408</v>
      </c>
      <c r="F186" s="31">
        <v>4853</v>
      </c>
      <c r="G186" s="31">
        <v>4373</v>
      </c>
      <c r="H186" s="32">
        <f t="shared" si="3"/>
        <v>480</v>
      </c>
    </row>
    <row r="187" spans="1:8" x14ac:dyDescent="0.3">
      <c r="A187" s="16">
        <v>13</v>
      </c>
      <c r="C187" s="16" t="s">
        <v>409</v>
      </c>
      <c r="F187" s="31">
        <v>3000</v>
      </c>
      <c r="G187" s="31">
        <v>1500</v>
      </c>
      <c r="H187" s="32">
        <f t="shared" si="3"/>
        <v>1500</v>
      </c>
    </row>
    <row r="188" spans="1:8" x14ac:dyDescent="0.3">
      <c r="A188" s="16">
        <v>14</v>
      </c>
      <c r="C188" s="16" t="s">
        <v>410</v>
      </c>
      <c r="F188" s="31">
        <v>750</v>
      </c>
      <c r="G188" s="31">
        <v>0</v>
      </c>
      <c r="H188" s="32">
        <f t="shared" si="3"/>
        <v>750</v>
      </c>
    </row>
    <row r="189" spans="1:8" x14ac:dyDescent="0.3">
      <c r="A189" s="16">
        <v>15</v>
      </c>
      <c r="C189" s="16" t="s">
        <v>411</v>
      </c>
      <c r="F189" s="31">
        <v>2511</v>
      </c>
      <c r="G189" s="31">
        <v>0</v>
      </c>
      <c r="H189" s="32">
        <f t="shared" si="3"/>
        <v>2511</v>
      </c>
    </row>
    <row r="190" spans="1:8" x14ac:dyDescent="0.3">
      <c r="A190" s="16">
        <v>16</v>
      </c>
      <c r="C190" s="16" t="s">
        <v>412</v>
      </c>
      <c r="F190" s="31">
        <v>15656</v>
      </c>
      <c r="G190" s="31">
        <v>22656</v>
      </c>
      <c r="H190" s="32">
        <f t="shared" si="3"/>
        <v>-7000</v>
      </c>
    </row>
    <row r="191" spans="1:8" x14ac:dyDescent="0.3">
      <c r="C191" s="15" t="s">
        <v>364</v>
      </c>
      <c r="F191" s="34">
        <f>SUM(F175:F190)</f>
        <v>133787</v>
      </c>
      <c r="G191" s="34">
        <f>SUM(G175:G190)</f>
        <v>111802</v>
      </c>
      <c r="H191" s="34">
        <f t="shared" si="3"/>
        <v>21985</v>
      </c>
    </row>
    <row r="193" spans="2:9" ht="13.5" customHeight="1" x14ac:dyDescent="0.3">
      <c r="C193" s="7" t="s">
        <v>413</v>
      </c>
      <c r="D193" s="7"/>
      <c r="E193" s="7"/>
      <c r="F193" s="7"/>
      <c r="G193" s="7"/>
      <c r="H193" s="7"/>
      <c r="I193" s="7"/>
    </row>
    <row r="194" spans="2:9" ht="25.5" customHeight="1" x14ac:dyDescent="0.3">
      <c r="C194" s="7" t="s">
        <v>414</v>
      </c>
      <c r="D194" s="7"/>
      <c r="E194" s="7"/>
      <c r="F194" s="7"/>
      <c r="G194" s="7"/>
      <c r="H194" s="7"/>
      <c r="I194" s="7"/>
    </row>
    <row r="195" spans="2:9" ht="25.5" customHeight="1" x14ac:dyDescent="0.3">
      <c r="C195" s="7" t="s">
        <v>415</v>
      </c>
      <c r="D195" s="7"/>
      <c r="E195" s="7"/>
      <c r="F195" s="7"/>
      <c r="G195" s="7"/>
      <c r="H195" s="7"/>
      <c r="I195" s="7"/>
    </row>
    <row r="196" spans="2:9" ht="25.5" customHeight="1" x14ac:dyDescent="0.3">
      <c r="C196" s="7" t="s">
        <v>416</v>
      </c>
      <c r="D196" s="7"/>
      <c r="E196" s="7"/>
      <c r="F196" s="7"/>
      <c r="G196" s="7"/>
      <c r="H196" s="7"/>
      <c r="I196" s="7"/>
    </row>
    <row r="198" spans="2:9" ht="13.5" customHeight="1" x14ac:dyDescent="0.3">
      <c r="B198" s="15" t="s">
        <v>177</v>
      </c>
      <c r="C198" s="9" t="s">
        <v>417</v>
      </c>
      <c r="D198" s="9"/>
      <c r="E198" s="9"/>
      <c r="F198" s="9"/>
      <c r="G198" s="9"/>
      <c r="H198" s="9"/>
      <c r="I198" s="9"/>
    </row>
    <row r="199" spans="2:9" x14ac:dyDescent="0.3">
      <c r="C199" s="16" t="s">
        <v>418</v>
      </c>
      <c r="F199" s="31">
        <v>37272</v>
      </c>
      <c r="G199" s="31">
        <v>37272</v>
      </c>
      <c r="H199" s="32">
        <f>F199-G199</f>
        <v>0</v>
      </c>
    </row>
    <row r="200" spans="2:9" x14ac:dyDescent="0.3">
      <c r="C200" s="16" t="s">
        <v>419</v>
      </c>
      <c r="F200" s="31">
        <v>16671</v>
      </c>
      <c r="G200" s="31">
        <v>13785</v>
      </c>
      <c r="H200" s="32">
        <f>F200-G200</f>
        <v>2886</v>
      </c>
    </row>
    <row r="201" spans="2:9" x14ac:dyDescent="0.3">
      <c r="C201" s="15" t="s">
        <v>364</v>
      </c>
      <c r="F201" s="34">
        <f>SUM(F199:F200)</f>
        <v>53943</v>
      </c>
      <c r="G201" s="34">
        <f>SUM(G199:G200)</f>
        <v>51057</v>
      </c>
    </row>
    <row r="202" spans="2:9" ht="25.5" customHeight="1" x14ac:dyDescent="0.3">
      <c r="C202" s="7" t="s">
        <v>420</v>
      </c>
      <c r="D202" s="7"/>
      <c r="E202" s="7"/>
      <c r="F202" s="7"/>
      <c r="G202" s="7"/>
      <c r="H202" s="7"/>
      <c r="I202" s="7"/>
    </row>
    <row r="204" spans="2:9" ht="13.5" customHeight="1" x14ac:dyDescent="0.3">
      <c r="B204" s="15" t="s">
        <v>208</v>
      </c>
      <c r="C204" s="9" t="s">
        <v>421</v>
      </c>
      <c r="D204" s="9"/>
      <c r="E204" s="9"/>
      <c r="F204" s="9"/>
      <c r="G204" s="9"/>
      <c r="H204" s="9"/>
      <c r="I204" s="9"/>
    </row>
    <row r="205" spans="2:9" x14ac:dyDescent="0.3">
      <c r="C205" s="16" t="s">
        <v>422</v>
      </c>
      <c r="F205" s="31">
        <v>100813</v>
      </c>
      <c r="G205" s="31">
        <v>100813</v>
      </c>
      <c r="H205" s="32">
        <f>F205-G205</f>
        <v>0</v>
      </c>
    </row>
    <row r="206" spans="2:9" x14ac:dyDescent="0.3">
      <c r="C206" s="16" t="s">
        <v>423</v>
      </c>
      <c r="F206" s="31">
        <v>25486</v>
      </c>
      <c r="G206" s="31">
        <v>25486</v>
      </c>
      <c r="H206" s="32">
        <f>F206-G206</f>
        <v>0</v>
      </c>
    </row>
    <row r="207" spans="2:9" x14ac:dyDescent="0.3">
      <c r="C207" s="15" t="s">
        <v>364</v>
      </c>
      <c r="F207" s="34">
        <f>SUM(F205:F206)</f>
        <v>126299</v>
      </c>
      <c r="G207" s="34">
        <f>SUM(G205:G206)</f>
        <v>126299</v>
      </c>
    </row>
    <row r="208" spans="2:9" ht="39" customHeight="1" x14ac:dyDescent="0.3">
      <c r="C208" s="7" t="s">
        <v>424</v>
      </c>
      <c r="D208" s="7"/>
      <c r="E208" s="7"/>
      <c r="F208" s="7"/>
      <c r="G208" s="7"/>
      <c r="H208" s="7"/>
      <c r="I208" s="7"/>
    </row>
    <row r="210" spans="1:9" ht="13.5" customHeight="1" x14ac:dyDescent="0.3">
      <c r="B210" s="15" t="s">
        <v>211</v>
      </c>
      <c r="C210" s="9" t="s">
        <v>425</v>
      </c>
      <c r="D210" s="9"/>
      <c r="E210" s="9"/>
      <c r="F210" s="9"/>
      <c r="G210" s="9"/>
      <c r="H210" s="9"/>
      <c r="I210" s="9"/>
    </row>
    <row r="211" spans="1:9" ht="39" customHeight="1" x14ac:dyDescent="0.3">
      <c r="C211" s="7" t="s">
        <v>426</v>
      </c>
      <c r="D211" s="7"/>
      <c r="E211" s="7"/>
      <c r="F211" s="7"/>
      <c r="G211" s="7"/>
      <c r="H211" s="7"/>
      <c r="I211" s="7"/>
    </row>
    <row r="214" spans="1:9" ht="13.5" customHeight="1" x14ac:dyDescent="0.3">
      <c r="A214" s="9" t="s">
        <v>427</v>
      </c>
      <c r="B214" s="9"/>
      <c r="C214" s="9"/>
      <c r="D214" s="9"/>
      <c r="E214" s="9"/>
      <c r="F214" s="9"/>
      <c r="G214" s="9"/>
      <c r="H214" s="9"/>
      <c r="I214" s="9"/>
    </row>
    <row r="215" spans="1:9" ht="13.5" customHeight="1" x14ac:dyDescent="0.3">
      <c r="B215" s="15" t="s">
        <v>166</v>
      </c>
      <c r="C215" s="9" t="s">
        <v>428</v>
      </c>
      <c r="D215" s="9"/>
      <c r="E215" s="9"/>
      <c r="F215" s="9"/>
      <c r="G215" s="9"/>
      <c r="H215" s="9"/>
      <c r="I215" s="9"/>
    </row>
    <row r="216" spans="1:9" ht="13.5" customHeight="1" x14ac:dyDescent="0.3">
      <c r="C216" s="7" t="s">
        <v>429</v>
      </c>
      <c r="D216" s="7"/>
      <c r="E216" s="7"/>
      <c r="F216" s="7"/>
      <c r="G216" s="7"/>
      <c r="H216" s="7"/>
      <c r="I216" s="7"/>
    </row>
    <row r="217" spans="1:9" ht="25.5" customHeight="1" x14ac:dyDescent="0.3">
      <c r="C217" s="7" t="s">
        <v>430</v>
      </c>
      <c r="D217" s="7"/>
      <c r="E217" s="7"/>
      <c r="F217" s="7"/>
      <c r="G217" s="7"/>
      <c r="H217" s="7"/>
      <c r="I217" s="7"/>
    </row>
    <row r="219" spans="1:9" ht="13.5" customHeight="1" x14ac:dyDescent="0.3">
      <c r="B219" s="15" t="s">
        <v>169</v>
      </c>
      <c r="C219" s="9" t="s">
        <v>431</v>
      </c>
      <c r="D219" s="9"/>
      <c r="E219" s="9"/>
      <c r="F219" s="9"/>
      <c r="G219" s="9"/>
      <c r="H219" s="9"/>
      <c r="I219" s="9"/>
    </row>
    <row r="220" spans="1:9" ht="13.5" customHeight="1" x14ac:dyDescent="0.3">
      <c r="C220" s="7" t="s">
        <v>432</v>
      </c>
      <c r="D220" s="7"/>
      <c r="E220" s="7"/>
      <c r="F220" s="7"/>
      <c r="G220" s="7"/>
      <c r="H220" s="7"/>
      <c r="I220" s="7"/>
    </row>
    <row r="221" spans="1:9" x14ac:dyDescent="0.3">
      <c r="A221" s="16">
        <v>1</v>
      </c>
      <c r="C221" s="16" t="s">
        <v>433</v>
      </c>
      <c r="F221" s="31">
        <v>408718</v>
      </c>
      <c r="G221" s="31">
        <v>93495</v>
      </c>
      <c r="H221" s="32">
        <f>F221-G221</f>
        <v>315223</v>
      </c>
    </row>
    <row r="222" spans="1:9" x14ac:dyDescent="0.3">
      <c r="A222" s="16">
        <v>2</v>
      </c>
      <c r="C222" s="16" t="s">
        <v>434</v>
      </c>
      <c r="F222" s="32">
        <v>125279.37</v>
      </c>
      <c r="G222" s="32">
        <v>264638.37</v>
      </c>
      <c r="H222" s="32">
        <f>F222-G222</f>
        <v>-139359</v>
      </c>
    </row>
    <row r="223" spans="1:9" x14ac:dyDescent="0.3">
      <c r="C223" s="15" t="s">
        <v>435</v>
      </c>
      <c r="F223" s="33">
        <f>SUM(F221:F222)</f>
        <v>533997.37</v>
      </c>
      <c r="G223" s="33">
        <f>SUM(G221:G222)</f>
        <v>358133.37</v>
      </c>
    </row>
    <row r="224" spans="1:9" ht="39" customHeight="1" x14ac:dyDescent="0.3">
      <c r="C224" s="7" t="s">
        <v>436</v>
      </c>
      <c r="D224" s="7"/>
      <c r="E224" s="7"/>
      <c r="F224" s="7"/>
      <c r="G224" s="7"/>
      <c r="H224" s="7"/>
      <c r="I224" s="7"/>
    </row>
    <row r="225" spans="1:9" ht="13.5" customHeight="1" x14ac:dyDescent="0.3">
      <c r="C225" s="7" t="s">
        <v>437</v>
      </c>
      <c r="D225" s="7"/>
      <c r="E225" s="7"/>
      <c r="F225" s="7"/>
      <c r="G225" s="7"/>
      <c r="H225" s="7"/>
      <c r="I225" s="7"/>
    </row>
    <row r="227" spans="1:9" ht="13.5" customHeight="1" x14ac:dyDescent="0.3">
      <c r="B227" s="15" t="s">
        <v>171</v>
      </c>
      <c r="C227" s="9" t="s">
        <v>438</v>
      </c>
      <c r="D227" s="9"/>
      <c r="E227" s="9"/>
      <c r="F227" s="9"/>
      <c r="G227" s="9"/>
      <c r="H227" s="9"/>
      <c r="I227" s="9"/>
    </row>
    <row r="228" spans="1:9" ht="13.5" customHeight="1" x14ac:dyDescent="0.3">
      <c r="C228" s="7" t="s">
        <v>439</v>
      </c>
      <c r="D228" s="7"/>
      <c r="E228" s="7"/>
      <c r="F228" s="7"/>
      <c r="G228" s="7"/>
      <c r="H228" s="7"/>
      <c r="I228" s="7"/>
    </row>
    <row r="229" spans="1:9" ht="30" customHeight="1" x14ac:dyDescent="0.3">
      <c r="A229" s="24" t="s">
        <v>283</v>
      </c>
      <c r="C229" s="24" t="s">
        <v>182</v>
      </c>
      <c r="F229" s="24" t="s">
        <v>353</v>
      </c>
      <c r="G229" s="24" t="s">
        <v>354</v>
      </c>
      <c r="H229" s="24" t="s">
        <v>355</v>
      </c>
    </row>
    <row r="230" spans="1:9" x14ac:dyDescent="0.3">
      <c r="C230" s="15" t="s">
        <v>440</v>
      </c>
    </row>
    <row r="231" spans="1:9" x14ac:dyDescent="0.3">
      <c r="C231" s="16" t="s">
        <v>385</v>
      </c>
      <c r="F231" s="31">
        <v>1127473</v>
      </c>
      <c r="G231" s="31">
        <v>1164867</v>
      </c>
      <c r="H231" s="32">
        <f t="shared" ref="H231:H240" si="4">F231-G231</f>
        <v>-37394</v>
      </c>
    </row>
    <row r="232" spans="1:9" x14ac:dyDescent="0.3">
      <c r="C232" s="16" t="s">
        <v>441</v>
      </c>
      <c r="F232" s="31">
        <v>452600</v>
      </c>
      <c r="G232" s="31">
        <v>425286</v>
      </c>
      <c r="H232" s="32">
        <f t="shared" si="4"/>
        <v>27314</v>
      </c>
    </row>
    <row r="233" spans="1:9" x14ac:dyDescent="0.3">
      <c r="C233" s="16" t="s">
        <v>388</v>
      </c>
      <c r="F233" s="31">
        <v>17843</v>
      </c>
      <c r="G233" s="31">
        <v>16714</v>
      </c>
      <c r="H233" s="32">
        <f t="shared" si="4"/>
        <v>1129</v>
      </c>
    </row>
    <row r="234" spans="1:9" x14ac:dyDescent="0.3">
      <c r="C234" s="16" t="s">
        <v>384</v>
      </c>
      <c r="F234" s="31">
        <v>43513</v>
      </c>
      <c r="G234" s="31">
        <v>40826</v>
      </c>
      <c r="H234" s="32">
        <f t="shared" si="4"/>
        <v>2687</v>
      </c>
    </row>
    <row r="235" spans="1:9" x14ac:dyDescent="0.3">
      <c r="C235" s="16" t="s">
        <v>387</v>
      </c>
      <c r="F235" s="31">
        <v>0</v>
      </c>
      <c r="G235" s="31">
        <v>0</v>
      </c>
      <c r="H235" s="32">
        <f t="shared" si="4"/>
        <v>0</v>
      </c>
    </row>
    <row r="236" spans="1:9" x14ac:dyDescent="0.3">
      <c r="C236" s="16" t="s">
        <v>389</v>
      </c>
      <c r="F236" s="31">
        <v>24579</v>
      </c>
      <c r="G236" s="31">
        <v>23059</v>
      </c>
      <c r="H236" s="32">
        <f t="shared" si="4"/>
        <v>1520</v>
      </c>
    </row>
    <row r="237" spans="1:9" x14ac:dyDescent="0.3">
      <c r="C237" s="15" t="s">
        <v>442</v>
      </c>
      <c r="F237" s="34">
        <f>SUM(F231:F236)</f>
        <v>1666008</v>
      </c>
      <c r="G237" s="34">
        <f>SUM(G231:G236)</f>
        <v>1670752</v>
      </c>
      <c r="H237" s="34">
        <f t="shared" si="4"/>
        <v>-4744</v>
      </c>
    </row>
    <row r="238" spans="1:9" x14ac:dyDescent="0.3">
      <c r="C238" s="16" t="s">
        <v>443</v>
      </c>
      <c r="F238" s="31">
        <v>100</v>
      </c>
      <c r="G238" s="31">
        <v>100</v>
      </c>
      <c r="H238" s="32">
        <f t="shared" si="4"/>
        <v>0</v>
      </c>
    </row>
    <row r="239" spans="1:9" x14ac:dyDescent="0.3">
      <c r="C239" s="16" t="s">
        <v>444</v>
      </c>
      <c r="F239" s="31">
        <v>1000</v>
      </c>
      <c r="G239" s="31">
        <v>1000</v>
      </c>
      <c r="H239" s="32">
        <f t="shared" si="4"/>
        <v>0</v>
      </c>
    </row>
    <row r="240" spans="1:9" x14ac:dyDescent="0.3">
      <c r="C240" s="15" t="s">
        <v>435</v>
      </c>
      <c r="F240" s="34">
        <f>F237+SUM(F238:F239)</f>
        <v>1667108</v>
      </c>
      <c r="G240" s="34">
        <f>G237+SUM(G238:G239)</f>
        <v>1671852</v>
      </c>
      <c r="H240" s="34">
        <f t="shared" si="4"/>
        <v>-4744</v>
      </c>
    </row>
    <row r="242" spans="1:9" ht="25.5" customHeight="1" x14ac:dyDescent="0.3">
      <c r="C242" s="7" t="s">
        <v>445</v>
      </c>
      <c r="D242" s="7"/>
      <c r="E242" s="7"/>
      <c r="F242" s="7"/>
      <c r="G242" s="7"/>
      <c r="H242" s="7"/>
      <c r="I242" s="7"/>
    </row>
    <row r="243" spans="1:9" ht="25.5" customHeight="1" x14ac:dyDescent="0.3">
      <c r="C243" s="7" t="s">
        <v>446</v>
      </c>
      <c r="D243" s="7"/>
      <c r="E243" s="7"/>
      <c r="F243" s="7"/>
      <c r="G243" s="7"/>
      <c r="H243" s="7"/>
      <c r="I243" s="7"/>
    </row>
    <row r="244" spans="1:9" ht="25.5" customHeight="1" x14ac:dyDescent="0.3">
      <c r="C244" s="7" t="s">
        <v>447</v>
      </c>
      <c r="D244" s="7"/>
      <c r="E244" s="7"/>
      <c r="F244" s="7"/>
      <c r="G244" s="7"/>
      <c r="H244" s="7"/>
      <c r="I244" s="7"/>
    </row>
    <row r="245" spans="1:9" ht="13.5" customHeight="1" x14ac:dyDescent="0.3">
      <c r="C245" s="7" t="s">
        <v>448</v>
      </c>
      <c r="D245" s="7"/>
      <c r="E245" s="7"/>
      <c r="F245" s="7"/>
      <c r="G245" s="7"/>
      <c r="H245" s="7"/>
      <c r="I245" s="7"/>
    </row>
    <row r="247" spans="1:9" ht="13.5" customHeight="1" x14ac:dyDescent="0.3">
      <c r="B247" s="15" t="s">
        <v>174</v>
      </c>
      <c r="C247" s="9" t="s">
        <v>449</v>
      </c>
      <c r="D247" s="9"/>
      <c r="E247" s="9"/>
      <c r="F247" s="9"/>
      <c r="G247" s="9"/>
      <c r="H247" s="9"/>
      <c r="I247" s="9"/>
    </row>
    <row r="248" spans="1:9" ht="39" customHeight="1" x14ac:dyDescent="0.3">
      <c r="C248" s="7" t="s">
        <v>450</v>
      </c>
      <c r="D248" s="7"/>
      <c r="E248" s="7"/>
      <c r="F248" s="7"/>
      <c r="G248" s="7"/>
      <c r="H248" s="7"/>
      <c r="I248" s="7"/>
    </row>
    <row r="249" spans="1:9" ht="30" customHeight="1" x14ac:dyDescent="0.3">
      <c r="A249" s="24" t="s">
        <v>283</v>
      </c>
      <c r="C249" s="24" t="s">
        <v>182</v>
      </c>
      <c r="F249" s="24" t="s">
        <v>451</v>
      </c>
      <c r="G249" s="24" t="s">
        <v>452</v>
      </c>
      <c r="H249" s="24" t="s">
        <v>355</v>
      </c>
    </row>
    <row r="250" spans="1:9" x14ac:dyDescent="0.3">
      <c r="A250" s="16">
        <v>1</v>
      </c>
      <c r="C250" s="16" t="s">
        <v>453</v>
      </c>
      <c r="F250" s="31">
        <v>2238160</v>
      </c>
      <c r="G250" s="31">
        <v>2238160</v>
      </c>
      <c r="H250" s="32">
        <f t="shared" ref="H250:H255" si="5">F250-G250</f>
        <v>0</v>
      </c>
    </row>
    <row r="251" spans="1:9" x14ac:dyDescent="0.3">
      <c r="A251" s="16">
        <v>2</v>
      </c>
      <c r="C251" s="16" t="s">
        <v>454</v>
      </c>
      <c r="F251" s="31">
        <v>455</v>
      </c>
      <c r="G251" s="31">
        <v>506</v>
      </c>
      <c r="H251" s="32">
        <f t="shared" si="5"/>
        <v>-51</v>
      </c>
    </row>
    <row r="252" spans="1:9" x14ac:dyDescent="0.3">
      <c r="A252" s="16">
        <v>3</v>
      </c>
      <c r="C252" s="16" t="s">
        <v>455</v>
      </c>
      <c r="F252" s="31">
        <v>5422</v>
      </c>
      <c r="G252" s="31">
        <v>6379</v>
      </c>
      <c r="H252" s="32">
        <f t="shared" si="5"/>
        <v>-957</v>
      </c>
    </row>
    <row r="253" spans="1:9" x14ac:dyDescent="0.3">
      <c r="A253" s="16">
        <v>4</v>
      </c>
      <c r="C253" s="16" t="s">
        <v>456</v>
      </c>
      <c r="F253" s="31">
        <v>14798</v>
      </c>
      <c r="G253" s="31">
        <v>11909</v>
      </c>
      <c r="H253" s="32">
        <f t="shared" si="5"/>
        <v>2889</v>
      </c>
    </row>
    <row r="254" spans="1:9" x14ac:dyDescent="0.3">
      <c r="A254" s="16">
        <v>5</v>
      </c>
      <c r="C254" s="16" t="s">
        <v>457</v>
      </c>
      <c r="F254" s="31">
        <v>6227</v>
      </c>
      <c r="G254" s="31">
        <v>7326</v>
      </c>
      <c r="H254" s="32">
        <f t="shared" si="5"/>
        <v>-1099</v>
      </c>
    </row>
    <row r="255" spans="1:9" x14ac:dyDescent="0.3">
      <c r="C255" s="15" t="s">
        <v>435</v>
      </c>
      <c r="F255" s="34">
        <f>SUM(F250:F254)</f>
        <v>2265062</v>
      </c>
      <c r="G255" s="34">
        <f>SUM(G250:G254)</f>
        <v>2264280</v>
      </c>
      <c r="H255" s="34">
        <f t="shared" si="5"/>
        <v>782</v>
      </c>
    </row>
    <row r="257" spans="1:9" ht="25.5" customHeight="1" x14ac:dyDescent="0.3">
      <c r="C257" s="7" t="s">
        <v>458</v>
      </c>
      <c r="D257" s="7"/>
      <c r="E257" s="7"/>
      <c r="F257" s="7"/>
      <c r="G257" s="7"/>
      <c r="H257" s="7"/>
      <c r="I257" s="7"/>
    </row>
    <row r="258" spans="1:9" ht="13.5" customHeight="1" x14ac:dyDescent="0.3">
      <c r="C258" s="7" t="s">
        <v>459</v>
      </c>
      <c r="D258" s="7"/>
      <c r="E258" s="7"/>
      <c r="F258" s="7"/>
      <c r="G258" s="7"/>
      <c r="H258" s="7"/>
      <c r="I258" s="7"/>
    </row>
    <row r="259" spans="1:9" ht="13.5" customHeight="1" x14ac:dyDescent="0.3">
      <c r="C259" s="7" t="s">
        <v>460</v>
      </c>
      <c r="D259" s="7"/>
      <c r="E259" s="7"/>
      <c r="F259" s="7"/>
      <c r="G259" s="7"/>
      <c r="H259" s="7"/>
      <c r="I259" s="7"/>
    </row>
    <row r="261" spans="1:9" ht="13.5" customHeight="1" x14ac:dyDescent="0.3">
      <c r="B261" s="15" t="s">
        <v>177</v>
      </c>
      <c r="C261" s="9" t="s">
        <v>461</v>
      </c>
      <c r="D261" s="9"/>
      <c r="E261" s="9"/>
      <c r="F261" s="9"/>
      <c r="G261" s="9"/>
      <c r="H261" s="9"/>
      <c r="I261" s="9"/>
    </row>
    <row r="262" spans="1:9" ht="13.5" customHeight="1" x14ac:dyDescent="0.3">
      <c r="C262" s="7" t="s">
        <v>462</v>
      </c>
      <c r="D262" s="7"/>
      <c r="E262" s="7"/>
      <c r="F262" s="7"/>
      <c r="G262" s="7"/>
      <c r="H262" s="7"/>
      <c r="I262" s="7"/>
    </row>
    <row r="263" spans="1:9" ht="30" customHeight="1" x14ac:dyDescent="0.3">
      <c r="A263" s="24" t="s">
        <v>283</v>
      </c>
      <c r="C263" s="24" t="s">
        <v>182</v>
      </c>
      <c r="F263" s="24" t="s">
        <v>353</v>
      </c>
      <c r="G263" s="24" t="s">
        <v>354</v>
      </c>
      <c r="H263" s="24" t="s">
        <v>355</v>
      </c>
    </row>
    <row r="264" spans="1:9" x14ac:dyDescent="0.3">
      <c r="A264" s="16">
        <v>1</v>
      </c>
      <c r="C264" s="16" t="s">
        <v>463</v>
      </c>
      <c r="F264" s="31">
        <v>5254</v>
      </c>
      <c r="G264" s="31">
        <v>5254</v>
      </c>
      <c r="H264" s="32">
        <f t="shared" ref="H264:H277" si="6">F264-G264</f>
        <v>0</v>
      </c>
    </row>
    <row r="265" spans="1:9" x14ac:dyDescent="0.3">
      <c r="A265" s="16">
        <v>2</v>
      </c>
      <c r="C265" s="16" t="s">
        <v>464</v>
      </c>
      <c r="F265" s="31">
        <v>2883</v>
      </c>
      <c r="G265" s="31">
        <v>2958</v>
      </c>
      <c r="H265" s="32">
        <f t="shared" si="6"/>
        <v>-75</v>
      </c>
    </row>
    <row r="266" spans="1:9" x14ac:dyDescent="0.3">
      <c r="A266" s="16">
        <v>3</v>
      </c>
      <c r="C266" s="16" t="s">
        <v>465</v>
      </c>
      <c r="F266" s="32">
        <v>66834.600000000006</v>
      </c>
      <c r="G266" s="32">
        <v>93054.6</v>
      </c>
      <c r="H266" s="32">
        <f t="shared" si="6"/>
        <v>-26220</v>
      </c>
    </row>
    <row r="267" spans="1:9" x14ac:dyDescent="0.3">
      <c r="A267" s="16">
        <v>4</v>
      </c>
      <c r="C267" s="16" t="s">
        <v>466</v>
      </c>
      <c r="F267" s="31">
        <v>2097862</v>
      </c>
      <c r="G267" s="31">
        <v>1916069</v>
      </c>
      <c r="H267" s="32">
        <f t="shared" si="6"/>
        <v>181793</v>
      </c>
    </row>
    <row r="268" spans="1:9" x14ac:dyDescent="0.3">
      <c r="A268" s="16">
        <v>5</v>
      </c>
      <c r="C268" s="16" t="s">
        <v>467</v>
      </c>
      <c r="F268" s="31">
        <v>10000</v>
      </c>
      <c r="G268" s="31">
        <v>10000</v>
      </c>
      <c r="H268" s="32">
        <f t="shared" si="6"/>
        <v>0</v>
      </c>
    </row>
    <row r="269" spans="1:9" x14ac:dyDescent="0.3">
      <c r="A269" s="16">
        <v>6</v>
      </c>
      <c r="C269" s="16" t="s">
        <v>468</v>
      </c>
      <c r="F269" s="31">
        <v>1325</v>
      </c>
      <c r="G269" s="31">
        <v>1325</v>
      </c>
      <c r="H269" s="32">
        <f t="shared" si="6"/>
        <v>0</v>
      </c>
    </row>
    <row r="270" spans="1:9" x14ac:dyDescent="0.3">
      <c r="A270" s="16">
        <v>7</v>
      </c>
      <c r="C270" s="16" t="s">
        <v>469</v>
      </c>
      <c r="F270" s="31">
        <v>5245</v>
      </c>
      <c r="G270" s="31">
        <v>5245</v>
      </c>
      <c r="H270" s="32">
        <f t="shared" si="6"/>
        <v>0</v>
      </c>
    </row>
    <row r="271" spans="1:9" x14ac:dyDescent="0.3">
      <c r="A271" s="16">
        <v>8</v>
      </c>
      <c r="C271" s="16" t="s">
        <v>470</v>
      </c>
      <c r="F271" s="31">
        <v>81189</v>
      </c>
      <c r="G271" s="31">
        <v>5900</v>
      </c>
      <c r="H271" s="32">
        <f t="shared" si="6"/>
        <v>75289</v>
      </c>
    </row>
    <row r="272" spans="1:9" x14ac:dyDescent="0.3">
      <c r="A272" s="16">
        <v>9</v>
      </c>
      <c r="C272" s="16" t="s">
        <v>471</v>
      </c>
      <c r="F272" s="31">
        <v>391751</v>
      </c>
      <c r="G272" s="31">
        <v>150000</v>
      </c>
      <c r="H272" s="32">
        <f t="shared" si="6"/>
        <v>241751</v>
      </c>
    </row>
    <row r="273" spans="1:9" x14ac:dyDescent="0.3">
      <c r="A273" s="16">
        <v>10</v>
      </c>
      <c r="C273" s="16" t="s">
        <v>472</v>
      </c>
      <c r="F273" s="31">
        <v>509386</v>
      </c>
      <c r="G273" s="31">
        <v>509386</v>
      </c>
      <c r="H273" s="32">
        <f t="shared" si="6"/>
        <v>0</v>
      </c>
    </row>
    <row r="274" spans="1:9" x14ac:dyDescent="0.3">
      <c r="A274" s="16">
        <v>11</v>
      </c>
      <c r="C274" s="16" t="s">
        <v>404</v>
      </c>
      <c r="F274" s="31">
        <v>51911</v>
      </c>
      <c r="G274" s="31">
        <v>51911</v>
      </c>
      <c r="H274" s="32">
        <f t="shared" si="6"/>
        <v>0</v>
      </c>
    </row>
    <row r="275" spans="1:9" x14ac:dyDescent="0.3">
      <c r="A275" s="16">
        <v>12</v>
      </c>
      <c r="C275" s="16" t="s">
        <v>473</v>
      </c>
      <c r="F275" s="31">
        <v>55080</v>
      </c>
      <c r="G275" s="31">
        <v>0</v>
      </c>
      <c r="H275" s="32">
        <f t="shared" si="6"/>
        <v>55080</v>
      </c>
    </row>
    <row r="276" spans="1:9" x14ac:dyDescent="0.3">
      <c r="A276" s="16">
        <v>13</v>
      </c>
      <c r="C276" s="16" t="s">
        <v>474</v>
      </c>
      <c r="F276" s="31">
        <v>0</v>
      </c>
      <c r="G276" s="31">
        <v>22000</v>
      </c>
      <c r="H276" s="32">
        <f t="shared" si="6"/>
        <v>-22000</v>
      </c>
    </row>
    <row r="277" spans="1:9" x14ac:dyDescent="0.3">
      <c r="C277" s="15" t="s">
        <v>435</v>
      </c>
      <c r="F277" s="33">
        <f>SUM(F264:F276)</f>
        <v>3278720.6</v>
      </c>
      <c r="G277" s="33">
        <f>SUM(G264:G276)</f>
        <v>2773102.6</v>
      </c>
      <c r="H277" s="33">
        <f t="shared" si="6"/>
        <v>505618</v>
      </c>
    </row>
    <row r="279" spans="1:9" ht="13.5" customHeight="1" x14ac:dyDescent="0.3">
      <c r="B279" s="15" t="s">
        <v>390</v>
      </c>
      <c r="C279" s="9" t="s">
        <v>475</v>
      </c>
      <c r="D279" s="9"/>
      <c r="E279" s="9"/>
      <c r="F279" s="9"/>
      <c r="G279" s="9"/>
      <c r="H279" s="9"/>
      <c r="I279" s="9"/>
    </row>
    <row r="280" spans="1:9" ht="13.5" customHeight="1" x14ac:dyDescent="0.3">
      <c r="C280" s="16" t="s">
        <v>476</v>
      </c>
      <c r="D280" s="7" t="s">
        <v>477</v>
      </c>
      <c r="E280" s="7"/>
      <c r="F280" s="7"/>
      <c r="G280" s="7"/>
      <c r="H280" s="7"/>
      <c r="I280" s="7"/>
    </row>
    <row r="281" spans="1:9" ht="25.5" customHeight="1" x14ac:dyDescent="0.3">
      <c r="C281" s="16" t="s">
        <v>478</v>
      </c>
      <c r="D281" s="7" t="s">
        <v>479</v>
      </c>
      <c r="E281" s="7"/>
      <c r="F281" s="7"/>
      <c r="G281" s="7"/>
      <c r="H281" s="7"/>
      <c r="I281" s="7"/>
    </row>
    <row r="282" spans="1:9" ht="39" customHeight="1" x14ac:dyDescent="0.3">
      <c r="C282" s="16" t="s">
        <v>480</v>
      </c>
      <c r="D282" s="7" t="s">
        <v>481</v>
      </c>
      <c r="E282" s="7"/>
      <c r="F282" s="7"/>
      <c r="G282" s="7"/>
      <c r="H282" s="7"/>
      <c r="I282" s="7"/>
    </row>
    <row r="283" spans="1:9" ht="39" customHeight="1" x14ac:dyDescent="0.3">
      <c r="C283" s="16" t="s">
        <v>482</v>
      </c>
      <c r="D283" s="7" t="s">
        <v>483</v>
      </c>
      <c r="E283" s="7"/>
      <c r="F283" s="7"/>
      <c r="G283" s="7"/>
      <c r="H283" s="7"/>
      <c r="I283" s="7"/>
    </row>
    <row r="284" spans="1:9" ht="25.5" customHeight="1" x14ac:dyDescent="0.3">
      <c r="C284" s="16" t="s">
        <v>484</v>
      </c>
      <c r="D284" s="7" t="s">
        <v>485</v>
      </c>
      <c r="E284" s="7"/>
      <c r="F284" s="7"/>
      <c r="G284" s="7"/>
      <c r="H284" s="7"/>
      <c r="I284" s="7"/>
    </row>
    <row r="286" spans="1:9" ht="13.5" customHeight="1" x14ac:dyDescent="0.3">
      <c r="B286" s="15" t="s">
        <v>392</v>
      </c>
      <c r="C286" s="9" t="s">
        <v>486</v>
      </c>
      <c r="D286" s="9"/>
      <c r="E286" s="9"/>
      <c r="F286" s="9"/>
      <c r="G286" s="9"/>
      <c r="H286" s="9"/>
      <c r="I286" s="9"/>
    </row>
    <row r="287" spans="1:9" ht="25.5" customHeight="1" x14ac:dyDescent="0.3">
      <c r="C287" s="16" t="s">
        <v>476</v>
      </c>
      <c r="D287" s="7" t="s">
        <v>487</v>
      </c>
      <c r="E287" s="7"/>
      <c r="F287" s="7"/>
      <c r="G287" s="7"/>
      <c r="H287" s="7"/>
      <c r="I287" s="7"/>
    </row>
    <row r="288" spans="1:9" ht="25.5" customHeight="1" x14ac:dyDescent="0.3">
      <c r="C288" s="16" t="s">
        <v>478</v>
      </c>
      <c r="D288" s="7" t="s">
        <v>488</v>
      </c>
      <c r="E288" s="7"/>
      <c r="F288" s="7"/>
      <c r="G288" s="7"/>
      <c r="H288" s="7"/>
      <c r="I288" s="7"/>
    </row>
    <row r="289" spans="1:9" ht="64.5" customHeight="1" x14ac:dyDescent="0.3">
      <c r="C289" s="16" t="s">
        <v>480</v>
      </c>
      <c r="D289" s="7" t="s">
        <v>489</v>
      </c>
      <c r="E289" s="7"/>
      <c r="F289" s="7"/>
      <c r="G289" s="7"/>
      <c r="H289" s="7"/>
      <c r="I289" s="7"/>
    </row>
    <row r="290" spans="1:9" ht="39" customHeight="1" x14ac:dyDescent="0.3">
      <c r="C290" s="16" t="s">
        <v>482</v>
      </c>
      <c r="D290" s="7" t="s">
        <v>490</v>
      </c>
      <c r="E290" s="7"/>
      <c r="F290" s="7"/>
      <c r="G290" s="7"/>
      <c r="H290" s="7"/>
      <c r="I290" s="7"/>
    </row>
    <row r="291" spans="1:9" ht="25.5" customHeight="1" x14ac:dyDescent="0.3">
      <c r="C291" s="16" t="s">
        <v>484</v>
      </c>
      <c r="D291" s="7" t="s">
        <v>491</v>
      </c>
      <c r="E291" s="7"/>
      <c r="F291" s="7"/>
      <c r="G291" s="7"/>
      <c r="H291" s="7"/>
      <c r="I291" s="7"/>
    </row>
    <row r="293" spans="1:9" ht="13.5" customHeight="1" x14ac:dyDescent="0.3">
      <c r="B293" s="15" t="s">
        <v>394</v>
      </c>
      <c r="C293" s="9" t="s">
        <v>492</v>
      </c>
      <c r="D293" s="9"/>
      <c r="E293" s="9"/>
      <c r="F293" s="9"/>
      <c r="G293" s="9"/>
      <c r="H293" s="9"/>
      <c r="I293" s="9"/>
    </row>
    <row r="294" spans="1:9" ht="64.5" customHeight="1" x14ac:dyDescent="0.3">
      <c r="D294" s="7" t="s">
        <v>493</v>
      </c>
      <c r="E294" s="7"/>
      <c r="F294" s="7"/>
      <c r="G294" s="7"/>
      <c r="H294" s="7"/>
      <c r="I294" s="7"/>
    </row>
    <row r="296" spans="1:9" ht="13.5" customHeight="1" x14ac:dyDescent="0.3">
      <c r="B296" s="15" t="s">
        <v>208</v>
      </c>
      <c r="C296" s="9" t="s">
        <v>494</v>
      </c>
      <c r="D296" s="9"/>
      <c r="E296" s="9"/>
      <c r="F296" s="9"/>
      <c r="G296" s="9"/>
      <c r="H296" s="9"/>
      <c r="I296" s="9"/>
    </row>
    <row r="297" spans="1:9" x14ac:dyDescent="0.3">
      <c r="A297" s="16" t="s">
        <v>166</v>
      </c>
      <c r="C297" s="16" t="s">
        <v>495</v>
      </c>
      <c r="F297" s="32">
        <v>10459.120000000001</v>
      </c>
      <c r="G297" s="32">
        <v>10459.120000000001</v>
      </c>
      <c r="H297" s="32">
        <f>F297-G297</f>
        <v>0</v>
      </c>
    </row>
    <row r="298" spans="1:9" ht="13.5" customHeight="1" x14ac:dyDescent="0.3">
      <c r="C298" s="7" t="s">
        <v>496</v>
      </c>
      <c r="D298" s="7"/>
      <c r="E298" s="7"/>
      <c r="F298" s="7"/>
      <c r="G298" s="7"/>
      <c r="H298" s="7"/>
      <c r="I298" s="7"/>
    </row>
    <row r="301" spans="1:9" ht="13.5" customHeight="1" x14ac:dyDescent="0.3">
      <c r="A301" s="9" t="s">
        <v>497</v>
      </c>
      <c r="B301" s="9"/>
      <c r="C301" s="9"/>
      <c r="D301" s="9"/>
      <c r="E301" s="9"/>
      <c r="F301" s="9"/>
      <c r="G301" s="9"/>
      <c r="H301" s="9"/>
      <c r="I301" s="9"/>
    </row>
    <row r="302" spans="1:9" ht="13.5" customHeight="1" x14ac:dyDescent="0.3">
      <c r="B302" s="9" t="s">
        <v>498</v>
      </c>
      <c r="C302" s="9"/>
      <c r="D302" s="9"/>
      <c r="E302" s="9"/>
      <c r="F302" s="9"/>
      <c r="G302" s="9"/>
      <c r="H302" s="9"/>
      <c r="I302" s="9"/>
    </row>
    <row r="303" spans="1:9" ht="25.5" customHeight="1" x14ac:dyDescent="0.3">
      <c r="B303" s="16">
        <v>1</v>
      </c>
      <c r="C303" s="7" t="s">
        <v>499</v>
      </c>
      <c r="D303" s="7"/>
      <c r="E303" s="7"/>
      <c r="F303" s="7"/>
      <c r="G303" s="7"/>
      <c r="H303" s="7"/>
      <c r="I303" s="7"/>
    </row>
    <row r="304" spans="1:9" ht="25.5" customHeight="1" x14ac:dyDescent="0.3">
      <c r="B304" s="16">
        <v>2</v>
      </c>
      <c r="C304" s="7" t="s">
        <v>500</v>
      </c>
      <c r="D304" s="7"/>
      <c r="E304" s="7"/>
      <c r="F304" s="7"/>
      <c r="G304" s="7"/>
      <c r="H304" s="7"/>
      <c r="I304" s="7"/>
    </row>
    <row r="305" spans="1:9" ht="39" customHeight="1" x14ac:dyDescent="0.3">
      <c r="B305" s="16">
        <v>3</v>
      </c>
      <c r="C305" s="7" t="s">
        <v>501</v>
      </c>
      <c r="D305" s="7"/>
      <c r="E305" s="7"/>
      <c r="F305" s="7"/>
      <c r="G305" s="7"/>
      <c r="H305" s="7"/>
      <c r="I305" s="7"/>
    </row>
    <row r="306" spans="1:9" ht="25.5" customHeight="1" x14ac:dyDescent="0.3">
      <c r="B306" s="16">
        <v>4</v>
      </c>
      <c r="C306" s="7" t="s">
        <v>502</v>
      </c>
      <c r="D306" s="7"/>
      <c r="E306" s="7"/>
      <c r="F306" s="7"/>
      <c r="G306" s="7"/>
      <c r="H306" s="7"/>
      <c r="I306" s="7"/>
    </row>
    <row r="307" spans="1:9" ht="25.5" customHeight="1" x14ac:dyDescent="0.3">
      <c r="B307" s="16">
        <v>5</v>
      </c>
      <c r="C307" s="7" t="s">
        <v>503</v>
      </c>
      <c r="D307" s="7"/>
      <c r="E307" s="7"/>
      <c r="F307" s="7"/>
      <c r="G307" s="7"/>
      <c r="H307" s="7"/>
      <c r="I307" s="7"/>
    </row>
    <row r="308" spans="1:9" ht="13.5" customHeight="1" x14ac:dyDescent="0.3">
      <c r="B308" s="16">
        <v>6</v>
      </c>
      <c r="C308" s="7" t="s">
        <v>504</v>
      </c>
      <c r="D308" s="7"/>
      <c r="E308" s="7"/>
      <c r="F308" s="7"/>
      <c r="G308" s="7"/>
      <c r="H308" s="7"/>
      <c r="I308" s="7"/>
    </row>
    <row r="310" spans="1:9" ht="13.5" customHeight="1" x14ac:dyDescent="0.3">
      <c r="A310" s="9" t="s">
        <v>505</v>
      </c>
      <c r="B310" s="9"/>
      <c r="C310" s="9"/>
      <c r="D310" s="9"/>
      <c r="E310" s="9"/>
      <c r="F310" s="9"/>
      <c r="G310" s="9"/>
      <c r="H310" s="9"/>
      <c r="I310" s="9"/>
    </row>
    <row r="311" spans="1:9" ht="13.5" customHeight="1" x14ac:dyDescent="0.3">
      <c r="A311" s="9" t="s">
        <v>506</v>
      </c>
      <c r="B311" s="9"/>
      <c r="C311" s="9"/>
      <c r="D311" s="9"/>
      <c r="E311" s="9"/>
      <c r="F311" s="9"/>
      <c r="G311" s="9"/>
      <c r="H311" s="9"/>
      <c r="I311" s="9"/>
    </row>
    <row r="312" spans="1:9" ht="30" customHeight="1" x14ac:dyDescent="0.3">
      <c r="A312" s="24" t="s">
        <v>283</v>
      </c>
      <c r="C312" s="24" t="s">
        <v>182</v>
      </c>
      <c r="F312" s="24" t="s">
        <v>507</v>
      </c>
      <c r="G312" s="24" t="s">
        <v>508</v>
      </c>
      <c r="H312" s="24" t="s">
        <v>355</v>
      </c>
      <c r="I312" s="24" t="s">
        <v>509</v>
      </c>
    </row>
    <row r="313" spans="1:9" x14ac:dyDescent="0.3">
      <c r="C313" s="15" t="s">
        <v>510</v>
      </c>
    </row>
    <row r="314" spans="1:9" x14ac:dyDescent="0.3">
      <c r="A314" s="16">
        <v>1</v>
      </c>
      <c r="C314" s="16" t="s">
        <v>511</v>
      </c>
      <c r="F314" s="31">
        <v>828150</v>
      </c>
      <c r="G314" s="31">
        <v>666459</v>
      </c>
      <c r="H314" s="32">
        <f>F314-G314</f>
        <v>161691</v>
      </c>
      <c r="I314" s="35">
        <f>IF(G314=0,"-",ROUND(H314/ABS(G314)*100,2))</f>
        <v>24.26</v>
      </c>
    </row>
    <row r="315" spans="1:9" x14ac:dyDescent="0.3">
      <c r="A315" s="16">
        <v>2</v>
      </c>
      <c r="C315" s="16" t="s">
        <v>512</v>
      </c>
      <c r="F315" s="31">
        <v>10864</v>
      </c>
      <c r="G315" s="31">
        <v>21801</v>
      </c>
      <c r="H315" s="32">
        <f>F315-G315</f>
        <v>-10937</v>
      </c>
      <c r="I315" s="35">
        <f>IF(G315=0,"-",ROUND(H315/ABS(G315)*100,2))</f>
        <v>-50.17</v>
      </c>
    </row>
    <row r="316" spans="1:9" x14ac:dyDescent="0.3">
      <c r="A316" s="16">
        <v>3</v>
      </c>
      <c r="C316" s="16" t="s">
        <v>513</v>
      </c>
      <c r="F316" s="31">
        <v>1250</v>
      </c>
      <c r="G316" s="31">
        <v>0</v>
      </c>
      <c r="H316" s="32">
        <f>F316-G316</f>
        <v>1250</v>
      </c>
      <c r="I316" s="35" t="str">
        <f>IF(G316=0,"-",ROUND(H316/ABS(G316)*100,2))</f>
        <v>-</v>
      </c>
    </row>
    <row r="317" spans="1:9" x14ac:dyDescent="0.3">
      <c r="C317" s="15" t="s">
        <v>364</v>
      </c>
      <c r="F317" s="34">
        <f>SUM(F314:F316)</f>
        <v>840264</v>
      </c>
      <c r="G317" s="34">
        <f>SUM(G314:G316)</f>
        <v>688260</v>
      </c>
      <c r="H317" s="34">
        <f>F317-G317</f>
        <v>152004</v>
      </c>
      <c r="I317" s="36">
        <f>ROUND(H317/G317*100,2)</f>
        <v>22.09</v>
      </c>
    </row>
    <row r="319" spans="1:9" x14ac:dyDescent="0.3">
      <c r="C319" s="15" t="s">
        <v>514</v>
      </c>
    </row>
    <row r="320" spans="1:9" x14ac:dyDescent="0.3">
      <c r="A320" s="16">
        <v>1</v>
      </c>
      <c r="C320" s="16" t="s">
        <v>515</v>
      </c>
      <c r="F320" s="31">
        <v>91580</v>
      </c>
      <c r="G320" s="31">
        <v>80020</v>
      </c>
      <c r="H320" s="32">
        <f>F320-G320</f>
        <v>11560</v>
      </c>
      <c r="I320" s="35">
        <f>IF(G320=0,"-",ROUND(H320/ABS(G320)*100,2))</f>
        <v>14.45</v>
      </c>
    </row>
    <row r="321" spans="1:9" x14ac:dyDescent="0.3">
      <c r="A321" s="16">
        <v>2</v>
      </c>
      <c r="C321" s="16" t="s">
        <v>516</v>
      </c>
      <c r="F321" s="31">
        <v>48000</v>
      </c>
      <c r="G321" s="31">
        <v>55600</v>
      </c>
      <c r="H321" s="32">
        <f>F321-G321</f>
        <v>-7600</v>
      </c>
      <c r="I321" s="35">
        <f>IF(G321=0,"-",ROUND(H321/ABS(G321)*100,2))</f>
        <v>-13.67</v>
      </c>
    </row>
    <row r="322" spans="1:9" x14ac:dyDescent="0.3">
      <c r="A322" s="16">
        <v>3</v>
      </c>
      <c r="C322" s="16" t="s">
        <v>517</v>
      </c>
      <c r="F322" s="31">
        <v>66614</v>
      </c>
      <c r="G322" s="31">
        <v>72052</v>
      </c>
      <c r="H322" s="32">
        <f>F322-G322</f>
        <v>-5438</v>
      </c>
      <c r="I322" s="35">
        <f>IF(G322=0,"-",ROUND(H322/ABS(G322)*100,2))</f>
        <v>-7.55</v>
      </c>
    </row>
    <row r="323" spans="1:9" x14ac:dyDescent="0.3">
      <c r="A323" s="16">
        <v>4</v>
      </c>
      <c r="C323" s="16" t="s">
        <v>518</v>
      </c>
      <c r="F323" s="31">
        <v>45024</v>
      </c>
      <c r="G323" s="31">
        <v>41426</v>
      </c>
      <c r="H323" s="32">
        <f>F323-G323</f>
        <v>3598</v>
      </c>
      <c r="I323" s="35">
        <f>IF(G323=0,"-",ROUND(H323/ABS(G323)*100,2))</f>
        <v>8.69</v>
      </c>
    </row>
    <row r="324" spans="1:9" x14ac:dyDescent="0.3">
      <c r="C324" s="15" t="s">
        <v>519</v>
      </c>
    </row>
    <row r="325" spans="1:9" x14ac:dyDescent="0.3">
      <c r="A325" s="16">
        <v>5</v>
      </c>
      <c r="C325" s="16" t="s">
        <v>520</v>
      </c>
      <c r="F325" s="31">
        <v>1500</v>
      </c>
      <c r="G325" s="31">
        <v>30700</v>
      </c>
      <c r="H325" s="32">
        <f t="shared" ref="H325:H332" si="7">F325-G325</f>
        <v>-29200</v>
      </c>
      <c r="I325" s="35">
        <f t="shared" ref="I325:I332" si="8">IF(G325=0,"-",ROUND(H325/ABS(G325)*100,2))</f>
        <v>-95.11</v>
      </c>
    </row>
    <row r="326" spans="1:9" x14ac:dyDescent="0.3">
      <c r="A326" s="16">
        <v>6</v>
      </c>
      <c r="C326" s="16" t="s">
        <v>521</v>
      </c>
      <c r="F326" s="31">
        <v>0</v>
      </c>
      <c r="G326" s="31">
        <v>5050</v>
      </c>
      <c r="H326" s="32">
        <f t="shared" si="7"/>
        <v>-5050</v>
      </c>
      <c r="I326" s="35">
        <f t="shared" si="8"/>
        <v>-100</v>
      </c>
    </row>
    <row r="327" spans="1:9" x14ac:dyDescent="0.3">
      <c r="A327" s="16">
        <v>7</v>
      </c>
      <c r="C327" s="16" t="s">
        <v>522</v>
      </c>
      <c r="F327" s="31">
        <v>14200</v>
      </c>
      <c r="G327" s="31">
        <v>2394624</v>
      </c>
      <c r="H327" s="32">
        <f t="shared" si="7"/>
        <v>-2380424</v>
      </c>
      <c r="I327" s="35">
        <f t="shared" si="8"/>
        <v>-99.41</v>
      </c>
    </row>
    <row r="328" spans="1:9" x14ac:dyDescent="0.3">
      <c r="A328" s="16">
        <v>8</v>
      </c>
      <c r="C328" s="16" t="s">
        <v>523</v>
      </c>
      <c r="F328" s="31">
        <v>0</v>
      </c>
      <c r="G328" s="31">
        <v>-2379191</v>
      </c>
      <c r="H328" s="32">
        <f t="shared" si="7"/>
        <v>2379191</v>
      </c>
      <c r="I328" s="35">
        <f t="shared" si="8"/>
        <v>100</v>
      </c>
    </row>
    <row r="329" spans="1:9" x14ac:dyDescent="0.3">
      <c r="A329" s="16">
        <v>9</v>
      </c>
      <c r="C329" s="16" t="s">
        <v>524</v>
      </c>
      <c r="F329" s="31">
        <v>17000</v>
      </c>
      <c r="G329" s="31">
        <v>33130</v>
      </c>
      <c r="H329" s="32">
        <f t="shared" si="7"/>
        <v>-16130</v>
      </c>
      <c r="I329" s="35">
        <f t="shared" si="8"/>
        <v>-48.69</v>
      </c>
    </row>
    <row r="330" spans="1:9" x14ac:dyDescent="0.3">
      <c r="A330" s="16">
        <v>10</v>
      </c>
      <c r="C330" s="16" t="s">
        <v>525</v>
      </c>
      <c r="F330" s="31">
        <v>0</v>
      </c>
      <c r="G330" s="31">
        <v>3450</v>
      </c>
      <c r="H330" s="32">
        <f t="shared" si="7"/>
        <v>-3450</v>
      </c>
      <c r="I330" s="35">
        <f t="shared" si="8"/>
        <v>-100</v>
      </c>
    </row>
    <row r="331" spans="1:9" x14ac:dyDescent="0.3">
      <c r="A331" s="16">
        <v>11</v>
      </c>
      <c r="C331" s="16" t="s">
        <v>526</v>
      </c>
      <c r="F331" s="31">
        <v>0</v>
      </c>
      <c r="G331" s="31">
        <v>0</v>
      </c>
      <c r="H331" s="32">
        <f t="shared" si="7"/>
        <v>0</v>
      </c>
      <c r="I331" s="35" t="str">
        <f t="shared" si="8"/>
        <v>-</v>
      </c>
    </row>
    <row r="332" spans="1:9" x14ac:dyDescent="0.3">
      <c r="A332" s="16">
        <v>12</v>
      </c>
      <c r="C332" s="16" t="s">
        <v>527</v>
      </c>
      <c r="F332" s="31">
        <v>9072</v>
      </c>
      <c r="G332" s="31">
        <v>8562</v>
      </c>
      <c r="H332" s="32">
        <f t="shared" si="7"/>
        <v>510</v>
      </c>
      <c r="I332" s="35">
        <f t="shared" si="8"/>
        <v>5.96</v>
      </c>
    </row>
    <row r="333" spans="1:9" x14ac:dyDescent="0.3">
      <c r="C333" s="15" t="s">
        <v>528</v>
      </c>
    </row>
    <row r="334" spans="1:9" x14ac:dyDescent="0.3">
      <c r="A334" s="16">
        <v>13</v>
      </c>
      <c r="C334" s="16" t="s">
        <v>529</v>
      </c>
      <c r="F334" s="31">
        <v>130000</v>
      </c>
      <c r="G334" s="31">
        <v>117004</v>
      </c>
      <c r="H334" s="32">
        <f>F334-G334</f>
        <v>12996</v>
      </c>
      <c r="I334" s="35">
        <f>IF(G334=0,"-",ROUND(H334/ABS(G334)*100,2))</f>
        <v>11.11</v>
      </c>
    </row>
    <row r="335" spans="1:9" x14ac:dyDescent="0.3">
      <c r="A335" s="16">
        <v>14</v>
      </c>
      <c r="C335" s="16" t="s">
        <v>530</v>
      </c>
      <c r="F335" s="31">
        <v>14865</v>
      </c>
      <c r="G335" s="31">
        <v>20695</v>
      </c>
      <c r="H335" s="32">
        <f>F335-G335</f>
        <v>-5830</v>
      </c>
      <c r="I335" s="35">
        <f>IF(G335=0,"-",ROUND(H335/ABS(G335)*100,2))</f>
        <v>-28.17</v>
      </c>
    </row>
    <row r="336" spans="1:9" x14ac:dyDescent="0.3">
      <c r="A336" s="16">
        <v>15</v>
      </c>
      <c r="C336" s="16" t="s">
        <v>531</v>
      </c>
      <c r="F336" s="31">
        <v>9750</v>
      </c>
      <c r="G336" s="31">
        <v>7961</v>
      </c>
      <c r="H336" s="32">
        <f>F336-G336</f>
        <v>1789</v>
      </c>
      <c r="I336" s="35">
        <f>IF(G336=0,"-",ROUND(H336/ABS(G336)*100,2))</f>
        <v>22.47</v>
      </c>
    </row>
    <row r="337" spans="1:9" x14ac:dyDescent="0.3">
      <c r="A337" s="16">
        <v>16</v>
      </c>
      <c r="C337" s="16" t="s">
        <v>41</v>
      </c>
      <c r="F337" s="31">
        <v>2500</v>
      </c>
      <c r="G337" s="31">
        <v>2500</v>
      </c>
      <c r="H337" s="32">
        <f>F337-G337</f>
        <v>0</v>
      </c>
      <c r="I337" s="35">
        <f>IF(G337=0,"-",ROUND(H337/ABS(G337)*100,2))</f>
        <v>0</v>
      </c>
    </row>
    <row r="338" spans="1:9" x14ac:dyDescent="0.3">
      <c r="C338" s="15" t="s">
        <v>532</v>
      </c>
    </row>
    <row r="339" spans="1:9" x14ac:dyDescent="0.3">
      <c r="A339" s="16">
        <v>17</v>
      </c>
      <c r="C339" s="16" t="s">
        <v>533</v>
      </c>
      <c r="F339" s="31">
        <v>19200</v>
      </c>
      <c r="G339" s="31">
        <v>17424</v>
      </c>
      <c r="H339" s="32">
        <f t="shared" ref="H339:H353" si="9">F339-G339</f>
        <v>1776</v>
      </c>
      <c r="I339" s="35">
        <f t="shared" ref="I339:I350" si="10">IF(G339=0,"-",ROUND(H339/ABS(G339)*100,2))</f>
        <v>10.19</v>
      </c>
    </row>
    <row r="340" spans="1:9" x14ac:dyDescent="0.3">
      <c r="A340" s="16">
        <v>18</v>
      </c>
      <c r="C340" s="16" t="s">
        <v>534</v>
      </c>
      <c r="F340" s="31">
        <v>9166</v>
      </c>
      <c r="G340" s="31">
        <v>0</v>
      </c>
      <c r="H340" s="32">
        <f t="shared" si="9"/>
        <v>9166</v>
      </c>
      <c r="I340" s="35" t="str">
        <f t="shared" si="10"/>
        <v>-</v>
      </c>
    </row>
    <row r="341" spans="1:9" x14ac:dyDescent="0.3">
      <c r="A341" s="16">
        <v>19</v>
      </c>
      <c r="C341" s="16" t="s">
        <v>535</v>
      </c>
      <c r="F341" s="31">
        <v>0</v>
      </c>
      <c r="G341" s="31">
        <v>0</v>
      </c>
      <c r="H341" s="32">
        <f t="shared" si="9"/>
        <v>0</v>
      </c>
      <c r="I341" s="35" t="str">
        <f t="shared" si="10"/>
        <v>-</v>
      </c>
    </row>
    <row r="342" spans="1:9" x14ac:dyDescent="0.3">
      <c r="A342" s="16">
        <v>20</v>
      </c>
      <c r="C342" s="16" t="s">
        <v>536</v>
      </c>
      <c r="F342" s="31">
        <v>4980</v>
      </c>
      <c r="G342" s="31">
        <v>14956</v>
      </c>
      <c r="H342" s="32">
        <f t="shared" si="9"/>
        <v>-9976</v>
      </c>
      <c r="I342" s="35">
        <f t="shared" si="10"/>
        <v>-66.7</v>
      </c>
    </row>
    <row r="343" spans="1:9" x14ac:dyDescent="0.3">
      <c r="A343" s="16">
        <v>21</v>
      </c>
      <c r="C343" s="16" t="s">
        <v>537</v>
      </c>
      <c r="F343" s="31">
        <v>600</v>
      </c>
      <c r="G343" s="31">
        <v>4470</v>
      </c>
      <c r="H343" s="32">
        <f t="shared" si="9"/>
        <v>-3870</v>
      </c>
      <c r="I343" s="35">
        <f t="shared" si="10"/>
        <v>-86.58</v>
      </c>
    </row>
    <row r="344" spans="1:9" x14ac:dyDescent="0.3">
      <c r="A344" s="16">
        <v>22</v>
      </c>
      <c r="C344" s="16" t="s">
        <v>538</v>
      </c>
      <c r="F344" s="31">
        <v>240</v>
      </c>
      <c r="G344" s="31">
        <v>8735</v>
      </c>
      <c r="H344" s="32">
        <f t="shared" si="9"/>
        <v>-8495</v>
      </c>
      <c r="I344" s="35">
        <f t="shared" si="10"/>
        <v>-97.25</v>
      </c>
    </row>
    <row r="345" spans="1:9" x14ac:dyDescent="0.3">
      <c r="A345" s="16">
        <v>23</v>
      </c>
      <c r="C345" s="16" t="s">
        <v>539</v>
      </c>
      <c r="F345" s="31">
        <v>0</v>
      </c>
      <c r="G345" s="31">
        <v>150000</v>
      </c>
      <c r="H345" s="32">
        <f t="shared" si="9"/>
        <v>-150000</v>
      </c>
      <c r="I345" s="35">
        <f t="shared" si="10"/>
        <v>-100</v>
      </c>
    </row>
    <row r="346" spans="1:9" x14ac:dyDescent="0.3">
      <c r="A346" s="16">
        <v>24</v>
      </c>
      <c r="C346" s="16" t="s">
        <v>409</v>
      </c>
      <c r="F346" s="31">
        <v>34500</v>
      </c>
      <c r="G346" s="31">
        <v>29250</v>
      </c>
      <c r="H346" s="32">
        <f t="shared" si="9"/>
        <v>5250</v>
      </c>
      <c r="I346" s="35">
        <f t="shared" si="10"/>
        <v>17.95</v>
      </c>
    </row>
    <row r="347" spans="1:9" x14ac:dyDescent="0.3">
      <c r="A347" s="16">
        <v>25</v>
      </c>
      <c r="C347" s="16" t="s">
        <v>540</v>
      </c>
      <c r="F347" s="31">
        <v>4718</v>
      </c>
      <c r="G347" s="31">
        <v>4577</v>
      </c>
      <c r="H347" s="32">
        <f t="shared" si="9"/>
        <v>141</v>
      </c>
      <c r="I347" s="35">
        <f t="shared" si="10"/>
        <v>3.08</v>
      </c>
    </row>
    <row r="348" spans="1:9" x14ac:dyDescent="0.3">
      <c r="A348" s="16">
        <v>26</v>
      </c>
      <c r="C348" s="16" t="s">
        <v>541</v>
      </c>
      <c r="F348" s="31">
        <v>0</v>
      </c>
      <c r="G348" s="31">
        <v>737</v>
      </c>
      <c r="H348" s="32">
        <f t="shared" si="9"/>
        <v>-737</v>
      </c>
      <c r="I348" s="35">
        <f t="shared" si="10"/>
        <v>-100</v>
      </c>
    </row>
    <row r="349" spans="1:9" x14ac:dyDescent="0.3">
      <c r="A349" s="16">
        <v>27</v>
      </c>
      <c r="C349" s="16" t="s">
        <v>542</v>
      </c>
      <c r="F349" s="31">
        <v>130</v>
      </c>
      <c r="G349" s="31">
        <v>701</v>
      </c>
      <c r="H349" s="32">
        <f t="shared" si="9"/>
        <v>-571</v>
      </c>
      <c r="I349" s="35">
        <f t="shared" si="10"/>
        <v>-81.459999999999994</v>
      </c>
    </row>
    <row r="350" spans="1:9" x14ac:dyDescent="0.3">
      <c r="A350" s="16">
        <v>28</v>
      </c>
      <c r="C350" s="16" t="s">
        <v>543</v>
      </c>
      <c r="F350" s="31">
        <v>27500</v>
      </c>
      <c r="G350" s="31">
        <v>5000</v>
      </c>
      <c r="H350" s="32">
        <f t="shared" si="9"/>
        <v>22500</v>
      </c>
      <c r="I350" s="35">
        <f t="shared" si="10"/>
        <v>450</v>
      </c>
    </row>
    <row r="351" spans="1:9" x14ac:dyDescent="0.3">
      <c r="C351" s="15" t="s">
        <v>544</v>
      </c>
      <c r="F351" s="34">
        <f>F320+F321+F322+F323+F325+F326+F327+F328+F329+F330+F331+F332+F334+F335+F336+F337+F339+F340+F341+F342+F343+F344+F345+F346+F347+F348+F349+F350</f>
        <v>551139</v>
      </c>
      <c r="G351" s="34">
        <f>G320+G321+G322+G323+G325+G326+G327+G328+G329+G330+G331+G332+G334+G335+G336+G337+G339+G340+G341+G342+G343+G344+G345+G346+G347+G348+G349+G350</f>
        <v>729433</v>
      </c>
      <c r="H351" s="34">
        <f t="shared" si="9"/>
        <v>-178294</v>
      </c>
      <c r="I351" s="36">
        <f>ROUND(H351/G351*100,2)</f>
        <v>-24.44</v>
      </c>
    </row>
    <row r="352" spans="1:9" x14ac:dyDescent="0.3">
      <c r="C352" s="15" t="s">
        <v>545</v>
      </c>
      <c r="F352" s="37">
        <v>289125</v>
      </c>
      <c r="G352" s="37">
        <v>-41173</v>
      </c>
      <c r="H352" s="34">
        <f t="shared" si="9"/>
        <v>330298</v>
      </c>
    </row>
    <row r="353" spans="1:9" x14ac:dyDescent="0.3">
      <c r="C353" s="15" t="s">
        <v>364</v>
      </c>
      <c r="F353" s="34">
        <f>F351+F352</f>
        <v>840264</v>
      </c>
      <c r="G353" s="34">
        <f>G351+G352</f>
        <v>688260</v>
      </c>
      <c r="H353" s="34">
        <f t="shared" si="9"/>
        <v>152004</v>
      </c>
    </row>
    <row r="355" spans="1:9" ht="25.5" customHeight="1" x14ac:dyDescent="0.3">
      <c r="C355" s="7" t="s">
        <v>546</v>
      </c>
      <c r="D355" s="7"/>
      <c r="E355" s="7"/>
      <c r="F355" s="7"/>
      <c r="G355" s="7"/>
      <c r="H355" s="7"/>
      <c r="I355" s="7"/>
    </row>
    <row r="356" spans="1:9" ht="25.5" customHeight="1" x14ac:dyDescent="0.3">
      <c r="C356" s="7" t="s">
        <v>547</v>
      </c>
      <c r="D356" s="7"/>
      <c r="E356" s="7"/>
      <c r="F356" s="7"/>
      <c r="G356" s="7"/>
      <c r="H356" s="7"/>
      <c r="I356" s="7"/>
    </row>
    <row r="357" spans="1:9" ht="39" customHeight="1" x14ac:dyDescent="0.3">
      <c r="C357" s="7" t="s">
        <v>548</v>
      </c>
      <c r="D357" s="7"/>
      <c r="E357" s="7"/>
      <c r="F357" s="7"/>
      <c r="G357" s="7"/>
      <c r="H357" s="7"/>
      <c r="I357" s="7"/>
    </row>
    <row r="358" spans="1:9" ht="25.5" customHeight="1" x14ac:dyDescent="0.3">
      <c r="C358" s="7" t="s">
        <v>549</v>
      </c>
      <c r="D358" s="7"/>
      <c r="E358" s="7"/>
      <c r="F358" s="7"/>
      <c r="G358" s="7"/>
      <c r="H358" s="7"/>
      <c r="I358" s="7"/>
    </row>
    <row r="359" spans="1:9" ht="13.5" customHeight="1" x14ac:dyDescent="0.3">
      <c r="C359" s="7" t="s">
        <v>550</v>
      </c>
      <c r="D359" s="7"/>
      <c r="E359" s="7"/>
      <c r="F359" s="7"/>
      <c r="G359" s="7"/>
      <c r="H359" s="7"/>
      <c r="I359" s="7"/>
    </row>
    <row r="360" spans="1:9" ht="25.5" customHeight="1" x14ac:dyDescent="0.3">
      <c r="C360" s="7" t="s">
        <v>551</v>
      </c>
      <c r="D360" s="7"/>
      <c r="E360" s="7"/>
      <c r="F360" s="7"/>
      <c r="G360" s="7"/>
      <c r="H360" s="7"/>
      <c r="I360" s="7"/>
    </row>
    <row r="361" spans="1:9" ht="39" customHeight="1" x14ac:dyDescent="0.3">
      <c r="C361" s="7" t="s">
        <v>552</v>
      </c>
      <c r="D361" s="7"/>
      <c r="E361" s="7"/>
      <c r="F361" s="7"/>
      <c r="G361" s="7"/>
      <c r="H361" s="7"/>
      <c r="I361" s="7"/>
    </row>
    <row r="364" spans="1:9" ht="13.5" customHeight="1" x14ac:dyDescent="0.3">
      <c r="A364" s="13" t="s">
        <v>553</v>
      </c>
      <c r="B364" s="13"/>
      <c r="C364" s="13"/>
      <c r="D364" s="13"/>
      <c r="E364" s="13"/>
      <c r="F364" s="13"/>
      <c r="G364" s="13"/>
      <c r="H364" s="13"/>
      <c r="I364" s="13"/>
    </row>
    <row r="365" spans="1:9" ht="13.5" customHeight="1" x14ac:dyDescent="0.3">
      <c r="A365" s="9" t="s">
        <v>554</v>
      </c>
      <c r="B365" s="9"/>
      <c r="C365" s="9"/>
      <c r="D365" s="9"/>
      <c r="E365" s="9"/>
      <c r="F365" s="9"/>
      <c r="G365" s="9"/>
      <c r="H365" s="9"/>
      <c r="I365" s="9"/>
    </row>
    <row r="366" spans="1:9" ht="25.5" customHeight="1" x14ac:dyDescent="0.3">
      <c r="A366" s="3" t="s">
        <v>555</v>
      </c>
      <c r="B366" s="3"/>
      <c r="C366" s="3"/>
      <c r="D366" s="3"/>
      <c r="E366" s="3"/>
      <c r="F366" s="3"/>
      <c r="G366" s="3"/>
      <c r="H366" s="3"/>
      <c r="I366" s="3"/>
    </row>
    <row r="368" spans="1:9" ht="13.5" customHeight="1" x14ac:dyDescent="0.3">
      <c r="A368" s="15" t="s">
        <v>166</v>
      </c>
      <c r="C368" s="9" t="s">
        <v>556</v>
      </c>
      <c r="D368" s="9"/>
      <c r="E368" s="9"/>
      <c r="F368" s="9"/>
      <c r="G368" s="9"/>
      <c r="H368" s="9"/>
      <c r="I368" s="9"/>
    </row>
    <row r="369" spans="1:9" ht="49.5" customHeight="1" x14ac:dyDescent="0.3">
      <c r="B369" s="15" t="s">
        <v>557</v>
      </c>
      <c r="C369" s="20" t="s">
        <v>182</v>
      </c>
      <c r="D369" s="7" t="s">
        <v>558</v>
      </c>
      <c r="E369" s="7"/>
      <c r="F369" s="7"/>
      <c r="G369" s="7"/>
      <c r="H369" s="7"/>
      <c r="I369" s="7"/>
    </row>
    <row r="370" spans="1:9" ht="13.5" customHeight="1" x14ac:dyDescent="0.3">
      <c r="B370" s="15" t="s">
        <v>559</v>
      </c>
      <c r="C370" s="20" t="s">
        <v>560</v>
      </c>
      <c r="D370" s="7" t="s">
        <v>561</v>
      </c>
      <c r="E370" s="7"/>
      <c r="F370" s="7"/>
      <c r="G370" s="7"/>
      <c r="H370" s="7"/>
      <c r="I370" s="7"/>
    </row>
    <row r="371" spans="1:9" ht="24.75" customHeight="1" x14ac:dyDescent="0.3">
      <c r="B371" s="15" t="s">
        <v>562</v>
      </c>
      <c r="C371" s="20" t="s">
        <v>563</v>
      </c>
      <c r="D371" s="7" t="s">
        <v>564</v>
      </c>
      <c r="E371" s="7"/>
      <c r="F371" s="7"/>
      <c r="G371" s="7"/>
      <c r="H371" s="7"/>
      <c r="I371" s="7"/>
    </row>
    <row r="372" spans="1:9" ht="24.75" customHeight="1" x14ac:dyDescent="0.3">
      <c r="B372" s="15" t="s">
        <v>565</v>
      </c>
      <c r="C372" s="20" t="s">
        <v>566</v>
      </c>
      <c r="D372" s="7" t="s">
        <v>567</v>
      </c>
      <c r="E372" s="7"/>
      <c r="F372" s="7"/>
      <c r="G372" s="7"/>
      <c r="H372" s="7"/>
      <c r="I372" s="7"/>
    </row>
    <row r="373" spans="1:9" ht="37.5" customHeight="1" x14ac:dyDescent="0.3">
      <c r="B373" s="15" t="s">
        <v>568</v>
      </c>
      <c r="C373" s="20" t="s">
        <v>569</v>
      </c>
      <c r="D373" s="7" t="s">
        <v>570</v>
      </c>
      <c r="E373" s="7"/>
      <c r="F373" s="7"/>
      <c r="G373" s="7"/>
      <c r="H373" s="7"/>
      <c r="I373" s="7"/>
    </row>
    <row r="374" spans="1:9" ht="13.5" customHeight="1" x14ac:dyDescent="0.3">
      <c r="B374" s="15" t="s">
        <v>571</v>
      </c>
      <c r="C374" s="20" t="s">
        <v>572</v>
      </c>
      <c r="D374" s="7" t="s">
        <v>573</v>
      </c>
      <c r="E374" s="7"/>
      <c r="F374" s="7"/>
      <c r="G374" s="7"/>
      <c r="H374" s="7"/>
      <c r="I374" s="7"/>
    </row>
    <row r="376" spans="1:9" ht="13.5" customHeight="1" x14ac:dyDescent="0.3">
      <c r="A376" s="15" t="s">
        <v>169</v>
      </c>
      <c r="C376" s="9" t="s">
        <v>574</v>
      </c>
      <c r="D376" s="9"/>
      <c r="E376" s="9"/>
      <c r="F376" s="9"/>
      <c r="G376" s="9"/>
      <c r="H376" s="9"/>
      <c r="I376" s="9"/>
    </row>
    <row r="377" spans="1:9" ht="49.5" customHeight="1" x14ac:dyDescent="0.3">
      <c r="B377" s="15" t="s">
        <v>557</v>
      </c>
      <c r="C377" s="20" t="s">
        <v>182</v>
      </c>
      <c r="D377" s="7" t="s">
        <v>575</v>
      </c>
      <c r="E377" s="7"/>
      <c r="F377" s="7"/>
      <c r="G377" s="7"/>
      <c r="H377" s="7"/>
      <c r="I377" s="7"/>
    </row>
    <row r="378" spans="1:9" ht="13.5" customHeight="1" x14ac:dyDescent="0.3">
      <c r="B378" s="15" t="s">
        <v>559</v>
      </c>
      <c r="C378" s="20" t="s">
        <v>560</v>
      </c>
      <c r="D378" s="7" t="s">
        <v>576</v>
      </c>
      <c r="E378" s="7"/>
      <c r="F378" s="7"/>
      <c r="G378" s="7"/>
      <c r="H378" s="7"/>
      <c r="I378" s="7"/>
    </row>
    <row r="379" spans="1:9" ht="13.5" customHeight="1" x14ac:dyDescent="0.3">
      <c r="B379" s="15" t="s">
        <v>562</v>
      </c>
      <c r="C379" s="20" t="s">
        <v>563</v>
      </c>
      <c r="D379" s="7" t="s">
        <v>577</v>
      </c>
      <c r="E379" s="7"/>
      <c r="F379" s="7"/>
      <c r="G379" s="7"/>
      <c r="H379" s="7"/>
      <c r="I379" s="7"/>
    </row>
    <row r="380" spans="1:9" ht="24.75" customHeight="1" x14ac:dyDescent="0.3">
      <c r="B380" s="15" t="s">
        <v>565</v>
      </c>
      <c r="C380" s="20" t="s">
        <v>566</v>
      </c>
      <c r="D380" s="7" t="s">
        <v>578</v>
      </c>
      <c r="E380" s="7"/>
      <c r="F380" s="7"/>
      <c r="G380" s="7"/>
      <c r="H380" s="7"/>
      <c r="I380" s="7"/>
    </row>
    <row r="381" spans="1:9" ht="37.5" customHeight="1" x14ac:dyDescent="0.3">
      <c r="B381" s="15" t="s">
        <v>568</v>
      </c>
      <c r="C381" s="20" t="s">
        <v>569</v>
      </c>
      <c r="D381" s="7" t="s">
        <v>579</v>
      </c>
      <c r="E381" s="7"/>
      <c r="F381" s="7"/>
      <c r="G381" s="7"/>
      <c r="H381" s="7"/>
      <c r="I381" s="7"/>
    </row>
    <row r="382" spans="1:9" ht="13.5" customHeight="1" x14ac:dyDescent="0.3">
      <c r="B382" s="15" t="s">
        <v>571</v>
      </c>
      <c r="C382" s="20" t="s">
        <v>572</v>
      </c>
      <c r="D382" s="7" t="s">
        <v>580</v>
      </c>
      <c r="E382" s="7"/>
      <c r="F382" s="7"/>
      <c r="G382" s="7"/>
      <c r="H382" s="7"/>
      <c r="I382" s="7"/>
    </row>
    <row r="384" spans="1:9" ht="13.5" customHeight="1" x14ac:dyDescent="0.3">
      <c r="A384" s="15" t="s">
        <v>171</v>
      </c>
      <c r="C384" s="9" t="s">
        <v>581</v>
      </c>
      <c r="D384" s="9"/>
      <c r="E384" s="9"/>
      <c r="F384" s="9"/>
      <c r="G384" s="9"/>
      <c r="H384" s="9"/>
      <c r="I384" s="9"/>
    </row>
    <row r="385" spans="1:9" ht="62.25" customHeight="1" x14ac:dyDescent="0.3">
      <c r="B385" s="15" t="s">
        <v>557</v>
      </c>
      <c r="C385" s="20" t="s">
        <v>182</v>
      </c>
      <c r="D385" s="7" t="s">
        <v>582</v>
      </c>
      <c r="E385" s="7"/>
      <c r="F385" s="7"/>
      <c r="G385" s="7"/>
      <c r="H385" s="7"/>
      <c r="I385" s="7"/>
    </row>
    <row r="386" spans="1:9" ht="13.5" customHeight="1" x14ac:dyDescent="0.3">
      <c r="B386" s="15" t="s">
        <v>559</v>
      </c>
      <c r="C386" s="20" t="s">
        <v>560</v>
      </c>
      <c r="D386" s="7" t="s">
        <v>583</v>
      </c>
      <c r="E386" s="7"/>
      <c r="F386" s="7"/>
      <c r="G386" s="7"/>
      <c r="H386" s="7"/>
      <c r="I386" s="7"/>
    </row>
    <row r="387" spans="1:9" ht="24.75" customHeight="1" x14ac:dyDescent="0.3">
      <c r="B387" s="15" t="s">
        <v>562</v>
      </c>
      <c r="C387" s="20" t="s">
        <v>563</v>
      </c>
      <c r="D387" s="7" t="s">
        <v>584</v>
      </c>
      <c r="E387" s="7"/>
      <c r="F387" s="7"/>
      <c r="G387" s="7"/>
      <c r="H387" s="7"/>
      <c r="I387" s="7"/>
    </row>
    <row r="388" spans="1:9" ht="24.75" customHeight="1" x14ac:dyDescent="0.3">
      <c r="B388" s="15" t="s">
        <v>565</v>
      </c>
      <c r="C388" s="20" t="s">
        <v>566</v>
      </c>
      <c r="D388" s="7" t="s">
        <v>585</v>
      </c>
      <c r="E388" s="7"/>
      <c r="F388" s="7"/>
      <c r="G388" s="7"/>
      <c r="H388" s="7"/>
      <c r="I388" s="7"/>
    </row>
    <row r="389" spans="1:9" ht="37.5" customHeight="1" x14ac:dyDescent="0.3">
      <c r="B389" s="15" t="s">
        <v>568</v>
      </c>
      <c r="C389" s="20" t="s">
        <v>569</v>
      </c>
      <c r="D389" s="7" t="s">
        <v>586</v>
      </c>
      <c r="E389" s="7"/>
      <c r="F389" s="7"/>
      <c r="G389" s="7"/>
      <c r="H389" s="7"/>
      <c r="I389" s="7"/>
    </row>
    <row r="390" spans="1:9" ht="13.5" customHeight="1" x14ac:dyDescent="0.3">
      <c r="B390" s="15" t="s">
        <v>571</v>
      </c>
      <c r="C390" s="20" t="s">
        <v>572</v>
      </c>
      <c r="D390" s="7" t="s">
        <v>587</v>
      </c>
      <c r="E390" s="7"/>
      <c r="F390" s="7"/>
      <c r="G390" s="7"/>
      <c r="H390" s="7"/>
      <c r="I390" s="7"/>
    </row>
    <row r="392" spans="1:9" ht="13.5" customHeight="1" x14ac:dyDescent="0.3">
      <c r="A392" s="15" t="s">
        <v>174</v>
      </c>
      <c r="C392" s="9" t="s">
        <v>588</v>
      </c>
      <c r="D392" s="9"/>
      <c r="E392" s="9"/>
      <c r="F392" s="9"/>
      <c r="G392" s="9"/>
      <c r="H392" s="9"/>
      <c r="I392" s="9"/>
    </row>
    <row r="393" spans="1:9" ht="75" customHeight="1" x14ac:dyDescent="0.3">
      <c r="B393" s="15" t="s">
        <v>557</v>
      </c>
      <c r="C393" s="20" t="s">
        <v>182</v>
      </c>
      <c r="D393" s="7" t="s">
        <v>589</v>
      </c>
      <c r="E393" s="7"/>
      <c r="F393" s="7"/>
      <c r="G393" s="7"/>
      <c r="H393" s="7"/>
      <c r="I393" s="7"/>
    </row>
    <row r="394" spans="1:9" ht="13.5" customHeight="1" x14ac:dyDescent="0.3">
      <c r="B394" s="15" t="s">
        <v>559</v>
      </c>
      <c r="C394" s="20" t="s">
        <v>560</v>
      </c>
      <c r="D394" s="7" t="s">
        <v>590</v>
      </c>
      <c r="E394" s="7"/>
      <c r="F394" s="7"/>
      <c r="G394" s="7"/>
      <c r="H394" s="7"/>
      <c r="I394" s="7"/>
    </row>
    <row r="395" spans="1:9" ht="37.5" customHeight="1" x14ac:dyDescent="0.3">
      <c r="B395" s="15" t="s">
        <v>562</v>
      </c>
      <c r="C395" s="20" t="s">
        <v>563</v>
      </c>
      <c r="D395" s="7" t="s">
        <v>591</v>
      </c>
      <c r="E395" s="7"/>
      <c r="F395" s="7"/>
      <c r="G395" s="7"/>
      <c r="H395" s="7"/>
      <c r="I395" s="7"/>
    </row>
    <row r="396" spans="1:9" ht="37.5" customHeight="1" x14ac:dyDescent="0.3">
      <c r="B396" s="15" t="s">
        <v>565</v>
      </c>
      <c r="C396" s="20" t="s">
        <v>566</v>
      </c>
      <c r="D396" s="7" t="s">
        <v>592</v>
      </c>
      <c r="E396" s="7"/>
      <c r="F396" s="7"/>
      <c r="G396" s="7"/>
      <c r="H396" s="7"/>
      <c r="I396" s="7"/>
    </row>
    <row r="397" spans="1:9" ht="37.5" customHeight="1" x14ac:dyDescent="0.3">
      <c r="B397" s="15" t="s">
        <v>568</v>
      </c>
      <c r="C397" s="20" t="s">
        <v>569</v>
      </c>
      <c r="D397" s="7" t="s">
        <v>593</v>
      </c>
      <c r="E397" s="7"/>
      <c r="F397" s="7"/>
      <c r="G397" s="7"/>
      <c r="H397" s="7"/>
      <c r="I397" s="7"/>
    </row>
    <row r="398" spans="1:9" ht="13.5" customHeight="1" x14ac:dyDescent="0.3">
      <c r="B398" s="15" t="s">
        <v>571</v>
      </c>
      <c r="C398" s="20" t="s">
        <v>572</v>
      </c>
      <c r="D398" s="7" t="s">
        <v>594</v>
      </c>
      <c r="E398" s="7"/>
      <c r="F398" s="7"/>
      <c r="G398" s="7"/>
      <c r="H398" s="7"/>
      <c r="I398" s="7"/>
    </row>
    <row r="400" spans="1:9" ht="13.5" customHeight="1" x14ac:dyDescent="0.3">
      <c r="A400" s="15" t="s">
        <v>177</v>
      </c>
      <c r="C400" s="9" t="s">
        <v>595</v>
      </c>
      <c r="D400" s="9"/>
      <c r="E400" s="9"/>
      <c r="F400" s="9"/>
      <c r="G400" s="9"/>
      <c r="H400" s="9"/>
      <c r="I400" s="9"/>
    </row>
    <row r="401" spans="1:9" ht="62.25" customHeight="1" x14ac:dyDescent="0.3">
      <c r="B401" s="15" t="s">
        <v>557</v>
      </c>
      <c r="C401" s="20" t="s">
        <v>182</v>
      </c>
      <c r="D401" s="7" t="s">
        <v>596</v>
      </c>
      <c r="E401" s="7"/>
      <c r="F401" s="7"/>
      <c r="G401" s="7"/>
      <c r="H401" s="7"/>
      <c r="I401" s="7"/>
    </row>
    <row r="402" spans="1:9" ht="13.5" customHeight="1" x14ac:dyDescent="0.3">
      <c r="B402" s="15" t="s">
        <v>559</v>
      </c>
      <c r="C402" s="20" t="s">
        <v>560</v>
      </c>
      <c r="D402" s="7" t="s">
        <v>597</v>
      </c>
      <c r="E402" s="7"/>
      <c r="F402" s="7"/>
      <c r="G402" s="7"/>
      <c r="H402" s="7"/>
      <c r="I402" s="7"/>
    </row>
    <row r="403" spans="1:9" ht="37.5" customHeight="1" x14ac:dyDescent="0.3">
      <c r="B403" s="15" t="s">
        <v>562</v>
      </c>
      <c r="C403" s="20" t="s">
        <v>563</v>
      </c>
      <c r="D403" s="7" t="s">
        <v>598</v>
      </c>
      <c r="E403" s="7"/>
      <c r="F403" s="7"/>
      <c r="G403" s="7"/>
      <c r="H403" s="7"/>
      <c r="I403" s="7"/>
    </row>
    <row r="404" spans="1:9" ht="24.75" customHeight="1" x14ac:dyDescent="0.3">
      <c r="B404" s="15" t="s">
        <v>565</v>
      </c>
      <c r="C404" s="20" t="s">
        <v>566</v>
      </c>
      <c r="D404" s="7" t="s">
        <v>599</v>
      </c>
      <c r="E404" s="7"/>
      <c r="F404" s="7"/>
      <c r="G404" s="7"/>
      <c r="H404" s="7"/>
      <c r="I404" s="7"/>
    </row>
    <row r="405" spans="1:9" ht="37.5" customHeight="1" x14ac:dyDescent="0.3">
      <c r="B405" s="15" t="s">
        <v>568</v>
      </c>
      <c r="C405" s="20" t="s">
        <v>569</v>
      </c>
      <c r="D405" s="7" t="s">
        <v>600</v>
      </c>
      <c r="E405" s="7"/>
      <c r="F405" s="7"/>
      <c r="G405" s="7"/>
      <c r="H405" s="7"/>
      <c r="I405" s="7"/>
    </row>
    <row r="406" spans="1:9" ht="13.5" customHeight="1" x14ac:dyDescent="0.3">
      <c r="B406" s="15" t="s">
        <v>571</v>
      </c>
      <c r="C406" s="20" t="s">
        <v>572</v>
      </c>
      <c r="D406" s="7" t="s">
        <v>601</v>
      </c>
      <c r="E406" s="7"/>
      <c r="F406" s="7"/>
      <c r="G406" s="7"/>
      <c r="H406" s="7"/>
      <c r="I406" s="7"/>
    </row>
    <row r="408" spans="1:9" ht="13.5" customHeight="1" x14ac:dyDescent="0.3">
      <c r="A408" s="15" t="s">
        <v>208</v>
      </c>
      <c r="C408" s="9" t="s">
        <v>602</v>
      </c>
      <c r="D408" s="9"/>
      <c r="E408" s="9"/>
      <c r="F408" s="9"/>
      <c r="G408" s="9"/>
      <c r="H408" s="9"/>
      <c r="I408" s="9"/>
    </row>
    <row r="409" spans="1:9" ht="62.25" customHeight="1" x14ac:dyDescent="0.3">
      <c r="B409" s="15" t="s">
        <v>557</v>
      </c>
      <c r="C409" s="20" t="s">
        <v>182</v>
      </c>
      <c r="D409" s="7" t="s">
        <v>603</v>
      </c>
      <c r="E409" s="7"/>
      <c r="F409" s="7"/>
      <c r="G409" s="7"/>
      <c r="H409" s="7"/>
      <c r="I409" s="7"/>
    </row>
    <row r="410" spans="1:9" ht="13.5" customHeight="1" x14ac:dyDescent="0.3">
      <c r="B410" s="15" t="s">
        <v>559</v>
      </c>
      <c r="C410" s="20" t="s">
        <v>560</v>
      </c>
      <c r="D410" s="7" t="s">
        <v>604</v>
      </c>
      <c r="E410" s="7"/>
      <c r="F410" s="7"/>
      <c r="G410" s="7"/>
      <c r="H410" s="7"/>
      <c r="I410" s="7"/>
    </row>
    <row r="411" spans="1:9" ht="24.75" customHeight="1" x14ac:dyDescent="0.3">
      <c r="B411" s="15" t="s">
        <v>562</v>
      </c>
      <c r="C411" s="20" t="s">
        <v>563</v>
      </c>
      <c r="D411" s="7" t="s">
        <v>605</v>
      </c>
      <c r="E411" s="7"/>
      <c r="F411" s="7"/>
      <c r="G411" s="7"/>
      <c r="H411" s="7"/>
      <c r="I411" s="7"/>
    </row>
    <row r="412" spans="1:9" ht="24.75" customHeight="1" x14ac:dyDescent="0.3">
      <c r="B412" s="15" t="s">
        <v>565</v>
      </c>
      <c r="C412" s="20" t="s">
        <v>566</v>
      </c>
      <c r="D412" s="7" t="s">
        <v>606</v>
      </c>
      <c r="E412" s="7"/>
      <c r="F412" s="7"/>
      <c r="G412" s="7"/>
      <c r="H412" s="7"/>
      <c r="I412" s="7"/>
    </row>
    <row r="413" spans="1:9" ht="37.5" customHeight="1" x14ac:dyDescent="0.3">
      <c r="B413" s="15" t="s">
        <v>568</v>
      </c>
      <c r="C413" s="20" t="s">
        <v>569</v>
      </c>
      <c r="D413" s="7" t="s">
        <v>607</v>
      </c>
      <c r="E413" s="7"/>
      <c r="F413" s="7"/>
      <c r="G413" s="7"/>
      <c r="H413" s="7"/>
      <c r="I413" s="7"/>
    </row>
    <row r="414" spans="1:9" ht="13.5" customHeight="1" x14ac:dyDescent="0.3">
      <c r="B414" s="15" t="s">
        <v>571</v>
      </c>
      <c r="C414" s="20" t="s">
        <v>572</v>
      </c>
      <c r="D414" s="7" t="s">
        <v>580</v>
      </c>
      <c r="E414" s="7"/>
      <c r="F414" s="7"/>
      <c r="G414" s="7"/>
      <c r="H414" s="7"/>
      <c r="I414" s="7"/>
    </row>
    <row r="416" spans="1:9" ht="13.5" customHeight="1" x14ac:dyDescent="0.3">
      <c r="A416" s="15" t="s">
        <v>211</v>
      </c>
      <c r="C416" s="9" t="s">
        <v>608</v>
      </c>
      <c r="D416" s="9"/>
      <c r="E416" s="9"/>
      <c r="F416" s="9"/>
      <c r="G416" s="9"/>
      <c r="H416" s="9"/>
      <c r="I416" s="9"/>
    </row>
    <row r="417" spans="1:9" ht="62.25" customHeight="1" x14ac:dyDescent="0.3">
      <c r="B417" s="15" t="s">
        <v>557</v>
      </c>
      <c r="C417" s="20" t="s">
        <v>182</v>
      </c>
      <c r="D417" s="7" t="s">
        <v>609</v>
      </c>
      <c r="E417" s="7"/>
      <c r="F417" s="7"/>
      <c r="G417" s="7"/>
      <c r="H417" s="7"/>
      <c r="I417" s="7"/>
    </row>
    <row r="418" spans="1:9" ht="13.5" customHeight="1" x14ac:dyDescent="0.3">
      <c r="B418" s="15" t="s">
        <v>559</v>
      </c>
      <c r="C418" s="20" t="s">
        <v>560</v>
      </c>
      <c r="D418" s="7" t="s">
        <v>610</v>
      </c>
      <c r="E418" s="7"/>
      <c r="F418" s="7"/>
      <c r="G418" s="7"/>
      <c r="H418" s="7"/>
      <c r="I418" s="7"/>
    </row>
    <row r="419" spans="1:9" ht="13.5" customHeight="1" x14ac:dyDescent="0.3">
      <c r="B419" s="15" t="s">
        <v>562</v>
      </c>
      <c r="C419" s="20" t="s">
        <v>563</v>
      </c>
      <c r="D419" s="7" t="s">
        <v>611</v>
      </c>
      <c r="E419" s="7"/>
      <c r="F419" s="7"/>
      <c r="G419" s="7"/>
      <c r="H419" s="7"/>
      <c r="I419" s="7"/>
    </row>
    <row r="420" spans="1:9" ht="37.5" customHeight="1" x14ac:dyDescent="0.3">
      <c r="B420" s="15" t="s">
        <v>565</v>
      </c>
      <c r="C420" s="20" t="s">
        <v>566</v>
      </c>
      <c r="D420" s="7" t="s">
        <v>612</v>
      </c>
      <c r="E420" s="7"/>
      <c r="F420" s="7"/>
      <c r="G420" s="7"/>
      <c r="H420" s="7"/>
      <c r="I420" s="7"/>
    </row>
    <row r="421" spans="1:9" ht="37.5" customHeight="1" x14ac:dyDescent="0.3">
      <c r="B421" s="15" t="s">
        <v>568</v>
      </c>
      <c r="C421" s="20" t="s">
        <v>569</v>
      </c>
      <c r="D421" s="7" t="s">
        <v>613</v>
      </c>
      <c r="E421" s="7"/>
      <c r="F421" s="7"/>
      <c r="G421" s="7"/>
      <c r="H421" s="7"/>
      <c r="I421" s="7"/>
    </row>
    <row r="422" spans="1:9" ht="13.5" customHeight="1" x14ac:dyDescent="0.3">
      <c r="B422" s="15" t="s">
        <v>571</v>
      </c>
      <c r="C422" s="20" t="s">
        <v>572</v>
      </c>
      <c r="D422" s="7" t="s">
        <v>614</v>
      </c>
      <c r="E422" s="7"/>
      <c r="F422" s="7"/>
      <c r="G422" s="7"/>
      <c r="H422" s="7"/>
      <c r="I422" s="7"/>
    </row>
    <row r="424" spans="1:9" ht="13.5" customHeight="1" x14ac:dyDescent="0.3">
      <c r="A424" s="15" t="s">
        <v>240</v>
      </c>
      <c r="C424" s="9" t="s">
        <v>615</v>
      </c>
      <c r="D424" s="9"/>
      <c r="E424" s="9"/>
      <c r="F424" s="9"/>
      <c r="G424" s="9"/>
      <c r="H424" s="9"/>
      <c r="I424" s="9"/>
    </row>
    <row r="425" spans="1:9" ht="62.25" customHeight="1" x14ac:dyDescent="0.3">
      <c r="B425" s="15" t="s">
        <v>557</v>
      </c>
      <c r="C425" s="20" t="s">
        <v>182</v>
      </c>
      <c r="D425" s="7" t="s">
        <v>616</v>
      </c>
      <c r="E425" s="7"/>
      <c r="F425" s="7"/>
      <c r="G425" s="7"/>
      <c r="H425" s="7"/>
      <c r="I425" s="7"/>
    </row>
    <row r="426" spans="1:9" ht="13.5" customHeight="1" x14ac:dyDescent="0.3">
      <c r="B426" s="15" t="s">
        <v>559</v>
      </c>
      <c r="C426" s="20" t="s">
        <v>560</v>
      </c>
      <c r="D426" s="7" t="s">
        <v>617</v>
      </c>
      <c r="E426" s="7"/>
      <c r="F426" s="7"/>
      <c r="G426" s="7"/>
      <c r="H426" s="7"/>
      <c r="I426" s="7"/>
    </row>
    <row r="427" spans="1:9" ht="13.5" customHeight="1" x14ac:dyDescent="0.3">
      <c r="B427" s="15" t="s">
        <v>562</v>
      </c>
      <c r="C427" s="20" t="s">
        <v>563</v>
      </c>
      <c r="D427" s="7" t="s">
        <v>618</v>
      </c>
      <c r="E427" s="7"/>
      <c r="F427" s="7"/>
      <c r="G427" s="7"/>
      <c r="H427" s="7"/>
      <c r="I427" s="7"/>
    </row>
    <row r="428" spans="1:9" ht="37.5" customHeight="1" x14ac:dyDescent="0.3">
      <c r="B428" s="15" t="s">
        <v>565</v>
      </c>
      <c r="C428" s="20" t="s">
        <v>566</v>
      </c>
      <c r="D428" s="7" t="s">
        <v>619</v>
      </c>
      <c r="E428" s="7"/>
      <c r="F428" s="7"/>
      <c r="G428" s="7"/>
      <c r="H428" s="7"/>
      <c r="I428" s="7"/>
    </row>
    <row r="429" spans="1:9" ht="24.75" customHeight="1" x14ac:dyDescent="0.3">
      <c r="B429" s="15" t="s">
        <v>568</v>
      </c>
      <c r="C429" s="20" t="s">
        <v>569</v>
      </c>
      <c r="D429" s="7" t="s">
        <v>620</v>
      </c>
      <c r="E429" s="7"/>
      <c r="F429" s="7"/>
      <c r="G429" s="7"/>
      <c r="H429" s="7"/>
      <c r="I429" s="7"/>
    </row>
    <row r="430" spans="1:9" ht="13.5" customHeight="1" x14ac:dyDescent="0.3">
      <c r="B430" s="15" t="s">
        <v>571</v>
      </c>
      <c r="C430" s="20" t="s">
        <v>572</v>
      </c>
      <c r="D430" s="7" t="s">
        <v>621</v>
      </c>
      <c r="E430" s="7"/>
      <c r="F430" s="7"/>
      <c r="G430" s="7"/>
      <c r="H430" s="7"/>
      <c r="I430" s="7"/>
    </row>
    <row r="432" spans="1:9" ht="13.5" customHeight="1" x14ac:dyDescent="0.3">
      <c r="A432" s="15" t="s">
        <v>243</v>
      </c>
      <c r="C432" s="9" t="s">
        <v>622</v>
      </c>
      <c r="D432" s="9"/>
      <c r="E432" s="9"/>
      <c r="F432" s="9"/>
      <c r="G432" s="9"/>
      <c r="H432" s="9"/>
      <c r="I432" s="9"/>
    </row>
    <row r="433" spans="1:9" ht="49.5" customHeight="1" x14ac:dyDescent="0.3">
      <c r="B433" s="15" t="s">
        <v>557</v>
      </c>
      <c r="C433" s="20" t="s">
        <v>182</v>
      </c>
      <c r="D433" s="7" t="s">
        <v>623</v>
      </c>
      <c r="E433" s="7"/>
      <c r="F433" s="7"/>
      <c r="G433" s="7"/>
      <c r="H433" s="7"/>
      <c r="I433" s="7"/>
    </row>
    <row r="434" spans="1:9" ht="13.5" customHeight="1" x14ac:dyDescent="0.3">
      <c r="B434" s="15" t="s">
        <v>559</v>
      </c>
      <c r="C434" s="20" t="s">
        <v>560</v>
      </c>
      <c r="D434" s="7" t="s">
        <v>624</v>
      </c>
      <c r="E434" s="7"/>
      <c r="F434" s="7"/>
      <c r="G434" s="7"/>
      <c r="H434" s="7"/>
      <c r="I434" s="7"/>
    </row>
    <row r="435" spans="1:9" ht="13.5" customHeight="1" x14ac:dyDescent="0.3">
      <c r="B435" s="15" t="s">
        <v>562</v>
      </c>
      <c r="C435" s="20" t="s">
        <v>563</v>
      </c>
      <c r="D435" s="7" t="s">
        <v>625</v>
      </c>
      <c r="E435" s="7"/>
      <c r="F435" s="7"/>
      <c r="G435" s="7"/>
      <c r="H435" s="7"/>
      <c r="I435" s="7"/>
    </row>
    <row r="436" spans="1:9" ht="13.5" customHeight="1" x14ac:dyDescent="0.3">
      <c r="B436" s="15" t="s">
        <v>565</v>
      </c>
      <c r="C436" s="20" t="s">
        <v>566</v>
      </c>
      <c r="D436" s="7" t="s">
        <v>626</v>
      </c>
      <c r="E436" s="7"/>
      <c r="F436" s="7"/>
      <c r="G436" s="7"/>
      <c r="H436" s="7"/>
      <c r="I436" s="7"/>
    </row>
    <row r="437" spans="1:9" ht="37.5" customHeight="1" x14ac:dyDescent="0.3">
      <c r="B437" s="15" t="s">
        <v>568</v>
      </c>
      <c r="C437" s="20" t="s">
        <v>569</v>
      </c>
      <c r="D437" s="7" t="s">
        <v>627</v>
      </c>
      <c r="E437" s="7"/>
      <c r="F437" s="7"/>
      <c r="G437" s="7"/>
      <c r="H437" s="7"/>
      <c r="I437" s="7"/>
    </row>
    <row r="438" spans="1:9" ht="13.5" customHeight="1" x14ac:dyDescent="0.3">
      <c r="B438" s="15" t="s">
        <v>571</v>
      </c>
      <c r="C438" s="20" t="s">
        <v>572</v>
      </c>
      <c r="D438" s="7" t="s">
        <v>628</v>
      </c>
      <c r="E438" s="7"/>
      <c r="F438" s="7"/>
      <c r="G438" s="7"/>
      <c r="H438" s="7"/>
      <c r="I438" s="7"/>
    </row>
    <row r="440" spans="1:9" ht="13.5" customHeight="1" x14ac:dyDescent="0.3">
      <c r="A440" s="15" t="s">
        <v>248</v>
      </c>
      <c r="C440" s="9" t="s">
        <v>629</v>
      </c>
      <c r="D440" s="9"/>
      <c r="E440" s="9"/>
      <c r="F440" s="9"/>
      <c r="G440" s="9"/>
      <c r="H440" s="9"/>
      <c r="I440" s="9"/>
    </row>
    <row r="441" spans="1:9" ht="37.5" customHeight="1" x14ac:dyDescent="0.3">
      <c r="B441" s="15" t="s">
        <v>557</v>
      </c>
      <c r="C441" s="20" t="s">
        <v>182</v>
      </c>
      <c r="D441" s="7" t="s">
        <v>630</v>
      </c>
      <c r="E441" s="7"/>
      <c r="F441" s="7"/>
      <c r="G441" s="7"/>
      <c r="H441" s="7"/>
      <c r="I441" s="7"/>
    </row>
    <row r="442" spans="1:9" ht="13.5" customHeight="1" x14ac:dyDescent="0.3">
      <c r="B442" s="15" t="s">
        <v>559</v>
      </c>
      <c r="C442" s="20" t="s">
        <v>560</v>
      </c>
      <c r="D442" s="7" t="s">
        <v>631</v>
      </c>
      <c r="E442" s="7"/>
      <c r="F442" s="7"/>
      <c r="G442" s="7"/>
      <c r="H442" s="7"/>
      <c r="I442" s="7"/>
    </row>
    <row r="443" spans="1:9" ht="24.75" customHeight="1" x14ac:dyDescent="0.3">
      <c r="B443" s="15" t="s">
        <v>562</v>
      </c>
      <c r="C443" s="20" t="s">
        <v>563</v>
      </c>
      <c r="D443" s="7" t="s">
        <v>632</v>
      </c>
      <c r="E443" s="7"/>
      <c r="F443" s="7"/>
      <c r="G443" s="7"/>
      <c r="H443" s="7"/>
      <c r="I443" s="7"/>
    </row>
    <row r="444" spans="1:9" ht="13.5" customHeight="1" x14ac:dyDescent="0.3">
      <c r="B444" s="15" t="s">
        <v>565</v>
      </c>
      <c r="C444" s="20" t="s">
        <v>566</v>
      </c>
      <c r="D444" s="7" t="s">
        <v>633</v>
      </c>
      <c r="E444" s="7"/>
      <c r="F444" s="7"/>
      <c r="G444" s="7"/>
      <c r="H444" s="7"/>
      <c r="I444" s="7"/>
    </row>
    <row r="445" spans="1:9" ht="24.75" customHeight="1" x14ac:dyDescent="0.3">
      <c r="B445" s="15" t="s">
        <v>568</v>
      </c>
      <c r="C445" s="20" t="s">
        <v>569</v>
      </c>
      <c r="D445" s="7" t="s">
        <v>634</v>
      </c>
      <c r="E445" s="7"/>
      <c r="F445" s="7"/>
      <c r="G445" s="7"/>
      <c r="H445" s="7"/>
      <c r="I445" s="7"/>
    </row>
    <row r="446" spans="1:9" ht="13.5" customHeight="1" x14ac:dyDescent="0.3">
      <c r="B446" s="15" t="s">
        <v>571</v>
      </c>
      <c r="C446" s="20" t="s">
        <v>572</v>
      </c>
      <c r="D446" s="7" t="s">
        <v>635</v>
      </c>
      <c r="E446" s="7"/>
      <c r="F446" s="7"/>
      <c r="G446" s="7"/>
      <c r="H446" s="7"/>
      <c r="I446" s="7"/>
    </row>
    <row r="448" spans="1:9" ht="13.5" customHeight="1" x14ac:dyDescent="0.3">
      <c r="A448" s="15" t="s">
        <v>334</v>
      </c>
      <c r="C448" s="9" t="s">
        <v>636</v>
      </c>
      <c r="D448" s="9"/>
      <c r="E448" s="9"/>
      <c r="F448" s="9"/>
      <c r="G448" s="9"/>
      <c r="H448" s="9"/>
      <c r="I448" s="9"/>
    </row>
    <row r="449" spans="1:9" ht="62.25" customHeight="1" x14ac:dyDescent="0.3">
      <c r="B449" s="15" t="s">
        <v>557</v>
      </c>
      <c r="C449" s="20" t="s">
        <v>182</v>
      </c>
      <c r="D449" s="7" t="s">
        <v>637</v>
      </c>
      <c r="E449" s="7"/>
      <c r="F449" s="7"/>
      <c r="G449" s="7"/>
      <c r="H449" s="7"/>
      <c r="I449" s="7"/>
    </row>
    <row r="450" spans="1:9" ht="13.5" customHeight="1" x14ac:dyDescent="0.3">
      <c r="B450" s="15" t="s">
        <v>559</v>
      </c>
      <c r="C450" s="20" t="s">
        <v>560</v>
      </c>
      <c r="D450" s="7" t="s">
        <v>638</v>
      </c>
      <c r="E450" s="7"/>
      <c r="F450" s="7"/>
      <c r="G450" s="7"/>
      <c r="H450" s="7"/>
      <c r="I450" s="7"/>
    </row>
    <row r="451" spans="1:9" ht="24.75" customHeight="1" x14ac:dyDescent="0.3">
      <c r="B451" s="15" t="s">
        <v>562</v>
      </c>
      <c r="C451" s="20" t="s">
        <v>563</v>
      </c>
      <c r="D451" s="7" t="s">
        <v>639</v>
      </c>
      <c r="E451" s="7"/>
      <c r="F451" s="7"/>
      <c r="G451" s="7"/>
      <c r="H451" s="7"/>
      <c r="I451" s="7"/>
    </row>
    <row r="452" spans="1:9" ht="24.75" customHeight="1" x14ac:dyDescent="0.3">
      <c r="B452" s="15" t="s">
        <v>565</v>
      </c>
      <c r="C452" s="20" t="s">
        <v>566</v>
      </c>
      <c r="D452" s="7" t="s">
        <v>640</v>
      </c>
      <c r="E452" s="7"/>
      <c r="F452" s="7"/>
      <c r="G452" s="7"/>
      <c r="H452" s="7"/>
      <c r="I452" s="7"/>
    </row>
    <row r="453" spans="1:9" ht="37.5" customHeight="1" x14ac:dyDescent="0.3">
      <c r="B453" s="15" t="s">
        <v>568</v>
      </c>
      <c r="C453" s="20" t="s">
        <v>569</v>
      </c>
      <c r="D453" s="7" t="s">
        <v>641</v>
      </c>
      <c r="E453" s="7"/>
      <c r="F453" s="7"/>
      <c r="G453" s="7"/>
      <c r="H453" s="7"/>
      <c r="I453" s="7"/>
    </row>
    <row r="454" spans="1:9" ht="13.5" customHeight="1" x14ac:dyDescent="0.3">
      <c r="B454" s="15" t="s">
        <v>571</v>
      </c>
      <c r="C454" s="20" t="s">
        <v>572</v>
      </c>
      <c r="D454" s="7" t="s">
        <v>642</v>
      </c>
      <c r="E454" s="7"/>
      <c r="F454" s="7"/>
      <c r="G454" s="7"/>
      <c r="H454" s="7"/>
      <c r="I454" s="7"/>
    </row>
    <row r="456" spans="1:9" ht="13.5" customHeight="1" x14ac:dyDescent="0.3">
      <c r="A456" s="15" t="s">
        <v>37</v>
      </c>
      <c r="C456" s="9" t="s">
        <v>643</v>
      </c>
      <c r="D456" s="9"/>
      <c r="E456" s="9"/>
      <c r="F456" s="9"/>
      <c r="G456" s="9"/>
      <c r="H456" s="9"/>
      <c r="I456" s="9"/>
    </row>
    <row r="457" spans="1:9" ht="49.5" customHeight="1" x14ac:dyDescent="0.3">
      <c r="B457" s="15" t="s">
        <v>557</v>
      </c>
      <c r="C457" s="20" t="s">
        <v>182</v>
      </c>
      <c r="D457" s="7" t="s">
        <v>644</v>
      </c>
      <c r="E457" s="7"/>
      <c r="F457" s="7"/>
      <c r="G457" s="7"/>
      <c r="H457" s="7"/>
      <c r="I457" s="7"/>
    </row>
    <row r="458" spans="1:9" ht="13.5" customHeight="1" x14ac:dyDescent="0.3">
      <c r="B458" s="15" t="s">
        <v>559</v>
      </c>
      <c r="C458" s="20" t="s">
        <v>560</v>
      </c>
      <c r="D458" s="7" t="s">
        <v>645</v>
      </c>
      <c r="E458" s="7"/>
      <c r="F458" s="7"/>
      <c r="G458" s="7"/>
      <c r="H458" s="7"/>
      <c r="I458" s="7"/>
    </row>
    <row r="459" spans="1:9" ht="24.75" customHeight="1" x14ac:dyDescent="0.3">
      <c r="B459" s="15" t="s">
        <v>562</v>
      </c>
      <c r="C459" s="20" t="s">
        <v>563</v>
      </c>
      <c r="D459" s="7" t="s">
        <v>646</v>
      </c>
      <c r="E459" s="7"/>
      <c r="F459" s="7"/>
      <c r="G459" s="7"/>
      <c r="H459" s="7"/>
      <c r="I459" s="7"/>
    </row>
    <row r="460" spans="1:9" ht="37.5" customHeight="1" x14ac:dyDescent="0.3">
      <c r="B460" s="15" t="s">
        <v>565</v>
      </c>
      <c r="C460" s="20" t="s">
        <v>566</v>
      </c>
      <c r="D460" s="7" t="s">
        <v>647</v>
      </c>
      <c r="E460" s="7"/>
      <c r="F460" s="7"/>
      <c r="G460" s="7"/>
      <c r="H460" s="7"/>
      <c r="I460" s="7"/>
    </row>
    <row r="461" spans="1:9" ht="37.5" customHeight="1" x14ac:dyDescent="0.3">
      <c r="B461" s="15" t="s">
        <v>568</v>
      </c>
      <c r="C461" s="20" t="s">
        <v>569</v>
      </c>
      <c r="D461" s="7" t="s">
        <v>648</v>
      </c>
      <c r="E461" s="7"/>
      <c r="F461" s="7"/>
      <c r="G461" s="7"/>
      <c r="H461" s="7"/>
      <c r="I461" s="7"/>
    </row>
    <row r="462" spans="1:9" ht="13.5" customHeight="1" x14ac:dyDescent="0.3">
      <c r="B462" s="15" t="s">
        <v>571</v>
      </c>
      <c r="C462" s="20" t="s">
        <v>572</v>
      </c>
      <c r="D462" s="7" t="s">
        <v>649</v>
      </c>
      <c r="E462" s="7"/>
      <c r="F462" s="7"/>
      <c r="G462" s="7"/>
      <c r="H462" s="7"/>
      <c r="I462" s="7"/>
    </row>
    <row r="464" spans="1:9" ht="13.5" customHeight="1" x14ac:dyDescent="0.3">
      <c r="A464" s="15" t="s">
        <v>340</v>
      </c>
      <c r="C464" s="9" t="s">
        <v>650</v>
      </c>
      <c r="D464" s="9"/>
      <c r="E464" s="9"/>
      <c r="F464" s="9"/>
      <c r="G464" s="9"/>
      <c r="H464" s="9"/>
      <c r="I464" s="9"/>
    </row>
    <row r="465" spans="1:9" ht="49.5" customHeight="1" x14ac:dyDescent="0.3">
      <c r="B465" s="15" t="s">
        <v>557</v>
      </c>
      <c r="C465" s="20" t="s">
        <v>182</v>
      </c>
      <c r="D465" s="7" t="s">
        <v>651</v>
      </c>
      <c r="E465" s="7"/>
      <c r="F465" s="7"/>
      <c r="G465" s="7"/>
      <c r="H465" s="7"/>
      <c r="I465" s="7"/>
    </row>
    <row r="466" spans="1:9" ht="13.5" customHeight="1" x14ac:dyDescent="0.3">
      <c r="B466" s="15" t="s">
        <v>559</v>
      </c>
      <c r="C466" s="20" t="s">
        <v>560</v>
      </c>
      <c r="D466" s="7" t="s">
        <v>652</v>
      </c>
      <c r="E466" s="7"/>
      <c r="F466" s="7"/>
      <c r="G466" s="7"/>
      <c r="H466" s="7"/>
      <c r="I466" s="7"/>
    </row>
    <row r="467" spans="1:9" ht="24.75" customHeight="1" x14ac:dyDescent="0.3">
      <c r="B467" s="15" t="s">
        <v>562</v>
      </c>
      <c r="C467" s="20" t="s">
        <v>563</v>
      </c>
      <c r="D467" s="7" t="s">
        <v>653</v>
      </c>
      <c r="E467" s="7"/>
      <c r="F467" s="7"/>
      <c r="G467" s="7"/>
      <c r="H467" s="7"/>
      <c r="I467" s="7"/>
    </row>
    <row r="468" spans="1:9" ht="49.5" customHeight="1" x14ac:dyDescent="0.3">
      <c r="B468" s="15" t="s">
        <v>565</v>
      </c>
      <c r="C468" s="20" t="s">
        <v>566</v>
      </c>
      <c r="D468" s="7" t="s">
        <v>654</v>
      </c>
      <c r="E468" s="7"/>
      <c r="F468" s="7"/>
      <c r="G468" s="7"/>
      <c r="H468" s="7"/>
      <c r="I468" s="7"/>
    </row>
    <row r="469" spans="1:9" ht="24.75" customHeight="1" x14ac:dyDescent="0.3">
      <c r="B469" s="15" t="s">
        <v>568</v>
      </c>
      <c r="C469" s="20" t="s">
        <v>569</v>
      </c>
      <c r="D469" s="7" t="s">
        <v>655</v>
      </c>
      <c r="E469" s="7"/>
      <c r="F469" s="7"/>
      <c r="G469" s="7"/>
      <c r="H469" s="7"/>
      <c r="I469" s="7"/>
    </row>
    <row r="470" spans="1:9" ht="13.5" customHeight="1" x14ac:dyDescent="0.3">
      <c r="B470" s="15" t="s">
        <v>571</v>
      </c>
      <c r="C470" s="20" t="s">
        <v>572</v>
      </c>
      <c r="D470" s="7" t="s">
        <v>656</v>
      </c>
      <c r="E470" s="7"/>
      <c r="F470" s="7"/>
      <c r="G470" s="7"/>
      <c r="H470" s="7"/>
      <c r="I470" s="7"/>
    </row>
    <row r="472" spans="1:9" ht="13.5" customHeight="1" x14ac:dyDescent="0.3">
      <c r="A472" s="15" t="s">
        <v>343</v>
      </c>
      <c r="C472" s="9" t="s">
        <v>657</v>
      </c>
      <c r="D472" s="9"/>
      <c r="E472" s="9"/>
      <c r="F472" s="9"/>
      <c r="G472" s="9"/>
      <c r="H472" s="9"/>
      <c r="I472" s="9"/>
    </row>
    <row r="473" spans="1:9" ht="49.5" customHeight="1" x14ac:dyDescent="0.3">
      <c r="B473" s="15" t="s">
        <v>557</v>
      </c>
      <c r="C473" s="20" t="s">
        <v>182</v>
      </c>
      <c r="D473" s="7" t="s">
        <v>658</v>
      </c>
      <c r="E473" s="7"/>
      <c r="F473" s="7"/>
      <c r="G473" s="7"/>
      <c r="H473" s="7"/>
      <c r="I473" s="7"/>
    </row>
    <row r="474" spans="1:9" ht="13.5" customHeight="1" x14ac:dyDescent="0.3">
      <c r="B474" s="15" t="s">
        <v>559</v>
      </c>
      <c r="C474" s="20" t="s">
        <v>560</v>
      </c>
      <c r="D474" s="7" t="s">
        <v>659</v>
      </c>
      <c r="E474" s="7"/>
      <c r="F474" s="7"/>
      <c r="G474" s="7"/>
      <c r="H474" s="7"/>
      <c r="I474" s="7"/>
    </row>
    <row r="475" spans="1:9" ht="24.75" customHeight="1" x14ac:dyDescent="0.3">
      <c r="B475" s="15" t="s">
        <v>562</v>
      </c>
      <c r="C475" s="20" t="s">
        <v>563</v>
      </c>
      <c r="D475" s="7" t="s">
        <v>660</v>
      </c>
      <c r="E475" s="7"/>
      <c r="F475" s="7"/>
      <c r="G475" s="7"/>
      <c r="H475" s="7"/>
      <c r="I475" s="7"/>
    </row>
    <row r="476" spans="1:9" ht="24.75" customHeight="1" x14ac:dyDescent="0.3">
      <c r="B476" s="15" t="s">
        <v>565</v>
      </c>
      <c r="C476" s="20" t="s">
        <v>566</v>
      </c>
      <c r="D476" s="7" t="s">
        <v>661</v>
      </c>
      <c r="E476" s="7"/>
      <c r="F476" s="7"/>
      <c r="G476" s="7"/>
      <c r="H476" s="7"/>
      <c r="I476" s="7"/>
    </row>
    <row r="477" spans="1:9" ht="24.75" customHeight="1" x14ac:dyDescent="0.3">
      <c r="B477" s="15" t="s">
        <v>568</v>
      </c>
      <c r="C477" s="20" t="s">
        <v>569</v>
      </c>
      <c r="D477" s="7" t="s">
        <v>662</v>
      </c>
      <c r="E477" s="7"/>
      <c r="F477" s="7"/>
      <c r="G477" s="7"/>
      <c r="H477" s="7"/>
      <c r="I477" s="7"/>
    </row>
    <row r="478" spans="1:9" ht="13.5" customHeight="1" x14ac:dyDescent="0.3">
      <c r="B478" s="15" t="s">
        <v>571</v>
      </c>
      <c r="C478" s="20" t="s">
        <v>572</v>
      </c>
      <c r="D478" s="7" t="s">
        <v>663</v>
      </c>
      <c r="E478" s="7"/>
      <c r="F478" s="7"/>
      <c r="G478" s="7"/>
      <c r="H478" s="7"/>
      <c r="I478" s="7"/>
    </row>
    <row r="480" spans="1:9" ht="13.5" customHeight="1" x14ac:dyDescent="0.3">
      <c r="A480" s="15" t="s">
        <v>224</v>
      </c>
      <c r="C480" s="9" t="s">
        <v>664</v>
      </c>
      <c r="D480" s="9"/>
      <c r="E480" s="9"/>
      <c r="F480" s="9"/>
      <c r="G480" s="9"/>
      <c r="H480" s="9"/>
      <c r="I480" s="9"/>
    </row>
    <row r="481" spans="1:9" ht="49.5" customHeight="1" x14ac:dyDescent="0.3">
      <c r="B481" s="15" t="s">
        <v>557</v>
      </c>
      <c r="C481" s="20" t="s">
        <v>182</v>
      </c>
      <c r="D481" s="7" t="s">
        <v>665</v>
      </c>
      <c r="E481" s="7"/>
      <c r="F481" s="7"/>
      <c r="G481" s="7"/>
      <c r="H481" s="7"/>
      <c r="I481" s="7"/>
    </row>
    <row r="482" spans="1:9" ht="13.5" customHeight="1" x14ac:dyDescent="0.3">
      <c r="B482" s="15" t="s">
        <v>559</v>
      </c>
      <c r="C482" s="20" t="s">
        <v>560</v>
      </c>
      <c r="D482" s="7" t="s">
        <v>666</v>
      </c>
      <c r="E482" s="7"/>
      <c r="F482" s="7"/>
      <c r="G482" s="7"/>
      <c r="H482" s="7"/>
      <c r="I482" s="7"/>
    </row>
    <row r="483" spans="1:9" ht="13.5" customHeight="1" x14ac:dyDescent="0.3">
      <c r="B483" s="15" t="s">
        <v>562</v>
      </c>
      <c r="C483" s="20" t="s">
        <v>563</v>
      </c>
      <c r="D483" s="7" t="s">
        <v>667</v>
      </c>
      <c r="E483" s="7"/>
      <c r="F483" s="7"/>
      <c r="G483" s="7"/>
      <c r="H483" s="7"/>
      <c r="I483" s="7"/>
    </row>
    <row r="484" spans="1:9" ht="24.75" customHeight="1" x14ac:dyDescent="0.3">
      <c r="B484" s="15" t="s">
        <v>565</v>
      </c>
      <c r="C484" s="20" t="s">
        <v>566</v>
      </c>
      <c r="D484" s="7" t="s">
        <v>668</v>
      </c>
      <c r="E484" s="7"/>
      <c r="F484" s="7"/>
      <c r="G484" s="7"/>
      <c r="H484" s="7"/>
      <c r="I484" s="7"/>
    </row>
    <row r="485" spans="1:9" ht="24.75" customHeight="1" x14ac:dyDescent="0.3">
      <c r="B485" s="15" t="s">
        <v>568</v>
      </c>
      <c r="C485" s="20" t="s">
        <v>569</v>
      </c>
      <c r="D485" s="7" t="s">
        <v>669</v>
      </c>
      <c r="E485" s="7"/>
      <c r="F485" s="7"/>
      <c r="G485" s="7"/>
      <c r="H485" s="7"/>
      <c r="I485" s="7"/>
    </row>
    <row r="486" spans="1:9" ht="13.5" customHeight="1" x14ac:dyDescent="0.3">
      <c r="B486" s="15" t="s">
        <v>571</v>
      </c>
      <c r="C486" s="20" t="s">
        <v>572</v>
      </c>
      <c r="D486" s="7" t="s">
        <v>580</v>
      </c>
      <c r="E486" s="7"/>
      <c r="F486" s="7"/>
      <c r="G486" s="7"/>
      <c r="H486" s="7"/>
      <c r="I486" s="7"/>
    </row>
    <row r="488" spans="1:9" ht="13.5" customHeight="1" x14ac:dyDescent="0.3">
      <c r="A488" s="15" t="s">
        <v>670</v>
      </c>
      <c r="C488" s="9" t="s">
        <v>671</v>
      </c>
      <c r="D488" s="9"/>
      <c r="E488" s="9"/>
      <c r="F488" s="9"/>
      <c r="G488" s="9"/>
      <c r="H488" s="9"/>
      <c r="I488" s="9"/>
    </row>
    <row r="489" spans="1:9" ht="49.5" customHeight="1" x14ac:dyDescent="0.3">
      <c r="B489" s="15" t="s">
        <v>557</v>
      </c>
      <c r="C489" s="20" t="s">
        <v>182</v>
      </c>
      <c r="D489" s="7" t="s">
        <v>672</v>
      </c>
      <c r="E489" s="7"/>
      <c r="F489" s="7"/>
      <c r="G489" s="7"/>
      <c r="H489" s="7"/>
      <c r="I489" s="7"/>
    </row>
    <row r="490" spans="1:9" ht="13.5" customHeight="1" x14ac:dyDescent="0.3">
      <c r="B490" s="15" t="s">
        <v>559</v>
      </c>
      <c r="C490" s="20" t="s">
        <v>560</v>
      </c>
      <c r="D490" s="7" t="s">
        <v>673</v>
      </c>
      <c r="E490" s="7"/>
      <c r="F490" s="7"/>
      <c r="G490" s="7"/>
      <c r="H490" s="7"/>
      <c r="I490" s="7"/>
    </row>
    <row r="491" spans="1:9" ht="24.75" customHeight="1" x14ac:dyDescent="0.3">
      <c r="B491" s="15" t="s">
        <v>562</v>
      </c>
      <c r="C491" s="20" t="s">
        <v>563</v>
      </c>
      <c r="D491" s="7" t="s">
        <v>674</v>
      </c>
      <c r="E491" s="7"/>
      <c r="F491" s="7"/>
      <c r="G491" s="7"/>
      <c r="H491" s="7"/>
      <c r="I491" s="7"/>
    </row>
    <row r="492" spans="1:9" ht="37.5" customHeight="1" x14ac:dyDescent="0.3">
      <c r="B492" s="15" t="s">
        <v>565</v>
      </c>
      <c r="C492" s="20" t="s">
        <v>566</v>
      </c>
      <c r="D492" s="7" t="s">
        <v>675</v>
      </c>
      <c r="E492" s="7"/>
      <c r="F492" s="7"/>
      <c r="G492" s="7"/>
      <c r="H492" s="7"/>
      <c r="I492" s="7"/>
    </row>
    <row r="493" spans="1:9" ht="24.75" customHeight="1" x14ac:dyDescent="0.3">
      <c r="B493" s="15" t="s">
        <v>568</v>
      </c>
      <c r="C493" s="20" t="s">
        <v>569</v>
      </c>
      <c r="D493" s="7" t="s">
        <v>676</v>
      </c>
      <c r="E493" s="7"/>
      <c r="F493" s="7"/>
      <c r="G493" s="7"/>
      <c r="H493" s="7"/>
      <c r="I493" s="7"/>
    </row>
    <row r="494" spans="1:9" ht="13.5" customHeight="1" x14ac:dyDescent="0.3">
      <c r="B494" s="15" t="s">
        <v>571</v>
      </c>
      <c r="C494" s="20" t="s">
        <v>572</v>
      </c>
      <c r="D494" s="7" t="s">
        <v>677</v>
      </c>
      <c r="E494" s="7"/>
      <c r="F494" s="7"/>
      <c r="G494" s="7"/>
      <c r="H494" s="7"/>
      <c r="I494" s="7"/>
    </row>
    <row r="496" spans="1:9" ht="13.5" customHeight="1" x14ac:dyDescent="0.3">
      <c r="A496" s="9" t="s">
        <v>678</v>
      </c>
      <c r="B496" s="9"/>
      <c r="C496" s="9"/>
      <c r="D496" s="9"/>
      <c r="E496" s="9"/>
      <c r="F496" s="9"/>
      <c r="G496" s="9"/>
      <c r="H496" s="9"/>
      <c r="I496" s="9"/>
    </row>
    <row r="497" spans="1:9" ht="13.5" customHeight="1" x14ac:dyDescent="0.3">
      <c r="B497" s="7" t="s">
        <v>679</v>
      </c>
      <c r="C497" s="7"/>
      <c r="D497" s="7"/>
      <c r="E497" s="7"/>
      <c r="F497" s="7"/>
      <c r="G497" s="7"/>
      <c r="H497" s="7"/>
      <c r="I497" s="7"/>
    </row>
    <row r="498" spans="1:9" ht="13.5" customHeight="1" x14ac:dyDescent="0.3">
      <c r="C498" s="16" t="s">
        <v>390</v>
      </c>
      <c r="D498" s="7" t="s">
        <v>680</v>
      </c>
      <c r="E498" s="7"/>
      <c r="F498" s="7"/>
      <c r="G498" s="7"/>
      <c r="H498" s="7"/>
      <c r="I498" s="7"/>
    </row>
    <row r="499" spans="1:9" ht="13.5" customHeight="1" x14ac:dyDescent="0.3">
      <c r="C499" s="16" t="s">
        <v>392</v>
      </c>
      <c r="D499" s="7" t="s">
        <v>681</v>
      </c>
      <c r="E499" s="7"/>
      <c r="F499" s="7"/>
      <c r="G499" s="7"/>
      <c r="H499" s="7"/>
      <c r="I499" s="7"/>
    </row>
    <row r="500" spans="1:9" ht="13.5" customHeight="1" x14ac:dyDescent="0.3">
      <c r="C500" s="16" t="s">
        <v>394</v>
      </c>
      <c r="D500" s="7" t="s">
        <v>682</v>
      </c>
      <c r="E500" s="7"/>
      <c r="F500" s="7"/>
      <c r="G500" s="7"/>
      <c r="H500" s="7"/>
      <c r="I500" s="7"/>
    </row>
    <row r="501" spans="1:9" ht="13.5" customHeight="1" x14ac:dyDescent="0.3">
      <c r="C501" s="16" t="s">
        <v>683</v>
      </c>
      <c r="D501" s="7" t="s">
        <v>684</v>
      </c>
      <c r="E501" s="7"/>
      <c r="F501" s="7"/>
      <c r="G501" s="7"/>
      <c r="H501" s="7"/>
      <c r="I501" s="7"/>
    </row>
    <row r="502" spans="1:9" ht="13.5" customHeight="1" x14ac:dyDescent="0.3">
      <c r="C502" s="16" t="s">
        <v>685</v>
      </c>
      <c r="D502" s="7" t="s">
        <v>686</v>
      </c>
      <c r="E502" s="7"/>
      <c r="F502" s="7"/>
      <c r="G502" s="7"/>
      <c r="H502" s="7"/>
      <c r="I502" s="7"/>
    </row>
    <row r="504" spans="1:9" ht="13.5" customHeight="1" x14ac:dyDescent="0.3">
      <c r="A504" s="9" t="s">
        <v>687</v>
      </c>
      <c r="B504" s="9"/>
      <c r="C504" s="9"/>
      <c r="D504" s="9"/>
      <c r="E504" s="9"/>
      <c r="F504" s="9"/>
      <c r="G504" s="9"/>
      <c r="H504" s="9"/>
      <c r="I504" s="9"/>
    </row>
    <row r="505" spans="1:9" ht="25.5" customHeight="1" x14ac:dyDescent="0.3">
      <c r="B505" s="16">
        <v>1</v>
      </c>
      <c r="C505" s="7" t="s">
        <v>688</v>
      </c>
      <c r="D505" s="7"/>
      <c r="E505" s="7"/>
      <c r="F505" s="7"/>
      <c r="G505" s="7"/>
      <c r="H505" s="7"/>
      <c r="I505" s="7"/>
    </row>
    <row r="506" spans="1:9" ht="39" customHeight="1" x14ac:dyDescent="0.3">
      <c r="B506" s="16">
        <v>2</v>
      </c>
      <c r="C506" s="7" t="s">
        <v>689</v>
      </c>
      <c r="D506" s="7"/>
      <c r="E506" s="7"/>
      <c r="F506" s="7"/>
      <c r="G506" s="7"/>
      <c r="H506" s="7"/>
      <c r="I506" s="7"/>
    </row>
    <row r="507" spans="1:9" ht="13.5" customHeight="1" x14ac:dyDescent="0.3">
      <c r="B507" s="16">
        <v>3</v>
      </c>
      <c r="C507" s="7" t="s">
        <v>690</v>
      </c>
      <c r="D507" s="7"/>
      <c r="E507" s="7"/>
      <c r="F507" s="7"/>
      <c r="G507" s="7"/>
      <c r="H507" s="7"/>
      <c r="I507" s="7"/>
    </row>
    <row r="508" spans="1:9" ht="13.5" customHeight="1" x14ac:dyDescent="0.3">
      <c r="B508" s="16">
        <v>4</v>
      </c>
      <c r="C508" s="7" t="s">
        <v>691</v>
      </c>
      <c r="D508" s="7"/>
      <c r="E508" s="7"/>
      <c r="F508" s="7"/>
      <c r="G508" s="7"/>
      <c r="H508" s="7"/>
      <c r="I508" s="7"/>
    </row>
    <row r="509" spans="1:9" ht="13.5" customHeight="1" x14ac:dyDescent="0.3">
      <c r="B509" s="16">
        <v>5</v>
      </c>
      <c r="C509" s="7" t="s">
        <v>692</v>
      </c>
      <c r="D509" s="7"/>
      <c r="E509" s="7"/>
      <c r="F509" s="7"/>
      <c r="G509" s="7"/>
      <c r="H509" s="7"/>
      <c r="I509" s="7"/>
    </row>
    <row r="510" spans="1:9" ht="25.5" customHeight="1" x14ac:dyDescent="0.3">
      <c r="B510" s="16">
        <v>6</v>
      </c>
      <c r="C510" s="7" t="s">
        <v>693</v>
      </c>
      <c r="D510" s="7"/>
      <c r="E510" s="7"/>
      <c r="F510" s="7"/>
      <c r="G510" s="7"/>
      <c r="H510" s="7"/>
      <c r="I510" s="7"/>
    </row>
    <row r="511" spans="1:9" ht="13.5" customHeight="1" x14ac:dyDescent="0.3">
      <c r="B511" s="16">
        <v>7</v>
      </c>
      <c r="C511" s="7" t="s">
        <v>694</v>
      </c>
      <c r="D511" s="7"/>
      <c r="E511" s="7"/>
      <c r="F511" s="7"/>
      <c r="G511" s="7"/>
      <c r="H511" s="7"/>
      <c r="I511" s="7"/>
    </row>
    <row r="512" spans="1:9" ht="25.5" customHeight="1" x14ac:dyDescent="0.3">
      <c r="B512" s="16">
        <v>8</v>
      </c>
      <c r="C512" s="7" t="s">
        <v>695</v>
      </c>
      <c r="D512" s="7"/>
      <c r="E512" s="7"/>
      <c r="F512" s="7"/>
      <c r="G512" s="7"/>
      <c r="H512" s="7"/>
      <c r="I512" s="7"/>
    </row>
    <row r="513" spans="1:9" ht="13.5" customHeight="1" x14ac:dyDescent="0.3">
      <c r="B513" s="16">
        <v>9</v>
      </c>
      <c r="C513" s="7" t="s">
        <v>696</v>
      </c>
      <c r="D513" s="7"/>
      <c r="E513" s="7"/>
      <c r="F513" s="7"/>
      <c r="G513" s="7"/>
      <c r="H513" s="7"/>
      <c r="I513" s="7"/>
    </row>
    <row r="514" spans="1:9" ht="25.5" customHeight="1" x14ac:dyDescent="0.3">
      <c r="B514" s="16">
        <v>10</v>
      </c>
      <c r="C514" s="7" t="s">
        <v>697</v>
      </c>
      <c r="D514" s="7"/>
      <c r="E514" s="7"/>
      <c r="F514" s="7"/>
      <c r="G514" s="7"/>
      <c r="H514" s="7"/>
      <c r="I514" s="7"/>
    </row>
    <row r="515" spans="1:9" ht="25.5" customHeight="1" x14ac:dyDescent="0.3">
      <c r="B515" s="16">
        <v>11</v>
      </c>
      <c r="C515" s="7" t="s">
        <v>698</v>
      </c>
      <c r="D515" s="7"/>
      <c r="E515" s="7"/>
      <c r="F515" s="7"/>
      <c r="G515" s="7"/>
      <c r="H515" s="7"/>
      <c r="I515" s="7"/>
    </row>
    <row r="516" spans="1:9" ht="25.5" customHeight="1" x14ac:dyDescent="0.3">
      <c r="B516" s="16">
        <v>12</v>
      </c>
      <c r="C516" s="7" t="s">
        <v>699</v>
      </c>
      <c r="D516" s="7"/>
      <c r="E516" s="7"/>
      <c r="F516" s="7"/>
      <c r="G516" s="7"/>
      <c r="H516" s="7"/>
      <c r="I516" s="7"/>
    </row>
    <row r="517" spans="1:9" ht="39" customHeight="1" x14ac:dyDescent="0.3">
      <c r="B517" s="16">
        <v>13</v>
      </c>
      <c r="C517" s="7" t="s">
        <v>700</v>
      </c>
      <c r="D517" s="7"/>
      <c r="E517" s="7"/>
      <c r="F517" s="7"/>
      <c r="G517" s="7"/>
      <c r="H517" s="7"/>
      <c r="I517" s="7"/>
    </row>
    <row r="518" spans="1:9" ht="64.5" customHeight="1" x14ac:dyDescent="0.3">
      <c r="B518" s="16">
        <v>14</v>
      </c>
      <c r="C518" s="7" t="s">
        <v>701</v>
      </c>
      <c r="D518" s="7"/>
      <c r="E518" s="7"/>
      <c r="F518" s="7"/>
      <c r="G518" s="7"/>
      <c r="H518" s="7"/>
      <c r="I518" s="7"/>
    </row>
    <row r="521" spans="1:9" ht="13.5" customHeight="1" x14ac:dyDescent="0.3">
      <c r="A521" s="2" t="s">
        <v>702</v>
      </c>
      <c r="B521" s="2"/>
      <c r="C521" s="2"/>
      <c r="D521" s="2"/>
      <c r="E521" s="2"/>
      <c r="F521" s="2"/>
      <c r="G521" s="2"/>
      <c r="H521" s="2"/>
      <c r="I521" s="2"/>
    </row>
    <row r="522" spans="1:9" ht="25.5" customHeight="1" x14ac:dyDescent="0.3">
      <c r="B522" s="16">
        <v>1</v>
      </c>
      <c r="C522" s="7" t="s">
        <v>703</v>
      </c>
      <c r="D522" s="7"/>
      <c r="E522" s="7"/>
      <c r="F522" s="7"/>
      <c r="G522" s="7"/>
      <c r="H522" s="7"/>
      <c r="I522" s="7"/>
    </row>
    <row r="523" spans="1:9" ht="39" customHeight="1" x14ac:dyDescent="0.3">
      <c r="B523" s="16">
        <v>2</v>
      </c>
      <c r="C523" s="7" t="s">
        <v>704</v>
      </c>
      <c r="D523" s="7"/>
      <c r="E523" s="7"/>
      <c r="F523" s="7"/>
      <c r="G523" s="7"/>
      <c r="H523" s="7"/>
      <c r="I523" s="7"/>
    </row>
    <row r="524" spans="1:9" ht="25.5" customHeight="1" x14ac:dyDescent="0.3">
      <c r="B524" s="16">
        <v>3</v>
      </c>
      <c r="C524" s="7" t="s">
        <v>705</v>
      </c>
      <c r="D524" s="7"/>
      <c r="E524" s="7"/>
      <c r="F524" s="7"/>
      <c r="G524" s="7"/>
      <c r="H524" s="7"/>
      <c r="I524" s="7"/>
    </row>
    <row r="525" spans="1:9" ht="13.5" customHeight="1" x14ac:dyDescent="0.3">
      <c r="B525" s="16">
        <v>4</v>
      </c>
      <c r="C525" s="7" t="s">
        <v>706</v>
      </c>
      <c r="D525" s="7"/>
      <c r="E525" s="7"/>
      <c r="F525" s="7"/>
      <c r="G525" s="7"/>
      <c r="H525" s="7"/>
      <c r="I525" s="7"/>
    </row>
    <row r="529" spans="1:5" x14ac:dyDescent="0.3">
      <c r="E529" s="15" t="s">
        <v>17</v>
      </c>
    </row>
    <row r="530" spans="1:5" x14ac:dyDescent="0.3">
      <c r="E530" s="16" t="s">
        <v>64</v>
      </c>
    </row>
    <row r="531" spans="1:5" x14ac:dyDescent="0.3">
      <c r="E531" s="16" t="s">
        <v>164</v>
      </c>
    </row>
    <row r="533" spans="1:5" x14ac:dyDescent="0.3">
      <c r="A533" s="16" t="s">
        <v>135</v>
      </c>
      <c r="E533" s="16" t="s">
        <v>67</v>
      </c>
    </row>
  </sheetData>
  <mergeCells count="324">
    <mergeCell ref="C518:I518"/>
    <mergeCell ref="A521:I521"/>
    <mergeCell ref="C522:I522"/>
    <mergeCell ref="C523:I523"/>
    <mergeCell ref="C524:I524"/>
    <mergeCell ref="C525:I525"/>
    <mergeCell ref="C509:I509"/>
    <mergeCell ref="C510:I510"/>
    <mergeCell ref="C511:I511"/>
    <mergeCell ref="C512:I512"/>
    <mergeCell ref="C513:I513"/>
    <mergeCell ref="C514:I514"/>
    <mergeCell ref="C515:I515"/>
    <mergeCell ref="C516:I516"/>
    <mergeCell ref="C517:I517"/>
    <mergeCell ref="D499:I499"/>
    <mergeCell ref="D500:I500"/>
    <mergeCell ref="D501:I501"/>
    <mergeCell ref="D502:I502"/>
    <mergeCell ref="A504:I504"/>
    <mergeCell ref="C505:I505"/>
    <mergeCell ref="C506:I506"/>
    <mergeCell ref="C507:I507"/>
    <mergeCell ref="C508:I508"/>
    <mergeCell ref="D489:I489"/>
    <mergeCell ref="D490:I490"/>
    <mergeCell ref="D491:I491"/>
    <mergeCell ref="D492:I492"/>
    <mergeCell ref="D493:I493"/>
    <mergeCell ref="D494:I494"/>
    <mergeCell ref="A496:I496"/>
    <mergeCell ref="B497:I497"/>
    <mergeCell ref="D498:I498"/>
    <mergeCell ref="D478:I478"/>
    <mergeCell ref="C480:I480"/>
    <mergeCell ref="D481:I481"/>
    <mergeCell ref="D482:I482"/>
    <mergeCell ref="D483:I483"/>
    <mergeCell ref="D484:I484"/>
    <mergeCell ref="D485:I485"/>
    <mergeCell ref="D486:I486"/>
    <mergeCell ref="C488:I488"/>
    <mergeCell ref="D468:I468"/>
    <mergeCell ref="D469:I469"/>
    <mergeCell ref="D470:I470"/>
    <mergeCell ref="C472:I472"/>
    <mergeCell ref="D473:I473"/>
    <mergeCell ref="D474:I474"/>
    <mergeCell ref="D475:I475"/>
    <mergeCell ref="D476:I476"/>
    <mergeCell ref="D477:I477"/>
    <mergeCell ref="D458:I458"/>
    <mergeCell ref="D459:I459"/>
    <mergeCell ref="D460:I460"/>
    <mergeCell ref="D461:I461"/>
    <mergeCell ref="D462:I462"/>
    <mergeCell ref="C464:I464"/>
    <mergeCell ref="D465:I465"/>
    <mergeCell ref="D466:I466"/>
    <mergeCell ref="D467:I467"/>
    <mergeCell ref="C448:I448"/>
    <mergeCell ref="D449:I449"/>
    <mergeCell ref="D450:I450"/>
    <mergeCell ref="D451:I451"/>
    <mergeCell ref="D452:I452"/>
    <mergeCell ref="D453:I453"/>
    <mergeCell ref="D454:I454"/>
    <mergeCell ref="C456:I456"/>
    <mergeCell ref="D457:I457"/>
    <mergeCell ref="D437:I437"/>
    <mergeCell ref="D438:I438"/>
    <mergeCell ref="C440:I440"/>
    <mergeCell ref="D441:I441"/>
    <mergeCell ref="D442:I442"/>
    <mergeCell ref="D443:I443"/>
    <mergeCell ref="D444:I444"/>
    <mergeCell ref="D445:I445"/>
    <mergeCell ref="D446:I446"/>
    <mergeCell ref="D427:I427"/>
    <mergeCell ref="D428:I428"/>
    <mergeCell ref="D429:I429"/>
    <mergeCell ref="D430:I430"/>
    <mergeCell ref="C432:I432"/>
    <mergeCell ref="D433:I433"/>
    <mergeCell ref="D434:I434"/>
    <mergeCell ref="D435:I435"/>
    <mergeCell ref="D436:I436"/>
    <mergeCell ref="D417:I417"/>
    <mergeCell ref="D418:I418"/>
    <mergeCell ref="D419:I419"/>
    <mergeCell ref="D420:I420"/>
    <mergeCell ref="D421:I421"/>
    <mergeCell ref="D422:I422"/>
    <mergeCell ref="C424:I424"/>
    <mergeCell ref="D425:I425"/>
    <mergeCell ref="D426:I426"/>
    <mergeCell ref="D406:I406"/>
    <mergeCell ref="C408:I408"/>
    <mergeCell ref="D409:I409"/>
    <mergeCell ref="D410:I410"/>
    <mergeCell ref="D411:I411"/>
    <mergeCell ref="D412:I412"/>
    <mergeCell ref="D413:I413"/>
    <mergeCell ref="D414:I414"/>
    <mergeCell ref="C416:I416"/>
    <mergeCell ref="D396:I396"/>
    <mergeCell ref="D397:I397"/>
    <mergeCell ref="D398:I398"/>
    <mergeCell ref="C400:I400"/>
    <mergeCell ref="D401:I401"/>
    <mergeCell ref="D402:I402"/>
    <mergeCell ref="D403:I403"/>
    <mergeCell ref="D404:I404"/>
    <mergeCell ref="D405:I405"/>
    <mergeCell ref="D386:I386"/>
    <mergeCell ref="D387:I387"/>
    <mergeCell ref="D388:I388"/>
    <mergeCell ref="D389:I389"/>
    <mergeCell ref="D390:I390"/>
    <mergeCell ref="C392:I392"/>
    <mergeCell ref="D393:I393"/>
    <mergeCell ref="D394:I394"/>
    <mergeCell ref="D395:I395"/>
    <mergeCell ref="C376:I376"/>
    <mergeCell ref="D377:I377"/>
    <mergeCell ref="D378:I378"/>
    <mergeCell ref="D379:I379"/>
    <mergeCell ref="D380:I380"/>
    <mergeCell ref="D381:I381"/>
    <mergeCell ref="D382:I382"/>
    <mergeCell ref="C384:I384"/>
    <mergeCell ref="D385:I385"/>
    <mergeCell ref="A365:I365"/>
    <mergeCell ref="A366:I366"/>
    <mergeCell ref="C368:I368"/>
    <mergeCell ref="D369:I369"/>
    <mergeCell ref="D370:I370"/>
    <mergeCell ref="D371:I371"/>
    <mergeCell ref="D372:I372"/>
    <mergeCell ref="D373:I373"/>
    <mergeCell ref="D374:I374"/>
    <mergeCell ref="A311:I311"/>
    <mergeCell ref="C355:I355"/>
    <mergeCell ref="C356:I356"/>
    <mergeCell ref="C357:I357"/>
    <mergeCell ref="C358:I358"/>
    <mergeCell ref="C359:I359"/>
    <mergeCell ref="C360:I360"/>
    <mergeCell ref="C361:I361"/>
    <mergeCell ref="A364:I364"/>
    <mergeCell ref="A301:I301"/>
    <mergeCell ref="B302:I302"/>
    <mergeCell ref="C303:I303"/>
    <mergeCell ref="C304:I304"/>
    <mergeCell ref="C305:I305"/>
    <mergeCell ref="C306:I306"/>
    <mergeCell ref="C307:I307"/>
    <mergeCell ref="C308:I308"/>
    <mergeCell ref="A310:I310"/>
    <mergeCell ref="D287:I287"/>
    <mergeCell ref="D288:I288"/>
    <mergeCell ref="D289:I289"/>
    <mergeCell ref="D290:I290"/>
    <mergeCell ref="D291:I291"/>
    <mergeCell ref="C293:I293"/>
    <mergeCell ref="D294:I294"/>
    <mergeCell ref="C296:I296"/>
    <mergeCell ref="C298:I298"/>
    <mergeCell ref="C261:I261"/>
    <mergeCell ref="C262:I262"/>
    <mergeCell ref="C279:I279"/>
    <mergeCell ref="D280:I280"/>
    <mergeCell ref="D281:I281"/>
    <mergeCell ref="D282:I282"/>
    <mergeCell ref="D283:I283"/>
    <mergeCell ref="D284:I284"/>
    <mergeCell ref="C286:I286"/>
    <mergeCell ref="C242:I242"/>
    <mergeCell ref="C243:I243"/>
    <mergeCell ref="C244:I244"/>
    <mergeCell ref="C245:I245"/>
    <mergeCell ref="C247:I247"/>
    <mergeCell ref="C248:I248"/>
    <mergeCell ref="C257:I257"/>
    <mergeCell ref="C258:I258"/>
    <mergeCell ref="C259:I259"/>
    <mergeCell ref="C215:I215"/>
    <mergeCell ref="C216:I216"/>
    <mergeCell ref="C217:I217"/>
    <mergeCell ref="C219:I219"/>
    <mergeCell ref="C220:I220"/>
    <mergeCell ref="C224:I224"/>
    <mergeCell ref="C225:I225"/>
    <mergeCell ref="C227:I227"/>
    <mergeCell ref="C228:I228"/>
    <mergeCell ref="C195:I195"/>
    <mergeCell ref="C196:I196"/>
    <mergeCell ref="C198:I198"/>
    <mergeCell ref="C202:I202"/>
    <mergeCell ref="C204:I204"/>
    <mergeCell ref="C208:I208"/>
    <mergeCell ref="C210:I210"/>
    <mergeCell ref="C211:I211"/>
    <mergeCell ref="A214:I214"/>
    <mergeCell ref="C157:I157"/>
    <mergeCell ref="C158:I158"/>
    <mergeCell ref="C168:I168"/>
    <mergeCell ref="C169:I169"/>
    <mergeCell ref="C170:I170"/>
    <mergeCell ref="C172:I172"/>
    <mergeCell ref="C173:I173"/>
    <mergeCell ref="C193:I193"/>
    <mergeCell ref="C194:I194"/>
    <mergeCell ref="B123:I123"/>
    <mergeCell ref="A125:I125"/>
    <mergeCell ref="B147:I147"/>
    <mergeCell ref="A150:I150"/>
    <mergeCell ref="A151:I151"/>
    <mergeCell ref="C152:I152"/>
    <mergeCell ref="C153:I153"/>
    <mergeCell ref="C154:I154"/>
    <mergeCell ref="C155:I155"/>
    <mergeCell ref="D116:E116"/>
    <mergeCell ref="F116:I116"/>
    <mergeCell ref="D117:E117"/>
    <mergeCell ref="F117:I117"/>
    <mergeCell ref="D118:E118"/>
    <mergeCell ref="F118:I118"/>
    <mergeCell ref="D119:E119"/>
    <mergeCell ref="F119:I119"/>
    <mergeCell ref="A122:I122"/>
    <mergeCell ref="D111:E111"/>
    <mergeCell ref="F111:I111"/>
    <mergeCell ref="D112:E112"/>
    <mergeCell ref="F112:I112"/>
    <mergeCell ref="D113:E113"/>
    <mergeCell ref="F113:I113"/>
    <mergeCell ref="D114:E114"/>
    <mergeCell ref="F114:I114"/>
    <mergeCell ref="D115:E115"/>
    <mergeCell ref="F115:I115"/>
    <mergeCell ref="D106:E106"/>
    <mergeCell ref="F106:I106"/>
    <mergeCell ref="D107:E107"/>
    <mergeCell ref="F107:I107"/>
    <mergeCell ref="D108:E108"/>
    <mergeCell ref="F108:I108"/>
    <mergeCell ref="D109:E109"/>
    <mergeCell ref="F109:I109"/>
    <mergeCell ref="D110:E110"/>
    <mergeCell ref="F110:I110"/>
    <mergeCell ref="C96:I96"/>
    <mergeCell ref="C97:I97"/>
    <mergeCell ref="A99:I99"/>
    <mergeCell ref="B100:I100"/>
    <mergeCell ref="A102:I102"/>
    <mergeCell ref="B103:I103"/>
    <mergeCell ref="D104:E104"/>
    <mergeCell ref="F104:I104"/>
    <mergeCell ref="D105:E105"/>
    <mergeCell ref="F105:I105"/>
    <mergeCell ref="C86:I86"/>
    <mergeCell ref="C87:I87"/>
    <mergeCell ref="C88:I88"/>
    <mergeCell ref="C89:I89"/>
    <mergeCell ref="B91:I91"/>
    <mergeCell ref="C92:I92"/>
    <mergeCell ref="C93:I93"/>
    <mergeCell ref="C94:I94"/>
    <mergeCell ref="C95:I95"/>
    <mergeCell ref="A65:I65"/>
    <mergeCell ref="B66:I66"/>
    <mergeCell ref="A78:I78"/>
    <mergeCell ref="B79:I79"/>
    <mergeCell ref="E80:I80"/>
    <mergeCell ref="E81:I81"/>
    <mergeCell ref="E82:I82"/>
    <mergeCell ref="E83:I83"/>
    <mergeCell ref="B85:I85"/>
    <mergeCell ref="E43:I43"/>
    <mergeCell ref="E44:I44"/>
    <mergeCell ref="C49:I49"/>
    <mergeCell ref="A58:I58"/>
    <mergeCell ref="A59:I59"/>
    <mergeCell ref="B60:I60"/>
    <mergeCell ref="B61:I61"/>
    <mergeCell ref="B62:I62"/>
    <mergeCell ref="B63:I63"/>
    <mergeCell ref="F33:I33"/>
    <mergeCell ref="F34:I34"/>
    <mergeCell ref="F35:I35"/>
    <mergeCell ref="F36:I36"/>
    <mergeCell ref="F37:I37"/>
    <mergeCell ref="F38:I38"/>
    <mergeCell ref="F39:I39"/>
    <mergeCell ref="F40:I40"/>
    <mergeCell ref="E42:I42"/>
    <mergeCell ref="E23:I23"/>
    <mergeCell ref="E24:I24"/>
    <mergeCell ref="E25:I25"/>
    <mergeCell ref="E26:I26"/>
    <mergeCell ref="E27:I27"/>
    <mergeCell ref="C29:I29"/>
    <mergeCell ref="F30:I30"/>
    <mergeCell ref="F31:I31"/>
    <mergeCell ref="F32:I32"/>
    <mergeCell ref="E14:I14"/>
    <mergeCell ref="E15:I15"/>
    <mergeCell ref="E16:I16"/>
    <mergeCell ref="E17:I17"/>
    <mergeCell ref="E18:I18"/>
    <mergeCell ref="E19:I19"/>
    <mergeCell ref="E20:I20"/>
    <mergeCell ref="E21:I21"/>
    <mergeCell ref="E22:I22"/>
    <mergeCell ref="A2:I2"/>
    <mergeCell ref="F4:I4"/>
    <mergeCell ref="F5:I5"/>
    <mergeCell ref="F6:I6"/>
    <mergeCell ref="F7:I7"/>
    <mergeCell ref="F8:I8"/>
    <mergeCell ref="A10:I10"/>
    <mergeCell ref="A11:I11"/>
    <mergeCell ref="E13:I13"/>
  </mergeCells>
  <pageMargins left="0.75" right="0.75" top="1" bottom="1" header="0.511811023622047" footer="0.511811023622047"/>
  <pageSetup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26"/>
  <sheetViews>
    <sheetView showGridLines="0" topLeftCell="A10" zoomScaleNormal="100" workbookViewId="0">
      <selection sqref="A1:G1"/>
    </sheetView>
  </sheetViews>
  <sheetFormatPr defaultColWidth="8.6640625" defaultRowHeight="14.4" x14ac:dyDescent="0.3"/>
  <cols>
    <col min="1" max="1" width="5" customWidth="1"/>
    <col min="2" max="2" width="6" customWidth="1"/>
    <col min="3" max="3" width="62" customWidth="1"/>
    <col min="4" max="4" width="4" customWidth="1"/>
    <col min="5" max="5" width="34" customWidth="1"/>
    <col min="6" max="7" width="16" customWidth="1"/>
  </cols>
  <sheetData>
    <row r="1" spans="1:7" ht="17.399999999999999" customHeight="1" x14ac:dyDescent="0.3">
      <c r="A1" s="14" t="s">
        <v>707</v>
      </c>
      <c r="B1" s="14"/>
      <c r="C1" s="14"/>
      <c r="D1" s="14"/>
      <c r="E1" s="14"/>
      <c r="F1" s="14"/>
      <c r="G1" s="14"/>
    </row>
    <row r="2" spans="1:7" ht="15" customHeight="1" x14ac:dyDescent="0.3">
      <c r="A2" s="13" t="s">
        <v>708</v>
      </c>
      <c r="B2" s="13"/>
      <c r="C2" s="13"/>
      <c r="D2" s="13"/>
      <c r="E2" s="13"/>
      <c r="F2" s="13"/>
      <c r="G2" s="13"/>
    </row>
    <row r="3" spans="1:7" ht="15" customHeight="1" x14ac:dyDescent="0.3">
      <c r="A3" s="10" t="s">
        <v>709</v>
      </c>
      <c r="B3" s="10"/>
      <c r="C3" s="10"/>
      <c r="D3" s="10"/>
      <c r="E3" s="10"/>
      <c r="F3" s="10"/>
      <c r="G3" s="10"/>
    </row>
    <row r="5" spans="1:7" ht="66" x14ac:dyDescent="0.3">
      <c r="A5" s="17" t="s">
        <v>710</v>
      </c>
      <c r="E5" s="17" t="s">
        <v>2</v>
      </c>
    </row>
    <row r="6" spans="1:7" ht="145.19999999999999" x14ac:dyDescent="0.3">
      <c r="A6" s="17" t="s">
        <v>711</v>
      </c>
      <c r="E6" s="17" t="s">
        <v>26</v>
      </c>
    </row>
    <row r="7" spans="1:7" ht="79.2" x14ac:dyDescent="0.3">
      <c r="A7" s="17" t="s">
        <v>712</v>
      </c>
      <c r="E7" s="17" t="s">
        <v>10</v>
      </c>
    </row>
    <row r="8" spans="1:7" ht="66" x14ac:dyDescent="0.3">
      <c r="A8" s="17" t="s">
        <v>713</v>
      </c>
      <c r="E8" s="17" t="s">
        <v>714</v>
      </c>
    </row>
    <row r="9" spans="1:7" ht="26.4" x14ac:dyDescent="0.3">
      <c r="A9" s="17" t="s">
        <v>715</v>
      </c>
      <c r="E9" s="17" t="s">
        <v>716</v>
      </c>
    </row>
    <row r="10" spans="1:7" ht="52.8" x14ac:dyDescent="0.3">
      <c r="A10" s="17" t="s">
        <v>3</v>
      </c>
      <c r="E10" s="17" t="s">
        <v>4</v>
      </c>
    </row>
    <row r="11" spans="1:7" ht="66" x14ac:dyDescent="0.3">
      <c r="A11" s="17" t="s">
        <v>5</v>
      </c>
      <c r="E11" s="17" t="s">
        <v>6</v>
      </c>
    </row>
    <row r="12" spans="1:7" ht="52.8" x14ac:dyDescent="0.3">
      <c r="A12" s="17" t="s">
        <v>7</v>
      </c>
      <c r="E12" s="17" t="s">
        <v>8</v>
      </c>
    </row>
    <row r="13" spans="1:7" ht="132" x14ac:dyDescent="0.3">
      <c r="A13" s="17" t="s">
        <v>717</v>
      </c>
      <c r="E13" s="17" t="s">
        <v>718</v>
      </c>
    </row>
    <row r="14" spans="1:7" ht="13.5" customHeight="1" x14ac:dyDescent="0.3">
      <c r="A14" s="15" t="s">
        <v>719</v>
      </c>
      <c r="C14" s="17" t="s">
        <v>178</v>
      </c>
      <c r="D14" s="16" t="s">
        <v>168</v>
      </c>
      <c r="E14" s="17" t="s">
        <v>720</v>
      </c>
    </row>
    <row r="15" spans="1:7" ht="13.5" customHeight="1" x14ac:dyDescent="0.3">
      <c r="A15" s="15" t="s">
        <v>721</v>
      </c>
      <c r="C15" s="17" t="s">
        <v>722</v>
      </c>
      <c r="D15" s="16" t="s">
        <v>168</v>
      </c>
      <c r="E15" s="17" t="s">
        <v>723</v>
      </c>
    </row>
    <row r="17" spans="1:6" x14ac:dyDescent="0.3">
      <c r="A17" s="15" t="s">
        <v>166</v>
      </c>
      <c r="C17" s="15" t="s">
        <v>724</v>
      </c>
    </row>
    <row r="18" spans="1:6" ht="24.75" customHeight="1" x14ac:dyDescent="0.3">
      <c r="B18" s="16" t="s">
        <v>725</v>
      </c>
      <c r="C18" s="17" t="s">
        <v>726</v>
      </c>
      <c r="D18" s="16" t="s">
        <v>168</v>
      </c>
      <c r="E18" s="17" t="s">
        <v>727</v>
      </c>
      <c r="F18" s="17" t="s">
        <v>20</v>
      </c>
    </row>
    <row r="19" spans="1:6" ht="24.75" customHeight="1" x14ac:dyDescent="0.3">
      <c r="B19" s="16" t="s">
        <v>728</v>
      </c>
      <c r="C19" s="17" t="s">
        <v>729</v>
      </c>
      <c r="D19" s="16" t="s">
        <v>168</v>
      </c>
      <c r="E19" s="17" t="s">
        <v>730</v>
      </c>
    </row>
    <row r="20" spans="1:6" ht="13.5" customHeight="1" x14ac:dyDescent="0.3">
      <c r="B20" s="16" t="s">
        <v>731</v>
      </c>
      <c r="C20" s="17" t="s">
        <v>732</v>
      </c>
      <c r="D20" s="16" t="s">
        <v>168</v>
      </c>
      <c r="E20" s="17" t="s">
        <v>733</v>
      </c>
    </row>
    <row r="21" spans="1:6" ht="13.5" customHeight="1" x14ac:dyDescent="0.3">
      <c r="C21" s="17" t="s">
        <v>734</v>
      </c>
      <c r="D21" s="16" t="s">
        <v>168</v>
      </c>
      <c r="E21" s="17" t="s">
        <v>30</v>
      </c>
    </row>
    <row r="22" spans="1:6" ht="13.5" customHeight="1" x14ac:dyDescent="0.3">
      <c r="C22" s="17" t="s">
        <v>735</v>
      </c>
      <c r="D22" s="16" t="s">
        <v>168</v>
      </c>
      <c r="E22" s="17" t="s">
        <v>30</v>
      </c>
    </row>
    <row r="24" spans="1:6" x14ac:dyDescent="0.3">
      <c r="A24" s="15" t="s">
        <v>169</v>
      </c>
      <c r="C24" s="15" t="s">
        <v>736</v>
      </c>
    </row>
    <row r="25" spans="1:6" ht="13.5" customHeight="1" x14ac:dyDescent="0.3">
      <c r="B25" s="16" t="s">
        <v>719</v>
      </c>
      <c r="C25" s="17" t="s">
        <v>737</v>
      </c>
      <c r="D25" s="16" t="s">
        <v>168</v>
      </c>
      <c r="E25" s="17" t="s">
        <v>233</v>
      </c>
    </row>
    <row r="26" spans="1:6" ht="13.5" customHeight="1" x14ac:dyDescent="0.3">
      <c r="C26" s="17" t="s">
        <v>738</v>
      </c>
      <c r="D26" s="16" t="s">
        <v>168</v>
      </c>
      <c r="E26" s="17" t="s">
        <v>739</v>
      </c>
    </row>
    <row r="27" spans="1:6" ht="13.5" customHeight="1" x14ac:dyDescent="0.3">
      <c r="C27" s="17" t="s">
        <v>740</v>
      </c>
      <c r="D27" s="16" t="s">
        <v>168</v>
      </c>
      <c r="E27" s="17" t="s">
        <v>739</v>
      </c>
    </row>
    <row r="28" spans="1:6" ht="13.5" customHeight="1" x14ac:dyDescent="0.3">
      <c r="C28" s="17" t="s">
        <v>741</v>
      </c>
      <c r="D28" s="16" t="s">
        <v>168</v>
      </c>
      <c r="E28" s="17" t="s">
        <v>739</v>
      </c>
    </row>
    <row r="29" spans="1:6" ht="13.5" customHeight="1" x14ac:dyDescent="0.3">
      <c r="C29" s="17" t="s">
        <v>742</v>
      </c>
      <c r="D29" s="16" t="s">
        <v>168</v>
      </c>
      <c r="E29" s="17" t="s">
        <v>739</v>
      </c>
    </row>
    <row r="30" spans="1:6" ht="13.5" customHeight="1" x14ac:dyDescent="0.3">
      <c r="C30" s="17" t="s">
        <v>743</v>
      </c>
      <c r="D30" s="16" t="s">
        <v>168</v>
      </c>
      <c r="E30" s="17" t="s">
        <v>233</v>
      </c>
    </row>
    <row r="31" spans="1:6" ht="24.75" customHeight="1" x14ac:dyDescent="0.3">
      <c r="B31" s="16" t="s">
        <v>721</v>
      </c>
      <c r="C31" s="17" t="s">
        <v>744</v>
      </c>
      <c r="D31" s="16" t="s">
        <v>168</v>
      </c>
      <c r="E31" s="17" t="s">
        <v>745</v>
      </c>
    </row>
    <row r="32" spans="1:6" ht="24.75" customHeight="1" x14ac:dyDescent="0.3">
      <c r="B32" s="16" t="s">
        <v>746</v>
      </c>
      <c r="C32" s="17" t="s">
        <v>747</v>
      </c>
      <c r="D32" s="16" t="s">
        <v>168</v>
      </c>
      <c r="E32" s="17" t="s">
        <v>748</v>
      </c>
    </row>
    <row r="33" spans="1:5" ht="24.75" customHeight="1" x14ac:dyDescent="0.3">
      <c r="B33" s="16" t="s">
        <v>749</v>
      </c>
      <c r="C33" s="17" t="s">
        <v>750</v>
      </c>
      <c r="D33" s="16" t="s">
        <v>168</v>
      </c>
      <c r="E33" s="17" t="s">
        <v>751</v>
      </c>
    </row>
    <row r="34" spans="1:5" ht="24.75" customHeight="1" x14ac:dyDescent="0.3">
      <c r="B34" s="16" t="s">
        <v>752</v>
      </c>
      <c r="C34" s="17" t="s">
        <v>753</v>
      </c>
      <c r="D34" s="16" t="s">
        <v>168</v>
      </c>
      <c r="E34" s="17" t="s">
        <v>751</v>
      </c>
    </row>
    <row r="35" spans="1:5" ht="24.75" customHeight="1" x14ac:dyDescent="0.3">
      <c r="B35" s="16" t="s">
        <v>754</v>
      </c>
      <c r="C35" s="17" t="s">
        <v>755</v>
      </c>
      <c r="D35" s="16" t="s">
        <v>168</v>
      </c>
      <c r="E35" s="17" t="s">
        <v>751</v>
      </c>
    </row>
    <row r="36" spans="1:5" ht="24.75" customHeight="1" x14ac:dyDescent="0.3">
      <c r="B36" s="16" t="s">
        <v>756</v>
      </c>
      <c r="C36" s="17" t="s">
        <v>757</v>
      </c>
      <c r="D36" s="16" t="s">
        <v>168</v>
      </c>
      <c r="E36" s="17" t="s">
        <v>758</v>
      </c>
    </row>
    <row r="37" spans="1:5" ht="37.5" customHeight="1" x14ac:dyDescent="0.3">
      <c r="B37" s="16" t="s">
        <v>759</v>
      </c>
      <c r="C37" s="17" t="s">
        <v>760</v>
      </c>
      <c r="D37" s="16" t="s">
        <v>168</v>
      </c>
      <c r="E37" s="17" t="s">
        <v>761</v>
      </c>
    </row>
    <row r="39" spans="1:5" x14ac:dyDescent="0.3">
      <c r="A39" s="15" t="s">
        <v>171</v>
      </c>
      <c r="C39" s="15" t="s">
        <v>762</v>
      </c>
    </row>
    <row r="40" spans="1:5" ht="13.5" customHeight="1" x14ac:dyDescent="0.3">
      <c r="B40" s="16" t="s">
        <v>719</v>
      </c>
      <c r="C40" s="17" t="s">
        <v>763</v>
      </c>
      <c r="D40" s="16" t="s">
        <v>168</v>
      </c>
      <c r="E40" s="17" t="s">
        <v>751</v>
      </c>
    </row>
    <row r="41" spans="1:5" ht="13.5" customHeight="1" x14ac:dyDescent="0.3">
      <c r="B41" s="16" t="s">
        <v>721</v>
      </c>
      <c r="C41" s="17" t="s">
        <v>764</v>
      </c>
      <c r="D41" s="16" t="s">
        <v>168</v>
      </c>
      <c r="E41" s="17" t="s">
        <v>751</v>
      </c>
    </row>
    <row r="42" spans="1:5" ht="24.75" customHeight="1" x14ac:dyDescent="0.3">
      <c r="B42" s="16" t="s">
        <v>746</v>
      </c>
      <c r="C42" s="17" t="s">
        <v>765</v>
      </c>
      <c r="D42" s="16" t="s">
        <v>168</v>
      </c>
      <c r="E42" s="17" t="s">
        <v>751</v>
      </c>
    </row>
    <row r="43" spans="1:5" ht="13.5" customHeight="1" x14ac:dyDescent="0.3">
      <c r="B43" s="16" t="s">
        <v>749</v>
      </c>
      <c r="C43" s="17" t="s">
        <v>766</v>
      </c>
      <c r="D43" s="16" t="s">
        <v>168</v>
      </c>
      <c r="E43" s="17" t="s">
        <v>751</v>
      </c>
    </row>
    <row r="44" spans="1:5" ht="24.75" customHeight="1" x14ac:dyDescent="0.3">
      <c r="B44" s="16" t="s">
        <v>752</v>
      </c>
      <c r="C44" s="17" t="s">
        <v>767</v>
      </c>
      <c r="D44" s="16" t="s">
        <v>168</v>
      </c>
      <c r="E44" s="17" t="s">
        <v>768</v>
      </c>
    </row>
    <row r="45" spans="1:5" ht="24.75" customHeight="1" x14ac:dyDescent="0.3">
      <c r="B45" s="16" t="s">
        <v>754</v>
      </c>
      <c r="C45" s="17" t="s">
        <v>769</v>
      </c>
      <c r="D45" s="16" t="s">
        <v>168</v>
      </c>
      <c r="E45" s="17" t="s">
        <v>751</v>
      </c>
    </row>
    <row r="46" spans="1:5" ht="49.5" customHeight="1" x14ac:dyDescent="0.3">
      <c r="B46" s="16" t="s">
        <v>756</v>
      </c>
      <c r="C46" s="17" t="s">
        <v>770</v>
      </c>
      <c r="D46" s="16" t="s">
        <v>168</v>
      </c>
      <c r="E46" s="17" t="s">
        <v>771</v>
      </c>
    </row>
    <row r="48" spans="1:5" x14ac:dyDescent="0.3">
      <c r="A48" s="15" t="s">
        <v>174</v>
      </c>
      <c r="C48" s="15" t="s">
        <v>772</v>
      </c>
    </row>
    <row r="49" spans="1:5" ht="24.75" customHeight="1" x14ac:dyDescent="0.3">
      <c r="B49" s="16" t="s">
        <v>719</v>
      </c>
      <c r="C49" s="17" t="s">
        <v>773</v>
      </c>
      <c r="D49" s="16" t="s">
        <v>168</v>
      </c>
      <c r="E49" s="17" t="s">
        <v>774</v>
      </c>
    </row>
    <row r="50" spans="1:5" ht="75" customHeight="1" x14ac:dyDescent="0.3">
      <c r="B50" s="16" t="s">
        <v>721</v>
      </c>
      <c r="C50" s="17" t="s">
        <v>775</v>
      </c>
      <c r="D50" s="16" t="s">
        <v>168</v>
      </c>
      <c r="E50" s="17" t="s">
        <v>776</v>
      </c>
    </row>
    <row r="51" spans="1:5" ht="24.75" customHeight="1" x14ac:dyDescent="0.3">
      <c r="B51" s="16" t="s">
        <v>746</v>
      </c>
      <c r="C51" s="17" t="s">
        <v>777</v>
      </c>
      <c r="D51" s="16" t="s">
        <v>168</v>
      </c>
      <c r="E51" s="17" t="s">
        <v>778</v>
      </c>
    </row>
    <row r="53" spans="1:5" x14ac:dyDescent="0.3">
      <c r="A53" s="15" t="s">
        <v>177</v>
      </c>
      <c r="C53" s="15" t="s">
        <v>779</v>
      </c>
    </row>
    <row r="54" spans="1:5" ht="13.5" customHeight="1" x14ac:dyDescent="0.3">
      <c r="B54" s="16" t="s">
        <v>719</v>
      </c>
      <c r="C54" s="17" t="s">
        <v>780</v>
      </c>
      <c r="D54" s="16" t="s">
        <v>168</v>
      </c>
      <c r="E54" s="17" t="s">
        <v>33</v>
      </c>
    </row>
    <row r="55" spans="1:5" ht="13.5" customHeight="1" x14ac:dyDescent="0.3">
      <c r="C55" s="17" t="s">
        <v>781</v>
      </c>
      <c r="D55" s="16" t="s">
        <v>168</v>
      </c>
      <c r="E55" s="17" t="s">
        <v>35</v>
      </c>
    </row>
    <row r="56" spans="1:5" ht="24.75" customHeight="1" x14ac:dyDescent="0.3">
      <c r="B56" s="16" t="s">
        <v>721</v>
      </c>
      <c r="C56" s="17" t="s">
        <v>782</v>
      </c>
      <c r="D56" s="16" t="s">
        <v>168</v>
      </c>
      <c r="E56" s="17" t="s">
        <v>783</v>
      </c>
    </row>
    <row r="57" spans="1:5" ht="13.5" customHeight="1" x14ac:dyDescent="0.3">
      <c r="C57" s="17" t="s">
        <v>784</v>
      </c>
      <c r="D57" s="16" t="s">
        <v>168</v>
      </c>
      <c r="E57" s="17" t="s">
        <v>35</v>
      </c>
    </row>
    <row r="58" spans="1:5" ht="13.5" customHeight="1" x14ac:dyDescent="0.3">
      <c r="C58" s="17" t="s">
        <v>785</v>
      </c>
      <c r="D58" s="16" t="s">
        <v>168</v>
      </c>
      <c r="E58" s="17" t="s">
        <v>35</v>
      </c>
    </row>
    <row r="60" spans="1:5" x14ac:dyDescent="0.3">
      <c r="A60" s="15" t="s">
        <v>208</v>
      </c>
      <c r="C60" s="15" t="s">
        <v>786</v>
      </c>
    </row>
    <row r="61" spans="1:5" ht="49.5" customHeight="1" x14ac:dyDescent="0.3">
      <c r="B61" s="16" t="s">
        <v>719</v>
      </c>
      <c r="C61" s="17" t="s">
        <v>787</v>
      </c>
      <c r="D61" s="16" t="s">
        <v>168</v>
      </c>
      <c r="E61" s="17" t="s">
        <v>788</v>
      </c>
    </row>
    <row r="62" spans="1:5" ht="49.5" customHeight="1" x14ac:dyDescent="0.3">
      <c r="B62" s="16" t="s">
        <v>721</v>
      </c>
      <c r="C62" s="17" t="s">
        <v>789</v>
      </c>
      <c r="D62" s="16" t="s">
        <v>168</v>
      </c>
      <c r="E62" s="17" t="s">
        <v>790</v>
      </c>
    </row>
    <row r="64" spans="1:5" x14ac:dyDescent="0.3">
      <c r="A64" s="15" t="s">
        <v>211</v>
      </c>
      <c r="C64" s="15" t="s">
        <v>41</v>
      </c>
    </row>
    <row r="65" spans="1:5" ht="13.5" customHeight="1" x14ac:dyDescent="0.3">
      <c r="B65" s="16" t="s">
        <v>719</v>
      </c>
      <c r="C65" s="17" t="s">
        <v>791</v>
      </c>
      <c r="D65" s="16" t="s">
        <v>168</v>
      </c>
      <c r="E65" s="17" t="s">
        <v>43</v>
      </c>
    </row>
    <row r="66" spans="1:5" ht="13.5" customHeight="1" x14ac:dyDescent="0.3">
      <c r="C66" s="17" t="s">
        <v>792</v>
      </c>
      <c r="D66" s="16" t="s">
        <v>168</v>
      </c>
      <c r="E66" s="17" t="s">
        <v>793</v>
      </c>
    </row>
    <row r="67" spans="1:5" ht="24.75" customHeight="1" x14ac:dyDescent="0.3">
      <c r="C67" s="17" t="s">
        <v>794</v>
      </c>
      <c r="D67" s="16" t="s">
        <v>168</v>
      </c>
      <c r="E67" s="17" t="s">
        <v>795</v>
      </c>
    </row>
    <row r="68" spans="1:5" ht="62.25" customHeight="1" x14ac:dyDescent="0.3">
      <c r="B68" s="16" t="s">
        <v>721</v>
      </c>
      <c r="C68" s="17" t="s">
        <v>796</v>
      </c>
      <c r="D68" s="16" t="s">
        <v>168</v>
      </c>
      <c r="E68" s="17" t="s">
        <v>797</v>
      </c>
    </row>
    <row r="70" spans="1:5" x14ac:dyDescent="0.3">
      <c r="A70" s="15" t="s">
        <v>240</v>
      </c>
      <c r="C70" s="15" t="s">
        <v>798</v>
      </c>
    </row>
    <row r="71" spans="1:5" ht="37.5" customHeight="1" x14ac:dyDescent="0.3">
      <c r="B71" s="16" t="s">
        <v>719</v>
      </c>
      <c r="C71" s="17" t="s">
        <v>799</v>
      </c>
      <c r="D71" s="16" t="s">
        <v>168</v>
      </c>
      <c r="E71" s="17" t="s">
        <v>800</v>
      </c>
    </row>
    <row r="72" spans="1:5" ht="24.75" customHeight="1" x14ac:dyDescent="0.3">
      <c r="B72" s="16" t="s">
        <v>721</v>
      </c>
      <c r="C72" s="17" t="s">
        <v>801</v>
      </c>
      <c r="D72" s="16" t="s">
        <v>168</v>
      </c>
      <c r="E72" s="17" t="s">
        <v>802</v>
      </c>
    </row>
    <row r="74" spans="1:5" x14ac:dyDescent="0.3">
      <c r="A74" s="15" t="s">
        <v>243</v>
      </c>
      <c r="C74" s="15" t="s">
        <v>803</v>
      </c>
      <c r="E74" s="16" t="s">
        <v>48</v>
      </c>
    </row>
    <row r="75" spans="1:5" ht="13.5" customHeight="1" x14ac:dyDescent="0.3">
      <c r="B75" s="16" t="s">
        <v>719</v>
      </c>
      <c r="C75" s="17" t="s">
        <v>804</v>
      </c>
      <c r="D75" s="16" t="s">
        <v>168</v>
      </c>
      <c r="E75" s="17" t="s">
        <v>22</v>
      </c>
    </row>
    <row r="76" spans="1:5" ht="13.5" customHeight="1" x14ac:dyDescent="0.3">
      <c r="B76" s="16" t="s">
        <v>721</v>
      </c>
      <c r="C76" s="17" t="s">
        <v>49</v>
      </c>
      <c r="D76" s="16" t="s">
        <v>168</v>
      </c>
      <c r="E76" s="17" t="s">
        <v>35</v>
      </c>
    </row>
    <row r="77" spans="1:5" ht="24.75" customHeight="1" x14ac:dyDescent="0.3">
      <c r="B77" s="16" t="s">
        <v>746</v>
      </c>
      <c r="C77" s="17" t="s">
        <v>805</v>
      </c>
      <c r="D77" s="16" t="s">
        <v>168</v>
      </c>
      <c r="E77" s="17" t="s">
        <v>35</v>
      </c>
    </row>
    <row r="78" spans="1:5" ht="13.5" customHeight="1" x14ac:dyDescent="0.3">
      <c r="B78" s="16" t="s">
        <v>749</v>
      </c>
      <c r="C78" s="17" t="s">
        <v>806</v>
      </c>
      <c r="D78" s="16" t="s">
        <v>168</v>
      </c>
      <c r="E78" s="17" t="s">
        <v>751</v>
      </c>
    </row>
    <row r="79" spans="1:5" ht="37.5" customHeight="1" x14ac:dyDescent="0.3">
      <c r="B79" s="16" t="s">
        <v>752</v>
      </c>
      <c r="C79" s="17" t="s">
        <v>807</v>
      </c>
      <c r="D79" s="16" t="s">
        <v>168</v>
      </c>
      <c r="E79" s="17" t="s">
        <v>808</v>
      </c>
    </row>
    <row r="80" spans="1:5" ht="13.5" customHeight="1" x14ac:dyDescent="0.3">
      <c r="B80" s="16" t="s">
        <v>754</v>
      </c>
      <c r="C80" s="17" t="s">
        <v>809</v>
      </c>
      <c r="D80" s="16" t="s">
        <v>168</v>
      </c>
      <c r="E80" s="17" t="s">
        <v>35</v>
      </c>
    </row>
    <row r="81" spans="1:5" ht="75" customHeight="1" x14ac:dyDescent="0.3">
      <c r="B81" s="16" t="s">
        <v>810</v>
      </c>
      <c r="C81" s="17" t="s">
        <v>811</v>
      </c>
      <c r="D81" s="16" t="s">
        <v>168</v>
      </c>
      <c r="E81" s="17" t="s">
        <v>812</v>
      </c>
    </row>
    <row r="83" spans="1:5" x14ac:dyDescent="0.3">
      <c r="A83" s="15" t="s">
        <v>248</v>
      </c>
      <c r="C83" s="15" t="s">
        <v>813</v>
      </c>
    </row>
    <row r="84" spans="1:5" ht="24.75" customHeight="1" x14ac:dyDescent="0.3">
      <c r="B84" s="16" t="s">
        <v>719</v>
      </c>
      <c r="C84" s="17" t="s">
        <v>814</v>
      </c>
      <c r="D84" s="16" t="s">
        <v>168</v>
      </c>
      <c r="E84" s="17" t="s">
        <v>815</v>
      </c>
    </row>
    <row r="85" spans="1:5" ht="75" customHeight="1" x14ac:dyDescent="0.3">
      <c r="B85" s="16" t="s">
        <v>721</v>
      </c>
      <c r="C85" s="17" t="s">
        <v>816</v>
      </c>
      <c r="D85" s="16" t="s">
        <v>168</v>
      </c>
      <c r="E85" s="17" t="s">
        <v>817</v>
      </c>
    </row>
    <row r="86" spans="1:5" ht="37.5" customHeight="1" x14ac:dyDescent="0.3">
      <c r="B86" s="16" t="s">
        <v>746</v>
      </c>
      <c r="C86" s="17" t="s">
        <v>818</v>
      </c>
      <c r="D86" s="16" t="s">
        <v>168</v>
      </c>
      <c r="E86" s="17" t="s">
        <v>819</v>
      </c>
    </row>
    <row r="88" spans="1:5" x14ac:dyDescent="0.3">
      <c r="A88" s="15" t="s">
        <v>334</v>
      </c>
      <c r="C88" s="15" t="s">
        <v>820</v>
      </c>
    </row>
    <row r="89" spans="1:5" ht="49.5" customHeight="1" x14ac:dyDescent="0.3">
      <c r="B89" s="16" t="s">
        <v>89</v>
      </c>
      <c r="C89" s="17" t="s">
        <v>821</v>
      </c>
      <c r="D89" s="16" t="s">
        <v>168</v>
      </c>
      <c r="E89" s="17" t="s">
        <v>822</v>
      </c>
    </row>
    <row r="90" spans="1:5" ht="99.75" customHeight="1" x14ac:dyDescent="0.3">
      <c r="B90" s="16" t="s">
        <v>92</v>
      </c>
      <c r="C90" s="17" t="s">
        <v>823</v>
      </c>
      <c r="D90" s="16" t="s">
        <v>168</v>
      </c>
      <c r="E90" s="17" t="s">
        <v>824</v>
      </c>
    </row>
    <row r="92" spans="1:5" x14ac:dyDescent="0.3">
      <c r="A92" s="15" t="s">
        <v>37</v>
      </c>
      <c r="C92" s="15" t="s">
        <v>825</v>
      </c>
    </row>
    <row r="93" spans="1:5" x14ac:dyDescent="0.3">
      <c r="B93" s="16" t="s">
        <v>121</v>
      </c>
      <c r="C93" s="15" t="s">
        <v>826</v>
      </c>
    </row>
    <row r="94" spans="1:5" ht="49.5" customHeight="1" x14ac:dyDescent="0.3">
      <c r="B94" s="16" t="s">
        <v>166</v>
      </c>
      <c r="C94" s="17" t="s">
        <v>827</v>
      </c>
      <c r="D94" s="16" t="s">
        <v>168</v>
      </c>
      <c r="E94" s="17" t="s">
        <v>828</v>
      </c>
    </row>
    <row r="95" spans="1:5" ht="24.75" customHeight="1" x14ac:dyDescent="0.3">
      <c r="B95" s="16" t="s">
        <v>169</v>
      </c>
      <c r="C95" s="17" t="s">
        <v>829</v>
      </c>
      <c r="D95" s="16" t="s">
        <v>168</v>
      </c>
      <c r="E95" s="17" t="s">
        <v>718</v>
      </c>
    </row>
    <row r="96" spans="1:5" ht="13.5" customHeight="1" x14ac:dyDescent="0.3">
      <c r="B96" s="16" t="s">
        <v>171</v>
      </c>
      <c r="C96" s="17" t="s">
        <v>830</v>
      </c>
      <c r="D96" s="16" t="s">
        <v>168</v>
      </c>
      <c r="E96" s="17" t="s">
        <v>718</v>
      </c>
    </row>
    <row r="97" spans="1:5" ht="37.5" customHeight="1" x14ac:dyDescent="0.3">
      <c r="B97" s="16" t="s">
        <v>174</v>
      </c>
      <c r="C97" s="17" t="s">
        <v>831</v>
      </c>
      <c r="D97" s="16" t="s">
        <v>168</v>
      </c>
      <c r="E97" s="17" t="s">
        <v>832</v>
      </c>
    </row>
    <row r="98" spans="1:5" x14ac:dyDescent="0.3">
      <c r="B98" s="16" t="s">
        <v>123</v>
      </c>
      <c r="C98" s="15" t="s">
        <v>833</v>
      </c>
    </row>
    <row r="99" spans="1:5" ht="87" customHeight="1" x14ac:dyDescent="0.3">
      <c r="C99" s="17" t="s">
        <v>834</v>
      </c>
      <c r="D99" s="16" t="s">
        <v>168</v>
      </c>
      <c r="E99" s="17" t="s">
        <v>835</v>
      </c>
    </row>
    <row r="100" spans="1:5" x14ac:dyDescent="0.3">
      <c r="B100" s="16" t="s">
        <v>125</v>
      </c>
      <c r="C100" s="15" t="s">
        <v>836</v>
      </c>
    </row>
    <row r="101" spans="1:5" ht="49.5" customHeight="1" x14ac:dyDescent="0.3">
      <c r="B101" s="16" t="s">
        <v>166</v>
      </c>
      <c r="C101" s="17" t="s">
        <v>837</v>
      </c>
      <c r="D101" s="16" t="s">
        <v>168</v>
      </c>
      <c r="E101" s="17" t="s">
        <v>838</v>
      </c>
    </row>
    <row r="102" spans="1:5" ht="37.5" customHeight="1" x14ac:dyDescent="0.3">
      <c r="B102" s="16" t="s">
        <v>169</v>
      </c>
      <c r="C102" s="17" t="s">
        <v>839</v>
      </c>
      <c r="D102" s="16" t="s">
        <v>168</v>
      </c>
      <c r="E102" s="17" t="s">
        <v>840</v>
      </c>
    </row>
    <row r="103" spans="1:5" ht="24.75" customHeight="1" x14ac:dyDescent="0.3">
      <c r="B103" s="16" t="s">
        <v>171</v>
      </c>
      <c r="C103" s="17" t="s">
        <v>841</v>
      </c>
      <c r="D103" s="16" t="s">
        <v>168</v>
      </c>
      <c r="E103" s="17" t="s">
        <v>802</v>
      </c>
    </row>
    <row r="104" spans="1:5" ht="49.5" customHeight="1" x14ac:dyDescent="0.3">
      <c r="B104" s="16" t="s">
        <v>174</v>
      </c>
      <c r="C104" s="17" t="s">
        <v>842</v>
      </c>
      <c r="D104" s="16" t="s">
        <v>168</v>
      </c>
      <c r="E104" s="17" t="s">
        <v>843</v>
      </c>
    </row>
    <row r="106" spans="1:5" x14ac:dyDescent="0.3">
      <c r="A106" s="15" t="s">
        <v>340</v>
      </c>
      <c r="C106" s="15" t="s">
        <v>844</v>
      </c>
    </row>
    <row r="107" spans="1:5" ht="24.75" customHeight="1" x14ac:dyDescent="0.3">
      <c r="B107" s="16" t="s">
        <v>166</v>
      </c>
      <c r="C107" s="17" t="s">
        <v>845</v>
      </c>
      <c r="D107" s="16" t="s">
        <v>168</v>
      </c>
      <c r="E107" s="17" t="s">
        <v>846</v>
      </c>
    </row>
    <row r="108" spans="1:5" ht="75" customHeight="1" x14ac:dyDescent="0.3">
      <c r="B108" s="16" t="s">
        <v>169</v>
      </c>
      <c r="C108" s="17" t="s">
        <v>847</v>
      </c>
      <c r="D108" s="16" t="s">
        <v>168</v>
      </c>
      <c r="E108" s="17" t="s">
        <v>848</v>
      </c>
    </row>
    <row r="109" spans="1:5" ht="37.5" customHeight="1" x14ac:dyDescent="0.3">
      <c r="B109" s="16" t="s">
        <v>171</v>
      </c>
      <c r="C109" s="17" t="s">
        <v>849</v>
      </c>
      <c r="D109" s="16" t="s">
        <v>168</v>
      </c>
      <c r="E109" s="17" t="s">
        <v>850</v>
      </c>
    </row>
    <row r="110" spans="1:5" ht="49.5" customHeight="1" x14ac:dyDescent="0.3">
      <c r="B110" s="16" t="s">
        <v>174</v>
      </c>
      <c r="C110" s="17" t="s">
        <v>851</v>
      </c>
      <c r="D110" s="16" t="s">
        <v>168</v>
      </c>
      <c r="E110" s="17" t="s">
        <v>852</v>
      </c>
    </row>
    <row r="111" spans="1:5" x14ac:dyDescent="0.3">
      <c r="B111" s="16" t="s">
        <v>177</v>
      </c>
      <c r="C111" s="15" t="s">
        <v>853</v>
      </c>
    </row>
    <row r="112" spans="1:5" ht="37.5" customHeight="1" x14ac:dyDescent="0.3">
      <c r="C112" s="17" t="s">
        <v>854</v>
      </c>
      <c r="D112" s="16" t="s">
        <v>168</v>
      </c>
      <c r="E112" s="17" t="s">
        <v>855</v>
      </c>
    </row>
    <row r="113" spans="1:5" ht="49.5" customHeight="1" x14ac:dyDescent="0.3">
      <c r="C113" s="17" t="s">
        <v>856</v>
      </c>
      <c r="D113" s="16" t="s">
        <v>168</v>
      </c>
      <c r="E113" s="17" t="s">
        <v>857</v>
      </c>
    </row>
    <row r="115" spans="1:5" ht="37.5" customHeight="1" x14ac:dyDescent="0.3">
      <c r="A115" s="15" t="s">
        <v>343</v>
      </c>
      <c r="C115" s="17" t="s">
        <v>858</v>
      </c>
      <c r="D115" s="16" t="s">
        <v>168</v>
      </c>
      <c r="E115" s="17" t="s">
        <v>859</v>
      </c>
    </row>
    <row r="119" spans="1:5" x14ac:dyDescent="0.3">
      <c r="E119" s="15" t="s">
        <v>860</v>
      </c>
    </row>
    <row r="121" spans="1:5" x14ac:dyDescent="0.3">
      <c r="E121" s="15" t="s">
        <v>17</v>
      </c>
    </row>
    <row r="122" spans="1:5" x14ac:dyDescent="0.3">
      <c r="E122" s="16" t="s">
        <v>64</v>
      </c>
    </row>
    <row r="123" spans="1:5" x14ac:dyDescent="0.3">
      <c r="E123" s="16" t="s">
        <v>164</v>
      </c>
    </row>
    <row r="124" spans="1:5" ht="22.8" x14ac:dyDescent="0.3">
      <c r="E124" s="38" t="s">
        <v>861</v>
      </c>
    </row>
    <row r="126" spans="1:5" x14ac:dyDescent="0.3">
      <c r="A126" s="16" t="s">
        <v>67</v>
      </c>
    </row>
  </sheetData>
  <mergeCells count="3">
    <mergeCell ref="A1:G1"/>
    <mergeCell ref="A2:G2"/>
    <mergeCell ref="A3:G3"/>
  </mergeCells>
  <pageMargins left="0.75" right="0.75" top="1" bottom="1"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77"/>
  <sheetViews>
    <sheetView showGridLines="0" zoomScaleNormal="100" workbookViewId="0">
      <selection sqref="A1:G1"/>
    </sheetView>
  </sheetViews>
  <sheetFormatPr defaultColWidth="8.6640625" defaultRowHeight="14.4" x14ac:dyDescent="0.3"/>
  <cols>
    <col min="1" max="1" width="5" customWidth="1"/>
    <col min="2" max="2" width="6" customWidth="1"/>
    <col min="3" max="3" width="62" customWidth="1"/>
    <col min="4" max="4" width="4" customWidth="1"/>
    <col min="5" max="5" width="34" customWidth="1"/>
    <col min="6" max="7" width="16" customWidth="1"/>
  </cols>
  <sheetData>
    <row r="1" spans="1:7" ht="15" customHeight="1" x14ac:dyDescent="0.3">
      <c r="A1" s="13" t="s">
        <v>2</v>
      </c>
      <c r="B1" s="13"/>
      <c r="C1" s="13"/>
      <c r="D1" s="13"/>
      <c r="E1" s="13"/>
      <c r="F1" s="13"/>
      <c r="G1" s="13"/>
    </row>
    <row r="2" spans="1:7" ht="17.399999999999999" customHeight="1" x14ac:dyDescent="0.3">
      <c r="A2" s="14" t="s">
        <v>862</v>
      </c>
      <c r="B2" s="14"/>
      <c r="C2" s="14"/>
      <c r="D2" s="14"/>
      <c r="E2" s="14"/>
      <c r="F2" s="14"/>
      <c r="G2" s="14"/>
    </row>
    <row r="3" spans="1:7" ht="15" customHeight="1" x14ac:dyDescent="0.3">
      <c r="A3" s="13" t="s">
        <v>863</v>
      </c>
      <c r="B3" s="13"/>
      <c r="C3" s="13"/>
      <c r="D3" s="13"/>
      <c r="E3" s="13"/>
      <c r="F3" s="13"/>
      <c r="G3" s="13"/>
    </row>
    <row r="4" spans="1:7" ht="15" customHeight="1" x14ac:dyDescent="0.3">
      <c r="A4" s="10" t="s">
        <v>864</v>
      </c>
      <c r="B4" s="10"/>
      <c r="C4" s="10"/>
      <c r="D4" s="10"/>
      <c r="E4" s="10"/>
      <c r="F4" s="10"/>
      <c r="G4" s="10"/>
    </row>
    <row r="6" spans="1:7" x14ac:dyDescent="0.3">
      <c r="A6" s="15" t="s">
        <v>89</v>
      </c>
      <c r="C6" s="15" t="s">
        <v>865</v>
      </c>
    </row>
    <row r="7" spans="1:7" ht="75" customHeight="1" x14ac:dyDescent="0.3">
      <c r="B7" s="16" t="s">
        <v>719</v>
      </c>
      <c r="C7" s="17" t="s">
        <v>866</v>
      </c>
      <c r="D7" s="16" t="s">
        <v>168</v>
      </c>
      <c r="E7" s="17" t="s">
        <v>867</v>
      </c>
    </row>
    <row r="8" spans="1:7" ht="13.5" customHeight="1" x14ac:dyDescent="0.3">
      <c r="B8" s="16" t="s">
        <v>721</v>
      </c>
      <c r="C8" s="17" t="s">
        <v>868</v>
      </c>
      <c r="D8" s="16" t="s">
        <v>168</v>
      </c>
      <c r="E8" s="17" t="s">
        <v>802</v>
      </c>
    </row>
    <row r="9" spans="1:7" ht="24.75" customHeight="1" x14ac:dyDescent="0.3">
      <c r="B9" s="16" t="s">
        <v>746</v>
      </c>
      <c r="C9" s="17" t="s">
        <v>869</v>
      </c>
      <c r="D9" s="16" t="s">
        <v>168</v>
      </c>
      <c r="E9" s="17" t="s">
        <v>802</v>
      </c>
    </row>
    <row r="10" spans="1:7" ht="24.75" customHeight="1" x14ac:dyDescent="0.3">
      <c r="B10" s="16" t="s">
        <v>749</v>
      </c>
      <c r="C10" s="17" t="s">
        <v>870</v>
      </c>
      <c r="D10" s="16" t="s">
        <v>168</v>
      </c>
      <c r="E10" s="17" t="s">
        <v>802</v>
      </c>
    </row>
    <row r="12" spans="1:7" x14ac:dyDescent="0.3">
      <c r="A12" s="15" t="s">
        <v>92</v>
      </c>
      <c r="C12" s="15" t="s">
        <v>871</v>
      </c>
    </row>
    <row r="13" spans="1:7" ht="24.75" customHeight="1" x14ac:dyDescent="0.3">
      <c r="B13" s="16" t="s">
        <v>719</v>
      </c>
      <c r="C13" s="17" t="s">
        <v>872</v>
      </c>
      <c r="D13" s="16" t="s">
        <v>168</v>
      </c>
      <c r="E13" s="17" t="s">
        <v>802</v>
      </c>
    </row>
    <row r="14" spans="1:7" ht="37.5" customHeight="1" x14ac:dyDescent="0.3">
      <c r="B14" s="16" t="s">
        <v>721</v>
      </c>
      <c r="C14" s="17" t="s">
        <v>873</v>
      </c>
      <c r="D14" s="16" t="s">
        <v>168</v>
      </c>
      <c r="E14" s="17" t="s">
        <v>802</v>
      </c>
    </row>
    <row r="16" spans="1:7" x14ac:dyDescent="0.3">
      <c r="A16" s="15" t="s">
        <v>95</v>
      </c>
      <c r="C16" s="15" t="s">
        <v>874</v>
      </c>
    </row>
    <row r="17" spans="1:5" ht="37.5" customHeight="1" x14ac:dyDescent="0.3">
      <c r="B17" s="16" t="s">
        <v>719</v>
      </c>
      <c r="C17" s="17" t="s">
        <v>875</v>
      </c>
      <c r="D17" s="16" t="s">
        <v>168</v>
      </c>
      <c r="E17" s="17" t="s">
        <v>802</v>
      </c>
    </row>
    <row r="18" spans="1:5" ht="37.5" customHeight="1" x14ac:dyDescent="0.3">
      <c r="B18" s="16" t="s">
        <v>721</v>
      </c>
      <c r="C18" s="17" t="s">
        <v>876</v>
      </c>
      <c r="D18" s="16" t="s">
        <v>168</v>
      </c>
      <c r="E18" s="17" t="s">
        <v>802</v>
      </c>
    </row>
    <row r="19" spans="1:5" ht="49.5" customHeight="1" x14ac:dyDescent="0.3">
      <c r="B19" s="16" t="s">
        <v>746</v>
      </c>
      <c r="C19" s="17" t="s">
        <v>877</v>
      </c>
      <c r="D19" s="16" t="s">
        <v>168</v>
      </c>
      <c r="E19" s="17" t="s">
        <v>802</v>
      </c>
    </row>
    <row r="21" spans="1:5" x14ac:dyDescent="0.3">
      <c r="A21" s="15" t="s">
        <v>97</v>
      </c>
      <c r="C21" s="15" t="s">
        <v>878</v>
      </c>
    </row>
    <row r="22" spans="1:5" ht="49.5" customHeight="1" x14ac:dyDescent="0.3">
      <c r="B22" s="16" t="s">
        <v>719</v>
      </c>
      <c r="C22" s="17" t="s">
        <v>879</v>
      </c>
      <c r="D22" s="16" t="s">
        <v>168</v>
      </c>
      <c r="E22" s="17" t="s">
        <v>10</v>
      </c>
    </row>
    <row r="23" spans="1:5" ht="37.5" customHeight="1" x14ac:dyDescent="0.3">
      <c r="B23" s="16" t="s">
        <v>721</v>
      </c>
      <c r="C23" s="17" t="s">
        <v>880</v>
      </c>
      <c r="D23" s="16" t="s">
        <v>168</v>
      </c>
      <c r="E23" s="17" t="s">
        <v>881</v>
      </c>
    </row>
    <row r="24" spans="1:5" x14ac:dyDescent="0.3">
      <c r="B24" s="16" t="s">
        <v>746</v>
      </c>
      <c r="C24" s="16" t="s">
        <v>882</v>
      </c>
    </row>
    <row r="25" spans="1:5" ht="13.5" customHeight="1" x14ac:dyDescent="0.3">
      <c r="B25" s="16" t="s">
        <v>121</v>
      </c>
      <c r="C25" s="17" t="s">
        <v>883</v>
      </c>
      <c r="D25" s="16" t="s">
        <v>168</v>
      </c>
      <c r="E25" s="17" t="s">
        <v>884</v>
      </c>
    </row>
    <row r="26" spans="1:5" ht="13.5" customHeight="1" x14ac:dyDescent="0.3">
      <c r="B26" s="16" t="s">
        <v>123</v>
      </c>
      <c r="C26" s="17" t="s">
        <v>885</v>
      </c>
      <c r="D26" s="16" t="s">
        <v>168</v>
      </c>
      <c r="E26" s="17" t="s">
        <v>219</v>
      </c>
    </row>
    <row r="27" spans="1:5" ht="13.5" customHeight="1" x14ac:dyDescent="0.3">
      <c r="B27" s="16" t="s">
        <v>125</v>
      </c>
      <c r="C27" s="17" t="s">
        <v>886</v>
      </c>
      <c r="D27" s="16" t="s">
        <v>168</v>
      </c>
      <c r="E27" s="17" t="s">
        <v>219</v>
      </c>
    </row>
    <row r="28" spans="1:5" ht="13.5" customHeight="1" x14ac:dyDescent="0.3">
      <c r="B28" s="16" t="s">
        <v>887</v>
      </c>
      <c r="C28" s="17" t="s">
        <v>888</v>
      </c>
      <c r="D28" s="16" t="s">
        <v>168</v>
      </c>
      <c r="E28" s="17" t="s">
        <v>219</v>
      </c>
    </row>
    <row r="29" spans="1:5" ht="37.5" customHeight="1" x14ac:dyDescent="0.3">
      <c r="B29" s="16" t="s">
        <v>749</v>
      </c>
      <c r="C29" s="17" t="s">
        <v>889</v>
      </c>
      <c r="D29" s="16" t="s">
        <v>168</v>
      </c>
      <c r="E29" s="17" t="s">
        <v>751</v>
      </c>
    </row>
    <row r="30" spans="1:5" ht="24.75" customHeight="1" x14ac:dyDescent="0.3">
      <c r="B30" s="16" t="s">
        <v>752</v>
      </c>
      <c r="C30" s="17" t="s">
        <v>890</v>
      </c>
      <c r="D30" s="16" t="s">
        <v>168</v>
      </c>
      <c r="E30" s="17" t="s">
        <v>891</v>
      </c>
    </row>
    <row r="32" spans="1:5" x14ac:dyDescent="0.3">
      <c r="A32" s="15" t="s">
        <v>99</v>
      </c>
      <c r="C32" s="15" t="s">
        <v>892</v>
      </c>
    </row>
    <row r="33" spans="2:5" ht="13.5" customHeight="1" x14ac:dyDescent="0.3">
      <c r="B33" s="16" t="s">
        <v>719</v>
      </c>
      <c r="C33" s="17" t="s">
        <v>893</v>
      </c>
      <c r="D33" s="16" t="s">
        <v>168</v>
      </c>
      <c r="E33" s="17" t="s">
        <v>891</v>
      </c>
    </row>
    <row r="34" spans="2:5" ht="24.75" customHeight="1" x14ac:dyDescent="0.3">
      <c r="C34" s="17" t="s">
        <v>894</v>
      </c>
      <c r="D34" s="16" t="s">
        <v>168</v>
      </c>
      <c r="E34" s="17" t="s">
        <v>884</v>
      </c>
    </row>
    <row r="35" spans="2:5" ht="24.75" customHeight="1" x14ac:dyDescent="0.3">
      <c r="C35" s="17" t="s">
        <v>895</v>
      </c>
      <c r="D35" s="16" t="s">
        <v>168</v>
      </c>
      <c r="E35" s="17" t="s">
        <v>751</v>
      </c>
    </row>
    <row r="36" spans="2:5" ht="37.5" customHeight="1" x14ac:dyDescent="0.3">
      <c r="B36" s="16" t="s">
        <v>721</v>
      </c>
      <c r="C36" s="17" t="s">
        <v>896</v>
      </c>
      <c r="D36" s="16" t="s">
        <v>168</v>
      </c>
      <c r="E36" s="17" t="s">
        <v>891</v>
      </c>
    </row>
    <row r="37" spans="2:5" ht="24.75" customHeight="1" x14ac:dyDescent="0.3">
      <c r="B37" s="16" t="s">
        <v>746</v>
      </c>
      <c r="C37" s="17" t="s">
        <v>897</v>
      </c>
      <c r="D37" s="16" t="s">
        <v>168</v>
      </c>
      <c r="E37" s="17" t="s">
        <v>891</v>
      </c>
    </row>
    <row r="38" spans="2:5" ht="75" customHeight="1" x14ac:dyDescent="0.3">
      <c r="B38" s="16" t="s">
        <v>749</v>
      </c>
      <c r="C38" s="17" t="s">
        <v>898</v>
      </c>
      <c r="D38" s="16" t="s">
        <v>168</v>
      </c>
      <c r="E38" s="17" t="s">
        <v>899</v>
      </c>
    </row>
    <row r="39" spans="2:5" ht="75" customHeight="1" x14ac:dyDescent="0.3">
      <c r="B39" s="16" t="s">
        <v>752</v>
      </c>
      <c r="C39" s="17" t="s">
        <v>900</v>
      </c>
      <c r="D39" s="16" t="s">
        <v>168</v>
      </c>
      <c r="E39" s="17" t="s">
        <v>901</v>
      </c>
    </row>
    <row r="40" spans="2:5" ht="24.75" customHeight="1" x14ac:dyDescent="0.3">
      <c r="B40" s="16" t="s">
        <v>754</v>
      </c>
      <c r="C40" s="17" t="s">
        <v>902</v>
      </c>
      <c r="D40" s="16" t="s">
        <v>168</v>
      </c>
      <c r="E40" s="17" t="s">
        <v>891</v>
      </c>
    </row>
    <row r="41" spans="2:5" ht="24.75" customHeight="1" x14ac:dyDescent="0.3">
      <c r="B41" s="16" t="s">
        <v>756</v>
      </c>
      <c r="C41" s="17" t="s">
        <v>903</v>
      </c>
      <c r="D41" s="16" t="s">
        <v>168</v>
      </c>
      <c r="E41" s="17" t="s">
        <v>891</v>
      </c>
    </row>
    <row r="42" spans="2:5" ht="24.75" customHeight="1" x14ac:dyDescent="0.3">
      <c r="B42" s="16" t="s">
        <v>759</v>
      </c>
      <c r="C42" s="17" t="s">
        <v>904</v>
      </c>
      <c r="D42" s="16" t="s">
        <v>168</v>
      </c>
      <c r="E42" s="17" t="s">
        <v>846</v>
      </c>
    </row>
    <row r="43" spans="2:5" ht="37.5" customHeight="1" x14ac:dyDescent="0.3">
      <c r="B43" s="16" t="s">
        <v>905</v>
      </c>
      <c r="C43" s="17" t="s">
        <v>906</v>
      </c>
      <c r="D43" s="16" t="s">
        <v>168</v>
      </c>
      <c r="E43" s="17" t="s">
        <v>26</v>
      </c>
    </row>
    <row r="44" spans="2:5" ht="87" customHeight="1" x14ac:dyDescent="0.3">
      <c r="C44" s="17" t="s">
        <v>907</v>
      </c>
      <c r="D44" s="16" t="s">
        <v>168</v>
      </c>
      <c r="E44" s="17" t="s">
        <v>908</v>
      </c>
    </row>
    <row r="45" spans="2:5" ht="87" customHeight="1" x14ac:dyDescent="0.3">
      <c r="C45" s="17" t="s">
        <v>909</v>
      </c>
      <c r="D45" s="16" t="s">
        <v>168</v>
      </c>
      <c r="E45" s="17" t="s">
        <v>910</v>
      </c>
    </row>
    <row r="46" spans="2:5" ht="37.5" customHeight="1" x14ac:dyDescent="0.3">
      <c r="B46" s="16" t="s">
        <v>911</v>
      </c>
      <c r="C46" s="17" t="s">
        <v>912</v>
      </c>
      <c r="D46" s="16" t="s">
        <v>168</v>
      </c>
      <c r="E46" s="17" t="s">
        <v>891</v>
      </c>
    </row>
    <row r="47" spans="2:5" ht="24.75" customHeight="1" x14ac:dyDescent="0.3">
      <c r="B47" s="16" t="s">
        <v>913</v>
      </c>
      <c r="C47" s="17" t="s">
        <v>914</v>
      </c>
      <c r="D47" s="16" t="s">
        <v>168</v>
      </c>
      <c r="E47" s="17" t="s">
        <v>808</v>
      </c>
    </row>
    <row r="48" spans="2:5" ht="49.5" customHeight="1" x14ac:dyDescent="0.3">
      <c r="B48" s="16" t="s">
        <v>915</v>
      </c>
      <c r="C48" s="17" t="s">
        <v>916</v>
      </c>
      <c r="D48" s="16" t="s">
        <v>168</v>
      </c>
      <c r="E48" s="17" t="s">
        <v>917</v>
      </c>
    </row>
    <row r="49" spans="1:5" ht="49.5" customHeight="1" x14ac:dyDescent="0.3">
      <c r="B49" s="16" t="s">
        <v>918</v>
      </c>
      <c r="C49" s="17" t="s">
        <v>919</v>
      </c>
      <c r="D49" s="16" t="s">
        <v>168</v>
      </c>
      <c r="E49" s="17" t="s">
        <v>808</v>
      </c>
    </row>
    <row r="50" spans="1:5" ht="24.75" customHeight="1" x14ac:dyDescent="0.3">
      <c r="B50" s="16" t="s">
        <v>920</v>
      </c>
      <c r="C50" s="17" t="s">
        <v>921</v>
      </c>
      <c r="D50" s="16" t="s">
        <v>168</v>
      </c>
      <c r="E50" s="17" t="s">
        <v>922</v>
      </c>
    </row>
    <row r="51" spans="1:5" ht="24.75" customHeight="1" x14ac:dyDescent="0.3">
      <c r="B51" s="16" t="s">
        <v>923</v>
      </c>
      <c r="C51" s="17" t="s">
        <v>924</v>
      </c>
      <c r="D51" s="16" t="s">
        <v>168</v>
      </c>
      <c r="E51" s="17" t="s">
        <v>26</v>
      </c>
    </row>
    <row r="52" spans="1:5" ht="87" customHeight="1" x14ac:dyDescent="0.3">
      <c r="B52" s="16" t="s">
        <v>925</v>
      </c>
      <c r="C52" s="17" t="s">
        <v>926</v>
      </c>
      <c r="D52" s="16" t="s">
        <v>168</v>
      </c>
      <c r="E52" s="17" t="s">
        <v>927</v>
      </c>
    </row>
    <row r="53" spans="1:5" ht="37.5" customHeight="1" x14ac:dyDescent="0.3">
      <c r="B53" s="16" t="s">
        <v>928</v>
      </c>
      <c r="C53" s="17" t="s">
        <v>929</v>
      </c>
      <c r="D53" s="16" t="s">
        <v>168</v>
      </c>
      <c r="E53" s="17"/>
    </row>
    <row r="54" spans="1:5" ht="13.5" customHeight="1" x14ac:dyDescent="0.3">
      <c r="C54" s="17" t="s">
        <v>930</v>
      </c>
      <c r="D54" s="16" t="s">
        <v>168</v>
      </c>
      <c r="E54" s="17" t="s">
        <v>802</v>
      </c>
    </row>
    <row r="55" spans="1:5" ht="24.75" customHeight="1" x14ac:dyDescent="0.3">
      <c r="C55" s="17" t="s">
        <v>931</v>
      </c>
      <c r="D55" s="16" t="s">
        <v>168</v>
      </c>
      <c r="E55" s="17" t="s">
        <v>932</v>
      </c>
    </row>
    <row r="56" spans="1:5" ht="13.5" customHeight="1" x14ac:dyDescent="0.3">
      <c r="C56" s="17" t="s">
        <v>933</v>
      </c>
      <c r="D56" s="16" t="s">
        <v>168</v>
      </c>
      <c r="E56" s="17" t="s">
        <v>26</v>
      </c>
    </row>
    <row r="57" spans="1:5" ht="24.75" customHeight="1" x14ac:dyDescent="0.3">
      <c r="C57" s="17" t="s">
        <v>934</v>
      </c>
      <c r="D57" s="16" t="s">
        <v>168</v>
      </c>
      <c r="E57" s="17" t="s">
        <v>935</v>
      </c>
    </row>
    <row r="58" spans="1:5" ht="24.75" customHeight="1" x14ac:dyDescent="0.3">
      <c r="C58" s="17" t="s">
        <v>936</v>
      </c>
      <c r="D58" s="16" t="s">
        <v>168</v>
      </c>
      <c r="E58" s="17" t="s">
        <v>937</v>
      </c>
    </row>
    <row r="60" spans="1:5" x14ac:dyDescent="0.3">
      <c r="A60" s="15" t="s">
        <v>102</v>
      </c>
      <c r="C60" s="15" t="s">
        <v>938</v>
      </c>
    </row>
    <row r="61" spans="1:5" ht="24.75" customHeight="1" x14ac:dyDescent="0.3">
      <c r="B61" s="16" t="s">
        <v>719</v>
      </c>
      <c r="C61" s="17" t="s">
        <v>939</v>
      </c>
      <c r="D61" s="16" t="s">
        <v>168</v>
      </c>
      <c r="E61" s="17" t="s">
        <v>940</v>
      </c>
    </row>
    <row r="62" spans="1:5" ht="24.75" customHeight="1" x14ac:dyDescent="0.3">
      <c r="B62" s="16" t="s">
        <v>721</v>
      </c>
      <c r="C62" s="17" t="s">
        <v>941</v>
      </c>
      <c r="D62" s="16" t="s">
        <v>168</v>
      </c>
      <c r="E62" s="17" t="s">
        <v>940</v>
      </c>
    </row>
    <row r="63" spans="1:5" ht="24.75" customHeight="1" x14ac:dyDescent="0.3">
      <c r="B63" s="16" t="s">
        <v>746</v>
      </c>
      <c r="C63" s="17" t="s">
        <v>942</v>
      </c>
      <c r="D63" s="16" t="s">
        <v>168</v>
      </c>
      <c r="E63" s="17" t="s">
        <v>940</v>
      </c>
    </row>
    <row r="65" spans="1:5" x14ac:dyDescent="0.3">
      <c r="A65" s="15" t="s">
        <v>109</v>
      </c>
      <c r="C65" s="15" t="s">
        <v>943</v>
      </c>
    </row>
    <row r="66" spans="1:5" ht="75" customHeight="1" x14ac:dyDescent="0.3">
      <c r="C66" s="17" t="s">
        <v>944</v>
      </c>
      <c r="D66" s="16" t="s">
        <v>168</v>
      </c>
      <c r="E66" s="17" t="s">
        <v>945</v>
      </c>
    </row>
    <row r="70" spans="1:5" x14ac:dyDescent="0.3">
      <c r="E70" s="15" t="s">
        <v>860</v>
      </c>
    </row>
    <row r="72" spans="1:5" x14ac:dyDescent="0.3">
      <c r="E72" s="15" t="s">
        <v>17</v>
      </c>
    </row>
    <row r="73" spans="1:5" x14ac:dyDescent="0.3">
      <c r="E73" s="16" t="s">
        <v>64</v>
      </c>
    </row>
    <row r="74" spans="1:5" x14ac:dyDescent="0.3">
      <c r="E74" s="16" t="s">
        <v>164</v>
      </c>
    </row>
    <row r="75" spans="1:5" ht="22.8" x14ac:dyDescent="0.3">
      <c r="E75" s="38" t="s">
        <v>861</v>
      </c>
    </row>
    <row r="77" spans="1:5" x14ac:dyDescent="0.3">
      <c r="A77" s="16" t="s">
        <v>67</v>
      </c>
    </row>
  </sheetData>
  <mergeCells count="4">
    <mergeCell ref="A1:G1"/>
    <mergeCell ref="A2:G2"/>
    <mergeCell ref="A3:G3"/>
    <mergeCell ref="A4:G4"/>
  </mergeCells>
  <pageMargins left="0.75" right="0.75" top="1" bottom="1" header="0.511811023622047" footer="0.511811023622047"/>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D55"/>
  <sheetViews>
    <sheetView showGridLines="0" zoomScaleNormal="100" workbookViewId="0"/>
  </sheetViews>
  <sheetFormatPr defaultColWidth="8.6640625" defaultRowHeight="14.4" x14ac:dyDescent="0.3"/>
  <cols>
    <col min="1" max="1" width="4" customWidth="1"/>
    <col min="2" max="3" width="5" customWidth="1"/>
    <col min="4" max="4" width="96" customWidth="1"/>
  </cols>
  <sheetData>
    <row r="1" spans="1:4" x14ac:dyDescent="0.3">
      <c r="A1" s="23" t="s">
        <v>2</v>
      </c>
    </row>
    <row r="2" spans="1:4" x14ac:dyDescent="0.3">
      <c r="A2" s="15" t="s">
        <v>946</v>
      </c>
    </row>
    <row r="5" spans="1:4" x14ac:dyDescent="0.3">
      <c r="A5" s="23" t="s">
        <v>947</v>
      </c>
      <c r="C5" s="23" t="s">
        <v>948</v>
      </c>
    </row>
    <row r="7" spans="1:4" x14ac:dyDescent="0.3">
      <c r="B7" s="15" t="s">
        <v>166</v>
      </c>
      <c r="C7" s="15" t="s">
        <v>949</v>
      </c>
    </row>
    <row r="8" spans="1:4" ht="64.5" customHeight="1" x14ac:dyDescent="0.3">
      <c r="D8" s="21" t="s">
        <v>950</v>
      </c>
    </row>
    <row r="10" spans="1:4" x14ac:dyDescent="0.3">
      <c r="B10" s="15" t="s">
        <v>169</v>
      </c>
      <c r="C10" s="15" t="s">
        <v>951</v>
      </c>
    </row>
    <row r="11" spans="1:4" ht="51.75" customHeight="1" x14ac:dyDescent="0.3">
      <c r="D11" s="21" t="s">
        <v>952</v>
      </c>
    </row>
    <row r="12" spans="1:4" ht="39" customHeight="1" x14ac:dyDescent="0.3">
      <c r="D12" s="21" t="s">
        <v>953</v>
      </c>
    </row>
    <row r="14" spans="1:4" x14ac:dyDescent="0.3">
      <c r="B14" s="15" t="s">
        <v>171</v>
      </c>
      <c r="C14" s="15" t="s">
        <v>954</v>
      </c>
    </row>
    <row r="15" spans="1:4" ht="25.5" customHeight="1" x14ac:dyDescent="0.3">
      <c r="D15" s="21" t="s">
        <v>955</v>
      </c>
    </row>
    <row r="17" spans="1:4" x14ac:dyDescent="0.3">
      <c r="B17" s="15" t="s">
        <v>174</v>
      </c>
      <c r="C17" s="15" t="s">
        <v>853</v>
      </c>
    </row>
    <row r="18" spans="1:4" ht="25.5" customHeight="1" x14ac:dyDescent="0.3">
      <c r="D18" s="21" t="s">
        <v>956</v>
      </c>
    </row>
    <row r="20" spans="1:4" x14ac:dyDescent="0.3">
      <c r="B20" s="15" t="s">
        <v>177</v>
      </c>
      <c r="C20" s="15" t="s">
        <v>957</v>
      </c>
    </row>
    <row r="21" spans="1:4" ht="25.5" customHeight="1" x14ac:dyDescent="0.3">
      <c r="D21" s="21" t="s">
        <v>958</v>
      </c>
    </row>
    <row r="23" spans="1:4" x14ac:dyDescent="0.3">
      <c r="B23" s="15" t="s">
        <v>208</v>
      </c>
      <c r="C23" s="15" t="s">
        <v>959</v>
      </c>
    </row>
    <row r="24" spans="1:4" ht="39" customHeight="1" x14ac:dyDescent="0.3">
      <c r="D24" s="21" t="s">
        <v>960</v>
      </c>
    </row>
    <row r="26" spans="1:4" x14ac:dyDescent="0.3">
      <c r="A26" s="23" t="s">
        <v>961</v>
      </c>
      <c r="C26" s="23" t="s">
        <v>962</v>
      </c>
    </row>
    <row r="28" spans="1:4" x14ac:dyDescent="0.3">
      <c r="B28" s="15" t="s">
        <v>166</v>
      </c>
      <c r="C28" s="15" t="s">
        <v>963</v>
      </c>
    </row>
    <row r="29" spans="1:4" ht="25.5" customHeight="1" x14ac:dyDescent="0.3">
      <c r="D29" s="21" t="s">
        <v>964</v>
      </c>
    </row>
    <row r="31" spans="1:4" ht="25.5" customHeight="1" x14ac:dyDescent="0.3">
      <c r="B31" s="15" t="s">
        <v>169</v>
      </c>
      <c r="D31" s="21" t="s">
        <v>965</v>
      </c>
    </row>
    <row r="33" spans="2:4" ht="25.5" customHeight="1" x14ac:dyDescent="0.3">
      <c r="B33" s="15" t="s">
        <v>171</v>
      </c>
      <c r="D33" s="21" t="s">
        <v>966</v>
      </c>
    </row>
    <row r="35" spans="2:4" ht="39" customHeight="1" x14ac:dyDescent="0.3">
      <c r="B35" s="15" t="s">
        <v>174</v>
      </c>
      <c r="D35" s="21" t="s">
        <v>967</v>
      </c>
    </row>
    <row r="37" spans="2:4" ht="39" customHeight="1" x14ac:dyDescent="0.3">
      <c r="B37" s="15" t="s">
        <v>177</v>
      </c>
      <c r="D37" s="21" t="s">
        <v>968</v>
      </c>
    </row>
    <row r="39" spans="2:4" ht="25.5" customHeight="1" x14ac:dyDescent="0.3">
      <c r="B39" s="15" t="s">
        <v>208</v>
      </c>
      <c r="D39" s="21" t="s">
        <v>969</v>
      </c>
    </row>
    <row r="43" spans="2:4" x14ac:dyDescent="0.3">
      <c r="D43" s="15" t="s">
        <v>970</v>
      </c>
    </row>
    <row r="47" spans="2:4" x14ac:dyDescent="0.3">
      <c r="D47" s="16" t="s">
        <v>971</v>
      </c>
    </row>
    <row r="50" spans="3:3" x14ac:dyDescent="0.3">
      <c r="C50" s="16" t="s">
        <v>972</v>
      </c>
    </row>
    <row r="52" spans="3:3" x14ac:dyDescent="0.3">
      <c r="C52" s="15" t="s">
        <v>17</v>
      </c>
    </row>
    <row r="53" spans="3:3" x14ac:dyDescent="0.3">
      <c r="C53" s="16" t="s">
        <v>164</v>
      </c>
    </row>
    <row r="54" spans="3:3" x14ac:dyDescent="0.3">
      <c r="C54" s="16" t="s">
        <v>64</v>
      </c>
    </row>
    <row r="55" spans="3:3" x14ac:dyDescent="0.3">
      <c r="C55" s="16" t="s">
        <v>67</v>
      </c>
    </row>
  </sheetData>
  <pageMargins left="0.75" right="0.75" top="1" bottom="1" header="0.511811023622047" footer="0.511811023622047"/>
  <pageSetup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C26"/>
  <sheetViews>
    <sheetView showGridLines="0" topLeftCell="A19" zoomScaleNormal="100" workbookViewId="0">
      <selection activeCell="F30" sqref="F30"/>
    </sheetView>
  </sheetViews>
  <sheetFormatPr defaultColWidth="8.6640625" defaultRowHeight="14.4" x14ac:dyDescent="0.3"/>
  <cols>
    <col min="1" max="1" width="6" customWidth="1"/>
    <col min="2" max="2" width="26" customWidth="1"/>
    <col min="3" max="3" width="18" customWidth="1"/>
    <col min="4" max="4" width="4" customWidth="1"/>
    <col min="5" max="5" width="30" customWidth="1"/>
    <col min="6" max="6" width="22" customWidth="1"/>
  </cols>
  <sheetData>
    <row r="1" spans="1:3" x14ac:dyDescent="0.3">
      <c r="B1" s="24" t="s">
        <v>973</v>
      </c>
      <c r="C1" s="24" t="s">
        <v>52</v>
      </c>
    </row>
    <row r="2" spans="1:3" x14ac:dyDescent="0.3">
      <c r="A2" s="25">
        <v>1</v>
      </c>
      <c r="B2" s="28" t="s">
        <v>974</v>
      </c>
      <c r="C2" s="25" t="s">
        <v>975</v>
      </c>
    </row>
    <row r="3" spans="1:3" x14ac:dyDescent="0.3">
      <c r="A3" s="25">
        <v>2</v>
      </c>
      <c r="B3" s="28" t="s">
        <v>976</v>
      </c>
      <c r="C3" s="25" t="s">
        <v>977</v>
      </c>
    </row>
    <row r="4" spans="1:3" x14ac:dyDescent="0.3">
      <c r="A4" s="25">
        <v>3</v>
      </c>
      <c r="B4" s="28" t="s">
        <v>978</v>
      </c>
      <c r="C4" s="25" t="s">
        <v>979</v>
      </c>
    </row>
    <row r="5" spans="1:3" x14ac:dyDescent="0.3">
      <c r="A5" s="25">
        <v>4</v>
      </c>
      <c r="B5" s="28" t="s">
        <v>980</v>
      </c>
      <c r="C5" s="25" t="s">
        <v>981</v>
      </c>
    </row>
    <row r="6" spans="1:3" x14ac:dyDescent="0.3">
      <c r="A6" s="25">
        <v>5</v>
      </c>
      <c r="B6" s="28" t="s">
        <v>982</v>
      </c>
      <c r="C6" s="25" t="s">
        <v>983</v>
      </c>
    </row>
    <row r="7" spans="1:3" x14ac:dyDescent="0.3">
      <c r="A7" s="25">
        <v>6</v>
      </c>
      <c r="B7" s="28" t="s">
        <v>984</v>
      </c>
      <c r="C7" s="25" t="s">
        <v>985</v>
      </c>
    </row>
    <row r="8" spans="1:3" x14ac:dyDescent="0.3">
      <c r="A8" s="25">
        <v>7</v>
      </c>
      <c r="B8" s="28" t="s">
        <v>986</v>
      </c>
      <c r="C8" s="25" t="s">
        <v>987</v>
      </c>
    </row>
    <row r="9" spans="1:3" x14ac:dyDescent="0.3">
      <c r="A9" s="25">
        <v>8</v>
      </c>
      <c r="B9" s="28" t="s">
        <v>988</v>
      </c>
      <c r="C9" s="25" t="s">
        <v>989</v>
      </c>
    </row>
    <row r="10" spans="1:3" x14ac:dyDescent="0.3">
      <c r="A10" s="25">
        <v>9</v>
      </c>
      <c r="B10" s="28" t="s">
        <v>990</v>
      </c>
      <c r="C10" s="25" t="s">
        <v>991</v>
      </c>
    </row>
    <row r="11" spans="1:3" x14ac:dyDescent="0.3">
      <c r="A11" s="25">
        <v>10</v>
      </c>
      <c r="B11" s="28" t="s">
        <v>992</v>
      </c>
      <c r="C11" s="25" t="s">
        <v>993</v>
      </c>
    </row>
    <row r="12" spans="1:3" x14ac:dyDescent="0.3">
      <c r="A12" s="25">
        <v>11</v>
      </c>
      <c r="B12" s="28" t="s">
        <v>994</v>
      </c>
      <c r="C12" s="25" t="s">
        <v>995</v>
      </c>
    </row>
    <row r="13" spans="1:3" x14ac:dyDescent="0.3">
      <c r="A13" s="25">
        <v>12</v>
      </c>
      <c r="B13" s="28" t="s">
        <v>996</v>
      </c>
      <c r="C13" s="25" t="s">
        <v>997</v>
      </c>
    </row>
    <row r="15" spans="1:3" x14ac:dyDescent="0.3">
      <c r="B15" s="15" t="s">
        <v>998</v>
      </c>
      <c r="C15" s="16" t="s">
        <v>290</v>
      </c>
    </row>
    <row r="16" spans="1:3" x14ac:dyDescent="0.3">
      <c r="B16" s="15" t="s">
        <v>999</v>
      </c>
      <c r="C16" s="16" t="s">
        <v>35</v>
      </c>
    </row>
    <row r="18" spans="2:3" x14ac:dyDescent="0.3">
      <c r="B18" s="15" t="s">
        <v>23</v>
      </c>
      <c r="C18" s="16" t="s">
        <v>1000</v>
      </c>
    </row>
    <row r="19" spans="2:3" x14ac:dyDescent="0.3">
      <c r="B19" s="15" t="s">
        <v>27</v>
      </c>
      <c r="C19" s="16" t="s">
        <v>1001</v>
      </c>
    </row>
    <row r="20" spans="2:3" x14ac:dyDescent="0.3">
      <c r="B20" s="15" t="s">
        <v>29</v>
      </c>
      <c r="C20" s="16" t="s">
        <v>1002</v>
      </c>
    </row>
    <row r="21" spans="2:3" x14ac:dyDescent="0.3">
      <c r="B21" s="15" t="s">
        <v>31</v>
      </c>
      <c r="C21" s="16" t="s">
        <v>1002</v>
      </c>
    </row>
    <row r="22" spans="2:3" x14ac:dyDescent="0.3">
      <c r="B22" s="15" t="s">
        <v>32</v>
      </c>
      <c r="C22" s="16" t="s">
        <v>290</v>
      </c>
    </row>
    <row r="23" spans="2:3" x14ac:dyDescent="0.3">
      <c r="B23" s="15" t="s">
        <v>34</v>
      </c>
      <c r="C23" s="16" t="s">
        <v>35</v>
      </c>
    </row>
    <row r="24" spans="2:3" x14ac:dyDescent="0.3">
      <c r="B24" s="15" t="s">
        <v>36</v>
      </c>
      <c r="C24" s="16" t="s">
        <v>37</v>
      </c>
    </row>
    <row r="26" spans="2:3" x14ac:dyDescent="0.3">
      <c r="B26" s="15" t="s">
        <v>1003</v>
      </c>
      <c r="C26" s="16" t="s">
        <v>1004</v>
      </c>
    </row>
  </sheetData>
  <pageMargins left="0.75" right="0.75" top="1" bottom="1" header="0.511811023622047" footer="0.511811023622047"/>
  <pageSetup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F53"/>
  <sheetViews>
    <sheetView showGridLines="0" zoomScaleNormal="100" workbookViewId="0"/>
  </sheetViews>
  <sheetFormatPr defaultColWidth="8.6640625" defaultRowHeight="14.4" x14ac:dyDescent="0.3"/>
  <cols>
    <col min="1" max="1" width="5" customWidth="1"/>
    <col min="2" max="2" width="56" customWidth="1"/>
    <col min="3" max="4" width="18" customWidth="1"/>
    <col min="5" max="5" width="14" customWidth="1"/>
    <col min="6" max="6" width="44" customWidth="1"/>
  </cols>
  <sheetData>
    <row r="1" spans="1:6" ht="32.85" customHeight="1" x14ac:dyDescent="0.3">
      <c r="A1" s="14" t="s">
        <v>1005</v>
      </c>
      <c r="B1" s="14"/>
      <c r="C1" s="14"/>
      <c r="D1" s="14"/>
      <c r="E1" s="14"/>
      <c r="F1" s="14"/>
    </row>
    <row r="3" spans="1:6" ht="25.5" customHeight="1" x14ac:dyDescent="0.3">
      <c r="A3" s="24" t="s">
        <v>1006</v>
      </c>
      <c r="B3" s="24" t="s">
        <v>1007</v>
      </c>
      <c r="C3" s="24" t="s">
        <v>1008</v>
      </c>
      <c r="D3" s="24" t="s">
        <v>1009</v>
      </c>
      <c r="E3" s="24" t="s">
        <v>1010</v>
      </c>
      <c r="F3" s="24" t="s">
        <v>1011</v>
      </c>
    </row>
    <row r="4" spans="1:6" ht="24" customHeight="1" x14ac:dyDescent="0.3">
      <c r="A4" s="25">
        <v>1</v>
      </c>
      <c r="B4" s="27" t="s">
        <v>1012</v>
      </c>
      <c r="C4" s="32">
        <v>7763249.0899999999</v>
      </c>
      <c r="D4" s="32">
        <v>7763249.0899999999</v>
      </c>
      <c r="E4" s="32">
        <f t="shared" ref="E4:E29" si="0">C4-D4</f>
        <v>0</v>
      </c>
      <c r="F4" s="27" t="s">
        <v>1013</v>
      </c>
    </row>
    <row r="5" spans="1:6" ht="24" customHeight="1" x14ac:dyDescent="0.3">
      <c r="A5" s="25">
        <v>2</v>
      </c>
      <c r="B5" s="27" t="s">
        <v>1014</v>
      </c>
      <c r="C5" s="32">
        <v>7763249.0899999999</v>
      </c>
      <c r="D5" s="32">
        <v>7763249.0899999999</v>
      </c>
      <c r="E5" s="32">
        <f t="shared" si="0"/>
        <v>0</v>
      </c>
      <c r="F5" s="27" t="s">
        <v>1015</v>
      </c>
    </row>
    <row r="6" spans="1:6" ht="24" customHeight="1" x14ac:dyDescent="0.3">
      <c r="A6" s="25">
        <v>3</v>
      </c>
      <c r="B6" s="27" t="s">
        <v>1016</v>
      </c>
      <c r="C6" s="32">
        <v>840264</v>
      </c>
      <c r="D6" s="32">
        <v>840264</v>
      </c>
      <c r="E6" s="32">
        <f t="shared" si="0"/>
        <v>0</v>
      </c>
      <c r="F6" s="27" t="s">
        <v>1017</v>
      </c>
    </row>
    <row r="7" spans="1:6" ht="24" customHeight="1" x14ac:dyDescent="0.3">
      <c r="A7" s="25">
        <v>4</v>
      </c>
      <c r="B7" s="27" t="s">
        <v>1018</v>
      </c>
      <c r="C7" s="32">
        <v>840264</v>
      </c>
      <c r="D7" s="32">
        <v>840264</v>
      </c>
      <c r="E7" s="32">
        <f t="shared" si="0"/>
        <v>0</v>
      </c>
      <c r="F7" s="27" t="s">
        <v>1017</v>
      </c>
    </row>
    <row r="8" spans="1:6" ht="24" customHeight="1" x14ac:dyDescent="0.3">
      <c r="A8" s="25">
        <v>5</v>
      </c>
      <c r="B8" s="27" t="s">
        <v>1019</v>
      </c>
      <c r="C8" s="32">
        <v>289125</v>
      </c>
      <c r="D8" s="32">
        <v>289125</v>
      </c>
      <c r="E8" s="32">
        <f t="shared" si="0"/>
        <v>0</v>
      </c>
      <c r="F8" s="27" t="s">
        <v>1020</v>
      </c>
    </row>
    <row r="9" spans="1:6" ht="24" customHeight="1" x14ac:dyDescent="0.3">
      <c r="A9" s="25">
        <v>6</v>
      </c>
      <c r="B9" s="27" t="s">
        <v>1021</v>
      </c>
      <c r="C9" s="32">
        <v>689533.65</v>
      </c>
      <c r="D9" s="32">
        <v>689533.65</v>
      </c>
      <c r="E9" s="32">
        <f t="shared" si="0"/>
        <v>0</v>
      </c>
      <c r="F9" s="27" t="s">
        <v>1022</v>
      </c>
    </row>
    <row r="10" spans="1:6" ht="24" customHeight="1" x14ac:dyDescent="0.3">
      <c r="A10" s="25">
        <v>7</v>
      </c>
      <c r="B10" s="27" t="s">
        <v>1023</v>
      </c>
      <c r="C10" s="32">
        <v>934838</v>
      </c>
      <c r="D10" s="32">
        <v>934838</v>
      </c>
      <c r="E10" s="32">
        <f t="shared" si="0"/>
        <v>0</v>
      </c>
      <c r="F10" s="27" t="s">
        <v>1024</v>
      </c>
    </row>
    <row r="11" spans="1:6" ht="24" customHeight="1" x14ac:dyDescent="0.3">
      <c r="A11" s="25">
        <v>8</v>
      </c>
      <c r="B11" s="27" t="s">
        <v>1025</v>
      </c>
      <c r="C11" s="32">
        <v>526507</v>
      </c>
      <c r="D11" s="32">
        <v>526507</v>
      </c>
      <c r="E11" s="32">
        <f t="shared" si="0"/>
        <v>0</v>
      </c>
      <c r="F11" s="27" t="s">
        <v>1026</v>
      </c>
    </row>
    <row r="12" spans="1:6" ht="24" customHeight="1" x14ac:dyDescent="0.3">
      <c r="A12" s="25">
        <v>9</v>
      </c>
      <c r="B12" s="27" t="s">
        <v>1027</v>
      </c>
      <c r="C12" s="32">
        <v>25376</v>
      </c>
      <c r="D12" s="32">
        <v>25376</v>
      </c>
      <c r="E12" s="32">
        <f t="shared" si="0"/>
        <v>0</v>
      </c>
      <c r="F12" s="27" t="s">
        <v>1028</v>
      </c>
    </row>
    <row r="13" spans="1:6" ht="24" customHeight="1" x14ac:dyDescent="0.3">
      <c r="A13" s="25">
        <v>10</v>
      </c>
      <c r="B13" s="27" t="s">
        <v>1029</v>
      </c>
      <c r="C13" s="32">
        <v>1898561.44</v>
      </c>
      <c r="D13" s="32">
        <v>1898561.44</v>
      </c>
      <c r="E13" s="32">
        <f t="shared" si="0"/>
        <v>0</v>
      </c>
      <c r="F13" s="27" t="s">
        <v>1030</v>
      </c>
    </row>
    <row r="14" spans="1:6" ht="24" customHeight="1" x14ac:dyDescent="0.3">
      <c r="A14" s="25">
        <v>11</v>
      </c>
      <c r="B14" s="27" t="s">
        <v>1031</v>
      </c>
      <c r="C14" s="32">
        <v>1595917</v>
      </c>
      <c r="D14" s="32">
        <v>1595917</v>
      </c>
      <c r="E14" s="32">
        <f t="shared" si="0"/>
        <v>0</v>
      </c>
      <c r="F14" s="27" t="s">
        <v>1017</v>
      </c>
    </row>
    <row r="15" spans="1:6" ht="24" customHeight="1" x14ac:dyDescent="0.3">
      <c r="A15" s="25">
        <v>12</v>
      </c>
      <c r="B15" s="27" t="s">
        <v>1032</v>
      </c>
      <c r="C15" s="32">
        <v>70091</v>
      </c>
      <c r="D15" s="32">
        <v>70091</v>
      </c>
      <c r="E15" s="32">
        <f t="shared" si="0"/>
        <v>0</v>
      </c>
      <c r="F15" s="27" t="s">
        <v>1033</v>
      </c>
    </row>
    <row r="16" spans="1:6" ht="24" customHeight="1" x14ac:dyDescent="0.3">
      <c r="A16" s="25">
        <v>13</v>
      </c>
      <c r="B16" s="27" t="s">
        <v>1034</v>
      </c>
      <c r="C16" s="32">
        <v>1666008</v>
      </c>
      <c r="D16" s="32">
        <v>1666008</v>
      </c>
      <c r="E16" s="32">
        <f t="shared" si="0"/>
        <v>0</v>
      </c>
      <c r="F16" s="27" t="s">
        <v>1035</v>
      </c>
    </row>
    <row r="17" spans="1:6" ht="24" customHeight="1" x14ac:dyDescent="0.3">
      <c r="A17" s="25">
        <v>14</v>
      </c>
      <c r="B17" s="27" t="s">
        <v>1036</v>
      </c>
      <c r="C17" s="32">
        <v>4718</v>
      </c>
      <c r="D17" s="32">
        <v>4718</v>
      </c>
      <c r="E17" s="32">
        <f t="shared" si="0"/>
        <v>0</v>
      </c>
      <c r="F17" s="27" t="s">
        <v>1037</v>
      </c>
    </row>
    <row r="18" spans="1:6" ht="24" customHeight="1" x14ac:dyDescent="0.3">
      <c r="A18" s="25">
        <v>15</v>
      </c>
      <c r="B18" s="27" t="s">
        <v>1038</v>
      </c>
      <c r="C18" s="32">
        <v>2265062</v>
      </c>
      <c r="D18" s="32">
        <v>2265062</v>
      </c>
      <c r="E18" s="32">
        <f t="shared" si="0"/>
        <v>0</v>
      </c>
      <c r="F18" s="27" t="s">
        <v>1039</v>
      </c>
    </row>
    <row r="19" spans="1:6" ht="24" customHeight="1" x14ac:dyDescent="0.3">
      <c r="A19" s="25">
        <v>16</v>
      </c>
      <c r="B19" s="27" t="s">
        <v>1040</v>
      </c>
      <c r="C19" s="32">
        <v>2097862</v>
      </c>
      <c r="D19" s="32">
        <v>2097862</v>
      </c>
      <c r="E19" s="32">
        <f t="shared" si="0"/>
        <v>0</v>
      </c>
      <c r="F19" s="27" t="s">
        <v>1041</v>
      </c>
    </row>
    <row r="20" spans="1:6" ht="24" customHeight="1" x14ac:dyDescent="0.3">
      <c r="A20" s="25">
        <v>17</v>
      </c>
      <c r="B20" s="27" t="s">
        <v>419</v>
      </c>
      <c r="C20" s="32">
        <v>16671</v>
      </c>
      <c r="D20" s="32">
        <v>16671</v>
      </c>
      <c r="E20" s="32">
        <f t="shared" si="0"/>
        <v>0</v>
      </c>
      <c r="F20" s="27" t="s">
        <v>1042</v>
      </c>
    </row>
    <row r="21" spans="1:6" ht="24" customHeight="1" x14ac:dyDescent="0.3">
      <c r="A21" s="25">
        <v>18</v>
      </c>
      <c r="B21" s="27" t="s">
        <v>1043</v>
      </c>
      <c r="C21" s="32">
        <v>1105887</v>
      </c>
      <c r="D21" s="32">
        <v>1105887</v>
      </c>
      <c r="E21" s="32">
        <f t="shared" si="0"/>
        <v>0</v>
      </c>
      <c r="F21" s="27" t="s">
        <v>1017</v>
      </c>
    </row>
    <row r="22" spans="1:6" ht="24" customHeight="1" x14ac:dyDescent="0.3">
      <c r="A22" s="25">
        <v>19</v>
      </c>
      <c r="B22" s="27" t="s">
        <v>1044</v>
      </c>
      <c r="C22" s="32">
        <v>104815</v>
      </c>
      <c r="D22" s="32">
        <v>104815</v>
      </c>
      <c r="E22" s="32">
        <f t="shared" si="0"/>
        <v>0</v>
      </c>
      <c r="F22" s="27" t="s">
        <v>1017</v>
      </c>
    </row>
    <row r="23" spans="1:6" ht="24" customHeight="1" x14ac:dyDescent="0.3">
      <c r="A23" s="25">
        <v>20</v>
      </c>
      <c r="B23" s="27" t="s">
        <v>1045</v>
      </c>
      <c r="C23" s="32">
        <v>25486</v>
      </c>
      <c r="D23" s="32">
        <v>25486</v>
      </c>
      <c r="E23" s="32">
        <f t="shared" si="0"/>
        <v>0</v>
      </c>
      <c r="F23" s="27" t="s">
        <v>1017</v>
      </c>
    </row>
    <row r="24" spans="1:6" ht="24" customHeight="1" x14ac:dyDescent="0.3">
      <c r="A24" s="25">
        <v>21</v>
      </c>
      <c r="B24" s="27" t="s">
        <v>1046</v>
      </c>
      <c r="C24" s="32">
        <v>533997.37</v>
      </c>
      <c r="D24" s="32">
        <v>533997.37</v>
      </c>
      <c r="E24" s="32">
        <f t="shared" si="0"/>
        <v>0</v>
      </c>
      <c r="F24" s="27" t="s">
        <v>1047</v>
      </c>
    </row>
    <row r="25" spans="1:6" ht="24" customHeight="1" x14ac:dyDescent="0.3">
      <c r="A25" s="25">
        <v>22</v>
      </c>
      <c r="B25" s="27" t="s">
        <v>1048</v>
      </c>
      <c r="C25" s="32">
        <v>164999</v>
      </c>
      <c r="D25" s="32">
        <v>164999</v>
      </c>
      <c r="E25" s="32">
        <f t="shared" si="0"/>
        <v>0</v>
      </c>
      <c r="F25" s="27" t="s">
        <v>1049</v>
      </c>
    </row>
    <row r="26" spans="1:6" ht="24" customHeight="1" x14ac:dyDescent="0.3">
      <c r="A26" s="25">
        <v>23</v>
      </c>
      <c r="B26" s="27" t="s">
        <v>1050</v>
      </c>
      <c r="C26" s="32">
        <v>1126244</v>
      </c>
      <c r="D26" s="32">
        <v>1126244</v>
      </c>
      <c r="E26" s="32">
        <f t="shared" si="0"/>
        <v>0</v>
      </c>
      <c r="F26" s="27" t="s">
        <v>1051</v>
      </c>
    </row>
    <row r="27" spans="1:6" ht="24" customHeight="1" x14ac:dyDescent="0.3">
      <c r="A27" s="25">
        <v>24</v>
      </c>
      <c r="B27" s="27" t="s">
        <v>1052</v>
      </c>
      <c r="C27" s="32">
        <v>113760</v>
      </c>
      <c r="D27" s="32">
        <v>113760</v>
      </c>
      <c r="E27" s="32">
        <f t="shared" si="0"/>
        <v>0</v>
      </c>
      <c r="F27" s="27" t="s">
        <v>1053</v>
      </c>
    </row>
    <row r="28" spans="1:6" ht="24" customHeight="1" x14ac:dyDescent="0.3">
      <c r="A28" s="25">
        <v>25</v>
      </c>
      <c r="B28" s="27" t="s">
        <v>1054</v>
      </c>
      <c r="C28" s="32">
        <v>66614</v>
      </c>
      <c r="D28" s="32">
        <v>66614</v>
      </c>
      <c r="E28" s="32">
        <f t="shared" si="0"/>
        <v>0</v>
      </c>
      <c r="F28" s="27" t="s">
        <v>1055</v>
      </c>
    </row>
    <row r="29" spans="1:6" ht="24" customHeight="1" x14ac:dyDescent="0.3">
      <c r="A29" s="25">
        <v>26</v>
      </c>
      <c r="B29" s="27" t="s">
        <v>1056</v>
      </c>
      <c r="C29" s="32">
        <v>7077827.0899999999</v>
      </c>
      <c r="D29" s="32">
        <v>7077827.0899999999</v>
      </c>
      <c r="E29" s="32">
        <f t="shared" si="0"/>
        <v>0</v>
      </c>
      <c r="F29" s="27" t="s">
        <v>1057</v>
      </c>
    </row>
    <row r="30" spans="1:6" ht="26.4" x14ac:dyDescent="0.3">
      <c r="B30" s="39" t="s">
        <v>1058</v>
      </c>
      <c r="E30" s="40">
        <f>SUM(E4:E29)</f>
        <v>0</v>
      </c>
      <c r="F30" s="41" t="s">
        <v>1059</v>
      </c>
    </row>
    <row r="33" spans="1:6" ht="15" customHeight="1" x14ac:dyDescent="0.3">
      <c r="A33" s="13" t="s">
        <v>1060</v>
      </c>
      <c r="B33" s="13"/>
      <c r="C33" s="13"/>
      <c r="D33" s="13"/>
      <c r="E33" s="13"/>
      <c r="F33" s="13"/>
    </row>
    <row r="34" spans="1:6" ht="15" customHeight="1" x14ac:dyDescent="0.3">
      <c r="A34" s="24" t="s">
        <v>1006</v>
      </c>
      <c r="B34" s="24" t="s">
        <v>1061</v>
      </c>
      <c r="C34" s="24" t="s">
        <v>1062</v>
      </c>
      <c r="D34" s="6" t="s">
        <v>1063</v>
      </c>
      <c r="E34" s="6"/>
      <c r="F34" s="24" t="s">
        <v>1064</v>
      </c>
    </row>
    <row r="35" spans="1:6" ht="24" customHeight="1" x14ac:dyDescent="0.3">
      <c r="A35" s="25">
        <v>1</v>
      </c>
      <c r="B35" s="27" t="s">
        <v>1065</v>
      </c>
      <c r="C35" s="31">
        <v>6866</v>
      </c>
      <c r="D35" s="5" t="s">
        <v>1066</v>
      </c>
      <c r="E35" s="5"/>
      <c r="F35" s="27" t="s">
        <v>1067</v>
      </c>
    </row>
    <row r="36" spans="1:6" ht="24" customHeight="1" x14ac:dyDescent="0.3">
      <c r="A36" s="25">
        <v>2</v>
      </c>
      <c r="B36" s="27" t="s">
        <v>1068</v>
      </c>
      <c r="C36" s="31">
        <v>1138</v>
      </c>
      <c r="D36" s="5" t="s">
        <v>1069</v>
      </c>
      <c r="E36" s="5"/>
      <c r="F36" s="27" t="s">
        <v>1070</v>
      </c>
    </row>
    <row r="37" spans="1:6" ht="24" customHeight="1" x14ac:dyDescent="0.3">
      <c r="A37" s="25">
        <v>3</v>
      </c>
      <c r="B37" s="27" t="s">
        <v>1071</v>
      </c>
      <c r="C37" s="31">
        <v>6380</v>
      </c>
      <c r="D37" s="5" t="s">
        <v>1072</v>
      </c>
      <c r="E37" s="5"/>
      <c r="F37" s="27" t="s">
        <v>1073</v>
      </c>
    </row>
    <row r="38" spans="1:6" ht="24" customHeight="1" x14ac:dyDescent="0.3">
      <c r="A38" s="25">
        <v>4</v>
      </c>
      <c r="B38" s="27" t="s">
        <v>1074</v>
      </c>
      <c r="C38" s="31">
        <v>72281</v>
      </c>
      <c r="D38" s="5" t="s">
        <v>1075</v>
      </c>
      <c r="E38" s="5"/>
      <c r="F38" s="27" t="s">
        <v>1076</v>
      </c>
    </row>
    <row r="39" spans="1:6" ht="24" customHeight="1" x14ac:dyDescent="0.3">
      <c r="A39" s="25">
        <v>5</v>
      </c>
      <c r="B39" s="27" t="s">
        <v>1077</v>
      </c>
      <c r="C39" s="31">
        <v>30747</v>
      </c>
      <c r="D39" s="5" t="s">
        <v>1078</v>
      </c>
      <c r="E39" s="5"/>
      <c r="F39" s="27" t="s">
        <v>1079</v>
      </c>
    </row>
    <row r="40" spans="1:6" ht="24" customHeight="1" x14ac:dyDescent="0.3">
      <c r="A40" s="25">
        <v>6</v>
      </c>
      <c r="B40" s="27" t="s">
        <v>1080</v>
      </c>
      <c r="C40" s="31">
        <v>520247</v>
      </c>
      <c r="D40" s="5" t="s">
        <v>1081</v>
      </c>
      <c r="E40" s="5"/>
      <c r="F40" s="27" t="s">
        <v>1082</v>
      </c>
    </row>
    <row r="41" spans="1:6" ht="24" customHeight="1" x14ac:dyDescent="0.3">
      <c r="A41" s="25">
        <v>7</v>
      </c>
      <c r="B41" s="27" t="s">
        <v>574</v>
      </c>
      <c r="C41" s="31">
        <v>2902</v>
      </c>
      <c r="D41" s="5" t="s">
        <v>1083</v>
      </c>
      <c r="E41" s="5"/>
      <c r="F41" s="27" t="s">
        <v>1084</v>
      </c>
    </row>
    <row r="42" spans="1:6" ht="24" customHeight="1" x14ac:dyDescent="0.3">
      <c r="A42" s="25">
        <v>8</v>
      </c>
      <c r="B42" s="27" t="s">
        <v>1085</v>
      </c>
      <c r="C42" s="31">
        <v>350120</v>
      </c>
      <c r="D42" s="5" t="s">
        <v>1086</v>
      </c>
      <c r="E42" s="5"/>
      <c r="F42" s="27" t="s">
        <v>1087</v>
      </c>
    </row>
    <row r="43" spans="1:6" ht="24" customHeight="1" x14ac:dyDescent="0.3">
      <c r="A43" s="25">
        <v>9</v>
      </c>
      <c r="B43" s="27" t="s">
        <v>1088</v>
      </c>
      <c r="C43" s="31">
        <v>958838</v>
      </c>
      <c r="D43" s="5" t="s">
        <v>1089</v>
      </c>
      <c r="E43" s="5"/>
      <c r="F43" s="27" t="s">
        <v>1090</v>
      </c>
    </row>
    <row r="46" spans="1:6" ht="15" customHeight="1" x14ac:dyDescent="0.3">
      <c r="A46" s="13" t="s">
        <v>1091</v>
      </c>
      <c r="B46" s="13"/>
      <c r="C46" s="13"/>
      <c r="D46" s="13"/>
      <c r="E46" s="13"/>
      <c r="F46" s="13"/>
    </row>
    <row r="47" spans="1:6" ht="49.5" customHeight="1" x14ac:dyDescent="0.3">
      <c r="A47" s="16"/>
      <c r="B47" s="42" t="s">
        <v>1092</v>
      </c>
      <c r="C47" s="1" t="s">
        <v>1093</v>
      </c>
      <c r="D47" s="1"/>
      <c r="E47" s="1"/>
      <c r="F47" s="1"/>
    </row>
    <row r="48" spans="1:6" ht="87" customHeight="1" x14ac:dyDescent="0.3">
      <c r="A48" s="16"/>
      <c r="B48" s="42" t="s">
        <v>1094</v>
      </c>
      <c r="C48" s="1" t="s">
        <v>1095</v>
      </c>
      <c r="D48" s="1"/>
      <c r="E48" s="1"/>
      <c r="F48" s="1"/>
    </row>
    <row r="49" spans="1:6" ht="37.5" customHeight="1" x14ac:dyDescent="0.3">
      <c r="A49" s="16"/>
      <c r="B49" s="42" t="s">
        <v>1096</v>
      </c>
      <c r="C49" s="1" t="s">
        <v>1097</v>
      </c>
      <c r="D49" s="1"/>
      <c r="E49" s="1"/>
      <c r="F49" s="1"/>
    </row>
    <row r="50" spans="1:6" ht="37.5" customHeight="1" x14ac:dyDescent="0.3">
      <c r="A50" s="16"/>
      <c r="B50" s="42" t="s">
        <v>1098</v>
      </c>
      <c r="C50" s="1" t="s">
        <v>1099</v>
      </c>
      <c r="D50" s="1"/>
      <c r="E50" s="1"/>
      <c r="F50" s="1"/>
    </row>
    <row r="51" spans="1:6" ht="49.5" customHeight="1" x14ac:dyDescent="0.3">
      <c r="A51" s="16"/>
      <c r="B51" s="42" t="s">
        <v>1100</v>
      </c>
      <c r="C51" s="1" t="s">
        <v>1101</v>
      </c>
      <c r="D51" s="1"/>
      <c r="E51" s="1"/>
      <c r="F51" s="1"/>
    </row>
    <row r="52" spans="1:6" ht="49.5" customHeight="1" x14ac:dyDescent="0.3">
      <c r="A52" s="16"/>
      <c r="B52" s="42" t="s">
        <v>1102</v>
      </c>
      <c r="C52" s="1" t="s">
        <v>1103</v>
      </c>
      <c r="D52" s="1"/>
      <c r="E52" s="1"/>
      <c r="F52" s="1"/>
    </row>
    <row r="53" spans="1:6" ht="49.5" customHeight="1" x14ac:dyDescent="0.3">
      <c r="A53" s="16"/>
      <c r="B53" s="42" t="s">
        <v>1104</v>
      </c>
      <c r="C53" s="1" t="s">
        <v>1105</v>
      </c>
      <c r="D53" s="1"/>
      <c r="E53" s="1"/>
      <c r="F53" s="1"/>
    </row>
  </sheetData>
  <mergeCells count="20">
    <mergeCell ref="C49:F49"/>
    <mergeCell ref="C50:F50"/>
    <mergeCell ref="C51:F51"/>
    <mergeCell ref="C52:F52"/>
    <mergeCell ref="C53:F53"/>
    <mergeCell ref="D42:E42"/>
    <mergeCell ref="D43:E43"/>
    <mergeCell ref="A46:F46"/>
    <mergeCell ref="C47:F47"/>
    <mergeCell ref="C48:F48"/>
    <mergeCell ref="D37:E37"/>
    <mergeCell ref="D38:E38"/>
    <mergeCell ref="D39:E39"/>
    <mergeCell ref="D40:E40"/>
    <mergeCell ref="D41:E41"/>
    <mergeCell ref="A1:F1"/>
    <mergeCell ref="A33:F33"/>
    <mergeCell ref="D34:E34"/>
    <mergeCell ref="D35:E35"/>
    <mergeCell ref="D36:E36"/>
  </mergeCells>
  <pageMargins left="0.75" right="0.75" top="1" bottom="1"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TIT</vt:lpstr>
      <vt:lpstr>FirstPage</vt:lpstr>
      <vt:lpstr>Sheet1</vt:lpstr>
      <vt:lpstr>AR</vt:lpstr>
      <vt:lpstr>SCHAR</vt:lpstr>
      <vt:lpstr>GR</vt:lpstr>
      <vt:lpstr>F-1</vt:lpstr>
      <vt:lpstr>F-28</vt:lpstr>
      <vt:lpstr>SCH</vt:lpstr>
      <vt:lpstr>Meeting</vt:lpstr>
      <vt:lpstr>X-Check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bharat boridkar</cp:lastModifiedBy>
  <cp:revision>0</cp:revision>
  <dcterms:created xsi:type="dcterms:W3CDTF">2026-09-21T15:18:00Z</dcterms:created>
  <dcterms:modified xsi:type="dcterms:W3CDTF">2026-09-21T15:42:19Z</dcterms:modified>
  <dc:language>en-US</dc:language>
</cp:coreProperties>
</file>