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iago\Balancesheet 24-25\"/>
    </mc:Choice>
  </mc:AlternateContent>
  <xr:revisionPtr revIDLastSave="0" documentId="13_ncr:1_{FFD1EBD4-7373-42A3-8019-B559130D34C5}" xr6:coauthVersionLast="47" xr6:coauthVersionMax="47" xr10:uidLastSave="{00000000-0000-0000-0000-000000000000}"/>
  <bookViews>
    <workbookView xWindow="-28920" yWindow="-120" windowWidth="29040" windowHeight="15720" tabRatio="685" activeTab="7" xr2:uid="{00000000-000D-0000-FFFF-FFFF00000000}"/>
  </bookViews>
  <sheets>
    <sheet name="BS" sheetId="1" r:id="rId1"/>
    <sheet name="IE" sheetId="2" r:id="rId2"/>
    <sheet name="Fund Sch_1" sheetId="9" r:id="rId3"/>
    <sheet name="FD Sch_2" sheetId="3" r:id="rId4"/>
    <sheet name="FA Sch_3" sheetId="4" r:id="rId5"/>
    <sheet name="Advance n Refundable Sch 4&amp;5" sheetId="5" r:id="rId6"/>
    <sheet name="BRS" sheetId="7" r:id="rId7"/>
    <sheet name="Workings" sheetId="8" r:id="rId8"/>
    <sheet name="Interest Workings" sheetId="10" r:id="rId9"/>
    <sheet name="FD working Sheet" sheetId="11" r:id="rId10"/>
  </sheets>
  <definedNames>
    <definedName name="_xlnm._FilterDatabase" localSheetId="3" hidden="1">'FD Sch_2'!$A$3:$M$77</definedName>
    <definedName name="_xlnm._FilterDatabase" localSheetId="8" hidden="1">'Interest Workings'!$A$2:$I$107</definedName>
    <definedName name="_xlnm.Print_Area" localSheetId="0">BS!$A$1:$H$43</definedName>
    <definedName name="_xlnm.Print_Area" localSheetId="3">'FD Sch_2'!$A$1:$M$79</definedName>
    <definedName name="_xlnm.Print_Area" localSheetId="1">IE!$A$1:$H$59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8" l="1"/>
  <c r="F7" i="8"/>
  <c r="G7" i="8"/>
  <c r="E7" i="8"/>
  <c r="F6" i="8"/>
  <c r="E6" i="8"/>
  <c r="M6" i="8"/>
  <c r="N6" i="8"/>
  <c r="L6" i="8"/>
  <c r="K6" i="8"/>
  <c r="D7" i="8"/>
  <c r="D6" i="8"/>
  <c r="K5" i="8"/>
  <c r="G5" i="8"/>
  <c r="F5" i="8"/>
  <c r="E5" i="8"/>
  <c r="J14" i="5"/>
  <c r="J12" i="5"/>
  <c r="J10" i="5"/>
  <c r="C39" i="2"/>
  <c r="C25" i="1"/>
  <c r="I14" i="10"/>
  <c r="D105" i="10"/>
  <c r="G32" i="3"/>
  <c r="G34" i="3" s="1"/>
  <c r="G17" i="3"/>
  <c r="H17" i="3" s="1"/>
  <c r="G11" i="3"/>
  <c r="H11" i="3" s="1"/>
  <c r="G12" i="3"/>
  <c r="I13" i="10"/>
  <c r="I15" i="10" s="1"/>
  <c r="G61" i="3"/>
  <c r="G27" i="3"/>
  <c r="G18" i="3"/>
  <c r="G8" i="3"/>
  <c r="H8" i="3" s="1"/>
  <c r="G70" i="3"/>
  <c r="H70" i="3" s="1"/>
  <c r="H67" i="3"/>
  <c r="H66" i="3"/>
  <c r="H65" i="3"/>
  <c r="H64" i="3"/>
  <c r="H47" i="3"/>
  <c r="H46" i="3"/>
  <c r="H33" i="3"/>
  <c r="H26" i="3"/>
  <c r="H12" i="3"/>
  <c r="G48" i="3"/>
  <c r="G59" i="3"/>
  <c r="G71" i="3"/>
  <c r="G75" i="3"/>
  <c r="G52" i="3"/>
  <c r="G51" i="3"/>
  <c r="G42" i="3"/>
  <c r="G41" i="3"/>
  <c r="G40" i="3"/>
  <c r="G38" i="3"/>
  <c r="G28" i="3"/>
  <c r="G22" i="3"/>
  <c r="G21" i="3"/>
  <c r="G20" i="3"/>
  <c r="G19" i="3"/>
  <c r="G16" i="3"/>
  <c r="G14" i="3"/>
  <c r="G7" i="3"/>
  <c r="G6" i="3"/>
  <c r="G50" i="3"/>
  <c r="H50" i="3" s="1"/>
  <c r="G13" i="3"/>
  <c r="H13" i="3" s="1"/>
  <c r="G29" i="3"/>
  <c r="H29" i="3" s="1"/>
  <c r="I29" i="3" s="1"/>
  <c r="G76" i="3"/>
  <c r="H76" i="3" s="1"/>
  <c r="I76" i="3" s="1"/>
  <c r="G43" i="3"/>
  <c r="G23" i="3"/>
  <c r="H23" i="3" s="1"/>
  <c r="I23" i="3" s="1"/>
  <c r="G74" i="3"/>
  <c r="H74" i="3" s="1"/>
  <c r="G60" i="3"/>
  <c r="H60" i="3" s="1"/>
  <c r="G58" i="3"/>
  <c r="H58" i="3" s="1"/>
  <c r="G57" i="3"/>
  <c r="H57" i="3" s="1"/>
  <c r="G56" i="3"/>
  <c r="H56" i="3" s="1"/>
  <c r="G55" i="3"/>
  <c r="H55" i="3" s="1"/>
  <c r="G39" i="3"/>
  <c r="H39" i="3" s="1"/>
  <c r="G37" i="3"/>
  <c r="H37" i="3" s="1"/>
  <c r="G36" i="3"/>
  <c r="H36" i="3" s="1"/>
  <c r="G15" i="3"/>
  <c r="H15" i="3" s="1"/>
  <c r="G10" i="3"/>
  <c r="H10" i="3" s="1"/>
  <c r="G9" i="3"/>
  <c r="H9" i="3" s="1"/>
  <c r="G5" i="3"/>
  <c r="H5" i="3" s="1"/>
  <c r="K77" i="3"/>
  <c r="E77" i="3"/>
  <c r="D77" i="3"/>
  <c r="K72" i="3"/>
  <c r="E72" i="3"/>
  <c r="D72" i="3"/>
  <c r="K68" i="3"/>
  <c r="G68" i="3"/>
  <c r="F68" i="3"/>
  <c r="E68" i="3"/>
  <c r="D68" i="3"/>
  <c r="K62" i="3"/>
  <c r="E62" i="3"/>
  <c r="D62" i="3"/>
  <c r="K53" i="3"/>
  <c r="E53" i="3"/>
  <c r="D53" i="3"/>
  <c r="K44" i="3"/>
  <c r="E44" i="3"/>
  <c r="D44" i="3"/>
  <c r="K34" i="3"/>
  <c r="F34" i="3"/>
  <c r="E34" i="3"/>
  <c r="D34" i="3"/>
  <c r="K30" i="3"/>
  <c r="E30" i="3"/>
  <c r="D30" i="3"/>
  <c r="K24" i="3"/>
  <c r="E24" i="3"/>
  <c r="D24" i="3"/>
  <c r="K74" i="11"/>
  <c r="F74" i="11"/>
  <c r="E74" i="11"/>
  <c r="D74" i="11"/>
  <c r="N73" i="11"/>
  <c r="G73" i="11"/>
  <c r="H73" i="11" s="1"/>
  <c r="I73" i="11" s="1"/>
  <c r="N72" i="11"/>
  <c r="G72" i="11"/>
  <c r="H72" i="11" s="1"/>
  <c r="K70" i="11"/>
  <c r="G70" i="11"/>
  <c r="F70" i="11"/>
  <c r="E70" i="11"/>
  <c r="D70" i="11"/>
  <c r="N69" i="11"/>
  <c r="G69" i="11"/>
  <c r="H69" i="11" s="1"/>
  <c r="I69" i="11" s="1"/>
  <c r="N68" i="11"/>
  <c r="G68" i="11"/>
  <c r="H68" i="11" s="1"/>
  <c r="K66" i="11"/>
  <c r="G66" i="11"/>
  <c r="F66" i="11"/>
  <c r="E66" i="11"/>
  <c r="D66" i="11"/>
  <c r="H65" i="11"/>
  <c r="I65" i="11" s="1"/>
  <c r="H64" i="11"/>
  <c r="I64" i="11" s="1"/>
  <c r="H63" i="11"/>
  <c r="I63" i="11" s="1"/>
  <c r="H62" i="11"/>
  <c r="I62" i="11" s="1"/>
  <c r="K60" i="11"/>
  <c r="F60" i="11"/>
  <c r="E60" i="11"/>
  <c r="D60" i="11"/>
  <c r="N59" i="11"/>
  <c r="G59" i="11"/>
  <c r="H59" i="11" s="1"/>
  <c r="I59" i="11" s="1"/>
  <c r="N58" i="11"/>
  <c r="G58" i="11"/>
  <c r="H58" i="11" s="1"/>
  <c r="I58" i="11" s="1"/>
  <c r="N57" i="11"/>
  <c r="G57" i="11"/>
  <c r="H57" i="11" s="1"/>
  <c r="I57" i="11" s="1"/>
  <c r="N56" i="11"/>
  <c r="G56" i="11"/>
  <c r="H56" i="11" s="1"/>
  <c r="N55" i="11"/>
  <c r="G55" i="11"/>
  <c r="H55" i="11" s="1"/>
  <c r="N54" i="11"/>
  <c r="G54" i="11"/>
  <c r="H54" i="11" s="1"/>
  <c r="N53" i="11"/>
  <c r="G53" i="11"/>
  <c r="H53" i="11" s="1"/>
  <c r="K51" i="11"/>
  <c r="F51" i="11"/>
  <c r="E51" i="11"/>
  <c r="D51" i="11"/>
  <c r="N50" i="11"/>
  <c r="G50" i="11"/>
  <c r="H50" i="11" s="1"/>
  <c r="I50" i="11" s="1"/>
  <c r="N49" i="11"/>
  <c r="G49" i="11"/>
  <c r="H49" i="11" s="1"/>
  <c r="I49" i="11" s="1"/>
  <c r="N48" i="11"/>
  <c r="G48" i="11"/>
  <c r="H48" i="11" s="1"/>
  <c r="K46" i="11"/>
  <c r="G46" i="11"/>
  <c r="F46" i="11"/>
  <c r="E46" i="11"/>
  <c r="D46" i="11"/>
  <c r="H45" i="11"/>
  <c r="H46" i="11" s="1"/>
  <c r="I44" i="11"/>
  <c r="H44" i="11"/>
  <c r="K42" i="11"/>
  <c r="F42" i="11"/>
  <c r="E42" i="11"/>
  <c r="D42" i="11"/>
  <c r="N41" i="11"/>
  <c r="G41" i="11"/>
  <c r="H41" i="11" s="1"/>
  <c r="I41" i="11" s="1"/>
  <c r="N40" i="11"/>
  <c r="G40" i="11"/>
  <c r="H40" i="11" s="1"/>
  <c r="I40" i="11" s="1"/>
  <c r="N39" i="11"/>
  <c r="G39" i="11"/>
  <c r="H39" i="11" s="1"/>
  <c r="I39" i="11" s="1"/>
  <c r="N38" i="11"/>
  <c r="G38" i="11"/>
  <c r="H38" i="11" s="1"/>
  <c r="N37" i="11"/>
  <c r="G37" i="11"/>
  <c r="H37" i="11" s="1"/>
  <c r="I37" i="11" s="1"/>
  <c r="W36" i="11"/>
  <c r="V31" i="11" s="1"/>
  <c r="V36" i="11" s="1"/>
  <c r="N36" i="11"/>
  <c r="H36" i="11"/>
  <c r="R36" i="11" s="1"/>
  <c r="G36" i="11"/>
  <c r="N35" i="11"/>
  <c r="G35" i="11"/>
  <c r="H35" i="11" s="1"/>
  <c r="K33" i="11"/>
  <c r="F33" i="11"/>
  <c r="E33" i="11"/>
  <c r="D33" i="11"/>
  <c r="H32" i="11"/>
  <c r="I32" i="11" s="1"/>
  <c r="N31" i="11"/>
  <c r="G31" i="11"/>
  <c r="H31" i="11" s="1"/>
  <c r="K29" i="11"/>
  <c r="F29" i="11"/>
  <c r="E29" i="11"/>
  <c r="D29" i="11"/>
  <c r="D76" i="11" s="1"/>
  <c r="N28" i="11"/>
  <c r="G28" i="11"/>
  <c r="N27" i="11"/>
  <c r="G27" i="11"/>
  <c r="H27" i="11" s="1"/>
  <c r="H26" i="11"/>
  <c r="I26" i="11" s="1"/>
  <c r="K24" i="11"/>
  <c r="F24" i="11"/>
  <c r="E24" i="11"/>
  <c r="D24" i="11"/>
  <c r="N23" i="11"/>
  <c r="G23" i="11"/>
  <c r="H23" i="11" s="1"/>
  <c r="I23" i="11" s="1"/>
  <c r="N22" i="11"/>
  <c r="G22" i="11"/>
  <c r="H22" i="11" s="1"/>
  <c r="I22" i="11" s="1"/>
  <c r="N21" i="11"/>
  <c r="G21" i="11"/>
  <c r="H21" i="11" s="1"/>
  <c r="I21" i="11" s="1"/>
  <c r="N20" i="11"/>
  <c r="G20" i="11"/>
  <c r="H20" i="11" s="1"/>
  <c r="I20" i="11" s="1"/>
  <c r="N19" i="11"/>
  <c r="G19" i="11"/>
  <c r="H19" i="11" s="1"/>
  <c r="I19" i="11" s="1"/>
  <c r="N18" i="11"/>
  <c r="G18" i="11"/>
  <c r="H18" i="11" s="1"/>
  <c r="N17" i="11"/>
  <c r="G17" i="11"/>
  <c r="H17" i="11" s="1"/>
  <c r="I17" i="11" s="1"/>
  <c r="N16" i="11"/>
  <c r="G16" i="11"/>
  <c r="H16" i="11" s="1"/>
  <c r="N15" i="11"/>
  <c r="G15" i="11"/>
  <c r="H15" i="11" s="1"/>
  <c r="I15" i="11" s="1"/>
  <c r="N14" i="11"/>
  <c r="G14" i="11"/>
  <c r="H14" i="11" s="1"/>
  <c r="N13" i="11"/>
  <c r="G13" i="11"/>
  <c r="H13" i="11" s="1"/>
  <c r="N12" i="11"/>
  <c r="G12" i="11"/>
  <c r="H12" i="11" s="1"/>
  <c r="N11" i="11"/>
  <c r="G11" i="11"/>
  <c r="H11" i="11" s="1"/>
  <c r="N10" i="11"/>
  <c r="G10" i="11"/>
  <c r="H10" i="11" s="1"/>
  <c r="R10" i="11" s="1"/>
  <c r="N9" i="11"/>
  <c r="G9" i="11"/>
  <c r="H9" i="11" s="1"/>
  <c r="N8" i="11"/>
  <c r="G8" i="11"/>
  <c r="H8" i="11" s="1"/>
  <c r="I8" i="11" s="1"/>
  <c r="N7" i="11"/>
  <c r="G7" i="11"/>
  <c r="N6" i="11"/>
  <c r="G6" i="11"/>
  <c r="H6" i="11" s="1"/>
  <c r="R6" i="11" s="1"/>
  <c r="A2" i="11"/>
  <c r="H29" i="2"/>
  <c r="H33" i="2"/>
  <c r="G12" i="2"/>
  <c r="G11" i="2"/>
  <c r="C18" i="8"/>
  <c r="D18" i="8" s="1"/>
  <c r="B17" i="8"/>
  <c r="D17" i="8" s="1"/>
  <c r="D16" i="8"/>
  <c r="C13" i="8"/>
  <c r="D13" i="8" s="1"/>
  <c r="B12" i="8"/>
  <c r="D12" i="8" s="1"/>
  <c r="D11" i="8"/>
  <c r="B7" i="8"/>
  <c r="D5" i="8"/>
  <c r="E6" i="5"/>
  <c r="H23" i="1" s="1"/>
  <c r="E12" i="8" l="1"/>
  <c r="E18" i="8"/>
  <c r="E13" i="8"/>
  <c r="E17" i="8"/>
  <c r="I66" i="11"/>
  <c r="R54" i="11"/>
  <c r="I54" i="11"/>
  <c r="R32" i="11"/>
  <c r="G24" i="11"/>
  <c r="E76" i="11"/>
  <c r="F76" i="11"/>
  <c r="K76" i="11"/>
  <c r="G33" i="11"/>
  <c r="G74" i="11"/>
  <c r="G29" i="11"/>
  <c r="H68" i="3"/>
  <c r="G62" i="3"/>
  <c r="H32" i="3"/>
  <c r="H34" i="3" s="1"/>
  <c r="H43" i="3"/>
  <c r="I43" i="3" s="1"/>
  <c r="G30" i="3"/>
  <c r="G72" i="3"/>
  <c r="G53" i="3"/>
  <c r="G77" i="3"/>
  <c r="G44" i="3"/>
  <c r="G24" i="3"/>
  <c r="I13" i="11"/>
  <c r="R13" i="11"/>
  <c r="I31" i="11"/>
  <c r="I33" i="11" s="1"/>
  <c r="H33" i="11"/>
  <c r="R31" i="11"/>
  <c r="R38" i="11"/>
  <c r="I38" i="11"/>
  <c r="I14" i="11"/>
  <c r="R14" i="11"/>
  <c r="R35" i="11"/>
  <c r="H42" i="11"/>
  <c r="I35" i="11"/>
  <c r="I42" i="11" s="1"/>
  <c r="I53" i="11"/>
  <c r="I60" i="11" s="1"/>
  <c r="H60" i="11"/>
  <c r="R53" i="11"/>
  <c r="R11" i="11"/>
  <c r="I11" i="11"/>
  <c r="I12" i="11"/>
  <c r="R12" i="11"/>
  <c r="R55" i="11"/>
  <c r="I55" i="11"/>
  <c r="I72" i="11"/>
  <c r="I74" i="11" s="1"/>
  <c r="H74" i="11"/>
  <c r="R72" i="11"/>
  <c r="I48" i="11"/>
  <c r="I51" i="11" s="1"/>
  <c r="R48" i="11"/>
  <c r="H51" i="11"/>
  <c r="R56" i="11"/>
  <c r="I56" i="11"/>
  <c r="I16" i="11"/>
  <c r="R16" i="11"/>
  <c r="I29" i="11"/>
  <c r="R9" i="11"/>
  <c r="I9" i="11"/>
  <c r="R68" i="11"/>
  <c r="I68" i="11"/>
  <c r="I70" i="11" s="1"/>
  <c r="H70" i="11"/>
  <c r="R18" i="11"/>
  <c r="I18" i="11"/>
  <c r="I10" i="11"/>
  <c r="I27" i="11"/>
  <c r="I36" i="11"/>
  <c r="I45" i="11"/>
  <c r="I46" i="11" s="1"/>
  <c r="R58" i="11"/>
  <c r="H28" i="11"/>
  <c r="I28" i="11" s="1"/>
  <c r="H7" i="11"/>
  <c r="I7" i="11" s="1"/>
  <c r="G51" i="11"/>
  <c r="H66" i="11"/>
  <c r="G60" i="11"/>
  <c r="H24" i="11"/>
  <c r="G42" i="11"/>
  <c r="G76" i="11" s="1"/>
  <c r="I6" i="11"/>
  <c r="H7" i="8" l="1"/>
  <c r="G79" i="3"/>
  <c r="I24" i="11"/>
  <c r="I76" i="11" s="1"/>
  <c r="H29" i="11"/>
  <c r="H76" i="11" s="1"/>
  <c r="C30" i="1"/>
  <c r="A33" i="1"/>
  <c r="K48" i="3" l="1"/>
  <c r="K79" i="3" s="1"/>
  <c r="F59" i="3" l="1"/>
  <c r="H59" i="3" s="1"/>
  <c r="F40" i="3"/>
  <c r="H40" i="3" s="1"/>
  <c r="F61" i="3"/>
  <c r="H61" i="3" s="1"/>
  <c r="F28" i="3"/>
  <c r="H28" i="3" s="1"/>
  <c r="F75" i="3"/>
  <c r="H75" i="3" s="1"/>
  <c r="H77" i="3" s="1"/>
  <c r="F42" i="3"/>
  <c r="H42" i="3" s="1"/>
  <c r="F22" i="3"/>
  <c r="H22" i="3" s="1"/>
  <c r="F71" i="3"/>
  <c r="H71" i="3" s="1"/>
  <c r="H72" i="3" s="1"/>
  <c r="F6" i="3"/>
  <c r="H6" i="3" s="1"/>
  <c r="F27" i="3"/>
  <c r="H27" i="3" s="1"/>
  <c r="H30" i="3" s="1"/>
  <c r="F20" i="3"/>
  <c r="H20" i="3" s="1"/>
  <c r="F14" i="3"/>
  <c r="H14" i="3" s="1"/>
  <c r="F38" i="3"/>
  <c r="H38" i="3" s="1"/>
  <c r="F41" i="3"/>
  <c r="H41" i="3" s="1"/>
  <c r="F21" i="3"/>
  <c r="H21" i="3" s="1"/>
  <c r="F16" i="3"/>
  <c r="H16" i="3" s="1"/>
  <c r="F51" i="3"/>
  <c r="H51" i="3" s="1"/>
  <c r="F7" i="3"/>
  <c r="H7" i="3" s="1"/>
  <c r="H44" i="3" l="1"/>
  <c r="H62" i="3"/>
  <c r="F62" i="3"/>
  <c r="F44" i="3"/>
  <c r="F30" i="3"/>
  <c r="I71" i="3"/>
  <c r="F72" i="3"/>
  <c r="F77" i="3"/>
  <c r="I75" i="3"/>
  <c r="I22" i="3"/>
  <c r="I42" i="3"/>
  <c r="I27" i="3"/>
  <c r="I61" i="3"/>
  <c r="I28" i="3"/>
  <c r="F19" i="3"/>
  <c r="H19" i="3" s="1"/>
  <c r="F18" i="3"/>
  <c r="H18" i="3" s="1"/>
  <c r="F52" i="3"/>
  <c r="H52" i="3" s="1"/>
  <c r="H53" i="3" s="1"/>
  <c r="E33" i="1"/>
  <c r="C25" i="2"/>
  <c r="F53" i="3" l="1"/>
  <c r="F24" i="3"/>
  <c r="H24" i="3"/>
  <c r="C5" i="9"/>
  <c r="C15" i="9"/>
  <c r="D25" i="2"/>
  <c r="D32" i="2"/>
  <c r="D8" i="2"/>
  <c r="D17" i="9" l="1"/>
  <c r="C31" i="9"/>
  <c r="H5" i="1"/>
  <c r="E5" i="1"/>
  <c r="F48" i="3"/>
  <c r="F79" i="3" s="1"/>
  <c r="H5" i="2"/>
  <c r="E5" i="2"/>
  <c r="I70" i="3" l="1"/>
  <c r="I72" i="3" s="1"/>
  <c r="A1" i="2"/>
  <c r="A45" i="9"/>
  <c r="C41" i="9"/>
  <c r="D43" i="9" s="1"/>
  <c r="E19" i="5"/>
  <c r="C19" i="1" s="1"/>
  <c r="J7" i="5"/>
  <c r="C26" i="1" s="1"/>
  <c r="H28" i="1"/>
  <c r="C35" i="9"/>
  <c r="C30" i="9"/>
  <c r="C25" i="9"/>
  <c r="C20" i="9"/>
  <c r="C11" i="9"/>
  <c r="D12" i="9" s="1"/>
  <c r="I67" i="3"/>
  <c r="I60" i="3"/>
  <c r="I41" i="3"/>
  <c r="I21" i="3"/>
  <c r="I64" i="3"/>
  <c r="E48" i="3"/>
  <c r="E79" i="3" s="1"/>
  <c r="E48" i="2"/>
  <c r="C26" i="7"/>
  <c r="C17" i="7"/>
  <c r="A1" i="7"/>
  <c r="D27" i="1" l="1"/>
  <c r="I74" i="3"/>
  <c r="I77" i="3" s="1"/>
  <c r="C8" i="7"/>
  <c r="A48" i="2" l="1"/>
  <c r="I48" i="2" s="1"/>
  <c r="G14" i="4"/>
  <c r="G12" i="4"/>
  <c r="G10" i="4"/>
  <c r="G8" i="4"/>
  <c r="G6" i="4"/>
  <c r="G4" i="4"/>
  <c r="D15" i="4"/>
  <c r="E15" i="4"/>
  <c r="C15" i="4"/>
  <c r="F14" i="4"/>
  <c r="F12" i="4"/>
  <c r="F10" i="4"/>
  <c r="F8" i="4"/>
  <c r="F6" i="4"/>
  <c r="F4" i="4"/>
  <c r="A1" i="4"/>
  <c r="A1" i="3"/>
  <c r="E34" i="1"/>
  <c r="E49" i="2" s="1"/>
  <c r="H20" i="1"/>
  <c r="E33" i="5"/>
  <c r="C20" i="1" s="1"/>
  <c r="A1" i="5"/>
  <c r="D38" i="9"/>
  <c r="D32" i="9"/>
  <c r="D27" i="9"/>
  <c r="D22" i="9"/>
  <c r="A3" i="2"/>
  <c r="A2" i="2"/>
  <c r="A7" i="1"/>
  <c r="I65" i="3"/>
  <c r="I66" i="3"/>
  <c r="I57" i="3"/>
  <c r="I58" i="3"/>
  <c r="I59" i="3"/>
  <c r="I51" i="3"/>
  <c r="I52" i="3"/>
  <c r="I55" i="3"/>
  <c r="I50" i="3"/>
  <c r="I37" i="3"/>
  <c r="I38" i="3"/>
  <c r="I39" i="3"/>
  <c r="I33" i="3"/>
  <c r="I26" i="3"/>
  <c r="I30" i="3" s="1"/>
  <c r="I7" i="3"/>
  <c r="I8" i="3"/>
  <c r="I9" i="3"/>
  <c r="I11" i="3"/>
  <c r="I12" i="3"/>
  <c r="I13" i="3"/>
  <c r="I14" i="3"/>
  <c r="I15" i="3"/>
  <c r="I16" i="3"/>
  <c r="I17" i="3"/>
  <c r="I18" i="3"/>
  <c r="I19" i="3"/>
  <c r="I20" i="3"/>
  <c r="I5" i="3"/>
  <c r="I56" i="3"/>
  <c r="D48" i="3"/>
  <c r="D79" i="3" s="1"/>
  <c r="I47" i="3"/>
  <c r="H48" i="3"/>
  <c r="H79" i="3" s="1"/>
  <c r="D12" i="2"/>
  <c r="H10" i="1"/>
  <c r="I68" i="3" l="1"/>
  <c r="I62" i="3"/>
  <c r="I53" i="3"/>
  <c r="G14" i="1"/>
  <c r="H4" i="4"/>
  <c r="H8" i="4"/>
  <c r="H6" i="4"/>
  <c r="F15" i="4"/>
  <c r="H14" i="4"/>
  <c r="H12" i="4"/>
  <c r="G15" i="4"/>
  <c r="C35" i="2" s="1"/>
  <c r="D43" i="2" s="1"/>
  <c r="H10" i="4"/>
  <c r="D20" i="1"/>
  <c r="H16" i="2"/>
  <c r="I40" i="3"/>
  <c r="I6" i="3"/>
  <c r="I46" i="3"/>
  <c r="I48" i="3" s="1"/>
  <c r="I36" i="3"/>
  <c r="I44" i="3" s="1"/>
  <c r="I32" i="3"/>
  <c r="I34" i="3" s="1"/>
  <c r="I10" i="3"/>
  <c r="I24" i="3" l="1"/>
  <c r="I79" i="3" s="1"/>
  <c r="H48" i="2"/>
  <c r="D46" i="2" s="1"/>
  <c r="H15" i="4"/>
  <c r="H30" i="1" s="1"/>
  <c r="D47" i="2" l="1"/>
  <c r="G15" i="1"/>
  <c r="C32" i="1" l="1"/>
  <c r="D32" i="1" s="1"/>
  <c r="C7" i="9"/>
  <c r="D8" i="9" s="1"/>
  <c r="D45" i="9" s="1"/>
  <c r="H15" i="1"/>
  <c r="H33" i="1" s="1"/>
  <c r="D48" i="2"/>
  <c r="J48" i="2" s="1"/>
  <c r="D12" i="1" l="1"/>
  <c r="D33" i="1" s="1"/>
  <c r="J33" i="1" s="1"/>
  <c r="I33" i="1" l="1"/>
</calcChain>
</file>

<file path=xl/sharedStrings.xml><?xml version="1.0" encoding="utf-8"?>
<sst xmlns="http://schemas.openxmlformats.org/spreadsheetml/2006/main" count="1236" uniqueCount="639">
  <si>
    <t>LIABILITIES</t>
  </si>
  <si>
    <t>ASSETS</t>
  </si>
  <si>
    <t>Cash and Bank Balances:</t>
  </si>
  <si>
    <t>Investments:</t>
  </si>
  <si>
    <t>Accrued Interest</t>
  </si>
  <si>
    <t>Reserves and Surplus:</t>
  </si>
  <si>
    <t>Sinking Fund</t>
  </si>
  <si>
    <t>Certificate No.</t>
  </si>
  <si>
    <t>Bank</t>
  </si>
  <si>
    <t>Maturity Date</t>
  </si>
  <si>
    <t>Authorised Share Capital</t>
  </si>
  <si>
    <t>Maturity Value</t>
  </si>
  <si>
    <t>Date</t>
  </si>
  <si>
    <t>Amount Invested</t>
  </si>
  <si>
    <t>Total</t>
  </si>
  <si>
    <t>Interest %</t>
  </si>
  <si>
    <t>Painting Fund</t>
  </si>
  <si>
    <t>Share Capital</t>
  </si>
  <si>
    <t>Accrued Int 21-22</t>
  </si>
  <si>
    <t>Cash in Hand</t>
  </si>
  <si>
    <t>Mumbai District Central Co-op Bank</t>
  </si>
  <si>
    <t>Share of MDCC Bank</t>
  </si>
  <si>
    <t>Balance as per last balance sheet</t>
  </si>
  <si>
    <t>Deposit with BMC</t>
  </si>
  <si>
    <t>Deposit with Tata Power</t>
  </si>
  <si>
    <t>Issued, Subscribed and Fully Paid-up:</t>
  </si>
  <si>
    <t>Current Liabilities:</t>
  </si>
  <si>
    <t>Provisions:</t>
  </si>
  <si>
    <t>Water Charges Payable</t>
  </si>
  <si>
    <t>Audit Fees Payable</t>
  </si>
  <si>
    <t>Income and Expenditure Account:</t>
  </si>
  <si>
    <t>Chairman                                             Secretary                                             Treasurer</t>
  </si>
  <si>
    <t>A</t>
  </si>
  <si>
    <t>B</t>
  </si>
  <si>
    <t>Flat</t>
  </si>
  <si>
    <t>Name of Member</t>
  </si>
  <si>
    <t>Amount</t>
  </si>
  <si>
    <t>EXPENDITURE</t>
  </si>
  <si>
    <t>INCOME</t>
  </si>
  <si>
    <t>Property Tax</t>
  </si>
  <si>
    <t>Water Expenses</t>
  </si>
  <si>
    <t>Common Electricity Charges</t>
  </si>
  <si>
    <t>Salary Expenses</t>
  </si>
  <si>
    <t>Repair and Maintenance Expenses</t>
  </si>
  <si>
    <t>Electrical Repairs</t>
  </si>
  <si>
    <t>Other Repairs</t>
  </si>
  <si>
    <t>Service Charges</t>
  </si>
  <si>
    <t>Insurance Expense</t>
  </si>
  <si>
    <t>Audit Fees</t>
  </si>
  <si>
    <t>Accounting Charges</t>
  </si>
  <si>
    <t>Other Expenses</t>
  </si>
  <si>
    <t>Depreciation</t>
  </si>
  <si>
    <t>Printing and Stationary</t>
  </si>
  <si>
    <t>Professional Fees</t>
  </si>
  <si>
    <t>Bank Charges</t>
  </si>
  <si>
    <t>Subscription Federation</t>
  </si>
  <si>
    <t>Meeting Expenses</t>
  </si>
  <si>
    <t>Excess of Income over Expenditure</t>
  </si>
  <si>
    <t>Water Charges</t>
  </si>
  <si>
    <t>Parking Charges</t>
  </si>
  <si>
    <t>Insurance Charges</t>
  </si>
  <si>
    <t>Interest Income</t>
  </si>
  <si>
    <t>Interest Income from Savings Deposits</t>
  </si>
  <si>
    <t>Interest Income from Fixed Deposits</t>
  </si>
  <si>
    <t>Other Income</t>
  </si>
  <si>
    <t>Sr.</t>
  </si>
  <si>
    <t>Total Accrued Int</t>
  </si>
  <si>
    <t>General Fund</t>
  </si>
  <si>
    <t>Pest Control Fund</t>
  </si>
  <si>
    <t>Common Amenity Fund</t>
  </si>
  <si>
    <t>Legal Fund</t>
  </si>
  <si>
    <t>Leave and Licence Deposit</t>
  </si>
  <si>
    <t>Grand Total</t>
  </si>
  <si>
    <t>21.01.2022</t>
  </si>
  <si>
    <t>24.01.2022</t>
  </si>
  <si>
    <t>17.03.22</t>
  </si>
  <si>
    <t>14.03.22</t>
  </si>
  <si>
    <t>28.03.22</t>
  </si>
  <si>
    <t>08.09.21</t>
  </si>
  <si>
    <t>04.12.21</t>
  </si>
  <si>
    <t>05.06.21</t>
  </si>
  <si>
    <t>TD0000415687_01</t>
  </si>
  <si>
    <t>22.06.21</t>
  </si>
  <si>
    <t>25.06.21</t>
  </si>
  <si>
    <t>17.03.21</t>
  </si>
  <si>
    <t>08.03.24</t>
  </si>
  <si>
    <t>20.03.24</t>
  </si>
  <si>
    <t>SCB</t>
  </si>
  <si>
    <t>MDCC</t>
  </si>
  <si>
    <t>DIAGO CO-OPERATIVE HOUSING SOCIETY</t>
  </si>
  <si>
    <t>4460 Share of ₹ 50/- each</t>
  </si>
  <si>
    <t>360 Shares of ₹ 50/- each</t>
  </si>
  <si>
    <t>Maintenance Income</t>
  </si>
  <si>
    <t>Maintenance Charges</t>
  </si>
  <si>
    <t>Electricity Charges</t>
  </si>
  <si>
    <t>Non Occupancy Charges</t>
  </si>
  <si>
    <t>Interest on Delayed Payments</t>
  </si>
  <si>
    <t>Fines</t>
  </si>
  <si>
    <t>Less: trf to Sinking Fund</t>
  </si>
  <si>
    <t>Less: trf to Painting Fund</t>
  </si>
  <si>
    <t>Less: trf to Legal Fund</t>
  </si>
  <si>
    <t>Less: trf to Common Amenity Fund</t>
  </si>
  <si>
    <t>Less: trf to General Fund</t>
  </si>
  <si>
    <t>Less: trf to Pest Control Fund</t>
  </si>
  <si>
    <t>Dividend Income</t>
  </si>
  <si>
    <t>186-A, Baudi Cross Lane, Orlem, Malad (West), Mumbai, Maharashtra - 400064</t>
  </si>
  <si>
    <t>Society Reg No : BOM/(WP)/HSG(TC) 1007/84-85 dated.13/07/1984</t>
  </si>
  <si>
    <t>Water Tank Cleaning Expenses</t>
  </si>
  <si>
    <t>PNK0790005</t>
  </si>
  <si>
    <t>PNH3790004</t>
  </si>
  <si>
    <t>PNG7340003</t>
  </si>
  <si>
    <t>Plumbing Repairs</t>
  </si>
  <si>
    <t>Pest Control Expenses</t>
  </si>
  <si>
    <t>Water Charges:</t>
  </si>
  <si>
    <t>Pest Control:</t>
  </si>
  <si>
    <t>Prepaid</t>
  </si>
  <si>
    <t>Insurance</t>
  </si>
  <si>
    <t>Conveyance Expense</t>
  </si>
  <si>
    <t>Saraswat Co-op Bank</t>
  </si>
  <si>
    <t>Bank of Baroda</t>
  </si>
  <si>
    <t>Particulars</t>
  </si>
  <si>
    <t>Add: Additions during the year</t>
  </si>
  <si>
    <t>DIAGO CO-OP HOUSING SOCIETY LIMITED.</t>
  </si>
  <si>
    <t>As per last Balance Sheet</t>
  </si>
  <si>
    <t>Add: Addition during the year</t>
  </si>
  <si>
    <t>Add: 25% surplus trfd from Income/Expend.</t>
  </si>
  <si>
    <t>Add: Accrued interest</t>
  </si>
  <si>
    <t>Add: Interest received/accrued</t>
  </si>
  <si>
    <t>Members Contributions Towards</t>
  </si>
  <si>
    <t>Land and Building</t>
  </si>
  <si>
    <t>Retention - Ecotech Exterior and Interior</t>
  </si>
  <si>
    <t>Sl.No</t>
  </si>
  <si>
    <t>Vendor</t>
  </si>
  <si>
    <t>Ecotech Exteriror &amp; Interior Co.</t>
  </si>
  <si>
    <t>Tata Power</t>
  </si>
  <si>
    <t>Amt</t>
  </si>
  <si>
    <t>Major Repairs</t>
  </si>
  <si>
    <t>Electricity Expenses</t>
  </si>
  <si>
    <t>Mr. Simon P. Pereira &amp; Mr. Anthony J. Pereira</t>
  </si>
  <si>
    <t>Mr. Jose Baretto</t>
  </si>
  <si>
    <t>Mrs. Dorothy Fernandes</t>
  </si>
  <si>
    <t>Mrs. Teresa Lobo</t>
  </si>
  <si>
    <t>Mr. Sydney Joe Lobo</t>
  </si>
  <si>
    <t>Sr</t>
  </si>
  <si>
    <t>Ms. Rita H. D'Souza</t>
  </si>
  <si>
    <t>Mrs. Chinnamma Joseph</t>
  </si>
  <si>
    <t>Mrs. Fatima A. Mascarenhas</t>
  </si>
  <si>
    <t>C</t>
  </si>
  <si>
    <t>Fixed Assets</t>
  </si>
  <si>
    <t>Deposits:</t>
  </si>
  <si>
    <t>Sundry Debtors:</t>
  </si>
  <si>
    <t>Prepaid Expenses:</t>
  </si>
  <si>
    <t>Pest Control Charges</t>
  </si>
  <si>
    <t>TDS Receivable</t>
  </si>
  <si>
    <t>Fixed Deposits: (Refer Schedule 2)</t>
  </si>
  <si>
    <t>(Refer Schedule 1)</t>
  </si>
  <si>
    <t>(Refer Schedule 3)</t>
  </si>
  <si>
    <t>Rate %</t>
  </si>
  <si>
    <t>Depreciation for the year</t>
  </si>
  <si>
    <t>Building</t>
  </si>
  <si>
    <t>Office Premises</t>
  </si>
  <si>
    <t>Furniture and Fixture</t>
  </si>
  <si>
    <t>Water Pump</t>
  </si>
  <si>
    <t>CCTV</t>
  </si>
  <si>
    <t>Note: Workings Page is not to be printed</t>
  </si>
  <si>
    <t>Income Tax</t>
  </si>
  <si>
    <t>Balance as per System (Book Balance)</t>
  </si>
  <si>
    <t>Expense Head</t>
  </si>
  <si>
    <t>Less: 25% Surplus trfd. to Reserves</t>
  </si>
  <si>
    <t>Wing</t>
  </si>
  <si>
    <t>31.03.24</t>
  </si>
  <si>
    <t>29.04.23</t>
  </si>
  <si>
    <t>17.03.25</t>
  </si>
  <si>
    <t>17.04.23</t>
  </si>
  <si>
    <t>28.03.25</t>
  </si>
  <si>
    <t>14.03.25</t>
  </si>
  <si>
    <t>24.01.25</t>
  </si>
  <si>
    <t>21.01.25</t>
  </si>
  <si>
    <t>23.03.23</t>
  </si>
  <si>
    <t>04.12.24</t>
  </si>
  <si>
    <t>30.10.23</t>
  </si>
  <si>
    <t>18.09.23</t>
  </si>
  <si>
    <t>08.09.24</t>
  </si>
  <si>
    <t>25.06.24</t>
  </si>
  <si>
    <t>22.06.24</t>
  </si>
  <si>
    <t>05.06.24</t>
  </si>
  <si>
    <t>Guest Parking Charges</t>
  </si>
  <si>
    <t>CCTV AMC Expense</t>
  </si>
  <si>
    <t>Accrued Int 22-23</t>
  </si>
  <si>
    <t>TD0000415611_01</t>
  </si>
  <si>
    <t>TD1000721256</t>
  </si>
  <si>
    <t>TD1000721221</t>
  </si>
  <si>
    <t>TD1000106202</t>
  </si>
  <si>
    <t>TD0000415655</t>
  </si>
  <si>
    <t>TD0000415658</t>
  </si>
  <si>
    <t>TD0000415681_01</t>
  </si>
  <si>
    <t>TD0000415690_01</t>
  </si>
  <si>
    <t>TD0000415693_01</t>
  </si>
  <si>
    <t>TD0000415696_01</t>
  </si>
  <si>
    <t>TD0000415698_01</t>
  </si>
  <si>
    <t>TD1000106181</t>
  </si>
  <si>
    <t>TD0000415651_01</t>
  </si>
  <si>
    <t>TD1000106216</t>
  </si>
  <si>
    <t>TD1000106230</t>
  </si>
  <si>
    <t>TD1000182883</t>
  </si>
  <si>
    <t>TD1000182911</t>
  </si>
  <si>
    <t>TD1000346250</t>
  </si>
  <si>
    <t>TD1000295859</t>
  </si>
  <si>
    <t>TD1000225977</t>
  </si>
  <si>
    <t>TD1000290468</t>
  </si>
  <si>
    <t>TD1000290489</t>
  </si>
  <si>
    <t>TD1000717518</t>
  </si>
  <si>
    <t>TD1000717527</t>
  </si>
  <si>
    <t>TD1000717533</t>
  </si>
  <si>
    <t>Redevelopment Fund</t>
  </si>
  <si>
    <t>TD1000717573</t>
  </si>
  <si>
    <t>Education &amp; Training Fund</t>
  </si>
  <si>
    <t>TD1000717580</t>
  </si>
  <si>
    <t>TD1000717591</t>
  </si>
  <si>
    <t>02.02.24</t>
  </si>
  <si>
    <t>27.11.23</t>
  </si>
  <si>
    <t>Less: trf to Redevelopment Fund</t>
  </si>
  <si>
    <t>Less: trf to Education &amp; Training Fund</t>
  </si>
  <si>
    <t>Misc. Expenses</t>
  </si>
  <si>
    <t xml:space="preserve">CCTV AMC </t>
  </si>
  <si>
    <t>Advance Income Tax - FY. 2022-23</t>
  </si>
  <si>
    <t>23.03.26</t>
  </si>
  <si>
    <t>23.03.25</t>
  </si>
  <si>
    <t>23.03.24</t>
  </si>
  <si>
    <t>22.03.23</t>
  </si>
  <si>
    <t>27.03.26</t>
  </si>
  <si>
    <t>27.03.23</t>
  </si>
  <si>
    <t>22.03.26</t>
  </si>
  <si>
    <t>23.05.22</t>
  </si>
  <si>
    <t>23.05.24</t>
  </si>
  <si>
    <t>Professional Fee Payable</t>
  </si>
  <si>
    <t>TD0000400904_01</t>
  </si>
  <si>
    <t>Mr. Lovette Remedios</t>
  </si>
  <si>
    <t>Mr. Nigel P. A. Rodrigues</t>
  </si>
  <si>
    <t>Payables (Refer Schedule 7)</t>
  </si>
  <si>
    <t>Surplus/(Deficit) for the year</t>
  </si>
  <si>
    <t>Add: Surplus/(Defecit) for the year</t>
  </si>
  <si>
    <t>Less: Expenses incurred for the year</t>
  </si>
  <si>
    <t>March 31, 2024</t>
  </si>
  <si>
    <t>6605300016121_01</t>
  </si>
  <si>
    <t>27.11.24</t>
  </si>
  <si>
    <t>Accrued Int 23-24</t>
  </si>
  <si>
    <t>6605300013705_01</t>
  </si>
  <si>
    <t>02.05.25</t>
  </si>
  <si>
    <t>Property Tax Rebate Recovery</t>
  </si>
  <si>
    <t>Structural Audit Fees</t>
  </si>
  <si>
    <t>FY 23-24</t>
  </si>
  <si>
    <t>Advance from Members (Sch 5)</t>
  </si>
  <si>
    <t>Refundable Deposit (Sch 6)</t>
  </si>
  <si>
    <t>Mr. Robert D'Souza</t>
  </si>
  <si>
    <t>Mr. Cedric Rebello</t>
  </si>
  <si>
    <t>TD1000784123</t>
  </si>
  <si>
    <t>TD1001101183</t>
  </si>
  <si>
    <t>TD1001126438</t>
  </si>
  <si>
    <t>TD1001126443</t>
  </si>
  <si>
    <t>TD0000415622_01</t>
  </si>
  <si>
    <t>TD0000415625_01</t>
  </si>
  <si>
    <t>TD1001116944</t>
  </si>
  <si>
    <t>TD0000415675_02</t>
  </si>
  <si>
    <t>TD0000415677_02</t>
  </si>
  <si>
    <t>TD1001126336</t>
  </si>
  <si>
    <t>TD1001126359</t>
  </si>
  <si>
    <t xml:space="preserve">TD1001126389 </t>
  </si>
  <si>
    <t xml:space="preserve">TD1001126321 </t>
  </si>
  <si>
    <t>TD1000772667</t>
  </si>
  <si>
    <t>TD1000290759_01</t>
  </si>
  <si>
    <t>TD1001126341</t>
  </si>
  <si>
    <t>TD1001126346</t>
  </si>
  <si>
    <t>Journal No.</t>
  </si>
  <si>
    <t>Posted Date</t>
  </si>
  <si>
    <t>Comments</t>
  </si>
  <si>
    <t>Credit</t>
  </si>
  <si>
    <t>LF</t>
  </si>
  <si>
    <t>SF</t>
  </si>
  <si>
    <t>CAF</t>
  </si>
  <si>
    <t>GF</t>
  </si>
  <si>
    <t>PF</t>
  </si>
  <si>
    <t>PC</t>
  </si>
  <si>
    <t>ETF</t>
  </si>
  <si>
    <t>RDF</t>
  </si>
  <si>
    <t>LL</t>
  </si>
  <si>
    <t>Balance as per bank confirmation statement</t>
  </si>
  <si>
    <t>30.06.25</t>
  </si>
  <si>
    <t>20.06.25</t>
  </si>
  <si>
    <t>19.03.24</t>
  </si>
  <si>
    <t>19.06.25</t>
  </si>
  <si>
    <t>17.05.24</t>
  </si>
  <si>
    <t>29.03.23</t>
  </si>
  <si>
    <t>29.04.25</t>
  </si>
  <si>
    <t>09.05.23</t>
  </si>
  <si>
    <t>09.05.25</t>
  </si>
  <si>
    <t>18.09.25</t>
  </si>
  <si>
    <t>30.10.25</t>
  </si>
  <si>
    <t>24.02.24</t>
  </si>
  <si>
    <t>24.05.25</t>
  </si>
  <si>
    <t>08.06.25</t>
  </si>
  <si>
    <t>17.03.24</t>
  </si>
  <si>
    <t>17.06.25</t>
  </si>
  <si>
    <t>Member's Due (Refer Schedule 4)</t>
  </si>
  <si>
    <t>As per my Report of Even date</t>
  </si>
  <si>
    <t>For Amish S. Sangoi &amp; Co.</t>
  </si>
  <si>
    <t>Chartered Accountant</t>
  </si>
  <si>
    <t>[CA Amish S. Sangoi]</t>
  </si>
  <si>
    <t>M. No. 126151</t>
  </si>
  <si>
    <t>FRN : 0132656W</t>
  </si>
  <si>
    <t>Place : Mumbai</t>
  </si>
  <si>
    <t xml:space="preserve">               Panel No. 1015787</t>
  </si>
  <si>
    <t>Balance Sheet as at March 31, 2025</t>
  </si>
  <si>
    <t>March 31, 2025</t>
  </si>
  <si>
    <t xml:space="preserve">               Date : </t>
  </si>
  <si>
    <t xml:space="preserve">UDIN : </t>
  </si>
  <si>
    <t>to change FY 24-25 figures</t>
  </si>
  <si>
    <t>Income and Expenditure Account for the year ended March 31, 2025</t>
  </si>
  <si>
    <t>FY 24-25</t>
  </si>
  <si>
    <t>Schedule 1 - Liability - Funds as at 31st March 2025</t>
  </si>
  <si>
    <t>Schedule 2 - Details of Fixed Deposits as on 31st March 2025</t>
  </si>
  <si>
    <t>to work on this sheet</t>
  </si>
  <si>
    <t>Schedule 3 - Details of Fixed Assets as on 31st March 2025</t>
  </si>
  <si>
    <t>Opening W.D.V as on 01.04.2024</t>
  </si>
  <si>
    <t>Additions during the year before 30.09.2024</t>
  </si>
  <si>
    <t>Additions during the year after 30.09.2024</t>
  </si>
  <si>
    <t>Gross Block (at cost) as on 31.03.2025</t>
  </si>
  <si>
    <t>Closing W.D.V as on 31.03.2025</t>
  </si>
  <si>
    <t>Schedule 4: Member's Due as on 31st March 2025</t>
  </si>
  <si>
    <t>Schedule 5: Advance from Members as on 31st March 2025</t>
  </si>
  <si>
    <t>Schedule 6: Refundable Deposit as on 31st March 2025</t>
  </si>
  <si>
    <t>Schedule 7: Payables as on 31st March 2025</t>
  </si>
  <si>
    <t>002</t>
  </si>
  <si>
    <t>Ms. Valentine D'Souza</t>
  </si>
  <si>
    <t>Mrs. Rita D'Souza</t>
  </si>
  <si>
    <t>Mrs. Maria Pereira</t>
  </si>
  <si>
    <t>Mr. Egyptcio Coelho</t>
  </si>
  <si>
    <t>Mrs. Jasmine Fernandes</t>
  </si>
  <si>
    <t>Mr. Francis Pais</t>
  </si>
  <si>
    <t>Fire Extinguishers</t>
  </si>
  <si>
    <t>Jiya Fire Protection</t>
  </si>
  <si>
    <t>Saraswat Bank Reconciliation Statement as on 31st March 2025</t>
  </si>
  <si>
    <t xml:space="preserve">Add: </t>
  </si>
  <si>
    <t>Cheque issued but not cleared</t>
  </si>
  <si>
    <t>Cheq. #</t>
  </si>
  <si>
    <t>26.03.25</t>
  </si>
  <si>
    <t>Cleared</t>
  </si>
  <si>
    <t>03.04.25</t>
  </si>
  <si>
    <t>Prakash Electric</t>
  </si>
  <si>
    <t>MDCC Bank Reconciliation Statement as on 31st March 2025</t>
  </si>
  <si>
    <t>Bank of Baroda Reconciliation Statement as on 31st March 2025</t>
  </si>
  <si>
    <t>CA Amish Sangoi</t>
  </si>
  <si>
    <t>Rs.3,600 provision for FY 24-25</t>
  </si>
  <si>
    <t>Provision</t>
  </si>
  <si>
    <t>Interest on Income Tax Refund</t>
  </si>
  <si>
    <t>Miscellaneous Income</t>
  </si>
  <si>
    <t>Fire Fighting Expenses</t>
  </si>
  <si>
    <t>Legal Fees</t>
  </si>
  <si>
    <t>Add: Excess Prof. Fees Prov. written back</t>
  </si>
  <si>
    <t>Repair &amp; Maintenance/Painting Fund</t>
  </si>
  <si>
    <t>New FD</t>
  </si>
  <si>
    <t>Dr</t>
  </si>
  <si>
    <t>TDS</t>
  </si>
  <si>
    <t>Old FD</t>
  </si>
  <si>
    <t>Cr</t>
  </si>
  <si>
    <t>Int on FD</t>
  </si>
  <si>
    <t>Acc</t>
  </si>
  <si>
    <t>Int</t>
  </si>
  <si>
    <t>A/c #</t>
  </si>
  <si>
    <t>TD1000772659</t>
  </si>
  <si>
    <t>TD1000182883_01</t>
  </si>
  <si>
    <t>Accrued Int 24-25</t>
  </si>
  <si>
    <t>TD0000415687_02</t>
  </si>
  <si>
    <t>TD0000415693_02</t>
  </si>
  <si>
    <t>TD0000415690_02</t>
  </si>
  <si>
    <t>TD0000415655_01</t>
  </si>
  <si>
    <t>TD1000106181_01</t>
  </si>
  <si>
    <t>27.11.25</t>
  </si>
  <si>
    <t>TD0000415696_02</t>
  </si>
  <si>
    <t>TD0000415681_02</t>
  </si>
  <si>
    <t>TD1000106202_01</t>
  </si>
  <si>
    <t>TD1000106230_01</t>
  </si>
  <si>
    <t>TD0000415698_02</t>
  </si>
  <si>
    <t>TD1000182911_01</t>
  </si>
  <si>
    <t>TD1000106216_01</t>
  </si>
  <si>
    <t>TD1000290759_02</t>
  </si>
  <si>
    <t>TD1000717533_01</t>
  </si>
  <si>
    <t>TD1000346250_01</t>
  </si>
  <si>
    <t>TD1000717591_01</t>
  </si>
  <si>
    <t>TD1000717573_01</t>
  </si>
  <si>
    <t>TD1000717580_01</t>
  </si>
  <si>
    <t>TD1001583325</t>
  </si>
  <si>
    <t>28.07.26</t>
  </si>
  <si>
    <t>TD1001583375</t>
  </si>
  <si>
    <t>TD1001583354</t>
  </si>
  <si>
    <t>TD1001583365</t>
  </si>
  <si>
    <t>04.12.27</t>
  </si>
  <si>
    <t>05.06.27</t>
  </si>
  <si>
    <t>25.06.27</t>
  </si>
  <si>
    <t>22.06.27</t>
  </si>
  <si>
    <t>Fund</t>
  </si>
  <si>
    <t>JE-2024-0000123</t>
  </si>
  <si>
    <t>17-05-2024</t>
  </si>
  <si>
    <t>Being FD   TD1000290759 01 renewed on maturity - LF SCB</t>
  </si>
  <si>
    <t>JE-2024-0000001</t>
  </si>
  <si>
    <t>23-05-2024</t>
  </si>
  <si>
    <t>Being recd int. on FD   TD1000346250 LL SCB</t>
  </si>
  <si>
    <t>JE-2024-0000105</t>
  </si>
  <si>
    <t>05-06-2024</t>
  </si>
  <si>
    <t>Being FD   TD0000415687 01 renewed on maturity - SF SCB</t>
  </si>
  <si>
    <t>JE-2024-0000114</t>
  </si>
  <si>
    <t>Being FD   TD0000415696 01 renewed on maturity - PF SCB</t>
  </si>
  <si>
    <t>JE-2024-0000107</t>
  </si>
  <si>
    <t>22-06-2024</t>
  </si>
  <si>
    <t>Being FD   TD0000415690 01 renewed on maturity - SF SCB</t>
  </si>
  <si>
    <t>JE-2024-0000121</t>
  </si>
  <si>
    <t>Being FD   TD0000415698 01 renewed on maturity - LF SCB</t>
  </si>
  <si>
    <t>JE-2024-0000106</t>
  </si>
  <si>
    <t>25-06-2024</t>
  </si>
  <si>
    <t>Being FD   TD0000415693 01 renewed on maturity - SF SCB</t>
  </si>
  <si>
    <t>JE-2024-0000012</t>
  </si>
  <si>
    <t>30-06-2024</t>
  </si>
  <si>
    <t>Being Interest Received on Fixed Deposit TD0000400904 SCB</t>
  </si>
  <si>
    <t>SC</t>
  </si>
  <si>
    <t>JE-2024-0000013</t>
  </si>
  <si>
    <t>Being Interest Received on Fixed Deposit TD1000225977 SCB</t>
  </si>
  <si>
    <t>JE-2024-0000014</t>
  </si>
  <si>
    <t>Being Interest Received on Fixed Deposit TD1000295859 LL - SCB</t>
  </si>
  <si>
    <t>JE-2024-0000015</t>
  </si>
  <si>
    <t>Being Interest Received on Fixed Deposit TD1000346250 LL - SCB</t>
  </si>
  <si>
    <t>JE-2024-0000016</t>
  </si>
  <si>
    <t>Being Interest Received on Fixed Deposit TD1000717591 LL - SCB</t>
  </si>
  <si>
    <t>JE-2024-0000017</t>
  </si>
  <si>
    <t>being interest on fixed deposit TD 1000772659 LL - SCB</t>
  </si>
  <si>
    <t>JE-2024-0000111</t>
  </si>
  <si>
    <t>08-09-2024</t>
  </si>
  <si>
    <t>Being FD   TD1000106181 renewed on maturity - SF SCB</t>
  </si>
  <si>
    <t>JE-2024-0000116</t>
  </si>
  <si>
    <t>Being FD   TD1000106202 renewed on maturity - PF SCB</t>
  </si>
  <si>
    <t>JE-2024-0000117</t>
  </si>
  <si>
    <t>Being FD   TD1000106230 renewed on maturity - CAF SCB</t>
  </si>
  <si>
    <t>JE-2024-0000120</t>
  </si>
  <si>
    <t>Being FD   TD1000106216 renewed on maturity - LF SCB</t>
  </si>
  <si>
    <t>JE-2024-0000019</t>
  </si>
  <si>
    <t>30-09-2024</t>
  </si>
  <si>
    <t>being interest on fixed deposit TD 0000400904 SCB</t>
  </si>
  <si>
    <t>JE-2024-0000021</t>
  </si>
  <si>
    <t>being interest on fixed deposit TD 1000717591 LL - SCB</t>
  </si>
  <si>
    <t>JE-2024-0000022</t>
  </si>
  <si>
    <t>being interest on fixed deposit TD 1000346250 LL - SCB</t>
  </si>
  <si>
    <t>JE-2024-0000023</t>
  </si>
  <si>
    <t>JE-2024-0000024</t>
  </si>
  <si>
    <t>being interest on fixed deposit TD000225977 SCB</t>
  </si>
  <si>
    <t>JE-2024-0000025</t>
  </si>
  <si>
    <t>JE-2024-0000150</t>
  </si>
  <si>
    <t>27-11-2024</t>
  </si>
  <si>
    <t>Being FD   6605300016121 01 renewed on maturity PC - MDCC</t>
  </si>
  <si>
    <t>JE-2024-0000104</t>
  </si>
  <si>
    <t>04-12-2024</t>
  </si>
  <si>
    <t>Being FD   TD1000182883 renewed on maturity n new FD made - SF SCB</t>
  </si>
  <si>
    <t>JE-2024-0000115</t>
  </si>
  <si>
    <t>Being FD   TD0000415681 01 renewed on maturity - PF SCB</t>
  </si>
  <si>
    <t>JE-2024-0000122</t>
  </si>
  <si>
    <t>Being FD   TD1000182911 renewed on maturity - LF SCB</t>
  </si>
  <si>
    <t>JE-2024-0000027</t>
  </si>
  <si>
    <t>31-12-2024</t>
  </si>
  <si>
    <t>being interest on fixed  account TD0000400904 SCB</t>
  </si>
  <si>
    <t>JE-2024-0000028</t>
  </si>
  <si>
    <t>being interest on FIXED  account td 1000225977 SCB</t>
  </si>
  <si>
    <t>JE-2024-0000029</t>
  </si>
  <si>
    <t>JE-2024-0000030</t>
  </si>
  <si>
    <t>JE-2024-0000031</t>
  </si>
  <si>
    <t>JE-2024-0000032</t>
  </si>
  <si>
    <t>JE-2024-0000033</t>
  </si>
  <si>
    <t>21-01-2025</t>
  </si>
  <si>
    <t>Being interest on FD   TD0000400904 SCB</t>
  </si>
  <si>
    <t>JE-2024-0000036</t>
  </si>
  <si>
    <t>24-01-2025</t>
  </si>
  <si>
    <t>Being interest on FD   TD1000225977 SCB</t>
  </si>
  <si>
    <t>JE-2024-0000108</t>
  </si>
  <si>
    <t>14-03-2025</t>
  </si>
  <si>
    <t>Being FD   TD0000415658 renewed on maturity - SF SCB</t>
  </si>
  <si>
    <t>JE-2024-0000109</t>
  </si>
  <si>
    <t>Being FD   TD0000415651 01 renewed on maturity - SF SCB</t>
  </si>
  <si>
    <t>JE-2024-0000112</t>
  </si>
  <si>
    <t>17-03-2025</t>
  </si>
  <si>
    <t>Being FD   TD1000290489 renewed on maturity - SF SCB</t>
  </si>
  <si>
    <t>JE-2024-0000113</t>
  </si>
  <si>
    <t>Being FD   TD1000290468 renewed on maturity - PC SCB</t>
  </si>
  <si>
    <t>JE-2024-0000040</t>
  </si>
  <si>
    <t>23-03-2025</t>
  </si>
  <si>
    <t>Being FD interest TD1000717591 - LL SCB</t>
  </si>
  <si>
    <t>JE-2024-0000124</t>
  </si>
  <si>
    <t>Being FD   TD1000717533 renewed on maturity - LF SCB</t>
  </si>
  <si>
    <t>JE-2024-0000127</t>
  </si>
  <si>
    <t>Being FD   TD1000717573 renewed on maturity - RDF SCB</t>
  </si>
  <si>
    <t>JE-2024-0000128</t>
  </si>
  <si>
    <t>Being FD   TD1000717580 renewed on maturity - ETF SCB</t>
  </si>
  <si>
    <t>JE-2024-0000110</t>
  </si>
  <si>
    <t>28-03-2025</t>
  </si>
  <si>
    <t>Being FD   TD0000415655 renewed on maturity - SF SCB</t>
  </si>
  <si>
    <t>JE-2024-0000046</t>
  </si>
  <si>
    <t>31-03-2025</t>
  </si>
  <si>
    <t>Being interest recd on FD   TD0000400904 01 SC - SCB</t>
  </si>
  <si>
    <t>JE-2024-0000047</t>
  </si>
  <si>
    <t>Being interest recd on FD   TD1000225977 SC - SCB</t>
  </si>
  <si>
    <t>JE-2024-0000048</t>
  </si>
  <si>
    <t>Being interest recd on FD   TD1000295859 LL - SCB</t>
  </si>
  <si>
    <t>JE-2024-0000049</t>
  </si>
  <si>
    <t>Being interest recd on FD   TD1000717591 LL - SCB</t>
  </si>
  <si>
    <t>JE-2024-0000050</t>
  </si>
  <si>
    <t>Being interest recd on FD   TD1000346250 LL - SCB</t>
  </si>
  <si>
    <t>JE-2024-0000051</t>
  </si>
  <si>
    <t>Being interest recd on FD   TD1000772659 LL - SCB</t>
  </si>
  <si>
    <t>JE-2024-0000129</t>
  </si>
  <si>
    <t>Being accrued interest recd on FD   TD1001116944 - SF SCB</t>
  </si>
  <si>
    <t>JE-2024-0000130</t>
  </si>
  <si>
    <t>Being accrued interest recd on FD   TD0000415625 01 SF - SCB</t>
  </si>
  <si>
    <t>JE-2024-0000131</t>
  </si>
  <si>
    <t>Being accrued interest recd on FD   TD1000721256 SF - SCB</t>
  </si>
  <si>
    <t>JE-2024-0000132</t>
  </si>
  <si>
    <t>Being accrued interest recd on FD   TD0000415677 02 SF - SCB</t>
  </si>
  <si>
    <t>JE-2024-0000133</t>
  </si>
  <si>
    <t>Being accrued interest recd on FD   TD0000415611 01 SF - SCB</t>
  </si>
  <si>
    <t>JE-2024-0000134</t>
  </si>
  <si>
    <t>Being accrued interest recd on FD   TD0000415622 01 SF - SCB</t>
  </si>
  <si>
    <t>JE-2024-0000135</t>
  </si>
  <si>
    <t>Being accrued interest recd on FD   TD1000772667 SF - SCB</t>
  </si>
  <si>
    <t>JE-2024-0000136</t>
  </si>
  <si>
    <t>Being accrued interest recd on FD   TD1000717518 SF - SCB</t>
  </si>
  <si>
    <t>JE-2024-0000137</t>
  </si>
  <si>
    <t>Being accrued interest recd on FD   TD1001126336 SF - SCB</t>
  </si>
  <si>
    <t>JE-2024-0000138</t>
  </si>
  <si>
    <t>Being accrued interest recd on FD   TD1000784123 GF - SCB</t>
  </si>
  <si>
    <t>JE-2024-0000139</t>
  </si>
  <si>
    <t>Being accrued interest recd on FD   TD1001126359 GF - SCB</t>
  </si>
  <si>
    <t>JE-2024-0000140</t>
  </si>
  <si>
    <t>Being accrued interest recd on FD   TD1000721221 PF - SCB</t>
  </si>
  <si>
    <t>JE-2024-0000141</t>
  </si>
  <si>
    <t>Being accrued interest recd on FD   TD1001126438 PF - SCB</t>
  </si>
  <si>
    <t>JE-2024-0000142</t>
  </si>
  <si>
    <t>Being accrued interest recd on FD   TD1000717527 PF - SCB</t>
  </si>
  <si>
    <t>JE-2024-0000143</t>
  </si>
  <si>
    <t>Being accrued interest recd on FD   TD1001126341 PF - SCB</t>
  </si>
  <si>
    <t>JE-2024-0000144</t>
  </si>
  <si>
    <t>Being accrued interest recd on FD   TD0000415675 02 CAF - SCB</t>
  </si>
  <si>
    <t>JE-2024-0000145</t>
  </si>
  <si>
    <t>Being accrued interest recd on FD   TD1001101183 CAF - SCB</t>
  </si>
  <si>
    <t>JE-2024-0000146</t>
  </si>
  <si>
    <t>Being accrued interest recd on FD   TD1001126443 LF - SCB</t>
  </si>
  <si>
    <t>JE-2024-0000147</t>
  </si>
  <si>
    <t>Being accrued interest recd on FD   TD1001126389 LF - SCB</t>
  </si>
  <si>
    <t>JE-2024-0000148</t>
  </si>
  <si>
    <t>Being accrued interest recd on FD   TD1001126321 RDF - SCB</t>
  </si>
  <si>
    <t>JE-2024-0000149</t>
  </si>
  <si>
    <t>Being accrued interest recd on FD   TD1001126346 ETF - SCB</t>
  </si>
  <si>
    <t>JE-2024-0000151</t>
  </si>
  <si>
    <t>Being accrued interest recd on FD   6605300013705 01 GF - MDCC</t>
  </si>
  <si>
    <t>JE-2024-0000152</t>
  </si>
  <si>
    <t>Being accrued interest recd on FD   6605300016121 01 PC - MDCC</t>
  </si>
  <si>
    <t>JE-2024-0000153</t>
  </si>
  <si>
    <t>Being interest accrued on FD   TD1000182883 01 SF - SCB</t>
  </si>
  <si>
    <t>JE-2024-0000155</t>
  </si>
  <si>
    <t>Being interest accrued on FD   TD0000415693 02 SF - SCB</t>
  </si>
  <si>
    <t>JE-2024-0000156</t>
  </si>
  <si>
    <t>Being interest accrued on FD   TD0000415690 02 SF - SCB</t>
  </si>
  <si>
    <t>JE-2024-0000157</t>
  </si>
  <si>
    <t>Being interest accrued on FD   TD0000415658 01 SF - SCB</t>
  </si>
  <si>
    <t>JE-2024-0000158</t>
  </si>
  <si>
    <t>Being interest accrued on FD   TD0000415651 02 SF - SCB</t>
  </si>
  <si>
    <t>JE-2024-0000159</t>
  </si>
  <si>
    <t>Being interest accrued on FD   TD0000415655 01 SF - SCB</t>
  </si>
  <si>
    <t>JE-2024-0000160</t>
  </si>
  <si>
    <t>Being interest accrued on FD   TD1000106181 01 SF - SCB</t>
  </si>
  <si>
    <t>JE-2024-0000161</t>
  </si>
  <si>
    <t>Being interest accrued on FD   TD1000290489 01 SF - SCB</t>
  </si>
  <si>
    <t>JE-2024-0000162</t>
  </si>
  <si>
    <t>Being interest accrued on FD   TD1001583325 SF - SCB</t>
  </si>
  <si>
    <t>JE-2024-0000163</t>
  </si>
  <si>
    <t>Being interest accrued on FD   TD1001583375 GF - SCB</t>
  </si>
  <si>
    <t>JE-2024-0000164</t>
  </si>
  <si>
    <t>Being interest accrued on FD   TD1000290468 01 PC - SCB</t>
  </si>
  <si>
    <t>JE-2024-0000165</t>
  </si>
  <si>
    <t>Being interest accrued on FD   TD0000415696 02  PF - SCB</t>
  </si>
  <si>
    <t>JE-2024-0000166</t>
  </si>
  <si>
    <t>Being interest accrued on FD   TD0000415681 02 PF - SCB</t>
  </si>
  <si>
    <t>JE-2024-0000167</t>
  </si>
  <si>
    <t>Being interest accrued on FD   TD1000106202 01 PF - SCB</t>
  </si>
  <si>
    <t>JE-2024-0000168</t>
  </si>
  <si>
    <t>Being interest accrued on FD   TD1001583354 PF - SCB</t>
  </si>
  <si>
    <t>JE-2024-0000169</t>
  </si>
  <si>
    <t>Being interest accrued on FD   TD1000106230 01 CAF - SCB</t>
  </si>
  <si>
    <t>JE-2024-0000170</t>
  </si>
  <si>
    <t>Being interest accrued on FD   TD0000415698 02 LF - SCB</t>
  </si>
  <si>
    <t>JE-2024-0000171</t>
  </si>
  <si>
    <t>Being interest accrued on FD   TD1000182911 01 LF - SCB</t>
  </si>
  <si>
    <t>JE-2024-0000172</t>
  </si>
  <si>
    <t>Being interest accrued on FD   TD1000106216 01 LF - SCB</t>
  </si>
  <si>
    <t>JE-2024-0000173</t>
  </si>
  <si>
    <t>Being interest accrued on FD   TD1000290759 02 LF - SCB</t>
  </si>
  <si>
    <t>JE-2024-0000174</t>
  </si>
  <si>
    <t>Being accrued interest recd on FD   TD1000717533 01 LF - SCB</t>
  </si>
  <si>
    <t>JE-2024-0000175</t>
  </si>
  <si>
    <t>Being accrued interest recd on FD   TD1000717573 01 RDF - SCB</t>
  </si>
  <si>
    <t>JE-2024-0000176</t>
  </si>
  <si>
    <t>Being accrued interest recd on FD   TD1000717580 01 ETF - SCB</t>
  </si>
  <si>
    <t>JE-2024-0000177</t>
  </si>
  <si>
    <t>Being accrued interest recd on FD   TD1001583365 ETF - SCB</t>
  </si>
  <si>
    <t>TD1001583745</t>
  </si>
  <si>
    <t>TD1001583749</t>
  </si>
  <si>
    <t>TD1001583757</t>
  </si>
  <si>
    <t>TD1001583788</t>
  </si>
  <si>
    <t>08.09.27</t>
  </si>
  <si>
    <t>TD0000400904_02</t>
  </si>
  <si>
    <t>TD1000225977_01</t>
  </si>
  <si>
    <t>21.01.24</t>
  </si>
  <si>
    <t>24.01.24</t>
  </si>
  <si>
    <t>21.01.28</t>
  </si>
  <si>
    <t>24.01.28</t>
  </si>
  <si>
    <t>23.07.26</t>
  </si>
  <si>
    <t>23.05.26</t>
  </si>
  <si>
    <t>JE-2024-0000178</t>
  </si>
  <si>
    <t>JE-2024-0000180</t>
  </si>
  <si>
    <t>JE-2024-0000182</t>
  </si>
  <si>
    <t>JE-2024-0000184</t>
  </si>
  <si>
    <t>JE-2024-0000186</t>
  </si>
  <si>
    <t>Being interest accrued on FD TD0000415687 02 SF - SCB</t>
  </si>
  <si>
    <t>Being accrued interest recd on FD TD1001583745 SF - SCB</t>
  </si>
  <si>
    <t>Being interest accrued on FD TD1001583749 SF - SCB</t>
  </si>
  <si>
    <t>Being accrued interest recd on FD TD1001583757 SF - SCB</t>
  </si>
  <si>
    <t>Being accrued interest recd on FD TD1001583788 PC - SCB</t>
  </si>
  <si>
    <t>Saraswat</t>
  </si>
  <si>
    <t>LL + SC</t>
  </si>
  <si>
    <t>Account Head</t>
  </si>
  <si>
    <t>Description</t>
  </si>
  <si>
    <t>Uploading FY 23-24 &amp; FY 24-25</t>
  </si>
  <si>
    <t>I. Tax Returns FY 24-25</t>
  </si>
  <si>
    <t>A+B</t>
  </si>
  <si>
    <t>25% entry not passed now, will pass once audit is finalized.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</si>
</sst>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8">
    <xf numFmtId="0" fontId="0" fillId="0" borderId="0" xfId="0"/>
    <xf numFmtId="43" fontId="0" fillId="0" borderId="0" xfId="1" applyFont="1" applyAlignment="1">
      <alignment vertical="center"/>
    </xf>
    <xf numFmtId="43" fontId="0" fillId="0" borderId="3" xfId="1" applyFont="1" applyBorder="1" applyAlignment="1">
      <alignment vertical="center"/>
    </xf>
    <xf numFmtId="43" fontId="0" fillId="0" borderId="4" xfId="1" applyFont="1" applyBorder="1" applyAlignment="1">
      <alignment vertical="center"/>
    </xf>
    <xf numFmtId="43" fontId="0" fillId="0" borderId="0" xfId="1" applyFont="1" applyAlignment="1">
      <alignment horizontal="center" vertical="center"/>
    </xf>
    <xf numFmtId="43" fontId="0" fillId="0" borderId="9" xfId="1" applyFont="1" applyBorder="1" applyAlignment="1">
      <alignment vertical="center"/>
    </xf>
    <xf numFmtId="43" fontId="0" fillId="0" borderId="5" xfId="1" applyFont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0" fontId="2" fillId="0" borderId="3" xfId="1" applyNumberFormat="1" applyFont="1" applyBorder="1" applyAlignment="1">
      <alignment vertical="center"/>
    </xf>
    <xf numFmtId="43" fontId="2" fillId="0" borderId="9" xfId="1" applyFont="1" applyBorder="1" applyAlignment="1">
      <alignment vertical="center"/>
    </xf>
    <xf numFmtId="43" fontId="2" fillId="0" borderId="0" xfId="1" applyFont="1" applyAlignment="1">
      <alignment vertical="center"/>
    </xf>
    <xf numFmtId="0" fontId="0" fillId="0" borderId="0" xfId="0" applyAlignment="1">
      <alignment horizontal="center"/>
    </xf>
    <xf numFmtId="43" fontId="0" fillId="0" borderId="0" xfId="1" applyFont="1"/>
    <xf numFmtId="43" fontId="1" fillId="0" borderId="3" xfId="1" applyFont="1" applyBorder="1" applyAlignment="1">
      <alignment vertical="center"/>
    </xf>
    <xf numFmtId="43" fontId="2" fillId="0" borderId="10" xfId="1" applyFont="1" applyBorder="1" applyAlignment="1">
      <alignment vertical="center"/>
    </xf>
    <xf numFmtId="43" fontId="0" fillId="0" borderId="0" xfId="1" applyFont="1" applyAlignment="1">
      <alignment horizontal="center"/>
    </xf>
    <xf numFmtId="43" fontId="2" fillId="0" borderId="3" xfId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43" fontId="2" fillId="0" borderId="11" xfId="1" applyFont="1" applyBorder="1" applyAlignment="1">
      <alignment horizontal="center"/>
    </xf>
    <xf numFmtId="43" fontId="0" fillId="0" borderId="0" xfId="0" applyNumberFormat="1"/>
    <xf numFmtId="0" fontId="2" fillId="0" borderId="1" xfId="0" applyFont="1" applyBorder="1" applyAlignment="1">
      <alignment horizontal="center"/>
    </xf>
    <xf numFmtId="14" fontId="0" fillId="0" borderId="0" xfId="0" applyNumberFormat="1"/>
    <xf numFmtId="165" fontId="0" fillId="0" borderId="0" xfId="1" applyNumberFormat="1" applyFont="1"/>
    <xf numFmtId="14" fontId="0" fillId="0" borderId="2" xfId="0" applyNumberFormat="1" applyBorder="1"/>
    <xf numFmtId="43" fontId="0" fillId="0" borderId="2" xfId="1" applyFont="1" applyBorder="1"/>
    <xf numFmtId="43" fontId="2" fillId="0" borderId="7" xfId="1" applyFont="1" applyBorder="1"/>
    <xf numFmtId="0" fontId="2" fillId="0" borderId="0" xfId="0" applyFont="1"/>
    <xf numFmtId="43" fontId="2" fillId="0" borderId="0" xfId="1" applyFont="1"/>
    <xf numFmtId="43" fontId="0" fillId="0" borderId="9" xfId="1" applyFont="1" applyBorder="1"/>
    <xf numFmtId="43" fontId="2" fillId="0" borderId="9" xfId="1" applyFont="1" applyBorder="1"/>
    <xf numFmtId="43" fontId="2" fillId="0" borderId="1" xfId="1" applyFont="1" applyBorder="1"/>
    <xf numFmtId="4" fontId="0" fillId="0" borderId="0" xfId="0" applyNumberFormat="1"/>
    <xf numFmtId="0" fontId="0" fillId="0" borderId="1" xfId="0" quotePrefix="1" applyBorder="1" applyAlignment="1">
      <alignment horizontal="center"/>
    </xf>
    <xf numFmtId="43" fontId="0" fillId="0" borderId="1" xfId="1" applyFont="1" applyBorder="1"/>
    <xf numFmtId="0" fontId="0" fillId="0" borderId="1" xfId="0" quotePrefix="1" applyBorder="1"/>
    <xf numFmtId="43" fontId="1" fillId="0" borderId="9" xfId="1" applyFont="1" applyBorder="1" applyAlignment="1">
      <alignment vertical="center"/>
    </xf>
    <xf numFmtId="43" fontId="0" fillId="0" borderId="0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right"/>
    </xf>
    <xf numFmtId="0" fontId="0" fillId="0" borderId="9" xfId="0" applyBorder="1"/>
    <xf numFmtId="43" fontId="0" fillId="0" borderId="7" xfId="1" applyFont="1" applyBorder="1" applyAlignment="1">
      <alignment horizontal="center" vertical="center" wrapText="1"/>
    </xf>
    <xf numFmtId="0" fontId="2" fillId="0" borderId="1" xfId="0" applyFont="1" applyBorder="1"/>
    <xf numFmtId="43" fontId="0" fillId="0" borderId="14" xfId="1" applyFont="1" applyBorder="1" applyAlignment="1">
      <alignment horizontal="center"/>
    </xf>
    <xf numFmtId="0" fontId="0" fillId="2" borderId="0" xfId="0" applyFill="1"/>
    <xf numFmtId="43" fontId="0" fillId="0" borderId="4" xfId="1" applyFont="1" applyFill="1" applyBorder="1" applyAlignment="1">
      <alignment vertical="center"/>
    </xf>
    <xf numFmtId="0" fontId="2" fillId="0" borderId="11" xfId="0" applyFont="1" applyBorder="1"/>
    <xf numFmtId="43" fontId="2" fillId="0" borderId="9" xfId="1" applyFont="1" applyFill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43" fontId="0" fillId="2" borderId="0" xfId="1" applyFont="1" applyFill="1"/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10" fontId="0" fillId="0" borderId="1" xfId="1" applyNumberFormat="1" applyFont="1" applyFill="1" applyBorder="1"/>
    <xf numFmtId="43" fontId="2" fillId="0" borderId="1" xfId="1" applyFont="1" applyFill="1" applyBorder="1" applyAlignment="1">
      <alignment horizontal="right"/>
    </xf>
    <xf numFmtId="43" fontId="1" fillId="0" borderId="0" xfId="1" applyFont="1"/>
    <xf numFmtId="0" fontId="2" fillId="0" borderId="3" xfId="1" applyNumberFormat="1" applyFont="1" applyBorder="1" applyAlignment="1"/>
    <xf numFmtId="43" fontId="1" fillId="0" borderId="0" xfId="1" applyFont="1" applyBorder="1"/>
    <xf numFmtId="43" fontId="1" fillId="0" borderId="14" xfId="1" applyFont="1" applyBorder="1"/>
    <xf numFmtId="43" fontId="0" fillId="0" borderId="0" xfId="1" applyFont="1" applyFill="1"/>
    <xf numFmtId="43" fontId="2" fillId="0" borderId="1" xfId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horizontal="center" vertical="center"/>
    </xf>
    <xf numFmtId="43" fontId="0" fillId="0" borderId="12" xfId="1" applyFont="1" applyFill="1" applyBorder="1"/>
    <xf numFmtId="43" fontId="2" fillId="0" borderId="0" xfId="1" applyFont="1" applyFill="1"/>
    <xf numFmtId="43" fontId="2" fillId="0" borderId="12" xfId="1" applyFont="1" applyFill="1" applyBorder="1"/>
    <xf numFmtId="43" fontId="0" fillId="0" borderId="9" xfId="1" applyFont="1" applyFill="1" applyBorder="1"/>
    <xf numFmtId="43" fontId="2" fillId="0" borderId="9" xfId="1" applyFont="1" applyFill="1" applyBorder="1"/>
    <xf numFmtId="43" fontId="0" fillId="0" borderId="5" xfId="1" applyFont="1" applyFill="1" applyBorder="1"/>
    <xf numFmtId="43" fontId="0" fillId="0" borderId="0" xfId="1" applyFont="1" applyFill="1" applyBorder="1"/>
    <xf numFmtId="43" fontId="2" fillId="0" borderId="1" xfId="1" applyFont="1" applyFill="1" applyBorder="1"/>
    <xf numFmtId="43" fontId="2" fillId="0" borderId="6" xfId="1" applyFont="1" applyFill="1" applyBorder="1" applyAlignment="1"/>
    <xf numFmtId="43" fontId="2" fillId="0" borderId="8" xfId="1" applyFont="1" applyFill="1" applyBorder="1" applyAlignment="1"/>
    <xf numFmtId="43" fontId="0" fillId="0" borderId="13" xfId="1" applyFont="1" applyBorder="1" applyAlignment="1">
      <alignment vertical="center"/>
    </xf>
    <xf numFmtId="43" fontId="0" fillId="0" borderId="0" xfId="1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3" fontId="2" fillId="0" borderId="13" xfId="1" applyFont="1" applyFill="1" applyBorder="1" applyAlignment="1">
      <alignment horizontal="right"/>
    </xf>
    <xf numFmtId="43" fontId="0" fillId="0" borderId="0" xfId="1" applyFont="1" applyFill="1" applyBorder="1" applyAlignment="1">
      <alignment horizontal="center"/>
    </xf>
    <xf numFmtId="164" fontId="0" fillId="0" borderId="0" xfId="0" applyNumberFormat="1"/>
    <xf numFmtId="0" fontId="0" fillId="0" borderId="1" xfId="0" quotePrefix="1" applyBorder="1" applyAlignment="1">
      <alignment horizontal="left"/>
    </xf>
    <xf numFmtId="43" fontId="2" fillId="0" borderId="13" xfId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11" xfId="1" applyFont="1" applyFill="1" applyBorder="1" applyAlignment="1">
      <alignment horizontal="center"/>
    </xf>
    <xf numFmtId="165" fontId="0" fillId="0" borderId="1" xfId="1" applyNumberFormat="1" applyFont="1" applyBorder="1"/>
    <xf numFmtId="165" fontId="2" fillId="0" borderId="1" xfId="1" applyNumberFormat="1" applyFont="1" applyBorder="1"/>
    <xf numFmtId="43" fontId="0" fillId="0" borderId="0" xfId="1" applyFont="1" applyBorder="1" applyAlignment="1">
      <alignment vertical="center"/>
    </xf>
    <xf numFmtId="165" fontId="2" fillId="0" borderId="1" xfId="1" applyNumberFormat="1" applyFont="1" applyBorder="1" applyAlignment="1">
      <alignment horizontal="right"/>
    </xf>
    <xf numFmtId="43" fontId="2" fillId="0" borderId="22" xfId="1" applyFont="1" applyBorder="1" applyAlignment="1">
      <alignment horizontal="center" vertical="center"/>
    </xf>
    <xf numFmtId="43" fontId="2" fillId="0" borderId="23" xfId="1" applyFont="1" applyBorder="1" applyAlignment="1">
      <alignment horizontal="center" vertical="center"/>
    </xf>
    <xf numFmtId="43" fontId="0" fillId="0" borderId="24" xfId="1" applyFont="1" applyBorder="1" applyAlignment="1">
      <alignment vertical="center"/>
    </xf>
    <xf numFmtId="43" fontId="2" fillId="0" borderId="25" xfId="1" applyFont="1" applyBorder="1" applyAlignment="1">
      <alignment vertical="center"/>
    </xf>
    <xf numFmtId="43" fontId="0" fillId="0" borderId="26" xfId="1" applyFont="1" applyBorder="1" applyAlignment="1">
      <alignment vertical="center"/>
    </xf>
    <xf numFmtId="43" fontId="2" fillId="0" borderId="0" xfId="1" applyFont="1" applyBorder="1" applyAlignment="1">
      <alignment vertical="center"/>
    </xf>
    <xf numFmtId="43" fontId="2" fillId="0" borderId="25" xfId="1" applyFont="1" applyFill="1" applyBorder="1" applyAlignment="1">
      <alignment vertical="center"/>
    </xf>
    <xf numFmtId="43" fontId="0" fillId="0" borderId="0" xfId="1" applyFont="1" applyBorder="1" applyAlignment="1">
      <alignment horizontal="left" vertical="center" wrapText="1"/>
    </xf>
    <xf numFmtId="43" fontId="2" fillId="0" borderId="19" xfId="1" applyFont="1" applyBorder="1" applyAlignment="1">
      <alignment vertical="center"/>
    </xf>
    <xf numFmtId="43" fontId="2" fillId="0" borderId="27" xfId="1" applyFont="1" applyBorder="1" applyAlignment="1">
      <alignment vertical="center"/>
    </xf>
    <xf numFmtId="0" fontId="3" fillId="0" borderId="18" xfId="1" applyNumberFormat="1" applyFont="1" applyBorder="1" applyAlignment="1">
      <alignment vertical="center"/>
    </xf>
    <xf numFmtId="43" fontId="4" fillId="0" borderId="0" xfId="1" applyFont="1" applyBorder="1" applyAlignment="1">
      <alignment vertical="center"/>
    </xf>
    <xf numFmtId="0" fontId="4" fillId="0" borderId="18" xfId="1" applyNumberFormat="1" applyFont="1" applyBorder="1" applyAlignment="1">
      <alignment vertical="center"/>
    </xf>
    <xf numFmtId="43" fontId="3" fillId="0" borderId="18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0" fontId="3" fillId="0" borderId="28" xfId="1" applyNumberFormat="1" applyFont="1" applyBorder="1" applyAlignment="1">
      <alignment vertical="center"/>
    </xf>
    <xf numFmtId="43" fontId="4" fillId="0" borderId="29" xfId="1" applyFont="1" applyBorder="1" applyAlignment="1">
      <alignment vertical="center"/>
    </xf>
    <xf numFmtId="43" fontId="0" fillId="0" borderId="29" xfId="1" applyFont="1" applyBorder="1" applyAlignment="1">
      <alignment vertical="center"/>
    </xf>
    <xf numFmtId="43" fontId="2" fillId="0" borderId="30" xfId="1" applyFont="1" applyBorder="1" applyAlignment="1">
      <alignment vertical="center"/>
    </xf>
    <xf numFmtId="43" fontId="2" fillId="0" borderId="31" xfId="1" applyFont="1" applyBorder="1" applyAlignment="1">
      <alignment vertical="center"/>
    </xf>
    <xf numFmtId="43" fontId="2" fillId="0" borderId="34" xfId="1" applyFont="1" applyBorder="1" applyAlignment="1">
      <alignment vertical="center"/>
    </xf>
    <xf numFmtId="43" fontId="2" fillId="0" borderId="35" xfId="1" applyFont="1" applyBorder="1" applyAlignment="1">
      <alignment vertical="center"/>
    </xf>
    <xf numFmtId="0" fontId="3" fillId="0" borderId="15" xfId="1" applyNumberFormat="1" applyFont="1" applyBorder="1" applyAlignment="1">
      <alignment vertical="center"/>
    </xf>
    <xf numFmtId="43" fontId="4" fillId="0" borderId="16" xfId="1" applyFont="1" applyBorder="1" applyAlignment="1">
      <alignment vertical="center"/>
    </xf>
    <xf numFmtId="43" fontId="2" fillId="0" borderId="17" xfId="1" applyFont="1" applyBorder="1" applyAlignment="1">
      <alignment vertical="center"/>
    </xf>
    <xf numFmtId="43" fontId="1" fillId="0" borderId="24" xfId="1" applyFont="1" applyBorder="1" applyAlignment="1">
      <alignment vertical="center"/>
    </xf>
    <xf numFmtId="43" fontId="1" fillId="0" borderId="31" xfId="1" applyFont="1" applyBorder="1" applyAlignment="1">
      <alignment vertical="center"/>
    </xf>
    <xf numFmtId="43" fontId="1" fillId="0" borderId="34" xfId="1" applyFont="1" applyBorder="1" applyAlignment="1">
      <alignment vertical="center"/>
    </xf>
    <xf numFmtId="43" fontId="1" fillId="0" borderId="35" xfId="1" applyFont="1" applyBorder="1" applyAlignment="1">
      <alignment vertical="center"/>
    </xf>
    <xf numFmtId="0" fontId="0" fillId="0" borderId="1" xfId="0" applyBorder="1" applyAlignment="1">
      <alignment horizontal="right"/>
    </xf>
    <xf numFmtId="43" fontId="0" fillId="2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2" fontId="0" fillId="0" borderId="0" xfId="0" applyNumberFormat="1"/>
    <xf numFmtId="4" fontId="5" fillId="0" borderId="11" xfId="0" applyNumberFormat="1" applyFont="1" applyBorder="1"/>
    <xf numFmtId="43" fontId="0" fillId="0" borderId="5" xfId="1" applyFont="1" applyFill="1" applyBorder="1" applyAlignment="1">
      <alignment vertical="center"/>
    </xf>
    <xf numFmtId="43" fontId="1" fillId="0" borderId="9" xfId="1" applyFont="1" applyFill="1" applyBorder="1" applyAlignment="1">
      <alignment vertical="center"/>
    </xf>
    <xf numFmtId="43" fontId="0" fillId="0" borderId="9" xfId="1" applyFont="1" applyFill="1" applyBorder="1" applyAlignment="1">
      <alignment vertical="center"/>
    </xf>
    <xf numFmtId="43" fontId="0" fillId="0" borderId="4" xfId="1" applyFont="1" applyFill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165" fontId="0" fillId="0" borderId="0" xfId="0" applyNumberFormat="1"/>
    <xf numFmtId="165" fontId="0" fillId="0" borderId="1" xfId="1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right"/>
    </xf>
    <xf numFmtId="165" fontId="2" fillId="0" borderId="13" xfId="1" applyNumberFormat="1" applyFont="1" applyFill="1" applyBorder="1" applyAlignment="1">
      <alignment horizontal="right"/>
    </xf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Fill="1"/>
    <xf numFmtId="165" fontId="0" fillId="0" borderId="1" xfId="1" applyNumberFormat="1" applyFont="1" applyFill="1" applyBorder="1" applyAlignment="1">
      <alignment horizontal="center"/>
    </xf>
    <xf numFmtId="165" fontId="0" fillId="0" borderId="1" xfId="1" applyNumberFormat="1" applyFont="1" applyFill="1" applyBorder="1"/>
    <xf numFmtId="165" fontId="2" fillId="0" borderId="13" xfId="1" applyNumberFormat="1" applyFont="1" applyFill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165" fontId="2" fillId="0" borderId="11" xfId="1" applyNumberFormat="1" applyFont="1" applyFill="1" applyBorder="1" applyAlignment="1">
      <alignment horizontal="center"/>
    </xf>
    <xf numFmtId="165" fontId="0" fillId="0" borderId="13" xfId="1" applyNumberFormat="1" applyFont="1" applyFill="1" applyBorder="1"/>
    <xf numFmtId="43" fontId="2" fillId="0" borderId="32" xfId="1" applyFont="1" applyBorder="1" applyAlignment="1">
      <alignment horizontal="center" vertical="center"/>
    </xf>
    <xf numFmtId="43" fontId="2" fillId="0" borderId="33" xfId="1" applyFon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43" fontId="2" fillId="0" borderId="19" xfId="1" applyFont="1" applyBorder="1" applyAlignment="1">
      <alignment horizontal="center" vertical="center"/>
    </xf>
    <xf numFmtId="43" fontId="2" fillId="0" borderId="15" xfId="1" applyFont="1" applyBorder="1" applyAlignment="1">
      <alignment horizontal="center" vertical="center"/>
    </xf>
    <xf numFmtId="43" fontId="2" fillId="0" borderId="16" xfId="1" applyFont="1" applyBorder="1" applyAlignment="1">
      <alignment horizontal="center" vertical="center"/>
    </xf>
    <xf numFmtId="43" fontId="2" fillId="0" borderId="17" xfId="1" applyFont="1" applyBorder="1" applyAlignment="1">
      <alignment horizontal="center" vertical="center"/>
    </xf>
    <xf numFmtId="43" fontId="2" fillId="0" borderId="18" xfId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0" borderId="19" xfId="1" applyFont="1" applyBorder="1" applyAlignment="1">
      <alignment horizontal="center" vertical="center"/>
    </xf>
    <xf numFmtId="43" fontId="2" fillId="0" borderId="20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0" borderId="21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1" fillId="0" borderId="32" xfId="1" applyFont="1" applyBorder="1" applyAlignment="1">
      <alignment horizontal="center" vertical="center"/>
    </xf>
    <xf numFmtId="43" fontId="1" fillId="0" borderId="33" xfId="1" applyFont="1" applyBorder="1" applyAlignment="1">
      <alignment horizontal="center" vertical="center"/>
    </xf>
    <xf numFmtId="43" fontId="0" fillId="0" borderId="0" xfId="1" applyFont="1" applyFill="1" applyAlignment="1">
      <alignment horizontal="center"/>
    </xf>
    <xf numFmtId="43" fontId="1" fillId="0" borderId="0" xfId="1" applyFont="1" applyFill="1" applyAlignment="1">
      <alignment horizontal="center"/>
    </xf>
    <xf numFmtId="43" fontId="2" fillId="0" borderId="0" xfId="1" applyFont="1" applyFill="1" applyAlignment="1">
      <alignment horizontal="center"/>
    </xf>
    <xf numFmtId="4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0" fillId="0" borderId="14" xfId="1" applyFont="1" applyFill="1" applyBorder="1" applyAlignment="1">
      <alignment horizontal="center"/>
    </xf>
    <xf numFmtId="43" fontId="0" fillId="0" borderId="14" xfId="1" applyFont="1" applyBorder="1" applyAlignment="1">
      <alignment horizontal="center"/>
    </xf>
    <xf numFmtId="43" fontId="1" fillId="0" borderId="14" xfId="1" applyFont="1" applyBorder="1" applyAlignment="1">
      <alignment horizontal="center" vertical="center"/>
    </xf>
    <xf numFmtId="43" fontId="1" fillId="0" borderId="0" xfId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zoomScaleNormal="100" workbookViewId="0">
      <selection activeCell="F22" sqref="F22"/>
    </sheetView>
  </sheetViews>
  <sheetFormatPr defaultColWidth="8.88671875" defaultRowHeight="14.4" x14ac:dyDescent="0.3"/>
  <cols>
    <col min="1" max="1" width="15.6640625" style="1" customWidth="1"/>
    <col min="2" max="2" width="37.109375" style="1" bestFit="1" customWidth="1"/>
    <col min="3" max="3" width="12.33203125" style="1" bestFit="1" customWidth="1"/>
    <col min="4" max="4" width="14.88671875" style="10" bestFit="1" customWidth="1"/>
    <col min="5" max="5" width="14.88671875" style="1" bestFit="1" customWidth="1"/>
    <col min="6" max="6" width="42.21875" style="1" bestFit="1" customWidth="1"/>
    <col min="7" max="7" width="12.33203125" style="1" bestFit="1" customWidth="1"/>
    <col min="8" max="8" width="14.88671875" style="10" bestFit="1" customWidth="1"/>
    <col min="9" max="9" width="12" style="1" bestFit="1" customWidth="1"/>
    <col min="10" max="10" width="11.109375" style="1" bestFit="1" customWidth="1"/>
    <col min="11" max="11" width="8.88671875" style="1"/>
    <col min="12" max="12" width="9.5546875" style="1" bestFit="1" customWidth="1"/>
    <col min="13" max="16384" width="8.88671875" style="1"/>
  </cols>
  <sheetData>
    <row r="1" spans="1:8" x14ac:dyDescent="0.3">
      <c r="A1" s="150" t="s">
        <v>89</v>
      </c>
      <c r="B1" s="151"/>
      <c r="C1" s="151"/>
      <c r="D1" s="151"/>
      <c r="E1" s="151"/>
      <c r="F1" s="151"/>
      <c r="G1" s="151"/>
      <c r="H1" s="152"/>
    </row>
    <row r="2" spans="1:8" x14ac:dyDescent="0.3">
      <c r="A2" s="153" t="s">
        <v>105</v>
      </c>
      <c r="B2" s="148"/>
      <c r="C2" s="148"/>
      <c r="D2" s="148"/>
      <c r="E2" s="148"/>
      <c r="F2" s="148"/>
      <c r="G2" s="148"/>
      <c r="H2" s="149"/>
    </row>
    <row r="3" spans="1:8" x14ac:dyDescent="0.3">
      <c r="A3" s="153" t="s">
        <v>106</v>
      </c>
      <c r="B3" s="154"/>
      <c r="C3" s="154"/>
      <c r="D3" s="154"/>
      <c r="E3" s="154"/>
      <c r="F3" s="154"/>
      <c r="G3" s="154"/>
      <c r="H3" s="155"/>
    </row>
    <row r="4" spans="1:8" x14ac:dyDescent="0.3">
      <c r="A4" s="156" t="s">
        <v>312</v>
      </c>
      <c r="B4" s="157"/>
      <c r="C4" s="157"/>
      <c r="D4" s="157"/>
      <c r="E4" s="157"/>
      <c r="F4" s="157"/>
      <c r="G4" s="157"/>
      <c r="H4" s="158"/>
    </row>
    <row r="5" spans="1:8" s="4" customFormat="1" x14ac:dyDescent="0.3">
      <c r="A5" s="93" t="s">
        <v>243</v>
      </c>
      <c r="B5" s="159" t="s">
        <v>0</v>
      </c>
      <c r="C5" s="160"/>
      <c r="D5" s="7" t="s">
        <v>313</v>
      </c>
      <c r="E5" s="7" t="str">
        <f>+A5</f>
        <v>March 31, 2024</v>
      </c>
      <c r="F5" s="159" t="s">
        <v>1</v>
      </c>
      <c r="G5" s="160"/>
      <c r="H5" s="94" t="str">
        <f>+D5</f>
        <v>March 31, 2025</v>
      </c>
    </row>
    <row r="6" spans="1:8" x14ac:dyDescent="0.3">
      <c r="A6" s="95"/>
      <c r="B6" s="8" t="s">
        <v>10</v>
      </c>
      <c r="C6" s="3"/>
      <c r="D6" s="9"/>
      <c r="E6" s="5"/>
      <c r="F6" s="8" t="s">
        <v>2</v>
      </c>
      <c r="G6" s="3"/>
      <c r="H6" s="96"/>
    </row>
    <row r="7" spans="1:8" ht="15" thickBot="1" x14ac:dyDescent="0.35">
      <c r="A7" s="97">
        <f>4460*50</f>
        <v>223000</v>
      </c>
      <c r="B7" s="13" t="s">
        <v>90</v>
      </c>
      <c r="C7" s="3"/>
      <c r="D7" s="14">
        <v>223000</v>
      </c>
      <c r="E7" s="5">
        <v>3958</v>
      </c>
      <c r="F7" s="13" t="s">
        <v>19</v>
      </c>
      <c r="G7" s="3">
        <v>2056</v>
      </c>
      <c r="H7" s="96"/>
    </row>
    <row r="8" spans="1:8" ht="15" thickTop="1" x14ac:dyDescent="0.3">
      <c r="A8" s="95"/>
      <c r="B8" s="13"/>
      <c r="C8" s="3"/>
      <c r="D8" s="9"/>
      <c r="E8" s="5">
        <v>157174.32</v>
      </c>
      <c r="F8" s="13" t="s">
        <v>118</v>
      </c>
      <c r="G8" s="3">
        <v>257877.75</v>
      </c>
      <c r="H8" s="96"/>
    </row>
    <row r="9" spans="1:8" x14ac:dyDescent="0.3">
      <c r="A9" s="95"/>
      <c r="B9" s="8" t="s">
        <v>25</v>
      </c>
      <c r="C9" s="3"/>
      <c r="D9" s="9"/>
      <c r="E9" s="5">
        <v>2685.86</v>
      </c>
      <c r="F9" s="13" t="s">
        <v>20</v>
      </c>
      <c r="G9" s="3">
        <v>2777.86</v>
      </c>
      <c r="H9" s="96"/>
    </row>
    <row r="10" spans="1:8" x14ac:dyDescent="0.3">
      <c r="A10" s="95">
        <v>18000</v>
      </c>
      <c r="B10" s="13" t="s">
        <v>91</v>
      </c>
      <c r="C10" s="3"/>
      <c r="D10" s="9">
        <v>18000</v>
      </c>
      <c r="E10" s="5">
        <v>3348.56</v>
      </c>
      <c r="F10" s="13" t="s">
        <v>119</v>
      </c>
      <c r="G10" s="6">
        <v>3441.85</v>
      </c>
      <c r="H10" s="96">
        <f>SUM(G7:G10)</f>
        <v>266153.45999999996</v>
      </c>
    </row>
    <row r="11" spans="1:8" x14ac:dyDescent="0.3">
      <c r="A11" s="95"/>
      <c r="B11" s="91"/>
      <c r="C11" s="3"/>
      <c r="D11" s="9"/>
      <c r="E11" s="5"/>
      <c r="F11" s="13"/>
      <c r="G11" s="3"/>
      <c r="H11" s="96"/>
    </row>
    <row r="12" spans="1:8" x14ac:dyDescent="0.3">
      <c r="A12" s="95">
        <v>1065039</v>
      </c>
      <c r="B12" s="8" t="s">
        <v>5</v>
      </c>
      <c r="C12" s="3"/>
      <c r="D12" s="49">
        <f>'Fund Sch_1'!D45</f>
        <v>1260442</v>
      </c>
      <c r="E12" s="5"/>
      <c r="F12" s="8" t="s">
        <v>3</v>
      </c>
      <c r="G12" s="3"/>
      <c r="H12" s="96"/>
    </row>
    <row r="13" spans="1:8" x14ac:dyDescent="0.3">
      <c r="A13" s="95"/>
      <c r="B13" s="2" t="s">
        <v>155</v>
      </c>
      <c r="C13" s="3"/>
      <c r="D13" s="9"/>
      <c r="E13" s="5">
        <v>1000</v>
      </c>
      <c r="F13" s="13" t="s">
        <v>21</v>
      </c>
      <c r="G13" s="3">
        <v>1000</v>
      </c>
      <c r="H13" s="96"/>
    </row>
    <row r="14" spans="1:8" x14ac:dyDescent="0.3">
      <c r="A14" s="95"/>
      <c r="B14" s="16"/>
      <c r="C14" s="3"/>
      <c r="D14" s="9"/>
      <c r="E14" s="5">
        <v>1118249</v>
      </c>
      <c r="F14" s="2" t="s">
        <v>154</v>
      </c>
      <c r="G14" s="47">
        <f>'FD Sch_2'!D79</f>
        <v>1228170</v>
      </c>
      <c r="H14" s="96"/>
    </row>
    <row r="15" spans="1:8" x14ac:dyDescent="0.3">
      <c r="A15" s="95"/>
      <c r="B15" s="98" t="s">
        <v>128</v>
      </c>
      <c r="C15" s="3"/>
      <c r="D15" s="9"/>
      <c r="E15" s="5">
        <v>58644</v>
      </c>
      <c r="F15" s="13" t="s">
        <v>4</v>
      </c>
      <c r="G15" s="128">
        <f>'FD Sch_2'!H79</f>
        <v>67712</v>
      </c>
      <c r="H15" s="96">
        <f>SUM(G13:G15)</f>
        <v>1296882</v>
      </c>
    </row>
    <row r="16" spans="1:8" x14ac:dyDescent="0.3">
      <c r="A16" s="95">
        <v>2227750</v>
      </c>
      <c r="B16" s="2" t="s">
        <v>129</v>
      </c>
      <c r="C16" s="3"/>
      <c r="D16" s="9">
        <v>2227750</v>
      </c>
      <c r="E16" s="5"/>
      <c r="F16" s="13"/>
      <c r="G16" s="3"/>
      <c r="H16" s="96"/>
    </row>
    <row r="17" spans="1:8" x14ac:dyDescent="0.3">
      <c r="A17" s="95"/>
      <c r="B17" s="2"/>
      <c r="C17" s="3"/>
      <c r="D17" s="9"/>
      <c r="E17" s="37"/>
      <c r="F17" s="8" t="s">
        <v>149</v>
      </c>
      <c r="G17" s="3"/>
      <c r="H17" s="96"/>
    </row>
    <row r="18" spans="1:8" x14ac:dyDescent="0.3">
      <c r="A18" s="95"/>
      <c r="B18" s="8" t="s">
        <v>26</v>
      </c>
      <c r="C18" s="3"/>
      <c r="D18" s="9"/>
      <c r="E18" s="5">
        <v>33319</v>
      </c>
      <c r="F18" s="13" t="s">
        <v>23</v>
      </c>
      <c r="G18" s="3">
        <v>33319</v>
      </c>
      <c r="H18" s="96"/>
    </row>
    <row r="19" spans="1:8" x14ac:dyDescent="0.3">
      <c r="A19" s="95">
        <v>39416</v>
      </c>
      <c r="B19" s="2" t="s">
        <v>252</v>
      </c>
      <c r="C19" s="3">
        <f>'Advance n Refundable Sch 4&amp;5'!E19</f>
        <v>31930</v>
      </c>
      <c r="D19" s="9"/>
      <c r="E19" s="5">
        <v>4430</v>
      </c>
      <c r="F19" s="13" t="s">
        <v>24</v>
      </c>
      <c r="G19" s="3">
        <v>4430</v>
      </c>
      <c r="H19" s="96"/>
    </row>
    <row r="20" spans="1:8" x14ac:dyDescent="0.3">
      <c r="A20" s="95">
        <v>20000</v>
      </c>
      <c r="B20" s="2" t="s">
        <v>253</v>
      </c>
      <c r="C20" s="6">
        <f>'Advance n Refundable Sch 4&amp;5'!E33</f>
        <v>20000</v>
      </c>
      <c r="D20" s="9">
        <f>SUM(C19:C20)</f>
        <v>51930</v>
      </c>
      <c r="E20" s="5">
        <v>0</v>
      </c>
      <c r="F20" s="13" t="s">
        <v>225</v>
      </c>
      <c r="G20" s="6">
        <v>0</v>
      </c>
      <c r="H20" s="96">
        <f>SUM(G18:G20)</f>
        <v>37749</v>
      </c>
    </row>
    <row r="21" spans="1:8" x14ac:dyDescent="0.3">
      <c r="A21" s="95"/>
      <c r="B21" s="2"/>
      <c r="C21" s="3"/>
      <c r="D21" s="9"/>
      <c r="E21" s="5"/>
      <c r="F21" s="13"/>
      <c r="G21" s="3"/>
      <c r="H21" s="96"/>
    </row>
    <row r="22" spans="1:8" x14ac:dyDescent="0.3">
      <c r="A22" s="95"/>
      <c r="B22" s="8" t="s">
        <v>27</v>
      </c>
      <c r="C22" s="3"/>
      <c r="D22" s="9"/>
      <c r="E22" s="5"/>
      <c r="F22" s="8" t="s">
        <v>150</v>
      </c>
      <c r="G22" s="3"/>
      <c r="H22" s="96"/>
    </row>
    <row r="23" spans="1:8" x14ac:dyDescent="0.3">
      <c r="A23" s="95">
        <v>3600</v>
      </c>
      <c r="B23" s="2" t="s">
        <v>29</v>
      </c>
      <c r="C23" s="3">
        <v>3600</v>
      </c>
      <c r="D23" s="9"/>
      <c r="E23" s="5">
        <v>0</v>
      </c>
      <c r="F23" s="2" t="s">
        <v>303</v>
      </c>
      <c r="G23" s="3"/>
      <c r="H23" s="96">
        <f>'Advance n Refundable Sch 4&amp;5'!E6</f>
        <v>6921</v>
      </c>
    </row>
    <row r="24" spans="1:8" x14ac:dyDescent="0.3">
      <c r="A24" s="95">
        <v>18480</v>
      </c>
      <c r="B24" s="2" t="s">
        <v>28</v>
      </c>
      <c r="C24" s="3">
        <v>18026</v>
      </c>
      <c r="D24" s="9"/>
      <c r="E24" s="5"/>
      <c r="F24" s="2"/>
      <c r="G24" s="3"/>
      <c r="H24" s="96"/>
    </row>
    <row r="25" spans="1:8" x14ac:dyDescent="0.3">
      <c r="A25" s="95">
        <v>3540</v>
      </c>
      <c r="B25" s="2" t="s">
        <v>235</v>
      </c>
      <c r="C25" s="3">
        <f>1770+1770+1770</f>
        <v>5310</v>
      </c>
      <c r="D25" s="9"/>
      <c r="E25" s="5"/>
      <c r="F25" s="8" t="s">
        <v>151</v>
      </c>
      <c r="G25" s="3"/>
      <c r="H25" s="96"/>
    </row>
    <row r="26" spans="1:8" x14ac:dyDescent="0.3">
      <c r="A26" s="95">
        <v>20970</v>
      </c>
      <c r="B26" s="50" t="s">
        <v>239</v>
      </c>
      <c r="C26" s="3">
        <f>'Advance n Refundable Sch 4&amp;5'!J7</f>
        <v>9694</v>
      </c>
      <c r="D26" s="9"/>
      <c r="E26" s="5">
        <v>7268</v>
      </c>
      <c r="F26" s="13" t="s">
        <v>60</v>
      </c>
      <c r="G26" s="3">
        <v>7269</v>
      </c>
      <c r="H26" s="96"/>
    </row>
    <row r="27" spans="1:8" x14ac:dyDescent="0.3">
      <c r="A27" s="95">
        <v>54400</v>
      </c>
      <c r="B27" s="2" t="s">
        <v>130</v>
      </c>
      <c r="C27" s="6">
        <v>54400</v>
      </c>
      <c r="D27" s="9">
        <f>SUM(C23:C27)</f>
        <v>91030</v>
      </c>
      <c r="E27" s="5">
        <v>14430</v>
      </c>
      <c r="F27" s="13" t="s">
        <v>152</v>
      </c>
      <c r="G27" s="3">
        <v>9802</v>
      </c>
      <c r="H27" s="96"/>
    </row>
    <row r="28" spans="1:8" x14ac:dyDescent="0.3">
      <c r="A28" s="95"/>
      <c r="B28" s="2"/>
      <c r="C28" s="3"/>
      <c r="D28" s="9"/>
      <c r="E28" s="5">
        <v>2510</v>
      </c>
      <c r="F28" s="13" t="s">
        <v>224</v>
      </c>
      <c r="G28" s="6">
        <v>0</v>
      </c>
      <c r="H28" s="96">
        <f>SUM(G26:G28)</f>
        <v>17071</v>
      </c>
    </row>
    <row r="29" spans="1:8" x14ac:dyDescent="0.3">
      <c r="A29" s="95"/>
      <c r="B29" s="8" t="s">
        <v>30</v>
      </c>
      <c r="C29" s="3"/>
      <c r="D29" s="9"/>
      <c r="E29" s="5"/>
      <c r="F29" s="57" t="s">
        <v>148</v>
      </c>
      <c r="G29" s="3"/>
      <c r="H29" s="96"/>
    </row>
    <row r="30" spans="1:8" x14ac:dyDescent="0.3">
      <c r="A30" s="95">
        <v>170573.31</v>
      </c>
      <c r="B30" s="91" t="s">
        <v>22</v>
      </c>
      <c r="C30" s="3">
        <f>SUM(A30:A32)</f>
        <v>236930.74</v>
      </c>
      <c r="D30" s="9"/>
      <c r="E30" s="5">
        <v>2291324</v>
      </c>
      <c r="F30" s="2" t="s">
        <v>156</v>
      </c>
      <c r="G30" s="3"/>
      <c r="H30" s="99">
        <f>'FA Sch_3'!H15</f>
        <v>2287010</v>
      </c>
    </row>
    <row r="31" spans="1:8" x14ac:dyDescent="0.3">
      <c r="A31" s="95">
        <v>0</v>
      </c>
      <c r="B31" s="100" t="s">
        <v>358</v>
      </c>
      <c r="C31" s="3">
        <v>1770</v>
      </c>
      <c r="D31" s="9"/>
      <c r="E31" s="5">
        <v>9785</v>
      </c>
      <c r="F31" s="13" t="s">
        <v>153</v>
      </c>
      <c r="G31" s="3"/>
      <c r="H31" s="99">
        <v>6995</v>
      </c>
    </row>
    <row r="32" spans="1:8" x14ac:dyDescent="0.3">
      <c r="A32" s="95">
        <v>66357.429999999993</v>
      </c>
      <c r="B32" s="2" t="s">
        <v>241</v>
      </c>
      <c r="C32" s="128">
        <f>IE!D47</f>
        <v>30928.719999999972</v>
      </c>
      <c r="D32" s="9">
        <f>SUM(C30:C32)</f>
        <v>269629.45999999996</v>
      </c>
      <c r="E32" s="73"/>
      <c r="F32" s="91"/>
      <c r="G32" s="6"/>
      <c r="H32" s="102"/>
    </row>
    <row r="33" spans="1:10" ht="15" thickBot="1" x14ac:dyDescent="0.35">
      <c r="A33" s="112">
        <f>SUM(A10:A32)</f>
        <v>3708125.74</v>
      </c>
      <c r="B33" s="146" t="s">
        <v>14</v>
      </c>
      <c r="C33" s="147"/>
      <c r="D33" s="113">
        <f>SUM(D10:D32)</f>
        <v>3918781.46</v>
      </c>
      <c r="E33" s="113">
        <f>SUM(E6:E32)</f>
        <v>3708125.74</v>
      </c>
      <c r="F33" s="146" t="s">
        <v>14</v>
      </c>
      <c r="G33" s="147"/>
      <c r="H33" s="114">
        <f>SUM(H6:H32)</f>
        <v>3918781.46</v>
      </c>
      <c r="I33" s="1">
        <f>D33-H33</f>
        <v>0</v>
      </c>
      <c r="J33" s="1">
        <f>D33-H33</f>
        <v>0</v>
      </c>
    </row>
    <row r="34" spans="1:10" x14ac:dyDescent="0.3">
      <c r="A34" s="115" t="s">
        <v>304</v>
      </c>
      <c r="B34" s="116"/>
      <c r="C34" s="116"/>
      <c r="D34" s="117"/>
      <c r="E34" s="148" t="str">
        <f>"For "&amp;A1</f>
        <v>For DIAGO CO-OPERATIVE HOUSING SOCIETY</v>
      </c>
      <c r="F34" s="148"/>
      <c r="G34" s="148"/>
      <c r="H34" s="149"/>
    </row>
    <row r="35" spans="1:10" x14ac:dyDescent="0.3">
      <c r="A35" s="103" t="s">
        <v>305</v>
      </c>
      <c r="B35" s="104"/>
      <c r="C35" s="104"/>
      <c r="D35" s="101"/>
      <c r="E35" s="91"/>
      <c r="F35" s="91"/>
      <c r="G35" s="91"/>
      <c r="H35" s="101"/>
    </row>
    <row r="36" spans="1:10" x14ac:dyDescent="0.3">
      <c r="A36" s="103" t="s">
        <v>306</v>
      </c>
      <c r="B36" s="104"/>
      <c r="C36" s="104"/>
      <c r="D36" s="101"/>
      <c r="E36" s="91"/>
      <c r="F36" s="91"/>
      <c r="G36" s="91"/>
      <c r="H36" s="101"/>
    </row>
    <row r="37" spans="1:10" x14ac:dyDescent="0.3">
      <c r="A37" s="105"/>
      <c r="B37" s="104"/>
      <c r="C37" s="104"/>
      <c r="D37" s="101"/>
      <c r="E37" s="91"/>
      <c r="F37" s="91"/>
      <c r="G37" s="91"/>
      <c r="H37" s="101"/>
    </row>
    <row r="38" spans="1:10" x14ac:dyDescent="0.3">
      <c r="A38" s="105"/>
      <c r="B38" s="104"/>
      <c r="C38" s="104"/>
      <c r="D38" s="101"/>
      <c r="E38" s="91"/>
      <c r="F38" s="91"/>
      <c r="G38" s="91"/>
      <c r="H38" s="101"/>
    </row>
    <row r="39" spans="1:10" x14ac:dyDescent="0.3">
      <c r="A39" s="103" t="s">
        <v>307</v>
      </c>
      <c r="B39" s="104"/>
      <c r="C39" s="104"/>
      <c r="D39" s="101"/>
      <c r="E39" s="91"/>
      <c r="F39" s="91"/>
      <c r="G39" s="91"/>
      <c r="H39" s="101"/>
    </row>
    <row r="40" spans="1:10" x14ac:dyDescent="0.3">
      <c r="A40" s="106" t="s">
        <v>308</v>
      </c>
      <c r="B40" s="104"/>
      <c r="C40" s="104"/>
      <c r="D40" s="101"/>
      <c r="E40" s="91"/>
      <c r="F40" s="91"/>
      <c r="G40" s="91"/>
      <c r="H40" s="101"/>
    </row>
    <row r="41" spans="1:10" x14ac:dyDescent="0.3">
      <c r="A41" s="103" t="s">
        <v>309</v>
      </c>
      <c r="B41" s="107" t="s">
        <v>311</v>
      </c>
      <c r="C41" s="104"/>
      <c r="D41" s="101"/>
      <c r="E41" s="91"/>
      <c r="F41" s="91"/>
      <c r="G41" s="91"/>
      <c r="H41" s="101"/>
    </row>
    <row r="42" spans="1:10" x14ac:dyDescent="0.3">
      <c r="A42" s="103" t="s">
        <v>310</v>
      </c>
      <c r="B42" s="107" t="s">
        <v>314</v>
      </c>
      <c r="C42" s="104"/>
      <c r="D42" s="101"/>
      <c r="E42" s="148" t="s">
        <v>31</v>
      </c>
      <c r="F42" s="148"/>
      <c r="G42" s="148"/>
      <c r="H42" s="149"/>
    </row>
    <row r="43" spans="1:10" ht="15" thickBot="1" x14ac:dyDescent="0.35">
      <c r="A43" s="108" t="s">
        <v>315</v>
      </c>
      <c r="B43" s="109"/>
      <c r="C43" s="109"/>
      <c r="D43" s="111"/>
      <c r="E43" s="110"/>
      <c r="F43" s="110"/>
      <c r="G43" s="110"/>
      <c r="H43" s="111"/>
    </row>
    <row r="45" spans="1:10" x14ac:dyDescent="0.3">
      <c r="B45" s="1" t="s">
        <v>316</v>
      </c>
    </row>
  </sheetData>
  <mergeCells count="10">
    <mergeCell ref="B33:C33"/>
    <mergeCell ref="F33:G33"/>
    <mergeCell ref="E42:H42"/>
    <mergeCell ref="E34:H34"/>
    <mergeCell ref="A1:H1"/>
    <mergeCell ref="A2:H2"/>
    <mergeCell ref="A3:H3"/>
    <mergeCell ref="A4:H4"/>
    <mergeCell ref="B5:C5"/>
    <mergeCell ref="F5:G5"/>
  </mergeCells>
  <printOptions horizontalCentered="1"/>
  <pageMargins left="0.3" right="0.3" top="0.3" bottom="0.3" header="0.3" footer="0.3"/>
  <pageSetup paperSize="9" scale="8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8F65-F724-4936-BF9D-BD92EE0F2CC7}">
  <sheetPr>
    <pageSetUpPr fitToPage="1"/>
  </sheetPr>
  <dimension ref="A1:J58"/>
  <sheetViews>
    <sheetView zoomScaleNormal="100" workbookViewId="0">
      <selection sqref="A1:H1"/>
    </sheetView>
  </sheetViews>
  <sheetFormatPr defaultColWidth="8.88671875" defaultRowHeight="14.4" x14ac:dyDescent="0.3"/>
  <cols>
    <col min="1" max="1" width="16.33203125" style="1" customWidth="1"/>
    <col min="2" max="2" width="33" style="1" bestFit="1" customWidth="1"/>
    <col min="3" max="3" width="12.33203125" style="1" bestFit="1" customWidth="1"/>
    <col min="4" max="4" width="15" style="10" bestFit="1" customWidth="1"/>
    <col min="5" max="5" width="15" style="1" bestFit="1" customWidth="1"/>
    <col min="6" max="6" width="36.5546875" style="1" bestFit="1" customWidth="1"/>
    <col min="7" max="7" width="11.5546875" style="1" bestFit="1" customWidth="1"/>
    <col min="8" max="8" width="15" style="10" bestFit="1" customWidth="1"/>
    <col min="9" max="9" width="8.88671875" style="1"/>
    <col min="10" max="10" width="9.88671875" style="1" bestFit="1" customWidth="1"/>
    <col min="11" max="16384" width="8.88671875" style="1"/>
  </cols>
  <sheetData>
    <row r="1" spans="1:10" x14ac:dyDescent="0.3">
      <c r="A1" s="150" t="str">
        <f>BS!A1</f>
        <v>DIAGO CO-OPERATIVE HOUSING SOCIETY</v>
      </c>
      <c r="B1" s="151"/>
      <c r="C1" s="151"/>
      <c r="D1" s="151"/>
      <c r="E1" s="151"/>
      <c r="F1" s="151"/>
      <c r="G1" s="151"/>
      <c r="H1" s="152"/>
    </row>
    <row r="2" spans="1:10" x14ac:dyDescent="0.3">
      <c r="A2" s="153" t="str">
        <f>BS!A2</f>
        <v>186-A, Baudi Cross Lane, Orlem, Malad (West), Mumbai, Maharashtra - 400064</v>
      </c>
      <c r="B2" s="148"/>
      <c r="C2" s="148"/>
      <c r="D2" s="148"/>
      <c r="E2" s="148"/>
      <c r="F2" s="148"/>
      <c r="G2" s="148"/>
      <c r="H2" s="149"/>
    </row>
    <row r="3" spans="1:10" x14ac:dyDescent="0.3">
      <c r="A3" s="153" t="str">
        <f>BS!A3</f>
        <v>Society Reg No : BOM/(WP)/HSG(TC) 1007/84-85 dated.13/07/1984</v>
      </c>
      <c r="B3" s="148"/>
      <c r="C3" s="148"/>
      <c r="D3" s="148"/>
      <c r="E3" s="148"/>
      <c r="F3" s="148"/>
      <c r="G3" s="148"/>
      <c r="H3" s="149"/>
    </row>
    <row r="4" spans="1:10" x14ac:dyDescent="0.3">
      <c r="A4" s="156" t="s">
        <v>317</v>
      </c>
      <c r="B4" s="157"/>
      <c r="C4" s="157"/>
      <c r="D4" s="157"/>
      <c r="E4" s="157"/>
      <c r="F4" s="157"/>
      <c r="G4" s="157"/>
      <c r="H4" s="158"/>
    </row>
    <row r="5" spans="1:10" s="4" customFormat="1" x14ac:dyDescent="0.3">
      <c r="A5" s="93" t="s">
        <v>243</v>
      </c>
      <c r="B5" s="161" t="s">
        <v>37</v>
      </c>
      <c r="C5" s="161"/>
      <c r="D5" s="7" t="s">
        <v>313</v>
      </c>
      <c r="E5" s="7" t="str">
        <f>+A5</f>
        <v>March 31, 2024</v>
      </c>
      <c r="F5" s="161" t="s">
        <v>38</v>
      </c>
      <c r="G5" s="161"/>
      <c r="H5" s="94" t="str">
        <f>+D5</f>
        <v>March 31, 2025</v>
      </c>
      <c r="J5" s="38"/>
    </row>
    <row r="6" spans="1:10" x14ac:dyDescent="0.3">
      <c r="A6" s="95"/>
      <c r="B6" s="8" t="s">
        <v>39</v>
      </c>
      <c r="C6" s="3"/>
      <c r="D6" s="9"/>
      <c r="E6" s="5"/>
      <c r="F6" s="8" t="s">
        <v>92</v>
      </c>
      <c r="G6" s="3"/>
      <c r="H6" s="96"/>
    </row>
    <row r="7" spans="1:10" x14ac:dyDescent="0.3">
      <c r="A7" s="95">
        <v>11172</v>
      </c>
      <c r="B7" s="2" t="s">
        <v>39</v>
      </c>
      <c r="C7" s="3">
        <v>13333</v>
      </c>
      <c r="D7" s="9"/>
      <c r="E7" s="5">
        <v>11176</v>
      </c>
      <c r="F7" s="2" t="s">
        <v>39</v>
      </c>
      <c r="G7" s="3">
        <v>13330</v>
      </c>
      <c r="H7" s="96"/>
    </row>
    <row r="8" spans="1:10" x14ac:dyDescent="0.3">
      <c r="A8" s="95">
        <v>0</v>
      </c>
      <c r="B8" s="2" t="s">
        <v>249</v>
      </c>
      <c r="C8" s="6">
        <v>0</v>
      </c>
      <c r="D8" s="9">
        <f>SUM(C7:C8)</f>
        <v>13333</v>
      </c>
      <c r="E8" s="5">
        <v>226080</v>
      </c>
      <c r="F8" s="2" t="s">
        <v>93</v>
      </c>
      <c r="G8" s="3">
        <v>226080</v>
      </c>
      <c r="H8" s="96"/>
    </row>
    <row r="9" spans="1:10" x14ac:dyDescent="0.3">
      <c r="A9" s="95"/>
      <c r="B9" s="2"/>
      <c r="C9" s="3"/>
      <c r="D9" s="9"/>
      <c r="E9" s="5">
        <v>55008</v>
      </c>
      <c r="F9" s="2" t="s">
        <v>94</v>
      </c>
      <c r="G9" s="3">
        <v>55008</v>
      </c>
      <c r="H9" s="96"/>
    </row>
    <row r="10" spans="1:10" x14ac:dyDescent="0.3">
      <c r="A10" s="95"/>
      <c r="B10" s="8" t="s">
        <v>40</v>
      </c>
      <c r="C10" s="3"/>
      <c r="D10" s="9"/>
      <c r="E10" s="5">
        <v>75312</v>
      </c>
      <c r="F10" s="2" t="s">
        <v>58</v>
      </c>
      <c r="G10" s="3">
        <v>75312</v>
      </c>
      <c r="H10" s="96"/>
    </row>
    <row r="11" spans="1:10" x14ac:dyDescent="0.3">
      <c r="A11" s="95">
        <v>78029</v>
      </c>
      <c r="B11" s="2" t="s">
        <v>40</v>
      </c>
      <c r="C11" s="3">
        <v>76693</v>
      </c>
      <c r="D11" s="9"/>
      <c r="E11" s="5">
        <v>10747</v>
      </c>
      <c r="F11" s="2" t="s">
        <v>95</v>
      </c>
      <c r="G11" s="3">
        <f>9589+83</f>
        <v>9672</v>
      </c>
      <c r="H11" s="96"/>
    </row>
    <row r="12" spans="1:10" x14ac:dyDescent="0.3">
      <c r="A12" s="95">
        <v>0</v>
      </c>
      <c r="B12" s="2" t="s">
        <v>107</v>
      </c>
      <c r="C12" s="6">
        <v>4000</v>
      </c>
      <c r="D12" s="9">
        <f>SUM(C11:C12)</f>
        <v>80693</v>
      </c>
      <c r="E12" s="5">
        <v>20550</v>
      </c>
      <c r="F12" s="2" t="s">
        <v>59</v>
      </c>
      <c r="G12" s="3">
        <f>12200+15200+1600</f>
        <v>29000</v>
      </c>
      <c r="H12" s="96"/>
    </row>
    <row r="13" spans="1:10" x14ac:dyDescent="0.3">
      <c r="A13" s="95"/>
      <c r="B13" s="2"/>
      <c r="C13" s="3"/>
      <c r="D13" s="9"/>
      <c r="E13" s="5">
        <v>820</v>
      </c>
      <c r="F13" s="2" t="s">
        <v>96</v>
      </c>
      <c r="G13" s="3">
        <v>781</v>
      </c>
      <c r="H13" s="96"/>
    </row>
    <row r="14" spans="1:10" x14ac:dyDescent="0.3">
      <c r="A14" s="95">
        <v>70390</v>
      </c>
      <c r="B14" s="8" t="s">
        <v>41</v>
      </c>
      <c r="C14" s="3"/>
      <c r="D14" s="49">
        <v>75021</v>
      </c>
      <c r="E14" s="5">
        <v>13172</v>
      </c>
      <c r="F14" s="2" t="s">
        <v>60</v>
      </c>
      <c r="G14" s="3">
        <v>13172</v>
      </c>
      <c r="H14" s="96"/>
    </row>
    <row r="15" spans="1:10" x14ac:dyDescent="0.3">
      <c r="A15" s="95"/>
      <c r="B15" s="2"/>
      <c r="C15" s="3"/>
      <c r="D15" s="9"/>
      <c r="E15" s="5">
        <v>100</v>
      </c>
      <c r="F15" s="2" t="s">
        <v>97</v>
      </c>
      <c r="G15" s="3">
        <v>200</v>
      </c>
      <c r="H15" s="96"/>
    </row>
    <row r="16" spans="1:10" x14ac:dyDescent="0.3">
      <c r="A16" s="95">
        <v>30000</v>
      </c>
      <c r="B16" s="8" t="s">
        <v>42</v>
      </c>
      <c r="C16" s="3"/>
      <c r="D16" s="9">
        <v>40500</v>
      </c>
      <c r="E16" s="5">
        <v>3200</v>
      </c>
      <c r="F16" s="2" t="s">
        <v>186</v>
      </c>
      <c r="G16" s="6">
        <v>2925</v>
      </c>
      <c r="H16" s="96">
        <f>SUM(G7:G16)</f>
        <v>425480</v>
      </c>
    </row>
    <row r="17" spans="1:8" x14ac:dyDescent="0.3">
      <c r="A17" s="95"/>
      <c r="B17" s="2"/>
      <c r="C17" s="3"/>
      <c r="D17" s="9"/>
      <c r="E17" s="5"/>
      <c r="F17" s="2"/>
      <c r="G17" s="3"/>
      <c r="H17" s="96"/>
    </row>
    <row r="18" spans="1:8" x14ac:dyDescent="0.3">
      <c r="A18" s="95"/>
      <c r="B18" s="8" t="s">
        <v>43</v>
      </c>
      <c r="C18" s="3"/>
      <c r="D18" s="9"/>
      <c r="E18" s="5"/>
      <c r="F18" s="8" t="s">
        <v>61</v>
      </c>
      <c r="G18" s="3"/>
      <c r="H18" s="96"/>
    </row>
    <row r="19" spans="1:8" x14ac:dyDescent="0.3">
      <c r="A19" s="95">
        <v>5102</v>
      </c>
      <c r="B19" s="2" t="s">
        <v>44</v>
      </c>
      <c r="C19" s="3">
        <v>8240</v>
      </c>
      <c r="D19" s="9"/>
      <c r="E19" s="5">
        <v>5612</v>
      </c>
      <c r="F19" s="2" t="s">
        <v>62</v>
      </c>
      <c r="G19" s="3"/>
      <c r="H19" s="96">
        <v>6310</v>
      </c>
    </row>
    <row r="20" spans="1:8" x14ac:dyDescent="0.3">
      <c r="A20" s="95">
        <v>21442</v>
      </c>
      <c r="B20" s="2" t="s">
        <v>111</v>
      </c>
      <c r="C20" s="3">
        <v>47219</v>
      </c>
      <c r="D20" s="9"/>
      <c r="E20" s="5">
        <v>0</v>
      </c>
      <c r="F20" s="2" t="s">
        <v>354</v>
      </c>
      <c r="G20" s="3"/>
      <c r="H20" s="96">
        <v>751</v>
      </c>
    </row>
    <row r="21" spans="1:8" x14ac:dyDescent="0.3">
      <c r="A21" s="95">
        <v>31320</v>
      </c>
      <c r="B21" s="2" t="s">
        <v>45</v>
      </c>
      <c r="C21" s="3">
        <v>58875</v>
      </c>
      <c r="D21" s="9"/>
      <c r="E21" s="5">
        <v>61479</v>
      </c>
      <c r="F21" s="2" t="s">
        <v>63</v>
      </c>
      <c r="G21" s="47">
        <v>84529</v>
      </c>
      <c r="H21" s="96"/>
    </row>
    <row r="22" spans="1:8" x14ac:dyDescent="0.3">
      <c r="A22" s="95">
        <v>2740</v>
      </c>
      <c r="B22" s="2" t="s">
        <v>187</v>
      </c>
      <c r="C22" s="3">
        <v>2510</v>
      </c>
      <c r="D22" s="9"/>
      <c r="E22" s="5">
        <v>-8687</v>
      </c>
      <c r="F22" s="2" t="s">
        <v>98</v>
      </c>
      <c r="G22" s="47">
        <v>-10936</v>
      </c>
      <c r="H22" s="96"/>
    </row>
    <row r="23" spans="1:8" x14ac:dyDescent="0.3">
      <c r="A23" s="95">
        <v>0</v>
      </c>
      <c r="B23" s="2" t="s">
        <v>356</v>
      </c>
      <c r="C23" s="3">
        <v>1300</v>
      </c>
      <c r="D23" s="9"/>
      <c r="E23" s="5">
        <v>-9458</v>
      </c>
      <c r="F23" s="2" t="s">
        <v>99</v>
      </c>
      <c r="G23" s="47">
        <v>-9156</v>
      </c>
      <c r="H23" s="96"/>
    </row>
    <row r="24" spans="1:8" x14ac:dyDescent="0.3">
      <c r="A24" s="95">
        <v>9359</v>
      </c>
      <c r="B24" s="2" t="s">
        <v>112</v>
      </c>
      <c r="C24" s="3">
        <v>9028</v>
      </c>
      <c r="D24" s="9"/>
      <c r="E24" s="5">
        <v>-14296</v>
      </c>
      <c r="F24" s="2" t="s">
        <v>100</v>
      </c>
      <c r="G24" s="47">
        <v>-17335</v>
      </c>
      <c r="H24" s="96"/>
    </row>
    <row r="25" spans="1:8" x14ac:dyDescent="0.3">
      <c r="A25" s="95">
        <v>-9359</v>
      </c>
      <c r="B25" s="2" t="s">
        <v>103</v>
      </c>
      <c r="C25" s="6">
        <f>-C24</f>
        <v>-9028</v>
      </c>
      <c r="D25" s="9">
        <f>SUM(C19:C25)</f>
        <v>118144</v>
      </c>
      <c r="E25" s="5">
        <v>-7052</v>
      </c>
      <c r="F25" s="2" t="s">
        <v>101</v>
      </c>
      <c r="G25" s="47">
        <v>-9159</v>
      </c>
      <c r="H25" s="96"/>
    </row>
    <row r="26" spans="1:8" x14ac:dyDescent="0.3">
      <c r="A26" s="95"/>
      <c r="B26" s="2"/>
      <c r="C26" s="3"/>
      <c r="D26" s="9"/>
      <c r="E26" s="5">
        <v>-8843</v>
      </c>
      <c r="F26" s="2" t="s">
        <v>102</v>
      </c>
      <c r="G26" s="47">
        <v>-12681</v>
      </c>
      <c r="H26" s="96"/>
    </row>
    <row r="27" spans="1:8" x14ac:dyDescent="0.3">
      <c r="A27" s="95"/>
      <c r="B27" s="8" t="s">
        <v>46</v>
      </c>
      <c r="C27" s="3"/>
      <c r="D27" s="9"/>
      <c r="E27" s="5">
        <v>-5612</v>
      </c>
      <c r="F27" s="2" t="s">
        <v>103</v>
      </c>
      <c r="G27" s="47">
        <v>-10495</v>
      </c>
      <c r="H27" s="96"/>
    </row>
    <row r="28" spans="1:8" x14ac:dyDescent="0.3">
      <c r="A28" s="95">
        <v>7782</v>
      </c>
      <c r="B28" s="2" t="s">
        <v>47</v>
      </c>
      <c r="C28" s="47">
        <v>7780</v>
      </c>
      <c r="D28" s="9"/>
      <c r="E28" s="5">
        <v>-3441</v>
      </c>
      <c r="F28" s="2" t="s">
        <v>221</v>
      </c>
      <c r="G28" s="47">
        <v>-10095</v>
      </c>
      <c r="H28" s="96"/>
    </row>
    <row r="29" spans="1:8" x14ac:dyDescent="0.3">
      <c r="A29" s="95">
        <v>3600</v>
      </c>
      <c r="B29" s="2" t="s">
        <v>48</v>
      </c>
      <c r="C29" s="3">
        <v>3600</v>
      </c>
      <c r="D29" s="9"/>
      <c r="E29" s="5">
        <v>-1760</v>
      </c>
      <c r="F29" s="2" t="s">
        <v>222</v>
      </c>
      <c r="G29" s="128">
        <v>-2205</v>
      </c>
      <c r="H29" s="96">
        <f>SUM(G21:G29)</f>
        <v>2467</v>
      </c>
    </row>
    <row r="30" spans="1:8" x14ac:dyDescent="0.3">
      <c r="A30" s="95">
        <v>20000</v>
      </c>
      <c r="B30" s="2" t="s">
        <v>250</v>
      </c>
      <c r="C30" s="3">
        <v>0</v>
      </c>
      <c r="D30" s="9"/>
      <c r="E30" s="5"/>
      <c r="F30" s="2"/>
      <c r="G30" s="3"/>
      <c r="H30" s="96"/>
    </row>
    <row r="31" spans="1:8" x14ac:dyDescent="0.3">
      <c r="A31" s="95">
        <v>826</v>
      </c>
      <c r="B31" s="2" t="s">
        <v>55</v>
      </c>
      <c r="C31" s="3">
        <v>826</v>
      </c>
      <c r="D31" s="9"/>
      <c r="E31" s="5"/>
      <c r="F31" s="8" t="s">
        <v>64</v>
      </c>
      <c r="G31" s="3"/>
      <c r="H31" s="96"/>
    </row>
    <row r="32" spans="1:8" x14ac:dyDescent="0.3">
      <c r="A32" s="95">
        <v>20392</v>
      </c>
      <c r="B32" s="2" t="s">
        <v>49</v>
      </c>
      <c r="C32" s="6">
        <v>20392</v>
      </c>
      <c r="D32" s="9">
        <f>SUM(C28:C32)</f>
        <v>32598</v>
      </c>
      <c r="E32" s="5">
        <v>0</v>
      </c>
      <c r="F32" s="2" t="s">
        <v>355</v>
      </c>
      <c r="G32" s="3">
        <v>7</v>
      </c>
      <c r="H32" s="96"/>
    </row>
    <row r="33" spans="1:10" x14ac:dyDescent="0.3">
      <c r="A33" s="95"/>
      <c r="B33" s="2"/>
      <c r="C33" s="3"/>
      <c r="D33" s="9"/>
      <c r="E33" s="5">
        <v>51</v>
      </c>
      <c r="F33" s="2" t="s">
        <v>104</v>
      </c>
      <c r="G33" s="6">
        <v>0</v>
      </c>
      <c r="H33" s="96">
        <f>SUM(G32:G33)</f>
        <v>7</v>
      </c>
    </row>
    <row r="34" spans="1:10" x14ac:dyDescent="0.3">
      <c r="A34" s="95"/>
      <c r="B34" s="8" t="s">
        <v>50</v>
      </c>
      <c r="C34" s="3"/>
      <c r="D34" s="9"/>
      <c r="E34" s="5"/>
      <c r="F34" s="2"/>
      <c r="G34" s="3"/>
      <c r="H34" s="96"/>
    </row>
    <row r="35" spans="1:10" x14ac:dyDescent="0.3">
      <c r="A35" s="95">
        <v>5056</v>
      </c>
      <c r="B35" s="2" t="s">
        <v>51</v>
      </c>
      <c r="C35" s="47">
        <f>'FA Sch_3'!G15</f>
        <v>4314</v>
      </c>
      <c r="D35" s="9"/>
      <c r="E35" s="5"/>
      <c r="F35" s="2"/>
      <c r="G35" s="3"/>
      <c r="H35" s="96"/>
    </row>
    <row r="36" spans="1:10" x14ac:dyDescent="0.3">
      <c r="A36" s="95">
        <v>4547</v>
      </c>
      <c r="B36" s="2" t="s">
        <v>52</v>
      </c>
      <c r="C36" s="3">
        <v>998</v>
      </c>
      <c r="D36" s="9"/>
      <c r="E36" s="5"/>
      <c r="F36" s="2"/>
      <c r="G36" s="3"/>
      <c r="H36" s="96"/>
    </row>
    <row r="37" spans="1:10" x14ac:dyDescent="0.3">
      <c r="A37" s="95">
        <v>2873</v>
      </c>
      <c r="B37" s="2" t="s">
        <v>56</v>
      </c>
      <c r="C37" s="3">
        <v>10406</v>
      </c>
      <c r="D37" s="9"/>
      <c r="E37" s="5"/>
      <c r="F37" s="2"/>
      <c r="G37" s="3"/>
      <c r="H37" s="96"/>
    </row>
    <row r="38" spans="1:10" x14ac:dyDescent="0.3">
      <c r="A38" s="95">
        <v>3726</v>
      </c>
      <c r="B38" s="2" t="s">
        <v>117</v>
      </c>
      <c r="C38" s="3">
        <v>4751</v>
      </c>
      <c r="D38" s="9"/>
      <c r="E38" s="5"/>
      <c r="F38" s="2"/>
      <c r="G38" s="3"/>
      <c r="H38" s="96"/>
    </row>
    <row r="39" spans="1:10" x14ac:dyDescent="0.3">
      <c r="A39" s="95">
        <v>15350</v>
      </c>
      <c r="B39" s="2" t="s">
        <v>53</v>
      </c>
      <c r="C39" s="3">
        <f>3540+1770+1770</f>
        <v>7080</v>
      </c>
      <c r="D39" s="9"/>
      <c r="E39" s="5"/>
      <c r="F39" s="2"/>
      <c r="G39" s="3"/>
      <c r="H39" s="96"/>
    </row>
    <row r="40" spans="1:10" x14ac:dyDescent="0.3">
      <c r="A40" s="95">
        <v>0</v>
      </c>
      <c r="B40" s="2" t="s">
        <v>357</v>
      </c>
      <c r="C40" s="3">
        <v>2500</v>
      </c>
      <c r="D40" s="9"/>
      <c r="E40" s="5"/>
      <c r="F40" s="2"/>
      <c r="G40" s="3"/>
      <c r="H40" s="96"/>
    </row>
    <row r="41" spans="1:10" x14ac:dyDescent="0.3">
      <c r="A41" s="95">
        <v>659.57</v>
      </c>
      <c r="B41" s="2" t="s">
        <v>54</v>
      </c>
      <c r="C41" s="3">
        <v>403.28</v>
      </c>
      <c r="D41" s="9"/>
      <c r="E41" s="5"/>
      <c r="F41" s="2"/>
      <c r="G41" s="3"/>
      <c r="H41" s="96"/>
    </row>
    <row r="42" spans="1:10" x14ac:dyDescent="0.3">
      <c r="A42" s="95">
        <v>675</v>
      </c>
      <c r="B42" s="2" t="s">
        <v>165</v>
      </c>
      <c r="C42" s="3">
        <v>36</v>
      </c>
      <c r="D42" s="9"/>
      <c r="E42" s="5"/>
      <c r="F42" s="2"/>
      <c r="G42" s="3"/>
      <c r="H42" s="96"/>
    </row>
    <row r="43" spans="1:10" x14ac:dyDescent="0.3">
      <c r="A43" s="95">
        <v>0</v>
      </c>
      <c r="B43" s="2" t="s">
        <v>223</v>
      </c>
      <c r="C43" s="6">
        <v>3000</v>
      </c>
      <c r="D43" s="9">
        <f>SUM(C35:C43)</f>
        <v>33488.28</v>
      </c>
      <c r="E43" s="5"/>
      <c r="F43" s="2"/>
      <c r="G43" s="3"/>
      <c r="H43" s="96"/>
    </row>
    <row r="44" spans="1:10" x14ac:dyDescent="0.3">
      <c r="A44" s="95"/>
      <c r="B44" s="2"/>
      <c r="C44" s="3"/>
      <c r="D44" s="9"/>
      <c r="E44" s="5"/>
      <c r="F44" s="2"/>
      <c r="G44" s="3"/>
      <c r="H44" s="96"/>
    </row>
    <row r="45" spans="1:10" x14ac:dyDescent="0.3">
      <c r="A45" s="95"/>
      <c r="B45" s="8" t="s">
        <v>57</v>
      </c>
      <c r="C45" s="3"/>
      <c r="D45" s="9"/>
      <c r="E45" s="5"/>
      <c r="F45" s="2"/>
      <c r="G45" s="3"/>
      <c r="H45" s="96"/>
    </row>
    <row r="46" spans="1:10" x14ac:dyDescent="0.3">
      <c r="A46" s="118">
        <v>22119</v>
      </c>
      <c r="B46" s="50" t="s">
        <v>168</v>
      </c>
      <c r="C46" s="47"/>
      <c r="D46" s="129">
        <f>ROUND((H48-SUM(D6:D45))*0.25,)</f>
        <v>10309</v>
      </c>
      <c r="E46" s="5"/>
      <c r="F46" s="2"/>
      <c r="G46" s="3"/>
      <c r="H46" s="96"/>
      <c r="J46" s="1" t="s">
        <v>638</v>
      </c>
    </row>
    <row r="47" spans="1:10" x14ac:dyDescent="0.3">
      <c r="A47" s="95">
        <v>66357.429999999993</v>
      </c>
      <c r="B47" s="50" t="s">
        <v>240</v>
      </c>
      <c r="C47" s="47"/>
      <c r="D47" s="130">
        <f>H48-SUM(D6:D46)</f>
        <v>30928.719999999972</v>
      </c>
      <c r="E47" s="5"/>
      <c r="F47" s="2"/>
      <c r="G47" s="3"/>
      <c r="H47" s="96"/>
    </row>
    <row r="48" spans="1:10" ht="15" thickBot="1" x14ac:dyDescent="0.35">
      <c r="A48" s="119">
        <f>SUM(A6:A47)</f>
        <v>424158</v>
      </c>
      <c r="B48" s="162" t="s">
        <v>14</v>
      </c>
      <c r="C48" s="163"/>
      <c r="D48" s="120">
        <f>SUM(D6:D47)</f>
        <v>435015</v>
      </c>
      <c r="E48" s="120">
        <f>SUM(E6:E47)</f>
        <v>424158</v>
      </c>
      <c r="F48" s="162" t="s">
        <v>14</v>
      </c>
      <c r="G48" s="163"/>
      <c r="H48" s="121">
        <f>SUM(H6:H47)</f>
        <v>435015</v>
      </c>
      <c r="I48" s="1">
        <f>A48-E48</f>
        <v>0</v>
      </c>
      <c r="J48" s="1">
        <f>D48-H48</f>
        <v>0</v>
      </c>
    </row>
    <row r="49" spans="1:8" x14ac:dyDescent="0.3">
      <c r="A49" s="103" t="s">
        <v>304</v>
      </c>
      <c r="B49" s="104"/>
      <c r="C49" s="104"/>
      <c r="D49" s="101"/>
      <c r="E49" s="148" t="str">
        <f>BS!E34</f>
        <v>For DIAGO CO-OPERATIVE HOUSING SOCIETY</v>
      </c>
      <c r="F49" s="148"/>
      <c r="G49" s="148"/>
      <c r="H49" s="149"/>
    </row>
    <row r="50" spans="1:8" x14ac:dyDescent="0.3">
      <c r="A50" s="103" t="s">
        <v>305</v>
      </c>
      <c r="B50" s="104"/>
      <c r="C50" s="104"/>
      <c r="D50" s="101"/>
      <c r="E50" s="91"/>
      <c r="F50" s="91"/>
      <c r="G50" s="91"/>
      <c r="H50" s="101"/>
    </row>
    <row r="51" spans="1:8" x14ac:dyDescent="0.3">
      <c r="A51" s="103" t="s">
        <v>306</v>
      </c>
      <c r="B51" s="104"/>
      <c r="C51" s="104"/>
      <c r="D51" s="101"/>
      <c r="E51" s="91"/>
      <c r="F51" s="91"/>
      <c r="G51" s="91"/>
      <c r="H51" s="101"/>
    </row>
    <row r="52" spans="1:8" x14ac:dyDescent="0.3">
      <c r="A52" s="105"/>
      <c r="B52" s="104"/>
      <c r="C52" s="104"/>
      <c r="D52" s="101"/>
      <c r="E52" s="91"/>
      <c r="F52" s="91"/>
      <c r="G52" s="91"/>
      <c r="H52" s="101"/>
    </row>
    <row r="53" spans="1:8" x14ac:dyDescent="0.3">
      <c r="A53" s="105"/>
      <c r="B53" s="104"/>
      <c r="C53" s="104"/>
      <c r="D53" s="101"/>
      <c r="E53" s="91"/>
      <c r="F53" s="91"/>
      <c r="G53" s="91"/>
      <c r="H53" s="101"/>
    </row>
    <row r="54" spans="1:8" x14ac:dyDescent="0.3">
      <c r="A54" s="103" t="s">
        <v>307</v>
      </c>
      <c r="B54" s="104"/>
      <c r="C54" s="104"/>
      <c r="D54" s="101"/>
      <c r="E54" s="91"/>
      <c r="F54" s="91"/>
      <c r="G54" s="91"/>
      <c r="H54" s="101"/>
    </row>
    <row r="55" spans="1:8" x14ac:dyDescent="0.3">
      <c r="A55" s="106" t="s">
        <v>308</v>
      </c>
      <c r="B55" s="104"/>
      <c r="C55" s="104"/>
      <c r="D55" s="101"/>
      <c r="E55" s="91"/>
      <c r="F55" s="91"/>
      <c r="G55" s="91"/>
      <c r="H55" s="101"/>
    </row>
    <row r="56" spans="1:8" x14ac:dyDescent="0.3">
      <c r="A56" s="103" t="s">
        <v>309</v>
      </c>
      <c r="B56" s="107" t="s">
        <v>311</v>
      </c>
      <c r="C56" s="104"/>
      <c r="D56" s="101"/>
      <c r="E56" s="91"/>
      <c r="F56" s="91"/>
      <c r="G56" s="91"/>
      <c r="H56" s="101"/>
    </row>
    <row r="57" spans="1:8" x14ac:dyDescent="0.3">
      <c r="A57" s="103" t="s">
        <v>310</v>
      </c>
      <c r="B57" s="107" t="s">
        <v>314</v>
      </c>
      <c r="C57" s="104"/>
      <c r="D57" s="101"/>
      <c r="E57" s="148" t="s">
        <v>31</v>
      </c>
      <c r="F57" s="148"/>
      <c r="G57" s="148"/>
      <c r="H57" s="149"/>
    </row>
    <row r="58" spans="1:8" ht="15" thickBot="1" x14ac:dyDescent="0.35">
      <c r="A58" s="108" t="s">
        <v>315</v>
      </c>
      <c r="B58" s="109"/>
      <c r="C58" s="109"/>
      <c r="D58" s="111"/>
      <c r="E58" s="110"/>
      <c r="F58" s="110"/>
      <c r="G58" s="110"/>
      <c r="H58" s="111"/>
    </row>
  </sheetData>
  <mergeCells count="10">
    <mergeCell ref="E57:H57"/>
    <mergeCell ref="E49:H49"/>
    <mergeCell ref="A1:H1"/>
    <mergeCell ref="A2:H2"/>
    <mergeCell ref="A3:H3"/>
    <mergeCell ref="A4:H4"/>
    <mergeCell ref="B5:C5"/>
    <mergeCell ref="F5:G5"/>
    <mergeCell ref="B48:C48"/>
    <mergeCell ref="F48:G48"/>
  </mergeCells>
  <pageMargins left="0.25" right="0.25" top="0.75" bottom="0.75" header="0.3" footer="0.3"/>
  <pageSetup paperSize="9" scale="6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E263-3AB8-4773-8AC0-DD0826056CB2}">
  <dimension ref="A1:H45"/>
  <sheetViews>
    <sheetView workbookViewId="0">
      <selection sqref="A1:D1"/>
    </sheetView>
  </sheetViews>
  <sheetFormatPr defaultColWidth="8.88671875" defaultRowHeight="14.4" x14ac:dyDescent="0.3"/>
  <cols>
    <col min="1" max="1" width="13.33203125" style="60" customWidth="1"/>
    <col min="2" max="2" width="39.44140625" style="60" customWidth="1"/>
    <col min="3" max="3" width="13.33203125" style="60" customWidth="1"/>
    <col min="4" max="4" width="13.33203125" style="64" customWidth="1"/>
    <col min="5" max="16384" width="8.88671875" style="60"/>
  </cols>
  <sheetData>
    <row r="1" spans="1:4" x14ac:dyDescent="0.3">
      <c r="A1" s="166" t="s">
        <v>122</v>
      </c>
      <c r="B1" s="166"/>
      <c r="C1" s="166"/>
      <c r="D1" s="166"/>
    </row>
    <row r="2" spans="1:4" x14ac:dyDescent="0.3">
      <c r="A2" s="164" t="s">
        <v>319</v>
      </c>
      <c r="B2" s="165"/>
      <c r="C2" s="165"/>
      <c r="D2" s="165"/>
    </row>
    <row r="3" spans="1:4" x14ac:dyDescent="0.3">
      <c r="A3" s="61" t="s">
        <v>251</v>
      </c>
      <c r="B3" s="61" t="s">
        <v>120</v>
      </c>
      <c r="C3" s="62"/>
      <c r="D3" s="61" t="s">
        <v>318</v>
      </c>
    </row>
    <row r="4" spans="1:4" x14ac:dyDescent="0.3">
      <c r="A4" s="63"/>
      <c r="B4" s="64" t="s">
        <v>67</v>
      </c>
      <c r="D4" s="65"/>
    </row>
    <row r="5" spans="1:4" x14ac:dyDescent="0.3">
      <c r="A5" s="66">
        <v>84304</v>
      </c>
      <c r="B5" s="60" t="s">
        <v>123</v>
      </c>
      <c r="C5" s="60">
        <f>SUM(A5:A8)</f>
        <v>116266</v>
      </c>
      <c r="D5" s="67"/>
    </row>
    <row r="6" spans="1:4" x14ac:dyDescent="0.3">
      <c r="A6" s="66">
        <v>1000</v>
      </c>
      <c r="B6" s="60" t="s">
        <v>124</v>
      </c>
      <c r="C6" s="60">
        <v>54200</v>
      </c>
      <c r="D6" s="67"/>
    </row>
    <row r="7" spans="1:4" x14ac:dyDescent="0.3">
      <c r="A7" s="66">
        <v>22119</v>
      </c>
      <c r="B7" s="60" t="s">
        <v>125</v>
      </c>
      <c r="C7" s="60">
        <f>IE!D46</f>
        <v>10309</v>
      </c>
      <c r="D7" s="67"/>
    </row>
    <row r="8" spans="1:4" x14ac:dyDescent="0.3">
      <c r="A8" s="66">
        <v>8843</v>
      </c>
      <c r="B8" s="60" t="s">
        <v>126</v>
      </c>
      <c r="C8" s="68">
        <v>12681</v>
      </c>
      <c r="D8" s="67">
        <f>SUM(C5:C8)</f>
        <v>193456</v>
      </c>
    </row>
    <row r="9" spans="1:4" x14ac:dyDescent="0.3">
      <c r="A9" s="66"/>
      <c r="D9" s="67"/>
    </row>
    <row r="10" spans="1:4" x14ac:dyDescent="0.3">
      <c r="A10" s="66"/>
      <c r="B10" s="64" t="s">
        <v>69</v>
      </c>
      <c r="D10" s="67"/>
    </row>
    <row r="11" spans="1:4" x14ac:dyDescent="0.3">
      <c r="A11" s="66">
        <v>121823</v>
      </c>
      <c r="B11" s="60" t="s">
        <v>123</v>
      </c>
      <c r="C11" s="60">
        <f>SUM(A11:A12)</f>
        <v>128875</v>
      </c>
      <c r="D11" s="67"/>
    </row>
    <row r="12" spans="1:4" x14ac:dyDescent="0.3">
      <c r="A12" s="66">
        <v>7052</v>
      </c>
      <c r="B12" s="60" t="s">
        <v>126</v>
      </c>
      <c r="C12" s="68">
        <v>9159</v>
      </c>
      <c r="D12" s="67">
        <f>SUM(C11:C12)</f>
        <v>138034</v>
      </c>
    </row>
    <row r="13" spans="1:4" x14ac:dyDescent="0.3">
      <c r="A13" s="66"/>
      <c r="D13" s="67"/>
    </row>
    <row r="14" spans="1:4" x14ac:dyDescent="0.3">
      <c r="A14" s="66"/>
      <c r="B14" s="64" t="s">
        <v>214</v>
      </c>
      <c r="D14" s="67"/>
    </row>
    <row r="15" spans="1:4" x14ac:dyDescent="0.3">
      <c r="A15" s="66">
        <v>43276</v>
      </c>
      <c r="B15" s="60" t="s">
        <v>123</v>
      </c>
      <c r="C15" s="60">
        <f>SUM(A15:A17)</f>
        <v>133117</v>
      </c>
      <c r="D15" s="67"/>
    </row>
    <row r="16" spans="1:4" x14ac:dyDescent="0.3">
      <c r="A16" s="66">
        <v>86400</v>
      </c>
      <c r="B16" s="60" t="s">
        <v>121</v>
      </c>
      <c r="C16" s="60">
        <v>0</v>
      </c>
      <c r="D16" s="67"/>
    </row>
    <row r="17" spans="1:4" x14ac:dyDescent="0.3">
      <c r="A17" s="66">
        <v>3441</v>
      </c>
      <c r="B17" s="60" t="s">
        <v>127</v>
      </c>
      <c r="C17" s="68">
        <v>10095</v>
      </c>
      <c r="D17" s="67">
        <f>SUM(C15:C17)</f>
        <v>143212</v>
      </c>
    </row>
    <row r="18" spans="1:4" x14ac:dyDescent="0.3">
      <c r="A18" s="66"/>
      <c r="D18" s="67"/>
    </row>
    <row r="19" spans="1:4" x14ac:dyDescent="0.3">
      <c r="A19" s="66"/>
      <c r="B19" s="64" t="s">
        <v>6</v>
      </c>
      <c r="D19" s="67"/>
    </row>
    <row r="20" spans="1:4" x14ac:dyDescent="0.3">
      <c r="A20" s="66">
        <v>148885</v>
      </c>
      <c r="B20" s="60" t="s">
        <v>123</v>
      </c>
      <c r="C20" s="60">
        <f>SUM(A20:A22)</f>
        <v>165556</v>
      </c>
      <c r="D20" s="67"/>
    </row>
    <row r="21" spans="1:4" x14ac:dyDescent="0.3">
      <c r="A21" s="66">
        <v>7984</v>
      </c>
      <c r="B21" s="60" t="s">
        <v>121</v>
      </c>
      <c r="C21" s="60">
        <v>7984</v>
      </c>
      <c r="D21" s="67"/>
    </row>
    <row r="22" spans="1:4" x14ac:dyDescent="0.3">
      <c r="A22" s="66">
        <v>8687</v>
      </c>
      <c r="B22" s="60" t="s">
        <v>127</v>
      </c>
      <c r="C22" s="68">
        <v>10936</v>
      </c>
      <c r="D22" s="67">
        <f>SUM(C20:C22)</f>
        <v>184476</v>
      </c>
    </row>
    <row r="23" spans="1:4" x14ac:dyDescent="0.3">
      <c r="A23" s="66"/>
      <c r="D23" s="67"/>
    </row>
    <row r="24" spans="1:4" x14ac:dyDescent="0.3">
      <c r="A24" s="66"/>
      <c r="B24" s="64" t="s">
        <v>359</v>
      </c>
      <c r="D24" s="67"/>
    </row>
    <row r="25" spans="1:4" x14ac:dyDescent="0.3">
      <c r="A25" s="66">
        <v>99997</v>
      </c>
      <c r="B25" s="60" t="s">
        <v>123</v>
      </c>
      <c r="C25" s="60">
        <f>SUM(A25:A27)</f>
        <v>133411</v>
      </c>
      <c r="D25" s="67"/>
    </row>
    <row r="26" spans="1:4" x14ac:dyDescent="0.3">
      <c r="A26" s="66">
        <v>23956</v>
      </c>
      <c r="B26" s="60" t="s">
        <v>121</v>
      </c>
      <c r="C26" s="60">
        <v>23956</v>
      </c>
      <c r="D26" s="67"/>
    </row>
    <row r="27" spans="1:4" x14ac:dyDescent="0.3">
      <c r="A27" s="66">
        <v>9458</v>
      </c>
      <c r="B27" s="60" t="s">
        <v>127</v>
      </c>
      <c r="C27" s="68">
        <v>9156</v>
      </c>
      <c r="D27" s="67">
        <f>SUM(C25:C27)</f>
        <v>166523</v>
      </c>
    </row>
    <row r="28" spans="1:4" x14ac:dyDescent="0.3">
      <c r="A28" s="66"/>
      <c r="D28" s="67"/>
    </row>
    <row r="29" spans="1:4" x14ac:dyDescent="0.3">
      <c r="A29" s="66"/>
      <c r="B29" s="64" t="s">
        <v>68</v>
      </c>
      <c r="D29" s="67"/>
    </row>
    <row r="30" spans="1:4" x14ac:dyDescent="0.3">
      <c r="A30" s="66">
        <v>140127</v>
      </c>
      <c r="B30" s="60" t="s">
        <v>123</v>
      </c>
      <c r="C30" s="60">
        <f>SUM(A30:A32)</f>
        <v>136380</v>
      </c>
      <c r="D30" s="67"/>
    </row>
    <row r="31" spans="1:4" x14ac:dyDescent="0.3">
      <c r="A31" s="66">
        <v>-9359</v>
      </c>
      <c r="B31" s="60" t="s">
        <v>242</v>
      </c>
      <c r="C31" s="60">
        <f>IE!C25</f>
        <v>-9028</v>
      </c>
      <c r="D31" s="67"/>
    </row>
    <row r="32" spans="1:4" x14ac:dyDescent="0.3">
      <c r="A32" s="66">
        <v>5612</v>
      </c>
      <c r="B32" s="60" t="s">
        <v>127</v>
      </c>
      <c r="C32" s="68">
        <v>10495</v>
      </c>
      <c r="D32" s="67">
        <f>SUM(C30:C32)</f>
        <v>137847</v>
      </c>
    </row>
    <row r="33" spans="1:8" x14ac:dyDescent="0.3">
      <c r="A33" s="66"/>
      <c r="D33" s="67"/>
    </row>
    <row r="34" spans="1:8" x14ac:dyDescent="0.3">
      <c r="A34" s="66"/>
      <c r="B34" s="64" t="s">
        <v>70</v>
      </c>
      <c r="D34" s="67"/>
    </row>
    <row r="35" spans="1:8" x14ac:dyDescent="0.3">
      <c r="A35" s="66">
        <v>185917</v>
      </c>
      <c r="B35" s="60" t="s">
        <v>123</v>
      </c>
      <c r="C35" s="60">
        <f>SUM(A35:A38)</f>
        <v>221813</v>
      </c>
      <c r="D35" s="67"/>
    </row>
    <row r="36" spans="1:8" x14ac:dyDescent="0.3">
      <c r="A36" s="66">
        <v>21600</v>
      </c>
      <c r="B36" s="60" t="s">
        <v>121</v>
      </c>
      <c r="C36" s="60">
        <v>21600</v>
      </c>
      <c r="D36" s="67"/>
      <c r="H36" s="69"/>
    </row>
    <row r="37" spans="1:8" x14ac:dyDescent="0.3">
      <c r="A37" s="66">
        <v>14296</v>
      </c>
      <c r="B37" s="60" t="s">
        <v>127</v>
      </c>
      <c r="C37" s="131">
        <v>17335</v>
      </c>
      <c r="D37" s="67"/>
    </row>
    <row r="38" spans="1:8" x14ac:dyDescent="0.3">
      <c r="A38" s="66">
        <v>0</v>
      </c>
      <c r="B38" s="60" t="s">
        <v>242</v>
      </c>
      <c r="C38" s="68">
        <v>0</v>
      </c>
      <c r="D38" s="67">
        <f>SUM(C35:C38)</f>
        <v>260748</v>
      </c>
    </row>
    <row r="39" spans="1:8" x14ac:dyDescent="0.3">
      <c r="A39" s="66"/>
      <c r="D39" s="67"/>
    </row>
    <row r="40" spans="1:8" x14ac:dyDescent="0.3">
      <c r="A40" s="66"/>
      <c r="B40" s="64" t="s">
        <v>216</v>
      </c>
      <c r="D40" s="67"/>
    </row>
    <row r="41" spans="1:8" x14ac:dyDescent="0.3">
      <c r="A41" s="66">
        <v>23541</v>
      </c>
      <c r="B41" s="60" t="s">
        <v>123</v>
      </c>
      <c r="C41" s="60">
        <f>SUM(A41:A43)</f>
        <v>29621</v>
      </c>
      <c r="D41" s="67"/>
    </row>
    <row r="42" spans="1:8" x14ac:dyDescent="0.3">
      <c r="A42" s="66">
        <v>4320</v>
      </c>
      <c r="B42" s="60" t="s">
        <v>121</v>
      </c>
      <c r="C42" s="60">
        <v>4320</v>
      </c>
      <c r="D42" s="67"/>
    </row>
    <row r="43" spans="1:8" x14ac:dyDescent="0.3">
      <c r="A43" s="66">
        <v>1760</v>
      </c>
      <c r="B43" s="60" t="s">
        <v>127</v>
      </c>
      <c r="C43" s="68">
        <v>2205</v>
      </c>
      <c r="D43" s="67">
        <f>SUM(C41:C43)</f>
        <v>36146</v>
      </c>
    </row>
    <row r="44" spans="1:8" x14ac:dyDescent="0.3">
      <c r="A44" s="66"/>
      <c r="D44" s="67"/>
    </row>
    <row r="45" spans="1:8" x14ac:dyDescent="0.3">
      <c r="A45" s="70">
        <f>SUM(A5:A44)</f>
        <v>1065039</v>
      </c>
      <c r="B45" s="71" t="s">
        <v>14</v>
      </c>
      <c r="C45" s="72"/>
      <c r="D45" s="70">
        <f>SUM(D5:D44)</f>
        <v>1260442</v>
      </c>
    </row>
  </sheetData>
  <mergeCells count="2">
    <mergeCell ref="A2:D2"/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E95C-4B81-415C-9D51-34157384FA49}">
  <sheetPr>
    <pageSetUpPr fitToPage="1"/>
  </sheetPr>
  <dimension ref="A1:M8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3" sqref="K3"/>
    </sheetView>
  </sheetViews>
  <sheetFormatPr defaultColWidth="8.88671875" defaultRowHeight="14.4" x14ac:dyDescent="0.3"/>
  <cols>
    <col min="1" max="1" width="4.6640625" style="11" customWidth="1"/>
    <col min="2" max="2" width="21.109375" style="80" customWidth="1"/>
    <col min="3" max="3" width="10.109375" style="11" bestFit="1" customWidth="1"/>
    <col min="4" max="4" width="12" style="74" customWidth="1"/>
    <col min="5" max="9" width="12" style="60" customWidth="1"/>
    <col min="10" max="10" width="12.33203125" style="74" bestFit="1" customWidth="1"/>
    <col min="11" max="11" width="13.33203125" style="60" bestFit="1" customWidth="1"/>
    <col min="12" max="12" width="9.33203125" style="60" bestFit="1" customWidth="1"/>
    <col min="13" max="13" width="7" style="11" bestFit="1" customWidth="1"/>
  </cols>
  <sheetData>
    <row r="1" spans="1:13" x14ac:dyDescent="0.3">
      <c r="A1" s="167" t="str">
        <f>BS!A1</f>
        <v>DIAGO CO-OPERATIVE HOUSING SOCIETY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3" x14ac:dyDescent="0.3">
      <c r="A2" s="169" t="s">
        <v>320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</row>
    <row r="3" spans="1:13" s="77" customFormat="1" ht="28.8" x14ac:dyDescent="0.3">
      <c r="A3" s="75" t="s">
        <v>65</v>
      </c>
      <c r="B3" s="75" t="s">
        <v>7</v>
      </c>
      <c r="C3" s="75" t="s">
        <v>12</v>
      </c>
      <c r="D3" s="76" t="s">
        <v>13</v>
      </c>
      <c r="E3" s="76" t="s">
        <v>188</v>
      </c>
      <c r="F3" s="76" t="s">
        <v>246</v>
      </c>
      <c r="G3" s="76" t="s">
        <v>371</v>
      </c>
      <c r="H3" s="76" t="s">
        <v>66</v>
      </c>
      <c r="I3" s="76" t="s">
        <v>14</v>
      </c>
      <c r="J3" s="76" t="s">
        <v>9</v>
      </c>
      <c r="K3" s="76" t="s">
        <v>11</v>
      </c>
      <c r="L3" s="75" t="s">
        <v>15</v>
      </c>
      <c r="M3" s="75" t="s">
        <v>8</v>
      </c>
    </row>
    <row r="4" spans="1:13" x14ac:dyDescent="0.3">
      <c r="B4" s="78" t="s">
        <v>6</v>
      </c>
    </row>
    <row r="5" spans="1:13" x14ac:dyDescent="0.3">
      <c r="A5" s="17">
        <v>1</v>
      </c>
      <c r="B5" s="79" t="s">
        <v>370</v>
      </c>
      <c r="C5" s="17" t="s">
        <v>179</v>
      </c>
      <c r="D5" s="135">
        <v>13194</v>
      </c>
      <c r="E5" s="135">
        <v>0</v>
      </c>
      <c r="F5" s="135">
        <v>0</v>
      </c>
      <c r="G5" s="135">
        <f>302-30</f>
        <v>272</v>
      </c>
      <c r="H5" s="135">
        <f>+E5+F5+G5</f>
        <v>272</v>
      </c>
      <c r="I5" s="136">
        <f t="shared" ref="I5:I23" si="0">D5+H5</f>
        <v>13466</v>
      </c>
      <c r="J5" s="52" t="s">
        <v>396</v>
      </c>
      <c r="K5" s="141">
        <v>16248</v>
      </c>
      <c r="L5" s="54">
        <v>7.0000000000000007E-2</v>
      </c>
      <c r="M5" s="17" t="s">
        <v>87</v>
      </c>
    </row>
    <row r="6" spans="1:13" x14ac:dyDescent="0.3">
      <c r="A6" s="17">
        <v>2</v>
      </c>
      <c r="B6" s="79" t="s">
        <v>262</v>
      </c>
      <c r="C6" s="17" t="s">
        <v>85</v>
      </c>
      <c r="D6" s="135">
        <v>6537</v>
      </c>
      <c r="E6" s="135">
        <v>0</v>
      </c>
      <c r="F6" s="135">
        <f>32-3</f>
        <v>29</v>
      </c>
      <c r="G6" s="135">
        <f>505-51</f>
        <v>454</v>
      </c>
      <c r="H6" s="135">
        <f t="shared" ref="H6:H23" si="1">+E6+F6+G6</f>
        <v>483</v>
      </c>
      <c r="I6" s="136">
        <f t="shared" si="0"/>
        <v>7020</v>
      </c>
      <c r="J6" s="52" t="s">
        <v>300</v>
      </c>
      <c r="K6" s="141">
        <v>7173</v>
      </c>
      <c r="L6" s="54">
        <v>7.4999999999999997E-2</v>
      </c>
      <c r="M6" s="17" t="s">
        <v>87</v>
      </c>
    </row>
    <row r="7" spans="1:13" x14ac:dyDescent="0.3">
      <c r="A7" s="17">
        <v>3</v>
      </c>
      <c r="B7" s="79" t="s">
        <v>261</v>
      </c>
      <c r="C7" s="17" t="s">
        <v>86</v>
      </c>
      <c r="D7" s="135">
        <v>5671</v>
      </c>
      <c r="E7" s="135">
        <v>0</v>
      </c>
      <c r="F7" s="135">
        <f>14-2</f>
        <v>12</v>
      </c>
      <c r="G7" s="135">
        <f>437-44</f>
        <v>393</v>
      </c>
      <c r="H7" s="135">
        <f t="shared" si="1"/>
        <v>405</v>
      </c>
      <c r="I7" s="136">
        <f t="shared" si="0"/>
        <v>6076</v>
      </c>
      <c r="J7" s="52" t="s">
        <v>288</v>
      </c>
      <c r="K7" s="141">
        <v>6223</v>
      </c>
      <c r="L7" s="54">
        <v>7.4999999999999997E-2</v>
      </c>
      <c r="M7" s="17" t="s">
        <v>87</v>
      </c>
    </row>
    <row r="8" spans="1:13" x14ac:dyDescent="0.3">
      <c r="A8" s="17">
        <v>4</v>
      </c>
      <c r="B8" s="79" t="s">
        <v>372</v>
      </c>
      <c r="C8" s="17" t="s">
        <v>185</v>
      </c>
      <c r="D8" s="135">
        <v>7366</v>
      </c>
      <c r="E8" s="135">
        <v>0</v>
      </c>
      <c r="F8" s="135">
        <v>0</v>
      </c>
      <c r="G8" s="135">
        <f>432-44</f>
        <v>388</v>
      </c>
      <c r="H8" s="135">
        <f t="shared" si="1"/>
        <v>388</v>
      </c>
      <c r="I8" s="136">
        <f t="shared" si="0"/>
        <v>7754</v>
      </c>
      <c r="J8" s="52" t="s">
        <v>397</v>
      </c>
      <c r="K8" s="141">
        <v>9071</v>
      </c>
      <c r="L8" s="54">
        <v>7.0000000000000007E-2</v>
      </c>
      <c r="M8" s="17" t="s">
        <v>87</v>
      </c>
    </row>
    <row r="9" spans="1:13" x14ac:dyDescent="0.3">
      <c r="A9" s="17">
        <v>5</v>
      </c>
      <c r="B9" s="79" t="s">
        <v>373</v>
      </c>
      <c r="C9" s="17" t="s">
        <v>183</v>
      </c>
      <c r="D9" s="135">
        <v>7281</v>
      </c>
      <c r="E9" s="135">
        <v>0</v>
      </c>
      <c r="F9" s="135">
        <v>0</v>
      </c>
      <c r="G9" s="135">
        <f>398-39</f>
        <v>359</v>
      </c>
      <c r="H9" s="135">
        <f t="shared" si="1"/>
        <v>359</v>
      </c>
      <c r="I9" s="136">
        <f t="shared" si="0"/>
        <v>7640</v>
      </c>
      <c r="J9" s="52" t="s">
        <v>398</v>
      </c>
      <c r="K9" s="141">
        <v>8966</v>
      </c>
      <c r="L9" s="54">
        <v>7.0000000000000007E-2</v>
      </c>
      <c r="M9" s="17" t="s">
        <v>87</v>
      </c>
    </row>
    <row r="10" spans="1:13" x14ac:dyDescent="0.3">
      <c r="A10" s="17">
        <v>6</v>
      </c>
      <c r="B10" s="79" t="s">
        <v>374</v>
      </c>
      <c r="C10" s="17" t="s">
        <v>184</v>
      </c>
      <c r="D10" s="135">
        <v>19266</v>
      </c>
      <c r="E10" s="135">
        <v>0</v>
      </c>
      <c r="F10" s="135">
        <v>0</v>
      </c>
      <c r="G10" s="135">
        <f>1065-107</f>
        <v>958</v>
      </c>
      <c r="H10" s="135">
        <f t="shared" si="1"/>
        <v>958</v>
      </c>
      <c r="I10" s="136">
        <f t="shared" si="0"/>
        <v>20224</v>
      </c>
      <c r="J10" s="52" t="s">
        <v>399</v>
      </c>
      <c r="K10" s="141">
        <v>23725</v>
      </c>
      <c r="L10" s="54">
        <v>7.0000000000000007E-2</v>
      </c>
      <c r="M10" s="17" t="s">
        <v>87</v>
      </c>
    </row>
    <row r="11" spans="1:13" x14ac:dyDescent="0.3">
      <c r="A11" s="17">
        <v>7</v>
      </c>
      <c r="B11" s="79" t="s">
        <v>609</v>
      </c>
      <c r="C11" s="17" t="s">
        <v>174</v>
      </c>
      <c r="D11" s="135">
        <v>11492</v>
      </c>
      <c r="E11" s="135">
        <v>0</v>
      </c>
      <c r="F11" s="135">
        <v>0</v>
      </c>
      <c r="G11" s="135">
        <f>9-1</f>
        <v>8</v>
      </c>
      <c r="H11" s="135">
        <f t="shared" si="1"/>
        <v>8</v>
      </c>
      <c r="I11" s="136">
        <f t="shared" si="0"/>
        <v>11500</v>
      </c>
      <c r="J11" s="52" t="s">
        <v>392</v>
      </c>
      <c r="K11" s="141">
        <v>12688</v>
      </c>
      <c r="L11" s="54">
        <v>7.4999999999999997E-2</v>
      </c>
      <c r="M11" s="17" t="s">
        <v>87</v>
      </c>
    </row>
    <row r="12" spans="1:13" x14ac:dyDescent="0.3">
      <c r="A12" s="17">
        <v>8</v>
      </c>
      <c r="B12" s="79" t="s">
        <v>608</v>
      </c>
      <c r="C12" s="17" t="s">
        <v>174</v>
      </c>
      <c r="D12" s="135">
        <v>26590</v>
      </c>
      <c r="E12" s="135">
        <v>0</v>
      </c>
      <c r="F12" s="135">
        <v>0</v>
      </c>
      <c r="G12" s="135">
        <f>21-3</f>
        <v>18</v>
      </c>
      <c r="H12" s="135">
        <f t="shared" si="1"/>
        <v>18</v>
      </c>
      <c r="I12" s="136">
        <f t="shared" si="0"/>
        <v>26608</v>
      </c>
      <c r="J12" s="52" t="s">
        <v>392</v>
      </c>
      <c r="K12" s="141">
        <v>29358</v>
      </c>
      <c r="L12" s="54">
        <v>7.4999999999999997E-2</v>
      </c>
      <c r="M12" s="17" t="s">
        <v>87</v>
      </c>
    </row>
    <row r="13" spans="1:13" x14ac:dyDescent="0.3">
      <c r="A13" s="17">
        <v>9</v>
      </c>
      <c r="B13" s="79" t="s">
        <v>375</v>
      </c>
      <c r="C13" s="17" t="s">
        <v>174</v>
      </c>
      <c r="D13" s="135">
        <v>3663</v>
      </c>
      <c r="E13" s="135">
        <v>0</v>
      </c>
      <c r="F13" s="135">
        <v>0</v>
      </c>
      <c r="G13" s="135">
        <f>3-0</f>
        <v>3</v>
      </c>
      <c r="H13" s="135">
        <f t="shared" si="1"/>
        <v>3</v>
      </c>
      <c r="I13" s="136">
        <f t="shared" si="0"/>
        <v>3666</v>
      </c>
      <c r="J13" s="52"/>
      <c r="K13" s="141"/>
      <c r="L13" s="54"/>
      <c r="M13" s="17" t="s">
        <v>87</v>
      </c>
    </row>
    <row r="14" spans="1:13" x14ac:dyDescent="0.3">
      <c r="A14" s="17">
        <v>10</v>
      </c>
      <c r="B14" s="79" t="s">
        <v>190</v>
      </c>
      <c r="C14" s="17" t="s">
        <v>229</v>
      </c>
      <c r="D14" s="135">
        <v>3150</v>
      </c>
      <c r="E14" s="135">
        <v>6</v>
      </c>
      <c r="F14" s="135">
        <f>226-22</f>
        <v>204</v>
      </c>
      <c r="G14" s="135">
        <f>241-24</f>
        <v>217</v>
      </c>
      <c r="H14" s="135">
        <f t="shared" si="1"/>
        <v>427</v>
      </c>
      <c r="I14" s="136">
        <f t="shared" si="0"/>
        <v>3577</v>
      </c>
      <c r="J14" s="52" t="s">
        <v>232</v>
      </c>
      <c r="K14" s="141">
        <v>3879</v>
      </c>
      <c r="L14" s="54">
        <v>7.0000000000000007E-2</v>
      </c>
      <c r="M14" s="17" t="s">
        <v>87</v>
      </c>
    </row>
    <row r="15" spans="1:13" x14ac:dyDescent="0.3">
      <c r="A15" s="17">
        <v>11</v>
      </c>
      <c r="B15" s="79" t="s">
        <v>376</v>
      </c>
      <c r="C15" s="17" t="s">
        <v>182</v>
      </c>
      <c r="D15" s="135">
        <v>6063</v>
      </c>
      <c r="E15" s="135">
        <v>0</v>
      </c>
      <c r="F15" s="135">
        <v>0</v>
      </c>
      <c r="G15" s="135">
        <f>242-25</f>
        <v>217</v>
      </c>
      <c r="H15" s="135">
        <f t="shared" si="1"/>
        <v>217</v>
      </c>
      <c r="I15" s="136">
        <f t="shared" si="0"/>
        <v>6280</v>
      </c>
      <c r="J15" s="52" t="s">
        <v>612</v>
      </c>
      <c r="K15" s="141">
        <v>7466</v>
      </c>
      <c r="L15" s="54">
        <v>7.0000000000000007E-2</v>
      </c>
      <c r="M15" s="17" t="s">
        <v>87</v>
      </c>
    </row>
    <row r="16" spans="1:13" x14ac:dyDescent="0.3">
      <c r="A16" s="17">
        <v>12</v>
      </c>
      <c r="B16" s="79" t="s">
        <v>264</v>
      </c>
      <c r="C16" s="17" t="s">
        <v>181</v>
      </c>
      <c r="D16" s="135">
        <v>7437</v>
      </c>
      <c r="E16" s="135">
        <v>0</v>
      </c>
      <c r="F16" s="135">
        <f>293-30</f>
        <v>263</v>
      </c>
      <c r="G16" s="135">
        <f>572-57</f>
        <v>515</v>
      </c>
      <c r="H16" s="135">
        <f t="shared" si="1"/>
        <v>778</v>
      </c>
      <c r="I16" s="136">
        <f t="shared" si="0"/>
        <v>8215</v>
      </c>
      <c r="J16" s="52" t="s">
        <v>296</v>
      </c>
      <c r="K16" s="141">
        <v>8586</v>
      </c>
      <c r="L16" s="54">
        <v>7.2499999999999995E-2</v>
      </c>
      <c r="M16" s="17" t="s">
        <v>87</v>
      </c>
    </row>
    <row r="17" spans="1:13" x14ac:dyDescent="0.3">
      <c r="A17" s="17">
        <v>13</v>
      </c>
      <c r="B17" s="79" t="s">
        <v>610</v>
      </c>
      <c r="C17" s="17" t="s">
        <v>174</v>
      </c>
      <c r="D17" s="135">
        <v>3345</v>
      </c>
      <c r="E17" s="135">
        <v>0</v>
      </c>
      <c r="F17" s="135">
        <v>0</v>
      </c>
      <c r="G17" s="135">
        <f>3-1</f>
        <v>2</v>
      </c>
      <c r="H17" s="135">
        <f t="shared" si="1"/>
        <v>2</v>
      </c>
      <c r="I17" s="136">
        <f t="shared" si="0"/>
        <v>3347</v>
      </c>
      <c r="J17" s="52" t="s">
        <v>392</v>
      </c>
      <c r="K17" s="141">
        <v>3693</v>
      </c>
      <c r="L17" s="54">
        <v>7.4999999999999997E-2</v>
      </c>
      <c r="M17" s="17" t="s">
        <v>87</v>
      </c>
    </row>
    <row r="18" spans="1:13" x14ac:dyDescent="0.3">
      <c r="A18" s="17">
        <v>14</v>
      </c>
      <c r="B18" s="79" t="s">
        <v>189</v>
      </c>
      <c r="C18" s="17" t="s">
        <v>178</v>
      </c>
      <c r="D18" s="135">
        <v>10031</v>
      </c>
      <c r="E18" s="135">
        <v>17</v>
      </c>
      <c r="F18" s="135">
        <f>720-74</f>
        <v>646</v>
      </c>
      <c r="G18" s="135">
        <f>767-77</f>
        <v>690</v>
      </c>
      <c r="H18" s="135">
        <f t="shared" si="1"/>
        <v>1353</v>
      </c>
      <c r="I18" s="136">
        <f t="shared" si="0"/>
        <v>11384</v>
      </c>
      <c r="J18" s="52" t="s">
        <v>226</v>
      </c>
      <c r="K18" s="141">
        <v>12353</v>
      </c>
      <c r="L18" s="54">
        <v>7.0000000000000007E-2</v>
      </c>
      <c r="M18" s="17" t="s">
        <v>87</v>
      </c>
    </row>
    <row r="19" spans="1:13" x14ac:dyDescent="0.3">
      <c r="A19" s="17">
        <v>15</v>
      </c>
      <c r="B19" s="79" t="s">
        <v>260</v>
      </c>
      <c r="C19" s="17" t="s">
        <v>86</v>
      </c>
      <c r="D19" s="135">
        <v>9301</v>
      </c>
      <c r="E19" s="135">
        <v>0</v>
      </c>
      <c r="F19" s="135">
        <f>23-2</f>
        <v>21</v>
      </c>
      <c r="G19" s="135">
        <f>717-73</f>
        <v>644</v>
      </c>
      <c r="H19" s="135">
        <f t="shared" si="1"/>
        <v>665</v>
      </c>
      <c r="I19" s="136">
        <f t="shared" si="0"/>
        <v>9966</v>
      </c>
      <c r="J19" s="52" t="s">
        <v>288</v>
      </c>
      <c r="K19" s="141">
        <v>10206</v>
      </c>
      <c r="L19" s="54">
        <v>7.4999999999999997E-2</v>
      </c>
      <c r="M19" s="17" t="s">
        <v>87</v>
      </c>
    </row>
    <row r="20" spans="1:13" x14ac:dyDescent="0.3">
      <c r="A20" s="17">
        <v>16</v>
      </c>
      <c r="B20" s="79" t="s">
        <v>269</v>
      </c>
      <c r="C20" s="17" t="s">
        <v>292</v>
      </c>
      <c r="D20" s="135">
        <v>8435</v>
      </c>
      <c r="E20" s="135">
        <v>0</v>
      </c>
      <c r="F20" s="135">
        <f>578-58</f>
        <v>520</v>
      </c>
      <c r="G20" s="135">
        <f>666-65</f>
        <v>601</v>
      </c>
      <c r="H20" s="135">
        <f t="shared" si="1"/>
        <v>1121</v>
      </c>
      <c r="I20" s="136">
        <f t="shared" si="0"/>
        <v>9556</v>
      </c>
      <c r="J20" s="52" t="s">
        <v>293</v>
      </c>
      <c r="K20" s="141">
        <v>9739</v>
      </c>
      <c r="L20" s="54">
        <v>7.2499999999999995E-2</v>
      </c>
      <c r="M20" s="17" t="s">
        <v>87</v>
      </c>
    </row>
    <row r="21" spans="1:13" x14ac:dyDescent="0.3">
      <c r="A21" s="17">
        <v>17</v>
      </c>
      <c r="B21" s="79" t="s">
        <v>211</v>
      </c>
      <c r="C21" s="17" t="s">
        <v>178</v>
      </c>
      <c r="D21" s="135">
        <v>7984</v>
      </c>
      <c r="E21" s="135">
        <v>14</v>
      </c>
      <c r="F21" s="135">
        <f>573-57</f>
        <v>516</v>
      </c>
      <c r="G21" s="135">
        <f>610-61</f>
        <v>549</v>
      </c>
      <c r="H21" s="135">
        <f t="shared" si="1"/>
        <v>1079</v>
      </c>
      <c r="I21" s="136">
        <f t="shared" si="0"/>
        <v>9063</v>
      </c>
      <c r="J21" s="52" t="s">
        <v>226</v>
      </c>
      <c r="K21" s="141">
        <v>9832</v>
      </c>
      <c r="L21" s="54">
        <v>7.0000000000000007E-2</v>
      </c>
      <c r="M21" s="17" t="s">
        <v>87</v>
      </c>
    </row>
    <row r="22" spans="1:13" x14ac:dyDescent="0.3">
      <c r="A22" s="17">
        <v>18</v>
      </c>
      <c r="B22" s="79" t="s">
        <v>265</v>
      </c>
      <c r="C22" s="17" t="s">
        <v>289</v>
      </c>
      <c r="D22" s="135">
        <v>8541</v>
      </c>
      <c r="E22" s="135"/>
      <c r="F22" s="135">
        <f>22-3</f>
        <v>19</v>
      </c>
      <c r="G22" s="135">
        <f>659-66</f>
        <v>593</v>
      </c>
      <c r="H22" s="135">
        <f t="shared" si="1"/>
        <v>612</v>
      </c>
      <c r="I22" s="136">
        <f t="shared" si="0"/>
        <v>9153</v>
      </c>
      <c r="J22" s="52" t="s">
        <v>290</v>
      </c>
      <c r="K22" s="141">
        <v>9372</v>
      </c>
      <c r="L22" s="54">
        <v>7.4999999999999997E-2</v>
      </c>
      <c r="M22" s="17" t="s">
        <v>87</v>
      </c>
    </row>
    <row r="23" spans="1:13" x14ac:dyDescent="0.3">
      <c r="A23" s="17">
        <v>19</v>
      </c>
      <c r="B23" s="79" t="s">
        <v>391</v>
      </c>
      <c r="C23" s="17" t="s">
        <v>174</v>
      </c>
      <c r="D23" s="135">
        <v>8879</v>
      </c>
      <c r="E23" s="135">
        <v>0</v>
      </c>
      <c r="F23" s="135">
        <v>0</v>
      </c>
      <c r="G23" s="135">
        <f>7-1</f>
        <v>6</v>
      </c>
      <c r="H23" s="135">
        <f t="shared" si="1"/>
        <v>6</v>
      </c>
      <c r="I23" s="136">
        <f t="shared" si="0"/>
        <v>8885</v>
      </c>
      <c r="J23" s="52" t="s">
        <v>392</v>
      </c>
      <c r="K23" s="145">
        <v>9803</v>
      </c>
      <c r="L23" s="54">
        <v>7.4999999999999997E-2</v>
      </c>
      <c r="M23" s="17" t="s">
        <v>87</v>
      </c>
    </row>
    <row r="24" spans="1:13" x14ac:dyDescent="0.3">
      <c r="D24" s="137">
        <f>SUM(D5:D23)</f>
        <v>174226</v>
      </c>
      <c r="E24" s="137">
        <f t="shared" ref="E24:I24" si="2">SUM(E5:E23)</f>
        <v>37</v>
      </c>
      <c r="F24" s="137">
        <f t="shared" si="2"/>
        <v>2230</v>
      </c>
      <c r="G24" s="137">
        <f t="shared" si="2"/>
        <v>6887</v>
      </c>
      <c r="H24" s="137">
        <f t="shared" si="2"/>
        <v>9154</v>
      </c>
      <c r="I24" s="137">
        <f t="shared" si="2"/>
        <v>183380</v>
      </c>
      <c r="J24" s="82"/>
      <c r="K24" s="137">
        <f>SUM(K5:K23)</f>
        <v>198381</v>
      </c>
    </row>
    <row r="25" spans="1:13" x14ac:dyDescent="0.3">
      <c r="B25" s="78" t="s">
        <v>67</v>
      </c>
      <c r="D25" s="138"/>
      <c r="E25" s="139"/>
      <c r="F25" s="139"/>
      <c r="G25" s="139"/>
      <c r="H25" s="139"/>
      <c r="I25" s="139"/>
      <c r="K25" s="139"/>
    </row>
    <row r="26" spans="1:13" x14ac:dyDescent="0.3">
      <c r="A26" s="17">
        <v>20</v>
      </c>
      <c r="B26" s="84" t="s">
        <v>247</v>
      </c>
      <c r="C26" s="17" t="s">
        <v>219</v>
      </c>
      <c r="D26" s="140">
        <v>60918</v>
      </c>
      <c r="E26" s="141">
        <v>0</v>
      </c>
      <c r="F26" s="141">
        <v>717</v>
      </c>
      <c r="G26" s="141">
        <v>4657</v>
      </c>
      <c r="H26" s="135">
        <f t="shared" ref="H26:H29" si="3">+E26+F26+G26</f>
        <v>5374</v>
      </c>
      <c r="I26" s="135">
        <f>D26+H26</f>
        <v>66292</v>
      </c>
      <c r="J26" s="52" t="s">
        <v>248</v>
      </c>
      <c r="K26" s="141">
        <v>66724</v>
      </c>
      <c r="L26" s="54">
        <v>7.2499999999999995E-2</v>
      </c>
      <c r="M26" s="17" t="s">
        <v>88</v>
      </c>
    </row>
    <row r="27" spans="1:13" x14ac:dyDescent="0.3">
      <c r="A27" s="17">
        <v>21</v>
      </c>
      <c r="B27" s="84" t="s">
        <v>256</v>
      </c>
      <c r="C27" s="17" t="s">
        <v>294</v>
      </c>
      <c r="D27" s="140">
        <v>75000</v>
      </c>
      <c r="E27" s="141">
        <v>0</v>
      </c>
      <c r="F27" s="141">
        <f>4974-498</f>
        <v>4476</v>
      </c>
      <c r="G27" s="141">
        <f>5904-590</f>
        <v>5314</v>
      </c>
      <c r="H27" s="135">
        <f t="shared" si="3"/>
        <v>9790</v>
      </c>
      <c r="I27" s="135">
        <f>D27+H27</f>
        <v>84790</v>
      </c>
      <c r="J27" s="52" t="s">
        <v>295</v>
      </c>
      <c r="K27" s="141">
        <v>86590</v>
      </c>
      <c r="L27" s="54">
        <v>7.2499999999999995E-2</v>
      </c>
      <c r="M27" s="17" t="s">
        <v>87</v>
      </c>
    </row>
    <row r="28" spans="1:13" x14ac:dyDescent="0.3">
      <c r="A28" s="17">
        <v>22</v>
      </c>
      <c r="B28" s="84" t="s">
        <v>266</v>
      </c>
      <c r="C28" s="17" t="s">
        <v>289</v>
      </c>
      <c r="D28" s="140">
        <v>27466</v>
      </c>
      <c r="E28" s="141">
        <v>0</v>
      </c>
      <c r="F28" s="141">
        <f>72-7</f>
        <v>65</v>
      </c>
      <c r="G28" s="141">
        <f>2118-212</f>
        <v>1906</v>
      </c>
      <c r="H28" s="135">
        <f t="shared" si="3"/>
        <v>1971</v>
      </c>
      <c r="I28" s="135">
        <f>D28+H28</f>
        <v>29437</v>
      </c>
      <c r="J28" s="52" t="s">
        <v>290</v>
      </c>
      <c r="K28" s="141">
        <v>30139</v>
      </c>
      <c r="L28" s="54">
        <v>7.4999999999999997E-2</v>
      </c>
      <c r="M28" s="17" t="s">
        <v>87</v>
      </c>
    </row>
    <row r="29" spans="1:13" x14ac:dyDescent="0.3">
      <c r="A29" s="17">
        <v>23</v>
      </c>
      <c r="B29" s="84" t="s">
        <v>393</v>
      </c>
      <c r="C29" s="17" t="s">
        <v>174</v>
      </c>
      <c r="D29" s="140">
        <v>2528</v>
      </c>
      <c r="E29" s="141">
        <v>0</v>
      </c>
      <c r="F29" s="141">
        <v>0</v>
      </c>
      <c r="G29" s="141">
        <f>2-0</f>
        <v>2</v>
      </c>
      <c r="H29" s="135">
        <f t="shared" si="3"/>
        <v>2</v>
      </c>
      <c r="I29" s="135">
        <f>D29+H29</f>
        <v>2530</v>
      </c>
      <c r="J29" s="52" t="s">
        <v>392</v>
      </c>
      <c r="K29" s="141">
        <v>2791</v>
      </c>
      <c r="L29" s="54">
        <v>7.4999999999999997E-2</v>
      </c>
      <c r="M29" s="17" t="s">
        <v>87</v>
      </c>
    </row>
    <row r="30" spans="1:13" x14ac:dyDescent="0.3">
      <c r="D30" s="142">
        <f>SUM(D26:D29)</f>
        <v>165912</v>
      </c>
      <c r="E30" s="142">
        <f t="shared" ref="E30:I30" si="4">SUM(E26:E29)</f>
        <v>0</v>
      </c>
      <c r="F30" s="142">
        <f t="shared" si="4"/>
        <v>5258</v>
      </c>
      <c r="G30" s="142">
        <f t="shared" si="4"/>
        <v>11879</v>
      </c>
      <c r="H30" s="142">
        <f t="shared" si="4"/>
        <v>17137</v>
      </c>
      <c r="I30" s="142">
        <f t="shared" si="4"/>
        <v>183049</v>
      </c>
      <c r="J30" s="82"/>
      <c r="K30" s="142">
        <f>SUM(K26:K29)</f>
        <v>186244</v>
      </c>
    </row>
    <row r="31" spans="1:13" x14ac:dyDescent="0.3">
      <c r="B31" s="78" t="s">
        <v>68</v>
      </c>
      <c r="D31" s="138"/>
      <c r="E31" s="139"/>
      <c r="F31" s="139"/>
      <c r="G31" s="139"/>
      <c r="H31" s="139"/>
      <c r="I31" s="139"/>
      <c r="K31" s="139"/>
    </row>
    <row r="32" spans="1:13" x14ac:dyDescent="0.3">
      <c r="A32" s="17">
        <v>24</v>
      </c>
      <c r="B32" s="79" t="s">
        <v>611</v>
      </c>
      <c r="C32" s="17" t="s">
        <v>174</v>
      </c>
      <c r="D32" s="140">
        <v>10374</v>
      </c>
      <c r="E32" s="141">
        <v>0</v>
      </c>
      <c r="F32" s="141">
        <v>0</v>
      </c>
      <c r="G32" s="141">
        <f>8-1</f>
        <v>7</v>
      </c>
      <c r="H32" s="135">
        <f t="shared" ref="H32:H33" si="5">+E32+F32+G32</f>
        <v>7</v>
      </c>
      <c r="I32" s="135">
        <f>D32+H32</f>
        <v>10381</v>
      </c>
      <c r="J32" s="52" t="s">
        <v>392</v>
      </c>
      <c r="K32" s="141">
        <v>11454</v>
      </c>
      <c r="L32" s="54">
        <v>7.4999999999999997E-2</v>
      </c>
      <c r="M32" s="17" t="s">
        <v>87</v>
      </c>
    </row>
    <row r="33" spans="1:13" x14ac:dyDescent="0.3">
      <c r="A33" s="17">
        <v>25</v>
      </c>
      <c r="B33" s="84" t="s">
        <v>244</v>
      </c>
      <c r="C33" s="17" t="s">
        <v>245</v>
      </c>
      <c r="D33" s="140">
        <v>136606</v>
      </c>
      <c r="E33" s="141">
        <v>0</v>
      </c>
      <c r="F33" s="141">
        <v>0</v>
      </c>
      <c r="G33" s="141">
        <v>3640</v>
      </c>
      <c r="H33" s="135">
        <f t="shared" si="5"/>
        <v>3640</v>
      </c>
      <c r="I33" s="135">
        <f>D33+H33</f>
        <v>140246</v>
      </c>
      <c r="J33" s="52" t="s">
        <v>377</v>
      </c>
      <c r="K33" s="141">
        <v>147432</v>
      </c>
      <c r="L33" s="54">
        <v>7.6999999999999999E-2</v>
      </c>
      <c r="M33" s="17" t="s">
        <v>88</v>
      </c>
    </row>
    <row r="34" spans="1:13" x14ac:dyDescent="0.3">
      <c r="D34" s="143">
        <f>SUM(D32:D33)</f>
        <v>146980</v>
      </c>
      <c r="E34" s="143">
        <f t="shared" ref="E34:I34" si="6">SUM(E32:E33)</f>
        <v>0</v>
      </c>
      <c r="F34" s="143">
        <f t="shared" si="6"/>
        <v>0</v>
      </c>
      <c r="G34" s="143">
        <f t="shared" si="6"/>
        <v>3647</v>
      </c>
      <c r="H34" s="143">
        <f t="shared" si="6"/>
        <v>3647</v>
      </c>
      <c r="I34" s="143">
        <f t="shared" si="6"/>
        <v>150627</v>
      </c>
      <c r="J34" s="87"/>
      <c r="K34" s="143">
        <f>SUM(K32:K33)</f>
        <v>158886</v>
      </c>
    </row>
    <row r="35" spans="1:13" x14ac:dyDescent="0.3">
      <c r="B35" s="78" t="s">
        <v>16</v>
      </c>
      <c r="D35" s="138"/>
      <c r="E35" s="139"/>
      <c r="F35" s="139"/>
      <c r="G35" s="139"/>
      <c r="H35" s="139"/>
      <c r="I35" s="139"/>
      <c r="K35" s="139"/>
    </row>
    <row r="36" spans="1:13" x14ac:dyDescent="0.3">
      <c r="A36" s="17">
        <v>26</v>
      </c>
      <c r="B36" s="79" t="s">
        <v>378</v>
      </c>
      <c r="C36" s="17" t="s">
        <v>185</v>
      </c>
      <c r="D36" s="140">
        <v>22099</v>
      </c>
      <c r="E36" s="141">
        <v>0</v>
      </c>
      <c r="F36" s="141">
        <v>0</v>
      </c>
      <c r="G36" s="141">
        <f>1296-130</f>
        <v>1166</v>
      </c>
      <c r="H36" s="135">
        <f t="shared" ref="H36:H43" si="7">+E36+F36+G36</f>
        <v>1166</v>
      </c>
      <c r="I36" s="135">
        <f t="shared" ref="I36:I43" si="8">D36+H36</f>
        <v>23265</v>
      </c>
      <c r="J36" s="52" t="s">
        <v>397</v>
      </c>
      <c r="K36" s="141">
        <v>27214</v>
      </c>
      <c r="L36" s="54">
        <v>7.0000000000000007E-2</v>
      </c>
      <c r="M36" s="17" t="s">
        <v>87</v>
      </c>
    </row>
    <row r="37" spans="1:13" x14ac:dyDescent="0.3">
      <c r="A37" s="17">
        <v>27</v>
      </c>
      <c r="B37" s="79" t="s">
        <v>379</v>
      </c>
      <c r="C37" s="17" t="s">
        <v>179</v>
      </c>
      <c r="D37" s="140">
        <v>10790</v>
      </c>
      <c r="E37" s="141">
        <v>0</v>
      </c>
      <c r="F37" s="141">
        <v>0</v>
      </c>
      <c r="G37" s="141">
        <f>247-25</f>
        <v>222</v>
      </c>
      <c r="H37" s="135">
        <f t="shared" si="7"/>
        <v>222</v>
      </c>
      <c r="I37" s="135">
        <f t="shared" si="8"/>
        <v>11012</v>
      </c>
      <c r="J37" s="52" t="s">
        <v>396</v>
      </c>
      <c r="K37" s="141">
        <v>13287</v>
      </c>
      <c r="L37" s="54">
        <v>7.0000000000000007E-2</v>
      </c>
      <c r="M37" s="17" t="s">
        <v>87</v>
      </c>
    </row>
    <row r="38" spans="1:13" x14ac:dyDescent="0.3">
      <c r="A38" s="17">
        <v>28</v>
      </c>
      <c r="B38" s="79" t="s">
        <v>191</v>
      </c>
      <c r="C38" s="17" t="s">
        <v>231</v>
      </c>
      <c r="D38" s="140">
        <v>19030</v>
      </c>
      <c r="E38" s="141">
        <v>36</v>
      </c>
      <c r="F38" s="141">
        <f>1366-137</f>
        <v>1229</v>
      </c>
      <c r="G38" s="141">
        <f>1455-145</f>
        <v>1310</v>
      </c>
      <c r="H38" s="135">
        <f t="shared" si="7"/>
        <v>2575</v>
      </c>
      <c r="I38" s="135">
        <f t="shared" si="8"/>
        <v>21605</v>
      </c>
      <c r="J38" s="52" t="s">
        <v>230</v>
      </c>
      <c r="K38" s="141">
        <v>23434</v>
      </c>
      <c r="L38" s="54">
        <v>7.0000000000000007E-2</v>
      </c>
      <c r="M38" s="17" t="s">
        <v>87</v>
      </c>
    </row>
    <row r="39" spans="1:13" x14ac:dyDescent="0.3">
      <c r="A39" s="17">
        <v>29</v>
      </c>
      <c r="B39" s="79" t="s">
        <v>380</v>
      </c>
      <c r="C39" s="17" t="s">
        <v>182</v>
      </c>
      <c r="D39" s="140">
        <v>18192</v>
      </c>
      <c r="E39" s="141">
        <v>0</v>
      </c>
      <c r="F39" s="141">
        <v>0</v>
      </c>
      <c r="G39" s="141">
        <f>727-73</f>
        <v>654</v>
      </c>
      <c r="H39" s="135">
        <f t="shared" si="7"/>
        <v>654</v>
      </c>
      <c r="I39" s="135">
        <f t="shared" si="8"/>
        <v>18846</v>
      </c>
      <c r="J39" s="52" t="s">
        <v>612</v>
      </c>
      <c r="K39" s="141">
        <v>22402</v>
      </c>
      <c r="L39" s="54">
        <v>7.0000000000000007E-2</v>
      </c>
      <c r="M39" s="17" t="s">
        <v>87</v>
      </c>
    </row>
    <row r="40" spans="1:13" x14ac:dyDescent="0.3">
      <c r="A40" s="17">
        <v>30</v>
      </c>
      <c r="B40" s="79" t="s">
        <v>258</v>
      </c>
      <c r="C40" s="17" t="s">
        <v>301</v>
      </c>
      <c r="D40" s="140">
        <v>9530</v>
      </c>
      <c r="E40" s="141">
        <v>0</v>
      </c>
      <c r="F40" s="141">
        <f>29-3</f>
        <v>26</v>
      </c>
      <c r="G40" s="141">
        <f>735-71</f>
        <v>664</v>
      </c>
      <c r="H40" s="135">
        <f t="shared" si="7"/>
        <v>690</v>
      </c>
      <c r="I40" s="135">
        <f t="shared" si="8"/>
        <v>10220</v>
      </c>
      <c r="J40" s="52" t="s">
        <v>302</v>
      </c>
      <c r="K40" s="141">
        <v>10458</v>
      </c>
      <c r="L40" s="54">
        <v>7.4999999999999997E-2</v>
      </c>
      <c r="M40" s="17" t="s">
        <v>87</v>
      </c>
    </row>
    <row r="41" spans="1:13" x14ac:dyDescent="0.3">
      <c r="A41" s="17">
        <v>31</v>
      </c>
      <c r="B41" s="79" t="s">
        <v>212</v>
      </c>
      <c r="C41" s="17" t="s">
        <v>178</v>
      </c>
      <c r="D41" s="140">
        <v>23956</v>
      </c>
      <c r="E41" s="141">
        <v>41</v>
      </c>
      <c r="F41" s="141">
        <f>1719-172</f>
        <v>1547</v>
      </c>
      <c r="G41" s="141">
        <f>1831-183</f>
        <v>1648</v>
      </c>
      <c r="H41" s="135">
        <f t="shared" si="7"/>
        <v>3236</v>
      </c>
      <c r="I41" s="135">
        <f t="shared" si="8"/>
        <v>27192</v>
      </c>
      <c r="J41" s="52" t="s">
        <v>226</v>
      </c>
      <c r="K41" s="141">
        <v>29500</v>
      </c>
      <c r="L41" s="54">
        <v>7.0000000000000007E-2</v>
      </c>
      <c r="M41" s="17" t="s">
        <v>87</v>
      </c>
    </row>
    <row r="42" spans="1:13" x14ac:dyDescent="0.3">
      <c r="A42" s="17">
        <v>32</v>
      </c>
      <c r="B42" s="79" t="s">
        <v>271</v>
      </c>
      <c r="C42" s="17" t="s">
        <v>289</v>
      </c>
      <c r="D42" s="140">
        <v>23956</v>
      </c>
      <c r="E42" s="141">
        <v>0</v>
      </c>
      <c r="F42" s="141">
        <f>63-6</f>
        <v>57</v>
      </c>
      <c r="G42" s="141">
        <f>1847-185</f>
        <v>1662</v>
      </c>
      <c r="H42" s="135">
        <f t="shared" si="7"/>
        <v>1719</v>
      </c>
      <c r="I42" s="135">
        <f t="shared" si="8"/>
        <v>25675</v>
      </c>
      <c r="J42" s="52" t="s">
        <v>290</v>
      </c>
      <c r="K42" s="141">
        <v>26288</v>
      </c>
      <c r="L42" s="54">
        <v>7.4999999999999997E-2</v>
      </c>
      <c r="M42" s="17" t="s">
        <v>87</v>
      </c>
    </row>
    <row r="43" spans="1:13" x14ac:dyDescent="0.3">
      <c r="A43" s="17">
        <v>33</v>
      </c>
      <c r="B43" s="79" t="s">
        <v>394</v>
      </c>
      <c r="C43" s="17" t="s">
        <v>174</v>
      </c>
      <c r="D43" s="140">
        <v>27774</v>
      </c>
      <c r="E43" s="141">
        <v>0</v>
      </c>
      <c r="F43" s="141">
        <v>0</v>
      </c>
      <c r="G43" s="141">
        <f>22-2</f>
        <v>20</v>
      </c>
      <c r="H43" s="135">
        <f t="shared" si="7"/>
        <v>20</v>
      </c>
      <c r="I43" s="135">
        <f t="shared" si="8"/>
        <v>27794</v>
      </c>
      <c r="J43" s="52" t="s">
        <v>392</v>
      </c>
      <c r="K43" s="141">
        <v>30665</v>
      </c>
      <c r="L43" s="54">
        <v>7.4999999999999997E-2</v>
      </c>
      <c r="M43" s="17" t="s">
        <v>87</v>
      </c>
    </row>
    <row r="44" spans="1:13" x14ac:dyDescent="0.3">
      <c r="D44" s="142">
        <f>SUM(D36:D43)</f>
        <v>155327</v>
      </c>
      <c r="E44" s="142">
        <f t="shared" ref="E44:I44" si="9">SUM(E36:E43)</f>
        <v>77</v>
      </c>
      <c r="F44" s="142">
        <f t="shared" si="9"/>
        <v>2859</v>
      </c>
      <c r="G44" s="142">
        <f t="shared" si="9"/>
        <v>7346</v>
      </c>
      <c r="H44" s="142">
        <f t="shared" si="9"/>
        <v>10282</v>
      </c>
      <c r="I44" s="142">
        <f t="shared" si="9"/>
        <v>165609</v>
      </c>
      <c r="J44" s="87"/>
      <c r="K44" s="142">
        <f>SUM(K36:K43)</f>
        <v>183248</v>
      </c>
    </row>
    <row r="45" spans="1:13" x14ac:dyDescent="0.3">
      <c r="B45" s="78" t="s">
        <v>17</v>
      </c>
      <c r="D45" s="138"/>
      <c r="E45" s="139"/>
      <c r="F45" s="139"/>
      <c r="G45" s="139"/>
      <c r="H45" s="139"/>
      <c r="I45" s="139"/>
      <c r="K45" s="139"/>
    </row>
    <row r="46" spans="1:13" x14ac:dyDescent="0.3">
      <c r="A46" s="17">
        <v>34</v>
      </c>
      <c r="B46" s="79" t="s">
        <v>613</v>
      </c>
      <c r="C46" s="17" t="s">
        <v>615</v>
      </c>
      <c r="D46" s="140">
        <v>9000</v>
      </c>
      <c r="E46" s="141">
        <v>0</v>
      </c>
      <c r="F46" s="141">
        <v>0</v>
      </c>
      <c r="G46" s="141">
        <v>0</v>
      </c>
      <c r="H46" s="135">
        <f t="shared" ref="H46:H47" si="10">+E46+F46+G46</f>
        <v>0</v>
      </c>
      <c r="I46" s="135">
        <f>D46+H46</f>
        <v>9000</v>
      </c>
      <c r="J46" s="52" t="s">
        <v>617</v>
      </c>
      <c r="K46" s="141">
        <v>9000</v>
      </c>
      <c r="L46" s="54">
        <v>7.0000000000000007E-2</v>
      </c>
      <c r="M46" s="17" t="s">
        <v>87</v>
      </c>
    </row>
    <row r="47" spans="1:13" x14ac:dyDescent="0.3">
      <c r="A47" s="17">
        <v>35</v>
      </c>
      <c r="B47" s="79" t="s">
        <v>614</v>
      </c>
      <c r="C47" s="17" t="s">
        <v>616</v>
      </c>
      <c r="D47" s="140">
        <v>9000</v>
      </c>
      <c r="E47" s="141">
        <v>0</v>
      </c>
      <c r="F47" s="141">
        <v>0</v>
      </c>
      <c r="G47" s="141">
        <v>0</v>
      </c>
      <c r="H47" s="135">
        <f t="shared" si="10"/>
        <v>0</v>
      </c>
      <c r="I47" s="135">
        <f>D47+H47</f>
        <v>9000</v>
      </c>
      <c r="J47" s="52" t="s">
        <v>618</v>
      </c>
      <c r="K47" s="141">
        <v>9000</v>
      </c>
      <c r="L47" s="54">
        <v>7.0000000000000007E-2</v>
      </c>
      <c r="M47" s="17" t="s">
        <v>87</v>
      </c>
    </row>
    <row r="48" spans="1:13" x14ac:dyDescent="0.3">
      <c r="D48" s="143">
        <f>SUM(D46:D47)</f>
        <v>18000</v>
      </c>
      <c r="E48" s="143">
        <f t="shared" ref="E48:G48" si="11">SUM(E46:E47)</f>
        <v>0</v>
      </c>
      <c r="F48" s="143">
        <f t="shared" si="11"/>
        <v>0</v>
      </c>
      <c r="G48" s="143">
        <f t="shared" si="11"/>
        <v>0</v>
      </c>
      <c r="H48" s="143">
        <f t="shared" ref="H48" si="12">SUM(H46:H47)</f>
        <v>0</v>
      </c>
      <c r="I48" s="143">
        <f t="shared" ref="I48:K48" si="13">SUM(I46:I47)</f>
        <v>18000</v>
      </c>
      <c r="J48" s="87"/>
      <c r="K48" s="143">
        <f t="shared" si="13"/>
        <v>18000</v>
      </c>
    </row>
    <row r="49" spans="1:13" x14ac:dyDescent="0.3">
      <c r="B49" s="78" t="s">
        <v>69</v>
      </c>
      <c r="D49" s="138"/>
      <c r="E49" s="139"/>
      <c r="F49" s="139"/>
      <c r="G49" s="139"/>
      <c r="H49" s="139"/>
      <c r="I49" s="139"/>
      <c r="K49" s="139"/>
    </row>
    <row r="50" spans="1:13" x14ac:dyDescent="0.3">
      <c r="A50" s="17">
        <v>36</v>
      </c>
      <c r="B50" s="79" t="s">
        <v>381</v>
      </c>
      <c r="C50" s="17" t="s">
        <v>182</v>
      </c>
      <c r="D50" s="140">
        <v>37901</v>
      </c>
      <c r="E50" s="141">
        <v>0</v>
      </c>
      <c r="F50" s="141">
        <v>0</v>
      </c>
      <c r="G50" s="141">
        <f>1514-151</f>
        <v>1363</v>
      </c>
      <c r="H50" s="135">
        <f t="shared" ref="H50:H52" si="14">+E50+F50+G50</f>
        <v>1363</v>
      </c>
      <c r="I50" s="135">
        <f>D50+H50</f>
        <v>39264</v>
      </c>
      <c r="J50" s="52" t="s">
        <v>612</v>
      </c>
      <c r="K50" s="141">
        <v>46673</v>
      </c>
      <c r="L50" s="54">
        <v>7.0000000000000007E-2</v>
      </c>
      <c r="M50" s="17" t="s">
        <v>87</v>
      </c>
    </row>
    <row r="51" spans="1:13" x14ac:dyDescent="0.3">
      <c r="A51" s="17">
        <v>37</v>
      </c>
      <c r="B51" s="79" t="s">
        <v>263</v>
      </c>
      <c r="C51" s="17" t="s">
        <v>180</v>
      </c>
      <c r="D51" s="140">
        <v>50515</v>
      </c>
      <c r="E51" s="141">
        <v>0</v>
      </c>
      <c r="F51" s="141">
        <f>1524-152</f>
        <v>1372</v>
      </c>
      <c r="G51" s="141">
        <f>3773-377</f>
        <v>3396</v>
      </c>
      <c r="H51" s="135">
        <f t="shared" si="14"/>
        <v>4768</v>
      </c>
      <c r="I51" s="135">
        <f>D51+H51</f>
        <v>55283</v>
      </c>
      <c r="J51" s="52" t="s">
        <v>297</v>
      </c>
      <c r="K51" s="141">
        <v>58150</v>
      </c>
      <c r="L51" s="54">
        <v>7.0999999999999994E-2</v>
      </c>
      <c r="M51" s="17" t="s">
        <v>87</v>
      </c>
    </row>
    <row r="52" spans="1:13" x14ac:dyDescent="0.3">
      <c r="A52" s="17">
        <v>38</v>
      </c>
      <c r="B52" s="79" t="s">
        <v>257</v>
      </c>
      <c r="C52" s="17" t="s">
        <v>298</v>
      </c>
      <c r="D52" s="140">
        <v>38882</v>
      </c>
      <c r="E52" s="141">
        <v>0</v>
      </c>
      <c r="F52" s="141">
        <f>306-31</f>
        <v>275</v>
      </c>
      <c r="G52" s="141">
        <f>3012-302</f>
        <v>2710</v>
      </c>
      <c r="H52" s="135">
        <f t="shared" si="14"/>
        <v>2985</v>
      </c>
      <c r="I52" s="135">
        <f>D52+H52</f>
        <v>41867</v>
      </c>
      <c r="J52" s="52" t="s">
        <v>299</v>
      </c>
      <c r="K52" s="141">
        <v>42666</v>
      </c>
      <c r="L52" s="54">
        <v>7.4999999999999997E-2</v>
      </c>
      <c r="M52" s="17" t="s">
        <v>87</v>
      </c>
    </row>
    <row r="53" spans="1:13" x14ac:dyDescent="0.3">
      <c r="D53" s="143">
        <f>SUM(D50:D52)</f>
        <v>127298</v>
      </c>
      <c r="E53" s="143">
        <f t="shared" ref="E53:I53" si="15">SUM(E50:E52)</f>
        <v>0</v>
      </c>
      <c r="F53" s="143">
        <f t="shared" si="15"/>
        <v>1647</v>
      </c>
      <c r="G53" s="143">
        <f t="shared" si="15"/>
        <v>7469</v>
      </c>
      <c r="H53" s="143">
        <f t="shared" si="15"/>
        <v>9116</v>
      </c>
      <c r="I53" s="143">
        <f t="shared" si="15"/>
        <v>136414</v>
      </c>
      <c r="J53" s="87"/>
      <c r="K53" s="143">
        <f>SUM(K50:K52)</f>
        <v>147489</v>
      </c>
    </row>
    <row r="54" spans="1:13" x14ac:dyDescent="0.3">
      <c r="B54" s="78" t="s">
        <v>70</v>
      </c>
      <c r="D54" s="138"/>
      <c r="E54" s="139"/>
      <c r="F54" s="139"/>
      <c r="G54" s="139"/>
      <c r="H54" s="139"/>
      <c r="I54" s="139"/>
      <c r="K54" s="139"/>
    </row>
    <row r="55" spans="1:13" x14ac:dyDescent="0.3">
      <c r="A55" s="17">
        <v>39</v>
      </c>
      <c r="B55" s="79" t="s">
        <v>382</v>
      </c>
      <c r="C55" s="17" t="s">
        <v>184</v>
      </c>
      <c r="D55" s="140">
        <v>8940</v>
      </c>
      <c r="E55" s="141">
        <v>0</v>
      </c>
      <c r="F55" s="141">
        <v>0</v>
      </c>
      <c r="G55" s="141">
        <f>494-51</f>
        <v>443</v>
      </c>
      <c r="H55" s="135">
        <f t="shared" ref="H55:H61" si="16">+E55+F55+G55</f>
        <v>443</v>
      </c>
      <c r="I55" s="135">
        <f t="shared" ref="I55:I61" si="17">D55+H55</f>
        <v>9383</v>
      </c>
      <c r="J55" s="52" t="s">
        <v>399</v>
      </c>
      <c r="K55" s="141">
        <v>11009</v>
      </c>
      <c r="L55" s="54">
        <v>7.0000000000000007E-2</v>
      </c>
      <c r="M55" s="17" t="s">
        <v>87</v>
      </c>
    </row>
    <row r="56" spans="1:13" x14ac:dyDescent="0.3">
      <c r="A56" s="17">
        <v>40</v>
      </c>
      <c r="B56" s="79" t="s">
        <v>383</v>
      </c>
      <c r="C56" s="17" t="s">
        <v>179</v>
      </c>
      <c r="D56" s="140">
        <v>28279</v>
      </c>
      <c r="E56" s="141">
        <v>0</v>
      </c>
      <c r="F56" s="141">
        <v>0</v>
      </c>
      <c r="G56" s="141">
        <f>646-65</f>
        <v>581</v>
      </c>
      <c r="H56" s="135">
        <f t="shared" si="16"/>
        <v>581</v>
      </c>
      <c r="I56" s="135">
        <f t="shared" si="17"/>
        <v>28860</v>
      </c>
      <c r="J56" s="52" t="s">
        <v>396</v>
      </c>
      <c r="K56" s="141">
        <v>34824</v>
      </c>
      <c r="L56" s="54">
        <v>7.0000000000000007E-2</v>
      </c>
      <c r="M56" s="17" t="s">
        <v>87</v>
      </c>
    </row>
    <row r="57" spans="1:13" x14ac:dyDescent="0.3">
      <c r="A57" s="17">
        <v>41</v>
      </c>
      <c r="B57" s="79" t="s">
        <v>384</v>
      </c>
      <c r="C57" s="17" t="s">
        <v>182</v>
      </c>
      <c r="D57" s="140">
        <v>16371</v>
      </c>
      <c r="E57" s="141">
        <v>0</v>
      </c>
      <c r="F57" s="141">
        <v>0</v>
      </c>
      <c r="G57" s="141">
        <f>654-65</f>
        <v>589</v>
      </c>
      <c r="H57" s="135">
        <f t="shared" si="16"/>
        <v>589</v>
      </c>
      <c r="I57" s="135">
        <f t="shared" si="17"/>
        <v>16960</v>
      </c>
      <c r="J57" s="52" t="s">
        <v>612</v>
      </c>
      <c r="K57" s="141">
        <v>20160</v>
      </c>
      <c r="L57" s="54">
        <v>7.0000000000000007E-2</v>
      </c>
      <c r="M57" s="17" t="s">
        <v>87</v>
      </c>
    </row>
    <row r="58" spans="1:13" x14ac:dyDescent="0.3">
      <c r="A58" s="17">
        <v>42</v>
      </c>
      <c r="B58" s="79" t="s">
        <v>385</v>
      </c>
      <c r="C58" s="17" t="s">
        <v>291</v>
      </c>
      <c r="D58" s="140">
        <v>140920</v>
      </c>
      <c r="E58" s="141">
        <v>0</v>
      </c>
      <c r="F58" s="141">
        <v>0</v>
      </c>
      <c r="G58" s="141">
        <f>8794-879</f>
        <v>7915</v>
      </c>
      <c r="H58" s="135">
        <f t="shared" si="16"/>
        <v>7915</v>
      </c>
      <c r="I58" s="135">
        <f t="shared" si="17"/>
        <v>148835</v>
      </c>
      <c r="J58" s="52" t="s">
        <v>302</v>
      </c>
      <c r="K58" s="141">
        <v>151944</v>
      </c>
      <c r="L58" s="54">
        <v>7.0000000000000007E-2</v>
      </c>
      <c r="M58" s="17" t="s">
        <v>87</v>
      </c>
    </row>
    <row r="59" spans="1:13" x14ac:dyDescent="0.3">
      <c r="A59" s="17">
        <v>43</v>
      </c>
      <c r="B59" s="79" t="s">
        <v>259</v>
      </c>
      <c r="C59" s="17" t="s">
        <v>301</v>
      </c>
      <c r="D59" s="140">
        <v>8580</v>
      </c>
      <c r="E59" s="141">
        <v>0</v>
      </c>
      <c r="F59" s="141">
        <f>26-2</f>
        <v>24</v>
      </c>
      <c r="G59" s="141">
        <f>662-66</f>
        <v>596</v>
      </c>
      <c r="H59" s="135">
        <f t="shared" si="16"/>
        <v>620</v>
      </c>
      <c r="I59" s="135">
        <f t="shared" si="17"/>
        <v>9200</v>
      </c>
      <c r="J59" s="52" t="s">
        <v>302</v>
      </c>
      <c r="K59" s="141">
        <v>9415</v>
      </c>
      <c r="L59" s="54">
        <v>7.4999999999999997E-2</v>
      </c>
      <c r="M59" s="17" t="s">
        <v>87</v>
      </c>
    </row>
    <row r="60" spans="1:13" x14ac:dyDescent="0.3">
      <c r="A60" s="17">
        <v>44</v>
      </c>
      <c r="B60" s="79" t="s">
        <v>386</v>
      </c>
      <c r="C60" s="17" t="s">
        <v>227</v>
      </c>
      <c r="D60" s="140">
        <v>24590</v>
      </c>
      <c r="E60" s="141">
        <v>0</v>
      </c>
      <c r="F60" s="141">
        <v>0</v>
      </c>
      <c r="G60" s="141">
        <f>45-4</f>
        <v>41</v>
      </c>
      <c r="H60" s="135">
        <f t="shared" si="16"/>
        <v>41</v>
      </c>
      <c r="I60" s="135">
        <f t="shared" si="17"/>
        <v>24631</v>
      </c>
      <c r="J60" s="52" t="s">
        <v>619</v>
      </c>
      <c r="K60" s="141">
        <v>27150</v>
      </c>
      <c r="L60" s="54">
        <v>7.4999999999999997E-2</v>
      </c>
      <c r="M60" s="17" t="s">
        <v>87</v>
      </c>
    </row>
    <row r="61" spans="1:13" x14ac:dyDescent="0.3">
      <c r="A61" s="17">
        <v>45</v>
      </c>
      <c r="B61" s="79" t="s">
        <v>267</v>
      </c>
      <c r="C61" s="17" t="s">
        <v>289</v>
      </c>
      <c r="D61" s="140">
        <v>21600</v>
      </c>
      <c r="E61" s="141">
        <v>0</v>
      </c>
      <c r="F61" s="141">
        <f>57-6</f>
        <v>51</v>
      </c>
      <c r="G61" s="141">
        <f>1665-166</f>
        <v>1499</v>
      </c>
      <c r="H61" s="135">
        <f t="shared" si="16"/>
        <v>1550</v>
      </c>
      <c r="I61" s="135">
        <f t="shared" si="17"/>
        <v>23150</v>
      </c>
      <c r="J61" s="52" t="s">
        <v>290</v>
      </c>
      <c r="K61" s="141">
        <v>23702</v>
      </c>
      <c r="L61" s="54">
        <v>7.4999999999999997E-2</v>
      </c>
      <c r="M61" s="17" t="s">
        <v>87</v>
      </c>
    </row>
    <row r="62" spans="1:13" x14ac:dyDescent="0.3">
      <c r="D62" s="142">
        <f>SUM(D55:D61)</f>
        <v>249280</v>
      </c>
      <c r="E62" s="142">
        <f t="shared" ref="E62:I62" si="18">SUM(E55:E61)</f>
        <v>0</v>
      </c>
      <c r="F62" s="142">
        <f t="shared" si="18"/>
        <v>75</v>
      </c>
      <c r="G62" s="142">
        <f t="shared" si="18"/>
        <v>11664</v>
      </c>
      <c r="H62" s="142">
        <f t="shared" si="18"/>
        <v>11739</v>
      </c>
      <c r="I62" s="142">
        <f t="shared" si="18"/>
        <v>261019</v>
      </c>
      <c r="J62" s="87"/>
      <c r="K62" s="142">
        <f>SUM(K55:K61)</f>
        <v>278204</v>
      </c>
    </row>
    <row r="63" spans="1:13" x14ac:dyDescent="0.3">
      <c r="B63" s="78" t="s">
        <v>71</v>
      </c>
      <c r="D63" s="138"/>
      <c r="E63" s="139"/>
      <c r="F63" s="139"/>
      <c r="G63" s="139"/>
      <c r="H63" s="139"/>
      <c r="I63" s="139"/>
      <c r="K63" s="139"/>
    </row>
    <row r="64" spans="1:13" x14ac:dyDescent="0.3">
      <c r="A64" s="17">
        <v>46</v>
      </c>
      <c r="B64" s="79" t="s">
        <v>207</v>
      </c>
      <c r="C64" s="17" t="s">
        <v>170</v>
      </c>
      <c r="D64" s="140">
        <v>8000</v>
      </c>
      <c r="E64" s="140">
        <v>0</v>
      </c>
      <c r="F64" s="140">
        <v>0</v>
      </c>
      <c r="G64" s="140">
        <v>0</v>
      </c>
      <c r="H64" s="135">
        <f t="shared" ref="H64:H67" si="19">+E64+F64+G64</f>
        <v>0</v>
      </c>
      <c r="I64" s="135">
        <f>D64+H64</f>
        <v>8000</v>
      </c>
      <c r="J64" s="52" t="s">
        <v>287</v>
      </c>
      <c r="K64" s="141">
        <v>8000</v>
      </c>
      <c r="L64" s="54">
        <v>7.4999999999999997E-2</v>
      </c>
      <c r="M64" s="17" t="s">
        <v>87</v>
      </c>
    </row>
    <row r="65" spans="1:13" x14ac:dyDescent="0.3">
      <c r="A65" s="17">
        <v>47</v>
      </c>
      <c r="B65" s="79" t="s">
        <v>387</v>
      </c>
      <c r="C65" s="17" t="s">
        <v>234</v>
      </c>
      <c r="D65" s="140">
        <v>4000</v>
      </c>
      <c r="E65" s="141">
        <v>0</v>
      </c>
      <c r="F65" s="141">
        <v>0</v>
      </c>
      <c r="G65" s="141">
        <v>0</v>
      </c>
      <c r="H65" s="135">
        <f t="shared" si="19"/>
        <v>0</v>
      </c>
      <c r="I65" s="135">
        <f>D65+H65</f>
        <v>4000</v>
      </c>
      <c r="J65" s="52" t="s">
        <v>620</v>
      </c>
      <c r="K65" s="141">
        <v>4000</v>
      </c>
      <c r="L65" s="54">
        <v>7.0000000000000007E-2</v>
      </c>
      <c r="M65" s="17" t="s">
        <v>87</v>
      </c>
    </row>
    <row r="66" spans="1:13" x14ac:dyDescent="0.3">
      <c r="A66" s="17">
        <v>48</v>
      </c>
      <c r="B66" s="79" t="s">
        <v>369</v>
      </c>
      <c r="C66" s="17" t="s">
        <v>171</v>
      </c>
      <c r="D66" s="140">
        <v>2000</v>
      </c>
      <c r="E66" s="140">
        <v>0</v>
      </c>
      <c r="F66" s="140">
        <v>0</v>
      </c>
      <c r="G66" s="140">
        <v>0</v>
      </c>
      <c r="H66" s="135">
        <f t="shared" si="19"/>
        <v>0</v>
      </c>
      <c r="I66" s="135">
        <f>D66+H66</f>
        <v>2000</v>
      </c>
      <c r="J66" s="52" t="s">
        <v>293</v>
      </c>
      <c r="K66" s="141">
        <v>2000</v>
      </c>
      <c r="L66" s="54">
        <v>7.2499999999999995E-2</v>
      </c>
      <c r="M66" s="17" t="s">
        <v>87</v>
      </c>
    </row>
    <row r="67" spans="1:13" x14ac:dyDescent="0.3">
      <c r="A67" s="17">
        <v>49</v>
      </c>
      <c r="B67" s="79" t="s">
        <v>388</v>
      </c>
      <c r="C67" s="17" t="s">
        <v>227</v>
      </c>
      <c r="D67" s="140">
        <v>6000</v>
      </c>
      <c r="E67" s="141">
        <v>0</v>
      </c>
      <c r="F67" s="141">
        <v>0</v>
      </c>
      <c r="G67" s="141">
        <v>0</v>
      </c>
      <c r="H67" s="135">
        <f t="shared" si="19"/>
        <v>0</v>
      </c>
      <c r="I67" s="135">
        <f>D67+H67</f>
        <v>6000</v>
      </c>
      <c r="J67" s="52" t="s">
        <v>619</v>
      </c>
      <c r="K67" s="141">
        <v>6000</v>
      </c>
      <c r="L67" s="54">
        <v>7.4999999999999997E-2</v>
      </c>
      <c r="M67" s="17" t="s">
        <v>87</v>
      </c>
    </row>
    <row r="68" spans="1:13" x14ac:dyDescent="0.3">
      <c r="D68" s="143">
        <f>SUM(D64:D67)</f>
        <v>20000</v>
      </c>
      <c r="E68" s="143">
        <f t="shared" ref="E68:I68" si="20">SUM(E64:E67)</f>
        <v>0</v>
      </c>
      <c r="F68" s="143">
        <f t="shared" si="20"/>
        <v>0</v>
      </c>
      <c r="G68" s="143">
        <f t="shared" si="20"/>
        <v>0</v>
      </c>
      <c r="H68" s="143">
        <f t="shared" si="20"/>
        <v>0</v>
      </c>
      <c r="I68" s="143">
        <f t="shared" si="20"/>
        <v>20000</v>
      </c>
      <c r="J68" s="87"/>
      <c r="K68" s="143">
        <f>SUM(K64:K67)</f>
        <v>20000</v>
      </c>
    </row>
    <row r="69" spans="1:13" x14ac:dyDescent="0.3">
      <c r="B69" s="78" t="s">
        <v>214</v>
      </c>
      <c r="D69" s="138"/>
      <c r="E69" s="139"/>
      <c r="F69" s="139"/>
      <c r="G69" s="139"/>
      <c r="H69" s="139"/>
      <c r="I69" s="139"/>
      <c r="K69" s="139"/>
    </row>
    <row r="70" spans="1:13" x14ac:dyDescent="0.3">
      <c r="A70" s="17">
        <v>50</v>
      </c>
      <c r="B70" s="79" t="s">
        <v>389</v>
      </c>
      <c r="C70" s="17" t="s">
        <v>227</v>
      </c>
      <c r="D70" s="140">
        <v>49178</v>
      </c>
      <c r="E70" s="140">
        <v>0</v>
      </c>
      <c r="F70" s="140">
        <v>0</v>
      </c>
      <c r="G70" s="140">
        <f>89-9</f>
        <v>80</v>
      </c>
      <c r="H70" s="135">
        <f t="shared" ref="H70:H71" si="21">+E70+F70+G70</f>
        <v>80</v>
      </c>
      <c r="I70" s="135">
        <f>D70+H70</f>
        <v>49258</v>
      </c>
      <c r="J70" s="52" t="s">
        <v>619</v>
      </c>
      <c r="K70" s="141">
        <v>54297</v>
      </c>
      <c r="L70" s="54">
        <v>7.4999999999999997E-2</v>
      </c>
      <c r="M70" s="17" t="s">
        <v>87</v>
      </c>
    </row>
    <row r="71" spans="1:13" x14ac:dyDescent="0.3">
      <c r="A71" s="17">
        <v>51</v>
      </c>
      <c r="B71" s="79" t="s">
        <v>268</v>
      </c>
      <c r="C71" s="17" t="s">
        <v>289</v>
      </c>
      <c r="D71" s="140">
        <v>86400</v>
      </c>
      <c r="E71" s="140"/>
      <c r="F71" s="140">
        <f>226-22</f>
        <v>204</v>
      </c>
      <c r="G71" s="140">
        <f>6662-667</f>
        <v>5995</v>
      </c>
      <c r="H71" s="135">
        <f t="shared" si="21"/>
        <v>6199</v>
      </c>
      <c r="I71" s="135">
        <f>D71+H71</f>
        <v>92599</v>
      </c>
      <c r="J71" s="52" t="s">
        <v>290</v>
      </c>
      <c r="K71" s="141">
        <v>94809</v>
      </c>
      <c r="L71" s="54">
        <v>7.4999999999999997E-2</v>
      </c>
      <c r="M71" s="17" t="s">
        <v>87</v>
      </c>
    </row>
    <row r="72" spans="1:13" x14ac:dyDescent="0.3">
      <c r="D72" s="142">
        <f>SUM(D70:D71)</f>
        <v>135578</v>
      </c>
      <c r="E72" s="142">
        <f t="shared" ref="E72:I72" si="22">SUM(E70:E71)</f>
        <v>0</v>
      </c>
      <c r="F72" s="142">
        <f t="shared" si="22"/>
        <v>204</v>
      </c>
      <c r="G72" s="142">
        <f t="shared" si="22"/>
        <v>6075</v>
      </c>
      <c r="H72" s="142">
        <f t="shared" si="22"/>
        <v>6279</v>
      </c>
      <c r="I72" s="142">
        <f t="shared" si="22"/>
        <v>141857</v>
      </c>
      <c r="J72" s="87"/>
      <c r="K72" s="142">
        <f>SUM(K70:K71)</f>
        <v>149106</v>
      </c>
    </row>
    <row r="73" spans="1:13" x14ac:dyDescent="0.3">
      <c r="B73" s="78" t="s">
        <v>216</v>
      </c>
      <c r="D73" s="138"/>
      <c r="E73" s="139"/>
      <c r="F73" s="139"/>
      <c r="G73" s="139"/>
      <c r="H73" s="139"/>
      <c r="I73" s="139"/>
      <c r="K73" s="139"/>
    </row>
    <row r="74" spans="1:13" x14ac:dyDescent="0.3">
      <c r="A74" s="17">
        <v>52</v>
      </c>
      <c r="B74" s="79" t="s">
        <v>390</v>
      </c>
      <c r="C74" s="17" t="s">
        <v>227</v>
      </c>
      <c r="D74" s="140">
        <v>26753</v>
      </c>
      <c r="E74" s="140">
        <v>0</v>
      </c>
      <c r="F74" s="140">
        <v>0</v>
      </c>
      <c r="G74" s="140">
        <f>49-4</f>
        <v>45</v>
      </c>
      <c r="H74" s="135">
        <f t="shared" ref="H74:H76" si="23">+E74+F74+G74</f>
        <v>45</v>
      </c>
      <c r="I74" s="135">
        <f>D74+H74</f>
        <v>26798</v>
      </c>
      <c r="J74" s="52" t="s">
        <v>619</v>
      </c>
      <c r="K74" s="141">
        <v>29538</v>
      </c>
      <c r="L74" s="54">
        <v>7.4999999999999997E-2</v>
      </c>
      <c r="M74" s="17" t="s">
        <v>87</v>
      </c>
    </row>
    <row r="75" spans="1:13" x14ac:dyDescent="0.3">
      <c r="A75" s="17">
        <v>53</v>
      </c>
      <c r="B75" s="79" t="s">
        <v>272</v>
      </c>
      <c r="C75" s="17" t="s">
        <v>289</v>
      </c>
      <c r="D75" s="140">
        <v>4320</v>
      </c>
      <c r="E75" s="140">
        <v>0</v>
      </c>
      <c r="F75" s="140">
        <f>11-1</f>
        <v>10</v>
      </c>
      <c r="G75" s="140">
        <f>333-33</f>
        <v>300</v>
      </c>
      <c r="H75" s="135">
        <f t="shared" si="23"/>
        <v>310</v>
      </c>
      <c r="I75" s="135">
        <f>D75+H75</f>
        <v>4630</v>
      </c>
      <c r="J75" s="52" t="s">
        <v>290</v>
      </c>
      <c r="K75" s="141">
        <v>4740</v>
      </c>
      <c r="L75" s="54">
        <v>7.4999999999999997E-2</v>
      </c>
      <c r="M75" s="17" t="s">
        <v>87</v>
      </c>
    </row>
    <row r="76" spans="1:13" x14ac:dyDescent="0.3">
      <c r="A76" s="17">
        <v>54</v>
      </c>
      <c r="B76" s="79" t="s">
        <v>395</v>
      </c>
      <c r="C76" s="17" t="s">
        <v>174</v>
      </c>
      <c r="D76" s="140">
        <v>4496</v>
      </c>
      <c r="E76" s="140">
        <v>0</v>
      </c>
      <c r="F76" s="140">
        <v>0</v>
      </c>
      <c r="G76" s="140">
        <f>4-1</f>
        <v>3</v>
      </c>
      <c r="H76" s="135">
        <f t="shared" si="23"/>
        <v>3</v>
      </c>
      <c r="I76" s="135">
        <f>D76+H76</f>
        <v>4499</v>
      </c>
      <c r="J76" s="52" t="s">
        <v>392</v>
      </c>
      <c r="K76" s="141">
        <v>4964</v>
      </c>
      <c r="L76" s="54">
        <v>7.4999999999999997E-2</v>
      </c>
      <c r="M76" s="17" t="s">
        <v>87</v>
      </c>
    </row>
    <row r="77" spans="1:13" x14ac:dyDescent="0.3">
      <c r="D77" s="142">
        <f>SUM(D74:D76)</f>
        <v>35569</v>
      </c>
      <c r="E77" s="142">
        <f t="shared" ref="E77:I77" si="24">SUM(E74:E76)</f>
        <v>0</v>
      </c>
      <c r="F77" s="142">
        <f t="shared" si="24"/>
        <v>10</v>
      </c>
      <c r="G77" s="142">
        <f t="shared" si="24"/>
        <v>348</v>
      </c>
      <c r="H77" s="142">
        <f t="shared" si="24"/>
        <v>358</v>
      </c>
      <c r="I77" s="142">
        <f t="shared" si="24"/>
        <v>35927</v>
      </c>
      <c r="J77" s="87"/>
      <c r="K77" s="142">
        <f>SUM(K74:K76)</f>
        <v>39242</v>
      </c>
    </row>
    <row r="78" spans="1:13" x14ac:dyDescent="0.3">
      <c r="D78" s="138"/>
      <c r="E78" s="139"/>
      <c r="F78" s="139"/>
      <c r="G78" s="139"/>
      <c r="H78" s="139"/>
      <c r="I78" s="139"/>
      <c r="K78" s="139"/>
    </row>
    <row r="79" spans="1:13" ht="15" thickBot="1" x14ac:dyDescent="0.35">
      <c r="B79" s="78" t="s">
        <v>72</v>
      </c>
      <c r="D79" s="144">
        <f>D24+D30+D34+D44+D48+D53+D62+D68+D72+D77</f>
        <v>1228170</v>
      </c>
      <c r="E79" s="144">
        <f t="shared" ref="E79:I79" si="25">E24+E30+E34+E44+E48+E53+E62+E68+E72+E77</f>
        <v>114</v>
      </c>
      <c r="F79" s="144">
        <f t="shared" si="25"/>
        <v>12283</v>
      </c>
      <c r="G79" s="144">
        <f t="shared" si="25"/>
        <v>55315</v>
      </c>
      <c r="H79" s="144">
        <f t="shared" si="25"/>
        <v>67712</v>
      </c>
      <c r="I79" s="144">
        <f t="shared" si="25"/>
        <v>1295882</v>
      </c>
      <c r="J79" s="88"/>
      <c r="K79" s="144">
        <f>K24+K30+K34+K44+K48+K53+K62+K68+K72+K77</f>
        <v>1378800</v>
      </c>
    </row>
    <row r="80" spans="1:13" ht="15" thickTop="1" x14ac:dyDescent="0.3"/>
  </sheetData>
  <autoFilter ref="A3:M77" xr:uid="{3022E95C-4B81-415C-9D51-34157384FA49}"/>
  <mergeCells count="2">
    <mergeCell ref="A1:M1"/>
    <mergeCell ref="A2:M2"/>
  </mergeCells>
  <printOptions horizontalCentered="1"/>
  <pageMargins left="0.25" right="0.25" top="0.25" bottom="0.25" header="0.3" footer="0.3"/>
  <pageSetup paperSize="9" scale="66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7A46-BEE2-47E6-B58B-4DC18E25E363}">
  <sheetPr>
    <pageSetUpPr fitToPage="1"/>
  </sheetPr>
  <dimension ref="A1:H15"/>
  <sheetViews>
    <sheetView workbookViewId="0">
      <selection activeCell="E9" sqref="E9"/>
    </sheetView>
  </sheetViews>
  <sheetFormatPr defaultRowHeight="14.4" x14ac:dyDescent="0.3"/>
  <cols>
    <col min="1" max="1" width="23.33203125" customWidth="1"/>
    <col min="2" max="2" width="5.44140625" style="12" bestFit="1" customWidth="1"/>
    <col min="3" max="8" width="14.5546875" style="12" customWidth="1"/>
  </cols>
  <sheetData>
    <row r="1" spans="1:8" x14ac:dyDescent="0.3">
      <c r="A1" s="167" t="str">
        <f>BS!A1</f>
        <v>DIAGO CO-OPERATIVE HOUSING SOCIETY</v>
      </c>
      <c r="B1" s="168"/>
      <c r="C1" s="168"/>
      <c r="D1" s="168"/>
      <c r="E1" s="168"/>
      <c r="F1" s="168"/>
      <c r="G1" s="168"/>
      <c r="H1" s="168"/>
    </row>
    <row r="2" spans="1:8" x14ac:dyDescent="0.3">
      <c r="A2" s="170" t="s">
        <v>322</v>
      </c>
      <c r="B2" s="170"/>
      <c r="C2" s="170"/>
      <c r="D2" s="170"/>
      <c r="E2" s="170"/>
      <c r="F2" s="170"/>
      <c r="G2" s="170"/>
      <c r="H2" s="170"/>
    </row>
    <row r="3" spans="1:8" ht="60" customHeight="1" x14ac:dyDescent="0.3">
      <c r="A3" s="39" t="s">
        <v>120</v>
      </c>
      <c r="B3" s="40" t="s">
        <v>157</v>
      </c>
      <c r="C3" s="40" t="s">
        <v>323</v>
      </c>
      <c r="D3" s="40" t="s">
        <v>324</v>
      </c>
      <c r="E3" s="43" t="s">
        <v>325</v>
      </c>
      <c r="F3" s="40" t="s">
        <v>326</v>
      </c>
      <c r="G3" s="43" t="s">
        <v>158</v>
      </c>
      <c r="H3" s="40" t="s">
        <v>327</v>
      </c>
    </row>
    <row r="4" spans="1:8" x14ac:dyDescent="0.3">
      <c r="A4" s="42" t="s">
        <v>129</v>
      </c>
      <c r="B4" s="30">
        <v>0</v>
      </c>
      <c r="C4" s="30">
        <v>45000</v>
      </c>
      <c r="D4" s="30">
        <v>0</v>
      </c>
      <c r="E4" s="12">
        <v>0</v>
      </c>
      <c r="F4" s="30">
        <f>+C4+D4+E4</f>
        <v>45000</v>
      </c>
      <c r="G4" s="12">
        <f>ROUND((C4*B4)+(D4*B4)+(E4*B4/2),0)</f>
        <v>0</v>
      </c>
      <c r="H4" s="31">
        <f>F4-G4</f>
        <v>45000</v>
      </c>
    </row>
    <row r="5" spans="1:8" x14ac:dyDescent="0.3">
      <c r="A5" s="42"/>
      <c r="B5" s="30"/>
      <c r="C5" s="30"/>
      <c r="D5" s="30"/>
      <c r="F5" s="30"/>
      <c r="H5" s="30"/>
    </row>
    <row r="6" spans="1:8" x14ac:dyDescent="0.3">
      <c r="A6" s="42" t="s">
        <v>159</v>
      </c>
      <c r="B6" s="30">
        <v>0</v>
      </c>
      <c r="C6" s="30">
        <v>2182750</v>
      </c>
      <c r="D6" s="30">
        <v>0</v>
      </c>
      <c r="E6" s="12">
        <v>0</v>
      </c>
      <c r="F6" s="30">
        <f>+C6+D6+E6</f>
        <v>2182750</v>
      </c>
      <c r="G6" s="12">
        <f>ROUND((C6*B6)+(D6*B6)+(E6*B6/2),0)</f>
        <v>0</v>
      </c>
      <c r="H6" s="31">
        <f>F6-G6</f>
        <v>2182750</v>
      </c>
    </row>
    <row r="7" spans="1:8" x14ac:dyDescent="0.3">
      <c r="A7" s="42"/>
      <c r="B7" s="30"/>
      <c r="C7" s="30"/>
      <c r="D7" s="30"/>
      <c r="F7" s="30"/>
      <c r="H7" s="30"/>
    </row>
    <row r="8" spans="1:8" x14ac:dyDescent="0.3">
      <c r="A8" s="42" t="s">
        <v>160</v>
      </c>
      <c r="B8" s="30">
        <v>0</v>
      </c>
      <c r="C8" s="30">
        <v>33797</v>
      </c>
      <c r="D8" s="30">
        <v>0</v>
      </c>
      <c r="E8" s="12">
        <v>0</v>
      </c>
      <c r="F8" s="30">
        <f>+C8+D8+E8</f>
        <v>33797</v>
      </c>
      <c r="G8" s="12">
        <f>ROUND((C8*B8)+(D8*B8)+(E8*B8/2),0)</f>
        <v>0</v>
      </c>
      <c r="H8" s="31">
        <f>F8-G8</f>
        <v>33797</v>
      </c>
    </row>
    <row r="9" spans="1:8" x14ac:dyDescent="0.3">
      <c r="A9" s="42"/>
      <c r="B9" s="30"/>
      <c r="C9" s="30"/>
      <c r="D9" s="30"/>
      <c r="F9" s="30"/>
      <c r="H9" s="30"/>
    </row>
    <row r="10" spans="1:8" x14ac:dyDescent="0.3">
      <c r="A10" s="42" t="s">
        <v>161</v>
      </c>
      <c r="B10" s="30">
        <v>0.1</v>
      </c>
      <c r="C10" s="30">
        <v>3043</v>
      </c>
      <c r="D10" s="30">
        <v>0</v>
      </c>
      <c r="E10" s="12">
        <v>0</v>
      </c>
      <c r="F10" s="30">
        <f>+C10+D10+E10</f>
        <v>3043</v>
      </c>
      <c r="G10" s="12">
        <f>ROUND((C10*B10)+(D10*B10)+(E10*B10/2),0)</f>
        <v>304</v>
      </c>
      <c r="H10" s="31">
        <f>F10-G10</f>
        <v>2739</v>
      </c>
    </row>
    <row r="11" spans="1:8" x14ac:dyDescent="0.3">
      <c r="A11" s="42"/>
      <c r="B11" s="30"/>
      <c r="C11" s="30"/>
      <c r="D11" s="30"/>
      <c r="F11" s="30"/>
      <c r="H11" s="30"/>
    </row>
    <row r="12" spans="1:8" x14ac:dyDescent="0.3">
      <c r="A12" s="42" t="s">
        <v>162</v>
      </c>
      <c r="B12" s="30">
        <v>0.15</v>
      </c>
      <c r="C12" s="30">
        <v>2999</v>
      </c>
      <c r="D12" s="30">
        <v>0</v>
      </c>
      <c r="E12" s="12">
        <v>0</v>
      </c>
      <c r="F12" s="30">
        <f>+C12+D12+E12</f>
        <v>2999</v>
      </c>
      <c r="G12" s="12">
        <f>ROUND((C12*B12)+(D12*B12)+(E12*B12/2),0)</f>
        <v>450</v>
      </c>
      <c r="H12" s="31">
        <f>F12-G12</f>
        <v>2549</v>
      </c>
    </row>
    <row r="13" spans="1:8" x14ac:dyDescent="0.3">
      <c r="A13" s="42"/>
      <c r="B13" s="30"/>
      <c r="C13" s="30"/>
      <c r="D13" s="30"/>
      <c r="F13" s="30"/>
      <c r="H13" s="30"/>
    </row>
    <row r="14" spans="1:8" x14ac:dyDescent="0.3">
      <c r="A14" s="42" t="s">
        <v>163</v>
      </c>
      <c r="B14" s="30">
        <v>0.15</v>
      </c>
      <c r="C14" s="30">
        <v>23735</v>
      </c>
      <c r="D14" s="30">
        <v>0</v>
      </c>
      <c r="E14" s="12">
        <v>0</v>
      </c>
      <c r="F14" s="30">
        <f>+C14+D14+E14</f>
        <v>23735</v>
      </c>
      <c r="G14" s="12">
        <f>ROUND((C14*B14)+(D14*B14)+(E14*B14/2),0)</f>
        <v>3560</v>
      </c>
      <c r="H14" s="31">
        <f>F14-G14</f>
        <v>20175</v>
      </c>
    </row>
    <row r="15" spans="1:8" x14ac:dyDescent="0.3">
      <c r="A15" s="44" t="s">
        <v>14</v>
      </c>
      <c r="B15" s="35"/>
      <c r="C15" s="32">
        <f>SUM(C4:C14)</f>
        <v>2291324</v>
      </c>
      <c r="D15" s="32">
        <f t="shared" ref="D15:H15" si="0">SUM(D4:D14)</f>
        <v>0</v>
      </c>
      <c r="E15" s="27">
        <f t="shared" si="0"/>
        <v>0</v>
      </c>
      <c r="F15" s="32">
        <f t="shared" si="0"/>
        <v>2291324</v>
      </c>
      <c r="G15" s="27">
        <f t="shared" si="0"/>
        <v>4314</v>
      </c>
      <c r="H15" s="32">
        <f t="shared" si="0"/>
        <v>2287010</v>
      </c>
    </row>
  </sheetData>
  <mergeCells count="2">
    <mergeCell ref="A1:H1"/>
    <mergeCell ref="A2:H2"/>
  </mergeCells>
  <printOptions horizontalCentered="1"/>
  <pageMargins left="0.7" right="0.7" top="0.75" bottom="0.75" header="0.3" footer="0.3"/>
  <pageSetup paperSize="9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7579-7700-4991-97DC-3250BF75C14E}">
  <sheetPr>
    <pageSetUpPr fitToPage="1"/>
  </sheetPr>
  <dimension ref="A1:Q33"/>
  <sheetViews>
    <sheetView workbookViewId="0">
      <selection activeCell="J14" sqref="J14"/>
    </sheetView>
  </sheetViews>
  <sheetFormatPr defaultRowHeight="14.4" x14ac:dyDescent="0.3"/>
  <cols>
    <col min="1" max="1" width="5.21875" style="11" bestFit="1" customWidth="1"/>
    <col min="2" max="2" width="5.6640625" bestFit="1" customWidth="1"/>
    <col min="3" max="3" width="4" bestFit="1" customWidth="1"/>
    <col min="4" max="4" width="38.5546875" bestFit="1" customWidth="1"/>
    <col min="5" max="5" width="9.88671875" bestFit="1" customWidth="1"/>
    <col min="7" max="7" width="5.33203125" style="11" bestFit="1" customWidth="1"/>
    <col min="8" max="8" width="27.109375" bestFit="1" customWidth="1"/>
    <col min="9" max="9" width="24.77734375" customWidth="1"/>
    <col min="10" max="10" width="10" bestFit="1" customWidth="1"/>
  </cols>
  <sheetData>
    <row r="1" spans="1:17" x14ac:dyDescent="0.3">
      <c r="A1" s="148" t="str">
        <f>BS!A1</f>
        <v>DIAGO CO-OPERATIVE HOUSING SOCIETY</v>
      </c>
      <c r="B1" s="148"/>
      <c r="C1" s="148"/>
      <c r="D1" s="148"/>
      <c r="E1" s="148"/>
      <c r="F1" s="148"/>
      <c r="G1" s="148"/>
      <c r="H1" s="148"/>
      <c r="I1" s="148"/>
      <c r="J1" s="148"/>
    </row>
    <row r="2" spans="1:17" x14ac:dyDescent="0.3">
      <c r="A2" s="154" t="s">
        <v>328</v>
      </c>
      <c r="B2" s="154"/>
      <c r="C2" s="154"/>
      <c r="D2" s="154"/>
      <c r="E2" s="154"/>
      <c r="G2" s="172" t="s">
        <v>331</v>
      </c>
      <c r="H2" s="172"/>
      <c r="I2" s="172"/>
      <c r="J2" s="172"/>
    </row>
    <row r="3" spans="1:17" x14ac:dyDescent="0.3">
      <c r="A3" s="22" t="s">
        <v>143</v>
      </c>
      <c r="B3" s="22" t="s">
        <v>169</v>
      </c>
      <c r="C3" s="22" t="s">
        <v>34</v>
      </c>
      <c r="D3" s="22" t="s">
        <v>35</v>
      </c>
      <c r="E3" s="22" t="s">
        <v>36</v>
      </c>
      <c r="G3" s="22" t="s">
        <v>131</v>
      </c>
      <c r="H3" s="22" t="s">
        <v>132</v>
      </c>
      <c r="I3" s="22" t="s">
        <v>167</v>
      </c>
      <c r="J3" s="22" t="s">
        <v>135</v>
      </c>
    </row>
    <row r="4" spans="1:17" x14ac:dyDescent="0.3">
      <c r="A4" s="17">
        <v>1</v>
      </c>
      <c r="B4" s="17" t="s">
        <v>32</v>
      </c>
      <c r="C4" s="34" t="s">
        <v>332</v>
      </c>
      <c r="D4" s="17" t="s">
        <v>333</v>
      </c>
      <c r="E4" s="122">
        <v>6912</v>
      </c>
      <c r="G4" s="17">
        <v>1</v>
      </c>
      <c r="H4" s="18" t="s">
        <v>133</v>
      </c>
      <c r="I4" s="19" t="s">
        <v>136</v>
      </c>
      <c r="J4" s="89">
        <v>5000</v>
      </c>
    </row>
    <row r="5" spans="1:17" x14ac:dyDescent="0.3">
      <c r="A5" s="17">
        <v>2</v>
      </c>
      <c r="B5" s="17" t="s">
        <v>32</v>
      </c>
      <c r="C5" s="17">
        <v>401</v>
      </c>
      <c r="D5" s="17" t="s">
        <v>139</v>
      </c>
      <c r="E5" s="122">
        <v>9</v>
      </c>
      <c r="G5" s="17">
        <v>2</v>
      </c>
      <c r="H5" s="18" t="s">
        <v>134</v>
      </c>
      <c r="I5" s="19" t="s">
        <v>137</v>
      </c>
      <c r="J5" s="89">
        <v>3394</v>
      </c>
    </row>
    <row r="6" spans="1:17" x14ac:dyDescent="0.3">
      <c r="A6" s="176" t="s">
        <v>14</v>
      </c>
      <c r="B6" s="176"/>
      <c r="C6" s="176"/>
      <c r="D6" s="176"/>
      <c r="E6" s="92">
        <f>SUM(E4:E5)</f>
        <v>6921</v>
      </c>
      <c r="G6" s="17">
        <v>3</v>
      </c>
      <c r="H6" s="18" t="s">
        <v>340</v>
      </c>
      <c r="I6" s="19" t="s">
        <v>339</v>
      </c>
      <c r="J6" s="89">
        <v>1300</v>
      </c>
    </row>
    <row r="7" spans="1:17" x14ac:dyDescent="0.3">
      <c r="G7" s="173" t="s">
        <v>14</v>
      </c>
      <c r="H7" s="174"/>
      <c r="I7" s="175"/>
      <c r="J7" s="90">
        <f>SUM(J4:J6)</f>
        <v>9694</v>
      </c>
      <c r="K7" s="28" t="s">
        <v>32</v>
      </c>
    </row>
    <row r="8" spans="1:17" x14ac:dyDescent="0.3">
      <c r="A8" s="171" t="s">
        <v>329</v>
      </c>
      <c r="B8" s="171"/>
      <c r="C8" s="171"/>
      <c r="D8" s="171"/>
      <c r="E8" s="171"/>
      <c r="Q8" s="33"/>
    </row>
    <row r="9" spans="1:17" x14ac:dyDescent="0.3">
      <c r="A9" s="22" t="s">
        <v>143</v>
      </c>
      <c r="B9" s="22" t="s">
        <v>169</v>
      </c>
      <c r="C9" s="22" t="s">
        <v>34</v>
      </c>
      <c r="D9" s="22" t="s">
        <v>35</v>
      </c>
      <c r="E9" s="22" t="s">
        <v>36</v>
      </c>
      <c r="G9" s="22" t="s">
        <v>131</v>
      </c>
      <c r="H9" s="22" t="s">
        <v>633</v>
      </c>
      <c r="I9" s="22" t="s">
        <v>634</v>
      </c>
      <c r="J9" s="22" t="s">
        <v>135</v>
      </c>
      <c r="Q9" s="33"/>
    </row>
    <row r="10" spans="1:17" x14ac:dyDescent="0.3">
      <c r="A10" s="17">
        <v>1</v>
      </c>
      <c r="B10" s="17" t="s">
        <v>32</v>
      </c>
      <c r="C10" s="34">
        <v>102</v>
      </c>
      <c r="D10" s="18" t="s">
        <v>334</v>
      </c>
      <c r="E10" s="89">
        <v>8607</v>
      </c>
      <c r="G10" s="17">
        <v>1</v>
      </c>
      <c r="H10" s="18" t="s">
        <v>53</v>
      </c>
      <c r="I10" s="18" t="s">
        <v>635</v>
      </c>
      <c r="J10" s="18">
        <f>1770*2</f>
        <v>3540</v>
      </c>
      <c r="Q10" s="33"/>
    </row>
    <row r="11" spans="1:17" x14ac:dyDescent="0.3">
      <c r="A11" s="17">
        <v>2</v>
      </c>
      <c r="B11" s="17" t="s">
        <v>32</v>
      </c>
      <c r="C11" s="34">
        <v>103</v>
      </c>
      <c r="D11" s="18" t="s">
        <v>335</v>
      </c>
      <c r="E11" s="89">
        <v>150</v>
      </c>
      <c r="G11" s="17">
        <v>2</v>
      </c>
      <c r="H11" s="18" t="s">
        <v>53</v>
      </c>
      <c r="I11" s="18" t="s">
        <v>636</v>
      </c>
      <c r="J11" s="18">
        <v>1770</v>
      </c>
      <c r="Q11" s="33"/>
    </row>
    <row r="12" spans="1:17" x14ac:dyDescent="0.3">
      <c r="A12" s="17">
        <v>3</v>
      </c>
      <c r="B12" s="17" t="s">
        <v>32</v>
      </c>
      <c r="C12" s="34">
        <v>203</v>
      </c>
      <c r="D12" s="18" t="s">
        <v>254</v>
      </c>
      <c r="E12" s="89">
        <v>83</v>
      </c>
      <c r="G12" s="173" t="s">
        <v>14</v>
      </c>
      <c r="H12" s="174"/>
      <c r="I12" s="175"/>
      <c r="J12" s="90">
        <f>SUM(J9:J11)</f>
        <v>5310</v>
      </c>
      <c r="K12" t="s">
        <v>33</v>
      </c>
      <c r="Q12" s="33"/>
    </row>
    <row r="13" spans="1:17" x14ac:dyDescent="0.3">
      <c r="A13" s="17">
        <v>4</v>
      </c>
      <c r="B13" s="17" t="s">
        <v>32</v>
      </c>
      <c r="C13" s="17">
        <v>403</v>
      </c>
      <c r="D13" s="18" t="s">
        <v>140</v>
      </c>
      <c r="E13" s="89">
        <v>3994</v>
      </c>
      <c r="Q13" s="33"/>
    </row>
    <row r="14" spans="1:17" x14ac:dyDescent="0.3">
      <c r="A14" s="17">
        <v>5</v>
      </c>
      <c r="B14" s="17" t="s">
        <v>33</v>
      </c>
      <c r="C14" s="17">
        <v>102</v>
      </c>
      <c r="D14" s="18" t="s">
        <v>141</v>
      </c>
      <c r="E14" s="89">
        <v>6401</v>
      </c>
      <c r="I14" t="s">
        <v>14</v>
      </c>
      <c r="J14" s="134">
        <f>J7+J12</f>
        <v>15004</v>
      </c>
      <c r="K14" t="s">
        <v>637</v>
      </c>
      <c r="Q14" s="33"/>
    </row>
    <row r="15" spans="1:17" x14ac:dyDescent="0.3">
      <c r="A15" s="17">
        <v>6</v>
      </c>
      <c r="B15" s="17" t="s">
        <v>33</v>
      </c>
      <c r="C15" s="17">
        <v>201</v>
      </c>
      <c r="D15" s="18" t="s">
        <v>336</v>
      </c>
      <c r="E15" s="89">
        <v>597</v>
      </c>
      <c r="Q15" s="33"/>
    </row>
    <row r="16" spans="1:17" x14ac:dyDescent="0.3">
      <c r="A16" s="17">
        <v>7</v>
      </c>
      <c r="B16" s="17" t="s">
        <v>33</v>
      </c>
      <c r="C16" s="17">
        <v>303</v>
      </c>
      <c r="D16" s="18" t="s">
        <v>142</v>
      </c>
      <c r="E16" s="89">
        <v>11389</v>
      </c>
      <c r="Q16" s="33"/>
    </row>
    <row r="17" spans="1:17" x14ac:dyDescent="0.3">
      <c r="A17" s="17">
        <v>8</v>
      </c>
      <c r="B17" s="17" t="s">
        <v>33</v>
      </c>
      <c r="C17" s="17">
        <v>304</v>
      </c>
      <c r="D17" s="18" t="s">
        <v>337</v>
      </c>
      <c r="E17" s="89">
        <v>600</v>
      </c>
      <c r="Q17" s="33"/>
    </row>
    <row r="18" spans="1:17" x14ac:dyDescent="0.3">
      <c r="A18" s="17">
        <v>9</v>
      </c>
      <c r="B18" s="17" t="s">
        <v>33</v>
      </c>
      <c r="C18" s="17">
        <v>402</v>
      </c>
      <c r="D18" s="18" t="s">
        <v>338</v>
      </c>
      <c r="E18" s="89">
        <v>109</v>
      </c>
      <c r="Q18" s="33"/>
    </row>
    <row r="19" spans="1:17" x14ac:dyDescent="0.3">
      <c r="A19" s="176" t="s">
        <v>14</v>
      </c>
      <c r="B19" s="176"/>
      <c r="C19" s="176"/>
      <c r="D19" s="176"/>
      <c r="E19" s="90">
        <f>SUM(E10:E18)</f>
        <v>31930</v>
      </c>
    </row>
    <row r="21" spans="1:17" x14ac:dyDescent="0.3">
      <c r="A21" s="172" t="s">
        <v>330</v>
      </c>
      <c r="B21" s="172"/>
      <c r="C21" s="172"/>
      <c r="D21" s="172"/>
      <c r="E21" s="172"/>
    </row>
    <row r="22" spans="1:17" x14ac:dyDescent="0.3">
      <c r="A22" s="22" t="s">
        <v>143</v>
      </c>
      <c r="B22" s="22" t="s">
        <v>169</v>
      </c>
      <c r="C22" s="22" t="s">
        <v>34</v>
      </c>
      <c r="D22" s="22" t="s">
        <v>35</v>
      </c>
      <c r="E22" s="22" t="s">
        <v>36</v>
      </c>
    </row>
    <row r="23" spans="1:17" x14ac:dyDescent="0.3">
      <c r="A23" s="17">
        <v>1</v>
      </c>
      <c r="B23" s="17" t="s">
        <v>32</v>
      </c>
      <c r="C23" s="36">
        <v>101</v>
      </c>
      <c r="D23" s="18" t="s">
        <v>138</v>
      </c>
      <c r="E23" s="89">
        <v>2000</v>
      </c>
    </row>
    <row r="24" spans="1:17" x14ac:dyDescent="0.3">
      <c r="A24" s="17">
        <v>2</v>
      </c>
      <c r="B24" s="17" t="s">
        <v>32</v>
      </c>
      <c r="C24" s="18">
        <v>102</v>
      </c>
      <c r="D24" s="18" t="s">
        <v>144</v>
      </c>
      <c r="E24" s="89">
        <v>2000</v>
      </c>
    </row>
    <row r="25" spans="1:17" x14ac:dyDescent="0.3">
      <c r="A25" s="17">
        <v>3</v>
      </c>
      <c r="B25" s="17" t="s">
        <v>32</v>
      </c>
      <c r="C25" s="18">
        <v>203</v>
      </c>
      <c r="D25" s="18" t="s">
        <v>254</v>
      </c>
      <c r="E25" s="89">
        <v>2000</v>
      </c>
    </row>
    <row r="26" spans="1:17" x14ac:dyDescent="0.3">
      <c r="A26" s="17">
        <v>4</v>
      </c>
      <c r="B26" s="17" t="s">
        <v>32</v>
      </c>
      <c r="C26" s="18">
        <v>303</v>
      </c>
      <c r="D26" s="18" t="s">
        <v>145</v>
      </c>
      <c r="E26" s="89">
        <v>2000</v>
      </c>
    </row>
    <row r="27" spans="1:17" x14ac:dyDescent="0.3">
      <c r="A27" s="17">
        <v>5</v>
      </c>
      <c r="B27" s="17" t="s">
        <v>32</v>
      </c>
      <c r="C27" s="18">
        <v>403</v>
      </c>
      <c r="D27" s="18" t="s">
        <v>140</v>
      </c>
      <c r="E27" s="89">
        <v>2000</v>
      </c>
    </row>
    <row r="28" spans="1:17" x14ac:dyDescent="0.3">
      <c r="A28" s="17">
        <v>6</v>
      </c>
      <c r="B28" s="17" t="s">
        <v>33</v>
      </c>
      <c r="C28" s="18">
        <v>1</v>
      </c>
      <c r="D28" s="18" t="s">
        <v>237</v>
      </c>
      <c r="E28" s="89">
        <v>2000</v>
      </c>
    </row>
    <row r="29" spans="1:17" x14ac:dyDescent="0.3">
      <c r="A29" s="17">
        <v>7</v>
      </c>
      <c r="B29" s="17" t="s">
        <v>33</v>
      </c>
      <c r="C29" s="18">
        <v>4</v>
      </c>
      <c r="D29" s="18" t="s">
        <v>255</v>
      </c>
      <c r="E29" s="89">
        <v>2000</v>
      </c>
    </row>
    <row r="30" spans="1:17" x14ac:dyDescent="0.3">
      <c r="A30" s="17">
        <v>8</v>
      </c>
      <c r="B30" s="17" t="s">
        <v>33</v>
      </c>
      <c r="C30" s="36">
        <v>301</v>
      </c>
      <c r="D30" s="18" t="s">
        <v>146</v>
      </c>
      <c r="E30" s="89">
        <v>2000</v>
      </c>
    </row>
    <row r="31" spans="1:17" x14ac:dyDescent="0.3">
      <c r="A31" s="17">
        <v>9</v>
      </c>
      <c r="B31" s="17" t="s">
        <v>33</v>
      </c>
      <c r="C31" s="18">
        <v>303</v>
      </c>
      <c r="D31" s="18" t="s">
        <v>142</v>
      </c>
      <c r="E31" s="89">
        <v>2000</v>
      </c>
    </row>
    <row r="32" spans="1:17" x14ac:dyDescent="0.3">
      <c r="A32" s="17">
        <v>10</v>
      </c>
      <c r="B32" s="17" t="s">
        <v>147</v>
      </c>
      <c r="C32" s="18">
        <v>1</v>
      </c>
      <c r="D32" s="18" t="s">
        <v>238</v>
      </c>
      <c r="E32" s="89">
        <v>2000</v>
      </c>
    </row>
    <row r="33" spans="1:5" x14ac:dyDescent="0.3">
      <c r="A33" s="22" t="s">
        <v>14</v>
      </c>
      <c r="B33" s="22"/>
      <c r="C33" s="22"/>
      <c r="D33" s="22"/>
      <c r="E33" s="90">
        <f>SUM(E23:E32)</f>
        <v>20000</v>
      </c>
    </row>
  </sheetData>
  <mergeCells count="9">
    <mergeCell ref="A8:E8"/>
    <mergeCell ref="A21:E21"/>
    <mergeCell ref="G2:J2"/>
    <mergeCell ref="G7:I7"/>
    <mergeCell ref="A1:J1"/>
    <mergeCell ref="A19:D19"/>
    <mergeCell ref="A2:E2"/>
    <mergeCell ref="A6:D6"/>
    <mergeCell ref="G12:I12"/>
  </mergeCells>
  <pageMargins left="0.7" right="0.7" top="0.75" bottom="0.75" header="0.3" footer="0.3"/>
  <pageSetup paperSize="9" scale="9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53CE-526D-42CC-9375-4DA5016CDB0B}">
  <sheetPr>
    <pageSetUpPr fitToPage="1"/>
  </sheetPr>
  <dimension ref="A1:J27"/>
  <sheetViews>
    <sheetView workbookViewId="0">
      <selection activeCell="C24" sqref="C24"/>
    </sheetView>
  </sheetViews>
  <sheetFormatPr defaultRowHeight="14.4" x14ac:dyDescent="0.3"/>
  <cols>
    <col min="1" max="1" width="3.88671875" customWidth="1"/>
    <col min="2" max="2" width="44.33203125" customWidth="1"/>
    <col min="3" max="3" width="13.6640625" style="15" customWidth="1"/>
    <col min="6" max="8" width="9.109375" style="11"/>
    <col min="9" max="9" width="13.77734375" bestFit="1" customWidth="1"/>
    <col min="10" max="10" width="9.109375" style="11"/>
  </cols>
  <sheetData>
    <row r="1" spans="1:10" x14ac:dyDescent="0.3">
      <c r="A1" s="148" t="str">
        <f>BS!A1</f>
        <v>DIAGO CO-OPERATIVE HOUSING SOCIETY</v>
      </c>
      <c r="B1" s="148"/>
      <c r="C1" s="148"/>
    </row>
    <row r="2" spans="1:10" x14ac:dyDescent="0.3">
      <c r="A2" s="177" t="s">
        <v>341</v>
      </c>
      <c r="B2" s="177"/>
      <c r="C2" s="177"/>
    </row>
    <row r="3" spans="1:10" x14ac:dyDescent="0.3">
      <c r="C3" s="45" t="s">
        <v>36</v>
      </c>
    </row>
    <row r="4" spans="1:10" x14ac:dyDescent="0.3">
      <c r="A4" t="s">
        <v>166</v>
      </c>
      <c r="C4" s="15">
        <v>257877.75</v>
      </c>
      <c r="F4" s="11" t="s">
        <v>344</v>
      </c>
      <c r="G4" s="11" t="s">
        <v>12</v>
      </c>
      <c r="H4" s="11" t="s">
        <v>346</v>
      </c>
      <c r="I4" t="s">
        <v>132</v>
      </c>
      <c r="J4" s="11" t="s">
        <v>36</v>
      </c>
    </row>
    <row r="5" spans="1:10" x14ac:dyDescent="0.3">
      <c r="A5" t="s">
        <v>342</v>
      </c>
      <c r="B5" t="s">
        <v>343</v>
      </c>
      <c r="C5" s="15">
        <v>1250</v>
      </c>
      <c r="F5" s="11">
        <v>187353</v>
      </c>
      <c r="G5" s="11" t="s">
        <v>345</v>
      </c>
      <c r="H5" s="11" t="s">
        <v>347</v>
      </c>
      <c r="I5" t="s">
        <v>348</v>
      </c>
      <c r="J5" s="11">
        <v>1250</v>
      </c>
    </row>
    <row r="8" spans="1:10" ht="15" thickBot="1" x14ac:dyDescent="0.35">
      <c r="A8" s="48" t="s">
        <v>286</v>
      </c>
      <c r="B8" s="48"/>
      <c r="C8" s="20">
        <f>C4+C5-C6</f>
        <v>259127.75</v>
      </c>
    </row>
    <row r="9" spans="1:10" ht="15" thickTop="1" x14ac:dyDescent="0.3"/>
    <row r="11" spans="1:10" x14ac:dyDescent="0.3">
      <c r="A11" s="177" t="s">
        <v>349</v>
      </c>
      <c r="B11" s="177"/>
      <c r="C11" s="177"/>
    </row>
    <row r="12" spans="1:10" x14ac:dyDescent="0.3">
      <c r="C12" s="45" t="s">
        <v>36</v>
      </c>
    </row>
    <row r="13" spans="1:10" x14ac:dyDescent="0.3">
      <c r="A13" t="s">
        <v>166</v>
      </c>
      <c r="C13" s="15">
        <v>2777.86</v>
      </c>
    </row>
    <row r="17" spans="1:3" ht="15" thickBot="1" x14ac:dyDescent="0.35">
      <c r="A17" s="48" t="s">
        <v>286</v>
      </c>
      <c r="B17" s="48"/>
      <c r="C17" s="20">
        <f>C13+C14-C15</f>
        <v>2777.86</v>
      </c>
    </row>
    <row r="18" spans="1:3" ht="15" thickTop="1" x14ac:dyDescent="0.3"/>
    <row r="20" spans="1:3" x14ac:dyDescent="0.3">
      <c r="A20" s="177" t="s">
        <v>350</v>
      </c>
      <c r="B20" s="177"/>
      <c r="C20" s="177"/>
    </row>
    <row r="21" spans="1:3" x14ac:dyDescent="0.3">
      <c r="C21" s="45" t="s">
        <v>36</v>
      </c>
    </row>
    <row r="22" spans="1:3" x14ac:dyDescent="0.3">
      <c r="A22" t="s">
        <v>166</v>
      </c>
      <c r="C22" s="15">
        <v>3441.85</v>
      </c>
    </row>
    <row r="26" spans="1:3" ht="15" thickBot="1" x14ac:dyDescent="0.35">
      <c r="A26" s="48" t="s">
        <v>286</v>
      </c>
      <c r="B26" s="48"/>
      <c r="C26" s="20">
        <f>C22+C23-C24</f>
        <v>3441.85</v>
      </c>
    </row>
    <row r="27" spans="1:3" ht="15" thickTop="1" x14ac:dyDescent="0.3"/>
  </sheetData>
  <mergeCells count="4">
    <mergeCell ref="A1:C1"/>
    <mergeCell ref="A2:C2"/>
    <mergeCell ref="A11:C11"/>
    <mergeCell ref="A20:C20"/>
  </mergeCells>
  <printOptions horizontalCentered="1"/>
  <pageMargins left="0.7" right="0.7" top="0.75" bottom="0.75" header="0.3" footer="0.3"/>
  <pageSetup paperSize="9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3D78-2585-4DA6-9631-3270A4720468}">
  <dimension ref="B2:N21"/>
  <sheetViews>
    <sheetView tabSelected="1" workbookViewId="0">
      <selection activeCell="T19" sqref="T19"/>
    </sheetView>
  </sheetViews>
  <sheetFormatPr defaultRowHeight="14.4" x14ac:dyDescent="0.3"/>
  <cols>
    <col min="1" max="1" width="2.6640625" customWidth="1"/>
    <col min="2" max="3" width="11.5546875" customWidth="1"/>
    <col min="4" max="4" width="8.21875" style="12" bestFit="1" customWidth="1"/>
    <col min="5" max="7" width="12.109375" style="12" customWidth="1"/>
    <col min="8" max="10" width="10.33203125" bestFit="1" customWidth="1"/>
    <col min="12" max="12" width="12.21875" bestFit="1" customWidth="1"/>
    <col min="13" max="14" width="12.44140625" bestFit="1" customWidth="1"/>
  </cols>
  <sheetData>
    <row r="2" spans="2:14" x14ac:dyDescent="0.3">
      <c r="B2" s="46" t="s">
        <v>164</v>
      </c>
      <c r="C2" s="46"/>
      <c r="D2" s="51"/>
      <c r="E2" s="51"/>
    </row>
    <row r="3" spans="2:14" x14ac:dyDescent="0.3">
      <c r="E3" s="12">
        <v>0</v>
      </c>
      <c r="F3" s="12">
        <v>12319</v>
      </c>
      <c r="G3" s="12">
        <v>5000</v>
      </c>
    </row>
    <row r="4" spans="2:14" x14ac:dyDescent="0.3">
      <c r="B4" s="28" t="s">
        <v>113</v>
      </c>
      <c r="E4" s="12" t="s">
        <v>108</v>
      </c>
      <c r="F4" s="12" t="s">
        <v>109</v>
      </c>
      <c r="G4" s="12" t="s">
        <v>110</v>
      </c>
      <c r="L4" s="12" t="s">
        <v>108</v>
      </c>
      <c r="M4" s="12" t="s">
        <v>109</v>
      </c>
      <c r="N4" s="12" t="s">
        <v>110</v>
      </c>
    </row>
    <row r="5" spans="2:14" x14ac:dyDescent="0.3">
      <c r="B5" s="23">
        <v>45661</v>
      </c>
      <c r="C5" s="23">
        <v>46024</v>
      </c>
      <c r="D5" s="59">
        <f>+C5-B5+1</f>
        <v>364</v>
      </c>
      <c r="E5" s="12">
        <f>6699+6733+6732+6718</f>
        <v>26882</v>
      </c>
      <c r="F5" s="12">
        <f>11169+11193+11247+11379</f>
        <v>44988</v>
      </c>
      <c r="G5" s="12">
        <f>1416+1447+1469+1526</f>
        <v>5858</v>
      </c>
      <c r="I5" s="23">
        <v>46024</v>
      </c>
      <c r="J5" s="23">
        <v>46114</v>
      </c>
      <c r="K5" s="58">
        <f>31-2+28+31+2</f>
        <v>90</v>
      </c>
      <c r="L5">
        <v>6548</v>
      </c>
      <c r="M5">
        <v>11212</v>
      </c>
      <c r="N5">
        <v>1438</v>
      </c>
    </row>
    <row r="6" spans="2:14" x14ac:dyDescent="0.3">
      <c r="B6" s="23">
        <v>46025</v>
      </c>
      <c r="C6" s="23">
        <v>46112</v>
      </c>
      <c r="D6" s="58">
        <f>31-2+28+31</f>
        <v>88</v>
      </c>
      <c r="E6" s="12">
        <f>L6</f>
        <v>6402</v>
      </c>
      <c r="F6" s="12">
        <f t="shared" ref="F6:G6" si="0">M6</f>
        <v>10963</v>
      </c>
      <c r="G6" s="12">
        <f>N6</f>
        <v>1406</v>
      </c>
      <c r="H6" s="28" t="s">
        <v>353</v>
      </c>
      <c r="I6" s="23">
        <v>46025</v>
      </c>
      <c r="J6" s="23">
        <v>46112</v>
      </c>
      <c r="K6" s="58">
        <f>31-2+28+31</f>
        <v>88</v>
      </c>
      <c r="L6">
        <f>ROUND($K$6*L5/$K$5,0)</f>
        <v>6402</v>
      </c>
      <c r="M6">
        <f t="shared" ref="M6:N6" si="1">ROUND($K$6*M5/$K$5,0)</f>
        <v>10963</v>
      </c>
      <c r="N6">
        <f t="shared" si="1"/>
        <v>1406</v>
      </c>
    </row>
    <row r="7" spans="2:14" x14ac:dyDescent="0.3">
      <c r="B7" s="25">
        <f>C5</f>
        <v>46024</v>
      </c>
      <c r="C7" s="25">
        <v>45747</v>
      </c>
      <c r="D7" s="58">
        <f>SUM(D5:D6)</f>
        <v>452</v>
      </c>
      <c r="E7" s="26">
        <f>SUM(E5:E6)</f>
        <v>33284</v>
      </c>
      <c r="F7" s="26">
        <f t="shared" ref="F7:G7" si="2">SUM(F5:F6)</f>
        <v>55951</v>
      </c>
      <c r="G7" s="26">
        <f t="shared" si="2"/>
        <v>7264</v>
      </c>
      <c r="H7" s="21">
        <f>SUM(E7:G7)</f>
        <v>96499</v>
      </c>
    </row>
    <row r="8" spans="2:14" x14ac:dyDescent="0.3">
      <c r="D8" s="56"/>
    </row>
    <row r="9" spans="2:14" x14ac:dyDescent="0.3">
      <c r="D9" s="24"/>
    </row>
    <row r="10" spans="2:14" x14ac:dyDescent="0.3">
      <c r="B10" s="28" t="s">
        <v>114</v>
      </c>
      <c r="D10" s="24"/>
    </row>
    <row r="11" spans="2:14" x14ac:dyDescent="0.3">
      <c r="B11" s="23">
        <v>45505</v>
      </c>
      <c r="C11" s="23">
        <v>45869</v>
      </c>
      <c r="D11" s="24">
        <f>C11-B11+1</f>
        <v>365</v>
      </c>
      <c r="E11" s="12">
        <v>4400</v>
      </c>
      <c r="H11" s="23"/>
      <c r="I11" s="23"/>
      <c r="J11" s="12"/>
    </row>
    <row r="12" spans="2:14" x14ac:dyDescent="0.3">
      <c r="B12" s="23">
        <f>B11</f>
        <v>45505</v>
      </c>
      <c r="C12" s="23">
        <v>45747</v>
      </c>
      <c r="D12" s="24">
        <f>C12-B12+1</f>
        <v>243</v>
      </c>
      <c r="E12" s="12">
        <f>ROUND(E11*D12/D11,0)</f>
        <v>2929</v>
      </c>
      <c r="H12" s="23"/>
      <c r="I12" s="23"/>
      <c r="J12" s="12"/>
      <c r="K12" s="24"/>
    </row>
    <row r="13" spans="2:14" x14ac:dyDescent="0.3">
      <c r="B13" s="23">
        <v>45748</v>
      </c>
      <c r="C13" s="23">
        <f>C11</f>
        <v>45869</v>
      </c>
      <c r="D13" s="24">
        <f>C13-B13+1</f>
        <v>122</v>
      </c>
      <c r="E13" s="12">
        <f>ROUND(E11*D13/D11,0)</f>
        <v>1471</v>
      </c>
      <c r="F13" s="29" t="s">
        <v>115</v>
      </c>
    </row>
    <row r="15" spans="2:14" x14ac:dyDescent="0.3">
      <c r="B15" s="28" t="s">
        <v>116</v>
      </c>
      <c r="D15" s="24"/>
    </row>
    <row r="16" spans="2:14" x14ac:dyDescent="0.3">
      <c r="B16" s="23">
        <v>45724</v>
      </c>
      <c r="C16" s="23">
        <v>46088</v>
      </c>
      <c r="D16" s="24">
        <f>C16-B16+1</f>
        <v>365</v>
      </c>
      <c r="E16" s="12">
        <v>7781</v>
      </c>
    </row>
    <row r="17" spans="2:6" x14ac:dyDescent="0.3">
      <c r="B17" s="23">
        <f>B16</f>
        <v>45724</v>
      </c>
      <c r="C17" s="23">
        <v>45747</v>
      </c>
      <c r="D17" s="24">
        <f>C17-B17+1</f>
        <v>24</v>
      </c>
      <c r="E17" s="12">
        <f>ROUND(E16*D17/D16,0)</f>
        <v>512</v>
      </c>
    </row>
    <row r="18" spans="2:6" x14ac:dyDescent="0.3">
      <c r="B18" s="23">
        <v>45748</v>
      </c>
      <c r="C18" s="23">
        <f>C16</f>
        <v>46088</v>
      </c>
      <c r="D18" s="24">
        <f>C18-B18+1</f>
        <v>341</v>
      </c>
      <c r="E18" s="12">
        <f>ROUND(E16*D18/D16,0)</f>
        <v>7269</v>
      </c>
      <c r="F18" s="29" t="s">
        <v>115</v>
      </c>
    </row>
    <row r="20" spans="2:6" x14ac:dyDescent="0.3">
      <c r="B20" s="28" t="s">
        <v>351</v>
      </c>
    </row>
    <row r="21" spans="2:6" x14ac:dyDescent="0.3">
      <c r="B21" t="s">
        <v>352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E783-20B5-45C0-9BD2-9C24B7068F48}">
  <dimension ref="A1:J108"/>
  <sheetViews>
    <sheetView workbookViewId="0"/>
  </sheetViews>
  <sheetFormatPr defaultRowHeight="14.4" x14ac:dyDescent="0.3"/>
  <cols>
    <col min="1" max="1" width="14.5546875" bestFit="1" customWidth="1"/>
    <col min="2" max="2" width="13.109375" bestFit="1" customWidth="1"/>
    <col min="3" max="3" width="60.21875" bestFit="1" customWidth="1"/>
    <col min="4" max="4" width="9.21875" bestFit="1" customWidth="1"/>
    <col min="6" max="6" width="5" bestFit="1" customWidth="1"/>
    <col min="8" max="8" width="4.109375" bestFit="1" customWidth="1"/>
    <col min="9" max="9" width="5.77734375" bestFit="1" customWidth="1"/>
  </cols>
  <sheetData>
    <row r="1" spans="1:10" x14ac:dyDescent="0.3">
      <c r="A1" s="46" t="s">
        <v>164</v>
      </c>
      <c r="B1" s="46"/>
      <c r="C1" s="51"/>
    </row>
    <row r="2" spans="1:10" x14ac:dyDescent="0.3">
      <c r="A2" s="124" t="s">
        <v>273</v>
      </c>
      <c r="B2" s="124" t="s">
        <v>274</v>
      </c>
      <c r="C2" s="124" t="s">
        <v>275</v>
      </c>
      <c r="D2" s="124" t="s">
        <v>276</v>
      </c>
      <c r="F2" s="124" t="s">
        <v>400</v>
      </c>
      <c r="H2" s="125" t="s">
        <v>277</v>
      </c>
      <c r="I2">
        <v>17335</v>
      </c>
    </row>
    <row r="3" spans="1:10" x14ac:dyDescent="0.3">
      <c r="A3" t="s">
        <v>401</v>
      </c>
      <c r="B3" t="s">
        <v>402</v>
      </c>
      <c r="C3" t="s">
        <v>403</v>
      </c>
      <c r="D3" s="33">
        <v>1239</v>
      </c>
      <c r="F3" t="s">
        <v>277</v>
      </c>
      <c r="H3" t="s">
        <v>278</v>
      </c>
      <c r="I3">
        <v>10936</v>
      </c>
    </row>
    <row r="4" spans="1:10" x14ac:dyDescent="0.3">
      <c r="A4" t="s">
        <v>404</v>
      </c>
      <c r="B4" t="s">
        <v>405</v>
      </c>
      <c r="C4" t="s">
        <v>406</v>
      </c>
      <c r="D4" s="126">
        <v>32</v>
      </c>
      <c r="F4" s="125" t="s">
        <v>285</v>
      </c>
      <c r="H4" t="s">
        <v>279</v>
      </c>
      <c r="I4">
        <v>9159</v>
      </c>
    </row>
    <row r="5" spans="1:10" x14ac:dyDescent="0.3">
      <c r="A5" t="s">
        <v>407</v>
      </c>
      <c r="B5" t="s">
        <v>408</v>
      </c>
      <c r="C5" t="s">
        <v>409</v>
      </c>
      <c r="D5" s="126">
        <v>69</v>
      </c>
      <c r="F5" s="125" t="s">
        <v>278</v>
      </c>
      <c r="H5" t="s">
        <v>282</v>
      </c>
      <c r="I5">
        <v>10495</v>
      </c>
    </row>
    <row r="6" spans="1:10" x14ac:dyDescent="0.3">
      <c r="A6" t="s">
        <v>410</v>
      </c>
      <c r="B6" t="s">
        <v>408</v>
      </c>
      <c r="C6" t="s">
        <v>411</v>
      </c>
      <c r="D6" s="126">
        <v>206</v>
      </c>
      <c r="F6" s="125" t="s">
        <v>281</v>
      </c>
      <c r="H6" t="s">
        <v>280</v>
      </c>
      <c r="I6">
        <v>12681</v>
      </c>
    </row>
    <row r="7" spans="1:10" x14ac:dyDescent="0.3">
      <c r="A7" t="s">
        <v>412</v>
      </c>
      <c r="B7" t="s">
        <v>413</v>
      </c>
      <c r="C7" t="s">
        <v>414</v>
      </c>
      <c r="D7" s="126">
        <v>225</v>
      </c>
      <c r="F7" s="125" t="s">
        <v>278</v>
      </c>
      <c r="H7" t="s">
        <v>281</v>
      </c>
      <c r="I7">
        <v>9156</v>
      </c>
    </row>
    <row r="8" spans="1:10" x14ac:dyDescent="0.3">
      <c r="A8" t="s">
        <v>415</v>
      </c>
      <c r="B8" t="s">
        <v>413</v>
      </c>
      <c r="C8" t="s">
        <v>416</v>
      </c>
      <c r="D8" s="126">
        <v>104</v>
      </c>
      <c r="F8" t="s">
        <v>277</v>
      </c>
      <c r="H8" t="s">
        <v>283</v>
      </c>
      <c r="I8">
        <v>2205</v>
      </c>
    </row>
    <row r="9" spans="1:10" x14ac:dyDescent="0.3">
      <c r="A9" t="s">
        <v>417</v>
      </c>
      <c r="B9" t="s">
        <v>418</v>
      </c>
      <c r="C9" t="s">
        <v>419</v>
      </c>
      <c r="D9" s="126">
        <v>88</v>
      </c>
      <c r="F9" s="125" t="s">
        <v>278</v>
      </c>
      <c r="H9" t="s">
        <v>284</v>
      </c>
      <c r="I9">
        <v>10095</v>
      </c>
    </row>
    <row r="10" spans="1:10" x14ac:dyDescent="0.3">
      <c r="A10" t="s">
        <v>420</v>
      </c>
      <c r="B10" t="s">
        <v>421</v>
      </c>
      <c r="C10" t="s">
        <v>422</v>
      </c>
      <c r="D10" s="126">
        <v>119</v>
      </c>
      <c r="F10" s="125" t="s">
        <v>423</v>
      </c>
      <c r="H10" t="s">
        <v>285</v>
      </c>
      <c r="I10">
        <v>1454</v>
      </c>
    </row>
    <row r="11" spans="1:10" x14ac:dyDescent="0.3">
      <c r="A11" t="s">
        <v>424</v>
      </c>
      <c r="B11" t="s">
        <v>421</v>
      </c>
      <c r="C11" t="s">
        <v>425</v>
      </c>
      <c r="D11" s="126">
        <v>119</v>
      </c>
      <c r="F11" s="125" t="s">
        <v>423</v>
      </c>
      <c r="H11" t="s">
        <v>423</v>
      </c>
      <c r="I11">
        <v>1013</v>
      </c>
    </row>
    <row r="12" spans="1:10" x14ac:dyDescent="0.3">
      <c r="A12" t="s">
        <v>426</v>
      </c>
      <c r="B12" t="s">
        <v>421</v>
      </c>
      <c r="C12" s="125" t="s">
        <v>427</v>
      </c>
      <c r="D12" s="126">
        <v>152</v>
      </c>
      <c r="F12" s="125" t="s">
        <v>285</v>
      </c>
    </row>
    <row r="13" spans="1:10" x14ac:dyDescent="0.3">
      <c r="A13" t="s">
        <v>428</v>
      </c>
      <c r="B13" t="s">
        <v>421</v>
      </c>
      <c r="C13" s="125" t="s">
        <v>429</v>
      </c>
      <c r="D13" s="126">
        <v>30</v>
      </c>
      <c r="F13" s="125" t="s">
        <v>285</v>
      </c>
      <c r="I13">
        <f>SUM(I2:I12)</f>
        <v>84529</v>
      </c>
    </row>
    <row r="14" spans="1:10" x14ac:dyDescent="0.3">
      <c r="A14" t="s">
        <v>430</v>
      </c>
      <c r="B14" t="s">
        <v>421</v>
      </c>
      <c r="C14" s="125" t="s">
        <v>431</v>
      </c>
      <c r="D14" s="126">
        <v>108</v>
      </c>
      <c r="F14" s="125" t="s">
        <v>285</v>
      </c>
      <c r="I14">
        <f>-I10-I11</f>
        <v>-2467</v>
      </c>
      <c r="J14" t="s">
        <v>632</v>
      </c>
    </row>
    <row r="15" spans="1:10" x14ac:dyDescent="0.3">
      <c r="A15" t="s">
        <v>432</v>
      </c>
      <c r="B15" t="s">
        <v>421</v>
      </c>
      <c r="C15" s="125" t="s">
        <v>433</v>
      </c>
      <c r="D15" s="126">
        <v>36</v>
      </c>
      <c r="F15" s="125" t="s">
        <v>285</v>
      </c>
      <c r="I15">
        <f>SUM(I13:I14)</f>
        <v>82062</v>
      </c>
    </row>
    <row r="16" spans="1:10" x14ac:dyDescent="0.3">
      <c r="A16" t="s">
        <v>434</v>
      </c>
      <c r="B16" t="s">
        <v>435</v>
      </c>
      <c r="C16" t="s">
        <v>436</v>
      </c>
      <c r="D16" s="126">
        <v>137</v>
      </c>
      <c r="F16" s="125" t="s">
        <v>278</v>
      </c>
    </row>
    <row r="17" spans="1:6" x14ac:dyDescent="0.3">
      <c r="A17" t="s">
        <v>437</v>
      </c>
      <c r="B17" t="s">
        <v>435</v>
      </c>
      <c r="C17" t="s">
        <v>438</v>
      </c>
      <c r="D17" s="126">
        <v>413</v>
      </c>
      <c r="F17" s="125" t="s">
        <v>281</v>
      </c>
    </row>
    <row r="18" spans="1:6" x14ac:dyDescent="0.3">
      <c r="A18" t="s">
        <v>439</v>
      </c>
      <c r="B18" t="s">
        <v>435</v>
      </c>
      <c r="C18" t="s">
        <v>440</v>
      </c>
      <c r="D18" s="126">
        <v>860</v>
      </c>
      <c r="F18" s="125" t="s">
        <v>279</v>
      </c>
    </row>
    <row r="19" spans="1:6" x14ac:dyDescent="0.3">
      <c r="A19" t="s">
        <v>441</v>
      </c>
      <c r="B19" t="s">
        <v>435</v>
      </c>
      <c r="C19" t="s">
        <v>442</v>
      </c>
      <c r="D19" s="126">
        <v>371</v>
      </c>
      <c r="F19" t="s">
        <v>277</v>
      </c>
    </row>
    <row r="20" spans="1:6" x14ac:dyDescent="0.3">
      <c r="A20" t="s">
        <v>443</v>
      </c>
      <c r="B20" t="s">
        <v>444</v>
      </c>
      <c r="C20" t="s">
        <v>445</v>
      </c>
      <c r="D20" s="126">
        <v>119</v>
      </c>
      <c r="F20" s="125" t="s">
        <v>423</v>
      </c>
    </row>
    <row r="21" spans="1:6" x14ac:dyDescent="0.3">
      <c r="A21" t="s">
        <v>446</v>
      </c>
      <c r="B21" t="s">
        <v>444</v>
      </c>
      <c r="C21" s="125" t="s">
        <v>447</v>
      </c>
      <c r="D21" s="126">
        <v>109</v>
      </c>
      <c r="F21" s="125" t="s">
        <v>285</v>
      </c>
    </row>
    <row r="22" spans="1:6" x14ac:dyDescent="0.3">
      <c r="A22" t="s">
        <v>448</v>
      </c>
      <c r="B22" t="s">
        <v>444</v>
      </c>
      <c r="C22" s="125" t="s">
        <v>449</v>
      </c>
      <c r="D22" s="126">
        <v>70</v>
      </c>
      <c r="F22" s="125" t="s">
        <v>285</v>
      </c>
    </row>
    <row r="23" spans="1:6" x14ac:dyDescent="0.3">
      <c r="A23" t="s">
        <v>450</v>
      </c>
      <c r="B23" t="s">
        <v>444</v>
      </c>
      <c r="C23" s="125" t="s">
        <v>433</v>
      </c>
      <c r="D23" s="126">
        <v>36</v>
      </c>
      <c r="F23" s="125" t="s">
        <v>285</v>
      </c>
    </row>
    <row r="24" spans="1:6" x14ac:dyDescent="0.3">
      <c r="A24" t="s">
        <v>451</v>
      </c>
      <c r="B24" t="s">
        <v>444</v>
      </c>
      <c r="C24" t="s">
        <v>452</v>
      </c>
      <c r="D24" s="126">
        <v>119</v>
      </c>
      <c r="F24" s="125" t="s">
        <v>423</v>
      </c>
    </row>
    <row r="25" spans="1:6" x14ac:dyDescent="0.3">
      <c r="A25" t="s">
        <v>453</v>
      </c>
      <c r="B25" t="s">
        <v>444</v>
      </c>
      <c r="C25" s="125" t="s">
        <v>427</v>
      </c>
      <c r="D25" s="126">
        <v>150</v>
      </c>
      <c r="F25" s="125" t="s">
        <v>285</v>
      </c>
    </row>
    <row r="26" spans="1:6" x14ac:dyDescent="0.3">
      <c r="A26" t="s">
        <v>454</v>
      </c>
      <c r="B26" t="s">
        <v>455</v>
      </c>
      <c r="C26" t="s">
        <v>456</v>
      </c>
      <c r="D26" s="33">
        <v>6282</v>
      </c>
      <c r="F26" s="125" t="s">
        <v>282</v>
      </c>
    </row>
    <row r="27" spans="1:6" x14ac:dyDescent="0.3">
      <c r="A27" t="s">
        <v>457</v>
      </c>
      <c r="B27" t="s">
        <v>458</v>
      </c>
      <c r="C27" t="s">
        <v>459</v>
      </c>
      <c r="D27" s="126">
        <v>462</v>
      </c>
      <c r="F27" s="125" t="s">
        <v>278</v>
      </c>
    </row>
    <row r="28" spans="1:6" x14ac:dyDescent="0.3">
      <c r="A28" t="s">
        <v>460</v>
      </c>
      <c r="B28" t="s">
        <v>458</v>
      </c>
      <c r="C28" t="s">
        <v>461</v>
      </c>
      <c r="D28" s="126">
        <v>377</v>
      </c>
      <c r="F28" s="125" t="s">
        <v>281</v>
      </c>
    </row>
    <row r="29" spans="1:6" x14ac:dyDescent="0.3">
      <c r="A29" t="s">
        <v>462</v>
      </c>
      <c r="B29" t="s">
        <v>458</v>
      </c>
      <c r="C29" t="s">
        <v>463</v>
      </c>
      <c r="D29" s="126">
        <v>989</v>
      </c>
      <c r="F29" t="s">
        <v>277</v>
      </c>
    </row>
    <row r="30" spans="1:6" x14ac:dyDescent="0.3">
      <c r="A30" t="s">
        <v>464</v>
      </c>
      <c r="B30" t="s">
        <v>465</v>
      </c>
      <c r="C30" s="125" t="s">
        <v>466</v>
      </c>
      <c r="D30" s="126">
        <v>119</v>
      </c>
      <c r="F30" s="125" t="s">
        <v>423</v>
      </c>
    </row>
    <row r="31" spans="1:6" x14ac:dyDescent="0.3">
      <c r="A31" t="s">
        <v>467</v>
      </c>
      <c r="B31" t="s">
        <v>465</v>
      </c>
      <c r="C31" s="125" t="s">
        <v>468</v>
      </c>
      <c r="D31" s="126">
        <v>120</v>
      </c>
      <c r="F31" s="125" t="s">
        <v>423</v>
      </c>
    </row>
    <row r="32" spans="1:6" x14ac:dyDescent="0.3">
      <c r="A32" t="s">
        <v>469</v>
      </c>
      <c r="B32" t="s">
        <v>465</v>
      </c>
      <c r="C32" s="125" t="s">
        <v>427</v>
      </c>
      <c r="D32" s="126">
        <v>150</v>
      </c>
      <c r="F32" s="125" t="s">
        <v>285</v>
      </c>
    </row>
    <row r="33" spans="1:6" x14ac:dyDescent="0.3">
      <c r="A33" t="s">
        <v>470</v>
      </c>
      <c r="B33" t="s">
        <v>465</v>
      </c>
      <c r="C33" s="125" t="s">
        <v>447</v>
      </c>
      <c r="D33" s="126">
        <v>109</v>
      </c>
      <c r="F33" s="125" t="s">
        <v>285</v>
      </c>
    </row>
    <row r="34" spans="1:6" x14ac:dyDescent="0.3">
      <c r="A34" t="s">
        <v>471</v>
      </c>
      <c r="B34" t="s">
        <v>465</v>
      </c>
      <c r="C34" s="125" t="s">
        <v>429</v>
      </c>
      <c r="D34" s="126">
        <v>70</v>
      </c>
      <c r="F34" s="125" t="s">
        <v>285</v>
      </c>
    </row>
    <row r="35" spans="1:6" x14ac:dyDescent="0.3">
      <c r="A35" t="s">
        <v>472</v>
      </c>
      <c r="B35" t="s">
        <v>465</v>
      </c>
      <c r="C35" s="125" t="s">
        <v>433</v>
      </c>
      <c r="D35" s="126">
        <v>36</v>
      </c>
      <c r="F35" s="125" t="s">
        <v>285</v>
      </c>
    </row>
    <row r="36" spans="1:6" x14ac:dyDescent="0.3">
      <c r="A36" t="s">
        <v>473</v>
      </c>
      <c r="B36" t="s">
        <v>474</v>
      </c>
      <c r="C36" t="s">
        <v>475</v>
      </c>
      <c r="D36" s="126">
        <v>26</v>
      </c>
      <c r="F36" s="125" t="s">
        <v>423</v>
      </c>
    </row>
    <row r="37" spans="1:6" x14ac:dyDescent="0.3">
      <c r="A37" t="s">
        <v>476</v>
      </c>
      <c r="B37" t="s">
        <v>477</v>
      </c>
      <c r="C37" t="s">
        <v>478</v>
      </c>
      <c r="D37" s="126">
        <v>29</v>
      </c>
      <c r="F37" s="125" t="s">
        <v>423</v>
      </c>
    </row>
    <row r="38" spans="1:6" x14ac:dyDescent="0.3">
      <c r="A38" t="s">
        <v>479</v>
      </c>
      <c r="B38" t="s">
        <v>480</v>
      </c>
      <c r="C38" t="s">
        <v>481</v>
      </c>
      <c r="D38" s="126">
        <v>562</v>
      </c>
      <c r="F38" s="125" t="s">
        <v>278</v>
      </c>
    </row>
    <row r="39" spans="1:6" x14ac:dyDescent="0.3">
      <c r="A39" t="s">
        <v>482</v>
      </c>
      <c r="B39" t="s">
        <v>480</v>
      </c>
      <c r="C39" t="s">
        <v>483</v>
      </c>
      <c r="D39" s="33">
        <v>1301</v>
      </c>
      <c r="F39" s="125" t="s">
        <v>278</v>
      </c>
    </row>
    <row r="40" spans="1:6" x14ac:dyDescent="0.3">
      <c r="A40" t="s">
        <v>484</v>
      </c>
      <c r="B40" t="s">
        <v>485</v>
      </c>
      <c r="C40" t="s">
        <v>486</v>
      </c>
      <c r="D40" s="126">
        <v>179</v>
      </c>
      <c r="F40" s="125" t="s">
        <v>278</v>
      </c>
    </row>
    <row r="41" spans="1:6" x14ac:dyDescent="0.3">
      <c r="A41" t="s">
        <v>487</v>
      </c>
      <c r="B41" t="s">
        <v>485</v>
      </c>
      <c r="C41" t="s">
        <v>488</v>
      </c>
      <c r="D41" s="126">
        <v>554</v>
      </c>
      <c r="F41" s="125" t="s">
        <v>282</v>
      </c>
    </row>
    <row r="42" spans="1:6" x14ac:dyDescent="0.3">
      <c r="A42" t="s">
        <v>489</v>
      </c>
      <c r="B42" t="s">
        <v>490</v>
      </c>
      <c r="C42" t="s">
        <v>491</v>
      </c>
      <c r="D42" s="126">
        <v>98</v>
      </c>
      <c r="F42" s="125" t="s">
        <v>285</v>
      </c>
    </row>
    <row r="43" spans="1:6" x14ac:dyDescent="0.3">
      <c r="A43" t="s">
        <v>492</v>
      </c>
      <c r="B43" t="s">
        <v>490</v>
      </c>
      <c r="C43" t="s">
        <v>493</v>
      </c>
      <c r="D43" s="33">
        <v>1672</v>
      </c>
      <c r="F43" t="s">
        <v>277</v>
      </c>
    </row>
    <row r="44" spans="1:6" x14ac:dyDescent="0.3">
      <c r="A44" t="s">
        <v>494</v>
      </c>
      <c r="B44" t="s">
        <v>490</v>
      </c>
      <c r="C44" t="s">
        <v>495</v>
      </c>
      <c r="D44" s="33">
        <v>3344</v>
      </c>
      <c r="F44" s="125" t="s">
        <v>284</v>
      </c>
    </row>
    <row r="45" spans="1:6" x14ac:dyDescent="0.3">
      <c r="A45" t="s">
        <v>496</v>
      </c>
      <c r="B45" t="s">
        <v>490</v>
      </c>
      <c r="C45" t="s">
        <v>497</v>
      </c>
      <c r="D45" s="33">
        <v>1819</v>
      </c>
      <c r="F45" s="125" t="s">
        <v>283</v>
      </c>
    </row>
    <row r="46" spans="1:6" x14ac:dyDescent="0.3">
      <c r="A46" t="s">
        <v>498</v>
      </c>
      <c r="B46" t="s">
        <v>499</v>
      </c>
      <c r="C46" t="s">
        <v>500</v>
      </c>
      <c r="D46" s="126">
        <v>202</v>
      </c>
      <c r="F46" s="125" t="s">
        <v>278</v>
      </c>
    </row>
    <row r="47" spans="1:6" x14ac:dyDescent="0.3">
      <c r="A47" t="s">
        <v>501</v>
      </c>
      <c r="B47" t="s">
        <v>502</v>
      </c>
      <c r="C47" t="s">
        <v>503</v>
      </c>
      <c r="D47" s="126">
        <v>124</v>
      </c>
      <c r="F47" s="125" t="s">
        <v>423</v>
      </c>
    </row>
    <row r="48" spans="1:6" x14ac:dyDescent="0.3">
      <c r="A48" t="s">
        <v>504</v>
      </c>
      <c r="B48" t="s">
        <v>502</v>
      </c>
      <c r="C48" t="s">
        <v>505</v>
      </c>
      <c r="D48" s="126">
        <v>119</v>
      </c>
      <c r="F48" s="125" t="s">
        <v>423</v>
      </c>
    </row>
    <row r="49" spans="1:6" x14ac:dyDescent="0.3">
      <c r="A49" t="s">
        <v>506</v>
      </c>
      <c r="B49" t="s">
        <v>502</v>
      </c>
      <c r="C49" t="s">
        <v>507</v>
      </c>
      <c r="D49" s="126">
        <v>150</v>
      </c>
      <c r="F49" s="125" t="s">
        <v>285</v>
      </c>
    </row>
    <row r="50" spans="1:6" x14ac:dyDescent="0.3">
      <c r="A50" t="s">
        <v>508</v>
      </c>
      <c r="B50" t="s">
        <v>502</v>
      </c>
      <c r="C50" t="s">
        <v>509</v>
      </c>
      <c r="D50" s="126">
        <v>11</v>
      </c>
      <c r="F50" s="125" t="s">
        <v>285</v>
      </c>
    </row>
    <row r="51" spans="1:6" x14ac:dyDescent="0.3">
      <c r="A51" t="s">
        <v>510</v>
      </c>
      <c r="B51" t="s">
        <v>502</v>
      </c>
      <c r="C51" t="s">
        <v>511</v>
      </c>
      <c r="D51" s="126">
        <v>70</v>
      </c>
      <c r="F51" s="125" t="s">
        <v>285</v>
      </c>
    </row>
    <row r="52" spans="1:6" x14ac:dyDescent="0.3">
      <c r="A52" t="s">
        <v>512</v>
      </c>
      <c r="B52" t="s">
        <v>502</v>
      </c>
      <c r="C52" t="s">
        <v>513</v>
      </c>
      <c r="D52" s="126">
        <v>37</v>
      </c>
      <c r="F52" s="125" t="s">
        <v>285</v>
      </c>
    </row>
    <row r="53" spans="1:6" x14ac:dyDescent="0.3">
      <c r="A53" t="s">
        <v>514</v>
      </c>
      <c r="B53" t="s">
        <v>502</v>
      </c>
      <c r="C53" t="s">
        <v>515</v>
      </c>
      <c r="D53" s="126">
        <v>505</v>
      </c>
      <c r="F53" s="125" t="s">
        <v>278</v>
      </c>
    </row>
    <row r="54" spans="1:6" x14ac:dyDescent="0.3">
      <c r="A54" t="s">
        <v>516</v>
      </c>
      <c r="B54" t="s">
        <v>502</v>
      </c>
      <c r="C54" t="s">
        <v>517</v>
      </c>
      <c r="D54" s="126">
        <v>437</v>
      </c>
      <c r="F54" s="125" t="s">
        <v>278</v>
      </c>
    </row>
    <row r="55" spans="1:6" x14ac:dyDescent="0.3">
      <c r="A55" t="s">
        <v>518</v>
      </c>
      <c r="B55" t="s">
        <v>502</v>
      </c>
      <c r="C55" t="s">
        <v>519</v>
      </c>
      <c r="D55" s="126">
        <v>241</v>
      </c>
      <c r="F55" s="125" t="s">
        <v>278</v>
      </c>
    </row>
    <row r="56" spans="1:6" x14ac:dyDescent="0.3">
      <c r="A56" t="s">
        <v>520</v>
      </c>
      <c r="B56" t="s">
        <v>502</v>
      </c>
      <c r="C56" t="s">
        <v>521</v>
      </c>
      <c r="D56" s="126">
        <v>572</v>
      </c>
      <c r="F56" s="125" t="s">
        <v>278</v>
      </c>
    </row>
    <row r="57" spans="1:6" x14ac:dyDescent="0.3">
      <c r="A57" t="s">
        <v>522</v>
      </c>
      <c r="B57" t="s">
        <v>502</v>
      </c>
      <c r="C57" t="s">
        <v>523</v>
      </c>
      <c r="D57" s="126">
        <v>767</v>
      </c>
      <c r="F57" s="125" t="s">
        <v>278</v>
      </c>
    </row>
    <row r="58" spans="1:6" x14ac:dyDescent="0.3">
      <c r="A58" t="s">
        <v>524</v>
      </c>
      <c r="B58" t="s">
        <v>502</v>
      </c>
      <c r="C58" t="s">
        <v>525</v>
      </c>
      <c r="D58" s="126">
        <v>717</v>
      </c>
      <c r="F58" s="125" t="s">
        <v>278</v>
      </c>
    </row>
    <row r="59" spans="1:6" x14ac:dyDescent="0.3">
      <c r="A59" t="s">
        <v>526</v>
      </c>
      <c r="B59" t="s">
        <v>502</v>
      </c>
      <c r="C59" t="s">
        <v>527</v>
      </c>
      <c r="D59" s="126">
        <v>666</v>
      </c>
      <c r="F59" s="125" t="s">
        <v>278</v>
      </c>
    </row>
    <row r="60" spans="1:6" x14ac:dyDescent="0.3">
      <c r="A60" t="s">
        <v>528</v>
      </c>
      <c r="B60" t="s">
        <v>502</v>
      </c>
      <c r="C60" t="s">
        <v>529</v>
      </c>
      <c r="D60" s="126">
        <v>610</v>
      </c>
      <c r="F60" s="125" t="s">
        <v>278</v>
      </c>
    </row>
    <row r="61" spans="1:6" x14ac:dyDescent="0.3">
      <c r="A61" t="s">
        <v>530</v>
      </c>
      <c r="B61" t="s">
        <v>502</v>
      </c>
      <c r="C61" t="s">
        <v>531</v>
      </c>
      <c r="D61" s="126">
        <v>659</v>
      </c>
      <c r="F61" s="125" t="s">
        <v>278</v>
      </c>
    </row>
    <row r="62" spans="1:6" x14ac:dyDescent="0.3">
      <c r="A62" t="s">
        <v>532</v>
      </c>
      <c r="B62" t="s">
        <v>502</v>
      </c>
      <c r="C62" t="s">
        <v>533</v>
      </c>
      <c r="D62" s="33">
        <v>5904</v>
      </c>
      <c r="F62" s="125" t="s">
        <v>280</v>
      </c>
    </row>
    <row r="63" spans="1:6" x14ac:dyDescent="0.3">
      <c r="A63" t="s">
        <v>534</v>
      </c>
      <c r="B63" t="s">
        <v>502</v>
      </c>
      <c r="C63" t="s">
        <v>535</v>
      </c>
      <c r="D63" s="33">
        <v>2118</v>
      </c>
      <c r="F63" s="125" t="s">
        <v>280</v>
      </c>
    </row>
    <row r="64" spans="1:6" x14ac:dyDescent="0.3">
      <c r="A64" t="s">
        <v>536</v>
      </c>
      <c r="B64" t="s">
        <v>502</v>
      </c>
      <c r="C64" t="s">
        <v>537</v>
      </c>
      <c r="D64" s="33">
        <v>1455</v>
      </c>
      <c r="F64" s="125" t="s">
        <v>281</v>
      </c>
    </row>
    <row r="65" spans="1:6" x14ac:dyDescent="0.3">
      <c r="A65" t="s">
        <v>538</v>
      </c>
      <c r="B65" t="s">
        <v>502</v>
      </c>
      <c r="C65" t="s">
        <v>539</v>
      </c>
      <c r="D65" s="126">
        <v>735</v>
      </c>
      <c r="F65" s="125" t="s">
        <v>281</v>
      </c>
    </row>
    <row r="66" spans="1:6" x14ac:dyDescent="0.3">
      <c r="A66" t="s">
        <v>540</v>
      </c>
      <c r="B66" t="s">
        <v>502</v>
      </c>
      <c r="C66" t="s">
        <v>541</v>
      </c>
      <c r="D66" s="33">
        <v>1831</v>
      </c>
      <c r="F66" s="125" t="s">
        <v>281</v>
      </c>
    </row>
    <row r="67" spans="1:6" x14ac:dyDescent="0.3">
      <c r="A67" t="s">
        <v>542</v>
      </c>
      <c r="B67" t="s">
        <v>502</v>
      </c>
      <c r="C67" t="s">
        <v>543</v>
      </c>
      <c r="D67" s="33">
        <v>1847</v>
      </c>
      <c r="F67" s="125" t="s">
        <v>281</v>
      </c>
    </row>
    <row r="68" spans="1:6" x14ac:dyDescent="0.3">
      <c r="A68" t="s">
        <v>544</v>
      </c>
      <c r="B68" t="s">
        <v>502</v>
      </c>
      <c r="C68" t="s">
        <v>545</v>
      </c>
      <c r="D68" s="33">
        <v>3773</v>
      </c>
      <c r="F68" s="125" t="s">
        <v>279</v>
      </c>
    </row>
    <row r="69" spans="1:6" x14ac:dyDescent="0.3">
      <c r="A69" t="s">
        <v>546</v>
      </c>
      <c r="B69" t="s">
        <v>502</v>
      </c>
      <c r="C69" t="s">
        <v>547</v>
      </c>
      <c r="D69" s="33">
        <v>3012</v>
      </c>
      <c r="F69" s="125" t="s">
        <v>279</v>
      </c>
    </row>
    <row r="70" spans="1:6" x14ac:dyDescent="0.3">
      <c r="A70" t="s">
        <v>548</v>
      </c>
      <c r="B70" t="s">
        <v>502</v>
      </c>
      <c r="C70" t="s">
        <v>549</v>
      </c>
      <c r="D70" s="126">
        <v>662</v>
      </c>
      <c r="F70" t="s">
        <v>277</v>
      </c>
    </row>
    <row r="71" spans="1:6" x14ac:dyDescent="0.3">
      <c r="A71" t="s">
        <v>550</v>
      </c>
      <c r="B71" t="s">
        <v>502</v>
      </c>
      <c r="C71" t="s">
        <v>551</v>
      </c>
      <c r="D71" s="33">
        <v>1665</v>
      </c>
      <c r="F71" t="s">
        <v>277</v>
      </c>
    </row>
    <row r="72" spans="1:6" x14ac:dyDescent="0.3">
      <c r="A72" t="s">
        <v>552</v>
      </c>
      <c r="B72" t="s">
        <v>502</v>
      </c>
      <c r="C72" t="s">
        <v>553</v>
      </c>
      <c r="D72" s="33">
        <v>6662</v>
      </c>
      <c r="F72" s="125" t="s">
        <v>284</v>
      </c>
    </row>
    <row r="73" spans="1:6" x14ac:dyDescent="0.3">
      <c r="A73" t="s">
        <v>554</v>
      </c>
      <c r="B73" t="s">
        <v>502</v>
      </c>
      <c r="C73" t="s">
        <v>555</v>
      </c>
      <c r="D73" s="126">
        <v>333</v>
      </c>
      <c r="F73" s="125" t="s">
        <v>283</v>
      </c>
    </row>
    <row r="74" spans="1:6" x14ac:dyDescent="0.3">
      <c r="A74" t="s">
        <v>556</v>
      </c>
      <c r="B74" t="s">
        <v>502</v>
      </c>
      <c r="C74" t="s">
        <v>557</v>
      </c>
      <c r="D74" s="33">
        <v>4657</v>
      </c>
      <c r="F74" s="125" t="s">
        <v>280</v>
      </c>
    </row>
    <row r="75" spans="1:6" x14ac:dyDescent="0.3">
      <c r="A75" t="s">
        <v>558</v>
      </c>
      <c r="B75" t="s">
        <v>502</v>
      </c>
      <c r="C75" t="s">
        <v>559</v>
      </c>
      <c r="D75" s="33">
        <v>3640</v>
      </c>
      <c r="F75" s="125" t="s">
        <v>282</v>
      </c>
    </row>
    <row r="76" spans="1:6" x14ac:dyDescent="0.3">
      <c r="A76" t="s">
        <v>560</v>
      </c>
      <c r="B76" t="s">
        <v>502</v>
      </c>
      <c r="C76" t="s">
        <v>561</v>
      </c>
      <c r="D76" s="126">
        <v>302</v>
      </c>
      <c r="F76" s="125" t="s">
        <v>278</v>
      </c>
    </row>
    <row r="77" spans="1:6" x14ac:dyDescent="0.3">
      <c r="A77" t="s">
        <v>562</v>
      </c>
      <c r="B77" t="s">
        <v>502</v>
      </c>
      <c r="C77" t="s">
        <v>563</v>
      </c>
      <c r="D77" s="126">
        <v>398</v>
      </c>
      <c r="F77" s="125" t="s">
        <v>278</v>
      </c>
    </row>
    <row r="78" spans="1:6" x14ac:dyDescent="0.3">
      <c r="A78" t="s">
        <v>564</v>
      </c>
      <c r="B78" t="s">
        <v>502</v>
      </c>
      <c r="C78" t="s">
        <v>565</v>
      </c>
      <c r="D78" s="33">
        <v>1065</v>
      </c>
      <c r="F78" s="125" t="s">
        <v>278</v>
      </c>
    </row>
    <row r="79" spans="1:6" x14ac:dyDescent="0.3">
      <c r="A79" t="s">
        <v>566</v>
      </c>
      <c r="B79" t="s">
        <v>502</v>
      </c>
      <c r="C79" t="s">
        <v>567</v>
      </c>
      <c r="D79" s="126">
        <v>15</v>
      </c>
      <c r="F79" s="125" t="s">
        <v>278</v>
      </c>
    </row>
    <row r="80" spans="1:6" x14ac:dyDescent="0.3">
      <c r="A80" t="s">
        <v>568</v>
      </c>
      <c r="B80" t="s">
        <v>502</v>
      </c>
      <c r="C80" t="s">
        <v>569</v>
      </c>
      <c r="D80" s="126">
        <v>36</v>
      </c>
      <c r="F80" s="125" t="s">
        <v>278</v>
      </c>
    </row>
    <row r="81" spans="1:6" x14ac:dyDescent="0.3">
      <c r="A81" t="s">
        <v>570</v>
      </c>
      <c r="B81" t="s">
        <v>502</v>
      </c>
      <c r="C81" t="s">
        <v>571</v>
      </c>
      <c r="D81" s="126">
        <v>3</v>
      </c>
      <c r="F81" s="125" t="s">
        <v>278</v>
      </c>
    </row>
    <row r="82" spans="1:6" x14ac:dyDescent="0.3">
      <c r="A82" t="s">
        <v>572</v>
      </c>
      <c r="B82" t="s">
        <v>502</v>
      </c>
      <c r="C82" t="s">
        <v>573</v>
      </c>
      <c r="D82" s="126">
        <v>242</v>
      </c>
      <c r="F82" s="125" t="s">
        <v>278</v>
      </c>
    </row>
    <row r="83" spans="1:6" x14ac:dyDescent="0.3">
      <c r="A83" t="s">
        <v>574</v>
      </c>
      <c r="B83" t="s">
        <v>502</v>
      </c>
      <c r="C83" t="s">
        <v>575</v>
      </c>
      <c r="D83" s="126">
        <v>4</v>
      </c>
      <c r="F83" s="125" t="s">
        <v>278</v>
      </c>
    </row>
    <row r="84" spans="1:6" x14ac:dyDescent="0.3">
      <c r="A84" t="s">
        <v>576</v>
      </c>
      <c r="B84" t="s">
        <v>502</v>
      </c>
      <c r="C84" t="s">
        <v>577</v>
      </c>
      <c r="D84" s="126">
        <v>7</v>
      </c>
      <c r="F84" s="125" t="s">
        <v>278</v>
      </c>
    </row>
    <row r="85" spans="1:6" x14ac:dyDescent="0.3">
      <c r="A85" t="s">
        <v>578</v>
      </c>
      <c r="B85" t="s">
        <v>502</v>
      </c>
      <c r="C85" t="s">
        <v>579</v>
      </c>
      <c r="D85" s="126">
        <v>2</v>
      </c>
      <c r="F85" s="125" t="s">
        <v>280</v>
      </c>
    </row>
    <row r="86" spans="1:6" x14ac:dyDescent="0.3">
      <c r="A86" t="s">
        <v>580</v>
      </c>
      <c r="B86" t="s">
        <v>502</v>
      </c>
      <c r="C86" t="s">
        <v>581</v>
      </c>
      <c r="D86" s="126">
        <v>11</v>
      </c>
      <c r="F86" s="125" t="s">
        <v>282</v>
      </c>
    </row>
    <row r="87" spans="1:6" x14ac:dyDescent="0.3">
      <c r="A87" t="s">
        <v>582</v>
      </c>
      <c r="B87" t="s">
        <v>502</v>
      </c>
      <c r="C87" t="s">
        <v>583</v>
      </c>
      <c r="D87" s="33">
        <v>1296</v>
      </c>
      <c r="F87" s="125" t="s">
        <v>281</v>
      </c>
    </row>
    <row r="88" spans="1:6" x14ac:dyDescent="0.3">
      <c r="A88" t="s">
        <v>584</v>
      </c>
      <c r="B88" t="s">
        <v>502</v>
      </c>
      <c r="C88" t="s">
        <v>585</v>
      </c>
      <c r="D88" s="126">
        <v>247</v>
      </c>
      <c r="F88" s="125" t="s">
        <v>281</v>
      </c>
    </row>
    <row r="89" spans="1:6" x14ac:dyDescent="0.3">
      <c r="A89" t="s">
        <v>586</v>
      </c>
      <c r="B89" t="s">
        <v>502</v>
      </c>
      <c r="C89" t="s">
        <v>587</v>
      </c>
      <c r="D89" s="126">
        <v>727</v>
      </c>
      <c r="F89" s="125" t="s">
        <v>281</v>
      </c>
    </row>
    <row r="90" spans="1:6" x14ac:dyDescent="0.3">
      <c r="A90" t="s">
        <v>588</v>
      </c>
      <c r="B90" t="s">
        <v>502</v>
      </c>
      <c r="C90" t="s">
        <v>589</v>
      </c>
      <c r="D90" s="126">
        <v>22</v>
      </c>
      <c r="F90" s="125" t="s">
        <v>281</v>
      </c>
    </row>
    <row r="91" spans="1:6" x14ac:dyDescent="0.3">
      <c r="A91" t="s">
        <v>590</v>
      </c>
      <c r="B91" t="s">
        <v>502</v>
      </c>
      <c r="C91" t="s">
        <v>591</v>
      </c>
      <c r="D91" s="33">
        <v>1514</v>
      </c>
      <c r="F91" s="125" t="s">
        <v>279</v>
      </c>
    </row>
    <row r="92" spans="1:6" x14ac:dyDescent="0.3">
      <c r="A92" t="s">
        <v>592</v>
      </c>
      <c r="B92" t="s">
        <v>502</v>
      </c>
      <c r="C92" t="s">
        <v>593</v>
      </c>
      <c r="D92" s="126">
        <v>494</v>
      </c>
      <c r="F92" t="s">
        <v>277</v>
      </c>
    </row>
    <row r="93" spans="1:6" x14ac:dyDescent="0.3">
      <c r="A93" t="s">
        <v>594</v>
      </c>
      <c r="B93" t="s">
        <v>502</v>
      </c>
      <c r="C93" t="s">
        <v>595</v>
      </c>
      <c r="D93" s="126">
        <v>646</v>
      </c>
      <c r="F93" t="s">
        <v>277</v>
      </c>
    </row>
    <row r="94" spans="1:6" x14ac:dyDescent="0.3">
      <c r="A94" t="s">
        <v>596</v>
      </c>
      <c r="B94" t="s">
        <v>502</v>
      </c>
      <c r="C94" t="s">
        <v>597</v>
      </c>
      <c r="D94" s="126">
        <v>654</v>
      </c>
      <c r="F94" t="s">
        <v>277</v>
      </c>
    </row>
    <row r="95" spans="1:6" x14ac:dyDescent="0.3">
      <c r="A95" t="s">
        <v>598</v>
      </c>
      <c r="B95" t="s">
        <v>502</v>
      </c>
      <c r="C95" t="s">
        <v>599</v>
      </c>
      <c r="D95" s="33">
        <v>8794</v>
      </c>
      <c r="F95" t="s">
        <v>277</v>
      </c>
    </row>
    <row r="96" spans="1:6" x14ac:dyDescent="0.3">
      <c r="A96" t="s">
        <v>600</v>
      </c>
      <c r="B96" t="s">
        <v>502</v>
      </c>
      <c r="C96" t="s">
        <v>601</v>
      </c>
      <c r="D96" s="126">
        <v>45</v>
      </c>
      <c r="F96" t="s">
        <v>277</v>
      </c>
    </row>
    <row r="97" spans="1:6" x14ac:dyDescent="0.3">
      <c r="A97" t="s">
        <v>602</v>
      </c>
      <c r="B97" t="s">
        <v>502</v>
      </c>
      <c r="C97" t="s">
        <v>603</v>
      </c>
      <c r="D97" s="126">
        <v>89</v>
      </c>
      <c r="F97" s="125" t="s">
        <v>284</v>
      </c>
    </row>
    <row r="98" spans="1:6" x14ac:dyDescent="0.3">
      <c r="A98" t="s">
        <v>604</v>
      </c>
      <c r="B98" t="s">
        <v>502</v>
      </c>
      <c r="C98" t="s">
        <v>605</v>
      </c>
      <c r="D98" s="126">
        <v>49</v>
      </c>
      <c r="F98" s="125" t="s">
        <v>283</v>
      </c>
    </row>
    <row r="99" spans="1:6" x14ac:dyDescent="0.3">
      <c r="A99" t="s">
        <v>606</v>
      </c>
      <c r="B99" t="s">
        <v>502</v>
      </c>
      <c r="C99" t="s">
        <v>607</v>
      </c>
      <c r="D99" s="126">
        <v>4</v>
      </c>
      <c r="F99" s="125" t="s">
        <v>283</v>
      </c>
    </row>
    <row r="100" spans="1:6" x14ac:dyDescent="0.3">
      <c r="A100" t="s">
        <v>621</v>
      </c>
      <c r="B100" t="s">
        <v>502</v>
      </c>
      <c r="C100" t="s">
        <v>626</v>
      </c>
      <c r="D100" s="126">
        <v>432</v>
      </c>
      <c r="F100" s="125" t="s">
        <v>278</v>
      </c>
    </row>
    <row r="101" spans="1:6" x14ac:dyDescent="0.3">
      <c r="A101" t="s">
        <v>622</v>
      </c>
      <c r="B101" t="s">
        <v>502</v>
      </c>
      <c r="C101" t="s">
        <v>627</v>
      </c>
      <c r="D101" s="126">
        <v>21</v>
      </c>
      <c r="F101" s="125" t="s">
        <v>278</v>
      </c>
    </row>
    <row r="102" spans="1:6" x14ac:dyDescent="0.3">
      <c r="A102" t="s">
        <v>623</v>
      </c>
      <c r="B102" t="s">
        <v>502</v>
      </c>
      <c r="C102" t="s">
        <v>628</v>
      </c>
      <c r="D102" s="126">
        <v>9</v>
      </c>
      <c r="F102" s="125" t="s">
        <v>278</v>
      </c>
    </row>
    <row r="103" spans="1:6" x14ac:dyDescent="0.3">
      <c r="A103" t="s">
        <v>624</v>
      </c>
      <c r="B103" t="s">
        <v>502</v>
      </c>
      <c r="C103" t="s">
        <v>629</v>
      </c>
      <c r="D103" s="126">
        <v>3</v>
      </c>
      <c r="F103" s="125" t="s">
        <v>278</v>
      </c>
    </row>
    <row r="104" spans="1:6" x14ac:dyDescent="0.3">
      <c r="A104" t="s">
        <v>625</v>
      </c>
      <c r="B104" t="s">
        <v>502</v>
      </c>
      <c r="C104" t="s">
        <v>630</v>
      </c>
      <c r="D104" s="126">
        <v>8</v>
      </c>
      <c r="F104" s="125" t="s">
        <v>282</v>
      </c>
    </row>
    <row r="105" spans="1:6" ht="15" thickBot="1" x14ac:dyDescent="0.35">
      <c r="A105" s="124"/>
      <c r="B105" s="124"/>
      <c r="D105" s="127">
        <f>SUM(D3:D104)</f>
        <v>84529</v>
      </c>
    </row>
    <row r="106" spans="1:6" ht="15" thickTop="1" x14ac:dyDescent="0.3">
      <c r="C106" t="s">
        <v>631</v>
      </c>
      <c r="D106" s="33">
        <v>69950</v>
      </c>
    </row>
    <row r="107" spans="1:6" x14ac:dyDescent="0.3">
      <c r="C107" t="s">
        <v>88</v>
      </c>
      <c r="D107" s="33">
        <v>14579</v>
      </c>
    </row>
    <row r="108" spans="1:6" x14ac:dyDescent="0.3">
      <c r="D108" s="33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45A8-CADA-437C-82A8-EB5FE6DC7AC0}">
  <dimension ref="A1:W77"/>
  <sheetViews>
    <sheetView workbookViewId="0">
      <selection activeCell="J6" sqref="J6"/>
    </sheetView>
  </sheetViews>
  <sheetFormatPr defaultColWidth="8.88671875" defaultRowHeight="14.4" x14ac:dyDescent="0.3"/>
  <cols>
    <col min="1" max="1" width="4.6640625" style="11" customWidth="1"/>
    <col min="2" max="2" width="21.109375" style="80" customWidth="1"/>
    <col min="3" max="3" width="10.109375" style="11" bestFit="1" customWidth="1"/>
    <col min="4" max="4" width="12" style="74" customWidth="1"/>
    <col min="5" max="9" width="12" style="60" customWidth="1"/>
    <col min="10" max="10" width="12.33203125" style="74" bestFit="1" customWidth="1"/>
    <col min="11" max="11" width="13.33203125" style="60" bestFit="1" customWidth="1"/>
    <col min="12" max="12" width="9.33203125" style="60" bestFit="1" customWidth="1"/>
    <col min="13" max="13" width="7" style="11" bestFit="1" customWidth="1"/>
    <col min="15" max="15" width="9.33203125" bestFit="1" customWidth="1"/>
  </cols>
  <sheetData>
    <row r="1" spans="1:19" x14ac:dyDescent="0.3">
      <c r="A1" s="46" t="s">
        <v>164</v>
      </c>
      <c r="B1" s="132"/>
      <c r="C1" s="133"/>
    </row>
    <row r="2" spans="1:19" x14ac:dyDescent="0.3">
      <c r="A2" s="167" t="str">
        <f>BS!A1</f>
        <v>DIAGO CO-OPERATIVE HOUSING SOCIETY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19" x14ac:dyDescent="0.3">
      <c r="A3" s="169" t="s">
        <v>320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O3" s="46" t="s">
        <v>321</v>
      </c>
      <c r="P3" s="46"/>
    </row>
    <row r="4" spans="1:19" s="77" customFormat="1" ht="28.8" x14ac:dyDescent="0.3">
      <c r="A4" s="75" t="s">
        <v>65</v>
      </c>
      <c r="B4" s="75" t="s">
        <v>7</v>
      </c>
      <c r="C4" s="75" t="s">
        <v>12</v>
      </c>
      <c r="D4" s="76" t="s">
        <v>13</v>
      </c>
      <c r="E4" s="76" t="s">
        <v>18</v>
      </c>
      <c r="F4" s="76" t="s">
        <v>188</v>
      </c>
      <c r="G4" s="76" t="s">
        <v>246</v>
      </c>
      <c r="H4" s="76" t="s">
        <v>66</v>
      </c>
      <c r="I4" s="76" t="s">
        <v>14</v>
      </c>
      <c r="J4" s="76" t="s">
        <v>9</v>
      </c>
      <c r="K4" s="76" t="s">
        <v>11</v>
      </c>
      <c r="L4" s="75" t="s">
        <v>15</v>
      </c>
      <c r="M4" s="75" t="s">
        <v>8</v>
      </c>
      <c r="N4" s="77" t="s">
        <v>366</v>
      </c>
      <c r="O4" s="77" t="s">
        <v>367</v>
      </c>
      <c r="P4" s="77" t="s">
        <v>362</v>
      </c>
      <c r="Q4" s="77" t="s">
        <v>360</v>
      </c>
      <c r="R4" s="77" t="s">
        <v>366</v>
      </c>
      <c r="S4" s="77" t="s">
        <v>368</v>
      </c>
    </row>
    <row r="5" spans="1:19" x14ac:dyDescent="0.3">
      <c r="B5" s="78" t="s">
        <v>6</v>
      </c>
    </row>
    <row r="6" spans="1:19" x14ac:dyDescent="0.3">
      <c r="A6" s="17">
        <v>1</v>
      </c>
      <c r="B6" s="79" t="s">
        <v>204</v>
      </c>
      <c r="C6" s="17" t="s">
        <v>79</v>
      </c>
      <c r="D6" s="41">
        <v>11366</v>
      </c>
      <c r="E6" s="41">
        <v>197</v>
      </c>
      <c r="F6" s="41">
        <v>625</v>
      </c>
      <c r="G6" s="41">
        <f>657-67</f>
        <v>590</v>
      </c>
      <c r="H6" s="41">
        <f>+E6+F6+G6</f>
        <v>1412</v>
      </c>
      <c r="I6" s="55">
        <f t="shared" ref="I6:I23" si="0">D6+H6</f>
        <v>12778</v>
      </c>
      <c r="J6" s="123" t="s">
        <v>179</v>
      </c>
      <c r="K6" s="53">
        <v>13311</v>
      </c>
      <c r="L6" s="54">
        <v>5.2999999999999999E-2</v>
      </c>
      <c r="M6" s="17" t="s">
        <v>87</v>
      </c>
      <c r="N6">
        <f>O6-P6</f>
        <v>416</v>
      </c>
      <c r="O6">
        <v>462</v>
      </c>
      <c r="P6">
        <v>46</v>
      </c>
      <c r="Q6">
        <v>13194</v>
      </c>
      <c r="R6" s="21">
        <f>H6</f>
        <v>1412</v>
      </c>
      <c r="S6">
        <v>109299</v>
      </c>
    </row>
    <row r="7" spans="1:19" x14ac:dyDescent="0.3">
      <c r="A7" s="17">
        <v>2</v>
      </c>
      <c r="B7" s="79" t="s">
        <v>262</v>
      </c>
      <c r="C7" s="17" t="s">
        <v>85</v>
      </c>
      <c r="D7" s="41">
        <v>6537</v>
      </c>
      <c r="E7" s="41">
        <v>0</v>
      </c>
      <c r="F7" s="41">
        <v>0</v>
      </c>
      <c r="G7" s="41">
        <f>32-3</f>
        <v>29</v>
      </c>
      <c r="H7" s="41">
        <f t="shared" ref="H7:H23" si="1">+E7+F7+G7</f>
        <v>29</v>
      </c>
      <c r="I7" s="55">
        <f t="shared" si="0"/>
        <v>6566</v>
      </c>
      <c r="J7" s="52" t="s">
        <v>300</v>
      </c>
      <c r="K7" s="53">
        <v>7173</v>
      </c>
      <c r="L7" s="54">
        <v>7.4999999999999997E-2</v>
      </c>
      <c r="M7" s="17" t="s">
        <v>87</v>
      </c>
      <c r="N7">
        <f t="shared" ref="N7:N23" si="2">O7-P7</f>
        <v>454</v>
      </c>
      <c r="O7" s="46">
        <v>505</v>
      </c>
      <c r="P7" s="46">
        <v>51</v>
      </c>
    </row>
    <row r="8" spans="1:19" x14ac:dyDescent="0.3">
      <c r="A8" s="17">
        <v>3</v>
      </c>
      <c r="B8" s="79" t="s">
        <v>261</v>
      </c>
      <c r="C8" s="17" t="s">
        <v>86</v>
      </c>
      <c r="D8" s="41">
        <v>5671</v>
      </c>
      <c r="E8" s="41">
        <v>0</v>
      </c>
      <c r="F8" s="41">
        <v>0</v>
      </c>
      <c r="G8" s="41">
        <f>14-2</f>
        <v>12</v>
      </c>
      <c r="H8" s="41">
        <f t="shared" si="1"/>
        <v>12</v>
      </c>
      <c r="I8" s="55">
        <f t="shared" si="0"/>
        <v>5683</v>
      </c>
      <c r="J8" s="52" t="s">
        <v>288</v>
      </c>
      <c r="K8" s="53">
        <v>6223</v>
      </c>
      <c r="L8" s="54">
        <v>7.4999999999999997E-2</v>
      </c>
      <c r="M8" s="17" t="s">
        <v>87</v>
      </c>
      <c r="N8">
        <f t="shared" si="2"/>
        <v>393</v>
      </c>
      <c r="O8" s="46">
        <v>437</v>
      </c>
      <c r="P8" s="46">
        <v>44</v>
      </c>
    </row>
    <row r="9" spans="1:19" x14ac:dyDescent="0.3">
      <c r="A9" s="17">
        <v>4</v>
      </c>
      <c r="B9" s="79" t="s">
        <v>81</v>
      </c>
      <c r="C9" s="17" t="s">
        <v>80</v>
      </c>
      <c r="D9" s="41">
        <v>6328</v>
      </c>
      <c r="E9" s="41">
        <v>280</v>
      </c>
      <c r="F9" s="41">
        <v>357</v>
      </c>
      <c r="G9" s="41">
        <f>376-38</f>
        <v>338</v>
      </c>
      <c r="H9" s="41">
        <f t="shared" si="1"/>
        <v>975</v>
      </c>
      <c r="I9" s="55">
        <f t="shared" si="0"/>
        <v>7303</v>
      </c>
      <c r="J9" s="123" t="s">
        <v>185</v>
      </c>
      <c r="K9" s="53">
        <v>7411</v>
      </c>
      <c r="L9" s="54">
        <v>5.2999999999999999E-2</v>
      </c>
      <c r="M9" s="17" t="s">
        <v>87</v>
      </c>
      <c r="N9">
        <f t="shared" si="2"/>
        <v>63</v>
      </c>
      <c r="O9" s="46">
        <v>69</v>
      </c>
      <c r="P9" s="46">
        <v>6</v>
      </c>
      <c r="Q9">
        <v>7366</v>
      </c>
      <c r="R9" s="21">
        <f t="shared" ref="R9:R14" si="3">H9</f>
        <v>975</v>
      </c>
      <c r="S9">
        <v>109300</v>
      </c>
    </row>
    <row r="10" spans="1:19" x14ac:dyDescent="0.3">
      <c r="A10" s="17">
        <v>5</v>
      </c>
      <c r="B10" s="79" t="s">
        <v>197</v>
      </c>
      <c r="C10" s="17" t="s">
        <v>83</v>
      </c>
      <c r="D10" s="41">
        <v>6257</v>
      </c>
      <c r="E10" s="41">
        <v>259</v>
      </c>
      <c r="F10" s="41">
        <v>352</v>
      </c>
      <c r="G10" s="41">
        <f>370-36</f>
        <v>334</v>
      </c>
      <c r="H10" s="41">
        <f t="shared" si="1"/>
        <v>945</v>
      </c>
      <c r="I10" s="55">
        <f t="shared" si="0"/>
        <v>7202</v>
      </c>
      <c r="J10" s="123" t="s">
        <v>183</v>
      </c>
      <c r="K10" s="53">
        <v>7328</v>
      </c>
      <c r="L10" s="54">
        <v>5.2999999999999999E-2</v>
      </c>
      <c r="M10" s="17" t="s">
        <v>87</v>
      </c>
      <c r="N10">
        <f t="shared" si="2"/>
        <v>79</v>
      </c>
      <c r="O10" s="46">
        <v>88</v>
      </c>
      <c r="P10" s="46">
        <v>9</v>
      </c>
      <c r="Q10">
        <v>7281</v>
      </c>
      <c r="R10" s="21">
        <f t="shared" si="3"/>
        <v>945</v>
      </c>
      <c r="S10">
        <v>109301</v>
      </c>
    </row>
    <row r="11" spans="1:19" x14ac:dyDescent="0.3">
      <c r="A11" s="17">
        <v>6</v>
      </c>
      <c r="B11" s="79" t="s">
        <v>196</v>
      </c>
      <c r="C11" s="17" t="s">
        <v>82</v>
      </c>
      <c r="D11" s="41">
        <v>16557</v>
      </c>
      <c r="E11" s="41">
        <v>691</v>
      </c>
      <c r="F11" s="41">
        <v>933</v>
      </c>
      <c r="G11" s="41">
        <f>981-98</f>
        <v>883</v>
      </c>
      <c r="H11" s="41">
        <f t="shared" si="1"/>
        <v>2507</v>
      </c>
      <c r="I11" s="55">
        <f t="shared" si="0"/>
        <v>19064</v>
      </c>
      <c r="J11" s="123" t="s">
        <v>184</v>
      </c>
      <c r="K11" s="53">
        <v>19390</v>
      </c>
      <c r="L11" s="54">
        <v>5.2999999999999999E-2</v>
      </c>
      <c r="M11" s="17" t="s">
        <v>87</v>
      </c>
      <c r="N11">
        <f t="shared" si="2"/>
        <v>202</v>
      </c>
      <c r="O11" s="46">
        <v>225</v>
      </c>
      <c r="P11" s="46">
        <v>23</v>
      </c>
      <c r="Q11">
        <v>19266</v>
      </c>
      <c r="R11" s="21">
        <f t="shared" si="3"/>
        <v>2507</v>
      </c>
      <c r="S11">
        <v>109302</v>
      </c>
    </row>
    <row r="12" spans="1:19" x14ac:dyDescent="0.3">
      <c r="A12" s="17">
        <v>7</v>
      </c>
      <c r="B12" s="79" t="s">
        <v>194</v>
      </c>
      <c r="C12" s="17" t="s">
        <v>76</v>
      </c>
      <c r="D12" s="41">
        <v>9901</v>
      </c>
      <c r="E12" s="41">
        <v>25</v>
      </c>
      <c r="F12" s="41">
        <v>537</v>
      </c>
      <c r="G12" s="41">
        <f>565-56</f>
        <v>509</v>
      </c>
      <c r="H12" s="41">
        <f t="shared" si="1"/>
        <v>1071</v>
      </c>
      <c r="I12" s="55">
        <f t="shared" si="0"/>
        <v>10972</v>
      </c>
      <c r="J12" s="123" t="s">
        <v>175</v>
      </c>
      <c r="K12" s="53">
        <v>11595</v>
      </c>
      <c r="L12" s="54">
        <v>5.2999999999999999E-2</v>
      </c>
      <c r="M12" s="17" t="s">
        <v>87</v>
      </c>
      <c r="N12">
        <f t="shared" si="2"/>
        <v>506</v>
      </c>
      <c r="O12">
        <v>562</v>
      </c>
      <c r="P12">
        <v>56</v>
      </c>
      <c r="Q12">
        <v>11478</v>
      </c>
      <c r="R12" s="21">
        <f t="shared" si="3"/>
        <v>1071</v>
      </c>
      <c r="S12">
        <v>109303</v>
      </c>
    </row>
    <row r="13" spans="1:19" x14ac:dyDescent="0.3">
      <c r="A13" s="17">
        <v>8</v>
      </c>
      <c r="B13" s="79" t="s">
        <v>201</v>
      </c>
      <c r="C13" s="17" t="s">
        <v>76</v>
      </c>
      <c r="D13" s="41">
        <v>22910</v>
      </c>
      <c r="E13" s="41">
        <v>59</v>
      </c>
      <c r="F13" s="41">
        <v>1242</v>
      </c>
      <c r="G13" s="41">
        <f>1306-130</f>
        <v>1176</v>
      </c>
      <c r="H13" s="41">
        <f t="shared" si="1"/>
        <v>2477</v>
      </c>
      <c r="I13" s="55">
        <f t="shared" si="0"/>
        <v>25387</v>
      </c>
      <c r="J13" s="123" t="s">
        <v>175</v>
      </c>
      <c r="K13" s="53">
        <v>26830</v>
      </c>
      <c r="L13" s="54">
        <v>5.2999999999999999E-2</v>
      </c>
      <c r="M13" s="17" t="s">
        <v>87</v>
      </c>
      <c r="N13">
        <f t="shared" si="2"/>
        <v>1171</v>
      </c>
      <c r="O13">
        <v>1301</v>
      </c>
      <c r="P13">
        <v>130</v>
      </c>
      <c r="Q13">
        <v>26558</v>
      </c>
      <c r="R13" s="21">
        <f t="shared" si="3"/>
        <v>2477</v>
      </c>
      <c r="S13">
        <v>109304</v>
      </c>
    </row>
    <row r="14" spans="1:19" x14ac:dyDescent="0.3">
      <c r="A14" s="17">
        <v>9</v>
      </c>
      <c r="B14" s="79" t="s">
        <v>193</v>
      </c>
      <c r="C14" s="17" t="s">
        <v>77</v>
      </c>
      <c r="D14" s="41">
        <v>3121</v>
      </c>
      <c r="E14" s="41">
        <v>2</v>
      </c>
      <c r="F14" s="41">
        <v>183</v>
      </c>
      <c r="G14" s="41">
        <f>194-19</f>
        <v>175</v>
      </c>
      <c r="H14" s="41">
        <f t="shared" si="1"/>
        <v>360</v>
      </c>
      <c r="I14" s="55">
        <f t="shared" si="0"/>
        <v>3481</v>
      </c>
      <c r="J14" s="123" t="s">
        <v>174</v>
      </c>
      <c r="K14" s="53">
        <v>3704</v>
      </c>
      <c r="L14" s="54">
        <v>5.7500000000000002E-2</v>
      </c>
      <c r="M14" s="17" t="s">
        <v>87</v>
      </c>
      <c r="N14">
        <f t="shared" si="2"/>
        <v>182</v>
      </c>
      <c r="O14">
        <v>202</v>
      </c>
      <c r="P14">
        <v>20</v>
      </c>
      <c r="Q14">
        <v>3663</v>
      </c>
      <c r="R14" s="21">
        <f t="shared" si="3"/>
        <v>360</v>
      </c>
      <c r="S14">
        <v>109305</v>
      </c>
    </row>
    <row r="15" spans="1:19" x14ac:dyDescent="0.3">
      <c r="A15" s="17">
        <v>10</v>
      </c>
      <c r="B15" s="79" t="s">
        <v>190</v>
      </c>
      <c r="C15" s="17" t="s">
        <v>229</v>
      </c>
      <c r="D15" s="41">
        <v>3150</v>
      </c>
      <c r="E15" s="41">
        <v>0</v>
      </c>
      <c r="F15" s="41">
        <v>6</v>
      </c>
      <c r="G15" s="41">
        <f>226-22</f>
        <v>204</v>
      </c>
      <c r="H15" s="41">
        <f t="shared" si="1"/>
        <v>210</v>
      </c>
      <c r="I15" s="55">
        <f t="shared" si="0"/>
        <v>3360</v>
      </c>
      <c r="J15" s="52" t="s">
        <v>232</v>
      </c>
      <c r="K15" s="53">
        <v>3879</v>
      </c>
      <c r="L15" s="54">
        <v>7.0000000000000007E-2</v>
      </c>
      <c r="M15" s="17" t="s">
        <v>87</v>
      </c>
      <c r="N15">
        <f t="shared" si="2"/>
        <v>217</v>
      </c>
      <c r="O15" s="46">
        <v>241</v>
      </c>
      <c r="P15" s="46">
        <v>24</v>
      </c>
    </row>
    <row r="16" spans="1:19" x14ac:dyDescent="0.3">
      <c r="A16" s="17">
        <v>11</v>
      </c>
      <c r="B16" s="79" t="s">
        <v>200</v>
      </c>
      <c r="C16" s="17" t="s">
        <v>78</v>
      </c>
      <c r="D16" s="41">
        <v>5217</v>
      </c>
      <c r="E16" s="41">
        <v>157</v>
      </c>
      <c r="F16" s="41">
        <v>291</v>
      </c>
      <c r="G16" s="41">
        <f>306-31</f>
        <v>275</v>
      </c>
      <c r="H16" s="41">
        <f t="shared" si="1"/>
        <v>723</v>
      </c>
      <c r="I16" s="55">
        <f t="shared" si="0"/>
        <v>5940</v>
      </c>
      <c r="J16" s="123" t="s">
        <v>182</v>
      </c>
      <c r="K16" s="53">
        <v>6110</v>
      </c>
      <c r="L16" s="54">
        <v>5.2999999999999999E-2</v>
      </c>
      <c r="M16" s="17" t="s">
        <v>87</v>
      </c>
      <c r="N16">
        <f t="shared" si="2"/>
        <v>123</v>
      </c>
      <c r="O16" s="46">
        <v>137</v>
      </c>
      <c r="P16" s="46">
        <v>14</v>
      </c>
      <c r="Q16">
        <v>6063</v>
      </c>
      <c r="R16" s="21">
        <f>H16</f>
        <v>723</v>
      </c>
      <c r="S16">
        <v>109306</v>
      </c>
    </row>
    <row r="17" spans="1:22" x14ac:dyDescent="0.3">
      <c r="A17" s="17">
        <v>12</v>
      </c>
      <c r="B17" s="79" t="s">
        <v>264</v>
      </c>
      <c r="C17" s="17" t="s">
        <v>181</v>
      </c>
      <c r="D17" s="41">
        <v>7437</v>
      </c>
      <c r="E17" s="41">
        <v>0</v>
      </c>
      <c r="F17" s="41">
        <v>0</v>
      </c>
      <c r="G17" s="41">
        <f>293-30</f>
        <v>263</v>
      </c>
      <c r="H17" s="41">
        <f t="shared" si="1"/>
        <v>263</v>
      </c>
      <c r="I17" s="55">
        <f t="shared" si="0"/>
        <v>7700</v>
      </c>
      <c r="J17" s="52" t="s">
        <v>296</v>
      </c>
      <c r="K17" s="53">
        <v>8586</v>
      </c>
      <c r="L17" s="54">
        <v>7.2499999999999995E-2</v>
      </c>
      <c r="M17" s="17" t="s">
        <v>87</v>
      </c>
      <c r="N17">
        <f t="shared" si="2"/>
        <v>515</v>
      </c>
      <c r="O17" s="46">
        <v>572</v>
      </c>
      <c r="P17" s="46">
        <v>57</v>
      </c>
    </row>
    <row r="18" spans="1:22" x14ac:dyDescent="0.3">
      <c r="A18" s="17">
        <v>13</v>
      </c>
      <c r="B18" s="79" t="s">
        <v>210</v>
      </c>
      <c r="C18" s="17" t="s">
        <v>84</v>
      </c>
      <c r="D18" s="41">
        <v>2847</v>
      </c>
      <c r="E18" s="41">
        <v>7</v>
      </c>
      <c r="F18" s="41">
        <v>167</v>
      </c>
      <c r="G18" s="41">
        <f>177-18</f>
        <v>159</v>
      </c>
      <c r="H18" s="41">
        <f t="shared" si="1"/>
        <v>333</v>
      </c>
      <c r="I18" s="55">
        <f t="shared" si="0"/>
        <v>3180</v>
      </c>
      <c r="J18" s="123" t="s">
        <v>172</v>
      </c>
      <c r="K18" s="53">
        <v>3379</v>
      </c>
      <c r="L18" s="54">
        <v>5.7500000000000002E-2</v>
      </c>
      <c r="M18" s="17" t="s">
        <v>87</v>
      </c>
      <c r="N18">
        <f t="shared" si="2"/>
        <v>162</v>
      </c>
      <c r="O18">
        <v>179</v>
      </c>
      <c r="P18">
        <v>17</v>
      </c>
      <c r="Q18">
        <v>3342</v>
      </c>
      <c r="R18" s="21">
        <f>H18</f>
        <v>333</v>
      </c>
      <c r="S18">
        <v>109307</v>
      </c>
    </row>
    <row r="19" spans="1:22" x14ac:dyDescent="0.3">
      <c r="A19" s="17">
        <v>14</v>
      </c>
      <c r="B19" s="79" t="s">
        <v>189</v>
      </c>
      <c r="C19" s="17" t="s">
        <v>178</v>
      </c>
      <c r="D19" s="41">
        <v>10031</v>
      </c>
      <c r="E19" s="41">
        <v>0</v>
      </c>
      <c r="F19" s="41">
        <v>17</v>
      </c>
      <c r="G19" s="41">
        <f>720-74</f>
        <v>646</v>
      </c>
      <c r="H19" s="41">
        <f t="shared" si="1"/>
        <v>663</v>
      </c>
      <c r="I19" s="55">
        <f t="shared" si="0"/>
        <v>10694</v>
      </c>
      <c r="J19" s="52" t="s">
        <v>226</v>
      </c>
      <c r="K19" s="53">
        <v>12353</v>
      </c>
      <c r="L19" s="54">
        <v>7.0000000000000007E-2</v>
      </c>
      <c r="M19" s="17" t="s">
        <v>87</v>
      </c>
      <c r="N19">
        <f t="shared" si="2"/>
        <v>690</v>
      </c>
      <c r="O19" s="46">
        <v>767</v>
      </c>
      <c r="P19" s="46">
        <v>77</v>
      </c>
    </row>
    <row r="20" spans="1:22" x14ac:dyDescent="0.3">
      <c r="A20" s="17">
        <v>15</v>
      </c>
      <c r="B20" s="79" t="s">
        <v>260</v>
      </c>
      <c r="C20" s="17" t="s">
        <v>86</v>
      </c>
      <c r="D20" s="41">
        <v>9301</v>
      </c>
      <c r="E20" s="41">
        <v>0</v>
      </c>
      <c r="F20" s="41">
        <v>0</v>
      </c>
      <c r="G20" s="41">
        <f>23-2</f>
        <v>21</v>
      </c>
      <c r="H20" s="41">
        <f t="shared" si="1"/>
        <v>21</v>
      </c>
      <c r="I20" s="55">
        <f t="shared" si="0"/>
        <v>9322</v>
      </c>
      <c r="J20" s="52" t="s">
        <v>288</v>
      </c>
      <c r="K20" s="53">
        <v>10206</v>
      </c>
      <c r="L20" s="54">
        <v>7.4999999999999997E-2</v>
      </c>
      <c r="M20" s="17" t="s">
        <v>87</v>
      </c>
      <c r="N20">
        <f t="shared" si="2"/>
        <v>644</v>
      </c>
      <c r="O20" s="46">
        <v>717</v>
      </c>
      <c r="P20" s="46">
        <v>73</v>
      </c>
    </row>
    <row r="21" spans="1:22" x14ac:dyDescent="0.3">
      <c r="A21" s="17">
        <v>16</v>
      </c>
      <c r="B21" s="79" t="s">
        <v>269</v>
      </c>
      <c r="C21" s="17" t="s">
        <v>292</v>
      </c>
      <c r="D21" s="41">
        <v>8435</v>
      </c>
      <c r="E21" s="41">
        <v>0</v>
      </c>
      <c r="F21" s="41">
        <v>0</v>
      </c>
      <c r="G21" s="41">
        <f>578-58</f>
        <v>520</v>
      </c>
      <c r="H21" s="41">
        <f t="shared" si="1"/>
        <v>520</v>
      </c>
      <c r="I21" s="55">
        <f t="shared" si="0"/>
        <v>8955</v>
      </c>
      <c r="J21" s="52" t="s">
        <v>293</v>
      </c>
      <c r="K21" s="53">
        <v>9739</v>
      </c>
      <c r="L21" s="54">
        <v>7.2499999999999995E-2</v>
      </c>
      <c r="M21" s="17" t="s">
        <v>87</v>
      </c>
      <c r="N21">
        <f t="shared" si="2"/>
        <v>601</v>
      </c>
      <c r="O21" s="46">
        <v>666</v>
      </c>
      <c r="P21" s="46">
        <v>65</v>
      </c>
    </row>
    <row r="22" spans="1:22" x14ac:dyDescent="0.3">
      <c r="A22" s="17">
        <v>17</v>
      </c>
      <c r="B22" s="79" t="s">
        <v>211</v>
      </c>
      <c r="C22" s="17" t="s">
        <v>178</v>
      </c>
      <c r="D22" s="41">
        <v>7984</v>
      </c>
      <c r="E22" s="41">
        <v>0</v>
      </c>
      <c r="F22" s="41">
        <v>14</v>
      </c>
      <c r="G22" s="41">
        <f>573-57</f>
        <v>516</v>
      </c>
      <c r="H22" s="41">
        <f t="shared" si="1"/>
        <v>530</v>
      </c>
      <c r="I22" s="55">
        <f t="shared" si="0"/>
        <v>8514</v>
      </c>
      <c r="J22" s="52" t="s">
        <v>226</v>
      </c>
      <c r="K22" s="53">
        <v>9832</v>
      </c>
      <c r="L22" s="54">
        <v>7.0000000000000007E-2</v>
      </c>
      <c r="M22" s="17" t="s">
        <v>87</v>
      </c>
      <c r="N22">
        <f t="shared" si="2"/>
        <v>549</v>
      </c>
      <c r="O22" s="46">
        <v>610</v>
      </c>
      <c r="P22" s="46">
        <v>61</v>
      </c>
    </row>
    <row r="23" spans="1:22" x14ac:dyDescent="0.3">
      <c r="A23" s="17">
        <v>18</v>
      </c>
      <c r="B23" s="79" t="s">
        <v>265</v>
      </c>
      <c r="C23" s="17" t="s">
        <v>289</v>
      </c>
      <c r="D23" s="41">
        <v>8541</v>
      </c>
      <c r="E23" s="41"/>
      <c r="F23" s="41"/>
      <c r="G23" s="41">
        <f>22-3</f>
        <v>19</v>
      </c>
      <c r="H23" s="41">
        <f t="shared" si="1"/>
        <v>19</v>
      </c>
      <c r="I23" s="55">
        <f t="shared" si="0"/>
        <v>8560</v>
      </c>
      <c r="J23" s="52" t="s">
        <v>290</v>
      </c>
      <c r="K23" s="53">
        <v>9372</v>
      </c>
      <c r="L23" s="54">
        <v>7.4999999999999997E-2</v>
      </c>
      <c r="M23" s="17" t="s">
        <v>87</v>
      </c>
      <c r="N23">
        <f t="shared" si="2"/>
        <v>593</v>
      </c>
      <c r="O23" s="46">
        <v>659</v>
      </c>
      <c r="P23" s="46">
        <v>66</v>
      </c>
    </row>
    <row r="24" spans="1:22" x14ac:dyDescent="0.3">
      <c r="D24" s="81">
        <f>SUM(D6:D23)</f>
        <v>151591</v>
      </c>
      <c r="E24" s="81">
        <f t="shared" ref="E24:H24" si="4">SUM(E6:E23)</f>
        <v>1677</v>
      </c>
      <c r="F24" s="81">
        <f t="shared" si="4"/>
        <v>4724</v>
      </c>
      <c r="G24" s="81">
        <f t="shared" si="4"/>
        <v>6669</v>
      </c>
      <c r="H24" s="81">
        <f t="shared" si="4"/>
        <v>13070</v>
      </c>
      <c r="I24" s="81">
        <f>SUM(I6:I23)</f>
        <v>164661</v>
      </c>
      <c r="J24" s="82"/>
      <c r="K24" s="81">
        <f>SUM(K6:K23)</f>
        <v>176421</v>
      </c>
      <c r="O24" s="83"/>
    </row>
    <row r="25" spans="1:22" x14ac:dyDescent="0.3">
      <c r="B25" s="78" t="s">
        <v>67</v>
      </c>
    </row>
    <row r="26" spans="1:22" x14ac:dyDescent="0.3">
      <c r="A26" s="17">
        <v>19</v>
      </c>
      <c r="B26" s="84" t="s">
        <v>247</v>
      </c>
      <c r="C26" s="17" t="s">
        <v>219</v>
      </c>
      <c r="D26" s="52">
        <v>60918</v>
      </c>
      <c r="E26" s="53">
        <v>0</v>
      </c>
      <c r="F26" s="53">
        <v>0</v>
      </c>
      <c r="G26" s="53">
        <v>717</v>
      </c>
      <c r="H26" s="41">
        <f t="shared" ref="H26:H28" si="5">+E26+F26+G26</f>
        <v>717</v>
      </c>
      <c r="I26" s="41">
        <f>D26+H26</f>
        <v>61635</v>
      </c>
      <c r="J26" s="52" t="s">
        <v>248</v>
      </c>
      <c r="K26" s="53">
        <v>66724</v>
      </c>
      <c r="L26" s="54">
        <v>7.2499999999999995E-2</v>
      </c>
      <c r="M26" s="17" t="s">
        <v>88</v>
      </c>
    </row>
    <row r="27" spans="1:22" x14ac:dyDescent="0.3">
      <c r="A27" s="17">
        <v>20</v>
      </c>
      <c r="B27" s="84" t="s">
        <v>256</v>
      </c>
      <c r="C27" s="17" t="s">
        <v>294</v>
      </c>
      <c r="D27" s="52">
        <v>75000</v>
      </c>
      <c r="E27" s="53">
        <v>0</v>
      </c>
      <c r="F27" s="53">
        <v>0</v>
      </c>
      <c r="G27" s="53">
        <f>4974-498</f>
        <v>4476</v>
      </c>
      <c r="H27" s="41">
        <f t="shared" si="5"/>
        <v>4476</v>
      </c>
      <c r="I27" s="41">
        <f>D27+H27</f>
        <v>79476</v>
      </c>
      <c r="J27" s="52" t="s">
        <v>295</v>
      </c>
      <c r="K27" s="53">
        <v>86590</v>
      </c>
      <c r="L27" s="54">
        <v>7.2499999999999995E-2</v>
      </c>
      <c r="M27" s="17" t="s">
        <v>87</v>
      </c>
      <c r="N27">
        <f t="shared" ref="N27:N28" si="6">O27-P27</f>
        <v>5314</v>
      </c>
      <c r="O27" s="46">
        <v>5904</v>
      </c>
      <c r="P27" s="46">
        <v>590</v>
      </c>
    </row>
    <row r="28" spans="1:22" x14ac:dyDescent="0.3">
      <c r="A28" s="17">
        <v>21</v>
      </c>
      <c r="B28" s="84" t="s">
        <v>266</v>
      </c>
      <c r="C28" s="17" t="s">
        <v>289</v>
      </c>
      <c r="D28" s="52">
        <v>27466</v>
      </c>
      <c r="E28" s="53">
        <v>0</v>
      </c>
      <c r="F28" s="53">
        <v>0</v>
      </c>
      <c r="G28" s="53">
        <f>72-7</f>
        <v>65</v>
      </c>
      <c r="H28" s="41">
        <f t="shared" si="5"/>
        <v>65</v>
      </c>
      <c r="I28" s="41">
        <f>D28+H28</f>
        <v>27531</v>
      </c>
      <c r="J28" s="52" t="s">
        <v>290</v>
      </c>
      <c r="K28" s="53">
        <v>30139</v>
      </c>
      <c r="L28" s="54">
        <v>7.4999999999999997E-2</v>
      </c>
      <c r="M28" s="17" t="s">
        <v>87</v>
      </c>
      <c r="N28">
        <f t="shared" si="6"/>
        <v>1906</v>
      </c>
      <c r="O28" s="46">
        <v>2118</v>
      </c>
      <c r="P28" s="46">
        <v>212</v>
      </c>
    </row>
    <row r="29" spans="1:22" x14ac:dyDescent="0.3">
      <c r="D29" s="85">
        <f>SUM(D26:D28)</f>
        <v>163384</v>
      </c>
      <c r="E29" s="85">
        <f t="shared" ref="E29:K29" si="7">SUM(E26:E28)</f>
        <v>0</v>
      </c>
      <c r="F29" s="85">
        <f t="shared" si="7"/>
        <v>0</v>
      </c>
      <c r="G29" s="85">
        <f t="shared" si="7"/>
        <v>5258</v>
      </c>
      <c r="H29" s="85">
        <f t="shared" si="7"/>
        <v>5258</v>
      </c>
      <c r="I29" s="85">
        <f t="shared" si="7"/>
        <v>168642</v>
      </c>
      <c r="J29" s="82"/>
      <c r="K29" s="85">
        <f t="shared" si="7"/>
        <v>183453</v>
      </c>
    </row>
    <row r="30" spans="1:22" x14ac:dyDescent="0.3">
      <c r="B30" s="78" t="s">
        <v>68</v>
      </c>
    </row>
    <row r="31" spans="1:22" x14ac:dyDescent="0.3">
      <c r="A31" s="17">
        <v>22</v>
      </c>
      <c r="B31" s="79" t="s">
        <v>209</v>
      </c>
      <c r="C31" s="17" t="s">
        <v>75</v>
      </c>
      <c r="D31" s="52">
        <v>8831</v>
      </c>
      <c r="E31" s="53">
        <v>20</v>
      </c>
      <c r="F31" s="53">
        <v>521</v>
      </c>
      <c r="G31" s="53">
        <f>549-55</f>
        <v>494</v>
      </c>
      <c r="H31" s="41">
        <f t="shared" ref="H31:H32" si="8">+E31+F31+G31</f>
        <v>1035</v>
      </c>
      <c r="I31" s="41">
        <f>D31+H31</f>
        <v>9866</v>
      </c>
      <c r="J31" s="123" t="s">
        <v>172</v>
      </c>
      <c r="K31" s="53">
        <v>10481</v>
      </c>
      <c r="L31" s="54">
        <v>5.7500000000000002E-2</v>
      </c>
      <c r="M31" s="17" t="s">
        <v>87</v>
      </c>
      <c r="N31">
        <f t="shared" ref="N31" si="9">O31-P31</f>
        <v>498</v>
      </c>
      <c r="O31">
        <v>554</v>
      </c>
      <c r="P31">
        <v>56</v>
      </c>
      <c r="Q31">
        <v>10364</v>
      </c>
      <c r="R31" s="21">
        <f>H31</f>
        <v>1035</v>
      </c>
      <c r="S31">
        <v>109308</v>
      </c>
      <c r="T31" t="s">
        <v>360</v>
      </c>
      <c r="U31" t="s">
        <v>361</v>
      </c>
      <c r="V31">
        <f>W36-V32</f>
        <v>37901</v>
      </c>
    </row>
    <row r="32" spans="1:22" x14ac:dyDescent="0.3">
      <c r="A32" s="17">
        <v>23</v>
      </c>
      <c r="B32" s="84" t="s">
        <v>244</v>
      </c>
      <c r="C32" s="17" t="s">
        <v>220</v>
      </c>
      <c r="D32" s="52">
        <v>127135</v>
      </c>
      <c r="E32" s="53">
        <v>0</v>
      </c>
      <c r="F32" s="53">
        <v>0</v>
      </c>
      <c r="G32" s="53">
        <v>3189</v>
      </c>
      <c r="H32" s="41">
        <f t="shared" si="8"/>
        <v>3189</v>
      </c>
      <c r="I32" s="41">
        <f>D32+H32</f>
        <v>130324</v>
      </c>
      <c r="J32" s="123" t="s">
        <v>245</v>
      </c>
      <c r="K32" s="53">
        <v>136606</v>
      </c>
      <c r="L32" s="54">
        <v>7.2499999999999995E-2</v>
      </c>
      <c r="M32" s="17" t="s">
        <v>88</v>
      </c>
      <c r="O32">
        <v>6282</v>
      </c>
      <c r="Q32">
        <v>136606</v>
      </c>
      <c r="R32" s="21">
        <f>H32</f>
        <v>3189</v>
      </c>
      <c r="S32">
        <v>109322</v>
      </c>
      <c r="T32" t="s">
        <v>362</v>
      </c>
      <c r="U32" t="s">
        <v>361</v>
      </c>
      <c r="V32">
        <v>86</v>
      </c>
    </row>
    <row r="33" spans="1:23" x14ac:dyDescent="0.3">
      <c r="D33" s="86">
        <f>SUM(D31:D32)</f>
        <v>135966</v>
      </c>
      <c r="E33" s="86">
        <f t="shared" ref="E33:K33" si="10">SUM(E31:E32)</f>
        <v>20</v>
      </c>
      <c r="F33" s="86">
        <f t="shared" si="10"/>
        <v>521</v>
      </c>
      <c r="G33" s="86">
        <f t="shared" si="10"/>
        <v>3683</v>
      </c>
      <c r="H33" s="86">
        <f t="shared" si="10"/>
        <v>4224</v>
      </c>
      <c r="I33" s="86">
        <f t="shared" si="10"/>
        <v>140190</v>
      </c>
      <c r="J33" s="87"/>
      <c r="K33" s="86">
        <f t="shared" si="10"/>
        <v>147087</v>
      </c>
      <c r="T33" t="s">
        <v>363</v>
      </c>
      <c r="U33" t="s">
        <v>364</v>
      </c>
      <c r="W33">
        <v>32606</v>
      </c>
    </row>
    <row r="34" spans="1:23" x14ac:dyDescent="0.3">
      <c r="B34" s="78" t="s">
        <v>16</v>
      </c>
      <c r="T34" t="s">
        <v>365</v>
      </c>
      <c r="U34" t="s">
        <v>364</v>
      </c>
      <c r="W34">
        <v>860</v>
      </c>
    </row>
    <row r="35" spans="1:23" x14ac:dyDescent="0.3">
      <c r="A35" s="17">
        <v>24</v>
      </c>
      <c r="B35" s="79" t="s">
        <v>198</v>
      </c>
      <c r="C35" s="17" t="s">
        <v>80</v>
      </c>
      <c r="D35" s="52">
        <v>18987</v>
      </c>
      <c r="E35" s="53">
        <v>841</v>
      </c>
      <c r="F35" s="53">
        <v>1072</v>
      </c>
      <c r="G35" s="53">
        <f>1127-113</f>
        <v>1014</v>
      </c>
      <c r="H35" s="41">
        <f t="shared" ref="H35:H41" si="11">+E35+F35+G35</f>
        <v>2927</v>
      </c>
      <c r="I35" s="41">
        <f t="shared" ref="I35:I41" si="12">D35+H35</f>
        <v>21914</v>
      </c>
      <c r="J35" s="123" t="s">
        <v>185</v>
      </c>
      <c r="K35" s="53">
        <v>22236</v>
      </c>
      <c r="L35" s="54">
        <v>5.2999999999999999E-2</v>
      </c>
      <c r="M35" s="17" t="s">
        <v>87</v>
      </c>
      <c r="N35">
        <f t="shared" ref="N35:N41" si="13">O35-P35</f>
        <v>185</v>
      </c>
      <c r="O35" s="46">
        <v>206</v>
      </c>
      <c r="P35" s="46">
        <v>21</v>
      </c>
      <c r="Q35">
        <v>22099</v>
      </c>
      <c r="R35" s="21">
        <f>H35</f>
        <v>2927</v>
      </c>
      <c r="S35">
        <v>109309</v>
      </c>
      <c r="T35" t="s">
        <v>366</v>
      </c>
      <c r="U35" t="s">
        <v>364</v>
      </c>
      <c r="W35">
        <v>4521</v>
      </c>
    </row>
    <row r="36" spans="1:23" x14ac:dyDescent="0.3">
      <c r="A36" s="17">
        <v>25</v>
      </c>
      <c r="B36" s="79" t="s">
        <v>195</v>
      </c>
      <c r="C36" s="17" t="s">
        <v>79</v>
      </c>
      <c r="D36" s="52">
        <v>9295</v>
      </c>
      <c r="E36" s="53">
        <v>161</v>
      </c>
      <c r="F36" s="53">
        <v>511</v>
      </c>
      <c r="G36" s="53">
        <f>538-54</f>
        <v>484</v>
      </c>
      <c r="H36" s="41">
        <f t="shared" si="11"/>
        <v>1156</v>
      </c>
      <c r="I36" s="41">
        <f t="shared" si="12"/>
        <v>10451</v>
      </c>
      <c r="J36" s="123" t="s">
        <v>179</v>
      </c>
      <c r="K36" s="53">
        <v>10886</v>
      </c>
      <c r="L36" s="54">
        <v>5.2999999999999999E-2</v>
      </c>
      <c r="M36" s="17" t="s">
        <v>87</v>
      </c>
      <c r="N36">
        <f t="shared" si="13"/>
        <v>339</v>
      </c>
      <c r="O36">
        <v>377</v>
      </c>
      <c r="P36">
        <v>38</v>
      </c>
      <c r="Q36">
        <v>10790</v>
      </c>
      <c r="R36" s="21">
        <f>H36</f>
        <v>1156</v>
      </c>
      <c r="S36">
        <v>109310</v>
      </c>
      <c r="V36">
        <f>SUM(V31:V35)</f>
        <v>37987</v>
      </c>
      <c r="W36">
        <f>SUM(W33:W35)</f>
        <v>37987</v>
      </c>
    </row>
    <row r="37" spans="1:23" x14ac:dyDescent="0.3">
      <c r="A37" s="17">
        <v>26</v>
      </c>
      <c r="B37" s="79" t="s">
        <v>191</v>
      </c>
      <c r="C37" s="17" t="s">
        <v>231</v>
      </c>
      <c r="D37" s="52">
        <v>19030</v>
      </c>
      <c r="E37" s="53">
        <v>0</v>
      </c>
      <c r="F37" s="53">
        <v>36</v>
      </c>
      <c r="G37" s="53">
        <f>1366-137</f>
        <v>1229</v>
      </c>
      <c r="H37" s="41">
        <f t="shared" si="11"/>
        <v>1265</v>
      </c>
      <c r="I37" s="41">
        <f t="shared" si="12"/>
        <v>20295</v>
      </c>
      <c r="J37" s="52" t="s">
        <v>230</v>
      </c>
      <c r="K37" s="53">
        <v>23434</v>
      </c>
      <c r="L37" s="54">
        <v>7.0000000000000007E-2</v>
      </c>
      <c r="M37" s="17" t="s">
        <v>87</v>
      </c>
      <c r="N37">
        <f t="shared" si="13"/>
        <v>1310</v>
      </c>
      <c r="O37" s="46">
        <v>1455</v>
      </c>
      <c r="P37" s="46">
        <v>145</v>
      </c>
    </row>
    <row r="38" spans="1:23" x14ac:dyDescent="0.3">
      <c r="A38" s="17">
        <v>27</v>
      </c>
      <c r="B38" s="79" t="s">
        <v>192</v>
      </c>
      <c r="C38" s="17" t="s">
        <v>78</v>
      </c>
      <c r="D38" s="52">
        <v>15651</v>
      </c>
      <c r="E38" s="53">
        <v>472</v>
      </c>
      <c r="F38" s="53">
        <v>872</v>
      </c>
      <c r="G38" s="53">
        <f>917-92</f>
        <v>825</v>
      </c>
      <c r="H38" s="41">
        <f t="shared" si="11"/>
        <v>2169</v>
      </c>
      <c r="I38" s="41">
        <f t="shared" si="12"/>
        <v>17820</v>
      </c>
      <c r="J38" s="123" t="s">
        <v>182</v>
      </c>
      <c r="K38" s="53">
        <v>18329</v>
      </c>
      <c r="L38" s="54">
        <v>5.2999999999999999E-2</v>
      </c>
      <c r="M38" s="17" t="s">
        <v>87</v>
      </c>
      <c r="N38">
        <f t="shared" si="13"/>
        <v>372</v>
      </c>
      <c r="O38" s="46">
        <v>413</v>
      </c>
      <c r="P38" s="46">
        <v>41</v>
      </c>
      <c r="Q38">
        <v>18192</v>
      </c>
      <c r="R38" s="21">
        <f>H38</f>
        <v>2169</v>
      </c>
      <c r="S38">
        <v>109311</v>
      </c>
    </row>
    <row r="39" spans="1:23" x14ac:dyDescent="0.3">
      <c r="A39" s="17">
        <v>28</v>
      </c>
      <c r="B39" s="79" t="s">
        <v>258</v>
      </c>
      <c r="C39" s="17" t="s">
        <v>301</v>
      </c>
      <c r="D39" s="52">
        <v>9530</v>
      </c>
      <c r="E39" s="53">
        <v>0</v>
      </c>
      <c r="F39" s="53">
        <v>0</v>
      </c>
      <c r="G39" s="53">
        <f>29-3</f>
        <v>26</v>
      </c>
      <c r="H39" s="41">
        <f t="shared" si="11"/>
        <v>26</v>
      </c>
      <c r="I39" s="41">
        <f t="shared" si="12"/>
        <v>9556</v>
      </c>
      <c r="J39" s="52" t="s">
        <v>302</v>
      </c>
      <c r="K39" s="53">
        <v>10458</v>
      </c>
      <c r="L39" s="54">
        <v>7.4999999999999997E-2</v>
      </c>
      <c r="M39" s="17" t="s">
        <v>87</v>
      </c>
      <c r="N39">
        <f t="shared" si="13"/>
        <v>664</v>
      </c>
      <c r="O39" s="46">
        <v>735</v>
      </c>
      <c r="P39" s="46">
        <v>71</v>
      </c>
    </row>
    <row r="40" spans="1:23" x14ac:dyDescent="0.3">
      <c r="A40" s="17">
        <v>29</v>
      </c>
      <c r="B40" s="79" t="s">
        <v>212</v>
      </c>
      <c r="C40" s="17" t="s">
        <v>178</v>
      </c>
      <c r="D40" s="52">
        <v>23956</v>
      </c>
      <c r="E40" s="53">
        <v>0</v>
      </c>
      <c r="F40" s="53">
        <v>41</v>
      </c>
      <c r="G40" s="53">
        <f>1719-172</f>
        <v>1547</v>
      </c>
      <c r="H40" s="41">
        <f t="shared" si="11"/>
        <v>1588</v>
      </c>
      <c r="I40" s="41">
        <f t="shared" si="12"/>
        <v>25544</v>
      </c>
      <c r="J40" s="52" t="s">
        <v>226</v>
      </c>
      <c r="K40" s="53">
        <v>29500</v>
      </c>
      <c r="L40" s="54">
        <v>7.0000000000000007E-2</v>
      </c>
      <c r="M40" s="17" t="s">
        <v>87</v>
      </c>
      <c r="N40">
        <f t="shared" si="13"/>
        <v>1648</v>
      </c>
      <c r="O40" s="46">
        <v>1831</v>
      </c>
      <c r="P40" s="46">
        <v>183</v>
      </c>
    </row>
    <row r="41" spans="1:23" x14ac:dyDescent="0.3">
      <c r="A41" s="17">
        <v>30</v>
      </c>
      <c r="B41" s="79" t="s">
        <v>271</v>
      </c>
      <c r="C41" s="17" t="s">
        <v>289</v>
      </c>
      <c r="D41" s="52">
        <v>23956</v>
      </c>
      <c r="E41" s="53">
        <v>0</v>
      </c>
      <c r="F41" s="53">
        <v>0</v>
      </c>
      <c r="G41" s="53">
        <f>63-6</f>
        <v>57</v>
      </c>
      <c r="H41" s="41">
        <f t="shared" si="11"/>
        <v>57</v>
      </c>
      <c r="I41" s="41">
        <f t="shared" si="12"/>
        <v>24013</v>
      </c>
      <c r="J41" s="52" t="s">
        <v>290</v>
      </c>
      <c r="K41" s="53">
        <v>26288</v>
      </c>
      <c r="L41" s="54">
        <v>7.4999999999999997E-2</v>
      </c>
      <c r="M41" s="17" t="s">
        <v>87</v>
      </c>
      <c r="N41">
        <f t="shared" si="13"/>
        <v>1662</v>
      </c>
      <c r="O41" s="46">
        <v>1847</v>
      </c>
      <c r="P41" s="46">
        <v>185</v>
      </c>
    </row>
    <row r="42" spans="1:23" x14ac:dyDescent="0.3">
      <c r="D42" s="85">
        <f>SUM(D35:D41)</f>
        <v>120405</v>
      </c>
      <c r="E42" s="85">
        <f t="shared" ref="E42:K42" si="14">SUM(E35:E41)</f>
        <v>1474</v>
      </c>
      <c r="F42" s="85">
        <f t="shared" si="14"/>
        <v>2532</v>
      </c>
      <c r="G42" s="85">
        <f t="shared" si="14"/>
        <v>5182</v>
      </c>
      <c r="H42" s="85">
        <f t="shared" si="14"/>
        <v>9188</v>
      </c>
      <c r="I42" s="85">
        <f t="shared" si="14"/>
        <v>129593</v>
      </c>
      <c r="J42" s="87"/>
      <c r="K42" s="85">
        <f t="shared" si="14"/>
        <v>141131</v>
      </c>
    </row>
    <row r="43" spans="1:23" x14ac:dyDescent="0.3">
      <c r="B43" s="78" t="s">
        <v>17</v>
      </c>
    </row>
    <row r="44" spans="1:23" x14ac:dyDescent="0.3">
      <c r="A44" s="17">
        <v>31</v>
      </c>
      <c r="B44" s="79" t="s">
        <v>236</v>
      </c>
      <c r="C44" s="17" t="s">
        <v>73</v>
      </c>
      <c r="D44" s="52">
        <v>9000</v>
      </c>
      <c r="E44" s="53"/>
      <c r="F44" s="53"/>
      <c r="G44" s="53"/>
      <c r="H44" s="41">
        <f t="shared" ref="H44:H45" si="15">+E44+F44+G44</f>
        <v>0</v>
      </c>
      <c r="I44" s="41">
        <f>D44+H44</f>
        <v>9000</v>
      </c>
      <c r="J44" s="123" t="s">
        <v>177</v>
      </c>
      <c r="K44" s="53">
        <v>9000</v>
      </c>
      <c r="L44" s="54">
        <v>5.2999999999999999E-2</v>
      </c>
      <c r="M44" s="17" t="s">
        <v>87</v>
      </c>
    </row>
    <row r="45" spans="1:23" x14ac:dyDescent="0.3">
      <c r="A45" s="17">
        <v>32</v>
      </c>
      <c r="B45" s="79" t="s">
        <v>208</v>
      </c>
      <c r="C45" s="17" t="s">
        <v>74</v>
      </c>
      <c r="D45" s="52">
        <v>9000</v>
      </c>
      <c r="E45" s="53"/>
      <c r="F45" s="53"/>
      <c r="G45" s="53"/>
      <c r="H45" s="41">
        <f t="shared" si="15"/>
        <v>0</v>
      </c>
      <c r="I45" s="41">
        <f>D45+H45</f>
        <v>9000</v>
      </c>
      <c r="J45" s="123" t="s">
        <v>176</v>
      </c>
      <c r="K45" s="53">
        <v>9000</v>
      </c>
      <c r="L45" s="54">
        <v>5.2999999999999999E-2</v>
      </c>
      <c r="M45" s="17" t="s">
        <v>87</v>
      </c>
    </row>
    <row r="46" spans="1:23" x14ac:dyDescent="0.3">
      <c r="D46" s="86">
        <f>SUM(D44:D45)</f>
        <v>18000</v>
      </c>
      <c r="E46" s="86">
        <f t="shared" ref="E46:K46" si="16">SUM(E44:E45)</f>
        <v>0</v>
      </c>
      <c r="F46" s="86">
        <f t="shared" si="16"/>
        <v>0</v>
      </c>
      <c r="G46" s="86">
        <f t="shared" si="16"/>
        <v>0</v>
      </c>
      <c r="H46" s="86">
        <f t="shared" si="16"/>
        <v>0</v>
      </c>
      <c r="I46" s="86">
        <f t="shared" si="16"/>
        <v>18000</v>
      </c>
      <c r="J46" s="87"/>
      <c r="K46" s="86">
        <f t="shared" si="16"/>
        <v>18000</v>
      </c>
    </row>
    <row r="47" spans="1:23" x14ac:dyDescent="0.3">
      <c r="B47" s="78" t="s">
        <v>69</v>
      </c>
    </row>
    <row r="48" spans="1:23" x14ac:dyDescent="0.3">
      <c r="A48" s="17">
        <v>33</v>
      </c>
      <c r="B48" s="79" t="s">
        <v>203</v>
      </c>
      <c r="C48" s="17" t="s">
        <v>78</v>
      </c>
      <c r="D48" s="52">
        <v>32606</v>
      </c>
      <c r="E48" s="53">
        <v>984</v>
      </c>
      <c r="F48" s="53">
        <v>1816</v>
      </c>
      <c r="G48" s="53">
        <f>1911-190</f>
        <v>1721</v>
      </c>
      <c r="H48" s="41">
        <f t="shared" ref="H48:H50" si="17">+E48+F48+G48</f>
        <v>4521</v>
      </c>
      <c r="I48" s="41">
        <f>D48+H48</f>
        <v>37127</v>
      </c>
      <c r="J48" s="123" t="s">
        <v>182</v>
      </c>
      <c r="K48" s="53">
        <v>38185</v>
      </c>
      <c r="L48" s="54">
        <v>5.2999999999999999E-2</v>
      </c>
      <c r="M48" s="17" t="s">
        <v>87</v>
      </c>
      <c r="N48">
        <f t="shared" ref="N48:N50" si="18">O48-P48</f>
        <v>774</v>
      </c>
      <c r="O48" s="46">
        <v>860</v>
      </c>
      <c r="P48" s="46">
        <v>86</v>
      </c>
      <c r="Q48">
        <v>37901</v>
      </c>
      <c r="R48" s="21">
        <f>H48</f>
        <v>4521</v>
      </c>
      <c r="S48">
        <v>109312</v>
      </c>
    </row>
    <row r="49" spans="1:19" x14ac:dyDescent="0.3">
      <c r="A49" s="17">
        <v>34</v>
      </c>
      <c r="B49" s="79" t="s">
        <v>263</v>
      </c>
      <c r="C49" s="17" t="s">
        <v>180</v>
      </c>
      <c r="D49" s="52">
        <v>50515</v>
      </c>
      <c r="E49" s="53">
        <v>0</v>
      </c>
      <c r="F49" s="53">
        <v>0</v>
      </c>
      <c r="G49" s="53">
        <f>1524-152</f>
        <v>1372</v>
      </c>
      <c r="H49" s="41">
        <f t="shared" si="17"/>
        <v>1372</v>
      </c>
      <c r="I49" s="41">
        <f>D49+H49</f>
        <v>51887</v>
      </c>
      <c r="J49" s="52" t="s">
        <v>297</v>
      </c>
      <c r="K49" s="53">
        <v>58150</v>
      </c>
      <c r="L49" s="54">
        <v>7.0999999999999994E-2</v>
      </c>
      <c r="M49" s="17" t="s">
        <v>87</v>
      </c>
      <c r="N49">
        <f t="shared" si="18"/>
        <v>3396</v>
      </c>
      <c r="O49">
        <v>3773</v>
      </c>
      <c r="P49">
        <v>377</v>
      </c>
    </row>
    <row r="50" spans="1:19" x14ac:dyDescent="0.3">
      <c r="A50" s="17">
        <v>35</v>
      </c>
      <c r="B50" s="79" t="s">
        <v>257</v>
      </c>
      <c r="C50" s="17" t="s">
        <v>298</v>
      </c>
      <c r="D50" s="52">
        <v>38882</v>
      </c>
      <c r="E50" s="53">
        <v>0</v>
      </c>
      <c r="F50" s="53">
        <v>0</v>
      </c>
      <c r="G50" s="53">
        <f>306-31</f>
        <v>275</v>
      </c>
      <c r="H50" s="41">
        <f t="shared" si="17"/>
        <v>275</v>
      </c>
      <c r="I50" s="41">
        <f>D50+H50</f>
        <v>39157</v>
      </c>
      <c r="J50" s="52" t="s">
        <v>299</v>
      </c>
      <c r="K50" s="53">
        <v>42666</v>
      </c>
      <c r="L50" s="54">
        <v>7.4999999999999997E-2</v>
      </c>
      <c r="M50" s="17" t="s">
        <v>87</v>
      </c>
      <c r="N50">
        <f t="shared" si="18"/>
        <v>2710</v>
      </c>
      <c r="O50">
        <v>3012</v>
      </c>
      <c r="P50">
        <v>302</v>
      </c>
    </row>
    <row r="51" spans="1:19" x14ac:dyDescent="0.3">
      <c r="D51" s="86">
        <f t="shared" ref="D51:K51" si="19">SUM(D48:D50)</f>
        <v>122003</v>
      </c>
      <c r="E51" s="86">
        <f t="shared" si="19"/>
        <v>984</v>
      </c>
      <c r="F51" s="86">
        <f t="shared" si="19"/>
        <v>1816</v>
      </c>
      <c r="G51" s="86">
        <f t="shared" si="19"/>
        <v>3368</v>
      </c>
      <c r="H51" s="86">
        <f t="shared" si="19"/>
        <v>6168</v>
      </c>
      <c r="I51" s="86">
        <f t="shared" si="19"/>
        <v>128171</v>
      </c>
      <c r="J51" s="87"/>
      <c r="K51" s="86">
        <f t="shared" si="19"/>
        <v>139001</v>
      </c>
    </row>
    <row r="52" spans="1:19" x14ac:dyDescent="0.3">
      <c r="B52" s="78" t="s">
        <v>70</v>
      </c>
    </row>
    <row r="53" spans="1:19" x14ac:dyDescent="0.3">
      <c r="A53" s="17">
        <v>36</v>
      </c>
      <c r="B53" s="79" t="s">
        <v>199</v>
      </c>
      <c r="C53" s="17" t="s">
        <v>82</v>
      </c>
      <c r="D53" s="52">
        <v>7682</v>
      </c>
      <c r="E53" s="53">
        <v>321</v>
      </c>
      <c r="F53" s="53">
        <v>432</v>
      </c>
      <c r="G53" s="53">
        <f>456-45</f>
        <v>411</v>
      </c>
      <c r="H53" s="41">
        <f t="shared" ref="H53:H59" si="20">+E53+F53+G53</f>
        <v>1164</v>
      </c>
      <c r="I53" s="41">
        <f t="shared" ref="I53:I59" si="21">D53+H53</f>
        <v>8846</v>
      </c>
      <c r="J53" s="123" t="s">
        <v>184</v>
      </c>
      <c r="K53" s="53">
        <v>8996</v>
      </c>
      <c r="L53" s="54">
        <v>5.2999999999999999E-2</v>
      </c>
      <c r="M53" s="17" t="s">
        <v>87</v>
      </c>
      <c r="N53">
        <f t="shared" ref="N53:N59" si="22">O53-P53</f>
        <v>94</v>
      </c>
      <c r="O53">
        <v>104</v>
      </c>
      <c r="P53">
        <v>10</v>
      </c>
      <c r="Q53">
        <v>8940</v>
      </c>
      <c r="R53" s="21">
        <f t="shared" ref="R53:R56" si="23">H53</f>
        <v>1164</v>
      </c>
      <c r="S53">
        <v>109313</v>
      </c>
    </row>
    <row r="54" spans="1:19" x14ac:dyDescent="0.3">
      <c r="A54" s="17">
        <v>37</v>
      </c>
      <c r="B54" s="79" t="s">
        <v>205</v>
      </c>
      <c r="C54" s="17" t="s">
        <v>79</v>
      </c>
      <c r="D54" s="52">
        <v>24359</v>
      </c>
      <c r="E54" s="53">
        <v>421</v>
      </c>
      <c r="F54" s="53">
        <v>1340</v>
      </c>
      <c r="G54" s="53">
        <f>1409-140</f>
        <v>1269</v>
      </c>
      <c r="H54" s="41">
        <f t="shared" si="20"/>
        <v>3030</v>
      </c>
      <c r="I54" s="41">
        <f t="shared" si="21"/>
        <v>27389</v>
      </c>
      <c r="J54" s="123" t="s">
        <v>179</v>
      </c>
      <c r="K54" s="53">
        <v>28527</v>
      </c>
      <c r="L54" s="54">
        <v>5.2999999999999999E-2</v>
      </c>
      <c r="M54" s="17" t="s">
        <v>87</v>
      </c>
      <c r="N54">
        <f t="shared" si="22"/>
        <v>890</v>
      </c>
      <c r="O54">
        <v>989</v>
      </c>
      <c r="P54">
        <v>99</v>
      </c>
      <c r="Q54">
        <v>28279</v>
      </c>
      <c r="R54" s="21">
        <f t="shared" si="23"/>
        <v>3030</v>
      </c>
      <c r="S54">
        <v>109314</v>
      </c>
    </row>
    <row r="55" spans="1:19" x14ac:dyDescent="0.3">
      <c r="A55" s="17">
        <v>38</v>
      </c>
      <c r="B55" s="79" t="s">
        <v>202</v>
      </c>
      <c r="C55" s="17" t="s">
        <v>78</v>
      </c>
      <c r="D55" s="52">
        <v>14086</v>
      </c>
      <c r="E55" s="53">
        <v>425</v>
      </c>
      <c r="F55" s="53">
        <v>785</v>
      </c>
      <c r="G55" s="53">
        <f>825-83</f>
        <v>742</v>
      </c>
      <c r="H55" s="41">
        <f t="shared" si="20"/>
        <v>1952</v>
      </c>
      <c r="I55" s="41">
        <f t="shared" si="21"/>
        <v>16038</v>
      </c>
      <c r="J55" s="123" t="s">
        <v>182</v>
      </c>
      <c r="K55" s="53">
        <v>16496</v>
      </c>
      <c r="L55" s="54">
        <v>5.2999999999999999E-2</v>
      </c>
      <c r="M55" s="17" t="s">
        <v>87</v>
      </c>
      <c r="N55">
        <f t="shared" si="22"/>
        <v>333</v>
      </c>
      <c r="O55">
        <v>371</v>
      </c>
      <c r="P55">
        <v>38</v>
      </c>
      <c r="Q55">
        <v>16371</v>
      </c>
      <c r="R55" s="21">
        <f t="shared" si="23"/>
        <v>1952</v>
      </c>
      <c r="S55">
        <v>109315</v>
      </c>
    </row>
    <row r="56" spans="1:19" x14ac:dyDescent="0.3">
      <c r="A56" s="17">
        <v>39</v>
      </c>
      <c r="B56" s="79" t="s">
        <v>270</v>
      </c>
      <c r="C56" s="17" t="s">
        <v>173</v>
      </c>
      <c r="D56" s="52">
        <v>131573</v>
      </c>
      <c r="E56" s="53">
        <v>0</v>
      </c>
      <c r="F56" s="53">
        <v>0</v>
      </c>
      <c r="G56" s="53">
        <f>9147-915</f>
        <v>8232</v>
      </c>
      <c r="H56" s="41">
        <f t="shared" si="20"/>
        <v>8232</v>
      </c>
      <c r="I56" s="41">
        <f t="shared" si="21"/>
        <v>139805</v>
      </c>
      <c r="J56" s="123" t="s">
        <v>291</v>
      </c>
      <c r="K56" s="53">
        <v>141990</v>
      </c>
      <c r="L56" s="54">
        <v>7.0999999999999994E-2</v>
      </c>
      <c r="M56" s="17" t="s">
        <v>87</v>
      </c>
      <c r="N56">
        <f t="shared" si="22"/>
        <v>1115</v>
      </c>
      <c r="O56">
        <v>1239</v>
      </c>
      <c r="P56">
        <v>124</v>
      </c>
      <c r="Q56">
        <v>140920</v>
      </c>
      <c r="R56" s="21">
        <f t="shared" si="23"/>
        <v>8232</v>
      </c>
      <c r="S56">
        <v>109316</v>
      </c>
    </row>
    <row r="57" spans="1:19" x14ac:dyDescent="0.3">
      <c r="A57" s="17">
        <v>40</v>
      </c>
      <c r="B57" s="79" t="s">
        <v>259</v>
      </c>
      <c r="C57" s="17" t="s">
        <v>301</v>
      </c>
      <c r="D57" s="52">
        <v>8580</v>
      </c>
      <c r="E57" s="53">
        <v>0</v>
      </c>
      <c r="F57" s="53">
        <v>0</v>
      </c>
      <c r="G57" s="53">
        <f>26-2</f>
        <v>24</v>
      </c>
      <c r="H57" s="41">
        <f t="shared" si="20"/>
        <v>24</v>
      </c>
      <c r="I57" s="41">
        <f t="shared" si="21"/>
        <v>8604</v>
      </c>
      <c r="J57" s="52" t="s">
        <v>302</v>
      </c>
      <c r="K57" s="53">
        <v>9415</v>
      </c>
      <c r="L57" s="54">
        <v>7.4999999999999997E-2</v>
      </c>
      <c r="M57" s="17" t="s">
        <v>87</v>
      </c>
      <c r="N57">
        <f t="shared" si="22"/>
        <v>596</v>
      </c>
      <c r="O57">
        <v>662</v>
      </c>
      <c r="P57">
        <v>66</v>
      </c>
    </row>
    <row r="58" spans="1:19" x14ac:dyDescent="0.3">
      <c r="A58" s="17">
        <v>41</v>
      </c>
      <c r="B58" s="79" t="s">
        <v>213</v>
      </c>
      <c r="C58" s="17" t="s">
        <v>178</v>
      </c>
      <c r="D58" s="52">
        <v>21600</v>
      </c>
      <c r="E58" s="53">
        <v>0</v>
      </c>
      <c r="F58" s="53">
        <v>38</v>
      </c>
      <c r="G58" s="53">
        <f>1607-160</f>
        <v>1447</v>
      </c>
      <c r="H58" s="41">
        <f t="shared" si="20"/>
        <v>1485</v>
      </c>
      <c r="I58" s="41">
        <f t="shared" si="21"/>
        <v>23085</v>
      </c>
      <c r="J58" s="123" t="s">
        <v>227</v>
      </c>
      <c r="K58" s="53">
        <v>24938</v>
      </c>
      <c r="L58" s="54">
        <v>7.2499999999999995E-2</v>
      </c>
      <c r="M58" s="17" t="s">
        <v>87</v>
      </c>
      <c r="N58">
        <f t="shared" si="22"/>
        <v>1505</v>
      </c>
      <c r="O58">
        <v>1672</v>
      </c>
      <c r="P58">
        <v>167</v>
      </c>
      <c r="Q58">
        <v>24590</v>
      </c>
      <c r="R58" s="21">
        <f>H58</f>
        <v>1485</v>
      </c>
      <c r="S58">
        <v>109317</v>
      </c>
    </row>
    <row r="59" spans="1:19" x14ac:dyDescent="0.3">
      <c r="A59" s="17">
        <v>42</v>
      </c>
      <c r="B59" s="79" t="s">
        <v>267</v>
      </c>
      <c r="C59" s="17" t="s">
        <v>289</v>
      </c>
      <c r="D59" s="52">
        <v>21600</v>
      </c>
      <c r="E59" s="53">
        <v>0</v>
      </c>
      <c r="F59" s="53">
        <v>0</v>
      </c>
      <c r="G59" s="53">
        <f>57-6</f>
        <v>51</v>
      </c>
      <c r="H59" s="41">
        <f t="shared" si="20"/>
        <v>51</v>
      </c>
      <c r="I59" s="41">
        <f t="shared" si="21"/>
        <v>21651</v>
      </c>
      <c r="J59" s="52" t="s">
        <v>290</v>
      </c>
      <c r="K59" s="53">
        <v>23702</v>
      </c>
      <c r="L59" s="54">
        <v>7.4999999999999997E-2</v>
      </c>
      <c r="M59" s="17" t="s">
        <v>87</v>
      </c>
      <c r="N59">
        <f t="shared" si="22"/>
        <v>1499</v>
      </c>
      <c r="O59">
        <v>1665</v>
      </c>
      <c r="P59">
        <v>166</v>
      </c>
    </row>
    <row r="60" spans="1:19" x14ac:dyDescent="0.3">
      <c r="D60" s="85">
        <f>SUM(D53:D59)</f>
        <v>229480</v>
      </c>
      <c r="E60" s="85">
        <f t="shared" ref="E60:K60" si="24">SUM(E53:E59)</f>
        <v>1167</v>
      </c>
      <c r="F60" s="85">
        <f t="shared" si="24"/>
        <v>2595</v>
      </c>
      <c r="G60" s="85">
        <f t="shared" si="24"/>
        <v>12176</v>
      </c>
      <c r="H60" s="85">
        <f t="shared" si="24"/>
        <v>15938</v>
      </c>
      <c r="I60" s="85">
        <f t="shared" si="24"/>
        <v>245418</v>
      </c>
      <c r="J60" s="87"/>
      <c r="K60" s="85">
        <f t="shared" si="24"/>
        <v>254064</v>
      </c>
    </row>
    <row r="61" spans="1:19" x14ac:dyDescent="0.3">
      <c r="B61" s="78" t="s">
        <v>71</v>
      </c>
    </row>
    <row r="62" spans="1:19" x14ac:dyDescent="0.3">
      <c r="A62" s="17">
        <v>43</v>
      </c>
      <c r="B62" s="79" t="s">
        <v>207</v>
      </c>
      <c r="C62" s="17" t="s">
        <v>170</v>
      </c>
      <c r="D62" s="52">
        <v>8000</v>
      </c>
      <c r="E62" s="52">
        <v>0</v>
      </c>
      <c r="F62" s="52">
        <v>0</v>
      </c>
      <c r="G62" s="52"/>
      <c r="H62" s="41">
        <f t="shared" ref="H62:H65" si="25">+E62+F62+G62</f>
        <v>0</v>
      </c>
      <c r="I62" s="41">
        <f>D62+H62</f>
        <v>8000</v>
      </c>
      <c r="J62" s="52" t="s">
        <v>287</v>
      </c>
      <c r="K62" s="53">
        <v>8000</v>
      </c>
      <c r="L62" s="54">
        <v>7.4999999999999997E-2</v>
      </c>
      <c r="M62" s="17" t="s">
        <v>87</v>
      </c>
      <c r="N62" s="21"/>
    </row>
    <row r="63" spans="1:19" x14ac:dyDescent="0.3">
      <c r="A63" s="17">
        <v>44</v>
      </c>
      <c r="B63" s="79" t="s">
        <v>206</v>
      </c>
      <c r="C63" s="17" t="s">
        <v>233</v>
      </c>
      <c r="D63" s="52">
        <v>4000</v>
      </c>
      <c r="E63" s="53">
        <v>0</v>
      </c>
      <c r="F63" s="53">
        <v>0</v>
      </c>
      <c r="G63" s="53"/>
      <c r="H63" s="41">
        <f t="shared" si="25"/>
        <v>0</v>
      </c>
      <c r="I63" s="41">
        <f>D63+H63</f>
        <v>4000</v>
      </c>
      <c r="J63" s="123" t="s">
        <v>234</v>
      </c>
      <c r="K63" s="53">
        <v>4000</v>
      </c>
      <c r="L63" s="54">
        <v>5.6500000000000002E-2</v>
      </c>
      <c r="M63" s="17" t="s">
        <v>87</v>
      </c>
      <c r="Q63">
        <v>4000</v>
      </c>
      <c r="S63">
        <v>109318</v>
      </c>
    </row>
    <row r="64" spans="1:19" x14ac:dyDescent="0.3">
      <c r="A64" s="17">
        <v>45</v>
      </c>
      <c r="B64" s="79" t="s">
        <v>369</v>
      </c>
      <c r="C64" s="17" t="s">
        <v>171</v>
      </c>
      <c r="D64" s="52">
        <v>2000</v>
      </c>
      <c r="E64" s="52">
        <v>0</v>
      </c>
      <c r="F64" s="52">
        <v>0</v>
      </c>
      <c r="G64" s="52"/>
      <c r="H64" s="41">
        <f t="shared" si="25"/>
        <v>0</v>
      </c>
      <c r="I64" s="41">
        <f>D64+H64</f>
        <v>2000</v>
      </c>
      <c r="J64" s="52" t="s">
        <v>293</v>
      </c>
      <c r="K64" s="53">
        <v>2000</v>
      </c>
      <c r="L64" s="54">
        <v>7.2499999999999995E-2</v>
      </c>
      <c r="M64" s="17" t="s">
        <v>87</v>
      </c>
    </row>
    <row r="65" spans="1:19" x14ac:dyDescent="0.3">
      <c r="A65" s="17">
        <v>46</v>
      </c>
      <c r="B65" s="79" t="s">
        <v>218</v>
      </c>
      <c r="C65" s="17" t="s">
        <v>228</v>
      </c>
      <c r="D65" s="52">
        <v>6000</v>
      </c>
      <c r="E65" s="53">
        <v>0</v>
      </c>
      <c r="F65" s="53">
        <v>0</v>
      </c>
      <c r="G65" s="53"/>
      <c r="H65" s="41">
        <f t="shared" si="25"/>
        <v>0</v>
      </c>
      <c r="I65" s="41">
        <f>D65+H65</f>
        <v>6000</v>
      </c>
      <c r="J65" s="123" t="s">
        <v>227</v>
      </c>
      <c r="K65" s="53">
        <v>6000</v>
      </c>
      <c r="L65" s="54">
        <v>7.2499999999999995E-2</v>
      </c>
      <c r="M65" s="17" t="s">
        <v>87</v>
      </c>
      <c r="Q65">
        <v>6000</v>
      </c>
      <c r="S65">
        <v>109319</v>
      </c>
    </row>
    <row r="66" spans="1:19" x14ac:dyDescent="0.3">
      <c r="D66" s="86">
        <f>SUM(D62:D65)</f>
        <v>20000</v>
      </c>
      <c r="E66" s="86">
        <f t="shared" ref="E66:K66" si="26">SUM(E62:E65)</f>
        <v>0</v>
      </c>
      <c r="F66" s="86">
        <f t="shared" si="26"/>
        <v>0</v>
      </c>
      <c r="G66" s="86">
        <f t="shared" si="26"/>
        <v>0</v>
      </c>
      <c r="H66" s="86">
        <f t="shared" si="26"/>
        <v>0</v>
      </c>
      <c r="I66" s="86">
        <f t="shared" si="26"/>
        <v>20000</v>
      </c>
      <c r="J66" s="87"/>
      <c r="K66" s="86">
        <f t="shared" si="26"/>
        <v>20000</v>
      </c>
    </row>
    <row r="67" spans="1:19" x14ac:dyDescent="0.3">
      <c r="B67" s="78" t="s">
        <v>214</v>
      </c>
    </row>
    <row r="68" spans="1:19" x14ac:dyDescent="0.3">
      <c r="A68" s="17">
        <v>47</v>
      </c>
      <c r="B68" s="79" t="s">
        <v>215</v>
      </c>
      <c r="C68" s="17" t="s">
        <v>178</v>
      </c>
      <c r="D68" s="52">
        <v>43200</v>
      </c>
      <c r="E68" s="52">
        <v>0</v>
      </c>
      <c r="F68" s="52">
        <v>76</v>
      </c>
      <c r="G68" s="52">
        <f>3215-322</f>
        <v>2893</v>
      </c>
      <c r="H68" s="41">
        <f t="shared" ref="H68:H69" si="27">+E68+F68+G68</f>
        <v>2969</v>
      </c>
      <c r="I68" s="41">
        <f>D68+H68</f>
        <v>46169</v>
      </c>
      <c r="J68" s="123" t="s">
        <v>227</v>
      </c>
      <c r="K68" s="53">
        <v>49876</v>
      </c>
      <c r="L68" s="54">
        <v>7.2499999999999995E-2</v>
      </c>
      <c r="M68" s="17" t="s">
        <v>87</v>
      </c>
      <c r="N68">
        <f t="shared" ref="N68:N69" si="28">O68-P68</f>
        <v>3009</v>
      </c>
      <c r="O68">
        <v>3344</v>
      </c>
      <c r="P68">
        <v>335</v>
      </c>
      <c r="Q68">
        <v>49178</v>
      </c>
      <c r="R68" s="21">
        <f>H68</f>
        <v>2969</v>
      </c>
      <c r="S68">
        <v>109320</v>
      </c>
    </row>
    <row r="69" spans="1:19" x14ac:dyDescent="0.3">
      <c r="A69" s="17">
        <v>48</v>
      </c>
      <c r="B69" s="79" t="s">
        <v>268</v>
      </c>
      <c r="C69" s="17" t="s">
        <v>289</v>
      </c>
      <c r="D69" s="52">
        <v>86400</v>
      </c>
      <c r="E69" s="52"/>
      <c r="F69" s="52"/>
      <c r="G69" s="52">
        <f>226-22</f>
        <v>204</v>
      </c>
      <c r="H69" s="41">
        <f t="shared" si="27"/>
        <v>204</v>
      </c>
      <c r="I69" s="41">
        <f>D69+H69</f>
        <v>86604</v>
      </c>
      <c r="J69" s="52" t="s">
        <v>290</v>
      </c>
      <c r="K69" s="53">
        <v>94809</v>
      </c>
      <c r="L69" s="54">
        <v>7.4999999999999997E-2</v>
      </c>
      <c r="M69" s="17" t="s">
        <v>87</v>
      </c>
      <c r="N69">
        <f t="shared" si="28"/>
        <v>5995</v>
      </c>
      <c r="O69">
        <v>6662</v>
      </c>
      <c r="P69">
        <v>667</v>
      </c>
    </row>
    <row r="70" spans="1:19" x14ac:dyDescent="0.3">
      <c r="D70" s="85">
        <f>SUM(D68:D69)</f>
        <v>129600</v>
      </c>
      <c r="E70" s="85">
        <f t="shared" ref="E70:H70" si="29">SUM(E68:E69)</f>
        <v>0</v>
      </c>
      <c r="F70" s="85">
        <f t="shared" si="29"/>
        <v>76</v>
      </c>
      <c r="G70" s="85">
        <f t="shared" si="29"/>
        <v>3097</v>
      </c>
      <c r="H70" s="85">
        <f t="shared" si="29"/>
        <v>3173</v>
      </c>
      <c r="I70" s="85">
        <f>SUM(I68:I69)</f>
        <v>132773</v>
      </c>
      <c r="J70" s="87"/>
      <c r="K70" s="85">
        <f>SUM(K68:K69)</f>
        <v>144685</v>
      </c>
    </row>
    <row r="71" spans="1:19" x14ac:dyDescent="0.3">
      <c r="B71" s="78" t="s">
        <v>216</v>
      </c>
    </row>
    <row r="72" spans="1:19" x14ac:dyDescent="0.3">
      <c r="A72" s="17">
        <v>49</v>
      </c>
      <c r="B72" s="79" t="s">
        <v>217</v>
      </c>
      <c r="C72" s="17" t="s">
        <v>178</v>
      </c>
      <c r="D72" s="52">
        <v>23500</v>
      </c>
      <c r="E72" s="52">
        <v>0</v>
      </c>
      <c r="F72" s="52">
        <v>41</v>
      </c>
      <c r="G72" s="52">
        <f>1749-175</f>
        <v>1574</v>
      </c>
      <c r="H72" s="41">
        <f t="shared" ref="H72:H73" si="30">+E72+F72+G72</f>
        <v>1615</v>
      </c>
      <c r="I72" s="41">
        <f>D72+H72</f>
        <v>25115</v>
      </c>
      <c r="J72" s="123" t="s">
        <v>227</v>
      </c>
      <c r="K72" s="53">
        <v>27132</v>
      </c>
      <c r="L72" s="54">
        <v>7.2499999999999995E-2</v>
      </c>
      <c r="M72" s="17" t="s">
        <v>87</v>
      </c>
      <c r="N72">
        <f t="shared" ref="N72:N73" si="31">O72-P72</f>
        <v>1638</v>
      </c>
      <c r="O72">
        <v>1819</v>
      </c>
      <c r="P72">
        <v>181</v>
      </c>
      <c r="Q72">
        <v>26753</v>
      </c>
      <c r="R72" s="21">
        <f>H72</f>
        <v>1615</v>
      </c>
      <c r="S72">
        <v>109321</v>
      </c>
    </row>
    <row r="73" spans="1:19" x14ac:dyDescent="0.3">
      <c r="A73" s="17">
        <v>50</v>
      </c>
      <c r="B73" s="79" t="s">
        <v>272</v>
      </c>
      <c r="C73" s="17" t="s">
        <v>289</v>
      </c>
      <c r="D73" s="52">
        <v>4320</v>
      </c>
      <c r="E73" s="52"/>
      <c r="F73" s="52"/>
      <c r="G73" s="52">
        <f>11-1</f>
        <v>10</v>
      </c>
      <c r="H73" s="41">
        <f t="shared" si="30"/>
        <v>10</v>
      </c>
      <c r="I73" s="41">
        <f>D73+H73</f>
        <v>4330</v>
      </c>
      <c r="J73" s="52" t="s">
        <v>290</v>
      </c>
      <c r="K73" s="53">
        <v>4740</v>
      </c>
      <c r="L73" s="54">
        <v>7.4999999999999997E-2</v>
      </c>
      <c r="M73" s="17" t="s">
        <v>87</v>
      </c>
      <c r="N73">
        <f t="shared" si="31"/>
        <v>300</v>
      </c>
      <c r="O73">
        <v>333</v>
      </c>
      <c r="P73">
        <v>33</v>
      </c>
    </row>
    <row r="74" spans="1:19" x14ac:dyDescent="0.3">
      <c r="D74" s="85">
        <f>SUM(D72:D73)</f>
        <v>27820</v>
      </c>
      <c r="E74" s="85">
        <f t="shared" ref="E74:H74" si="32">SUM(E72:E73)</f>
        <v>0</v>
      </c>
      <c r="F74" s="85">
        <f t="shared" si="32"/>
        <v>41</v>
      </c>
      <c r="G74" s="85">
        <f t="shared" si="32"/>
        <v>1584</v>
      </c>
      <c r="H74" s="85">
        <f t="shared" si="32"/>
        <v>1625</v>
      </c>
      <c r="I74" s="85">
        <f>SUM(I72:I73)</f>
        <v>29445</v>
      </c>
      <c r="J74" s="87"/>
      <c r="K74" s="85">
        <f>SUM(K72:K73)</f>
        <v>31872</v>
      </c>
    </row>
    <row r="76" spans="1:19" ht="15" thickBot="1" x14ac:dyDescent="0.35">
      <c r="B76" s="78" t="s">
        <v>72</v>
      </c>
      <c r="D76" s="88">
        <f>D24+D29+D33+D42+D46+D51+D60+D66+D70+D74</f>
        <v>1118249</v>
      </c>
      <c r="E76" s="88">
        <f t="shared" ref="E76:I76" si="33">E24+E29+E33+E42+E46+E51+E60+E66+E70+E74</f>
        <v>5322</v>
      </c>
      <c r="F76" s="88">
        <f t="shared" si="33"/>
        <v>12305</v>
      </c>
      <c r="G76" s="88">
        <f t="shared" si="33"/>
        <v>41017</v>
      </c>
      <c r="H76" s="88">
        <f t="shared" si="33"/>
        <v>58644</v>
      </c>
      <c r="I76" s="88">
        <f t="shared" si="33"/>
        <v>1176893</v>
      </c>
      <c r="J76" s="88"/>
      <c r="K76" s="88">
        <f>K24+K29+K33+K42+K46+K51+K60+K66+K70+K74</f>
        <v>1255714</v>
      </c>
    </row>
    <row r="77" spans="1:19" ht="15" thickTop="1" x14ac:dyDescent="0.3"/>
  </sheetData>
  <mergeCells count="2">
    <mergeCell ref="A2:M2"/>
    <mergeCell ref="A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BS</vt:lpstr>
      <vt:lpstr>IE</vt:lpstr>
      <vt:lpstr>Fund Sch_1</vt:lpstr>
      <vt:lpstr>FD Sch_2</vt:lpstr>
      <vt:lpstr>FA Sch_3</vt:lpstr>
      <vt:lpstr>Advance n Refundable Sch 4&amp;5</vt:lpstr>
      <vt:lpstr>BRS</vt:lpstr>
      <vt:lpstr>Workings</vt:lpstr>
      <vt:lpstr>Interest Workings</vt:lpstr>
      <vt:lpstr>FD working Sheet</vt:lpstr>
      <vt:lpstr>BS!Print_Area</vt:lpstr>
      <vt:lpstr>'FD Sch_2'!Print_Area</vt:lpstr>
      <vt:lpstr>IE!Print_Area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Shubham Kharat</cp:lastModifiedBy>
  <cp:lastPrinted>2024-08-20T09:41:57Z</cp:lastPrinted>
  <dcterms:created xsi:type="dcterms:W3CDTF">2015-06-05T18:17:20Z</dcterms:created>
  <dcterms:modified xsi:type="dcterms:W3CDTF">2026-04-28T09:57:12Z</dcterms:modified>
</cp:coreProperties>
</file>