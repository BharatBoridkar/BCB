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HARAT\2025-2026\BCB\AMS\018-Manika CHS\"/>
    </mc:Choice>
  </mc:AlternateContent>
  <xr:revisionPtr revIDLastSave="0" documentId="13_ncr:1_{9E2FFC8A-48F0-409A-9F76-B4D1E461063E}" xr6:coauthVersionLast="47" xr6:coauthVersionMax="47" xr10:uidLastSave="{00000000-0000-0000-0000-000000000000}"/>
  <bookViews>
    <workbookView xWindow="-108" yWindow="-108" windowWidth="23256" windowHeight="12456" tabRatio="809" activeTab="6" xr2:uid="{00000000-000D-0000-FFFF-FFFF00000000}"/>
  </bookViews>
  <sheets>
    <sheet name="BS" sheetId="4" r:id="rId1"/>
    <sheet name="IE" sheetId="1" r:id="rId2"/>
    <sheet name="Sch 1 - FD" sheetId="3" r:id="rId3"/>
    <sheet name="Sch 2 - FA" sheetId="9" r:id="rId4"/>
    <sheet name="Sch 3 - Member" sheetId="8" r:id="rId5"/>
    <sheet name="Sch 4 - Payables &amp; Advance" sheetId="7" r:id="rId6"/>
    <sheet name="BRS" sheetId="6" r:id="rId7"/>
    <sheet name="Working" sheetId="5" state="hidden" r:id="rId8"/>
  </sheets>
  <definedNames>
    <definedName name="_xlnm.Print_Area" localSheetId="0">BS!$A$1:$H$58</definedName>
    <definedName name="_xlnm.Print_Area" localSheetId="1">IE!$A$1:$H$54</definedName>
    <definedName name="_xlnm.Print_Area" localSheetId="2">'Sch 1 - FD'!$A$1:$K$50</definedName>
    <definedName name="_xlnm.Print_Area" localSheetId="3">'Sch 2 - FA'!$A$1:$J$13</definedName>
    <definedName name="_xlnm.Print_Area" localSheetId="4">'Sch 3 - Member'!$A$1:$E$65</definedName>
    <definedName name="_xlnm.Print_Area" localSheetId="5">'Sch 4 - Payables &amp; Advance'!$A$1:$D$24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" i="8" l="1"/>
  <c r="C38" i="4" s="1"/>
  <c r="E59" i="8" l="1"/>
  <c r="A43" i="8"/>
  <c r="A45" i="8"/>
  <c r="A47" i="8"/>
  <c r="A49" i="8"/>
  <c r="A51" i="8"/>
  <c r="A53" i="8"/>
  <c r="A55" i="8"/>
  <c r="A57" i="8"/>
  <c r="G8" i="4" l="1"/>
  <c r="H7" i="6"/>
  <c r="C7" i="6" s="1"/>
  <c r="C11" i="6" s="1"/>
  <c r="G7" i="6"/>
  <c r="C9" i="6" s="1"/>
  <c r="C13" i="4"/>
  <c r="C20" i="4"/>
  <c r="C24" i="4"/>
  <c r="C28" i="4"/>
  <c r="C30" i="4" l="1"/>
  <c r="D30" i="4" s="1"/>
  <c r="C26" i="4"/>
  <c r="C22" i="4"/>
  <c r="C15" i="4"/>
  <c r="H24" i="1"/>
  <c r="I48" i="3"/>
  <c r="I44" i="3"/>
  <c r="I40" i="3"/>
  <c r="I30" i="3"/>
  <c r="I26" i="3"/>
  <c r="F26" i="3"/>
  <c r="F29" i="3"/>
  <c r="F30" i="3" s="1"/>
  <c r="E40" i="3"/>
  <c r="F37" i="3"/>
  <c r="F36" i="3"/>
  <c r="F35" i="3"/>
  <c r="F33" i="3"/>
  <c r="F39" i="3"/>
  <c r="G39" i="3" s="1"/>
  <c r="F38" i="3"/>
  <c r="G38" i="3" s="1"/>
  <c r="F43" i="3"/>
  <c r="F44" i="3" s="1"/>
  <c r="F47" i="3"/>
  <c r="F48" i="3" s="1"/>
  <c r="E19" i="8"/>
  <c r="E48" i="3"/>
  <c r="D48" i="3"/>
  <c r="G47" i="3"/>
  <c r="D44" i="3"/>
  <c r="D40" i="3"/>
  <c r="G20" i="3"/>
  <c r="G21" i="3"/>
  <c r="G22" i="3"/>
  <c r="G23" i="3"/>
  <c r="G24" i="3"/>
  <c r="G25" i="3"/>
  <c r="D26" i="3"/>
  <c r="E36" i="8"/>
  <c r="A41" i="8"/>
  <c r="C46" i="4"/>
  <c r="C42" i="4"/>
  <c r="C7" i="7"/>
  <c r="C12" i="7"/>
  <c r="C14" i="4"/>
  <c r="D10" i="1"/>
  <c r="D19" i="1"/>
  <c r="C37" i="1"/>
  <c r="D25" i="1"/>
  <c r="G11" i="1"/>
  <c r="G12" i="1"/>
  <c r="G34" i="3"/>
  <c r="G16" i="3"/>
  <c r="A45" i="1"/>
  <c r="F40" i="3" l="1"/>
  <c r="F50" i="3"/>
  <c r="G48" i="3"/>
  <c r="E44" i="3"/>
  <c r="G44" i="3" s="1"/>
  <c r="G43" i="3"/>
  <c r="P5" i="5" l="1"/>
  <c r="P7" i="5" s="1"/>
  <c r="P3" i="5"/>
  <c r="P8" i="5" l="1"/>
  <c r="D30" i="3"/>
  <c r="D50" i="3" s="1"/>
  <c r="I50" i="3" l="1"/>
  <c r="I54" i="3" s="1"/>
  <c r="G13" i="4"/>
  <c r="E41" i="5"/>
  <c r="H16" i="1" s="1"/>
  <c r="D11" i="5" l="1"/>
  <c r="C11" i="5"/>
  <c r="J7" i="5" l="1"/>
  <c r="J11" i="5" s="1"/>
  <c r="K5" i="5"/>
  <c r="E5" i="5"/>
  <c r="E19" i="3" l="1"/>
  <c r="G19" i="3" s="1"/>
  <c r="E18" i="3"/>
  <c r="G18" i="3" s="1"/>
  <c r="E17" i="3"/>
  <c r="G17" i="3" s="1"/>
  <c r="G29" i="3"/>
  <c r="G37" i="3"/>
  <c r="G36" i="3"/>
  <c r="G35" i="3"/>
  <c r="G12" i="3"/>
  <c r="G33" i="3" l="1"/>
  <c r="G40" i="3" s="1"/>
  <c r="G7" i="3"/>
  <c r="E30" i="3"/>
  <c r="G13" i="3"/>
  <c r="G11" i="3"/>
  <c r="G10" i="3"/>
  <c r="G9" i="3"/>
  <c r="G14" i="3"/>
  <c r="G15" i="3"/>
  <c r="G30" i="3" l="1"/>
  <c r="G8" i="3"/>
  <c r="G26" i="3" s="1"/>
  <c r="E26" i="3"/>
  <c r="E50" i="3" s="1"/>
  <c r="G14" i="4" s="1"/>
  <c r="H5" i="1"/>
  <c r="E5" i="1"/>
  <c r="E49" i="4"/>
  <c r="H5" i="4"/>
  <c r="E5" i="4"/>
  <c r="G50" i="3" l="1"/>
  <c r="C20" i="5"/>
  <c r="D19" i="5"/>
  <c r="E18" i="5"/>
  <c r="E19" i="5" l="1"/>
  <c r="F19" i="5" s="1"/>
  <c r="F20" i="5" l="1"/>
  <c r="H32" i="4"/>
  <c r="E20" i="5"/>
  <c r="D13" i="5"/>
  <c r="C23" i="7"/>
  <c r="C13" i="7"/>
  <c r="A49" i="4"/>
  <c r="G23" i="4"/>
  <c r="G24" i="4" s="1"/>
  <c r="C39" i="4"/>
  <c r="H17" i="4"/>
  <c r="C12" i="5"/>
  <c r="K10" i="5"/>
  <c r="C10" i="5"/>
  <c r="E10" i="5" s="1"/>
  <c r="C9" i="5"/>
  <c r="E9" i="5" s="1"/>
  <c r="C8" i="5"/>
  <c r="E8" i="5" s="1"/>
  <c r="D7" i="5"/>
  <c r="E7" i="5" s="1"/>
  <c r="C6" i="5"/>
  <c r="E6" i="5" s="1"/>
  <c r="J61" i="4" l="1"/>
  <c r="I55" i="4"/>
  <c r="J58" i="4"/>
  <c r="E11" i="5"/>
  <c r="C13" i="5"/>
  <c r="I7" i="5"/>
  <c r="I11" i="5" s="1"/>
  <c r="H7" i="5"/>
  <c r="H11" i="5" s="1"/>
  <c r="G7" i="5"/>
  <c r="G11" i="5" s="1"/>
  <c r="E12" i="5"/>
  <c r="F12" i="5" l="1"/>
  <c r="H12" i="5"/>
  <c r="H13" i="5" s="1"/>
  <c r="G12" i="5"/>
  <c r="G13" i="5" s="1"/>
  <c r="I12" i="5"/>
  <c r="I13" i="5" s="1"/>
  <c r="J12" i="5"/>
  <c r="J13" i="5" s="1"/>
  <c r="E13" i="5"/>
  <c r="F7" i="5"/>
  <c r="F11" i="5" s="1"/>
  <c r="K6" i="5"/>
  <c r="K11" i="5" l="1"/>
  <c r="F13" i="5"/>
  <c r="K12" i="5"/>
  <c r="L12" i="5" s="1"/>
  <c r="K7" i="5"/>
  <c r="K13" i="5" l="1"/>
  <c r="K8" i="5"/>
  <c r="K9" i="5"/>
  <c r="C43" i="4" l="1"/>
  <c r="H8" i="4"/>
  <c r="G26" i="4" l="1"/>
  <c r="C34" i="4"/>
  <c r="C37" i="4"/>
  <c r="D39" i="4" s="1"/>
  <c r="H8" i="9"/>
  <c r="H9" i="9"/>
  <c r="H10" i="9"/>
  <c r="H11" i="9"/>
  <c r="H7" i="9"/>
  <c r="D12" i="9"/>
  <c r="E12" i="9"/>
  <c r="C12" i="9"/>
  <c r="F8" i="9"/>
  <c r="F9" i="9"/>
  <c r="F10" i="9"/>
  <c r="F11" i="9"/>
  <c r="F7" i="9"/>
  <c r="H28" i="1"/>
  <c r="I11" i="9" l="1"/>
  <c r="I7" i="9"/>
  <c r="I8" i="9"/>
  <c r="I10" i="9"/>
  <c r="H12" i="9"/>
  <c r="C32" i="1" s="1"/>
  <c r="D41" i="1" s="1"/>
  <c r="P9" i="5"/>
  <c r="P10" i="5" s="1"/>
  <c r="P11" i="5" s="1"/>
  <c r="I9" i="9"/>
  <c r="F12" i="9"/>
  <c r="D34" i="4"/>
  <c r="H26" i="4"/>
  <c r="D26" i="4"/>
  <c r="D43" i="4"/>
  <c r="D22" i="4"/>
  <c r="I12" i="9" l="1"/>
  <c r="H28" i="4" s="1"/>
  <c r="H14" i="4"/>
  <c r="E45" i="1"/>
  <c r="J51" i="1" l="1"/>
  <c r="J48" i="1"/>
  <c r="H49" i="4"/>
  <c r="H45" i="1"/>
  <c r="D44" i="1" l="1"/>
  <c r="D45" i="1" l="1"/>
  <c r="C44" i="1"/>
  <c r="I51" i="1" l="1"/>
  <c r="I48" i="1"/>
  <c r="C43" i="1"/>
  <c r="C47" i="4" s="1"/>
  <c r="D47" i="4" s="1"/>
  <c r="C16" i="4"/>
  <c r="D16" i="4" s="1"/>
  <c r="D49" i="4" l="1"/>
  <c r="I61" i="4" l="1"/>
  <c r="I58" i="4"/>
  <c r="J55" i="4"/>
</calcChain>
</file>

<file path=xl/sharedStrings.xml><?xml version="1.0" encoding="utf-8"?>
<sst xmlns="http://schemas.openxmlformats.org/spreadsheetml/2006/main" count="531" uniqueCount="367">
  <si>
    <t>MANIKA CO-OPERATIVE HOUSING SOCIETY LTD</t>
  </si>
  <si>
    <t>Expenditures</t>
  </si>
  <si>
    <t>Incomes</t>
  </si>
  <si>
    <t>By Members' Contributions:</t>
  </si>
  <si>
    <t>Water Charges</t>
  </si>
  <si>
    <t>Parking Charges</t>
  </si>
  <si>
    <t>Non-Occupancy Charges</t>
  </si>
  <si>
    <t>Late Payment Charges</t>
  </si>
  <si>
    <t>Less: Members Unrealised Interest</t>
  </si>
  <si>
    <t>Interest on Savings Account</t>
  </si>
  <si>
    <t>Interest on Fixed Deposits</t>
  </si>
  <si>
    <t>Less: Trf to Sinking Fund</t>
  </si>
  <si>
    <t>Less: Trf to Repair Fund</t>
  </si>
  <si>
    <t>By Interest Income:</t>
  </si>
  <si>
    <t>By Other Income:</t>
  </si>
  <si>
    <t>To Property Related Expenses:</t>
  </si>
  <si>
    <t>Property Taxes</t>
  </si>
  <si>
    <t>Water Expenses</t>
  </si>
  <si>
    <t>Electricity Expenses</t>
  </si>
  <si>
    <t>Insurance Expenses</t>
  </si>
  <si>
    <t>To Repairs and Maintenance:</t>
  </si>
  <si>
    <t>Lift Maintenance Expenses</t>
  </si>
  <si>
    <t>Garden Maintenance Expenses</t>
  </si>
  <si>
    <t>Electrical Maintenance</t>
  </si>
  <si>
    <t>To Services Purchased:</t>
  </si>
  <si>
    <t>Security Expenses</t>
  </si>
  <si>
    <t>Accounting Expenses</t>
  </si>
  <si>
    <t>To Administrative Expenses</t>
  </si>
  <si>
    <t>Meeting/Function Expenses</t>
  </si>
  <si>
    <t>Staff Welfare</t>
  </si>
  <si>
    <t>Misc. Expenses</t>
  </si>
  <si>
    <t>Conveyance Expenses</t>
  </si>
  <si>
    <t>Printing &amp; Stationery</t>
  </si>
  <si>
    <t>Audit Fees</t>
  </si>
  <si>
    <t>Bank Charges</t>
  </si>
  <si>
    <t>Total</t>
  </si>
  <si>
    <t>Sr.</t>
  </si>
  <si>
    <t>Certificate No.</t>
  </si>
  <si>
    <t>Sinking Fund</t>
  </si>
  <si>
    <t>Principal</t>
  </si>
  <si>
    <t>Total Value Invested</t>
  </si>
  <si>
    <t>Repair Fund</t>
  </si>
  <si>
    <t>Deposit Date</t>
  </si>
  <si>
    <t>Maturity Date</t>
  </si>
  <si>
    <t>Maturity Amount</t>
  </si>
  <si>
    <t>ROI</t>
  </si>
  <si>
    <t>Bank</t>
  </si>
  <si>
    <t>MDCC</t>
  </si>
  <si>
    <t>By Other Member Income</t>
  </si>
  <si>
    <t>Shifting Charges</t>
  </si>
  <si>
    <t>Penalty</t>
  </si>
  <si>
    <t>Water Tank Cleaning Expenses</t>
  </si>
  <si>
    <t>Other Repair Maintenance</t>
  </si>
  <si>
    <t>Postage and Courier</t>
  </si>
  <si>
    <t>LIABILITIES</t>
  </si>
  <si>
    <t>ASSETS</t>
  </si>
  <si>
    <t>Authorised Share Capital</t>
  </si>
  <si>
    <t>Opening Balance</t>
  </si>
  <si>
    <t>Add: Members Contributions</t>
  </si>
  <si>
    <t>Add: Interest earned</t>
  </si>
  <si>
    <t>Current Liabilities &amp; Provisions:</t>
  </si>
  <si>
    <t>Municipal Taxes Refundable</t>
  </si>
  <si>
    <t>TDS Payable</t>
  </si>
  <si>
    <t>Members' Payables:</t>
  </si>
  <si>
    <t>Unrealised Interest for S01/02</t>
  </si>
  <si>
    <t>Add: Unrealised interest carried over</t>
  </si>
  <si>
    <t>MDCC Bank</t>
  </si>
  <si>
    <t>1 Share with Mumabi Housing Fed.</t>
  </si>
  <si>
    <t>Accrued Interset</t>
  </si>
  <si>
    <t>Prepaid Expenses</t>
  </si>
  <si>
    <t>Assets</t>
  </si>
  <si>
    <t xml:space="preserve"> Gross Block </t>
  </si>
  <si>
    <t xml:space="preserve">Depreciation </t>
  </si>
  <si>
    <t xml:space="preserve"> Net Block </t>
  </si>
  <si>
    <t>Rate of Dep (%)</t>
  </si>
  <si>
    <t xml:space="preserve"> For the Year</t>
  </si>
  <si>
    <t>Furniture</t>
  </si>
  <si>
    <t>Water Pump</t>
  </si>
  <si>
    <t>CCTV</t>
  </si>
  <si>
    <t>Sound System</t>
  </si>
  <si>
    <t>Laptop</t>
  </si>
  <si>
    <t>A</t>
  </si>
  <si>
    <t>B</t>
  </si>
  <si>
    <t>MR. SANTOSH GANPAT AMBULGE</t>
  </si>
  <si>
    <t>C</t>
  </si>
  <si>
    <t>MRS. RASULBI HASMATH KHAN</t>
  </si>
  <si>
    <t>Shop</t>
  </si>
  <si>
    <t>MR. CHITTRESEN SHARMA</t>
  </si>
  <si>
    <t>MR. KAMALPRASAD GUPTA</t>
  </si>
  <si>
    <t>Wing</t>
  </si>
  <si>
    <t>Flat</t>
  </si>
  <si>
    <t>Name of Member</t>
  </si>
  <si>
    <t>Amount</t>
  </si>
  <si>
    <t>Schedule 3:</t>
  </si>
  <si>
    <t>Dues from Members (Sch 3)</t>
  </si>
  <si>
    <t>MR. JEROME ALMEIDA</t>
  </si>
  <si>
    <t>MR. RAJESH BALDEV MANDHYAN</t>
  </si>
  <si>
    <t>MS. SWARAJI RAMUGRAH SINGH</t>
  </si>
  <si>
    <t>MR. PRAVIN TRIVEDI</t>
  </si>
  <si>
    <t>MRS. LOVEY RAMOS</t>
  </si>
  <si>
    <t>MRS. ROSHNI EDWARD ANTHONY</t>
  </si>
  <si>
    <t>MR. VASANT A. PAWALE</t>
  </si>
  <si>
    <t>Advance from Members (Sch 3)</t>
  </si>
  <si>
    <t>Refundable Deposits (Sch 3)</t>
  </si>
  <si>
    <t>Schedule 4:</t>
  </si>
  <si>
    <t>Vendor Name</t>
  </si>
  <si>
    <t>Remark</t>
  </si>
  <si>
    <t>Loan EMI</t>
  </si>
  <si>
    <t>Particulars</t>
  </si>
  <si>
    <t>Balance as per books</t>
  </si>
  <si>
    <t>Add:</t>
  </si>
  <si>
    <t>Balance as per Bank Statement</t>
  </si>
  <si>
    <t>Instr No.</t>
  </si>
  <si>
    <t>1 Shares with MDCC Bank</t>
  </si>
  <si>
    <t>TDS Receivable FY 21-22</t>
  </si>
  <si>
    <t>TDS Receivable FY 22-23</t>
  </si>
  <si>
    <t>Cash Book</t>
  </si>
  <si>
    <t>Fixed Deposits with Banks (Sch 1)</t>
  </si>
  <si>
    <t>Bal as per Last year</t>
  </si>
  <si>
    <t xml:space="preserve"> ( 250 shares of Rs. 50 each )</t>
  </si>
  <si>
    <t>Issued, Subscribed &amp; Paid-up Share Capital</t>
  </si>
  <si>
    <t>( 2,000 share of Rs. 50 each )</t>
  </si>
  <si>
    <t>Reserve and Other Funds</t>
  </si>
  <si>
    <t>(i) General Reserve Fund</t>
  </si>
  <si>
    <t>(ii) Common Amenity Fund</t>
  </si>
  <si>
    <t>(iii) Sinking Fund</t>
  </si>
  <si>
    <t>(iv) Repair Fund</t>
  </si>
  <si>
    <t>Income &amp; Expenditure Account:</t>
  </si>
  <si>
    <t>Op. Balance as per Last year</t>
  </si>
  <si>
    <t>Fixed Assets (Sch 2)</t>
  </si>
  <si>
    <t>Sundry Debtors :</t>
  </si>
  <si>
    <t>Other Current Assets :</t>
  </si>
  <si>
    <t>Other Items :</t>
  </si>
  <si>
    <t>Cash and Bank Balance :</t>
  </si>
  <si>
    <t>Investments :</t>
  </si>
  <si>
    <t>Amount (Rs.)</t>
  </si>
  <si>
    <t>MANIKA CO-OPERATIVE HOUSING SOCIETY LTD.</t>
  </si>
  <si>
    <t>Federation Subscription Fees</t>
  </si>
  <si>
    <t>Depreciation on Fixed Assets</t>
  </si>
  <si>
    <t>(REDG. NO. MUM / WK-E/HSG/TC/14068/2008 Dtd. 04.02.2008</t>
  </si>
  <si>
    <t>As per my report of even date</t>
  </si>
  <si>
    <t>(Amt. in Rs.)</t>
  </si>
  <si>
    <t>Payables/Provisions (Sch 4)</t>
  </si>
  <si>
    <t>Audit Fees Payable</t>
  </si>
  <si>
    <t>11.04.2025</t>
  </si>
  <si>
    <t>Date</t>
  </si>
  <si>
    <t>Period</t>
  </si>
  <si>
    <t>No of Days</t>
  </si>
  <si>
    <t>Water Connection</t>
  </si>
  <si>
    <t>KE@0047152</t>
  </si>
  <si>
    <t>KE@0047140</t>
  </si>
  <si>
    <t>KE@0047139</t>
  </si>
  <si>
    <t>KE@0047176</t>
  </si>
  <si>
    <t>KE@0047164</t>
  </si>
  <si>
    <t>Less: Last year</t>
  </si>
  <si>
    <t>Add: Provison</t>
  </si>
  <si>
    <t>Water expense</t>
  </si>
  <si>
    <t>MRS. SHUSHILA RAMNARAYAN MISHRA &amp; MR. RAMNARAYAN R. MISHRA</t>
  </si>
  <si>
    <t>MRS. AMIRTA RAJARAM YADAV, MRS. VIMALADEVI U. YADAV &amp; MRS. GEETA L . YADAV</t>
  </si>
  <si>
    <t>MR. ALOKE CHATTERJEE &amp; MRS. PRITI CHATTERJEE</t>
  </si>
  <si>
    <t>MR. MELROY GAVIN NICHOLAS REGO &amp; MRS. NITIKA MELROY REGO</t>
  </si>
  <si>
    <t>MRS. KALAVATHI D. SHETTY &amp; MR. DAYANAND K. SHETTY</t>
  </si>
  <si>
    <t>MRS. LYDIA FERNANDES &amp; MR. JOAQUIM A. FERNANDES</t>
  </si>
  <si>
    <t>MRS. PARUL M. MEHTA &amp; MR. MEHOOL I. MEHTA</t>
  </si>
  <si>
    <t>MR. RAMNARAYAN H. YADAV &amp; MR. SABAJEET H. YADAV</t>
  </si>
  <si>
    <t>MRS. ROSA B. GEORGE &amp; MR. BOBAN GEORGE</t>
  </si>
  <si>
    <t>MS. AARTI SHIVAJIRAO MANE &amp; MRS. RATNAMALA SHIVAJIRAO MANE</t>
  </si>
  <si>
    <t>Other Charges</t>
  </si>
  <si>
    <t>Staff Salaries/Bonus</t>
  </si>
  <si>
    <t>Water Pump Repair Charges</t>
  </si>
  <si>
    <t>Plumbing Repair Maintenance</t>
  </si>
  <si>
    <t>Housekeeping Consumables</t>
  </si>
  <si>
    <t>TDS Receivable FY 23-24</t>
  </si>
  <si>
    <t>Adani Electricity</t>
  </si>
  <si>
    <t>March-2024</t>
  </si>
  <si>
    <t>Water Charges Payable -BMC</t>
  </si>
  <si>
    <t>Period: 04.01.2023 to 31.03.2024</t>
  </si>
  <si>
    <t>National Enterprise - Security</t>
  </si>
  <si>
    <t>FY 2023-24</t>
  </si>
  <si>
    <t xml:space="preserve">Income Tax </t>
  </si>
  <si>
    <t>Schedule 5:</t>
  </si>
  <si>
    <t>Provision for Income Tax</t>
  </si>
  <si>
    <t>Income from Savings A/c.</t>
  </si>
  <si>
    <t>Other Income</t>
  </si>
  <si>
    <t>Income from Fixed Deposit</t>
  </si>
  <si>
    <t>Dividend</t>
  </si>
  <si>
    <t>Total Taxable Income</t>
  </si>
  <si>
    <t>Liability 10%</t>
  </si>
  <si>
    <t>Total Tax</t>
  </si>
  <si>
    <t>Education cess 4%</t>
  </si>
  <si>
    <t>Cleared on</t>
  </si>
  <si>
    <t>Insurance</t>
  </si>
  <si>
    <t>Prepaid</t>
  </si>
  <si>
    <t>Deposit with Adani Electricity</t>
  </si>
  <si>
    <t>Pest Control Expenses</t>
  </si>
  <si>
    <t>Income Tax Expenses</t>
  </si>
  <si>
    <t>March 31, 2025</t>
  </si>
  <si>
    <t>Accd. Int. FY 2024-25</t>
  </si>
  <si>
    <t>12.03.2026</t>
  </si>
  <si>
    <t>27.03.2026</t>
  </si>
  <si>
    <t>31.03.2026</t>
  </si>
  <si>
    <t>28.05.2025</t>
  </si>
  <si>
    <t>18.05.2025</t>
  </si>
  <si>
    <t>09.09.2025</t>
  </si>
  <si>
    <t>30.03.2026</t>
  </si>
  <si>
    <t>09.10.2025</t>
  </si>
  <si>
    <t>23.05.2025</t>
  </si>
  <si>
    <t>Reserve Fund</t>
  </si>
  <si>
    <t>16.02.2026</t>
  </si>
  <si>
    <t>16.07.2024</t>
  </si>
  <si>
    <t>16.07.2026</t>
  </si>
  <si>
    <t>26.06.2024</t>
  </si>
  <si>
    <t>26.06.2026</t>
  </si>
  <si>
    <t>14.06.2024</t>
  </si>
  <si>
    <t>14.06.2026</t>
  </si>
  <si>
    <t>Notes</t>
  </si>
  <si>
    <t>March 2025 bills paid in April 2025 (vouchers)</t>
  </si>
  <si>
    <t>Audit report for FY 2023-24</t>
  </si>
  <si>
    <t>Water to check</t>
  </si>
  <si>
    <t>Insurance bill required - Prepaid</t>
  </si>
  <si>
    <t>Shop 1/2 Unrealized Late Payment Interest</t>
  </si>
  <si>
    <t>Sl.No</t>
  </si>
  <si>
    <t>Posted Date</t>
  </si>
  <si>
    <t>Invoice No</t>
  </si>
  <si>
    <t>01-04-24</t>
  </si>
  <si>
    <t>01-05-24</t>
  </si>
  <si>
    <t>01-06-24</t>
  </si>
  <si>
    <t>01-07-24</t>
  </si>
  <si>
    <t>01-08-24</t>
  </si>
  <si>
    <t>01-09-24</t>
  </si>
  <si>
    <t>01-10-24</t>
  </si>
  <si>
    <t>01-11-24</t>
  </si>
  <si>
    <t>01-12-24</t>
  </si>
  <si>
    <t>01-01-25</t>
  </si>
  <si>
    <t>01-02-25</t>
  </si>
  <si>
    <t>01-03-25</t>
  </si>
  <si>
    <t>Common Electricity Charges</t>
  </si>
  <si>
    <t>Service Charges</t>
  </si>
  <si>
    <t>Insurance Charges</t>
  </si>
  <si>
    <t>Property Tax (Common Area)</t>
  </si>
  <si>
    <t>Festival Expense</t>
  </si>
  <si>
    <t>TDS Receivable FY 24-25</t>
  </si>
  <si>
    <t>Advance to Vendors (Sch 5)</t>
  </si>
  <si>
    <t>BMC</t>
  </si>
  <si>
    <t>Microtech Elevators</t>
  </si>
  <si>
    <t>(v) Education &amp; Training Fund</t>
  </si>
  <si>
    <t>Less: Trf to Reserve Fund</t>
  </si>
  <si>
    <t>To Excess of Income over Expense for the year</t>
  </si>
  <si>
    <t>25% Surplus Trf to Reserve Fund</t>
  </si>
  <si>
    <t>(i) Building Insurance Charges</t>
  </si>
  <si>
    <t>Less: 80P2d benefit</t>
  </si>
  <si>
    <t>Say</t>
  </si>
  <si>
    <t>Add: 25% Surplus Trf to Reserve Fund</t>
  </si>
  <si>
    <t>Interest &amp; Penalty on TDS</t>
  </si>
  <si>
    <t>Irene Rosario - TDS</t>
  </si>
  <si>
    <t>Major Repair - Lift</t>
  </si>
  <si>
    <t>Sale of Scrap</t>
  </si>
  <si>
    <t>Income and Expenditure Account for the year ended March 31, 2026</t>
  </si>
  <si>
    <t>March 31, 2026</t>
  </si>
  <si>
    <t>Balance Sheet as at March 31, 2026</t>
  </si>
  <si>
    <t>Schedule 1: Details of Fixed Assets as at 31 March 2026</t>
  </si>
  <si>
    <t>Accd. Int. FY 2025-26</t>
  </si>
  <si>
    <t>Schedule 2 - Fixed Assets Details as on 31 March 2026</t>
  </si>
  <si>
    <t xml:space="preserve"> Cost as at 01.04.2025</t>
  </si>
  <si>
    <t xml:space="preserve"> Additions on or before 30.09.2025</t>
  </si>
  <si>
    <t xml:space="preserve"> Additions after 30.09.2025</t>
  </si>
  <si>
    <t xml:space="preserve"> Cost as at 31.03.2026</t>
  </si>
  <si>
    <t>Telephone and Internet Expense</t>
  </si>
  <si>
    <t>Professional and Legal Fees</t>
  </si>
  <si>
    <t>Vendor Payables/Provisions as at 31.03.2026</t>
  </si>
  <si>
    <t>Advocate Dattatray Solankar</t>
  </si>
  <si>
    <t>MR. SURYAKANT SATISH RAIKAR &amp; NISHA SURYAKANT RAIKAR</t>
  </si>
  <si>
    <t>MR. AKHIL PRAMOD DAS &amp; MRS. NAMITA PRAMOD DAS</t>
  </si>
  <si>
    <t>MR. BHARAT B. SINGH</t>
  </si>
  <si>
    <t>MS. EMILDA DOREEN NORONHA &amp; MRS. EVEJIN NORONHA</t>
  </si>
  <si>
    <t>MR. JIBRAIL BABADIN SHAIKH &amp; MRS. NOORBANO JABRAIL SHAIKH</t>
  </si>
  <si>
    <t>MRS. ANJANA MOHAN PATIL &amp; MR. MOHAN SHRIPATI PATIL</t>
  </si>
  <si>
    <t>MISS. ANNET FERNANDES</t>
  </si>
  <si>
    <t>MISS. CELESTE GERALD KURSHINGAL</t>
  </si>
  <si>
    <t>Education &amp; Training Fund</t>
  </si>
  <si>
    <t>Share Capital</t>
  </si>
  <si>
    <t>MR. GURPREET SINGH SAINI &amp; MR. RASHPAL SINGH SAINI</t>
  </si>
  <si>
    <t>MR. HASNAIN HASMAT KHAN</t>
  </si>
  <si>
    <t>MR. GIRDHARILAL PATHAK</t>
  </si>
  <si>
    <t>MR. JASBIR SINGH KAPOOR &amp; MR. GURJIT SINGH KAPOOR</t>
  </si>
  <si>
    <t>MRS. NOORBANO JIBRAIL SHAIKH &amp; MR. JABRAIL BABADIN SHAIKH</t>
  </si>
  <si>
    <t>TDS Receivable FY 25-26</t>
  </si>
  <si>
    <t>MDCC Bank Reconciliation Statement as at 31.03.2026</t>
  </si>
  <si>
    <t>2676</t>
  </si>
  <si>
    <t>14.01.2026</t>
  </si>
  <si>
    <t>14.10.2027</t>
  </si>
  <si>
    <t>2677</t>
  </si>
  <si>
    <t>14.01.2027</t>
  </si>
  <si>
    <t>0785_04</t>
  </si>
  <si>
    <t>09.10.2026</t>
  </si>
  <si>
    <t>2656</t>
  </si>
  <si>
    <t>12.11.2025</t>
  </si>
  <si>
    <t>2644</t>
  </si>
  <si>
    <t>14.10.2025</t>
  </si>
  <si>
    <t>1867_04</t>
  </si>
  <si>
    <t>2012_04</t>
  </si>
  <si>
    <t>1868_04</t>
  </si>
  <si>
    <t>1860_04</t>
  </si>
  <si>
    <t>28.05.2026</t>
  </si>
  <si>
    <t>23.05.2026</t>
  </si>
  <si>
    <t>12.11.2026</t>
  </si>
  <si>
    <t>14.10.2026</t>
  </si>
  <si>
    <t>12.03.2027</t>
  </si>
  <si>
    <t>2491_01</t>
  </si>
  <si>
    <t>16.05.2027</t>
  </si>
  <si>
    <t>11.12.2025</t>
  </si>
  <si>
    <t>11.12.2026</t>
  </si>
  <si>
    <t>1212_04</t>
  </si>
  <si>
    <t>1181_04</t>
  </si>
  <si>
    <t>1211_04</t>
  </si>
  <si>
    <t>1210_04</t>
  </si>
  <si>
    <t>0992_04</t>
  </si>
  <si>
    <t>0864_04</t>
  </si>
  <si>
    <t>1813_04</t>
  </si>
  <si>
    <t>1151_04</t>
  </si>
  <si>
    <t>1312_04</t>
  </si>
  <si>
    <t>1178_04</t>
  </si>
  <si>
    <t>18.05.2026</t>
  </si>
  <si>
    <t>09.09.2026</t>
  </si>
  <si>
    <t>27.03.2027</t>
  </si>
  <si>
    <t>31.03.2027</t>
  </si>
  <si>
    <t>11.04.2026</t>
  </si>
  <si>
    <t>30.03.2027</t>
  </si>
  <si>
    <t>Less: Trf to Education Fund</t>
  </si>
  <si>
    <t>Deposit</t>
  </si>
  <si>
    <t>Issued</t>
  </si>
  <si>
    <t>MIK013145884</t>
  </si>
  <si>
    <t>028775</t>
  </si>
  <si>
    <t>02.04.2026</t>
  </si>
  <si>
    <t>13.04.2026</t>
  </si>
  <si>
    <t>Remarks</t>
  </si>
  <si>
    <t>Flat C 101 Maintenance</t>
  </si>
  <si>
    <t>Darsana Kakda</t>
  </si>
  <si>
    <t>Less:</t>
  </si>
  <si>
    <t>Cheques Issued but not presented</t>
  </si>
  <si>
    <t>Cheques deposited but not presented</t>
  </si>
  <si>
    <t>Members' Advances as at 31.03.2026</t>
  </si>
  <si>
    <t>Members' Receivables as at 31.03.2026</t>
  </si>
  <si>
    <t>Members' Refundable Deposits as at 31.03.2026</t>
  </si>
  <si>
    <t xml:space="preserve"> MRS. SHUSHILA RAMNARAYAN MISHRA</t>
  </si>
  <si>
    <t xml:space="preserve"> MISS. CELESTE GERALD KURSHINGAL</t>
  </si>
  <si>
    <t xml:space="preserve"> Advances to Vendors at 31.03.2026</t>
  </si>
  <si>
    <t>001</t>
  </si>
  <si>
    <t>008</t>
  </si>
  <si>
    <t>Unidentified as at 31.03.2026</t>
  </si>
  <si>
    <t>Instru. No.</t>
  </si>
  <si>
    <t>08.11.25</t>
  </si>
  <si>
    <t>MPS recd from Amit Varun</t>
  </si>
  <si>
    <t>Sr. no.</t>
  </si>
  <si>
    <t>Unidentified Credit</t>
  </si>
  <si>
    <t>Shri. Bharat C. Boridkar</t>
  </si>
  <si>
    <t>Govt. Certified Panel Auditor</t>
  </si>
  <si>
    <t>[Panel No.: Mumbai-4/C1/1011404]</t>
  </si>
  <si>
    <t xml:space="preserve"> ( SECRETARY                                CHAIRMAN                              TREASURER )</t>
  </si>
  <si>
    <t>FOR MANIKA CO-OPERATIVE HOUSING SOCIETY LTD</t>
  </si>
  <si>
    <t>Add: Excess of Income over Expenditure for the year</t>
  </si>
  <si>
    <t>Opn. Balance as per Last year</t>
  </si>
  <si>
    <t>Previous years TDS Receivables are still shown as Receivables in Current year, Society has to take necessary steps to resolve the same.</t>
  </si>
  <si>
    <t>The dues from members should be recovered regularly and if necessary initiate legal action under New Ammendment section 154 B-29 of the MCS Act, 1960, the members should confirm their debts from time to time.</t>
  </si>
  <si>
    <t>01 &amp; 02</t>
  </si>
  <si>
    <t>CTS. NO. 556, &amp; 558, MAHAKALI CAVES ROAD, KONDIVITA, ANDHERI (EAST), MUMBAI - 400093.</t>
  </si>
  <si>
    <t>CTS. NO. 556,  &amp; 558, MAHAKALI CAVES ROAD, KONDIVITA, ANDHERI (EAST), MUMBAI - 400093.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</si>
</sst>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&quot;Mumbai: &quot;dd&quot;th&quot;\ mmmm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name val="Times New Roman"/>
      <family val="1"/>
    </font>
    <font>
      <b/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2" fillId="0" borderId="0" applyNumberFormat="0" applyFill="0" applyBorder="0" applyAlignment="0" applyProtection="0"/>
    <xf numFmtId="0" fontId="18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43" fontId="2" fillId="0" borderId="1" xfId="1" applyFont="1" applyBorder="1" applyAlignment="1">
      <alignment horizontal="center"/>
    </xf>
    <xf numFmtId="14" fontId="0" fillId="0" borderId="0" xfId="0" applyNumberFormat="1"/>
    <xf numFmtId="43" fontId="0" fillId="0" borderId="6" xfId="1" applyFont="1" applyBorder="1"/>
    <xf numFmtId="0" fontId="0" fillId="0" borderId="8" xfId="0" applyBorder="1"/>
    <xf numFmtId="43" fontId="0" fillId="0" borderId="2" xfId="1" applyFont="1" applyBorder="1"/>
    <xf numFmtId="43" fontId="0" fillId="0" borderId="0" xfId="1" applyFont="1" applyBorder="1"/>
    <xf numFmtId="43" fontId="2" fillId="0" borderId="6" xfId="1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43" fontId="0" fillId="0" borderId="0" xfId="1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3" fontId="0" fillId="0" borderId="1" xfId="1" applyFont="1" applyFill="1" applyBorder="1"/>
    <xf numFmtId="0" fontId="0" fillId="0" borderId="1" xfId="0" applyBorder="1"/>
    <xf numFmtId="43" fontId="0" fillId="0" borderId="0" xfId="0" applyNumberFormat="1"/>
    <xf numFmtId="0" fontId="0" fillId="0" borderId="0" xfId="0" applyAlignment="1">
      <alignment horizontal="center" vertical="center" wrapText="1"/>
    </xf>
    <xf numFmtId="4" fontId="0" fillId="0" borderId="1" xfId="0" applyNumberFormat="1" applyBorder="1"/>
    <xf numFmtId="0" fontId="2" fillId="0" borderId="0" xfId="0" applyFont="1" applyAlignment="1">
      <alignment horizontal="center"/>
    </xf>
    <xf numFmtId="43" fontId="2" fillId="0" borderId="3" xfId="1" applyFont="1" applyBorder="1"/>
    <xf numFmtId="0" fontId="0" fillId="0" borderId="2" xfId="0" applyBorder="1"/>
    <xf numFmtId="0" fontId="4" fillId="0" borderId="2" xfId="0" applyFont="1" applyBorder="1"/>
    <xf numFmtId="43" fontId="2" fillId="0" borderId="13" xfId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3" fontId="2" fillId="0" borderId="13" xfId="1" applyFont="1" applyBorder="1"/>
    <xf numFmtId="43" fontId="0" fillId="0" borderId="3" xfId="1" applyFont="1" applyBorder="1"/>
    <xf numFmtId="43" fontId="0" fillId="0" borderId="5" xfId="1" applyFont="1" applyBorder="1"/>
    <xf numFmtId="0" fontId="0" fillId="0" borderId="13" xfId="0" applyBorder="1"/>
    <xf numFmtId="0" fontId="2" fillId="0" borderId="13" xfId="0" applyFont="1" applyBorder="1" applyAlignment="1">
      <alignment horizontal="center" vertical="center" wrapText="1"/>
    </xf>
    <xf numFmtId="43" fontId="2" fillId="0" borderId="13" xfId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43" fontId="0" fillId="0" borderId="5" xfId="1" applyFont="1" applyFill="1" applyBorder="1"/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vertical="center" wrapText="1"/>
    </xf>
    <xf numFmtId="43" fontId="0" fillId="0" borderId="5" xfId="1" applyFont="1" applyBorder="1" applyAlignment="1">
      <alignment vertical="center"/>
    </xf>
    <xf numFmtId="43" fontId="0" fillId="0" borderId="14" xfId="1" applyFont="1" applyBorder="1" applyAlignment="1">
      <alignment horizontal="center"/>
    </xf>
    <xf numFmtId="1" fontId="0" fillId="0" borderId="0" xfId="0" applyNumberFormat="1"/>
    <xf numFmtId="43" fontId="2" fillId="0" borderId="13" xfId="1" applyFont="1" applyFill="1" applyBorder="1"/>
    <xf numFmtId="164" fontId="0" fillId="0" borderId="0" xfId="0" applyNumberFormat="1"/>
    <xf numFmtId="43" fontId="2" fillId="0" borderId="1" xfId="1" applyFont="1" applyFill="1" applyBorder="1"/>
    <xf numFmtId="0" fontId="13" fillId="0" borderId="0" xfId="3" applyFont="1"/>
    <xf numFmtId="1" fontId="0" fillId="0" borderId="0" xfId="0" applyNumberFormat="1" applyAlignment="1">
      <alignment horizontal="center"/>
    </xf>
    <xf numFmtId="14" fontId="0" fillId="0" borderId="4" xfId="0" applyNumberFormat="1" applyBorder="1"/>
    <xf numFmtId="1" fontId="0" fillId="0" borderId="4" xfId="0" applyNumberFormat="1" applyBorder="1" applyAlignment="1">
      <alignment horizontal="center"/>
    </xf>
    <xf numFmtId="0" fontId="0" fillId="0" borderId="4" xfId="0" applyBorder="1"/>
    <xf numFmtId="1" fontId="0" fillId="0" borderId="0" xfId="0" applyNumberFormat="1" applyAlignment="1">
      <alignment horizontal="right"/>
    </xf>
    <xf numFmtId="43" fontId="0" fillId="0" borderId="3" xfId="1" applyFont="1" applyFill="1" applyBorder="1"/>
    <xf numFmtId="43" fontId="2" fillId="0" borderId="3" xfId="1" applyFont="1" applyFill="1" applyBorder="1"/>
    <xf numFmtId="43" fontId="0" fillId="0" borderId="6" xfId="1" applyFont="1" applyFill="1" applyBorder="1"/>
    <xf numFmtId="43" fontId="2" fillId="0" borderId="6" xfId="1" applyFont="1" applyFill="1" applyBorder="1"/>
    <xf numFmtId="43" fontId="0" fillId="0" borderId="2" xfId="1" applyFont="1" applyFill="1" applyBorder="1"/>
    <xf numFmtId="0" fontId="4" fillId="0" borderId="2" xfId="1" applyNumberFormat="1" applyFont="1" applyFill="1" applyBorder="1"/>
    <xf numFmtId="43" fontId="0" fillId="0" borderId="7" xfId="1" applyFont="1" applyFill="1" applyBorder="1"/>
    <xf numFmtId="43" fontId="1" fillId="0" borderId="15" xfId="1" applyFont="1" applyFill="1" applyBorder="1"/>
    <xf numFmtId="43" fontId="1" fillId="0" borderId="3" xfId="1" applyFont="1" applyFill="1" applyBorder="1"/>
    <xf numFmtId="43" fontId="1" fillId="0" borderId="0" xfId="1" applyFont="1" applyFill="1" applyBorder="1"/>
    <xf numFmtId="43" fontId="0" fillId="0" borderId="15" xfId="1" applyFont="1" applyFill="1" applyBorder="1"/>
    <xf numFmtId="43" fontId="2" fillId="0" borderId="10" xfId="1" applyFont="1" applyFill="1" applyBorder="1"/>
    <xf numFmtId="43" fontId="2" fillId="0" borderId="2" xfId="1" applyFont="1" applyFill="1" applyBorder="1"/>
    <xf numFmtId="43" fontId="2" fillId="0" borderId="12" xfId="1" applyFont="1" applyFill="1" applyBorder="1"/>
    <xf numFmtId="43" fontId="1" fillId="0" borderId="2" xfId="1" applyFont="1" applyFill="1" applyBorder="1"/>
    <xf numFmtId="43" fontId="1" fillId="0" borderId="5" xfId="1" applyFont="1" applyFill="1" applyBorder="1"/>
    <xf numFmtId="43" fontId="0" fillId="0" borderId="0" xfId="1" applyFont="1" applyFill="1" applyBorder="1"/>
    <xf numFmtId="164" fontId="0" fillId="0" borderId="11" xfId="0" applyNumberFormat="1" applyBorder="1"/>
    <xf numFmtId="9" fontId="0" fillId="0" borderId="0" xfId="0" applyNumberFormat="1"/>
    <xf numFmtId="164" fontId="14" fillId="0" borderId="0" xfId="0" applyNumberFormat="1" applyFont="1"/>
    <xf numFmtId="0" fontId="0" fillId="0" borderId="8" xfId="0" applyBorder="1" applyAlignment="1">
      <alignment horizontal="center"/>
    </xf>
    <xf numFmtId="4" fontId="0" fillId="0" borderId="1" xfId="0" quotePrefix="1" applyNumberFormat="1" applyBorder="1"/>
    <xf numFmtId="0" fontId="0" fillId="0" borderId="1" xfId="0" quotePrefix="1" applyBorder="1"/>
    <xf numFmtId="0" fontId="0" fillId="0" borderId="7" xfId="0" applyBorder="1"/>
    <xf numFmtId="0" fontId="0" fillId="0" borderId="7" xfId="0" quotePrefix="1" applyBorder="1"/>
    <xf numFmtId="43" fontId="0" fillId="0" borderId="0" xfId="1" applyFont="1" applyFill="1"/>
    <xf numFmtId="0" fontId="2" fillId="0" borderId="4" xfId="0" applyFont="1" applyBorder="1" applyAlignment="1">
      <alignment horizontal="center"/>
    </xf>
    <xf numFmtId="43" fontId="2" fillId="0" borderId="13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10" fillId="0" borderId="13" xfId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wrapText="1"/>
    </xf>
    <xf numFmtId="43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43" fontId="0" fillId="0" borderId="8" xfId="1" applyFont="1" applyFill="1" applyBorder="1"/>
    <xf numFmtId="43" fontId="2" fillId="0" borderId="13" xfId="1" applyFont="1" applyFill="1" applyBorder="1" applyAlignment="1">
      <alignment horizontal="center"/>
    </xf>
    <xf numFmtId="0" fontId="0" fillId="0" borderId="8" xfId="0" applyBorder="1" applyAlignment="1">
      <alignment vertical="center"/>
    </xf>
    <xf numFmtId="43" fontId="0" fillId="0" borderId="8" xfId="1" applyFont="1" applyBorder="1" applyAlignment="1">
      <alignment vertical="center"/>
    </xf>
    <xf numFmtId="9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43" fontId="0" fillId="0" borderId="1" xfId="1" applyFont="1" applyFill="1" applyBorder="1" applyAlignment="1">
      <alignment horizontal="center"/>
    </xf>
    <xf numFmtId="0" fontId="0" fillId="2" borderId="4" xfId="0" applyFill="1" applyBorder="1"/>
    <xf numFmtId="14" fontId="0" fillId="0" borderId="1" xfId="0" applyNumberFormat="1" applyBorder="1"/>
    <xf numFmtId="4" fontId="0" fillId="0" borderId="0" xfId="0" applyNumberFormat="1"/>
    <xf numFmtId="4" fontId="15" fillId="0" borderId="0" xfId="0" applyNumberFormat="1" applyFont="1"/>
    <xf numFmtId="0" fontId="15" fillId="0" borderId="0" xfId="0" applyFont="1" applyAlignment="1">
      <alignment horizontal="center"/>
    </xf>
    <xf numFmtId="43" fontId="2" fillId="0" borderId="13" xfId="1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1" fontId="0" fillId="0" borderId="1" xfId="1" applyNumberFormat="1" applyFont="1" applyFill="1" applyBorder="1" applyAlignment="1">
      <alignment horizontal="center"/>
    </xf>
    <xf numFmtId="164" fontId="2" fillId="0" borderId="0" xfId="0" applyNumberFormat="1" applyFont="1"/>
    <xf numFmtId="43" fontId="2" fillId="0" borderId="1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9" xfId="0" applyBorder="1"/>
    <xf numFmtId="0" fontId="2" fillId="0" borderId="9" xfId="0" applyFont="1" applyBorder="1"/>
    <xf numFmtId="43" fontId="0" fillId="0" borderId="14" xfId="1" applyFont="1" applyFill="1" applyBorder="1" applyAlignment="1">
      <alignment horizontal="center"/>
    </xf>
    <xf numFmtId="0" fontId="0" fillId="0" borderId="1" xfId="0" quotePrefix="1" applyBorder="1" applyAlignment="1">
      <alignment horizontal="left"/>
    </xf>
    <xf numFmtId="43" fontId="11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43" fontId="2" fillId="0" borderId="1" xfId="1" applyFont="1" applyBorder="1"/>
    <xf numFmtId="43" fontId="16" fillId="0" borderId="2" xfId="0" applyNumberFormat="1" applyFont="1" applyBorder="1" applyAlignment="1">
      <alignment vertical="center"/>
    </xf>
    <xf numFmtId="43" fontId="16" fillId="0" borderId="0" xfId="0" applyNumberFormat="1" applyFont="1" applyAlignment="1">
      <alignment vertical="center"/>
    </xf>
    <xf numFmtId="43" fontId="17" fillId="0" borderId="0" xfId="0" applyNumberFormat="1" applyFont="1" applyAlignment="1">
      <alignment vertical="center"/>
    </xf>
    <xf numFmtId="43" fontId="17" fillId="0" borderId="3" xfId="0" applyNumberFormat="1" applyFont="1" applyBorder="1" applyAlignment="1">
      <alignment vertical="center"/>
    </xf>
    <xf numFmtId="43" fontId="16" fillId="0" borderId="3" xfId="0" applyNumberFormat="1" applyFont="1" applyBorder="1" applyAlignment="1">
      <alignment vertical="center"/>
    </xf>
    <xf numFmtId="43" fontId="17" fillId="0" borderId="2" xfId="0" applyNumberFormat="1" applyFont="1" applyBorder="1" applyAlignment="1">
      <alignment vertical="center"/>
    </xf>
    <xf numFmtId="0" fontId="0" fillId="0" borderId="3" xfId="0" applyBorder="1"/>
    <xf numFmtId="43" fontId="17" fillId="0" borderId="4" xfId="0" applyNumberFormat="1" applyFont="1" applyBorder="1" applyAlignment="1">
      <alignment vertical="center"/>
    </xf>
    <xf numFmtId="43" fontId="16" fillId="0" borderId="4" xfId="0" applyNumberFormat="1" applyFont="1" applyBorder="1" applyAlignment="1">
      <alignment vertical="center"/>
    </xf>
    <xf numFmtId="43" fontId="17" fillId="0" borderId="5" xfId="0" applyNumberFormat="1" applyFont="1" applyBorder="1" applyAlignment="1">
      <alignment vertical="center"/>
    </xf>
    <xf numFmtId="43" fontId="0" fillId="0" borderId="8" xfId="1" applyFont="1" applyBorder="1"/>
    <xf numFmtId="0" fontId="2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43" fontId="2" fillId="0" borderId="21" xfId="1" applyFont="1" applyBorder="1" applyAlignment="1">
      <alignment horizontal="center"/>
    </xf>
    <xf numFmtId="43" fontId="0" fillId="0" borderId="8" xfId="1" applyFont="1" applyFill="1" applyBorder="1" applyAlignment="1">
      <alignment horizontal="center"/>
    </xf>
    <xf numFmtId="1" fontId="0" fillId="0" borderId="8" xfId="1" applyNumberFormat="1" applyFont="1" applyFill="1" applyBorder="1" applyAlignment="1">
      <alignment horizontal="center" vertical="center"/>
    </xf>
    <xf numFmtId="0" fontId="0" fillId="0" borderId="8" xfId="0" quotePrefix="1" applyBorder="1" applyAlignment="1">
      <alignment horizontal="center"/>
    </xf>
    <xf numFmtId="1" fontId="0" fillId="0" borderId="8" xfId="0" applyNumberFormat="1" applyBorder="1"/>
    <xf numFmtId="0" fontId="0" fillId="0" borderId="8" xfId="0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3" fontId="17" fillId="0" borderId="0" xfId="0" applyNumberFormat="1" applyFont="1" applyAlignment="1">
      <alignment horizontal="center" vertical="center"/>
    </xf>
    <xf numFmtId="165" fontId="19" fillId="0" borderId="17" xfId="4" applyNumberFormat="1" applyFont="1" applyBorder="1" applyAlignment="1">
      <alignment horizontal="left" vertical="center"/>
    </xf>
    <xf numFmtId="165" fontId="19" fillId="0" borderId="4" xfId="4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3" fontId="2" fillId="0" borderId="13" xfId="1" applyFont="1" applyBorder="1" applyAlignment="1">
      <alignment horizontal="center"/>
    </xf>
    <xf numFmtId="43" fontId="2" fillId="0" borderId="14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43" fontId="11" fillId="0" borderId="4" xfId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2" fillId="0" borderId="7" xfId="1" applyFont="1" applyBorder="1" applyAlignment="1">
      <alignment horizontal="center" vertical="center" wrapText="1"/>
    </xf>
    <xf numFmtId="43" fontId="2" fillId="0" borderId="10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</cellXfs>
  <cellStyles count="5">
    <cellStyle name="Comma" xfId="1" builtinId="3"/>
    <cellStyle name="Hyperlink" xfId="3" builtinId="8"/>
    <cellStyle name="Normal" xfId="0" builtinId="0"/>
    <cellStyle name="Normal 2" xfId="2" xr:uid="{00000000-0005-0000-0000-000003000000}"/>
    <cellStyle name="Normal_BSPL 2004 NS" xfId="4" xr:uid="{7FEF2E71-DBFC-473F-9065-30C4EA8A14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KE@0047139" TargetMode="External"/><Relationship Id="rId2" Type="http://schemas.openxmlformats.org/officeDocument/2006/relationships/hyperlink" Target="mailto:KE@0047140" TargetMode="External"/><Relationship Id="rId1" Type="http://schemas.openxmlformats.org/officeDocument/2006/relationships/hyperlink" Target="mailto:KE@0047152" TargetMode="External"/><Relationship Id="rId5" Type="http://schemas.openxmlformats.org/officeDocument/2006/relationships/hyperlink" Target="mailto:KE@0047164" TargetMode="External"/><Relationship Id="rId4" Type="http://schemas.openxmlformats.org/officeDocument/2006/relationships/hyperlink" Target="mailto:KE@00471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4"/>
  <sheetViews>
    <sheetView view="pageBreakPreview" topLeftCell="A42" zoomScaleNormal="100" zoomScaleSheetLayoutView="100" workbookViewId="0">
      <selection activeCell="A59" sqref="A59"/>
    </sheetView>
  </sheetViews>
  <sheetFormatPr defaultRowHeight="14.4" x14ac:dyDescent="0.3"/>
  <cols>
    <col min="1" max="1" width="14.6640625" style="2" customWidth="1"/>
    <col min="2" max="2" width="40.6640625" customWidth="1"/>
    <col min="3" max="5" width="14.6640625" style="2" customWidth="1"/>
    <col min="6" max="6" width="40.6640625" customWidth="1"/>
    <col min="7" max="8" width="14.6640625" style="2" customWidth="1"/>
    <col min="9" max="9" width="12.33203125" bestFit="1" customWidth="1"/>
    <col min="10" max="10" width="12" bestFit="1" customWidth="1"/>
  </cols>
  <sheetData>
    <row r="1" spans="1:8" ht="18" x14ac:dyDescent="0.35">
      <c r="A1" s="142" t="s">
        <v>136</v>
      </c>
      <c r="B1" s="143"/>
      <c r="C1" s="143"/>
      <c r="D1" s="143"/>
      <c r="E1" s="143"/>
      <c r="F1" s="143"/>
      <c r="G1" s="143"/>
      <c r="H1" s="144"/>
    </row>
    <row r="2" spans="1:8" x14ac:dyDescent="0.3">
      <c r="A2" s="152" t="s">
        <v>139</v>
      </c>
      <c r="B2" s="153"/>
      <c r="C2" s="153"/>
      <c r="D2" s="153"/>
      <c r="E2" s="153"/>
      <c r="F2" s="153"/>
      <c r="G2" s="153"/>
      <c r="H2" s="154"/>
    </row>
    <row r="3" spans="1:8" x14ac:dyDescent="0.3">
      <c r="A3" s="152" t="s">
        <v>365</v>
      </c>
      <c r="B3" s="153"/>
      <c r="C3" s="153"/>
      <c r="D3" s="153"/>
      <c r="E3" s="153"/>
      <c r="F3" s="153"/>
      <c r="G3" s="153"/>
      <c r="H3" s="154"/>
    </row>
    <row r="4" spans="1:8" ht="18" x14ac:dyDescent="0.35">
      <c r="A4" s="145" t="s">
        <v>259</v>
      </c>
      <c r="B4" s="146"/>
      <c r="C4" s="146"/>
      <c r="D4" s="146"/>
      <c r="E4" s="146"/>
      <c r="F4" s="146"/>
      <c r="G4" s="146"/>
      <c r="H4" s="147"/>
    </row>
    <row r="5" spans="1:8" s="84" customFormat="1" ht="21" customHeight="1" thickBot="1" x14ac:dyDescent="0.35">
      <c r="A5" s="85" t="s">
        <v>196</v>
      </c>
      <c r="B5" s="148" t="s">
        <v>54</v>
      </c>
      <c r="C5" s="148"/>
      <c r="D5" s="85" t="s">
        <v>258</v>
      </c>
      <c r="E5" s="85" t="str">
        <f>A5</f>
        <v>March 31, 2025</v>
      </c>
      <c r="F5" s="148" t="s">
        <v>55</v>
      </c>
      <c r="G5" s="149"/>
      <c r="H5" s="85" t="str">
        <f>D5</f>
        <v>March 31, 2026</v>
      </c>
    </row>
    <row r="6" spans="1:8" ht="19.5" customHeight="1" thickTop="1" x14ac:dyDescent="0.3">
      <c r="A6" s="60"/>
      <c r="B6" s="61" t="s">
        <v>56</v>
      </c>
      <c r="C6" s="63"/>
      <c r="D6" s="64"/>
      <c r="E6" s="65"/>
      <c r="F6" s="26" t="s">
        <v>133</v>
      </c>
      <c r="G6" s="66"/>
      <c r="H6" s="57"/>
    </row>
    <row r="7" spans="1:8" ht="15" thickBot="1" x14ac:dyDescent="0.35">
      <c r="A7" s="67">
        <v>100000</v>
      </c>
      <c r="B7" s="68" t="s">
        <v>121</v>
      </c>
      <c r="C7" s="64"/>
      <c r="D7" s="69">
        <v>100000</v>
      </c>
      <c r="E7" s="65">
        <v>4541</v>
      </c>
      <c r="F7" s="60" t="s">
        <v>116</v>
      </c>
      <c r="G7" s="64">
        <v>1245</v>
      </c>
      <c r="H7" s="57"/>
    </row>
    <row r="8" spans="1:8" ht="15" thickTop="1" x14ac:dyDescent="0.3">
      <c r="A8" s="70"/>
      <c r="B8" s="70"/>
      <c r="C8" s="64"/>
      <c r="D8" s="64"/>
      <c r="E8" s="65">
        <v>246675.31</v>
      </c>
      <c r="F8" s="70" t="s">
        <v>66</v>
      </c>
      <c r="G8" s="71">
        <f>BRS!C5</f>
        <v>163170.31</v>
      </c>
      <c r="H8" s="57">
        <f>G7+G8</f>
        <v>164415.31</v>
      </c>
    </row>
    <row r="9" spans="1:8" x14ac:dyDescent="0.3">
      <c r="A9" s="70">
        <v>12500</v>
      </c>
      <c r="B9" s="61" t="s">
        <v>120</v>
      </c>
      <c r="C9" s="64"/>
      <c r="D9" s="64">
        <v>12500</v>
      </c>
      <c r="E9" s="65"/>
      <c r="F9" s="60"/>
      <c r="G9" s="64"/>
      <c r="H9" s="57"/>
    </row>
    <row r="10" spans="1:8" x14ac:dyDescent="0.3">
      <c r="A10" s="70"/>
      <c r="B10" s="68" t="s">
        <v>119</v>
      </c>
      <c r="C10" s="64"/>
      <c r="D10" s="64"/>
      <c r="E10" s="65"/>
      <c r="F10" s="61" t="s">
        <v>134</v>
      </c>
      <c r="G10" s="64"/>
      <c r="H10" s="57"/>
    </row>
    <row r="11" spans="1:8" x14ac:dyDescent="0.3">
      <c r="A11" s="70"/>
      <c r="B11" s="61" t="s">
        <v>122</v>
      </c>
      <c r="C11" s="64"/>
      <c r="D11" s="64"/>
      <c r="E11" s="65">
        <v>100</v>
      </c>
      <c r="F11" s="70" t="s">
        <v>67</v>
      </c>
      <c r="G11" s="64">
        <v>100</v>
      </c>
      <c r="H11" s="57"/>
    </row>
    <row r="12" spans="1:8" x14ac:dyDescent="0.3">
      <c r="A12" s="70"/>
      <c r="B12" s="26" t="s">
        <v>123</v>
      </c>
      <c r="C12" s="64"/>
      <c r="D12" s="64"/>
      <c r="E12" s="65">
        <v>1000</v>
      </c>
      <c r="F12" s="70" t="s">
        <v>113</v>
      </c>
      <c r="G12" s="64">
        <v>1000</v>
      </c>
      <c r="H12" s="57"/>
    </row>
    <row r="13" spans="1:8" x14ac:dyDescent="0.3">
      <c r="A13" s="70">
        <v>36250</v>
      </c>
      <c r="B13" s="70" t="s">
        <v>57</v>
      </c>
      <c r="C13" s="64">
        <f>36250+26800+2900+33923</f>
        <v>99873</v>
      </c>
      <c r="D13" s="64"/>
      <c r="E13" s="65">
        <v>2448326</v>
      </c>
      <c r="F13" s="61" t="s">
        <v>117</v>
      </c>
      <c r="G13" s="64">
        <f>'Sch 1 - FD'!D50</f>
        <v>2976958</v>
      </c>
      <c r="H13" s="57"/>
    </row>
    <row r="14" spans="1:8" x14ac:dyDescent="0.3">
      <c r="A14" s="70">
        <v>26800</v>
      </c>
      <c r="B14" s="60" t="s">
        <v>58</v>
      </c>
      <c r="C14" s="64">
        <f>77700+2100</f>
        <v>79800</v>
      </c>
      <c r="D14" s="64"/>
      <c r="E14" s="65">
        <v>88866</v>
      </c>
      <c r="F14" s="60" t="s">
        <v>68</v>
      </c>
      <c r="G14" s="71">
        <f>'Sch 1 - FD'!E50+'Sch 1 - FD'!F50</f>
        <v>125124</v>
      </c>
      <c r="H14" s="57">
        <f>SUM(G11:G14)</f>
        <v>3103182</v>
      </c>
    </row>
    <row r="15" spans="1:8" x14ac:dyDescent="0.3">
      <c r="A15" s="70">
        <v>2900</v>
      </c>
      <c r="B15" s="60" t="s">
        <v>59</v>
      </c>
      <c r="C15" s="64">
        <f>-IE!G23</f>
        <v>7965</v>
      </c>
      <c r="D15" s="57"/>
      <c r="E15" s="65"/>
      <c r="F15" s="70"/>
      <c r="G15" s="64"/>
      <c r="H15" s="57"/>
    </row>
    <row r="16" spans="1:8" x14ac:dyDescent="0.3">
      <c r="A16" s="70">
        <v>33923</v>
      </c>
      <c r="B16" s="60" t="s">
        <v>252</v>
      </c>
      <c r="C16" s="71">
        <f>IE!C44</f>
        <v>3714</v>
      </c>
      <c r="D16" s="57">
        <f>SUM(C13:C16)</f>
        <v>191352</v>
      </c>
      <c r="E16" s="65"/>
      <c r="F16" s="26" t="s">
        <v>130</v>
      </c>
      <c r="G16" s="64"/>
      <c r="H16" s="57"/>
    </row>
    <row r="17" spans="1:11" x14ac:dyDescent="0.3">
      <c r="A17" s="70"/>
      <c r="B17" s="61" t="s">
        <v>124</v>
      </c>
      <c r="C17" s="64"/>
      <c r="D17" s="64"/>
      <c r="E17" s="65">
        <v>4443748</v>
      </c>
      <c r="F17" s="61" t="s">
        <v>94</v>
      </c>
      <c r="G17" s="64"/>
      <c r="H17" s="57">
        <f>'Sch 3 - Member'!E19</f>
        <v>4699511</v>
      </c>
      <c r="I17" s="20"/>
    </row>
    <row r="18" spans="1:11" x14ac:dyDescent="0.3">
      <c r="A18" s="60">
        <v>225000</v>
      </c>
      <c r="B18" s="60" t="s">
        <v>118</v>
      </c>
      <c r="C18" s="56"/>
      <c r="D18" s="57">
        <v>225000</v>
      </c>
      <c r="E18" s="65"/>
      <c r="F18" s="25"/>
      <c r="G18" s="64"/>
      <c r="H18" s="57"/>
    </row>
    <row r="19" spans="1:11" x14ac:dyDescent="0.3">
      <c r="A19" s="60"/>
      <c r="B19" s="61" t="s">
        <v>125</v>
      </c>
      <c r="C19" s="56"/>
      <c r="D19" s="57"/>
      <c r="E19" s="65"/>
      <c r="F19" s="26" t="s">
        <v>131</v>
      </c>
      <c r="G19" s="64"/>
      <c r="H19" s="57"/>
      <c r="I19" s="20"/>
    </row>
    <row r="20" spans="1:11" x14ac:dyDescent="0.3">
      <c r="A20" s="60">
        <v>1184428</v>
      </c>
      <c r="B20" s="70" t="s">
        <v>57</v>
      </c>
      <c r="C20" s="56">
        <f>1184428+47064+80627</f>
        <v>1312119</v>
      </c>
      <c r="D20" s="57"/>
      <c r="E20" s="72">
        <v>22283.72</v>
      </c>
      <c r="F20" s="60" t="s">
        <v>193</v>
      </c>
      <c r="G20" s="56">
        <v>22283.72</v>
      </c>
      <c r="H20" s="57"/>
      <c r="K20" s="20"/>
    </row>
    <row r="21" spans="1:11" x14ac:dyDescent="0.3">
      <c r="A21" s="60">
        <v>47064</v>
      </c>
      <c r="B21" s="60" t="s">
        <v>58</v>
      </c>
      <c r="C21" s="56">
        <v>47064</v>
      </c>
      <c r="D21" s="57"/>
      <c r="E21" s="72">
        <v>17897</v>
      </c>
      <c r="F21" s="60" t="s">
        <v>114</v>
      </c>
      <c r="G21" s="56">
        <v>17897</v>
      </c>
      <c r="H21" s="57"/>
      <c r="J21" s="20"/>
    </row>
    <row r="22" spans="1:11" x14ac:dyDescent="0.3">
      <c r="A22" s="60">
        <v>80627</v>
      </c>
      <c r="B22" s="60" t="s">
        <v>59</v>
      </c>
      <c r="C22" s="41">
        <f>-IE!G21</f>
        <v>100671</v>
      </c>
      <c r="D22" s="57">
        <f>SUM(C20:C22)</f>
        <v>1459854</v>
      </c>
      <c r="E22" s="72">
        <v>9902</v>
      </c>
      <c r="F22" s="60" t="s">
        <v>115</v>
      </c>
      <c r="G22" s="56">
        <v>9902</v>
      </c>
      <c r="H22" s="57"/>
    </row>
    <row r="23" spans="1:11" x14ac:dyDescent="0.3">
      <c r="A23" s="60"/>
      <c r="B23" s="61" t="s">
        <v>126</v>
      </c>
      <c r="C23" s="56"/>
      <c r="D23" s="57"/>
      <c r="E23" s="72">
        <v>12775</v>
      </c>
      <c r="F23" s="60" t="s">
        <v>172</v>
      </c>
      <c r="G23" s="56">
        <f>40574-17897-9902</f>
        <v>12775</v>
      </c>
      <c r="H23" s="57"/>
    </row>
    <row r="24" spans="1:11" x14ac:dyDescent="0.3">
      <c r="A24" s="60">
        <v>1790597</v>
      </c>
      <c r="B24" s="70" t="s">
        <v>57</v>
      </c>
      <c r="C24" s="56">
        <f>1790597+141252+85345</f>
        <v>2017194</v>
      </c>
      <c r="D24" s="57"/>
      <c r="E24" s="72">
        <v>16895</v>
      </c>
      <c r="F24" s="60" t="s">
        <v>241</v>
      </c>
      <c r="G24" s="56">
        <f>57469-G23-G22-G21</f>
        <v>16895</v>
      </c>
      <c r="H24" s="57"/>
    </row>
    <row r="25" spans="1:11" x14ac:dyDescent="0.3">
      <c r="A25" s="60">
        <v>141252</v>
      </c>
      <c r="B25" s="60" t="s">
        <v>58</v>
      </c>
      <c r="C25" s="56">
        <v>141252</v>
      </c>
      <c r="D25" s="57"/>
      <c r="E25" s="72">
        <v>0</v>
      </c>
      <c r="F25" s="60" t="s">
        <v>286</v>
      </c>
      <c r="G25" s="56">
        <v>20508</v>
      </c>
      <c r="H25" s="57"/>
    </row>
    <row r="26" spans="1:11" x14ac:dyDescent="0.3">
      <c r="A26" s="60">
        <v>85345</v>
      </c>
      <c r="B26" s="60" t="s">
        <v>59</v>
      </c>
      <c r="C26" s="41">
        <f>-IE!G22</f>
        <v>96046</v>
      </c>
      <c r="D26" s="57">
        <f>SUM(C24:C26)</f>
        <v>2254492</v>
      </c>
      <c r="E26" s="72">
        <v>234938</v>
      </c>
      <c r="F26" s="68" t="s">
        <v>242</v>
      </c>
      <c r="G26" s="41">
        <f>'Sch 4 - Payables &amp; Advance'!C23</f>
        <v>394996</v>
      </c>
      <c r="H26" s="57">
        <f>SUM(G20:G26)</f>
        <v>495256.72</v>
      </c>
    </row>
    <row r="27" spans="1:11" x14ac:dyDescent="0.3">
      <c r="A27" s="60"/>
      <c r="B27" s="68" t="s">
        <v>245</v>
      </c>
      <c r="C27" s="56"/>
      <c r="D27" s="57"/>
      <c r="E27" s="72"/>
      <c r="F27" s="25"/>
      <c r="G27" s="56"/>
      <c r="H27" s="57"/>
    </row>
    <row r="28" spans="1:11" x14ac:dyDescent="0.3">
      <c r="A28" s="60">
        <v>0</v>
      </c>
      <c r="B28" s="70" t="s">
        <v>57</v>
      </c>
      <c r="C28" s="56">
        <f>5880</f>
        <v>5880</v>
      </c>
      <c r="D28" s="57"/>
      <c r="E28" s="72">
        <v>92657</v>
      </c>
      <c r="F28" s="26" t="s">
        <v>129</v>
      </c>
      <c r="G28" s="56"/>
      <c r="H28" s="57">
        <f>'Sch 2 - FA'!I12</f>
        <v>76054</v>
      </c>
    </row>
    <row r="29" spans="1:11" x14ac:dyDescent="0.3">
      <c r="A29" s="60">
        <v>5880</v>
      </c>
      <c r="B29" s="60" t="s">
        <v>58</v>
      </c>
      <c r="C29" s="56">
        <v>5880</v>
      </c>
      <c r="D29" s="57"/>
      <c r="E29" s="72"/>
      <c r="F29" s="25"/>
      <c r="G29" s="56"/>
      <c r="H29" s="57"/>
    </row>
    <row r="30" spans="1:11" x14ac:dyDescent="0.3">
      <c r="A30" s="60">
        <v>0</v>
      </c>
      <c r="B30" s="60" t="s">
        <v>59</v>
      </c>
      <c r="C30" s="41">
        <f>-IE!G24</f>
        <v>172</v>
      </c>
      <c r="D30" s="57">
        <f>SUM(C28:C30)</f>
        <v>11932</v>
      </c>
      <c r="E30" s="72"/>
      <c r="F30" s="26" t="s">
        <v>132</v>
      </c>
      <c r="G30" s="56"/>
      <c r="H30" s="57"/>
    </row>
    <row r="31" spans="1:11" ht="16.95" customHeight="1" x14ac:dyDescent="0.3">
      <c r="A31" s="60"/>
      <c r="B31" s="61" t="s">
        <v>60</v>
      </c>
      <c r="C31" s="56"/>
      <c r="D31" s="57"/>
      <c r="E31" s="72"/>
      <c r="F31" s="61" t="s">
        <v>69</v>
      </c>
      <c r="G31" s="56"/>
      <c r="H31" s="57"/>
    </row>
    <row r="32" spans="1:11" x14ac:dyDescent="0.3">
      <c r="A32" s="60">
        <v>390700</v>
      </c>
      <c r="B32" s="60" t="s">
        <v>61</v>
      </c>
      <c r="C32" s="56">
        <v>390700</v>
      </c>
      <c r="D32" s="57"/>
      <c r="E32" s="72">
        <v>11155</v>
      </c>
      <c r="F32" s="25" t="s">
        <v>249</v>
      </c>
      <c r="G32" s="41">
        <v>11070</v>
      </c>
      <c r="H32" s="57">
        <f>SUM(G32)</f>
        <v>11070</v>
      </c>
    </row>
    <row r="33" spans="1:8" x14ac:dyDescent="0.3">
      <c r="A33" s="60">
        <v>15518</v>
      </c>
      <c r="B33" s="60" t="s">
        <v>62</v>
      </c>
      <c r="C33" s="56">
        <v>14486</v>
      </c>
      <c r="D33" s="57"/>
      <c r="E33" s="72"/>
      <c r="F33" s="25"/>
      <c r="G33" s="56"/>
      <c r="H33" s="57"/>
    </row>
    <row r="34" spans="1:8" x14ac:dyDescent="0.3">
      <c r="A34" s="60">
        <v>626608</v>
      </c>
      <c r="B34" s="61" t="s">
        <v>142</v>
      </c>
      <c r="C34" s="41">
        <f>'Sch 4 - Payables &amp; Advance'!C13</f>
        <v>574608</v>
      </c>
      <c r="D34" s="57">
        <f>SUM(C32:C34)</f>
        <v>979794</v>
      </c>
      <c r="E34" s="72"/>
      <c r="F34" s="25"/>
      <c r="G34" s="56"/>
      <c r="H34" s="57"/>
    </row>
    <row r="35" spans="1:8" ht="8.1" customHeight="1" x14ac:dyDescent="0.3">
      <c r="A35" s="60"/>
      <c r="B35" s="60"/>
      <c r="C35" s="56"/>
      <c r="D35" s="57"/>
      <c r="E35" s="72"/>
      <c r="F35" s="25"/>
      <c r="G35" s="56"/>
      <c r="H35" s="57"/>
    </row>
    <row r="36" spans="1:8" x14ac:dyDescent="0.3">
      <c r="A36" s="60"/>
      <c r="B36" s="61" t="s">
        <v>63</v>
      </c>
      <c r="C36" s="56"/>
      <c r="D36" s="57"/>
      <c r="E36" s="72"/>
      <c r="F36" s="25"/>
      <c r="G36" s="56"/>
      <c r="H36" s="57"/>
    </row>
    <row r="37" spans="1:8" x14ac:dyDescent="0.3">
      <c r="A37" s="60">
        <v>104678</v>
      </c>
      <c r="B37" s="61" t="s">
        <v>102</v>
      </c>
      <c r="C37" s="56">
        <f>'Sch 3 - Member'!E36</f>
        <v>124900</v>
      </c>
      <c r="D37" s="57"/>
      <c r="E37" s="72"/>
      <c r="F37" s="25"/>
      <c r="G37" s="56"/>
      <c r="H37" s="57"/>
    </row>
    <row r="38" spans="1:8" x14ac:dyDescent="0.3">
      <c r="A38" s="60">
        <v>0</v>
      </c>
      <c r="B38" s="61" t="s">
        <v>354</v>
      </c>
      <c r="C38" s="56">
        <f>'Sch 3 - Member'!E64</f>
        <v>5000</v>
      </c>
      <c r="D38" s="57"/>
      <c r="E38" s="72"/>
      <c r="F38" s="25"/>
      <c r="G38" s="56"/>
      <c r="H38" s="57"/>
    </row>
    <row r="39" spans="1:8" x14ac:dyDescent="0.3">
      <c r="A39" s="60">
        <v>70000</v>
      </c>
      <c r="B39" s="61" t="s">
        <v>103</v>
      </c>
      <c r="C39" s="41">
        <f>'Sch 3 - Member'!E59</f>
        <v>105000</v>
      </c>
      <c r="D39" s="57">
        <f>SUM(C37:C39)</f>
        <v>234900</v>
      </c>
      <c r="E39" s="72"/>
      <c r="F39" s="25"/>
      <c r="G39" s="56"/>
      <c r="H39" s="57"/>
    </row>
    <row r="40" spans="1:8" ht="8.1" customHeight="1" x14ac:dyDescent="0.3">
      <c r="A40" s="60"/>
      <c r="B40" s="60"/>
      <c r="C40" s="56"/>
      <c r="D40" s="57"/>
      <c r="E40" s="72"/>
      <c r="F40" s="25"/>
      <c r="G40" s="56"/>
      <c r="H40" s="57"/>
    </row>
    <row r="41" spans="1:8" x14ac:dyDescent="0.3">
      <c r="A41" s="60"/>
      <c r="B41" s="61" t="s">
        <v>64</v>
      </c>
      <c r="C41" s="56"/>
      <c r="D41" s="57"/>
      <c r="E41" s="72"/>
      <c r="F41" s="25"/>
      <c r="G41" s="56"/>
      <c r="H41" s="57"/>
    </row>
    <row r="42" spans="1:8" x14ac:dyDescent="0.3">
      <c r="A42" s="60">
        <v>2213418</v>
      </c>
      <c r="B42" s="70" t="s">
        <v>128</v>
      </c>
      <c r="C42" s="56">
        <f>SUM(A42:A43)</f>
        <v>2596476</v>
      </c>
      <c r="D42" s="57"/>
      <c r="E42" s="72"/>
      <c r="F42" s="25"/>
      <c r="G42" s="56"/>
      <c r="H42" s="57"/>
    </row>
    <row r="43" spans="1:8" x14ac:dyDescent="0.3">
      <c r="A43" s="60">
        <v>383058</v>
      </c>
      <c r="B43" s="60" t="s">
        <v>65</v>
      </c>
      <c r="C43" s="41">
        <f>-IE!G16</f>
        <v>396833</v>
      </c>
      <c r="D43" s="57">
        <f>SUM(C42:C43)</f>
        <v>2993309</v>
      </c>
      <c r="E43" s="72"/>
      <c r="F43" s="25"/>
      <c r="G43" s="56"/>
      <c r="H43" s="57"/>
    </row>
    <row r="44" spans="1:8" ht="8.1" customHeight="1" x14ac:dyDescent="0.3">
      <c r="A44" s="60"/>
      <c r="B44" s="60"/>
      <c r="C44" s="56"/>
      <c r="D44" s="57"/>
      <c r="E44" s="72"/>
      <c r="F44" s="25"/>
      <c r="G44" s="56"/>
      <c r="H44" s="57"/>
    </row>
    <row r="45" spans="1:8" x14ac:dyDescent="0.3">
      <c r="A45" s="60"/>
      <c r="B45" s="61" t="s">
        <v>127</v>
      </c>
      <c r="C45" s="56"/>
      <c r="D45" s="57"/>
      <c r="E45" s="72"/>
      <c r="F45" s="25"/>
      <c r="G45" s="56"/>
      <c r="H45" s="57"/>
    </row>
    <row r="46" spans="1:8" x14ac:dyDescent="0.3">
      <c r="A46" s="60">
        <v>73445.03</v>
      </c>
      <c r="B46" s="60" t="s">
        <v>361</v>
      </c>
      <c r="C46" s="56">
        <f>SUM(A46:A47)</f>
        <v>175213.03</v>
      </c>
      <c r="D46" s="57"/>
      <c r="E46" s="72"/>
      <c r="F46" s="25"/>
      <c r="G46" s="56"/>
      <c r="H46" s="57"/>
    </row>
    <row r="47" spans="1:8" ht="28.8" x14ac:dyDescent="0.3">
      <c r="A47" s="42">
        <v>101768</v>
      </c>
      <c r="B47" s="43" t="s">
        <v>360</v>
      </c>
      <c r="C47" s="44">
        <f>IE!C43</f>
        <v>11143</v>
      </c>
      <c r="D47" s="24">
        <f>SUM(C46:C47)</f>
        <v>186356.03</v>
      </c>
      <c r="E47" s="72"/>
      <c r="F47" s="25"/>
      <c r="G47" s="56"/>
      <c r="H47" s="57"/>
    </row>
    <row r="48" spans="1:8" ht="8.1" customHeight="1" x14ac:dyDescent="0.3">
      <c r="A48" s="7"/>
      <c r="B48" s="7"/>
      <c r="C48" s="31"/>
      <c r="D48" s="24"/>
      <c r="E48" s="72"/>
      <c r="F48" s="25"/>
      <c r="G48" s="56"/>
      <c r="H48" s="57"/>
    </row>
    <row r="49" spans="1:26" ht="15" thickBot="1" x14ac:dyDescent="0.35">
      <c r="A49" s="29">
        <f>SUM(A9:A47)</f>
        <v>7651759.0300000003</v>
      </c>
      <c r="B49" s="150" t="s">
        <v>35</v>
      </c>
      <c r="C49" s="150"/>
      <c r="D49" s="29">
        <f>SUM(D9:D47)</f>
        <v>8549489.0299999993</v>
      </c>
      <c r="E49" s="29">
        <f>SUM(E6:E48)</f>
        <v>7651759.0300000003</v>
      </c>
      <c r="F49" s="150" t="s">
        <v>35</v>
      </c>
      <c r="G49" s="151"/>
      <c r="H49" s="29">
        <f>SUM(H6:H48)</f>
        <v>8549489.0300000012</v>
      </c>
    </row>
    <row r="50" spans="1:26" ht="8.1" customHeight="1" thickTop="1" x14ac:dyDescent="0.3">
      <c r="A50" s="117"/>
      <c r="B50" s="118"/>
      <c r="C50" s="118"/>
      <c r="D50" s="119"/>
      <c r="E50" s="118"/>
      <c r="F50" s="118"/>
      <c r="G50" s="118"/>
      <c r="H50" s="120"/>
    </row>
    <row r="51" spans="1:26" x14ac:dyDescent="0.3">
      <c r="A51" s="117" t="s">
        <v>140</v>
      </c>
      <c r="B51" s="118"/>
      <c r="C51" s="118"/>
      <c r="D51" s="118"/>
      <c r="E51" s="139" t="s">
        <v>359</v>
      </c>
      <c r="F51" s="139"/>
      <c r="G51" s="139"/>
      <c r="H51" s="121"/>
    </row>
    <row r="52" spans="1:26" x14ac:dyDescent="0.3">
      <c r="A52" s="117"/>
      <c r="B52" s="118"/>
      <c r="C52" s="118"/>
      <c r="D52" s="119"/>
      <c r="E52" s="118"/>
      <c r="F52" s="118"/>
      <c r="G52" s="118"/>
      <c r="H52" s="120"/>
    </row>
    <row r="53" spans="1:26" x14ac:dyDescent="0.3">
      <c r="A53" s="117"/>
      <c r="B53" s="118"/>
      <c r="C53" s="118"/>
      <c r="D53" s="119"/>
      <c r="E53" s="118"/>
      <c r="F53" s="118"/>
      <c r="G53" s="118"/>
      <c r="H53" s="120"/>
    </row>
    <row r="54" spans="1:26" x14ac:dyDescent="0.3">
      <c r="A54" s="117"/>
      <c r="B54" s="118"/>
      <c r="C54" s="118"/>
      <c r="D54" s="119"/>
      <c r="E54" s="118"/>
      <c r="F54" s="118"/>
      <c r="G54" s="118"/>
      <c r="H54" s="120"/>
      <c r="I54" s="20"/>
      <c r="J54" s="20"/>
    </row>
    <row r="55" spans="1:26" x14ac:dyDescent="0.3">
      <c r="A55" s="122" t="s">
        <v>355</v>
      </c>
      <c r="B55" s="118"/>
      <c r="C55" s="118"/>
      <c r="D55" s="119"/>
      <c r="E55" s="118"/>
      <c r="F55" s="118"/>
      <c r="G55" s="118"/>
      <c r="H55" s="120"/>
      <c r="I55" s="20">
        <f>A49-E49</f>
        <v>0</v>
      </c>
      <c r="J55" s="20">
        <f>D49-H49</f>
        <v>0</v>
      </c>
    </row>
    <row r="56" spans="1:26" ht="14.25" customHeight="1" x14ac:dyDescent="0.3">
      <c r="A56" s="117" t="s">
        <v>356</v>
      </c>
      <c r="B56" s="118"/>
      <c r="C56" s="118"/>
      <c r="D56" s="119"/>
      <c r="E56"/>
      <c r="G56"/>
      <c r="H56" s="123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4.25" customHeight="1" x14ac:dyDescent="0.3">
      <c r="A57" s="117" t="s">
        <v>357</v>
      </c>
      <c r="B57" s="118"/>
      <c r="C57" s="118"/>
      <c r="D57" s="119"/>
      <c r="E57" s="139" t="s">
        <v>358</v>
      </c>
      <c r="F57" s="139"/>
      <c r="G57" s="139"/>
      <c r="H57" s="120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4.25" customHeight="1" x14ac:dyDescent="0.3">
      <c r="A58" s="140">
        <v>46258</v>
      </c>
      <c r="B58" s="141"/>
      <c r="C58" s="141"/>
      <c r="D58" s="124"/>
      <c r="E58" s="125"/>
      <c r="F58" s="125"/>
      <c r="G58" s="125"/>
      <c r="H58" s="126"/>
      <c r="I58" s="118">
        <f>D49-H49</f>
        <v>0</v>
      </c>
      <c r="J58" s="118">
        <f>A49-E49</f>
        <v>0</v>
      </c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4.25" customHeight="1" x14ac:dyDescent="0.3">
      <c r="A59" s="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4.25" customHeight="1" x14ac:dyDescent="0.3">
      <c r="A60" s="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4.25" customHeight="1" x14ac:dyDescent="0.3">
      <c r="I61" s="118">
        <f>D49-H49</f>
        <v>0</v>
      </c>
      <c r="J61" s="118">
        <f>A49-E49</f>
        <v>0</v>
      </c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4.25" customHeight="1" x14ac:dyDescent="0.3"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4.25" customHeight="1" x14ac:dyDescent="0.3"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4.25" customHeight="1" x14ac:dyDescent="0.3"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</sheetData>
  <mergeCells count="11">
    <mergeCell ref="E51:G51"/>
    <mergeCell ref="E57:G57"/>
    <mergeCell ref="A58:C58"/>
    <mergeCell ref="A1:H1"/>
    <mergeCell ref="A4:H4"/>
    <mergeCell ref="B5:C5"/>
    <mergeCell ref="F5:G5"/>
    <mergeCell ref="B49:C49"/>
    <mergeCell ref="F49:G49"/>
    <mergeCell ref="A2:H2"/>
    <mergeCell ref="A3:H3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view="pageBreakPreview" topLeftCell="A35" zoomScaleNormal="100" zoomScaleSheetLayoutView="100" workbookViewId="0">
      <selection activeCell="A59" sqref="A59"/>
    </sheetView>
  </sheetViews>
  <sheetFormatPr defaultRowHeight="14.4" x14ac:dyDescent="0.3"/>
  <cols>
    <col min="1" max="1" width="14.6640625" style="2" customWidth="1"/>
    <col min="2" max="2" width="40.44140625" bestFit="1" customWidth="1"/>
    <col min="3" max="3" width="14.6640625" style="81" customWidth="1"/>
    <col min="4" max="5" width="14.6640625" style="2" customWidth="1"/>
    <col min="6" max="6" width="43.6640625" bestFit="1" customWidth="1"/>
    <col min="7" max="8" width="14.6640625" style="2" customWidth="1"/>
    <col min="9" max="10" width="12" bestFit="1" customWidth="1"/>
  </cols>
  <sheetData>
    <row r="1" spans="1:9" ht="18" x14ac:dyDescent="0.35">
      <c r="A1" s="142" t="s">
        <v>0</v>
      </c>
      <c r="B1" s="143"/>
      <c r="C1" s="143"/>
      <c r="D1" s="143"/>
      <c r="E1" s="143"/>
      <c r="F1" s="143"/>
      <c r="G1" s="143"/>
      <c r="H1" s="144"/>
    </row>
    <row r="2" spans="1:9" ht="15.45" customHeight="1" x14ac:dyDescent="0.3">
      <c r="A2" s="152" t="s">
        <v>139</v>
      </c>
      <c r="B2" s="153"/>
      <c r="C2" s="153"/>
      <c r="D2" s="153"/>
      <c r="E2" s="153"/>
      <c r="F2" s="153"/>
      <c r="G2" s="153"/>
      <c r="H2" s="154"/>
    </row>
    <row r="3" spans="1:9" x14ac:dyDescent="0.3">
      <c r="A3" s="152" t="s">
        <v>366</v>
      </c>
      <c r="B3" s="153"/>
      <c r="C3" s="153"/>
      <c r="D3" s="153"/>
      <c r="E3" s="153"/>
      <c r="F3" s="153"/>
      <c r="G3" s="153"/>
      <c r="H3" s="154"/>
    </row>
    <row r="4" spans="1:9" ht="15.6" x14ac:dyDescent="0.3">
      <c r="A4" s="155" t="s">
        <v>257</v>
      </c>
      <c r="B4" s="156"/>
      <c r="C4" s="156"/>
      <c r="D4" s="156"/>
      <c r="E4" s="156"/>
      <c r="F4" s="156"/>
      <c r="G4" s="156"/>
      <c r="H4" s="157"/>
    </row>
    <row r="5" spans="1:9" s="84" customFormat="1" ht="20.399999999999999" customHeight="1" thickBot="1" x14ac:dyDescent="0.35">
      <c r="A5" s="83" t="s">
        <v>196</v>
      </c>
      <c r="B5" s="149" t="s">
        <v>1</v>
      </c>
      <c r="C5" s="158"/>
      <c r="D5" s="83" t="s">
        <v>258</v>
      </c>
      <c r="E5" s="83" t="str">
        <f>A5</f>
        <v>March 31, 2025</v>
      </c>
      <c r="F5" s="148" t="s">
        <v>2</v>
      </c>
      <c r="G5" s="149"/>
      <c r="H5" s="83" t="str">
        <f>D5</f>
        <v>March 31, 2026</v>
      </c>
    </row>
    <row r="6" spans="1:9" ht="18" customHeight="1" thickTop="1" x14ac:dyDescent="0.3">
      <c r="A6" s="7"/>
      <c r="B6" s="26" t="s">
        <v>15</v>
      </c>
      <c r="C6" s="56"/>
      <c r="D6" s="30"/>
      <c r="E6" s="8"/>
      <c r="F6" s="26" t="s">
        <v>3</v>
      </c>
      <c r="G6" s="30"/>
      <c r="H6" s="30"/>
    </row>
    <row r="7" spans="1:9" x14ac:dyDescent="0.3">
      <c r="A7" s="7">
        <v>3884</v>
      </c>
      <c r="B7" s="60" t="s">
        <v>16</v>
      </c>
      <c r="C7" s="56">
        <v>5042</v>
      </c>
      <c r="D7" s="30"/>
      <c r="E7" s="8">
        <v>205212</v>
      </c>
      <c r="F7" s="7" t="s">
        <v>236</v>
      </c>
      <c r="G7" s="56">
        <v>205212</v>
      </c>
      <c r="H7" s="30"/>
    </row>
    <row r="8" spans="1:9" x14ac:dyDescent="0.3">
      <c r="A8" s="7">
        <v>194392</v>
      </c>
      <c r="B8" s="60" t="s">
        <v>17</v>
      </c>
      <c r="C8" s="56">
        <v>267596</v>
      </c>
      <c r="D8" s="30"/>
      <c r="E8" s="8">
        <v>4116</v>
      </c>
      <c r="F8" s="7" t="s">
        <v>239</v>
      </c>
      <c r="G8" s="56">
        <v>4116</v>
      </c>
      <c r="H8" s="30"/>
    </row>
    <row r="9" spans="1:9" x14ac:dyDescent="0.3">
      <c r="A9" s="7">
        <v>209390</v>
      </c>
      <c r="B9" s="60" t="s">
        <v>18</v>
      </c>
      <c r="C9" s="56">
        <v>213700</v>
      </c>
      <c r="D9" s="30"/>
      <c r="E9" s="8">
        <v>1321236</v>
      </c>
      <c r="F9" s="7" t="s">
        <v>237</v>
      </c>
      <c r="G9" s="56">
        <v>1321236</v>
      </c>
      <c r="H9" s="56"/>
    </row>
    <row r="10" spans="1:9" x14ac:dyDescent="0.3">
      <c r="A10" s="7">
        <v>30795</v>
      </c>
      <c r="B10" s="60" t="s">
        <v>19</v>
      </c>
      <c r="C10" s="41">
        <v>31166</v>
      </c>
      <c r="D10" s="24">
        <f>SUM(C7:C10)</f>
        <v>517504</v>
      </c>
      <c r="E10" s="8">
        <v>354000</v>
      </c>
      <c r="F10" s="7" t="s">
        <v>4</v>
      </c>
      <c r="G10" s="56">
        <v>354000</v>
      </c>
      <c r="H10" s="56"/>
    </row>
    <row r="11" spans="1:9" x14ac:dyDescent="0.3">
      <c r="A11" s="7"/>
      <c r="B11" s="61" t="s">
        <v>20</v>
      </c>
      <c r="C11" s="56"/>
      <c r="D11" s="24"/>
      <c r="E11" s="8">
        <v>70500</v>
      </c>
      <c r="F11" s="7" t="s">
        <v>5</v>
      </c>
      <c r="G11" s="56">
        <f>71100+400</f>
        <v>71500</v>
      </c>
      <c r="H11" s="56"/>
    </row>
    <row r="12" spans="1:9" x14ac:dyDescent="0.3">
      <c r="A12" s="7">
        <v>26660</v>
      </c>
      <c r="B12" s="60" t="s">
        <v>21</v>
      </c>
      <c r="C12" s="56">
        <v>79123</v>
      </c>
      <c r="D12" s="24"/>
      <c r="E12" s="8">
        <v>56680</v>
      </c>
      <c r="F12" s="7" t="s">
        <v>6</v>
      </c>
      <c r="G12" s="56">
        <f>60320+1560</f>
        <v>61880</v>
      </c>
      <c r="H12" s="56"/>
    </row>
    <row r="13" spans="1:9" x14ac:dyDescent="0.3">
      <c r="A13" s="7">
        <v>15000</v>
      </c>
      <c r="B13" s="60" t="s">
        <v>22</v>
      </c>
      <c r="C13" s="56">
        <v>12000</v>
      </c>
      <c r="D13" s="24"/>
      <c r="E13" s="8">
        <v>4580</v>
      </c>
      <c r="F13" s="7" t="s">
        <v>167</v>
      </c>
      <c r="G13" s="56">
        <v>4080</v>
      </c>
      <c r="H13" s="56"/>
    </row>
    <row r="14" spans="1:9" x14ac:dyDescent="0.3">
      <c r="A14" s="7">
        <v>10070</v>
      </c>
      <c r="B14" s="60" t="s">
        <v>23</v>
      </c>
      <c r="C14" s="56">
        <v>9730</v>
      </c>
      <c r="D14" s="24"/>
      <c r="E14" s="8">
        <v>39120</v>
      </c>
      <c r="F14" s="7" t="s">
        <v>238</v>
      </c>
      <c r="G14" s="56">
        <v>39120</v>
      </c>
      <c r="H14" s="56"/>
    </row>
    <row r="15" spans="1:9" x14ac:dyDescent="0.3">
      <c r="A15" s="7">
        <v>400000</v>
      </c>
      <c r="B15" s="60" t="s">
        <v>255</v>
      </c>
      <c r="C15" s="56">
        <v>0</v>
      </c>
      <c r="D15" s="24"/>
      <c r="E15" s="8">
        <v>442374</v>
      </c>
      <c r="F15" s="7" t="s">
        <v>7</v>
      </c>
      <c r="G15" s="56">
        <v>452770</v>
      </c>
      <c r="H15" s="56"/>
    </row>
    <row r="16" spans="1:9" x14ac:dyDescent="0.3">
      <c r="A16" s="7">
        <v>111360</v>
      </c>
      <c r="B16" s="60" t="s">
        <v>52</v>
      </c>
      <c r="C16" s="56">
        <v>49150</v>
      </c>
      <c r="D16" s="24"/>
      <c r="E16" s="8">
        <v>-383058</v>
      </c>
      <c r="F16" s="7" t="s">
        <v>8</v>
      </c>
      <c r="G16" s="41">
        <v>-396833</v>
      </c>
      <c r="H16" s="57">
        <f>SUM(G7:G16)</f>
        <v>2117081</v>
      </c>
      <c r="I16" s="20"/>
    </row>
    <row r="17" spans="1:10" x14ac:dyDescent="0.3">
      <c r="A17" s="7">
        <v>19380</v>
      </c>
      <c r="B17" s="60" t="s">
        <v>170</v>
      </c>
      <c r="C17" s="56">
        <v>17950</v>
      </c>
      <c r="D17" s="24"/>
      <c r="E17" s="8"/>
      <c r="F17" s="25"/>
      <c r="G17" s="56"/>
      <c r="H17" s="56"/>
    </row>
    <row r="18" spans="1:10" x14ac:dyDescent="0.3">
      <c r="A18" s="7">
        <v>34500</v>
      </c>
      <c r="B18" s="60" t="s">
        <v>169</v>
      </c>
      <c r="C18" s="56">
        <v>51350</v>
      </c>
      <c r="D18" s="24"/>
      <c r="E18" s="8"/>
      <c r="F18" s="26" t="s">
        <v>13</v>
      </c>
      <c r="G18" s="56"/>
      <c r="H18" s="56"/>
    </row>
    <row r="19" spans="1:10" x14ac:dyDescent="0.3">
      <c r="A19" s="7">
        <v>0</v>
      </c>
      <c r="B19" s="60" t="s">
        <v>51</v>
      </c>
      <c r="C19" s="41">
        <v>8000</v>
      </c>
      <c r="D19" s="24">
        <f>SUM(C12:C19)</f>
        <v>227303</v>
      </c>
      <c r="E19" s="8">
        <v>8729</v>
      </c>
      <c r="F19" s="7" t="s">
        <v>9</v>
      </c>
      <c r="G19" s="56">
        <v>5638</v>
      </c>
      <c r="H19" s="56"/>
    </row>
    <row r="20" spans="1:10" x14ac:dyDescent="0.3">
      <c r="A20" s="7"/>
      <c r="B20" s="26" t="s">
        <v>24</v>
      </c>
      <c r="C20" s="56"/>
      <c r="D20" s="24"/>
      <c r="E20" s="8">
        <v>168872</v>
      </c>
      <c r="F20" s="7" t="s">
        <v>10</v>
      </c>
      <c r="G20" s="56">
        <v>205033</v>
      </c>
      <c r="H20" s="56"/>
      <c r="J20" s="20"/>
    </row>
    <row r="21" spans="1:10" x14ac:dyDescent="0.3">
      <c r="A21" s="7">
        <v>579500</v>
      </c>
      <c r="B21" s="60" t="s">
        <v>25</v>
      </c>
      <c r="C21" s="56">
        <v>579600</v>
      </c>
      <c r="D21" s="24"/>
      <c r="E21" s="8">
        <v>-80627</v>
      </c>
      <c r="F21" s="7" t="s">
        <v>11</v>
      </c>
      <c r="G21" s="56">
        <v>-100671</v>
      </c>
      <c r="H21" s="56"/>
    </row>
    <row r="22" spans="1:10" x14ac:dyDescent="0.3">
      <c r="A22" s="7">
        <v>210750</v>
      </c>
      <c r="B22" s="60" t="s">
        <v>168</v>
      </c>
      <c r="C22" s="56">
        <v>227250</v>
      </c>
      <c r="D22" s="24"/>
      <c r="E22" s="8">
        <v>-85345</v>
      </c>
      <c r="F22" s="7" t="s">
        <v>12</v>
      </c>
      <c r="G22" s="56">
        <v>-96046</v>
      </c>
      <c r="H22" s="57"/>
    </row>
    <row r="23" spans="1:10" x14ac:dyDescent="0.3">
      <c r="A23" s="7">
        <v>23200</v>
      </c>
      <c r="B23" s="60" t="s">
        <v>194</v>
      </c>
      <c r="C23" s="56">
        <v>24500</v>
      </c>
      <c r="D23" s="24"/>
      <c r="E23" s="8">
        <v>-2900</v>
      </c>
      <c r="F23" s="7" t="s">
        <v>246</v>
      </c>
      <c r="G23" s="56">
        <v>-7965</v>
      </c>
      <c r="H23" s="57"/>
    </row>
    <row r="24" spans="1:10" x14ac:dyDescent="0.3">
      <c r="A24" s="7">
        <v>7205</v>
      </c>
      <c r="B24" s="60" t="s">
        <v>171</v>
      </c>
      <c r="C24" s="56">
        <v>7086</v>
      </c>
      <c r="D24" s="24"/>
      <c r="E24" s="8">
        <v>0</v>
      </c>
      <c r="F24" s="7" t="s">
        <v>328</v>
      </c>
      <c r="G24" s="41">
        <v>-172</v>
      </c>
      <c r="H24" s="57">
        <f>SUM(G19:G24)</f>
        <v>5817</v>
      </c>
    </row>
    <row r="25" spans="1:10" x14ac:dyDescent="0.3">
      <c r="A25" s="7">
        <v>51000</v>
      </c>
      <c r="B25" s="60" t="s">
        <v>26</v>
      </c>
      <c r="C25" s="41">
        <v>56100</v>
      </c>
      <c r="D25" s="24">
        <f>SUM(C21:C25)</f>
        <v>894536</v>
      </c>
      <c r="E25" s="8"/>
      <c r="F25" s="7"/>
      <c r="G25" s="56"/>
      <c r="H25" s="56"/>
    </row>
    <row r="26" spans="1:10" x14ac:dyDescent="0.3">
      <c r="A26" s="7"/>
      <c r="B26" s="61" t="s">
        <v>27</v>
      </c>
      <c r="C26" s="56"/>
      <c r="D26" s="24"/>
      <c r="E26" s="8"/>
      <c r="F26" s="26" t="s">
        <v>48</v>
      </c>
      <c r="G26" s="56"/>
      <c r="H26" s="56"/>
    </row>
    <row r="27" spans="1:10" x14ac:dyDescent="0.3">
      <c r="A27" s="7">
        <v>10606</v>
      </c>
      <c r="B27" s="60" t="s">
        <v>240</v>
      </c>
      <c r="C27" s="56">
        <v>17114</v>
      </c>
      <c r="D27" s="24"/>
      <c r="E27" s="8">
        <v>30000</v>
      </c>
      <c r="F27" s="7" t="s">
        <v>49</v>
      </c>
      <c r="G27" s="56">
        <v>70000</v>
      </c>
      <c r="H27" s="56"/>
    </row>
    <row r="28" spans="1:10" x14ac:dyDescent="0.3">
      <c r="A28" s="7">
        <v>1610</v>
      </c>
      <c r="B28" s="60" t="s">
        <v>28</v>
      </c>
      <c r="C28" s="56">
        <v>3715</v>
      </c>
      <c r="D28" s="24"/>
      <c r="E28" s="8">
        <v>3000</v>
      </c>
      <c r="F28" s="7" t="s">
        <v>50</v>
      </c>
      <c r="G28" s="41">
        <v>0</v>
      </c>
      <c r="H28" s="57">
        <f>SUM(G27:G28)</f>
        <v>70000</v>
      </c>
    </row>
    <row r="29" spans="1:10" x14ac:dyDescent="0.3">
      <c r="A29" s="7">
        <v>22789</v>
      </c>
      <c r="B29" s="60" t="s">
        <v>253</v>
      </c>
      <c r="C29" s="56">
        <v>360</v>
      </c>
      <c r="D29" s="24"/>
      <c r="E29" s="8"/>
      <c r="F29" s="7"/>
      <c r="G29" s="56"/>
      <c r="H29" s="58"/>
    </row>
    <row r="30" spans="1:10" x14ac:dyDescent="0.3">
      <c r="A30" s="7">
        <v>3200</v>
      </c>
      <c r="B30" s="60" t="s">
        <v>29</v>
      </c>
      <c r="C30" s="56">
        <v>0</v>
      </c>
      <c r="D30" s="24"/>
      <c r="E30" s="8"/>
      <c r="F30" s="26" t="s">
        <v>14</v>
      </c>
      <c r="G30" s="56"/>
      <c r="H30" s="58"/>
    </row>
    <row r="31" spans="1:10" x14ac:dyDescent="0.3">
      <c r="A31" s="7">
        <v>1200</v>
      </c>
      <c r="B31" s="60" t="s">
        <v>30</v>
      </c>
      <c r="C31" s="56">
        <v>2017</v>
      </c>
      <c r="D31" s="24"/>
      <c r="E31" s="5">
        <v>314</v>
      </c>
      <c r="F31" s="60" t="s">
        <v>256</v>
      </c>
      <c r="G31" s="56"/>
      <c r="H31" s="59">
        <v>4000</v>
      </c>
      <c r="I31" s="20"/>
    </row>
    <row r="32" spans="1:10" x14ac:dyDescent="0.3">
      <c r="A32" s="7">
        <v>22245</v>
      </c>
      <c r="B32" s="60" t="s">
        <v>138</v>
      </c>
      <c r="C32" s="56">
        <f>'Sch 2 - FA'!H12</f>
        <v>16603</v>
      </c>
      <c r="D32" s="24"/>
      <c r="E32" s="5"/>
      <c r="G32" s="56"/>
      <c r="H32" s="58"/>
    </row>
    <row r="33" spans="1:26" x14ac:dyDescent="0.3">
      <c r="A33" s="7">
        <v>11901</v>
      </c>
      <c r="B33" s="60" t="s">
        <v>31</v>
      </c>
      <c r="C33" s="56">
        <v>25037</v>
      </c>
      <c r="D33" s="24"/>
      <c r="E33" s="5"/>
      <c r="G33" s="30"/>
      <c r="H33" s="5"/>
      <c r="I33" s="20"/>
      <c r="J33" s="20"/>
    </row>
    <row r="34" spans="1:26" x14ac:dyDescent="0.3">
      <c r="A34" s="7">
        <v>12629</v>
      </c>
      <c r="B34" s="60" t="s">
        <v>32</v>
      </c>
      <c r="C34" s="56">
        <v>15590</v>
      </c>
      <c r="D34" s="24"/>
      <c r="E34" s="5"/>
      <c r="G34" s="30"/>
      <c r="H34" s="5"/>
      <c r="I34" s="20"/>
      <c r="J34" s="20"/>
    </row>
    <row r="35" spans="1:26" x14ac:dyDescent="0.3">
      <c r="A35" s="7">
        <v>0</v>
      </c>
      <c r="B35" s="60" t="s">
        <v>267</v>
      </c>
      <c r="C35" s="56">
        <v>6899</v>
      </c>
      <c r="D35" s="24"/>
      <c r="E35" s="5"/>
      <c r="F35" s="11"/>
      <c r="G35" s="30"/>
      <c r="H35" s="9"/>
    </row>
    <row r="36" spans="1:26" x14ac:dyDescent="0.3">
      <c r="A36" s="7">
        <v>461</v>
      </c>
      <c r="B36" s="60" t="s">
        <v>53</v>
      </c>
      <c r="C36" s="56">
        <v>950</v>
      </c>
      <c r="D36" s="24"/>
      <c r="E36" s="5"/>
      <c r="G36" s="30"/>
      <c r="H36" s="5"/>
    </row>
    <row r="37" spans="1:26" x14ac:dyDescent="0.3">
      <c r="A37" s="7">
        <v>0</v>
      </c>
      <c r="B37" s="60" t="s">
        <v>268</v>
      </c>
      <c r="C37" s="56">
        <f>440500+7500</f>
        <v>448000</v>
      </c>
      <c r="D37" s="24"/>
      <c r="E37" s="5"/>
      <c r="G37" s="30"/>
      <c r="H37" s="5"/>
    </row>
    <row r="38" spans="1:26" x14ac:dyDescent="0.3">
      <c r="A38" s="7">
        <v>910</v>
      </c>
      <c r="B38" s="60" t="s">
        <v>195</v>
      </c>
      <c r="C38" s="56">
        <v>587</v>
      </c>
      <c r="D38" s="24"/>
      <c r="E38" s="5"/>
      <c r="G38" s="30"/>
      <c r="H38" s="30"/>
    </row>
    <row r="39" spans="1:26" x14ac:dyDescent="0.3">
      <c r="A39" s="7">
        <v>5000</v>
      </c>
      <c r="B39" s="60" t="s">
        <v>33</v>
      </c>
      <c r="C39" s="56">
        <v>5000</v>
      </c>
      <c r="D39" s="24"/>
      <c r="E39" s="5"/>
      <c r="G39" s="30"/>
      <c r="H39" s="30"/>
    </row>
    <row r="40" spans="1:26" x14ac:dyDescent="0.3">
      <c r="A40" s="7">
        <v>826</v>
      </c>
      <c r="B40" s="60" t="s">
        <v>137</v>
      </c>
      <c r="C40" s="56">
        <v>826</v>
      </c>
      <c r="D40" s="24"/>
      <c r="E40" s="8"/>
      <c r="F40" s="25"/>
      <c r="G40" s="30"/>
      <c r="H40" s="30"/>
    </row>
    <row r="41" spans="1:26" x14ac:dyDescent="0.3">
      <c r="A41" s="7">
        <v>649</v>
      </c>
      <c r="B41" s="60" t="s">
        <v>34</v>
      </c>
      <c r="C41" s="41">
        <v>0</v>
      </c>
      <c r="D41" s="24">
        <f>SUM(C27:C41)</f>
        <v>542698</v>
      </c>
      <c r="E41" s="8"/>
      <c r="F41" s="25"/>
      <c r="G41" s="30"/>
      <c r="H41" s="30"/>
    </row>
    <row r="42" spans="1:26" ht="9.9" customHeight="1" x14ac:dyDescent="0.3">
      <c r="A42" s="7"/>
      <c r="B42" s="60"/>
      <c r="C42" s="56"/>
      <c r="D42" s="24"/>
      <c r="E42" s="8"/>
      <c r="F42" s="25"/>
      <c r="G42" s="30"/>
      <c r="H42" s="30"/>
    </row>
    <row r="43" spans="1:26" x14ac:dyDescent="0.3">
      <c r="A43" s="5">
        <v>101768</v>
      </c>
      <c r="B43" s="11" t="s">
        <v>247</v>
      </c>
      <c r="C43" s="56">
        <f>D44-C44</f>
        <v>11143</v>
      </c>
      <c r="D43" s="24"/>
      <c r="E43" s="8"/>
      <c r="F43" s="25"/>
      <c r="G43" s="30"/>
      <c r="H43" s="30"/>
    </row>
    <row r="44" spans="1:26" x14ac:dyDescent="0.3">
      <c r="A44" s="7">
        <v>33923</v>
      </c>
      <c r="B44" s="7" t="s">
        <v>248</v>
      </c>
      <c r="C44" s="56">
        <f>ROUND(D44*25%,0)</f>
        <v>3714</v>
      </c>
      <c r="D44" s="24">
        <f>H45-SUM(D6:D41)</f>
        <v>14857</v>
      </c>
      <c r="E44" s="8"/>
      <c r="F44" s="25"/>
      <c r="G44" s="30"/>
      <c r="H44" s="30"/>
      <c r="I44" s="20"/>
    </row>
    <row r="45" spans="1:26" ht="15" thickBot="1" x14ac:dyDescent="0.35">
      <c r="A45" s="29">
        <f>SUM(A6:A44)</f>
        <v>2156803</v>
      </c>
      <c r="B45" s="150" t="s">
        <v>35</v>
      </c>
      <c r="C45" s="150"/>
      <c r="D45" s="29">
        <f>SUM(D6:D44)</f>
        <v>2196898</v>
      </c>
      <c r="E45" s="29">
        <f>SUM(E6:E43)</f>
        <v>2156803</v>
      </c>
      <c r="F45" s="150" t="s">
        <v>35</v>
      </c>
      <c r="G45" s="151"/>
      <c r="H45" s="29">
        <f>SUM(H6:H43)</f>
        <v>2196898</v>
      </c>
    </row>
    <row r="46" spans="1:26" ht="14.25" customHeight="1" thickTop="1" x14ac:dyDescent="0.3">
      <c r="A46" s="117"/>
      <c r="B46" s="118"/>
      <c r="C46" s="118"/>
      <c r="D46" s="119"/>
      <c r="E46" s="118"/>
      <c r="F46" s="118"/>
      <c r="G46" s="118"/>
      <c r="H46" s="120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4.25" customHeight="1" x14ac:dyDescent="0.3">
      <c r="A47" s="117" t="s">
        <v>140</v>
      </c>
      <c r="B47" s="118"/>
      <c r="C47" s="118"/>
      <c r="D47" s="118"/>
      <c r="E47" s="139" t="s">
        <v>359</v>
      </c>
      <c r="F47" s="139"/>
      <c r="G47" s="139"/>
      <c r="H47" s="121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4.25" customHeight="1" x14ac:dyDescent="0.3">
      <c r="A48" s="117"/>
      <c r="B48" s="118"/>
      <c r="C48" s="118"/>
      <c r="D48" s="119"/>
      <c r="E48" s="118"/>
      <c r="F48" s="118"/>
      <c r="G48" s="118"/>
      <c r="H48" s="120"/>
      <c r="I48" s="118">
        <f>D45-H45</f>
        <v>0</v>
      </c>
      <c r="J48" s="118">
        <f>A45-E45</f>
        <v>0</v>
      </c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4.25" customHeight="1" x14ac:dyDescent="0.3">
      <c r="A49" s="117"/>
      <c r="B49" s="118"/>
      <c r="C49" s="118"/>
      <c r="D49" s="119"/>
      <c r="E49" s="118"/>
      <c r="F49" s="118"/>
      <c r="G49" s="118"/>
      <c r="H49" s="120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4.25" customHeight="1" x14ac:dyDescent="0.3">
      <c r="A50" s="117"/>
      <c r="B50" s="118"/>
      <c r="C50" s="118"/>
      <c r="D50" s="119"/>
      <c r="E50" s="118"/>
      <c r="F50" s="118"/>
      <c r="G50" s="118"/>
      <c r="H50" s="120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4.25" customHeight="1" x14ac:dyDescent="0.3">
      <c r="A51" s="122" t="s">
        <v>355</v>
      </c>
      <c r="B51" s="118"/>
      <c r="C51" s="118"/>
      <c r="D51" s="119"/>
      <c r="E51" s="118"/>
      <c r="F51" s="118"/>
      <c r="G51" s="118"/>
      <c r="H51" s="120"/>
      <c r="I51" s="118">
        <f>D45-H45</f>
        <v>0</v>
      </c>
      <c r="J51" s="118">
        <f>A45-E45</f>
        <v>0</v>
      </c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4.25" customHeight="1" x14ac:dyDescent="0.3">
      <c r="A52" s="117" t="s">
        <v>356</v>
      </c>
      <c r="B52" s="118"/>
      <c r="C52" s="118"/>
      <c r="D52" s="119"/>
      <c r="E52"/>
      <c r="G52"/>
      <c r="H52" s="123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4.25" customHeight="1" x14ac:dyDescent="0.3">
      <c r="A53" s="117" t="s">
        <v>357</v>
      </c>
      <c r="B53" s="118"/>
      <c r="C53" s="118"/>
      <c r="D53" s="119"/>
      <c r="E53" s="139" t="s">
        <v>358</v>
      </c>
      <c r="F53" s="139"/>
      <c r="G53" s="139"/>
      <c r="H53" s="120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4.25" customHeight="1" x14ac:dyDescent="0.3">
      <c r="A54" s="140">
        <v>46258</v>
      </c>
      <c r="B54" s="141"/>
      <c r="C54" s="141"/>
      <c r="D54" s="124"/>
      <c r="E54" s="125"/>
      <c r="F54" s="125"/>
      <c r="G54" s="125"/>
      <c r="H54" s="126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x14ac:dyDescent="0.3">
      <c r="A55" s="8"/>
      <c r="C55" s="72"/>
      <c r="D55" s="8"/>
      <c r="E55" s="8"/>
      <c r="G55" s="8"/>
      <c r="H55" s="8"/>
    </row>
    <row r="56" spans="1:26" ht="12" customHeight="1" x14ac:dyDescent="0.3">
      <c r="A56" s="8"/>
      <c r="C56" s="72"/>
      <c r="D56" s="8"/>
      <c r="E56" s="8"/>
      <c r="G56" s="8"/>
      <c r="H56" s="8"/>
    </row>
    <row r="57" spans="1:26" ht="15.45" customHeight="1" x14ac:dyDescent="0.3">
      <c r="A57" s="8"/>
      <c r="C57" s="72"/>
      <c r="D57" s="8"/>
      <c r="E57" s="8"/>
      <c r="G57" s="8"/>
      <c r="H57" s="8"/>
    </row>
    <row r="58" spans="1:26" ht="19.5" customHeight="1" x14ac:dyDescent="0.3">
      <c r="A58" s="8"/>
      <c r="C58" s="72"/>
      <c r="D58" s="8"/>
      <c r="E58" s="8"/>
      <c r="G58" s="8"/>
      <c r="H58" s="8"/>
    </row>
    <row r="59" spans="1:26" ht="19.5" customHeight="1" x14ac:dyDescent="0.3">
      <c r="A59" s="8"/>
      <c r="C59" s="72"/>
      <c r="D59" s="8"/>
      <c r="E59" s="8"/>
      <c r="G59" s="8"/>
      <c r="H59" s="8"/>
    </row>
    <row r="60" spans="1:26" x14ac:dyDescent="0.3">
      <c r="A60" s="8"/>
      <c r="C60" s="72"/>
      <c r="D60" s="8"/>
      <c r="E60" s="8"/>
      <c r="G60" s="8"/>
      <c r="H60" s="8"/>
    </row>
  </sheetData>
  <mergeCells count="11">
    <mergeCell ref="A54:C54"/>
    <mergeCell ref="E47:G47"/>
    <mergeCell ref="E53:G53"/>
    <mergeCell ref="F45:G45"/>
    <mergeCell ref="A1:H1"/>
    <mergeCell ref="A4:H4"/>
    <mergeCell ref="B5:C5"/>
    <mergeCell ref="F5:G5"/>
    <mergeCell ref="B45:C45"/>
    <mergeCell ref="A2:H2"/>
    <mergeCell ref="A3:H3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view="pageBreakPreview" zoomScaleNormal="100" zoomScaleSheetLayoutView="100" workbookViewId="0">
      <pane xSplit="2" ySplit="5" topLeftCell="C40" activePane="bottomRight" state="frozen"/>
      <selection activeCell="A59" sqref="A59"/>
      <selection pane="topRight" activeCell="A59" sqref="A59"/>
      <selection pane="bottomLeft" activeCell="A59" sqref="A59"/>
      <selection pane="bottomRight" activeCell="A59" sqref="A59"/>
    </sheetView>
  </sheetViews>
  <sheetFormatPr defaultRowHeight="14.4" x14ac:dyDescent="0.3"/>
  <cols>
    <col min="1" max="1" width="3.88671875" style="1" customWidth="1"/>
    <col min="2" max="2" width="13.33203125" bestFit="1" customWidth="1"/>
    <col min="3" max="3" width="10.33203125" style="1" bestFit="1" customWidth="1"/>
    <col min="4" max="4" width="13.33203125" style="8" customWidth="1"/>
    <col min="5" max="6" width="13.33203125" style="72" customWidth="1"/>
    <col min="7" max="7" width="13.33203125" style="8" customWidth="1"/>
    <col min="8" max="8" width="11.33203125" style="12" bestFit="1" customWidth="1"/>
    <col min="9" max="9" width="12.5546875" style="8" bestFit="1" customWidth="1"/>
    <col min="10" max="11" width="8.6640625" style="12"/>
    <col min="12" max="12" width="8.88671875" style="12"/>
  </cols>
  <sheetData>
    <row r="1" spans="1:12" ht="15.6" x14ac:dyDescent="0.3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39"/>
    </row>
    <row r="2" spans="1:12" ht="9.9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3">
      <c r="A3" s="137" t="s">
        <v>260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23"/>
    </row>
    <row r="4" spans="1:12" ht="9.9" customHeight="1" x14ac:dyDescent="0.3">
      <c r="J4" s="160" t="s">
        <v>141</v>
      </c>
      <c r="K4" s="160"/>
      <c r="L4" s="113"/>
    </row>
    <row r="5" spans="1:12" s="13" customFormat="1" ht="29.4" thickBot="1" x14ac:dyDescent="0.35">
      <c r="A5" s="33" t="s">
        <v>36</v>
      </c>
      <c r="B5" s="33" t="s">
        <v>37</v>
      </c>
      <c r="C5" s="33" t="s">
        <v>42</v>
      </c>
      <c r="D5" s="34" t="s">
        <v>39</v>
      </c>
      <c r="E5" s="107" t="s">
        <v>197</v>
      </c>
      <c r="F5" s="107" t="s">
        <v>261</v>
      </c>
      <c r="G5" s="34" t="s">
        <v>40</v>
      </c>
      <c r="H5" s="34" t="s">
        <v>43</v>
      </c>
      <c r="I5" s="34" t="s">
        <v>44</v>
      </c>
      <c r="J5" s="34" t="s">
        <v>45</v>
      </c>
      <c r="K5" s="34" t="s">
        <v>46</v>
      </c>
      <c r="L5" s="114"/>
    </row>
    <row r="6" spans="1:12" ht="15" thickTop="1" x14ac:dyDescent="0.3">
      <c r="B6" s="40" t="s">
        <v>38</v>
      </c>
    </row>
    <row r="7" spans="1:12" x14ac:dyDescent="0.3">
      <c r="A7" s="14">
        <v>1</v>
      </c>
      <c r="B7" s="108" t="s">
        <v>312</v>
      </c>
      <c r="C7" s="14" t="s">
        <v>201</v>
      </c>
      <c r="D7" s="15">
        <v>121524</v>
      </c>
      <c r="E7" s="18">
        <v>0</v>
      </c>
      <c r="F7" s="18">
        <v>7068</v>
      </c>
      <c r="G7" s="15">
        <f>SUM(D7:F7)</f>
        <v>128592</v>
      </c>
      <c r="H7" s="16" t="s">
        <v>303</v>
      </c>
      <c r="I7" s="15">
        <v>130898</v>
      </c>
      <c r="J7" s="17">
        <v>7.4999999999999997E-2</v>
      </c>
      <c r="K7" s="16" t="s">
        <v>47</v>
      </c>
    </row>
    <row r="8" spans="1:12" x14ac:dyDescent="0.3">
      <c r="A8" s="14">
        <v>2</v>
      </c>
      <c r="B8" s="108" t="s">
        <v>313</v>
      </c>
      <c r="C8" s="14" t="s">
        <v>144</v>
      </c>
      <c r="D8" s="15">
        <v>98134</v>
      </c>
      <c r="E8" s="18">
        <v>0</v>
      </c>
      <c r="F8" s="18">
        <v>6774</v>
      </c>
      <c r="G8" s="15">
        <f t="shared" ref="G8:G25" si="0">SUM(D8:F8)</f>
        <v>104908</v>
      </c>
      <c r="H8" s="16" t="s">
        <v>326</v>
      </c>
      <c r="I8" s="15">
        <v>105911</v>
      </c>
      <c r="J8" s="17">
        <v>7.6999999999999999E-2</v>
      </c>
      <c r="K8" s="16" t="s">
        <v>47</v>
      </c>
    </row>
    <row r="9" spans="1:12" x14ac:dyDescent="0.3">
      <c r="A9" s="14">
        <v>3</v>
      </c>
      <c r="B9" s="108" t="s">
        <v>314</v>
      </c>
      <c r="C9" s="14" t="s">
        <v>201</v>
      </c>
      <c r="D9" s="15">
        <v>77515</v>
      </c>
      <c r="E9" s="18">
        <v>0</v>
      </c>
      <c r="F9" s="18">
        <v>4507</v>
      </c>
      <c r="G9" s="15">
        <f t="shared" si="0"/>
        <v>82022</v>
      </c>
      <c r="H9" s="16" t="s">
        <v>303</v>
      </c>
      <c r="I9" s="15">
        <v>83494</v>
      </c>
      <c r="J9" s="17">
        <v>7.4999999999999997E-2</v>
      </c>
      <c r="K9" s="16" t="s">
        <v>47</v>
      </c>
    </row>
    <row r="10" spans="1:12" x14ac:dyDescent="0.3">
      <c r="A10" s="14">
        <v>4</v>
      </c>
      <c r="B10" s="108" t="s">
        <v>315</v>
      </c>
      <c r="C10" s="14" t="s">
        <v>202</v>
      </c>
      <c r="D10" s="18">
        <v>83528</v>
      </c>
      <c r="E10" s="18">
        <v>0</v>
      </c>
      <c r="F10" s="18">
        <v>5020</v>
      </c>
      <c r="G10" s="15">
        <f t="shared" si="0"/>
        <v>88548</v>
      </c>
      <c r="H10" s="16" t="s">
        <v>322</v>
      </c>
      <c r="I10" s="15">
        <v>89971</v>
      </c>
      <c r="J10" s="17">
        <v>7.4999999999999997E-2</v>
      </c>
      <c r="K10" s="16" t="s">
        <v>47</v>
      </c>
    </row>
    <row r="11" spans="1:12" x14ac:dyDescent="0.3">
      <c r="A11" s="14">
        <v>5</v>
      </c>
      <c r="B11" s="108" t="s">
        <v>316</v>
      </c>
      <c r="C11" s="14" t="s">
        <v>203</v>
      </c>
      <c r="D11" s="18">
        <v>91490</v>
      </c>
      <c r="E11" s="18">
        <v>0</v>
      </c>
      <c r="F11" s="18">
        <v>3168</v>
      </c>
      <c r="G11" s="15">
        <f t="shared" si="0"/>
        <v>94658</v>
      </c>
      <c r="H11" s="16" t="s">
        <v>323</v>
      </c>
      <c r="I11" s="15">
        <v>97872</v>
      </c>
      <c r="J11" s="17">
        <v>6.8000000000000005E-2</v>
      </c>
      <c r="K11" s="16" t="s">
        <v>47</v>
      </c>
    </row>
    <row r="12" spans="1:12" x14ac:dyDescent="0.3">
      <c r="A12" s="14">
        <v>6</v>
      </c>
      <c r="B12" s="108" t="s">
        <v>317</v>
      </c>
      <c r="C12" s="14" t="s">
        <v>204</v>
      </c>
      <c r="D12" s="18">
        <v>127102</v>
      </c>
      <c r="E12" s="18">
        <v>0</v>
      </c>
      <c r="F12" s="18">
        <v>41</v>
      </c>
      <c r="G12" s="15">
        <f t="shared" si="0"/>
        <v>127143</v>
      </c>
      <c r="H12" s="16" t="s">
        <v>327</v>
      </c>
      <c r="I12" s="15">
        <v>135767</v>
      </c>
      <c r="J12" s="17">
        <v>6.6500000000000004E-2</v>
      </c>
      <c r="K12" s="16" t="s">
        <v>47</v>
      </c>
    </row>
    <row r="13" spans="1:12" x14ac:dyDescent="0.3">
      <c r="A13" s="14">
        <v>7</v>
      </c>
      <c r="B13" s="108" t="s">
        <v>318</v>
      </c>
      <c r="C13" s="14" t="s">
        <v>199</v>
      </c>
      <c r="D13" s="18">
        <v>119032</v>
      </c>
      <c r="E13" s="18">
        <v>0</v>
      </c>
      <c r="F13" s="18">
        <v>97</v>
      </c>
      <c r="G13" s="15">
        <f t="shared" si="0"/>
        <v>119129</v>
      </c>
      <c r="H13" s="16" t="s">
        <v>324</v>
      </c>
      <c r="I13" s="15">
        <v>127147</v>
      </c>
      <c r="J13" s="17">
        <v>6.6500000000000004E-2</v>
      </c>
      <c r="K13" s="16" t="s">
        <v>47</v>
      </c>
    </row>
    <row r="14" spans="1:12" x14ac:dyDescent="0.3">
      <c r="A14" s="14">
        <v>8</v>
      </c>
      <c r="B14" s="108" t="s">
        <v>319</v>
      </c>
      <c r="C14" s="14" t="s">
        <v>199</v>
      </c>
      <c r="D14" s="18">
        <v>72553</v>
      </c>
      <c r="E14" s="18">
        <v>0</v>
      </c>
      <c r="F14" s="18">
        <v>59</v>
      </c>
      <c r="G14" s="15">
        <f t="shared" si="0"/>
        <v>72612</v>
      </c>
      <c r="H14" s="16" t="s">
        <v>324</v>
      </c>
      <c r="I14" s="15">
        <v>77499</v>
      </c>
      <c r="J14" s="17">
        <v>6.6500000000000004E-2</v>
      </c>
      <c r="K14" s="16" t="s">
        <v>47</v>
      </c>
    </row>
    <row r="15" spans="1:12" x14ac:dyDescent="0.3">
      <c r="A15" s="14">
        <v>9</v>
      </c>
      <c r="B15" s="108" t="s">
        <v>320</v>
      </c>
      <c r="C15" s="14" t="s">
        <v>198</v>
      </c>
      <c r="D15" s="18">
        <v>67200</v>
      </c>
      <c r="E15" s="18">
        <v>0</v>
      </c>
      <c r="F15" s="18">
        <v>220</v>
      </c>
      <c r="G15" s="15">
        <f t="shared" si="0"/>
        <v>67420</v>
      </c>
      <c r="H15" s="16" t="s">
        <v>198</v>
      </c>
      <c r="I15" s="15">
        <v>71781</v>
      </c>
      <c r="J15" s="17">
        <v>6.6500000000000004E-2</v>
      </c>
      <c r="K15" s="16" t="s">
        <v>47</v>
      </c>
    </row>
    <row r="16" spans="1:12" x14ac:dyDescent="0.3">
      <c r="A16" s="14">
        <v>10</v>
      </c>
      <c r="B16" s="108" t="s">
        <v>321</v>
      </c>
      <c r="C16" s="14" t="s">
        <v>200</v>
      </c>
      <c r="D16" s="18">
        <v>77480</v>
      </c>
      <c r="E16" s="18">
        <v>0</v>
      </c>
      <c r="F16" s="18">
        <v>0</v>
      </c>
      <c r="G16" s="15">
        <f t="shared" si="0"/>
        <v>77480</v>
      </c>
      <c r="H16" s="16" t="s">
        <v>325</v>
      </c>
      <c r="I16" s="15">
        <v>82762</v>
      </c>
      <c r="J16" s="17">
        <v>6.6500000000000004E-2</v>
      </c>
      <c r="K16" s="16" t="s">
        <v>47</v>
      </c>
    </row>
    <row r="17" spans="1:11" x14ac:dyDescent="0.3">
      <c r="A17" s="14">
        <v>11</v>
      </c>
      <c r="B17" s="108">
        <v>1577</v>
      </c>
      <c r="C17" s="14" t="s">
        <v>209</v>
      </c>
      <c r="D17" s="18">
        <v>100000</v>
      </c>
      <c r="E17" s="18">
        <f>5598-560</f>
        <v>5038</v>
      </c>
      <c r="F17" s="18">
        <v>7518</v>
      </c>
      <c r="G17" s="15">
        <f t="shared" si="0"/>
        <v>112556</v>
      </c>
      <c r="H17" s="16" t="s">
        <v>210</v>
      </c>
      <c r="I17" s="15">
        <v>116593</v>
      </c>
      <c r="J17" s="17">
        <v>7.7499999999999999E-2</v>
      </c>
      <c r="K17" s="16" t="s">
        <v>47</v>
      </c>
    </row>
    <row r="18" spans="1:11" x14ac:dyDescent="0.3">
      <c r="A18" s="14">
        <v>12</v>
      </c>
      <c r="B18" s="108">
        <v>1574</v>
      </c>
      <c r="C18" s="14" t="s">
        <v>211</v>
      </c>
      <c r="D18" s="18">
        <v>100000</v>
      </c>
      <c r="E18" s="18">
        <f>6025-603</f>
        <v>5422</v>
      </c>
      <c r="F18" s="18">
        <v>7547</v>
      </c>
      <c r="G18" s="15">
        <f t="shared" si="0"/>
        <v>112969</v>
      </c>
      <c r="H18" s="16" t="s">
        <v>212</v>
      </c>
      <c r="I18" s="15">
        <v>116593</v>
      </c>
      <c r="J18" s="17">
        <v>7.7499999999999999E-2</v>
      </c>
      <c r="K18" s="16" t="s">
        <v>47</v>
      </c>
    </row>
    <row r="19" spans="1:11" x14ac:dyDescent="0.3">
      <c r="A19" s="14">
        <v>13</v>
      </c>
      <c r="B19" s="108">
        <v>1570</v>
      </c>
      <c r="C19" s="14" t="s">
        <v>213</v>
      </c>
      <c r="D19" s="18">
        <v>100000</v>
      </c>
      <c r="E19" s="18">
        <f>6295-629</f>
        <v>5666</v>
      </c>
      <c r="F19" s="18">
        <v>7563</v>
      </c>
      <c r="G19" s="15">
        <f t="shared" si="0"/>
        <v>113229</v>
      </c>
      <c r="H19" s="16" t="s">
        <v>214</v>
      </c>
      <c r="I19" s="15">
        <v>116593</v>
      </c>
      <c r="J19" s="17">
        <v>7.7499999999999999E-2</v>
      </c>
      <c r="K19" s="16" t="s">
        <v>47</v>
      </c>
    </row>
    <row r="20" spans="1:11" x14ac:dyDescent="0.3">
      <c r="A20" s="14">
        <v>14</v>
      </c>
      <c r="B20" s="108">
        <v>1645</v>
      </c>
      <c r="C20" s="14" t="s">
        <v>296</v>
      </c>
      <c r="D20" s="18">
        <v>100000</v>
      </c>
      <c r="E20" s="18">
        <v>0</v>
      </c>
      <c r="F20" s="18">
        <v>2371</v>
      </c>
      <c r="G20" s="15">
        <f t="shared" si="0"/>
        <v>102371</v>
      </c>
      <c r="H20" s="16" t="s">
        <v>305</v>
      </c>
      <c r="I20" s="15">
        <v>106975</v>
      </c>
      <c r="J20" s="17">
        <v>6.8000000000000005E-2</v>
      </c>
      <c r="K20" s="16" t="s">
        <v>47</v>
      </c>
    </row>
    <row r="21" spans="1:11" x14ac:dyDescent="0.3">
      <c r="A21" s="14">
        <v>15</v>
      </c>
      <c r="B21" s="108">
        <v>1653</v>
      </c>
      <c r="C21" s="14" t="s">
        <v>310</v>
      </c>
      <c r="D21" s="18">
        <v>100000</v>
      </c>
      <c r="E21" s="18">
        <v>0</v>
      </c>
      <c r="F21" s="18">
        <v>1886</v>
      </c>
      <c r="G21" s="15">
        <f t="shared" si="0"/>
        <v>101886</v>
      </c>
      <c r="H21" s="16" t="s">
        <v>311</v>
      </c>
      <c r="I21" s="15">
        <v>106975</v>
      </c>
      <c r="J21" s="17">
        <v>6.8000000000000005E-2</v>
      </c>
      <c r="K21" s="16" t="s">
        <v>47</v>
      </c>
    </row>
    <row r="22" spans="1:11" x14ac:dyDescent="0.3">
      <c r="A22" s="14">
        <v>16</v>
      </c>
      <c r="B22" s="108">
        <v>1638</v>
      </c>
      <c r="C22" s="14" t="s">
        <v>298</v>
      </c>
      <c r="D22" s="18">
        <v>8000</v>
      </c>
      <c r="E22" s="18">
        <v>0</v>
      </c>
      <c r="F22" s="18">
        <v>227</v>
      </c>
      <c r="G22" s="15">
        <f t="shared" si="0"/>
        <v>8227</v>
      </c>
      <c r="H22" s="16" t="s">
        <v>306</v>
      </c>
      <c r="I22" s="15">
        <v>8558</v>
      </c>
      <c r="J22" s="17">
        <v>6.8000000000000005E-2</v>
      </c>
      <c r="K22" s="16" t="s">
        <v>47</v>
      </c>
    </row>
    <row r="23" spans="1:11" x14ac:dyDescent="0.3">
      <c r="A23" s="14">
        <v>17</v>
      </c>
      <c r="B23" s="108">
        <v>2655</v>
      </c>
      <c r="C23" s="14" t="s">
        <v>296</v>
      </c>
      <c r="D23" s="18">
        <v>4000</v>
      </c>
      <c r="E23" s="18">
        <v>0</v>
      </c>
      <c r="F23" s="18">
        <v>93</v>
      </c>
      <c r="G23" s="15">
        <f t="shared" si="0"/>
        <v>4093</v>
      </c>
      <c r="H23" s="16" t="s">
        <v>305</v>
      </c>
      <c r="I23" s="15">
        <v>4279</v>
      </c>
      <c r="J23" s="17">
        <v>6.8000000000000005E-2</v>
      </c>
      <c r="K23" s="16" t="s">
        <v>47</v>
      </c>
    </row>
    <row r="24" spans="1:11" x14ac:dyDescent="0.3">
      <c r="A24" s="14">
        <v>18</v>
      </c>
      <c r="B24" s="108">
        <v>1643</v>
      </c>
      <c r="C24" s="14" t="s">
        <v>296</v>
      </c>
      <c r="D24" s="18">
        <v>12000</v>
      </c>
      <c r="E24" s="18">
        <v>0</v>
      </c>
      <c r="F24" s="18">
        <v>283</v>
      </c>
      <c r="G24" s="15">
        <f t="shared" si="0"/>
        <v>12283</v>
      </c>
      <c r="H24" s="16" t="s">
        <v>305</v>
      </c>
      <c r="I24" s="15">
        <v>12837</v>
      </c>
      <c r="J24" s="17">
        <v>6.8000000000000005E-2</v>
      </c>
      <c r="K24" s="16" t="s">
        <v>47</v>
      </c>
    </row>
    <row r="25" spans="1:11" x14ac:dyDescent="0.3">
      <c r="A25" s="14">
        <v>19</v>
      </c>
      <c r="B25" s="108">
        <v>1657</v>
      </c>
      <c r="C25" s="14" t="s">
        <v>289</v>
      </c>
      <c r="D25" s="18">
        <v>20000</v>
      </c>
      <c r="E25" s="18">
        <v>0</v>
      </c>
      <c r="F25" s="18">
        <v>257</v>
      </c>
      <c r="G25" s="15">
        <f t="shared" si="0"/>
        <v>20257</v>
      </c>
      <c r="H25" s="16" t="s">
        <v>292</v>
      </c>
      <c r="I25" s="15">
        <v>21364</v>
      </c>
      <c r="J25" s="17">
        <v>6.8000000000000005E-2</v>
      </c>
      <c r="K25" s="16" t="s">
        <v>47</v>
      </c>
    </row>
    <row r="26" spans="1:11" ht="15" thickBot="1" x14ac:dyDescent="0.35">
      <c r="A26" s="38"/>
      <c r="B26" s="109"/>
      <c r="C26" s="36"/>
      <c r="D26" s="29">
        <f>SUM(D7:D25)</f>
        <v>1479558</v>
      </c>
      <c r="E26" s="29">
        <f t="shared" ref="E26:G26" si="1">SUM(E7:E25)</f>
        <v>16126</v>
      </c>
      <c r="F26" s="29">
        <f t="shared" si="1"/>
        <v>54699</v>
      </c>
      <c r="G26" s="29">
        <f t="shared" si="1"/>
        <v>1550383</v>
      </c>
      <c r="H26" s="37"/>
      <c r="I26" s="29">
        <f>SUM(I7:I25)</f>
        <v>1613869</v>
      </c>
      <c r="J26" s="37"/>
      <c r="K26" s="37"/>
    </row>
    <row r="27" spans="1:11" ht="9.9" customHeight="1" thickTop="1" x14ac:dyDescent="0.3"/>
    <row r="28" spans="1:11" x14ac:dyDescent="0.3">
      <c r="B28" s="40" t="s">
        <v>207</v>
      </c>
    </row>
    <row r="29" spans="1:11" x14ac:dyDescent="0.3">
      <c r="A29" s="14">
        <v>20</v>
      </c>
      <c r="B29" s="108" t="s">
        <v>308</v>
      </c>
      <c r="C29" s="14" t="s">
        <v>208</v>
      </c>
      <c r="D29" s="15">
        <v>109002</v>
      </c>
      <c r="E29" s="18">
        <v>0</v>
      </c>
      <c r="F29" s="18">
        <f>862-86</f>
        <v>776</v>
      </c>
      <c r="G29" s="15">
        <f t="shared" ref="G29" si="2">SUM(D29:F29)</f>
        <v>109778</v>
      </c>
      <c r="H29" s="16" t="s">
        <v>309</v>
      </c>
      <c r="I29" s="15">
        <v>118369</v>
      </c>
      <c r="J29" s="17">
        <v>7.6999999999999999E-2</v>
      </c>
      <c r="K29" s="16" t="s">
        <v>47</v>
      </c>
    </row>
    <row r="30" spans="1:11" ht="15" thickBot="1" x14ac:dyDescent="0.35">
      <c r="A30" s="38"/>
      <c r="B30" s="109"/>
      <c r="C30" s="36"/>
      <c r="D30" s="29">
        <f>SUM(D29)</f>
        <v>109002</v>
      </c>
      <c r="E30" s="29">
        <f t="shared" ref="E30" si="3">SUM(E29)</f>
        <v>0</v>
      </c>
      <c r="F30" s="29">
        <f>SUM(F29)</f>
        <v>776</v>
      </c>
      <c r="G30" s="29">
        <f>SUM(D30:F30)</f>
        <v>109778</v>
      </c>
      <c r="H30" s="37"/>
      <c r="I30" s="29">
        <f>SUM(I29)</f>
        <v>118369</v>
      </c>
      <c r="J30" s="37"/>
      <c r="K30" s="37"/>
    </row>
    <row r="31" spans="1:11" ht="9.9" customHeight="1" thickTop="1" x14ac:dyDescent="0.3"/>
    <row r="32" spans="1:11" x14ac:dyDescent="0.3">
      <c r="B32" s="40" t="s">
        <v>41</v>
      </c>
    </row>
    <row r="33" spans="1:11" x14ac:dyDescent="0.3">
      <c r="A33" s="14">
        <v>21</v>
      </c>
      <c r="B33" s="19" t="s">
        <v>299</v>
      </c>
      <c r="C33" s="14" t="s">
        <v>201</v>
      </c>
      <c r="D33" s="15">
        <v>363746</v>
      </c>
      <c r="E33" s="18">
        <v>0</v>
      </c>
      <c r="F33" s="18">
        <f>23511-2351</f>
        <v>21160</v>
      </c>
      <c r="G33" s="15">
        <f t="shared" ref="G33:G39" si="4">SUM(D33:F33)</f>
        <v>384906</v>
      </c>
      <c r="H33" s="16" t="s">
        <v>303</v>
      </c>
      <c r="I33" s="15">
        <v>391804</v>
      </c>
      <c r="J33" s="17">
        <v>7.4999999999999997E-2</v>
      </c>
      <c r="K33" s="16" t="s">
        <v>47</v>
      </c>
    </row>
    <row r="34" spans="1:11" x14ac:dyDescent="0.3">
      <c r="A34" s="14">
        <v>22</v>
      </c>
      <c r="B34" s="19" t="s">
        <v>293</v>
      </c>
      <c r="C34" s="14" t="s">
        <v>205</v>
      </c>
      <c r="D34" s="15">
        <v>191696</v>
      </c>
      <c r="E34" s="18">
        <v>0</v>
      </c>
      <c r="F34" s="18">
        <v>0</v>
      </c>
      <c r="G34" s="15">
        <f t="shared" si="4"/>
        <v>191696</v>
      </c>
      <c r="H34" s="16" t="s">
        <v>294</v>
      </c>
      <c r="I34" s="15">
        <v>191696</v>
      </c>
      <c r="J34" s="17">
        <v>6.8000000000000005E-2</v>
      </c>
      <c r="K34" s="16" t="s">
        <v>47</v>
      </c>
    </row>
    <row r="35" spans="1:11" x14ac:dyDescent="0.3">
      <c r="A35" s="14">
        <v>23</v>
      </c>
      <c r="B35" s="19" t="s">
        <v>300</v>
      </c>
      <c r="C35" s="14" t="s">
        <v>198</v>
      </c>
      <c r="D35" s="15">
        <v>201682</v>
      </c>
      <c r="E35" s="18">
        <v>0</v>
      </c>
      <c r="F35" s="18">
        <f>735-74</f>
        <v>661</v>
      </c>
      <c r="G35" s="15">
        <f t="shared" si="4"/>
        <v>202343</v>
      </c>
      <c r="H35" s="16" t="s">
        <v>307</v>
      </c>
      <c r="I35" s="15">
        <v>215432</v>
      </c>
      <c r="J35" s="17">
        <v>6.6500000000000004E-2</v>
      </c>
      <c r="K35" s="16" t="s">
        <v>47</v>
      </c>
    </row>
    <row r="36" spans="1:11" x14ac:dyDescent="0.3">
      <c r="A36" s="14">
        <v>24</v>
      </c>
      <c r="B36" s="19" t="s">
        <v>301</v>
      </c>
      <c r="C36" s="14" t="s">
        <v>201</v>
      </c>
      <c r="D36" s="15">
        <v>232654</v>
      </c>
      <c r="E36" s="18">
        <v>0</v>
      </c>
      <c r="F36" s="18">
        <f>15038-1504</f>
        <v>13534</v>
      </c>
      <c r="G36" s="15">
        <f t="shared" si="4"/>
        <v>246188</v>
      </c>
      <c r="H36" s="16" t="s">
        <v>303</v>
      </c>
      <c r="I36" s="15">
        <v>250600</v>
      </c>
      <c r="J36" s="17">
        <v>7.4999999999999997E-2</v>
      </c>
      <c r="K36" s="16" t="s">
        <v>47</v>
      </c>
    </row>
    <row r="37" spans="1:11" x14ac:dyDescent="0.3">
      <c r="A37" s="14">
        <v>25</v>
      </c>
      <c r="B37" s="19" t="s">
        <v>302</v>
      </c>
      <c r="C37" s="14" t="s">
        <v>206</v>
      </c>
      <c r="D37" s="15">
        <v>250120</v>
      </c>
      <c r="E37" s="18">
        <v>0</v>
      </c>
      <c r="F37" s="18">
        <f>16435-1643</f>
        <v>14792</v>
      </c>
      <c r="G37" s="15">
        <f t="shared" si="4"/>
        <v>264912</v>
      </c>
      <c r="H37" s="16" t="s">
        <v>304</v>
      </c>
      <c r="I37" s="15">
        <v>269413</v>
      </c>
      <c r="J37" s="17">
        <v>7.4999999999999997E-2</v>
      </c>
      <c r="K37" s="16" t="s">
        <v>47</v>
      </c>
    </row>
    <row r="38" spans="1:11" x14ac:dyDescent="0.3">
      <c r="A38" s="14">
        <v>26</v>
      </c>
      <c r="B38" s="78" t="s">
        <v>295</v>
      </c>
      <c r="C38" s="14" t="s">
        <v>296</v>
      </c>
      <c r="D38" s="15">
        <v>100000</v>
      </c>
      <c r="E38" s="18">
        <v>0</v>
      </c>
      <c r="F38" s="18">
        <f>2634-263</f>
        <v>2371</v>
      </c>
      <c r="G38" s="15">
        <f t="shared" si="4"/>
        <v>102371</v>
      </c>
      <c r="H38" s="16" t="s">
        <v>305</v>
      </c>
      <c r="I38" s="15">
        <v>106975</v>
      </c>
      <c r="J38" s="17">
        <v>6.8000000000000005E-2</v>
      </c>
      <c r="K38" s="16" t="s">
        <v>47</v>
      </c>
    </row>
    <row r="39" spans="1:11" x14ac:dyDescent="0.3">
      <c r="A39" s="14">
        <v>27</v>
      </c>
      <c r="B39" s="78" t="s">
        <v>297</v>
      </c>
      <c r="C39" s="14" t="s">
        <v>298</v>
      </c>
      <c r="D39" s="15">
        <v>24000</v>
      </c>
      <c r="E39" s="18">
        <v>0</v>
      </c>
      <c r="F39" s="18">
        <f>765-76</f>
        <v>689</v>
      </c>
      <c r="G39" s="15">
        <f t="shared" si="4"/>
        <v>24689</v>
      </c>
      <c r="H39" s="16" t="s">
        <v>306</v>
      </c>
      <c r="I39" s="15">
        <v>25674</v>
      </c>
      <c r="J39" s="17">
        <v>6.8000000000000005E-2</v>
      </c>
      <c r="K39" s="16" t="s">
        <v>47</v>
      </c>
    </row>
    <row r="40" spans="1:11" ht="15" thickBot="1" x14ac:dyDescent="0.35">
      <c r="A40" s="38"/>
      <c r="B40" s="109"/>
      <c r="C40" s="36"/>
      <c r="D40" s="29">
        <f>SUM(D33:D39)</f>
        <v>1363898</v>
      </c>
      <c r="E40" s="29">
        <f t="shared" ref="E40:G40" si="5">SUM(E33:E39)</f>
        <v>0</v>
      </c>
      <c r="F40" s="29">
        <f t="shared" si="5"/>
        <v>53207</v>
      </c>
      <c r="G40" s="29">
        <f t="shared" si="5"/>
        <v>1417105</v>
      </c>
      <c r="H40" s="37"/>
      <c r="I40" s="29">
        <f>SUM(I33:I39)</f>
        <v>1451594</v>
      </c>
      <c r="J40" s="37"/>
      <c r="K40" s="37"/>
    </row>
    <row r="41" spans="1:11" ht="9.9" customHeight="1" thickTop="1" x14ac:dyDescent="0.3"/>
    <row r="42" spans="1:11" x14ac:dyDescent="0.3">
      <c r="B42" s="40" t="s">
        <v>279</v>
      </c>
    </row>
    <row r="43" spans="1:11" x14ac:dyDescent="0.3">
      <c r="A43" s="14">
        <v>28</v>
      </c>
      <c r="B43" s="112" t="s">
        <v>291</v>
      </c>
      <c r="C43" s="14" t="s">
        <v>289</v>
      </c>
      <c r="D43" s="15">
        <v>12000</v>
      </c>
      <c r="E43" s="18">
        <v>0</v>
      </c>
      <c r="F43" s="18">
        <f>172-17</f>
        <v>155</v>
      </c>
      <c r="G43" s="15">
        <f t="shared" ref="G43" si="6">SUM(D43:F43)</f>
        <v>12155</v>
      </c>
      <c r="H43" s="16" t="s">
        <v>292</v>
      </c>
      <c r="I43" s="15">
        <v>12818</v>
      </c>
      <c r="J43" s="17">
        <v>6.6500000000000004E-2</v>
      </c>
      <c r="K43" s="16" t="s">
        <v>47</v>
      </c>
    </row>
    <row r="44" spans="1:11" ht="15" thickBot="1" x14ac:dyDescent="0.35">
      <c r="A44" s="38"/>
      <c r="B44" s="109"/>
      <c r="C44" s="36"/>
      <c r="D44" s="29">
        <f>SUM(D43)</f>
        <v>12000</v>
      </c>
      <c r="E44" s="29">
        <f t="shared" ref="E44" si="7">SUM(E43)</f>
        <v>0</v>
      </c>
      <c r="F44" s="29">
        <f>SUM(F43)</f>
        <v>155</v>
      </c>
      <c r="G44" s="29">
        <f>SUM(D44:F44)</f>
        <v>12155</v>
      </c>
      <c r="H44" s="37"/>
      <c r="I44" s="29">
        <f>SUM(I43)</f>
        <v>12818</v>
      </c>
      <c r="J44" s="37"/>
      <c r="K44" s="37"/>
    </row>
    <row r="45" spans="1:11" ht="9.9" customHeight="1" thickTop="1" x14ac:dyDescent="0.3"/>
    <row r="46" spans="1:11" x14ac:dyDescent="0.3">
      <c r="B46" s="40" t="s">
        <v>280</v>
      </c>
    </row>
    <row r="47" spans="1:11" x14ac:dyDescent="0.3">
      <c r="A47" s="14">
        <v>29</v>
      </c>
      <c r="B47" s="112" t="s">
        <v>288</v>
      </c>
      <c r="C47" s="14" t="s">
        <v>289</v>
      </c>
      <c r="D47" s="15">
        <v>12500</v>
      </c>
      <c r="E47" s="18">
        <v>0</v>
      </c>
      <c r="F47" s="18">
        <f>179-18</f>
        <v>161</v>
      </c>
      <c r="G47" s="15">
        <f t="shared" ref="G47" si="8">SUM(D47:F47)</f>
        <v>12661</v>
      </c>
      <c r="H47" s="16" t="s">
        <v>290</v>
      </c>
      <c r="I47" s="15">
        <v>13352</v>
      </c>
      <c r="J47" s="17">
        <v>6.6500000000000004E-2</v>
      </c>
      <c r="K47" s="16" t="s">
        <v>47</v>
      </c>
    </row>
    <row r="48" spans="1:11" ht="15" thickBot="1" x14ac:dyDescent="0.35">
      <c r="A48" s="38"/>
      <c r="B48" s="109"/>
      <c r="C48" s="36"/>
      <c r="D48" s="29">
        <f>SUM(D47)</f>
        <v>12500</v>
      </c>
      <c r="E48" s="29">
        <f t="shared" ref="E48" si="9">SUM(E47)</f>
        <v>0</v>
      </c>
      <c r="F48" s="29">
        <f>SUM(F47)</f>
        <v>161</v>
      </c>
      <c r="G48" s="29">
        <f>SUM(D48:F48)</f>
        <v>12661</v>
      </c>
      <c r="H48" s="37"/>
      <c r="I48" s="29">
        <f>SUM(I47)</f>
        <v>13352</v>
      </c>
      <c r="J48" s="37"/>
      <c r="K48" s="37"/>
    </row>
    <row r="49" spans="1:11" ht="9.9" customHeight="1" thickTop="1" x14ac:dyDescent="0.3"/>
    <row r="50" spans="1:11" ht="15" thickBot="1" x14ac:dyDescent="0.35">
      <c r="A50" s="38"/>
      <c r="B50" s="110" t="s">
        <v>35</v>
      </c>
      <c r="C50" s="36"/>
      <c r="D50" s="47">
        <f>SUM(D26+D30+D40+D44+D48)</f>
        <v>2976958</v>
      </c>
      <c r="E50" s="47">
        <f t="shared" ref="E50:I50" si="10">SUM(E26+E30+E40+E44+E48)</f>
        <v>16126</v>
      </c>
      <c r="F50" s="47">
        <f t="shared" si="10"/>
        <v>108998</v>
      </c>
      <c r="G50" s="47">
        <f t="shared" si="10"/>
        <v>3102082</v>
      </c>
      <c r="H50" s="111"/>
      <c r="I50" s="47">
        <f t="shared" si="10"/>
        <v>3210002</v>
      </c>
      <c r="J50" s="45"/>
      <c r="K50" s="37"/>
    </row>
    <row r="51" spans="1:11" ht="15" thickTop="1" x14ac:dyDescent="0.3"/>
    <row r="54" spans="1:11" x14ac:dyDescent="0.3">
      <c r="I54" s="8">
        <f>+I50-3210002</f>
        <v>0</v>
      </c>
    </row>
  </sheetData>
  <mergeCells count="3">
    <mergeCell ref="A1:K1"/>
    <mergeCell ref="A3:K3"/>
    <mergeCell ref="J4:K4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3"/>
  <sheetViews>
    <sheetView view="pageBreakPreview" topLeftCell="A4" zoomScaleNormal="100" zoomScaleSheetLayoutView="100" workbookViewId="0">
      <selection activeCell="A59" sqref="A59"/>
    </sheetView>
  </sheetViews>
  <sheetFormatPr defaultRowHeight="14.4" x14ac:dyDescent="0.3"/>
  <cols>
    <col min="1" max="1" width="4.6640625" customWidth="1"/>
    <col min="2" max="2" width="19.44140625" bestFit="1" customWidth="1"/>
    <col min="3" max="3" width="11.5546875" style="2" bestFit="1" customWidth="1"/>
    <col min="4" max="4" width="12.5546875" style="2" bestFit="1" customWidth="1"/>
    <col min="5" max="5" width="10.109375" style="2" bestFit="1" customWidth="1"/>
    <col min="6" max="6" width="11.5546875" style="2" bestFit="1" customWidth="1"/>
    <col min="7" max="7" width="7.33203125" bestFit="1" customWidth="1"/>
    <col min="8" max="8" width="10" style="2" bestFit="1" customWidth="1"/>
    <col min="9" max="9" width="11.5546875" style="2" bestFit="1" customWidth="1"/>
    <col min="10" max="10" width="2.5546875" customWidth="1"/>
  </cols>
  <sheetData>
    <row r="1" spans="2:9" ht="15.6" x14ac:dyDescent="0.3">
      <c r="B1" s="159" t="s">
        <v>0</v>
      </c>
      <c r="C1" s="159"/>
      <c r="D1" s="159"/>
      <c r="E1" s="159"/>
      <c r="F1" s="159"/>
      <c r="G1" s="159"/>
      <c r="H1" s="159"/>
      <c r="I1" s="159"/>
    </row>
    <row r="2" spans="2:9" x14ac:dyDescent="0.3">
      <c r="B2" s="35"/>
      <c r="C2" s="35"/>
      <c r="D2" s="35"/>
      <c r="E2" s="35"/>
      <c r="F2" s="35"/>
      <c r="G2" s="35"/>
      <c r="H2" s="35"/>
      <c r="I2" s="35"/>
    </row>
    <row r="3" spans="2:9" x14ac:dyDescent="0.3">
      <c r="B3" s="137" t="s">
        <v>262</v>
      </c>
      <c r="C3" s="137"/>
      <c r="D3" s="137"/>
      <c r="E3" s="137"/>
      <c r="F3" s="137"/>
      <c r="G3" s="137"/>
      <c r="H3" s="137"/>
      <c r="I3" s="137"/>
    </row>
    <row r="4" spans="2:9" x14ac:dyDescent="0.3">
      <c r="B4" s="23"/>
      <c r="C4" s="23"/>
      <c r="D4" s="23"/>
      <c r="E4" s="23"/>
      <c r="F4" s="23"/>
      <c r="G4" s="23"/>
      <c r="H4" s="23"/>
      <c r="I4" s="23"/>
    </row>
    <row r="5" spans="2:9" s="21" customFormat="1" x14ac:dyDescent="0.3">
      <c r="B5" s="161" t="s">
        <v>70</v>
      </c>
      <c r="C5" s="163" t="s">
        <v>71</v>
      </c>
      <c r="D5" s="163"/>
      <c r="E5" s="163"/>
      <c r="F5" s="163"/>
      <c r="G5" s="161" t="s">
        <v>72</v>
      </c>
      <c r="H5" s="161"/>
      <c r="I5" s="164" t="s">
        <v>73</v>
      </c>
    </row>
    <row r="6" spans="2:9" s="21" customFormat="1" ht="43.8" thickBot="1" x14ac:dyDescent="0.35">
      <c r="B6" s="162"/>
      <c r="C6" s="34" t="s">
        <v>263</v>
      </c>
      <c r="D6" s="34" t="s">
        <v>264</v>
      </c>
      <c r="E6" s="34" t="s">
        <v>265</v>
      </c>
      <c r="F6" s="34" t="s">
        <v>266</v>
      </c>
      <c r="G6" s="33" t="s">
        <v>74</v>
      </c>
      <c r="H6" s="34" t="s">
        <v>75</v>
      </c>
      <c r="I6" s="165"/>
    </row>
    <row r="7" spans="2:9" s="89" customFormat="1" ht="30" customHeight="1" thickTop="1" x14ac:dyDescent="0.3">
      <c r="B7" s="92" t="s">
        <v>76</v>
      </c>
      <c r="C7" s="93">
        <v>18039</v>
      </c>
      <c r="D7" s="93">
        <v>0</v>
      </c>
      <c r="E7" s="93">
        <v>0</v>
      </c>
      <c r="F7" s="93">
        <f>SUM(C7:E7)</f>
        <v>18039</v>
      </c>
      <c r="G7" s="94">
        <v>0.1</v>
      </c>
      <c r="H7" s="93">
        <f>ROUND((C7+D7+E7/2)*G7,)</f>
        <v>1804</v>
      </c>
      <c r="I7" s="93">
        <f>F7-H7</f>
        <v>16235</v>
      </c>
    </row>
    <row r="8" spans="2:9" s="89" customFormat="1" ht="30" customHeight="1" x14ac:dyDescent="0.3">
      <c r="B8" s="95" t="s">
        <v>77</v>
      </c>
      <c r="C8" s="88">
        <v>15879</v>
      </c>
      <c r="D8" s="88">
        <v>0</v>
      </c>
      <c r="E8" s="88">
        <v>0</v>
      </c>
      <c r="F8" s="88">
        <f t="shared" ref="F8:F11" si="0">SUM(C8:E8)</f>
        <v>15879</v>
      </c>
      <c r="G8" s="96">
        <v>0.15</v>
      </c>
      <c r="H8" s="88">
        <f t="shared" ref="H8:H11" si="1">ROUND((C8+D8+E8/2)*G8,)</f>
        <v>2382</v>
      </c>
      <c r="I8" s="88">
        <f t="shared" ref="I8:I11" si="2">F8-H8</f>
        <v>13497</v>
      </c>
    </row>
    <row r="9" spans="2:9" s="89" customFormat="1" ht="30" customHeight="1" x14ac:dyDescent="0.3">
      <c r="B9" s="95" t="s">
        <v>78</v>
      </c>
      <c r="C9" s="88">
        <v>37508</v>
      </c>
      <c r="D9" s="88">
        <v>0</v>
      </c>
      <c r="E9" s="88">
        <v>0</v>
      </c>
      <c r="F9" s="88">
        <f t="shared" si="0"/>
        <v>37508</v>
      </c>
      <c r="G9" s="96">
        <v>0.15</v>
      </c>
      <c r="H9" s="88">
        <f t="shared" si="1"/>
        <v>5626</v>
      </c>
      <c r="I9" s="88">
        <f t="shared" si="2"/>
        <v>31882</v>
      </c>
    </row>
    <row r="10" spans="2:9" s="89" customFormat="1" ht="30" customHeight="1" x14ac:dyDescent="0.3">
      <c r="B10" s="95" t="s">
        <v>79</v>
      </c>
      <c r="C10" s="88">
        <v>6803</v>
      </c>
      <c r="D10" s="88">
        <v>0</v>
      </c>
      <c r="E10" s="88">
        <v>0</v>
      </c>
      <c r="F10" s="88">
        <f t="shared" si="0"/>
        <v>6803</v>
      </c>
      <c r="G10" s="96">
        <v>0.15</v>
      </c>
      <c r="H10" s="88">
        <f t="shared" si="1"/>
        <v>1020</v>
      </c>
      <c r="I10" s="88">
        <f t="shared" si="2"/>
        <v>5783</v>
      </c>
    </row>
    <row r="11" spans="2:9" s="89" customFormat="1" ht="30" customHeight="1" x14ac:dyDescent="0.3">
      <c r="B11" s="95" t="s">
        <v>80</v>
      </c>
      <c r="C11" s="88">
        <v>14428</v>
      </c>
      <c r="D11" s="88">
        <v>0</v>
      </c>
      <c r="E11" s="88">
        <v>0</v>
      </c>
      <c r="F11" s="88">
        <f t="shared" si="0"/>
        <v>14428</v>
      </c>
      <c r="G11" s="96">
        <v>0.4</v>
      </c>
      <c r="H11" s="88">
        <f t="shared" si="1"/>
        <v>5771</v>
      </c>
      <c r="I11" s="88">
        <f t="shared" si="2"/>
        <v>8657</v>
      </c>
    </row>
    <row r="12" spans="2:9" s="89" customFormat="1" ht="30" customHeight="1" thickBot="1" x14ac:dyDescent="0.35">
      <c r="B12" s="86" t="s">
        <v>35</v>
      </c>
      <c r="C12" s="103">
        <f>SUM(C7:C11)</f>
        <v>92657</v>
      </c>
      <c r="D12" s="103">
        <f t="shared" ref="D12:F12" si="3">SUM(D7:D11)</f>
        <v>0</v>
      </c>
      <c r="E12" s="103">
        <f t="shared" si="3"/>
        <v>0</v>
      </c>
      <c r="F12" s="103">
        <f t="shared" si="3"/>
        <v>92657</v>
      </c>
      <c r="G12" s="104"/>
      <c r="H12" s="103">
        <f>SUM(H7:H11)</f>
        <v>16603</v>
      </c>
      <c r="I12" s="103">
        <f>SUM(I7:I11)</f>
        <v>76054</v>
      </c>
    </row>
    <row r="13" spans="2:9" ht="15" thickTop="1" x14ac:dyDescent="0.3"/>
  </sheetData>
  <mergeCells count="6">
    <mergeCell ref="B1:I1"/>
    <mergeCell ref="B3:I3"/>
    <mergeCell ref="B5:B6"/>
    <mergeCell ref="C5:F5"/>
    <mergeCell ref="G5:H5"/>
    <mergeCell ref="I5:I6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65"/>
  <sheetViews>
    <sheetView view="pageBreakPreview" topLeftCell="A6" zoomScaleNormal="100" zoomScaleSheetLayoutView="100" workbookViewId="0">
      <selection activeCell="A59" sqref="A59"/>
    </sheetView>
  </sheetViews>
  <sheetFormatPr defaultRowHeight="14.4" x14ac:dyDescent="0.3"/>
  <cols>
    <col min="1" max="1" width="6.44140625" bestFit="1" customWidth="1"/>
    <col min="2" max="2" width="8.109375" bestFit="1" customWidth="1"/>
    <col min="3" max="3" width="13.109375" bestFit="1" customWidth="1"/>
    <col min="4" max="4" width="78.109375" style="87" bestFit="1" customWidth="1"/>
    <col min="5" max="5" width="14.6640625" style="2" customWidth="1"/>
  </cols>
  <sheetData>
    <row r="1" spans="1:5" ht="15.6" x14ac:dyDescent="0.3">
      <c r="A1" s="159" t="s">
        <v>136</v>
      </c>
      <c r="B1" s="159"/>
      <c r="C1" s="159"/>
      <c r="D1" s="159"/>
      <c r="E1" s="159"/>
    </row>
    <row r="2" spans="1:5" ht="21.45" customHeight="1" x14ac:dyDescent="0.3">
      <c r="A2" s="159" t="s">
        <v>93</v>
      </c>
      <c r="B2" s="159"/>
      <c r="C2" s="159"/>
      <c r="D2" s="159"/>
      <c r="E2" s="159"/>
    </row>
    <row r="3" spans="1:5" x14ac:dyDescent="0.3">
      <c r="A3" s="166" t="s">
        <v>342</v>
      </c>
      <c r="B3" s="166"/>
      <c r="C3" s="166"/>
      <c r="D3" s="166"/>
      <c r="E3" s="166"/>
    </row>
    <row r="4" spans="1:5" ht="15" thickBot="1" x14ac:dyDescent="0.35">
      <c r="A4" s="128" t="s">
        <v>36</v>
      </c>
      <c r="B4" s="128" t="s">
        <v>89</v>
      </c>
      <c r="C4" s="128" t="s">
        <v>90</v>
      </c>
      <c r="D4" s="129" t="s">
        <v>91</v>
      </c>
      <c r="E4" s="130" t="s">
        <v>135</v>
      </c>
    </row>
    <row r="5" spans="1:5" x14ac:dyDescent="0.3">
      <c r="A5" s="76">
        <v>1</v>
      </c>
      <c r="B5" s="76" t="s">
        <v>81</v>
      </c>
      <c r="C5" s="76">
        <v>8</v>
      </c>
      <c r="D5" s="6" t="s">
        <v>165</v>
      </c>
      <c r="E5" s="127">
        <v>11494</v>
      </c>
    </row>
    <row r="6" spans="1:5" x14ac:dyDescent="0.3">
      <c r="A6" s="14">
        <v>2</v>
      </c>
      <c r="B6" s="14" t="s">
        <v>81</v>
      </c>
      <c r="C6" s="14">
        <v>102</v>
      </c>
      <c r="D6" s="19" t="s">
        <v>281</v>
      </c>
      <c r="E6" s="15">
        <v>4111</v>
      </c>
    </row>
    <row r="7" spans="1:5" x14ac:dyDescent="0.3">
      <c r="A7" s="14">
        <v>3</v>
      </c>
      <c r="B7" s="14" t="s">
        <v>81</v>
      </c>
      <c r="C7" s="14">
        <v>602</v>
      </c>
      <c r="D7" s="19" t="s">
        <v>157</v>
      </c>
      <c r="E7" s="15">
        <v>4584</v>
      </c>
    </row>
    <row r="8" spans="1:5" x14ac:dyDescent="0.3">
      <c r="A8" s="14">
        <v>4</v>
      </c>
      <c r="B8" s="14" t="s">
        <v>82</v>
      </c>
      <c r="C8" s="14">
        <v>102</v>
      </c>
      <c r="D8" s="19" t="s">
        <v>282</v>
      </c>
      <c r="E8" s="15">
        <v>8094</v>
      </c>
    </row>
    <row r="9" spans="1:5" x14ac:dyDescent="0.3">
      <c r="A9" s="14">
        <v>5</v>
      </c>
      <c r="B9" s="14" t="s">
        <v>82</v>
      </c>
      <c r="C9" s="14">
        <v>201</v>
      </c>
      <c r="D9" s="19" t="s">
        <v>283</v>
      </c>
      <c r="E9" s="15">
        <v>8170</v>
      </c>
    </row>
    <row r="10" spans="1:5" x14ac:dyDescent="0.3">
      <c r="A10" s="14">
        <v>6</v>
      </c>
      <c r="B10" s="14" t="s">
        <v>82</v>
      </c>
      <c r="C10" s="14">
        <v>202</v>
      </c>
      <c r="D10" s="19" t="s">
        <v>83</v>
      </c>
      <c r="E10" s="15">
        <v>36657</v>
      </c>
    </row>
    <row r="11" spans="1:5" s="89" customFormat="1" x14ac:dyDescent="0.3">
      <c r="A11" s="14">
        <v>7</v>
      </c>
      <c r="B11" s="14" t="s">
        <v>82</v>
      </c>
      <c r="C11" s="14">
        <v>601</v>
      </c>
      <c r="D11" s="19" t="s">
        <v>284</v>
      </c>
      <c r="E11" s="15">
        <v>81</v>
      </c>
    </row>
    <row r="12" spans="1:5" x14ac:dyDescent="0.3">
      <c r="A12" s="14">
        <v>8</v>
      </c>
      <c r="B12" s="14" t="s">
        <v>84</v>
      </c>
      <c r="C12" s="14">
        <v>3</v>
      </c>
      <c r="D12" s="19" t="s">
        <v>158</v>
      </c>
      <c r="E12" s="15">
        <v>28173</v>
      </c>
    </row>
    <row r="13" spans="1:5" x14ac:dyDescent="0.3">
      <c r="A13" s="14">
        <v>9</v>
      </c>
      <c r="B13" s="14" t="s">
        <v>84</v>
      </c>
      <c r="C13" s="14">
        <v>101</v>
      </c>
      <c r="D13" s="19" t="s">
        <v>85</v>
      </c>
      <c r="E13" s="15">
        <v>25121</v>
      </c>
    </row>
    <row r="14" spans="1:5" x14ac:dyDescent="0.3">
      <c r="A14" s="14">
        <v>10</v>
      </c>
      <c r="B14" s="14" t="s">
        <v>84</v>
      </c>
      <c r="C14" s="14">
        <v>202</v>
      </c>
      <c r="D14" s="19" t="s">
        <v>273</v>
      </c>
      <c r="E14" s="15">
        <v>7831</v>
      </c>
    </row>
    <row r="15" spans="1:5" s="11" customFormat="1" x14ac:dyDescent="0.3">
      <c r="A15" s="10">
        <v>11</v>
      </c>
      <c r="B15" s="10" t="s">
        <v>86</v>
      </c>
      <c r="C15" s="10" t="s">
        <v>364</v>
      </c>
      <c r="D15" s="136" t="s">
        <v>87</v>
      </c>
      <c r="E15" s="116">
        <v>4496906</v>
      </c>
    </row>
    <row r="16" spans="1:5" x14ac:dyDescent="0.3">
      <c r="A16" s="14">
        <v>12</v>
      </c>
      <c r="B16" s="14" t="s">
        <v>86</v>
      </c>
      <c r="C16" s="14">
        <v>3</v>
      </c>
      <c r="D16" s="19" t="s">
        <v>88</v>
      </c>
      <c r="E16" s="15">
        <v>7829</v>
      </c>
    </row>
    <row r="17" spans="1:5" x14ac:dyDescent="0.3">
      <c r="A17" s="14">
        <v>13</v>
      </c>
      <c r="B17" s="14" t="s">
        <v>86</v>
      </c>
      <c r="C17" s="14">
        <v>4</v>
      </c>
      <c r="D17" s="19" t="s">
        <v>285</v>
      </c>
      <c r="E17" s="15">
        <v>55395</v>
      </c>
    </row>
    <row r="18" spans="1:5" x14ac:dyDescent="0.3">
      <c r="A18" s="14">
        <v>14</v>
      </c>
      <c r="B18" s="14" t="s">
        <v>86</v>
      </c>
      <c r="C18" s="14">
        <v>5</v>
      </c>
      <c r="D18" s="19" t="s">
        <v>275</v>
      </c>
      <c r="E18" s="15">
        <v>5065</v>
      </c>
    </row>
    <row r="19" spans="1:5" ht="15" thickBot="1" x14ac:dyDescent="0.35">
      <c r="A19" s="167" t="s">
        <v>35</v>
      </c>
      <c r="B19" s="167"/>
      <c r="C19" s="167"/>
      <c r="D19" s="167"/>
      <c r="E19" s="27">
        <f>SUM(E5:E18)</f>
        <v>4699511</v>
      </c>
    </row>
    <row r="20" spans="1:5" ht="9.9" customHeight="1" thickTop="1" x14ac:dyDescent="0.3"/>
    <row r="21" spans="1:5" x14ac:dyDescent="0.3">
      <c r="A21" s="166" t="s">
        <v>341</v>
      </c>
      <c r="B21" s="166"/>
      <c r="C21" s="166"/>
      <c r="D21" s="166"/>
      <c r="E21" s="166"/>
    </row>
    <row r="22" spans="1:5" ht="15" thickBot="1" x14ac:dyDescent="0.35">
      <c r="A22" s="128" t="s">
        <v>36</v>
      </c>
      <c r="B22" s="128" t="s">
        <v>89</v>
      </c>
      <c r="C22" s="128" t="s">
        <v>90</v>
      </c>
      <c r="D22" s="129" t="s">
        <v>91</v>
      </c>
      <c r="E22" s="130" t="s">
        <v>135</v>
      </c>
    </row>
    <row r="23" spans="1:5" x14ac:dyDescent="0.3">
      <c r="A23" s="76">
        <v>1</v>
      </c>
      <c r="B23" s="131" t="s">
        <v>81</v>
      </c>
      <c r="C23" s="132">
        <v>101</v>
      </c>
      <c r="D23" s="90" t="s">
        <v>159</v>
      </c>
      <c r="E23" s="90">
        <v>3924</v>
      </c>
    </row>
    <row r="24" spans="1:5" x14ac:dyDescent="0.3">
      <c r="A24" s="14">
        <v>2</v>
      </c>
      <c r="B24" s="97" t="s">
        <v>81</v>
      </c>
      <c r="C24" s="105">
        <v>301</v>
      </c>
      <c r="D24" s="18" t="s">
        <v>160</v>
      </c>
      <c r="E24" s="18">
        <v>22445</v>
      </c>
    </row>
    <row r="25" spans="1:5" x14ac:dyDescent="0.3">
      <c r="A25" s="14">
        <v>3</v>
      </c>
      <c r="B25" s="97" t="s">
        <v>81</v>
      </c>
      <c r="C25" s="105">
        <v>401</v>
      </c>
      <c r="D25" s="18" t="s">
        <v>161</v>
      </c>
      <c r="E25" s="18">
        <v>4781</v>
      </c>
    </row>
    <row r="26" spans="1:5" x14ac:dyDescent="0.3">
      <c r="A26" s="14">
        <v>4</v>
      </c>
      <c r="B26" s="97" t="s">
        <v>81</v>
      </c>
      <c r="C26" s="105">
        <v>502</v>
      </c>
      <c r="D26" s="18" t="s">
        <v>162</v>
      </c>
      <c r="E26" s="18">
        <v>15090</v>
      </c>
    </row>
    <row r="27" spans="1:5" x14ac:dyDescent="0.3">
      <c r="A27" s="14">
        <v>5</v>
      </c>
      <c r="B27" s="97" t="s">
        <v>81</v>
      </c>
      <c r="C27" s="105">
        <v>601</v>
      </c>
      <c r="D27" s="18" t="s">
        <v>96</v>
      </c>
      <c r="E27" s="18">
        <v>4428</v>
      </c>
    </row>
    <row r="28" spans="1:5" x14ac:dyDescent="0.3">
      <c r="A28" s="14">
        <v>6</v>
      </c>
      <c r="B28" s="97" t="s">
        <v>82</v>
      </c>
      <c r="C28" s="105">
        <v>4</v>
      </c>
      <c r="D28" s="18" t="s">
        <v>97</v>
      </c>
      <c r="E28" s="18">
        <v>15076</v>
      </c>
    </row>
    <row r="29" spans="1:5" x14ac:dyDescent="0.3">
      <c r="A29" s="14">
        <v>7</v>
      </c>
      <c r="B29" s="97" t="s">
        <v>82</v>
      </c>
      <c r="C29" s="105">
        <v>301</v>
      </c>
      <c r="D29" s="18" t="s">
        <v>278</v>
      </c>
      <c r="E29" s="18">
        <v>5000</v>
      </c>
    </row>
    <row r="30" spans="1:5" x14ac:dyDescent="0.3">
      <c r="A30" s="14">
        <v>8</v>
      </c>
      <c r="B30" s="97" t="s">
        <v>82</v>
      </c>
      <c r="C30" s="105">
        <v>401</v>
      </c>
      <c r="D30" s="18" t="s">
        <v>163</v>
      </c>
      <c r="E30" s="18">
        <v>14099</v>
      </c>
    </row>
    <row r="31" spans="1:5" x14ac:dyDescent="0.3">
      <c r="A31" s="14">
        <v>9</v>
      </c>
      <c r="B31" s="97" t="s">
        <v>82</v>
      </c>
      <c r="C31" s="105">
        <v>501</v>
      </c>
      <c r="D31" s="18" t="s">
        <v>98</v>
      </c>
      <c r="E31" s="18">
        <v>8622</v>
      </c>
    </row>
    <row r="32" spans="1:5" x14ac:dyDescent="0.3">
      <c r="A32" s="14">
        <v>10</v>
      </c>
      <c r="B32" s="97" t="s">
        <v>82</v>
      </c>
      <c r="C32" s="105">
        <v>502</v>
      </c>
      <c r="D32" s="18" t="s">
        <v>99</v>
      </c>
      <c r="E32" s="18">
        <v>19684</v>
      </c>
    </row>
    <row r="33" spans="1:5" x14ac:dyDescent="0.3">
      <c r="A33" s="14">
        <v>11</v>
      </c>
      <c r="B33" s="97" t="s">
        <v>84</v>
      </c>
      <c r="C33" s="105">
        <v>1</v>
      </c>
      <c r="D33" s="18" t="s">
        <v>164</v>
      </c>
      <c r="E33" s="18">
        <v>1</v>
      </c>
    </row>
    <row r="34" spans="1:5" x14ac:dyDescent="0.3">
      <c r="A34" s="14">
        <v>12</v>
      </c>
      <c r="B34" s="97" t="s">
        <v>84</v>
      </c>
      <c r="C34" s="105">
        <v>301</v>
      </c>
      <c r="D34" s="18" t="s">
        <v>100</v>
      </c>
      <c r="E34" s="18">
        <v>23</v>
      </c>
    </row>
    <row r="35" spans="1:5" x14ac:dyDescent="0.3">
      <c r="A35" s="14">
        <v>13</v>
      </c>
      <c r="B35" s="97" t="s">
        <v>84</v>
      </c>
      <c r="C35" s="105">
        <v>302</v>
      </c>
      <c r="D35" s="18" t="s">
        <v>101</v>
      </c>
      <c r="E35" s="18">
        <v>11727</v>
      </c>
    </row>
    <row r="36" spans="1:5" ht="15" thickBot="1" x14ac:dyDescent="0.35">
      <c r="A36" s="167" t="s">
        <v>35</v>
      </c>
      <c r="B36" s="167"/>
      <c r="C36" s="167"/>
      <c r="D36" s="167"/>
      <c r="E36" s="47">
        <f>SUM(E23:E35)</f>
        <v>124900</v>
      </c>
    </row>
    <row r="37" spans="1:5" ht="9.9" customHeight="1" thickTop="1" x14ac:dyDescent="0.3"/>
    <row r="38" spans="1:5" x14ac:dyDescent="0.3">
      <c r="A38" s="166" t="s">
        <v>343</v>
      </c>
      <c r="B38" s="166"/>
      <c r="C38" s="166"/>
      <c r="D38" s="166"/>
      <c r="E38" s="166"/>
    </row>
    <row r="39" spans="1:5" ht="15" thickBot="1" x14ac:dyDescent="0.35">
      <c r="A39" s="128" t="s">
        <v>36</v>
      </c>
      <c r="B39" s="128" t="s">
        <v>89</v>
      </c>
      <c r="C39" s="128" t="s">
        <v>90</v>
      </c>
      <c r="D39" s="129" t="s">
        <v>91</v>
      </c>
      <c r="E39" s="130" t="s">
        <v>135</v>
      </c>
    </row>
    <row r="40" spans="1:5" x14ac:dyDescent="0.3">
      <c r="A40" s="76">
        <v>1</v>
      </c>
      <c r="B40" s="76" t="s">
        <v>81</v>
      </c>
      <c r="C40" s="133" t="s">
        <v>348</v>
      </c>
      <c r="D40" s="6" t="s">
        <v>165</v>
      </c>
      <c r="E40" s="127">
        <v>5000</v>
      </c>
    </row>
    <row r="41" spans="1:5" x14ac:dyDescent="0.3">
      <c r="A41" s="14">
        <f>+A40+1</f>
        <v>2</v>
      </c>
      <c r="B41" s="14" t="s">
        <v>81</v>
      </c>
      <c r="C41" s="14">
        <v>301</v>
      </c>
      <c r="D41" s="19" t="s">
        <v>160</v>
      </c>
      <c r="E41" s="15">
        <v>5000</v>
      </c>
    </row>
    <row r="42" spans="1:5" x14ac:dyDescent="0.3">
      <c r="A42" s="14">
        <v>2</v>
      </c>
      <c r="B42" s="14" t="s">
        <v>81</v>
      </c>
      <c r="C42" s="14">
        <v>302</v>
      </c>
      <c r="D42" s="19" t="s">
        <v>95</v>
      </c>
      <c r="E42" s="15">
        <v>5000</v>
      </c>
    </row>
    <row r="43" spans="1:5" x14ac:dyDescent="0.3">
      <c r="A43" s="14">
        <f t="shared" ref="A43" si="0">+A42+1</f>
        <v>3</v>
      </c>
      <c r="B43" s="14" t="s">
        <v>81</v>
      </c>
      <c r="C43" s="14">
        <v>501</v>
      </c>
      <c r="D43" s="19" t="s">
        <v>271</v>
      </c>
      <c r="E43" s="15">
        <v>5000</v>
      </c>
    </row>
    <row r="44" spans="1:5" x14ac:dyDescent="0.3">
      <c r="A44" s="14">
        <v>3</v>
      </c>
      <c r="B44" s="14" t="s">
        <v>81</v>
      </c>
      <c r="C44" s="14">
        <v>502</v>
      </c>
      <c r="D44" s="19" t="s">
        <v>162</v>
      </c>
      <c r="E44" s="15">
        <v>5000</v>
      </c>
    </row>
    <row r="45" spans="1:5" x14ac:dyDescent="0.3">
      <c r="A45" s="14">
        <f t="shared" ref="A45" si="1">+A44+1</f>
        <v>4</v>
      </c>
      <c r="B45" s="14" t="s">
        <v>81</v>
      </c>
      <c r="C45" s="14">
        <v>602</v>
      </c>
      <c r="D45" s="19" t="s">
        <v>344</v>
      </c>
      <c r="E45" s="15">
        <v>5000</v>
      </c>
    </row>
    <row r="46" spans="1:5" x14ac:dyDescent="0.3">
      <c r="A46" s="14">
        <v>4</v>
      </c>
      <c r="B46" s="14" t="s">
        <v>82</v>
      </c>
      <c r="C46" s="14">
        <v>301</v>
      </c>
      <c r="D46" s="19" t="s">
        <v>345</v>
      </c>
      <c r="E46" s="15">
        <v>5000</v>
      </c>
    </row>
    <row r="47" spans="1:5" x14ac:dyDescent="0.3">
      <c r="A47" s="14">
        <f t="shared" ref="A47" si="2">+A46+1</f>
        <v>5</v>
      </c>
      <c r="B47" s="14" t="s">
        <v>82</v>
      </c>
      <c r="C47" s="14">
        <v>401</v>
      </c>
      <c r="D47" s="19" t="s">
        <v>163</v>
      </c>
      <c r="E47" s="15">
        <v>5000</v>
      </c>
    </row>
    <row r="48" spans="1:5" x14ac:dyDescent="0.3">
      <c r="A48" s="14">
        <v>5</v>
      </c>
      <c r="B48" s="14" t="s">
        <v>82</v>
      </c>
      <c r="C48" s="14">
        <v>402</v>
      </c>
      <c r="D48" s="19" t="s">
        <v>272</v>
      </c>
      <c r="E48" s="15">
        <v>10000</v>
      </c>
    </row>
    <row r="49" spans="1:5" x14ac:dyDescent="0.3">
      <c r="A49" s="14">
        <f t="shared" ref="A49" si="3">+A48+1</f>
        <v>6</v>
      </c>
      <c r="B49" s="14" t="s">
        <v>82</v>
      </c>
      <c r="C49" s="14">
        <v>502</v>
      </c>
      <c r="D49" s="19" t="s">
        <v>99</v>
      </c>
      <c r="E49" s="15">
        <v>5000</v>
      </c>
    </row>
    <row r="50" spans="1:5" x14ac:dyDescent="0.3">
      <c r="A50" s="14">
        <v>6</v>
      </c>
      <c r="B50" s="14" t="s">
        <v>82</v>
      </c>
      <c r="C50" s="14">
        <v>602</v>
      </c>
      <c r="D50" s="19" t="s">
        <v>166</v>
      </c>
      <c r="E50" s="15">
        <v>5000</v>
      </c>
    </row>
    <row r="51" spans="1:5" x14ac:dyDescent="0.3">
      <c r="A51" s="14">
        <f t="shared" ref="A51" si="4">+A50+1</f>
        <v>7</v>
      </c>
      <c r="B51" s="14" t="s">
        <v>84</v>
      </c>
      <c r="C51" s="115" t="s">
        <v>347</v>
      </c>
      <c r="D51" s="19" t="s">
        <v>164</v>
      </c>
      <c r="E51" s="15">
        <v>5000</v>
      </c>
    </row>
    <row r="52" spans="1:5" x14ac:dyDescent="0.3">
      <c r="A52" s="14">
        <v>7</v>
      </c>
      <c r="B52" s="14" t="s">
        <v>84</v>
      </c>
      <c r="C52" s="14">
        <v>202</v>
      </c>
      <c r="D52" s="19" t="s">
        <v>273</v>
      </c>
      <c r="E52" s="15">
        <v>5000</v>
      </c>
    </row>
    <row r="53" spans="1:5" x14ac:dyDescent="0.3">
      <c r="A53" s="14">
        <f t="shared" ref="A53" si="5">+A52+1</f>
        <v>8</v>
      </c>
      <c r="B53" s="14" t="s">
        <v>84</v>
      </c>
      <c r="C53" s="14">
        <v>302</v>
      </c>
      <c r="D53" s="19" t="s">
        <v>101</v>
      </c>
      <c r="E53" s="15">
        <v>5000</v>
      </c>
    </row>
    <row r="54" spans="1:5" x14ac:dyDescent="0.3">
      <c r="A54" s="14">
        <v>8</v>
      </c>
      <c r="B54" s="14" t="s">
        <v>84</v>
      </c>
      <c r="C54" s="14">
        <v>501</v>
      </c>
      <c r="D54" s="19" t="s">
        <v>274</v>
      </c>
      <c r="E54" s="15">
        <v>5000</v>
      </c>
    </row>
    <row r="55" spans="1:5" x14ac:dyDescent="0.3">
      <c r="A55" s="14">
        <f t="shared" ref="A55" si="6">+A54+1</f>
        <v>9</v>
      </c>
      <c r="B55" s="14" t="s">
        <v>86</v>
      </c>
      <c r="C55" s="14">
        <v>3</v>
      </c>
      <c r="D55" s="19" t="s">
        <v>88</v>
      </c>
      <c r="E55" s="15">
        <v>5000</v>
      </c>
    </row>
    <row r="56" spans="1:5" x14ac:dyDescent="0.3">
      <c r="A56" s="14">
        <v>9</v>
      </c>
      <c r="B56" s="14" t="s">
        <v>86</v>
      </c>
      <c r="C56" s="14">
        <v>5</v>
      </c>
      <c r="D56" s="19" t="s">
        <v>275</v>
      </c>
      <c r="E56" s="15">
        <v>5000</v>
      </c>
    </row>
    <row r="57" spans="1:5" x14ac:dyDescent="0.3">
      <c r="A57" s="14">
        <f t="shared" ref="A57" si="7">+A56+1</f>
        <v>10</v>
      </c>
      <c r="B57" s="14" t="s">
        <v>86</v>
      </c>
      <c r="C57" s="14">
        <v>6</v>
      </c>
      <c r="D57" s="19" t="s">
        <v>276</v>
      </c>
      <c r="E57" s="15">
        <v>10000</v>
      </c>
    </row>
    <row r="58" spans="1:5" x14ac:dyDescent="0.3">
      <c r="A58" s="14">
        <v>11</v>
      </c>
      <c r="B58" s="14" t="s">
        <v>86</v>
      </c>
      <c r="C58" s="14">
        <v>7</v>
      </c>
      <c r="D58" s="19" t="s">
        <v>277</v>
      </c>
      <c r="E58" s="15">
        <v>5000</v>
      </c>
    </row>
    <row r="59" spans="1:5" ht="15" thickBot="1" x14ac:dyDescent="0.35">
      <c r="A59" s="167" t="s">
        <v>35</v>
      </c>
      <c r="B59" s="167"/>
      <c r="C59" s="167"/>
      <c r="D59" s="167"/>
      <c r="E59" s="29">
        <f>SUM(E40:E58)</f>
        <v>105000</v>
      </c>
    </row>
    <row r="60" spans="1:5" ht="9.9" customHeight="1" thickTop="1" x14ac:dyDescent="0.3"/>
    <row r="61" spans="1:5" x14ac:dyDescent="0.3">
      <c r="A61" s="166" t="s">
        <v>349</v>
      </c>
      <c r="B61" s="166"/>
      <c r="C61" s="166"/>
      <c r="D61" s="166"/>
      <c r="E61" s="166"/>
    </row>
    <row r="62" spans="1:5" ht="15" thickBot="1" x14ac:dyDescent="0.35">
      <c r="A62" s="128" t="s">
        <v>353</v>
      </c>
      <c r="B62" s="128" t="s">
        <v>145</v>
      </c>
      <c r="C62" s="128" t="s">
        <v>350</v>
      </c>
      <c r="D62" s="129" t="s">
        <v>335</v>
      </c>
      <c r="E62" s="130" t="s">
        <v>135</v>
      </c>
    </row>
    <row r="63" spans="1:5" x14ac:dyDescent="0.3">
      <c r="A63" s="76">
        <v>1</v>
      </c>
      <c r="B63" s="6" t="s">
        <v>351</v>
      </c>
      <c r="C63" s="134">
        <v>531311006650</v>
      </c>
      <c r="D63" s="135" t="s">
        <v>352</v>
      </c>
      <c r="E63" s="127">
        <v>5000</v>
      </c>
    </row>
    <row r="64" spans="1:5" x14ac:dyDescent="0.3">
      <c r="A64" s="138" t="s">
        <v>35</v>
      </c>
      <c r="B64" s="138"/>
      <c r="C64" s="138"/>
      <c r="D64" s="138"/>
      <c r="E64" s="116">
        <f>SUM(E63)</f>
        <v>5000</v>
      </c>
    </row>
    <row r="65" ht="9.9" customHeight="1" x14ac:dyDescent="0.3"/>
  </sheetData>
  <mergeCells count="10">
    <mergeCell ref="A61:E61"/>
    <mergeCell ref="A64:D64"/>
    <mergeCell ref="A59:D59"/>
    <mergeCell ref="A1:E1"/>
    <mergeCell ref="A2:E2"/>
    <mergeCell ref="A38:E38"/>
    <mergeCell ref="A3:E3"/>
    <mergeCell ref="A21:E21"/>
    <mergeCell ref="A36:D36"/>
    <mergeCell ref="A19:D19"/>
  </mergeCells>
  <printOptions horizontalCentered="1"/>
  <pageMargins left="0.31496062992125984" right="0.31496062992125984" top="0.39370078740157483" bottom="0.19685039370078741" header="0.31496062992125984" footer="0.31496062992125984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view="pageBreakPreview" topLeftCell="A7" zoomScaleNormal="100" zoomScaleSheetLayoutView="100" workbookViewId="0">
      <selection activeCell="A59" sqref="A59"/>
    </sheetView>
  </sheetViews>
  <sheetFormatPr defaultRowHeight="14.4" x14ac:dyDescent="0.3"/>
  <cols>
    <col min="2" max="2" width="44.109375" customWidth="1"/>
    <col min="3" max="3" width="14.6640625" style="2" customWidth="1"/>
    <col min="4" max="4" width="28.5546875" hidden="1" customWidth="1"/>
    <col min="6" max="6" width="11.33203125" bestFit="1" customWidth="1"/>
  </cols>
  <sheetData>
    <row r="1" spans="1:6" ht="15.6" x14ac:dyDescent="0.3">
      <c r="A1" s="159" t="s">
        <v>0</v>
      </c>
      <c r="B1" s="159"/>
      <c r="C1" s="159"/>
      <c r="D1" s="159"/>
    </row>
    <row r="2" spans="1:6" ht="15.6" x14ac:dyDescent="0.3">
      <c r="A2" s="168" t="s">
        <v>104</v>
      </c>
      <c r="B2" s="168"/>
      <c r="C2" s="168"/>
      <c r="D2" s="168"/>
    </row>
    <row r="3" spans="1:6" x14ac:dyDescent="0.3">
      <c r="A3" s="137" t="s">
        <v>269</v>
      </c>
      <c r="B3" s="137"/>
      <c r="C3" s="137"/>
      <c r="D3" s="137"/>
    </row>
    <row r="4" spans="1:6" x14ac:dyDescent="0.3">
      <c r="A4" s="23"/>
      <c r="B4" s="23"/>
      <c r="C4" s="23"/>
      <c r="D4" s="23"/>
    </row>
    <row r="5" spans="1:6" ht="15" thickBot="1" x14ac:dyDescent="0.35">
      <c r="A5" s="28" t="s">
        <v>36</v>
      </c>
      <c r="B5" s="28" t="s">
        <v>105</v>
      </c>
      <c r="C5" s="27" t="s">
        <v>92</v>
      </c>
      <c r="D5" s="28" t="s">
        <v>106</v>
      </c>
    </row>
    <row r="6" spans="1:6" ht="15" thickTop="1" x14ac:dyDescent="0.3">
      <c r="A6" s="14">
        <v>1</v>
      </c>
      <c r="B6" s="19" t="s">
        <v>173</v>
      </c>
      <c r="C6" s="18">
        <v>14050</v>
      </c>
      <c r="D6" s="77" t="s">
        <v>174</v>
      </c>
    </row>
    <row r="7" spans="1:6" x14ac:dyDescent="0.3">
      <c r="A7" s="76">
        <v>2</v>
      </c>
      <c r="B7" s="19" t="s">
        <v>175</v>
      </c>
      <c r="C7" s="18">
        <f>17928+69048</f>
        <v>86976</v>
      </c>
      <c r="D7" s="22" t="s">
        <v>176</v>
      </c>
    </row>
    <row r="8" spans="1:6" x14ac:dyDescent="0.3">
      <c r="A8" s="14">
        <v>3</v>
      </c>
      <c r="B8" s="19" t="s">
        <v>177</v>
      </c>
      <c r="C8" s="18">
        <v>47040</v>
      </c>
      <c r="D8" s="77" t="s">
        <v>174</v>
      </c>
    </row>
    <row r="9" spans="1:6" x14ac:dyDescent="0.3">
      <c r="A9" s="76">
        <v>4</v>
      </c>
      <c r="B9" s="19" t="s">
        <v>143</v>
      </c>
      <c r="C9" s="18">
        <v>5000</v>
      </c>
      <c r="D9" s="78" t="s">
        <v>178</v>
      </c>
      <c r="F9" s="20"/>
    </row>
    <row r="10" spans="1:6" x14ac:dyDescent="0.3">
      <c r="A10" s="14">
        <v>5</v>
      </c>
      <c r="B10" s="19" t="s">
        <v>270</v>
      </c>
      <c r="C10" s="18">
        <v>17500</v>
      </c>
      <c r="D10" s="77" t="s">
        <v>174</v>
      </c>
    </row>
    <row r="11" spans="1:6" x14ac:dyDescent="0.3">
      <c r="A11" s="76">
        <v>6</v>
      </c>
      <c r="B11" s="19" t="s">
        <v>255</v>
      </c>
      <c r="C11" s="18">
        <v>400000</v>
      </c>
      <c r="D11" s="77"/>
    </row>
    <row r="12" spans="1:6" x14ac:dyDescent="0.3">
      <c r="A12" s="14">
        <v>7</v>
      </c>
      <c r="B12" s="79" t="s">
        <v>179</v>
      </c>
      <c r="C12" s="62">
        <f>2045+500+910+587</f>
        <v>4042</v>
      </c>
      <c r="D12" s="80"/>
    </row>
    <row r="13" spans="1:6" ht="15" thickBot="1" x14ac:dyDescent="0.35">
      <c r="A13" s="32"/>
      <c r="B13" s="28" t="s">
        <v>35</v>
      </c>
      <c r="C13" s="47">
        <f>SUM(C6:C12)</f>
        <v>574608</v>
      </c>
      <c r="D13" s="32"/>
    </row>
    <row r="14" spans="1:6" ht="15" thickTop="1" x14ac:dyDescent="0.3">
      <c r="C14" s="81"/>
    </row>
    <row r="15" spans="1:6" x14ac:dyDescent="0.3">
      <c r="C15" s="81"/>
    </row>
    <row r="16" spans="1:6" ht="15.6" x14ac:dyDescent="0.3">
      <c r="A16" s="168" t="s">
        <v>180</v>
      </c>
      <c r="B16" s="168"/>
      <c r="C16" s="168"/>
      <c r="D16" s="168"/>
    </row>
    <row r="17" spans="1:4" x14ac:dyDescent="0.3">
      <c r="A17" s="137" t="s">
        <v>346</v>
      </c>
      <c r="B17" s="137"/>
      <c r="C17" s="137"/>
      <c r="D17" s="137"/>
    </row>
    <row r="18" spans="1:4" x14ac:dyDescent="0.3">
      <c r="A18" s="82"/>
      <c r="B18" s="82"/>
      <c r="C18" s="82"/>
      <c r="D18" s="82"/>
    </row>
    <row r="19" spans="1:4" ht="15" thickBot="1" x14ac:dyDescent="0.35">
      <c r="A19" s="28" t="s">
        <v>36</v>
      </c>
      <c r="B19" s="28" t="s">
        <v>108</v>
      </c>
      <c r="C19" s="91" t="s">
        <v>92</v>
      </c>
      <c r="D19" s="28" t="s">
        <v>106</v>
      </c>
    </row>
    <row r="20" spans="1:4" ht="15" thickTop="1" x14ac:dyDescent="0.3">
      <c r="A20" s="76">
        <v>1</v>
      </c>
      <c r="B20" s="6" t="s">
        <v>243</v>
      </c>
      <c r="C20" s="90">
        <v>17952</v>
      </c>
      <c r="D20" s="6" t="s">
        <v>107</v>
      </c>
    </row>
    <row r="21" spans="1:4" x14ac:dyDescent="0.3">
      <c r="A21" s="76">
        <v>2</v>
      </c>
      <c r="B21" s="6" t="s">
        <v>254</v>
      </c>
      <c r="C21" s="90">
        <v>805</v>
      </c>
      <c r="D21" s="6"/>
    </row>
    <row r="22" spans="1:4" x14ac:dyDescent="0.3">
      <c r="A22" s="76">
        <v>3</v>
      </c>
      <c r="B22" s="6" t="s">
        <v>244</v>
      </c>
      <c r="C22" s="90">
        <v>376239</v>
      </c>
      <c r="D22" s="6"/>
    </row>
    <row r="23" spans="1:4" ht="15" thickBot="1" x14ac:dyDescent="0.35">
      <c r="A23" s="32"/>
      <c r="B23" s="28" t="s">
        <v>35</v>
      </c>
      <c r="C23" s="47">
        <f>SUM(C20:C22)</f>
        <v>394996</v>
      </c>
      <c r="D23" s="32"/>
    </row>
    <row r="24" spans="1:4" ht="15" thickTop="1" x14ac:dyDescent="0.3"/>
  </sheetData>
  <mergeCells count="5">
    <mergeCell ref="A1:D1"/>
    <mergeCell ref="A3:D3"/>
    <mergeCell ref="A17:D17"/>
    <mergeCell ref="A2:D2"/>
    <mergeCell ref="A16:D16"/>
  </mergeCells>
  <printOptions horizontalCentered="1"/>
  <pageMargins left="0.31496062992125984" right="0.31496062992125984" top="0.59055118110236227" bottom="0.55118110236220474" header="0.31496062992125984" footer="0.31496062992125984"/>
  <pageSetup paperSize="9"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tabSelected="1" topLeftCell="A16" workbookViewId="0">
      <selection activeCell="D28" sqref="D28"/>
    </sheetView>
  </sheetViews>
  <sheetFormatPr defaultRowHeight="14.4" x14ac:dyDescent="0.3"/>
  <cols>
    <col min="1" max="1" width="6.33203125" customWidth="1"/>
    <col min="2" max="2" width="35.109375" customWidth="1"/>
    <col min="3" max="3" width="11.5546875" style="2" bestFit="1" customWidth="1"/>
    <col min="5" max="5" width="3.33203125" bestFit="1" customWidth="1"/>
    <col min="6" max="6" width="10.109375" style="1" bestFit="1" customWidth="1"/>
    <col min="7" max="8" width="10.109375" style="1" customWidth="1"/>
    <col min="9" max="9" width="20.33203125" style="1" bestFit="1" customWidth="1"/>
    <col min="10" max="10" width="13.33203125" bestFit="1" customWidth="1"/>
    <col min="11" max="11" width="10.109375" bestFit="1" customWidth="1"/>
  </cols>
  <sheetData>
    <row r="1" spans="1:11" x14ac:dyDescent="0.3">
      <c r="A1" s="137" t="s">
        <v>0</v>
      </c>
      <c r="B1" s="137"/>
      <c r="C1" s="137"/>
    </row>
    <row r="3" spans="1:11" x14ac:dyDescent="0.3">
      <c r="A3" s="137" t="s">
        <v>287</v>
      </c>
      <c r="B3" s="137"/>
      <c r="C3" s="137"/>
    </row>
    <row r="4" spans="1:11" x14ac:dyDescent="0.3">
      <c r="A4" s="138" t="s">
        <v>108</v>
      </c>
      <c r="B4" s="138"/>
      <c r="C4" s="3" t="s">
        <v>92</v>
      </c>
      <c r="E4" s="10" t="s">
        <v>36</v>
      </c>
      <c r="F4" s="10" t="s">
        <v>145</v>
      </c>
      <c r="G4" s="10" t="s">
        <v>329</v>
      </c>
      <c r="H4" s="10" t="s">
        <v>330</v>
      </c>
      <c r="I4" s="10" t="s">
        <v>335</v>
      </c>
      <c r="J4" s="10" t="s">
        <v>112</v>
      </c>
      <c r="K4" s="10" t="s">
        <v>190</v>
      </c>
    </row>
    <row r="5" spans="1:11" x14ac:dyDescent="0.3">
      <c r="A5" s="19" t="s">
        <v>109</v>
      </c>
      <c r="B5" s="19"/>
      <c r="C5" s="15">
        <v>163170.31</v>
      </c>
      <c r="E5" s="14">
        <v>1</v>
      </c>
      <c r="F5" s="99" t="s">
        <v>204</v>
      </c>
      <c r="G5" s="15">
        <v>4277</v>
      </c>
      <c r="H5" s="15">
        <v>0</v>
      </c>
      <c r="I5" s="14" t="s">
        <v>336</v>
      </c>
      <c r="J5" s="19" t="s">
        <v>331</v>
      </c>
      <c r="K5" s="99" t="s">
        <v>333</v>
      </c>
    </row>
    <row r="6" spans="1:11" x14ac:dyDescent="0.3">
      <c r="A6" s="19"/>
      <c r="B6" s="19"/>
      <c r="C6" s="15"/>
      <c r="E6" s="14">
        <v>2</v>
      </c>
      <c r="F6" s="99" t="s">
        <v>204</v>
      </c>
      <c r="G6" s="15">
        <v>0</v>
      </c>
      <c r="H6" s="15">
        <v>9500</v>
      </c>
      <c r="I6" s="14" t="s">
        <v>337</v>
      </c>
      <c r="J6" s="78" t="s">
        <v>332</v>
      </c>
      <c r="K6" s="99" t="s">
        <v>334</v>
      </c>
    </row>
    <row r="7" spans="1:11" x14ac:dyDescent="0.3">
      <c r="A7" s="19" t="s">
        <v>110</v>
      </c>
      <c r="B7" s="19" t="s">
        <v>339</v>
      </c>
      <c r="C7" s="15">
        <f>H7</f>
        <v>9500</v>
      </c>
      <c r="E7" s="14"/>
      <c r="F7" s="99"/>
      <c r="G7" s="15">
        <f>SUM(G5:G6)</f>
        <v>4277</v>
      </c>
      <c r="H7" s="15">
        <f>SUM(H5:H6)</f>
        <v>9500</v>
      </c>
      <c r="I7" s="14"/>
      <c r="J7" s="19"/>
      <c r="K7" s="99"/>
    </row>
    <row r="8" spans="1:11" x14ac:dyDescent="0.3">
      <c r="A8" s="19"/>
      <c r="B8" s="19"/>
      <c r="C8" s="15"/>
      <c r="F8"/>
      <c r="G8"/>
      <c r="H8"/>
      <c r="I8"/>
    </row>
    <row r="9" spans="1:11" x14ac:dyDescent="0.3">
      <c r="A9" s="19" t="s">
        <v>338</v>
      </c>
      <c r="B9" s="19" t="s">
        <v>340</v>
      </c>
      <c r="C9" s="15">
        <f>G7</f>
        <v>4277</v>
      </c>
      <c r="F9"/>
      <c r="G9"/>
      <c r="H9"/>
      <c r="I9"/>
    </row>
    <row r="10" spans="1:11" x14ac:dyDescent="0.3">
      <c r="A10" s="19"/>
      <c r="B10" s="19"/>
      <c r="C10" s="15"/>
      <c r="F10"/>
      <c r="G10"/>
      <c r="H10"/>
      <c r="I10"/>
    </row>
    <row r="11" spans="1:11" x14ac:dyDescent="0.3">
      <c r="A11" s="19" t="s">
        <v>111</v>
      </c>
      <c r="B11" s="19"/>
      <c r="C11" s="49">
        <f>C5+C7-C9</f>
        <v>168393.31</v>
      </c>
      <c r="F11"/>
      <c r="G11"/>
      <c r="H11"/>
      <c r="I11"/>
    </row>
    <row r="12" spans="1:11" x14ac:dyDescent="0.3">
      <c r="F12"/>
      <c r="G12"/>
      <c r="H12"/>
      <c r="I12"/>
    </row>
    <row r="13" spans="1:11" x14ac:dyDescent="0.3">
      <c r="F13"/>
      <c r="G13"/>
      <c r="H13"/>
      <c r="I13"/>
    </row>
    <row r="14" spans="1:11" x14ac:dyDescent="0.3">
      <c r="F14"/>
      <c r="G14"/>
      <c r="H14"/>
      <c r="I14"/>
    </row>
    <row r="15" spans="1:11" x14ac:dyDescent="0.3">
      <c r="F15"/>
      <c r="G15"/>
      <c r="H15"/>
      <c r="I15"/>
    </row>
    <row r="16" spans="1:11" x14ac:dyDescent="0.3">
      <c r="F16"/>
      <c r="G16"/>
      <c r="H16"/>
      <c r="I16"/>
    </row>
    <row r="17" spans="2:9" x14ac:dyDescent="0.3">
      <c r="F17"/>
      <c r="G17"/>
      <c r="H17"/>
      <c r="I17"/>
    </row>
    <row r="18" spans="2:9" x14ac:dyDescent="0.3">
      <c r="B18" t="s">
        <v>362</v>
      </c>
      <c r="F18"/>
      <c r="G18"/>
      <c r="H18"/>
      <c r="I18"/>
    </row>
    <row r="20" spans="2:9" x14ac:dyDescent="0.3">
      <c r="B20" t="s">
        <v>363</v>
      </c>
    </row>
  </sheetData>
  <mergeCells count="3">
    <mergeCell ref="A1:C1"/>
    <mergeCell ref="A4:B4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41"/>
  <sheetViews>
    <sheetView workbookViewId="0">
      <selection activeCell="F18" sqref="F18"/>
    </sheetView>
  </sheetViews>
  <sheetFormatPr defaultRowHeight="14.4" x14ac:dyDescent="0.3"/>
  <cols>
    <col min="1" max="1" width="2" bestFit="1" customWidth="1"/>
    <col min="2" max="2" width="13.5546875" bestFit="1" customWidth="1"/>
    <col min="3" max="3" width="11.109375" bestFit="1" customWidth="1"/>
    <col min="4" max="4" width="10.33203125" bestFit="1" customWidth="1"/>
    <col min="5" max="5" width="10.6640625" bestFit="1" customWidth="1"/>
    <col min="6" max="10" width="11.88671875" bestFit="1" customWidth="1"/>
    <col min="11" max="11" width="7" bestFit="1" customWidth="1"/>
    <col min="12" max="12" width="7" customWidth="1"/>
    <col min="13" max="13" width="2" bestFit="1" customWidth="1"/>
    <col min="14" max="14" width="23.33203125" bestFit="1" customWidth="1"/>
    <col min="15" max="15" width="0.109375" customWidth="1"/>
    <col min="16" max="16" width="9.44140625" bestFit="1" customWidth="1"/>
    <col min="21" max="21" width="38.33203125" bestFit="1" customWidth="1"/>
  </cols>
  <sheetData>
    <row r="2" spans="1:21" x14ac:dyDescent="0.3">
      <c r="A2" s="11">
        <v>1</v>
      </c>
      <c r="B2" s="11" t="s">
        <v>156</v>
      </c>
      <c r="M2" s="11">
        <v>2</v>
      </c>
      <c r="N2" s="11" t="s">
        <v>181</v>
      </c>
      <c r="U2" t="s">
        <v>215</v>
      </c>
    </row>
    <row r="3" spans="1:21" x14ac:dyDescent="0.3">
      <c r="C3" s="169" t="s">
        <v>146</v>
      </c>
      <c r="D3" s="169"/>
      <c r="E3" s="169" t="s">
        <v>147</v>
      </c>
      <c r="F3" s="137" t="s">
        <v>148</v>
      </c>
      <c r="G3" s="137"/>
      <c r="H3" s="137"/>
      <c r="I3" s="137"/>
      <c r="J3" s="137"/>
      <c r="K3" s="137"/>
      <c r="L3" s="23"/>
      <c r="N3" t="s">
        <v>182</v>
      </c>
      <c r="P3" s="48">
        <f>IE!G19</f>
        <v>5638</v>
      </c>
      <c r="T3">
        <v>1</v>
      </c>
      <c r="U3" t="s">
        <v>219</v>
      </c>
    </row>
    <row r="4" spans="1:21" x14ac:dyDescent="0.3">
      <c r="C4" s="169"/>
      <c r="D4" s="169"/>
      <c r="E4" s="169"/>
      <c r="F4" s="50" t="s">
        <v>149</v>
      </c>
      <c r="G4" s="50" t="s">
        <v>150</v>
      </c>
      <c r="H4" s="50" t="s">
        <v>151</v>
      </c>
      <c r="I4" s="50" t="s">
        <v>152</v>
      </c>
      <c r="J4" s="50" t="s">
        <v>153</v>
      </c>
      <c r="K4" s="23" t="s">
        <v>35</v>
      </c>
      <c r="L4" s="23"/>
      <c r="N4" t="s">
        <v>183</v>
      </c>
      <c r="P4" s="48">
        <v>0</v>
      </c>
      <c r="T4">
        <v>2</v>
      </c>
      <c r="U4" t="s">
        <v>216</v>
      </c>
    </row>
    <row r="5" spans="1:21" x14ac:dyDescent="0.3">
      <c r="C5" s="4">
        <v>45294</v>
      </c>
      <c r="D5" s="4">
        <v>45385</v>
      </c>
      <c r="E5" s="51">
        <f>D5-C5+1</f>
        <v>92</v>
      </c>
      <c r="F5">
        <v>15105</v>
      </c>
      <c r="G5">
        <v>17952</v>
      </c>
      <c r="H5">
        <v>19198</v>
      </c>
      <c r="I5">
        <v>1020</v>
      </c>
      <c r="J5">
        <v>1948</v>
      </c>
      <c r="K5">
        <f>SUM(F5:J5)</f>
        <v>55223</v>
      </c>
      <c r="N5" t="s">
        <v>184</v>
      </c>
      <c r="P5" s="48">
        <f>IE!G20</f>
        <v>205033</v>
      </c>
      <c r="T5">
        <v>3</v>
      </c>
      <c r="U5" t="s">
        <v>217</v>
      </c>
    </row>
    <row r="6" spans="1:21" x14ac:dyDescent="0.3">
      <c r="B6" s="11" t="s">
        <v>154</v>
      </c>
      <c r="C6" s="52">
        <f>C5</f>
        <v>45294</v>
      </c>
      <c r="D6" s="52">
        <v>45382</v>
      </c>
      <c r="E6" s="53">
        <f>D6-C6+1</f>
        <v>89</v>
      </c>
      <c r="F6" s="54">
        <v>16329</v>
      </c>
      <c r="G6" s="54">
        <v>18259</v>
      </c>
      <c r="H6" s="54">
        <v>19537</v>
      </c>
      <c r="I6" s="54">
        <v>983</v>
      </c>
      <c r="J6" s="54">
        <v>1877</v>
      </c>
      <c r="K6" s="54">
        <f t="shared" ref="K6:K9" si="0">SUM(F6:J6)</f>
        <v>56985</v>
      </c>
      <c r="N6" t="s">
        <v>185</v>
      </c>
      <c r="P6" s="48">
        <v>0</v>
      </c>
      <c r="T6">
        <v>4</v>
      </c>
      <c r="U6" t="s">
        <v>218</v>
      </c>
    </row>
    <row r="7" spans="1:21" x14ac:dyDescent="0.3">
      <c r="C7" s="4">
        <v>45383</v>
      </c>
      <c r="D7" s="4">
        <f>D5</f>
        <v>45385</v>
      </c>
      <c r="E7" s="51">
        <f>D7-C7+1</f>
        <v>3</v>
      </c>
      <c r="F7">
        <f>F5-F6</f>
        <v>-1224</v>
      </c>
      <c r="G7">
        <f>G5-G6</f>
        <v>-307</v>
      </c>
      <c r="H7">
        <f>H5-H6</f>
        <v>-339</v>
      </c>
      <c r="I7">
        <f>I5-I6</f>
        <v>37</v>
      </c>
      <c r="J7">
        <f>J5-J6</f>
        <v>71</v>
      </c>
      <c r="K7">
        <f t="shared" si="0"/>
        <v>-1762</v>
      </c>
      <c r="N7" t="s">
        <v>250</v>
      </c>
      <c r="P7" s="48">
        <f>-P5</f>
        <v>-205033</v>
      </c>
    </row>
    <row r="8" spans="1:21" x14ac:dyDescent="0.3">
      <c r="C8" s="4">
        <f>D5</f>
        <v>45385</v>
      </c>
      <c r="D8" s="4">
        <v>45476</v>
      </c>
      <c r="E8" s="51">
        <f>D8-C8</f>
        <v>91</v>
      </c>
      <c r="F8">
        <v>15239</v>
      </c>
      <c r="G8">
        <v>17928</v>
      </c>
      <c r="H8">
        <v>19281</v>
      </c>
      <c r="I8">
        <v>1020</v>
      </c>
      <c r="J8">
        <v>1948</v>
      </c>
      <c r="K8">
        <f t="shared" si="0"/>
        <v>55416</v>
      </c>
      <c r="N8" t="s">
        <v>186</v>
      </c>
      <c r="P8" s="73">
        <f>SUM(P3:P7)</f>
        <v>5638</v>
      </c>
    </row>
    <row r="9" spans="1:21" x14ac:dyDescent="0.3">
      <c r="C9" s="4">
        <f>D8</f>
        <v>45476</v>
      </c>
      <c r="D9" s="4">
        <v>45569</v>
      </c>
      <c r="E9" s="51">
        <f>D9-C9</f>
        <v>93</v>
      </c>
      <c r="F9">
        <v>14207</v>
      </c>
      <c r="G9">
        <v>17078</v>
      </c>
      <c r="H9">
        <v>16883</v>
      </c>
      <c r="I9">
        <v>1020</v>
      </c>
      <c r="J9">
        <v>2055</v>
      </c>
      <c r="K9">
        <f t="shared" si="0"/>
        <v>51243</v>
      </c>
      <c r="N9" t="s">
        <v>187</v>
      </c>
      <c r="P9" s="48">
        <f>P8*10%</f>
        <v>563.80000000000007</v>
      </c>
    </row>
    <row r="10" spans="1:21" x14ac:dyDescent="0.3">
      <c r="C10" s="52">
        <f>D9</f>
        <v>45569</v>
      </c>
      <c r="D10" s="52">
        <v>45663</v>
      </c>
      <c r="E10" s="53">
        <f>D10-C10</f>
        <v>94</v>
      </c>
      <c r="F10" s="98">
        <v>6742</v>
      </c>
      <c r="G10" s="98">
        <v>14768</v>
      </c>
      <c r="H10" s="98">
        <v>14916</v>
      </c>
      <c r="I10" s="54">
        <v>1020</v>
      </c>
      <c r="J10" s="54">
        <v>2055</v>
      </c>
      <c r="K10" s="54">
        <f>SUM(F10:J10)</f>
        <v>39501</v>
      </c>
      <c r="N10" t="s">
        <v>189</v>
      </c>
      <c r="O10" s="74">
        <v>0.04</v>
      </c>
      <c r="P10" s="54">
        <f>ROUND(P9*O10,0)</f>
        <v>23</v>
      </c>
    </row>
    <row r="11" spans="1:21" ht="15.6" x14ac:dyDescent="0.3">
      <c r="C11" s="4">
        <f>C7</f>
        <v>45383</v>
      </c>
      <c r="D11" s="4">
        <f>D10</f>
        <v>45663</v>
      </c>
      <c r="E11" s="51">
        <f t="shared" ref="E11:J11" si="1">SUM(E7:E10)</f>
        <v>281</v>
      </c>
      <c r="F11">
        <f t="shared" si="1"/>
        <v>34964</v>
      </c>
      <c r="G11">
        <f t="shared" si="1"/>
        <v>49467</v>
      </c>
      <c r="H11">
        <f t="shared" si="1"/>
        <v>50741</v>
      </c>
      <c r="I11">
        <f t="shared" si="1"/>
        <v>3097</v>
      </c>
      <c r="J11">
        <f t="shared" si="1"/>
        <v>6129</v>
      </c>
      <c r="K11">
        <f>SUM(F11:J11)</f>
        <v>144398</v>
      </c>
      <c r="N11" t="s">
        <v>188</v>
      </c>
      <c r="P11" s="75">
        <f>P9+P10</f>
        <v>586.80000000000007</v>
      </c>
    </row>
    <row r="12" spans="1:21" x14ac:dyDescent="0.3">
      <c r="B12" s="11" t="s">
        <v>155</v>
      </c>
      <c r="C12" s="52">
        <f>D11</f>
        <v>45663</v>
      </c>
      <c r="D12" s="52">
        <v>45747</v>
      </c>
      <c r="E12" s="53">
        <f>D12-C12</f>
        <v>84</v>
      </c>
      <c r="F12" s="98">
        <f>ROUND(13887/88*E12,0)</f>
        <v>13256</v>
      </c>
      <c r="G12" s="98">
        <f>ROUND(17721/88*E12,0)</f>
        <v>16916</v>
      </c>
      <c r="H12" s="98">
        <f>ROUND(17663/88*E12,0)</f>
        <v>16860</v>
      </c>
      <c r="I12" s="98">
        <f>ROUND(1120/88*E12,0)</f>
        <v>1069</v>
      </c>
      <c r="J12" s="98">
        <f>ROUND(2008/88*E12,0)</f>
        <v>1917</v>
      </c>
      <c r="K12" s="54">
        <f>SUM(F12:J12)</f>
        <v>50018</v>
      </c>
      <c r="L12">
        <f>K12+F10+G10+H10</f>
        <v>86444</v>
      </c>
      <c r="N12" t="s">
        <v>251</v>
      </c>
      <c r="P12" s="106">
        <v>910</v>
      </c>
    </row>
    <row r="13" spans="1:21" x14ac:dyDescent="0.3">
      <c r="C13" s="4">
        <f>C11</f>
        <v>45383</v>
      </c>
      <c r="D13" s="4">
        <f>D12</f>
        <v>45747</v>
      </c>
      <c r="E13" s="51">
        <f>E11+E12</f>
        <v>365</v>
      </c>
      <c r="F13" s="55">
        <f>F11+F12</f>
        <v>48220</v>
      </c>
      <c r="G13" s="55">
        <f t="shared" ref="G13:J13" si="2">G11+G12</f>
        <v>66383</v>
      </c>
      <c r="H13" s="55">
        <f t="shared" si="2"/>
        <v>67601</v>
      </c>
      <c r="I13" s="55">
        <f t="shared" si="2"/>
        <v>4166</v>
      </c>
      <c r="J13" s="55">
        <f t="shared" si="2"/>
        <v>8046</v>
      </c>
      <c r="K13" s="55">
        <f>K11+K12</f>
        <v>194416</v>
      </c>
      <c r="L13" s="55"/>
      <c r="M13" s="55"/>
    </row>
    <row r="15" spans="1:21" x14ac:dyDescent="0.3">
      <c r="K15" s="46"/>
    </row>
    <row r="18" spans="1:6" x14ac:dyDescent="0.3">
      <c r="A18" s="11">
        <v>2</v>
      </c>
      <c r="B18" s="11" t="s">
        <v>191</v>
      </c>
      <c r="C18" s="4">
        <v>45513</v>
      </c>
      <c r="D18" s="4">
        <v>45878</v>
      </c>
      <c r="E18">
        <f>D18-C18</f>
        <v>365</v>
      </c>
      <c r="F18">
        <v>31080</v>
      </c>
    </row>
    <row r="19" spans="1:6" x14ac:dyDescent="0.3">
      <c r="B19" t="s">
        <v>192</v>
      </c>
      <c r="C19" s="52">
        <v>45748</v>
      </c>
      <c r="D19" s="52">
        <f>D18</f>
        <v>45878</v>
      </c>
      <c r="E19" s="54">
        <f>D19-C19+1</f>
        <v>131</v>
      </c>
      <c r="F19" s="54">
        <f>ROUND(E19*F18/E18,0)</f>
        <v>11155</v>
      </c>
    </row>
    <row r="20" spans="1:6" x14ac:dyDescent="0.3">
      <c r="C20" s="4">
        <f>C18</f>
        <v>45513</v>
      </c>
      <c r="D20" s="4">
        <v>45747</v>
      </c>
      <c r="E20">
        <f>E18-E19</f>
        <v>234</v>
      </c>
      <c r="F20">
        <f>F18-F19</f>
        <v>19925</v>
      </c>
    </row>
    <row r="27" spans="1:6" x14ac:dyDescent="0.3">
      <c r="B27" s="170" t="s">
        <v>220</v>
      </c>
      <c r="C27" s="170"/>
      <c r="D27" s="170"/>
      <c r="E27" s="170"/>
    </row>
    <row r="28" spans="1:6" x14ac:dyDescent="0.3">
      <c r="B28" s="102" t="s">
        <v>221</v>
      </c>
      <c r="C28" s="102" t="s">
        <v>222</v>
      </c>
      <c r="D28" s="102" t="s">
        <v>223</v>
      </c>
      <c r="E28" s="102" t="s">
        <v>92</v>
      </c>
    </row>
    <row r="29" spans="1:6" x14ac:dyDescent="0.3">
      <c r="B29" s="51">
        <v>1</v>
      </c>
      <c r="C29" s="1" t="s">
        <v>224</v>
      </c>
      <c r="D29" s="51">
        <v>2425049</v>
      </c>
      <c r="E29" s="100">
        <v>31997</v>
      </c>
    </row>
    <row r="30" spans="1:6" x14ac:dyDescent="0.3">
      <c r="B30" s="51">
        <v>2</v>
      </c>
      <c r="C30" s="1" t="s">
        <v>225</v>
      </c>
      <c r="D30" s="51">
        <v>2425097</v>
      </c>
      <c r="E30" s="100">
        <v>31075</v>
      </c>
    </row>
    <row r="31" spans="1:6" x14ac:dyDescent="0.3">
      <c r="B31" s="51">
        <v>3</v>
      </c>
      <c r="C31" s="1" t="s">
        <v>226</v>
      </c>
      <c r="D31" s="51">
        <v>2425149</v>
      </c>
      <c r="E31" s="100">
        <v>32190</v>
      </c>
    </row>
    <row r="32" spans="1:6" x14ac:dyDescent="0.3">
      <c r="B32" s="51">
        <v>4</v>
      </c>
      <c r="C32" s="1" t="s">
        <v>227</v>
      </c>
      <c r="D32" s="51">
        <v>2425202</v>
      </c>
      <c r="E32" s="100">
        <v>31265</v>
      </c>
    </row>
    <row r="33" spans="2:5" x14ac:dyDescent="0.3">
      <c r="B33" s="51">
        <v>5</v>
      </c>
      <c r="C33" s="1" t="s">
        <v>228</v>
      </c>
      <c r="D33" s="51">
        <v>2425251</v>
      </c>
      <c r="E33" s="100">
        <v>32384</v>
      </c>
    </row>
    <row r="34" spans="2:5" x14ac:dyDescent="0.3">
      <c r="B34" s="51">
        <v>6</v>
      </c>
      <c r="C34" s="1" t="s">
        <v>229</v>
      </c>
      <c r="D34" s="51">
        <v>2425301</v>
      </c>
      <c r="E34" s="100">
        <v>32481</v>
      </c>
    </row>
    <row r="35" spans="2:5" x14ac:dyDescent="0.3">
      <c r="B35" s="51">
        <v>7</v>
      </c>
      <c r="C35" s="1" t="s">
        <v>230</v>
      </c>
      <c r="D35" s="51">
        <v>2425350</v>
      </c>
      <c r="E35" s="100">
        <v>31550</v>
      </c>
    </row>
    <row r="36" spans="2:5" x14ac:dyDescent="0.3">
      <c r="B36" s="51">
        <v>8</v>
      </c>
      <c r="C36" s="1" t="s">
        <v>231</v>
      </c>
      <c r="D36" s="51">
        <v>2425399</v>
      </c>
      <c r="E36" s="100">
        <v>32675</v>
      </c>
    </row>
    <row r="37" spans="2:5" x14ac:dyDescent="0.3">
      <c r="B37" s="51">
        <v>9</v>
      </c>
      <c r="C37" s="1" t="s">
        <v>232</v>
      </c>
      <c r="D37" s="51">
        <v>2425448</v>
      </c>
      <c r="E37" s="100">
        <v>31740</v>
      </c>
    </row>
    <row r="38" spans="2:5" x14ac:dyDescent="0.3">
      <c r="B38" s="51">
        <v>10</v>
      </c>
      <c r="C38" s="1" t="s">
        <v>233</v>
      </c>
      <c r="D38" s="51">
        <v>2425497</v>
      </c>
      <c r="E38" s="100">
        <v>32869</v>
      </c>
    </row>
    <row r="39" spans="2:5" x14ac:dyDescent="0.3">
      <c r="B39" s="51">
        <v>11</v>
      </c>
      <c r="C39" s="1" t="s">
        <v>234</v>
      </c>
      <c r="D39" s="51">
        <v>2425546</v>
      </c>
      <c r="E39" s="100">
        <v>32966</v>
      </c>
    </row>
    <row r="40" spans="2:5" x14ac:dyDescent="0.3">
      <c r="B40" s="51">
        <v>12</v>
      </c>
      <c r="C40" s="1" t="s">
        <v>235</v>
      </c>
      <c r="D40" s="51">
        <v>2425601</v>
      </c>
      <c r="E40" s="100">
        <v>29866</v>
      </c>
    </row>
    <row r="41" spans="2:5" x14ac:dyDescent="0.3">
      <c r="B41" s="171" t="s">
        <v>35</v>
      </c>
      <c r="C41" s="171"/>
      <c r="D41" s="171"/>
      <c r="E41" s="101">
        <f>SUM(E29:E40)</f>
        <v>383058</v>
      </c>
    </row>
  </sheetData>
  <mergeCells count="5">
    <mergeCell ref="C3:D4"/>
    <mergeCell ref="E3:E4"/>
    <mergeCell ref="F3:K3"/>
    <mergeCell ref="B27:E27"/>
    <mergeCell ref="B41:D41"/>
  </mergeCells>
  <hyperlinks>
    <hyperlink ref="F4" r:id="rId1" xr:uid="{00000000-0004-0000-0700-000000000000}"/>
    <hyperlink ref="G4" r:id="rId2" xr:uid="{00000000-0004-0000-0700-000001000000}"/>
    <hyperlink ref="H4" r:id="rId3" xr:uid="{00000000-0004-0000-0700-000002000000}"/>
    <hyperlink ref="I4" r:id="rId4" xr:uid="{00000000-0004-0000-0700-000003000000}"/>
    <hyperlink ref="J4" r:id="rId5" xr:uid="{00000000-0004-0000-07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BS</vt:lpstr>
      <vt:lpstr>IE</vt:lpstr>
      <vt:lpstr>Sch 1 - FD</vt:lpstr>
      <vt:lpstr>Sch 2 - FA</vt:lpstr>
      <vt:lpstr>Sch 3 - Member</vt:lpstr>
      <vt:lpstr>Sch 4 - Payables &amp; Advance</vt:lpstr>
      <vt:lpstr>BRS</vt:lpstr>
      <vt:lpstr>Working</vt:lpstr>
      <vt:lpstr>BS!Print_Area</vt:lpstr>
      <vt:lpstr>IE!Print_Area</vt:lpstr>
      <vt:lpstr>'Sch 1 - FD'!Print_Area</vt:lpstr>
      <vt:lpstr>'Sch 2 - FA'!Print_Area</vt:lpstr>
      <vt:lpstr>'Sch 3 - Member'!Print_Area</vt:lpstr>
      <vt:lpstr>'Sch 4 - Payables &amp; Advance'!Print_Area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2026-08-29T12:27:57Z</cp:lastPrinted>
  <dcterms:created xsi:type="dcterms:W3CDTF">2015-06-05T18:17:20Z</dcterms:created>
  <dcterms:modified xsi:type="dcterms:W3CDTF">2026-08-29T12:28:05Z</dcterms:modified>
</cp:coreProperties>
</file>