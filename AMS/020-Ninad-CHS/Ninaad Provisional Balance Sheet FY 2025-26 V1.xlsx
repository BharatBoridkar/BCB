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20-Ninad-CHS\"/>
    </mc:Choice>
  </mc:AlternateContent>
  <xr:revisionPtr revIDLastSave="0" documentId="13_ncr:1_{63A6D7C1-16F6-4C3C-84E6-5AD894F98B29}" xr6:coauthVersionLast="47" xr6:coauthVersionMax="47" xr10:uidLastSave="{00000000-0000-0000-0000-000000000000}"/>
  <bookViews>
    <workbookView xWindow="-96" yWindow="0" windowWidth="11712" windowHeight="12336" tabRatio="1000" activeTab="1" xr2:uid="{00000000-000D-0000-FFFF-FFFF00000000}"/>
  </bookViews>
  <sheets>
    <sheet name="BS" sheetId="1" r:id="rId1"/>
    <sheet name="IE" sheetId="2" r:id="rId2"/>
    <sheet name="Sch I" sheetId="3" r:id="rId3"/>
    <sheet name="Sch II" sheetId="4" r:id="rId4"/>
    <sheet name="Sch III &amp; IV" sheetId="5" r:id="rId5"/>
    <sheet name="Sch V" sheetId="12" r:id="rId6"/>
    <sheet name="Sch VIII" sheetId="11" r:id="rId7"/>
    <sheet name="Sch VI &amp; VII" sheetId="6" r:id="rId8"/>
    <sheet name="BRS" sheetId="10" r:id="rId9"/>
    <sheet name="Workings" sheetId="8" r:id="rId10"/>
  </sheets>
  <definedNames>
    <definedName name="_xlnm.Print_Area" localSheetId="0">BS!$A$1:$H$40</definedName>
    <definedName name="_xlnm.Print_Area" localSheetId="1">IE!$A$1:$H$50</definedName>
    <definedName name="_xlnm.Print_Area" localSheetId="2">'Sch I'!$A$1:$J$40</definedName>
    <definedName name="_xlnm.Print_Area" localSheetId="3">'Sch II'!$A$1:$I$11</definedName>
    <definedName name="_xlnm.Print_Area" localSheetId="4">'Sch III &amp; IV'!$A$1:$E$21</definedName>
    <definedName name="_xlnm.Print_Area" localSheetId="5">'Sch V'!$A$1:$E$32</definedName>
    <definedName name="_xlnm.Print_Area" localSheetId="7">'Sch VI &amp; VII'!$A$1:$E$30</definedName>
    <definedName name="_xlnm.Print_Area" localSheetId="6">'Sch VIII'!$A$1:$E$17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0" l="1"/>
  <c r="G8" i="1"/>
  <c r="G7" i="1"/>
  <c r="D18" i="5"/>
  <c r="E21" i="8"/>
  <c r="D25" i="8"/>
  <c r="E25" i="8" s="1"/>
  <c r="C19" i="2"/>
  <c r="E12" i="3" l="1"/>
  <c r="E23" i="3"/>
  <c r="E10" i="3"/>
  <c r="E9" i="3"/>
  <c r="E21" i="3"/>
  <c r="E34" i="3"/>
  <c r="E35" i="3"/>
  <c r="E22" i="3"/>
  <c r="E11" i="3"/>
  <c r="E5" i="3"/>
  <c r="E17" i="3"/>
  <c r="E18" i="3"/>
  <c r="E20" i="3"/>
  <c r="E7" i="3"/>
  <c r="E8" i="3"/>
  <c r="E19" i="3"/>
  <c r="E28" i="3" l="1"/>
  <c r="E31" i="3" s="1"/>
  <c r="L31" i="3" s="1"/>
  <c r="E29" i="3"/>
  <c r="E30" i="3"/>
  <c r="E6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E36" i="3"/>
  <c r="L36" i="3" s="1"/>
  <c r="L29" i="3"/>
  <c r="E24" i="3"/>
  <c r="L24" i="3" s="1"/>
  <c r="E25" i="3"/>
  <c r="E14" i="3"/>
  <c r="E13" i="3"/>
  <c r="A6" i="3"/>
  <c r="A7" i="3" s="1"/>
  <c r="A8" i="3" s="1"/>
  <c r="A9" i="3" s="1"/>
  <c r="A10" i="3" s="1"/>
  <c r="A11" i="3" s="1"/>
  <c r="A12" i="3" s="1"/>
  <c r="A13" i="3" s="1"/>
  <c r="A17" i="3" s="1"/>
  <c r="A18" i="3" s="1"/>
  <c r="A19" i="3" s="1"/>
  <c r="A20" i="3" s="1"/>
  <c r="A21" i="3" s="1"/>
  <c r="A22" i="3" s="1"/>
  <c r="A23" i="3" s="1"/>
  <c r="A24" i="3" s="1"/>
  <c r="A28" i="3" s="1"/>
  <c r="A29" i="3" s="1"/>
  <c r="A30" i="3" s="1"/>
  <c r="A34" i="3" s="1"/>
  <c r="A35" i="3" s="1"/>
  <c r="L32" i="3"/>
  <c r="L33" i="3"/>
  <c r="L34" i="3"/>
  <c r="L35" i="3"/>
  <c r="L30" i="3"/>
  <c r="L27" i="3"/>
  <c r="L26" i="3"/>
  <c r="L23" i="3"/>
  <c r="L22" i="3"/>
  <c r="L21" i="3"/>
  <c r="L19" i="3"/>
  <c r="L18" i="3"/>
  <c r="L17" i="3"/>
  <c r="L16" i="3"/>
  <c r="L15" i="3"/>
  <c r="L13" i="3"/>
  <c r="L12" i="3"/>
  <c r="L11" i="3"/>
  <c r="L10" i="3"/>
  <c r="L9" i="3"/>
  <c r="L8" i="3"/>
  <c r="L7" i="3"/>
  <c r="L6" i="3"/>
  <c r="L5" i="3"/>
  <c r="N39" i="3"/>
  <c r="O39" i="3"/>
  <c r="E42" i="3" s="1"/>
  <c r="P39" i="3"/>
  <c r="M39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R4" i="3"/>
  <c r="R39" i="3" s="1"/>
  <c r="Q4" i="3"/>
  <c r="H25" i="3"/>
  <c r="F24" i="3"/>
  <c r="D25" i="3"/>
  <c r="F13" i="3"/>
  <c r="H14" i="3"/>
  <c r="D14" i="3"/>
  <c r="C28" i="1"/>
  <c r="C34" i="2"/>
  <c r="G10" i="2"/>
  <c r="H12" i="2"/>
  <c r="B31" i="12"/>
  <c r="B26" i="12"/>
  <c r="B21" i="12"/>
  <c r="B15" i="12"/>
  <c r="B9" i="12"/>
  <c r="D5" i="12" s="1"/>
  <c r="D5" i="2"/>
  <c r="A5" i="2"/>
  <c r="H24" i="2"/>
  <c r="L28" i="3" l="1"/>
  <c r="Q39" i="3"/>
  <c r="L20" i="3"/>
  <c r="E39" i="3"/>
  <c r="D20" i="12" l="1"/>
  <c r="D14" i="12"/>
  <c r="D20" i="6"/>
  <c r="H9" i="1"/>
  <c r="D7" i="10"/>
  <c r="H21" i="2" l="1"/>
  <c r="D7" i="12"/>
  <c r="H21" i="1"/>
  <c r="D12" i="12" l="1"/>
  <c r="D16" i="11"/>
  <c r="D16" i="2" s="1"/>
  <c r="B16" i="11"/>
  <c r="D14" i="2"/>
  <c r="D24" i="2"/>
  <c r="A41" i="2"/>
  <c r="H5" i="2"/>
  <c r="E41" i="2"/>
  <c r="H36" i="3" l="1"/>
  <c r="H31" i="3"/>
  <c r="F21" i="3"/>
  <c r="H39" i="3" l="1"/>
  <c r="F6" i="3"/>
  <c r="F7" i="3"/>
  <c r="F8" i="3"/>
  <c r="F9" i="3"/>
  <c r="F10" i="3"/>
  <c r="F11" i="3"/>
  <c r="F12" i="3"/>
  <c r="F35" i="3"/>
  <c r="F34" i="3"/>
  <c r="F36" i="3" s="1"/>
  <c r="D36" i="3"/>
  <c r="F19" i="3"/>
  <c r="F5" i="3" l="1"/>
  <c r="F14" i="3" s="1"/>
  <c r="G12" i="1" s="1"/>
  <c r="G15" i="1"/>
  <c r="F22" i="3"/>
  <c r="F29" i="3"/>
  <c r="F28" i="3"/>
  <c r="F30" i="3"/>
  <c r="F23" i="3"/>
  <c r="F31" i="3" l="1"/>
  <c r="G14" i="1"/>
  <c r="F20" i="3"/>
  <c r="F17" i="3"/>
  <c r="F18" i="3"/>
  <c r="B6" i="8"/>
  <c r="D6" i="6"/>
  <c r="C20" i="1" s="1"/>
  <c r="D8" i="5"/>
  <c r="E10" i="4"/>
  <c r="D10" i="4"/>
  <c r="C10" i="4"/>
  <c r="G9" i="4"/>
  <c r="F9" i="4"/>
  <c r="G24" i="1" l="1"/>
  <c r="H27" i="1" s="1"/>
  <c r="F25" i="3"/>
  <c r="F39" i="3" s="1"/>
  <c r="E41" i="3"/>
  <c r="H9" i="4"/>
  <c r="G13" i="1" l="1"/>
  <c r="H15" i="1" s="1"/>
  <c r="D15" i="8"/>
  <c r="D14" i="8"/>
  <c r="E20" i="8" l="1"/>
  <c r="E15" i="8"/>
  <c r="D17" i="10"/>
  <c r="D27" i="6" l="1"/>
  <c r="D29" i="6" s="1"/>
  <c r="C21" i="1" s="1"/>
  <c r="D29" i="12"/>
  <c r="D31" i="12" s="1"/>
  <c r="C17" i="1" s="1"/>
  <c r="D26" i="12"/>
  <c r="C16" i="1" s="1"/>
  <c r="D18" i="12"/>
  <c r="B20" i="5"/>
  <c r="D20" i="5"/>
  <c r="H29" i="1" s="1"/>
  <c r="D6" i="8"/>
  <c r="D5" i="8"/>
  <c r="D11" i="8"/>
  <c r="D10" i="8"/>
  <c r="E6" i="8" l="1"/>
  <c r="D15" i="12"/>
  <c r="C14" i="1" s="1"/>
  <c r="D21" i="1"/>
  <c r="D21" i="12"/>
  <c r="C15" i="1" s="1"/>
  <c r="E11" i="8"/>
  <c r="E5" i="1" l="1"/>
  <c r="H5" i="1"/>
  <c r="E5" i="2"/>
  <c r="D31" i="3" l="1"/>
  <c r="D39" i="3" s="1"/>
  <c r="G8" i="4" l="1"/>
  <c r="G7" i="4"/>
  <c r="G6" i="4"/>
  <c r="G5" i="4"/>
  <c r="G4" i="4"/>
  <c r="F8" i="4"/>
  <c r="F7" i="4"/>
  <c r="F6" i="4"/>
  <c r="F5" i="4"/>
  <c r="F4" i="4"/>
  <c r="A1" i="2"/>
  <c r="G10" i="4" l="1"/>
  <c r="F10" i="4"/>
  <c r="E31" i="1"/>
  <c r="H6" i="4"/>
  <c r="H5" i="4"/>
  <c r="H4" i="4"/>
  <c r="H8" i="4"/>
  <c r="H7" i="4"/>
  <c r="H41" i="2"/>
  <c r="C32" i="2" l="1"/>
  <c r="D36" i="2" s="1"/>
  <c r="D39" i="2" s="1"/>
  <c r="H10" i="4"/>
  <c r="H17" i="1" s="1"/>
  <c r="H31" i="1" s="1"/>
  <c r="D8" i="12" l="1"/>
  <c r="D40" i="2"/>
  <c r="I42" i="2"/>
  <c r="C30" i="1" l="1"/>
  <c r="D30" i="1" s="1"/>
  <c r="D41" i="2"/>
  <c r="J46" i="2" s="1"/>
  <c r="D9" i="12"/>
  <c r="A31" i="1" l="1"/>
  <c r="C13" i="1"/>
  <c r="D17" i="1" s="1"/>
  <c r="D31" i="1" l="1"/>
  <c r="J35" i="1" s="1"/>
</calcChain>
</file>

<file path=xl/sharedStrings.xml><?xml version="1.0" encoding="utf-8"?>
<sst xmlns="http://schemas.openxmlformats.org/spreadsheetml/2006/main" count="373" uniqueCount="248">
  <si>
    <t>LIABILITIES</t>
  </si>
  <si>
    <t>ASSETS</t>
  </si>
  <si>
    <t>Note: Workings Page is not the be printed</t>
  </si>
  <si>
    <t>Cash and Bank Balances:</t>
  </si>
  <si>
    <t>Sinking Fund</t>
  </si>
  <si>
    <t>Certificate No.</t>
  </si>
  <si>
    <t>Bank</t>
  </si>
  <si>
    <t>Reserve Fund</t>
  </si>
  <si>
    <t>Maturity Date</t>
  </si>
  <si>
    <t>MDCC</t>
  </si>
  <si>
    <t>Authorised Share Capital</t>
  </si>
  <si>
    <t>Issues, Subscribed and Paid Up</t>
  </si>
  <si>
    <t>Repair Fund</t>
  </si>
  <si>
    <t>Date</t>
  </si>
  <si>
    <t xml:space="preserve"> Amount Invested </t>
  </si>
  <si>
    <t>Total</t>
  </si>
  <si>
    <t xml:space="preserve"> Maturity Value </t>
  </si>
  <si>
    <t>Interest %</t>
  </si>
  <si>
    <t>Common Benefit Fund</t>
  </si>
  <si>
    <t>Grand Total</t>
  </si>
  <si>
    <t>Sr.</t>
  </si>
  <si>
    <t>Water Charges</t>
  </si>
  <si>
    <t>Provision</t>
  </si>
  <si>
    <t>Insurance</t>
  </si>
  <si>
    <t>prepaid</t>
  </si>
  <si>
    <t>Lift AMC</t>
  </si>
  <si>
    <t>Link Road, Side of Apna Sahari Bank Ltd., Mith Chowki, Malad West, Mumbai, Maharashtra - 400064</t>
  </si>
  <si>
    <t>Society Reg No : BOM/HSG/P/8537 of 1981, Dated:22/9/1981</t>
  </si>
  <si>
    <t>2000 Shares of ₹ 50/- each</t>
  </si>
  <si>
    <t>As per last balance sheet</t>
  </si>
  <si>
    <t>Add: Interest earned during the year</t>
  </si>
  <si>
    <t>Add: 25% Surplus trf from I&amp;E Account</t>
  </si>
  <si>
    <t>Add: Collections during the year</t>
  </si>
  <si>
    <t>Repair and Maintenance Fund</t>
  </si>
  <si>
    <t>Corpus Fund</t>
  </si>
  <si>
    <t>Donation Fund</t>
  </si>
  <si>
    <t>Education and Training Fund</t>
  </si>
  <si>
    <t>Current Liabilities:</t>
  </si>
  <si>
    <t>Contribution from Members Towards:</t>
  </si>
  <si>
    <t>Land and Building</t>
  </si>
  <si>
    <t>Surplus/(Deficit) for the year</t>
  </si>
  <si>
    <t>Retained Earnings</t>
  </si>
  <si>
    <t>Income and Expenditure Account</t>
  </si>
  <si>
    <t>MDCC Bank</t>
  </si>
  <si>
    <t>Apna Sahakari Bank</t>
  </si>
  <si>
    <t>Cash in Hand</t>
  </si>
  <si>
    <t>Security Deposit - Reliance</t>
  </si>
  <si>
    <t>Security Deposit - BMC</t>
  </si>
  <si>
    <t>Deposits:</t>
  </si>
  <si>
    <t>Other Current Assets:</t>
  </si>
  <si>
    <t>EXPENDITURE</t>
  </si>
  <si>
    <t>INCOME</t>
  </si>
  <si>
    <t>Maintenance Income</t>
  </si>
  <si>
    <t>Service Charges</t>
  </si>
  <si>
    <t>Non Occupancy Charges</t>
  </si>
  <si>
    <t>Property Tax</t>
  </si>
  <si>
    <t>Parking Charges</t>
  </si>
  <si>
    <t>Late Payment Interest</t>
  </si>
  <si>
    <t>Interest Income - Savings Account</t>
  </si>
  <si>
    <t>Interest Income - Fixed Deposit</t>
  </si>
  <si>
    <t>Less: trf to Reserve Fund</t>
  </si>
  <si>
    <t>Less: trf to Sinking Fund</t>
  </si>
  <si>
    <t>Less: trf to Repair Fund</t>
  </si>
  <si>
    <t>Sale of Scrap</t>
  </si>
  <si>
    <t>Excess of Income over Expenditure:</t>
  </si>
  <si>
    <t>Surplus for the year</t>
  </si>
  <si>
    <t>Electricity Expenses</t>
  </si>
  <si>
    <t>Water Expenses</t>
  </si>
  <si>
    <t>Water Tank Cleaning Expense</t>
  </si>
  <si>
    <t>Interest Income</t>
  </si>
  <si>
    <t>Other Income</t>
  </si>
  <si>
    <t>Lift Repair and Maintenance</t>
  </si>
  <si>
    <t>Electrical Repair Maintenance</t>
  </si>
  <si>
    <t>Other Repair Maintenance</t>
  </si>
  <si>
    <t>Fire Fighting Repair Maintenance</t>
  </si>
  <si>
    <t>Fire Fighting AMC</t>
  </si>
  <si>
    <t>Pest Control Expenses</t>
  </si>
  <si>
    <t>Garden Maintenance Expense</t>
  </si>
  <si>
    <t>Security Expenses</t>
  </si>
  <si>
    <t>Insurance Expense</t>
  </si>
  <si>
    <t>Subscription Federation</t>
  </si>
  <si>
    <t>Audit Fees</t>
  </si>
  <si>
    <t>Accounting Charges</t>
  </si>
  <si>
    <t>CCTV</t>
  </si>
  <si>
    <t>Fan</t>
  </si>
  <si>
    <t>Furniture</t>
  </si>
  <si>
    <t>Intercom</t>
  </si>
  <si>
    <t>Office Expenses</t>
  </si>
  <si>
    <t>Printing and Stationary</t>
  </si>
  <si>
    <t>Postage and Courier</t>
  </si>
  <si>
    <t>Meeting Expense</t>
  </si>
  <si>
    <t>Conveyance Expense</t>
  </si>
  <si>
    <t>Professional Fees</t>
  </si>
  <si>
    <t>Depreciation</t>
  </si>
  <si>
    <t>Bank Charges</t>
  </si>
  <si>
    <t>Misc. Expenses</t>
  </si>
  <si>
    <t>Income Tax</t>
  </si>
  <si>
    <t>Salary Expenses</t>
  </si>
  <si>
    <t>Festival Expenses</t>
  </si>
  <si>
    <t>Particulars</t>
  </si>
  <si>
    <t>Rate %</t>
  </si>
  <si>
    <t>Depreciation for the year</t>
  </si>
  <si>
    <t>Land &amp; Building</t>
  </si>
  <si>
    <t>Sl.No</t>
  </si>
  <si>
    <t>MR. TEJAS RAJA</t>
  </si>
  <si>
    <t>Flat</t>
  </si>
  <si>
    <t>Name</t>
  </si>
  <si>
    <t>Amount</t>
  </si>
  <si>
    <t>MRS. JACINTHA LOBO</t>
  </si>
  <si>
    <t>Payables</t>
  </si>
  <si>
    <t>Provisions</t>
  </si>
  <si>
    <t>Audit Fees Payable</t>
  </si>
  <si>
    <t>Plumbing Repair Maintenance</t>
  </si>
  <si>
    <t>250 Shares of of ₹ 50/- each</t>
  </si>
  <si>
    <t>MR. SANJAY SAMANI</t>
  </si>
  <si>
    <t>Water Charges Payable</t>
  </si>
  <si>
    <t>Income Tax Payable</t>
  </si>
  <si>
    <t>Balance as per System</t>
  </si>
  <si>
    <t>Balance as per Bank Statement</t>
  </si>
  <si>
    <t>NINAAD CO-OPERATIVE HOUSING SOCIETY LIMITED</t>
  </si>
  <si>
    <t>Intercom AMC</t>
  </si>
  <si>
    <t>CCTV AMC</t>
  </si>
  <si>
    <t>CCTV Repair Maintenance</t>
  </si>
  <si>
    <t>00G1</t>
  </si>
  <si>
    <t>MR. MANOJ SAMANI</t>
  </si>
  <si>
    <t xml:space="preserve">Pest Control </t>
  </si>
  <si>
    <t>MR. RAJESH K. SINHA</t>
  </si>
  <si>
    <t>BMC</t>
  </si>
  <si>
    <t>MDCHFL</t>
  </si>
  <si>
    <t>Roshan Security Services</t>
  </si>
  <si>
    <t>Total (A)</t>
  </si>
  <si>
    <t>Total (B)</t>
  </si>
  <si>
    <t>Total A+B</t>
  </si>
  <si>
    <r>
      <t xml:space="preserve">Investments 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Sch I)</t>
    </r>
  </si>
  <si>
    <r>
      <t xml:space="preserve">Fixed Assets 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Sch II)</t>
    </r>
  </si>
  <si>
    <r>
      <t xml:space="preserve"> Member Receivable (</t>
    </r>
    <r>
      <rPr>
        <b/>
        <sz val="11"/>
        <color theme="1"/>
        <rFont val="Calibri"/>
        <family val="2"/>
        <scheme val="minor"/>
      </rPr>
      <t>Sch III)</t>
    </r>
  </si>
  <si>
    <t>Prepaid Expenses (Sch IV)</t>
  </si>
  <si>
    <t>Reserves and Surplus (Sch V)</t>
  </si>
  <si>
    <t xml:space="preserve">Sch V : Reserve and Surplus </t>
  </si>
  <si>
    <r>
      <t xml:space="preserve"> Advance from Members  (</t>
    </r>
    <r>
      <rPr>
        <b/>
        <sz val="11"/>
        <color theme="1"/>
        <rFont val="Calibri"/>
        <family val="2"/>
        <scheme val="minor"/>
      </rPr>
      <t>Sch VI)</t>
    </r>
  </si>
  <si>
    <r>
      <t xml:space="preserve"> Payables &amp; Provisions  (</t>
    </r>
    <r>
      <rPr>
        <b/>
        <sz val="11"/>
        <color theme="1"/>
        <rFont val="Calibri"/>
        <family val="2"/>
        <scheme val="minor"/>
      </rPr>
      <t>Sch VII)</t>
    </r>
  </si>
  <si>
    <t>Repair and Maintenance (Sch VIII)</t>
  </si>
  <si>
    <t xml:space="preserve">Sch VIII : Repair and Maintenance Expenses </t>
  </si>
  <si>
    <t>Add: Exp w/off of prior years</t>
  </si>
  <si>
    <t>to pass depre in system</t>
  </si>
  <si>
    <t>to pass int trf entries in system</t>
  </si>
  <si>
    <t>to pass inc.tax entry</t>
  </si>
  <si>
    <t>Add:</t>
  </si>
  <si>
    <t>Cheque issued but not cleared</t>
  </si>
  <si>
    <t xml:space="preserve">Stack Parking </t>
  </si>
  <si>
    <t>FY 2024-25</t>
  </si>
  <si>
    <t>12.11.2025</t>
  </si>
  <si>
    <t>08.09.2025</t>
  </si>
  <si>
    <t>03.03.2026</t>
  </si>
  <si>
    <t>10.04.2025</t>
  </si>
  <si>
    <t>08.02.2026</t>
  </si>
  <si>
    <t>26.03.2026</t>
  </si>
  <si>
    <t>05.03.2026</t>
  </si>
  <si>
    <t>10.02.2026</t>
  </si>
  <si>
    <t>General Reserve Fund</t>
  </si>
  <si>
    <t>006605400015714</t>
  </si>
  <si>
    <t>006605300019095</t>
  </si>
  <si>
    <t>28.02.2026</t>
  </si>
  <si>
    <t>Lift Amc</t>
  </si>
  <si>
    <t>March 31, 2025</t>
  </si>
  <si>
    <t>Election Expenses</t>
  </si>
  <si>
    <t>Irene Rosario</t>
  </si>
  <si>
    <t>25% trf to Reserve Fund</t>
  </si>
  <si>
    <t>Inflow</t>
  </si>
  <si>
    <t>Outflow</t>
  </si>
  <si>
    <t>Intr. No.</t>
  </si>
  <si>
    <t>Remarks</t>
  </si>
  <si>
    <t>Reconciled Date</t>
  </si>
  <si>
    <t>Interest Income - IT Refund</t>
  </si>
  <si>
    <t>March 31, 2026</t>
  </si>
  <si>
    <t>Balance Sheet as at March 31, 2026</t>
  </si>
  <si>
    <t>Income and Expenditure Account for the year ended March 31, 2026</t>
  </si>
  <si>
    <t>Sch II: Details of Fixed Assets as on 31st March 20296</t>
  </si>
  <si>
    <t>Opening W.D.V. as of 01.04.2025</t>
  </si>
  <si>
    <t>Additions during the year before 30.09.2025</t>
  </si>
  <si>
    <t>Additions during the year after 30.09.2025</t>
  </si>
  <si>
    <t>Gross Block (at cost) as on 31.03.2026</t>
  </si>
  <si>
    <t>Closing W.D.V. as of 31.03.2026</t>
  </si>
  <si>
    <t>MS. ALICIA FERNANDES</t>
  </si>
  <si>
    <t>Sch IV: Prepaid Expense as on 31.03.2026</t>
  </si>
  <si>
    <t>FY 2025-26</t>
  </si>
  <si>
    <t>29.03.2026</t>
  </si>
  <si>
    <t>30.04.2026</t>
  </si>
  <si>
    <t>Accd Int. 25-26</t>
  </si>
  <si>
    <t>Penalty</t>
  </si>
  <si>
    <t>Water Expenses - Arrears</t>
  </si>
  <si>
    <t>Electricity Charges Payable</t>
  </si>
  <si>
    <t>Deepa Fire Service</t>
  </si>
  <si>
    <t>Mintu Kumar Singh</t>
  </si>
  <si>
    <t>6605400016209</t>
  </si>
  <si>
    <t>TDS Receivable - FY 24-25</t>
  </si>
  <si>
    <t>TDS Receivable - FY 25-26</t>
  </si>
  <si>
    <t>accd int</t>
  </si>
  <si>
    <t>accd tds</t>
  </si>
  <si>
    <t>rend int</t>
  </si>
  <si>
    <t>rend tds</t>
  </si>
  <si>
    <t>net int</t>
  </si>
  <si>
    <t>net tds</t>
  </si>
  <si>
    <t>6605300014636</t>
  </si>
  <si>
    <t>6605300014637</t>
  </si>
  <si>
    <t>6605300014639</t>
  </si>
  <si>
    <t>6605300015265</t>
  </si>
  <si>
    <t>6605300015266</t>
  </si>
  <si>
    <t>6605300014655</t>
  </si>
  <si>
    <t>13.04.2025</t>
  </si>
  <si>
    <t>6605300016491</t>
  </si>
  <si>
    <t>6605300016739</t>
  </si>
  <si>
    <t>6605400017683</t>
  </si>
  <si>
    <t>6605300018486</t>
  </si>
  <si>
    <t>30.03.2026</t>
  </si>
  <si>
    <t>6605400013062</t>
  </si>
  <si>
    <t>6605400012666</t>
  </si>
  <si>
    <t>6605400013948</t>
  </si>
  <si>
    <t>6605400013949</t>
  </si>
  <si>
    <t>6605400014147</t>
  </si>
  <si>
    <t>6605400014457</t>
  </si>
  <si>
    <t>6605400014742</t>
  </si>
  <si>
    <t>6605400015331</t>
  </si>
  <si>
    <t>10.04.2026</t>
  </si>
  <si>
    <t>08.09.2026</t>
  </si>
  <si>
    <t>13.04.2026</t>
  </si>
  <si>
    <t>12.11.2026</t>
  </si>
  <si>
    <t>10.02.2027</t>
  </si>
  <si>
    <t>08.02.2027</t>
  </si>
  <si>
    <t>28.02.2027</t>
  </si>
  <si>
    <t>03.03.2027</t>
  </si>
  <si>
    <t>05.03.2027</t>
  </si>
  <si>
    <t>26.03.2027</t>
  </si>
  <si>
    <t>Sch III: Member Receivable as on 31.03.2026</t>
  </si>
  <si>
    <t>Advance to Vendors (Sweeper)</t>
  </si>
  <si>
    <t>Sweeper</t>
  </si>
  <si>
    <t>Sch I: Details of Fixed Deposits as on 31st March 2026</t>
  </si>
  <si>
    <t>Sch VI: Advance from Members as on 31.03.2026</t>
  </si>
  <si>
    <t>Sch VII: Payables and Provisions as on 31.03.2026</t>
  </si>
  <si>
    <t>Apna Sahakari Bank Reconciliation Statement as on 31st March 2026</t>
  </si>
  <si>
    <t>MDCC Bank Reconciliation Statement as on 31st March 2026</t>
  </si>
  <si>
    <t>As per my report of even date</t>
  </si>
  <si>
    <t>Shri. Bharat C. Boridkar</t>
  </si>
  <si>
    <t>Govt. Certified Panel Auditor</t>
  </si>
  <si>
    <t>[Panel No.: Mumbai-4/C1/1011404]</t>
  </si>
  <si>
    <t xml:space="preserve"> ( SECRETARY                                CHAIRMAN                              TREASURER )</t>
  </si>
  <si>
    <t>NINAAD CO-OPERATIVE HOUSING SOCIETY LTD.</t>
  </si>
  <si>
    <t>FOR NINAAD CO-OPERATIVE HOUSING SOCIETY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</si>
</sst>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&quot;Mumbai: &quot;dd&quot;th&quot;\ mmmm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202">
    <xf numFmtId="0" fontId="0" fillId="0" borderId="0" xfId="0"/>
    <xf numFmtId="43" fontId="0" fillId="0" borderId="0" xfId="1" applyFont="1" applyAlignment="1">
      <alignment vertical="center"/>
    </xf>
    <xf numFmtId="43" fontId="0" fillId="0" borderId="5" xfId="1" applyFont="1" applyBorder="1" applyAlignment="1">
      <alignment vertical="center"/>
    </xf>
    <xf numFmtId="43" fontId="0" fillId="0" borderId="0" xfId="1" applyFont="1" applyBorder="1" applyAlignment="1">
      <alignment vertical="center"/>
    </xf>
    <xf numFmtId="43" fontId="0" fillId="0" borderId="6" xfId="1" applyFont="1" applyBorder="1" applyAlignment="1">
      <alignment vertical="center"/>
    </xf>
    <xf numFmtId="43" fontId="0" fillId="0" borderId="0" xfId="1" applyFont="1" applyAlignment="1">
      <alignment horizontal="center" vertical="center"/>
    </xf>
    <xf numFmtId="43" fontId="0" fillId="0" borderId="11" xfId="1" applyFont="1" applyBorder="1" applyAlignment="1">
      <alignment vertical="center"/>
    </xf>
    <xf numFmtId="43" fontId="0" fillId="0" borderId="7" xfId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0" fontId="2" fillId="0" borderId="5" xfId="1" applyNumberFormat="1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1" fillId="0" borderId="5" xfId="1" applyFont="1" applyBorder="1" applyAlignment="1">
      <alignment vertical="center"/>
    </xf>
    <xf numFmtId="43" fontId="2" fillId="0" borderId="13" xfId="1" applyFont="1" applyBorder="1" applyAlignment="1">
      <alignment vertical="center"/>
    </xf>
    <xf numFmtId="43" fontId="0" fillId="0" borderId="13" xfId="1" applyFont="1" applyBorder="1" applyAlignment="1">
      <alignment vertic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43" fontId="2" fillId="0" borderId="5" xfId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0" fillId="0" borderId="5" xfId="1" quotePrefix="1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43" fontId="0" fillId="0" borderId="11" xfId="1" applyFont="1" applyBorder="1"/>
    <xf numFmtId="0" fontId="2" fillId="0" borderId="1" xfId="0" applyFont="1" applyBorder="1" applyAlignment="1">
      <alignment horizontal="center"/>
    </xf>
    <xf numFmtId="43" fontId="0" fillId="0" borderId="7" xfId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43" fontId="0" fillId="0" borderId="6" xfId="1" applyFont="1" applyFill="1" applyBorder="1" applyAlignment="1">
      <alignment vertical="center"/>
    </xf>
    <xf numFmtId="43" fontId="0" fillId="0" borderId="0" xfId="2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2" applyNumberFormat="1" applyFont="1" applyBorder="1"/>
    <xf numFmtId="43" fontId="0" fillId="0" borderId="0" xfId="2" applyFont="1" applyBorder="1" applyAlignment="1">
      <alignment horizontal="right"/>
    </xf>
    <xf numFmtId="0" fontId="2" fillId="0" borderId="14" xfId="0" applyFont="1" applyBorder="1"/>
    <xf numFmtId="43" fontId="2" fillId="0" borderId="14" xfId="2" applyFont="1" applyBorder="1" applyAlignment="1">
      <alignment horizontal="center"/>
    </xf>
    <xf numFmtId="43" fontId="2" fillId="0" borderId="14" xfId="0" applyNumberFormat="1" applyFont="1" applyBorder="1"/>
    <xf numFmtId="43" fontId="0" fillId="0" borderId="1" xfId="1" applyFont="1" applyBorder="1" applyAlignment="1">
      <alignment vertical="center"/>
    </xf>
    <xf numFmtId="43" fontId="0" fillId="0" borderId="0" xfId="0" applyNumberFormat="1"/>
    <xf numFmtId="43" fontId="0" fillId="0" borderId="0" xfId="1" applyFont="1" applyFill="1" applyAlignment="1">
      <alignment horizontal="center"/>
    </xf>
    <xf numFmtId="43" fontId="0" fillId="0" borderId="0" xfId="1" applyFont="1" applyFill="1"/>
    <xf numFmtId="43" fontId="2" fillId="0" borderId="1" xfId="1" applyFont="1" applyFill="1" applyBorder="1" applyAlignment="1">
      <alignment horizontal="center" vertical="center" wrapText="1"/>
    </xf>
    <xf numFmtId="43" fontId="2" fillId="0" borderId="0" xfId="1" applyFont="1" applyFill="1" applyAlignment="1">
      <alignment horizontal="center" vertical="center" wrapText="1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2" fillId="0" borderId="0" xfId="1" applyFont="1" applyFill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0" fillId="0" borderId="12" xfId="1" applyFont="1" applyBorder="1" applyAlignment="1">
      <alignment vertical="center"/>
    </xf>
    <xf numFmtId="43" fontId="2" fillId="0" borderId="5" xfId="1" applyFont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43" fontId="3" fillId="0" borderId="11" xfId="1" applyFont="1" applyBorder="1" applyAlignment="1">
      <alignment vertical="center"/>
    </xf>
    <xf numFmtId="43" fontId="3" fillId="0" borderId="5" xfId="1" applyFont="1" applyBorder="1" applyAlignment="1">
      <alignment vertical="center"/>
    </xf>
    <xf numFmtId="43" fontId="4" fillId="0" borderId="5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43" fontId="2" fillId="0" borderId="0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2" fillId="0" borderId="0" xfId="1" applyNumberFormat="1" applyFont="1" applyBorder="1" applyAlignment="1">
      <alignment vertical="center"/>
    </xf>
    <xf numFmtId="43" fontId="4" fillId="0" borderId="11" xfId="1" applyFont="1" applyBorder="1" applyAlignment="1">
      <alignment vertical="center"/>
    </xf>
    <xf numFmtId="43" fontId="4" fillId="0" borderId="11" xfId="1" applyFont="1" applyFill="1" applyBorder="1" applyAlignment="1">
      <alignment vertical="center"/>
    </xf>
    <xf numFmtId="43" fontId="0" fillId="0" borderId="16" xfId="1" applyFont="1" applyBorder="1" applyAlignment="1">
      <alignment vertical="center"/>
    </xf>
    <xf numFmtId="43" fontId="4" fillId="0" borderId="16" xfId="1" applyFont="1" applyBorder="1" applyAlignment="1">
      <alignment vertical="center"/>
    </xf>
    <xf numFmtId="43" fontId="0" fillId="0" borderId="12" xfId="1" applyFont="1" applyBorder="1"/>
    <xf numFmtId="43" fontId="1" fillId="0" borderId="11" xfId="1" applyFont="1" applyBorder="1" applyAlignment="1">
      <alignment vertical="center"/>
    </xf>
    <xf numFmtId="43" fontId="2" fillId="0" borderId="0" xfId="1" applyFont="1" applyFill="1" applyBorder="1" applyAlignment="1">
      <alignment horizontal="center" vertical="center" wrapText="1"/>
    </xf>
    <xf numFmtId="43" fontId="0" fillId="0" borderId="0" xfId="1" applyFont="1" applyFill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17" fontId="0" fillId="0" borderId="0" xfId="0" applyNumberFormat="1"/>
    <xf numFmtId="43" fontId="2" fillId="0" borderId="1" xfId="1" applyFont="1" applyFill="1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43" fontId="8" fillId="0" borderId="6" xfId="0" applyNumberFormat="1" applyFont="1" applyBorder="1" applyAlignment="1">
      <alignment vertical="center"/>
    </xf>
    <xf numFmtId="43" fontId="4" fillId="0" borderId="0" xfId="1" applyFont="1" applyFill="1" applyAlignment="1">
      <alignment vertical="center"/>
    </xf>
    <xf numFmtId="43" fontId="5" fillId="0" borderId="6" xfId="0" applyNumberFormat="1" applyFont="1" applyBorder="1" applyAlignment="1">
      <alignment vertical="center"/>
    </xf>
    <xf numFmtId="43" fontId="8" fillId="0" borderId="5" xfId="0" applyNumberFormat="1" applyFont="1" applyBorder="1" applyAlignment="1">
      <alignment vertical="center"/>
    </xf>
    <xf numFmtId="0" fontId="0" fillId="0" borderId="6" xfId="0" applyBorder="1"/>
    <xf numFmtId="43" fontId="8" fillId="0" borderId="18" xfId="0" applyNumberFormat="1" applyFont="1" applyBorder="1" applyAlignment="1">
      <alignment vertical="center"/>
    </xf>
    <xf numFmtId="43" fontId="5" fillId="0" borderId="18" xfId="0" applyNumberFormat="1" applyFont="1" applyBorder="1" applyAlignment="1">
      <alignment vertical="center"/>
    </xf>
    <xf numFmtId="43" fontId="8" fillId="0" borderId="7" xfId="0" applyNumberFormat="1" applyFont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43" fontId="2" fillId="0" borderId="19" xfId="1" applyFont="1" applyBorder="1" applyAlignment="1">
      <alignment vertical="center"/>
    </xf>
    <xf numFmtId="43" fontId="2" fillId="0" borderId="19" xfId="1" applyFont="1" applyBorder="1" applyAlignment="1">
      <alignment horizontal="center" vertical="center" wrapText="1"/>
    </xf>
    <xf numFmtId="43" fontId="3" fillId="0" borderId="19" xfId="1" applyFont="1" applyBorder="1" applyAlignment="1">
      <alignment horizontal="center" vertical="center" wrapText="1"/>
    </xf>
    <xf numFmtId="43" fontId="2" fillId="0" borderId="14" xfId="1" applyFont="1" applyBorder="1" applyAlignment="1">
      <alignment horizontal="center" vertical="center" wrapText="1"/>
    </xf>
    <xf numFmtId="43" fontId="2" fillId="0" borderId="19" xfId="1" applyFont="1" applyBorder="1" applyAlignment="1">
      <alignment horizontal="center" vertical="center"/>
    </xf>
    <xf numFmtId="43" fontId="0" fillId="0" borderId="11" xfId="1" applyFont="1" applyFill="1" applyBorder="1" applyAlignment="1">
      <alignment vertical="center"/>
    </xf>
    <xf numFmtId="43" fontId="0" fillId="0" borderId="12" xfId="1" applyFont="1" applyFill="1" applyBorder="1" applyAlignment="1">
      <alignment vertical="center"/>
    </xf>
    <xf numFmtId="43" fontId="5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43" fontId="2" fillId="0" borderId="19" xfId="1" applyFont="1" applyFill="1" applyBorder="1" applyAlignment="1">
      <alignment horizontal="center"/>
    </xf>
    <xf numFmtId="43" fontId="0" fillId="0" borderId="14" xfId="1" applyFont="1" applyFill="1" applyBorder="1" applyAlignment="1">
      <alignment horizontal="center" vertical="center"/>
    </xf>
    <xf numFmtId="43" fontId="0" fillId="0" borderId="21" xfId="1" applyFont="1" applyFill="1" applyBorder="1"/>
    <xf numFmtId="43" fontId="0" fillId="0" borderId="19" xfId="1" applyFont="1" applyFill="1" applyBorder="1" applyAlignment="1">
      <alignment horizontal="center" vertical="center"/>
    </xf>
    <xf numFmtId="43" fontId="0" fillId="0" borderId="19" xfId="1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1" xfId="0" applyBorder="1" applyAlignment="1">
      <alignment vertical="center"/>
    </xf>
    <xf numFmtId="9" fontId="0" fillId="0" borderId="11" xfId="3" applyFont="1" applyBorder="1" applyAlignment="1">
      <alignment horizontal="center" vertical="center"/>
    </xf>
    <xf numFmtId="9" fontId="0" fillId="0" borderId="11" xfId="3" quotePrefix="1" applyFont="1" applyBorder="1" applyAlignment="1">
      <alignment horizontal="center" vertical="center"/>
    </xf>
    <xf numFmtId="43" fontId="2" fillId="0" borderId="5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164" fontId="2" fillId="0" borderId="19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" fillId="0" borderId="19" xfId="1" applyNumberFormat="1" applyFont="1" applyBorder="1" applyAlignment="1">
      <alignment horizontal="center" vertical="center"/>
    </xf>
    <xf numFmtId="43" fontId="2" fillId="0" borderId="22" xfId="1" applyFont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43" fontId="2" fillId="0" borderId="22" xfId="1" applyFont="1" applyBorder="1" applyAlignment="1">
      <alignment vertical="center"/>
    </xf>
    <xf numFmtId="43" fontId="2" fillId="0" borderId="22" xfId="0" applyNumberFormat="1" applyFont="1" applyBorder="1"/>
    <xf numFmtId="43" fontId="4" fillId="0" borderId="12" xfId="1" applyFont="1" applyBorder="1" applyAlignment="1">
      <alignment vertical="center"/>
    </xf>
    <xf numFmtId="0" fontId="2" fillId="0" borderId="22" xfId="1" applyNumberFormat="1" applyFont="1" applyBorder="1" applyAlignment="1">
      <alignment horizontal="center" vertical="center"/>
    </xf>
    <xf numFmtId="43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/>
    </xf>
    <xf numFmtId="164" fontId="0" fillId="0" borderId="15" xfId="1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164" fontId="2" fillId="0" borderId="28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12" xfId="1" applyNumberFormat="1" applyFont="1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164" fontId="1" fillId="0" borderId="15" xfId="1" applyNumberFormat="1" applyFont="1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0" borderId="26" xfId="1" applyNumberFormat="1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1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5" fontId="10" fillId="0" borderId="17" xfId="4" applyNumberFormat="1" applyFont="1" applyBorder="1" applyAlignment="1">
      <alignment horizontal="left" vertical="center"/>
    </xf>
    <xf numFmtId="165" fontId="10" fillId="0" borderId="18" xfId="4" applyNumberFormat="1" applyFont="1" applyBorder="1" applyAlignment="1">
      <alignment horizontal="left" vertical="center"/>
    </xf>
    <xf numFmtId="43" fontId="2" fillId="0" borderId="20" xfId="1" applyFont="1" applyFill="1" applyBorder="1" applyAlignment="1">
      <alignment horizontal="center" vertical="center"/>
    </xf>
    <xf numFmtId="43" fontId="2" fillId="0" borderId="21" xfId="1" applyFont="1" applyFill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2" fillId="0" borderId="21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7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6" fillId="0" borderId="17" xfId="1" applyFont="1" applyBorder="1" applyAlignment="1">
      <alignment horizontal="center" vertical="center"/>
    </xf>
    <xf numFmtId="43" fontId="6" fillId="0" borderId="18" xfId="1" applyFont="1" applyBorder="1" applyAlignment="1">
      <alignment horizontal="center" vertical="center"/>
    </xf>
    <xf numFmtId="43" fontId="6" fillId="0" borderId="7" xfId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quotePrefix="1" applyFill="1" applyBorder="1" applyAlignment="1">
      <alignment horizontal="left"/>
    </xf>
    <xf numFmtId="1" fontId="0" fillId="0" borderId="1" xfId="0" quotePrefix="1" applyNumberFormat="1" applyFill="1" applyBorder="1" applyAlignment="1">
      <alignment horizontal="left"/>
    </xf>
    <xf numFmtId="0" fontId="0" fillId="0" borderId="19" xfId="0" applyFill="1" applyBorder="1" applyAlignment="1">
      <alignment horizontal="center"/>
    </xf>
    <xf numFmtId="0" fontId="0" fillId="0" borderId="19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20" xfId="0" applyFill="1" applyBorder="1"/>
    <xf numFmtId="0" fontId="0" fillId="0" borderId="1" xfId="0" applyFill="1" applyBorder="1"/>
    <xf numFmtId="0" fontId="2" fillId="0" borderId="14" xfId="0" applyFont="1" applyFill="1" applyBorder="1" applyAlignment="1">
      <alignment horizontal="left"/>
    </xf>
  </cellXfs>
  <cellStyles count="5">
    <cellStyle name="Comma" xfId="1" builtinId="3"/>
    <cellStyle name="Comma 2 3" xfId="2" xr:uid="{00000000-0005-0000-0000-000001000000}"/>
    <cellStyle name="Normal" xfId="0" builtinId="0"/>
    <cellStyle name="Normal_BSPL 2004 NS" xfId="4" xr:uid="{37661D54-EFB5-4187-A6C4-0834BB7ED2C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view="pageBreakPreview" topLeftCell="C9" zoomScaleNormal="100" zoomScaleSheetLayoutView="100" workbookViewId="0">
      <selection activeCell="F25" sqref="F25"/>
    </sheetView>
  </sheetViews>
  <sheetFormatPr defaultColWidth="8.88671875" defaultRowHeight="14.4" x14ac:dyDescent="0.3"/>
  <cols>
    <col min="1" max="1" width="14.77734375" style="1" customWidth="1"/>
    <col min="2" max="2" width="35.33203125" style="1" bestFit="1" customWidth="1"/>
    <col min="3" max="3" width="14.77734375" style="1" customWidth="1"/>
    <col min="4" max="4" width="14.77734375" style="11" customWidth="1"/>
    <col min="5" max="5" width="14.77734375" style="1" customWidth="1"/>
    <col min="6" max="6" width="28.44140625" style="1" bestFit="1" customWidth="1"/>
    <col min="7" max="7" width="14.77734375" style="1" customWidth="1"/>
    <col min="8" max="8" width="14.77734375" style="11" customWidth="1"/>
    <col min="9" max="9" width="12.33203125" style="1" bestFit="1" customWidth="1"/>
    <col min="10" max="10" width="14.5546875" style="1" bestFit="1" customWidth="1"/>
    <col min="11" max="11" width="8.88671875" style="1"/>
    <col min="12" max="12" width="12.33203125" style="1" bestFit="1" customWidth="1"/>
    <col min="13" max="16384" width="8.88671875" style="1"/>
  </cols>
  <sheetData>
    <row r="1" spans="1:11" ht="18" x14ac:dyDescent="0.3">
      <c r="A1" s="158" t="s">
        <v>246</v>
      </c>
      <c r="B1" s="159"/>
      <c r="C1" s="159"/>
      <c r="D1" s="159"/>
      <c r="E1" s="159"/>
      <c r="F1" s="159"/>
      <c r="G1" s="159"/>
      <c r="H1" s="160"/>
    </row>
    <row r="2" spans="1:11" x14ac:dyDescent="0.3">
      <c r="A2" s="161" t="s">
        <v>26</v>
      </c>
      <c r="B2" s="162"/>
      <c r="C2" s="162"/>
      <c r="D2" s="162"/>
      <c r="E2" s="162"/>
      <c r="F2" s="162"/>
      <c r="G2" s="162"/>
      <c r="H2" s="163"/>
    </row>
    <row r="3" spans="1:11" x14ac:dyDescent="0.3">
      <c r="A3" s="161" t="s">
        <v>27</v>
      </c>
      <c r="B3" s="162"/>
      <c r="C3" s="162"/>
      <c r="D3" s="162"/>
      <c r="E3" s="162"/>
      <c r="F3" s="162"/>
      <c r="G3" s="162"/>
      <c r="H3" s="163"/>
    </row>
    <row r="4" spans="1:11" x14ac:dyDescent="0.3">
      <c r="A4" s="164" t="s">
        <v>175</v>
      </c>
      <c r="B4" s="165"/>
      <c r="C4" s="165"/>
      <c r="D4" s="165"/>
      <c r="E4" s="165"/>
      <c r="F4" s="165"/>
      <c r="G4" s="165"/>
      <c r="H4" s="166"/>
    </row>
    <row r="5" spans="1:11" s="5" customFormat="1" ht="15" thickBot="1" x14ac:dyDescent="0.35">
      <c r="A5" s="84" t="s">
        <v>164</v>
      </c>
      <c r="B5" s="156" t="s">
        <v>0</v>
      </c>
      <c r="C5" s="157"/>
      <c r="D5" s="84" t="s">
        <v>174</v>
      </c>
      <c r="E5" s="84" t="str">
        <f>A5</f>
        <v>March 31, 2025</v>
      </c>
      <c r="F5" s="156" t="s">
        <v>1</v>
      </c>
      <c r="G5" s="157"/>
      <c r="H5" s="84" t="str">
        <f>D5</f>
        <v>March 31, 2026</v>
      </c>
    </row>
    <row r="6" spans="1:11" ht="15" thickTop="1" x14ac:dyDescent="0.3">
      <c r="A6" s="6"/>
      <c r="B6" s="9" t="s">
        <v>10</v>
      </c>
      <c r="C6" s="4"/>
      <c r="D6" s="10"/>
      <c r="E6" s="6"/>
      <c r="F6" s="9" t="s">
        <v>3</v>
      </c>
      <c r="G6" s="4"/>
      <c r="H6" s="10"/>
    </row>
    <row r="7" spans="1:11" ht="15" thickBot="1" x14ac:dyDescent="0.35">
      <c r="A7" s="15">
        <v>100000</v>
      </c>
      <c r="B7" s="13" t="s">
        <v>28</v>
      </c>
      <c r="C7" s="4"/>
      <c r="D7" s="14">
        <v>100000</v>
      </c>
      <c r="E7" s="4">
        <v>375952.3</v>
      </c>
      <c r="F7" s="13" t="s">
        <v>43</v>
      </c>
      <c r="G7" s="3">
        <f>BRS!D14</f>
        <v>377615.3</v>
      </c>
      <c r="H7" s="10"/>
    </row>
    <row r="8" spans="1:11" ht="15" thickTop="1" x14ac:dyDescent="0.3">
      <c r="A8" s="6"/>
      <c r="B8" s="13"/>
      <c r="C8" s="4"/>
      <c r="D8" s="10"/>
      <c r="E8" s="4">
        <v>77796.52</v>
      </c>
      <c r="F8" s="13" t="s">
        <v>44</v>
      </c>
      <c r="G8" s="3">
        <f>BRS!D5</f>
        <v>53786.12</v>
      </c>
      <c r="H8" s="10"/>
    </row>
    <row r="9" spans="1:11" x14ac:dyDescent="0.3">
      <c r="A9" s="6"/>
      <c r="B9" s="9" t="s">
        <v>11</v>
      </c>
      <c r="C9" s="4"/>
      <c r="D9" s="10"/>
      <c r="E9" s="24">
        <v>4191.25</v>
      </c>
      <c r="F9" s="13" t="s">
        <v>45</v>
      </c>
      <c r="G9" s="7">
        <v>484.75</v>
      </c>
      <c r="H9" s="10">
        <f>SUM(G7:G9)</f>
        <v>431886.17</v>
      </c>
    </row>
    <row r="10" spans="1:11" x14ac:dyDescent="0.3">
      <c r="A10" s="6">
        <v>12500</v>
      </c>
      <c r="B10" s="13" t="s">
        <v>113</v>
      </c>
      <c r="C10" s="4"/>
      <c r="D10" s="10">
        <v>12500</v>
      </c>
      <c r="E10" s="4"/>
      <c r="F10" s="13"/>
      <c r="G10" s="3"/>
      <c r="H10" s="10"/>
    </row>
    <row r="11" spans="1:11" x14ac:dyDescent="0.3">
      <c r="A11" s="6"/>
      <c r="B11" s="13"/>
      <c r="C11" s="4"/>
      <c r="D11" s="10"/>
      <c r="E11" s="4"/>
      <c r="F11" s="9" t="s">
        <v>133</v>
      </c>
      <c r="G11" s="3"/>
      <c r="H11" s="10"/>
    </row>
    <row r="12" spans="1:11" x14ac:dyDescent="0.3">
      <c r="A12" s="6"/>
      <c r="B12" s="9" t="s">
        <v>137</v>
      </c>
      <c r="C12" s="4"/>
      <c r="D12" s="10"/>
      <c r="E12" s="4">
        <v>479845</v>
      </c>
      <c r="F12" s="13" t="s">
        <v>4</v>
      </c>
      <c r="G12" s="3">
        <f>'Sch I'!F14</f>
        <v>604713</v>
      </c>
      <c r="H12" s="10"/>
    </row>
    <row r="13" spans="1:11" x14ac:dyDescent="0.3">
      <c r="A13" s="56">
        <v>568444</v>
      </c>
      <c r="B13" s="13" t="s">
        <v>7</v>
      </c>
      <c r="C13" s="3">
        <f>'Sch V'!D9</f>
        <v>641195</v>
      </c>
      <c r="D13" s="10"/>
      <c r="E13" s="4">
        <v>1075885</v>
      </c>
      <c r="F13" s="13" t="s">
        <v>12</v>
      </c>
      <c r="G13" s="3">
        <f>'Sch I'!F25</f>
        <v>1442643</v>
      </c>
      <c r="H13" s="10"/>
      <c r="K13" s="3"/>
    </row>
    <row r="14" spans="1:11" x14ac:dyDescent="0.3">
      <c r="A14" s="2">
        <v>528691.15999999992</v>
      </c>
      <c r="B14" s="13" t="s">
        <v>4</v>
      </c>
      <c r="C14" s="3">
        <f>'Sch V'!D15</f>
        <v>608367.15999999992</v>
      </c>
      <c r="D14" s="10"/>
      <c r="E14" s="4">
        <v>460125</v>
      </c>
      <c r="F14" s="13" t="s">
        <v>18</v>
      </c>
      <c r="G14" s="3">
        <f>'Sch I'!F31</f>
        <v>492873</v>
      </c>
      <c r="H14" s="10"/>
    </row>
    <row r="15" spans="1:11" x14ac:dyDescent="0.3">
      <c r="A15" s="6">
        <v>1239191.25</v>
      </c>
      <c r="B15" s="13" t="s">
        <v>33</v>
      </c>
      <c r="C15" s="3">
        <f>'Sch V'!D21</f>
        <v>1450875.25</v>
      </c>
      <c r="D15" s="10"/>
      <c r="E15" s="7">
        <v>173551</v>
      </c>
      <c r="F15" s="13" t="s">
        <v>7</v>
      </c>
      <c r="G15" s="7">
        <f>'Sch I'!F36</f>
        <v>185780</v>
      </c>
      <c r="H15" s="10">
        <f>SUM(G12:G15)</f>
        <v>2726009</v>
      </c>
    </row>
    <row r="16" spans="1:11" x14ac:dyDescent="0.3">
      <c r="A16" s="6">
        <v>610000</v>
      </c>
      <c r="B16" s="13" t="s">
        <v>18</v>
      </c>
      <c r="C16" s="3">
        <f>'Sch V'!D26</f>
        <v>610000</v>
      </c>
      <c r="D16" s="10"/>
      <c r="E16" s="4"/>
      <c r="F16" s="13"/>
      <c r="G16" s="3"/>
      <c r="H16" s="10"/>
    </row>
    <row r="17" spans="1:8" x14ac:dyDescent="0.3">
      <c r="A17" s="44">
        <v>15474</v>
      </c>
      <c r="B17" s="13" t="s">
        <v>36</v>
      </c>
      <c r="C17" s="7">
        <f>'Sch V'!D31</f>
        <v>17754</v>
      </c>
      <c r="D17" s="10">
        <f>SUM(C13:C17)</f>
        <v>3328191.41</v>
      </c>
      <c r="E17" s="4">
        <v>94533601</v>
      </c>
      <c r="F17" s="9" t="s">
        <v>134</v>
      </c>
      <c r="G17" s="4"/>
      <c r="H17" s="10">
        <f>'Sch II'!H10</f>
        <v>94443212</v>
      </c>
    </row>
    <row r="18" spans="1:8" x14ac:dyDescent="0.3">
      <c r="A18" s="6"/>
      <c r="B18" s="2"/>
      <c r="C18" s="3"/>
      <c r="D18" s="10"/>
      <c r="E18" s="4"/>
      <c r="F18" s="13"/>
      <c r="G18" s="3"/>
      <c r="H18" s="10"/>
    </row>
    <row r="19" spans="1:8" x14ac:dyDescent="0.3">
      <c r="A19" s="6"/>
      <c r="B19" s="9" t="s">
        <v>37</v>
      </c>
      <c r="C19" s="3"/>
      <c r="D19" s="10"/>
      <c r="E19" s="4"/>
      <c r="F19" s="9" t="s">
        <v>48</v>
      </c>
      <c r="G19" s="3"/>
      <c r="H19" s="10"/>
    </row>
    <row r="20" spans="1:8" x14ac:dyDescent="0.3">
      <c r="A20" s="85">
        <v>11888</v>
      </c>
      <c r="B20" s="20" t="s">
        <v>139</v>
      </c>
      <c r="C20" s="3">
        <f>'Sch VI &amp; VII'!D6</f>
        <v>5783</v>
      </c>
      <c r="D20" s="10"/>
      <c r="E20" s="4">
        <v>11720.08</v>
      </c>
      <c r="F20" s="2" t="s">
        <v>46</v>
      </c>
      <c r="G20" s="3">
        <v>11720.08</v>
      </c>
      <c r="H20" s="10"/>
    </row>
    <row r="21" spans="1:8" x14ac:dyDescent="0.3">
      <c r="A21" s="86">
        <v>91636</v>
      </c>
      <c r="B21" s="20" t="s">
        <v>140</v>
      </c>
      <c r="C21" s="7">
        <f>'Sch VI &amp; VII'!D29</f>
        <v>110361</v>
      </c>
      <c r="D21" s="10">
        <f>SUM(C20:C21)</f>
        <v>116144</v>
      </c>
      <c r="E21" s="7">
        <v>1100</v>
      </c>
      <c r="F21" s="2" t="s">
        <v>47</v>
      </c>
      <c r="G21" s="7">
        <v>1100</v>
      </c>
      <c r="H21" s="10">
        <f>SUM(G20:G21)</f>
        <v>12820.08</v>
      </c>
    </row>
    <row r="22" spans="1:8" x14ac:dyDescent="0.3">
      <c r="A22" s="6"/>
      <c r="B22" s="2"/>
      <c r="C22" s="3"/>
      <c r="D22" s="10"/>
      <c r="E22" s="4"/>
      <c r="F22" s="2"/>
      <c r="G22" s="3"/>
      <c r="H22" s="10"/>
    </row>
    <row r="23" spans="1:8" x14ac:dyDescent="0.3">
      <c r="A23" s="6"/>
      <c r="B23" s="9" t="s">
        <v>38</v>
      </c>
      <c r="C23" s="3"/>
      <c r="D23" s="10"/>
      <c r="E23" s="4"/>
      <c r="F23" s="9" t="s">
        <v>49</v>
      </c>
      <c r="G23" s="3"/>
      <c r="H23" s="10"/>
    </row>
    <row r="24" spans="1:8" x14ac:dyDescent="0.3">
      <c r="A24" s="6">
        <v>93912100</v>
      </c>
      <c r="B24" s="2" t="s">
        <v>39</v>
      </c>
      <c r="C24" s="3"/>
      <c r="D24" s="10">
        <v>93912100</v>
      </c>
      <c r="E24" s="26">
        <v>818505</v>
      </c>
      <c r="F24" s="20" t="s">
        <v>135</v>
      </c>
      <c r="G24" s="3">
        <f>'Sch III &amp; IV'!D8</f>
        <v>845120</v>
      </c>
      <c r="H24" s="10"/>
    </row>
    <row r="25" spans="1:8" x14ac:dyDescent="0.3">
      <c r="A25" s="6"/>
      <c r="B25" s="2"/>
      <c r="C25" s="3"/>
      <c r="D25" s="10"/>
      <c r="E25" s="26">
        <v>0</v>
      </c>
      <c r="F25" s="20" t="s">
        <v>234</v>
      </c>
      <c r="G25" s="3">
        <v>2000</v>
      </c>
      <c r="H25" s="10"/>
    </row>
    <row r="26" spans="1:8" x14ac:dyDescent="0.3">
      <c r="A26" s="6"/>
      <c r="B26" s="2"/>
      <c r="C26" s="3"/>
      <c r="D26" s="10"/>
      <c r="E26" s="26">
        <v>14267</v>
      </c>
      <c r="F26" s="2" t="s">
        <v>195</v>
      </c>
      <c r="G26" s="3">
        <v>14267</v>
      </c>
      <c r="H26" s="10"/>
    </row>
    <row r="27" spans="1:8" x14ac:dyDescent="0.3">
      <c r="A27" s="6"/>
      <c r="B27" s="9" t="s">
        <v>42</v>
      </c>
      <c r="C27" s="3"/>
      <c r="D27" s="10"/>
      <c r="E27" s="24">
        <v>0</v>
      </c>
      <c r="F27" s="2" t="s">
        <v>196</v>
      </c>
      <c r="G27" s="7">
        <v>16884</v>
      </c>
      <c r="H27" s="10">
        <f>SUM(G24:G27)</f>
        <v>878271</v>
      </c>
    </row>
    <row r="28" spans="1:8" x14ac:dyDescent="0.3">
      <c r="A28" s="6">
        <v>784665.14</v>
      </c>
      <c r="B28" s="2" t="s">
        <v>41</v>
      </c>
      <c r="C28" s="3">
        <f>SUM(A28:A30)</f>
        <v>1071327.7400000002</v>
      </c>
      <c r="D28" s="10"/>
      <c r="E28" s="4"/>
      <c r="F28" s="2"/>
      <c r="G28" s="3"/>
      <c r="H28" s="10"/>
    </row>
    <row r="29" spans="1:8" x14ac:dyDescent="0.3">
      <c r="A29" s="6">
        <v>15635</v>
      </c>
      <c r="B29" s="2" t="s">
        <v>143</v>
      </c>
      <c r="C29" s="3">
        <v>0</v>
      </c>
      <c r="D29" s="10"/>
      <c r="E29" s="4">
        <v>34713</v>
      </c>
      <c r="F29" s="9" t="s">
        <v>136</v>
      </c>
      <c r="G29" s="3"/>
      <c r="H29" s="10">
        <f>'Sch III &amp; IV'!D20</f>
        <v>16393</v>
      </c>
    </row>
    <row r="30" spans="1:8" x14ac:dyDescent="0.3">
      <c r="A30" s="6">
        <v>271027.60000000009</v>
      </c>
      <c r="B30" s="2" t="s">
        <v>40</v>
      </c>
      <c r="C30" s="3">
        <f>IE!D40</f>
        <v>68328.099999999977</v>
      </c>
      <c r="D30" s="10">
        <f>SUM(C28:C30)</f>
        <v>1139655.8400000003</v>
      </c>
      <c r="E30" s="4"/>
      <c r="F30" s="2"/>
      <c r="G30" s="3"/>
      <c r="H30" s="10"/>
    </row>
    <row r="31" spans="1:8" ht="19.95" customHeight="1" thickBot="1" x14ac:dyDescent="0.35">
      <c r="A31" s="79">
        <f>SUM(A10:A30)</f>
        <v>98061252.149999991</v>
      </c>
      <c r="B31" s="154" t="s">
        <v>15</v>
      </c>
      <c r="C31" s="155"/>
      <c r="D31" s="79">
        <f>SUM(D10:D30)</f>
        <v>98508591.25</v>
      </c>
      <c r="E31" s="79">
        <f>SUM(E6:E30)</f>
        <v>98061252.149999991</v>
      </c>
      <c r="F31" s="156" t="s">
        <v>15</v>
      </c>
      <c r="G31" s="157"/>
      <c r="H31" s="80">
        <f>SUM(H7:H30)</f>
        <v>98508591.25</v>
      </c>
    </row>
    <row r="32" spans="1:8" s="72" customFormat="1" ht="7.95" customHeight="1" thickTop="1" x14ac:dyDescent="0.3">
      <c r="A32" s="70"/>
      <c r="B32" s="87"/>
      <c r="C32" s="87"/>
      <c r="D32" s="88"/>
      <c r="E32" s="87"/>
      <c r="F32" s="87"/>
      <c r="G32" s="87"/>
      <c r="H32" s="71"/>
    </row>
    <row r="33" spans="1:10" s="72" customFormat="1" ht="16.05" customHeight="1" x14ac:dyDescent="0.3">
      <c r="A33" s="70" t="s">
        <v>241</v>
      </c>
      <c r="B33" s="87"/>
      <c r="C33" s="87"/>
      <c r="D33" s="87"/>
      <c r="E33" s="150" t="s">
        <v>247</v>
      </c>
      <c r="F33" s="150"/>
      <c r="G33" s="150"/>
      <c r="H33" s="73"/>
    </row>
    <row r="34" spans="1:10" s="72" customFormat="1" ht="13.95" customHeight="1" x14ac:dyDescent="0.3">
      <c r="A34" s="70"/>
      <c r="B34" s="87"/>
      <c r="C34" s="87"/>
      <c r="D34" s="88"/>
      <c r="E34" s="87"/>
      <c r="F34" s="87"/>
      <c r="G34" s="87"/>
      <c r="H34" s="71"/>
    </row>
    <row r="35" spans="1:10" s="72" customFormat="1" ht="13.95" customHeight="1" x14ac:dyDescent="0.3">
      <c r="A35" s="70"/>
      <c r="B35" s="87"/>
      <c r="C35" s="87"/>
      <c r="D35" s="88"/>
      <c r="E35" s="87"/>
      <c r="F35" s="87"/>
      <c r="G35" s="87"/>
      <c r="H35" s="71"/>
      <c r="J35" s="72">
        <f>D31-H31</f>
        <v>0</v>
      </c>
    </row>
    <row r="36" spans="1:10" customFormat="1" ht="13.95" customHeight="1" x14ac:dyDescent="0.3">
      <c r="A36" s="70"/>
      <c r="B36" s="87"/>
      <c r="C36" s="87"/>
      <c r="D36" s="88"/>
      <c r="E36" s="87"/>
      <c r="F36" s="87"/>
      <c r="G36" s="87"/>
      <c r="H36" s="71"/>
    </row>
    <row r="37" spans="1:10" customFormat="1" ht="16.05" customHeight="1" x14ac:dyDescent="0.3">
      <c r="A37" s="74" t="s">
        <v>242</v>
      </c>
      <c r="B37" s="87"/>
      <c r="C37" s="87"/>
      <c r="D37" s="88"/>
      <c r="E37" s="87"/>
      <c r="F37" s="87"/>
      <c r="G37" s="87"/>
      <c r="H37" s="71"/>
    </row>
    <row r="38" spans="1:10" customFormat="1" ht="16.05" customHeight="1" x14ac:dyDescent="0.3">
      <c r="A38" s="70" t="s">
        <v>243</v>
      </c>
      <c r="B38" s="87"/>
      <c r="C38" s="87"/>
      <c r="D38" s="88"/>
      <c r="H38" s="75"/>
    </row>
    <row r="39" spans="1:10" customFormat="1" ht="16.05" customHeight="1" x14ac:dyDescent="0.3">
      <c r="A39" s="70" t="s">
        <v>244</v>
      </c>
      <c r="B39" s="87"/>
      <c r="C39" s="87"/>
      <c r="D39" s="88"/>
      <c r="E39" s="151" t="s">
        <v>245</v>
      </c>
      <c r="F39" s="151"/>
      <c r="G39" s="151"/>
      <c r="H39" s="71"/>
    </row>
    <row r="40" spans="1:10" customFormat="1" ht="16.05" customHeight="1" x14ac:dyDescent="0.3">
      <c r="A40" s="152">
        <v>46262</v>
      </c>
      <c r="B40" s="153"/>
      <c r="C40" s="153"/>
      <c r="D40" s="76"/>
      <c r="E40" s="77"/>
      <c r="F40" s="77"/>
      <c r="G40" s="77"/>
      <c r="H40" s="78"/>
      <c r="I40" s="35"/>
      <c r="J40" s="35"/>
    </row>
  </sheetData>
  <mergeCells count="11">
    <mergeCell ref="A1:H1"/>
    <mergeCell ref="A2:H2"/>
    <mergeCell ref="A3:H3"/>
    <mergeCell ref="A4:H4"/>
    <mergeCell ref="B5:C5"/>
    <mergeCell ref="F5:G5"/>
    <mergeCell ref="E33:G33"/>
    <mergeCell ref="E39:G39"/>
    <mergeCell ref="A40:C40"/>
    <mergeCell ref="B31:C31"/>
    <mergeCell ref="F31:G31"/>
  </mergeCells>
  <printOptions horizontalCentered="1"/>
  <pageMargins left="0.39370078740157483" right="0.23622047244094491" top="0.59055118110236227" bottom="0.19685039370078741" header="0.31496062992125984" footer="0.31496062992125984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view="pageBreakPreview" topLeftCell="A17" zoomScaleNormal="100" zoomScaleSheetLayoutView="100" workbookViewId="0">
      <selection activeCell="C35" sqref="C35"/>
    </sheetView>
  </sheetViews>
  <sheetFormatPr defaultColWidth="8.88671875" defaultRowHeight="14.4" x14ac:dyDescent="0.3"/>
  <cols>
    <col min="1" max="1" width="14.77734375" style="1" customWidth="1"/>
    <col min="2" max="2" width="33" style="1" bestFit="1" customWidth="1"/>
    <col min="3" max="5" width="14.77734375" style="1" customWidth="1"/>
    <col min="6" max="6" width="36.5546875" style="1" customWidth="1"/>
    <col min="7" max="8" width="14.77734375" style="1" customWidth="1"/>
    <col min="9" max="9" width="12" style="1" bestFit="1" customWidth="1"/>
    <col min="10" max="10" width="10" style="1" bestFit="1" customWidth="1"/>
    <col min="11" max="11" width="9.5546875" style="1" bestFit="1" customWidth="1"/>
    <col min="12" max="16384" width="8.88671875" style="1"/>
  </cols>
  <sheetData>
    <row r="1" spans="1:9" ht="18" x14ac:dyDescent="0.3">
      <c r="A1" s="158" t="str">
        <f>BS!A1</f>
        <v>NINAAD CO-OPERATIVE HOUSING SOCIETY LTD.</v>
      </c>
      <c r="B1" s="159"/>
      <c r="C1" s="159"/>
      <c r="D1" s="159"/>
      <c r="E1" s="159"/>
      <c r="F1" s="159"/>
      <c r="G1" s="159"/>
      <c r="H1" s="160"/>
    </row>
    <row r="2" spans="1:9" x14ac:dyDescent="0.3">
      <c r="A2" s="161" t="s">
        <v>26</v>
      </c>
      <c r="B2" s="162"/>
      <c r="C2" s="162"/>
      <c r="D2" s="162"/>
      <c r="E2" s="162"/>
      <c r="F2" s="162"/>
      <c r="G2" s="162"/>
      <c r="H2" s="163"/>
    </row>
    <row r="3" spans="1:9" x14ac:dyDescent="0.3">
      <c r="A3" s="161" t="s">
        <v>27</v>
      </c>
      <c r="B3" s="162"/>
      <c r="C3" s="162"/>
      <c r="D3" s="162"/>
      <c r="E3" s="162"/>
      <c r="F3" s="162"/>
      <c r="G3" s="162"/>
      <c r="H3" s="163"/>
    </row>
    <row r="4" spans="1:9" ht="15.6" x14ac:dyDescent="0.3">
      <c r="A4" s="170" t="s">
        <v>176</v>
      </c>
      <c r="B4" s="171"/>
      <c r="C4" s="171"/>
      <c r="D4" s="171"/>
      <c r="E4" s="171"/>
      <c r="F4" s="171"/>
      <c r="G4" s="171"/>
      <c r="H4" s="172"/>
    </row>
    <row r="5" spans="1:9" s="5" customFormat="1" ht="29.4" thickBot="1" x14ac:dyDescent="0.35">
      <c r="A5" s="81" t="str">
        <f>BS!A5</f>
        <v>March 31, 2025</v>
      </c>
      <c r="B5" s="173" t="s">
        <v>50</v>
      </c>
      <c r="C5" s="174"/>
      <c r="D5" s="82" t="str">
        <f>BS!D5</f>
        <v>March 31, 2026</v>
      </c>
      <c r="E5" s="83" t="str">
        <f>A5</f>
        <v>March 31, 2025</v>
      </c>
      <c r="F5" s="156" t="s">
        <v>51</v>
      </c>
      <c r="G5" s="157"/>
      <c r="H5" s="81" t="str">
        <f>D5</f>
        <v>March 31, 2026</v>
      </c>
    </row>
    <row r="6" spans="1:9" ht="15" thickTop="1" x14ac:dyDescent="0.3">
      <c r="A6" s="2"/>
      <c r="B6" s="46"/>
      <c r="C6" s="49"/>
      <c r="D6" s="48"/>
      <c r="E6" s="2"/>
      <c r="F6" s="9" t="s">
        <v>52</v>
      </c>
      <c r="G6" s="2"/>
      <c r="H6" s="10"/>
      <c r="I6" s="2"/>
    </row>
    <row r="7" spans="1:9" x14ac:dyDescent="0.3">
      <c r="A7" s="47">
        <v>186916</v>
      </c>
      <c r="B7" s="48" t="s">
        <v>55</v>
      </c>
      <c r="C7" s="56"/>
      <c r="D7" s="10">
        <v>21458</v>
      </c>
      <c r="E7" s="10">
        <v>176840</v>
      </c>
      <c r="F7" s="3" t="s">
        <v>55</v>
      </c>
      <c r="G7" s="6">
        <v>21660</v>
      </c>
      <c r="H7" s="10"/>
    </row>
    <row r="8" spans="1:9" x14ac:dyDescent="0.3">
      <c r="A8" s="47"/>
      <c r="B8" s="49"/>
      <c r="C8" s="56"/>
      <c r="D8" s="10"/>
      <c r="E8" s="10">
        <v>787020</v>
      </c>
      <c r="F8" s="3" t="s">
        <v>53</v>
      </c>
      <c r="G8" s="6">
        <v>787020</v>
      </c>
      <c r="H8" s="10"/>
    </row>
    <row r="9" spans="1:9" x14ac:dyDescent="0.3">
      <c r="A9" s="47">
        <v>160698</v>
      </c>
      <c r="B9" s="48" t="s">
        <v>66</v>
      </c>
      <c r="C9" s="56"/>
      <c r="D9" s="10">
        <v>185300</v>
      </c>
      <c r="E9" s="10">
        <v>8729</v>
      </c>
      <c r="F9" s="3" t="s">
        <v>54</v>
      </c>
      <c r="G9" s="6">
        <v>9933</v>
      </c>
      <c r="H9" s="10"/>
    </row>
    <row r="10" spans="1:9" x14ac:dyDescent="0.3">
      <c r="A10" s="6"/>
      <c r="B10" s="49"/>
      <c r="C10" s="56"/>
      <c r="D10" s="47"/>
      <c r="E10" s="10">
        <v>249576</v>
      </c>
      <c r="F10" s="3" t="s">
        <v>56</v>
      </c>
      <c r="G10" s="6">
        <f>12300+1550</f>
        <v>13850</v>
      </c>
      <c r="H10" s="10"/>
    </row>
    <row r="11" spans="1:9" x14ac:dyDescent="0.3">
      <c r="A11" s="6"/>
      <c r="B11" s="46" t="s">
        <v>67</v>
      </c>
      <c r="C11" s="56"/>
      <c r="D11" s="47"/>
      <c r="E11" s="10">
        <v>113681</v>
      </c>
      <c r="F11" s="3" t="s">
        <v>57</v>
      </c>
      <c r="G11" s="6">
        <v>138514</v>
      </c>
      <c r="H11" s="10"/>
    </row>
    <row r="12" spans="1:9" x14ac:dyDescent="0.3">
      <c r="A12" s="56">
        <v>37538</v>
      </c>
      <c r="B12" s="49" t="s">
        <v>67</v>
      </c>
      <c r="C12" s="56">
        <v>47752</v>
      </c>
      <c r="D12" s="10"/>
      <c r="E12" s="10">
        <v>0</v>
      </c>
      <c r="F12" s="3" t="s">
        <v>189</v>
      </c>
      <c r="G12" s="44">
        <v>8000</v>
      </c>
      <c r="H12" s="10">
        <f>SUM(G7:G12)</f>
        <v>978977</v>
      </c>
    </row>
    <row r="13" spans="1:9" x14ac:dyDescent="0.3">
      <c r="A13" s="56">
        <v>0</v>
      </c>
      <c r="B13" s="49" t="s">
        <v>190</v>
      </c>
      <c r="C13" s="56">
        <v>33117</v>
      </c>
      <c r="D13" s="10"/>
      <c r="E13" s="10"/>
      <c r="F13" s="3"/>
      <c r="G13" s="6"/>
      <c r="H13" s="10"/>
    </row>
    <row r="14" spans="1:9" ht="15" thickBot="1" x14ac:dyDescent="0.35">
      <c r="A14" s="56">
        <v>5500</v>
      </c>
      <c r="B14" s="49" t="s">
        <v>68</v>
      </c>
      <c r="C14" s="59">
        <v>0</v>
      </c>
      <c r="D14" s="10">
        <f>SUM(C12:C14)</f>
        <v>80869</v>
      </c>
      <c r="E14" s="6"/>
      <c r="F14" s="3"/>
      <c r="G14" s="6"/>
      <c r="H14" s="10"/>
    </row>
    <row r="15" spans="1:9" x14ac:dyDescent="0.3">
      <c r="A15" s="6"/>
      <c r="B15" s="49"/>
      <c r="C15" s="56"/>
      <c r="D15" s="47"/>
      <c r="E15" s="6"/>
      <c r="F15" s="55" t="s">
        <v>69</v>
      </c>
      <c r="G15" s="6"/>
      <c r="H15" s="10"/>
    </row>
    <row r="16" spans="1:9" x14ac:dyDescent="0.3">
      <c r="A16" s="47">
        <v>151418</v>
      </c>
      <c r="B16" s="48" t="s">
        <v>141</v>
      </c>
      <c r="C16" s="56"/>
      <c r="D16" s="10">
        <f>'Sch VIII'!D16</f>
        <v>201292.5</v>
      </c>
      <c r="E16" s="6">
        <v>456</v>
      </c>
      <c r="F16" s="3" t="s">
        <v>173</v>
      </c>
      <c r="G16" s="6"/>
      <c r="H16" s="10">
        <v>251</v>
      </c>
    </row>
    <row r="17" spans="1:11" x14ac:dyDescent="0.3">
      <c r="A17" s="6"/>
      <c r="B17" s="49"/>
      <c r="C17" s="56"/>
      <c r="D17" s="47"/>
      <c r="E17" s="61">
        <v>13640</v>
      </c>
      <c r="F17" s="3" t="s">
        <v>58</v>
      </c>
      <c r="G17" s="6"/>
      <c r="H17" s="10">
        <v>15262</v>
      </c>
    </row>
    <row r="18" spans="1:11" x14ac:dyDescent="0.3">
      <c r="A18" s="6"/>
      <c r="B18" s="46" t="s">
        <v>53</v>
      </c>
      <c r="C18" s="56"/>
      <c r="D18" s="47"/>
      <c r="E18" s="6">
        <v>142601</v>
      </c>
      <c r="F18" s="3" t="s">
        <v>59</v>
      </c>
      <c r="G18" s="6">
        <v>168811</v>
      </c>
      <c r="H18" s="10"/>
    </row>
    <row r="19" spans="1:11" x14ac:dyDescent="0.3">
      <c r="A19" s="56">
        <v>45387</v>
      </c>
      <c r="B19" s="49" t="s">
        <v>97</v>
      </c>
      <c r="C19" s="56">
        <f>43900+3500</f>
        <v>47400</v>
      </c>
      <c r="D19" s="10"/>
      <c r="E19" s="4">
        <v>-33140</v>
      </c>
      <c r="F19" s="3" t="s">
        <v>60</v>
      </c>
      <c r="G19" s="6">
        <v>-49975</v>
      </c>
      <c r="H19" s="10"/>
    </row>
    <row r="20" spans="1:11" x14ac:dyDescent="0.3">
      <c r="A20" s="56">
        <v>227307</v>
      </c>
      <c r="B20" s="49" t="s">
        <v>78</v>
      </c>
      <c r="C20" s="56">
        <v>216000</v>
      </c>
      <c r="D20" s="10"/>
      <c r="E20" s="4">
        <v>-29146</v>
      </c>
      <c r="F20" s="3" t="s">
        <v>61</v>
      </c>
      <c r="G20" s="6">
        <v>-36536</v>
      </c>
      <c r="H20" s="10"/>
    </row>
    <row r="21" spans="1:11" x14ac:dyDescent="0.3">
      <c r="A21" s="57">
        <v>16400</v>
      </c>
      <c r="B21" s="49" t="s">
        <v>79</v>
      </c>
      <c r="C21" s="56">
        <v>16405</v>
      </c>
      <c r="D21" s="10"/>
      <c r="E21" s="7">
        <v>-80315</v>
      </c>
      <c r="F21" s="3" t="s">
        <v>62</v>
      </c>
      <c r="G21" s="44">
        <v>-82300</v>
      </c>
      <c r="H21" s="10">
        <f>SUM(G18:G21)</f>
        <v>0</v>
      </c>
    </row>
    <row r="22" spans="1:11" x14ac:dyDescent="0.3">
      <c r="A22" s="56">
        <v>0</v>
      </c>
      <c r="B22" s="49" t="s">
        <v>80</v>
      </c>
      <c r="C22" s="56">
        <v>1652</v>
      </c>
      <c r="D22" s="10"/>
      <c r="E22" s="6"/>
      <c r="F22" s="3"/>
      <c r="G22" s="6"/>
      <c r="H22" s="10"/>
    </row>
    <row r="23" spans="1:11" x14ac:dyDescent="0.3">
      <c r="A23" s="56">
        <v>2000</v>
      </c>
      <c r="B23" s="49" t="s">
        <v>81</v>
      </c>
      <c r="C23" s="56">
        <v>2500</v>
      </c>
      <c r="D23" s="10"/>
      <c r="E23" s="6"/>
      <c r="F23" s="55" t="s">
        <v>70</v>
      </c>
      <c r="G23" s="6"/>
      <c r="H23" s="10"/>
    </row>
    <row r="24" spans="1:11" ht="15" thickBot="1" x14ac:dyDescent="0.35">
      <c r="A24" s="56">
        <v>16395</v>
      </c>
      <c r="B24" s="49" t="s">
        <v>82</v>
      </c>
      <c r="C24" s="59">
        <v>16052</v>
      </c>
      <c r="D24" s="10">
        <f>SUM(C19:C24)</f>
        <v>300009</v>
      </c>
      <c r="E24" s="6">
        <v>6000</v>
      </c>
      <c r="F24" s="3" t="s">
        <v>63</v>
      </c>
      <c r="G24" s="44">
        <v>0</v>
      </c>
      <c r="H24" s="10">
        <f>SUM(G24:G24)</f>
        <v>0</v>
      </c>
    </row>
    <row r="25" spans="1:11" x14ac:dyDescent="0.3">
      <c r="A25" s="6"/>
      <c r="B25" s="46" t="s">
        <v>87</v>
      </c>
      <c r="C25" s="56"/>
      <c r="D25" s="47"/>
      <c r="E25" s="6"/>
      <c r="F25" s="3"/>
      <c r="G25" s="6"/>
      <c r="H25" s="10"/>
    </row>
    <row r="26" spans="1:11" x14ac:dyDescent="0.3">
      <c r="A26" s="56">
        <v>2714</v>
      </c>
      <c r="B26" s="49" t="s">
        <v>88</v>
      </c>
      <c r="C26" s="6">
        <v>4157</v>
      </c>
      <c r="D26" s="47"/>
      <c r="E26" s="6"/>
      <c r="F26" s="3"/>
      <c r="G26" s="6"/>
      <c r="H26" s="10"/>
    </row>
    <row r="27" spans="1:11" x14ac:dyDescent="0.3">
      <c r="A27" s="56">
        <v>73</v>
      </c>
      <c r="B27" s="49" t="s">
        <v>89</v>
      </c>
      <c r="C27" s="6">
        <v>0</v>
      </c>
      <c r="D27" s="47"/>
      <c r="E27" s="6"/>
      <c r="F27" s="3"/>
      <c r="G27" s="6"/>
      <c r="H27" s="10"/>
    </row>
    <row r="28" spans="1:11" x14ac:dyDescent="0.3">
      <c r="A28" s="56">
        <v>3770</v>
      </c>
      <c r="B28" s="49" t="s">
        <v>90</v>
      </c>
      <c r="C28" s="6">
        <v>1692</v>
      </c>
      <c r="D28" s="47"/>
      <c r="E28" s="6"/>
      <c r="F28" s="3"/>
      <c r="G28" s="6"/>
      <c r="H28" s="10"/>
    </row>
    <row r="29" spans="1:11" x14ac:dyDescent="0.3">
      <c r="A29" s="56">
        <v>1838</v>
      </c>
      <c r="B29" s="49" t="s">
        <v>91</v>
      </c>
      <c r="C29" s="6">
        <v>3365</v>
      </c>
      <c r="D29" s="47"/>
      <c r="E29" s="6"/>
      <c r="F29" s="3"/>
      <c r="G29" s="6"/>
      <c r="H29" s="10"/>
    </row>
    <row r="30" spans="1:11" x14ac:dyDescent="0.3">
      <c r="A30" s="56">
        <v>0</v>
      </c>
      <c r="B30" s="49" t="s">
        <v>92</v>
      </c>
      <c r="C30" s="6">
        <v>3000</v>
      </c>
      <c r="D30" s="47"/>
      <c r="E30" s="6"/>
      <c r="F30" s="3"/>
      <c r="G30" s="6"/>
      <c r="H30" s="10"/>
    </row>
    <row r="31" spans="1:11" x14ac:dyDescent="0.3">
      <c r="A31" s="56">
        <v>12000</v>
      </c>
      <c r="B31" s="49" t="s">
        <v>165</v>
      </c>
      <c r="C31" s="6">
        <v>0</v>
      </c>
      <c r="D31" s="47"/>
      <c r="E31" s="6"/>
      <c r="F31" s="3"/>
      <c r="G31" s="6"/>
      <c r="H31" s="10"/>
    </row>
    <row r="32" spans="1:11" x14ac:dyDescent="0.3">
      <c r="A32" s="57">
        <v>109001</v>
      </c>
      <c r="B32" s="49" t="s">
        <v>93</v>
      </c>
      <c r="C32" s="6">
        <f>'Sch II'!G10</f>
        <v>92895</v>
      </c>
      <c r="D32" s="47"/>
      <c r="E32" s="6"/>
      <c r="F32" s="3"/>
      <c r="G32" s="6"/>
      <c r="H32" s="10"/>
      <c r="K32" s="3"/>
    </row>
    <row r="33" spans="1:11" x14ac:dyDescent="0.3">
      <c r="A33" s="56">
        <v>507.4</v>
      </c>
      <c r="B33" s="49" t="s">
        <v>94</v>
      </c>
      <c r="C33" s="6">
        <v>507.4</v>
      </c>
      <c r="D33" s="47"/>
      <c r="E33" s="6"/>
      <c r="F33" s="3"/>
      <c r="G33" s="6"/>
      <c r="H33" s="10"/>
      <c r="K33" s="3"/>
    </row>
    <row r="34" spans="1:11" x14ac:dyDescent="0.3">
      <c r="A34" s="56">
        <v>10384</v>
      </c>
      <c r="B34" s="49" t="s">
        <v>95</v>
      </c>
      <c r="C34" s="6">
        <f>2280+2177+3600+288+495</f>
        <v>8840</v>
      </c>
      <c r="D34" s="47"/>
      <c r="E34" s="6"/>
      <c r="F34" s="3"/>
      <c r="G34" s="6"/>
      <c r="H34" s="10"/>
      <c r="K34" s="3"/>
    </row>
    <row r="35" spans="1:11" x14ac:dyDescent="0.3">
      <c r="A35" s="57">
        <v>336</v>
      </c>
      <c r="B35" s="49" t="s">
        <v>96</v>
      </c>
      <c r="C35" s="6">
        <v>-4949</v>
      </c>
      <c r="D35" s="47"/>
      <c r="E35" s="6"/>
      <c r="F35" s="3"/>
      <c r="G35" s="6"/>
      <c r="H35" s="10"/>
      <c r="K35" s="3"/>
    </row>
    <row r="36" spans="1:11" ht="15" thickBot="1" x14ac:dyDescent="0.35">
      <c r="A36" s="56">
        <v>4390</v>
      </c>
      <c r="B36" s="49" t="s">
        <v>98</v>
      </c>
      <c r="C36" s="58">
        <v>4950</v>
      </c>
      <c r="D36" s="10">
        <f>SUM(C26:C36)</f>
        <v>114457.4</v>
      </c>
      <c r="E36" s="6"/>
      <c r="F36" s="3"/>
      <c r="G36" s="6"/>
      <c r="H36" s="10"/>
      <c r="K36" s="3"/>
    </row>
    <row r="37" spans="1:11" x14ac:dyDescent="0.3">
      <c r="A37" s="6"/>
      <c r="B37" s="2"/>
      <c r="C37" s="6"/>
      <c r="D37" s="3"/>
      <c r="E37" s="6"/>
      <c r="F37" s="3"/>
      <c r="G37" s="6"/>
      <c r="H37" s="10"/>
    </row>
    <row r="38" spans="1:11" x14ac:dyDescent="0.3">
      <c r="A38" s="6"/>
      <c r="B38" s="9" t="s">
        <v>64</v>
      </c>
      <c r="C38" s="6"/>
      <c r="D38" s="10"/>
      <c r="E38" s="6"/>
      <c r="F38" s="3"/>
      <c r="G38" s="6"/>
      <c r="H38" s="10"/>
    </row>
    <row r="39" spans="1:11" x14ac:dyDescent="0.3">
      <c r="A39" s="61">
        <v>90342</v>
      </c>
      <c r="B39" s="2" t="s">
        <v>167</v>
      </c>
      <c r="C39" s="6"/>
      <c r="D39" s="10">
        <f>ROUND((H41-SUM(D7:D38))*25%,0)</f>
        <v>22776</v>
      </c>
      <c r="E39" s="6"/>
      <c r="F39" s="3"/>
      <c r="G39" s="6"/>
      <c r="H39" s="10"/>
    </row>
    <row r="40" spans="1:11" x14ac:dyDescent="0.3">
      <c r="A40" s="61">
        <v>271027.60000000009</v>
      </c>
      <c r="B40" s="2" t="s">
        <v>65</v>
      </c>
      <c r="C40" s="6"/>
      <c r="D40" s="10">
        <f>H41-SUM(D6:D39)</f>
        <v>68328.099999999977</v>
      </c>
      <c r="E40" s="6"/>
      <c r="F40" s="3"/>
      <c r="G40" s="6"/>
      <c r="H40" s="10"/>
    </row>
    <row r="41" spans="1:11" x14ac:dyDescent="0.3">
      <c r="A41" s="69">
        <f>SUM(A6:A40)</f>
        <v>1355942</v>
      </c>
      <c r="B41" s="167" t="s">
        <v>15</v>
      </c>
      <c r="C41" s="168"/>
      <c r="D41" s="69">
        <f>SUM(D7:D40)</f>
        <v>994490</v>
      </c>
      <c r="E41" s="69">
        <f>SUM(E7:E40)</f>
        <v>1355942</v>
      </c>
      <c r="F41" s="166" t="s">
        <v>15</v>
      </c>
      <c r="G41" s="169"/>
      <c r="H41" s="19">
        <f>SUM(H6:H40)</f>
        <v>994490</v>
      </c>
      <c r="I41" s="3"/>
    </row>
    <row r="42" spans="1:11" x14ac:dyDescent="0.3">
      <c r="A42" s="70"/>
      <c r="B42" s="87"/>
      <c r="C42" s="87"/>
      <c r="D42" s="88"/>
      <c r="E42" s="87"/>
      <c r="F42" s="87"/>
      <c r="G42" s="87"/>
      <c r="H42" s="71"/>
      <c r="I42" s="1">
        <f>A41-E41</f>
        <v>0</v>
      </c>
    </row>
    <row r="43" spans="1:11" s="72" customFormat="1" ht="16.05" customHeight="1" x14ac:dyDescent="0.3">
      <c r="A43" s="70" t="s">
        <v>241</v>
      </c>
      <c r="B43" s="87"/>
      <c r="C43" s="87"/>
      <c r="D43" s="87"/>
      <c r="E43" s="150" t="s">
        <v>247</v>
      </c>
      <c r="F43" s="150"/>
      <c r="G43" s="150"/>
      <c r="H43" s="73"/>
    </row>
    <row r="44" spans="1:11" s="72" customFormat="1" ht="16.05" customHeight="1" x14ac:dyDescent="0.3">
      <c r="A44" s="70"/>
      <c r="B44" s="87"/>
      <c r="C44" s="87"/>
      <c r="D44" s="88"/>
      <c r="E44" s="87"/>
      <c r="F44" s="87"/>
      <c r="G44" s="87"/>
      <c r="H44" s="71"/>
    </row>
    <row r="45" spans="1:11" s="72" customFormat="1" ht="16.05" customHeight="1" x14ac:dyDescent="0.3">
      <c r="A45" s="70"/>
      <c r="B45" s="87"/>
      <c r="C45" s="87"/>
      <c r="D45" s="88"/>
      <c r="E45" s="87"/>
      <c r="F45" s="87"/>
      <c r="G45" s="87"/>
      <c r="H45" s="71"/>
    </row>
    <row r="46" spans="1:11" s="72" customFormat="1" ht="16.05" customHeight="1" x14ac:dyDescent="0.3">
      <c r="A46" s="70"/>
      <c r="B46" s="87"/>
      <c r="C46" s="87"/>
      <c r="D46" s="88"/>
      <c r="E46" s="87"/>
      <c r="F46" s="87"/>
      <c r="G46" s="87"/>
      <c r="H46" s="71"/>
      <c r="J46" s="72">
        <f>D41-H41</f>
        <v>0</v>
      </c>
    </row>
    <row r="47" spans="1:11" customFormat="1" ht="16.05" customHeight="1" x14ac:dyDescent="0.3">
      <c r="A47" s="74" t="s">
        <v>242</v>
      </c>
      <c r="B47" s="87"/>
      <c r="C47" s="87"/>
      <c r="D47" s="88"/>
      <c r="E47" s="87"/>
      <c r="F47" s="87"/>
      <c r="G47" s="87"/>
      <c r="H47" s="71"/>
    </row>
    <row r="48" spans="1:11" customFormat="1" ht="16.05" customHeight="1" x14ac:dyDescent="0.3">
      <c r="A48" s="70" t="s">
        <v>243</v>
      </c>
      <c r="B48" s="87"/>
      <c r="C48" s="87"/>
      <c r="D48" s="88"/>
      <c r="H48" s="75"/>
    </row>
    <row r="49" spans="1:10" customFormat="1" ht="16.05" customHeight="1" x14ac:dyDescent="0.3">
      <c r="A49" s="70" t="s">
        <v>244</v>
      </c>
      <c r="B49" s="87"/>
      <c r="C49" s="87"/>
      <c r="D49" s="88"/>
      <c r="E49" s="151" t="s">
        <v>245</v>
      </c>
      <c r="F49" s="151"/>
      <c r="G49" s="151"/>
      <c r="H49" s="71"/>
    </row>
    <row r="50" spans="1:10" customFormat="1" ht="16.05" customHeight="1" x14ac:dyDescent="0.3">
      <c r="A50" s="152">
        <v>46262</v>
      </c>
      <c r="B50" s="153"/>
      <c r="C50" s="153"/>
      <c r="D50" s="76"/>
      <c r="E50" s="77"/>
      <c r="F50" s="77"/>
      <c r="G50" s="77"/>
      <c r="H50" s="78"/>
    </row>
    <row r="51" spans="1:10" customFormat="1" ht="16.05" customHeight="1" x14ac:dyDescent="0.3">
      <c r="A51" s="1"/>
      <c r="B51" s="1"/>
      <c r="C51" s="1"/>
      <c r="D51" s="1"/>
      <c r="E51" s="1"/>
      <c r="F51" s="1"/>
      <c r="G51" s="1"/>
      <c r="H51" s="1"/>
      <c r="I51" s="35"/>
      <c r="J51" s="35"/>
    </row>
  </sheetData>
  <mergeCells count="11">
    <mergeCell ref="A1:H1"/>
    <mergeCell ref="A2:H2"/>
    <mergeCell ref="A3:H3"/>
    <mergeCell ref="A4:H4"/>
    <mergeCell ref="B5:C5"/>
    <mergeCell ref="F5:G5"/>
    <mergeCell ref="E43:G43"/>
    <mergeCell ref="E49:G49"/>
    <mergeCell ref="A50:C50"/>
    <mergeCell ref="B41:C41"/>
    <mergeCell ref="F41:G41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3"/>
  <sheetViews>
    <sheetView view="pageBreakPreview" topLeftCell="A17" zoomScaleNormal="100" zoomScaleSheetLayoutView="100" workbookViewId="0">
      <selection activeCell="F14" sqref="F14"/>
    </sheetView>
  </sheetViews>
  <sheetFormatPr defaultColWidth="9.109375" defaultRowHeight="14.4" x14ac:dyDescent="0.3"/>
  <cols>
    <col min="1" max="1" width="3" style="182" bestFit="1" customWidth="1"/>
    <col min="2" max="2" width="20.109375" style="195" bestFit="1" customWidth="1"/>
    <col min="3" max="3" width="10.109375" style="189" bestFit="1" customWidth="1"/>
    <col min="4" max="4" width="12.5546875" style="189" bestFit="1" customWidth="1"/>
    <col min="5" max="5" width="10" style="189" customWidth="1"/>
    <col min="6" max="6" width="12.5546875" style="37" bestFit="1" customWidth="1"/>
    <col min="7" max="7" width="11" style="37" bestFit="1" customWidth="1"/>
    <col min="8" max="8" width="12.5546875" style="37" bestFit="1" customWidth="1"/>
    <col min="9" max="9" width="7.88671875" style="63" bestFit="1" customWidth="1"/>
    <col min="10" max="10" width="7" style="37" bestFit="1" customWidth="1"/>
    <col min="11" max="11" width="6.77734375" style="37" customWidth="1"/>
    <col min="12" max="12" width="9.88671875" style="36" hidden="1" customWidth="1"/>
    <col min="13" max="13" width="10" style="36" hidden="1" customWidth="1"/>
    <col min="14" max="14" width="9" style="37" hidden="1" customWidth="1"/>
    <col min="15" max="15" width="10" style="37" hidden="1" customWidth="1"/>
    <col min="16" max="16" width="9" style="37" hidden="1" customWidth="1"/>
    <col min="17" max="17" width="11.5546875" style="37" hidden="1" customWidth="1"/>
    <col min="18" max="18" width="10" style="37" hidden="1" customWidth="1"/>
    <col min="19" max="19" width="6" style="182" hidden="1" customWidth="1"/>
    <col min="20" max="20" width="9.109375" style="182"/>
    <col min="21" max="21" width="9.88671875" style="182" bestFit="1" customWidth="1"/>
    <col min="22" max="22" width="9.109375" style="182"/>
    <col min="23" max="23" width="9.88671875" style="182" bestFit="1" customWidth="1"/>
    <col min="24" max="16384" width="9.109375" style="182"/>
  </cols>
  <sheetData>
    <row r="1" spans="1:19" ht="18" x14ac:dyDescent="0.35">
      <c r="B1" s="183" t="s">
        <v>246</v>
      </c>
      <c r="C1" s="183"/>
      <c r="D1" s="183"/>
      <c r="E1" s="183"/>
      <c r="F1" s="183"/>
      <c r="G1" s="183"/>
      <c r="H1" s="183"/>
      <c r="I1" s="183"/>
      <c r="J1" s="183"/>
      <c r="K1" s="184"/>
    </row>
    <row r="2" spans="1:19" x14ac:dyDescent="0.3">
      <c r="B2" s="185" t="s">
        <v>236</v>
      </c>
      <c r="C2" s="185"/>
      <c r="D2" s="185"/>
      <c r="E2" s="185"/>
      <c r="F2" s="185"/>
      <c r="G2" s="185"/>
      <c r="H2" s="185"/>
      <c r="I2" s="185"/>
      <c r="J2" s="185"/>
      <c r="K2" s="184"/>
    </row>
    <row r="3" spans="1:19" s="187" customFormat="1" ht="28.8" x14ac:dyDescent="0.3">
      <c r="A3" s="186" t="s">
        <v>20</v>
      </c>
      <c r="B3" s="186" t="s">
        <v>5</v>
      </c>
      <c r="C3" s="186" t="s">
        <v>13</v>
      </c>
      <c r="D3" s="186" t="s">
        <v>14</v>
      </c>
      <c r="E3" s="186" t="s">
        <v>188</v>
      </c>
      <c r="F3" s="38" t="s">
        <v>15</v>
      </c>
      <c r="G3" s="38" t="s">
        <v>8</v>
      </c>
      <c r="H3" s="38" t="s">
        <v>16</v>
      </c>
      <c r="I3" s="38" t="s">
        <v>17</v>
      </c>
      <c r="J3" s="38" t="s">
        <v>6</v>
      </c>
      <c r="K3" s="62"/>
      <c r="L3" s="39"/>
      <c r="M3" s="39" t="s">
        <v>199</v>
      </c>
      <c r="N3" s="39" t="s">
        <v>200</v>
      </c>
      <c r="O3" s="39" t="s">
        <v>197</v>
      </c>
      <c r="P3" s="39" t="s">
        <v>198</v>
      </c>
      <c r="Q3" s="39" t="s">
        <v>201</v>
      </c>
      <c r="R3" s="39" t="s">
        <v>202</v>
      </c>
    </row>
    <row r="4" spans="1:19" x14ac:dyDescent="0.3">
      <c r="B4" s="188" t="s">
        <v>4</v>
      </c>
      <c r="Q4" s="37">
        <f>+M4+O4</f>
        <v>0</v>
      </c>
      <c r="R4" s="37">
        <f>+N4+P4</f>
        <v>0</v>
      </c>
    </row>
    <row r="5" spans="1:19" x14ac:dyDescent="0.3">
      <c r="A5" s="190">
        <v>1</v>
      </c>
      <c r="B5" s="191" t="s">
        <v>215</v>
      </c>
      <c r="C5" s="190" t="s">
        <v>151</v>
      </c>
      <c r="D5" s="40">
        <v>66792</v>
      </c>
      <c r="E5" s="40">
        <f>1758-175</f>
        <v>1583</v>
      </c>
      <c r="F5" s="41">
        <f t="shared" ref="F5:F13" si="0">SUM(D5:E5)</f>
        <v>68375</v>
      </c>
      <c r="G5" s="41" t="s">
        <v>226</v>
      </c>
      <c r="H5" s="41">
        <v>71451</v>
      </c>
      <c r="I5" s="64">
        <v>6.8000000000000005E-2</v>
      </c>
      <c r="J5" s="41" t="s">
        <v>9</v>
      </c>
      <c r="K5" s="54"/>
      <c r="L5" s="36">
        <f t="shared" ref="L5:L13" si="1">SUM(E5:E5)</f>
        <v>1583</v>
      </c>
      <c r="M5" s="36">
        <v>3080</v>
      </c>
      <c r="N5" s="37">
        <v>308</v>
      </c>
      <c r="O5" s="54">
        <v>1758</v>
      </c>
      <c r="P5" s="54">
        <v>175</v>
      </c>
      <c r="Q5" s="37">
        <f t="shared" ref="Q5:Q35" si="2">+M5+O5</f>
        <v>4838</v>
      </c>
      <c r="R5" s="37">
        <f t="shared" ref="R5:R35" si="3">+N5+P5</f>
        <v>483</v>
      </c>
      <c r="S5" s="182" t="str">
        <f>RIGHT(B5,5)</f>
        <v>13062</v>
      </c>
    </row>
    <row r="6" spans="1:19" x14ac:dyDescent="0.3">
      <c r="A6" s="190">
        <f>+A5+1</f>
        <v>2</v>
      </c>
      <c r="B6" s="191" t="s">
        <v>216</v>
      </c>
      <c r="C6" s="41" t="s">
        <v>154</v>
      </c>
      <c r="D6" s="40">
        <v>66286</v>
      </c>
      <c r="E6" s="40">
        <f>5097-510</f>
        <v>4587</v>
      </c>
      <c r="F6" s="41">
        <f t="shared" si="0"/>
        <v>70873</v>
      </c>
      <c r="G6" s="37" t="s">
        <v>223</v>
      </c>
      <c r="H6" s="41">
        <v>71539</v>
      </c>
      <c r="I6" s="64">
        <v>7.6999999999999999E-2</v>
      </c>
      <c r="J6" s="41" t="s">
        <v>9</v>
      </c>
      <c r="K6" s="54"/>
      <c r="L6" s="36">
        <f t="shared" si="1"/>
        <v>4587</v>
      </c>
      <c r="M6" s="36">
        <v>136</v>
      </c>
      <c r="N6" s="37">
        <v>14</v>
      </c>
      <c r="O6" s="37">
        <v>5097</v>
      </c>
      <c r="P6" s="37">
        <v>510</v>
      </c>
      <c r="Q6" s="37">
        <f t="shared" si="2"/>
        <v>5233</v>
      </c>
      <c r="R6" s="37">
        <f t="shared" si="3"/>
        <v>524</v>
      </c>
      <c r="S6" s="182" t="str">
        <f t="shared" ref="S6:S35" si="4">RIGHT(B6,5)</f>
        <v>12666</v>
      </c>
    </row>
    <row r="7" spans="1:19" x14ac:dyDescent="0.3">
      <c r="A7" s="190">
        <f t="shared" ref="A7:A13" si="5">+A6+1</f>
        <v>3</v>
      </c>
      <c r="B7" s="191" t="s">
        <v>217</v>
      </c>
      <c r="C7" s="190" t="s">
        <v>152</v>
      </c>
      <c r="D7" s="40">
        <v>57554</v>
      </c>
      <c r="E7" s="40">
        <f>2225-223</f>
        <v>2002</v>
      </c>
      <c r="F7" s="41">
        <f t="shared" si="0"/>
        <v>59556</v>
      </c>
      <c r="G7" s="41" t="s">
        <v>224</v>
      </c>
      <c r="H7" s="41">
        <v>61569</v>
      </c>
      <c r="I7" s="64">
        <v>6.8000000000000005E-2</v>
      </c>
      <c r="J7" s="41" t="s">
        <v>9</v>
      </c>
      <c r="K7" s="54"/>
      <c r="L7" s="36">
        <f t="shared" si="1"/>
        <v>2002</v>
      </c>
      <c r="M7" s="36">
        <v>1793</v>
      </c>
      <c r="N7" s="37">
        <v>179</v>
      </c>
      <c r="O7" s="54">
        <v>2225</v>
      </c>
      <c r="P7" s="54">
        <v>223</v>
      </c>
      <c r="Q7" s="37">
        <f t="shared" si="2"/>
        <v>4018</v>
      </c>
      <c r="R7" s="37">
        <f t="shared" si="3"/>
        <v>402</v>
      </c>
      <c r="S7" s="182" t="str">
        <f t="shared" si="4"/>
        <v>13948</v>
      </c>
    </row>
    <row r="8" spans="1:19" x14ac:dyDescent="0.3">
      <c r="A8" s="190">
        <f t="shared" si="5"/>
        <v>4</v>
      </c>
      <c r="B8" s="191" t="s">
        <v>218</v>
      </c>
      <c r="C8" s="41" t="s">
        <v>152</v>
      </c>
      <c r="D8" s="40">
        <v>95923</v>
      </c>
      <c r="E8" s="40">
        <f>3709-371</f>
        <v>3338</v>
      </c>
      <c r="F8" s="41">
        <f t="shared" si="0"/>
        <v>99261</v>
      </c>
      <c r="G8" s="41" t="s">
        <v>224</v>
      </c>
      <c r="H8" s="41">
        <v>102614</v>
      </c>
      <c r="I8" s="64">
        <v>6.8000000000000005E-2</v>
      </c>
      <c r="J8" s="41" t="s">
        <v>9</v>
      </c>
      <c r="K8" s="54"/>
      <c r="L8" s="36">
        <f t="shared" si="1"/>
        <v>3338</v>
      </c>
      <c r="M8" s="36">
        <v>2988</v>
      </c>
      <c r="N8" s="37">
        <v>299</v>
      </c>
      <c r="O8" s="37">
        <v>3709</v>
      </c>
      <c r="P8" s="37">
        <v>371</v>
      </c>
      <c r="Q8" s="37">
        <f t="shared" si="2"/>
        <v>6697</v>
      </c>
      <c r="R8" s="37">
        <f t="shared" si="3"/>
        <v>670</v>
      </c>
      <c r="S8" s="182" t="str">
        <f t="shared" si="4"/>
        <v>13949</v>
      </c>
    </row>
    <row r="9" spans="1:19" x14ac:dyDescent="0.3">
      <c r="A9" s="190">
        <f t="shared" si="5"/>
        <v>5</v>
      </c>
      <c r="B9" s="191" t="s">
        <v>219</v>
      </c>
      <c r="C9" s="41" t="s">
        <v>153</v>
      </c>
      <c r="D9" s="40">
        <v>57463</v>
      </c>
      <c r="E9" s="40">
        <f>303-30</f>
        <v>273</v>
      </c>
      <c r="F9" s="41">
        <f t="shared" si="0"/>
        <v>57736</v>
      </c>
      <c r="G9" s="41" t="s">
        <v>230</v>
      </c>
      <c r="H9" s="41">
        <v>61381</v>
      </c>
      <c r="I9" s="64">
        <v>6.6500000000000004E-2</v>
      </c>
      <c r="J9" s="41" t="s">
        <v>9</v>
      </c>
      <c r="K9" s="54"/>
      <c r="L9" s="36">
        <f t="shared" si="1"/>
        <v>273</v>
      </c>
      <c r="M9" s="36">
        <v>3923</v>
      </c>
      <c r="N9" s="37">
        <v>393</v>
      </c>
      <c r="O9" s="37">
        <v>303</v>
      </c>
      <c r="P9" s="37">
        <v>30</v>
      </c>
      <c r="Q9" s="37">
        <f t="shared" si="2"/>
        <v>4226</v>
      </c>
      <c r="R9" s="37">
        <f t="shared" si="3"/>
        <v>423</v>
      </c>
      <c r="S9" s="182" t="str">
        <f t="shared" si="4"/>
        <v>14147</v>
      </c>
    </row>
    <row r="10" spans="1:19" x14ac:dyDescent="0.3">
      <c r="A10" s="190">
        <f t="shared" si="5"/>
        <v>6</v>
      </c>
      <c r="B10" s="191" t="s">
        <v>220</v>
      </c>
      <c r="C10" s="41" t="s">
        <v>157</v>
      </c>
      <c r="D10" s="40">
        <v>54691</v>
      </c>
      <c r="E10" s="40">
        <f>269-27</f>
        <v>242</v>
      </c>
      <c r="F10" s="41">
        <f t="shared" si="0"/>
        <v>54933</v>
      </c>
      <c r="G10" s="41" t="s">
        <v>231</v>
      </c>
      <c r="H10" s="41">
        <v>58420</v>
      </c>
      <c r="I10" s="64">
        <v>6.6500000000000004E-2</v>
      </c>
      <c r="J10" s="41" t="s">
        <v>9</v>
      </c>
      <c r="K10" s="54"/>
      <c r="L10" s="36">
        <f t="shared" si="1"/>
        <v>242</v>
      </c>
      <c r="M10" s="36">
        <v>3756</v>
      </c>
      <c r="N10" s="37">
        <v>375</v>
      </c>
      <c r="O10" s="37">
        <v>269</v>
      </c>
      <c r="P10" s="37">
        <v>27</v>
      </c>
      <c r="Q10" s="37">
        <f t="shared" si="2"/>
        <v>4025</v>
      </c>
      <c r="R10" s="37">
        <f t="shared" si="3"/>
        <v>402</v>
      </c>
      <c r="S10" s="182" t="str">
        <f t="shared" si="4"/>
        <v>14457</v>
      </c>
    </row>
    <row r="11" spans="1:19" x14ac:dyDescent="0.3">
      <c r="A11" s="190">
        <f t="shared" si="5"/>
        <v>7</v>
      </c>
      <c r="B11" s="191" t="s">
        <v>221</v>
      </c>
      <c r="C11" s="41" t="s">
        <v>158</v>
      </c>
      <c r="D11" s="40">
        <v>52177</v>
      </c>
      <c r="E11" s="40">
        <f>469-47</f>
        <v>422</v>
      </c>
      <c r="F11" s="41">
        <f t="shared" si="0"/>
        <v>52599</v>
      </c>
      <c r="G11" s="41" t="s">
        <v>227</v>
      </c>
      <c r="H11" s="41">
        <v>55734</v>
      </c>
      <c r="I11" s="64">
        <v>6.6500000000000004E-2</v>
      </c>
      <c r="J11" s="41" t="s">
        <v>9</v>
      </c>
      <c r="K11" s="54"/>
      <c r="L11" s="36">
        <f t="shared" si="1"/>
        <v>422</v>
      </c>
      <c r="M11" s="36">
        <v>3353</v>
      </c>
      <c r="N11" s="37">
        <v>336</v>
      </c>
      <c r="O11" s="37">
        <v>469</v>
      </c>
      <c r="P11" s="37">
        <v>47</v>
      </c>
      <c r="Q11" s="37">
        <f t="shared" si="2"/>
        <v>3822</v>
      </c>
      <c r="R11" s="37">
        <f t="shared" si="3"/>
        <v>383</v>
      </c>
      <c r="S11" s="182" t="str">
        <f t="shared" si="4"/>
        <v>14742</v>
      </c>
    </row>
    <row r="12" spans="1:19" x14ac:dyDescent="0.3">
      <c r="A12" s="190">
        <f t="shared" si="5"/>
        <v>8</v>
      </c>
      <c r="B12" s="192" t="s">
        <v>222</v>
      </c>
      <c r="C12" s="41" t="s">
        <v>156</v>
      </c>
      <c r="D12" s="40">
        <v>49315</v>
      </c>
      <c r="E12" s="40">
        <f>53-5</f>
        <v>48</v>
      </c>
      <c r="F12" s="41">
        <f t="shared" si="0"/>
        <v>49363</v>
      </c>
      <c r="G12" s="41" t="s">
        <v>232</v>
      </c>
      <c r="H12" s="41">
        <v>52677</v>
      </c>
      <c r="I12" s="64">
        <v>6.6500000000000004E-2</v>
      </c>
      <c r="J12" s="41" t="s">
        <v>9</v>
      </c>
      <c r="K12" s="54"/>
      <c r="L12" s="36">
        <f t="shared" si="1"/>
        <v>48</v>
      </c>
      <c r="M12" s="36">
        <v>3590</v>
      </c>
      <c r="N12" s="37">
        <v>359</v>
      </c>
      <c r="O12" s="37">
        <v>53</v>
      </c>
      <c r="P12" s="37">
        <v>5</v>
      </c>
      <c r="Q12" s="37">
        <f t="shared" si="2"/>
        <v>3643</v>
      </c>
      <c r="R12" s="37">
        <f t="shared" si="3"/>
        <v>364</v>
      </c>
      <c r="S12" s="182" t="str">
        <f t="shared" si="4"/>
        <v>15331</v>
      </c>
    </row>
    <row r="13" spans="1:19" x14ac:dyDescent="0.3">
      <c r="A13" s="190">
        <f t="shared" si="5"/>
        <v>9</v>
      </c>
      <c r="B13" s="192" t="s">
        <v>194</v>
      </c>
      <c r="C13" s="41"/>
      <c r="D13" s="40">
        <v>91986</v>
      </c>
      <c r="E13" s="40">
        <f t="shared" ref="E13" si="6">O13-P13</f>
        <v>31</v>
      </c>
      <c r="F13" s="41">
        <f t="shared" si="0"/>
        <v>92017</v>
      </c>
      <c r="G13" s="41"/>
      <c r="H13" s="41">
        <v>0</v>
      </c>
      <c r="I13" s="64"/>
      <c r="J13" s="41" t="s">
        <v>9</v>
      </c>
      <c r="K13" s="54"/>
      <c r="L13" s="36">
        <f t="shared" si="1"/>
        <v>31</v>
      </c>
      <c r="M13" s="36">
        <v>0</v>
      </c>
      <c r="N13" s="37">
        <v>0</v>
      </c>
      <c r="O13" s="37">
        <v>34</v>
      </c>
      <c r="P13" s="37">
        <v>3</v>
      </c>
      <c r="Q13" s="37">
        <f t="shared" si="2"/>
        <v>34</v>
      </c>
      <c r="R13" s="37">
        <f t="shared" si="3"/>
        <v>3</v>
      </c>
      <c r="S13" s="182" t="str">
        <f t="shared" si="4"/>
        <v>16209</v>
      </c>
    </row>
    <row r="14" spans="1:19" ht="15" thickBot="1" x14ac:dyDescent="0.35">
      <c r="A14" s="193"/>
      <c r="B14" s="194"/>
      <c r="C14" s="193"/>
      <c r="D14" s="89">
        <f>SUM(D5:D13)</f>
        <v>592187</v>
      </c>
      <c r="E14" s="89">
        <f t="shared" ref="E14:H14" si="7">SUM(E5:E13)</f>
        <v>12526</v>
      </c>
      <c r="F14" s="89">
        <f t="shared" si="7"/>
        <v>604713</v>
      </c>
      <c r="G14" s="89"/>
      <c r="H14" s="89">
        <f t="shared" si="7"/>
        <v>535385</v>
      </c>
      <c r="I14" s="92"/>
      <c r="J14" s="93"/>
      <c r="L14" s="36">
        <v>0</v>
      </c>
      <c r="Q14" s="37">
        <f t="shared" si="2"/>
        <v>0</v>
      </c>
      <c r="R14" s="37">
        <f t="shared" si="3"/>
        <v>0</v>
      </c>
      <c r="S14" s="182" t="str">
        <f t="shared" si="4"/>
        <v/>
      </c>
    </row>
    <row r="15" spans="1:19" ht="15" thickTop="1" x14ac:dyDescent="0.3">
      <c r="A15" s="189"/>
      <c r="D15" s="36"/>
      <c r="E15" s="36"/>
      <c r="L15" s="36">
        <f t="shared" ref="L15:L24" si="8">SUM(E15:E15)</f>
        <v>0</v>
      </c>
      <c r="Q15" s="37">
        <f t="shared" si="2"/>
        <v>0</v>
      </c>
      <c r="R15" s="37">
        <f t="shared" si="3"/>
        <v>0</v>
      </c>
      <c r="S15" s="182" t="str">
        <f t="shared" si="4"/>
        <v/>
      </c>
    </row>
    <row r="16" spans="1:19" x14ac:dyDescent="0.3">
      <c r="A16" s="189"/>
      <c r="B16" s="188" t="s">
        <v>12</v>
      </c>
      <c r="D16" s="36"/>
      <c r="E16" s="36"/>
      <c r="L16" s="36">
        <f t="shared" si="8"/>
        <v>0</v>
      </c>
      <c r="Q16" s="37">
        <f t="shared" si="2"/>
        <v>0</v>
      </c>
      <c r="R16" s="37">
        <f t="shared" si="3"/>
        <v>0</v>
      </c>
      <c r="S16" s="182" t="str">
        <f t="shared" si="4"/>
        <v xml:space="preserve"> Fund</v>
      </c>
    </row>
    <row r="17" spans="1:25" x14ac:dyDescent="0.3">
      <c r="A17" s="190">
        <f>+A13+1</f>
        <v>10</v>
      </c>
      <c r="B17" s="191" t="s">
        <v>206</v>
      </c>
      <c r="C17" s="190" t="s">
        <v>151</v>
      </c>
      <c r="D17" s="40">
        <v>200312</v>
      </c>
      <c r="E17" s="40">
        <f>5277-527</f>
        <v>4750</v>
      </c>
      <c r="F17" s="41">
        <f t="shared" ref="F17:F24" si="9">SUM(D17:E17)</f>
        <v>205062</v>
      </c>
      <c r="G17" s="41" t="s">
        <v>226</v>
      </c>
      <c r="H17" s="41">
        <v>214285</v>
      </c>
      <c r="I17" s="64">
        <v>6.8000000000000005E-2</v>
      </c>
      <c r="J17" s="41" t="s">
        <v>9</v>
      </c>
      <c r="K17" s="54"/>
      <c r="L17" s="36">
        <f t="shared" si="8"/>
        <v>4750</v>
      </c>
      <c r="M17" s="36">
        <v>9235</v>
      </c>
      <c r="N17" s="37">
        <v>924</v>
      </c>
      <c r="O17" s="37">
        <v>5277</v>
      </c>
      <c r="P17" s="37">
        <v>527</v>
      </c>
      <c r="Q17" s="37">
        <f t="shared" si="2"/>
        <v>14512</v>
      </c>
      <c r="R17" s="37">
        <f t="shared" si="3"/>
        <v>1451</v>
      </c>
      <c r="S17" s="182" t="str">
        <f t="shared" si="4"/>
        <v>15265</v>
      </c>
    </row>
    <row r="18" spans="1:25" x14ac:dyDescent="0.3">
      <c r="A18" s="190">
        <f>+A17+1</f>
        <v>11</v>
      </c>
      <c r="B18" s="191" t="s">
        <v>207</v>
      </c>
      <c r="C18" s="190" t="s">
        <v>151</v>
      </c>
      <c r="D18" s="40">
        <v>200312</v>
      </c>
      <c r="E18" s="40">
        <f>5277-527</f>
        <v>4750</v>
      </c>
      <c r="F18" s="41">
        <f t="shared" si="9"/>
        <v>205062</v>
      </c>
      <c r="G18" s="41" t="s">
        <v>226</v>
      </c>
      <c r="H18" s="41">
        <v>214285</v>
      </c>
      <c r="I18" s="64">
        <v>6.8000000000000005E-2</v>
      </c>
      <c r="J18" s="41" t="s">
        <v>9</v>
      </c>
      <c r="K18" s="54"/>
      <c r="L18" s="36">
        <f t="shared" si="8"/>
        <v>4750</v>
      </c>
      <c r="M18" s="36">
        <v>9235</v>
      </c>
      <c r="N18" s="37">
        <v>924</v>
      </c>
      <c r="O18" s="37">
        <v>5277</v>
      </c>
      <c r="P18" s="37">
        <v>527</v>
      </c>
      <c r="Q18" s="37">
        <f t="shared" si="2"/>
        <v>14512</v>
      </c>
      <c r="R18" s="37">
        <f t="shared" si="3"/>
        <v>1451</v>
      </c>
      <c r="S18" s="182" t="str">
        <f t="shared" si="4"/>
        <v>15266</v>
      </c>
    </row>
    <row r="19" spans="1:25" x14ac:dyDescent="0.3">
      <c r="A19" s="190">
        <f t="shared" ref="A19:A24" si="10">+A18+1</f>
        <v>12</v>
      </c>
      <c r="B19" s="191" t="s">
        <v>208</v>
      </c>
      <c r="C19" s="190" t="s">
        <v>209</v>
      </c>
      <c r="D19" s="40">
        <v>76822</v>
      </c>
      <c r="E19" s="40">
        <f>5855-586</f>
        <v>5269</v>
      </c>
      <c r="F19" s="41">
        <f t="shared" si="9"/>
        <v>82091</v>
      </c>
      <c r="G19" s="41" t="s">
        <v>225</v>
      </c>
      <c r="H19" s="41">
        <v>82910</v>
      </c>
      <c r="I19" s="64">
        <v>7.6999999999999999E-2</v>
      </c>
      <c r="J19" s="41" t="s">
        <v>9</v>
      </c>
      <c r="K19" s="54"/>
      <c r="L19" s="36">
        <f t="shared" si="8"/>
        <v>5269</v>
      </c>
      <c r="M19" s="36">
        <v>201</v>
      </c>
      <c r="N19" s="37">
        <v>20</v>
      </c>
      <c r="O19" s="37">
        <v>5855</v>
      </c>
      <c r="P19" s="37">
        <v>586</v>
      </c>
      <c r="Q19" s="37">
        <f t="shared" si="2"/>
        <v>6056</v>
      </c>
      <c r="R19" s="37">
        <f t="shared" si="3"/>
        <v>606</v>
      </c>
      <c r="S19" s="182" t="str">
        <f t="shared" si="4"/>
        <v>14655</v>
      </c>
    </row>
    <row r="20" spans="1:25" x14ac:dyDescent="0.3">
      <c r="A20" s="190">
        <f t="shared" si="10"/>
        <v>13</v>
      </c>
      <c r="B20" s="191" t="s">
        <v>210</v>
      </c>
      <c r="C20" s="190" t="s">
        <v>152</v>
      </c>
      <c r="D20" s="40">
        <v>172616</v>
      </c>
      <c r="E20" s="40">
        <f>6674-668</f>
        <v>6006</v>
      </c>
      <c r="F20" s="41">
        <f t="shared" si="9"/>
        <v>178622</v>
      </c>
      <c r="G20" s="41" t="s">
        <v>224</v>
      </c>
      <c r="H20" s="41">
        <v>184657</v>
      </c>
      <c r="I20" s="64">
        <v>6.8000000000000005E-2</v>
      </c>
      <c r="J20" s="41" t="s">
        <v>9</v>
      </c>
      <c r="K20" s="54"/>
      <c r="L20" s="36">
        <f t="shared" si="8"/>
        <v>6006</v>
      </c>
      <c r="M20" s="36">
        <v>5376</v>
      </c>
      <c r="N20" s="37">
        <v>538</v>
      </c>
      <c r="O20" s="37">
        <v>6674</v>
      </c>
      <c r="P20" s="37">
        <v>668</v>
      </c>
      <c r="Q20" s="37">
        <f t="shared" si="2"/>
        <v>12050</v>
      </c>
      <c r="R20" s="37">
        <f t="shared" si="3"/>
        <v>1206</v>
      </c>
      <c r="S20" s="182" t="str">
        <f t="shared" si="4"/>
        <v>16491</v>
      </c>
    </row>
    <row r="21" spans="1:25" x14ac:dyDescent="0.3">
      <c r="A21" s="190">
        <f t="shared" si="10"/>
        <v>14</v>
      </c>
      <c r="B21" s="191" t="s">
        <v>211</v>
      </c>
      <c r="C21" s="190" t="s">
        <v>153</v>
      </c>
      <c r="D21" s="40">
        <v>172340</v>
      </c>
      <c r="E21" s="40">
        <f>910-91</f>
        <v>819</v>
      </c>
      <c r="F21" s="41">
        <f t="shared" si="9"/>
        <v>173159</v>
      </c>
      <c r="G21" s="41" t="s">
        <v>230</v>
      </c>
      <c r="H21" s="41">
        <v>184090</v>
      </c>
      <c r="I21" s="64">
        <v>6.6500000000000004E-2</v>
      </c>
      <c r="J21" s="41" t="s">
        <v>9</v>
      </c>
      <c r="K21" s="54"/>
      <c r="L21" s="36">
        <f t="shared" si="8"/>
        <v>819</v>
      </c>
      <c r="M21" s="36">
        <v>11765</v>
      </c>
      <c r="N21" s="37">
        <v>1176</v>
      </c>
      <c r="O21" s="37">
        <v>910</v>
      </c>
      <c r="P21" s="37">
        <v>91</v>
      </c>
      <c r="Q21" s="37">
        <f t="shared" si="2"/>
        <v>12675</v>
      </c>
      <c r="R21" s="37">
        <f t="shared" si="3"/>
        <v>1267</v>
      </c>
      <c r="S21" s="182" t="str">
        <f t="shared" si="4"/>
        <v>16739</v>
      </c>
    </row>
    <row r="22" spans="1:25" x14ac:dyDescent="0.3">
      <c r="A22" s="190">
        <f t="shared" si="10"/>
        <v>15</v>
      </c>
      <c r="B22" s="191" t="s">
        <v>212</v>
      </c>
      <c r="C22" s="190" t="s">
        <v>155</v>
      </c>
      <c r="D22" s="40">
        <v>156492</v>
      </c>
      <c r="E22" s="40">
        <f>1465-147</f>
        <v>1318</v>
      </c>
      <c r="F22" s="41">
        <f t="shared" si="9"/>
        <v>157810</v>
      </c>
      <c r="G22" s="41" t="s">
        <v>228</v>
      </c>
      <c r="H22" s="41">
        <v>156492</v>
      </c>
      <c r="I22" s="64">
        <v>6.6500000000000004E-2</v>
      </c>
      <c r="J22" s="41" t="s">
        <v>9</v>
      </c>
      <c r="K22" s="54"/>
      <c r="L22" s="36">
        <f t="shared" si="8"/>
        <v>1318</v>
      </c>
      <c r="M22" s="36">
        <v>9993</v>
      </c>
      <c r="N22" s="37">
        <v>1000</v>
      </c>
      <c r="O22" s="54">
        <v>1465</v>
      </c>
      <c r="P22" s="54">
        <v>147</v>
      </c>
      <c r="Q22" s="37">
        <f t="shared" si="2"/>
        <v>11458</v>
      </c>
      <c r="R22" s="37">
        <f t="shared" si="3"/>
        <v>1147</v>
      </c>
      <c r="S22" s="182" t="str">
        <f t="shared" si="4"/>
        <v>17683</v>
      </c>
    </row>
    <row r="23" spans="1:25" x14ac:dyDescent="0.3">
      <c r="A23" s="190">
        <f t="shared" si="10"/>
        <v>16</v>
      </c>
      <c r="B23" s="192" t="s">
        <v>213</v>
      </c>
      <c r="C23" s="190" t="s">
        <v>156</v>
      </c>
      <c r="D23" s="40">
        <v>147904</v>
      </c>
      <c r="E23" s="40">
        <f>161-16</f>
        <v>145</v>
      </c>
      <c r="F23" s="41">
        <f t="shared" si="9"/>
        <v>148049</v>
      </c>
      <c r="G23" s="41" t="s">
        <v>232</v>
      </c>
      <c r="H23" s="41">
        <v>157988</v>
      </c>
      <c r="I23" s="64">
        <v>6.6500000000000004E-2</v>
      </c>
      <c r="J23" s="41" t="s">
        <v>9</v>
      </c>
      <c r="K23" s="54"/>
      <c r="L23" s="36">
        <f t="shared" si="8"/>
        <v>145</v>
      </c>
      <c r="M23" s="36">
        <v>10767</v>
      </c>
      <c r="N23" s="37">
        <v>1077</v>
      </c>
      <c r="O23" s="37">
        <v>161</v>
      </c>
      <c r="P23" s="37">
        <v>16</v>
      </c>
      <c r="Q23" s="37">
        <f t="shared" si="2"/>
        <v>10928</v>
      </c>
      <c r="R23" s="37">
        <f t="shared" si="3"/>
        <v>1093</v>
      </c>
      <c r="S23" s="182" t="str">
        <f t="shared" si="4"/>
        <v>18486</v>
      </c>
    </row>
    <row r="24" spans="1:25" x14ac:dyDescent="0.3">
      <c r="A24" s="190">
        <f t="shared" si="10"/>
        <v>17</v>
      </c>
      <c r="B24" s="192">
        <v>6605300019862</v>
      </c>
      <c r="C24" s="190" t="s">
        <v>214</v>
      </c>
      <c r="D24" s="40">
        <v>292690</v>
      </c>
      <c r="E24" s="40">
        <f t="shared" ref="E24" si="11">O24-P24</f>
        <v>98</v>
      </c>
      <c r="F24" s="41">
        <f t="shared" si="9"/>
        <v>292788</v>
      </c>
      <c r="G24" s="41"/>
      <c r="H24" s="41">
        <v>0</v>
      </c>
      <c r="I24" s="64"/>
      <c r="J24" s="41" t="s">
        <v>9</v>
      </c>
      <c r="K24" s="54"/>
      <c r="L24" s="36">
        <f t="shared" si="8"/>
        <v>98</v>
      </c>
      <c r="O24" s="37">
        <v>109</v>
      </c>
      <c r="P24" s="37">
        <v>11</v>
      </c>
      <c r="Q24" s="37">
        <f t="shared" si="2"/>
        <v>109</v>
      </c>
      <c r="R24" s="37">
        <f t="shared" si="3"/>
        <v>11</v>
      </c>
      <c r="S24" s="182" t="str">
        <f t="shared" si="4"/>
        <v>19862</v>
      </c>
    </row>
    <row r="25" spans="1:25" ht="15" thickBot="1" x14ac:dyDescent="0.35">
      <c r="A25" s="196"/>
      <c r="B25" s="197"/>
      <c r="C25" s="198"/>
      <c r="D25" s="89">
        <f>SUM(D17:D24)</f>
        <v>1419488</v>
      </c>
      <c r="E25" s="89">
        <f t="shared" ref="E25:H25" si="12">SUM(E17:E24)</f>
        <v>23155</v>
      </c>
      <c r="F25" s="89">
        <f t="shared" si="12"/>
        <v>1442643</v>
      </c>
      <c r="G25" s="43"/>
      <c r="H25" s="89">
        <f t="shared" si="12"/>
        <v>1194707</v>
      </c>
      <c r="I25" s="90"/>
      <c r="J25" s="91"/>
      <c r="L25" s="36">
        <v>0</v>
      </c>
      <c r="Q25" s="37">
        <f t="shared" si="2"/>
        <v>0</v>
      </c>
      <c r="R25" s="37">
        <f t="shared" si="3"/>
        <v>0</v>
      </c>
      <c r="S25" s="182" t="str">
        <f t="shared" si="4"/>
        <v/>
      </c>
      <c r="T25" s="53"/>
      <c r="U25" s="54"/>
      <c r="V25" s="54"/>
      <c r="W25" s="54"/>
      <c r="X25" s="54"/>
      <c r="Y25" s="54"/>
    </row>
    <row r="26" spans="1:25" ht="15" thickTop="1" x14ac:dyDescent="0.3">
      <c r="A26" s="189"/>
      <c r="D26" s="36"/>
      <c r="E26" s="36"/>
      <c r="L26" s="36">
        <f t="shared" ref="L26:L36" si="13">SUM(E26:E26)</f>
        <v>0</v>
      </c>
      <c r="Q26" s="37">
        <f t="shared" si="2"/>
        <v>0</v>
      </c>
      <c r="R26" s="37">
        <f t="shared" si="3"/>
        <v>0</v>
      </c>
      <c r="S26" s="182" t="str">
        <f t="shared" si="4"/>
        <v/>
      </c>
    </row>
    <row r="27" spans="1:25" x14ac:dyDescent="0.3">
      <c r="A27" s="189"/>
      <c r="B27" s="188" t="s">
        <v>18</v>
      </c>
      <c r="D27" s="36"/>
      <c r="E27" s="36"/>
      <c r="L27" s="36">
        <f t="shared" si="13"/>
        <v>0</v>
      </c>
      <c r="Q27" s="37">
        <f t="shared" si="2"/>
        <v>0</v>
      </c>
      <c r="R27" s="37">
        <f t="shared" si="3"/>
        <v>0</v>
      </c>
      <c r="S27" s="182" t="str">
        <f t="shared" si="4"/>
        <v xml:space="preserve"> Fund</v>
      </c>
    </row>
    <row r="28" spans="1:25" x14ac:dyDescent="0.3">
      <c r="A28" s="190">
        <f>+A24+1</f>
        <v>18</v>
      </c>
      <c r="B28" s="191" t="s">
        <v>203</v>
      </c>
      <c r="C28" s="190" t="s">
        <v>154</v>
      </c>
      <c r="D28" s="40">
        <v>153656</v>
      </c>
      <c r="E28" s="40">
        <f>11817-1182</f>
        <v>10635</v>
      </c>
      <c r="F28" s="41">
        <f>SUM(D28:E28)</f>
        <v>164291</v>
      </c>
      <c r="G28" s="41" t="s">
        <v>223</v>
      </c>
      <c r="H28" s="41">
        <v>165834</v>
      </c>
      <c r="I28" s="64">
        <v>7.6999999999999999E-2</v>
      </c>
      <c r="J28" s="41" t="s">
        <v>9</v>
      </c>
      <c r="K28" s="54"/>
      <c r="L28" s="36">
        <f t="shared" si="13"/>
        <v>10635</v>
      </c>
      <c r="M28" s="36">
        <v>312</v>
      </c>
      <c r="N28" s="37">
        <v>31</v>
      </c>
      <c r="O28" s="37">
        <v>11817</v>
      </c>
      <c r="P28" s="37">
        <v>1182</v>
      </c>
      <c r="Q28" s="37">
        <f t="shared" si="2"/>
        <v>12129</v>
      </c>
      <c r="R28" s="37">
        <f t="shared" si="3"/>
        <v>1213</v>
      </c>
      <c r="S28" s="182" t="str">
        <f t="shared" si="4"/>
        <v>14636</v>
      </c>
    </row>
    <row r="29" spans="1:25" x14ac:dyDescent="0.3">
      <c r="A29" s="190">
        <f>+A28+1</f>
        <v>19</v>
      </c>
      <c r="B29" s="191" t="s">
        <v>204</v>
      </c>
      <c r="C29" s="190" t="s">
        <v>154</v>
      </c>
      <c r="D29" s="40">
        <v>153656</v>
      </c>
      <c r="E29" s="40">
        <f>11817-1182</f>
        <v>10635</v>
      </c>
      <c r="F29" s="41">
        <f>SUM(D29:E29)</f>
        <v>164291</v>
      </c>
      <c r="G29" s="41"/>
      <c r="H29" s="41"/>
      <c r="I29" s="64"/>
      <c r="J29" s="41" t="s">
        <v>9</v>
      </c>
      <c r="K29" s="54"/>
      <c r="L29" s="36">
        <f t="shared" si="13"/>
        <v>10635</v>
      </c>
      <c r="M29" s="36">
        <v>312</v>
      </c>
      <c r="N29" s="37">
        <v>31</v>
      </c>
      <c r="O29" s="37">
        <v>11817</v>
      </c>
      <c r="P29" s="37">
        <v>1182</v>
      </c>
      <c r="Q29" s="37">
        <f t="shared" si="2"/>
        <v>12129</v>
      </c>
      <c r="R29" s="37">
        <f t="shared" si="3"/>
        <v>1213</v>
      </c>
      <c r="S29" s="182" t="str">
        <f t="shared" si="4"/>
        <v>14637</v>
      </c>
    </row>
    <row r="30" spans="1:25" x14ac:dyDescent="0.3">
      <c r="A30" s="190">
        <f>+A29+1</f>
        <v>20</v>
      </c>
      <c r="B30" s="191" t="s">
        <v>205</v>
      </c>
      <c r="C30" s="190" t="s">
        <v>154</v>
      </c>
      <c r="D30" s="40">
        <v>153656</v>
      </c>
      <c r="E30" s="40">
        <f>11817-1182</f>
        <v>10635</v>
      </c>
      <c r="F30" s="41">
        <f>SUM(D30:E30)</f>
        <v>164291</v>
      </c>
      <c r="G30" s="41" t="s">
        <v>223</v>
      </c>
      <c r="H30" s="41">
        <v>165834</v>
      </c>
      <c r="I30" s="64">
        <v>7.6999999999999999E-2</v>
      </c>
      <c r="J30" s="41" t="s">
        <v>9</v>
      </c>
      <c r="K30" s="54"/>
      <c r="L30" s="36">
        <f t="shared" si="13"/>
        <v>10635</v>
      </c>
      <c r="M30" s="36">
        <v>312</v>
      </c>
      <c r="N30" s="37">
        <v>31</v>
      </c>
      <c r="O30" s="37">
        <v>11817</v>
      </c>
      <c r="P30" s="37">
        <v>1182</v>
      </c>
      <c r="Q30" s="37">
        <f t="shared" si="2"/>
        <v>12129</v>
      </c>
      <c r="R30" s="37">
        <f t="shared" si="3"/>
        <v>1213</v>
      </c>
      <c r="S30" s="182" t="str">
        <f t="shared" si="4"/>
        <v>14639</v>
      </c>
    </row>
    <row r="31" spans="1:25" ht="15" thickBot="1" x14ac:dyDescent="0.35">
      <c r="A31" s="199"/>
      <c r="B31" s="197"/>
      <c r="C31" s="198"/>
      <c r="D31" s="89">
        <f>SUM(D28:D30)</f>
        <v>460968</v>
      </c>
      <c r="E31" s="89">
        <f t="shared" ref="E31:F31" si="14">SUM(E28:E30)</f>
        <v>31905</v>
      </c>
      <c r="F31" s="89">
        <f t="shared" si="14"/>
        <v>492873</v>
      </c>
      <c r="G31" s="43"/>
      <c r="H31" s="89">
        <f>SUM(H28:H30)</f>
        <v>331668</v>
      </c>
      <c r="I31" s="90"/>
      <c r="J31" s="91"/>
      <c r="L31" s="36">
        <f t="shared" si="13"/>
        <v>31905</v>
      </c>
      <c r="Q31" s="37">
        <f t="shared" si="2"/>
        <v>0</v>
      </c>
      <c r="R31" s="37">
        <f t="shared" si="3"/>
        <v>0</v>
      </c>
      <c r="S31" s="182" t="str">
        <f t="shared" si="4"/>
        <v/>
      </c>
    </row>
    <row r="32" spans="1:25" ht="15" thickTop="1" x14ac:dyDescent="0.3">
      <c r="D32" s="52"/>
      <c r="E32" s="52"/>
      <c r="F32" s="52"/>
      <c r="G32" s="42"/>
      <c r="H32" s="52"/>
      <c r="L32" s="36">
        <f t="shared" si="13"/>
        <v>0</v>
      </c>
      <c r="Q32" s="37">
        <f t="shared" si="2"/>
        <v>0</v>
      </c>
      <c r="R32" s="37">
        <f t="shared" si="3"/>
        <v>0</v>
      </c>
      <c r="S32" s="182" t="str">
        <f t="shared" si="4"/>
        <v/>
      </c>
    </row>
    <row r="33" spans="1:19" x14ac:dyDescent="0.3">
      <c r="B33" s="188" t="s">
        <v>159</v>
      </c>
      <c r="D33" s="36"/>
      <c r="E33" s="36"/>
      <c r="L33" s="36">
        <f t="shared" si="13"/>
        <v>0</v>
      </c>
      <c r="Q33" s="37">
        <f t="shared" si="2"/>
        <v>0</v>
      </c>
      <c r="R33" s="37">
        <f t="shared" si="3"/>
        <v>0</v>
      </c>
      <c r="S33" s="182" t="str">
        <f t="shared" si="4"/>
        <v xml:space="preserve"> Fund</v>
      </c>
    </row>
    <row r="34" spans="1:19" x14ac:dyDescent="0.3">
      <c r="A34" s="200">
        <f>+A30+1</f>
        <v>21</v>
      </c>
      <c r="B34" s="191" t="s">
        <v>160</v>
      </c>
      <c r="C34" s="190" t="s">
        <v>162</v>
      </c>
      <c r="D34" s="40">
        <v>46216</v>
      </c>
      <c r="E34" s="40">
        <f>264-26</f>
        <v>238</v>
      </c>
      <c r="F34" s="41">
        <f>SUM(D34:E34)</f>
        <v>46454</v>
      </c>
      <c r="G34" s="41" t="s">
        <v>229</v>
      </c>
      <c r="H34" s="41">
        <v>49367</v>
      </c>
      <c r="I34" s="64">
        <v>6.6500000000000004E-2</v>
      </c>
      <c r="J34" s="41" t="s">
        <v>9</v>
      </c>
      <c r="K34" s="54"/>
      <c r="L34" s="36">
        <f t="shared" si="13"/>
        <v>238</v>
      </c>
      <c r="M34" s="36">
        <v>3134</v>
      </c>
      <c r="N34" s="37">
        <v>314</v>
      </c>
      <c r="O34" s="37">
        <v>264</v>
      </c>
      <c r="P34" s="37">
        <v>26</v>
      </c>
      <c r="Q34" s="37">
        <f t="shared" si="2"/>
        <v>3398</v>
      </c>
      <c r="R34" s="37">
        <f t="shared" si="3"/>
        <v>340</v>
      </c>
      <c r="S34" s="182" t="str">
        <f t="shared" si="4"/>
        <v>15714</v>
      </c>
    </row>
    <row r="35" spans="1:19" x14ac:dyDescent="0.3">
      <c r="A35" s="200">
        <f>+A34+1</f>
        <v>22</v>
      </c>
      <c r="B35" s="191" t="s">
        <v>161</v>
      </c>
      <c r="C35" s="190" t="s">
        <v>162</v>
      </c>
      <c r="D35" s="40">
        <v>138612</v>
      </c>
      <c r="E35" s="40">
        <f>793-79</f>
        <v>714</v>
      </c>
      <c r="F35" s="41">
        <f>SUM(D35:E35)</f>
        <v>139326</v>
      </c>
      <c r="G35" s="41" t="s">
        <v>229</v>
      </c>
      <c r="H35" s="41">
        <v>148062</v>
      </c>
      <c r="I35" s="64">
        <v>6.6500000000000004E-2</v>
      </c>
      <c r="J35" s="41" t="s">
        <v>9</v>
      </c>
      <c r="K35" s="54"/>
      <c r="L35" s="36">
        <f t="shared" si="13"/>
        <v>714</v>
      </c>
      <c r="M35" s="36">
        <v>9397</v>
      </c>
      <c r="N35" s="37">
        <v>940</v>
      </c>
      <c r="O35" s="37">
        <v>793</v>
      </c>
      <c r="P35" s="37">
        <v>79</v>
      </c>
      <c r="Q35" s="37">
        <f t="shared" si="2"/>
        <v>10190</v>
      </c>
      <c r="R35" s="37">
        <f t="shared" si="3"/>
        <v>1019</v>
      </c>
      <c r="S35" s="182" t="str">
        <f t="shared" si="4"/>
        <v>19095</v>
      </c>
    </row>
    <row r="36" spans="1:19" ht="15" thickBot="1" x14ac:dyDescent="0.35">
      <c r="A36" s="199"/>
      <c r="B36" s="197"/>
      <c r="C36" s="198"/>
      <c r="D36" s="89">
        <f>SUM(D34:D35)</f>
        <v>184828</v>
      </c>
      <c r="E36" s="89">
        <f t="shared" ref="E36:F36" si="15">SUM(E34:E35)</f>
        <v>952</v>
      </c>
      <c r="F36" s="89">
        <f t="shared" si="15"/>
        <v>185780</v>
      </c>
      <c r="G36" s="43"/>
      <c r="H36" s="89">
        <f>SUM(H34:H35)</f>
        <v>197429</v>
      </c>
      <c r="I36" s="90"/>
      <c r="J36" s="91"/>
      <c r="L36" s="36">
        <f t="shared" si="13"/>
        <v>952</v>
      </c>
    </row>
    <row r="37" spans="1:19" ht="15" thickTop="1" x14ac:dyDescent="0.3">
      <c r="D37" s="36"/>
      <c r="E37" s="36"/>
    </row>
    <row r="38" spans="1:19" x14ac:dyDescent="0.3">
      <c r="D38" s="36"/>
      <c r="E38" s="36"/>
    </row>
    <row r="39" spans="1:19" ht="15" thickBot="1" x14ac:dyDescent="0.35">
      <c r="B39" s="201" t="s">
        <v>19</v>
      </c>
      <c r="C39" s="198"/>
      <c r="D39" s="43">
        <f>D14+D25+D31+D36</f>
        <v>2657471</v>
      </c>
      <c r="E39" s="43">
        <f t="shared" ref="E39:H39" si="16">E14+E25+E31+E36</f>
        <v>68538</v>
      </c>
      <c r="F39" s="43">
        <f t="shared" si="16"/>
        <v>2726009</v>
      </c>
      <c r="G39" s="43"/>
      <c r="H39" s="43">
        <f t="shared" si="16"/>
        <v>2259189</v>
      </c>
      <c r="M39" s="43">
        <f>SUM(M4:M38)</f>
        <v>92658</v>
      </c>
      <c r="N39" s="43">
        <f t="shared" ref="N39:R39" si="17">SUM(N4:N38)</f>
        <v>9269</v>
      </c>
      <c r="O39" s="43">
        <f t="shared" si="17"/>
        <v>76153</v>
      </c>
      <c r="P39" s="43">
        <f t="shared" si="17"/>
        <v>7615</v>
      </c>
      <c r="Q39" s="43">
        <f t="shared" si="17"/>
        <v>168811</v>
      </c>
      <c r="R39" s="43">
        <f t="shared" si="17"/>
        <v>16884</v>
      </c>
    </row>
    <row r="40" spans="1:19" ht="13.2" customHeight="1" thickTop="1" x14ac:dyDescent="0.3">
      <c r="D40" s="36"/>
      <c r="E40" s="36"/>
    </row>
    <row r="41" spans="1:19" hidden="1" x14ac:dyDescent="0.3">
      <c r="E41" s="36">
        <f>SUM(E39:E39)</f>
        <v>68538</v>
      </c>
    </row>
    <row r="42" spans="1:19" hidden="1" x14ac:dyDescent="0.3">
      <c r="E42" s="36">
        <f>+O39-P39</f>
        <v>68538</v>
      </c>
    </row>
    <row r="43" spans="1:19" x14ac:dyDescent="0.3">
      <c r="E43" s="36"/>
    </row>
  </sheetData>
  <mergeCells count="2">
    <mergeCell ref="B2:J2"/>
    <mergeCell ref="B1:J1"/>
  </mergeCells>
  <printOptions horizontalCentered="1"/>
  <pageMargins left="0.19685039370078741" right="0.19685039370078741" top="0.39370078740157483" bottom="0.23622047244094491" header="0.31496062992125984" footer="0.31496062992125984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view="pageBreakPreview" zoomScaleNormal="100" zoomScaleSheetLayoutView="100" workbookViewId="0">
      <selection activeCell="H5" sqref="H5:H9"/>
    </sheetView>
  </sheetViews>
  <sheetFormatPr defaultColWidth="16.109375" defaultRowHeight="14.4" x14ac:dyDescent="0.3"/>
  <cols>
    <col min="1" max="1" width="15" style="95" customWidth="1"/>
    <col min="2" max="2" width="6.6640625" style="101" bestFit="1" customWidth="1"/>
    <col min="3" max="3" width="14.33203125" style="1" bestFit="1" customWidth="1"/>
    <col min="4" max="4" width="11.33203125" style="1" bestFit="1" customWidth="1"/>
    <col min="5" max="5" width="11.5546875" style="1" customWidth="1"/>
    <col min="6" max="6" width="14.33203125" style="1" bestFit="1" customWidth="1"/>
    <col min="7" max="7" width="12.33203125" style="1" customWidth="1"/>
    <col min="8" max="8" width="14.33203125" style="1" bestFit="1" customWidth="1"/>
    <col min="9" max="9" width="4.21875" style="95" customWidth="1"/>
    <col min="10" max="16384" width="16.109375" style="95"/>
  </cols>
  <sheetData>
    <row r="1" spans="1:10" ht="18" x14ac:dyDescent="0.3">
      <c r="A1" s="147" t="s">
        <v>246</v>
      </c>
      <c r="B1" s="147"/>
      <c r="C1" s="147"/>
      <c r="D1" s="147"/>
      <c r="E1" s="147"/>
      <c r="F1" s="147"/>
      <c r="G1" s="147"/>
      <c r="H1" s="147"/>
    </row>
    <row r="2" spans="1:10" x14ac:dyDescent="0.3">
      <c r="A2" s="149" t="s">
        <v>177</v>
      </c>
      <c r="B2" s="149"/>
      <c r="C2" s="149"/>
      <c r="D2" s="149"/>
      <c r="E2" s="149"/>
      <c r="F2" s="149"/>
      <c r="G2" s="149"/>
      <c r="H2" s="149"/>
    </row>
    <row r="3" spans="1:10" s="21" customFormat="1" ht="66" customHeight="1" thickBot="1" x14ac:dyDescent="0.35">
      <c r="A3" s="104" t="s">
        <v>99</v>
      </c>
      <c r="B3" s="104" t="s">
        <v>100</v>
      </c>
      <c r="C3" s="81" t="s">
        <v>178</v>
      </c>
      <c r="D3" s="81" t="s">
        <v>179</v>
      </c>
      <c r="E3" s="81" t="s">
        <v>180</v>
      </c>
      <c r="F3" s="81" t="s">
        <v>181</v>
      </c>
      <c r="G3" s="81" t="s">
        <v>101</v>
      </c>
      <c r="H3" s="81" t="s">
        <v>182</v>
      </c>
    </row>
    <row r="4" spans="1:10" ht="30" customHeight="1" thickTop="1" x14ac:dyDescent="0.3">
      <c r="A4" s="97" t="s">
        <v>102</v>
      </c>
      <c r="B4" s="98">
        <v>0</v>
      </c>
      <c r="C4" s="6">
        <v>93912100</v>
      </c>
      <c r="D4" s="6">
        <v>0</v>
      </c>
      <c r="E4" s="6">
        <v>0</v>
      </c>
      <c r="F4" s="6">
        <f t="shared" ref="F4:F9" si="0">C4+D4+E4</f>
        <v>93912100</v>
      </c>
      <c r="G4" s="6">
        <f t="shared" ref="G4:G9" si="1">ROUND((SUM(C4:D4)*B4)+E4*B4/2,)</f>
        <v>0</v>
      </c>
      <c r="H4" s="6">
        <f>F4-G4</f>
        <v>93912100</v>
      </c>
    </row>
    <row r="5" spans="1:10" ht="30" customHeight="1" x14ac:dyDescent="0.3">
      <c r="A5" s="97" t="s">
        <v>83</v>
      </c>
      <c r="B5" s="98">
        <v>0.15</v>
      </c>
      <c r="C5" s="6">
        <v>49616</v>
      </c>
      <c r="D5" s="6">
        <v>0</v>
      </c>
      <c r="E5" s="6">
        <v>2506</v>
      </c>
      <c r="F5" s="6">
        <f t="shared" si="0"/>
        <v>52122</v>
      </c>
      <c r="G5" s="6">
        <f t="shared" si="1"/>
        <v>7630</v>
      </c>
      <c r="H5" s="6">
        <f t="shared" ref="H5:H8" si="2">F5-G5</f>
        <v>44492</v>
      </c>
    </row>
    <row r="6" spans="1:10" ht="30" customHeight="1" x14ac:dyDescent="0.3">
      <c r="A6" s="97" t="s">
        <v>84</v>
      </c>
      <c r="B6" s="98">
        <v>0.15</v>
      </c>
      <c r="C6" s="6">
        <v>1238</v>
      </c>
      <c r="D6" s="6">
        <v>0</v>
      </c>
      <c r="E6" s="6">
        <v>0</v>
      </c>
      <c r="F6" s="6">
        <f t="shared" si="0"/>
        <v>1238</v>
      </c>
      <c r="G6" s="6">
        <f t="shared" si="1"/>
        <v>186</v>
      </c>
      <c r="H6" s="6">
        <f t="shared" si="2"/>
        <v>1052</v>
      </c>
    </row>
    <row r="7" spans="1:10" ht="30" customHeight="1" x14ac:dyDescent="0.3">
      <c r="A7" s="97" t="s">
        <v>85</v>
      </c>
      <c r="B7" s="99">
        <v>0.1</v>
      </c>
      <c r="C7" s="6">
        <v>10354</v>
      </c>
      <c r="D7" s="6">
        <v>0</v>
      </c>
      <c r="E7" s="6">
        <v>0</v>
      </c>
      <c r="F7" s="6">
        <f t="shared" si="0"/>
        <v>10354</v>
      </c>
      <c r="G7" s="6">
        <f t="shared" si="1"/>
        <v>1035</v>
      </c>
      <c r="H7" s="6">
        <f t="shared" si="2"/>
        <v>9319</v>
      </c>
    </row>
    <row r="8" spans="1:10" ht="30" customHeight="1" x14ac:dyDescent="0.3">
      <c r="A8" s="97" t="s">
        <v>86</v>
      </c>
      <c r="B8" s="98">
        <v>0.15</v>
      </c>
      <c r="C8" s="6">
        <v>9918</v>
      </c>
      <c r="D8" s="6">
        <v>0</v>
      </c>
      <c r="E8" s="6">
        <v>0</v>
      </c>
      <c r="F8" s="6">
        <f t="shared" si="0"/>
        <v>9918</v>
      </c>
      <c r="G8" s="6">
        <f t="shared" si="1"/>
        <v>1488</v>
      </c>
      <c r="H8" s="6">
        <f t="shared" si="2"/>
        <v>8430</v>
      </c>
    </row>
    <row r="9" spans="1:10" ht="30" customHeight="1" x14ac:dyDescent="0.3">
      <c r="A9" s="97" t="s">
        <v>149</v>
      </c>
      <c r="B9" s="98">
        <v>0.15</v>
      </c>
      <c r="C9" s="6">
        <v>550375</v>
      </c>
      <c r="D9" s="6">
        <v>0</v>
      </c>
      <c r="E9" s="6"/>
      <c r="F9" s="6">
        <f t="shared" si="0"/>
        <v>550375</v>
      </c>
      <c r="G9" s="6">
        <f t="shared" si="1"/>
        <v>82556</v>
      </c>
      <c r="H9" s="6">
        <f>F9-G9</f>
        <v>467819</v>
      </c>
    </row>
    <row r="10" spans="1:10" ht="30" customHeight="1" thickBot="1" x14ac:dyDescent="0.35">
      <c r="A10" s="102" t="s">
        <v>15</v>
      </c>
      <c r="B10" s="103"/>
      <c r="C10" s="80">
        <f t="shared" ref="C10:H10" si="3">SUM(C4:C9)</f>
        <v>94533601</v>
      </c>
      <c r="D10" s="80">
        <f t="shared" si="3"/>
        <v>0</v>
      </c>
      <c r="E10" s="80">
        <f t="shared" si="3"/>
        <v>2506</v>
      </c>
      <c r="F10" s="80">
        <f t="shared" si="3"/>
        <v>94536107</v>
      </c>
      <c r="G10" s="80">
        <f t="shared" si="3"/>
        <v>92895</v>
      </c>
      <c r="H10" s="80">
        <f t="shared" si="3"/>
        <v>94443212</v>
      </c>
      <c r="J10" s="100"/>
    </row>
    <row r="11" spans="1:10" ht="15" thickTop="1" x14ac:dyDescent="0.3"/>
  </sheetData>
  <mergeCells count="2">
    <mergeCell ref="A1:H1"/>
    <mergeCell ref="A2:H2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view="pageBreakPreview" topLeftCell="A3" zoomScaleNormal="100" zoomScaleSheetLayoutView="100" workbookViewId="0">
      <selection sqref="A1:H1"/>
    </sheetView>
  </sheetViews>
  <sheetFormatPr defaultRowHeight="14.4" x14ac:dyDescent="0.3"/>
  <cols>
    <col min="1" max="1" width="5.33203125" style="95" bestFit="1" customWidth="1"/>
    <col min="2" max="2" width="12.77734375" style="101" customWidth="1"/>
    <col min="3" max="3" width="32.5546875" style="95" bestFit="1" customWidth="1"/>
    <col min="4" max="4" width="13.5546875" style="95" customWidth="1"/>
    <col min="5" max="5" width="4.6640625" style="95" customWidth="1"/>
    <col min="6" max="6" width="8.88671875" style="95"/>
    <col min="7" max="7" width="10.33203125" style="95" bestFit="1" customWidth="1"/>
    <col min="8" max="8" width="16.44140625" style="101" customWidth="1"/>
    <col min="9" max="9" width="10.33203125" style="95" bestFit="1" customWidth="1"/>
    <col min="10" max="16384" width="8.88671875" style="95"/>
  </cols>
  <sheetData>
    <row r="1" spans="1:10" ht="19.95" customHeight="1" x14ac:dyDescent="0.3">
      <c r="A1" s="147" t="s">
        <v>246</v>
      </c>
      <c r="B1" s="147"/>
      <c r="C1" s="147"/>
      <c r="D1" s="147"/>
    </row>
    <row r="2" spans="1:10" ht="19.95" customHeight="1" x14ac:dyDescent="0.3">
      <c r="A2" s="148" t="s">
        <v>233</v>
      </c>
      <c r="B2" s="148"/>
      <c r="C2" s="148"/>
      <c r="D2" s="148"/>
    </row>
    <row r="3" spans="1:10" ht="19.95" customHeight="1" thickBot="1" x14ac:dyDescent="0.35">
      <c r="A3" s="113" t="s">
        <v>103</v>
      </c>
      <c r="B3" s="113" t="s">
        <v>105</v>
      </c>
      <c r="C3" s="113" t="s">
        <v>106</v>
      </c>
      <c r="D3" s="113" t="s">
        <v>107</v>
      </c>
    </row>
    <row r="4" spans="1:10" ht="19.95" customHeight="1" thickTop="1" x14ac:dyDescent="0.3">
      <c r="A4" s="117">
        <v>1</v>
      </c>
      <c r="B4" s="117" t="s">
        <v>123</v>
      </c>
      <c r="C4" s="118" t="s">
        <v>124</v>
      </c>
      <c r="D4" s="115">
        <v>153355</v>
      </c>
      <c r="J4" s="1"/>
    </row>
    <row r="5" spans="1:10" ht="19.95" customHeight="1" x14ac:dyDescent="0.3">
      <c r="A5" s="106">
        <v>2</v>
      </c>
      <c r="B5" s="106">
        <v>2</v>
      </c>
      <c r="C5" s="107" t="s">
        <v>114</v>
      </c>
      <c r="D5" s="108">
        <v>77853</v>
      </c>
      <c r="J5" s="1"/>
    </row>
    <row r="6" spans="1:10" ht="19.95" customHeight="1" x14ac:dyDescent="0.3">
      <c r="A6" s="106">
        <v>3</v>
      </c>
      <c r="B6" s="106">
        <v>202</v>
      </c>
      <c r="C6" s="107" t="s">
        <v>183</v>
      </c>
      <c r="D6" s="108">
        <v>8342</v>
      </c>
      <c r="J6" s="1"/>
    </row>
    <row r="7" spans="1:10" ht="19.95" customHeight="1" x14ac:dyDescent="0.3">
      <c r="A7" s="106">
        <v>4</v>
      </c>
      <c r="B7" s="106">
        <v>1001</v>
      </c>
      <c r="C7" s="107" t="s">
        <v>104</v>
      </c>
      <c r="D7" s="108">
        <v>605570</v>
      </c>
      <c r="J7" s="1"/>
    </row>
    <row r="8" spans="1:10" ht="19.95" customHeight="1" thickBot="1" x14ac:dyDescent="0.35">
      <c r="A8" s="109"/>
      <c r="B8" s="176" t="s">
        <v>15</v>
      </c>
      <c r="C8" s="177"/>
      <c r="D8" s="110">
        <f>SUM(D4:D7)</f>
        <v>845120</v>
      </c>
      <c r="J8" s="1"/>
    </row>
    <row r="9" spans="1:10" ht="19.95" customHeight="1" thickTop="1" x14ac:dyDescent="0.3">
      <c r="J9" s="1"/>
    </row>
    <row r="10" spans="1:10" ht="19.95" customHeight="1" x14ac:dyDescent="0.3"/>
    <row r="11" spans="1:10" ht="19.95" customHeight="1" x14ac:dyDescent="0.3"/>
    <row r="12" spans="1:10" ht="19.95" customHeight="1" x14ac:dyDescent="0.3">
      <c r="B12" s="147" t="s">
        <v>246</v>
      </c>
      <c r="C12" s="147"/>
      <c r="D12" s="147"/>
    </row>
    <row r="13" spans="1:10" ht="19.95" customHeight="1" x14ac:dyDescent="0.3">
      <c r="B13" s="148" t="s">
        <v>184</v>
      </c>
      <c r="C13" s="148"/>
      <c r="D13" s="148"/>
    </row>
    <row r="14" spans="1:10" ht="19.95" customHeight="1" thickBot="1" x14ac:dyDescent="0.35">
      <c r="B14" s="113" t="s">
        <v>150</v>
      </c>
      <c r="C14" s="113" t="s">
        <v>99</v>
      </c>
      <c r="D14" s="113" t="s">
        <v>185</v>
      </c>
    </row>
    <row r="15" spans="1:10" ht="19.95" customHeight="1" thickTop="1" x14ac:dyDescent="0.3">
      <c r="B15" s="115">
        <v>0</v>
      </c>
      <c r="C15" s="116" t="s">
        <v>125</v>
      </c>
      <c r="D15" s="115">
        <v>1800</v>
      </c>
    </row>
    <row r="16" spans="1:10" ht="19.95" customHeight="1" x14ac:dyDescent="0.3">
      <c r="B16" s="108">
        <v>18248</v>
      </c>
      <c r="C16" s="111" t="s">
        <v>23</v>
      </c>
      <c r="D16" s="107">
        <v>1843</v>
      </c>
    </row>
    <row r="17" spans="2:4" ht="19.95" customHeight="1" x14ac:dyDescent="0.3">
      <c r="B17" s="108">
        <v>0</v>
      </c>
      <c r="C17" s="111" t="s">
        <v>25</v>
      </c>
      <c r="D17" s="107">
        <v>6000</v>
      </c>
    </row>
    <row r="18" spans="2:4" ht="19.95" customHeight="1" x14ac:dyDescent="0.3">
      <c r="B18" s="108">
        <v>7818</v>
      </c>
      <c r="C18" s="111" t="s">
        <v>75</v>
      </c>
      <c r="D18" s="107">
        <f>Workings!E21</f>
        <v>6750</v>
      </c>
    </row>
    <row r="19" spans="2:4" ht="19.95" customHeight="1" x14ac:dyDescent="0.3">
      <c r="B19" s="108">
        <v>8647</v>
      </c>
      <c r="C19" s="111" t="s">
        <v>121</v>
      </c>
      <c r="D19" s="107">
        <v>0</v>
      </c>
    </row>
    <row r="20" spans="2:4" ht="19.95" customHeight="1" thickBot="1" x14ac:dyDescent="0.35">
      <c r="B20" s="112">
        <f>SUM(B15:B19)</f>
        <v>34713</v>
      </c>
      <c r="C20" s="113" t="s">
        <v>15</v>
      </c>
      <c r="D20" s="114">
        <f>SUM(D15:D19)</f>
        <v>16393</v>
      </c>
    </row>
    <row r="21" spans="2:4" ht="15" thickTop="1" x14ac:dyDescent="0.3"/>
  </sheetData>
  <mergeCells count="5">
    <mergeCell ref="B12:D12"/>
    <mergeCell ref="B13:D13"/>
    <mergeCell ref="A1:D1"/>
    <mergeCell ref="A2:D2"/>
    <mergeCell ref="B8:C8"/>
  </mergeCells>
  <printOptions horizontalCentered="1"/>
  <pageMargins left="0.39370078740157483" right="0.39370078740157483" top="0.59055118110236227" bottom="0.39370078740157483" header="0.19685039370078741" footer="0.19685039370078741"/>
  <pageSetup paperSize="9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31"/>
  <sheetViews>
    <sheetView view="pageBreakPreview" zoomScaleNormal="100" zoomScaleSheetLayoutView="100" workbookViewId="0">
      <selection sqref="A1:H1"/>
    </sheetView>
  </sheetViews>
  <sheetFormatPr defaultColWidth="4.6640625" defaultRowHeight="14.4" x14ac:dyDescent="0.3"/>
  <cols>
    <col min="1" max="1" width="2.88671875" customWidth="1"/>
    <col min="2" max="2" width="14.77734375" customWidth="1"/>
    <col min="3" max="3" width="36.109375" bestFit="1" customWidth="1"/>
    <col min="4" max="4" width="14.77734375" customWidth="1"/>
  </cols>
  <sheetData>
    <row r="1" spans="2:4" ht="18" x14ac:dyDescent="0.35">
      <c r="B1" s="179" t="s">
        <v>246</v>
      </c>
      <c r="C1" s="179"/>
      <c r="D1" s="179"/>
    </row>
    <row r="2" spans="2:4" x14ac:dyDescent="0.3">
      <c r="B2" s="178" t="s">
        <v>138</v>
      </c>
      <c r="C2" s="178"/>
      <c r="D2" s="178"/>
    </row>
    <row r="3" spans="2:4" ht="15" thickBot="1" x14ac:dyDescent="0.35">
      <c r="B3" s="84" t="s">
        <v>150</v>
      </c>
      <c r="C3" s="119" t="s">
        <v>99</v>
      </c>
      <c r="D3" s="84" t="s">
        <v>185</v>
      </c>
    </row>
    <row r="4" spans="2:4" ht="15" thickTop="1" x14ac:dyDescent="0.3">
      <c r="B4" s="6"/>
      <c r="C4" s="45" t="s">
        <v>7</v>
      </c>
      <c r="D4" s="6"/>
    </row>
    <row r="5" spans="2:4" x14ac:dyDescent="0.3">
      <c r="B5" s="6">
        <v>418662</v>
      </c>
      <c r="C5" s="2" t="s">
        <v>29</v>
      </c>
      <c r="D5" s="22">
        <f>B9</f>
        <v>568444</v>
      </c>
    </row>
    <row r="6" spans="2:4" x14ac:dyDescent="0.3">
      <c r="B6" s="6">
        <v>26300</v>
      </c>
      <c r="C6" s="13" t="s">
        <v>32</v>
      </c>
      <c r="D6" s="6">
        <v>0</v>
      </c>
    </row>
    <row r="7" spans="2:4" x14ac:dyDescent="0.3">
      <c r="B7" s="6">
        <v>33140</v>
      </c>
      <c r="C7" s="2" t="s">
        <v>30</v>
      </c>
      <c r="D7" s="22">
        <f>-IE!G19</f>
        <v>49975</v>
      </c>
    </row>
    <row r="8" spans="2:4" x14ac:dyDescent="0.3">
      <c r="B8" s="44">
        <v>90342</v>
      </c>
      <c r="C8" s="1" t="s">
        <v>31</v>
      </c>
      <c r="D8" s="60">
        <f>IE!D39</f>
        <v>22776</v>
      </c>
    </row>
    <row r="9" spans="2:4" ht="15" thickBot="1" x14ac:dyDescent="0.35">
      <c r="B9" s="120">
        <f>SUM(B5:B8)</f>
        <v>568444</v>
      </c>
      <c r="C9" s="121" t="s">
        <v>15</v>
      </c>
      <c r="D9" s="120">
        <f>SUM(D5:D8)</f>
        <v>641195</v>
      </c>
    </row>
    <row r="10" spans="2:4" x14ac:dyDescent="0.3">
      <c r="B10" s="6"/>
      <c r="C10" s="1"/>
      <c r="D10" s="6"/>
    </row>
    <row r="11" spans="2:4" x14ac:dyDescent="0.3">
      <c r="B11" s="6"/>
      <c r="C11" s="45" t="s">
        <v>4</v>
      </c>
      <c r="D11" s="6"/>
    </row>
    <row r="12" spans="2:4" x14ac:dyDescent="0.3">
      <c r="B12" s="6">
        <v>456405.16</v>
      </c>
      <c r="C12" s="2" t="s">
        <v>29</v>
      </c>
      <c r="D12" s="6">
        <f>B15</f>
        <v>528691.15999999992</v>
      </c>
    </row>
    <row r="13" spans="2:4" x14ac:dyDescent="0.3">
      <c r="B13" s="6">
        <v>43140</v>
      </c>
      <c r="C13" s="13" t="s">
        <v>32</v>
      </c>
      <c r="D13" s="6">
        <v>43140</v>
      </c>
    </row>
    <row r="14" spans="2:4" x14ac:dyDescent="0.3">
      <c r="B14" s="6">
        <v>29146</v>
      </c>
      <c r="C14" s="2" t="s">
        <v>30</v>
      </c>
      <c r="D14" s="6">
        <f>-IE!G20</f>
        <v>36536</v>
      </c>
    </row>
    <row r="15" spans="2:4" ht="15" thickBot="1" x14ac:dyDescent="0.35">
      <c r="B15" s="122">
        <f>SUM(B12:B14)</f>
        <v>528691.15999999992</v>
      </c>
      <c r="C15" s="120" t="s">
        <v>15</v>
      </c>
      <c r="D15" s="122">
        <f>SUM(D12:D14)</f>
        <v>608367.15999999992</v>
      </c>
    </row>
    <row r="16" spans="2:4" x14ac:dyDescent="0.3">
      <c r="B16" s="6"/>
      <c r="C16" s="2"/>
      <c r="D16" s="6"/>
    </row>
    <row r="17" spans="2:4" x14ac:dyDescent="0.3">
      <c r="B17" s="6"/>
      <c r="C17" s="45" t="s">
        <v>33</v>
      </c>
      <c r="D17" s="6"/>
    </row>
    <row r="18" spans="2:4" x14ac:dyDescent="0.3">
      <c r="B18" s="6">
        <v>1029492.25</v>
      </c>
      <c r="C18" s="2" t="s">
        <v>29</v>
      </c>
      <c r="D18" s="6">
        <f>B21</f>
        <v>1239191.25</v>
      </c>
    </row>
    <row r="19" spans="2:4" x14ac:dyDescent="0.3">
      <c r="B19" s="6">
        <v>129384</v>
      </c>
      <c r="C19" s="13" t="s">
        <v>32</v>
      </c>
      <c r="D19" s="6">
        <v>129384</v>
      </c>
    </row>
    <row r="20" spans="2:4" x14ac:dyDescent="0.3">
      <c r="B20" s="6">
        <v>80315</v>
      </c>
      <c r="C20" s="2" t="s">
        <v>30</v>
      </c>
      <c r="D20" s="6">
        <f>-IE!G21</f>
        <v>82300</v>
      </c>
    </row>
    <row r="21" spans="2:4" ht="15" thickBot="1" x14ac:dyDescent="0.35">
      <c r="B21" s="122">
        <f>SUM(B18:B20)</f>
        <v>1239191.25</v>
      </c>
      <c r="C21" s="120" t="s">
        <v>15</v>
      </c>
      <c r="D21" s="122">
        <f>SUM(D18:D20)</f>
        <v>1450875.25</v>
      </c>
    </row>
    <row r="22" spans="2:4" x14ac:dyDescent="0.3">
      <c r="B22" s="6"/>
      <c r="C22" s="2"/>
      <c r="D22" s="6"/>
    </row>
    <row r="23" spans="2:4" x14ac:dyDescent="0.3">
      <c r="B23" s="6"/>
      <c r="C23" s="18" t="s">
        <v>18</v>
      </c>
      <c r="D23" s="6"/>
    </row>
    <row r="24" spans="2:4" x14ac:dyDescent="0.3">
      <c r="B24" s="6">
        <v>500000</v>
      </c>
      <c r="C24" s="2" t="s">
        <v>34</v>
      </c>
      <c r="D24" s="6">
        <v>500000</v>
      </c>
    </row>
    <row r="25" spans="2:4" x14ac:dyDescent="0.3">
      <c r="B25" s="6">
        <v>110000</v>
      </c>
      <c r="C25" s="2" t="s">
        <v>35</v>
      </c>
      <c r="D25" s="6">
        <v>110000</v>
      </c>
    </row>
    <row r="26" spans="2:4" ht="15" thickBot="1" x14ac:dyDescent="0.35">
      <c r="B26" s="122">
        <f>SUM(B24:B25)</f>
        <v>610000</v>
      </c>
      <c r="C26" s="120" t="s">
        <v>15</v>
      </c>
      <c r="D26" s="122">
        <f>SUM(D24:D25)</f>
        <v>610000</v>
      </c>
    </row>
    <row r="27" spans="2:4" x14ac:dyDescent="0.3">
      <c r="B27" s="6"/>
      <c r="C27" s="2"/>
      <c r="D27" s="6"/>
    </row>
    <row r="28" spans="2:4" x14ac:dyDescent="0.3">
      <c r="B28" s="6"/>
      <c r="C28" s="18" t="s">
        <v>36</v>
      </c>
      <c r="D28" s="6"/>
    </row>
    <row r="29" spans="2:4" x14ac:dyDescent="0.3">
      <c r="B29" s="6">
        <v>13194</v>
      </c>
      <c r="C29" s="2" t="s">
        <v>29</v>
      </c>
      <c r="D29" s="6">
        <f>B31</f>
        <v>15474</v>
      </c>
    </row>
    <row r="30" spans="2:4" x14ac:dyDescent="0.3">
      <c r="B30" s="6">
        <v>2280</v>
      </c>
      <c r="C30" s="13" t="s">
        <v>32</v>
      </c>
      <c r="D30" s="6">
        <v>2280</v>
      </c>
    </row>
    <row r="31" spans="2:4" ht="15" thickBot="1" x14ac:dyDescent="0.35">
      <c r="B31" s="123">
        <f>SUM(B29:B30)</f>
        <v>15474</v>
      </c>
      <c r="C31" s="120" t="s">
        <v>15</v>
      </c>
      <c r="D31" s="123">
        <f>SUM(D29:D30)</f>
        <v>17754</v>
      </c>
    </row>
  </sheetData>
  <mergeCells count="2">
    <mergeCell ref="B2:D2"/>
    <mergeCell ref="B1:D1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6"/>
  <sheetViews>
    <sheetView view="pageBreakPreview" zoomScaleNormal="100" zoomScaleSheetLayoutView="100" workbookViewId="0">
      <selection sqref="A1:H1"/>
    </sheetView>
  </sheetViews>
  <sheetFormatPr defaultRowHeight="14.4" x14ac:dyDescent="0.3"/>
  <cols>
    <col min="1" max="1" width="3.21875" style="95" customWidth="1"/>
    <col min="2" max="2" width="14.77734375" style="95" customWidth="1"/>
    <col min="3" max="3" width="31.6640625" style="95" bestFit="1" customWidth="1"/>
    <col min="4" max="4" width="14.77734375" style="95" customWidth="1"/>
    <col min="5" max="5" width="4" style="95" customWidth="1"/>
    <col min="6" max="16384" width="8.88671875" style="95"/>
  </cols>
  <sheetData>
    <row r="1" spans="2:4" ht="19.95" customHeight="1" x14ac:dyDescent="0.3">
      <c r="B1" s="180" t="s">
        <v>246</v>
      </c>
      <c r="C1" s="180"/>
      <c r="D1" s="180"/>
    </row>
    <row r="2" spans="2:4" ht="19.95" customHeight="1" x14ac:dyDescent="0.3">
      <c r="B2" s="181" t="s">
        <v>142</v>
      </c>
      <c r="C2" s="181"/>
      <c r="D2" s="181"/>
    </row>
    <row r="3" spans="2:4" ht="19.95" customHeight="1" thickBot="1" x14ac:dyDescent="0.35">
      <c r="B3" s="120" t="s">
        <v>150</v>
      </c>
      <c r="C3" s="125" t="s">
        <v>99</v>
      </c>
      <c r="D3" s="120" t="s">
        <v>185</v>
      </c>
    </row>
    <row r="4" spans="2:4" ht="19.95" customHeight="1" x14ac:dyDescent="0.3">
      <c r="B4" s="124">
        <v>5900</v>
      </c>
      <c r="C4" s="44" t="s">
        <v>72</v>
      </c>
      <c r="D4" s="44">
        <v>16840</v>
      </c>
    </row>
    <row r="5" spans="2:4" ht="19.95" customHeight="1" x14ac:dyDescent="0.3">
      <c r="B5" s="50">
        <v>19840</v>
      </c>
      <c r="C5" s="34" t="s">
        <v>73</v>
      </c>
      <c r="D5" s="34">
        <v>25002.5</v>
      </c>
    </row>
    <row r="6" spans="2:4" ht="19.95" customHeight="1" x14ac:dyDescent="0.3">
      <c r="B6" s="50">
        <v>12605</v>
      </c>
      <c r="C6" s="34" t="s">
        <v>112</v>
      </c>
      <c r="D6" s="34">
        <v>0</v>
      </c>
    </row>
    <row r="7" spans="2:4" ht="19.95" customHeight="1" x14ac:dyDescent="0.3">
      <c r="B7" s="50">
        <v>5200</v>
      </c>
      <c r="C7" s="34" t="s">
        <v>122</v>
      </c>
      <c r="D7" s="34">
        <v>3000</v>
      </c>
    </row>
    <row r="8" spans="2:4" ht="19.95" customHeight="1" x14ac:dyDescent="0.3">
      <c r="B8" s="51">
        <v>11009</v>
      </c>
      <c r="C8" s="34" t="s">
        <v>74</v>
      </c>
      <c r="D8" s="34">
        <v>21600</v>
      </c>
    </row>
    <row r="9" spans="2:4" ht="19.95" customHeight="1" x14ac:dyDescent="0.3">
      <c r="B9" s="51">
        <v>5450</v>
      </c>
      <c r="C9" s="34" t="s">
        <v>71</v>
      </c>
      <c r="D9" s="34">
        <v>25000</v>
      </c>
    </row>
    <row r="10" spans="2:4" ht="19.95" customHeight="1" x14ac:dyDescent="0.3">
      <c r="B10" s="51">
        <v>52000</v>
      </c>
      <c r="C10" s="34" t="s">
        <v>25</v>
      </c>
      <c r="D10" s="34">
        <v>62000</v>
      </c>
    </row>
    <row r="11" spans="2:4" ht="19.95" customHeight="1" x14ac:dyDescent="0.3">
      <c r="B11" s="51">
        <v>2156</v>
      </c>
      <c r="C11" s="34" t="s">
        <v>120</v>
      </c>
      <c r="D11" s="34">
        <v>0</v>
      </c>
    </row>
    <row r="12" spans="2:4" ht="19.95" customHeight="1" x14ac:dyDescent="0.3">
      <c r="B12" s="51">
        <v>4790</v>
      </c>
      <c r="C12" s="34" t="s">
        <v>121</v>
      </c>
      <c r="D12" s="34">
        <v>8647</v>
      </c>
    </row>
    <row r="13" spans="2:4" ht="19.95" customHeight="1" x14ac:dyDescent="0.3">
      <c r="B13" s="51">
        <v>21668</v>
      </c>
      <c r="C13" s="34" t="s">
        <v>75</v>
      </c>
      <c r="D13" s="34">
        <v>30203</v>
      </c>
    </row>
    <row r="14" spans="2:4" ht="19.95" customHeight="1" x14ac:dyDescent="0.3">
      <c r="B14" s="51">
        <v>10800</v>
      </c>
      <c r="C14" s="34" t="s">
        <v>76</v>
      </c>
      <c r="D14" s="34">
        <v>9000</v>
      </c>
    </row>
    <row r="15" spans="2:4" ht="19.95" customHeight="1" x14ac:dyDescent="0.3">
      <c r="B15" s="50">
        <v>0</v>
      </c>
      <c r="C15" s="34" t="s">
        <v>77</v>
      </c>
      <c r="D15" s="34">
        <v>0</v>
      </c>
    </row>
    <row r="16" spans="2:4" ht="19.95" customHeight="1" thickBot="1" x14ac:dyDescent="0.35">
      <c r="B16" s="126">
        <f>SUM(B4:B15)</f>
        <v>151418</v>
      </c>
      <c r="C16" s="127" t="s">
        <v>15</v>
      </c>
      <c r="D16" s="126">
        <f>SUM(D4:D15)</f>
        <v>201292.5</v>
      </c>
    </row>
  </sheetData>
  <mergeCells count="2">
    <mergeCell ref="B1:D1"/>
    <mergeCell ref="B2:D2"/>
  </mergeCells>
  <printOptions horizontalCentered="1"/>
  <pageMargins left="0.70866141732283472" right="0.70866141732283472" top="0.59055118110236227" bottom="0.74803149606299213" header="0.31496062992125984" footer="0.31496062992125984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view="pageBreakPreview" topLeftCell="A9" zoomScaleNormal="100" zoomScaleSheetLayoutView="100" workbookViewId="0">
      <selection activeCell="C23" sqref="C23:D26"/>
    </sheetView>
  </sheetViews>
  <sheetFormatPr defaultRowHeight="14.4" x14ac:dyDescent="0.3"/>
  <cols>
    <col min="1" max="1" width="5.6640625" style="95" bestFit="1" customWidth="1"/>
    <col min="2" max="2" width="6" style="95" customWidth="1"/>
    <col min="3" max="3" width="33.21875" style="95" customWidth="1"/>
    <col min="4" max="4" width="16.44140625" style="95" customWidth="1"/>
    <col min="5" max="5" width="3.77734375" style="95" customWidth="1"/>
    <col min="6" max="6" width="8.88671875" style="95"/>
    <col min="7" max="7" width="6.6640625" style="101" customWidth="1"/>
    <col min="8" max="8" width="28" style="95" customWidth="1"/>
    <col min="9" max="9" width="12.77734375" style="1" customWidth="1"/>
    <col min="10" max="16384" width="8.88671875" style="95"/>
  </cols>
  <sheetData>
    <row r="1" spans="1:17" ht="19.95" customHeight="1" x14ac:dyDescent="0.3">
      <c r="A1" s="147" t="s">
        <v>246</v>
      </c>
      <c r="B1" s="147"/>
      <c r="C1" s="147"/>
      <c r="D1" s="147"/>
    </row>
    <row r="2" spans="1:17" ht="19.95" customHeight="1" x14ac:dyDescent="0.3">
      <c r="A2" s="148" t="s">
        <v>237</v>
      </c>
      <c r="B2" s="148"/>
      <c r="C2" s="148"/>
      <c r="D2" s="148"/>
    </row>
    <row r="3" spans="1:17" ht="19.95" customHeight="1" thickBot="1" x14ac:dyDescent="0.35">
      <c r="A3" s="113" t="s">
        <v>103</v>
      </c>
      <c r="B3" s="113" t="s">
        <v>105</v>
      </c>
      <c r="C3" s="113" t="s">
        <v>106</v>
      </c>
      <c r="D3" s="113" t="s">
        <v>107</v>
      </c>
    </row>
    <row r="4" spans="1:17" ht="19.95" customHeight="1" thickTop="1" x14ac:dyDescent="0.3">
      <c r="A4" s="117">
        <v>1</v>
      </c>
      <c r="B4" s="117">
        <v>601</v>
      </c>
      <c r="C4" s="95" t="s">
        <v>126</v>
      </c>
      <c r="D4" s="115">
        <v>229</v>
      </c>
      <c r="O4" s="128"/>
      <c r="P4" s="128"/>
      <c r="Q4" s="128"/>
    </row>
    <row r="5" spans="1:17" ht="19.95" customHeight="1" thickBot="1" x14ac:dyDescent="0.35">
      <c r="A5" s="129">
        <v>2</v>
      </c>
      <c r="B5" s="129">
        <v>602</v>
      </c>
      <c r="C5" s="96" t="s">
        <v>108</v>
      </c>
      <c r="D5" s="130">
        <v>5554</v>
      </c>
      <c r="O5" s="128"/>
      <c r="P5" s="128"/>
      <c r="Q5" s="128"/>
    </row>
    <row r="6" spans="1:17" ht="19.95" customHeight="1" thickBot="1" x14ac:dyDescent="0.35">
      <c r="A6" s="131"/>
      <c r="B6" s="146" t="s">
        <v>15</v>
      </c>
      <c r="C6" s="143"/>
      <c r="D6" s="132">
        <f>SUM(D4:D5)</f>
        <v>5783</v>
      </c>
      <c r="P6" s="128"/>
    </row>
    <row r="7" spans="1:17" ht="19.95" customHeight="1" x14ac:dyDescent="0.3">
      <c r="B7" s="94"/>
      <c r="C7" s="94"/>
      <c r="D7" s="133"/>
      <c r="P7" s="128"/>
    </row>
    <row r="8" spans="1:17" ht="19.95" customHeight="1" x14ac:dyDescent="0.3">
      <c r="O8" s="128"/>
      <c r="P8" s="128"/>
      <c r="Q8" s="128"/>
    </row>
    <row r="9" spans="1:17" ht="19.95" customHeight="1" x14ac:dyDescent="0.3">
      <c r="O9" s="128"/>
      <c r="P9" s="128"/>
      <c r="Q9" s="128"/>
    </row>
    <row r="10" spans="1:17" ht="19.95" customHeight="1" x14ac:dyDescent="0.3">
      <c r="B10" s="149" t="s">
        <v>246</v>
      </c>
      <c r="C10" s="149"/>
      <c r="D10" s="149"/>
      <c r="J10" s="134"/>
    </row>
    <row r="11" spans="1:17" ht="19.95" customHeight="1" x14ac:dyDescent="0.3">
      <c r="B11" s="148" t="s">
        <v>238</v>
      </c>
      <c r="C11" s="148"/>
      <c r="D11" s="148"/>
    </row>
    <row r="12" spans="1:17" ht="19.95" customHeight="1" thickBot="1" x14ac:dyDescent="0.35">
      <c r="B12" s="113" t="s">
        <v>103</v>
      </c>
      <c r="C12" s="113" t="s">
        <v>109</v>
      </c>
      <c r="D12" s="84" t="s">
        <v>107</v>
      </c>
    </row>
    <row r="13" spans="1:17" ht="19.95" customHeight="1" thickTop="1" x14ac:dyDescent="0.3">
      <c r="B13" s="117">
        <v>1</v>
      </c>
      <c r="C13" s="118" t="s">
        <v>127</v>
      </c>
      <c r="D13" s="135">
        <v>46111</v>
      </c>
    </row>
    <row r="14" spans="1:17" ht="19.95" customHeight="1" x14ac:dyDescent="0.3">
      <c r="B14" s="106">
        <v>2</v>
      </c>
      <c r="C14" s="107" t="s">
        <v>192</v>
      </c>
      <c r="D14" s="136">
        <v>2385</v>
      </c>
    </row>
    <row r="15" spans="1:17" ht="19.95" customHeight="1" x14ac:dyDescent="0.3">
      <c r="B15" s="106">
        <v>3</v>
      </c>
      <c r="C15" s="107" t="s">
        <v>166</v>
      </c>
      <c r="D15" s="108">
        <v>343</v>
      </c>
    </row>
    <row r="16" spans="1:17" ht="19.95" customHeight="1" x14ac:dyDescent="0.3">
      <c r="B16" s="106">
        <v>4</v>
      </c>
      <c r="C16" s="107" t="s">
        <v>128</v>
      </c>
      <c r="D16" s="108">
        <v>826</v>
      </c>
    </row>
    <row r="17" spans="2:4" ht="19.95" customHeight="1" x14ac:dyDescent="0.3">
      <c r="B17" s="106">
        <v>5</v>
      </c>
      <c r="C17" s="107" t="s">
        <v>235</v>
      </c>
      <c r="D17" s="108">
        <v>2000</v>
      </c>
    </row>
    <row r="18" spans="2:4" ht="19.95" customHeight="1" x14ac:dyDescent="0.3">
      <c r="B18" s="106">
        <v>6</v>
      </c>
      <c r="C18" s="107" t="s">
        <v>193</v>
      </c>
      <c r="D18" s="108">
        <v>11307</v>
      </c>
    </row>
    <row r="19" spans="2:4" ht="19.95" customHeight="1" thickBot="1" x14ac:dyDescent="0.35">
      <c r="B19" s="129">
        <v>7</v>
      </c>
      <c r="C19" s="96" t="s">
        <v>129</v>
      </c>
      <c r="D19" s="130">
        <v>18000</v>
      </c>
    </row>
    <row r="20" spans="2:4" ht="19.95" customHeight="1" thickBot="1" x14ac:dyDescent="0.35">
      <c r="B20" s="144" t="s">
        <v>130</v>
      </c>
      <c r="C20" s="145"/>
      <c r="D20" s="132">
        <f>SUM(D13:D19)</f>
        <v>80972</v>
      </c>
    </row>
    <row r="21" spans="2:4" ht="19.95" customHeight="1" x14ac:dyDescent="0.3">
      <c r="B21" s="101"/>
    </row>
    <row r="22" spans="2:4" ht="19.95" customHeight="1" x14ac:dyDescent="0.3">
      <c r="B22" s="105" t="s">
        <v>103</v>
      </c>
      <c r="C22" s="105" t="s">
        <v>110</v>
      </c>
      <c r="D22" s="8" t="s">
        <v>107</v>
      </c>
    </row>
    <row r="23" spans="2:4" ht="19.95" customHeight="1" x14ac:dyDescent="0.3">
      <c r="B23" s="106">
        <v>1</v>
      </c>
      <c r="C23" s="111" t="s">
        <v>115</v>
      </c>
      <c r="D23" s="136">
        <v>6719</v>
      </c>
    </row>
    <row r="24" spans="2:4" ht="19.95" customHeight="1" x14ac:dyDescent="0.3">
      <c r="B24" s="106">
        <v>2</v>
      </c>
      <c r="C24" s="111" t="s">
        <v>191</v>
      </c>
      <c r="D24" s="136">
        <v>14470</v>
      </c>
    </row>
    <row r="25" spans="2:4" ht="19.95" customHeight="1" x14ac:dyDescent="0.3">
      <c r="B25" s="106">
        <v>3</v>
      </c>
      <c r="C25" s="111" t="s">
        <v>111</v>
      </c>
      <c r="D25" s="136">
        <v>6000</v>
      </c>
    </row>
    <row r="26" spans="2:4" ht="19.95" customHeight="1" thickBot="1" x14ac:dyDescent="0.35">
      <c r="B26" s="129">
        <v>4</v>
      </c>
      <c r="C26" s="137" t="s">
        <v>116</v>
      </c>
      <c r="D26" s="138">
        <v>2200</v>
      </c>
    </row>
    <row r="27" spans="2:4" ht="19.95" customHeight="1" thickBot="1" x14ac:dyDescent="0.35">
      <c r="B27" s="142" t="s">
        <v>131</v>
      </c>
      <c r="C27" s="143"/>
      <c r="D27" s="132">
        <f>SUM(D23:D26)</f>
        <v>29389</v>
      </c>
    </row>
    <row r="28" spans="2:4" ht="19.95" customHeight="1" thickBot="1" x14ac:dyDescent="0.35">
      <c r="B28" s="101"/>
      <c r="D28" s="1"/>
    </row>
    <row r="29" spans="2:4" ht="19.95" customHeight="1" thickBot="1" x14ac:dyDescent="0.35">
      <c r="B29" s="139"/>
      <c r="C29" s="140" t="s">
        <v>132</v>
      </c>
      <c r="D29" s="141">
        <f>D20+D27</f>
        <v>110361</v>
      </c>
    </row>
    <row r="30" spans="2:4" ht="19.95" customHeight="1" x14ac:dyDescent="0.3"/>
  </sheetData>
  <mergeCells count="7">
    <mergeCell ref="B27:C27"/>
    <mergeCell ref="B20:C20"/>
    <mergeCell ref="B6:C6"/>
    <mergeCell ref="A1:D1"/>
    <mergeCell ref="A2:D2"/>
    <mergeCell ref="B10:D10"/>
    <mergeCell ref="B11:D11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22"/>
  <sheetViews>
    <sheetView workbookViewId="0">
      <selection activeCell="J10" sqref="J10"/>
    </sheetView>
  </sheetViews>
  <sheetFormatPr defaultRowHeight="14.4" x14ac:dyDescent="0.3"/>
  <cols>
    <col min="1" max="1" width="6.6640625" customWidth="1"/>
    <col min="2" max="2" width="33.44140625" customWidth="1"/>
    <col min="3" max="3" width="9.5546875" customWidth="1"/>
    <col min="4" max="4" width="11.5546875" bestFit="1" customWidth="1"/>
    <col min="7" max="7" width="10.44140625" customWidth="1"/>
    <col min="10" max="10" width="18.44140625" bestFit="1" customWidth="1"/>
    <col min="11" max="11" width="18.109375" bestFit="1" customWidth="1"/>
    <col min="12" max="12" width="14.5546875" bestFit="1" customWidth="1"/>
  </cols>
  <sheetData>
    <row r="2" spans="1:12" x14ac:dyDescent="0.3">
      <c r="A2" s="175" t="s">
        <v>119</v>
      </c>
      <c r="B2" s="175"/>
      <c r="C2" s="175"/>
      <c r="D2" s="175"/>
    </row>
    <row r="3" spans="1:12" x14ac:dyDescent="0.3">
      <c r="A3" s="175" t="s">
        <v>239</v>
      </c>
      <c r="B3" s="175"/>
      <c r="C3" s="175"/>
      <c r="D3" s="175"/>
      <c r="G3" s="23" t="s">
        <v>13</v>
      </c>
      <c r="H3" s="23" t="s">
        <v>168</v>
      </c>
      <c r="I3" s="23" t="s">
        <v>169</v>
      </c>
      <c r="J3" s="23" t="s">
        <v>170</v>
      </c>
      <c r="K3" s="23" t="s">
        <v>171</v>
      </c>
      <c r="L3" s="23" t="s">
        <v>172</v>
      </c>
    </row>
    <row r="4" spans="1:12" x14ac:dyDescent="0.3">
      <c r="D4" s="25" t="s">
        <v>107</v>
      </c>
      <c r="G4" s="16" t="s">
        <v>186</v>
      </c>
      <c r="H4" s="16"/>
      <c r="I4" s="16">
        <v>1600</v>
      </c>
      <c r="J4" s="16">
        <v>100512</v>
      </c>
      <c r="K4" s="16" t="s">
        <v>166</v>
      </c>
      <c r="L4" s="16" t="s">
        <v>187</v>
      </c>
    </row>
    <row r="5" spans="1:12" x14ac:dyDescent="0.3">
      <c r="B5" t="s">
        <v>117</v>
      </c>
      <c r="D5" s="27">
        <v>53786.12</v>
      </c>
    </row>
    <row r="6" spans="1:12" x14ac:dyDescent="0.3">
      <c r="D6" s="28"/>
    </row>
    <row r="7" spans="1:12" x14ac:dyDescent="0.3">
      <c r="A7" t="s">
        <v>147</v>
      </c>
      <c r="B7" t="s">
        <v>148</v>
      </c>
      <c r="C7" s="29"/>
      <c r="D7" s="30">
        <f>I4</f>
        <v>1600</v>
      </c>
    </row>
    <row r="8" spans="1:12" ht="15" thickBot="1" x14ac:dyDescent="0.35">
      <c r="B8" s="31" t="s">
        <v>118</v>
      </c>
      <c r="C8" s="32"/>
      <c r="D8" s="33">
        <f>D5+D7</f>
        <v>55386.12</v>
      </c>
    </row>
    <row r="9" spans="1:12" ht="15" thickTop="1" x14ac:dyDescent="0.3"/>
    <row r="11" spans="1:12" x14ac:dyDescent="0.3">
      <c r="A11" s="175" t="s">
        <v>119</v>
      </c>
      <c r="B11" s="175"/>
      <c r="C11" s="175"/>
      <c r="D11" s="175"/>
      <c r="K11" s="12"/>
    </row>
    <row r="12" spans="1:12" x14ac:dyDescent="0.3">
      <c r="A12" s="175" t="s">
        <v>240</v>
      </c>
      <c r="B12" s="175"/>
      <c r="C12" s="175"/>
      <c r="D12" s="175"/>
      <c r="K12" s="12"/>
    </row>
    <row r="13" spans="1:12" x14ac:dyDescent="0.3">
      <c r="D13" s="25" t="s">
        <v>107</v>
      </c>
    </row>
    <row r="14" spans="1:12" x14ac:dyDescent="0.3">
      <c r="B14" t="s">
        <v>117</v>
      </c>
      <c r="D14" s="27">
        <v>377615.3</v>
      </c>
    </row>
    <row r="15" spans="1:12" x14ac:dyDescent="0.3">
      <c r="D15" s="28"/>
      <c r="K15" s="12"/>
    </row>
    <row r="16" spans="1:12" x14ac:dyDescent="0.3">
      <c r="A16" t="s">
        <v>147</v>
      </c>
      <c r="B16" t="s">
        <v>148</v>
      </c>
      <c r="D16" s="27"/>
      <c r="K16" s="12"/>
    </row>
    <row r="17" spans="2:11" ht="15" thickBot="1" x14ac:dyDescent="0.35">
      <c r="B17" s="31" t="s">
        <v>118</v>
      </c>
      <c r="C17" s="32"/>
      <c r="D17" s="33">
        <f>D14+D16</f>
        <v>377615.3</v>
      </c>
      <c r="K17" s="12"/>
    </row>
    <row r="18" spans="2:11" ht="15" thickTop="1" x14ac:dyDescent="0.3"/>
    <row r="22" spans="2:11" x14ac:dyDescent="0.3">
      <c r="D22" s="35"/>
    </row>
  </sheetData>
  <mergeCells count="4">
    <mergeCell ref="A2:D2"/>
    <mergeCell ref="A3:D3"/>
    <mergeCell ref="A11:D11"/>
    <mergeCell ref="A12:D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4"/>
  <sheetViews>
    <sheetView topLeftCell="A6" workbookViewId="0">
      <selection activeCell="E21" sqref="E21"/>
    </sheetView>
  </sheetViews>
  <sheetFormatPr defaultRowHeight="14.4" x14ac:dyDescent="0.3"/>
  <cols>
    <col min="1" max="1" width="3.6640625" customWidth="1"/>
    <col min="2" max="3" width="10.33203125" bestFit="1" customWidth="1"/>
    <col min="4" max="4" width="8.109375" bestFit="1" customWidth="1"/>
    <col min="5" max="5" width="6" bestFit="1" customWidth="1"/>
    <col min="11" max="11" width="10" bestFit="1" customWidth="1"/>
    <col min="13" max="14" width="10.33203125" bestFit="1" customWidth="1"/>
  </cols>
  <sheetData>
    <row r="2" spans="2:14" x14ac:dyDescent="0.3">
      <c r="B2" t="s">
        <v>2</v>
      </c>
    </row>
    <row r="4" spans="2:14" x14ac:dyDescent="0.3">
      <c r="B4" t="s">
        <v>21</v>
      </c>
    </row>
    <row r="5" spans="2:14" x14ac:dyDescent="0.3">
      <c r="B5" s="65">
        <v>45695</v>
      </c>
      <c r="C5" s="65">
        <v>46059</v>
      </c>
      <c r="D5" s="17">
        <f>C5-B5</f>
        <v>364</v>
      </c>
      <c r="E5">
        <v>46143</v>
      </c>
    </row>
    <row r="6" spans="2:14" x14ac:dyDescent="0.3">
      <c r="B6" s="65">
        <f>C5</f>
        <v>46059</v>
      </c>
      <c r="C6" s="65">
        <v>46112</v>
      </c>
      <c r="D6" s="17">
        <f>C6-B6</f>
        <v>53</v>
      </c>
      <c r="E6" s="66">
        <f>ROUND(E5*D6/D5,0)</f>
        <v>6719</v>
      </c>
      <c r="F6" s="66" t="s">
        <v>22</v>
      </c>
      <c r="K6" s="35"/>
    </row>
    <row r="7" spans="2:14" x14ac:dyDescent="0.3">
      <c r="D7" s="17"/>
      <c r="K7" s="35"/>
    </row>
    <row r="8" spans="2:14" x14ac:dyDescent="0.3">
      <c r="D8" s="17"/>
      <c r="K8" s="35"/>
    </row>
    <row r="9" spans="2:14" x14ac:dyDescent="0.3">
      <c r="B9" t="s">
        <v>121</v>
      </c>
      <c r="K9" s="67"/>
    </row>
    <row r="10" spans="2:14" x14ac:dyDescent="0.3">
      <c r="B10" s="65">
        <v>45646</v>
      </c>
      <c r="C10" s="65">
        <v>46010</v>
      </c>
      <c r="D10" s="17">
        <f>+C10-B10+1</f>
        <v>365</v>
      </c>
      <c r="E10">
        <v>12000</v>
      </c>
      <c r="K10" s="67"/>
      <c r="M10" s="65"/>
      <c r="N10" s="65"/>
    </row>
    <row r="11" spans="2:14" x14ac:dyDescent="0.3">
      <c r="B11" s="65">
        <v>45748</v>
      </c>
      <c r="C11" s="65">
        <v>46010</v>
      </c>
      <c r="D11" s="17">
        <f>+C11-B11+1</f>
        <v>263</v>
      </c>
      <c r="E11" s="66">
        <f>ROUND(E10*D11/D10,0)</f>
        <v>8647</v>
      </c>
      <c r="F11" t="s">
        <v>24</v>
      </c>
      <c r="M11" s="65"/>
      <c r="N11" s="65"/>
    </row>
    <row r="13" spans="2:14" x14ac:dyDescent="0.3">
      <c r="B13" t="s">
        <v>23</v>
      </c>
    </row>
    <row r="14" spans="2:14" x14ac:dyDescent="0.3">
      <c r="B14" s="65">
        <v>45748</v>
      </c>
      <c r="C14" s="65">
        <v>46153</v>
      </c>
      <c r="D14" s="17">
        <f>+C14-B14+1</f>
        <v>406</v>
      </c>
      <c r="E14">
        <v>18248</v>
      </c>
    </row>
    <row r="15" spans="2:14" x14ac:dyDescent="0.3">
      <c r="B15" s="65">
        <v>46113</v>
      </c>
      <c r="C15" s="65">
        <v>46153</v>
      </c>
      <c r="D15" s="17">
        <f>+C15-B15+1</f>
        <v>41</v>
      </c>
      <c r="E15" s="66">
        <f>ROUND(E14*D15/D14,0)</f>
        <v>1843</v>
      </c>
      <c r="F15" t="s">
        <v>24</v>
      </c>
    </row>
    <row r="18" spans="2:9" x14ac:dyDescent="0.3">
      <c r="B18" t="s">
        <v>75</v>
      </c>
    </row>
    <row r="19" spans="2:9" x14ac:dyDescent="0.3">
      <c r="B19" s="68">
        <v>46023</v>
      </c>
      <c r="C19" s="68">
        <v>46203</v>
      </c>
      <c r="D19">
        <v>6</v>
      </c>
      <c r="E19">
        <v>13500</v>
      </c>
    </row>
    <row r="20" spans="2:9" x14ac:dyDescent="0.3">
      <c r="B20" s="68">
        <v>46023</v>
      </c>
      <c r="C20" s="68">
        <v>46112</v>
      </c>
      <c r="D20">
        <v>3</v>
      </c>
      <c r="E20">
        <f>ROUND(E19*D20/D19,0)</f>
        <v>6750</v>
      </c>
    </row>
    <row r="21" spans="2:9" x14ac:dyDescent="0.3">
      <c r="E21" s="66">
        <f>E19-E20</f>
        <v>6750</v>
      </c>
      <c r="F21" t="s">
        <v>24</v>
      </c>
    </row>
    <row r="23" spans="2:9" x14ac:dyDescent="0.3">
      <c r="B23" t="s">
        <v>163</v>
      </c>
    </row>
    <row r="24" spans="2:9" x14ac:dyDescent="0.3">
      <c r="B24" s="68">
        <v>46054</v>
      </c>
      <c r="C24" s="68">
        <v>46113</v>
      </c>
      <c r="D24">
        <v>3</v>
      </c>
      <c r="E24">
        <v>18000</v>
      </c>
    </row>
    <row r="25" spans="2:9" x14ac:dyDescent="0.3">
      <c r="B25" s="68">
        <v>46113</v>
      </c>
      <c r="C25" s="68">
        <v>46113</v>
      </c>
      <c r="D25">
        <f>C25-B25+1</f>
        <v>1</v>
      </c>
      <c r="E25" s="66">
        <f>ROUND(E24*D25/D24,0)</f>
        <v>6000</v>
      </c>
      <c r="F25" t="s">
        <v>24</v>
      </c>
    </row>
    <row r="32" spans="2:9" x14ac:dyDescent="0.3">
      <c r="I32" t="s">
        <v>144</v>
      </c>
    </row>
    <row r="33" spans="9:9" x14ac:dyDescent="0.3">
      <c r="I33" t="s">
        <v>145</v>
      </c>
    </row>
    <row r="34" spans="9:9" x14ac:dyDescent="0.3">
      <c r="I3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BS</vt:lpstr>
      <vt:lpstr>IE</vt:lpstr>
      <vt:lpstr>Sch I</vt:lpstr>
      <vt:lpstr>Sch II</vt:lpstr>
      <vt:lpstr>Sch III &amp; IV</vt:lpstr>
      <vt:lpstr>Sch V</vt:lpstr>
      <vt:lpstr>Sch VIII</vt:lpstr>
      <vt:lpstr>Sch VI &amp; VII</vt:lpstr>
      <vt:lpstr>BRS</vt:lpstr>
      <vt:lpstr>Workings</vt:lpstr>
      <vt:lpstr>BS!Print_Area</vt:lpstr>
      <vt:lpstr>IE!Print_Area</vt:lpstr>
      <vt:lpstr>'Sch I'!Print_Area</vt:lpstr>
      <vt:lpstr>'Sch II'!Print_Area</vt:lpstr>
      <vt:lpstr>'Sch III &amp; IV'!Print_Area</vt:lpstr>
      <vt:lpstr>'Sch V'!Print_Area</vt:lpstr>
      <vt:lpstr>'Sch VI &amp; VII'!Print_Area</vt:lpstr>
      <vt:lpstr>'Sch VIII'!Print_Area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2026-08-29T14:01:01Z</cp:lastPrinted>
  <dcterms:created xsi:type="dcterms:W3CDTF">2015-06-05T18:17:20Z</dcterms:created>
  <dcterms:modified xsi:type="dcterms:W3CDTF">2026-08-29T14:26:38Z</dcterms:modified>
</cp:coreProperties>
</file>