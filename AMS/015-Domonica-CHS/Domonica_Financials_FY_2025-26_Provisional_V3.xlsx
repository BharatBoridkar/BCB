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ajkumar\Balance Sheet\FY 2025-26\"/>
    </mc:Choice>
  </mc:AlternateContent>
  <bookViews>
    <workbookView xWindow="0" yWindow="0" windowWidth="23040" windowHeight="9072" tabRatio="882"/>
  </bookViews>
  <sheets>
    <sheet name="BS" sheetId="1" r:id="rId1"/>
    <sheet name="IE" sheetId="2" r:id="rId2"/>
    <sheet name="TB" sheetId="22" state="hidden" r:id="rId3"/>
    <sheet name="Receipt &amp; Payments" sheetId="15" state="hidden" r:id="rId4"/>
    <sheet name="FD Details" sheetId="21" r:id="rId5"/>
    <sheet name="FA" sheetId="3" r:id="rId6"/>
    <sheet name="Sch 4" sheetId="23" r:id="rId7"/>
    <sheet name="Members Contribution" sheetId="13" state="hidden" r:id="rId8"/>
    <sheet name="Property Tax" sheetId="4" state="hidden" r:id="rId9"/>
    <sheet name="Sch 3" sheetId="24" r:id="rId10"/>
    <sheet name="BRS" sheetId="7" r:id="rId11"/>
    <sheet name="Budget" sheetId="16" state="hidden" r:id="rId12"/>
    <sheet name="Estimated" sheetId="17" state="hidden" r:id="rId13"/>
    <sheet name="Workings" sheetId="9" r:id="rId14"/>
    <sheet name="Queries" sheetId="18" state="hidden" r:id="rId15"/>
    <sheet name="fd 1" sheetId="19" state="hidden" r:id="rId16"/>
  </sheets>
  <definedNames>
    <definedName name="_xlnm._FilterDatabase" localSheetId="2" hidden="1">TB!$A$4:$J$165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9" i="1" l="1"/>
  <c r="G25" i="1" l="1"/>
  <c r="C41" i="1"/>
  <c r="G26" i="1"/>
  <c r="F7" i="21"/>
  <c r="F6" i="21"/>
  <c r="G6" i="21"/>
  <c r="G7" i="21"/>
  <c r="F14" i="21"/>
  <c r="G22" i="1"/>
  <c r="L6" i="9"/>
  <c r="H28" i="2" l="1"/>
  <c r="G9" i="1"/>
  <c r="G8" i="1"/>
  <c r="G7" i="1"/>
  <c r="G6" i="1"/>
  <c r="G26" i="21" l="1"/>
  <c r="G25" i="21"/>
  <c r="G24" i="21"/>
  <c r="G20" i="21"/>
  <c r="G19" i="21"/>
  <c r="G18" i="21"/>
  <c r="G17" i="21"/>
  <c r="G16" i="21"/>
  <c r="G15" i="21"/>
  <c r="G14" i="21"/>
  <c r="G21" i="21" s="1"/>
  <c r="G13" i="21"/>
  <c r="G12" i="21"/>
  <c r="G11" i="21"/>
  <c r="G8" i="21"/>
  <c r="G24" i="2"/>
  <c r="F25" i="21"/>
  <c r="F24" i="21"/>
  <c r="F20" i="21"/>
  <c r="F19" i="21"/>
  <c r="F18" i="21"/>
  <c r="F13" i="21"/>
  <c r="F15" i="21"/>
  <c r="F17" i="21"/>
  <c r="F16" i="21"/>
  <c r="F12" i="21"/>
  <c r="F11" i="21"/>
  <c r="G20" i="2"/>
  <c r="F8" i="21"/>
  <c r="F21" i="21"/>
  <c r="F26" i="21"/>
  <c r="H25" i="21"/>
  <c r="H20" i="21"/>
  <c r="H19" i="21"/>
  <c r="H18" i="21"/>
  <c r="H17" i="21"/>
  <c r="H16" i="21"/>
  <c r="H15" i="21"/>
  <c r="H14" i="21"/>
  <c r="H13" i="21"/>
  <c r="H12" i="21"/>
  <c r="H11" i="21"/>
  <c r="H7" i="21"/>
  <c r="H6" i="21"/>
  <c r="C9" i="23"/>
  <c r="D30" i="1"/>
  <c r="E18" i="9"/>
  <c r="D17" i="9"/>
  <c r="E17" i="9" s="1"/>
  <c r="E19" i="9" s="1"/>
  <c r="E20" i="9" s="1"/>
  <c r="D11" i="9"/>
  <c r="E11" i="9" s="1"/>
  <c r="D10" i="9"/>
  <c r="C7" i="9"/>
  <c r="D7" i="9" s="1"/>
  <c r="E7" i="9" s="1"/>
  <c r="D6" i="9"/>
  <c r="C3" i="9"/>
  <c r="D3" i="9" s="1"/>
  <c r="E3" i="9" s="1"/>
  <c r="D2" i="9"/>
  <c r="J26" i="21"/>
  <c r="D26" i="21"/>
  <c r="J8" i="21"/>
  <c r="E8" i="21"/>
  <c r="D8" i="21"/>
  <c r="D15" i="2"/>
  <c r="G10" i="2"/>
  <c r="E21" i="3"/>
  <c r="F21" i="3"/>
  <c r="G21" i="3"/>
  <c r="H21" i="3"/>
  <c r="I21" i="3"/>
  <c r="D21" i="3"/>
  <c r="G20" i="3"/>
  <c r="H20" i="3"/>
  <c r="I20" i="3"/>
  <c r="J21" i="21"/>
  <c r="C17" i="1"/>
  <c r="C22" i="1"/>
  <c r="C13" i="1"/>
  <c r="E21" i="21"/>
  <c r="E24" i="21"/>
  <c r="H24" i="21" s="1"/>
  <c r="D21" i="21"/>
  <c r="D9" i="23"/>
  <c r="G32" i="24"/>
  <c r="G32" i="1" s="1"/>
  <c r="H33" i="1" s="1"/>
  <c r="C24" i="1"/>
  <c r="C20" i="1"/>
  <c r="C15" i="1"/>
  <c r="C11" i="1"/>
  <c r="A50" i="2"/>
  <c r="A50" i="1"/>
  <c r="I32" i="24"/>
  <c r="C49" i="1" s="1"/>
  <c r="H32" i="24"/>
  <c r="C48" i="1" s="1"/>
  <c r="F32" i="24"/>
  <c r="D32" i="24"/>
  <c r="E31" i="24"/>
  <c r="E30" i="24"/>
  <c r="E29" i="24"/>
  <c r="E28" i="24"/>
  <c r="E27" i="24"/>
  <c r="E26" i="24"/>
  <c r="E25" i="24"/>
  <c r="E24" i="24"/>
  <c r="E23" i="24"/>
  <c r="E22" i="24"/>
  <c r="E21" i="24"/>
  <c r="E20" i="24"/>
  <c r="E19" i="24"/>
  <c r="E18" i="24"/>
  <c r="E17" i="24"/>
  <c r="E16" i="24"/>
  <c r="E15" i="24"/>
  <c r="E14" i="24"/>
  <c r="E13" i="24"/>
  <c r="E12" i="24"/>
  <c r="E11" i="24"/>
  <c r="E10" i="24"/>
  <c r="E9" i="24"/>
  <c r="E8" i="24"/>
  <c r="E7" i="24"/>
  <c r="E6" i="24"/>
  <c r="E5" i="24"/>
  <c r="E4" i="24"/>
  <c r="E32" i="24" s="1"/>
  <c r="G28" i="21" l="1"/>
  <c r="G19" i="1" s="1"/>
  <c r="D28" i="21"/>
  <c r="F28" i="21"/>
  <c r="H8" i="21"/>
  <c r="H26" i="21"/>
  <c r="E26" i="21"/>
  <c r="D22" i="1"/>
  <c r="G18" i="1"/>
  <c r="E28" i="21"/>
  <c r="D49" i="1"/>
  <c r="E30" i="2"/>
  <c r="E41" i="1" s="1"/>
  <c r="E50" i="1" l="1"/>
  <c r="G38" i="1"/>
  <c r="N124" i="22"/>
  <c r="N123" i="22"/>
  <c r="N122" i="22"/>
  <c r="N120" i="22"/>
  <c r="N119" i="22"/>
  <c r="N118" i="22"/>
  <c r="N117" i="22"/>
  <c r="N116" i="22"/>
  <c r="N115" i="22"/>
  <c r="N114" i="22"/>
  <c r="N113" i="22"/>
  <c r="N112" i="22"/>
  <c r="N111" i="22"/>
  <c r="N110" i="22"/>
  <c r="N109" i="22"/>
  <c r="N108" i="22"/>
  <c r="N107" i="22"/>
  <c r="N106" i="22"/>
  <c r="N105" i="22"/>
  <c r="N101" i="22"/>
  <c r="N104" i="22"/>
  <c r="N103" i="22"/>
  <c r="N102" i="22"/>
  <c r="N100" i="22"/>
  <c r="N99" i="22"/>
  <c r="N98" i="22"/>
  <c r="N97" i="22"/>
  <c r="N96" i="22"/>
  <c r="N95" i="22"/>
  <c r="N94" i="22"/>
  <c r="N93" i="22"/>
  <c r="N92" i="22"/>
  <c r="N91" i="22"/>
  <c r="N90" i="22"/>
  <c r="N89" i="22"/>
  <c r="N88" i="22"/>
  <c r="N87" i="22"/>
  <c r="N86" i="22"/>
  <c r="N85" i="22"/>
  <c r="N83" i="22"/>
  <c r="N165" i="22"/>
  <c r="N164" i="22"/>
  <c r="N163" i="22"/>
  <c r="N162" i="22"/>
  <c r="N161" i="22"/>
  <c r="N158" i="22"/>
  <c r="N157" i="22"/>
  <c r="N156" i="22"/>
  <c r="N155" i="22"/>
  <c r="N154" i="22"/>
  <c r="N153" i="22"/>
  <c r="N152" i="22"/>
  <c r="N151" i="22"/>
  <c r="N149" i="22"/>
  <c r="N148" i="22"/>
  <c r="N147" i="22"/>
  <c r="N146" i="22"/>
  <c r="N145" i="22"/>
  <c r="N144" i="22"/>
  <c r="N143" i="22"/>
  <c r="N142" i="22"/>
  <c r="N141" i="22"/>
  <c r="N140" i="22"/>
  <c r="N139" i="22"/>
  <c r="N138" i="22"/>
  <c r="N137" i="22"/>
  <c r="N136" i="22"/>
  <c r="N135" i="22"/>
  <c r="N133" i="22"/>
  <c r="N132" i="22"/>
  <c r="N131" i="22"/>
  <c r="N130" i="22"/>
  <c r="N129" i="22"/>
  <c r="N128" i="22"/>
  <c r="N127" i="22"/>
  <c r="N126" i="22"/>
  <c r="N125" i="22"/>
  <c r="N82" i="22"/>
  <c r="N81" i="22"/>
  <c r="N80" i="22"/>
  <c r="N79" i="22"/>
  <c r="N78" i="22"/>
  <c r="N77" i="22"/>
  <c r="N76" i="22"/>
  <c r="N75" i="22"/>
  <c r="N74" i="22"/>
  <c r="N73" i="22"/>
  <c r="N72" i="22"/>
  <c r="N71" i="22"/>
  <c r="N70" i="22"/>
  <c r="N69" i="22"/>
  <c r="N68" i="22"/>
  <c r="N67" i="22"/>
  <c r="N66" i="22"/>
  <c r="N65" i="22"/>
  <c r="N64" i="22"/>
  <c r="N63" i="22"/>
  <c r="N62" i="22"/>
  <c r="N61" i="22"/>
  <c r="N60" i="22"/>
  <c r="N59" i="22"/>
  <c r="N58" i="22"/>
  <c r="N57" i="22"/>
  <c r="N56" i="22"/>
  <c r="N54" i="22"/>
  <c r="N53" i="22"/>
  <c r="N52" i="22"/>
  <c r="N51" i="22"/>
  <c r="N50" i="22"/>
  <c r="N49" i="22"/>
  <c r="N48" i="22"/>
  <c r="N47" i="22"/>
  <c r="N46" i="22"/>
  <c r="N45" i="22"/>
  <c r="N44" i="22"/>
  <c r="N43" i="22"/>
  <c r="N42" i="22"/>
  <c r="N41" i="22"/>
  <c r="N40" i="22"/>
  <c r="N39" i="22"/>
  <c r="N38" i="22"/>
  <c r="N37" i="22"/>
  <c r="N36" i="22"/>
  <c r="N35" i="22"/>
  <c r="N34" i="22"/>
  <c r="N33" i="22"/>
  <c r="N32" i="22"/>
  <c r="N31" i="22"/>
  <c r="N30" i="22"/>
  <c r="N29" i="22"/>
  <c r="N28" i="22"/>
  <c r="N27" i="22"/>
  <c r="N26" i="22"/>
  <c r="N25" i="22"/>
  <c r="N24" i="22"/>
  <c r="N23" i="22"/>
  <c r="N22" i="22"/>
  <c r="N21" i="22"/>
  <c r="N20" i="22"/>
  <c r="N19" i="22"/>
  <c r="N18" i="22"/>
  <c r="N17" i="22"/>
  <c r="N16" i="22"/>
  <c r="N15" i="22"/>
  <c r="N14" i="22"/>
  <c r="N13" i="22"/>
  <c r="N12" i="22"/>
  <c r="N11" i="22"/>
  <c r="N10" i="22"/>
  <c r="N9" i="22"/>
  <c r="N8" i="22"/>
  <c r="N7" i="22"/>
  <c r="N6" i="22"/>
  <c r="N5" i="22"/>
  <c r="J121" i="22"/>
  <c r="N121" i="22" s="1"/>
  <c r="N134" i="22"/>
  <c r="D33" i="1" l="1"/>
  <c r="D45" i="1"/>
  <c r="J34" i="19"/>
  <c r="J36" i="19" s="1"/>
  <c r="D34" i="19"/>
  <c r="G33" i="19"/>
  <c r="H33" i="19" s="1"/>
  <c r="P32" i="19"/>
  <c r="S32" i="19" s="1"/>
  <c r="H32" i="19"/>
  <c r="P31" i="19"/>
  <c r="S31" i="19" s="1"/>
  <c r="H31" i="19"/>
  <c r="P30" i="19"/>
  <c r="S30" i="19" s="1"/>
  <c r="G30" i="19"/>
  <c r="H30" i="19" s="1"/>
  <c r="P29" i="19"/>
  <c r="S29" i="19" s="1"/>
  <c r="H29" i="19"/>
  <c r="P28" i="19"/>
  <c r="S28" i="19" s="1"/>
  <c r="H28" i="19"/>
  <c r="F27" i="19"/>
  <c r="E27" i="19"/>
  <c r="P26" i="19"/>
  <c r="S26" i="19" s="1"/>
  <c r="H26" i="19"/>
  <c r="P25" i="19"/>
  <c r="S25" i="19" s="1"/>
  <c r="H25" i="19"/>
  <c r="G24" i="19"/>
  <c r="F24" i="19"/>
  <c r="H24" i="19" s="1"/>
  <c r="P23" i="19"/>
  <c r="S23" i="19" s="1"/>
  <c r="G23" i="19"/>
  <c r="H23" i="19" s="1"/>
  <c r="P22" i="19"/>
  <c r="S22" i="19" s="1"/>
  <c r="G22" i="19"/>
  <c r="H22" i="19" s="1"/>
  <c r="P21" i="19"/>
  <c r="S21" i="19" s="1"/>
  <c r="G21" i="19"/>
  <c r="H21" i="19" s="1"/>
  <c r="P20" i="19"/>
  <c r="S20" i="19" s="1"/>
  <c r="H20" i="19"/>
  <c r="P19" i="19"/>
  <c r="S19" i="19" s="1"/>
  <c r="G19" i="19"/>
  <c r="H19" i="19" s="1"/>
  <c r="H18" i="19"/>
  <c r="G17" i="19"/>
  <c r="F17" i="19"/>
  <c r="E17" i="19"/>
  <c r="E34" i="19" s="1"/>
  <c r="G16" i="19"/>
  <c r="F16" i="19"/>
  <c r="E16" i="19"/>
  <c r="J13" i="19"/>
  <c r="F13" i="19"/>
  <c r="D13" i="19"/>
  <c r="D36" i="19" s="1"/>
  <c r="H12" i="19"/>
  <c r="T11" i="19"/>
  <c r="P11" i="19"/>
  <c r="S11" i="19" s="1"/>
  <c r="H11" i="19"/>
  <c r="P10" i="19"/>
  <c r="S10" i="19" s="1"/>
  <c r="H10" i="19"/>
  <c r="Q8" i="19"/>
  <c r="O8" i="19"/>
  <c r="N8" i="19"/>
  <c r="H8" i="19"/>
  <c r="H7" i="19"/>
  <c r="H13" i="19" s="1"/>
  <c r="G6" i="19"/>
  <c r="G13" i="19" s="1"/>
  <c r="F6" i="19"/>
  <c r="E6" i="19"/>
  <c r="E13" i="19" s="1"/>
  <c r="E36" i="19" s="1"/>
  <c r="G150" i="22"/>
  <c r="I150" i="22" s="1"/>
  <c r="C33" i="7"/>
  <c r="I55" i="22"/>
  <c r="N55" i="22" s="1"/>
  <c r="J84" i="22"/>
  <c r="N84" i="22" s="1"/>
  <c r="J28" i="21"/>
  <c r="G34" i="19" l="1"/>
  <c r="H25" i="2"/>
  <c r="G36" i="19"/>
  <c r="P8" i="19"/>
  <c r="F34" i="19"/>
  <c r="N159" i="22"/>
  <c r="N150" i="22"/>
  <c r="D26" i="2"/>
  <c r="D32" i="2"/>
  <c r="H14" i="2"/>
  <c r="F36" i="19"/>
  <c r="S8" i="19"/>
  <c r="H36" i="19"/>
  <c r="H34" i="19"/>
  <c r="H21" i="21" l="1"/>
  <c r="H28" i="21" s="1"/>
  <c r="H27" i="1"/>
  <c r="H19" i="1"/>
  <c r="H19" i="3"/>
  <c r="G19" i="3"/>
  <c r="E50" i="2"/>
  <c r="H43" i="16"/>
  <c r="I19" i="3" l="1"/>
  <c r="C21" i="16"/>
  <c r="B21" i="16"/>
  <c r="C23" i="16"/>
  <c r="B23" i="16"/>
  <c r="H8" i="16"/>
  <c r="D8" i="16"/>
  <c r="C8" i="16"/>
  <c r="I38" i="16"/>
  <c r="I28" i="16"/>
  <c r="I33" i="16"/>
  <c r="I42" i="16"/>
  <c r="I31" i="16"/>
  <c r="I24" i="16"/>
  <c r="I29" i="16"/>
  <c r="I36" i="16"/>
  <c r="I35" i="16"/>
  <c r="I30" i="16"/>
  <c r="I40" i="16"/>
  <c r="I32" i="16"/>
  <c r="I44" i="16"/>
  <c r="I34" i="16"/>
  <c r="I39" i="16"/>
  <c r="H39" i="16"/>
  <c r="I37" i="16"/>
  <c r="I41" i="16"/>
  <c r="I27" i="16"/>
  <c r="I26" i="16"/>
  <c r="I25" i="16"/>
  <c r="I23" i="16"/>
  <c r="I22" i="16"/>
  <c r="I21" i="16"/>
  <c r="I20" i="16"/>
  <c r="I19" i="16"/>
  <c r="H44" i="16"/>
  <c r="H42" i="16"/>
  <c r="H29" i="16"/>
  <c r="H38" i="16"/>
  <c r="H31" i="16"/>
  <c r="H24" i="16"/>
  <c r="H27" i="16"/>
  <c r="H41" i="16"/>
  <c r="I46" i="16" l="1"/>
  <c r="H12" i="16" s="1"/>
  <c r="E8" i="16"/>
  <c r="H40" i="16"/>
  <c r="H37" i="16"/>
  <c r="H36" i="16"/>
  <c r="H35" i="16"/>
  <c r="H33" i="16"/>
  <c r="H32" i="16"/>
  <c r="H30" i="16"/>
  <c r="H26" i="16"/>
  <c r="H25" i="16"/>
  <c r="H23" i="16"/>
  <c r="H22" i="16"/>
  <c r="H21" i="16"/>
  <c r="H20" i="16"/>
  <c r="H19" i="16"/>
  <c r="C28" i="16"/>
  <c r="C27" i="16"/>
  <c r="C26" i="16"/>
  <c r="C25" i="16"/>
  <c r="C24" i="16"/>
  <c r="C22" i="16"/>
  <c r="C20" i="16"/>
  <c r="B28" i="16"/>
  <c r="B27" i="16"/>
  <c r="B26" i="16"/>
  <c r="B25" i="16"/>
  <c r="B24" i="16"/>
  <c r="B22" i="16"/>
  <c r="B20" i="16"/>
  <c r="C19" i="16"/>
  <c r="B19" i="16"/>
  <c r="B11" i="16"/>
  <c r="H9" i="16"/>
  <c r="D9" i="16"/>
  <c r="C9" i="16"/>
  <c r="H7" i="16"/>
  <c r="C7" i="16"/>
  <c r="H6" i="16"/>
  <c r="D17" i="17"/>
  <c r="G6" i="16" s="1"/>
  <c r="D9" i="17"/>
  <c r="G9" i="16" s="1"/>
  <c r="D8" i="17"/>
  <c r="G7" i="16" s="1"/>
  <c r="D7" i="17"/>
  <c r="G8" i="16" s="1"/>
  <c r="I8" i="16" s="1"/>
  <c r="D6" i="17"/>
  <c r="D6" i="16"/>
  <c r="C6" i="16"/>
  <c r="D43" i="17" l="1"/>
  <c r="B42" i="17" s="1"/>
  <c r="B43" i="17" s="1"/>
  <c r="F11" i="16"/>
  <c r="B46" i="16"/>
  <c r="C46" i="16"/>
  <c r="I6" i="16"/>
  <c r="I9" i="16"/>
  <c r="E6" i="16"/>
  <c r="E9" i="16"/>
  <c r="I7" i="16"/>
  <c r="H13" i="16"/>
  <c r="F49" i="15" l="1"/>
  <c r="F15" i="15"/>
  <c r="C10" i="15"/>
  <c r="C51" i="15" s="1"/>
  <c r="F4" i="15"/>
  <c r="C25" i="7"/>
  <c r="C17" i="7"/>
  <c r="C8" i="7"/>
  <c r="M10" i="4"/>
  <c r="L10" i="4"/>
  <c r="K10" i="4"/>
  <c r="J10" i="4"/>
  <c r="I10" i="4"/>
  <c r="H10" i="4"/>
  <c r="G10" i="4"/>
  <c r="F10" i="4"/>
  <c r="E10" i="4"/>
  <c r="D10" i="4"/>
  <c r="N9" i="4"/>
  <c r="N8" i="4"/>
  <c r="N7" i="4"/>
  <c r="N6" i="4"/>
  <c r="N5" i="4"/>
  <c r="N4" i="4"/>
  <c r="H18" i="3"/>
  <c r="G18" i="3"/>
  <c r="H17" i="3"/>
  <c r="G17" i="3"/>
  <c r="H16" i="3"/>
  <c r="G16" i="3"/>
  <c r="H15" i="3"/>
  <c r="G15" i="3"/>
  <c r="H14" i="3"/>
  <c r="G14" i="3"/>
  <c r="H13" i="3"/>
  <c r="G13" i="3"/>
  <c r="H12" i="3"/>
  <c r="G12" i="3"/>
  <c r="H11" i="3"/>
  <c r="G11" i="3"/>
  <c r="H10" i="3"/>
  <c r="G10" i="3"/>
  <c r="H9" i="3"/>
  <c r="G9" i="3"/>
  <c r="H8" i="3"/>
  <c r="G8" i="3"/>
  <c r="H7" i="3"/>
  <c r="G7" i="3"/>
  <c r="H6" i="3"/>
  <c r="G6" i="3"/>
  <c r="H5" i="3"/>
  <c r="G5" i="3"/>
  <c r="H4" i="3"/>
  <c r="G4" i="3"/>
  <c r="Y32" i="13"/>
  <c r="X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W31" i="13"/>
  <c r="Z31" i="13" s="1"/>
  <c r="W30" i="13"/>
  <c r="Z30" i="13" s="1"/>
  <c r="W29" i="13"/>
  <c r="Z29" i="13" s="1"/>
  <c r="W28" i="13"/>
  <c r="Z28" i="13" s="1"/>
  <c r="W27" i="13"/>
  <c r="Z27" i="13" s="1"/>
  <c r="W26" i="13"/>
  <c r="Z26" i="13" s="1"/>
  <c r="W25" i="13"/>
  <c r="Z25" i="13" s="1"/>
  <c r="W24" i="13"/>
  <c r="Z24" i="13" s="1"/>
  <c r="W23" i="13"/>
  <c r="Z23" i="13" s="1"/>
  <c r="W22" i="13"/>
  <c r="Z22" i="13" s="1"/>
  <c r="W21" i="13"/>
  <c r="Z21" i="13" s="1"/>
  <c r="W20" i="13"/>
  <c r="Z20" i="13" s="1"/>
  <c r="W19" i="13"/>
  <c r="Z19" i="13" s="1"/>
  <c r="W18" i="13"/>
  <c r="Z18" i="13" s="1"/>
  <c r="W17" i="13"/>
  <c r="Z17" i="13" s="1"/>
  <c r="W16" i="13"/>
  <c r="Z16" i="13" s="1"/>
  <c r="W15" i="13"/>
  <c r="Z15" i="13" s="1"/>
  <c r="W14" i="13"/>
  <c r="Z14" i="13" s="1"/>
  <c r="W13" i="13"/>
  <c r="Z13" i="13" s="1"/>
  <c r="W12" i="13"/>
  <c r="Z12" i="13" s="1"/>
  <c r="W11" i="13"/>
  <c r="Z11" i="13" s="1"/>
  <c r="W10" i="13"/>
  <c r="Z10" i="13" s="1"/>
  <c r="W9" i="13"/>
  <c r="Z9" i="13" s="1"/>
  <c r="W8" i="13"/>
  <c r="Z8" i="13" s="1"/>
  <c r="W7" i="13"/>
  <c r="Z7" i="13" s="1"/>
  <c r="W6" i="13"/>
  <c r="Z6" i="13" s="1"/>
  <c r="W5" i="13"/>
  <c r="Z5" i="13" s="1"/>
  <c r="W4" i="13"/>
  <c r="D7" i="16"/>
  <c r="D9" i="2"/>
  <c r="H4" i="2"/>
  <c r="E4" i="2"/>
  <c r="D26" i="1"/>
  <c r="D18" i="1"/>
  <c r="D13" i="1"/>
  <c r="H4" i="1"/>
  <c r="E4" i="1"/>
  <c r="I6" i="3" l="1"/>
  <c r="I10" i="3"/>
  <c r="I12" i="3"/>
  <c r="I18" i="3"/>
  <c r="I16" i="3"/>
  <c r="H9" i="1"/>
  <c r="I8" i="3"/>
  <c r="I14" i="3"/>
  <c r="D50" i="1"/>
  <c r="C46" i="2"/>
  <c r="D48" i="2" s="1"/>
  <c r="D50" i="2" s="1"/>
  <c r="H30" i="2" s="1"/>
  <c r="N10" i="4"/>
  <c r="F51" i="15"/>
  <c r="I5" i="3"/>
  <c r="I7" i="3"/>
  <c r="I9" i="3"/>
  <c r="I11" i="3"/>
  <c r="I13" i="3"/>
  <c r="I15" i="3"/>
  <c r="I17" i="3"/>
  <c r="Z4" i="13"/>
  <c r="Z32" i="13" s="1"/>
  <c r="W32" i="13"/>
  <c r="I4" i="3"/>
  <c r="E7" i="16"/>
  <c r="H34" i="16" l="1"/>
  <c r="H46" i="16" s="1"/>
  <c r="D12" i="16" s="1"/>
  <c r="D13" i="16" s="1"/>
  <c r="H29" i="1"/>
  <c r="G41" i="1" l="1"/>
  <c r="H41" i="1" s="1"/>
  <c r="H50" i="2"/>
  <c r="I50" i="2" l="1"/>
  <c r="H50" i="1"/>
  <c r="I50" i="1" s="1"/>
  <c r="F12" i="16"/>
  <c r="G12" i="16" s="1"/>
  <c r="I12" i="16" s="1"/>
  <c r="I13" i="16" s="1"/>
  <c r="B12" i="16"/>
  <c r="C12" i="16" s="1"/>
  <c r="C13" i="16" l="1"/>
  <c r="E12" i="16"/>
  <c r="E13" i="16" s="1"/>
  <c r="G13" i="16"/>
</calcChain>
</file>

<file path=xl/sharedStrings.xml><?xml version="1.0" encoding="utf-8"?>
<sst xmlns="http://schemas.openxmlformats.org/spreadsheetml/2006/main" count="1145" uniqueCount="603">
  <si>
    <t>Domonica CHS Ltd</t>
  </si>
  <si>
    <t>Reserve &amp; Surplus</t>
  </si>
  <si>
    <t>Statutory Reserve Fund</t>
  </si>
  <si>
    <t>Sinking Fund</t>
  </si>
  <si>
    <t>Repair and Maintenance Fund</t>
  </si>
  <si>
    <t>Common Amenity Fund</t>
  </si>
  <si>
    <t>Current liabilities</t>
  </si>
  <si>
    <t>Other Liabilities</t>
  </si>
  <si>
    <t>Audit Fee Payable</t>
  </si>
  <si>
    <t>Water Charges Payable</t>
  </si>
  <si>
    <t>N.A. Land Tax Payable</t>
  </si>
  <si>
    <t>Members Payable</t>
  </si>
  <si>
    <t>Refundable Deposit</t>
  </si>
  <si>
    <t>Total</t>
  </si>
  <si>
    <t>Savings Bank</t>
  </si>
  <si>
    <t xml:space="preserve">MSC Bank a/c. </t>
  </si>
  <si>
    <t>Cash in Hand</t>
  </si>
  <si>
    <t>Petty Cash</t>
  </si>
  <si>
    <t>Investments</t>
  </si>
  <si>
    <t>1 share of Housing Federation</t>
  </si>
  <si>
    <t>Long Term Fixed Deposits</t>
  </si>
  <si>
    <t>Accrued Interest of FD</t>
  </si>
  <si>
    <t>Loans &amp; Advances</t>
  </si>
  <si>
    <t>Deposit with Adani (esrtwhile Reliance)</t>
  </si>
  <si>
    <t>Deposit with Active Infotech</t>
  </si>
  <si>
    <t>Advance Tax</t>
  </si>
  <si>
    <t>Indus Tower  TDS</t>
  </si>
  <si>
    <t>Citizen Bank  TDS</t>
  </si>
  <si>
    <t>Advance for Automatic Gate</t>
  </si>
  <si>
    <t>Building Front Entrance Door</t>
  </si>
  <si>
    <t>Compound Main Gate</t>
  </si>
  <si>
    <t>Society Office</t>
  </si>
  <si>
    <t>Water Level Indicator</t>
  </si>
  <si>
    <t>Computer Printers</t>
  </si>
  <si>
    <t>Telecom System</t>
  </si>
  <si>
    <t>CCTV System</t>
  </si>
  <si>
    <t>Other Current Assets</t>
  </si>
  <si>
    <t>Excess paid to Zicom</t>
  </si>
  <si>
    <t>Salary Expenses</t>
  </si>
  <si>
    <t>Common Area Electricity Expenses</t>
  </si>
  <si>
    <t>Water Expenses</t>
  </si>
  <si>
    <t>Water Tanker expenses</t>
  </si>
  <si>
    <t>Water Tank Cleaning Expenses</t>
  </si>
  <si>
    <t>Water Pump Repair Charges</t>
  </si>
  <si>
    <t>Repair &amp; Maintenance</t>
  </si>
  <si>
    <t>Electrical Repair Maintenance</t>
  </si>
  <si>
    <t>Other Repair Maintenance</t>
  </si>
  <si>
    <t>Intercom  AMC Expenses</t>
  </si>
  <si>
    <t>Service Charges</t>
  </si>
  <si>
    <t>Security Expenses</t>
  </si>
  <si>
    <t>House Keeping Expenses</t>
  </si>
  <si>
    <t>Office Expenses</t>
  </si>
  <si>
    <t>Audit Fees</t>
  </si>
  <si>
    <t>Telephone  and  Internet Expenses</t>
  </si>
  <si>
    <t>Accounting Charges</t>
  </si>
  <si>
    <t>Printing  and  Stationary</t>
  </si>
  <si>
    <t>Meeting Expenses</t>
  </si>
  <si>
    <t>Conveyance Charges</t>
  </si>
  <si>
    <t>Professional Fees</t>
  </si>
  <si>
    <t>Bank Charges</t>
  </si>
  <si>
    <t>Miscellaneous Expenses</t>
  </si>
  <si>
    <t>CCTV Rent Expense</t>
  </si>
  <si>
    <t>Maintenance Income</t>
  </si>
  <si>
    <t>Maintenance Charges</t>
  </si>
  <si>
    <t>Electricity Charges</t>
  </si>
  <si>
    <t>Water Charges</t>
  </si>
  <si>
    <t>Lift Maintenance Charges</t>
  </si>
  <si>
    <t>2W Parking Charges</t>
  </si>
  <si>
    <t>Non Occupancy Charges</t>
  </si>
  <si>
    <t>4W Parking Charges</t>
  </si>
  <si>
    <t>Penalty  and  Other charges</t>
  </si>
  <si>
    <t>Late Payment Interest</t>
  </si>
  <si>
    <t>Property tax</t>
  </si>
  <si>
    <t>Municipal Taxes</t>
  </si>
  <si>
    <t>Other Member Income</t>
  </si>
  <si>
    <t>Party Hall Income</t>
  </si>
  <si>
    <t>Interest Income</t>
  </si>
  <si>
    <t>Interest Income  Savings Account</t>
  </si>
  <si>
    <t xml:space="preserve">Interest Income  Fixed Deposit </t>
  </si>
  <si>
    <t>Interest Income  Security Deposit</t>
  </si>
  <si>
    <t>Other Income</t>
  </si>
  <si>
    <t>Tower Rent Income</t>
  </si>
  <si>
    <t>Reg. no.BOM/WKE/HSG/TC/14063/2008 Dt.10/01/2008</t>
  </si>
  <si>
    <t>EXPENDITURE</t>
  </si>
  <si>
    <t>INCOME</t>
  </si>
  <si>
    <t>LIABILITIES</t>
  </si>
  <si>
    <t>ASSETS</t>
  </si>
  <si>
    <t>Income and Expenditure Account:</t>
  </si>
  <si>
    <t>As per last balance sheet</t>
  </si>
  <si>
    <t>Property Tax</t>
  </si>
  <si>
    <t>Education Fund</t>
  </si>
  <si>
    <t>Building Insurance</t>
  </si>
  <si>
    <t>AMC Water Pump</t>
  </si>
  <si>
    <t>Bonus</t>
  </si>
  <si>
    <t>Subscription Federation</t>
  </si>
  <si>
    <t>Depreciation</t>
  </si>
  <si>
    <t>Authorised Share Capital</t>
  </si>
  <si>
    <t>280 shares pf Rs.50 each</t>
  </si>
  <si>
    <t xml:space="preserve">Share Capital Subscribed </t>
  </si>
  <si>
    <t>Particulars</t>
  </si>
  <si>
    <t>Rate          %</t>
  </si>
  <si>
    <t>Depreciation for the year</t>
  </si>
  <si>
    <t>Furniture &amp; Fixtures</t>
  </si>
  <si>
    <t>Sr. no</t>
  </si>
  <si>
    <t>Bio-metric system</t>
  </si>
  <si>
    <t>Car Parking shed</t>
  </si>
  <si>
    <t>Bike Parking Shed</t>
  </si>
  <si>
    <t xml:space="preserve">Monsoon Shed on Terrace </t>
  </si>
  <si>
    <t>Lights &amp; Fans on Terrace</t>
  </si>
  <si>
    <t>Porta Cabin - Watchman</t>
  </si>
  <si>
    <t>Member Name Plate</t>
  </si>
  <si>
    <t>Property Tax collected but not assessed/paid to MCGM</t>
  </si>
  <si>
    <t>Sr. no.</t>
  </si>
  <si>
    <t>Flat no.</t>
  </si>
  <si>
    <t>Name of Member</t>
  </si>
  <si>
    <t>2013-14</t>
  </si>
  <si>
    <t>2014-15</t>
  </si>
  <si>
    <t>2015-16</t>
  </si>
  <si>
    <t>2016-17</t>
  </si>
  <si>
    <t>2017-18</t>
  </si>
  <si>
    <t>2019-20</t>
  </si>
  <si>
    <t>2020-21</t>
  </si>
  <si>
    <t>2021-22</t>
  </si>
  <si>
    <t>Mr. Jeffrey D. D'mello</t>
  </si>
  <si>
    <t>2018-19</t>
  </si>
  <si>
    <t>Mr. Avellino D'mello</t>
  </si>
  <si>
    <t>Mr. P. S. Varghese</t>
  </si>
  <si>
    <t>Mr. Henry Louis Chettiar</t>
  </si>
  <si>
    <t>Mrs. Sujatha Fernandes</t>
  </si>
  <si>
    <t>Mrs. Carral Netto</t>
  </si>
  <si>
    <t>G001</t>
  </si>
  <si>
    <t>G002A</t>
  </si>
  <si>
    <t>Ms. Lora John Carvalho</t>
  </si>
  <si>
    <t>Mr. P. S. Varghese &amp; Ms. Liji Varghese</t>
  </si>
  <si>
    <t>Mr. Tahira Mohammed Ibrahim Khan</t>
  </si>
  <si>
    <t>Ms. Saira A Siddique</t>
  </si>
  <si>
    <t>Unit</t>
  </si>
  <si>
    <t>Amount</t>
  </si>
  <si>
    <t>G003</t>
  </si>
  <si>
    <t>Mr. Varghese Anthony V.K.</t>
  </si>
  <si>
    <t>Ms. Albertina  D'Souza</t>
  </si>
  <si>
    <t>Mr. Ansel Damien D'Souza &amp; Ms. Andrea D'Souza</t>
  </si>
  <si>
    <t>Ms. Ziauddin N. Zia &amp; Mr. Naqibuddin Zia</t>
  </si>
  <si>
    <t>Prepaid Expense</t>
  </si>
  <si>
    <t>Add: Addition during the year</t>
  </si>
  <si>
    <t>Add: Accrued / Interest Earned</t>
  </si>
  <si>
    <t>HDFC a/c-00601450000885</t>
  </si>
  <si>
    <t>Citizen a/c-2090182000006930</t>
  </si>
  <si>
    <t>Sr.</t>
  </si>
  <si>
    <t>Certificate No.</t>
  </si>
  <si>
    <t>2090180000310130</t>
  </si>
  <si>
    <t>Deposit Date</t>
  </si>
  <si>
    <t>30.03.2021</t>
  </si>
  <si>
    <t>Principal</t>
  </si>
  <si>
    <t>Accd Int 21-22</t>
  </si>
  <si>
    <t>Accd Int 22-23</t>
  </si>
  <si>
    <t>Mat Date</t>
  </si>
  <si>
    <t>30.06.2024</t>
  </si>
  <si>
    <t>Mat Value</t>
  </si>
  <si>
    <t>2090180000306357</t>
  </si>
  <si>
    <t>11.03.2022</t>
  </si>
  <si>
    <t>24.07.2023</t>
  </si>
  <si>
    <t>2090180003051151</t>
  </si>
  <si>
    <t>22.07.2022</t>
  </si>
  <si>
    <t>2090180306634596</t>
  </si>
  <si>
    <t>26.11.2022</t>
  </si>
  <si>
    <t>2090180003051188</t>
  </si>
  <si>
    <t>06.10.2022</t>
  </si>
  <si>
    <t>2090180003051410</t>
  </si>
  <si>
    <t>23.06.2022</t>
  </si>
  <si>
    <t>101843051000483</t>
  </si>
  <si>
    <t>17.03.2023</t>
  </si>
  <si>
    <t>2090180003051190</t>
  </si>
  <si>
    <t>2090180000310127</t>
  </si>
  <si>
    <t>2090180000310129</t>
  </si>
  <si>
    <t>2090180000306356</t>
  </si>
  <si>
    <t>2090180003051150</t>
  </si>
  <si>
    <t>2090180003051189</t>
  </si>
  <si>
    <t>2090180003051191</t>
  </si>
  <si>
    <t>2090180003051192</t>
  </si>
  <si>
    <t>101843051000498</t>
  </si>
  <si>
    <t>2090180003051568</t>
  </si>
  <si>
    <t>2090180003051572</t>
  </si>
  <si>
    <t>Bank</t>
  </si>
  <si>
    <t>Citizencredit</t>
  </si>
  <si>
    <t>2090180003051661</t>
  </si>
  <si>
    <t>2090180003051662</t>
  </si>
  <si>
    <t>2090180003051571</t>
  </si>
  <si>
    <t>2090180003051411</t>
  </si>
  <si>
    <t>2090180003051569</t>
  </si>
  <si>
    <t>2090180003051570</t>
  </si>
  <si>
    <t>2090180003051256</t>
  </si>
  <si>
    <t>18.01.2023</t>
  </si>
  <si>
    <t>Garbage Disposal Expense</t>
  </si>
  <si>
    <t>Add: Surplus/(Deficit) for the year</t>
  </si>
  <si>
    <t>Advance for Municipal Taxes Collected</t>
  </si>
  <si>
    <t>Income Tax Payable</t>
  </si>
  <si>
    <t>Fixed Deposit - Schedule 1</t>
  </si>
  <si>
    <t>Schedule 1: Fixed Deposit Details as at 31.03.2023</t>
  </si>
  <si>
    <t>General Funds</t>
  </si>
  <si>
    <t>Grand Total</t>
  </si>
  <si>
    <t>2022-23</t>
  </si>
  <si>
    <t>Book balance as per system</t>
  </si>
  <si>
    <t>Balance as per bank statements</t>
  </si>
  <si>
    <t xml:space="preserve"> </t>
  </si>
  <si>
    <t xml:space="preserve">Plumbing Repair Maintenance </t>
  </si>
  <si>
    <t>Election Expense</t>
  </si>
  <si>
    <t>ROI</t>
  </si>
  <si>
    <t>05.11.2023</t>
  </si>
  <si>
    <t>29.07.2024</t>
  </si>
  <si>
    <t>09.04.2024</t>
  </si>
  <si>
    <t>04.12.2023</t>
  </si>
  <si>
    <t>30.07.2023</t>
  </si>
  <si>
    <t>18.02.2024</t>
  </si>
  <si>
    <t>01.06.2024</t>
  </si>
  <si>
    <t>24.07.2024</t>
  </si>
  <si>
    <t>17.07.2023</t>
  </si>
  <si>
    <t>Repair Fund</t>
  </si>
  <si>
    <t>Sl. No</t>
  </si>
  <si>
    <t>Carpet Area</t>
  </si>
  <si>
    <t>Share Capital</t>
  </si>
  <si>
    <t>Dues from Members</t>
  </si>
  <si>
    <t>Sq. mt.</t>
  </si>
  <si>
    <t>Sq. ft.</t>
  </si>
  <si>
    <t>Mr. Stanney  D'Souza</t>
  </si>
  <si>
    <t>G002</t>
  </si>
  <si>
    <t>MR. James P. D'Sa &amp; Ms. Telma D'Sa</t>
  </si>
  <si>
    <t>MR. Jeffrey D. D'Mello</t>
  </si>
  <si>
    <t>Mr. Berny  Netto &amp; Ms. Carral Netto</t>
  </si>
  <si>
    <t>Ms. Ashleen C. Knight</t>
  </si>
  <si>
    <t>Ms. Donna  D'Mello</t>
  </si>
  <si>
    <t>Mr. Avellino  D'Mello</t>
  </si>
  <si>
    <t>Ms. Nereen Jeffrey Dmello</t>
  </si>
  <si>
    <t>Ms. Assenta  D'Mello</t>
  </si>
  <si>
    <t>Ms. Noreen  G Fernandes</t>
  </si>
  <si>
    <t>Mr. K. A. Vincent</t>
  </si>
  <si>
    <t>Mr. Bernard  Spitz &amp; Ms. Scarlet B. Spitz</t>
  </si>
  <si>
    <t>Mr. Yeshwant D. Salvi</t>
  </si>
  <si>
    <t>Mr. Percy P. Cornello &amp; Mr. Durran P. Cornello</t>
  </si>
  <si>
    <t>Mr. Ruben  Fernandes</t>
  </si>
  <si>
    <t>Mr. Nazir A. Zia &amp; Ms. Farida N. Zia</t>
  </si>
  <si>
    <t>Ms. Sujatha  Fernandes &amp; Mr. Charles Fernandes</t>
  </si>
  <si>
    <t>Ms. Carral  Netto</t>
  </si>
  <si>
    <t xml:space="preserve">Domonica CHS Ltd </t>
  </si>
  <si>
    <t>Flat-Wise Contibution Details for the period from 1st April 2022 to 31st March 2023</t>
  </si>
  <si>
    <t>Flat</t>
  </si>
  <si>
    <t>NOC</t>
  </si>
  <si>
    <t>Share Transfer Fee</t>
  </si>
  <si>
    <t>Transfer Premium</t>
  </si>
  <si>
    <t>MR. Jeffrey D. D''Mello</t>
  </si>
  <si>
    <t>Ms. Donna  D''Mello</t>
  </si>
  <si>
    <t>Mr. Avellino  D''Mello</t>
  </si>
  <si>
    <t>Ms. Albertina  D''Souza</t>
  </si>
  <si>
    <t>Ms. Assenta  D''Mello</t>
  </si>
  <si>
    <t>Member Name</t>
  </si>
  <si>
    <t>Entrance Fee</t>
  </si>
  <si>
    <t>Other Charges</t>
  </si>
  <si>
    <t>Total Receipts</t>
  </si>
  <si>
    <t>Net</t>
  </si>
  <si>
    <t xml:space="preserve">Open Bal. </t>
  </si>
  <si>
    <t>Total Bill</t>
  </si>
  <si>
    <t>Penalty &amp; Other chgs</t>
  </si>
  <si>
    <t>Edu. &amp; Trng Fund</t>
  </si>
  <si>
    <t>4W Park Chgs</t>
  </si>
  <si>
    <t>2W Park Chgs</t>
  </si>
  <si>
    <t>Lift Maint. Chgs</t>
  </si>
  <si>
    <t>Water Chgs</t>
  </si>
  <si>
    <t>Elect. Chgs</t>
  </si>
  <si>
    <t>Maint. Chgs</t>
  </si>
  <si>
    <t>Late Pymt Int.</t>
  </si>
  <si>
    <t>Mr. Berny  Netto</t>
  </si>
  <si>
    <t xml:space="preserve">Mr. Bernard  Spitz </t>
  </si>
  <si>
    <t>Mr. Percy P. Cornello</t>
  </si>
  <si>
    <t>Mr. Ansel Damien D'Souza</t>
  </si>
  <si>
    <t xml:space="preserve">Mr. Nazir A. Zia </t>
  </si>
  <si>
    <t>Ms. Ziauddin N. Zia</t>
  </si>
  <si>
    <t>Ms. Sujatha  Fernandes</t>
  </si>
  <si>
    <t xml:space="preserve">MR. James P. D'Sa </t>
  </si>
  <si>
    <t>Deposit for Internal Repair</t>
  </si>
  <si>
    <t>Fixed Assets - Schedule 2</t>
  </si>
  <si>
    <t>Member Receivables- Schedule 3</t>
  </si>
  <si>
    <t>Advance Members - Schedule 3</t>
  </si>
  <si>
    <t>Interest accrued for Mar 2023 bill</t>
  </si>
  <si>
    <t>Receipts</t>
  </si>
  <si>
    <t>Payments</t>
  </si>
  <si>
    <t xml:space="preserve">Opening HDFC a/c-00601450000885 </t>
  </si>
  <si>
    <t xml:space="preserve">Opening Citizen a/c-2090182000006930 </t>
  </si>
  <si>
    <t xml:space="preserve">Opening MSC Bank a/c. - </t>
  </si>
  <si>
    <t xml:space="preserve">Opening Project A/c - Citizen Bank </t>
  </si>
  <si>
    <t xml:space="preserve">Opening Petty Cash </t>
  </si>
  <si>
    <t>Receipts from Members</t>
  </si>
  <si>
    <t>Income from Non Members</t>
  </si>
  <si>
    <t>Fixed Asset Control A/C</t>
  </si>
  <si>
    <t>Garbage Disposal Expenses</t>
  </si>
  <si>
    <t>Insurance Expenses</t>
  </si>
  <si>
    <t>Journal Entries</t>
  </si>
  <si>
    <t>Intercom AMC Expenses</t>
  </si>
  <si>
    <t>Land Rent Expense</t>
  </si>
  <si>
    <t>Lift Repair &amp; Maintenance</t>
  </si>
  <si>
    <t>Meals &amp; Refreshments</t>
  </si>
  <si>
    <t>Plumbing Repairs</t>
  </si>
  <si>
    <t>Printing &amp; Stationary</t>
  </si>
  <si>
    <t>Property Tax - Members</t>
  </si>
  <si>
    <t>Telephone &amp; Internet Expenses</t>
  </si>
  <si>
    <t>TDS Remitted</t>
  </si>
  <si>
    <t xml:space="preserve"> HDFC a/c-00601450000885 balance</t>
  </si>
  <si>
    <t xml:space="preserve"> Citizen a/c-2090182000006930 balance</t>
  </si>
  <si>
    <t xml:space="preserve"> MSC Bank a/c. - balance</t>
  </si>
  <si>
    <t xml:space="preserve"> Project A/c - Citizen Bank balance</t>
  </si>
  <si>
    <t xml:space="preserve"> Petty Cash balance</t>
  </si>
  <si>
    <t>Conveyance</t>
  </si>
  <si>
    <t>Internet &amp; Communication</t>
  </si>
  <si>
    <t>Postage and Courier</t>
  </si>
  <si>
    <t>Printing &amp; Stationery</t>
  </si>
  <si>
    <t>Intercom</t>
  </si>
  <si>
    <t>Water Pumps</t>
  </si>
  <si>
    <t>Water Tanks Cleaning</t>
  </si>
  <si>
    <t>Accountant</t>
  </si>
  <si>
    <t>Housekeeping Expenses</t>
  </si>
  <si>
    <t>Legal/Professional Fees</t>
  </si>
  <si>
    <t>Waste Mgmt Expenses</t>
  </si>
  <si>
    <t>R&amp;M - CCTV</t>
  </si>
  <si>
    <t>R&amp;M - Electrial</t>
  </si>
  <si>
    <t>R&amp;M - Plumbing</t>
  </si>
  <si>
    <t>R&amp;M - Others</t>
  </si>
  <si>
    <t>R&amp;M - Lift</t>
  </si>
  <si>
    <t>Insurance</t>
  </si>
  <si>
    <t>Education &amp; Training Fund</t>
  </si>
  <si>
    <t>Water Tanker</t>
  </si>
  <si>
    <t>Estimated</t>
  </si>
  <si>
    <t>Head of Account</t>
  </si>
  <si>
    <t>Income</t>
  </si>
  <si>
    <t>Expenditure</t>
  </si>
  <si>
    <t>Difference</t>
  </si>
  <si>
    <t>Actual for FY 2022-23</t>
  </si>
  <si>
    <t>Estimates for FY 2023-24</t>
  </si>
  <si>
    <t>Municipal/ Property taxes</t>
  </si>
  <si>
    <t>Meals &amp; Refreshment Expense</t>
  </si>
  <si>
    <t>Income Tax expense</t>
  </si>
  <si>
    <t>Housekeeping Material/ Misc.</t>
  </si>
  <si>
    <t>Salary</t>
  </si>
  <si>
    <t>R&amp;M - Water pump</t>
  </si>
  <si>
    <t>Surplus</t>
  </si>
  <si>
    <t>Lift Maintenance Expenses</t>
  </si>
  <si>
    <t>Administrative &amp; Maintenance</t>
  </si>
  <si>
    <t>a) Society Maint. Charges</t>
  </si>
  <si>
    <t>b) Other Items (Please see details below)</t>
  </si>
  <si>
    <t>Break-up of other Income:</t>
  </si>
  <si>
    <t>Break-up of other Expenditure:</t>
  </si>
  <si>
    <t>Actual for 2022-23</t>
  </si>
  <si>
    <t>Estimates for 2023-24</t>
  </si>
  <si>
    <t>Interest on Savings Account</t>
  </si>
  <si>
    <t>Interest on Fixed Deposit</t>
  </si>
  <si>
    <t>2W parking charges</t>
  </si>
  <si>
    <t>4W parking charges</t>
  </si>
  <si>
    <t>Security Charges</t>
  </si>
  <si>
    <t>Sweeping Charges</t>
  </si>
  <si>
    <t>Ex-Gratia</t>
  </si>
  <si>
    <t>Electrical Repairs &amp; Replacements</t>
  </si>
  <si>
    <t>Printing &amp; Stationery Expenses</t>
  </si>
  <si>
    <t>Society Internet &amp; WIFI</t>
  </si>
  <si>
    <t>AMC - Intercom</t>
  </si>
  <si>
    <t>Royalty - Car Parking Area</t>
  </si>
  <si>
    <t>Bank charges &amp; Miscellaneous Exp.</t>
  </si>
  <si>
    <t>AGM/ SGM Expenses</t>
  </si>
  <si>
    <t>Repair &amp; Maintenance Other</t>
  </si>
  <si>
    <t>Garbage Disposal</t>
  </si>
  <si>
    <t>Housekeeping Exp.</t>
  </si>
  <si>
    <t>CCTV Rent</t>
  </si>
  <si>
    <t>Income tax</t>
  </si>
  <si>
    <t>Subscription for Federation</t>
  </si>
  <si>
    <t>Water Pumps AMC &amp; Repairs</t>
  </si>
  <si>
    <t>Common Electricity Charges</t>
  </si>
  <si>
    <t>Penalty &amp; Other Charges</t>
  </si>
  <si>
    <t>Interest on Security Deposit</t>
  </si>
  <si>
    <t>TOTAL</t>
  </si>
  <si>
    <t>Deficit</t>
  </si>
  <si>
    <t>DOMONICA CO-OPERATIVE HOUSING SOCIETY LIMITED</t>
  </si>
  <si>
    <t>BUDGET ESTIMATE FOR FY 2023-24</t>
  </si>
  <si>
    <t>Election Expenses</t>
  </si>
  <si>
    <t>Receipts &amp; Payments A/C for Period 01.04.2023 to 31.03.2024</t>
  </si>
  <si>
    <t>Bank &amp; Cash Balance beginning of 01-04-2023</t>
  </si>
  <si>
    <t>Bank &amp; Cash Balance Closing of 31-03-2024</t>
  </si>
  <si>
    <t xml:space="preserve">Water Pump </t>
  </si>
  <si>
    <t>Accd Int 23-24</t>
  </si>
  <si>
    <t xml:space="preserve">Project A/c Citizen Bank statement not avaialable </t>
  </si>
  <si>
    <t xml:space="preserve">MSC bank statement not available </t>
  </si>
  <si>
    <t xml:space="preserve">Cash is negative balance and Cash not reconcile </t>
  </si>
  <si>
    <t xml:space="preserve">Water Exp bill required </t>
  </si>
  <si>
    <t>Depreciation not charged FY 23-24</t>
  </si>
  <si>
    <t>Done</t>
  </si>
  <si>
    <t xml:space="preserve">Property Tax bill required </t>
  </si>
  <si>
    <t xml:space="preserve">prepaid exp not reversal </t>
  </si>
  <si>
    <t xml:space="preserve">The Oriental Insurance Company Ltd bill required </t>
  </si>
  <si>
    <t>provisional not reverse</t>
  </si>
  <si>
    <t xml:space="preserve">Lift AMC Bill Required </t>
  </si>
  <si>
    <t>Collection not trasnferred to reserve fund</t>
  </si>
  <si>
    <t xml:space="preserve">Last yeat Royalty car parking exp booked but current exp not booekd </t>
  </si>
  <si>
    <t xml:space="preserve">Pls check tower rent income ledger </t>
  </si>
  <si>
    <t>Subscipetion fees not paid FY23-24</t>
  </si>
  <si>
    <t>Manager provisional salary not booked</t>
  </si>
  <si>
    <t>Property Tax bill not booked FY23-24</t>
  </si>
  <si>
    <t>water exp after aug bill not booked</t>
  </si>
  <si>
    <t xml:space="preserve">MSC Bank Statement required </t>
  </si>
  <si>
    <t xml:space="preserve">Intercom AMC prepaid not booked </t>
  </si>
  <si>
    <t>Pest control AMC not booked</t>
  </si>
  <si>
    <t xml:space="preserve">Rs. 3500/- advance payment done on 18.10.23 to Pradeep Vishwakarma Bill required </t>
  </si>
  <si>
    <t xml:space="preserve">Security salary not provision for the month of March </t>
  </si>
  <si>
    <t xml:space="preserve">Rs. 15000/ advance payment done on 11.08.2023 to Sagar electricals bill required </t>
  </si>
  <si>
    <t xml:space="preserve">31.12.23 in security ledger one bill booked in the name of Daya </t>
  </si>
  <si>
    <t xml:space="preserve">Rs. 20000/ advance payment done on 23.06.2023 to Sai Fabricators Bill required </t>
  </si>
  <si>
    <t xml:space="preserve">Sweeper salary provision not booked </t>
  </si>
  <si>
    <t xml:space="preserve">Rs.6000/ advance payment done on 17.11.2022 to Sreejesh A.V bill required </t>
  </si>
  <si>
    <t xml:space="preserve">CCTV Rental charges feb month exp not booked </t>
  </si>
  <si>
    <t xml:space="preserve">fixed asset control not transferred in fixed asset </t>
  </si>
  <si>
    <t>18.02.2025</t>
  </si>
  <si>
    <t>04.12.2024</t>
  </si>
  <si>
    <t>30.07.2024</t>
  </si>
  <si>
    <t>17.07.2024</t>
  </si>
  <si>
    <t>05.11.2024</t>
  </si>
  <si>
    <t>Pending</t>
  </si>
  <si>
    <t xml:space="preserve">Pending </t>
  </si>
  <si>
    <t>Section</t>
  </si>
  <si>
    <t>GL Account</t>
  </si>
  <si>
    <t>Account</t>
  </si>
  <si>
    <t>Opening Debit</t>
  </si>
  <si>
    <t>Opening Credit</t>
  </si>
  <si>
    <t>Period Debit</t>
  </si>
  <si>
    <t>Period Credit</t>
  </si>
  <si>
    <t>Closing Debit</t>
  </si>
  <si>
    <t>Closing Credit</t>
  </si>
  <si>
    <t>Assets</t>
  </si>
  <si>
    <t>Citizen a/c - 2090182000006930</t>
  </si>
  <si>
    <t>MSC Bank a/c</t>
  </si>
  <si>
    <t>Project A/c - Citizen Bank</t>
  </si>
  <si>
    <t>Yes Bank a/c - 020188700000206</t>
  </si>
  <si>
    <t>310130_R01 CCB - SF</t>
  </si>
  <si>
    <t>306357_R05 CCB - SF</t>
  </si>
  <si>
    <t>306634596_R06 CCB - SF</t>
  </si>
  <si>
    <t>3051151_R01 CCB - SF</t>
  </si>
  <si>
    <t>3051188_R02 CCB - SF</t>
  </si>
  <si>
    <t>3051410_R01 CCB - SF</t>
  </si>
  <si>
    <t>3051000483 CCB - SF</t>
  </si>
  <si>
    <t>3051151_R02 CCB - SF</t>
  </si>
  <si>
    <t>3051188_R03 CCB - SF</t>
  </si>
  <si>
    <t>3051410_R02 CCB - SF</t>
  </si>
  <si>
    <t>3051411_R03 CCB - GRF</t>
  </si>
  <si>
    <t>310127_R01 CCB - GRF</t>
  </si>
  <si>
    <t>310129_R01 CCB - GRF</t>
  </si>
  <si>
    <t>306356_R06 CCB - GRF</t>
  </si>
  <si>
    <t>3051190_R03 CCB - GRF</t>
  </si>
  <si>
    <t>3051150_R03 CCB - GRF</t>
  </si>
  <si>
    <t>3051189_R03 CCB - GRF</t>
  </si>
  <si>
    <t>3051191_R03 CCB - GRF</t>
  </si>
  <si>
    <t>3051192_R03 CCB - GRF</t>
  </si>
  <si>
    <t>3051000498 CCB - GRF</t>
  </si>
  <si>
    <t>3051568_R02 CCB - GRF</t>
  </si>
  <si>
    <t>3051572_R02 CCB - GRF</t>
  </si>
  <si>
    <t>3051661_R02 CCB - GRF</t>
  </si>
  <si>
    <t>3051662_R02 CCB - GRF</t>
  </si>
  <si>
    <t>3051571_R02 CCB - GRF</t>
  </si>
  <si>
    <t>3051411_R02 CCB - GRF</t>
  </si>
  <si>
    <t>3051569_R02 CCB - GRF</t>
  </si>
  <si>
    <t>3051570_R02 CCB - GRF</t>
  </si>
  <si>
    <t>3051256_R03 CCB - GRF</t>
  </si>
  <si>
    <t>3051150_R04 CCB - GRF</t>
  </si>
  <si>
    <t>3051192_R04 CCB - GRF</t>
  </si>
  <si>
    <t>3051189_R04 CCB - GRF</t>
  </si>
  <si>
    <t>3051190_R04 CCB - GRF</t>
  </si>
  <si>
    <t>3051191_R04 CCB - GRF</t>
  </si>
  <si>
    <t>3051662_R03 CCB - GRF</t>
  </si>
  <si>
    <t>3051568_R03 CCB - GRF</t>
  </si>
  <si>
    <t>3051570_R03 CCB - GRF</t>
  </si>
  <si>
    <t>3051572_R03 CCB - GRF</t>
  </si>
  <si>
    <t>3051569_R03 CCB - GRF</t>
  </si>
  <si>
    <t>3051571_R03 CCB - GRF</t>
  </si>
  <si>
    <t>Members Receivable</t>
  </si>
  <si>
    <t>Cars Parking Shed</t>
  </si>
  <si>
    <t>Bikes Parking Shed</t>
  </si>
  <si>
    <t>Monsoon Shed on Terrace</t>
  </si>
  <si>
    <t>Lights  and  Fans on Terrace</t>
  </si>
  <si>
    <t>Member Name Plate Board</t>
  </si>
  <si>
    <t>Furniture and Fixture</t>
  </si>
  <si>
    <t>Receivables</t>
  </si>
  <si>
    <t xml:space="preserve">Receivables - Others </t>
  </si>
  <si>
    <t>Receivables - TDS</t>
  </si>
  <si>
    <t>Advance Payment to Vendors</t>
  </si>
  <si>
    <t>Prepaid Expenses</t>
  </si>
  <si>
    <t>Assets Total</t>
  </si>
  <si>
    <t>Liabilities</t>
  </si>
  <si>
    <t>TDS Payable</t>
  </si>
  <si>
    <t>Payables</t>
  </si>
  <si>
    <t>Education Training Fund Payable</t>
  </si>
  <si>
    <t>Municipal Taxes - Collected but not paid</t>
  </si>
  <si>
    <t>Provision for expenses</t>
  </si>
  <si>
    <t>Pre-received Tower Rent</t>
  </si>
  <si>
    <t>Advance Units</t>
  </si>
  <si>
    <t>Retained Earnings</t>
  </si>
  <si>
    <t>Liabilities Total</t>
  </si>
  <si>
    <t>Education  and  Training Fund</t>
  </si>
  <si>
    <t>Arrears Parking</t>
  </si>
  <si>
    <t>Interest Income - Savings Account</t>
  </si>
  <si>
    <t xml:space="preserve">Interest Income - Fixed Deposit </t>
  </si>
  <si>
    <t>Income Total</t>
  </si>
  <si>
    <t>Expense</t>
  </si>
  <si>
    <t>Fire Fighting System Repairs  and  Maintenance</t>
  </si>
  <si>
    <t>Major Repair Expenses</t>
  </si>
  <si>
    <t>Pest Control</t>
  </si>
  <si>
    <t>Property Tax - Society Office</t>
  </si>
  <si>
    <t>Payables Write Offs</t>
  </si>
  <si>
    <t>Expense Total</t>
  </si>
  <si>
    <t xml:space="preserve">Land Rent Exp </t>
  </si>
  <si>
    <t>Income Tax Expenses</t>
  </si>
  <si>
    <t xml:space="preserve">Yes Bank </t>
  </si>
  <si>
    <t xml:space="preserve">Advance From Member </t>
  </si>
  <si>
    <t xml:space="preserve">Sr. No. </t>
  </si>
  <si>
    <t xml:space="preserve">Vendor Name </t>
  </si>
  <si>
    <t xml:space="preserve">Sai Engineering &amp; Electricals </t>
  </si>
  <si>
    <t>Advance from Vendor  - Schedule 4</t>
  </si>
  <si>
    <t>Demand against Notice AY 2008-09</t>
  </si>
  <si>
    <t>Yes Bank Statement required</t>
  </si>
  <si>
    <t>Required J.N.Construction Bill  Rs. 4,21,405.00 dt. 16.02.2024</t>
  </si>
  <si>
    <t>Required Swarajya Enterprises Bill Rs. 3,57,123.00 dt. 16.02.2024</t>
  </si>
  <si>
    <t>Required Ashna Elevataor Bill  Rs. 2,45,000 dt. 24.04.2023 , Rs. 49000 dt. 17.04.2023 &amp; Rs. 100000 dt. 28.07.2023</t>
  </si>
  <si>
    <t xml:space="preserve">AS per 26  Sinking Fund TDS not shown in 26 AS </t>
  </si>
  <si>
    <t>DONE</t>
  </si>
  <si>
    <t>Insurance Exp</t>
  </si>
  <si>
    <t>Subsciption Federation</t>
  </si>
  <si>
    <t>Trial Balance-Domonica CHS Ltd-31-Mar-2024</t>
  </si>
  <si>
    <t xml:space="preserve">Interest on IT Refund </t>
  </si>
  <si>
    <t>Unidentified Credits</t>
  </si>
  <si>
    <t>Retention - SS Enterprises</t>
  </si>
  <si>
    <t>Retention - S S Enterpries</t>
  </si>
  <si>
    <t>Less: Transferred to Sinking Reserve Fund</t>
  </si>
  <si>
    <t>Vendor Payables and Advances</t>
  </si>
  <si>
    <t>Advance</t>
  </si>
  <si>
    <t>Less: Major Repairs</t>
  </si>
  <si>
    <t>Federation Subscription Payable</t>
  </si>
  <si>
    <t>Payables to Vendors</t>
  </si>
  <si>
    <t>Less: Trf to Major Repair Fund</t>
  </si>
  <si>
    <t>March 31, 2025</t>
  </si>
  <si>
    <t>Other charges</t>
  </si>
  <si>
    <t>Fire Fighting Expenses</t>
  </si>
  <si>
    <t>Deficit (Surplus) for the period</t>
  </si>
  <si>
    <t>Retention - JN Construction</t>
  </si>
  <si>
    <t xml:space="preserve">Pheonix Management Serives	</t>
  </si>
  <si>
    <t>Security Salary</t>
  </si>
  <si>
    <t>101843221001231</t>
  </si>
  <si>
    <t>101843221001207</t>
  </si>
  <si>
    <t>101843221001219</t>
  </si>
  <si>
    <t>1018432221001221</t>
  </si>
  <si>
    <t>Repair Funds</t>
  </si>
  <si>
    <t>101843221001198</t>
  </si>
  <si>
    <t>Less: Transferred to Repair Fund</t>
  </si>
  <si>
    <t>Less: Transferred to General Reserve Fund</t>
  </si>
  <si>
    <t>Excess paid to Zicom written off</t>
  </si>
  <si>
    <t>Balance Sheet as at 31st March, 2026</t>
  </si>
  <si>
    <t>Lenovo Laptop</t>
  </si>
  <si>
    <t>Less: Training expenses incurred</t>
  </si>
  <si>
    <t>Manager's Remunerations</t>
  </si>
  <si>
    <t>Manager's Remuneration</t>
  </si>
  <si>
    <t>CCTV Repair Expenses</t>
  </si>
  <si>
    <t>Less: Trf from Common Amenity Fund</t>
  </si>
  <si>
    <t>Add: Trf from Common Amenity Fund</t>
  </si>
  <si>
    <t>Intercom AMC</t>
  </si>
  <si>
    <t>Water expense</t>
  </si>
  <si>
    <t>Income Tax Provision for FY 25-26</t>
  </si>
  <si>
    <t>Gross</t>
  </si>
  <si>
    <t>Deduction</t>
  </si>
  <si>
    <t>Nett</t>
  </si>
  <si>
    <t>Tower Rent</t>
  </si>
  <si>
    <t>Savings interest</t>
  </si>
  <si>
    <t>Tax provision:</t>
  </si>
  <si>
    <t>Less: Trf to Retained Earnings</t>
  </si>
  <si>
    <t>Less: Trf to Reserve Fund</t>
  </si>
  <si>
    <t>March 31, 2026</t>
  </si>
  <si>
    <t>Income &amp; Expense Statement for year ended 31st March 2026</t>
  </si>
  <si>
    <t>Schedule 1: Fixed Deposit Details as at 31st March 2026</t>
  </si>
  <si>
    <t>Schedule 2: Fixed Assets Details as at 31st March 2026</t>
  </si>
  <si>
    <t>Opening W.D.V. as on 01.04.2025</t>
  </si>
  <si>
    <t>Additions during the year before 30.09.2025</t>
  </si>
  <si>
    <t>Additions during the year after 30.09.2025</t>
  </si>
  <si>
    <t>Gross Block (at cost) as on 31.03.2026</t>
  </si>
  <si>
    <t>Closing W.D.V. as on 31.03.2026</t>
  </si>
  <si>
    <t>Sweeper Salary</t>
  </si>
  <si>
    <t>Domonica CHS Ltd - Members Account as of 31st March 2026</t>
  </si>
  <si>
    <t>Accd Int 
24-25</t>
  </si>
  <si>
    <t>Accd Int 
25-26</t>
  </si>
  <si>
    <t>101843221001471</t>
  </si>
  <si>
    <t>101843221001499</t>
  </si>
  <si>
    <t>Total Accd Int</t>
  </si>
  <si>
    <t>HDFC Bank Reconciliations Statement as at 31.03.2026</t>
  </si>
  <si>
    <t>Citizen Bank Reconciliation Statement as at 31.03.2026</t>
  </si>
  <si>
    <t>MSC Bank Reconciliations Statement as at 31.03.2026</t>
  </si>
  <si>
    <t>Yes  Bank Reconciliation Statement as at 31.03.2026</t>
  </si>
  <si>
    <t>Adani AC no.</t>
  </si>
  <si>
    <t>Sr-</t>
  </si>
  <si>
    <t>Certificate No-</t>
  </si>
  <si>
    <t>7-5%</t>
  </si>
  <si>
    <t>6-35%</t>
  </si>
  <si>
    <t>7-25%</t>
  </si>
  <si>
    <t>TDS booked as per 26AS</t>
  </si>
  <si>
    <t>Less: Prior Years Adjustment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</si>
</sst>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8" formatCode="&quot;₹&quot;\ #,##0.00;[Red]&quot;₹&quot;\ \-#,##0.00"/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</numFmts>
  <fonts count="15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323">
    <xf numFmtId="0" fontId="0" fillId="0" borderId="0" xfId="0"/>
    <xf numFmtId="0" fontId="2" fillId="0" borderId="6" xfId="0" applyFont="1" applyBorder="1" applyAlignment="1">
      <alignment horizontal="left" vertical="center"/>
    </xf>
    <xf numFmtId="0" fontId="0" fillId="0" borderId="6" xfId="0" applyBorder="1"/>
    <xf numFmtId="0" fontId="0" fillId="0" borderId="1" xfId="0" applyBorder="1" applyAlignment="1">
      <alignment horizontal="center"/>
    </xf>
    <xf numFmtId="43" fontId="2" fillId="0" borderId="1" xfId="1" applyFont="1" applyBorder="1" applyAlignment="1">
      <alignment horizontal="center" vertical="center"/>
    </xf>
    <xf numFmtId="0" fontId="2" fillId="0" borderId="0" xfId="0" applyFont="1"/>
    <xf numFmtId="43" fontId="2" fillId="0" borderId="1" xfId="1" applyFont="1" applyBorder="1" applyAlignment="1"/>
    <xf numFmtId="43" fontId="0" fillId="0" borderId="6" xfId="1" applyFont="1" applyBorder="1" applyAlignment="1">
      <alignment vertical="center"/>
    </xf>
    <xf numFmtId="0" fontId="2" fillId="0" borderId="0" xfId="0" applyFont="1" applyAlignment="1">
      <alignment horizontal="center"/>
    </xf>
    <xf numFmtId="0" fontId="0" fillId="0" borderId="2" xfId="0" applyBorder="1" applyAlignment="1">
      <alignment wrapText="1"/>
    </xf>
    <xf numFmtId="43" fontId="3" fillId="0" borderId="2" xfId="1" applyFont="1" applyBorder="1" applyAlignment="1">
      <alignment vertical="center"/>
    </xf>
    <xf numFmtId="43" fontId="0" fillId="0" borderId="6" xfId="1" applyFont="1" applyFill="1" applyBorder="1" applyAlignment="1">
      <alignment vertical="center"/>
    </xf>
    <xf numFmtId="43" fontId="0" fillId="0" borderId="0" xfId="0" applyNumberFormat="1"/>
    <xf numFmtId="43" fontId="0" fillId="0" borderId="3" xfId="1" applyFont="1" applyBorder="1" applyAlignment="1">
      <alignment horizontal="right"/>
    </xf>
    <xf numFmtId="43" fontId="2" fillId="0" borderId="2" xfId="1" applyFont="1" applyBorder="1" applyAlignment="1">
      <alignment horizontal="left" vertical="center"/>
    </xf>
    <xf numFmtId="43" fontId="2" fillId="0" borderId="0" xfId="1" applyFont="1" applyFill="1" applyBorder="1" applyAlignment="1">
      <alignment horizontal="left" vertical="center"/>
    </xf>
    <xf numFmtId="43" fontId="0" fillId="0" borderId="0" xfId="1" applyFont="1" applyFill="1" applyBorder="1" applyAlignment="1"/>
    <xf numFmtId="43" fontId="2" fillId="0" borderId="6" xfId="1" applyFont="1" applyFill="1" applyBorder="1" applyAlignment="1">
      <alignment horizontal="left" vertical="center"/>
    </xf>
    <xf numFmtId="43" fontId="2" fillId="0" borderId="3" xfId="1" applyFont="1" applyFill="1" applyBorder="1" applyAlignment="1">
      <alignment horizontal="left" vertical="center"/>
    </xf>
    <xf numFmtId="43" fontId="0" fillId="0" borderId="6" xfId="1" applyFont="1" applyFill="1" applyBorder="1" applyAlignment="1">
      <alignment horizontal="right"/>
    </xf>
    <xf numFmtId="43" fontId="0" fillId="0" borderId="7" xfId="1" applyFont="1" applyFill="1" applyBorder="1" applyAlignment="1">
      <alignment horizontal="right"/>
    </xf>
    <xf numFmtId="43" fontId="0" fillId="0" borderId="6" xfId="1" applyFont="1" applyFill="1" applyBorder="1" applyAlignment="1"/>
    <xf numFmtId="43" fontId="0" fillId="0" borderId="2" xfId="1" applyFont="1" applyBorder="1" applyAlignment="1">
      <alignment wrapText="1"/>
    </xf>
    <xf numFmtId="43" fontId="0" fillId="0" borderId="2" xfId="1" applyFont="1" applyBorder="1"/>
    <xf numFmtId="43" fontId="0" fillId="0" borderId="6" xfId="1" applyFont="1" applyBorder="1"/>
    <xf numFmtId="43" fontId="0" fillId="0" borderId="1" xfId="1" applyFont="1" applyBorder="1"/>
    <xf numFmtId="43" fontId="2" fillId="0" borderId="1" xfId="1" applyFont="1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43" fontId="0" fillId="0" borderId="2" xfId="1" applyFont="1" applyFill="1" applyBorder="1"/>
    <xf numFmtId="0" fontId="4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43" fontId="0" fillId="0" borderId="6" xfId="1" applyFont="1" applyFill="1" applyBorder="1" applyAlignment="1">
      <alignment horizontal="left" vertical="center" wrapText="1"/>
    </xf>
    <xf numFmtId="43" fontId="0" fillId="0" borderId="6" xfId="1" applyFont="1" applyFill="1" applyBorder="1" applyAlignment="1">
      <alignment wrapText="1"/>
    </xf>
    <xf numFmtId="43" fontId="2" fillId="0" borderId="0" xfId="1" applyFont="1" applyFill="1" applyBorder="1" applyAlignment="1">
      <alignment horizontal="left" vertical="center" wrapText="1"/>
    </xf>
    <xf numFmtId="43" fontId="2" fillId="0" borderId="6" xfId="1" applyFont="1" applyFill="1" applyBorder="1" applyAlignment="1">
      <alignment horizontal="left" vertical="center" wrapText="1"/>
    </xf>
    <xf numFmtId="43" fontId="0" fillId="0" borderId="0" xfId="1" applyFont="1" applyFill="1" applyBorder="1" applyAlignment="1">
      <alignment wrapText="1"/>
    </xf>
    <xf numFmtId="43" fontId="0" fillId="0" borderId="0" xfId="1" applyFont="1" applyFill="1" applyBorder="1" applyAlignment="1">
      <alignment horizontal="right"/>
    </xf>
    <xf numFmtId="43" fontId="3" fillId="0" borderId="3" xfId="1" applyFont="1" applyFill="1" applyBorder="1" applyAlignment="1"/>
    <xf numFmtId="43" fontId="3" fillId="0" borderId="3" xfId="1" applyFont="1" applyFill="1" applyBorder="1" applyAlignment="1">
      <alignment horizontal="right"/>
    </xf>
    <xf numFmtId="43" fontId="3" fillId="0" borderId="3" xfId="1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43" fontId="0" fillId="0" borderId="0" xfId="1" applyFont="1"/>
    <xf numFmtId="0" fontId="0" fillId="0" borderId="0" xfId="0" applyAlignment="1">
      <alignment horizontal="center" vertical="center" wrapText="1"/>
    </xf>
    <xf numFmtId="43" fontId="0" fillId="0" borderId="0" xfId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5" fontId="0" fillId="0" borderId="0" xfId="1" applyNumberFormat="1" applyFont="1"/>
    <xf numFmtId="0" fontId="0" fillId="0" borderId="1" xfId="0" quotePrefix="1" applyBorder="1"/>
    <xf numFmtId="43" fontId="2" fillId="0" borderId="0" xfId="1" applyFont="1" applyBorder="1"/>
    <xf numFmtId="43" fontId="4" fillId="0" borderId="1" xfId="1" applyFont="1" applyBorder="1"/>
    <xf numFmtId="43" fontId="0" fillId="0" borderId="0" xfId="1" applyFont="1" applyAlignment="1">
      <alignment horizontal="center"/>
    </xf>
    <xf numFmtId="0" fontId="0" fillId="0" borderId="4" xfId="0" applyBorder="1"/>
    <xf numFmtId="0" fontId="2" fillId="0" borderId="4" xfId="0" applyFont="1" applyBorder="1"/>
    <xf numFmtId="43" fontId="2" fillId="0" borderId="4" xfId="1" applyFont="1" applyBorder="1" applyAlignment="1">
      <alignment horizontal="center"/>
    </xf>
    <xf numFmtId="43" fontId="2" fillId="0" borderId="12" xfId="1" applyFont="1" applyBorder="1" applyAlignment="1">
      <alignment horizontal="center"/>
    </xf>
    <xf numFmtId="0" fontId="4" fillId="0" borderId="1" xfId="0" applyFont="1" applyBorder="1"/>
    <xf numFmtId="43" fontId="0" fillId="0" borderId="0" xfId="1" applyFont="1" applyBorder="1" applyAlignment="1">
      <alignment horizontal="center"/>
    </xf>
    <xf numFmtId="43" fontId="0" fillId="0" borderId="0" xfId="1" applyFont="1" applyBorder="1"/>
    <xf numFmtId="43" fontId="2" fillId="0" borderId="0" xfId="1" applyFont="1" applyBorder="1" applyAlignment="1">
      <alignment horizontal="center"/>
    </xf>
    <xf numFmtId="43" fontId="2" fillId="0" borderId="6" xfId="1" applyFont="1" applyFill="1" applyBorder="1" applyAlignment="1">
      <alignment horizontal="right"/>
    </xf>
    <xf numFmtId="43" fontId="3" fillId="0" borderId="6" xfId="1" applyFont="1" applyFill="1" applyBorder="1" applyAlignment="1">
      <alignment horizontal="right"/>
    </xf>
    <xf numFmtId="43" fontId="3" fillId="0" borderId="6" xfId="1" applyFont="1" applyFill="1" applyBorder="1" applyAlignment="1">
      <alignment horizontal="left" vertical="center"/>
    </xf>
    <xf numFmtId="43" fontId="3" fillId="0" borderId="6" xfId="1" applyFont="1" applyFill="1" applyBorder="1" applyAlignment="1"/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2" fontId="0" fillId="0" borderId="1" xfId="1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1" fontId="0" fillId="0" borderId="1" xfId="0" applyNumberFormat="1" applyBorder="1"/>
    <xf numFmtId="1" fontId="0" fillId="0" borderId="1" xfId="1" applyNumberFormat="1" applyFont="1" applyBorder="1"/>
    <xf numFmtId="1" fontId="4" fillId="0" borderId="1" xfId="0" applyNumberFormat="1" applyFont="1" applyBorder="1"/>
    <xf numFmtId="165" fontId="0" fillId="0" borderId="6" xfId="1" applyNumberFormat="1" applyFont="1" applyBorder="1"/>
    <xf numFmtId="165" fontId="2" fillId="0" borderId="10" xfId="1" applyNumberFormat="1" applyFont="1" applyBorder="1"/>
    <xf numFmtId="43" fontId="2" fillId="0" borderId="8" xfId="1" applyFont="1" applyFill="1" applyBorder="1" applyAlignment="1">
      <alignment horizontal="center" vertical="center"/>
    </xf>
    <xf numFmtId="43" fontId="2" fillId="0" borderId="10" xfId="1" applyFont="1" applyFill="1" applyBorder="1" applyAlignment="1">
      <alignment horizontal="center" vertical="center"/>
    </xf>
    <xf numFmtId="43" fontId="2" fillId="0" borderId="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3" fontId="2" fillId="0" borderId="10" xfId="1" applyFont="1" applyBorder="1" applyAlignment="1">
      <alignment horizontal="center" vertical="center"/>
    </xf>
    <xf numFmtId="43" fontId="2" fillId="0" borderId="8" xfId="1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4" fontId="8" fillId="0" borderId="3" xfId="0" applyNumberFormat="1" applyFont="1" applyBorder="1" applyAlignment="1">
      <alignment horizontal="right" vertical="center"/>
    </xf>
    <xf numFmtId="0" fontId="8" fillId="0" borderId="2" xfId="0" applyFont="1" applyBorder="1" applyAlignment="1">
      <alignment vertical="center"/>
    </xf>
    <xf numFmtId="4" fontId="8" fillId="0" borderId="6" xfId="0" applyNumberFormat="1" applyFont="1" applyBorder="1" applyAlignment="1">
      <alignment vertical="center"/>
    </xf>
    <xf numFmtId="0" fontId="8" fillId="0" borderId="6" xfId="0" applyFont="1" applyBorder="1" applyAlignment="1">
      <alignment horizontal="left" vertical="center"/>
    </xf>
    <xf numFmtId="0" fontId="8" fillId="0" borderId="3" xfId="0" applyFont="1" applyBorder="1" applyAlignment="1">
      <alignment horizontal="right" vertical="center"/>
    </xf>
    <xf numFmtId="4" fontId="8" fillId="0" borderId="7" xfId="0" applyNumberFormat="1" applyFont="1" applyBorder="1" applyAlignment="1">
      <alignment vertical="center"/>
    </xf>
    <xf numFmtId="0" fontId="8" fillId="0" borderId="2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6" xfId="0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7" fillId="0" borderId="0" xfId="0" applyFont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4" fontId="7" fillId="0" borderId="3" xfId="0" applyNumberFormat="1" applyFont="1" applyBorder="1" applyAlignment="1">
      <alignment horizontal="right" vertical="center"/>
    </xf>
    <xf numFmtId="0" fontId="7" fillId="0" borderId="3" xfId="0" applyFont="1" applyBorder="1" applyAlignment="1">
      <alignment horizontal="right" vertical="center"/>
    </xf>
    <xf numFmtId="0" fontId="9" fillId="0" borderId="6" xfId="2" applyFont="1" applyBorder="1" applyAlignment="1">
      <alignment horizontal="left" vertical="center"/>
    </xf>
    <xf numFmtId="0" fontId="8" fillId="0" borderId="2" xfId="0" applyFont="1" applyBorder="1" applyAlignment="1">
      <alignment vertical="top"/>
    </xf>
    <xf numFmtId="0" fontId="8" fillId="0" borderId="6" xfId="0" applyFont="1" applyBorder="1" applyAlignment="1">
      <alignment vertical="top"/>
    </xf>
    <xf numFmtId="0" fontId="0" fillId="0" borderId="3" xfId="0" applyBorder="1" applyAlignment="1">
      <alignment horizontal="left" vertical="top"/>
    </xf>
    <xf numFmtId="0" fontId="8" fillId="0" borderId="2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4" fontId="8" fillId="0" borderId="6" xfId="0" applyNumberFormat="1" applyFont="1" applyBorder="1" applyAlignment="1">
      <alignment horizontal="right" vertical="center"/>
    </xf>
    <xf numFmtId="0" fontId="8" fillId="0" borderId="3" xfId="0" applyFont="1" applyBorder="1" applyAlignment="1">
      <alignment horizontal="left" vertical="top"/>
    </xf>
    <xf numFmtId="0" fontId="8" fillId="0" borderId="7" xfId="0" applyFont="1" applyBorder="1" applyAlignment="1">
      <alignment horizontal="right" vertical="center"/>
    </xf>
    <xf numFmtId="4" fontId="8" fillId="0" borderId="3" xfId="0" applyNumberFormat="1" applyFont="1" applyBorder="1" applyAlignment="1">
      <alignment horizontal="right" vertical="top"/>
    </xf>
    <xf numFmtId="8" fontId="7" fillId="0" borderId="1" xfId="0" applyNumberFormat="1" applyFont="1" applyBorder="1" applyAlignment="1">
      <alignment vertical="center"/>
    </xf>
    <xf numFmtId="0" fontId="7" fillId="0" borderId="6" xfId="0" applyFont="1" applyBorder="1" applyAlignment="1">
      <alignment vertical="center"/>
    </xf>
    <xf numFmtId="17" fontId="2" fillId="0" borderId="0" xfId="0" applyNumberFormat="1" applyFont="1"/>
    <xf numFmtId="165" fontId="0" fillId="0" borderId="0" xfId="0" applyNumberFormat="1"/>
    <xf numFmtId="165" fontId="2" fillId="0" borderId="0" xfId="0" applyNumberFormat="1" applyFont="1"/>
    <xf numFmtId="43" fontId="0" fillId="0" borderId="0" xfId="1" applyFont="1" applyFill="1" applyBorder="1"/>
    <xf numFmtId="0" fontId="2" fillId="0" borderId="5" xfId="0" applyFont="1" applyBorder="1" applyAlignment="1">
      <alignment horizontal="left" vertical="center"/>
    </xf>
    <xf numFmtId="43" fontId="0" fillId="0" borderId="2" xfId="1" applyFont="1" applyFill="1" applyBorder="1" applyAlignment="1"/>
    <xf numFmtId="43" fontId="0" fillId="0" borderId="3" xfId="1" applyFont="1" applyFill="1" applyBorder="1" applyAlignment="1"/>
    <xf numFmtId="0" fontId="0" fillId="0" borderId="7" xfId="0" applyBorder="1"/>
    <xf numFmtId="43" fontId="2" fillId="0" borderId="0" xfId="0" applyNumberFormat="1" applyFont="1"/>
    <xf numFmtId="0" fontId="0" fillId="0" borderId="15" xfId="0" applyBorder="1"/>
    <xf numFmtId="0" fontId="0" fillId="0" borderId="17" xfId="0" applyBorder="1"/>
    <xf numFmtId="43" fontId="0" fillId="0" borderId="18" xfId="0" applyNumberFormat="1" applyBorder="1"/>
    <xf numFmtId="165" fontId="0" fillId="0" borderId="18" xfId="0" applyNumberForma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43" fontId="0" fillId="0" borderId="23" xfId="0" applyNumberFormat="1" applyBorder="1"/>
    <xf numFmtId="0" fontId="0" fillId="0" borderId="23" xfId="0" applyBorder="1"/>
    <xf numFmtId="165" fontId="0" fillId="0" borderId="17" xfId="0" applyNumberFormat="1" applyBorder="1"/>
    <xf numFmtId="0" fontId="0" fillId="0" borderId="21" xfId="0" applyBorder="1"/>
    <xf numFmtId="165" fontId="0" fillId="0" borderId="23" xfId="0" applyNumberFormat="1" applyBorder="1"/>
    <xf numFmtId="0" fontId="2" fillId="0" borderId="2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43" fontId="2" fillId="0" borderId="13" xfId="0" applyNumberFormat="1" applyFont="1" applyBorder="1"/>
    <xf numFmtId="43" fontId="2" fillId="0" borderId="27" xfId="0" applyNumberFormat="1" applyFont="1" applyBorder="1"/>
    <xf numFmtId="43" fontId="0" fillId="0" borderId="18" xfId="1" applyFont="1" applyFill="1" applyBorder="1"/>
    <xf numFmtId="0" fontId="2" fillId="0" borderId="13" xfId="0" applyFont="1" applyBorder="1"/>
    <xf numFmtId="0" fontId="2" fillId="0" borderId="13" xfId="0" applyFont="1" applyBorder="1" applyAlignment="1">
      <alignment horizontal="center"/>
    </xf>
    <xf numFmtId="0" fontId="0" fillId="0" borderId="14" xfId="0" applyBorder="1"/>
    <xf numFmtId="43" fontId="0" fillId="0" borderId="16" xfId="0" applyNumberFormat="1" applyBorder="1"/>
    <xf numFmtId="43" fontId="0" fillId="0" borderId="17" xfId="0" applyNumberFormat="1" applyBorder="1"/>
    <xf numFmtId="43" fontId="0" fillId="0" borderId="19" xfId="0" applyNumberFormat="1" applyBorder="1"/>
    <xf numFmtId="43" fontId="0" fillId="0" borderId="20" xfId="0" applyNumberFormat="1" applyBorder="1"/>
    <xf numFmtId="43" fontId="2" fillId="0" borderId="26" xfId="0" applyNumberFormat="1" applyFont="1" applyBorder="1"/>
    <xf numFmtId="43" fontId="0" fillId="0" borderId="22" xfId="0" applyNumberFormat="1" applyBorder="1"/>
    <xf numFmtId="43" fontId="0" fillId="0" borderId="24" xfId="0" applyNumberFormat="1" applyBorder="1"/>
    <xf numFmtId="43" fontId="0" fillId="0" borderId="22" xfId="1" applyFont="1" applyFill="1" applyBorder="1"/>
    <xf numFmtId="43" fontId="0" fillId="0" borderId="23" xfId="1" applyFont="1" applyFill="1" applyBorder="1"/>
    <xf numFmtId="43" fontId="0" fillId="0" borderId="24" xfId="1" applyFont="1" applyFill="1" applyBorder="1"/>
    <xf numFmtId="0" fontId="0" fillId="0" borderId="22" xfId="0" applyBorder="1"/>
    <xf numFmtId="0" fontId="10" fillId="0" borderId="23" xfId="0" applyFont="1" applyBorder="1"/>
    <xf numFmtId="0" fontId="0" fillId="0" borderId="24" xfId="0" applyBorder="1"/>
    <xf numFmtId="43" fontId="2" fillId="0" borderId="22" xfId="0" applyNumberFormat="1" applyFont="1" applyBorder="1"/>
    <xf numFmtId="43" fontId="2" fillId="0" borderId="16" xfId="0" applyNumberFormat="1" applyFont="1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43" fontId="2" fillId="0" borderId="13" xfId="0" applyNumberFormat="1" applyFont="1" applyBorder="1" applyAlignment="1">
      <alignment horizontal="center"/>
    </xf>
    <xf numFmtId="43" fontId="2" fillId="0" borderId="27" xfId="0" applyNumberFormat="1" applyFont="1" applyBorder="1" applyAlignment="1">
      <alignment horizontal="center"/>
    </xf>
    <xf numFmtId="8" fontId="0" fillId="0" borderId="0" xfId="0" applyNumberFormat="1"/>
    <xf numFmtId="43" fontId="7" fillId="0" borderId="1" xfId="0" applyNumberFormat="1" applyFont="1" applyBorder="1" applyAlignment="1">
      <alignment vertical="center"/>
    </xf>
    <xf numFmtId="0" fontId="0" fillId="0" borderId="2" xfId="0" applyBorder="1" applyAlignment="1">
      <alignment horizontal="center"/>
    </xf>
    <xf numFmtId="165" fontId="0" fillId="0" borderId="0" xfId="1" applyNumberFormat="1" applyFont="1" applyBorder="1"/>
    <xf numFmtId="0" fontId="12" fillId="0" borderId="0" xfId="0" applyFont="1"/>
    <xf numFmtId="0" fontId="12" fillId="0" borderId="0" xfId="0" applyFont="1" applyAlignment="1">
      <alignment horizontal="left" vertical="center"/>
    </xf>
    <xf numFmtId="43" fontId="0" fillId="2" borderId="1" xfId="1" applyFont="1" applyFill="1" applyBorder="1"/>
    <xf numFmtId="0" fontId="0" fillId="2" borderId="1" xfId="0" applyFill="1" applyBorder="1"/>
    <xf numFmtId="0" fontId="14" fillId="0" borderId="0" xfId="0" applyFont="1" applyAlignment="1">
      <alignment vertical="center"/>
    </xf>
    <xf numFmtId="43" fontId="2" fillId="0" borderId="0" xfId="1" applyFont="1" applyFill="1" applyBorder="1" applyAlignment="1">
      <alignment horizontal="right"/>
    </xf>
    <xf numFmtId="43" fontId="3" fillId="0" borderId="0" xfId="1" applyFont="1" applyFill="1" applyBorder="1" applyAlignment="1">
      <alignment horizontal="right"/>
    </xf>
    <xf numFmtId="43" fontId="3" fillId="0" borderId="7" xfId="1" applyFont="1" applyFill="1" applyBorder="1" applyAlignment="1">
      <alignment horizontal="right"/>
    </xf>
    <xf numFmtId="14" fontId="0" fillId="0" borderId="0" xfId="0" applyNumberFormat="1"/>
    <xf numFmtId="43" fontId="2" fillId="0" borderId="0" xfId="1" applyFont="1" applyFill="1" applyBorder="1" applyAlignment="1">
      <alignment wrapText="1"/>
    </xf>
    <xf numFmtId="0" fontId="12" fillId="2" borderId="0" xfId="0" applyFont="1" applyFill="1"/>
    <xf numFmtId="0" fontId="12" fillId="2" borderId="0" xfId="0" applyFont="1" applyFill="1" applyAlignment="1">
      <alignment horizontal="left" vertical="center"/>
    </xf>
    <xf numFmtId="43" fontId="2" fillId="0" borderId="3" xfId="1" applyFont="1" applyFill="1" applyBorder="1" applyAlignment="1">
      <alignment horizontal="right"/>
    </xf>
    <xf numFmtId="43" fontId="2" fillId="0" borderId="6" xfId="1" applyFont="1" applyFill="1" applyBorder="1" applyAlignment="1"/>
    <xf numFmtId="43" fontId="2" fillId="0" borderId="3" xfId="1" applyFont="1" applyFill="1" applyBorder="1" applyAlignment="1"/>
    <xf numFmtId="0" fontId="0" fillId="2" borderId="0" xfId="0" applyFill="1"/>
    <xf numFmtId="43" fontId="3" fillId="0" borderId="0" xfId="1" applyFont="1" applyFill="1" applyBorder="1" applyAlignment="1"/>
    <xf numFmtId="43" fontId="3" fillId="0" borderId="0" xfId="1" applyFont="1" applyFill="1" applyBorder="1" applyAlignment="1">
      <alignment horizontal="left" vertical="center"/>
    </xf>
    <xf numFmtId="164" fontId="0" fillId="0" borderId="0" xfId="0" applyNumberFormat="1"/>
    <xf numFmtId="43" fontId="3" fillId="0" borderId="1" xfId="1" applyFont="1" applyFill="1" applyBorder="1"/>
    <xf numFmtId="43" fontId="3" fillId="0" borderId="0" xfId="1" applyFont="1" applyFill="1"/>
    <xf numFmtId="165" fontId="2" fillId="0" borderId="9" xfId="1" applyNumberFormat="1" applyFont="1" applyBorder="1"/>
    <xf numFmtId="10" fontId="3" fillId="0" borderId="0" xfId="3" applyNumberFormat="1" applyFont="1" applyFill="1" applyBorder="1" applyAlignment="1">
      <alignment horizontal="center"/>
    </xf>
    <xf numFmtId="10" fontId="3" fillId="0" borderId="0" xfId="3" applyNumberFormat="1" applyFont="1" applyFill="1" applyAlignment="1">
      <alignment horizontal="center"/>
    </xf>
    <xf numFmtId="14" fontId="2" fillId="0" borderId="0" xfId="0" applyNumberFormat="1" applyFont="1" applyAlignment="1">
      <alignment horizontal="center"/>
    </xf>
    <xf numFmtId="10" fontId="2" fillId="0" borderId="0" xfId="3" applyNumberFormat="1" applyFont="1" applyFill="1" applyAlignment="1">
      <alignment horizontal="center"/>
    </xf>
    <xf numFmtId="43" fontId="2" fillId="0" borderId="1" xfId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0" fontId="2" fillId="0" borderId="1" xfId="3" applyNumberFormat="1" applyFont="1" applyFill="1" applyBorder="1" applyAlignment="1">
      <alignment horizontal="center" vertical="center" wrapText="1"/>
    </xf>
    <xf numFmtId="43" fontId="0" fillId="0" borderId="0" xfId="1" applyFon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0" fontId="0" fillId="0" borderId="0" xfId="3" applyNumberFormat="1" applyFont="1" applyFill="1" applyAlignment="1">
      <alignment horizontal="center" vertical="center" wrapText="1"/>
    </xf>
    <xf numFmtId="43" fontId="0" fillId="0" borderId="1" xfId="1" applyFont="1" applyFill="1" applyBorder="1"/>
    <xf numFmtId="14" fontId="3" fillId="0" borderId="1" xfId="0" applyNumberFormat="1" applyFont="1" applyBorder="1"/>
    <xf numFmtId="10" fontId="3" fillId="0" borderId="1" xfId="3" applyNumberFormat="1" applyFont="1" applyFill="1" applyBorder="1" applyAlignment="1">
      <alignment horizontal="center"/>
    </xf>
    <xf numFmtId="0" fontId="3" fillId="0" borderId="1" xfId="0" applyFont="1" applyBorder="1"/>
    <xf numFmtId="43" fontId="2" fillId="0" borderId="1" xfId="1" applyFont="1" applyFill="1" applyBorder="1"/>
    <xf numFmtId="14" fontId="3" fillId="0" borderId="0" xfId="0" applyNumberFormat="1" applyFont="1"/>
    <xf numFmtId="0" fontId="3" fillId="0" borderId="0" xfId="0" applyFont="1"/>
    <xf numFmtId="43" fontId="0" fillId="0" borderId="0" xfId="1" applyFont="1" applyFill="1"/>
    <xf numFmtId="14" fontId="2" fillId="0" borderId="0" xfId="0" applyNumberFormat="1" applyFont="1"/>
    <xf numFmtId="10" fontId="2" fillId="0" borderId="0" xfId="3" applyNumberFormat="1" applyFont="1" applyFill="1" applyBorder="1" applyAlignment="1">
      <alignment horizontal="center"/>
    </xf>
    <xf numFmtId="43" fontId="2" fillId="0" borderId="0" xfId="1" applyFont="1" applyFill="1" applyBorder="1"/>
    <xf numFmtId="10" fontId="0" fillId="0" borderId="0" xfId="3" applyNumberFormat="1" applyFont="1" applyFill="1" applyAlignment="1">
      <alignment horizontal="center"/>
    </xf>
    <xf numFmtId="43" fontId="2" fillId="0" borderId="11" xfId="1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43" fontId="2" fillId="0" borderId="3" xfId="1" applyFont="1" applyFill="1" applyBorder="1" applyAlignment="1">
      <alignment horizontal="left" vertical="center" wrapText="1"/>
    </xf>
    <xf numFmtId="43" fontId="2" fillId="0" borderId="2" xfId="1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43" fontId="0" fillId="0" borderId="3" xfId="1" applyFont="1" applyFill="1" applyBorder="1" applyAlignment="1">
      <alignment wrapText="1"/>
    </xf>
    <xf numFmtId="0" fontId="0" fillId="0" borderId="2" xfId="0" applyBorder="1" applyAlignment="1">
      <alignment horizontal="left" vertical="center" wrapText="1"/>
    </xf>
    <xf numFmtId="43" fontId="3" fillId="0" borderId="2" xfId="1" applyFont="1" applyFill="1" applyBorder="1" applyAlignment="1">
      <alignment horizontal="left" vertical="center" wrapText="1"/>
    </xf>
    <xf numFmtId="43" fontId="0" fillId="0" borderId="2" xfId="1" applyFont="1" applyFill="1" applyBorder="1" applyAlignment="1">
      <alignment wrapText="1"/>
    </xf>
    <xf numFmtId="0" fontId="3" fillId="0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wrapText="1"/>
    </xf>
    <xf numFmtId="43" fontId="3" fillId="0" borderId="6" xfId="1" applyFont="1" applyFill="1" applyBorder="1" applyAlignment="1">
      <alignment wrapText="1"/>
    </xf>
    <xf numFmtId="43" fontId="3" fillId="0" borderId="6" xfId="1" applyFont="1" applyFill="1" applyBorder="1" applyAlignment="1">
      <alignment horizontal="left" vertical="center" wrapText="1"/>
    </xf>
    <xf numFmtId="43" fontId="2" fillId="0" borderId="3" xfId="1" applyFont="1" applyFill="1" applyBorder="1" applyAlignment="1">
      <alignment wrapText="1"/>
    </xf>
    <xf numFmtId="0" fontId="0" fillId="0" borderId="2" xfId="0" applyBorder="1"/>
    <xf numFmtId="43" fontId="0" fillId="0" borderId="3" xfId="1" applyFont="1" applyFill="1" applyBorder="1" applyAlignment="1">
      <alignment horizontal="right"/>
    </xf>
    <xf numFmtId="0" fontId="2" fillId="0" borderId="0" xfId="0" applyFont="1" applyAlignment="1">
      <alignment wrapText="1"/>
    </xf>
    <xf numFmtId="0" fontId="2" fillId="0" borderId="2" xfId="1" applyNumberFormat="1" applyFont="1" applyFill="1" applyBorder="1" applyAlignment="1">
      <alignment vertical="center"/>
    </xf>
    <xf numFmtId="43" fontId="3" fillId="0" borderId="2" xfId="1" applyFont="1" applyFill="1" applyBorder="1" applyAlignment="1">
      <alignment vertical="center"/>
    </xf>
    <xf numFmtId="43" fontId="0" fillId="0" borderId="7" xfId="1" applyFont="1" applyFill="1" applyBorder="1" applyAlignment="1">
      <alignment vertical="center"/>
    </xf>
    <xf numFmtId="43" fontId="0" fillId="0" borderId="5" xfId="1" applyFont="1" applyFill="1" applyBorder="1" applyAlignment="1">
      <alignment vertical="center"/>
    </xf>
    <xf numFmtId="43" fontId="2" fillId="0" borderId="2" xfId="1" applyFont="1" applyFill="1" applyBorder="1" applyAlignment="1">
      <alignment horizontal="center" vertical="center"/>
    </xf>
    <xf numFmtId="43" fontId="2" fillId="0" borderId="0" xfId="1" applyFont="1" applyFill="1" applyBorder="1" applyAlignment="1">
      <alignment horizontal="center" vertical="center"/>
    </xf>
    <xf numFmtId="43" fontId="2" fillId="0" borderId="6" xfId="1" applyFont="1" applyFill="1" applyBorder="1" applyAlignment="1">
      <alignment horizontal="center" vertical="center"/>
    </xf>
    <xf numFmtId="43" fontId="3" fillId="0" borderId="2" xfId="1" applyFont="1" applyFill="1" applyBorder="1" applyAlignment="1">
      <alignment horizontal="center" vertical="center"/>
    </xf>
    <xf numFmtId="0" fontId="2" fillId="0" borderId="6" xfId="0" applyFont="1" applyBorder="1"/>
    <xf numFmtId="43" fontId="2" fillId="0" borderId="2" xfId="1" applyFont="1" applyFill="1" applyBorder="1" applyAlignment="1">
      <alignment horizontal="left" vertical="center"/>
    </xf>
    <xf numFmtId="43" fontId="2" fillId="0" borderId="1" xfId="1" applyFont="1" applyFill="1" applyBorder="1" applyAlignment="1"/>
    <xf numFmtId="0" fontId="2" fillId="0" borderId="0" xfId="0" applyFont="1" applyAlignment="1">
      <alignment horizontal="center"/>
    </xf>
    <xf numFmtId="165" fontId="3" fillId="0" borderId="3" xfId="1" applyNumberFormat="1" applyFont="1" applyBorder="1"/>
    <xf numFmtId="165" fontId="0" fillId="0" borderId="5" xfId="1" applyNumberFormat="1" applyFont="1" applyBorder="1"/>
    <xf numFmtId="165" fontId="2" fillId="0" borderId="1" xfId="1" applyNumberFormat="1" applyFont="1" applyBorder="1"/>
    <xf numFmtId="165" fontId="2" fillId="0" borderId="0" xfId="1" applyNumberFormat="1" applyFont="1"/>
    <xf numFmtId="0" fontId="0" fillId="0" borderId="2" xfId="0" applyFont="1" applyBorder="1" applyAlignment="1">
      <alignment wrapText="1"/>
    </xf>
    <xf numFmtId="43" fontId="0" fillId="0" borderId="7" xfId="1" applyFont="1" applyFill="1" applyBorder="1" applyAlignment="1">
      <alignment wrapText="1"/>
    </xf>
    <xf numFmtId="43" fontId="0" fillId="0" borderId="1" xfId="1" applyFont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2" fillId="0" borderId="7" xfId="1" applyFont="1" applyFill="1" applyBorder="1"/>
    <xf numFmtId="2" fontId="0" fillId="0" borderId="0" xfId="0" applyNumberFormat="1"/>
    <xf numFmtId="14" fontId="0" fillId="0" borderId="1" xfId="0" applyNumberFormat="1" applyFont="1" applyFill="1" applyBorder="1"/>
    <xf numFmtId="14" fontId="0" fillId="0" borderId="1" xfId="0" applyNumberFormat="1" applyFont="1" applyBorder="1"/>
    <xf numFmtId="14" fontId="0" fillId="0" borderId="1" xfId="0" applyNumberFormat="1" applyBorder="1" applyAlignment="1">
      <alignment horizontal="center"/>
    </xf>
    <xf numFmtId="14" fontId="0" fillId="0" borderId="1" xfId="0" applyNumberFormat="1" applyBorder="1"/>
    <xf numFmtId="43" fontId="0" fillId="0" borderId="2" xfId="1" applyFont="1" applyFill="1" applyBorder="1" applyAlignment="1">
      <alignment vertical="center"/>
    </xf>
    <xf numFmtId="43" fontId="0" fillId="0" borderId="1" xfId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3" fontId="2" fillId="0" borderId="8" xfId="1" applyFont="1" applyFill="1" applyBorder="1" applyAlignment="1">
      <alignment horizontal="center" vertical="center"/>
    </xf>
    <xf numFmtId="43" fontId="2" fillId="0" borderId="9" xfId="1" applyFont="1" applyFill="1" applyBorder="1" applyAlignment="1">
      <alignment horizontal="center" vertical="center"/>
    </xf>
    <xf numFmtId="43" fontId="2" fillId="0" borderId="10" xfId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3" fontId="2" fillId="0" borderId="8" xfId="1" applyFont="1" applyBorder="1" applyAlignment="1">
      <alignment horizontal="center" vertical="center"/>
    </xf>
    <xf numFmtId="43" fontId="2" fillId="0" borderId="10" xfId="1" applyFont="1" applyBorder="1" applyAlignment="1">
      <alignment horizontal="center" vertical="center"/>
    </xf>
    <xf numFmtId="43" fontId="2" fillId="0" borderId="9" xfId="1" applyFont="1" applyBorder="1" applyAlignment="1">
      <alignment horizontal="center" vertic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18" xfId="0" applyFont="1" applyBorder="1" applyAlignment="1">
      <alignment horizontal="center"/>
    </xf>
    <xf numFmtId="17" fontId="2" fillId="0" borderId="26" xfId="0" applyNumberFormat="1" applyFont="1" applyBorder="1" applyAlignment="1">
      <alignment horizontal="center"/>
    </xf>
    <xf numFmtId="17" fontId="2" fillId="0" borderId="27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13" fillId="0" borderId="0" xfId="0" applyFont="1" applyAlignment="1">
      <alignment vertical="center" wrapText="1"/>
    </xf>
    <xf numFmtId="0" fontId="12" fillId="0" borderId="0" xfId="0" applyFont="1" applyAlignment="1">
      <alignment horizontal="right" vertical="center" wrapText="1"/>
    </xf>
    <xf numFmtId="43" fontId="0" fillId="0" borderId="4" xfId="1" applyFont="1" applyBorder="1"/>
  </cellXfs>
  <cellStyles count="4">
    <cellStyle name="Comma" xfId="1" builtinId="3"/>
    <cellStyle name="Hyperlink" xfId="2" builtinId="8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42</xdr:row>
      <xdr:rowOff>0</xdr:rowOff>
    </xdr:from>
    <xdr:to>
      <xdr:col>0</xdr:col>
      <xdr:colOff>7620</xdr:colOff>
      <xdr:row>42</xdr:row>
      <xdr:rowOff>7620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AF458A-DDC6-4EAD-B40E-41D4084BF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5998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7620</xdr:colOff>
      <xdr:row>50</xdr:row>
      <xdr:rowOff>7620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DB8372-7E28-4076-9F21-8D131EDA1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50080" y="8862060"/>
          <a:ext cx="7620" cy="76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in.adda.io/modules/bank_cash_reports_view.php?report=Period" TargetMode="External"/><Relationship Id="rId1" Type="http://schemas.openxmlformats.org/officeDocument/2006/relationships/hyperlink" Target="https://in.adda.io/modules/bank_cash_reports_view.php?report=Period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Views>
    <sheetView tabSelected="1" workbookViewId="0">
      <selection activeCell="D19" sqref="D19"/>
    </sheetView>
  </sheetViews>
  <sheetFormatPr defaultRowHeight="14.4" x14ac:dyDescent="0.3"/>
  <cols>
    <col min="1" max="1" width="15" bestFit="1" customWidth="1"/>
    <col min="2" max="2" width="35" bestFit="1" customWidth="1"/>
    <col min="3" max="3" width="13.109375" bestFit="1" customWidth="1"/>
    <col min="4" max="5" width="14.88671875" bestFit="1" customWidth="1"/>
    <col min="6" max="6" width="37.109375" bestFit="1" customWidth="1"/>
    <col min="7" max="7" width="13.109375" bestFit="1" customWidth="1"/>
    <col min="8" max="8" width="14.88671875" bestFit="1" customWidth="1"/>
    <col min="9" max="9" width="10.109375" bestFit="1" customWidth="1"/>
    <col min="10" max="11" width="12.33203125" bestFit="1" customWidth="1"/>
  </cols>
  <sheetData>
    <row r="1" spans="1:8" ht="19.8" x14ac:dyDescent="0.3">
      <c r="A1" s="269" t="s">
        <v>0</v>
      </c>
      <c r="B1" s="269"/>
      <c r="C1" s="269"/>
      <c r="D1" s="269"/>
      <c r="E1" s="269"/>
      <c r="F1" s="269"/>
      <c r="G1" s="269"/>
      <c r="H1" s="269"/>
    </row>
    <row r="2" spans="1:8" x14ac:dyDescent="0.3">
      <c r="A2" s="270" t="s">
        <v>82</v>
      </c>
      <c r="B2" s="270"/>
      <c r="C2" s="270"/>
      <c r="D2" s="270"/>
      <c r="E2" s="270"/>
      <c r="F2" s="270"/>
      <c r="G2" s="270"/>
      <c r="H2" s="270"/>
    </row>
    <row r="3" spans="1:8" x14ac:dyDescent="0.3">
      <c r="A3" s="267" t="s">
        <v>556</v>
      </c>
      <c r="B3" s="267"/>
      <c r="C3" s="267"/>
      <c r="D3" s="267"/>
      <c r="E3" s="267"/>
      <c r="F3" s="267"/>
      <c r="G3" s="267"/>
      <c r="H3" s="267"/>
    </row>
    <row r="4" spans="1:8" x14ac:dyDescent="0.3">
      <c r="A4" s="82" t="s">
        <v>540</v>
      </c>
      <c r="B4" s="271" t="s">
        <v>85</v>
      </c>
      <c r="C4" s="272"/>
      <c r="D4" s="83" t="s">
        <v>575</v>
      </c>
      <c r="E4" s="84" t="str">
        <f>A4</f>
        <v>March 31, 2025</v>
      </c>
      <c r="F4" s="273" t="s">
        <v>86</v>
      </c>
      <c r="G4" s="272"/>
      <c r="H4" s="84" t="str">
        <f>D4</f>
        <v>March 31, 2026</v>
      </c>
    </row>
    <row r="5" spans="1:8" ht="15" thickBot="1" x14ac:dyDescent="0.35">
      <c r="A5" s="220">
        <v>100000</v>
      </c>
      <c r="B5" s="221" t="s">
        <v>96</v>
      </c>
      <c r="C5" s="222"/>
      <c r="D5" s="220">
        <v>100000</v>
      </c>
      <c r="E5" s="38"/>
      <c r="F5" s="223" t="s">
        <v>14</v>
      </c>
      <c r="G5" s="38"/>
      <c r="H5" s="224"/>
    </row>
    <row r="6" spans="1:8" ht="15" thickTop="1" x14ac:dyDescent="0.3">
      <c r="A6" s="225"/>
      <c r="B6" s="221"/>
      <c r="C6" s="38"/>
      <c r="D6" s="37"/>
      <c r="E6" s="36">
        <v>41023.71</v>
      </c>
      <c r="F6" s="226" t="s">
        <v>146</v>
      </c>
      <c r="G6" s="19">
        <f>BRS!C6</f>
        <v>42085.71</v>
      </c>
      <c r="H6" s="227"/>
    </row>
    <row r="7" spans="1:8" x14ac:dyDescent="0.3">
      <c r="A7" s="225"/>
      <c r="B7" s="228" t="s">
        <v>98</v>
      </c>
      <c r="C7" s="38"/>
      <c r="D7" s="37"/>
      <c r="E7" s="36">
        <v>265828.01</v>
      </c>
      <c r="F7" s="226" t="s">
        <v>147</v>
      </c>
      <c r="G7" s="19">
        <f>BRS!C15</f>
        <v>222824.41</v>
      </c>
      <c r="H7" s="227"/>
    </row>
    <row r="8" spans="1:8" x14ac:dyDescent="0.3">
      <c r="A8" s="229">
        <v>14000</v>
      </c>
      <c r="B8" s="228" t="s">
        <v>97</v>
      </c>
      <c r="C8" s="35"/>
      <c r="D8" s="37">
        <v>14000</v>
      </c>
      <c r="E8" s="36">
        <v>31817.5</v>
      </c>
      <c r="F8" s="226" t="s">
        <v>15</v>
      </c>
      <c r="G8" s="19">
        <f>BRS!C23</f>
        <v>32799.5</v>
      </c>
      <c r="H8" s="227"/>
    </row>
    <row r="9" spans="1:8" x14ac:dyDescent="0.3">
      <c r="A9" s="230"/>
      <c r="B9" s="9"/>
      <c r="C9" s="36"/>
      <c r="D9" s="37"/>
      <c r="E9" s="36">
        <v>178893</v>
      </c>
      <c r="F9" s="226" t="s">
        <v>513</v>
      </c>
      <c r="G9" s="20">
        <f>BRS!C31</f>
        <v>26390.33</v>
      </c>
      <c r="H9" s="188">
        <f>SUM(G6:G9)</f>
        <v>324099.95</v>
      </c>
    </row>
    <row r="10" spans="1:8" x14ac:dyDescent="0.3">
      <c r="A10" s="225"/>
      <c r="B10" s="221" t="s">
        <v>1</v>
      </c>
      <c r="C10" s="38"/>
      <c r="D10" s="39"/>
      <c r="E10" s="36"/>
      <c r="F10" s="226"/>
      <c r="G10" s="36"/>
      <c r="H10" s="224"/>
    </row>
    <row r="11" spans="1:8" x14ac:dyDescent="0.3">
      <c r="A11" s="230">
        <v>37250</v>
      </c>
      <c r="B11" s="9" t="s">
        <v>2</v>
      </c>
      <c r="C11" s="19">
        <f>SUM(A11:A13)</f>
        <v>116403</v>
      </c>
      <c r="D11" s="39"/>
      <c r="E11" s="38"/>
      <c r="F11" s="223" t="s">
        <v>16</v>
      </c>
      <c r="G11" s="38"/>
      <c r="H11" s="227"/>
    </row>
    <row r="12" spans="1:8" x14ac:dyDescent="0.3">
      <c r="A12" s="230">
        <v>0</v>
      </c>
      <c r="B12" s="231" t="s">
        <v>563</v>
      </c>
      <c r="C12" s="19">
        <v>1787024</v>
      </c>
      <c r="D12" s="39"/>
      <c r="E12" s="36">
        <v>2790</v>
      </c>
      <c r="F12" s="226" t="s">
        <v>17</v>
      </c>
      <c r="G12" s="19"/>
      <c r="H12" s="188">
        <v>1514</v>
      </c>
    </row>
    <row r="13" spans="1:8" x14ac:dyDescent="0.3">
      <c r="A13" s="230">
        <v>79153</v>
      </c>
      <c r="B13" s="231" t="s">
        <v>145</v>
      </c>
      <c r="C13" s="20">
        <f>-IE!G25</f>
        <v>137186</v>
      </c>
      <c r="D13" s="185">
        <f>SUM(C11:C13)</f>
        <v>2040613</v>
      </c>
      <c r="E13" s="36"/>
      <c r="F13" s="226"/>
      <c r="G13" s="36"/>
      <c r="H13" s="224"/>
    </row>
    <row r="14" spans="1:8" x14ac:dyDescent="0.3">
      <c r="A14" s="230"/>
      <c r="B14" s="231"/>
      <c r="C14" s="19"/>
      <c r="D14" s="39"/>
      <c r="E14" s="38"/>
      <c r="F14" s="223" t="s">
        <v>18</v>
      </c>
      <c r="G14" s="38"/>
      <c r="H14" s="227"/>
    </row>
    <row r="15" spans="1:8" x14ac:dyDescent="0.3">
      <c r="A15" s="230">
        <v>729942</v>
      </c>
      <c r="B15" s="232" t="s">
        <v>3</v>
      </c>
      <c r="C15" s="19">
        <f>SUM(A15:A18)</f>
        <v>29478</v>
      </c>
      <c r="D15" s="39"/>
      <c r="E15" s="36">
        <v>100</v>
      </c>
      <c r="F15" s="226" t="s">
        <v>19</v>
      </c>
      <c r="G15" s="19"/>
      <c r="H15" s="188">
        <v>100</v>
      </c>
    </row>
    <row r="16" spans="1:8" x14ac:dyDescent="0.3">
      <c r="A16" s="230">
        <v>29460</v>
      </c>
      <c r="B16" s="231" t="s">
        <v>144</v>
      </c>
      <c r="C16" s="19">
        <v>29460</v>
      </c>
      <c r="D16" s="16"/>
      <c r="E16" s="36"/>
      <c r="F16" s="226"/>
      <c r="G16" s="36"/>
      <c r="H16" s="224"/>
    </row>
    <row r="17" spans="1:11" x14ac:dyDescent="0.3">
      <c r="A17" s="230">
        <v>-4375</v>
      </c>
      <c r="B17" s="231" t="s">
        <v>145</v>
      </c>
      <c r="C17" s="19">
        <f>-IE!G23</f>
        <v>2282</v>
      </c>
      <c r="D17" s="16"/>
      <c r="E17" s="38"/>
      <c r="F17" s="223" t="s">
        <v>20</v>
      </c>
      <c r="G17" s="38"/>
      <c r="H17" s="227"/>
    </row>
    <row r="18" spans="1:11" x14ac:dyDescent="0.3">
      <c r="A18" s="230">
        <v>-725549</v>
      </c>
      <c r="B18" s="231" t="s">
        <v>536</v>
      </c>
      <c r="C18" s="20">
        <v>0</v>
      </c>
      <c r="D18" s="185">
        <f>SUM(C15:C18)</f>
        <v>61220</v>
      </c>
      <c r="E18" s="36">
        <v>1999742</v>
      </c>
      <c r="F18" s="226" t="s">
        <v>197</v>
      </c>
      <c r="G18" s="19">
        <f>'FD Details'!D28</f>
        <v>2145217</v>
      </c>
      <c r="H18" s="19"/>
    </row>
    <row r="19" spans="1:11" x14ac:dyDescent="0.3">
      <c r="A19" s="230"/>
      <c r="B19" s="9"/>
      <c r="C19" s="19"/>
      <c r="D19" s="39"/>
      <c r="E19" s="36">
        <v>31521</v>
      </c>
      <c r="F19" s="226" t="s">
        <v>21</v>
      </c>
      <c r="G19" s="20">
        <f>'FD Details'!G28</f>
        <v>146066</v>
      </c>
      <c r="H19" s="188">
        <f>SUM(G18:G19)</f>
        <v>2291283</v>
      </c>
      <c r="J19" s="12"/>
      <c r="K19" s="12"/>
    </row>
    <row r="20" spans="1:11" x14ac:dyDescent="0.3">
      <c r="A20" s="230">
        <v>0</v>
      </c>
      <c r="B20" s="232" t="s">
        <v>4</v>
      </c>
      <c r="C20" s="19">
        <f>SUM(A20:A22)</f>
        <v>98365</v>
      </c>
      <c r="D20" s="39"/>
      <c r="E20" s="36"/>
      <c r="F20" s="226"/>
      <c r="G20" s="36"/>
      <c r="H20" s="224"/>
      <c r="I20" s="12"/>
      <c r="J20" s="12"/>
      <c r="K20" s="12"/>
    </row>
    <row r="21" spans="1:11" x14ac:dyDescent="0.3">
      <c r="A21" s="230">
        <v>98304</v>
      </c>
      <c r="B21" s="231" t="s">
        <v>144</v>
      </c>
      <c r="C21" s="19">
        <v>98304</v>
      </c>
      <c r="D21" s="39"/>
      <c r="E21" s="38"/>
      <c r="F21" s="223" t="s">
        <v>22</v>
      </c>
      <c r="G21" s="38"/>
      <c r="H21" s="227"/>
      <c r="J21" s="12"/>
      <c r="K21" s="12"/>
    </row>
    <row r="22" spans="1:11" x14ac:dyDescent="0.3">
      <c r="A22" s="230">
        <v>61</v>
      </c>
      <c r="B22" s="231" t="s">
        <v>145</v>
      </c>
      <c r="C22" s="20">
        <f>-IE!G24</f>
        <v>7490</v>
      </c>
      <c r="D22" s="39">
        <f>SUM(C20:C22)</f>
        <v>204159</v>
      </c>
      <c r="E22" s="36">
        <v>10258.4</v>
      </c>
      <c r="F22" t="s">
        <v>23</v>
      </c>
      <c r="G22" s="63">
        <f>6424.05+5727.45</f>
        <v>12151.5</v>
      </c>
      <c r="H22" s="227"/>
      <c r="I22" s="260"/>
      <c r="J22" s="12"/>
    </row>
    <row r="23" spans="1:11" x14ac:dyDescent="0.3">
      <c r="A23" s="230"/>
      <c r="B23" s="9"/>
      <c r="C23" s="19"/>
      <c r="D23" s="39"/>
      <c r="E23" s="36">
        <v>15000</v>
      </c>
      <c r="F23" s="226" t="s">
        <v>24</v>
      </c>
      <c r="G23" s="63">
        <v>15000</v>
      </c>
      <c r="H23" s="227"/>
    </row>
    <row r="24" spans="1:11" x14ac:dyDescent="0.3">
      <c r="A24" s="230">
        <v>21808</v>
      </c>
      <c r="B24" s="232" t="s">
        <v>90</v>
      </c>
      <c r="C24" s="19">
        <f>SUM(A24:A26)</f>
        <v>25168</v>
      </c>
      <c r="D24" s="39"/>
      <c r="E24" s="36">
        <v>43550</v>
      </c>
      <c r="F24" s="226" t="s">
        <v>25</v>
      </c>
      <c r="G24" s="63">
        <v>20000</v>
      </c>
      <c r="H24" s="227"/>
      <c r="I24" s="250"/>
    </row>
    <row r="25" spans="1:11" x14ac:dyDescent="0.3">
      <c r="A25" s="230">
        <v>3360</v>
      </c>
      <c r="B25" s="231" t="s">
        <v>144</v>
      </c>
      <c r="C25" s="19">
        <v>3360</v>
      </c>
      <c r="D25" s="39"/>
      <c r="E25" s="36">
        <v>134715</v>
      </c>
      <c r="F25" s="226" t="s">
        <v>26</v>
      </c>
      <c r="G25" s="63">
        <f>57735+11513+14271</f>
        <v>83519</v>
      </c>
      <c r="H25" s="227"/>
      <c r="I25" s="194"/>
      <c r="J25" s="12"/>
    </row>
    <row r="26" spans="1:11" x14ac:dyDescent="0.3">
      <c r="A26" s="230">
        <v>0</v>
      </c>
      <c r="B26" s="231" t="s">
        <v>558</v>
      </c>
      <c r="C26" s="20">
        <v>-1770</v>
      </c>
      <c r="D26" s="185">
        <f>SUM(C24:C26)</f>
        <v>26758</v>
      </c>
      <c r="E26" s="36">
        <v>7929</v>
      </c>
      <c r="F26" s="226" t="s">
        <v>27</v>
      </c>
      <c r="G26" s="63">
        <f>14476+226</f>
        <v>14702</v>
      </c>
      <c r="H26" s="227"/>
      <c r="I26" s="12"/>
      <c r="J26" s="12"/>
    </row>
    <row r="27" spans="1:11" x14ac:dyDescent="0.3">
      <c r="A27" s="230"/>
      <c r="B27" s="9"/>
      <c r="C27" s="19"/>
      <c r="D27" s="39"/>
      <c r="E27" s="36">
        <v>75000</v>
      </c>
      <c r="F27" s="226" t="s">
        <v>28</v>
      </c>
      <c r="G27" s="183">
        <v>0</v>
      </c>
      <c r="H27" s="188">
        <f>SUM(G22:G27)</f>
        <v>145372.5</v>
      </c>
    </row>
    <row r="28" spans="1:11" x14ac:dyDescent="0.3">
      <c r="A28" s="230">
        <v>4243117.9800000004</v>
      </c>
      <c r="B28" s="232" t="s">
        <v>5</v>
      </c>
      <c r="C28" s="36">
        <v>4243117.9800000004</v>
      </c>
      <c r="D28" s="181"/>
      <c r="E28" s="36"/>
      <c r="F28" s="226"/>
      <c r="G28" s="233"/>
      <c r="H28" s="224"/>
    </row>
    <row r="29" spans="1:11" x14ac:dyDescent="0.3">
      <c r="A29" s="230">
        <v>0</v>
      </c>
      <c r="B29" s="255" t="s">
        <v>573</v>
      </c>
      <c r="C29" s="36">
        <v>-2456093.98</v>
      </c>
      <c r="D29" s="181"/>
      <c r="E29" s="234">
        <v>546460</v>
      </c>
      <c r="F29" s="223" t="s">
        <v>279</v>
      </c>
      <c r="G29" s="234"/>
      <c r="H29" s="235">
        <f>FA!I21</f>
        <v>506811</v>
      </c>
    </row>
    <row r="30" spans="1:11" x14ac:dyDescent="0.3">
      <c r="A30" s="230">
        <v>0</v>
      </c>
      <c r="B30" s="255" t="s">
        <v>574</v>
      </c>
      <c r="C30" s="256">
        <v>-1787024</v>
      </c>
      <c r="D30" s="181">
        <f>SUM(C28:C30)</f>
        <v>0</v>
      </c>
      <c r="E30" s="36"/>
      <c r="F30" s="226"/>
      <c r="G30" s="233"/>
      <c r="H30" s="224"/>
    </row>
    <row r="31" spans="1:11" x14ac:dyDescent="0.3">
      <c r="A31" s="230"/>
      <c r="B31" s="232"/>
      <c r="C31" s="36"/>
      <c r="D31" s="181"/>
      <c r="E31" s="38"/>
      <c r="F31" s="223" t="s">
        <v>36</v>
      </c>
      <c r="G31" s="234"/>
      <c r="H31" s="227"/>
    </row>
    <row r="32" spans="1:11" x14ac:dyDescent="0.3">
      <c r="A32" s="225"/>
      <c r="B32" s="221" t="s">
        <v>6</v>
      </c>
      <c r="C32" s="38"/>
      <c r="D32" s="39"/>
      <c r="E32" s="36">
        <v>115287</v>
      </c>
      <c r="F32" s="226" t="s">
        <v>280</v>
      </c>
      <c r="G32" s="63">
        <f>'Sch 3'!G32</f>
        <v>234204</v>
      </c>
      <c r="H32" s="227"/>
    </row>
    <row r="33" spans="1:10" x14ac:dyDescent="0.3">
      <c r="A33" s="230">
        <v>854443</v>
      </c>
      <c r="B33" s="236" t="s">
        <v>195</v>
      </c>
      <c r="C33" s="19"/>
      <c r="D33" s="181">
        <f>A33</f>
        <v>854443</v>
      </c>
      <c r="E33" s="36">
        <v>24680</v>
      </c>
      <c r="F33" s="226" t="s">
        <v>143</v>
      </c>
      <c r="G33" s="183">
        <v>9842</v>
      </c>
      <c r="H33" s="235">
        <f>SUM(G32:G33)</f>
        <v>244046</v>
      </c>
    </row>
    <row r="34" spans="1:10" x14ac:dyDescent="0.3">
      <c r="A34" s="230"/>
      <c r="B34" s="9"/>
      <c r="C34" s="36"/>
      <c r="D34" s="37"/>
      <c r="E34" s="36"/>
      <c r="F34" s="226"/>
      <c r="G34" s="63"/>
      <c r="H34" s="237"/>
    </row>
    <row r="35" spans="1:10" x14ac:dyDescent="0.3">
      <c r="A35" s="225"/>
      <c r="B35" s="221" t="s">
        <v>7</v>
      </c>
      <c r="C35" s="38"/>
      <c r="D35" s="39"/>
      <c r="E35" s="36">
        <v>6000</v>
      </c>
      <c r="F35" s="238" t="s">
        <v>518</v>
      </c>
      <c r="G35" s="63"/>
      <c r="H35" s="188">
        <v>0</v>
      </c>
    </row>
    <row r="36" spans="1:10" x14ac:dyDescent="0.3">
      <c r="A36" s="230">
        <v>166000</v>
      </c>
      <c r="B36" s="9" t="s">
        <v>196</v>
      </c>
      <c r="C36" s="19">
        <v>152000</v>
      </c>
      <c r="D36" s="39"/>
      <c r="E36" s="36"/>
      <c r="F36" s="226"/>
      <c r="G36" s="63"/>
      <c r="H36" s="237"/>
    </row>
    <row r="37" spans="1:10" x14ac:dyDescent="0.3">
      <c r="A37" s="230">
        <v>6000</v>
      </c>
      <c r="B37" s="9" t="s">
        <v>8</v>
      </c>
      <c r="C37" s="19">
        <v>3000</v>
      </c>
      <c r="D37" s="39"/>
      <c r="E37" s="31"/>
      <c r="F37" s="239" t="s">
        <v>87</v>
      </c>
      <c r="G37" s="11"/>
      <c r="H37" s="237"/>
    </row>
    <row r="38" spans="1:10" x14ac:dyDescent="0.3">
      <c r="A38" s="230">
        <v>47554</v>
      </c>
      <c r="B38" s="9" t="s">
        <v>9</v>
      </c>
      <c r="C38" s="19">
        <v>17597</v>
      </c>
      <c r="D38" s="39"/>
      <c r="E38" s="31">
        <v>1207698.26</v>
      </c>
      <c r="F38" s="240" t="s">
        <v>88</v>
      </c>
      <c r="G38" s="11">
        <f>SUM(E38:E41)</f>
        <v>2913979.0599999996</v>
      </c>
      <c r="H38" s="237"/>
    </row>
    <row r="39" spans="1:10" x14ac:dyDescent="0.3">
      <c r="A39" s="230">
        <v>0</v>
      </c>
      <c r="B39" s="9" t="s">
        <v>537</v>
      </c>
      <c r="C39" s="19">
        <v>826</v>
      </c>
      <c r="D39" s="39"/>
      <c r="E39" s="31">
        <v>0</v>
      </c>
      <c r="F39" s="265" t="s">
        <v>602</v>
      </c>
      <c r="G39" s="11">
        <f>-30107-4246-12000+75000</f>
        <v>28647</v>
      </c>
      <c r="H39" s="237"/>
    </row>
    <row r="40" spans="1:10" x14ac:dyDescent="0.3">
      <c r="A40" s="230">
        <v>4246</v>
      </c>
      <c r="B40" s="9" t="s">
        <v>10</v>
      </c>
      <c r="C40" s="19">
        <v>0</v>
      </c>
      <c r="D40" s="39"/>
      <c r="E40" s="31">
        <v>0</v>
      </c>
      <c r="F40" s="240" t="s">
        <v>562</v>
      </c>
      <c r="G40" s="11">
        <v>-2456093.98</v>
      </c>
      <c r="H40" s="237"/>
      <c r="J40" s="194"/>
    </row>
    <row r="41" spans="1:10" x14ac:dyDescent="0.3">
      <c r="A41" s="230">
        <v>47509</v>
      </c>
      <c r="B41" s="9" t="s">
        <v>538</v>
      </c>
      <c r="C41" s="19">
        <f>'Sch 4'!D9</f>
        <v>34508</v>
      </c>
      <c r="D41" s="39"/>
      <c r="E41" s="31">
        <f>IE!E30</f>
        <v>1706280.7999999998</v>
      </c>
      <c r="F41" s="240" t="s">
        <v>194</v>
      </c>
      <c r="G41" s="241">
        <f>IE!H30</f>
        <v>-377596.83000000007</v>
      </c>
      <c r="H41" s="188">
        <f>SUM(G38:G41)</f>
        <v>108935.24999999953</v>
      </c>
    </row>
    <row r="42" spans="1:10" x14ac:dyDescent="0.3">
      <c r="A42" s="230">
        <v>71424</v>
      </c>
      <c r="B42" s="9" t="s">
        <v>532</v>
      </c>
      <c r="C42" s="19">
        <v>71424</v>
      </c>
      <c r="D42" s="39"/>
      <c r="E42" s="31"/>
      <c r="F42" s="240"/>
      <c r="G42" s="242"/>
      <c r="H42" s="237"/>
    </row>
    <row r="43" spans="1:10" x14ac:dyDescent="0.3">
      <c r="A43" s="230">
        <v>70173</v>
      </c>
      <c r="B43" s="9" t="s">
        <v>544</v>
      </c>
      <c r="C43" s="19">
        <v>70173</v>
      </c>
      <c r="D43" s="39"/>
      <c r="E43" s="31"/>
      <c r="F43" s="240"/>
      <c r="G43" s="11"/>
      <c r="H43" s="237"/>
      <c r="I43" s="12"/>
    </row>
    <row r="44" spans="1:10" x14ac:dyDescent="0.3">
      <c r="A44" s="230">
        <v>419</v>
      </c>
      <c r="B44" s="9" t="s">
        <v>490</v>
      </c>
      <c r="C44" s="19">
        <v>0</v>
      </c>
      <c r="D44" s="39"/>
      <c r="E44" s="31"/>
      <c r="F44" s="240"/>
      <c r="G44" s="11"/>
      <c r="H44" s="237"/>
      <c r="I44" s="12"/>
    </row>
    <row r="45" spans="1:10" x14ac:dyDescent="0.3">
      <c r="A45" s="230">
        <v>577350</v>
      </c>
      <c r="B45" s="9" t="s">
        <v>495</v>
      </c>
      <c r="C45" s="183">
        <v>0</v>
      </c>
      <c r="D45" s="181">
        <f>SUM(C36:C45)</f>
        <v>349528</v>
      </c>
      <c r="E45" s="31"/>
      <c r="F45" s="240"/>
      <c r="G45" s="11"/>
      <c r="H45" s="237"/>
      <c r="I45" s="12"/>
    </row>
    <row r="46" spans="1:10" x14ac:dyDescent="0.3">
      <c r="A46" s="22"/>
      <c r="B46" s="9"/>
      <c r="C46" s="19"/>
      <c r="D46" s="40"/>
      <c r="E46" s="23"/>
      <c r="F46" s="10"/>
      <c r="G46" s="7"/>
      <c r="H46" s="13"/>
      <c r="I46" s="12"/>
    </row>
    <row r="47" spans="1:10" x14ac:dyDescent="0.3">
      <c r="A47" s="14"/>
      <c r="B47" s="34" t="s">
        <v>11</v>
      </c>
      <c r="C47" s="17"/>
      <c r="D47" s="16"/>
      <c r="E47" s="23"/>
      <c r="F47" s="10"/>
      <c r="G47" s="7"/>
      <c r="H47" s="13"/>
    </row>
    <row r="48" spans="1:10" x14ac:dyDescent="0.3">
      <c r="A48" s="22">
        <v>52923.7</v>
      </c>
      <c r="B48" s="9" t="s">
        <v>281</v>
      </c>
      <c r="C48" s="63">
        <f>'Sch 3'!H32</f>
        <v>51440.7</v>
      </c>
      <c r="D48" s="39"/>
      <c r="E48" s="23"/>
      <c r="F48" s="10"/>
      <c r="G48" s="7"/>
      <c r="H48" s="13"/>
    </row>
    <row r="49" spans="1:9" x14ac:dyDescent="0.3">
      <c r="A49" s="22">
        <v>20000</v>
      </c>
      <c r="B49" s="9" t="s">
        <v>12</v>
      </c>
      <c r="C49" s="63">
        <f>'Sch 3'!I32</f>
        <v>20000</v>
      </c>
      <c r="D49" s="129">
        <f>SUM(C48:C49)</f>
        <v>71440.7</v>
      </c>
      <c r="E49" s="23"/>
      <c r="F49" s="10"/>
      <c r="G49" s="7"/>
      <c r="H49" s="13"/>
    </row>
    <row r="50" spans="1:9" x14ac:dyDescent="0.3">
      <c r="A50" s="6">
        <f>SUM(A8:A49)</f>
        <v>6444573.6800000006</v>
      </c>
      <c r="B50" s="268" t="s">
        <v>13</v>
      </c>
      <c r="C50" s="268"/>
      <c r="D50" s="6">
        <f>SUM(D8:D49)</f>
        <v>3622161.7</v>
      </c>
      <c r="E50" s="6">
        <f>SUM(E6:E41)</f>
        <v>6444573.6799999997</v>
      </c>
      <c r="F50" s="268" t="s">
        <v>13</v>
      </c>
      <c r="G50" s="268"/>
      <c r="H50" s="6">
        <f>SUM(H5:H41)</f>
        <v>3622161.6999999997</v>
      </c>
      <c r="I50" s="12">
        <f>D50-H50</f>
        <v>0</v>
      </c>
    </row>
    <row r="51" spans="1:9" x14ac:dyDescent="0.3">
      <c r="E51" s="194"/>
      <c r="H51" s="194"/>
    </row>
    <row r="52" spans="1:9" x14ac:dyDescent="0.3">
      <c r="A52" s="12"/>
      <c r="D52" s="12"/>
      <c r="H52" s="12"/>
    </row>
    <row r="53" spans="1:9" x14ac:dyDescent="0.3">
      <c r="D53" s="12"/>
      <c r="E53" s="12"/>
      <c r="H53" s="12"/>
    </row>
    <row r="54" spans="1:9" x14ac:dyDescent="0.3">
      <c r="H54" s="12"/>
    </row>
    <row r="55" spans="1:9" x14ac:dyDescent="0.3">
      <c r="H55" s="12"/>
    </row>
    <row r="81" ht="30" customHeight="1" x14ac:dyDescent="0.3"/>
  </sheetData>
  <mergeCells count="7">
    <mergeCell ref="A3:H3"/>
    <mergeCell ref="F50:G50"/>
    <mergeCell ref="B50:C50"/>
    <mergeCell ref="A1:H1"/>
    <mergeCell ref="A2:H2"/>
    <mergeCell ref="B4:C4"/>
    <mergeCell ref="F4:G4"/>
  </mergeCells>
  <pageMargins left="0.7" right="0.7" top="0.75" bottom="0.75" header="0.3" footer="0.3"/>
  <pageSetup orientation="portrait" r:id="rId1"/>
  <headerFooter>
    <oddHeader>&amp;LFinancial_Statements-(2022-04-01_To_2023-03-31)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Views>
    <sheetView workbookViewId="0">
      <selection activeCell="F39" sqref="F39"/>
    </sheetView>
  </sheetViews>
  <sheetFormatPr defaultRowHeight="14.4" x14ac:dyDescent="0.3"/>
  <cols>
    <col min="1" max="1" width="13.88671875" customWidth="1"/>
    <col min="2" max="2" width="35.109375" bestFit="1" customWidth="1"/>
    <col min="3" max="3" width="12.33203125" bestFit="1" customWidth="1"/>
    <col min="4" max="4" width="13.5546875" customWidth="1"/>
    <col min="5" max="5" width="14.109375" customWidth="1"/>
    <col min="6" max="6" width="38.44140625" customWidth="1"/>
    <col min="7" max="7" width="12.33203125" bestFit="1" customWidth="1"/>
    <col min="8" max="8" width="14.109375" customWidth="1"/>
    <col min="9" max="9" width="12.33203125" bestFit="1" customWidth="1"/>
    <col min="10" max="11" width="11.109375" bestFit="1" customWidth="1"/>
  </cols>
  <sheetData>
    <row r="1" spans="1:8" ht="19.8" x14ac:dyDescent="0.3">
      <c r="A1" s="274" t="s">
        <v>0</v>
      </c>
      <c r="B1" s="274"/>
      <c r="C1" s="274"/>
      <c r="D1" s="274"/>
      <c r="E1" s="274"/>
      <c r="F1" s="274"/>
      <c r="G1" s="274"/>
      <c r="H1" s="274"/>
    </row>
    <row r="2" spans="1:8" x14ac:dyDescent="0.3">
      <c r="A2" s="270" t="s">
        <v>82</v>
      </c>
      <c r="B2" s="270"/>
      <c r="C2" s="270"/>
      <c r="D2" s="270"/>
      <c r="E2" s="270"/>
      <c r="F2" s="270"/>
      <c r="G2" s="270"/>
      <c r="H2" s="270"/>
    </row>
    <row r="3" spans="1:8" x14ac:dyDescent="0.3">
      <c r="A3" s="270" t="s">
        <v>576</v>
      </c>
      <c r="B3" s="270"/>
      <c r="C3" s="270"/>
      <c r="D3" s="270"/>
      <c r="E3" s="270"/>
      <c r="F3" s="270"/>
      <c r="G3" s="270"/>
      <c r="H3" s="270"/>
    </row>
    <row r="4" spans="1:8" x14ac:dyDescent="0.3">
      <c r="A4" s="84" t="s">
        <v>540</v>
      </c>
      <c r="B4" s="273" t="s">
        <v>83</v>
      </c>
      <c r="C4" s="272"/>
      <c r="D4" s="84" t="s">
        <v>575</v>
      </c>
      <c r="E4" s="84" t="str">
        <f>A4</f>
        <v>March 31, 2025</v>
      </c>
      <c r="F4" s="271" t="s">
        <v>84</v>
      </c>
      <c r="G4" s="272"/>
      <c r="H4" s="84" t="str">
        <f>D4</f>
        <v>March 31, 2026</v>
      </c>
    </row>
    <row r="5" spans="1:8" x14ac:dyDescent="0.3">
      <c r="A5" s="246">
        <v>202734</v>
      </c>
      <c r="B5" s="247" t="s">
        <v>89</v>
      </c>
      <c r="C5" s="244"/>
      <c r="D5" s="245">
        <v>271826</v>
      </c>
      <c r="E5" s="15"/>
      <c r="F5" s="1" t="s">
        <v>62</v>
      </c>
      <c r="G5" s="17"/>
      <c r="H5" s="18"/>
    </row>
    <row r="6" spans="1:8" x14ac:dyDescent="0.3">
      <c r="A6" s="243"/>
      <c r="B6" s="2"/>
      <c r="C6" s="244"/>
      <c r="D6" s="245"/>
      <c r="E6" s="16">
        <v>295680</v>
      </c>
      <c r="F6" s="2" t="s">
        <v>63</v>
      </c>
      <c r="G6" s="63">
        <v>295680</v>
      </c>
      <c r="H6" s="41"/>
    </row>
    <row r="7" spans="1:8" x14ac:dyDescent="0.3">
      <c r="A7" s="248"/>
      <c r="B7" s="247" t="s">
        <v>559</v>
      </c>
      <c r="C7" s="15"/>
      <c r="D7" s="17"/>
      <c r="E7" s="16">
        <v>147840</v>
      </c>
      <c r="F7" s="2" t="s">
        <v>64</v>
      </c>
      <c r="G7" s="63">
        <v>147840</v>
      </c>
      <c r="H7" s="41"/>
    </row>
    <row r="8" spans="1:8" x14ac:dyDescent="0.3">
      <c r="A8" s="126">
        <v>79125</v>
      </c>
      <c r="B8" s="2" t="s">
        <v>560</v>
      </c>
      <c r="C8" s="182">
        <v>79500</v>
      </c>
      <c r="D8" s="62"/>
      <c r="E8" s="16">
        <v>162300</v>
      </c>
      <c r="F8" s="2" t="s">
        <v>65</v>
      </c>
      <c r="G8" s="63">
        <v>162300</v>
      </c>
      <c r="H8" s="41"/>
    </row>
    <row r="9" spans="1:8" x14ac:dyDescent="0.3">
      <c r="A9" s="126">
        <v>6000</v>
      </c>
      <c r="B9" s="2" t="s">
        <v>93</v>
      </c>
      <c r="C9" s="183">
        <v>14000</v>
      </c>
      <c r="D9" s="62">
        <f>SUM(C8:C9)</f>
        <v>93500</v>
      </c>
      <c r="E9" s="16">
        <v>31920</v>
      </c>
      <c r="F9" s="2" t="s">
        <v>66</v>
      </c>
      <c r="G9" s="63">
        <v>31920</v>
      </c>
      <c r="H9" s="41"/>
    </row>
    <row r="10" spans="1:8" x14ac:dyDescent="0.3">
      <c r="A10" s="126"/>
      <c r="B10" s="2"/>
      <c r="C10" s="16"/>
      <c r="D10" s="64"/>
      <c r="E10" s="16">
        <v>45869</v>
      </c>
      <c r="F10" s="2" t="s">
        <v>67</v>
      </c>
      <c r="G10" s="63">
        <f>33150+1147</f>
        <v>34297</v>
      </c>
      <c r="H10" s="41"/>
    </row>
    <row r="11" spans="1:8" x14ac:dyDescent="0.3">
      <c r="A11" s="126">
        <v>123910</v>
      </c>
      <c r="B11" s="247" t="s">
        <v>39</v>
      </c>
      <c r="C11" s="40"/>
      <c r="D11" s="62">
        <v>130466.9</v>
      </c>
      <c r="E11" s="16">
        <v>13490</v>
      </c>
      <c r="F11" s="2" t="s">
        <v>68</v>
      </c>
      <c r="G11" s="63">
        <v>13490</v>
      </c>
      <c r="H11" s="41"/>
    </row>
    <row r="12" spans="1:8" x14ac:dyDescent="0.3">
      <c r="A12" s="126"/>
      <c r="B12" s="2"/>
      <c r="C12" s="192"/>
      <c r="D12" s="64"/>
      <c r="E12" s="16">
        <v>128936</v>
      </c>
      <c r="F12" s="2" t="s">
        <v>69</v>
      </c>
      <c r="G12" s="63">
        <v>143884</v>
      </c>
      <c r="H12" s="41"/>
    </row>
    <row r="13" spans="1:8" x14ac:dyDescent="0.3">
      <c r="A13" s="248"/>
      <c r="B13" s="1" t="s">
        <v>40</v>
      </c>
      <c r="C13" s="193"/>
      <c r="D13" s="65"/>
      <c r="E13" s="16">
        <v>518</v>
      </c>
      <c r="F13" s="2" t="s">
        <v>541</v>
      </c>
      <c r="G13" s="63">
        <v>0</v>
      </c>
      <c r="H13" s="41"/>
    </row>
    <row r="14" spans="1:8" x14ac:dyDescent="0.3">
      <c r="A14" s="126">
        <v>114966</v>
      </c>
      <c r="B14" s="2" t="s">
        <v>40</v>
      </c>
      <c r="C14" s="182">
        <v>115156</v>
      </c>
      <c r="D14" s="65"/>
      <c r="E14" s="16">
        <v>24171</v>
      </c>
      <c r="F14" s="2" t="s">
        <v>71</v>
      </c>
      <c r="G14" s="183">
        <v>30299</v>
      </c>
      <c r="H14" s="188">
        <f>SUM(G5:G14)</f>
        <v>859710</v>
      </c>
    </row>
    <row r="15" spans="1:8" x14ac:dyDescent="0.3">
      <c r="A15" s="126">
        <v>7700</v>
      </c>
      <c r="B15" s="2" t="s">
        <v>41</v>
      </c>
      <c r="C15" s="183">
        <v>25500</v>
      </c>
      <c r="D15" s="189">
        <f>SUM(C14:C15)</f>
        <v>140656</v>
      </c>
      <c r="E15" s="21"/>
      <c r="G15" s="19"/>
      <c r="H15" s="42"/>
    </row>
    <row r="16" spans="1:8" x14ac:dyDescent="0.3">
      <c r="A16" s="126"/>
      <c r="B16" s="2"/>
      <c r="C16" s="192"/>
      <c r="D16" s="64"/>
      <c r="E16" s="15"/>
      <c r="F16" s="1" t="s">
        <v>72</v>
      </c>
      <c r="G16" s="17"/>
      <c r="H16" s="41"/>
    </row>
    <row r="17" spans="1:11" x14ac:dyDescent="0.3">
      <c r="A17" s="248"/>
      <c r="B17" s="1" t="s">
        <v>44</v>
      </c>
      <c r="C17" s="193"/>
      <c r="D17" s="65"/>
      <c r="E17" s="16">
        <v>329496</v>
      </c>
      <c r="F17" s="2" t="s">
        <v>73</v>
      </c>
      <c r="G17" s="19"/>
      <c r="H17" s="62">
        <v>377395</v>
      </c>
    </row>
    <row r="18" spans="1:11" x14ac:dyDescent="0.3">
      <c r="A18" s="126">
        <v>69400</v>
      </c>
      <c r="B18" s="236" t="s">
        <v>45</v>
      </c>
      <c r="C18" s="63">
        <v>34900</v>
      </c>
      <c r="D18" s="65"/>
      <c r="E18" s="16"/>
      <c r="F18" s="2"/>
      <c r="G18" s="21"/>
      <c r="H18" s="43"/>
    </row>
    <row r="19" spans="1:11" x14ac:dyDescent="0.3">
      <c r="A19" s="126">
        <v>130688</v>
      </c>
      <c r="B19" s="236" t="s">
        <v>46</v>
      </c>
      <c r="C19" s="63">
        <v>19287</v>
      </c>
      <c r="D19" s="65"/>
      <c r="E19" s="15"/>
      <c r="F19" s="1" t="s">
        <v>76</v>
      </c>
      <c r="G19" s="17"/>
      <c r="H19" s="41"/>
    </row>
    <row r="20" spans="1:11" x14ac:dyDescent="0.3">
      <c r="A20" s="126">
        <v>142480</v>
      </c>
      <c r="B20" s="236" t="s">
        <v>205</v>
      </c>
      <c r="C20" s="63">
        <v>5000</v>
      </c>
      <c r="D20" s="65"/>
      <c r="E20" s="16">
        <v>20626</v>
      </c>
      <c r="F20" s="2" t="s">
        <v>77</v>
      </c>
      <c r="G20" s="63">
        <f>10764+432+22</f>
        <v>11218</v>
      </c>
      <c r="H20" s="41"/>
    </row>
    <row r="21" spans="1:11" x14ac:dyDescent="0.3">
      <c r="A21" s="21">
        <v>2635684</v>
      </c>
      <c r="B21" t="s">
        <v>506</v>
      </c>
      <c r="C21" s="63">
        <v>0</v>
      </c>
      <c r="D21" s="65"/>
      <c r="E21" s="16">
        <v>2083</v>
      </c>
      <c r="F21" s="2" t="s">
        <v>529</v>
      </c>
      <c r="G21" s="63">
        <v>0</v>
      </c>
      <c r="H21" s="41"/>
    </row>
    <row r="22" spans="1:11" x14ac:dyDescent="0.3">
      <c r="A22" s="126">
        <v>-725549</v>
      </c>
      <c r="B22" s="2" t="s">
        <v>539</v>
      </c>
      <c r="C22" s="63">
        <v>0</v>
      </c>
      <c r="D22" s="65"/>
      <c r="E22" s="16">
        <v>74839</v>
      </c>
      <c r="F22" s="2" t="s">
        <v>78</v>
      </c>
      <c r="G22" s="63">
        <v>146958</v>
      </c>
      <c r="H22" s="41"/>
    </row>
    <row r="23" spans="1:11" x14ac:dyDescent="0.3">
      <c r="A23" s="126">
        <v>35582</v>
      </c>
      <c r="B23" s="2" t="s">
        <v>507</v>
      </c>
      <c r="C23" s="63">
        <v>15410</v>
      </c>
      <c r="D23" s="65"/>
      <c r="E23" s="16">
        <v>4375</v>
      </c>
      <c r="F23" s="2" t="s">
        <v>533</v>
      </c>
      <c r="G23" s="19">
        <v>-2282</v>
      </c>
      <c r="H23" s="41"/>
    </row>
    <row r="24" spans="1:11" x14ac:dyDescent="0.3">
      <c r="A24" s="126">
        <v>7906</v>
      </c>
      <c r="B24" s="2" t="s">
        <v>542</v>
      </c>
      <c r="C24" s="63">
        <v>9440</v>
      </c>
      <c r="D24" s="65"/>
      <c r="E24" s="16">
        <v>-61</v>
      </c>
      <c r="F24" s="2" t="s">
        <v>553</v>
      </c>
      <c r="G24" s="19">
        <f>-7372-118</f>
        <v>-7490</v>
      </c>
      <c r="H24" s="41"/>
    </row>
    <row r="25" spans="1:11" x14ac:dyDescent="0.3">
      <c r="A25" s="126">
        <v>0</v>
      </c>
      <c r="B25" s="2" t="s">
        <v>561</v>
      </c>
      <c r="C25" s="63">
        <v>1770</v>
      </c>
      <c r="D25" s="65"/>
      <c r="E25" s="16">
        <v>-79153</v>
      </c>
      <c r="F25" s="2" t="s">
        <v>554</v>
      </c>
      <c r="G25" s="20">
        <v>-137186</v>
      </c>
      <c r="H25" s="190">
        <f>SUM(G20:G25)</f>
        <v>11218</v>
      </c>
    </row>
    <row r="26" spans="1:11" x14ac:dyDescent="0.3">
      <c r="A26" s="126">
        <v>7640</v>
      </c>
      <c r="B26" s="2" t="s">
        <v>47</v>
      </c>
      <c r="C26" s="183">
        <v>13165</v>
      </c>
      <c r="D26" s="62">
        <f>SUM(C18:C26)</f>
        <v>98972</v>
      </c>
      <c r="E26" s="16"/>
      <c r="F26" s="2"/>
      <c r="G26" s="19"/>
      <c r="H26" s="41"/>
    </row>
    <row r="27" spans="1:11" x14ac:dyDescent="0.3">
      <c r="A27" s="126"/>
      <c r="B27" s="2"/>
      <c r="C27" s="192"/>
      <c r="D27" s="64"/>
      <c r="E27" s="15"/>
      <c r="F27" s="1" t="s">
        <v>80</v>
      </c>
      <c r="G27" s="17"/>
      <c r="H27" s="41"/>
      <c r="K27" s="194"/>
    </row>
    <row r="28" spans="1:11" x14ac:dyDescent="0.3">
      <c r="A28" s="248"/>
      <c r="B28" s="1" t="s">
        <v>48</v>
      </c>
      <c r="C28" s="193"/>
      <c r="D28" s="65"/>
      <c r="E28" s="42">
        <v>769800</v>
      </c>
      <c r="F28" s="2" t="s">
        <v>81</v>
      </c>
      <c r="G28" s="19"/>
      <c r="H28" s="188">
        <f>692477.33+14271</f>
        <v>706748.33</v>
      </c>
      <c r="J28" s="194"/>
    </row>
    <row r="29" spans="1:11" x14ac:dyDescent="0.3">
      <c r="A29" s="126">
        <v>294079</v>
      </c>
      <c r="B29" s="2" t="s">
        <v>49</v>
      </c>
      <c r="C29" s="182">
        <v>301548</v>
      </c>
      <c r="D29" s="65"/>
      <c r="E29" s="16"/>
      <c r="F29" s="2"/>
      <c r="G29" s="21"/>
      <c r="H29" s="41"/>
    </row>
    <row r="30" spans="1:11" x14ac:dyDescent="0.3">
      <c r="A30" s="126">
        <v>62513</v>
      </c>
      <c r="B30" s="2" t="s">
        <v>50</v>
      </c>
      <c r="C30" s="182">
        <v>73821</v>
      </c>
      <c r="D30" s="65"/>
      <c r="E30" s="41">
        <f>A50-SUM(E6:E28)</f>
        <v>1706280.7999999998</v>
      </c>
      <c r="F30" s="2" t="s">
        <v>543</v>
      </c>
      <c r="G30" s="21"/>
      <c r="H30" s="190">
        <f>D50-SUM(H6:H28)</f>
        <v>-377596.83000000007</v>
      </c>
      <c r="I30" s="194"/>
      <c r="J30" s="194"/>
      <c r="K30" s="194"/>
    </row>
    <row r="31" spans="1:11" x14ac:dyDescent="0.3">
      <c r="A31" s="126">
        <v>7000</v>
      </c>
      <c r="B31" s="2" t="s">
        <v>193</v>
      </c>
      <c r="C31" s="182">
        <v>1370</v>
      </c>
      <c r="D31" s="65"/>
      <c r="E31" s="16"/>
      <c r="F31" s="2"/>
      <c r="G31" s="21"/>
      <c r="H31" s="189"/>
      <c r="J31" s="194"/>
    </row>
    <row r="32" spans="1:11" x14ac:dyDescent="0.3">
      <c r="A32" s="126">
        <v>3000</v>
      </c>
      <c r="B32" s="2" t="s">
        <v>52</v>
      </c>
      <c r="C32" s="183">
        <v>3000</v>
      </c>
      <c r="D32" s="62">
        <f>SUM(C29:C32)</f>
        <v>379739</v>
      </c>
      <c r="E32" s="16"/>
      <c r="F32" s="2"/>
      <c r="G32" s="21"/>
      <c r="H32" s="41"/>
    </row>
    <row r="33" spans="1:8" x14ac:dyDescent="0.3">
      <c r="A33" s="126"/>
      <c r="B33" s="2"/>
      <c r="C33" s="192"/>
      <c r="D33" s="64"/>
      <c r="E33" s="16"/>
      <c r="F33" s="2"/>
      <c r="G33" s="21"/>
      <c r="H33" s="41"/>
    </row>
    <row r="34" spans="1:8" x14ac:dyDescent="0.3">
      <c r="A34" s="248"/>
      <c r="B34" s="1" t="s">
        <v>51</v>
      </c>
      <c r="C34" s="193"/>
      <c r="D34" s="65"/>
      <c r="E34" s="16"/>
      <c r="F34" s="2"/>
      <c r="G34" s="21"/>
      <c r="H34" s="41"/>
    </row>
    <row r="35" spans="1:8" x14ac:dyDescent="0.3">
      <c r="A35" s="126">
        <v>5000</v>
      </c>
      <c r="B35" s="2" t="s">
        <v>53</v>
      </c>
      <c r="C35" s="182">
        <v>4740</v>
      </c>
      <c r="D35" s="65"/>
      <c r="E35" s="16"/>
      <c r="F35" s="2"/>
      <c r="G35" s="21"/>
      <c r="H35" s="41"/>
    </row>
    <row r="36" spans="1:8" x14ac:dyDescent="0.3">
      <c r="A36" s="126">
        <v>24000</v>
      </c>
      <c r="B36" s="2" t="s">
        <v>54</v>
      </c>
      <c r="C36" s="182">
        <v>26400</v>
      </c>
      <c r="D36" s="65"/>
      <c r="E36" s="16"/>
      <c r="F36" s="2"/>
      <c r="G36" s="21"/>
      <c r="H36" s="41"/>
    </row>
    <row r="37" spans="1:8" x14ac:dyDescent="0.3">
      <c r="A37" s="126">
        <v>3000</v>
      </c>
      <c r="B37" s="2" t="s">
        <v>58</v>
      </c>
      <c r="C37" s="182">
        <v>1500</v>
      </c>
      <c r="D37" s="65"/>
      <c r="E37" s="16"/>
      <c r="F37" s="2"/>
      <c r="G37" s="21"/>
      <c r="H37" s="41"/>
    </row>
    <row r="38" spans="1:8" x14ac:dyDescent="0.3">
      <c r="A38" s="126">
        <v>826</v>
      </c>
      <c r="B38" s="2" t="s">
        <v>94</v>
      </c>
      <c r="C38" s="182">
        <v>826</v>
      </c>
      <c r="D38" s="65"/>
      <c r="E38" s="16"/>
      <c r="F38" s="2"/>
      <c r="G38" s="21"/>
      <c r="H38" s="41"/>
    </row>
    <row r="39" spans="1:8" x14ac:dyDescent="0.3">
      <c r="A39" s="126">
        <v>5750</v>
      </c>
      <c r="B39" s="2" t="s">
        <v>55</v>
      </c>
      <c r="C39" s="182">
        <v>3551</v>
      </c>
      <c r="D39" s="65"/>
      <c r="E39" s="16"/>
      <c r="F39" s="2"/>
      <c r="G39" s="21"/>
      <c r="H39" s="41"/>
    </row>
    <row r="40" spans="1:8" x14ac:dyDescent="0.3">
      <c r="A40" s="126">
        <v>17230</v>
      </c>
      <c r="B40" s="2" t="s">
        <v>56</v>
      </c>
      <c r="C40" s="182">
        <v>23341</v>
      </c>
      <c r="D40" s="65"/>
      <c r="E40" s="16"/>
      <c r="F40" s="2"/>
      <c r="G40" s="21"/>
      <c r="H40" s="41"/>
    </row>
    <row r="41" spans="1:8" x14ac:dyDescent="0.3">
      <c r="A41" s="126">
        <v>24518</v>
      </c>
      <c r="B41" s="2" t="s">
        <v>60</v>
      </c>
      <c r="C41" s="182">
        <v>447</v>
      </c>
      <c r="D41" s="65"/>
      <c r="E41" s="16"/>
      <c r="F41" s="2"/>
      <c r="G41" s="21"/>
      <c r="H41" s="41"/>
    </row>
    <row r="42" spans="1:8" x14ac:dyDescent="0.3">
      <c r="A42" s="126">
        <v>45864</v>
      </c>
      <c r="B42" s="2" t="s">
        <v>61</v>
      </c>
      <c r="C42" s="182">
        <v>45864</v>
      </c>
      <c r="D42" s="65"/>
      <c r="E42" s="16"/>
      <c r="F42" s="2"/>
      <c r="G42" s="21"/>
      <c r="H42" s="41"/>
    </row>
    <row r="43" spans="1:8" x14ac:dyDescent="0.3">
      <c r="A43" s="126">
        <v>14131</v>
      </c>
      <c r="B43" s="2" t="s">
        <v>91</v>
      </c>
      <c r="C43" s="182">
        <v>14070</v>
      </c>
      <c r="D43" s="65"/>
      <c r="E43" s="16"/>
      <c r="F43" s="2"/>
      <c r="G43" s="21"/>
      <c r="H43" s="41"/>
    </row>
    <row r="44" spans="1:8" x14ac:dyDescent="0.3">
      <c r="A44" s="126">
        <v>330.4</v>
      </c>
      <c r="B44" s="2" t="s">
        <v>59</v>
      </c>
      <c r="C44" s="182">
        <v>967.6</v>
      </c>
      <c r="D44" s="65"/>
      <c r="E44" s="16"/>
      <c r="F44" s="2"/>
      <c r="G44" s="21"/>
      <c r="H44" s="41"/>
    </row>
    <row r="45" spans="1:8" x14ac:dyDescent="0.3">
      <c r="A45" s="126">
        <v>97380</v>
      </c>
      <c r="B45" s="2" t="s">
        <v>511</v>
      </c>
      <c r="C45" s="182">
        <v>107140</v>
      </c>
      <c r="D45" s="65"/>
      <c r="E45" s="16"/>
      <c r="F45" s="2"/>
      <c r="G45" s="21"/>
      <c r="H45" s="41"/>
    </row>
    <row r="46" spans="1:8" x14ac:dyDescent="0.3">
      <c r="A46" s="126">
        <v>68005</v>
      </c>
      <c r="B46" s="2" t="s">
        <v>95</v>
      </c>
      <c r="C46" s="182">
        <f>FA!H21</f>
        <v>75149</v>
      </c>
      <c r="D46" s="65"/>
      <c r="E46" s="16"/>
      <c r="F46" s="2"/>
      <c r="G46" s="21"/>
      <c r="H46" s="41"/>
    </row>
    <row r="47" spans="1:8" x14ac:dyDescent="0.3">
      <c r="A47" s="126">
        <v>11106.4</v>
      </c>
      <c r="B47" s="2" t="s">
        <v>555</v>
      </c>
      <c r="C47" s="182">
        <v>0</v>
      </c>
      <c r="D47" s="65"/>
      <c r="E47" s="16"/>
      <c r="F47" s="2"/>
      <c r="G47" s="21"/>
      <c r="H47" s="41"/>
    </row>
    <row r="48" spans="1:8" x14ac:dyDescent="0.3">
      <c r="A48" s="126">
        <v>157011</v>
      </c>
      <c r="B48" s="2" t="s">
        <v>512</v>
      </c>
      <c r="C48" s="20">
        <v>158319</v>
      </c>
      <c r="D48" s="62">
        <f>SUM(C35:C48)</f>
        <v>462314.6</v>
      </c>
      <c r="E48" s="16"/>
      <c r="F48" s="2"/>
      <c r="G48" s="21"/>
      <c r="H48" s="41"/>
    </row>
    <row r="49" spans="1:9" x14ac:dyDescent="0.3">
      <c r="A49" s="126"/>
      <c r="B49" s="2"/>
      <c r="C49" s="237"/>
      <c r="D49" s="62"/>
      <c r="E49" s="16"/>
      <c r="F49" s="2"/>
      <c r="G49" s="127"/>
      <c r="H49" s="41"/>
    </row>
    <row r="50" spans="1:9" x14ac:dyDescent="0.3">
      <c r="A50" s="249">
        <f>SUM(A5:A48)</f>
        <v>3679009.8</v>
      </c>
      <c r="B50" s="275" t="s">
        <v>13</v>
      </c>
      <c r="C50" s="276"/>
      <c r="D50" s="249">
        <f>SUM(D5:D48)</f>
        <v>1577474.5</v>
      </c>
      <c r="E50" s="249">
        <f>SUM(E5:E45)</f>
        <v>3679009.8</v>
      </c>
      <c r="F50" s="275" t="s">
        <v>13</v>
      </c>
      <c r="G50" s="276"/>
      <c r="H50" s="249">
        <f>SUM(H5:H45)</f>
        <v>1577474.5</v>
      </c>
      <c r="I50" s="12">
        <f>D50-H50</f>
        <v>0</v>
      </c>
    </row>
    <row r="51" spans="1:9" x14ac:dyDescent="0.3">
      <c r="I51" s="12"/>
    </row>
    <row r="52" spans="1:9" x14ac:dyDescent="0.3">
      <c r="D52" s="12"/>
      <c r="H52" s="12"/>
    </row>
    <row r="53" spans="1:9" x14ac:dyDescent="0.3">
      <c r="D53" s="12"/>
    </row>
  </sheetData>
  <mergeCells count="7">
    <mergeCell ref="A1:H1"/>
    <mergeCell ref="A2:H2"/>
    <mergeCell ref="B50:C50"/>
    <mergeCell ref="F50:G50"/>
    <mergeCell ref="A3:H3"/>
    <mergeCell ref="B4:C4"/>
    <mergeCell ref="F4:G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167"/>
  <sheetViews>
    <sheetView topLeftCell="A62" workbookViewId="0">
      <selection activeCell="N161" sqref="N161"/>
    </sheetView>
  </sheetViews>
  <sheetFormatPr defaultRowHeight="14.4" x14ac:dyDescent="0.3"/>
  <cols>
    <col min="2" max="2" width="13.33203125" bestFit="1" customWidth="1"/>
    <col min="3" max="3" width="10.5546875" bestFit="1" customWidth="1"/>
    <col min="4" max="4" width="25.6640625" customWidth="1"/>
    <col min="5" max="5" width="13.109375" bestFit="1" customWidth="1"/>
    <col min="6" max="6" width="13.6640625" bestFit="1" customWidth="1"/>
    <col min="7" max="7" width="11.33203125" bestFit="1" customWidth="1"/>
    <col min="8" max="9" width="11.88671875" bestFit="1" customWidth="1"/>
    <col min="10" max="10" width="12.44140625" bestFit="1" customWidth="1"/>
    <col min="11" max="11" width="25.6640625" customWidth="1"/>
  </cols>
  <sheetData>
    <row r="2" spans="2:14" ht="15.6" x14ac:dyDescent="0.3">
      <c r="C2" s="180" t="s">
        <v>0</v>
      </c>
      <c r="D2" s="180"/>
      <c r="E2" s="180"/>
      <c r="F2" s="180"/>
      <c r="G2" s="180"/>
      <c r="H2" s="180"/>
      <c r="I2" s="180"/>
      <c r="J2" s="180"/>
    </row>
    <row r="3" spans="2:14" ht="15.6" x14ac:dyDescent="0.3">
      <c r="C3" s="180" t="s">
        <v>528</v>
      </c>
      <c r="D3" s="180"/>
      <c r="E3" s="180"/>
      <c r="F3" s="180"/>
      <c r="G3" s="180"/>
      <c r="H3" s="180"/>
      <c r="I3" s="180"/>
      <c r="J3" s="180"/>
    </row>
    <row r="4" spans="2:14" x14ac:dyDescent="0.3">
      <c r="B4" s="5" t="s">
        <v>422</v>
      </c>
      <c r="C4" s="5" t="s">
        <v>423</v>
      </c>
      <c r="D4" s="5" t="s">
        <v>424</v>
      </c>
      <c r="E4" s="5" t="s">
        <v>425</v>
      </c>
      <c r="F4" s="5" t="s">
        <v>426</v>
      </c>
      <c r="G4" s="5" t="s">
        <v>427</v>
      </c>
      <c r="H4" s="5" t="s">
        <v>428</v>
      </c>
      <c r="I4" s="5" t="s">
        <v>429</v>
      </c>
      <c r="J4" s="5" t="s">
        <v>430</v>
      </c>
    </row>
    <row r="5" spans="2:14" x14ac:dyDescent="0.3">
      <c r="B5" t="s">
        <v>431</v>
      </c>
      <c r="C5">
        <v>101001</v>
      </c>
      <c r="D5" t="s">
        <v>146</v>
      </c>
      <c r="E5">
        <v>106630.79</v>
      </c>
      <c r="F5">
        <v>0</v>
      </c>
      <c r="G5">
        <v>855232</v>
      </c>
      <c r="H5">
        <v>922045.08</v>
      </c>
      <c r="I5">
        <v>39817.71</v>
      </c>
      <c r="J5">
        <v>0</v>
      </c>
      <c r="L5">
        <v>39817.71</v>
      </c>
      <c r="N5">
        <f>I5-L5</f>
        <v>0</v>
      </c>
    </row>
    <row r="6" spans="2:14" x14ac:dyDescent="0.3">
      <c r="B6" t="s">
        <v>431</v>
      </c>
      <c r="C6">
        <v>101002</v>
      </c>
      <c r="D6" t="s">
        <v>432</v>
      </c>
      <c r="E6">
        <v>54496.03</v>
      </c>
      <c r="F6">
        <v>0</v>
      </c>
      <c r="G6">
        <v>3060678</v>
      </c>
      <c r="H6">
        <v>2967156.62</v>
      </c>
      <c r="I6">
        <v>148017.41</v>
      </c>
      <c r="J6">
        <v>0</v>
      </c>
      <c r="L6">
        <v>148017.41</v>
      </c>
      <c r="N6">
        <f t="shared" ref="N6:N69" si="0">I6-L6</f>
        <v>0</v>
      </c>
    </row>
    <row r="7" spans="2:14" x14ac:dyDescent="0.3">
      <c r="B7" t="s">
        <v>431</v>
      </c>
      <c r="C7">
        <v>101003</v>
      </c>
      <c r="D7" t="s">
        <v>433</v>
      </c>
      <c r="E7">
        <v>28945.5</v>
      </c>
      <c r="F7">
        <v>0</v>
      </c>
      <c r="G7">
        <v>898</v>
      </c>
      <c r="H7">
        <v>0</v>
      </c>
      <c r="I7">
        <v>29843.5</v>
      </c>
      <c r="J7">
        <v>0</v>
      </c>
      <c r="L7">
        <v>29843.5</v>
      </c>
      <c r="N7">
        <f t="shared" si="0"/>
        <v>0</v>
      </c>
    </row>
    <row r="8" spans="2:14" x14ac:dyDescent="0.3">
      <c r="B8" t="s">
        <v>431</v>
      </c>
      <c r="C8">
        <v>101004</v>
      </c>
      <c r="D8" t="s">
        <v>434</v>
      </c>
      <c r="E8">
        <v>8574</v>
      </c>
      <c r="F8">
        <v>0</v>
      </c>
      <c r="G8">
        <v>0</v>
      </c>
      <c r="H8">
        <v>0</v>
      </c>
      <c r="I8">
        <v>8574</v>
      </c>
      <c r="J8">
        <v>0</v>
      </c>
      <c r="L8">
        <v>8574</v>
      </c>
      <c r="N8">
        <f t="shared" si="0"/>
        <v>0</v>
      </c>
    </row>
    <row r="9" spans="2:14" x14ac:dyDescent="0.3">
      <c r="B9" t="s">
        <v>431</v>
      </c>
      <c r="C9">
        <v>101005</v>
      </c>
      <c r="D9" t="s">
        <v>435</v>
      </c>
      <c r="E9">
        <v>0</v>
      </c>
      <c r="F9">
        <v>0</v>
      </c>
      <c r="G9">
        <v>976241</v>
      </c>
      <c r="H9">
        <v>783270</v>
      </c>
      <c r="I9">
        <v>192971</v>
      </c>
      <c r="J9">
        <v>0</v>
      </c>
      <c r="L9">
        <v>192971</v>
      </c>
      <c r="N9">
        <f t="shared" si="0"/>
        <v>0</v>
      </c>
    </row>
    <row r="10" spans="2:14" x14ac:dyDescent="0.3">
      <c r="B10" t="s">
        <v>431</v>
      </c>
      <c r="C10">
        <v>102001</v>
      </c>
      <c r="D10" t="s">
        <v>17</v>
      </c>
      <c r="E10">
        <v>435</v>
      </c>
      <c r="F10">
        <v>0</v>
      </c>
      <c r="G10">
        <v>40000</v>
      </c>
      <c r="H10">
        <v>38126</v>
      </c>
      <c r="I10">
        <v>2309</v>
      </c>
      <c r="J10">
        <v>0</v>
      </c>
      <c r="L10">
        <v>2309</v>
      </c>
      <c r="N10">
        <f t="shared" si="0"/>
        <v>0</v>
      </c>
    </row>
    <row r="11" spans="2:14" x14ac:dyDescent="0.3">
      <c r="B11" t="s">
        <v>431</v>
      </c>
      <c r="C11">
        <v>103001</v>
      </c>
      <c r="D11" t="s">
        <v>19</v>
      </c>
      <c r="E11">
        <v>100</v>
      </c>
      <c r="F11">
        <v>0</v>
      </c>
      <c r="G11">
        <v>0</v>
      </c>
      <c r="H11">
        <v>0</v>
      </c>
      <c r="I11">
        <v>100</v>
      </c>
      <c r="J11">
        <v>0</v>
      </c>
      <c r="L11">
        <v>100</v>
      </c>
      <c r="N11">
        <f t="shared" si="0"/>
        <v>0</v>
      </c>
    </row>
    <row r="12" spans="2:14" x14ac:dyDescent="0.3">
      <c r="B12" t="s">
        <v>431</v>
      </c>
      <c r="C12">
        <v>103008</v>
      </c>
      <c r="D12" t="s">
        <v>21</v>
      </c>
      <c r="E12">
        <v>168330</v>
      </c>
      <c r="F12">
        <v>0</v>
      </c>
      <c r="G12">
        <v>97988</v>
      </c>
      <c r="H12">
        <v>165975</v>
      </c>
      <c r="I12">
        <v>100343</v>
      </c>
      <c r="J12">
        <v>0</v>
      </c>
      <c r="L12">
        <v>100343</v>
      </c>
      <c r="N12">
        <f t="shared" si="0"/>
        <v>0</v>
      </c>
    </row>
    <row r="13" spans="2:14" x14ac:dyDescent="0.3">
      <c r="B13" t="s">
        <v>431</v>
      </c>
      <c r="C13">
        <v>104001</v>
      </c>
      <c r="D13" t="s">
        <v>436</v>
      </c>
      <c r="E13">
        <v>38000</v>
      </c>
      <c r="F13">
        <v>0</v>
      </c>
      <c r="G13">
        <v>0</v>
      </c>
      <c r="H13">
        <v>38000</v>
      </c>
      <c r="I13">
        <v>0</v>
      </c>
      <c r="J13">
        <v>0</v>
      </c>
      <c r="L13">
        <v>0</v>
      </c>
      <c r="N13">
        <f t="shared" si="0"/>
        <v>0</v>
      </c>
    </row>
    <row r="14" spans="2:14" x14ac:dyDescent="0.3">
      <c r="B14" t="s">
        <v>431</v>
      </c>
      <c r="C14">
        <v>104002</v>
      </c>
      <c r="D14" t="s">
        <v>437</v>
      </c>
      <c r="E14">
        <v>100000</v>
      </c>
      <c r="F14">
        <v>0</v>
      </c>
      <c r="G14">
        <v>0</v>
      </c>
      <c r="H14">
        <v>0</v>
      </c>
      <c r="I14">
        <v>100000</v>
      </c>
      <c r="J14">
        <v>0</v>
      </c>
      <c r="L14">
        <v>100000</v>
      </c>
      <c r="N14">
        <f t="shared" si="0"/>
        <v>0</v>
      </c>
    </row>
    <row r="15" spans="2:14" x14ac:dyDescent="0.3">
      <c r="B15" t="s">
        <v>431</v>
      </c>
      <c r="C15">
        <v>104003</v>
      </c>
      <c r="D15" t="s">
        <v>438</v>
      </c>
      <c r="E15">
        <v>88000</v>
      </c>
      <c r="F15">
        <v>0</v>
      </c>
      <c r="G15">
        <v>0</v>
      </c>
      <c r="H15">
        <v>88000</v>
      </c>
      <c r="I15">
        <v>0</v>
      </c>
      <c r="J15">
        <v>0</v>
      </c>
      <c r="L15">
        <v>0</v>
      </c>
      <c r="N15">
        <f t="shared" si="0"/>
        <v>0</v>
      </c>
    </row>
    <row r="16" spans="2:14" x14ac:dyDescent="0.3">
      <c r="B16" t="s">
        <v>431</v>
      </c>
      <c r="C16">
        <v>104004</v>
      </c>
      <c r="D16" t="s">
        <v>439</v>
      </c>
      <c r="E16">
        <v>130099</v>
      </c>
      <c r="F16">
        <v>0</v>
      </c>
      <c r="G16">
        <v>0</v>
      </c>
      <c r="H16">
        <v>130099</v>
      </c>
      <c r="I16">
        <v>0</v>
      </c>
      <c r="J16">
        <v>0</v>
      </c>
      <c r="L16">
        <v>0</v>
      </c>
      <c r="N16">
        <f t="shared" si="0"/>
        <v>0</v>
      </c>
    </row>
    <row r="17" spans="2:14" x14ac:dyDescent="0.3">
      <c r="B17" t="s">
        <v>431</v>
      </c>
      <c r="C17">
        <v>104005</v>
      </c>
      <c r="D17" t="s">
        <v>440</v>
      </c>
      <c r="E17">
        <v>126751</v>
      </c>
      <c r="F17">
        <v>0</v>
      </c>
      <c r="G17">
        <v>0</v>
      </c>
      <c r="H17">
        <v>126751</v>
      </c>
      <c r="I17">
        <v>0</v>
      </c>
      <c r="J17">
        <v>0</v>
      </c>
      <c r="L17">
        <v>0</v>
      </c>
      <c r="N17">
        <f t="shared" si="0"/>
        <v>0</v>
      </c>
    </row>
    <row r="18" spans="2:14" x14ac:dyDescent="0.3">
      <c r="B18" t="s">
        <v>431</v>
      </c>
      <c r="C18">
        <v>104006</v>
      </c>
      <c r="D18" t="s">
        <v>441</v>
      </c>
      <c r="E18">
        <v>45638</v>
      </c>
      <c r="F18">
        <v>0</v>
      </c>
      <c r="G18">
        <v>0</v>
      </c>
      <c r="H18">
        <v>45638</v>
      </c>
      <c r="I18">
        <v>0</v>
      </c>
      <c r="J18">
        <v>0</v>
      </c>
      <c r="L18">
        <v>0</v>
      </c>
      <c r="N18">
        <f t="shared" si="0"/>
        <v>0</v>
      </c>
    </row>
    <row r="19" spans="2:14" x14ac:dyDescent="0.3">
      <c r="B19" t="s">
        <v>431</v>
      </c>
      <c r="C19">
        <v>104007</v>
      </c>
      <c r="D19" t="s">
        <v>442</v>
      </c>
      <c r="E19">
        <v>56023</v>
      </c>
      <c r="F19">
        <v>0</v>
      </c>
      <c r="G19">
        <v>0</v>
      </c>
      <c r="H19">
        <v>0</v>
      </c>
      <c r="I19">
        <v>56023</v>
      </c>
      <c r="J19">
        <v>0</v>
      </c>
      <c r="L19">
        <v>56023</v>
      </c>
      <c r="N19">
        <f t="shared" si="0"/>
        <v>0</v>
      </c>
    </row>
    <row r="20" spans="2:14" x14ac:dyDescent="0.3">
      <c r="B20" t="s">
        <v>431</v>
      </c>
      <c r="C20">
        <v>104008</v>
      </c>
      <c r="D20" t="s">
        <v>443</v>
      </c>
      <c r="E20">
        <v>0</v>
      </c>
      <c r="F20">
        <v>0</v>
      </c>
      <c r="G20">
        <v>138443</v>
      </c>
      <c r="H20">
        <v>0</v>
      </c>
      <c r="I20">
        <v>138443</v>
      </c>
      <c r="J20">
        <v>0</v>
      </c>
      <c r="L20">
        <v>138443</v>
      </c>
      <c r="N20">
        <f t="shared" si="0"/>
        <v>0</v>
      </c>
    </row>
    <row r="21" spans="2:14" x14ac:dyDescent="0.3">
      <c r="B21" t="s">
        <v>431</v>
      </c>
      <c r="C21">
        <v>104009</v>
      </c>
      <c r="D21" t="s">
        <v>444</v>
      </c>
      <c r="E21">
        <v>0</v>
      </c>
      <c r="F21">
        <v>0</v>
      </c>
      <c r="G21">
        <v>135693</v>
      </c>
      <c r="H21">
        <v>0</v>
      </c>
      <c r="I21">
        <v>135693</v>
      </c>
      <c r="J21">
        <v>0</v>
      </c>
      <c r="L21">
        <v>135693</v>
      </c>
      <c r="N21">
        <f t="shared" si="0"/>
        <v>0</v>
      </c>
    </row>
    <row r="22" spans="2:14" x14ac:dyDescent="0.3">
      <c r="B22" t="s">
        <v>431</v>
      </c>
      <c r="C22">
        <v>104010</v>
      </c>
      <c r="D22" t="s">
        <v>445</v>
      </c>
      <c r="E22">
        <v>0</v>
      </c>
      <c r="F22">
        <v>0</v>
      </c>
      <c r="G22">
        <v>48500</v>
      </c>
      <c r="H22">
        <v>0</v>
      </c>
      <c r="I22">
        <v>48500</v>
      </c>
      <c r="J22">
        <v>0</v>
      </c>
      <c r="L22">
        <v>48500</v>
      </c>
      <c r="N22">
        <f t="shared" si="0"/>
        <v>0</v>
      </c>
    </row>
    <row r="23" spans="2:14" x14ac:dyDescent="0.3">
      <c r="B23" t="s">
        <v>431</v>
      </c>
      <c r="C23">
        <v>10509</v>
      </c>
      <c r="D23" t="s">
        <v>446</v>
      </c>
      <c r="E23">
        <v>0</v>
      </c>
      <c r="F23">
        <v>0</v>
      </c>
      <c r="G23">
        <v>155476</v>
      </c>
      <c r="H23">
        <v>0</v>
      </c>
      <c r="I23">
        <v>155476</v>
      </c>
      <c r="J23">
        <v>0</v>
      </c>
      <c r="L23">
        <v>155476</v>
      </c>
      <c r="N23">
        <f t="shared" si="0"/>
        <v>0</v>
      </c>
    </row>
    <row r="24" spans="2:14" x14ac:dyDescent="0.3">
      <c r="B24" t="s">
        <v>431</v>
      </c>
      <c r="C24">
        <v>105001</v>
      </c>
      <c r="D24" t="s">
        <v>447</v>
      </c>
      <c r="E24">
        <v>127200</v>
      </c>
      <c r="F24">
        <v>0</v>
      </c>
      <c r="G24">
        <v>0</v>
      </c>
      <c r="H24">
        <v>127200</v>
      </c>
      <c r="I24">
        <v>0</v>
      </c>
      <c r="J24">
        <v>0</v>
      </c>
      <c r="L24">
        <v>0</v>
      </c>
      <c r="N24">
        <f t="shared" si="0"/>
        <v>0</v>
      </c>
    </row>
    <row r="25" spans="2:14" x14ac:dyDescent="0.3">
      <c r="B25" t="s">
        <v>431</v>
      </c>
      <c r="C25">
        <v>105002</v>
      </c>
      <c r="D25" t="s">
        <v>448</v>
      </c>
      <c r="E25">
        <v>600000</v>
      </c>
      <c r="F25">
        <v>0</v>
      </c>
      <c r="G25">
        <v>0</v>
      </c>
      <c r="H25">
        <v>600000</v>
      </c>
      <c r="I25">
        <v>0</v>
      </c>
      <c r="J25">
        <v>0</v>
      </c>
      <c r="L25">
        <v>0</v>
      </c>
      <c r="N25">
        <f t="shared" si="0"/>
        <v>0</v>
      </c>
    </row>
    <row r="26" spans="2:14" x14ac:dyDescent="0.3">
      <c r="B26" t="s">
        <v>431</v>
      </c>
      <c r="C26">
        <v>105003</v>
      </c>
      <c r="D26" t="s">
        <v>449</v>
      </c>
      <c r="E26">
        <v>300000</v>
      </c>
      <c r="F26">
        <v>0</v>
      </c>
      <c r="G26">
        <v>0</v>
      </c>
      <c r="H26">
        <v>0</v>
      </c>
      <c r="I26">
        <v>300000</v>
      </c>
      <c r="J26">
        <v>0</v>
      </c>
      <c r="L26">
        <v>300000</v>
      </c>
      <c r="N26">
        <f t="shared" si="0"/>
        <v>0</v>
      </c>
    </row>
    <row r="27" spans="2:14" x14ac:dyDescent="0.3">
      <c r="B27" t="s">
        <v>431</v>
      </c>
      <c r="C27">
        <v>105004</v>
      </c>
      <c r="D27" t="s">
        <v>450</v>
      </c>
      <c r="E27">
        <v>126751</v>
      </c>
      <c r="F27">
        <v>0</v>
      </c>
      <c r="G27">
        <v>0</v>
      </c>
      <c r="H27">
        <v>126751</v>
      </c>
      <c r="I27">
        <v>0</v>
      </c>
      <c r="J27">
        <v>0</v>
      </c>
      <c r="L27">
        <v>0</v>
      </c>
      <c r="N27">
        <f t="shared" si="0"/>
        <v>0</v>
      </c>
    </row>
    <row r="28" spans="2:14" x14ac:dyDescent="0.3">
      <c r="B28" t="s">
        <v>431</v>
      </c>
      <c r="C28">
        <v>105005</v>
      </c>
      <c r="D28" t="s">
        <v>451</v>
      </c>
      <c r="E28">
        <v>422601</v>
      </c>
      <c r="F28">
        <v>0</v>
      </c>
      <c r="G28">
        <v>0</v>
      </c>
      <c r="H28">
        <v>422601</v>
      </c>
      <c r="I28">
        <v>0</v>
      </c>
      <c r="J28">
        <v>0</v>
      </c>
      <c r="L28">
        <v>0</v>
      </c>
      <c r="N28">
        <f t="shared" si="0"/>
        <v>0</v>
      </c>
    </row>
    <row r="29" spans="2:14" x14ac:dyDescent="0.3">
      <c r="B29" t="s">
        <v>431</v>
      </c>
      <c r="C29">
        <v>105006</v>
      </c>
      <c r="D29" t="s">
        <v>452</v>
      </c>
      <c r="E29">
        <v>126751</v>
      </c>
      <c r="F29">
        <v>0</v>
      </c>
      <c r="G29">
        <v>0</v>
      </c>
      <c r="H29">
        <v>126751</v>
      </c>
      <c r="I29">
        <v>0</v>
      </c>
      <c r="J29">
        <v>0</v>
      </c>
      <c r="L29">
        <v>0</v>
      </c>
      <c r="N29">
        <f t="shared" si="0"/>
        <v>0</v>
      </c>
    </row>
    <row r="30" spans="2:14" x14ac:dyDescent="0.3">
      <c r="B30" t="s">
        <v>431</v>
      </c>
      <c r="C30">
        <v>105007</v>
      </c>
      <c r="D30" t="s">
        <v>453</v>
      </c>
      <c r="E30">
        <v>126751</v>
      </c>
      <c r="F30">
        <v>0</v>
      </c>
      <c r="G30">
        <v>0</v>
      </c>
      <c r="H30">
        <v>126751</v>
      </c>
      <c r="I30">
        <v>0</v>
      </c>
      <c r="J30">
        <v>0</v>
      </c>
      <c r="L30">
        <v>0</v>
      </c>
      <c r="N30">
        <f t="shared" si="0"/>
        <v>0</v>
      </c>
    </row>
    <row r="31" spans="2:14" x14ac:dyDescent="0.3">
      <c r="B31" t="s">
        <v>431</v>
      </c>
      <c r="C31">
        <v>105008</v>
      </c>
      <c r="D31" t="s">
        <v>454</v>
      </c>
      <c r="E31">
        <v>126751</v>
      </c>
      <c r="F31">
        <v>0</v>
      </c>
      <c r="G31">
        <v>0</v>
      </c>
      <c r="H31">
        <v>126751</v>
      </c>
      <c r="I31">
        <v>0</v>
      </c>
      <c r="J31">
        <v>0</v>
      </c>
      <c r="L31">
        <v>0</v>
      </c>
      <c r="N31">
        <f t="shared" si="0"/>
        <v>0</v>
      </c>
    </row>
    <row r="32" spans="2:14" x14ac:dyDescent="0.3">
      <c r="B32" t="s">
        <v>431</v>
      </c>
      <c r="C32">
        <v>105009</v>
      </c>
      <c r="D32" t="s">
        <v>455</v>
      </c>
      <c r="E32">
        <v>181519</v>
      </c>
      <c r="F32">
        <v>0</v>
      </c>
      <c r="G32">
        <v>0</v>
      </c>
      <c r="H32">
        <v>0</v>
      </c>
      <c r="I32">
        <v>181519</v>
      </c>
      <c r="J32">
        <v>0</v>
      </c>
      <c r="L32">
        <v>181519</v>
      </c>
      <c r="N32">
        <f t="shared" si="0"/>
        <v>0</v>
      </c>
    </row>
    <row r="33" spans="2:14" x14ac:dyDescent="0.3">
      <c r="B33" t="s">
        <v>431</v>
      </c>
      <c r="C33">
        <v>105010</v>
      </c>
      <c r="D33" t="s">
        <v>456</v>
      </c>
      <c r="E33">
        <v>105903</v>
      </c>
      <c r="F33">
        <v>0</v>
      </c>
      <c r="G33">
        <v>0</v>
      </c>
      <c r="H33">
        <v>105903</v>
      </c>
      <c r="I33">
        <v>0</v>
      </c>
      <c r="J33">
        <v>0</v>
      </c>
      <c r="L33">
        <v>0</v>
      </c>
      <c r="N33">
        <f t="shared" si="0"/>
        <v>0</v>
      </c>
    </row>
    <row r="34" spans="2:14" x14ac:dyDescent="0.3">
      <c r="B34" t="s">
        <v>431</v>
      </c>
      <c r="C34">
        <v>105011</v>
      </c>
      <c r="D34" t="s">
        <v>457</v>
      </c>
      <c r="E34">
        <v>105903</v>
      </c>
      <c r="F34">
        <v>0</v>
      </c>
      <c r="G34">
        <v>0</v>
      </c>
      <c r="H34">
        <v>105903</v>
      </c>
      <c r="I34">
        <v>0</v>
      </c>
      <c r="J34">
        <v>0</v>
      </c>
      <c r="L34">
        <v>0</v>
      </c>
      <c r="N34">
        <f t="shared" si="0"/>
        <v>0</v>
      </c>
    </row>
    <row r="35" spans="2:14" x14ac:dyDescent="0.3">
      <c r="B35" t="s">
        <v>431</v>
      </c>
      <c r="C35">
        <v>105012</v>
      </c>
      <c r="D35" t="s">
        <v>458</v>
      </c>
      <c r="E35">
        <v>300000</v>
      </c>
      <c r="F35">
        <v>0</v>
      </c>
      <c r="G35">
        <v>0</v>
      </c>
      <c r="H35">
        <v>300000</v>
      </c>
      <c r="I35">
        <v>0</v>
      </c>
      <c r="J35">
        <v>0</v>
      </c>
      <c r="L35">
        <v>0</v>
      </c>
      <c r="N35">
        <f t="shared" si="0"/>
        <v>0</v>
      </c>
    </row>
    <row r="36" spans="2:14" x14ac:dyDescent="0.3">
      <c r="B36" t="s">
        <v>431</v>
      </c>
      <c r="C36">
        <v>105013</v>
      </c>
      <c r="D36" t="s">
        <v>459</v>
      </c>
      <c r="E36">
        <v>400000</v>
      </c>
      <c r="F36">
        <v>0</v>
      </c>
      <c r="G36">
        <v>0</v>
      </c>
      <c r="H36">
        <v>400000</v>
      </c>
      <c r="I36">
        <v>0</v>
      </c>
      <c r="J36">
        <v>0</v>
      </c>
      <c r="L36">
        <v>0</v>
      </c>
      <c r="N36">
        <f t="shared" si="0"/>
        <v>0</v>
      </c>
    </row>
    <row r="37" spans="2:14" x14ac:dyDescent="0.3">
      <c r="B37" t="s">
        <v>431</v>
      </c>
      <c r="C37">
        <v>105014</v>
      </c>
      <c r="D37" t="s">
        <v>460</v>
      </c>
      <c r="E37">
        <v>105903</v>
      </c>
      <c r="F37">
        <v>0</v>
      </c>
      <c r="G37">
        <v>0</v>
      </c>
      <c r="H37">
        <v>105903</v>
      </c>
      <c r="I37">
        <v>0</v>
      </c>
      <c r="J37">
        <v>0</v>
      </c>
      <c r="L37">
        <v>0</v>
      </c>
      <c r="N37">
        <f t="shared" si="0"/>
        <v>0</v>
      </c>
    </row>
    <row r="38" spans="2:14" x14ac:dyDescent="0.3">
      <c r="B38" t="s">
        <v>431</v>
      </c>
      <c r="C38">
        <v>105015</v>
      </c>
      <c r="D38" t="s">
        <v>461</v>
      </c>
      <c r="E38">
        <v>146973</v>
      </c>
      <c r="F38">
        <v>0</v>
      </c>
      <c r="G38">
        <v>0</v>
      </c>
      <c r="H38">
        <v>146973</v>
      </c>
      <c r="I38">
        <v>0</v>
      </c>
      <c r="J38">
        <v>0</v>
      </c>
      <c r="L38">
        <v>0</v>
      </c>
      <c r="N38">
        <f t="shared" si="0"/>
        <v>0</v>
      </c>
    </row>
    <row r="39" spans="2:14" x14ac:dyDescent="0.3">
      <c r="B39" t="s">
        <v>431</v>
      </c>
      <c r="C39">
        <v>105016</v>
      </c>
      <c r="D39" t="s">
        <v>462</v>
      </c>
      <c r="E39">
        <v>105903</v>
      </c>
      <c r="F39">
        <v>0</v>
      </c>
      <c r="G39">
        <v>0</v>
      </c>
      <c r="H39">
        <v>105903</v>
      </c>
      <c r="I39">
        <v>0</v>
      </c>
      <c r="J39">
        <v>0</v>
      </c>
      <c r="L39">
        <v>0</v>
      </c>
      <c r="N39">
        <f t="shared" si="0"/>
        <v>0</v>
      </c>
    </row>
    <row r="40" spans="2:14" x14ac:dyDescent="0.3">
      <c r="B40" t="s">
        <v>431</v>
      </c>
      <c r="C40">
        <v>105017</v>
      </c>
      <c r="D40" t="s">
        <v>463</v>
      </c>
      <c r="E40">
        <v>105903</v>
      </c>
      <c r="F40">
        <v>0</v>
      </c>
      <c r="G40">
        <v>0</v>
      </c>
      <c r="H40">
        <v>105903</v>
      </c>
      <c r="I40">
        <v>0</v>
      </c>
      <c r="J40">
        <v>0</v>
      </c>
      <c r="L40">
        <v>0</v>
      </c>
      <c r="N40">
        <f t="shared" si="0"/>
        <v>0</v>
      </c>
    </row>
    <row r="41" spans="2:14" x14ac:dyDescent="0.3">
      <c r="B41" t="s">
        <v>431</v>
      </c>
      <c r="C41">
        <v>105018</v>
      </c>
      <c r="D41" t="s">
        <v>464</v>
      </c>
      <c r="E41">
        <v>163609</v>
      </c>
      <c r="F41">
        <v>0</v>
      </c>
      <c r="G41">
        <v>0</v>
      </c>
      <c r="H41">
        <v>0</v>
      </c>
      <c r="I41">
        <v>163609</v>
      </c>
      <c r="J41">
        <v>0</v>
      </c>
      <c r="L41">
        <v>163609</v>
      </c>
      <c r="N41">
        <f t="shared" si="0"/>
        <v>0</v>
      </c>
    </row>
    <row r="42" spans="2:14" x14ac:dyDescent="0.3">
      <c r="B42" t="s">
        <v>431</v>
      </c>
      <c r="C42">
        <v>105019</v>
      </c>
      <c r="D42" t="s">
        <v>465</v>
      </c>
      <c r="E42">
        <v>0</v>
      </c>
      <c r="F42">
        <v>0</v>
      </c>
      <c r="G42">
        <v>447436</v>
      </c>
      <c r="H42">
        <v>0</v>
      </c>
      <c r="I42">
        <v>447436</v>
      </c>
      <c r="J42">
        <v>0</v>
      </c>
      <c r="L42">
        <v>447436</v>
      </c>
      <c r="N42">
        <f t="shared" si="0"/>
        <v>0</v>
      </c>
    </row>
    <row r="43" spans="2:14" x14ac:dyDescent="0.3">
      <c r="B43" t="s">
        <v>431</v>
      </c>
      <c r="C43">
        <v>105020</v>
      </c>
      <c r="D43" t="s">
        <v>466</v>
      </c>
      <c r="E43">
        <v>0</v>
      </c>
      <c r="F43">
        <v>0</v>
      </c>
      <c r="G43">
        <v>134826</v>
      </c>
      <c r="H43">
        <v>0</v>
      </c>
      <c r="I43">
        <v>134826</v>
      </c>
      <c r="J43">
        <v>0</v>
      </c>
      <c r="L43">
        <v>134826</v>
      </c>
      <c r="N43">
        <f t="shared" si="0"/>
        <v>0</v>
      </c>
    </row>
    <row r="44" spans="2:14" x14ac:dyDescent="0.3">
      <c r="B44" t="s">
        <v>431</v>
      </c>
      <c r="C44">
        <v>105021</v>
      </c>
      <c r="D44" t="s">
        <v>467</v>
      </c>
      <c r="E44">
        <v>0</v>
      </c>
      <c r="F44">
        <v>0</v>
      </c>
      <c r="G44">
        <v>134826</v>
      </c>
      <c r="H44">
        <v>0</v>
      </c>
      <c r="I44">
        <v>134826</v>
      </c>
      <c r="J44">
        <v>0</v>
      </c>
      <c r="L44">
        <v>134826</v>
      </c>
      <c r="N44">
        <f t="shared" si="0"/>
        <v>0</v>
      </c>
    </row>
    <row r="45" spans="2:14" x14ac:dyDescent="0.3">
      <c r="B45" t="s">
        <v>431</v>
      </c>
      <c r="C45">
        <v>105022</v>
      </c>
      <c r="D45" t="s">
        <v>468</v>
      </c>
      <c r="E45">
        <v>0</v>
      </c>
      <c r="F45">
        <v>0</v>
      </c>
      <c r="G45">
        <v>134826</v>
      </c>
      <c r="H45">
        <v>0</v>
      </c>
      <c r="I45">
        <v>134826</v>
      </c>
      <c r="J45">
        <v>0</v>
      </c>
      <c r="L45">
        <v>134826</v>
      </c>
      <c r="N45">
        <f t="shared" si="0"/>
        <v>0</v>
      </c>
    </row>
    <row r="46" spans="2:14" x14ac:dyDescent="0.3">
      <c r="B46" t="s">
        <v>431</v>
      </c>
      <c r="C46">
        <v>105023</v>
      </c>
      <c r="D46" t="s">
        <v>469</v>
      </c>
      <c r="E46">
        <v>0</v>
      </c>
      <c r="F46">
        <v>0</v>
      </c>
      <c r="G46">
        <v>134826</v>
      </c>
      <c r="H46">
        <v>0</v>
      </c>
      <c r="I46">
        <v>134826</v>
      </c>
      <c r="J46">
        <v>0</v>
      </c>
      <c r="L46">
        <v>134826</v>
      </c>
      <c r="N46">
        <f t="shared" si="0"/>
        <v>0</v>
      </c>
    </row>
    <row r="47" spans="2:14" x14ac:dyDescent="0.3">
      <c r="B47" t="s">
        <v>431</v>
      </c>
      <c r="C47">
        <v>105024</v>
      </c>
      <c r="D47" t="s">
        <v>470</v>
      </c>
      <c r="E47">
        <v>0</v>
      </c>
      <c r="F47">
        <v>0</v>
      </c>
      <c r="G47">
        <v>423514</v>
      </c>
      <c r="H47">
        <v>0</v>
      </c>
      <c r="I47">
        <v>423514</v>
      </c>
      <c r="J47">
        <v>0</v>
      </c>
      <c r="L47">
        <v>423514</v>
      </c>
      <c r="N47">
        <f t="shared" si="0"/>
        <v>0</v>
      </c>
    </row>
    <row r="48" spans="2:14" x14ac:dyDescent="0.3">
      <c r="B48" t="s">
        <v>431</v>
      </c>
      <c r="C48">
        <v>105025</v>
      </c>
      <c r="D48" t="s">
        <v>471</v>
      </c>
      <c r="E48">
        <v>0</v>
      </c>
      <c r="F48">
        <v>0</v>
      </c>
      <c r="G48">
        <v>112125</v>
      </c>
      <c r="H48">
        <v>0</v>
      </c>
      <c r="I48">
        <v>112125</v>
      </c>
      <c r="J48">
        <v>0</v>
      </c>
      <c r="L48">
        <v>112125</v>
      </c>
      <c r="N48">
        <f t="shared" si="0"/>
        <v>0</v>
      </c>
    </row>
    <row r="49" spans="2:14" x14ac:dyDescent="0.3">
      <c r="B49" t="s">
        <v>431</v>
      </c>
      <c r="C49">
        <v>105026</v>
      </c>
      <c r="D49" t="s">
        <v>472</v>
      </c>
      <c r="E49">
        <v>0</v>
      </c>
      <c r="F49">
        <v>0</v>
      </c>
      <c r="G49">
        <v>112125</v>
      </c>
      <c r="H49">
        <v>0</v>
      </c>
      <c r="I49">
        <v>112125</v>
      </c>
      <c r="J49">
        <v>0</v>
      </c>
      <c r="L49">
        <v>112125</v>
      </c>
      <c r="N49">
        <f t="shared" si="0"/>
        <v>0</v>
      </c>
    </row>
    <row r="50" spans="2:14" x14ac:dyDescent="0.3">
      <c r="B50" t="s">
        <v>431</v>
      </c>
      <c r="C50">
        <v>105027</v>
      </c>
      <c r="D50" t="s">
        <v>473</v>
      </c>
      <c r="E50">
        <v>0</v>
      </c>
      <c r="F50">
        <v>0</v>
      </c>
      <c r="G50">
        <v>112125</v>
      </c>
      <c r="H50">
        <v>0</v>
      </c>
      <c r="I50">
        <v>112125</v>
      </c>
      <c r="J50">
        <v>0</v>
      </c>
      <c r="L50">
        <v>112125</v>
      </c>
      <c r="N50">
        <f t="shared" si="0"/>
        <v>0</v>
      </c>
    </row>
    <row r="51" spans="2:14" x14ac:dyDescent="0.3">
      <c r="B51" t="s">
        <v>431</v>
      </c>
      <c r="C51">
        <v>105028</v>
      </c>
      <c r="D51" t="s">
        <v>474</v>
      </c>
      <c r="E51">
        <v>0</v>
      </c>
      <c r="F51">
        <v>0</v>
      </c>
      <c r="G51">
        <v>112125</v>
      </c>
      <c r="H51">
        <v>0</v>
      </c>
      <c r="I51">
        <v>112125</v>
      </c>
      <c r="J51">
        <v>0</v>
      </c>
      <c r="L51">
        <v>112125</v>
      </c>
      <c r="N51">
        <f t="shared" si="0"/>
        <v>0</v>
      </c>
    </row>
    <row r="52" spans="2:14" x14ac:dyDescent="0.3">
      <c r="B52" t="s">
        <v>431</v>
      </c>
      <c r="C52">
        <v>105029</v>
      </c>
      <c r="D52" t="s">
        <v>475</v>
      </c>
      <c r="E52">
        <v>0</v>
      </c>
      <c r="F52">
        <v>0</v>
      </c>
      <c r="G52">
        <v>112125</v>
      </c>
      <c r="H52">
        <v>0</v>
      </c>
      <c r="I52">
        <v>112125</v>
      </c>
      <c r="J52">
        <v>0</v>
      </c>
      <c r="L52">
        <v>112125</v>
      </c>
      <c r="N52">
        <f t="shared" si="0"/>
        <v>0</v>
      </c>
    </row>
    <row r="53" spans="2:14" x14ac:dyDescent="0.3">
      <c r="B53" t="s">
        <v>431</v>
      </c>
      <c r="C53">
        <v>106002</v>
      </c>
      <c r="D53" t="s">
        <v>23</v>
      </c>
      <c r="E53">
        <v>10258.4</v>
      </c>
      <c r="F53">
        <v>0</v>
      </c>
      <c r="G53">
        <v>0</v>
      </c>
      <c r="H53">
        <v>0</v>
      </c>
      <c r="I53">
        <v>10258.4</v>
      </c>
      <c r="J53">
        <v>0</v>
      </c>
      <c r="L53">
        <v>10258.4</v>
      </c>
      <c r="N53">
        <f t="shared" si="0"/>
        <v>0</v>
      </c>
    </row>
    <row r="54" spans="2:14" x14ac:dyDescent="0.3">
      <c r="B54" t="s">
        <v>431</v>
      </c>
      <c r="C54">
        <v>106003</v>
      </c>
      <c r="D54" t="s">
        <v>24</v>
      </c>
      <c r="E54">
        <v>15000</v>
      </c>
      <c r="F54">
        <v>0</v>
      </c>
      <c r="G54">
        <v>0</v>
      </c>
      <c r="H54">
        <v>0</v>
      </c>
      <c r="I54">
        <v>15000</v>
      </c>
      <c r="J54">
        <v>0</v>
      </c>
      <c r="L54">
        <v>15000</v>
      </c>
      <c r="N54">
        <f t="shared" si="0"/>
        <v>0</v>
      </c>
    </row>
    <row r="55" spans="2:14" x14ac:dyDescent="0.3">
      <c r="B55" t="s">
        <v>431</v>
      </c>
      <c r="C55">
        <v>106004</v>
      </c>
      <c r="D55" t="s">
        <v>25</v>
      </c>
      <c r="E55">
        <v>62000</v>
      </c>
      <c r="F55">
        <v>0</v>
      </c>
      <c r="G55">
        <v>133000</v>
      </c>
      <c r="H55">
        <v>62000</v>
      </c>
      <c r="I55">
        <f>E55+G55-H55</f>
        <v>133000</v>
      </c>
      <c r="J55">
        <v>0</v>
      </c>
      <c r="L55">
        <v>133000</v>
      </c>
      <c r="N55">
        <f t="shared" si="0"/>
        <v>0</v>
      </c>
    </row>
    <row r="56" spans="2:14" x14ac:dyDescent="0.3">
      <c r="B56" t="s">
        <v>431</v>
      </c>
      <c r="C56">
        <v>106007</v>
      </c>
      <c r="D56" t="s">
        <v>28</v>
      </c>
      <c r="E56">
        <v>75000</v>
      </c>
      <c r="F56">
        <v>0</v>
      </c>
      <c r="G56">
        <v>0</v>
      </c>
      <c r="H56">
        <v>0</v>
      </c>
      <c r="I56">
        <v>75000</v>
      </c>
      <c r="J56">
        <v>0</v>
      </c>
      <c r="L56">
        <v>75000</v>
      </c>
      <c r="N56">
        <f t="shared" si="0"/>
        <v>0</v>
      </c>
    </row>
    <row r="57" spans="2:14" x14ac:dyDescent="0.3">
      <c r="B57" t="s">
        <v>431</v>
      </c>
      <c r="C57">
        <v>107001</v>
      </c>
      <c r="D57" t="s">
        <v>476</v>
      </c>
      <c r="E57">
        <v>1579</v>
      </c>
      <c r="F57">
        <v>0</v>
      </c>
      <c r="G57">
        <v>1248</v>
      </c>
      <c r="H57">
        <v>1579</v>
      </c>
      <c r="I57">
        <v>1248</v>
      </c>
      <c r="J57">
        <v>0</v>
      </c>
      <c r="L57">
        <v>1248</v>
      </c>
      <c r="N57">
        <f t="shared" si="0"/>
        <v>0</v>
      </c>
    </row>
    <row r="58" spans="2:14" x14ac:dyDescent="0.3">
      <c r="B58" t="s">
        <v>431</v>
      </c>
      <c r="C58">
        <v>108002</v>
      </c>
      <c r="D58" t="s">
        <v>29</v>
      </c>
      <c r="E58">
        <v>10419</v>
      </c>
      <c r="F58">
        <v>0</v>
      </c>
      <c r="G58">
        <v>0</v>
      </c>
      <c r="H58">
        <v>1042</v>
      </c>
      <c r="I58">
        <v>9377</v>
      </c>
      <c r="J58">
        <v>0</v>
      </c>
      <c r="L58">
        <v>9377</v>
      </c>
      <c r="N58">
        <f t="shared" si="0"/>
        <v>0</v>
      </c>
    </row>
    <row r="59" spans="2:14" x14ac:dyDescent="0.3">
      <c r="B59" t="s">
        <v>431</v>
      </c>
      <c r="C59">
        <v>108003</v>
      </c>
      <c r="D59" t="s">
        <v>104</v>
      </c>
      <c r="E59">
        <v>5179</v>
      </c>
      <c r="F59">
        <v>0</v>
      </c>
      <c r="G59">
        <v>0</v>
      </c>
      <c r="H59">
        <v>2072</v>
      </c>
      <c r="I59">
        <v>3107</v>
      </c>
      <c r="J59">
        <v>0</v>
      </c>
      <c r="L59">
        <v>3107</v>
      </c>
      <c r="N59">
        <f t="shared" si="0"/>
        <v>0</v>
      </c>
    </row>
    <row r="60" spans="2:14" x14ac:dyDescent="0.3">
      <c r="B60" t="s">
        <v>431</v>
      </c>
      <c r="C60">
        <v>108004</v>
      </c>
      <c r="D60" t="s">
        <v>30</v>
      </c>
      <c r="E60">
        <v>6820</v>
      </c>
      <c r="F60">
        <v>0</v>
      </c>
      <c r="G60">
        <v>0</v>
      </c>
      <c r="H60">
        <v>682</v>
      </c>
      <c r="I60">
        <v>6138</v>
      </c>
      <c r="J60">
        <v>0</v>
      </c>
      <c r="L60">
        <v>6138</v>
      </c>
      <c r="N60">
        <f t="shared" si="0"/>
        <v>0</v>
      </c>
    </row>
    <row r="61" spans="2:14" x14ac:dyDescent="0.3">
      <c r="B61" t="s">
        <v>431</v>
      </c>
      <c r="C61">
        <v>108005</v>
      </c>
      <c r="D61" t="s">
        <v>477</v>
      </c>
      <c r="E61">
        <v>181111</v>
      </c>
      <c r="F61">
        <v>0</v>
      </c>
      <c r="G61">
        <v>0</v>
      </c>
      <c r="H61">
        <v>18111</v>
      </c>
      <c r="I61">
        <v>163000</v>
      </c>
      <c r="J61">
        <v>0</v>
      </c>
      <c r="L61">
        <v>163000</v>
      </c>
      <c r="N61">
        <f t="shared" si="0"/>
        <v>0</v>
      </c>
    </row>
    <row r="62" spans="2:14" x14ac:dyDescent="0.3">
      <c r="B62" t="s">
        <v>431</v>
      </c>
      <c r="C62">
        <v>108006</v>
      </c>
      <c r="D62" t="s">
        <v>478</v>
      </c>
      <c r="E62">
        <v>20322</v>
      </c>
      <c r="F62">
        <v>0</v>
      </c>
      <c r="G62">
        <v>0</v>
      </c>
      <c r="H62">
        <v>2032</v>
      </c>
      <c r="I62">
        <v>18290</v>
      </c>
      <c r="J62">
        <v>0</v>
      </c>
      <c r="L62">
        <v>18290</v>
      </c>
      <c r="N62">
        <f t="shared" si="0"/>
        <v>0</v>
      </c>
    </row>
    <row r="63" spans="2:14" x14ac:dyDescent="0.3">
      <c r="B63" t="s">
        <v>431</v>
      </c>
      <c r="C63">
        <v>108007</v>
      </c>
      <c r="D63" t="s">
        <v>479</v>
      </c>
      <c r="E63">
        <v>168550</v>
      </c>
      <c r="F63">
        <v>0</v>
      </c>
      <c r="G63">
        <v>0</v>
      </c>
      <c r="H63">
        <v>16855</v>
      </c>
      <c r="I63">
        <v>151695</v>
      </c>
      <c r="J63">
        <v>0</v>
      </c>
      <c r="L63">
        <v>151695</v>
      </c>
      <c r="N63">
        <f t="shared" si="0"/>
        <v>0</v>
      </c>
    </row>
    <row r="64" spans="2:14" x14ac:dyDescent="0.3">
      <c r="B64" t="s">
        <v>431</v>
      </c>
      <c r="C64">
        <v>108008</v>
      </c>
      <c r="D64" t="s">
        <v>480</v>
      </c>
      <c r="E64">
        <v>8805</v>
      </c>
      <c r="F64">
        <v>0</v>
      </c>
      <c r="G64">
        <v>0</v>
      </c>
      <c r="H64">
        <v>881</v>
      </c>
      <c r="I64">
        <v>7924</v>
      </c>
      <c r="J64">
        <v>0</v>
      </c>
      <c r="L64">
        <v>7924</v>
      </c>
      <c r="N64">
        <f t="shared" si="0"/>
        <v>0</v>
      </c>
    </row>
    <row r="65" spans="2:14" x14ac:dyDescent="0.3">
      <c r="B65" t="s">
        <v>431</v>
      </c>
      <c r="C65">
        <v>108009</v>
      </c>
      <c r="D65" t="s">
        <v>109</v>
      </c>
      <c r="E65">
        <v>21218</v>
      </c>
      <c r="F65">
        <v>0</v>
      </c>
      <c r="G65">
        <v>0</v>
      </c>
      <c r="H65">
        <v>2489</v>
      </c>
      <c r="I65">
        <v>18729</v>
      </c>
      <c r="J65">
        <v>0</v>
      </c>
      <c r="L65">
        <v>18729</v>
      </c>
      <c r="N65">
        <f t="shared" si="0"/>
        <v>0</v>
      </c>
    </row>
    <row r="66" spans="2:14" x14ac:dyDescent="0.3">
      <c r="B66" t="s">
        <v>431</v>
      </c>
      <c r="C66">
        <v>108010</v>
      </c>
      <c r="D66" t="s">
        <v>31</v>
      </c>
      <c r="E66">
        <v>36730</v>
      </c>
      <c r="F66">
        <v>0</v>
      </c>
      <c r="G66">
        <v>0</v>
      </c>
      <c r="H66">
        <v>3306</v>
      </c>
      <c r="I66">
        <v>33424</v>
      </c>
      <c r="J66">
        <v>0</v>
      </c>
      <c r="L66">
        <v>33424</v>
      </c>
      <c r="N66">
        <f t="shared" si="0"/>
        <v>0</v>
      </c>
    </row>
    <row r="67" spans="2:14" x14ac:dyDescent="0.3">
      <c r="B67" t="s">
        <v>431</v>
      </c>
      <c r="C67">
        <v>108011</v>
      </c>
      <c r="D67" t="s">
        <v>481</v>
      </c>
      <c r="E67">
        <v>31917</v>
      </c>
      <c r="F67">
        <v>0</v>
      </c>
      <c r="G67">
        <v>0</v>
      </c>
      <c r="H67">
        <v>3192</v>
      </c>
      <c r="I67">
        <v>28725</v>
      </c>
      <c r="J67">
        <v>0</v>
      </c>
      <c r="L67">
        <v>28725</v>
      </c>
      <c r="N67">
        <f t="shared" si="0"/>
        <v>0</v>
      </c>
    </row>
    <row r="68" spans="2:14" x14ac:dyDescent="0.3">
      <c r="B68" t="s">
        <v>431</v>
      </c>
      <c r="C68">
        <v>108012</v>
      </c>
      <c r="D68" t="s">
        <v>482</v>
      </c>
      <c r="E68">
        <v>11582</v>
      </c>
      <c r="F68">
        <v>0</v>
      </c>
      <c r="G68">
        <v>0</v>
      </c>
      <c r="H68">
        <v>1158</v>
      </c>
      <c r="I68">
        <v>10424</v>
      </c>
      <c r="J68">
        <v>0</v>
      </c>
      <c r="L68">
        <v>10424</v>
      </c>
      <c r="N68">
        <f t="shared" si="0"/>
        <v>0</v>
      </c>
    </row>
    <row r="69" spans="2:14" x14ac:dyDescent="0.3">
      <c r="B69" t="s">
        <v>431</v>
      </c>
      <c r="C69">
        <v>108014</v>
      </c>
      <c r="D69" t="s">
        <v>32</v>
      </c>
      <c r="E69">
        <v>9452</v>
      </c>
      <c r="F69">
        <v>0</v>
      </c>
      <c r="G69">
        <v>0</v>
      </c>
      <c r="H69">
        <v>945</v>
      </c>
      <c r="I69">
        <v>8507</v>
      </c>
      <c r="J69">
        <v>0</v>
      </c>
      <c r="L69">
        <v>8507</v>
      </c>
      <c r="N69">
        <f t="shared" si="0"/>
        <v>0</v>
      </c>
    </row>
    <row r="70" spans="2:14" x14ac:dyDescent="0.3">
      <c r="B70" t="s">
        <v>431</v>
      </c>
      <c r="C70">
        <v>108016</v>
      </c>
      <c r="D70" t="s">
        <v>33</v>
      </c>
      <c r="E70">
        <v>2989</v>
      </c>
      <c r="F70">
        <v>0</v>
      </c>
      <c r="G70">
        <v>0</v>
      </c>
      <c r="H70">
        <v>1196</v>
      </c>
      <c r="I70">
        <v>1793</v>
      </c>
      <c r="J70">
        <v>0</v>
      </c>
      <c r="L70">
        <v>1793</v>
      </c>
      <c r="N70">
        <f t="shared" ref="N70:N135" si="1">I70-L70</f>
        <v>0</v>
      </c>
    </row>
    <row r="71" spans="2:14" x14ac:dyDescent="0.3">
      <c r="B71" t="s">
        <v>431</v>
      </c>
      <c r="C71">
        <v>108017</v>
      </c>
      <c r="D71" t="s">
        <v>34</v>
      </c>
      <c r="E71">
        <v>17814</v>
      </c>
      <c r="F71">
        <v>0</v>
      </c>
      <c r="G71">
        <v>0</v>
      </c>
      <c r="H71">
        <v>2672</v>
      </c>
      <c r="I71">
        <v>15142</v>
      </c>
      <c r="J71">
        <v>0</v>
      </c>
      <c r="L71">
        <v>15142</v>
      </c>
      <c r="N71">
        <f t="shared" si="1"/>
        <v>0</v>
      </c>
    </row>
    <row r="72" spans="2:14" x14ac:dyDescent="0.3">
      <c r="B72" t="s">
        <v>431</v>
      </c>
      <c r="C72">
        <v>108019</v>
      </c>
      <c r="D72" t="s">
        <v>315</v>
      </c>
      <c r="E72">
        <v>0</v>
      </c>
      <c r="F72">
        <v>0</v>
      </c>
      <c r="G72">
        <v>54430</v>
      </c>
      <c r="H72">
        <v>8165</v>
      </c>
      <c r="I72">
        <v>46265</v>
      </c>
      <c r="J72">
        <v>0</v>
      </c>
      <c r="L72">
        <v>46265</v>
      </c>
      <c r="N72">
        <f t="shared" si="1"/>
        <v>0</v>
      </c>
    </row>
    <row r="73" spans="2:14" x14ac:dyDescent="0.3">
      <c r="B73" t="s">
        <v>431</v>
      </c>
      <c r="C73">
        <v>108020</v>
      </c>
      <c r="D73" t="s">
        <v>35</v>
      </c>
      <c r="E73">
        <v>77794</v>
      </c>
      <c r="F73">
        <v>0</v>
      </c>
      <c r="G73">
        <v>0</v>
      </c>
      <c r="H73">
        <v>11669</v>
      </c>
      <c r="I73">
        <v>66125</v>
      </c>
      <c r="J73">
        <v>0</v>
      </c>
      <c r="L73">
        <v>66125</v>
      </c>
      <c r="N73">
        <f t="shared" si="1"/>
        <v>0</v>
      </c>
    </row>
    <row r="74" spans="2:14" x14ac:dyDescent="0.3">
      <c r="B74" t="s">
        <v>431</v>
      </c>
      <c r="C74">
        <v>109002</v>
      </c>
      <c r="D74" t="s">
        <v>483</v>
      </c>
      <c r="E74">
        <v>87688</v>
      </c>
      <c r="F74">
        <v>0</v>
      </c>
      <c r="G74">
        <v>1290931</v>
      </c>
      <c r="H74">
        <v>1311287.7</v>
      </c>
      <c r="I74">
        <v>67331.3</v>
      </c>
      <c r="J74">
        <v>0</v>
      </c>
      <c r="L74">
        <v>67331.3</v>
      </c>
      <c r="N74">
        <f t="shared" si="1"/>
        <v>0</v>
      </c>
    </row>
    <row r="75" spans="2:14" x14ac:dyDescent="0.3">
      <c r="B75" t="s">
        <v>431</v>
      </c>
      <c r="C75">
        <v>109003</v>
      </c>
      <c r="D75" t="s">
        <v>484</v>
      </c>
      <c r="E75">
        <v>0</v>
      </c>
      <c r="F75">
        <v>0</v>
      </c>
      <c r="G75">
        <v>1347150</v>
      </c>
      <c r="H75">
        <v>1347150</v>
      </c>
      <c r="I75">
        <v>0</v>
      </c>
      <c r="J75">
        <v>0</v>
      </c>
      <c r="L75">
        <v>0</v>
      </c>
      <c r="N75">
        <f t="shared" si="1"/>
        <v>0</v>
      </c>
    </row>
    <row r="76" spans="2:14" x14ac:dyDescent="0.3">
      <c r="B76" t="s">
        <v>431</v>
      </c>
      <c r="C76">
        <v>109004</v>
      </c>
      <c r="D76" t="s">
        <v>485</v>
      </c>
      <c r="E76">
        <v>37949</v>
      </c>
      <c r="F76">
        <v>0</v>
      </c>
      <c r="G76">
        <v>152882</v>
      </c>
      <c r="H76">
        <v>39346</v>
      </c>
      <c r="I76">
        <v>151485</v>
      </c>
      <c r="J76">
        <v>0</v>
      </c>
      <c r="L76">
        <v>151485</v>
      </c>
      <c r="N76">
        <f t="shared" si="1"/>
        <v>0</v>
      </c>
    </row>
    <row r="77" spans="2:14" x14ac:dyDescent="0.3">
      <c r="B77" t="s">
        <v>431</v>
      </c>
      <c r="C77">
        <v>109001</v>
      </c>
      <c r="D77" t="s">
        <v>486</v>
      </c>
      <c r="E77">
        <v>0</v>
      </c>
      <c r="F77">
        <v>0</v>
      </c>
      <c r="G77">
        <v>1261371</v>
      </c>
      <c r="H77">
        <v>333830</v>
      </c>
      <c r="I77">
        <v>927541</v>
      </c>
      <c r="J77">
        <v>0</v>
      </c>
      <c r="L77">
        <v>927541</v>
      </c>
      <c r="N77">
        <f t="shared" si="1"/>
        <v>0</v>
      </c>
    </row>
    <row r="78" spans="2:14" x14ac:dyDescent="0.3">
      <c r="B78" t="s">
        <v>431</v>
      </c>
      <c r="C78">
        <v>109006</v>
      </c>
      <c r="D78" t="s">
        <v>487</v>
      </c>
      <c r="E78">
        <v>3835</v>
      </c>
      <c r="F78">
        <v>0</v>
      </c>
      <c r="G78">
        <v>45875</v>
      </c>
      <c r="H78">
        <v>3835</v>
      </c>
      <c r="I78">
        <v>42040</v>
      </c>
      <c r="J78">
        <v>0</v>
      </c>
      <c r="L78">
        <v>42040</v>
      </c>
      <c r="N78">
        <f t="shared" si="1"/>
        <v>0</v>
      </c>
    </row>
    <row r="79" spans="2:14" x14ac:dyDescent="0.3">
      <c r="B79" t="s">
        <v>431</v>
      </c>
      <c r="C79">
        <v>109007</v>
      </c>
      <c r="D79" t="s">
        <v>37</v>
      </c>
      <c r="E79">
        <v>11106.4</v>
      </c>
      <c r="F79">
        <v>0</v>
      </c>
      <c r="G79">
        <v>0</v>
      </c>
      <c r="H79">
        <v>0</v>
      </c>
      <c r="I79">
        <v>11106.4</v>
      </c>
      <c r="J79">
        <v>0</v>
      </c>
      <c r="L79">
        <v>11106.4</v>
      </c>
      <c r="N79">
        <f t="shared" si="1"/>
        <v>0</v>
      </c>
    </row>
    <row r="80" spans="2:14" x14ac:dyDescent="0.3">
      <c r="B80" t="s">
        <v>204</v>
      </c>
      <c r="N80">
        <f t="shared" si="1"/>
        <v>0</v>
      </c>
    </row>
    <row r="81" spans="2:14" x14ac:dyDescent="0.3">
      <c r="B81" t="s">
        <v>488</v>
      </c>
      <c r="E81">
        <v>5545561.1200000001</v>
      </c>
      <c r="F81">
        <v>0</v>
      </c>
      <c r="G81">
        <v>11763080</v>
      </c>
      <c r="H81">
        <v>11513848.4</v>
      </c>
      <c r="I81">
        <v>5794792.7199999997</v>
      </c>
      <c r="J81">
        <v>0</v>
      </c>
      <c r="L81">
        <v>5794792.7199999997</v>
      </c>
      <c r="N81">
        <f t="shared" si="1"/>
        <v>0</v>
      </c>
    </row>
    <row r="82" spans="2:14" x14ac:dyDescent="0.3">
      <c r="B82" t="s">
        <v>204</v>
      </c>
      <c r="N82">
        <f t="shared" si="1"/>
        <v>0</v>
      </c>
    </row>
    <row r="83" spans="2:14" x14ac:dyDescent="0.3">
      <c r="B83" t="s">
        <v>489</v>
      </c>
      <c r="C83">
        <v>201001</v>
      </c>
      <c r="D83" t="s">
        <v>220</v>
      </c>
      <c r="E83">
        <v>0</v>
      </c>
      <c r="F83">
        <v>14000</v>
      </c>
      <c r="G83">
        <v>0</v>
      </c>
      <c r="H83">
        <v>0</v>
      </c>
      <c r="I83">
        <v>0</v>
      </c>
      <c r="J83">
        <v>14000</v>
      </c>
      <c r="L83">
        <v>14000</v>
      </c>
      <c r="N83">
        <f>L83-J83</f>
        <v>0</v>
      </c>
    </row>
    <row r="84" spans="2:14" x14ac:dyDescent="0.3">
      <c r="B84" t="s">
        <v>489</v>
      </c>
      <c r="C84">
        <v>202001</v>
      </c>
      <c r="D84" t="s">
        <v>2</v>
      </c>
      <c r="E84">
        <v>0</v>
      </c>
      <c r="F84">
        <v>35800</v>
      </c>
      <c r="G84">
        <v>0</v>
      </c>
      <c r="H84">
        <v>1450</v>
      </c>
      <c r="I84">
        <v>0</v>
      </c>
      <c r="J84">
        <f>F84+H84</f>
        <v>37250</v>
      </c>
      <c r="L84">
        <v>37250</v>
      </c>
      <c r="N84">
        <f t="shared" ref="N84:N104" si="2">L84-J84</f>
        <v>0</v>
      </c>
    </row>
    <row r="85" spans="2:14" x14ac:dyDescent="0.3">
      <c r="B85" t="s">
        <v>489</v>
      </c>
      <c r="C85">
        <v>202002</v>
      </c>
      <c r="D85" t="s">
        <v>3</v>
      </c>
      <c r="E85">
        <v>0</v>
      </c>
      <c r="F85">
        <v>669707</v>
      </c>
      <c r="G85">
        <v>0</v>
      </c>
      <c r="H85">
        <v>60459</v>
      </c>
      <c r="I85">
        <v>0</v>
      </c>
      <c r="J85">
        <v>730166</v>
      </c>
      <c r="L85">
        <v>730166</v>
      </c>
      <c r="N85">
        <f t="shared" si="2"/>
        <v>0</v>
      </c>
    </row>
    <row r="86" spans="2:14" x14ac:dyDescent="0.3">
      <c r="B86" t="s">
        <v>489</v>
      </c>
      <c r="C86">
        <v>202003</v>
      </c>
      <c r="D86" t="s">
        <v>4</v>
      </c>
      <c r="E86">
        <v>0</v>
      </c>
      <c r="F86">
        <v>975302.92</v>
      </c>
      <c r="G86">
        <v>0</v>
      </c>
      <c r="H86">
        <v>265004</v>
      </c>
      <c r="I86">
        <v>0</v>
      </c>
      <c r="J86">
        <v>1240306.92</v>
      </c>
      <c r="L86">
        <v>1240306.92</v>
      </c>
      <c r="N86">
        <f t="shared" si="2"/>
        <v>0</v>
      </c>
    </row>
    <row r="87" spans="2:14" x14ac:dyDescent="0.3">
      <c r="B87" t="s">
        <v>489</v>
      </c>
      <c r="C87">
        <v>202005</v>
      </c>
      <c r="D87" t="s">
        <v>5</v>
      </c>
      <c r="E87">
        <v>0</v>
      </c>
      <c r="F87">
        <v>4243117.9800000004</v>
      </c>
      <c r="G87">
        <v>0</v>
      </c>
      <c r="H87">
        <v>0</v>
      </c>
      <c r="I87">
        <v>0</v>
      </c>
      <c r="J87">
        <v>4243117.9800000004</v>
      </c>
      <c r="L87">
        <v>4243117.9800000004</v>
      </c>
      <c r="N87">
        <f t="shared" si="2"/>
        <v>0</v>
      </c>
    </row>
    <row r="88" spans="2:14" x14ac:dyDescent="0.3">
      <c r="B88" t="s">
        <v>489</v>
      </c>
      <c r="C88">
        <v>203005</v>
      </c>
      <c r="D88" t="s">
        <v>490</v>
      </c>
      <c r="E88">
        <v>0</v>
      </c>
      <c r="F88">
        <v>0</v>
      </c>
      <c r="G88">
        <v>0</v>
      </c>
      <c r="H88">
        <v>13049</v>
      </c>
      <c r="I88">
        <v>0</v>
      </c>
      <c r="J88">
        <v>13049</v>
      </c>
      <c r="L88">
        <v>13049</v>
      </c>
      <c r="N88">
        <f t="shared" si="2"/>
        <v>0</v>
      </c>
    </row>
    <row r="89" spans="2:14" x14ac:dyDescent="0.3">
      <c r="B89" t="s">
        <v>489</v>
      </c>
      <c r="C89">
        <v>203004</v>
      </c>
      <c r="D89" t="s">
        <v>491</v>
      </c>
      <c r="E89">
        <v>0</v>
      </c>
      <c r="F89">
        <v>28742</v>
      </c>
      <c r="G89">
        <v>2589156.7000000002</v>
      </c>
      <c r="H89">
        <v>2606914.7000000002</v>
      </c>
      <c r="I89">
        <v>0</v>
      </c>
      <c r="J89">
        <v>46500</v>
      </c>
      <c r="L89">
        <v>46500</v>
      </c>
      <c r="N89">
        <f t="shared" si="2"/>
        <v>0</v>
      </c>
    </row>
    <row r="90" spans="2:14" x14ac:dyDescent="0.3">
      <c r="B90" t="s">
        <v>489</v>
      </c>
      <c r="C90">
        <v>203003</v>
      </c>
      <c r="D90" t="s">
        <v>492</v>
      </c>
      <c r="E90">
        <v>0</v>
      </c>
      <c r="F90">
        <v>18448</v>
      </c>
      <c r="G90">
        <v>0</v>
      </c>
      <c r="H90">
        <v>3360</v>
      </c>
      <c r="I90">
        <v>0</v>
      </c>
      <c r="J90">
        <v>21808</v>
      </c>
      <c r="L90">
        <v>21808</v>
      </c>
      <c r="N90">
        <f t="shared" si="2"/>
        <v>0</v>
      </c>
    </row>
    <row r="91" spans="2:14" x14ac:dyDescent="0.3">
      <c r="B91" t="s">
        <v>489</v>
      </c>
      <c r="C91">
        <v>203007</v>
      </c>
      <c r="D91" t="s">
        <v>493</v>
      </c>
      <c r="E91">
        <v>0</v>
      </c>
      <c r="F91">
        <v>727681</v>
      </c>
      <c r="G91">
        <v>0</v>
      </c>
      <c r="H91">
        <v>0</v>
      </c>
      <c r="I91">
        <v>0</v>
      </c>
      <c r="J91">
        <v>727681</v>
      </c>
      <c r="L91">
        <v>727681</v>
      </c>
      <c r="N91">
        <f t="shared" si="2"/>
        <v>0</v>
      </c>
    </row>
    <row r="92" spans="2:14" x14ac:dyDescent="0.3">
      <c r="B92" t="s">
        <v>489</v>
      </c>
      <c r="D92" t="s">
        <v>531</v>
      </c>
      <c r="E92">
        <v>0</v>
      </c>
      <c r="F92">
        <v>0</v>
      </c>
      <c r="G92">
        <v>0</v>
      </c>
      <c r="H92">
        <v>49997</v>
      </c>
      <c r="I92">
        <v>0</v>
      </c>
      <c r="J92">
        <v>49997</v>
      </c>
      <c r="L92">
        <v>49997</v>
      </c>
      <c r="N92">
        <f t="shared" si="2"/>
        <v>0</v>
      </c>
    </row>
    <row r="93" spans="2:14" x14ac:dyDescent="0.3">
      <c r="B93" t="s">
        <v>489</v>
      </c>
      <c r="C93">
        <v>204001</v>
      </c>
      <c r="D93" t="s">
        <v>494</v>
      </c>
      <c r="E93">
        <v>0</v>
      </c>
      <c r="F93">
        <v>41544</v>
      </c>
      <c r="G93">
        <v>41544</v>
      </c>
      <c r="H93">
        <v>167596</v>
      </c>
      <c r="I93">
        <v>0</v>
      </c>
      <c r="J93">
        <v>167596</v>
      </c>
      <c r="L93">
        <v>167596</v>
      </c>
      <c r="N93">
        <f t="shared" si="2"/>
        <v>0</v>
      </c>
    </row>
    <row r="94" spans="2:14" x14ac:dyDescent="0.3">
      <c r="B94" t="s">
        <v>489</v>
      </c>
      <c r="C94">
        <v>205004</v>
      </c>
      <c r="D94" t="s">
        <v>8</v>
      </c>
      <c r="E94">
        <v>0</v>
      </c>
      <c r="F94">
        <v>3000</v>
      </c>
      <c r="G94">
        <v>3000</v>
      </c>
      <c r="H94">
        <v>3000</v>
      </c>
      <c r="I94">
        <v>0</v>
      </c>
      <c r="J94">
        <v>3000</v>
      </c>
      <c r="L94">
        <v>3000</v>
      </c>
      <c r="N94">
        <f t="shared" si="2"/>
        <v>0</v>
      </c>
    </row>
    <row r="95" spans="2:14" x14ac:dyDescent="0.3">
      <c r="B95" t="s">
        <v>489</v>
      </c>
      <c r="C95">
        <v>205005</v>
      </c>
      <c r="D95" t="s">
        <v>9</v>
      </c>
      <c r="E95">
        <v>0</v>
      </c>
      <c r="F95">
        <v>17942</v>
      </c>
      <c r="G95">
        <v>0</v>
      </c>
      <c r="H95">
        <v>58261</v>
      </c>
      <c r="I95">
        <v>0</v>
      </c>
      <c r="J95">
        <v>76203</v>
      </c>
      <c r="L95">
        <v>76203</v>
      </c>
      <c r="N95">
        <f t="shared" si="2"/>
        <v>0</v>
      </c>
    </row>
    <row r="96" spans="2:14" x14ac:dyDescent="0.3">
      <c r="B96" t="s">
        <v>489</v>
      </c>
      <c r="C96">
        <v>205009</v>
      </c>
      <c r="D96" t="s">
        <v>10</v>
      </c>
      <c r="E96">
        <v>0</v>
      </c>
      <c r="F96">
        <v>4246</v>
      </c>
      <c r="G96">
        <v>0</v>
      </c>
      <c r="H96">
        <v>0</v>
      </c>
      <c r="I96">
        <v>0</v>
      </c>
      <c r="J96">
        <v>4246</v>
      </c>
      <c r="L96">
        <v>4246</v>
      </c>
      <c r="N96">
        <f t="shared" si="2"/>
        <v>0</v>
      </c>
    </row>
    <row r="97" spans="1:14" x14ac:dyDescent="0.3">
      <c r="B97" t="s">
        <v>489</v>
      </c>
      <c r="C97">
        <v>205012</v>
      </c>
      <c r="D97" t="s">
        <v>495</v>
      </c>
      <c r="E97">
        <v>0</v>
      </c>
      <c r="F97">
        <v>0</v>
      </c>
      <c r="G97">
        <v>0</v>
      </c>
      <c r="H97">
        <v>577350</v>
      </c>
      <c r="I97">
        <v>0</v>
      </c>
      <c r="J97">
        <v>577350</v>
      </c>
      <c r="L97">
        <v>577350</v>
      </c>
      <c r="N97">
        <f t="shared" si="2"/>
        <v>0</v>
      </c>
    </row>
    <row r="98" spans="1:14" x14ac:dyDescent="0.3">
      <c r="B98" t="s">
        <v>489</v>
      </c>
      <c r="C98">
        <v>206001</v>
      </c>
      <c r="D98" t="s">
        <v>496</v>
      </c>
      <c r="E98">
        <v>0</v>
      </c>
      <c r="F98">
        <v>57444.7</v>
      </c>
      <c r="G98">
        <v>1311287.7</v>
      </c>
      <c r="H98">
        <v>1313348</v>
      </c>
      <c r="I98">
        <v>0</v>
      </c>
      <c r="J98">
        <v>59505</v>
      </c>
      <c r="L98">
        <v>59505</v>
      </c>
      <c r="N98">
        <f t="shared" si="2"/>
        <v>0</v>
      </c>
    </row>
    <row r="99" spans="1:14" x14ac:dyDescent="0.3">
      <c r="B99" t="s">
        <v>489</v>
      </c>
      <c r="D99" t="s">
        <v>530</v>
      </c>
      <c r="E99">
        <v>0</v>
      </c>
      <c r="F99">
        <v>0</v>
      </c>
      <c r="G99">
        <v>0</v>
      </c>
      <c r="H99">
        <v>8778</v>
      </c>
      <c r="I99">
        <v>0</v>
      </c>
      <c r="J99">
        <v>8778</v>
      </c>
      <c r="L99">
        <v>8778</v>
      </c>
      <c r="N99">
        <f t="shared" si="2"/>
        <v>0</v>
      </c>
    </row>
    <row r="100" spans="1:14" x14ac:dyDescent="0.3">
      <c r="B100" t="s">
        <v>489</v>
      </c>
      <c r="C100">
        <v>206003</v>
      </c>
      <c r="D100" t="s">
        <v>12</v>
      </c>
      <c r="E100">
        <v>0</v>
      </c>
      <c r="F100">
        <v>20000</v>
      </c>
      <c r="G100">
        <v>0</v>
      </c>
      <c r="H100">
        <v>0</v>
      </c>
      <c r="I100">
        <v>0</v>
      </c>
      <c r="J100">
        <v>20000</v>
      </c>
      <c r="L100">
        <v>20000</v>
      </c>
      <c r="N100">
        <f t="shared" si="2"/>
        <v>0</v>
      </c>
    </row>
    <row r="101" spans="1:14" x14ac:dyDescent="0.3">
      <c r="B101" t="s">
        <v>489</v>
      </c>
      <c r="C101">
        <v>207001</v>
      </c>
      <c r="D101" t="s">
        <v>497</v>
      </c>
      <c r="E101">
        <v>1311414.48</v>
      </c>
      <c r="F101">
        <v>0</v>
      </c>
      <c r="G101">
        <v>0</v>
      </c>
      <c r="H101">
        <v>0</v>
      </c>
      <c r="I101">
        <v>1311414.48</v>
      </c>
      <c r="J101">
        <v>0</v>
      </c>
      <c r="L101">
        <v>1311414.48</v>
      </c>
      <c r="N101">
        <f>I101-L101</f>
        <v>0</v>
      </c>
    </row>
    <row r="102" spans="1:14" x14ac:dyDescent="0.3">
      <c r="B102" t="s">
        <v>204</v>
      </c>
      <c r="L102">
        <v>0</v>
      </c>
      <c r="N102">
        <f t="shared" si="2"/>
        <v>0</v>
      </c>
    </row>
    <row r="103" spans="1:14" x14ac:dyDescent="0.3">
      <c r="B103" t="s">
        <v>498</v>
      </c>
      <c r="E103">
        <v>1311414.48</v>
      </c>
      <c r="F103">
        <v>6856975.5999999996</v>
      </c>
      <c r="G103">
        <v>3944988.4</v>
      </c>
      <c r="H103">
        <v>5128566.7</v>
      </c>
      <c r="I103">
        <v>1311414.48</v>
      </c>
      <c r="J103">
        <v>8040553.9000000004</v>
      </c>
      <c r="L103">
        <v>8040553.9000000004</v>
      </c>
      <c r="N103">
        <f t="shared" si="2"/>
        <v>0</v>
      </c>
    </row>
    <row r="104" spans="1:14" x14ac:dyDescent="0.3">
      <c r="B104" t="s">
        <v>204</v>
      </c>
      <c r="N104">
        <f t="shared" si="2"/>
        <v>0</v>
      </c>
    </row>
    <row r="105" spans="1:14" x14ac:dyDescent="0.3">
      <c r="A105" s="2" t="s">
        <v>63</v>
      </c>
      <c r="B105" t="s">
        <v>331</v>
      </c>
      <c r="C105">
        <v>301002</v>
      </c>
      <c r="D105" t="s">
        <v>63</v>
      </c>
      <c r="E105">
        <v>0</v>
      </c>
      <c r="F105">
        <v>0</v>
      </c>
      <c r="G105">
        <v>0</v>
      </c>
      <c r="H105">
        <v>295680</v>
      </c>
      <c r="I105">
        <v>0</v>
      </c>
      <c r="J105">
        <v>295680</v>
      </c>
      <c r="L105">
        <v>295680</v>
      </c>
      <c r="N105">
        <f>J105-L105</f>
        <v>0</v>
      </c>
    </row>
    <row r="106" spans="1:14" x14ac:dyDescent="0.3">
      <c r="A106" s="2" t="s">
        <v>64</v>
      </c>
      <c r="B106" t="s">
        <v>331</v>
      </c>
      <c r="C106">
        <v>301003</v>
      </c>
      <c r="D106" t="s">
        <v>64</v>
      </c>
      <c r="E106">
        <v>0</v>
      </c>
      <c r="F106">
        <v>0</v>
      </c>
      <c r="G106">
        <v>0</v>
      </c>
      <c r="H106">
        <v>147840</v>
      </c>
      <c r="I106">
        <v>0</v>
      </c>
      <c r="J106">
        <v>147840</v>
      </c>
      <c r="L106">
        <v>147840</v>
      </c>
      <c r="N106">
        <f t="shared" ref="N106:N124" si="3">J106-L106</f>
        <v>0</v>
      </c>
    </row>
    <row r="107" spans="1:14" x14ac:dyDescent="0.3">
      <c r="A107" s="2" t="s">
        <v>65</v>
      </c>
      <c r="B107" t="s">
        <v>331</v>
      </c>
      <c r="C107">
        <v>301004</v>
      </c>
      <c r="D107" t="s">
        <v>65</v>
      </c>
      <c r="E107">
        <v>0</v>
      </c>
      <c r="F107">
        <v>0</v>
      </c>
      <c r="G107">
        <v>0</v>
      </c>
      <c r="H107">
        <v>162300</v>
      </c>
      <c r="I107">
        <v>0</v>
      </c>
      <c r="J107">
        <v>162300</v>
      </c>
      <c r="L107">
        <v>162300</v>
      </c>
      <c r="N107">
        <f t="shared" si="3"/>
        <v>0</v>
      </c>
    </row>
    <row r="108" spans="1:14" x14ac:dyDescent="0.3">
      <c r="A108" s="2" t="s">
        <v>66</v>
      </c>
      <c r="B108" t="s">
        <v>331</v>
      </c>
      <c r="C108">
        <v>301005</v>
      </c>
      <c r="D108" t="s">
        <v>66</v>
      </c>
      <c r="E108">
        <v>0</v>
      </c>
      <c r="F108">
        <v>0</v>
      </c>
      <c r="G108">
        <v>0</v>
      </c>
      <c r="H108">
        <v>31920</v>
      </c>
      <c r="I108">
        <v>0</v>
      </c>
      <c r="J108">
        <v>31920</v>
      </c>
      <c r="L108">
        <v>31920</v>
      </c>
      <c r="N108">
        <f t="shared" si="3"/>
        <v>0</v>
      </c>
    </row>
    <row r="109" spans="1:14" x14ac:dyDescent="0.3">
      <c r="A109" s="2" t="s">
        <v>67</v>
      </c>
      <c r="B109" t="s">
        <v>331</v>
      </c>
      <c r="C109">
        <v>301006</v>
      </c>
      <c r="D109" t="s">
        <v>67</v>
      </c>
      <c r="E109">
        <v>0</v>
      </c>
      <c r="F109">
        <v>0</v>
      </c>
      <c r="G109">
        <v>0</v>
      </c>
      <c r="H109">
        <v>34650</v>
      </c>
      <c r="I109">
        <v>0</v>
      </c>
      <c r="J109">
        <v>34650</v>
      </c>
      <c r="L109">
        <v>34650</v>
      </c>
      <c r="N109">
        <f t="shared" si="3"/>
        <v>0</v>
      </c>
    </row>
    <row r="110" spans="1:14" x14ac:dyDescent="0.3">
      <c r="A110" s="2" t="s">
        <v>68</v>
      </c>
      <c r="B110" t="s">
        <v>331</v>
      </c>
      <c r="C110">
        <v>301007</v>
      </c>
      <c r="D110" t="s">
        <v>68</v>
      </c>
      <c r="E110">
        <v>0</v>
      </c>
      <c r="F110">
        <v>0</v>
      </c>
      <c r="G110">
        <v>0</v>
      </c>
      <c r="H110">
        <v>13632</v>
      </c>
      <c r="I110">
        <v>0</v>
      </c>
      <c r="J110">
        <v>13632</v>
      </c>
      <c r="L110">
        <v>13632</v>
      </c>
      <c r="N110">
        <f t="shared" si="3"/>
        <v>0</v>
      </c>
    </row>
    <row r="111" spans="1:14" x14ac:dyDescent="0.3">
      <c r="A111" s="2" t="s">
        <v>69</v>
      </c>
      <c r="B111" t="s">
        <v>331</v>
      </c>
      <c r="C111">
        <v>301009</v>
      </c>
      <c r="D111" t="s">
        <v>69</v>
      </c>
      <c r="E111">
        <v>0</v>
      </c>
      <c r="F111">
        <v>0</v>
      </c>
      <c r="G111">
        <v>0</v>
      </c>
      <c r="H111">
        <v>112643</v>
      </c>
      <c r="I111">
        <v>0</v>
      </c>
      <c r="J111">
        <v>112643</v>
      </c>
      <c r="L111">
        <v>112643</v>
      </c>
      <c r="N111">
        <f t="shared" si="3"/>
        <v>0</v>
      </c>
    </row>
    <row r="112" spans="1:14" x14ac:dyDescent="0.3">
      <c r="A112" t="s">
        <v>499</v>
      </c>
      <c r="B112" t="s">
        <v>331</v>
      </c>
      <c r="C112">
        <v>301011</v>
      </c>
      <c r="D112" t="s">
        <v>499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L112">
        <v>0</v>
      </c>
      <c r="N112">
        <f t="shared" si="3"/>
        <v>0</v>
      </c>
    </row>
    <row r="113" spans="1:14" x14ac:dyDescent="0.3">
      <c r="A113" s="2" t="s">
        <v>71</v>
      </c>
      <c r="B113" t="s">
        <v>331</v>
      </c>
      <c r="C113">
        <v>301012</v>
      </c>
      <c r="D113" t="s">
        <v>71</v>
      </c>
      <c r="E113">
        <v>0</v>
      </c>
      <c r="F113">
        <v>0</v>
      </c>
      <c r="G113">
        <v>1579</v>
      </c>
      <c r="H113">
        <v>27852</v>
      </c>
      <c r="I113">
        <v>0</v>
      </c>
      <c r="J113">
        <v>26273</v>
      </c>
      <c r="L113">
        <v>26273</v>
      </c>
      <c r="N113">
        <f t="shared" si="3"/>
        <v>0</v>
      </c>
    </row>
    <row r="114" spans="1:14" x14ac:dyDescent="0.3">
      <c r="A114" s="2" t="s">
        <v>67</v>
      </c>
      <c r="B114" t="s">
        <v>331</v>
      </c>
      <c r="C114">
        <v>301031</v>
      </c>
      <c r="D114" t="s">
        <v>500</v>
      </c>
      <c r="E114">
        <v>0</v>
      </c>
      <c r="F114">
        <v>0</v>
      </c>
      <c r="G114">
        <v>0</v>
      </c>
      <c r="H114">
        <v>3592</v>
      </c>
      <c r="I114">
        <v>0</v>
      </c>
      <c r="J114">
        <v>3592</v>
      </c>
      <c r="L114">
        <v>3592</v>
      </c>
      <c r="N114">
        <f t="shared" si="3"/>
        <v>0</v>
      </c>
    </row>
    <row r="115" spans="1:14" x14ac:dyDescent="0.3">
      <c r="A115" s="2" t="s">
        <v>73</v>
      </c>
      <c r="B115" t="s">
        <v>331</v>
      </c>
      <c r="C115">
        <v>303001</v>
      </c>
      <c r="D115" t="s">
        <v>73</v>
      </c>
      <c r="E115">
        <v>0</v>
      </c>
      <c r="F115">
        <v>0</v>
      </c>
      <c r="G115">
        <v>0</v>
      </c>
      <c r="H115">
        <v>329496</v>
      </c>
      <c r="I115">
        <v>0</v>
      </c>
      <c r="J115">
        <v>329496</v>
      </c>
      <c r="L115">
        <v>329496</v>
      </c>
      <c r="N115">
        <f t="shared" si="3"/>
        <v>0</v>
      </c>
    </row>
    <row r="116" spans="1:14" x14ac:dyDescent="0.3">
      <c r="B116" t="s">
        <v>331</v>
      </c>
      <c r="C116">
        <v>304001</v>
      </c>
      <c r="D116" t="s">
        <v>3</v>
      </c>
      <c r="E116">
        <v>0</v>
      </c>
      <c r="F116">
        <v>0</v>
      </c>
      <c r="G116">
        <v>29460</v>
      </c>
      <c r="H116">
        <v>29460</v>
      </c>
      <c r="I116">
        <v>0</v>
      </c>
      <c r="J116">
        <v>0</v>
      </c>
      <c r="L116">
        <v>0</v>
      </c>
      <c r="N116">
        <f t="shared" si="3"/>
        <v>0</v>
      </c>
    </row>
    <row r="117" spans="1:14" x14ac:dyDescent="0.3">
      <c r="B117" t="s">
        <v>331</v>
      </c>
      <c r="C117">
        <v>304002</v>
      </c>
      <c r="D117" t="s">
        <v>217</v>
      </c>
      <c r="E117">
        <v>0</v>
      </c>
      <c r="F117">
        <v>0</v>
      </c>
      <c r="G117">
        <v>98304</v>
      </c>
      <c r="H117">
        <v>98304</v>
      </c>
      <c r="I117">
        <v>0</v>
      </c>
      <c r="J117">
        <v>0</v>
      </c>
      <c r="L117">
        <v>0</v>
      </c>
      <c r="N117">
        <f t="shared" si="3"/>
        <v>0</v>
      </c>
    </row>
    <row r="118" spans="1:14" x14ac:dyDescent="0.3">
      <c r="B118" t="s">
        <v>331</v>
      </c>
      <c r="C118">
        <v>304004</v>
      </c>
      <c r="D118" t="s">
        <v>255</v>
      </c>
      <c r="E118">
        <v>0</v>
      </c>
      <c r="F118">
        <v>0</v>
      </c>
      <c r="G118">
        <v>200</v>
      </c>
      <c r="H118">
        <v>200</v>
      </c>
      <c r="I118">
        <v>0</v>
      </c>
      <c r="J118">
        <v>0</v>
      </c>
      <c r="L118">
        <v>0</v>
      </c>
      <c r="N118">
        <f t="shared" si="3"/>
        <v>0</v>
      </c>
    </row>
    <row r="119" spans="1:14" x14ac:dyDescent="0.3">
      <c r="B119" t="s">
        <v>331</v>
      </c>
      <c r="C119">
        <v>304005</v>
      </c>
      <c r="D119" t="s">
        <v>247</v>
      </c>
      <c r="E119">
        <v>0</v>
      </c>
      <c r="F119">
        <v>0</v>
      </c>
      <c r="G119">
        <v>1000</v>
      </c>
      <c r="H119">
        <v>1000</v>
      </c>
      <c r="I119">
        <v>0</v>
      </c>
      <c r="J119">
        <v>0</v>
      </c>
      <c r="L119">
        <v>0</v>
      </c>
      <c r="N119">
        <f t="shared" si="3"/>
        <v>0</v>
      </c>
    </row>
    <row r="120" spans="1:14" x14ac:dyDescent="0.3">
      <c r="B120" t="s">
        <v>331</v>
      </c>
      <c r="C120">
        <v>304007</v>
      </c>
      <c r="D120" t="s">
        <v>220</v>
      </c>
      <c r="E120">
        <v>0</v>
      </c>
      <c r="F120">
        <v>0</v>
      </c>
      <c r="G120">
        <v>250</v>
      </c>
      <c r="H120">
        <v>250</v>
      </c>
      <c r="I120">
        <v>0</v>
      </c>
      <c r="J120">
        <v>0</v>
      </c>
      <c r="L120">
        <v>0</v>
      </c>
      <c r="N120">
        <f t="shared" si="3"/>
        <v>0</v>
      </c>
    </row>
    <row r="121" spans="1:14" x14ac:dyDescent="0.3">
      <c r="A121" s="2" t="s">
        <v>77</v>
      </c>
      <c r="B121" t="s">
        <v>331</v>
      </c>
      <c r="C121">
        <v>306001</v>
      </c>
      <c r="D121" t="s">
        <v>501</v>
      </c>
      <c r="E121">
        <v>0</v>
      </c>
      <c r="F121">
        <v>0</v>
      </c>
      <c r="G121">
        <v>0</v>
      </c>
      <c r="H121">
        <v>17931</v>
      </c>
      <c r="I121">
        <v>0</v>
      </c>
      <c r="J121">
        <f>H121</f>
        <v>17931</v>
      </c>
      <c r="L121">
        <v>17931</v>
      </c>
      <c r="N121">
        <f t="shared" si="3"/>
        <v>0</v>
      </c>
    </row>
    <row r="122" spans="1:14" x14ac:dyDescent="0.3">
      <c r="A122" s="2" t="s">
        <v>78</v>
      </c>
      <c r="B122" t="s">
        <v>331</v>
      </c>
      <c r="C122">
        <v>306002</v>
      </c>
      <c r="D122" t="s">
        <v>502</v>
      </c>
      <c r="E122">
        <v>0</v>
      </c>
      <c r="F122">
        <v>0</v>
      </c>
      <c r="G122">
        <v>3779</v>
      </c>
      <c r="H122">
        <v>196146</v>
      </c>
      <c r="I122">
        <v>0</v>
      </c>
      <c r="J122">
        <v>3351</v>
      </c>
      <c r="L122">
        <v>3351</v>
      </c>
      <c r="N122">
        <f t="shared" si="3"/>
        <v>0</v>
      </c>
    </row>
    <row r="123" spans="1:14" x14ac:dyDescent="0.3">
      <c r="A123" s="2" t="s">
        <v>81</v>
      </c>
      <c r="B123" t="s">
        <v>331</v>
      </c>
      <c r="C123">
        <v>307004</v>
      </c>
      <c r="D123" t="s">
        <v>81</v>
      </c>
      <c r="E123">
        <v>0</v>
      </c>
      <c r="F123">
        <v>0</v>
      </c>
      <c r="G123">
        <v>577350</v>
      </c>
      <c r="H123">
        <v>1347150</v>
      </c>
      <c r="I123">
        <v>0</v>
      </c>
      <c r="J123">
        <v>769800</v>
      </c>
      <c r="L123">
        <v>769800</v>
      </c>
      <c r="N123">
        <f t="shared" si="3"/>
        <v>0</v>
      </c>
    </row>
    <row r="124" spans="1:14" x14ac:dyDescent="0.3">
      <c r="A124" t="s">
        <v>529</v>
      </c>
      <c r="D124" t="s">
        <v>529</v>
      </c>
      <c r="E124">
        <v>0</v>
      </c>
      <c r="F124">
        <v>0</v>
      </c>
      <c r="J124">
        <v>2118</v>
      </c>
      <c r="L124">
        <v>2118</v>
      </c>
      <c r="N124">
        <f t="shared" si="3"/>
        <v>0</v>
      </c>
    </row>
    <row r="125" spans="1:14" x14ac:dyDescent="0.3">
      <c r="B125" t="s">
        <v>204</v>
      </c>
      <c r="L125">
        <v>0</v>
      </c>
      <c r="N125">
        <f t="shared" si="1"/>
        <v>0</v>
      </c>
    </row>
    <row r="126" spans="1:14" x14ac:dyDescent="0.3">
      <c r="B126" t="s">
        <v>503</v>
      </c>
      <c r="E126">
        <v>0</v>
      </c>
      <c r="F126">
        <v>0</v>
      </c>
      <c r="G126">
        <v>913095</v>
      </c>
      <c r="H126">
        <v>2864321</v>
      </c>
      <c r="I126">
        <v>0</v>
      </c>
      <c r="J126">
        <v>1951226</v>
      </c>
      <c r="L126">
        <v>0</v>
      </c>
      <c r="N126">
        <f t="shared" si="1"/>
        <v>0</v>
      </c>
    </row>
    <row r="127" spans="1:14" x14ac:dyDescent="0.3">
      <c r="B127" t="s">
        <v>204</v>
      </c>
      <c r="N127">
        <f t="shared" si="1"/>
        <v>0</v>
      </c>
    </row>
    <row r="128" spans="1:14" x14ac:dyDescent="0.3">
      <c r="A128" s="2" t="s">
        <v>38</v>
      </c>
      <c r="B128" t="s">
        <v>504</v>
      </c>
      <c r="C128">
        <v>401001</v>
      </c>
      <c r="D128" t="s">
        <v>38</v>
      </c>
      <c r="E128">
        <v>0</v>
      </c>
      <c r="F128">
        <v>0</v>
      </c>
      <c r="G128">
        <v>54000</v>
      </c>
      <c r="H128">
        <v>0</v>
      </c>
      <c r="I128">
        <v>54000</v>
      </c>
      <c r="J128">
        <v>0</v>
      </c>
      <c r="L128">
        <v>54000</v>
      </c>
      <c r="N128">
        <f t="shared" si="1"/>
        <v>0</v>
      </c>
    </row>
    <row r="129" spans="1:14" x14ac:dyDescent="0.3">
      <c r="A129" s="2" t="s">
        <v>93</v>
      </c>
      <c r="B129" t="s">
        <v>504</v>
      </c>
      <c r="C129">
        <v>407012</v>
      </c>
      <c r="D129" t="s">
        <v>93</v>
      </c>
      <c r="E129">
        <v>0</v>
      </c>
      <c r="F129">
        <v>0</v>
      </c>
      <c r="G129">
        <v>5200</v>
      </c>
      <c r="H129">
        <v>0</v>
      </c>
      <c r="I129">
        <v>5200</v>
      </c>
      <c r="J129">
        <v>0</v>
      </c>
      <c r="L129">
        <v>5200</v>
      </c>
      <c r="N129">
        <f t="shared" si="1"/>
        <v>0</v>
      </c>
    </row>
    <row r="130" spans="1:14" x14ac:dyDescent="0.3">
      <c r="A130" s="2" t="s">
        <v>39</v>
      </c>
      <c r="B130" t="s">
        <v>504</v>
      </c>
      <c r="C130">
        <v>403001</v>
      </c>
      <c r="D130" t="s">
        <v>39</v>
      </c>
      <c r="E130">
        <v>0</v>
      </c>
      <c r="F130">
        <v>0</v>
      </c>
      <c r="G130">
        <v>116690</v>
      </c>
      <c r="H130">
        <v>0</v>
      </c>
      <c r="I130">
        <v>116690</v>
      </c>
      <c r="J130">
        <v>0</v>
      </c>
      <c r="L130">
        <v>116690</v>
      </c>
      <c r="N130">
        <f t="shared" si="1"/>
        <v>0</v>
      </c>
    </row>
    <row r="131" spans="1:14" x14ac:dyDescent="0.3">
      <c r="A131" s="2" t="s">
        <v>40</v>
      </c>
      <c r="B131" t="s">
        <v>504</v>
      </c>
      <c r="C131">
        <v>404001</v>
      </c>
      <c r="D131" t="s">
        <v>40</v>
      </c>
      <c r="E131">
        <v>0</v>
      </c>
      <c r="F131">
        <v>0</v>
      </c>
      <c r="G131">
        <v>145175</v>
      </c>
      <c r="H131">
        <v>0</v>
      </c>
      <c r="I131">
        <v>145175</v>
      </c>
      <c r="J131">
        <v>0</v>
      </c>
      <c r="L131">
        <v>145175</v>
      </c>
      <c r="N131">
        <f t="shared" si="1"/>
        <v>0</v>
      </c>
    </row>
    <row r="132" spans="1:14" x14ac:dyDescent="0.3">
      <c r="A132" s="2" t="s">
        <v>41</v>
      </c>
      <c r="B132" t="s">
        <v>504</v>
      </c>
      <c r="C132">
        <v>404002</v>
      </c>
      <c r="D132" t="s">
        <v>41</v>
      </c>
      <c r="E132">
        <v>0</v>
      </c>
      <c r="F132">
        <v>0</v>
      </c>
      <c r="G132">
        <v>9300</v>
      </c>
      <c r="H132">
        <v>0</v>
      </c>
      <c r="I132">
        <v>9300</v>
      </c>
      <c r="J132">
        <v>0</v>
      </c>
      <c r="L132">
        <v>9300</v>
      </c>
      <c r="N132">
        <f t="shared" si="1"/>
        <v>0</v>
      </c>
    </row>
    <row r="133" spans="1:14" x14ac:dyDescent="0.3">
      <c r="A133" s="2" t="s">
        <v>42</v>
      </c>
      <c r="B133" t="s">
        <v>504</v>
      </c>
      <c r="C133">
        <v>404005</v>
      </c>
      <c r="D133" t="s">
        <v>42</v>
      </c>
      <c r="E133">
        <v>0</v>
      </c>
      <c r="F133">
        <v>0</v>
      </c>
      <c r="G133">
        <v>5864</v>
      </c>
      <c r="H133">
        <v>0</v>
      </c>
      <c r="I133">
        <v>5864</v>
      </c>
      <c r="J133">
        <v>0</v>
      </c>
      <c r="L133">
        <v>5864</v>
      </c>
      <c r="N133">
        <f t="shared" si="1"/>
        <v>0</v>
      </c>
    </row>
    <row r="134" spans="1:14" x14ac:dyDescent="0.3">
      <c r="A134" s="2" t="s">
        <v>43</v>
      </c>
      <c r="B134" t="s">
        <v>504</v>
      </c>
      <c r="C134">
        <v>404006</v>
      </c>
      <c r="D134" t="s">
        <v>43</v>
      </c>
      <c r="E134">
        <v>0</v>
      </c>
      <c r="F134">
        <v>0</v>
      </c>
      <c r="G134">
        <v>43923</v>
      </c>
      <c r="H134">
        <v>6000</v>
      </c>
      <c r="I134">
        <v>37923</v>
      </c>
      <c r="J134">
        <v>0</v>
      </c>
      <c r="L134">
        <v>37923</v>
      </c>
      <c r="N134">
        <f t="shared" si="1"/>
        <v>0</v>
      </c>
    </row>
    <row r="135" spans="1:14" x14ac:dyDescent="0.3">
      <c r="A135" s="2" t="s">
        <v>45</v>
      </c>
      <c r="B135" t="s">
        <v>504</v>
      </c>
      <c r="C135">
        <v>406007</v>
      </c>
      <c r="D135" t="s">
        <v>45</v>
      </c>
      <c r="E135">
        <v>0</v>
      </c>
      <c r="F135">
        <v>0</v>
      </c>
      <c r="G135">
        <v>13475.6</v>
      </c>
      <c r="H135">
        <v>0</v>
      </c>
      <c r="I135">
        <v>13475.6</v>
      </c>
      <c r="J135">
        <v>0</v>
      </c>
      <c r="L135">
        <v>13475.6</v>
      </c>
      <c r="N135">
        <f t="shared" si="1"/>
        <v>0</v>
      </c>
    </row>
    <row r="136" spans="1:14" x14ac:dyDescent="0.3">
      <c r="A136" s="2" t="s">
        <v>46</v>
      </c>
      <c r="B136" t="s">
        <v>504</v>
      </c>
      <c r="C136">
        <v>406008</v>
      </c>
      <c r="D136" t="s">
        <v>46</v>
      </c>
      <c r="E136">
        <v>0</v>
      </c>
      <c r="F136">
        <v>0</v>
      </c>
      <c r="G136">
        <v>78485</v>
      </c>
      <c r="H136">
        <v>600</v>
      </c>
      <c r="I136">
        <v>77885</v>
      </c>
      <c r="J136">
        <v>0</v>
      </c>
      <c r="L136">
        <v>77885</v>
      </c>
      <c r="N136">
        <f t="shared" ref="N136:N165" si="4">I136-L136</f>
        <v>0</v>
      </c>
    </row>
    <row r="137" spans="1:14" x14ac:dyDescent="0.3">
      <c r="A137" s="2" t="s">
        <v>47</v>
      </c>
      <c r="B137" t="s">
        <v>504</v>
      </c>
      <c r="C137">
        <v>406009</v>
      </c>
      <c r="D137" t="s">
        <v>47</v>
      </c>
      <c r="E137">
        <v>0</v>
      </c>
      <c r="F137">
        <v>0</v>
      </c>
      <c r="G137">
        <v>11485</v>
      </c>
      <c r="H137">
        <v>3815</v>
      </c>
      <c r="I137">
        <v>7670</v>
      </c>
      <c r="J137">
        <v>0</v>
      </c>
      <c r="L137">
        <v>7670</v>
      </c>
      <c r="N137">
        <f t="shared" si="4"/>
        <v>0</v>
      </c>
    </row>
    <row r="138" spans="1:14" x14ac:dyDescent="0.3">
      <c r="A138" s="2" t="s">
        <v>46</v>
      </c>
      <c r="B138" t="s">
        <v>504</v>
      </c>
      <c r="C138">
        <v>406011</v>
      </c>
      <c r="D138" t="s">
        <v>505</v>
      </c>
      <c r="E138">
        <v>0</v>
      </c>
      <c r="F138">
        <v>0</v>
      </c>
      <c r="G138">
        <v>7906</v>
      </c>
      <c r="H138">
        <v>0</v>
      </c>
      <c r="I138">
        <v>7906</v>
      </c>
      <c r="J138">
        <v>0</v>
      </c>
      <c r="L138">
        <v>7906</v>
      </c>
      <c r="N138">
        <f t="shared" si="4"/>
        <v>0</v>
      </c>
    </row>
    <row r="139" spans="1:14" x14ac:dyDescent="0.3">
      <c r="A139" s="2" t="s">
        <v>205</v>
      </c>
      <c r="B139" t="s">
        <v>504</v>
      </c>
      <c r="C139">
        <v>406013</v>
      </c>
      <c r="D139" t="s">
        <v>300</v>
      </c>
      <c r="E139">
        <v>0</v>
      </c>
      <c r="F139">
        <v>0</v>
      </c>
      <c r="G139">
        <v>9050</v>
      </c>
      <c r="H139">
        <v>0</v>
      </c>
      <c r="I139">
        <v>9050</v>
      </c>
      <c r="J139">
        <v>0</v>
      </c>
      <c r="L139">
        <v>9050</v>
      </c>
      <c r="N139">
        <f t="shared" si="4"/>
        <v>0</v>
      </c>
    </row>
    <row r="140" spans="1:14" x14ac:dyDescent="0.3">
      <c r="A140" t="s">
        <v>506</v>
      </c>
      <c r="B140" t="s">
        <v>504</v>
      </c>
      <c r="C140">
        <v>406014</v>
      </c>
      <c r="D140" t="s">
        <v>506</v>
      </c>
      <c r="E140">
        <v>0</v>
      </c>
      <c r="F140">
        <v>0</v>
      </c>
      <c r="G140">
        <v>1332395</v>
      </c>
      <c r="H140">
        <v>0</v>
      </c>
      <c r="I140">
        <v>1332395</v>
      </c>
      <c r="J140">
        <v>0</v>
      </c>
      <c r="L140">
        <v>1332395</v>
      </c>
      <c r="N140">
        <f t="shared" si="4"/>
        <v>0</v>
      </c>
    </row>
    <row r="141" spans="1:14" x14ac:dyDescent="0.3">
      <c r="A141" t="s">
        <v>507</v>
      </c>
      <c r="B141" t="s">
        <v>504</v>
      </c>
      <c r="C141">
        <v>406015</v>
      </c>
      <c r="D141" t="s">
        <v>507</v>
      </c>
      <c r="E141">
        <v>0</v>
      </c>
      <c r="F141">
        <v>0</v>
      </c>
      <c r="G141">
        <v>36500</v>
      </c>
      <c r="H141">
        <v>32582</v>
      </c>
      <c r="I141">
        <v>3918</v>
      </c>
      <c r="J141">
        <v>0</v>
      </c>
      <c r="L141">
        <v>3918</v>
      </c>
      <c r="N141">
        <f t="shared" si="4"/>
        <v>0</v>
      </c>
    </row>
    <row r="142" spans="1:14" x14ac:dyDescent="0.3">
      <c r="A142" s="2" t="s">
        <v>49</v>
      </c>
      <c r="B142" t="s">
        <v>504</v>
      </c>
      <c r="C142">
        <v>407001</v>
      </c>
      <c r="D142" t="s">
        <v>49</v>
      </c>
      <c r="E142">
        <v>0</v>
      </c>
      <c r="F142">
        <v>0</v>
      </c>
      <c r="G142">
        <v>291917</v>
      </c>
      <c r="H142">
        <v>0</v>
      </c>
      <c r="I142">
        <v>291917</v>
      </c>
      <c r="J142">
        <v>0</v>
      </c>
      <c r="L142">
        <v>291917</v>
      </c>
      <c r="N142">
        <f t="shared" si="4"/>
        <v>0</v>
      </c>
    </row>
    <row r="143" spans="1:14" x14ac:dyDescent="0.3">
      <c r="A143" s="2" t="s">
        <v>50</v>
      </c>
      <c r="B143" t="s">
        <v>504</v>
      </c>
      <c r="C143">
        <v>407002</v>
      </c>
      <c r="D143" t="s">
        <v>50</v>
      </c>
      <c r="E143">
        <v>0</v>
      </c>
      <c r="F143">
        <v>0</v>
      </c>
      <c r="G143">
        <v>63655</v>
      </c>
      <c r="H143">
        <v>0</v>
      </c>
      <c r="I143">
        <v>63655</v>
      </c>
      <c r="J143">
        <v>0</v>
      </c>
      <c r="L143">
        <v>63655</v>
      </c>
      <c r="N143">
        <f t="shared" si="4"/>
        <v>0</v>
      </c>
    </row>
    <row r="144" spans="1:14" x14ac:dyDescent="0.3">
      <c r="A144" s="2" t="s">
        <v>193</v>
      </c>
      <c r="B144" t="s">
        <v>504</v>
      </c>
      <c r="C144">
        <v>407003</v>
      </c>
      <c r="D144" t="s">
        <v>293</v>
      </c>
      <c r="E144">
        <v>0</v>
      </c>
      <c r="F144">
        <v>0</v>
      </c>
      <c r="G144">
        <v>6000</v>
      </c>
      <c r="H144">
        <v>0</v>
      </c>
      <c r="I144">
        <v>6000</v>
      </c>
      <c r="J144">
        <v>0</v>
      </c>
      <c r="L144">
        <v>6000</v>
      </c>
      <c r="N144">
        <f t="shared" si="4"/>
        <v>0</v>
      </c>
    </row>
    <row r="145" spans="1:14" x14ac:dyDescent="0.3">
      <c r="A145" s="2" t="s">
        <v>95</v>
      </c>
      <c r="B145" t="s">
        <v>504</v>
      </c>
      <c r="C145">
        <v>407007</v>
      </c>
      <c r="D145" t="s">
        <v>95</v>
      </c>
      <c r="E145">
        <v>0</v>
      </c>
      <c r="F145">
        <v>0</v>
      </c>
      <c r="G145">
        <v>76467</v>
      </c>
      <c r="H145">
        <v>0</v>
      </c>
      <c r="I145">
        <v>76467</v>
      </c>
      <c r="J145">
        <v>0</v>
      </c>
      <c r="L145">
        <v>76467</v>
      </c>
      <c r="N145">
        <f t="shared" si="4"/>
        <v>0</v>
      </c>
    </row>
    <row r="146" spans="1:14" x14ac:dyDescent="0.3">
      <c r="A146" s="2" t="s">
        <v>91</v>
      </c>
      <c r="B146" t="s">
        <v>504</v>
      </c>
      <c r="D146" t="s">
        <v>526</v>
      </c>
      <c r="E146">
        <v>0</v>
      </c>
      <c r="F146">
        <v>0</v>
      </c>
      <c r="G146">
        <v>8700</v>
      </c>
      <c r="H146">
        <v>0</v>
      </c>
      <c r="I146">
        <v>8700</v>
      </c>
      <c r="J146">
        <v>0</v>
      </c>
      <c r="L146">
        <v>8700</v>
      </c>
      <c r="N146">
        <f t="shared" si="4"/>
        <v>0</v>
      </c>
    </row>
    <row r="147" spans="1:14" x14ac:dyDescent="0.3">
      <c r="A147" s="2" t="s">
        <v>94</v>
      </c>
      <c r="B147" t="s">
        <v>504</v>
      </c>
      <c r="D147" t="s">
        <v>527</v>
      </c>
      <c r="E147">
        <v>0</v>
      </c>
      <c r="F147">
        <v>0</v>
      </c>
      <c r="G147">
        <v>826</v>
      </c>
      <c r="H147">
        <v>0</v>
      </c>
      <c r="I147">
        <v>826</v>
      </c>
      <c r="J147">
        <v>0</v>
      </c>
      <c r="L147">
        <v>826</v>
      </c>
      <c r="N147">
        <f t="shared" si="4"/>
        <v>0</v>
      </c>
    </row>
    <row r="148" spans="1:14" x14ac:dyDescent="0.3">
      <c r="A148" s="2" t="s">
        <v>52</v>
      </c>
      <c r="B148" t="s">
        <v>504</v>
      </c>
      <c r="C148">
        <v>407011</v>
      </c>
      <c r="D148" t="s">
        <v>52</v>
      </c>
      <c r="E148">
        <v>0</v>
      </c>
      <c r="F148">
        <v>0</v>
      </c>
      <c r="G148">
        <v>6500</v>
      </c>
      <c r="H148">
        <v>3000</v>
      </c>
      <c r="I148">
        <v>3500</v>
      </c>
      <c r="J148">
        <v>0</v>
      </c>
      <c r="L148">
        <v>3500</v>
      </c>
      <c r="N148">
        <f t="shared" si="4"/>
        <v>0</v>
      </c>
    </row>
    <row r="149" spans="1:14" x14ac:dyDescent="0.3">
      <c r="A149" s="2" t="s">
        <v>53</v>
      </c>
      <c r="B149" t="s">
        <v>504</v>
      </c>
      <c r="C149">
        <v>408001</v>
      </c>
      <c r="D149" t="s">
        <v>53</v>
      </c>
      <c r="E149">
        <v>0</v>
      </c>
      <c r="F149">
        <v>0</v>
      </c>
      <c r="G149">
        <v>600</v>
      </c>
      <c r="H149">
        <v>0</v>
      </c>
      <c r="I149">
        <v>600</v>
      </c>
      <c r="J149">
        <v>0</v>
      </c>
      <c r="L149">
        <v>600</v>
      </c>
      <c r="N149">
        <f t="shared" si="4"/>
        <v>0</v>
      </c>
    </row>
    <row r="150" spans="1:14" x14ac:dyDescent="0.3">
      <c r="A150" s="2" t="s">
        <v>54</v>
      </c>
      <c r="B150" t="s">
        <v>504</v>
      </c>
      <c r="C150">
        <v>408002</v>
      </c>
      <c r="D150" t="s">
        <v>54</v>
      </c>
      <c r="E150">
        <v>0</v>
      </c>
      <c r="F150">
        <v>0</v>
      </c>
      <c r="G150">
        <f>54500-29000</f>
        <v>25500</v>
      </c>
      <c r="H150">
        <v>0</v>
      </c>
      <c r="I150">
        <f>G150</f>
        <v>25500</v>
      </c>
      <c r="J150">
        <v>0</v>
      </c>
      <c r="L150">
        <v>25500</v>
      </c>
      <c r="N150">
        <f t="shared" si="4"/>
        <v>0</v>
      </c>
    </row>
    <row r="151" spans="1:14" x14ac:dyDescent="0.3">
      <c r="A151" s="2" t="s">
        <v>55</v>
      </c>
      <c r="B151" t="s">
        <v>504</v>
      </c>
      <c r="C151">
        <v>408003</v>
      </c>
      <c r="D151" t="s">
        <v>55</v>
      </c>
      <c r="E151">
        <v>0</v>
      </c>
      <c r="F151">
        <v>0</v>
      </c>
      <c r="G151">
        <v>6125</v>
      </c>
      <c r="H151">
        <v>0</v>
      </c>
      <c r="I151">
        <v>6125</v>
      </c>
      <c r="J151">
        <v>0</v>
      </c>
      <c r="L151">
        <v>6125</v>
      </c>
      <c r="N151">
        <f t="shared" si="4"/>
        <v>0</v>
      </c>
    </row>
    <row r="152" spans="1:14" x14ac:dyDescent="0.3">
      <c r="A152" s="2" t="s">
        <v>56</v>
      </c>
      <c r="B152" t="s">
        <v>504</v>
      </c>
      <c r="C152">
        <v>408005</v>
      </c>
      <c r="D152" t="s">
        <v>56</v>
      </c>
      <c r="E152">
        <v>0</v>
      </c>
      <c r="F152">
        <v>0</v>
      </c>
      <c r="G152">
        <v>7729</v>
      </c>
      <c r="H152">
        <v>0</v>
      </c>
      <c r="I152">
        <v>7729</v>
      </c>
      <c r="J152">
        <v>0</v>
      </c>
      <c r="L152">
        <v>7729</v>
      </c>
      <c r="N152">
        <f t="shared" si="4"/>
        <v>0</v>
      </c>
    </row>
    <row r="153" spans="1:14" x14ac:dyDescent="0.3">
      <c r="A153" s="2" t="s">
        <v>57</v>
      </c>
      <c r="B153" t="s">
        <v>504</v>
      </c>
      <c r="C153">
        <v>408006</v>
      </c>
      <c r="D153" t="s">
        <v>57</v>
      </c>
      <c r="E153">
        <v>0</v>
      </c>
      <c r="F153">
        <v>0</v>
      </c>
      <c r="G153">
        <v>50</v>
      </c>
      <c r="H153">
        <v>0</v>
      </c>
      <c r="I153">
        <v>50</v>
      </c>
      <c r="J153">
        <v>0</v>
      </c>
      <c r="L153">
        <v>50</v>
      </c>
      <c r="N153">
        <f t="shared" si="4"/>
        <v>0</v>
      </c>
    </row>
    <row r="154" spans="1:14" x14ac:dyDescent="0.3">
      <c r="A154" s="2" t="s">
        <v>89</v>
      </c>
      <c r="B154" t="s">
        <v>504</v>
      </c>
      <c r="C154">
        <v>408008</v>
      </c>
      <c r="D154" t="s">
        <v>508</v>
      </c>
      <c r="E154">
        <v>0</v>
      </c>
      <c r="F154">
        <v>0</v>
      </c>
      <c r="G154">
        <v>202734</v>
      </c>
      <c r="H154">
        <v>0</v>
      </c>
      <c r="I154">
        <v>202734</v>
      </c>
      <c r="J154">
        <v>0</v>
      </c>
      <c r="L154">
        <v>202734</v>
      </c>
      <c r="N154">
        <f t="shared" si="4"/>
        <v>0</v>
      </c>
    </row>
    <row r="155" spans="1:14" x14ac:dyDescent="0.3">
      <c r="A155" s="2" t="s">
        <v>59</v>
      </c>
      <c r="B155" t="s">
        <v>504</v>
      </c>
      <c r="C155">
        <v>408011</v>
      </c>
      <c r="D155" t="s">
        <v>59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L155">
        <v>0</v>
      </c>
      <c r="N155">
        <f t="shared" si="4"/>
        <v>0</v>
      </c>
    </row>
    <row r="156" spans="1:14" x14ac:dyDescent="0.3">
      <c r="A156" s="2" t="s">
        <v>60</v>
      </c>
      <c r="B156" t="s">
        <v>504</v>
      </c>
      <c r="C156">
        <v>408014</v>
      </c>
      <c r="D156" t="s">
        <v>60</v>
      </c>
      <c r="E156">
        <v>0</v>
      </c>
      <c r="F156">
        <v>0</v>
      </c>
      <c r="G156">
        <v>1654</v>
      </c>
      <c r="H156">
        <v>0</v>
      </c>
      <c r="I156">
        <v>1654</v>
      </c>
      <c r="J156">
        <v>0</v>
      </c>
      <c r="L156">
        <v>1654</v>
      </c>
      <c r="N156">
        <f t="shared" si="4"/>
        <v>0</v>
      </c>
    </row>
    <row r="157" spans="1:14" x14ac:dyDescent="0.3">
      <c r="A157" s="2" t="s">
        <v>61</v>
      </c>
      <c r="B157" t="s">
        <v>504</v>
      </c>
      <c r="C157">
        <v>408018</v>
      </c>
      <c r="D157" t="s">
        <v>61</v>
      </c>
      <c r="E157">
        <v>0</v>
      </c>
      <c r="F157">
        <v>0</v>
      </c>
      <c r="G157">
        <v>45864.1</v>
      </c>
      <c r="H157">
        <v>0</v>
      </c>
      <c r="I157">
        <v>45864.1</v>
      </c>
      <c r="J157">
        <v>0</v>
      </c>
      <c r="L157">
        <v>45864.1</v>
      </c>
      <c r="N157">
        <f t="shared" si="4"/>
        <v>0</v>
      </c>
    </row>
    <row r="158" spans="1:14" x14ac:dyDescent="0.3">
      <c r="A158" s="2" t="s">
        <v>511</v>
      </c>
      <c r="B158" t="s">
        <v>504</v>
      </c>
      <c r="C158">
        <v>408019</v>
      </c>
      <c r="D158" t="s">
        <v>297</v>
      </c>
      <c r="E158">
        <v>0</v>
      </c>
      <c r="F158">
        <v>0</v>
      </c>
      <c r="G158">
        <v>88510</v>
      </c>
      <c r="H158">
        <v>0</v>
      </c>
      <c r="I158">
        <v>88510</v>
      </c>
      <c r="J158">
        <v>0</v>
      </c>
      <c r="L158">
        <v>88510</v>
      </c>
      <c r="N158">
        <f t="shared" si="4"/>
        <v>0</v>
      </c>
    </row>
    <row r="159" spans="1:14" x14ac:dyDescent="0.3">
      <c r="A159" s="2" t="s">
        <v>519</v>
      </c>
      <c r="B159" t="s">
        <v>504</v>
      </c>
      <c r="C159">
        <v>408020</v>
      </c>
      <c r="D159" t="s">
        <v>512</v>
      </c>
      <c r="E159">
        <v>0</v>
      </c>
      <c r="F159">
        <v>0</v>
      </c>
      <c r="G159">
        <v>229290</v>
      </c>
      <c r="H159">
        <v>0</v>
      </c>
      <c r="I159">
        <v>229290</v>
      </c>
      <c r="J159">
        <v>0</v>
      </c>
      <c r="L159">
        <v>229290</v>
      </c>
      <c r="N159">
        <f t="shared" si="4"/>
        <v>0</v>
      </c>
    </row>
    <row r="160" spans="1:14" x14ac:dyDescent="0.3">
      <c r="A160" t="s">
        <v>509</v>
      </c>
      <c r="B160" t="s">
        <v>504</v>
      </c>
      <c r="C160">
        <v>408015</v>
      </c>
      <c r="D160" t="s">
        <v>509</v>
      </c>
      <c r="E160">
        <v>0</v>
      </c>
      <c r="F160">
        <v>0</v>
      </c>
      <c r="G160">
        <v>0</v>
      </c>
      <c r="H160">
        <v>55997</v>
      </c>
      <c r="I160">
        <v>55997</v>
      </c>
      <c r="J160">
        <v>0</v>
      </c>
      <c r="L160">
        <v>0</v>
      </c>
      <c r="N160">
        <v>0</v>
      </c>
    </row>
    <row r="161" spans="2:14" x14ac:dyDescent="0.3">
      <c r="B161" t="s">
        <v>504</v>
      </c>
      <c r="C161">
        <v>411001</v>
      </c>
      <c r="D161" t="s">
        <v>292</v>
      </c>
      <c r="E161">
        <v>0</v>
      </c>
      <c r="F161">
        <v>0</v>
      </c>
      <c r="G161">
        <v>54430</v>
      </c>
      <c r="H161">
        <v>54430</v>
      </c>
      <c r="I161">
        <v>0</v>
      </c>
      <c r="J161">
        <v>0</v>
      </c>
      <c r="L161">
        <v>0</v>
      </c>
      <c r="N161">
        <f t="shared" si="4"/>
        <v>0</v>
      </c>
    </row>
    <row r="162" spans="2:14" x14ac:dyDescent="0.3">
      <c r="B162" t="s">
        <v>204</v>
      </c>
      <c r="L162">
        <v>0</v>
      </c>
      <c r="N162">
        <f t="shared" si="4"/>
        <v>0</v>
      </c>
    </row>
    <row r="163" spans="2:14" x14ac:dyDescent="0.3">
      <c r="B163" t="s">
        <v>510</v>
      </c>
      <c r="E163">
        <v>0</v>
      </c>
      <c r="F163">
        <v>0</v>
      </c>
      <c r="G163">
        <v>3047639.7</v>
      </c>
      <c r="H163">
        <v>162067</v>
      </c>
      <c r="I163">
        <v>2885572.7</v>
      </c>
      <c r="J163">
        <v>0</v>
      </c>
      <c r="L163">
        <v>0</v>
      </c>
      <c r="N163">
        <f t="shared" si="4"/>
        <v>2885572.7</v>
      </c>
    </row>
    <row r="164" spans="2:14" x14ac:dyDescent="0.3">
      <c r="B164" t="s">
        <v>204</v>
      </c>
      <c r="N164">
        <f t="shared" si="4"/>
        <v>0</v>
      </c>
    </row>
    <row r="165" spans="2:14" x14ac:dyDescent="0.3">
      <c r="B165" s="5" t="s">
        <v>13</v>
      </c>
      <c r="C165" s="5"/>
      <c r="D165" s="5"/>
      <c r="E165" s="5"/>
      <c r="F165" s="5"/>
      <c r="G165" s="5"/>
      <c r="H165" s="5"/>
      <c r="I165" s="5">
        <v>9991779.9000000004</v>
      </c>
      <c r="J165" s="5">
        <v>9991779.9000000004</v>
      </c>
      <c r="L165">
        <v>2885572.7</v>
      </c>
      <c r="N165">
        <f t="shared" si="4"/>
        <v>7106207.2000000002</v>
      </c>
    </row>
    <row r="167" spans="2:14" x14ac:dyDescent="0.3">
      <c r="L167" s="5">
        <v>9991779.9000000004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topLeftCell="A35" workbookViewId="0">
      <selection activeCell="D45" sqref="D45"/>
    </sheetView>
  </sheetViews>
  <sheetFormatPr defaultRowHeight="14.4" x14ac:dyDescent="0.3"/>
  <cols>
    <col min="1" max="1" width="37.6640625" bestFit="1" customWidth="1"/>
    <col min="3" max="3" width="12.88671875" bestFit="1" customWidth="1"/>
    <col min="4" max="4" width="38.6640625" bestFit="1" customWidth="1"/>
    <col min="5" max="5" width="10.33203125" bestFit="1" customWidth="1"/>
    <col min="6" max="6" width="12.88671875" bestFit="1" customWidth="1"/>
  </cols>
  <sheetData>
    <row r="1" spans="1:6" ht="19.8" x14ac:dyDescent="0.3">
      <c r="A1" s="274" t="s">
        <v>0</v>
      </c>
      <c r="B1" s="274"/>
      <c r="C1" s="274"/>
      <c r="D1" s="274"/>
      <c r="E1" s="274"/>
      <c r="F1" s="274"/>
    </row>
    <row r="2" spans="1:6" x14ac:dyDescent="0.3">
      <c r="A2" s="270" t="s">
        <v>82</v>
      </c>
      <c r="B2" s="270"/>
      <c r="C2" s="270"/>
      <c r="D2" s="270"/>
      <c r="E2" s="270"/>
      <c r="F2" s="270"/>
    </row>
    <row r="3" spans="1:6" x14ac:dyDescent="0.3">
      <c r="A3" s="279" t="s">
        <v>380</v>
      </c>
      <c r="B3" s="279"/>
      <c r="C3" s="279"/>
      <c r="D3" s="279"/>
      <c r="E3" s="279"/>
      <c r="F3" s="279"/>
    </row>
    <row r="4" spans="1:6" x14ac:dyDescent="0.3">
      <c r="A4" s="280" t="s">
        <v>283</v>
      </c>
      <c r="B4" s="281"/>
      <c r="C4" s="4" t="s">
        <v>137</v>
      </c>
      <c r="D4" s="281" t="s">
        <v>284</v>
      </c>
      <c r="E4" s="282"/>
      <c r="F4" s="4" t="str">
        <f>C4</f>
        <v>Amount</v>
      </c>
    </row>
    <row r="5" spans="1:6" x14ac:dyDescent="0.3">
      <c r="A5" s="88" t="s">
        <v>381</v>
      </c>
      <c r="B5" s="89"/>
      <c r="C5" s="90"/>
      <c r="D5" s="91" t="s">
        <v>54</v>
      </c>
      <c r="E5" s="92"/>
      <c r="F5" s="93">
        <v>7500</v>
      </c>
    </row>
    <row r="6" spans="1:6" x14ac:dyDescent="0.3">
      <c r="A6" s="94" t="s">
        <v>285</v>
      </c>
      <c r="B6" s="95">
        <v>93576.33</v>
      </c>
      <c r="C6" s="95"/>
      <c r="D6" s="91" t="s">
        <v>92</v>
      </c>
      <c r="E6" s="96"/>
      <c r="F6" s="93">
        <v>12000</v>
      </c>
    </row>
    <row r="7" spans="1:6" x14ac:dyDescent="0.3">
      <c r="A7" s="94" t="s">
        <v>286</v>
      </c>
      <c r="B7" s="95">
        <v>28466.83</v>
      </c>
      <c r="C7" s="95"/>
      <c r="D7" s="91" t="s">
        <v>52</v>
      </c>
      <c r="E7" s="96"/>
      <c r="F7" s="93">
        <v>5900</v>
      </c>
    </row>
    <row r="8" spans="1:6" x14ac:dyDescent="0.3">
      <c r="A8" s="94" t="s">
        <v>287</v>
      </c>
      <c r="B8" s="95">
        <v>28367.5</v>
      </c>
      <c r="C8" s="95"/>
      <c r="D8" s="91" t="s">
        <v>59</v>
      </c>
      <c r="E8" s="96"/>
      <c r="F8" s="97">
        <v>70.8</v>
      </c>
    </row>
    <row r="9" spans="1:6" x14ac:dyDescent="0.3">
      <c r="A9" s="94" t="s">
        <v>288</v>
      </c>
      <c r="B9" s="95">
        <v>8323</v>
      </c>
      <c r="C9" s="95"/>
      <c r="D9" s="91" t="s">
        <v>93</v>
      </c>
      <c r="E9" s="96"/>
      <c r="F9" s="93">
        <v>4780</v>
      </c>
    </row>
    <row r="10" spans="1:6" x14ac:dyDescent="0.3">
      <c r="A10" s="94" t="s">
        <v>289</v>
      </c>
      <c r="B10" s="98">
        <v>3841</v>
      </c>
      <c r="C10" s="95">
        <f>SUM(B6:B10)</f>
        <v>162574.66</v>
      </c>
      <c r="D10" s="91" t="s">
        <v>61</v>
      </c>
      <c r="E10" s="96"/>
      <c r="F10" s="93">
        <v>58195.24</v>
      </c>
    </row>
    <row r="11" spans="1:6" x14ac:dyDescent="0.3">
      <c r="A11" s="99"/>
      <c r="B11" s="95"/>
      <c r="C11" s="95"/>
      <c r="D11" s="91" t="s">
        <v>39</v>
      </c>
      <c r="E11" s="96"/>
      <c r="F11" s="93">
        <v>122850</v>
      </c>
    </row>
    <row r="12" spans="1:6" x14ac:dyDescent="0.3">
      <c r="A12" s="94" t="s">
        <v>290</v>
      </c>
      <c r="B12" s="95"/>
      <c r="C12" s="95">
        <v>1310290.7</v>
      </c>
      <c r="D12" s="91" t="s">
        <v>57</v>
      </c>
      <c r="E12" s="96"/>
      <c r="F12" s="97">
        <v>690</v>
      </c>
    </row>
    <row r="13" spans="1:6" x14ac:dyDescent="0.3">
      <c r="A13" s="94"/>
      <c r="B13" s="95"/>
      <c r="C13" s="95"/>
      <c r="D13" s="91" t="s">
        <v>206</v>
      </c>
      <c r="E13" s="96"/>
      <c r="F13" s="93">
        <v>10000</v>
      </c>
    </row>
    <row r="14" spans="1:6" x14ac:dyDescent="0.3">
      <c r="A14" s="94"/>
      <c r="B14" s="95"/>
      <c r="C14" s="95"/>
      <c r="D14" s="91" t="s">
        <v>45</v>
      </c>
      <c r="E14" s="96"/>
      <c r="F14" s="93">
        <v>11352</v>
      </c>
    </row>
    <row r="15" spans="1:6" x14ac:dyDescent="0.3">
      <c r="A15" s="88" t="s">
        <v>291</v>
      </c>
      <c r="B15" s="95"/>
      <c r="C15" s="95"/>
      <c r="D15" s="91" t="s">
        <v>292</v>
      </c>
      <c r="E15" s="96"/>
      <c r="F15" s="93">
        <f>6000+6000</f>
        <v>12000</v>
      </c>
    </row>
    <row r="16" spans="1:6" x14ac:dyDescent="0.3">
      <c r="A16" s="94" t="s">
        <v>81</v>
      </c>
      <c r="B16" s="100"/>
      <c r="C16" s="95">
        <v>173205</v>
      </c>
      <c r="D16" s="91" t="s">
        <v>293</v>
      </c>
      <c r="E16" s="96"/>
      <c r="F16" s="93">
        <v>6000</v>
      </c>
    </row>
    <row r="17" spans="1:6" x14ac:dyDescent="0.3">
      <c r="A17" s="94"/>
      <c r="B17" s="95"/>
      <c r="C17" s="95"/>
      <c r="D17" s="91" t="s">
        <v>50</v>
      </c>
      <c r="E17" s="96"/>
      <c r="F17" s="93">
        <v>57305</v>
      </c>
    </row>
    <row r="18" spans="1:6" x14ac:dyDescent="0.3">
      <c r="A18" s="101"/>
      <c r="B18" s="102"/>
      <c r="C18" s="102"/>
      <c r="D18" s="91" t="s">
        <v>294</v>
      </c>
      <c r="E18" s="96"/>
      <c r="F18" s="93">
        <v>14344</v>
      </c>
    </row>
    <row r="19" spans="1:6" x14ac:dyDescent="0.3">
      <c r="A19" s="103" t="s">
        <v>295</v>
      </c>
      <c r="B19" s="102"/>
      <c r="C19" s="95">
        <v>408559</v>
      </c>
      <c r="D19" s="91" t="s">
        <v>296</v>
      </c>
      <c r="E19" s="96"/>
      <c r="F19" s="93">
        <v>7650</v>
      </c>
    </row>
    <row r="20" spans="1:6" x14ac:dyDescent="0.3">
      <c r="A20" s="94"/>
      <c r="B20" s="100"/>
      <c r="C20" s="95"/>
      <c r="D20" s="91" t="s">
        <v>297</v>
      </c>
      <c r="E20" s="96"/>
      <c r="F20" s="93">
        <v>80490</v>
      </c>
    </row>
    <row r="21" spans="1:6" x14ac:dyDescent="0.3">
      <c r="A21" s="94"/>
      <c r="B21" s="95"/>
      <c r="C21" s="95"/>
      <c r="D21" s="91" t="s">
        <v>298</v>
      </c>
      <c r="E21" s="96"/>
      <c r="F21" s="93">
        <v>273800</v>
      </c>
    </row>
    <row r="22" spans="1:6" x14ac:dyDescent="0.3">
      <c r="A22" s="94"/>
      <c r="B22" s="95"/>
      <c r="C22" s="95"/>
      <c r="D22" s="91" t="s">
        <v>299</v>
      </c>
      <c r="E22" s="96"/>
      <c r="F22" s="97">
        <v>100</v>
      </c>
    </row>
    <row r="23" spans="1:6" x14ac:dyDescent="0.3">
      <c r="A23" s="94"/>
      <c r="B23" s="95"/>
      <c r="C23" s="95"/>
      <c r="D23" s="91" t="s">
        <v>56</v>
      </c>
      <c r="E23" s="96"/>
      <c r="F23" s="93">
        <v>5886</v>
      </c>
    </row>
    <row r="24" spans="1:6" x14ac:dyDescent="0.3">
      <c r="A24" s="94"/>
      <c r="B24" s="95"/>
      <c r="C24" s="95"/>
      <c r="D24" s="91" t="s">
        <v>60</v>
      </c>
      <c r="E24" s="96"/>
      <c r="F24" s="93">
        <v>7694</v>
      </c>
    </row>
    <row r="25" spans="1:6" x14ac:dyDescent="0.3">
      <c r="A25" s="94"/>
      <c r="B25" s="100"/>
      <c r="C25" s="95"/>
      <c r="D25" s="91" t="s">
        <v>46</v>
      </c>
      <c r="E25" s="96"/>
      <c r="F25" s="93">
        <v>17560</v>
      </c>
    </row>
    <row r="26" spans="1:6" x14ac:dyDescent="0.3">
      <c r="A26" s="94"/>
      <c r="B26" s="100"/>
      <c r="C26" s="95"/>
      <c r="D26" s="91" t="s">
        <v>300</v>
      </c>
      <c r="E26" s="96"/>
      <c r="F26" s="93">
        <v>6400</v>
      </c>
    </row>
    <row r="27" spans="1:6" x14ac:dyDescent="0.3">
      <c r="A27" s="94"/>
      <c r="B27" s="100"/>
      <c r="C27" s="95"/>
      <c r="D27" s="91" t="s">
        <v>301</v>
      </c>
      <c r="E27" s="96"/>
      <c r="F27" s="93">
        <v>7503</v>
      </c>
    </row>
    <row r="28" spans="1:6" x14ac:dyDescent="0.3">
      <c r="A28" s="94"/>
      <c r="B28" s="100"/>
      <c r="C28" s="95"/>
      <c r="D28" s="91" t="s">
        <v>58</v>
      </c>
      <c r="E28" s="96"/>
      <c r="F28" s="93">
        <v>93500</v>
      </c>
    </row>
    <row r="29" spans="1:6" x14ac:dyDescent="0.3">
      <c r="A29" s="94"/>
      <c r="B29" s="100"/>
      <c r="C29" s="95"/>
      <c r="D29" s="91" t="s">
        <v>302</v>
      </c>
      <c r="E29" s="96"/>
      <c r="F29" s="93">
        <v>241360</v>
      </c>
    </row>
    <row r="30" spans="1:6" x14ac:dyDescent="0.3">
      <c r="A30" s="94"/>
      <c r="B30" s="95"/>
      <c r="C30" s="95"/>
      <c r="D30" s="91" t="s">
        <v>38</v>
      </c>
      <c r="E30" s="96"/>
      <c r="F30" s="93">
        <v>18000</v>
      </c>
    </row>
    <row r="31" spans="1:6" x14ac:dyDescent="0.3">
      <c r="A31" s="94"/>
      <c r="B31" s="95"/>
      <c r="C31" s="95"/>
      <c r="D31" s="91" t="s">
        <v>49</v>
      </c>
      <c r="E31" s="96"/>
      <c r="F31" s="93">
        <v>271519</v>
      </c>
    </row>
    <row r="32" spans="1:6" x14ac:dyDescent="0.3">
      <c r="A32" s="94"/>
      <c r="B32" s="95"/>
      <c r="C32" s="95"/>
      <c r="D32" s="91" t="s">
        <v>303</v>
      </c>
      <c r="E32" s="96"/>
      <c r="F32" s="97">
        <v>600</v>
      </c>
    </row>
    <row r="33" spans="1:6" x14ac:dyDescent="0.3">
      <c r="A33" s="94"/>
      <c r="B33" s="95"/>
      <c r="C33" s="95"/>
      <c r="D33" s="91" t="s">
        <v>40</v>
      </c>
      <c r="E33" s="96"/>
      <c r="F33" s="93">
        <v>116096</v>
      </c>
    </row>
    <row r="34" spans="1:6" x14ac:dyDescent="0.3">
      <c r="A34" s="94"/>
      <c r="B34" s="95"/>
      <c r="C34" s="95"/>
      <c r="D34" s="91" t="s">
        <v>43</v>
      </c>
      <c r="E34" s="96"/>
      <c r="F34" s="93">
        <v>2100</v>
      </c>
    </row>
    <row r="35" spans="1:6" x14ac:dyDescent="0.3">
      <c r="A35" s="88"/>
      <c r="B35" s="95"/>
      <c r="C35" s="95"/>
      <c r="D35" s="91" t="s">
        <v>42</v>
      </c>
      <c r="E35" s="96"/>
      <c r="F35" s="93">
        <v>5664</v>
      </c>
    </row>
    <row r="36" spans="1:6" x14ac:dyDescent="0.3">
      <c r="A36" s="88"/>
      <c r="B36" s="95"/>
      <c r="C36" s="95"/>
      <c r="D36" s="91" t="s">
        <v>41</v>
      </c>
      <c r="E36" s="96"/>
      <c r="F36" s="93">
        <v>12100</v>
      </c>
    </row>
    <row r="37" spans="1:6" x14ac:dyDescent="0.3">
      <c r="A37" s="88"/>
      <c r="B37" s="95"/>
      <c r="C37" s="95"/>
      <c r="D37" s="91" t="s">
        <v>304</v>
      </c>
      <c r="E37" s="96"/>
      <c r="F37" s="93">
        <v>7500</v>
      </c>
    </row>
    <row r="38" spans="1:6" x14ac:dyDescent="0.3">
      <c r="A38" s="104"/>
      <c r="B38" s="95"/>
      <c r="C38" s="95"/>
      <c r="D38" s="105"/>
      <c r="E38" s="106"/>
      <c r="F38" s="107"/>
    </row>
    <row r="39" spans="1:6" x14ac:dyDescent="0.3">
      <c r="A39" s="94"/>
      <c r="B39" s="95"/>
      <c r="C39" s="95"/>
      <c r="D39" s="105"/>
      <c r="E39" s="106"/>
      <c r="F39" s="108"/>
    </row>
    <row r="40" spans="1:6" x14ac:dyDescent="0.3">
      <c r="A40" s="104"/>
      <c r="B40" s="100"/>
      <c r="C40" s="95"/>
      <c r="D40" s="105"/>
      <c r="E40" s="106"/>
      <c r="F40" s="108"/>
    </row>
    <row r="41" spans="1:6" x14ac:dyDescent="0.3">
      <c r="A41" s="94"/>
      <c r="B41" s="95"/>
      <c r="C41" s="95"/>
      <c r="D41" s="105"/>
      <c r="E41" s="106"/>
      <c r="F41" s="108"/>
    </row>
    <row r="42" spans="1:6" x14ac:dyDescent="0.3">
      <c r="A42" s="99"/>
      <c r="B42" s="95"/>
      <c r="C42" s="95"/>
      <c r="D42" s="91" t="s">
        <v>295</v>
      </c>
      <c r="E42" s="109"/>
      <c r="F42" s="93">
        <v>356464</v>
      </c>
    </row>
    <row r="43" spans="1:6" x14ac:dyDescent="0.3">
      <c r="A43" s="94"/>
      <c r="B43" s="90"/>
      <c r="C43" s="90"/>
      <c r="D43" s="105"/>
      <c r="E43" s="106"/>
      <c r="F43" s="108"/>
    </row>
    <row r="44" spans="1:6" x14ac:dyDescent="0.3">
      <c r="A44" s="110"/>
      <c r="B44" s="111"/>
      <c r="C44" s="111"/>
      <c r="D44" s="120" t="s">
        <v>382</v>
      </c>
      <c r="E44" s="112"/>
      <c r="F44" s="112"/>
    </row>
    <row r="45" spans="1:6" x14ac:dyDescent="0.3">
      <c r="A45" s="113"/>
      <c r="B45" s="114"/>
      <c r="C45" s="114"/>
      <c r="D45" s="91" t="s">
        <v>305</v>
      </c>
      <c r="E45" s="115">
        <v>106630.79</v>
      </c>
      <c r="F45" s="116"/>
    </row>
    <row r="46" spans="1:6" x14ac:dyDescent="0.3">
      <c r="A46" s="113"/>
      <c r="B46" s="114"/>
      <c r="C46" s="114"/>
      <c r="D46" s="91" t="s">
        <v>306</v>
      </c>
      <c r="E46" s="115">
        <v>55322.03</v>
      </c>
      <c r="F46" s="116"/>
    </row>
    <row r="47" spans="1:6" x14ac:dyDescent="0.3">
      <c r="A47" s="113"/>
      <c r="B47" s="114"/>
      <c r="C47" s="114"/>
      <c r="D47" s="91" t="s">
        <v>307</v>
      </c>
      <c r="E47" s="115">
        <v>28945.5</v>
      </c>
      <c r="F47" s="116"/>
    </row>
    <row r="48" spans="1:6" x14ac:dyDescent="0.3">
      <c r="A48" s="113"/>
      <c r="B48" s="114"/>
      <c r="C48" s="114"/>
      <c r="D48" s="91" t="s">
        <v>308</v>
      </c>
      <c r="E48" s="115">
        <v>8323</v>
      </c>
      <c r="F48" s="116"/>
    </row>
    <row r="49" spans="1:7" x14ac:dyDescent="0.3">
      <c r="A49" s="113"/>
      <c r="B49" s="114"/>
      <c r="C49" s="114"/>
      <c r="D49" s="91" t="s">
        <v>309</v>
      </c>
      <c r="E49" s="117">
        <v>435</v>
      </c>
      <c r="F49" s="118">
        <f>SUM(E45:E49)</f>
        <v>199656.32000000001</v>
      </c>
    </row>
    <row r="50" spans="1:7" x14ac:dyDescent="0.3">
      <c r="A50" s="113"/>
      <c r="B50" s="114"/>
      <c r="C50" s="114"/>
      <c r="D50" s="91"/>
      <c r="E50" s="96"/>
      <c r="F50" s="107"/>
    </row>
    <row r="51" spans="1:7" x14ac:dyDescent="0.3">
      <c r="A51" s="277" t="s">
        <v>13</v>
      </c>
      <c r="B51" s="278"/>
      <c r="C51" s="119">
        <f>SUM(C5:C50)</f>
        <v>2054629.3599999999</v>
      </c>
      <c r="D51" s="277" t="s">
        <v>13</v>
      </c>
      <c r="E51" s="278"/>
      <c r="F51" s="173">
        <f>SUM(F4:F50)</f>
        <v>2054629.36</v>
      </c>
      <c r="G51" s="172"/>
    </row>
  </sheetData>
  <mergeCells count="7">
    <mergeCell ref="A51:B51"/>
    <mergeCell ref="D51:E51"/>
    <mergeCell ref="A1:F1"/>
    <mergeCell ref="A2:F2"/>
    <mergeCell ref="A3:F3"/>
    <mergeCell ref="A4:B4"/>
    <mergeCell ref="D4:E4"/>
  </mergeCells>
  <hyperlinks>
    <hyperlink ref="A12" r:id="rId1" display="https://in.adda.io/modules/bank_cash_reports_view.php?report=Period"/>
    <hyperlink ref="D42" r:id="rId2" display="https://in.adda.io/modules/bank_cash_reports_view.php?report=Period"/>
  </hyperlinks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workbookViewId="0">
      <selection activeCell="N7" sqref="N7"/>
    </sheetView>
  </sheetViews>
  <sheetFormatPr defaultRowHeight="14.4" x14ac:dyDescent="0.3"/>
  <cols>
    <col min="1" max="1" width="3.109375" bestFit="1" customWidth="1"/>
    <col min="2" max="2" width="17.33203125" bestFit="1" customWidth="1"/>
    <col min="3" max="3" width="11.5546875" style="44" bestFit="1" customWidth="1"/>
    <col min="4" max="4" width="12.5546875" bestFit="1" customWidth="1"/>
    <col min="5" max="7" width="11.5546875" customWidth="1"/>
    <col min="8" max="8" width="12.5546875" bestFit="1" customWidth="1"/>
    <col min="9" max="9" width="10.33203125" style="184" bestFit="1" customWidth="1"/>
    <col min="10" max="10" width="12.5546875" bestFit="1" customWidth="1"/>
    <col min="11" max="11" width="6" style="219" bestFit="1" customWidth="1"/>
    <col min="12" max="12" width="12.33203125" bestFit="1" customWidth="1"/>
    <col min="13" max="13" width="8.109375" bestFit="1" customWidth="1"/>
    <col min="14" max="14" width="20.6640625" bestFit="1" customWidth="1"/>
    <col min="16" max="16" width="9.5546875" bestFit="1" customWidth="1"/>
    <col min="17" max="18" width="12.33203125" bestFit="1" customWidth="1"/>
    <col min="19" max="19" width="13.109375" bestFit="1" customWidth="1"/>
  </cols>
  <sheetData>
    <row r="1" spans="1:19" x14ac:dyDescent="0.3">
      <c r="A1" s="270" t="s">
        <v>0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</row>
    <row r="2" spans="1:19" x14ac:dyDescent="0.3">
      <c r="A2" s="267" t="s">
        <v>577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</row>
    <row r="3" spans="1:19" x14ac:dyDescent="0.3">
      <c r="A3" s="8"/>
      <c r="B3" s="8"/>
      <c r="C3" s="8"/>
      <c r="D3" s="8"/>
      <c r="E3" s="8"/>
      <c r="F3" s="8"/>
      <c r="G3" s="8"/>
      <c r="H3" s="8"/>
      <c r="I3" s="200"/>
      <c r="J3" s="8"/>
      <c r="K3" s="201"/>
      <c r="L3" s="8"/>
    </row>
    <row r="4" spans="1:19" s="5" customFormat="1" ht="28.8" x14ac:dyDescent="0.3">
      <c r="A4" s="69" t="s">
        <v>596</v>
      </c>
      <c r="B4" s="69" t="s">
        <v>597</v>
      </c>
      <c r="C4" s="69" t="s">
        <v>151</v>
      </c>
      <c r="D4" s="202" t="s">
        <v>153</v>
      </c>
      <c r="E4" s="202" t="s">
        <v>586</v>
      </c>
      <c r="F4" s="202" t="s">
        <v>587</v>
      </c>
      <c r="G4" s="202" t="s">
        <v>590</v>
      </c>
      <c r="H4" s="202" t="s">
        <v>13</v>
      </c>
      <c r="I4" s="203" t="s">
        <v>156</v>
      </c>
      <c r="J4" s="202" t="s">
        <v>158</v>
      </c>
      <c r="K4" s="204" t="s">
        <v>207</v>
      </c>
      <c r="L4" s="69" t="s">
        <v>183</v>
      </c>
    </row>
    <row r="5" spans="1:19" x14ac:dyDescent="0.3">
      <c r="A5" s="46"/>
      <c r="B5" s="48" t="s">
        <v>3</v>
      </c>
      <c r="C5" s="46"/>
      <c r="D5" s="205"/>
      <c r="E5" s="205"/>
      <c r="F5" s="205"/>
      <c r="G5" s="205"/>
      <c r="H5" s="205"/>
      <c r="I5" s="206"/>
      <c r="J5" s="205"/>
      <c r="K5" s="207"/>
      <c r="L5" s="46"/>
      <c r="Q5" s="44"/>
    </row>
    <row r="6" spans="1:19" x14ac:dyDescent="0.3">
      <c r="A6" s="3">
        <v>1</v>
      </c>
      <c r="B6" s="50" t="s">
        <v>547</v>
      </c>
      <c r="C6" s="263">
        <v>45744</v>
      </c>
      <c r="D6" s="208">
        <v>29460</v>
      </c>
      <c r="E6" s="195">
        <v>18</v>
      </c>
      <c r="F6" s="195">
        <f>2208-221</f>
        <v>1987</v>
      </c>
      <c r="G6" s="195">
        <f>SUM(E6:F6)</f>
        <v>2005</v>
      </c>
      <c r="H6" s="195">
        <f>SUM(D6:F6)</f>
        <v>31465</v>
      </c>
      <c r="I6" s="209">
        <v>46744</v>
      </c>
      <c r="J6" s="195">
        <v>35513</v>
      </c>
      <c r="K6" s="210" t="s">
        <v>598</v>
      </c>
      <c r="L6" s="211" t="s">
        <v>184</v>
      </c>
      <c r="N6" t="s">
        <v>601</v>
      </c>
      <c r="Q6" s="12"/>
      <c r="R6" s="12"/>
      <c r="S6" s="12"/>
    </row>
    <row r="7" spans="1:19" x14ac:dyDescent="0.3">
      <c r="A7" s="3">
        <v>2</v>
      </c>
      <c r="B7" s="50" t="s">
        <v>588</v>
      </c>
      <c r="C7" s="263">
        <v>46101</v>
      </c>
      <c r="D7" s="208">
        <v>29460</v>
      </c>
      <c r="E7" s="195">
        <v>0</v>
      </c>
      <c r="F7" s="195">
        <f>56-5</f>
        <v>51</v>
      </c>
      <c r="G7" s="195">
        <f>SUM(E7:F7)</f>
        <v>51</v>
      </c>
      <c r="H7" s="195">
        <f>SUM(D7:F7)</f>
        <v>29511</v>
      </c>
      <c r="I7" s="261">
        <v>47101</v>
      </c>
      <c r="J7" s="195">
        <v>34585</v>
      </c>
      <c r="K7" s="210" t="s">
        <v>599</v>
      </c>
      <c r="L7" s="211" t="s">
        <v>184</v>
      </c>
      <c r="N7" t="s">
        <v>601</v>
      </c>
      <c r="Q7" s="12"/>
      <c r="R7" s="12"/>
      <c r="S7" s="12"/>
    </row>
    <row r="8" spans="1:19" x14ac:dyDescent="0.3">
      <c r="A8" s="44"/>
      <c r="B8" s="285" t="s">
        <v>13</v>
      </c>
      <c r="C8" s="286"/>
      <c r="D8" s="259">
        <f>SUM(D6:D7)</f>
        <v>58920</v>
      </c>
      <c r="E8" s="259">
        <f t="shared" ref="E8:J8" si="0">SUM(E6:E7)</f>
        <v>18</v>
      </c>
      <c r="F8" s="259">
        <f t="shared" si="0"/>
        <v>2038</v>
      </c>
      <c r="G8" s="259">
        <f t="shared" si="0"/>
        <v>2056</v>
      </c>
      <c r="H8" s="259">
        <f t="shared" si="0"/>
        <v>60976</v>
      </c>
      <c r="I8" s="213"/>
      <c r="J8" s="259">
        <f t="shared" si="0"/>
        <v>70098</v>
      </c>
      <c r="K8" s="198"/>
      <c r="L8" s="214"/>
      <c r="Q8" s="12"/>
      <c r="R8" s="12"/>
      <c r="S8" s="12"/>
    </row>
    <row r="9" spans="1:19" x14ac:dyDescent="0.3">
      <c r="A9" s="44"/>
      <c r="D9" s="215"/>
      <c r="E9" s="196"/>
      <c r="F9" s="196"/>
      <c r="G9" s="196"/>
      <c r="H9" s="196"/>
      <c r="I9" s="213"/>
      <c r="J9" s="196"/>
      <c r="K9" s="199"/>
      <c r="L9" s="214"/>
      <c r="Q9" s="12"/>
      <c r="S9" s="12"/>
    </row>
    <row r="10" spans="1:19" x14ac:dyDescent="0.3">
      <c r="A10" s="44"/>
      <c r="B10" s="8" t="s">
        <v>199</v>
      </c>
      <c r="D10" s="215"/>
      <c r="E10" s="196"/>
      <c r="F10" s="196"/>
      <c r="G10" s="196"/>
      <c r="H10" s="196"/>
      <c r="I10" s="213"/>
      <c r="J10" s="196"/>
      <c r="K10" s="199"/>
      <c r="L10" s="214"/>
      <c r="Q10" s="12"/>
      <c r="S10" s="12"/>
    </row>
    <row r="11" spans="1:19" x14ac:dyDescent="0.3">
      <c r="A11" s="3">
        <v>3</v>
      </c>
      <c r="B11" s="50" t="s">
        <v>180</v>
      </c>
      <c r="C11" s="263">
        <v>46002</v>
      </c>
      <c r="D11" s="208">
        <v>215813</v>
      </c>
      <c r="E11" s="195">
        <v>0</v>
      </c>
      <c r="F11" s="195">
        <f>4207-418</f>
        <v>3789</v>
      </c>
      <c r="G11" s="195">
        <f t="shared" ref="G11:G20" si="1">SUM(E11:F11)</f>
        <v>3789</v>
      </c>
      <c r="H11" s="195">
        <f t="shared" ref="H11:H20" si="2">SUM(D11:F11)</f>
        <v>219602</v>
      </c>
      <c r="I11" s="261">
        <v>46502</v>
      </c>
      <c r="J11" s="195">
        <v>234734</v>
      </c>
      <c r="K11" s="210">
        <v>6.4000000000000001E-2</v>
      </c>
      <c r="L11" s="211" t="s">
        <v>184</v>
      </c>
      <c r="P11" s="12"/>
      <c r="Q11" s="129"/>
    </row>
    <row r="12" spans="1:19" x14ac:dyDescent="0.3">
      <c r="A12" s="3">
        <v>4</v>
      </c>
      <c r="B12" s="50" t="s">
        <v>181</v>
      </c>
      <c r="C12" s="263">
        <v>45503</v>
      </c>
      <c r="D12" s="208">
        <v>122347</v>
      </c>
      <c r="E12" s="195">
        <v>2433</v>
      </c>
      <c r="F12" s="195">
        <f>8872-888</f>
        <v>7984</v>
      </c>
      <c r="G12" s="195">
        <f t="shared" si="1"/>
        <v>10417</v>
      </c>
      <c r="H12" s="195">
        <f t="shared" si="2"/>
        <v>132764</v>
      </c>
      <c r="I12" s="209">
        <v>46137</v>
      </c>
      <c r="J12" s="195">
        <v>134498</v>
      </c>
      <c r="K12" s="210" t="s">
        <v>600</v>
      </c>
      <c r="L12" s="211" t="s">
        <v>184</v>
      </c>
    </row>
    <row r="13" spans="1:19" x14ac:dyDescent="0.3">
      <c r="A13" s="3">
        <v>5</v>
      </c>
      <c r="B13" s="50" t="s">
        <v>182</v>
      </c>
      <c r="C13" s="263">
        <v>45503</v>
      </c>
      <c r="D13" s="208">
        <v>122347</v>
      </c>
      <c r="E13" s="195">
        <v>2433</v>
      </c>
      <c r="F13" s="195">
        <f>8872-888</f>
        <v>7984</v>
      </c>
      <c r="G13" s="195">
        <f t="shared" si="1"/>
        <v>10417</v>
      </c>
      <c r="H13" s="195">
        <f t="shared" si="2"/>
        <v>132764</v>
      </c>
      <c r="I13" s="209">
        <v>46137</v>
      </c>
      <c r="J13" s="195">
        <v>134498</v>
      </c>
      <c r="K13" s="210" t="s">
        <v>600</v>
      </c>
      <c r="L13" s="211" t="s">
        <v>184</v>
      </c>
      <c r="R13" s="12"/>
    </row>
    <row r="14" spans="1:19" x14ac:dyDescent="0.3">
      <c r="A14" s="3">
        <v>6</v>
      </c>
      <c r="B14" s="50" t="s">
        <v>186</v>
      </c>
      <c r="C14" s="263">
        <v>45490</v>
      </c>
      <c r="D14" s="208">
        <v>462141</v>
      </c>
      <c r="E14" s="195">
        <v>10300</v>
      </c>
      <c r="F14" s="195">
        <f>33504-3350</f>
        <v>30154</v>
      </c>
      <c r="G14" s="195">
        <f t="shared" si="1"/>
        <v>40454</v>
      </c>
      <c r="H14" s="195">
        <f t="shared" si="2"/>
        <v>502595</v>
      </c>
      <c r="I14" s="209">
        <v>46124</v>
      </c>
      <c r="J14" s="195">
        <v>508039</v>
      </c>
      <c r="K14" s="210" t="s">
        <v>600</v>
      </c>
      <c r="L14" s="211" t="s">
        <v>184</v>
      </c>
      <c r="N14" s="12"/>
      <c r="R14" s="12"/>
    </row>
    <row r="15" spans="1:19" x14ac:dyDescent="0.3">
      <c r="A15" s="3">
        <v>7</v>
      </c>
      <c r="B15" s="50" t="s">
        <v>187</v>
      </c>
      <c r="C15" s="263">
        <v>45503</v>
      </c>
      <c r="D15" s="208">
        <v>122347</v>
      </c>
      <c r="E15" s="195">
        <v>2433</v>
      </c>
      <c r="F15" s="195">
        <f>8872-888</f>
        <v>7984</v>
      </c>
      <c r="G15" s="195">
        <f t="shared" si="1"/>
        <v>10417</v>
      </c>
      <c r="H15" s="195">
        <f t="shared" si="2"/>
        <v>132764</v>
      </c>
      <c r="I15" s="209">
        <v>46137</v>
      </c>
      <c r="J15" s="195">
        <v>134498</v>
      </c>
      <c r="K15" s="210" t="s">
        <v>600</v>
      </c>
      <c r="L15" s="211" t="s">
        <v>184</v>
      </c>
    </row>
    <row r="16" spans="1:19" x14ac:dyDescent="0.3">
      <c r="A16" s="3">
        <v>8</v>
      </c>
      <c r="B16" s="50" t="s">
        <v>189</v>
      </c>
      <c r="C16" s="263">
        <v>45503</v>
      </c>
      <c r="D16" s="208">
        <v>122347</v>
      </c>
      <c r="E16" s="195">
        <v>2433</v>
      </c>
      <c r="F16" s="195">
        <f>8872-888</f>
        <v>7984</v>
      </c>
      <c r="G16" s="195">
        <f t="shared" si="1"/>
        <v>10417</v>
      </c>
      <c r="H16" s="195">
        <f t="shared" si="2"/>
        <v>132764</v>
      </c>
      <c r="I16" s="209">
        <v>46137</v>
      </c>
      <c r="J16" s="195">
        <v>134498</v>
      </c>
      <c r="K16" s="210" t="s">
        <v>600</v>
      </c>
      <c r="L16" s="211" t="s">
        <v>184</v>
      </c>
    </row>
    <row r="17" spans="1:12" x14ac:dyDescent="0.3">
      <c r="A17" s="3">
        <v>9</v>
      </c>
      <c r="B17" s="50" t="s">
        <v>190</v>
      </c>
      <c r="C17" s="263">
        <v>45503</v>
      </c>
      <c r="D17" s="208">
        <v>122347</v>
      </c>
      <c r="E17" s="195">
        <v>2433</v>
      </c>
      <c r="F17" s="195">
        <f>8872-888</f>
        <v>7984</v>
      </c>
      <c r="G17" s="195">
        <f t="shared" si="1"/>
        <v>10417</v>
      </c>
      <c r="H17" s="195">
        <f t="shared" si="2"/>
        <v>132764</v>
      </c>
      <c r="I17" s="209">
        <v>46137</v>
      </c>
      <c r="J17" s="195">
        <v>134498</v>
      </c>
      <c r="K17" s="210" t="s">
        <v>600</v>
      </c>
      <c r="L17" s="211" t="s">
        <v>184</v>
      </c>
    </row>
    <row r="18" spans="1:12" x14ac:dyDescent="0.3">
      <c r="A18" s="3">
        <v>10</v>
      </c>
      <c r="B18" s="50" t="s">
        <v>548</v>
      </c>
      <c r="C18" s="263">
        <v>45744</v>
      </c>
      <c r="D18" s="208">
        <v>200000</v>
      </c>
      <c r="E18" s="195">
        <v>110</v>
      </c>
      <c r="F18" s="195">
        <f>15000-1501</f>
        <v>13499</v>
      </c>
      <c r="G18" s="195">
        <f t="shared" si="1"/>
        <v>13609</v>
      </c>
      <c r="H18" s="195">
        <f t="shared" si="2"/>
        <v>213609</v>
      </c>
      <c r="I18" s="209">
        <v>46744</v>
      </c>
      <c r="J18" s="195">
        <v>241096</v>
      </c>
      <c r="K18" s="210" t="s">
        <v>598</v>
      </c>
      <c r="L18" s="211" t="s">
        <v>184</v>
      </c>
    </row>
    <row r="19" spans="1:12" x14ac:dyDescent="0.3">
      <c r="A19" s="3">
        <v>11</v>
      </c>
      <c r="B19" s="50" t="s">
        <v>549</v>
      </c>
      <c r="C19" s="263">
        <v>45744</v>
      </c>
      <c r="D19" s="208">
        <v>200000</v>
      </c>
      <c r="E19" s="195">
        <v>110</v>
      </c>
      <c r="F19" s="195">
        <f>15000-1501</f>
        <v>13499</v>
      </c>
      <c r="G19" s="195">
        <f t="shared" si="1"/>
        <v>13609</v>
      </c>
      <c r="H19" s="195">
        <f t="shared" si="2"/>
        <v>213609</v>
      </c>
      <c r="I19" s="209">
        <v>46744</v>
      </c>
      <c r="J19" s="195">
        <v>241096</v>
      </c>
      <c r="K19" s="210" t="s">
        <v>598</v>
      </c>
      <c r="L19" s="211" t="s">
        <v>184</v>
      </c>
    </row>
    <row r="20" spans="1:12" x14ac:dyDescent="0.3">
      <c r="A20" s="3">
        <v>12</v>
      </c>
      <c r="B20" s="50" t="s">
        <v>550</v>
      </c>
      <c r="C20" s="263">
        <v>45744</v>
      </c>
      <c r="D20" s="208">
        <v>200000</v>
      </c>
      <c r="E20" s="195">
        <v>110</v>
      </c>
      <c r="F20" s="195">
        <f>15000-1501</f>
        <v>13499</v>
      </c>
      <c r="G20" s="195">
        <f t="shared" si="1"/>
        <v>13609</v>
      </c>
      <c r="H20" s="195">
        <f t="shared" si="2"/>
        <v>213609</v>
      </c>
      <c r="I20" s="209">
        <v>46744</v>
      </c>
      <c r="J20" s="195">
        <v>241096</v>
      </c>
      <c r="K20" s="210" t="s">
        <v>598</v>
      </c>
      <c r="L20" s="211" t="s">
        <v>184</v>
      </c>
    </row>
    <row r="21" spans="1:12" x14ac:dyDescent="0.3">
      <c r="B21" s="287" t="s">
        <v>13</v>
      </c>
      <c r="C21" s="288"/>
      <c r="D21" s="212">
        <f>SUM(D11:D20)</f>
        <v>1889689</v>
      </c>
      <c r="E21" s="212">
        <f>SUM(E11:E20)</f>
        <v>22795</v>
      </c>
      <c r="F21" s="212">
        <f>SUM(F11:F20)</f>
        <v>114360</v>
      </c>
      <c r="G21" s="259">
        <f>SUM(G11:G20)</f>
        <v>137155</v>
      </c>
      <c r="H21" s="212">
        <f>SUM(H11:H20)</f>
        <v>2026844</v>
      </c>
      <c r="I21" s="216"/>
      <c r="J21" s="212">
        <f>SUM(J11:J20)</f>
        <v>2138551</v>
      </c>
      <c r="K21" s="217"/>
    </row>
    <row r="22" spans="1:12" x14ac:dyDescent="0.3">
      <c r="B22" s="8"/>
      <c r="D22" s="218"/>
      <c r="E22" s="218"/>
      <c r="F22" s="218"/>
      <c r="G22" s="218"/>
      <c r="H22" s="218"/>
      <c r="I22" s="216"/>
      <c r="J22" s="218"/>
      <c r="K22" s="217"/>
    </row>
    <row r="23" spans="1:12" x14ac:dyDescent="0.3">
      <c r="B23" s="8" t="s">
        <v>551</v>
      </c>
      <c r="D23" s="218"/>
      <c r="E23" s="218"/>
      <c r="F23" s="218"/>
      <c r="G23" s="218"/>
      <c r="H23" s="218"/>
      <c r="I23" s="216"/>
      <c r="J23" s="218"/>
      <c r="K23" s="217"/>
    </row>
    <row r="24" spans="1:12" x14ac:dyDescent="0.3">
      <c r="A24" s="3">
        <v>13</v>
      </c>
      <c r="B24" s="50" t="s">
        <v>552</v>
      </c>
      <c r="C24" s="264">
        <v>45744</v>
      </c>
      <c r="D24" s="208">
        <v>98304</v>
      </c>
      <c r="E24" s="195">
        <f>61-7</f>
        <v>54</v>
      </c>
      <c r="F24" s="195">
        <f>7372-740</f>
        <v>6632</v>
      </c>
      <c r="G24" s="195">
        <f t="shared" ref="G24:G25" si="3">SUM(E24:F24)</f>
        <v>6686</v>
      </c>
      <c r="H24" s="195">
        <f t="shared" ref="H24:H25" si="4">SUM(D24:F24)</f>
        <v>104990</v>
      </c>
      <c r="I24" s="262">
        <v>46744</v>
      </c>
      <c r="J24" s="195">
        <v>118503</v>
      </c>
      <c r="K24" s="210" t="s">
        <v>598</v>
      </c>
      <c r="L24" s="211" t="s">
        <v>184</v>
      </c>
    </row>
    <row r="25" spans="1:12" x14ac:dyDescent="0.3">
      <c r="A25" s="3">
        <v>14</v>
      </c>
      <c r="B25" s="50" t="s">
        <v>589</v>
      </c>
      <c r="C25" s="264">
        <v>46101</v>
      </c>
      <c r="D25" s="208">
        <v>98304</v>
      </c>
      <c r="E25" s="195">
        <v>0</v>
      </c>
      <c r="F25" s="195">
        <f>188-19</f>
        <v>169</v>
      </c>
      <c r="G25" s="195">
        <f t="shared" si="3"/>
        <v>169</v>
      </c>
      <c r="H25" s="195">
        <f t="shared" si="4"/>
        <v>98473</v>
      </c>
      <c r="I25" s="261">
        <v>47101</v>
      </c>
      <c r="J25" s="195">
        <v>115406</v>
      </c>
      <c r="K25" s="210">
        <v>6.3500000000000001E-2</v>
      </c>
      <c r="L25" s="211" t="s">
        <v>184</v>
      </c>
    </row>
    <row r="26" spans="1:12" x14ac:dyDescent="0.3">
      <c r="B26" s="285" t="s">
        <v>13</v>
      </c>
      <c r="C26" s="286"/>
      <c r="D26" s="259">
        <f>SUM(D24:D25)</f>
        <v>196608</v>
      </c>
      <c r="E26" s="259">
        <f t="shared" ref="E26:J26" si="5">SUM(E24:E25)</f>
        <v>54</v>
      </c>
      <c r="F26" s="259">
        <f t="shared" si="5"/>
        <v>6801</v>
      </c>
      <c r="G26" s="259">
        <f t="shared" si="5"/>
        <v>6855</v>
      </c>
      <c r="H26" s="259">
        <f t="shared" si="5"/>
        <v>203463</v>
      </c>
      <c r="I26" s="216"/>
      <c r="J26" s="259">
        <f t="shared" si="5"/>
        <v>233909</v>
      </c>
      <c r="K26" s="217"/>
    </row>
    <row r="27" spans="1:12" x14ac:dyDescent="0.3">
      <c r="B27" s="8"/>
      <c r="D27" s="218"/>
      <c r="E27" s="218"/>
      <c r="F27" s="218"/>
      <c r="G27" s="218"/>
      <c r="H27" s="218"/>
      <c r="I27" s="216"/>
      <c r="J27" s="218"/>
      <c r="K27" s="217"/>
    </row>
    <row r="28" spans="1:12" x14ac:dyDescent="0.3">
      <c r="B28" s="283" t="s">
        <v>200</v>
      </c>
      <c r="C28" s="284"/>
      <c r="D28" s="212">
        <f>+D8+D21+D26</f>
        <v>2145217</v>
      </c>
      <c r="E28" s="212">
        <f>+E8+E21+E26</f>
        <v>22867</v>
      </c>
      <c r="F28" s="212">
        <f>+F8+F21+F26</f>
        <v>123199</v>
      </c>
      <c r="G28" s="212">
        <f>+G8+G21+G26</f>
        <v>146066</v>
      </c>
      <c r="H28" s="212">
        <f>+H8+H21+H26</f>
        <v>2291283</v>
      </c>
      <c r="I28" s="216"/>
      <c r="J28" s="212">
        <f>+J8+J21+J26</f>
        <v>2442558</v>
      </c>
      <c r="K28" s="217"/>
    </row>
    <row r="29" spans="1:12" x14ac:dyDescent="0.3">
      <c r="E29" s="194"/>
      <c r="F29" s="194"/>
      <c r="G29" s="194"/>
    </row>
    <row r="30" spans="1:12" x14ac:dyDescent="0.3">
      <c r="E30" s="12"/>
      <c r="F30" s="12"/>
      <c r="G30" s="12"/>
      <c r="H30" s="194"/>
    </row>
    <row r="33" spans="5:10" x14ac:dyDescent="0.3">
      <c r="E33" s="12"/>
      <c r="F33" s="12"/>
      <c r="G33" s="12"/>
    </row>
    <row r="37" spans="5:10" x14ac:dyDescent="0.3">
      <c r="J37" s="12"/>
    </row>
    <row r="38" spans="5:10" x14ac:dyDescent="0.3">
      <c r="E38" s="12"/>
      <c r="F38" s="12"/>
      <c r="G38" s="12"/>
    </row>
  </sheetData>
  <mergeCells count="6">
    <mergeCell ref="A1:L1"/>
    <mergeCell ref="A2:L2"/>
    <mergeCell ref="B28:C28"/>
    <mergeCell ref="B8:C8"/>
    <mergeCell ref="B21:C21"/>
    <mergeCell ref="B26:C2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opLeftCell="A3" workbookViewId="0">
      <selection activeCell="A2" sqref="A2:I2"/>
    </sheetView>
  </sheetViews>
  <sheetFormatPr defaultRowHeight="14.4" x14ac:dyDescent="0.3"/>
  <cols>
    <col min="1" max="1" width="5.6640625" bestFit="1" customWidth="1"/>
    <col min="2" max="2" width="21.44140625" bestFit="1" customWidth="1"/>
    <col min="3" max="3" width="5.44140625" bestFit="1" customWidth="1"/>
    <col min="4" max="4" width="12.5546875" bestFit="1" customWidth="1"/>
    <col min="5" max="5" width="10.109375" customWidth="1"/>
    <col min="6" max="6" width="10.44140625" customWidth="1"/>
    <col min="7" max="7" width="12.5546875" bestFit="1" customWidth="1"/>
    <col min="8" max="8" width="10" bestFit="1" customWidth="1"/>
    <col min="9" max="9" width="12.5546875" bestFit="1" customWidth="1"/>
    <col min="11" max="11" width="11.33203125" bestFit="1" customWidth="1"/>
  </cols>
  <sheetData>
    <row r="1" spans="1:12" ht="19.8" x14ac:dyDescent="0.3">
      <c r="A1" s="274" t="s">
        <v>0</v>
      </c>
      <c r="B1" s="274"/>
      <c r="C1" s="274"/>
      <c r="D1" s="274"/>
      <c r="E1" s="274"/>
      <c r="F1" s="274"/>
      <c r="G1" s="274"/>
      <c r="H1" s="274"/>
      <c r="I1" s="274"/>
    </row>
    <row r="2" spans="1:12" x14ac:dyDescent="0.3">
      <c r="A2" s="289" t="s">
        <v>578</v>
      </c>
      <c r="B2" s="289"/>
      <c r="C2" s="289"/>
      <c r="D2" s="289"/>
      <c r="E2" s="289"/>
      <c r="F2" s="289"/>
      <c r="G2" s="289"/>
      <c r="H2" s="289"/>
      <c r="I2" s="289"/>
    </row>
    <row r="3" spans="1:12" s="5" customFormat="1" ht="72" x14ac:dyDescent="0.3">
      <c r="A3" s="85" t="s">
        <v>103</v>
      </c>
      <c r="B3" s="69" t="s">
        <v>99</v>
      </c>
      <c r="C3" s="70" t="s">
        <v>100</v>
      </c>
      <c r="D3" s="70" t="s">
        <v>579</v>
      </c>
      <c r="E3" s="70" t="s">
        <v>580</v>
      </c>
      <c r="F3" s="70" t="s">
        <v>581</v>
      </c>
      <c r="G3" s="70" t="s">
        <v>582</v>
      </c>
      <c r="H3" s="70" t="s">
        <v>101</v>
      </c>
      <c r="I3" s="70" t="s">
        <v>583</v>
      </c>
      <c r="K3"/>
    </row>
    <row r="4" spans="1:12" x14ac:dyDescent="0.3">
      <c r="A4" s="174">
        <v>1</v>
      </c>
      <c r="B4" s="2" t="s">
        <v>102</v>
      </c>
      <c r="C4" s="24">
        <v>0.1</v>
      </c>
      <c r="D4" s="252">
        <v>33892</v>
      </c>
      <c r="E4" s="175">
        <v>0</v>
      </c>
      <c r="F4" s="252">
        <v>0</v>
      </c>
      <c r="G4" s="175">
        <f t="shared" ref="G4:G18" si="0">SUM(D4:F4)</f>
        <v>33892</v>
      </c>
      <c r="H4" s="252">
        <f t="shared" ref="H4:H18" si="1">ROUND((D4+E4)*C4+(F4*C4/2),0)</f>
        <v>3389</v>
      </c>
      <c r="I4" s="251">
        <f t="shared" ref="I4:I18" si="2">G4-H4</f>
        <v>30503</v>
      </c>
    </row>
    <row r="5" spans="1:12" x14ac:dyDescent="0.3">
      <c r="A5" s="174">
        <v>2</v>
      </c>
      <c r="B5" s="2" t="s">
        <v>32</v>
      </c>
      <c r="C5" s="24">
        <v>0.1</v>
      </c>
      <c r="D5" s="80">
        <v>7656</v>
      </c>
      <c r="E5" s="175">
        <v>0</v>
      </c>
      <c r="F5" s="80">
        <v>0</v>
      </c>
      <c r="G5" s="175">
        <f t="shared" si="0"/>
        <v>7656</v>
      </c>
      <c r="H5" s="80">
        <f t="shared" si="1"/>
        <v>766</v>
      </c>
      <c r="I5" s="251">
        <f t="shared" si="2"/>
        <v>6890</v>
      </c>
      <c r="J5" s="124"/>
    </row>
    <row r="6" spans="1:12" x14ac:dyDescent="0.3">
      <c r="A6" s="174">
        <v>3</v>
      </c>
      <c r="B6" s="2" t="s">
        <v>33</v>
      </c>
      <c r="C6" s="24">
        <v>0.4</v>
      </c>
      <c r="D6" s="80">
        <v>1076</v>
      </c>
      <c r="E6" s="175">
        <v>0</v>
      </c>
      <c r="F6" s="80">
        <v>0</v>
      </c>
      <c r="G6" s="175">
        <f t="shared" si="0"/>
        <v>1076</v>
      </c>
      <c r="H6" s="80">
        <f t="shared" si="1"/>
        <v>430</v>
      </c>
      <c r="I6" s="251">
        <f t="shared" si="2"/>
        <v>646</v>
      </c>
    </row>
    <row r="7" spans="1:12" x14ac:dyDescent="0.3">
      <c r="A7" s="174">
        <v>4</v>
      </c>
      <c r="B7" s="2" t="s">
        <v>34</v>
      </c>
      <c r="C7" s="24">
        <v>0.15</v>
      </c>
      <c r="D7" s="80">
        <v>12871</v>
      </c>
      <c r="E7" s="175">
        <v>0</v>
      </c>
      <c r="F7" s="80">
        <v>0</v>
      </c>
      <c r="G7" s="175">
        <f t="shared" si="0"/>
        <v>12871</v>
      </c>
      <c r="H7" s="80">
        <f t="shared" si="1"/>
        <v>1931</v>
      </c>
      <c r="I7" s="251">
        <f t="shared" si="2"/>
        <v>10940</v>
      </c>
    </row>
    <row r="8" spans="1:12" x14ac:dyDescent="0.3">
      <c r="A8" s="174">
        <v>5</v>
      </c>
      <c r="B8" s="2" t="s">
        <v>35</v>
      </c>
      <c r="C8" s="24">
        <v>0.15</v>
      </c>
      <c r="D8" s="80">
        <v>56206</v>
      </c>
      <c r="E8" s="175">
        <v>0</v>
      </c>
      <c r="F8" s="80">
        <v>0</v>
      </c>
      <c r="G8" s="175">
        <f t="shared" si="0"/>
        <v>56206</v>
      </c>
      <c r="H8" s="80">
        <f t="shared" si="1"/>
        <v>8431</v>
      </c>
      <c r="I8" s="251">
        <f t="shared" si="2"/>
        <v>47775</v>
      </c>
    </row>
    <row r="9" spans="1:12" x14ac:dyDescent="0.3">
      <c r="A9" s="174">
        <v>6</v>
      </c>
      <c r="B9" s="2" t="s">
        <v>29</v>
      </c>
      <c r="C9" s="24">
        <v>0.1</v>
      </c>
      <c r="D9" s="80">
        <v>8439</v>
      </c>
      <c r="E9" s="175">
        <v>0</v>
      </c>
      <c r="F9" s="80">
        <v>0</v>
      </c>
      <c r="G9" s="175">
        <f t="shared" si="0"/>
        <v>8439</v>
      </c>
      <c r="H9" s="80">
        <f t="shared" si="1"/>
        <v>844</v>
      </c>
      <c r="I9" s="251">
        <f t="shared" si="2"/>
        <v>7595</v>
      </c>
    </row>
    <row r="10" spans="1:12" x14ac:dyDescent="0.3">
      <c r="A10" s="174">
        <v>7</v>
      </c>
      <c r="B10" s="2" t="s">
        <v>104</v>
      </c>
      <c r="C10" s="24">
        <v>0.4</v>
      </c>
      <c r="D10" s="80">
        <v>1864</v>
      </c>
      <c r="E10" s="175">
        <v>0</v>
      </c>
      <c r="F10" s="80">
        <v>0</v>
      </c>
      <c r="G10" s="175">
        <f t="shared" si="0"/>
        <v>1864</v>
      </c>
      <c r="H10" s="80">
        <f t="shared" si="1"/>
        <v>746</v>
      </c>
      <c r="I10" s="251">
        <f t="shared" si="2"/>
        <v>1118</v>
      </c>
    </row>
    <row r="11" spans="1:12" x14ac:dyDescent="0.3">
      <c r="A11" s="174">
        <v>8</v>
      </c>
      <c r="B11" s="2" t="s">
        <v>30</v>
      </c>
      <c r="C11" s="24">
        <v>0.1</v>
      </c>
      <c r="D11" s="80">
        <v>5524</v>
      </c>
      <c r="E11" s="175">
        <v>0</v>
      </c>
      <c r="F11" s="80">
        <v>0</v>
      </c>
      <c r="G11" s="175">
        <f t="shared" si="0"/>
        <v>5524</v>
      </c>
      <c r="H11" s="80">
        <f t="shared" si="1"/>
        <v>552</v>
      </c>
      <c r="I11" s="251">
        <f t="shared" si="2"/>
        <v>4972</v>
      </c>
    </row>
    <row r="12" spans="1:12" x14ac:dyDescent="0.3">
      <c r="A12" s="174">
        <v>9</v>
      </c>
      <c r="B12" s="2" t="s">
        <v>105</v>
      </c>
      <c r="C12" s="24">
        <v>0.1</v>
      </c>
      <c r="D12" s="80">
        <v>146700</v>
      </c>
      <c r="E12" s="175">
        <v>0</v>
      </c>
      <c r="F12" s="80">
        <v>0</v>
      </c>
      <c r="G12" s="175">
        <f t="shared" si="0"/>
        <v>146700</v>
      </c>
      <c r="H12" s="80">
        <f t="shared" si="1"/>
        <v>14670</v>
      </c>
      <c r="I12" s="251">
        <f t="shared" si="2"/>
        <v>132030</v>
      </c>
      <c r="J12" s="124"/>
    </row>
    <row r="13" spans="1:12" x14ac:dyDescent="0.3">
      <c r="A13" s="174">
        <v>10</v>
      </c>
      <c r="B13" s="2" t="s">
        <v>106</v>
      </c>
      <c r="C13" s="24">
        <v>0.1</v>
      </c>
      <c r="D13" s="80">
        <v>16461</v>
      </c>
      <c r="E13" s="175">
        <v>0</v>
      </c>
      <c r="F13" s="80">
        <v>0</v>
      </c>
      <c r="G13" s="175">
        <f t="shared" si="0"/>
        <v>16461</v>
      </c>
      <c r="H13" s="80">
        <f t="shared" si="1"/>
        <v>1646</v>
      </c>
      <c r="I13" s="251">
        <f t="shared" si="2"/>
        <v>14815</v>
      </c>
    </row>
    <row r="14" spans="1:12" x14ac:dyDescent="0.3">
      <c r="A14" s="174">
        <v>11</v>
      </c>
      <c r="B14" s="2" t="s">
        <v>107</v>
      </c>
      <c r="C14" s="24">
        <v>0.1</v>
      </c>
      <c r="D14" s="80">
        <v>136525</v>
      </c>
      <c r="E14" s="175">
        <v>0</v>
      </c>
      <c r="F14" s="80">
        <v>0</v>
      </c>
      <c r="G14" s="175">
        <f t="shared" si="0"/>
        <v>136525</v>
      </c>
      <c r="H14" s="80">
        <f t="shared" si="1"/>
        <v>13653</v>
      </c>
      <c r="I14" s="251">
        <f t="shared" si="2"/>
        <v>122872</v>
      </c>
    </row>
    <row r="15" spans="1:12" x14ac:dyDescent="0.3">
      <c r="A15" s="174">
        <v>12</v>
      </c>
      <c r="B15" s="2" t="s">
        <v>108</v>
      </c>
      <c r="C15" s="24">
        <v>0.1</v>
      </c>
      <c r="D15" s="80">
        <v>7132</v>
      </c>
      <c r="E15" s="175">
        <v>0</v>
      </c>
      <c r="F15" s="80">
        <v>0</v>
      </c>
      <c r="G15" s="175">
        <f t="shared" si="0"/>
        <v>7132</v>
      </c>
      <c r="H15" s="80">
        <f t="shared" si="1"/>
        <v>713</v>
      </c>
      <c r="I15" s="251">
        <f t="shared" si="2"/>
        <v>6419</v>
      </c>
    </row>
    <row r="16" spans="1:12" x14ac:dyDescent="0.3">
      <c r="A16" s="174">
        <v>13</v>
      </c>
      <c r="B16" s="2" t="s">
        <v>109</v>
      </c>
      <c r="C16" s="24">
        <v>0.1</v>
      </c>
      <c r="D16" s="80">
        <v>17186</v>
      </c>
      <c r="E16" s="175">
        <v>0</v>
      </c>
      <c r="F16" s="80">
        <v>0</v>
      </c>
      <c r="G16" s="175">
        <f t="shared" si="0"/>
        <v>17186</v>
      </c>
      <c r="H16" s="80">
        <f t="shared" si="1"/>
        <v>1719</v>
      </c>
      <c r="I16" s="251">
        <f t="shared" si="2"/>
        <v>15467</v>
      </c>
      <c r="L16" s="122"/>
    </row>
    <row r="17" spans="1:12" x14ac:dyDescent="0.3">
      <c r="A17" s="174">
        <v>14</v>
      </c>
      <c r="B17" s="2" t="s">
        <v>31</v>
      </c>
      <c r="C17" s="24">
        <v>0.1</v>
      </c>
      <c r="D17" s="80">
        <v>29751</v>
      </c>
      <c r="E17" s="175">
        <v>0</v>
      </c>
      <c r="F17" s="80">
        <v>0</v>
      </c>
      <c r="G17" s="175">
        <f t="shared" si="0"/>
        <v>29751</v>
      </c>
      <c r="H17" s="80">
        <f t="shared" si="1"/>
        <v>2975</v>
      </c>
      <c r="I17" s="251">
        <f t="shared" si="2"/>
        <v>26776</v>
      </c>
      <c r="L17" s="122"/>
    </row>
    <row r="18" spans="1:12" x14ac:dyDescent="0.3">
      <c r="A18" s="174">
        <v>15</v>
      </c>
      <c r="B18" s="2" t="s">
        <v>110</v>
      </c>
      <c r="C18" s="24">
        <v>0.1</v>
      </c>
      <c r="D18" s="80">
        <v>25852</v>
      </c>
      <c r="E18" s="175">
        <v>0</v>
      </c>
      <c r="F18" s="80">
        <v>0</v>
      </c>
      <c r="G18" s="175">
        <f t="shared" si="0"/>
        <v>25852</v>
      </c>
      <c r="H18" s="80">
        <f t="shared" si="1"/>
        <v>2585</v>
      </c>
      <c r="I18" s="251">
        <f t="shared" si="2"/>
        <v>23267</v>
      </c>
    </row>
    <row r="19" spans="1:12" x14ac:dyDescent="0.3">
      <c r="A19" s="174">
        <v>16</v>
      </c>
      <c r="B19" s="2" t="s">
        <v>383</v>
      </c>
      <c r="C19" s="24">
        <v>0.15</v>
      </c>
      <c r="D19" s="80">
        <v>39325</v>
      </c>
      <c r="E19" s="175">
        <v>0</v>
      </c>
      <c r="F19" s="80">
        <v>0</v>
      </c>
      <c r="G19" s="175">
        <f t="shared" ref="G19:G20" si="3">SUM(D19:F19)</f>
        <v>39325</v>
      </c>
      <c r="H19" s="80">
        <f t="shared" ref="H19:H20" si="4">ROUND((D19+E19)*C19+(F19*C19/2),0)</f>
        <v>5899</v>
      </c>
      <c r="I19" s="251">
        <f t="shared" ref="I19:I20" si="5">G19-H19</f>
        <v>33426</v>
      </c>
    </row>
    <row r="20" spans="1:12" x14ac:dyDescent="0.3">
      <c r="A20" s="174">
        <v>17</v>
      </c>
      <c r="B20" s="128" t="s">
        <v>557</v>
      </c>
      <c r="C20" s="24">
        <v>0.4</v>
      </c>
      <c r="D20" s="80">
        <v>0</v>
      </c>
      <c r="E20" s="175">
        <v>35500</v>
      </c>
      <c r="F20" s="80">
        <v>0</v>
      </c>
      <c r="G20" s="175">
        <f t="shared" si="3"/>
        <v>35500</v>
      </c>
      <c r="H20" s="80">
        <f t="shared" si="4"/>
        <v>14200</v>
      </c>
      <c r="I20" s="251">
        <f t="shared" si="5"/>
        <v>21300</v>
      </c>
    </row>
    <row r="21" spans="1:12" x14ac:dyDescent="0.3">
      <c r="A21" s="283" t="s">
        <v>13</v>
      </c>
      <c r="B21" s="284"/>
      <c r="C21" s="25"/>
      <c r="D21" s="253">
        <f>SUM(D4:D20)</f>
        <v>546460</v>
      </c>
      <c r="E21" s="81">
        <f t="shared" ref="E21:I21" si="6">SUM(E4:E20)</f>
        <v>35500</v>
      </c>
      <c r="F21" s="253">
        <f t="shared" si="6"/>
        <v>0</v>
      </c>
      <c r="G21" s="81">
        <f t="shared" si="6"/>
        <v>581960</v>
      </c>
      <c r="H21" s="253">
        <f t="shared" si="6"/>
        <v>75149</v>
      </c>
      <c r="I21" s="197">
        <f t="shared" si="6"/>
        <v>506811</v>
      </c>
    </row>
    <row r="23" spans="1:12" x14ac:dyDescent="0.3">
      <c r="J23" s="12"/>
      <c r="L23" s="12"/>
    </row>
    <row r="24" spans="1:12" x14ac:dyDescent="0.3">
      <c r="D24" s="12"/>
      <c r="I24" s="12"/>
    </row>
  </sheetData>
  <mergeCells count="3">
    <mergeCell ref="A21:B21"/>
    <mergeCell ref="A1:I1"/>
    <mergeCell ref="A2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9"/>
  <sheetViews>
    <sheetView zoomScale="95" zoomScaleNormal="95" workbookViewId="0">
      <selection activeCell="D6" sqref="D6"/>
    </sheetView>
  </sheetViews>
  <sheetFormatPr defaultRowHeight="14.4" x14ac:dyDescent="0.3"/>
  <cols>
    <col min="1" max="1" width="7.5546875" style="44" customWidth="1"/>
    <col min="2" max="2" width="26.6640625" bestFit="1" customWidth="1"/>
    <col min="3" max="3" width="8.77734375" style="44" bestFit="1" customWidth="1"/>
    <col min="4" max="4" width="10.21875" style="44" bestFit="1" customWidth="1"/>
  </cols>
  <sheetData>
    <row r="2" spans="1:10" x14ac:dyDescent="0.3">
      <c r="A2" s="291" t="s">
        <v>0</v>
      </c>
      <c r="B2" s="292"/>
      <c r="C2" s="292"/>
      <c r="D2" s="293"/>
      <c r="E2" s="67"/>
      <c r="F2" s="67"/>
      <c r="G2" s="67"/>
      <c r="H2" s="67"/>
      <c r="I2" s="67"/>
      <c r="J2" s="67"/>
    </row>
    <row r="3" spans="1:10" x14ac:dyDescent="0.3">
      <c r="A3" s="290" t="s">
        <v>534</v>
      </c>
      <c r="B3" s="290"/>
      <c r="C3" s="290"/>
      <c r="D3" s="290"/>
      <c r="E3" s="5"/>
      <c r="F3" s="5"/>
    </row>
    <row r="4" spans="1:10" x14ac:dyDescent="0.3">
      <c r="A4" s="28" t="s">
        <v>515</v>
      </c>
      <c r="B4" s="30" t="s">
        <v>516</v>
      </c>
      <c r="C4" s="28" t="s">
        <v>535</v>
      </c>
      <c r="D4" s="28" t="s">
        <v>491</v>
      </c>
    </row>
    <row r="5" spans="1:10" x14ac:dyDescent="0.3">
      <c r="A5" s="3">
        <v>1</v>
      </c>
      <c r="B5" s="29" t="s">
        <v>545</v>
      </c>
      <c r="C5" s="257">
        <v>0</v>
      </c>
      <c r="D5" s="266">
        <v>4500</v>
      </c>
    </row>
    <row r="6" spans="1:10" x14ac:dyDescent="0.3">
      <c r="A6" s="3">
        <v>2</v>
      </c>
      <c r="B6" s="29" t="s">
        <v>517</v>
      </c>
      <c r="C6" s="257">
        <v>0</v>
      </c>
      <c r="D6" s="266">
        <v>0</v>
      </c>
    </row>
    <row r="7" spans="1:10" x14ac:dyDescent="0.3">
      <c r="A7" s="3">
        <v>3</v>
      </c>
      <c r="B7" s="29" t="s">
        <v>584</v>
      </c>
      <c r="C7" s="257">
        <v>0</v>
      </c>
      <c r="D7" s="257">
        <v>5500</v>
      </c>
    </row>
    <row r="8" spans="1:10" x14ac:dyDescent="0.3">
      <c r="A8" s="3">
        <v>4</v>
      </c>
      <c r="B8" s="29" t="s">
        <v>546</v>
      </c>
      <c r="C8" s="257">
        <v>0</v>
      </c>
      <c r="D8" s="257">
        <v>24508</v>
      </c>
    </row>
    <row r="9" spans="1:10" x14ac:dyDescent="0.3">
      <c r="A9" s="283" t="s">
        <v>13</v>
      </c>
      <c r="B9" s="284"/>
      <c r="C9" s="258">
        <f>SUM(C5:C8)</f>
        <v>0</v>
      </c>
      <c r="D9" s="258">
        <f>SUM(D5:D8)</f>
        <v>34508</v>
      </c>
    </row>
  </sheetData>
  <mergeCells count="3">
    <mergeCell ref="A3:D3"/>
    <mergeCell ref="A9:B9"/>
    <mergeCell ref="A2:D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5"/>
  <sheetViews>
    <sheetView topLeftCell="A2" workbookViewId="0">
      <selection activeCell="A2" sqref="A2:Z2"/>
    </sheetView>
  </sheetViews>
  <sheetFormatPr defaultColWidth="6.33203125" defaultRowHeight="14.4" x14ac:dyDescent="0.3"/>
  <cols>
    <col min="1" max="1" width="3.44140625" style="71" bestFit="1" customWidth="1"/>
    <col min="2" max="2" width="6.33203125" style="71" bestFit="1" customWidth="1"/>
    <col min="3" max="3" width="31.44140625" style="71" bestFit="1" customWidth="1"/>
    <col min="4" max="4" width="6.6640625" style="71" bestFit="1" customWidth="1"/>
    <col min="5" max="5" width="6" style="71" bestFit="1" customWidth="1"/>
    <col min="6" max="8" width="7" style="71" bestFit="1" customWidth="1"/>
    <col min="9" max="9" width="6.5546875" style="71" bestFit="1" customWidth="1"/>
    <col min="10" max="11" width="6" style="71" bestFit="1" customWidth="1"/>
    <col min="12" max="12" width="6.6640625" style="71" bestFit="1" customWidth="1"/>
    <col min="13" max="13" width="7" style="71" bestFit="1" customWidth="1"/>
    <col min="14" max="14" width="6.109375" style="71" bestFit="1" customWidth="1"/>
    <col min="15" max="15" width="6.33203125" style="71" bestFit="1" customWidth="1"/>
    <col min="16" max="17" width="7.33203125" style="71" bestFit="1" customWidth="1"/>
    <col min="18" max="18" width="7.44140625" style="71" bestFit="1" customWidth="1"/>
    <col min="19" max="19" width="7.33203125" style="71" bestFit="1" customWidth="1"/>
    <col min="20" max="20" width="8.6640625" style="71" bestFit="1" customWidth="1"/>
    <col min="21" max="21" width="6" style="71" bestFit="1" customWidth="1"/>
    <col min="22" max="22" width="7.6640625" style="71" bestFit="1" customWidth="1"/>
    <col min="23" max="23" width="8.109375" style="71" bestFit="1" customWidth="1"/>
    <col min="24" max="24" width="8" style="71" bestFit="1" customWidth="1"/>
    <col min="25" max="25" width="8" style="71" customWidth="1"/>
    <col min="26" max="26" width="6.6640625" style="71" bestFit="1" customWidth="1"/>
    <col min="27" max="16384" width="6.33203125" style="71"/>
  </cols>
  <sheetData>
    <row r="1" spans="1:26" x14ac:dyDescent="0.3">
      <c r="A1" s="295" t="s">
        <v>243</v>
      </c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5"/>
      <c r="S1" s="295"/>
      <c r="T1" s="295"/>
      <c r="U1" s="295"/>
      <c r="V1" s="295"/>
      <c r="W1" s="295"/>
      <c r="X1" s="295"/>
      <c r="Y1" s="295"/>
      <c r="Z1" s="295"/>
    </row>
    <row r="2" spans="1:26" x14ac:dyDescent="0.3">
      <c r="A2" s="295" t="s">
        <v>244</v>
      </c>
      <c r="B2" s="295"/>
      <c r="C2" s="295"/>
      <c r="D2" s="295"/>
      <c r="E2" s="295"/>
      <c r="F2" s="295"/>
      <c r="G2" s="295"/>
      <c r="H2" s="295"/>
      <c r="I2" s="295"/>
      <c r="J2" s="295"/>
      <c r="K2" s="295"/>
      <c r="L2" s="295"/>
      <c r="M2" s="295"/>
      <c r="N2" s="295"/>
      <c r="O2" s="295"/>
      <c r="P2" s="295"/>
      <c r="Q2" s="295"/>
      <c r="R2" s="295"/>
      <c r="S2" s="295"/>
      <c r="T2" s="295"/>
      <c r="U2" s="295"/>
      <c r="V2" s="295"/>
      <c r="W2" s="295"/>
      <c r="X2" s="295"/>
      <c r="Y2" s="295"/>
      <c r="Z2" s="295"/>
    </row>
    <row r="3" spans="1:26" s="46" customFormat="1" ht="60.6" customHeight="1" x14ac:dyDescent="0.3">
      <c r="A3" s="66" t="s">
        <v>218</v>
      </c>
      <c r="B3" s="66" t="s">
        <v>245</v>
      </c>
      <c r="C3" s="66" t="s">
        <v>254</v>
      </c>
      <c r="D3" s="66" t="s">
        <v>259</v>
      </c>
      <c r="E3" s="66" t="s">
        <v>269</v>
      </c>
      <c r="F3" s="66" t="s">
        <v>268</v>
      </c>
      <c r="G3" s="66" t="s">
        <v>267</v>
      </c>
      <c r="H3" s="66" t="s">
        <v>266</v>
      </c>
      <c r="I3" s="66" t="s">
        <v>265</v>
      </c>
      <c r="J3" s="66" t="s">
        <v>264</v>
      </c>
      <c r="K3" s="66" t="s">
        <v>263</v>
      </c>
      <c r="L3" s="66" t="s">
        <v>262</v>
      </c>
      <c r="M3" s="66" t="s">
        <v>73</v>
      </c>
      <c r="N3" s="66" t="s">
        <v>3</v>
      </c>
      <c r="O3" s="66" t="s">
        <v>217</v>
      </c>
      <c r="P3" s="66" t="s">
        <v>75</v>
      </c>
      <c r="Q3" s="66" t="s">
        <v>261</v>
      </c>
      <c r="R3" s="66" t="s">
        <v>255</v>
      </c>
      <c r="S3" s="66" t="s">
        <v>247</v>
      </c>
      <c r="T3" s="66" t="s">
        <v>248</v>
      </c>
      <c r="U3" s="66" t="s">
        <v>246</v>
      </c>
      <c r="V3" s="66" t="s">
        <v>256</v>
      </c>
      <c r="W3" s="66" t="s">
        <v>260</v>
      </c>
      <c r="X3" s="66" t="s">
        <v>257</v>
      </c>
      <c r="Y3" s="66" t="s">
        <v>282</v>
      </c>
      <c r="Z3" s="66" t="s">
        <v>258</v>
      </c>
    </row>
    <row r="4" spans="1:26" x14ac:dyDescent="0.3">
      <c r="A4" s="72">
        <v>1</v>
      </c>
      <c r="B4" s="72">
        <v>101</v>
      </c>
      <c r="C4" s="75" t="s">
        <v>249</v>
      </c>
      <c r="D4" s="77">
        <v>0</v>
      </c>
      <c r="E4" s="77">
        <v>0</v>
      </c>
      <c r="F4" s="77">
        <v>10560</v>
      </c>
      <c r="G4" s="77">
        <v>5280</v>
      </c>
      <c r="H4" s="77">
        <v>6072</v>
      </c>
      <c r="I4" s="77">
        <v>1140</v>
      </c>
      <c r="J4" s="77">
        <v>0</v>
      </c>
      <c r="K4" s="77">
        <v>0</v>
      </c>
      <c r="L4" s="77">
        <v>120</v>
      </c>
      <c r="M4" s="77">
        <v>11148</v>
      </c>
      <c r="N4" s="77">
        <v>1248</v>
      </c>
      <c r="O4" s="77">
        <v>4176</v>
      </c>
      <c r="P4" s="77">
        <v>0</v>
      </c>
      <c r="Q4" s="77">
        <v>0</v>
      </c>
      <c r="R4" s="77">
        <v>0</v>
      </c>
      <c r="S4" s="77">
        <v>0</v>
      </c>
      <c r="T4" s="77">
        <v>0</v>
      </c>
      <c r="U4" s="77">
        <v>1925</v>
      </c>
      <c r="V4" s="77">
        <v>0</v>
      </c>
      <c r="W4" s="77">
        <f>SUM(D4:V4)</f>
        <v>41669</v>
      </c>
      <c r="X4" s="77">
        <v>41669</v>
      </c>
      <c r="Y4" s="77">
        <v>0</v>
      </c>
      <c r="Z4" s="77">
        <f>W4-X4+Y4</f>
        <v>0</v>
      </c>
    </row>
    <row r="5" spans="1:26" x14ac:dyDescent="0.3">
      <c r="A5" s="72">
        <v>2</v>
      </c>
      <c r="B5" s="72">
        <v>102</v>
      </c>
      <c r="C5" s="75" t="s">
        <v>270</v>
      </c>
      <c r="D5" s="77">
        <v>0</v>
      </c>
      <c r="E5" s="77">
        <v>60</v>
      </c>
      <c r="F5" s="77">
        <v>10560</v>
      </c>
      <c r="G5" s="77">
        <v>5280</v>
      </c>
      <c r="H5" s="77">
        <v>6072</v>
      </c>
      <c r="I5" s="77">
        <v>1140</v>
      </c>
      <c r="J5" s="77">
        <v>1800</v>
      </c>
      <c r="K5" s="77">
        <v>10088</v>
      </c>
      <c r="L5" s="77">
        <v>120</v>
      </c>
      <c r="M5" s="77">
        <v>11820</v>
      </c>
      <c r="N5" s="77">
        <v>1332</v>
      </c>
      <c r="O5" s="77">
        <v>4428</v>
      </c>
      <c r="P5" s="77">
        <v>0</v>
      </c>
      <c r="Q5" s="77">
        <v>0</v>
      </c>
      <c r="R5" s="77">
        <v>0</v>
      </c>
      <c r="S5" s="77">
        <v>0</v>
      </c>
      <c r="T5" s="77">
        <v>0</v>
      </c>
      <c r="U5" s="77">
        <v>0</v>
      </c>
      <c r="V5" s="77">
        <v>0</v>
      </c>
      <c r="W5" s="77">
        <f t="shared" ref="W5:W31" si="0">SUM(D5:V5)</f>
        <v>52700</v>
      </c>
      <c r="X5" s="77">
        <v>52700</v>
      </c>
      <c r="Y5" s="77">
        <v>0</v>
      </c>
      <c r="Z5" s="77">
        <f t="shared" ref="Z5:Z31" si="1">W5-X5+Y5</f>
        <v>0</v>
      </c>
    </row>
    <row r="6" spans="1:26" x14ac:dyDescent="0.3">
      <c r="A6" s="72">
        <v>3</v>
      </c>
      <c r="B6" s="72">
        <v>103</v>
      </c>
      <c r="C6" s="75" t="s">
        <v>229</v>
      </c>
      <c r="D6" s="77">
        <v>0</v>
      </c>
      <c r="E6" s="77">
        <v>0</v>
      </c>
      <c r="F6" s="77">
        <v>10560</v>
      </c>
      <c r="G6" s="77">
        <v>5280</v>
      </c>
      <c r="H6" s="77">
        <v>6072</v>
      </c>
      <c r="I6" s="77">
        <v>1140</v>
      </c>
      <c r="J6" s="77">
        <v>0</v>
      </c>
      <c r="K6" s="77">
        <v>0</v>
      </c>
      <c r="L6" s="77">
        <v>120</v>
      </c>
      <c r="M6" s="77">
        <v>6444</v>
      </c>
      <c r="N6" s="77">
        <v>720</v>
      </c>
      <c r="O6" s="77">
        <v>2412</v>
      </c>
      <c r="P6" s="77">
        <v>0</v>
      </c>
      <c r="Q6" s="77">
        <v>0</v>
      </c>
      <c r="R6" s="77">
        <v>0</v>
      </c>
      <c r="S6" s="77">
        <v>0</v>
      </c>
      <c r="T6" s="77">
        <v>0</v>
      </c>
      <c r="U6" s="77">
        <v>0</v>
      </c>
      <c r="V6" s="77">
        <v>0</v>
      </c>
      <c r="W6" s="77">
        <f t="shared" si="0"/>
        <v>32748</v>
      </c>
      <c r="X6" s="77">
        <v>32748</v>
      </c>
      <c r="Y6" s="77">
        <v>0</v>
      </c>
      <c r="Z6" s="77">
        <f t="shared" si="1"/>
        <v>0</v>
      </c>
    </row>
    <row r="7" spans="1:26" x14ac:dyDescent="0.3">
      <c r="A7" s="72">
        <v>4</v>
      </c>
      <c r="B7" s="72">
        <v>201</v>
      </c>
      <c r="C7" s="75" t="s">
        <v>250</v>
      </c>
      <c r="D7" s="77">
        <v>0</v>
      </c>
      <c r="E7" s="77">
        <v>0</v>
      </c>
      <c r="F7" s="77">
        <v>10560</v>
      </c>
      <c r="G7" s="77">
        <v>5280</v>
      </c>
      <c r="H7" s="77">
        <v>6072</v>
      </c>
      <c r="I7" s="77">
        <v>1140</v>
      </c>
      <c r="J7" s="77">
        <v>0</v>
      </c>
      <c r="K7" s="77">
        <v>0</v>
      </c>
      <c r="L7" s="77">
        <v>120</v>
      </c>
      <c r="M7" s="77">
        <v>11148</v>
      </c>
      <c r="N7" s="77">
        <v>1248</v>
      </c>
      <c r="O7" s="77">
        <v>4176</v>
      </c>
      <c r="P7" s="77">
        <v>0</v>
      </c>
      <c r="Q7" s="77">
        <v>0</v>
      </c>
      <c r="R7" s="77">
        <v>0</v>
      </c>
      <c r="S7" s="77">
        <v>0</v>
      </c>
      <c r="T7" s="77">
        <v>0</v>
      </c>
      <c r="U7" s="77">
        <v>0</v>
      </c>
      <c r="V7" s="77">
        <v>0</v>
      </c>
      <c r="W7" s="77">
        <f t="shared" si="0"/>
        <v>39744</v>
      </c>
      <c r="X7" s="77">
        <v>39744</v>
      </c>
      <c r="Y7" s="77">
        <v>0</v>
      </c>
      <c r="Z7" s="77">
        <f t="shared" si="1"/>
        <v>0</v>
      </c>
    </row>
    <row r="8" spans="1:26" x14ac:dyDescent="0.3">
      <c r="A8" s="72">
        <v>5</v>
      </c>
      <c r="B8" s="72">
        <v>202</v>
      </c>
      <c r="C8" s="75" t="s">
        <v>251</v>
      </c>
      <c r="D8" s="77">
        <v>0</v>
      </c>
      <c r="E8" s="77">
        <v>0</v>
      </c>
      <c r="F8" s="77">
        <v>10560</v>
      </c>
      <c r="G8" s="77">
        <v>5280</v>
      </c>
      <c r="H8" s="77">
        <v>4044</v>
      </c>
      <c r="I8" s="77">
        <v>1140</v>
      </c>
      <c r="J8" s="77">
        <v>0</v>
      </c>
      <c r="K8" s="77">
        <v>0</v>
      </c>
      <c r="L8" s="77">
        <v>120</v>
      </c>
      <c r="M8" s="77">
        <v>10008</v>
      </c>
      <c r="N8" s="77">
        <v>1128</v>
      </c>
      <c r="O8" s="77">
        <v>3756</v>
      </c>
      <c r="P8" s="77">
        <v>0</v>
      </c>
      <c r="Q8" s="77">
        <v>0</v>
      </c>
      <c r="R8" s="77">
        <v>0</v>
      </c>
      <c r="S8" s="77">
        <v>0</v>
      </c>
      <c r="T8" s="77">
        <v>0</v>
      </c>
      <c r="U8" s="77">
        <v>0</v>
      </c>
      <c r="V8" s="77">
        <v>0</v>
      </c>
      <c r="W8" s="77">
        <f t="shared" si="0"/>
        <v>36036</v>
      </c>
      <c r="X8" s="77">
        <v>36036</v>
      </c>
      <c r="Y8" s="77">
        <v>0</v>
      </c>
      <c r="Z8" s="77">
        <f t="shared" si="1"/>
        <v>0</v>
      </c>
    </row>
    <row r="9" spans="1:26" x14ac:dyDescent="0.3">
      <c r="A9" s="72">
        <v>6</v>
      </c>
      <c r="B9" s="72">
        <v>203</v>
      </c>
      <c r="C9" s="75" t="s">
        <v>252</v>
      </c>
      <c r="D9" s="78">
        <v>-20107</v>
      </c>
      <c r="E9" s="77">
        <v>0</v>
      </c>
      <c r="F9" s="77">
        <v>10560</v>
      </c>
      <c r="G9" s="77">
        <v>5280</v>
      </c>
      <c r="H9" s="77">
        <v>6072</v>
      </c>
      <c r="I9" s="77">
        <v>1140</v>
      </c>
      <c r="J9" s="77">
        <v>300</v>
      </c>
      <c r="K9" s="77">
        <v>11528</v>
      </c>
      <c r="L9" s="77">
        <v>120</v>
      </c>
      <c r="M9" s="77">
        <v>8244</v>
      </c>
      <c r="N9" s="77">
        <v>924</v>
      </c>
      <c r="O9" s="77">
        <v>3096</v>
      </c>
      <c r="P9" s="77">
        <v>0</v>
      </c>
      <c r="Q9" s="77">
        <v>0</v>
      </c>
      <c r="R9" s="77">
        <v>0</v>
      </c>
      <c r="S9" s="77">
        <v>0</v>
      </c>
      <c r="T9" s="77">
        <v>0</v>
      </c>
      <c r="U9" s="77">
        <v>0</v>
      </c>
      <c r="V9" s="77">
        <v>0</v>
      </c>
      <c r="W9" s="77">
        <f t="shared" si="0"/>
        <v>27157</v>
      </c>
      <c r="X9" s="77">
        <v>53000</v>
      </c>
      <c r="Y9" s="77">
        <v>0</v>
      </c>
      <c r="Z9" s="77">
        <f t="shared" si="1"/>
        <v>-25843</v>
      </c>
    </row>
    <row r="10" spans="1:26" x14ac:dyDescent="0.3">
      <c r="A10" s="72">
        <v>7</v>
      </c>
      <c r="B10" s="72">
        <v>301</v>
      </c>
      <c r="C10" s="75" t="s">
        <v>232</v>
      </c>
      <c r="D10" s="78">
        <v>0</v>
      </c>
      <c r="E10" s="77">
        <v>0</v>
      </c>
      <c r="F10" s="77">
        <v>10560</v>
      </c>
      <c r="G10" s="77">
        <v>5280</v>
      </c>
      <c r="H10" s="77">
        <v>6072</v>
      </c>
      <c r="I10" s="77">
        <v>1140</v>
      </c>
      <c r="J10" s="77">
        <v>0</v>
      </c>
      <c r="K10" s="77">
        <v>0</v>
      </c>
      <c r="L10" s="77">
        <v>120</v>
      </c>
      <c r="M10" s="77">
        <v>11148</v>
      </c>
      <c r="N10" s="77">
        <v>1248</v>
      </c>
      <c r="O10" s="77">
        <v>4176</v>
      </c>
      <c r="P10" s="77">
        <v>0</v>
      </c>
      <c r="Q10" s="77">
        <v>0</v>
      </c>
      <c r="R10" s="77">
        <v>0</v>
      </c>
      <c r="S10" s="77">
        <v>0</v>
      </c>
      <c r="T10" s="77">
        <v>0</v>
      </c>
      <c r="U10" s="77">
        <v>0</v>
      </c>
      <c r="V10" s="77">
        <v>0</v>
      </c>
      <c r="W10" s="77">
        <f t="shared" si="0"/>
        <v>39744</v>
      </c>
      <c r="X10" s="77">
        <v>39744</v>
      </c>
      <c r="Y10" s="77">
        <v>0</v>
      </c>
      <c r="Z10" s="77">
        <f t="shared" si="1"/>
        <v>0</v>
      </c>
    </row>
    <row r="11" spans="1:26" x14ac:dyDescent="0.3">
      <c r="A11" s="72">
        <v>8</v>
      </c>
      <c r="B11" s="72">
        <v>302</v>
      </c>
      <c r="C11" s="75" t="s">
        <v>253</v>
      </c>
      <c r="D11" s="78">
        <v>0</v>
      </c>
      <c r="E11" s="77">
        <v>0</v>
      </c>
      <c r="F11" s="77">
        <v>10560</v>
      </c>
      <c r="G11" s="77">
        <v>5280</v>
      </c>
      <c r="H11" s="77">
        <v>4044</v>
      </c>
      <c r="I11" s="77">
        <v>1140</v>
      </c>
      <c r="J11" s="77">
        <v>0</v>
      </c>
      <c r="K11" s="77">
        <v>0</v>
      </c>
      <c r="L11" s="77">
        <v>120</v>
      </c>
      <c r="M11" s="77">
        <v>10008</v>
      </c>
      <c r="N11" s="77">
        <v>1128</v>
      </c>
      <c r="O11" s="77">
        <v>3756</v>
      </c>
      <c r="P11" s="77">
        <v>0</v>
      </c>
      <c r="Q11" s="77">
        <v>0</v>
      </c>
      <c r="R11" s="77">
        <v>0</v>
      </c>
      <c r="S11" s="77">
        <v>0</v>
      </c>
      <c r="T11" s="77">
        <v>0</v>
      </c>
      <c r="U11" s="77">
        <v>0</v>
      </c>
      <c r="V11" s="77">
        <v>0</v>
      </c>
      <c r="W11" s="77">
        <f t="shared" si="0"/>
        <v>36036</v>
      </c>
      <c r="X11" s="77">
        <v>36036</v>
      </c>
      <c r="Y11" s="77">
        <v>0</v>
      </c>
      <c r="Z11" s="77">
        <f t="shared" si="1"/>
        <v>0</v>
      </c>
    </row>
    <row r="12" spans="1:26" x14ac:dyDescent="0.3">
      <c r="A12" s="72">
        <v>9</v>
      </c>
      <c r="B12" s="72">
        <v>303</v>
      </c>
      <c r="C12" s="75" t="s">
        <v>234</v>
      </c>
      <c r="D12" s="78">
        <v>0</v>
      </c>
      <c r="E12" s="77">
        <v>0</v>
      </c>
      <c r="F12" s="77">
        <v>10560</v>
      </c>
      <c r="G12" s="77">
        <v>5280</v>
      </c>
      <c r="H12" s="77">
        <v>6072</v>
      </c>
      <c r="I12" s="77">
        <v>1140</v>
      </c>
      <c r="J12" s="77">
        <v>0</v>
      </c>
      <c r="K12" s="77">
        <v>0</v>
      </c>
      <c r="L12" s="77">
        <v>120</v>
      </c>
      <c r="M12" s="77">
        <v>8244</v>
      </c>
      <c r="N12" s="77">
        <v>924</v>
      </c>
      <c r="O12" s="77">
        <v>3096</v>
      </c>
      <c r="P12" s="77">
        <v>0</v>
      </c>
      <c r="Q12" s="77">
        <v>0</v>
      </c>
      <c r="R12" s="77">
        <v>0</v>
      </c>
      <c r="S12" s="77">
        <v>0</v>
      </c>
      <c r="T12" s="77">
        <v>0</v>
      </c>
      <c r="U12" s="77">
        <v>0</v>
      </c>
      <c r="V12" s="77">
        <v>0</v>
      </c>
      <c r="W12" s="77">
        <f t="shared" si="0"/>
        <v>35436</v>
      </c>
      <c r="X12" s="77">
        <v>35436</v>
      </c>
      <c r="Y12" s="77">
        <v>0</v>
      </c>
      <c r="Z12" s="77">
        <f t="shared" si="1"/>
        <v>0</v>
      </c>
    </row>
    <row r="13" spans="1:26" x14ac:dyDescent="0.3">
      <c r="A13" s="72">
        <v>10</v>
      </c>
      <c r="B13" s="72">
        <v>401</v>
      </c>
      <c r="C13" s="75" t="s">
        <v>235</v>
      </c>
      <c r="D13" s="78">
        <v>0</v>
      </c>
      <c r="E13" s="77">
        <v>0</v>
      </c>
      <c r="F13" s="77">
        <v>10560</v>
      </c>
      <c r="G13" s="77">
        <v>5280</v>
      </c>
      <c r="H13" s="77">
        <v>6072</v>
      </c>
      <c r="I13" s="77">
        <v>1140</v>
      </c>
      <c r="J13" s="77">
        <v>1800</v>
      </c>
      <c r="K13" s="77">
        <v>0</v>
      </c>
      <c r="L13" s="77">
        <v>120</v>
      </c>
      <c r="M13" s="77">
        <v>11148</v>
      </c>
      <c r="N13" s="77">
        <v>1248</v>
      </c>
      <c r="O13" s="77">
        <v>4176</v>
      </c>
      <c r="P13" s="77">
        <v>0</v>
      </c>
      <c r="Q13" s="77">
        <v>0</v>
      </c>
      <c r="R13" s="77">
        <v>0</v>
      </c>
      <c r="S13" s="77">
        <v>0</v>
      </c>
      <c r="T13" s="77">
        <v>0</v>
      </c>
      <c r="U13" s="77">
        <v>0</v>
      </c>
      <c r="V13" s="77">
        <v>0</v>
      </c>
      <c r="W13" s="77">
        <f t="shared" si="0"/>
        <v>41544</v>
      </c>
      <c r="X13" s="77">
        <v>41544</v>
      </c>
      <c r="Y13" s="77">
        <v>0</v>
      </c>
      <c r="Z13" s="77">
        <f t="shared" si="1"/>
        <v>0</v>
      </c>
    </row>
    <row r="14" spans="1:26" x14ac:dyDescent="0.3">
      <c r="A14" s="72">
        <v>11</v>
      </c>
      <c r="B14" s="72">
        <v>402</v>
      </c>
      <c r="C14" s="75" t="s">
        <v>271</v>
      </c>
      <c r="D14" s="77">
        <v>-30</v>
      </c>
      <c r="E14" s="77">
        <v>253</v>
      </c>
      <c r="F14" s="77">
        <v>10560</v>
      </c>
      <c r="G14" s="77">
        <v>5280</v>
      </c>
      <c r="H14" s="77">
        <v>6072</v>
      </c>
      <c r="I14" s="77">
        <v>1140</v>
      </c>
      <c r="J14" s="77">
        <v>5400</v>
      </c>
      <c r="K14" s="77">
        <v>0</v>
      </c>
      <c r="L14" s="77">
        <v>120</v>
      </c>
      <c r="M14" s="77">
        <v>11820</v>
      </c>
      <c r="N14" s="77">
        <v>1332</v>
      </c>
      <c r="O14" s="77">
        <v>4428</v>
      </c>
      <c r="P14" s="77">
        <v>0</v>
      </c>
      <c r="Q14" s="77">
        <v>0</v>
      </c>
      <c r="R14" s="77">
        <v>0</v>
      </c>
      <c r="S14" s="77">
        <v>0</v>
      </c>
      <c r="T14" s="77">
        <v>0</v>
      </c>
      <c r="U14" s="77">
        <v>0</v>
      </c>
      <c r="V14" s="77">
        <v>0</v>
      </c>
      <c r="W14" s="77">
        <f t="shared" si="0"/>
        <v>46375</v>
      </c>
      <c r="X14" s="77">
        <v>46375</v>
      </c>
      <c r="Y14" s="77">
        <v>0</v>
      </c>
      <c r="Z14" s="77">
        <f t="shared" si="1"/>
        <v>0</v>
      </c>
    </row>
    <row r="15" spans="1:26" x14ac:dyDescent="0.3">
      <c r="A15" s="72">
        <v>12</v>
      </c>
      <c r="B15" s="72">
        <v>403</v>
      </c>
      <c r="C15" s="75" t="s">
        <v>237</v>
      </c>
      <c r="D15" s="77">
        <v>0</v>
      </c>
      <c r="E15" s="77">
        <v>456</v>
      </c>
      <c r="F15" s="77">
        <v>10560</v>
      </c>
      <c r="G15" s="77">
        <v>5280</v>
      </c>
      <c r="H15" s="77">
        <v>6072</v>
      </c>
      <c r="I15" s="77">
        <v>1140</v>
      </c>
      <c r="J15" s="77">
        <v>4050</v>
      </c>
      <c r="K15" s="77">
        <v>0</v>
      </c>
      <c r="L15" s="77">
        <v>120</v>
      </c>
      <c r="M15" s="77">
        <v>6444</v>
      </c>
      <c r="N15" s="77">
        <v>720</v>
      </c>
      <c r="O15" s="77">
        <v>2412</v>
      </c>
      <c r="P15" s="77">
        <v>0</v>
      </c>
      <c r="Q15" s="77">
        <v>0</v>
      </c>
      <c r="R15" s="77">
        <v>0</v>
      </c>
      <c r="S15" s="77">
        <v>0</v>
      </c>
      <c r="T15" s="77">
        <v>0</v>
      </c>
      <c r="U15" s="77">
        <v>1750</v>
      </c>
      <c r="V15" s="77">
        <v>0</v>
      </c>
      <c r="W15" s="77">
        <f t="shared" si="0"/>
        <v>39004</v>
      </c>
      <c r="X15" s="77">
        <v>39004</v>
      </c>
      <c r="Y15" s="77">
        <v>0</v>
      </c>
      <c r="Z15" s="77">
        <f t="shared" si="1"/>
        <v>0</v>
      </c>
    </row>
    <row r="16" spans="1:26" x14ac:dyDescent="0.3">
      <c r="A16" s="72">
        <v>13</v>
      </c>
      <c r="B16" s="72">
        <v>501</v>
      </c>
      <c r="C16" s="75" t="s">
        <v>251</v>
      </c>
      <c r="D16" s="77">
        <v>0</v>
      </c>
      <c r="E16" s="77">
        <v>0</v>
      </c>
      <c r="F16" s="77">
        <v>10560</v>
      </c>
      <c r="G16" s="77">
        <v>5280</v>
      </c>
      <c r="H16" s="77">
        <v>6072</v>
      </c>
      <c r="I16" s="77">
        <v>1140</v>
      </c>
      <c r="J16" s="77">
        <v>7200</v>
      </c>
      <c r="K16" s="77">
        <v>2040</v>
      </c>
      <c r="L16" s="77">
        <v>120</v>
      </c>
      <c r="M16" s="77">
        <v>11712</v>
      </c>
      <c r="N16" s="77">
        <v>1248</v>
      </c>
      <c r="O16" s="77">
        <v>4176</v>
      </c>
      <c r="P16" s="77">
        <v>0</v>
      </c>
      <c r="Q16" s="77">
        <v>0</v>
      </c>
      <c r="R16" s="77">
        <v>0</v>
      </c>
      <c r="S16" s="77">
        <v>0</v>
      </c>
      <c r="T16" s="77">
        <v>0</v>
      </c>
      <c r="U16" s="77">
        <v>2100</v>
      </c>
      <c r="V16" s="77">
        <v>0</v>
      </c>
      <c r="W16" s="77">
        <f t="shared" si="0"/>
        <v>51648</v>
      </c>
      <c r="X16" s="77">
        <v>51648</v>
      </c>
      <c r="Y16" s="77">
        <v>0</v>
      </c>
      <c r="Z16" s="77">
        <f t="shared" si="1"/>
        <v>0</v>
      </c>
    </row>
    <row r="17" spans="1:26" x14ac:dyDescent="0.3">
      <c r="A17" s="72">
        <v>14</v>
      </c>
      <c r="B17" s="72">
        <v>502</v>
      </c>
      <c r="C17" s="75" t="s">
        <v>272</v>
      </c>
      <c r="D17" s="77">
        <v>0</v>
      </c>
      <c r="E17" s="77">
        <v>0</v>
      </c>
      <c r="F17" s="77">
        <v>10560</v>
      </c>
      <c r="G17" s="77">
        <v>5280</v>
      </c>
      <c r="H17" s="77">
        <v>6072</v>
      </c>
      <c r="I17" s="77">
        <v>1140</v>
      </c>
      <c r="J17" s="77">
        <v>1800</v>
      </c>
      <c r="K17" s="77">
        <v>0</v>
      </c>
      <c r="L17" s="77">
        <v>120</v>
      </c>
      <c r="M17" s="77">
        <v>12408</v>
      </c>
      <c r="N17" s="77">
        <v>1332</v>
      </c>
      <c r="O17" s="77">
        <v>4428</v>
      </c>
      <c r="P17" s="77">
        <v>0</v>
      </c>
      <c r="Q17" s="77">
        <v>0</v>
      </c>
      <c r="R17" s="77">
        <v>0</v>
      </c>
      <c r="S17" s="77">
        <v>0</v>
      </c>
      <c r="T17" s="77">
        <v>0</v>
      </c>
      <c r="U17" s="77">
        <v>0</v>
      </c>
      <c r="V17" s="77">
        <v>0</v>
      </c>
      <c r="W17" s="77">
        <f t="shared" si="0"/>
        <v>43140</v>
      </c>
      <c r="X17" s="77">
        <v>43140</v>
      </c>
      <c r="Y17" s="77">
        <v>0</v>
      </c>
      <c r="Z17" s="77">
        <f t="shared" si="1"/>
        <v>0</v>
      </c>
    </row>
    <row r="18" spans="1:26" x14ac:dyDescent="0.3">
      <c r="A18" s="72">
        <v>15</v>
      </c>
      <c r="B18" s="72">
        <v>503</v>
      </c>
      <c r="C18" s="75" t="s">
        <v>239</v>
      </c>
      <c r="D18" s="77">
        <v>0</v>
      </c>
      <c r="E18" s="77">
        <v>510</v>
      </c>
      <c r="F18" s="77">
        <v>10560</v>
      </c>
      <c r="G18" s="77">
        <v>5280</v>
      </c>
      <c r="H18" s="77">
        <v>6072</v>
      </c>
      <c r="I18" s="77">
        <v>1140</v>
      </c>
      <c r="J18" s="77">
        <v>0</v>
      </c>
      <c r="K18" s="77">
        <v>0</v>
      </c>
      <c r="L18" s="77">
        <v>120</v>
      </c>
      <c r="M18" s="77">
        <v>6768</v>
      </c>
      <c r="N18" s="77">
        <v>720</v>
      </c>
      <c r="O18" s="77">
        <v>2412</v>
      </c>
      <c r="P18" s="77">
        <v>0</v>
      </c>
      <c r="Q18" s="77">
        <v>0</v>
      </c>
      <c r="R18" s="77">
        <v>0</v>
      </c>
      <c r="S18" s="77">
        <v>0</v>
      </c>
      <c r="T18" s="77">
        <v>0</v>
      </c>
      <c r="U18" s="77">
        <v>2100</v>
      </c>
      <c r="V18" s="77">
        <v>0</v>
      </c>
      <c r="W18" s="77">
        <f t="shared" si="0"/>
        <v>35682</v>
      </c>
      <c r="X18" s="77">
        <v>35682</v>
      </c>
      <c r="Y18" s="77">
        <v>0</v>
      </c>
      <c r="Z18" s="77">
        <f t="shared" si="1"/>
        <v>0</v>
      </c>
    </row>
    <row r="19" spans="1:26" x14ac:dyDescent="0.3">
      <c r="A19" s="72">
        <v>16</v>
      </c>
      <c r="B19" s="72">
        <v>601</v>
      </c>
      <c r="C19" s="75" t="s">
        <v>126</v>
      </c>
      <c r="D19" s="77">
        <v>3349</v>
      </c>
      <c r="E19" s="77">
        <v>898</v>
      </c>
      <c r="F19" s="77">
        <v>10560</v>
      </c>
      <c r="G19" s="77">
        <v>5280</v>
      </c>
      <c r="H19" s="77">
        <v>6072</v>
      </c>
      <c r="I19" s="77">
        <v>1140</v>
      </c>
      <c r="J19" s="77">
        <v>0</v>
      </c>
      <c r="K19" s="77">
        <v>0</v>
      </c>
      <c r="L19" s="77">
        <v>120</v>
      </c>
      <c r="M19" s="77">
        <v>11712</v>
      </c>
      <c r="N19" s="77">
        <v>1248</v>
      </c>
      <c r="O19" s="77">
        <v>4176</v>
      </c>
      <c r="P19" s="77">
        <v>0</v>
      </c>
      <c r="Q19" s="77">
        <v>1500</v>
      </c>
      <c r="R19" s="77">
        <v>0</v>
      </c>
      <c r="S19" s="77">
        <v>0</v>
      </c>
      <c r="T19" s="77">
        <v>0</v>
      </c>
      <c r="U19" s="77">
        <v>0</v>
      </c>
      <c r="V19" s="77">
        <v>0</v>
      </c>
      <c r="W19" s="77">
        <f t="shared" si="0"/>
        <v>46055</v>
      </c>
      <c r="X19" s="77">
        <v>30667</v>
      </c>
      <c r="Y19" s="77">
        <v>232</v>
      </c>
      <c r="Z19" s="77">
        <f t="shared" si="1"/>
        <v>15620</v>
      </c>
    </row>
    <row r="20" spans="1:26" x14ac:dyDescent="0.3">
      <c r="A20" s="72">
        <v>17</v>
      </c>
      <c r="B20" s="72">
        <v>602</v>
      </c>
      <c r="C20" s="75" t="s">
        <v>127</v>
      </c>
      <c r="D20" s="77">
        <v>1246</v>
      </c>
      <c r="E20" s="77">
        <v>308</v>
      </c>
      <c r="F20" s="77">
        <v>10560</v>
      </c>
      <c r="G20" s="77">
        <v>5280</v>
      </c>
      <c r="H20" s="77">
        <v>6072</v>
      </c>
      <c r="I20" s="77">
        <v>1140</v>
      </c>
      <c r="J20" s="77">
        <v>0</v>
      </c>
      <c r="K20" s="77">
        <v>0</v>
      </c>
      <c r="L20" s="77">
        <v>120</v>
      </c>
      <c r="M20" s="77">
        <v>12408</v>
      </c>
      <c r="N20" s="77">
        <v>1332</v>
      </c>
      <c r="O20" s="77">
        <v>4428</v>
      </c>
      <c r="P20" s="77">
        <v>0</v>
      </c>
      <c r="Q20" s="77">
        <v>0</v>
      </c>
      <c r="R20" s="77">
        <v>0</v>
      </c>
      <c r="S20" s="77">
        <v>0</v>
      </c>
      <c r="T20" s="77">
        <v>0</v>
      </c>
      <c r="U20" s="77">
        <v>1750</v>
      </c>
      <c r="V20" s="77">
        <v>0</v>
      </c>
      <c r="W20" s="77">
        <f t="shared" si="0"/>
        <v>44644</v>
      </c>
      <c r="X20" s="77">
        <v>45000</v>
      </c>
      <c r="Y20" s="77">
        <v>0</v>
      </c>
      <c r="Z20" s="77">
        <f t="shared" si="1"/>
        <v>-356</v>
      </c>
    </row>
    <row r="21" spans="1:26" x14ac:dyDescent="0.3">
      <c r="A21" s="72">
        <v>18</v>
      </c>
      <c r="B21" s="72">
        <v>603</v>
      </c>
      <c r="C21" s="75" t="s">
        <v>273</v>
      </c>
      <c r="D21" s="77">
        <v>-27117</v>
      </c>
      <c r="E21" s="77">
        <v>0</v>
      </c>
      <c r="F21" s="77">
        <v>10560</v>
      </c>
      <c r="G21" s="77">
        <v>5280</v>
      </c>
      <c r="H21" s="77">
        <v>6072</v>
      </c>
      <c r="I21" s="77">
        <v>1140</v>
      </c>
      <c r="J21" s="77">
        <v>0</v>
      </c>
      <c r="K21" s="77">
        <v>0</v>
      </c>
      <c r="L21" s="77">
        <v>120</v>
      </c>
      <c r="M21" s="77">
        <v>9948</v>
      </c>
      <c r="N21" s="77">
        <v>732</v>
      </c>
      <c r="O21" s="77">
        <v>2424</v>
      </c>
      <c r="P21" s="77">
        <v>0</v>
      </c>
      <c r="Q21" s="77">
        <v>0</v>
      </c>
      <c r="R21" s="77">
        <v>0</v>
      </c>
      <c r="S21" s="77">
        <v>0</v>
      </c>
      <c r="T21" s="77">
        <v>0</v>
      </c>
      <c r="U21" s="77">
        <v>0</v>
      </c>
      <c r="V21" s="77">
        <v>0</v>
      </c>
      <c r="W21" s="77">
        <f t="shared" si="0"/>
        <v>9159</v>
      </c>
      <c r="X21" s="77">
        <v>12082</v>
      </c>
      <c r="Y21" s="77">
        <v>0</v>
      </c>
      <c r="Z21" s="77">
        <f t="shared" si="1"/>
        <v>-2923</v>
      </c>
    </row>
    <row r="22" spans="1:26" x14ac:dyDescent="0.3">
      <c r="A22" s="72">
        <v>19</v>
      </c>
      <c r="B22" s="72">
        <v>701</v>
      </c>
      <c r="C22" s="75" t="s">
        <v>134</v>
      </c>
      <c r="D22" s="77">
        <v>24418</v>
      </c>
      <c r="E22" s="77">
        <v>2485</v>
      </c>
      <c r="F22" s="77">
        <v>10560</v>
      </c>
      <c r="G22" s="77">
        <v>5280</v>
      </c>
      <c r="H22" s="77">
        <v>6072</v>
      </c>
      <c r="I22" s="77">
        <v>1140</v>
      </c>
      <c r="J22" s="77">
        <v>1800</v>
      </c>
      <c r="K22" s="77">
        <v>0</v>
      </c>
      <c r="L22" s="77">
        <v>120</v>
      </c>
      <c r="M22" s="77">
        <v>17172</v>
      </c>
      <c r="N22" s="77">
        <v>1248</v>
      </c>
      <c r="O22" s="77">
        <v>4176</v>
      </c>
      <c r="P22" s="77">
        <v>0</v>
      </c>
      <c r="Q22" s="77">
        <v>0</v>
      </c>
      <c r="R22" s="77">
        <v>0</v>
      </c>
      <c r="S22" s="77">
        <v>0</v>
      </c>
      <c r="T22" s="77">
        <v>0</v>
      </c>
      <c r="U22" s="77">
        <v>2100</v>
      </c>
      <c r="V22" s="77">
        <v>0</v>
      </c>
      <c r="W22" s="77">
        <f t="shared" si="0"/>
        <v>76571</v>
      </c>
      <c r="X22" s="77">
        <v>69121</v>
      </c>
      <c r="Y22" s="77">
        <v>56</v>
      </c>
      <c r="Z22" s="77">
        <f t="shared" si="1"/>
        <v>7506</v>
      </c>
    </row>
    <row r="23" spans="1:26" x14ac:dyDescent="0.3">
      <c r="A23" s="72">
        <v>20</v>
      </c>
      <c r="B23" s="72">
        <v>702</v>
      </c>
      <c r="C23" s="75" t="s">
        <v>274</v>
      </c>
      <c r="D23" s="77">
        <v>130</v>
      </c>
      <c r="E23" s="77">
        <v>760</v>
      </c>
      <c r="F23" s="77">
        <v>10560</v>
      </c>
      <c r="G23" s="77">
        <v>5280</v>
      </c>
      <c r="H23" s="77">
        <v>6072</v>
      </c>
      <c r="I23" s="77">
        <v>1140</v>
      </c>
      <c r="J23" s="77">
        <v>5400</v>
      </c>
      <c r="K23" s="77">
        <v>10088</v>
      </c>
      <c r="L23" s="77">
        <v>120</v>
      </c>
      <c r="M23" s="77">
        <v>18192</v>
      </c>
      <c r="N23" s="77">
        <v>1332</v>
      </c>
      <c r="O23" s="77">
        <v>4428</v>
      </c>
      <c r="P23" s="77">
        <v>2500</v>
      </c>
      <c r="Q23" s="77">
        <v>0</v>
      </c>
      <c r="R23" s="77">
        <v>0</v>
      </c>
      <c r="S23" s="77">
        <v>0</v>
      </c>
      <c r="T23" s="77">
        <v>0</v>
      </c>
      <c r="U23" s="77">
        <v>0</v>
      </c>
      <c r="V23" s="77">
        <v>0</v>
      </c>
      <c r="W23" s="77">
        <f t="shared" si="0"/>
        <v>66002</v>
      </c>
      <c r="X23" s="77">
        <v>66002</v>
      </c>
      <c r="Y23" s="77">
        <v>0</v>
      </c>
      <c r="Z23" s="77">
        <f t="shared" si="1"/>
        <v>0</v>
      </c>
    </row>
    <row r="24" spans="1:26" x14ac:dyDescent="0.3">
      <c r="A24" s="72">
        <v>21</v>
      </c>
      <c r="B24" s="72">
        <v>703</v>
      </c>
      <c r="C24" s="75" t="s">
        <v>275</v>
      </c>
      <c r="D24" s="77">
        <v>-727</v>
      </c>
      <c r="E24" s="77">
        <v>436</v>
      </c>
      <c r="F24" s="77">
        <v>10560</v>
      </c>
      <c r="G24" s="77">
        <v>5280</v>
      </c>
      <c r="H24" s="77">
        <v>6072</v>
      </c>
      <c r="I24" s="77">
        <v>1140</v>
      </c>
      <c r="J24" s="77">
        <v>3300</v>
      </c>
      <c r="K24" s="77">
        <v>1628</v>
      </c>
      <c r="L24" s="77">
        <v>120</v>
      </c>
      <c r="M24" s="77">
        <v>9924</v>
      </c>
      <c r="N24" s="77">
        <v>720</v>
      </c>
      <c r="O24" s="77">
        <v>2412</v>
      </c>
      <c r="P24" s="77">
        <v>0</v>
      </c>
      <c r="Q24" s="77">
        <v>500</v>
      </c>
      <c r="R24" s="77">
        <v>0</v>
      </c>
      <c r="S24" s="77">
        <v>0</v>
      </c>
      <c r="T24" s="77">
        <v>0</v>
      </c>
      <c r="U24" s="77">
        <v>1750</v>
      </c>
      <c r="V24" s="77">
        <v>100</v>
      </c>
      <c r="W24" s="77">
        <f t="shared" si="0"/>
        <v>43215</v>
      </c>
      <c r="X24" s="77">
        <v>45435</v>
      </c>
      <c r="Y24" s="77">
        <v>0</v>
      </c>
      <c r="Z24" s="77">
        <f t="shared" si="1"/>
        <v>-2220</v>
      </c>
    </row>
    <row r="25" spans="1:26" x14ac:dyDescent="0.3">
      <c r="A25" s="72">
        <v>22</v>
      </c>
      <c r="B25" s="72">
        <v>801</v>
      </c>
      <c r="C25" s="75" t="s">
        <v>276</v>
      </c>
      <c r="D25" s="77">
        <v>0</v>
      </c>
      <c r="E25" s="77">
        <v>188</v>
      </c>
      <c r="F25" s="77">
        <v>10560</v>
      </c>
      <c r="G25" s="77">
        <v>5280</v>
      </c>
      <c r="H25" s="77">
        <v>6072</v>
      </c>
      <c r="I25" s="77">
        <v>1140</v>
      </c>
      <c r="J25" s="77">
        <v>1800</v>
      </c>
      <c r="K25" s="77">
        <v>0</v>
      </c>
      <c r="L25" s="77">
        <v>120</v>
      </c>
      <c r="M25" s="77">
        <v>16356</v>
      </c>
      <c r="N25" s="77">
        <v>1248</v>
      </c>
      <c r="O25" s="77">
        <v>4176</v>
      </c>
      <c r="P25" s="77">
        <v>0</v>
      </c>
      <c r="Q25" s="77">
        <v>0</v>
      </c>
      <c r="R25" s="77">
        <v>0</v>
      </c>
      <c r="S25" s="77">
        <v>0</v>
      </c>
      <c r="T25" s="77">
        <v>0</v>
      </c>
      <c r="U25" s="77">
        <v>0</v>
      </c>
      <c r="V25" s="77">
        <v>0</v>
      </c>
      <c r="W25" s="77">
        <f t="shared" si="0"/>
        <v>46940</v>
      </c>
      <c r="X25" s="77">
        <v>46940</v>
      </c>
      <c r="Y25" s="77">
        <v>0</v>
      </c>
      <c r="Z25" s="77">
        <f t="shared" si="1"/>
        <v>0</v>
      </c>
    </row>
    <row r="26" spans="1:26" x14ac:dyDescent="0.3">
      <c r="A26" s="72">
        <v>23</v>
      </c>
      <c r="B26" s="72">
        <v>802</v>
      </c>
      <c r="C26" s="75" t="s">
        <v>135</v>
      </c>
      <c r="D26" s="77">
        <v>-200</v>
      </c>
      <c r="E26" s="77">
        <v>31</v>
      </c>
      <c r="F26" s="77">
        <v>10560</v>
      </c>
      <c r="G26" s="77">
        <v>5280</v>
      </c>
      <c r="H26" s="77">
        <v>6072</v>
      </c>
      <c r="I26" s="77">
        <v>1140</v>
      </c>
      <c r="J26" s="77">
        <v>1800</v>
      </c>
      <c r="K26" s="77">
        <v>10088</v>
      </c>
      <c r="L26" s="77">
        <v>120</v>
      </c>
      <c r="M26" s="77">
        <v>18192</v>
      </c>
      <c r="N26" s="77">
        <v>1332</v>
      </c>
      <c r="O26" s="77">
        <v>4428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f t="shared" si="0"/>
        <v>58843</v>
      </c>
      <c r="X26" s="77">
        <v>58572</v>
      </c>
      <c r="Y26" s="77">
        <v>0</v>
      </c>
      <c r="Z26" s="77">
        <f t="shared" si="1"/>
        <v>271</v>
      </c>
    </row>
    <row r="27" spans="1:26" x14ac:dyDescent="0.3">
      <c r="A27" s="72">
        <v>24</v>
      </c>
      <c r="B27" s="72">
        <v>803</v>
      </c>
      <c r="C27" s="75" t="s">
        <v>242</v>
      </c>
      <c r="D27" s="77">
        <v>0</v>
      </c>
      <c r="E27" s="77">
        <v>90</v>
      </c>
      <c r="F27" s="77">
        <v>10560</v>
      </c>
      <c r="G27" s="77">
        <v>5280</v>
      </c>
      <c r="H27" s="77">
        <v>6072</v>
      </c>
      <c r="I27" s="77">
        <v>1140</v>
      </c>
      <c r="J27" s="77">
        <v>1350</v>
      </c>
      <c r="K27" s="77">
        <v>7792</v>
      </c>
      <c r="L27" s="77">
        <v>120</v>
      </c>
      <c r="M27" s="77">
        <v>9924</v>
      </c>
      <c r="N27" s="77">
        <v>720</v>
      </c>
      <c r="O27" s="77">
        <v>2412</v>
      </c>
      <c r="P27" s="77">
        <v>0</v>
      </c>
      <c r="Q27" s="77">
        <v>0</v>
      </c>
      <c r="R27" s="77">
        <v>0</v>
      </c>
      <c r="S27" s="77">
        <v>0</v>
      </c>
      <c r="T27" s="77">
        <v>0</v>
      </c>
      <c r="U27" s="77">
        <v>2100</v>
      </c>
      <c r="V27" s="77">
        <v>0</v>
      </c>
      <c r="W27" s="77">
        <f t="shared" si="0"/>
        <v>47560</v>
      </c>
      <c r="X27" s="77">
        <v>47560</v>
      </c>
      <c r="Y27" s="77">
        <v>0</v>
      </c>
      <c r="Z27" s="77">
        <f t="shared" si="1"/>
        <v>0</v>
      </c>
    </row>
    <row r="28" spans="1:26" x14ac:dyDescent="0.3">
      <c r="A28" s="72">
        <v>25</v>
      </c>
      <c r="B28" s="27" t="s">
        <v>130</v>
      </c>
      <c r="C28" s="29" t="s">
        <v>224</v>
      </c>
      <c r="D28" s="77">
        <v>25840</v>
      </c>
      <c r="E28" s="77">
        <v>8929</v>
      </c>
      <c r="F28" s="77">
        <v>10560</v>
      </c>
      <c r="G28" s="77">
        <v>5280</v>
      </c>
      <c r="H28" s="77">
        <v>6072</v>
      </c>
      <c r="I28" s="77">
        <v>1140</v>
      </c>
      <c r="J28" s="77">
        <v>1800</v>
      </c>
      <c r="K28" s="77">
        <v>10088</v>
      </c>
      <c r="L28" s="77">
        <v>120</v>
      </c>
      <c r="M28" s="77">
        <v>9732</v>
      </c>
      <c r="N28" s="77">
        <v>1092</v>
      </c>
      <c r="O28" s="77">
        <v>3648</v>
      </c>
      <c r="P28" s="77">
        <v>3000</v>
      </c>
      <c r="Q28" s="77">
        <v>0</v>
      </c>
      <c r="R28" s="77">
        <v>0</v>
      </c>
      <c r="S28" s="77">
        <v>0</v>
      </c>
      <c r="T28" s="77">
        <v>0</v>
      </c>
      <c r="U28" s="77">
        <v>0</v>
      </c>
      <c r="V28" s="77">
        <v>0</v>
      </c>
      <c r="W28" s="77">
        <f t="shared" si="0"/>
        <v>87301</v>
      </c>
      <c r="X28" s="77">
        <v>28000</v>
      </c>
      <c r="Y28" s="77">
        <v>1248</v>
      </c>
      <c r="Z28" s="77">
        <f t="shared" si="1"/>
        <v>60549</v>
      </c>
    </row>
    <row r="29" spans="1:26" x14ac:dyDescent="0.3">
      <c r="A29" s="72">
        <v>26</v>
      </c>
      <c r="B29" s="27" t="s">
        <v>225</v>
      </c>
      <c r="C29" s="29" t="s">
        <v>277</v>
      </c>
      <c r="D29" s="77">
        <v>0</v>
      </c>
      <c r="E29" s="77">
        <v>152</v>
      </c>
      <c r="F29" s="77">
        <v>10560</v>
      </c>
      <c r="G29" s="77">
        <v>5280</v>
      </c>
      <c r="H29" s="77">
        <v>6072</v>
      </c>
      <c r="I29" s="77">
        <v>1140</v>
      </c>
      <c r="J29" s="77">
        <v>1800</v>
      </c>
      <c r="K29" s="77">
        <v>18270</v>
      </c>
      <c r="L29" s="77">
        <v>120</v>
      </c>
      <c r="M29" s="77">
        <v>7536</v>
      </c>
      <c r="N29" s="77">
        <v>852</v>
      </c>
      <c r="O29" s="77">
        <v>2820</v>
      </c>
      <c r="P29" s="77">
        <v>0</v>
      </c>
      <c r="Q29" s="77">
        <v>500</v>
      </c>
      <c r="R29" s="77">
        <v>0</v>
      </c>
      <c r="S29" s="77">
        <v>0</v>
      </c>
      <c r="T29" s="77">
        <v>0</v>
      </c>
      <c r="U29" s="77">
        <v>0</v>
      </c>
      <c r="V29" s="77">
        <v>0</v>
      </c>
      <c r="W29" s="77">
        <f t="shared" si="0"/>
        <v>55102</v>
      </c>
      <c r="X29" s="77">
        <v>55102</v>
      </c>
      <c r="Y29" s="77">
        <v>0</v>
      </c>
      <c r="Z29" s="77">
        <f t="shared" si="1"/>
        <v>0</v>
      </c>
    </row>
    <row r="30" spans="1:26" x14ac:dyDescent="0.3">
      <c r="A30" s="72">
        <v>27</v>
      </c>
      <c r="B30" s="27" t="s">
        <v>131</v>
      </c>
      <c r="C30" s="29" t="s">
        <v>224</v>
      </c>
      <c r="D30" s="77">
        <v>38964</v>
      </c>
      <c r="E30" s="77">
        <v>7939</v>
      </c>
      <c r="F30" s="77">
        <v>10560</v>
      </c>
      <c r="G30" s="77">
        <v>5280</v>
      </c>
      <c r="H30" s="77">
        <v>2412</v>
      </c>
      <c r="I30" s="77">
        <v>1140</v>
      </c>
      <c r="J30" s="77">
        <v>0</v>
      </c>
      <c r="K30" s="77">
        <v>0</v>
      </c>
      <c r="L30" s="77">
        <v>120</v>
      </c>
      <c r="M30" s="77">
        <v>33444</v>
      </c>
      <c r="N30" s="77">
        <v>384</v>
      </c>
      <c r="O30" s="77">
        <v>1260</v>
      </c>
      <c r="P30" s="77">
        <v>0</v>
      </c>
      <c r="Q30" s="77">
        <v>0</v>
      </c>
      <c r="R30" s="77">
        <v>100</v>
      </c>
      <c r="S30" s="77">
        <v>500</v>
      </c>
      <c r="T30" s="77">
        <v>25000</v>
      </c>
      <c r="U30" s="77">
        <v>0</v>
      </c>
      <c r="V30" s="77">
        <v>0</v>
      </c>
      <c r="W30" s="77">
        <f t="shared" si="0"/>
        <v>127103</v>
      </c>
      <c r="X30" s="77">
        <v>121825</v>
      </c>
      <c r="Y30" s="77">
        <v>43</v>
      </c>
      <c r="Z30" s="77">
        <f t="shared" si="1"/>
        <v>5321</v>
      </c>
    </row>
    <row r="31" spans="1:26" x14ac:dyDescent="0.3">
      <c r="A31" s="72">
        <v>28</v>
      </c>
      <c r="B31" s="27" t="s">
        <v>138</v>
      </c>
      <c r="C31" s="29" t="s">
        <v>139</v>
      </c>
      <c r="D31" s="77">
        <v>30</v>
      </c>
      <c r="E31" s="77">
        <v>628</v>
      </c>
      <c r="F31" s="77">
        <v>10560</v>
      </c>
      <c r="G31" s="77">
        <v>5280</v>
      </c>
      <c r="H31" s="77">
        <v>6072</v>
      </c>
      <c r="I31" s="77">
        <v>1140</v>
      </c>
      <c r="J31" s="77">
        <v>0</v>
      </c>
      <c r="K31" s="77">
        <v>0</v>
      </c>
      <c r="L31" s="77">
        <v>120</v>
      </c>
      <c r="M31" s="77">
        <v>6444</v>
      </c>
      <c r="N31" s="77">
        <v>720</v>
      </c>
      <c r="O31" s="77">
        <v>2412</v>
      </c>
      <c r="P31" s="77">
        <v>0</v>
      </c>
      <c r="Q31" s="77">
        <v>0</v>
      </c>
      <c r="R31" s="77">
        <v>0</v>
      </c>
      <c r="S31" s="77">
        <v>0</v>
      </c>
      <c r="T31" s="77">
        <v>0</v>
      </c>
      <c r="U31" s="77">
        <v>0</v>
      </c>
      <c r="V31" s="77">
        <v>0</v>
      </c>
      <c r="W31" s="77">
        <f t="shared" si="0"/>
        <v>33406</v>
      </c>
      <c r="X31" s="77">
        <v>59508.7</v>
      </c>
      <c r="Y31" s="77">
        <v>0</v>
      </c>
      <c r="Z31" s="77">
        <f t="shared" si="1"/>
        <v>-26102.699999999997</v>
      </c>
    </row>
    <row r="32" spans="1:26" s="74" customFormat="1" x14ac:dyDescent="0.3">
      <c r="A32" s="294" t="s">
        <v>13</v>
      </c>
      <c r="B32" s="294"/>
      <c r="C32" s="294"/>
      <c r="D32" s="79">
        <f>SUM(D4:D31)</f>
        <v>45796</v>
      </c>
      <c r="E32" s="79">
        <f t="shared" ref="E32:Z32" si="2">SUM(E4:E31)</f>
        <v>24123</v>
      </c>
      <c r="F32" s="79">
        <f t="shared" si="2"/>
        <v>295680</v>
      </c>
      <c r="G32" s="79">
        <f t="shared" si="2"/>
        <v>147840</v>
      </c>
      <c r="H32" s="79">
        <f t="shared" si="2"/>
        <v>162300</v>
      </c>
      <c r="I32" s="79">
        <f t="shared" si="2"/>
        <v>31920</v>
      </c>
      <c r="J32" s="79">
        <f t="shared" si="2"/>
        <v>41400</v>
      </c>
      <c r="K32" s="79">
        <f t="shared" si="2"/>
        <v>81610</v>
      </c>
      <c r="L32" s="79">
        <f t="shared" si="2"/>
        <v>3360</v>
      </c>
      <c r="M32" s="79">
        <f t="shared" si="2"/>
        <v>329496</v>
      </c>
      <c r="N32" s="79">
        <f t="shared" si="2"/>
        <v>29460</v>
      </c>
      <c r="O32" s="79">
        <f t="shared" si="2"/>
        <v>98304</v>
      </c>
      <c r="P32" s="79">
        <f t="shared" si="2"/>
        <v>5500</v>
      </c>
      <c r="Q32" s="79">
        <f t="shared" si="2"/>
        <v>2500</v>
      </c>
      <c r="R32" s="79">
        <f t="shared" si="2"/>
        <v>100</v>
      </c>
      <c r="S32" s="79">
        <f t="shared" si="2"/>
        <v>500</v>
      </c>
      <c r="T32" s="79">
        <f t="shared" si="2"/>
        <v>25000</v>
      </c>
      <c r="U32" s="79">
        <f t="shared" si="2"/>
        <v>15575</v>
      </c>
      <c r="V32" s="79">
        <f t="shared" si="2"/>
        <v>100</v>
      </c>
      <c r="W32" s="79">
        <f t="shared" si="2"/>
        <v>1340564</v>
      </c>
      <c r="X32" s="79">
        <f t="shared" si="2"/>
        <v>1310320.7</v>
      </c>
      <c r="Y32" s="79">
        <f t="shared" si="2"/>
        <v>1579</v>
      </c>
      <c r="Z32" s="79">
        <f t="shared" si="2"/>
        <v>31822.300000000003</v>
      </c>
    </row>
    <row r="34" spans="22:26" x14ac:dyDescent="0.3">
      <c r="W34" s="76"/>
      <c r="Z34" s="76"/>
    </row>
    <row r="35" spans="22:26" x14ac:dyDescent="0.3">
      <c r="V35" s="73"/>
      <c r="W35" s="73"/>
    </row>
  </sheetData>
  <mergeCells count="3">
    <mergeCell ref="A32:C32"/>
    <mergeCell ref="A1:Z1"/>
    <mergeCell ref="A2:Z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>
      <selection activeCell="N9" sqref="N9"/>
    </sheetView>
  </sheetViews>
  <sheetFormatPr defaultRowHeight="14.4" x14ac:dyDescent="0.3"/>
  <cols>
    <col min="1" max="1" width="6.44140625" bestFit="1" customWidth="1"/>
    <col min="2" max="2" width="7.33203125" bestFit="1" customWidth="1"/>
    <col min="3" max="3" width="24" customWidth="1"/>
    <col min="4" max="12" width="7.6640625" bestFit="1" customWidth="1"/>
    <col min="13" max="13" width="7.6640625" customWidth="1"/>
    <col min="14" max="14" width="7" bestFit="1" customWidth="1"/>
  </cols>
  <sheetData>
    <row r="1" spans="1:14" ht="19.8" x14ac:dyDescent="0.3">
      <c r="A1" s="274" t="s">
        <v>0</v>
      </c>
      <c r="B1" s="274"/>
      <c r="C1" s="274"/>
      <c r="D1" s="274"/>
      <c r="E1" s="274"/>
      <c r="F1" s="274"/>
      <c r="G1" s="274"/>
      <c r="H1" s="274"/>
      <c r="I1" s="274"/>
      <c r="J1" s="274"/>
      <c r="K1" s="274"/>
      <c r="L1" s="274"/>
      <c r="M1" s="274"/>
      <c r="N1" s="274"/>
    </row>
    <row r="2" spans="1:14" x14ac:dyDescent="0.3">
      <c r="A2" s="267" t="s">
        <v>111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</row>
    <row r="3" spans="1:14" s="8" customFormat="1" x14ac:dyDescent="0.3">
      <c r="A3" s="28" t="s">
        <v>112</v>
      </c>
      <c r="B3" s="28" t="s">
        <v>113</v>
      </c>
      <c r="C3" s="28" t="s">
        <v>114</v>
      </c>
      <c r="D3" s="28" t="s">
        <v>115</v>
      </c>
      <c r="E3" s="28" t="s">
        <v>116</v>
      </c>
      <c r="F3" s="28" t="s">
        <v>117</v>
      </c>
      <c r="G3" s="28" t="s">
        <v>118</v>
      </c>
      <c r="H3" s="28" t="s">
        <v>119</v>
      </c>
      <c r="I3" s="28" t="s">
        <v>124</v>
      </c>
      <c r="J3" s="28" t="s">
        <v>120</v>
      </c>
      <c r="K3" s="28" t="s">
        <v>121</v>
      </c>
      <c r="L3" s="28" t="s">
        <v>122</v>
      </c>
      <c r="M3" s="28" t="s">
        <v>201</v>
      </c>
      <c r="N3" s="28" t="s">
        <v>13</v>
      </c>
    </row>
    <row r="4" spans="1:14" x14ac:dyDescent="0.3">
      <c r="A4" s="3">
        <v>1</v>
      </c>
      <c r="B4" s="3">
        <v>101</v>
      </c>
      <c r="C4" s="29" t="s">
        <v>123</v>
      </c>
      <c r="D4" s="29">
        <v>8118</v>
      </c>
      <c r="E4" s="29">
        <v>12300</v>
      </c>
      <c r="F4" s="29">
        <v>11148</v>
      </c>
      <c r="G4" s="29">
        <v>11148</v>
      </c>
      <c r="H4" s="29">
        <v>11148</v>
      </c>
      <c r="I4" s="29">
        <v>11148</v>
      </c>
      <c r="J4" s="29">
        <v>11148</v>
      </c>
      <c r="K4" s="29">
        <v>11148</v>
      </c>
      <c r="L4" s="29">
        <v>11148</v>
      </c>
      <c r="M4" s="29">
        <v>11148</v>
      </c>
      <c r="N4" s="29">
        <f t="shared" ref="N4:N9" si="0">SUM(D4:M4)</f>
        <v>109602</v>
      </c>
    </row>
    <row r="5" spans="1:14" x14ac:dyDescent="0.3">
      <c r="A5" s="3">
        <v>2</v>
      </c>
      <c r="B5" s="3">
        <v>501</v>
      </c>
      <c r="C5" s="29" t="s">
        <v>125</v>
      </c>
      <c r="D5" s="29">
        <v>5631</v>
      </c>
      <c r="E5" s="29">
        <v>12924</v>
      </c>
      <c r="F5" s="29">
        <v>11712</v>
      </c>
      <c r="G5" s="29">
        <v>11712</v>
      </c>
      <c r="H5" s="29">
        <v>11712</v>
      </c>
      <c r="I5" s="29">
        <v>11712</v>
      </c>
      <c r="J5" s="29">
        <v>11712</v>
      </c>
      <c r="K5" s="29">
        <v>11712</v>
      </c>
      <c r="L5" s="29">
        <v>11712</v>
      </c>
      <c r="M5" s="29">
        <v>11712</v>
      </c>
      <c r="N5" s="29">
        <f t="shared" si="0"/>
        <v>112251</v>
      </c>
    </row>
    <row r="6" spans="1:14" x14ac:dyDescent="0.3">
      <c r="A6" s="3">
        <v>3</v>
      </c>
      <c r="B6" s="3">
        <v>601</v>
      </c>
      <c r="C6" s="29" t="s">
        <v>126</v>
      </c>
      <c r="D6" s="29">
        <v>0</v>
      </c>
      <c r="E6" s="29">
        <v>0</v>
      </c>
      <c r="F6" s="29">
        <v>1952</v>
      </c>
      <c r="G6" s="29">
        <v>11712</v>
      </c>
      <c r="H6" s="29">
        <v>11712</v>
      </c>
      <c r="I6" s="29">
        <v>11712</v>
      </c>
      <c r="J6" s="29">
        <v>11712</v>
      </c>
      <c r="K6" s="29">
        <v>11712</v>
      </c>
      <c r="L6" s="29">
        <v>11712</v>
      </c>
      <c r="M6" s="29">
        <v>11712</v>
      </c>
      <c r="N6" s="29">
        <f t="shared" si="0"/>
        <v>83936</v>
      </c>
    </row>
    <row r="7" spans="1:14" x14ac:dyDescent="0.3">
      <c r="A7" s="3">
        <v>4</v>
      </c>
      <c r="B7" s="3">
        <v>602</v>
      </c>
      <c r="C7" s="29" t="s">
        <v>127</v>
      </c>
      <c r="D7" s="29">
        <v>22838</v>
      </c>
      <c r="E7" s="29">
        <v>13764</v>
      </c>
      <c r="F7" s="29">
        <v>12462</v>
      </c>
      <c r="G7" s="29">
        <v>12408</v>
      </c>
      <c r="H7" s="29">
        <v>12408</v>
      </c>
      <c r="I7" s="29">
        <v>12408</v>
      </c>
      <c r="J7" s="29">
        <v>12408</v>
      </c>
      <c r="K7" s="29">
        <v>12408</v>
      </c>
      <c r="L7" s="29">
        <v>12408</v>
      </c>
      <c r="M7" s="29">
        <v>12408</v>
      </c>
      <c r="N7" s="29">
        <f t="shared" si="0"/>
        <v>135920</v>
      </c>
    </row>
    <row r="8" spans="1:14" x14ac:dyDescent="0.3">
      <c r="A8" s="3">
        <v>5</v>
      </c>
      <c r="B8" s="3">
        <v>801</v>
      </c>
      <c r="C8" s="29" t="s">
        <v>128</v>
      </c>
      <c r="D8" s="29">
        <v>29064</v>
      </c>
      <c r="E8" s="29">
        <v>18948</v>
      </c>
      <c r="F8" s="29">
        <v>16356</v>
      </c>
      <c r="G8" s="29">
        <v>16356</v>
      </c>
      <c r="H8" s="29">
        <v>16356</v>
      </c>
      <c r="I8" s="29">
        <v>16356</v>
      </c>
      <c r="J8" s="29">
        <v>16356</v>
      </c>
      <c r="K8" s="29">
        <v>16356</v>
      </c>
      <c r="L8" s="29">
        <v>16356</v>
      </c>
      <c r="M8" s="29">
        <v>16356</v>
      </c>
      <c r="N8" s="29">
        <f t="shared" si="0"/>
        <v>178860</v>
      </c>
    </row>
    <row r="9" spans="1:14" x14ac:dyDescent="0.3">
      <c r="A9" s="3">
        <v>6</v>
      </c>
      <c r="B9" s="3">
        <v>803</v>
      </c>
      <c r="C9" s="29" t="s">
        <v>129</v>
      </c>
      <c r="D9" s="29">
        <v>16776</v>
      </c>
      <c r="E9" s="29">
        <v>10944</v>
      </c>
      <c r="F9" s="29">
        <v>9924</v>
      </c>
      <c r="G9" s="29">
        <v>9924</v>
      </c>
      <c r="H9" s="29">
        <v>9924</v>
      </c>
      <c r="I9" s="29">
        <v>9924</v>
      </c>
      <c r="J9" s="29">
        <v>9924</v>
      </c>
      <c r="K9" s="29">
        <v>9924</v>
      </c>
      <c r="L9" s="29">
        <v>9924</v>
      </c>
      <c r="M9" s="29">
        <v>9924</v>
      </c>
      <c r="N9" s="29">
        <f t="shared" si="0"/>
        <v>107112</v>
      </c>
    </row>
    <row r="10" spans="1:14" s="5" customFormat="1" x14ac:dyDescent="0.3">
      <c r="A10" s="290" t="s">
        <v>13</v>
      </c>
      <c r="B10" s="290"/>
      <c r="C10" s="290"/>
      <c r="D10" s="30">
        <f>SUM(D4:D9)</f>
        <v>82427</v>
      </c>
      <c r="E10" s="30">
        <f t="shared" ref="E10:N10" si="1">SUM(E4:E9)</f>
        <v>68880</v>
      </c>
      <c r="F10" s="30">
        <f t="shared" si="1"/>
        <v>63554</v>
      </c>
      <c r="G10" s="30">
        <f t="shared" si="1"/>
        <v>73260</v>
      </c>
      <c r="H10" s="30">
        <f t="shared" si="1"/>
        <v>73260</v>
      </c>
      <c r="I10" s="30">
        <f t="shared" si="1"/>
        <v>73260</v>
      </c>
      <c r="J10" s="30">
        <f t="shared" si="1"/>
        <v>73260</v>
      </c>
      <c r="K10" s="30">
        <f t="shared" si="1"/>
        <v>73260</v>
      </c>
      <c r="L10" s="30">
        <f t="shared" si="1"/>
        <v>73260</v>
      </c>
      <c r="M10" s="30">
        <f t="shared" si="1"/>
        <v>73260</v>
      </c>
      <c r="N10" s="30">
        <f t="shared" si="1"/>
        <v>727681</v>
      </c>
    </row>
  </sheetData>
  <mergeCells count="3">
    <mergeCell ref="A1:N1"/>
    <mergeCell ref="A2:N2"/>
    <mergeCell ref="A10:C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workbookViewId="0">
      <selection activeCell="H6" sqref="H6"/>
    </sheetView>
  </sheetViews>
  <sheetFormatPr defaultRowHeight="14.4" x14ac:dyDescent="0.3"/>
  <cols>
    <col min="1" max="2" width="6.6640625" style="44" customWidth="1"/>
    <col min="3" max="3" width="54" customWidth="1"/>
    <col min="6" max="6" width="10.6640625" customWidth="1"/>
    <col min="7" max="7" width="11.88671875" customWidth="1"/>
    <col min="8" max="8" width="9.88671875" customWidth="1"/>
    <col min="9" max="9" width="10.5546875" customWidth="1"/>
  </cols>
  <sheetData>
    <row r="1" spans="1:9" ht="16.5" customHeight="1" x14ac:dyDescent="0.3">
      <c r="A1" s="297" t="s">
        <v>585</v>
      </c>
      <c r="B1" s="298"/>
      <c r="C1" s="298"/>
      <c r="D1" s="298"/>
      <c r="E1" s="298"/>
      <c r="F1" s="298"/>
      <c r="G1" s="298"/>
      <c r="H1" s="298"/>
      <c r="I1" s="298"/>
    </row>
    <row r="2" spans="1:9" ht="16.5" customHeight="1" x14ac:dyDescent="0.3">
      <c r="A2" s="295" t="s">
        <v>218</v>
      </c>
      <c r="B2" s="295" t="s">
        <v>136</v>
      </c>
      <c r="C2" s="295" t="s">
        <v>114</v>
      </c>
      <c r="D2" s="299" t="s">
        <v>219</v>
      </c>
      <c r="E2" s="299"/>
      <c r="F2" s="300" t="s">
        <v>220</v>
      </c>
      <c r="G2" s="300" t="s">
        <v>221</v>
      </c>
      <c r="H2" s="300" t="s">
        <v>514</v>
      </c>
      <c r="I2" s="300" t="s">
        <v>278</v>
      </c>
    </row>
    <row r="3" spans="1:9" ht="27.75" customHeight="1" x14ac:dyDescent="0.3">
      <c r="A3" s="295"/>
      <c r="B3" s="295"/>
      <c r="C3" s="295"/>
      <c r="D3" s="32" t="s">
        <v>222</v>
      </c>
      <c r="E3" s="32" t="s">
        <v>223</v>
      </c>
      <c r="F3" s="300"/>
      <c r="G3" s="300"/>
      <c r="H3" s="300"/>
      <c r="I3" s="300"/>
    </row>
    <row r="4" spans="1:9" x14ac:dyDescent="0.3">
      <c r="A4" s="33">
        <v>1</v>
      </c>
      <c r="B4" s="3" t="s">
        <v>130</v>
      </c>
      <c r="C4" s="29" t="s">
        <v>224</v>
      </c>
      <c r="D4" s="3">
        <v>56.51</v>
      </c>
      <c r="E4" s="3">
        <f>D4*10.7639</f>
        <v>608.26798899999994</v>
      </c>
      <c r="F4" s="25">
        <v>500</v>
      </c>
      <c r="G4" s="25">
        <v>31945</v>
      </c>
      <c r="H4" s="25">
        <v>0</v>
      </c>
      <c r="I4" s="25">
        <v>0</v>
      </c>
    </row>
    <row r="5" spans="1:9" x14ac:dyDescent="0.3">
      <c r="A5" s="33">
        <v>2</v>
      </c>
      <c r="B5" s="3" t="s">
        <v>225</v>
      </c>
      <c r="C5" s="29" t="s">
        <v>226</v>
      </c>
      <c r="D5" s="3">
        <v>43.7</v>
      </c>
      <c r="E5" s="3">
        <f t="shared" ref="E5:E31" si="0">D5*10.7639</f>
        <v>470.38243</v>
      </c>
      <c r="F5" s="25">
        <v>500</v>
      </c>
      <c r="G5" s="25">
        <v>0</v>
      </c>
      <c r="H5" s="25">
        <v>0</v>
      </c>
      <c r="I5" s="25">
        <v>0</v>
      </c>
    </row>
    <row r="6" spans="1:9" x14ac:dyDescent="0.3">
      <c r="A6" s="33">
        <v>3</v>
      </c>
      <c r="B6" s="3" t="s">
        <v>131</v>
      </c>
      <c r="C6" s="29" t="s">
        <v>132</v>
      </c>
      <c r="D6" s="3">
        <v>19.510000000000002</v>
      </c>
      <c r="E6" s="3">
        <f t="shared" si="0"/>
        <v>210.00368900000001</v>
      </c>
      <c r="F6" s="25">
        <v>500</v>
      </c>
      <c r="G6" s="25">
        <v>164820</v>
      </c>
      <c r="H6" s="25">
        <v>0</v>
      </c>
      <c r="I6" s="25">
        <v>0</v>
      </c>
    </row>
    <row r="7" spans="1:9" x14ac:dyDescent="0.3">
      <c r="A7" s="33">
        <v>4</v>
      </c>
      <c r="B7" s="3" t="s">
        <v>138</v>
      </c>
      <c r="C7" s="29" t="s">
        <v>139</v>
      </c>
      <c r="D7" s="3">
        <v>37.380000000000003</v>
      </c>
      <c r="E7" s="3">
        <f t="shared" si="0"/>
        <v>402.35458199999999</v>
      </c>
      <c r="F7" s="25">
        <v>500</v>
      </c>
      <c r="G7" s="25">
        <v>0</v>
      </c>
      <c r="H7" s="25">
        <v>1004.7</v>
      </c>
      <c r="I7" s="25">
        <v>0</v>
      </c>
    </row>
    <row r="8" spans="1:9" x14ac:dyDescent="0.3">
      <c r="A8" s="33">
        <v>5</v>
      </c>
      <c r="B8" s="33">
        <v>101</v>
      </c>
      <c r="C8" s="29" t="s">
        <v>227</v>
      </c>
      <c r="D8" s="3">
        <v>64.72</v>
      </c>
      <c r="E8" s="3">
        <f t="shared" si="0"/>
        <v>696.63960799999995</v>
      </c>
      <c r="F8" s="25">
        <v>500</v>
      </c>
      <c r="G8" s="25">
        <v>0</v>
      </c>
      <c r="H8" s="25">
        <v>0</v>
      </c>
      <c r="I8" s="25">
        <v>0</v>
      </c>
    </row>
    <row r="9" spans="1:9" x14ac:dyDescent="0.3">
      <c r="A9" s="33">
        <v>6</v>
      </c>
      <c r="B9" s="33">
        <v>102</v>
      </c>
      <c r="C9" s="29" t="s">
        <v>228</v>
      </c>
      <c r="D9" s="3">
        <v>68.569999999999993</v>
      </c>
      <c r="E9" s="3">
        <f t="shared" si="0"/>
        <v>738.08062299999995</v>
      </c>
      <c r="F9" s="25">
        <v>500</v>
      </c>
      <c r="G9" s="25">
        <v>0</v>
      </c>
      <c r="H9" s="25">
        <v>0</v>
      </c>
      <c r="I9" s="25">
        <v>0</v>
      </c>
    </row>
    <row r="10" spans="1:9" x14ac:dyDescent="0.3">
      <c r="A10" s="33">
        <v>7</v>
      </c>
      <c r="B10" s="33">
        <v>103</v>
      </c>
      <c r="C10" s="29" t="s">
        <v>229</v>
      </c>
      <c r="D10" s="3">
        <v>37.380000000000003</v>
      </c>
      <c r="E10" s="3">
        <f t="shared" si="0"/>
        <v>402.35458199999999</v>
      </c>
      <c r="F10" s="25">
        <v>500</v>
      </c>
      <c r="G10" s="25">
        <v>0</v>
      </c>
      <c r="H10" s="25">
        <v>1217</v>
      </c>
      <c r="I10" s="25">
        <v>0</v>
      </c>
    </row>
    <row r="11" spans="1:9" x14ac:dyDescent="0.3">
      <c r="A11" s="33">
        <v>8</v>
      </c>
      <c r="B11" s="33">
        <v>201</v>
      </c>
      <c r="C11" s="29" t="s">
        <v>230</v>
      </c>
      <c r="D11" s="3">
        <v>64.72</v>
      </c>
      <c r="E11" s="3">
        <f t="shared" si="0"/>
        <v>696.63960799999995</v>
      </c>
      <c r="F11" s="25">
        <v>500</v>
      </c>
      <c r="G11" s="25">
        <v>0</v>
      </c>
      <c r="H11" s="25">
        <v>0</v>
      </c>
      <c r="I11" s="25">
        <v>0</v>
      </c>
    </row>
    <row r="12" spans="1:9" x14ac:dyDescent="0.3">
      <c r="A12" s="33">
        <v>9</v>
      </c>
      <c r="B12" s="33">
        <v>202</v>
      </c>
      <c r="C12" s="29" t="s">
        <v>231</v>
      </c>
      <c r="D12" s="3">
        <v>58.07</v>
      </c>
      <c r="E12" s="3">
        <f t="shared" si="0"/>
        <v>625.05967299999998</v>
      </c>
      <c r="F12" s="25">
        <v>500</v>
      </c>
      <c r="G12" s="25">
        <v>0</v>
      </c>
      <c r="H12" s="25">
        <v>0</v>
      </c>
      <c r="I12" s="25">
        <v>0</v>
      </c>
    </row>
    <row r="13" spans="1:9" x14ac:dyDescent="0.3">
      <c r="A13" s="33">
        <v>10</v>
      </c>
      <c r="B13" s="33">
        <v>203</v>
      </c>
      <c r="C13" s="29" t="s">
        <v>140</v>
      </c>
      <c r="D13" s="3">
        <v>47.88</v>
      </c>
      <c r="E13" s="3">
        <f t="shared" si="0"/>
        <v>515.37553200000002</v>
      </c>
      <c r="F13" s="25">
        <v>500</v>
      </c>
      <c r="G13" s="25">
        <v>0</v>
      </c>
      <c r="H13" s="25">
        <v>26490</v>
      </c>
      <c r="I13" s="25">
        <v>0</v>
      </c>
    </row>
    <row r="14" spans="1:9" x14ac:dyDescent="0.3">
      <c r="A14" s="33">
        <v>11</v>
      </c>
      <c r="B14" s="33">
        <v>301</v>
      </c>
      <c r="C14" s="29" t="s">
        <v>232</v>
      </c>
      <c r="D14" s="3">
        <v>64.72</v>
      </c>
      <c r="E14" s="3">
        <f t="shared" si="0"/>
        <v>696.63960799999995</v>
      </c>
      <c r="F14" s="25">
        <v>500</v>
      </c>
      <c r="G14" s="25">
        <v>0</v>
      </c>
      <c r="H14" s="25">
        <v>0</v>
      </c>
      <c r="I14" s="25">
        <v>0</v>
      </c>
    </row>
    <row r="15" spans="1:9" x14ac:dyDescent="0.3">
      <c r="A15" s="33">
        <v>12</v>
      </c>
      <c r="B15" s="33">
        <v>302</v>
      </c>
      <c r="C15" s="29" t="s">
        <v>233</v>
      </c>
      <c r="D15" s="3">
        <v>58.07</v>
      </c>
      <c r="E15" s="3">
        <f t="shared" si="0"/>
        <v>625.05967299999998</v>
      </c>
      <c r="F15" s="25">
        <v>500</v>
      </c>
      <c r="G15" s="25">
        <v>0</v>
      </c>
      <c r="H15" s="25">
        <v>0</v>
      </c>
      <c r="I15" s="25">
        <v>0</v>
      </c>
    </row>
    <row r="16" spans="1:9" x14ac:dyDescent="0.3">
      <c r="A16" s="33">
        <v>13</v>
      </c>
      <c r="B16" s="33">
        <v>303</v>
      </c>
      <c r="C16" s="29" t="s">
        <v>234</v>
      </c>
      <c r="D16" s="3">
        <v>47.88</v>
      </c>
      <c r="E16" s="3">
        <f t="shared" si="0"/>
        <v>515.37553200000002</v>
      </c>
      <c r="F16" s="25">
        <v>500</v>
      </c>
      <c r="G16" s="25">
        <v>0</v>
      </c>
      <c r="H16" s="25">
        <v>0</v>
      </c>
      <c r="I16" s="25">
        <v>0</v>
      </c>
    </row>
    <row r="17" spans="1:9" x14ac:dyDescent="0.3">
      <c r="A17" s="33">
        <v>14</v>
      </c>
      <c r="B17" s="33">
        <v>401</v>
      </c>
      <c r="C17" s="29" t="s">
        <v>235</v>
      </c>
      <c r="D17" s="3">
        <v>64.72</v>
      </c>
      <c r="E17" s="3">
        <f t="shared" si="0"/>
        <v>696.63960799999995</v>
      </c>
      <c r="F17" s="25">
        <v>500</v>
      </c>
      <c r="G17" s="25">
        <v>0</v>
      </c>
      <c r="H17" s="25">
        <v>0</v>
      </c>
      <c r="I17" s="25">
        <v>0</v>
      </c>
    </row>
    <row r="18" spans="1:9" x14ac:dyDescent="0.3">
      <c r="A18" s="33">
        <v>15</v>
      </c>
      <c r="B18" s="33">
        <v>402</v>
      </c>
      <c r="C18" s="29" t="s">
        <v>236</v>
      </c>
      <c r="D18" s="3">
        <v>68.569999999999993</v>
      </c>
      <c r="E18" s="3">
        <f t="shared" si="0"/>
        <v>738.08062299999995</v>
      </c>
      <c r="F18" s="25">
        <v>500</v>
      </c>
      <c r="G18" s="25">
        <v>0</v>
      </c>
      <c r="H18" s="25">
        <v>0</v>
      </c>
      <c r="I18" s="25">
        <v>0</v>
      </c>
    </row>
    <row r="19" spans="1:9" x14ac:dyDescent="0.3">
      <c r="A19" s="33">
        <v>16</v>
      </c>
      <c r="B19" s="33">
        <v>403</v>
      </c>
      <c r="C19" s="29" t="s">
        <v>237</v>
      </c>
      <c r="D19" s="3">
        <v>37.380000000000003</v>
      </c>
      <c r="E19" s="3">
        <f t="shared" si="0"/>
        <v>402.35458199999999</v>
      </c>
      <c r="F19" s="25">
        <v>500</v>
      </c>
      <c r="G19" s="25">
        <v>0</v>
      </c>
      <c r="H19" s="25">
        <v>3573</v>
      </c>
      <c r="I19" s="25">
        <v>10000</v>
      </c>
    </row>
    <row r="20" spans="1:9" x14ac:dyDescent="0.3">
      <c r="A20" s="33">
        <v>17</v>
      </c>
      <c r="B20" s="33">
        <v>501</v>
      </c>
      <c r="C20" s="29" t="s">
        <v>231</v>
      </c>
      <c r="D20" s="3">
        <v>64.72</v>
      </c>
      <c r="E20" s="3">
        <f t="shared" si="0"/>
        <v>696.63960799999995</v>
      </c>
      <c r="F20" s="25">
        <v>500</v>
      </c>
      <c r="G20" s="25">
        <v>0</v>
      </c>
      <c r="H20" s="25">
        <v>0</v>
      </c>
      <c r="I20" s="25">
        <v>0</v>
      </c>
    </row>
    <row r="21" spans="1:9" x14ac:dyDescent="0.3">
      <c r="A21" s="33">
        <v>18</v>
      </c>
      <c r="B21" s="33">
        <v>502</v>
      </c>
      <c r="C21" s="29" t="s">
        <v>238</v>
      </c>
      <c r="D21" s="3">
        <v>68.569999999999993</v>
      </c>
      <c r="E21" s="3">
        <f t="shared" si="0"/>
        <v>738.08062299999995</v>
      </c>
      <c r="F21" s="25">
        <v>500</v>
      </c>
      <c r="G21" s="25">
        <v>0</v>
      </c>
      <c r="H21" s="25">
        <v>0</v>
      </c>
      <c r="I21" s="25">
        <v>0</v>
      </c>
    </row>
    <row r="22" spans="1:9" x14ac:dyDescent="0.3">
      <c r="A22" s="33">
        <v>19</v>
      </c>
      <c r="B22" s="33">
        <v>503</v>
      </c>
      <c r="C22" s="29" t="s">
        <v>239</v>
      </c>
      <c r="D22" s="3">
        <v>37.380000000000003</v>
      </c>
      <c r="E22" s="3">
        <f t="shared" si="0"/>
        <v>402.35458199999999</v>
      </c>
      <c r="F22" s="25">
        <v>500</v>
      </c>
      <c r="G22" s="25">
        <v>0</v>
      </c>
      <c r="H22" s="25">
        <v>0</v>
      </c>
      <c r="I22" s="25">
        <v>0</v>
      </c>
    </row>
    <row r="23" spans="1:9" x14ac:dyDescent="0.3">
      <c r="A23" s="33">
        <v>20</v>
      </c>
      <c r="B23" s="33">
        <v>601</v>
      </c>
      <c r="C23" s="29" t="s">
        <v>133</v>
      </c>
      <c r="D23" s="3">
        <v>64.72</v>
      </c>
      <c r="E23" s="3">
        <f t="shared" si="0"/>
        <v>696.63960799999995</v>
      </c>
      <c r="F23" s="25">
        <v>500</v>
      </c>
      <c r="G23" s="25">
        <v>0</v>
      </c>
      <c r="H23" s="25">
        <v>0</v>
      </c>
      <c r="I23" s="25">
        <v>10000</v>
      </c>
    </row>
    <row r="24" spans="1:9" x14ac:dyDescent="0.3">
      <c r="A24" s="33">
        <v>21</v>
      </c>
      <c r="B24" s="33">
        <v>602</v>
      </c>
      <c r="C24" s="29" t="s">
        <v>127</v>
      </c>
      <c r="D24" s="3">
        <v>68.569999999999993</v>
      </c>
      <c r="E24" s="3">
        <f t="shared" si="0"/>
        <v>738.08062299999995</v>
      </c>
      <c r="F24" s="25">
        <v>500</v>
      </c>
      <c r="G24" s="25">
        <v>0</v>
      </c>
      <c r="H24" s="25">
        <v>18157</v>
      </c>
      <c r="I24" s="25">
        <v>0</v>
      </c>
    </row>
    <row r="25" spans="1:9" x14ac:dyDescent="0.3">
      <c r="A25" s="33">
        <v>22</v>
      </c>
      <c r="B25" s="33">
        <v>603</v>
      </c>
      <c r="C25" s="29" t="s">
        <v>141</v>
      </c>
      <c r="D25" s="3">
        <v>37.380000000000003</v>
      </c>
      <c r="E25" s="3">
        <f t="shared" si="0"/>
        <v>402.35458199999999</v>
      </c>
      <c r="F25" s="25">
        <v>500</v>
      </c>
      <c r="G25" s="25">
        <v>0</v>
      </c>
      <c r="H25" s="25">
        <v>879</v>
      </c>
      <c r="I25" s="25">
        <v>0</v>
      </c>
    </row>
    <row r="26" spans="1:9" x14ac:dyDescent="0.3">
      <c r="A26" s="33">
        <v>23</v>
      </c>
      <c r="B26" s="33">
        <v>701</v>
      </c>
      <c r="C26" s="29" t="s">
        <v>134</v>
      </c>
      <c r="D26" s="3">
        <v>64.72</v>
      </c>
      <c r="E26" s="3">
        <f t="shared" si="0"/>
        <v>696.63960799999995</v>
      </c>
      <c r="F26" s="25">
        <v>500</v>
      </c>
      <c r="G26" s="25">
        <v>37439</v>
      </c>
      <c r="H26" s="25">
        <v>0</v>
      </c>
      <c r="I26" s="25">
        <v>0</v>
      </c>
    </row>
    <row r="27" spans="1:9" x14ac:dyDescent="0.3">
      <c r="A27" s="33">
        <v>24</v>
      </c>
      <c r="B27" s="33">
        <v>702</v>
      </c>
      <c r="C27" s="29" t="s">
        <v>240</v>
      </c>
      <c r="D27" s="3">
        <v>68.569999999999993</v>
      </c>
      <c r="E27" s="3">
        <f t="shared" si="0"/>
        <v>738.08062299999995</v>
      </c>
      <c r="F27" s="25">
        <v>500</v>
      </c>
      <c r="G27" s="25">
        <v>0</v>
      </c>
      <c r="H27" s="25">
        <v>3</v>
      </c>
      <c r="I27" s="25">
        <v>0</v>
      </c>
    </row>
    <row r="28" spans="1:9" x14ac:dyDescent="0.3">
      <c r="A28" s="33">
        <v>25</v>
      </c>
      <c r="B28" s="33">
        <v>703</v>
      </c>
      <c r="C28" s="29" t="s">
        <v>142</v>
      </c>
      <c r="D28" s="3">
        <v>37.380000000000003</v>
      </c>
      <c r="E28" s="3">
        <f t="shared" si="0"/>
        <v>402.35458199999999</v>
      </c>
      <c r="F28" s="25">
        <v>500</v>
      </c>
      <c r="G28" s="25">
        <v>0</v>
      </c>
      <c r="H28" s="25">
        <v>117</v>
      </c>
      <c r="I28" s="25">
        <v>0</v>
      </c>
    </row>
    <row r="29" spans="1:9" x14ac:dyDescent="0.3">
      <c r="A29" s="33">
        <v>26</v>
      </c>
      <c r="B29" s="33">
        <v>801</v>
      </c>
      <c r="C29" s="29" t="s">
        <v>241</v>
      </c>
      <c r="D29" s="3">
        <v>64.72</v>
      </c>
      <c r="E29" s="3">
        <f t="shared" si="0"/>
        <v>696.63960799999995</v>
      </c>
      <c r="F29" s="25">
        <v>500</v>
      </c>
      <c r="G29" s="25">
        <v>0</v>
      </c>
      <c r="H29" s="25">
        <v>0</v>
      </c>
      <c r="I29" s="25">
        <v>0</v>
      </c>
    </row>
    <row r="30" spans="1:9" x14ac:dyDescent="0.3">
      <c r="A30" s="33">
        <v>27</v>
      </c>
      <c r="B30" s="33">
        <v>802</v>
      </c>
      <c r="C30" s="29" t="s">
        <v>135</v>
      </c>
      <c r="D30" s="3">
        <v>68.569999999999993</v>
      </c>
      <c r="E30" s="3">
        <f t="shared" si="0"/>
        <v>738.08062299999995</v>
      </c>
      <c r="F30" s="25">
        <v>500</v>
      </c>
      <c r="G30" s="25">
        <v>0</v>
      </c>
      <c r="H30" s="25">
        <v>0</v>
      </c>
      <c r="I30" s="25">
        <v>0</v>
      </c>
    </row>
    <row r="31" spans="1:9" x14ac:dyDescent="0.3">
      <c r="A31" s="33">
        <v>28</v>
      </c>
      <c r="B31" s="33">
        <v>803</v>
      </c>
      <c r="C31" s="29" t="s">
        <v>242</v>
      </c>
      <c r="D31" s="3">
        <v>37.380000000000003</v>
      </c>
      <c r="E31" s="3">
        <f t="shared" si="0"/>
        <v>402.35458199999999</v>
      </c>
      <c r="F31" s="25">
        <v>500</v>
      </c>
      <c r="G31" s="25">
        <v>0</v>
      </c>
      <c r="H31" s="25">
        <v>0</v>
      </c>
      <c r="I31" s="25">
        <v>0</v>
      </c>
    </row>
    <row r="32" spans="1:9" s="67" customFormat="1" x14ac:dyDescent="0.3">
      <c r="A32" s="296" t="s">
        <v>13</v>
      </c>
      <c r="B32" s="296"/>
      <c r="C32" s="296"/>
      <c r="D32" s="58">
        <f t="shared" ref="D32:I32" si="1">SUM(D4:D31)</f>
        <v>1522.4600000000003</v>
      </c>
      <c r="E32" s="58">
        <f t="shared" si="1"/>
        <v>16387.607193999997</v>
      </c>
      <c r="F32" s="52">
        <f t="shared" si="1"/>
        <v>14000</v>
      </c>
      <c r="G32" s="52">
        <f>SUM(G4:G31)</f>
        <v>234204</v>
      </c>
      <c r="H32" s="52">
        <f t="shared" si="1"/>
        <v>51440.7</v>
      </c>
      <c r="I32" s="52">
        <f t="shared" si="1"/>
        <v>20000</v>
      </c>
    </row>
    <row r="36" spans="8:8" x14ac:dyDescent="0.3">
      <c r="H36" s="12"/>
    </row>
  </sheetData>
  <mergeCells count="10">
    <mergeCell ref="A32:C32"/>
    <mergeCell ref="A1:I1"/>
    <mergeCell ref="A2:A3"/>
    <mergeCell ref="B2:B3"/>
    <mergeCell ref="C2:C3"/>
    <mergeCell ref="D2:E2"/>
    <mergeCell ref="F2:F3"/>
    <mergeCell ref="G2:G3"/>
    <mergeCell ref="H2:H3"/>
    <mergeCell ref="I2:I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opLeftCell="A14" workbookViewId="0">
      <selection activeCell="C15" sqref="C15"/>
    </sheetView>
  </sheetViews>
  <sheetFormatPr defaultRowHeight="14.4" x14ac:dyDescent="0.3"/>
  <cols>
    <col min="1" max="1" width="5.44140625" customWidth="1"/>
    <col min="2" max="2" width="40.6640625" customWidth="1"/>
    <col min="3" max="3" width="17.33203125" style="53" customWidth="1"/>
    <col min="5" max="5" width="25.6640625" customWidth="1"/>
    <col min="6" max="6" width="17.6640625" bestFit="1" customWidth="1"/>
    <col min="7" max="7" width="11.33203125" style="45" bestFit="1" customWidth="1"/>
    <col min="8" max="8" width="13.5546875" bestFit="1" customWidth="1"/>
  </cols>
  <sheetData>
    <row r="1" spans="1:8" ht="19.8" x14ac:dyDescent="0.3">
      <c r="A1" s="274" t="s">
        <v>0</v>
      </c>
      <c r="B1" s="274"/>
      <c r="C1" s="274"/>
    </row>
    <row r="2" spans="1:8" x14ac:dyDescent="0.3">
      <c r="B2" t="s">
        <v>204</v>
      </c>
    </row>
    <row r="3" spans="1:8" x14ac:dyDescent="0.3">
      <c r="A3" s="267" t="s">
        <v>591</v>
      </c>
      <c r="B3" s="267"/>
      <c r="C3" s="267"/>
    </row>
    <row r="5" spans="1:8" x14ac:dyDescent="0.3">
      <c r="A5" s="289" t="s">
        <v>99</v>
      </c>
      <c r="B5" s="289"/>
      <c r="C5" s="56" t="s">
        <v>137</v>
      </c>
      <c r="E5" s="44"/>
      <c r="F5" s="44"/>
      <c r="G5" s="59"/>
      <c r="H5" s="44"/>
    </row>
    <row r="6" spans="1:8" x14ac:dyDescent="0.3">
      <c r="A6" t="s">
        <v>202</v>
      </c>
      <c r="C6" s="53">
        <v>42085.71</v>
      </c>
      <c r="G6" s="60"/>
      <c r="H6" s="44"/>
    </row>
    <row r="7" spans="1:8" x14ac:dyDescent="0.3">
      <c r="G7" s="60"/>
      <c r="H7" s="44"/>
    </row>
    <row r="8" spans="1:8" ht="15" thickBot="1" x14ac:dyDescent="0.35">
      <c r="A8" s="54" t="s">
        <v>203</v>
      </c>
      <c r="B8" s="54"/>
      <c r="C8" s="57">
        <f>SUM(C6:C7)</f>
        <v>42085.71</v>
      </c>
    </row>
    <row r="9" spans="1:8" ht="15" thickTop="1" x14ac:dyDescent="0.3"/>
    <row r="12" spans="1:8" x14ac:dyDescent="0.3">
      <c r="A12" s="267" t="s">
        <v>592</v>
      </c>
      <c r="B12" s="267"/>
      <c r="C12" s="267"/>
    </row>
    <row r="14" spans="1:8" x14ac:dyDescent="0.3">
      <c r="A14" s="289" t="s">
        <v>99</v>
      </c>
      <c r="B14" s="289"/>
      <c r="C14" s="56" t="s">
        <v>137</v>
      </c>
      <c r="E14" s="8"/>
      <c r="F14" s="8"/>
      <c r="G14" s="61"/>
      <c r="H14" s="8"/>
    </row>
    <row r="15" spans="1:8" x14ac:dyDescent="0.3">
      <c r="A15" t="s">
        <v>202</v>
      </c>
      <c r="C15" s="53">
        <v>222824.41</v>
      </c>
      <c r="G15" s="60"/>
    </row>
    <row r="16" spans="1:8" x14ac:dyDescent="0.3">
      <c r="G16" s="51"/>
    </row>
    <row r="17" spans="1:6" ht="15" thickBot="1" x14ac:dyDescent="0.35">
      <c r="A17" s="54" t="s">
        <v>203</v>
      </c>
      <c r="B17" s="54"/>
      <c r="C17" s="57">
        <f>SUM(C15:C16)</f>
        <v>222824.41</v>
      </c>
    </row>
    <row r="18" spans="1:6" ht="15" thickTop="1" x14ac:dyDescent="0.3"/>
    <row r="20" spans="1:6" x14ac:dyDescent="0.3">
      <c r="A20" s="267" t="s">
        <v>593</v>
      </c>
      <c r="B20" s="267"/>
      <c r="C20" s="267"/>
    </row>
    <row r="22" spans="1:6" x14ac:dyDescent="0.3">
      <c r="A22" s="55" t="s">
        <v>99</v>
      </c>
      <c r="B22" s="54"/>
      <c r="C22" s="56" t="s">
        <v>137</v>
      </c>
    </row>
    <row r="23" spans="1:6" x14ac:dyDescent="0.3">
      <c r="A23" t="s">
        <v>202</v>
      </c>
      <c r="C23" s="53">
        <v>32799.5</v>
      </c>
    </row>
    <row r="25" spans="1:6" ht="15" thickBot="1" x14ac:dyDescent="0.35">
      <c r="A25" s="54" t="s">
        <v>203</v>
      </c>
      <c r="B25" s="54"/>
      <c r="C25" s="57">
        <f>SUM(C23:C24)</f>
        <v>32799.5</v>
      </c>
    </row>
    <row r="26" spans="1:6" ht="15" thickTop="1" x14ac:dyDescent="0.3"/>
    <row r="28" spans="1:6" x14ac:dyDescent="0.3">
      <c r="A28" s="267" t="s">
        <v>594</v>
      </c>
      <c r="B28" s="267"/>
      <c r="C28" s="267"/>
    </row>
    <row r="30" spans="1:6" x14ac:dyDescent="0.3">
      <c r="A30" s="55" t="s">
        <v>99</v>
      </c>
      <c r="B30" s="54"/>
      <c r="C30" s="56" t="s">
        <v>137</v>
      </c>
    </row>
    <row r="31" spans="1:6" x14ac:dyDescent="0.3">
      <c r="A31" t="s">
        <v>202</v>
      </c>
      <c r="C31" s="53">
        <v>26390.33</v>
      </c>
      <c r="F31" s="184"/>
    </row>
    <row r="33" spans="1:3" ht="15" thickBot="1" x14ac:dyDescent="0.35">
      <c r="A33" s="54" t="s">
        <v>203</v>
      </c>
      <c r="B33" s="54"/>
      <c r="C33" s="57">
        <f>SUM(C31:C32)</f>
        <v>26390.33</v>
      </c>
    </row>
    <row r="34" spans="1:3" ht="15" thickTop="1" x14ac:dyDescent="0.3"/>
  </sheetData>
  <mergeCells count="7">
    <mergeCell ref="A28:C28"/>
    <mergeCell ref="A1:C1"/>
    <mergeCell ref="A3:C3"/>
    <mergeCell ref="A12:C12"/>
    <mergeCell ref="A20:C20"/>
    <mergeCell ref="A5:B5"/>
    <mergeCell ref="A14:B14"/>
  </mergeCells>
  <pageMargins left="0.7" right="0.7" top="0.75" bottom="0.75" header="0.3" footer="0.3"/>
  <pageSetup paperSize="9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1"/>
  <sheetViews>
    <sheetView workbookViewId="0">
      <selection sqref="A1:I1"/>
    </sheetView>
  </sheetViews>
  <sheetFormatPr defaultColWidth="9.109375" defaultRowHeight="14.4" x14ac:dyDescent="0.3"/>
  <cols>
    <col min="1" max="1" width="38.5546875" bestFit="1" customWidth="1"/>
    <col min="2" max="2" width="11.5546875" bestFit="1" customWidth="1"/>
    <col min="3" max="3" width="12.5546875" bestFit="1" customWidth="1"/>
    <col min="4" max="4" width="13.88671875" customWidth="1"/>
    <col min="5" max="5" width="12.33203125" bestFit="1" customWidth="1"/>
    <col min="6" max="9" width="12.5546875" bestFit="1" customWidth="1"/>
    <col min="10" max="11" width="10" bestFit="1" customWidth="1"/>
    <col min="12" max="12" width="11.5546875" bestFit="1" customWidth="1"/>
    <col min="13" max="14" width="10" bestFit="1" customWidth="1"/>
    <col min="15" max="15" width="12.5546875" customWidth="1"/>
    <col min="16" max="16" width="13.33203125" customWidth="1"/>
    <col min="17" max="18" width="10.109375" bestFit="1" customWidth="1"/>
  </cols>
  <sheetData>
    <row r="1" spans="1:16" ht="15.6" x14ac:dyDescent="0.3">
      <c r="A1" s="304" t="s">
        <v>377</v>
      </c>
      <c r="B1" s="305"/>
      <c r="C1" s="305"/>
      <c r="D1" s="305"/>
      <c r="E1" s="305"/>
      <c r="F1" s="305"/>
      <c r="G1" s="305"/>
      <c r="H1" s="305"/>
      <c r="I1" s="306"/>
    </row>
    <row r="2" spans="1:16" ht="15.6" x14ac:dyDescent="0.3">
      <c r="A2" s="307" t="s">
        <v>378</v>
      </c>
      <c r="B2" s="308"/>
      <c r="C2" s="308"/>
      <c r="D2" s="308"/>
      <c r="E2" s="308"/>
      <c r="F2" s="308"/>
      <c r="G2" s="308"/>
      <c r="H2" s="308"/>
      <c r="I2" s="309"/>
    </row>
    <row r="3" spans="1:16" ht="15" thickBot="1" x14ac:dyDescent="0.35">
      <c r="A3" s="135"/>
      <c r="B3" s="136"/>
      <c r="C3" s="136"/>
      <c r="D3" s="136"/>
      <c r="E3" s="136"/>
      <c r="F3" s="136"/>
      <c r="G3" s="136"/>
      <c r="H3" s="136"/>
      <c r="I3" s="140"/>
    </row>
    <row r="4" spans="1:16" ht="15" thickBot="1" x14ac:dyDescent="0.35">
      <c r="A4" s="312" t="s">
        <v>330</v>
      </c>
      <c r="B4" s="301" t="s">
        <v>334</v>
      </c>
      <c r="C4" s="302"/>
      <c r="D4" s="302"/>
      <c r="E4" s="303"/>
      <c r="F4" s="310" t="s">
        <v>335</v>
      </c>
      <c r="G4" s="310"/>
      <c r="H4" s="310"/>
      <c r="I4" s="311"/>
      <c r="J4" s="121"/>
      <c r="K4" s="121"/>
      <c r="L4" s="121"/>
      <c r="M4" s="121"/>
      <c r="N4" s="121"/>
      <c r="O4" s="8"/>
      <c r="P4" s="8"/>
    </row>
    <row r="5" spans="1:16" ht="15" thickBot="1" x14ac:dyDescent="0.35">
      <c r="A5" s="313"/>
      <c r="B5" s="301" t="s">
        <v>331</v>
      </c>
      <c r="C5" s="303"/>
      <c r="D5" s="149" t="s">
        <v>332</v>
      </c>
      <c r="E5" s="149" t="s">
        <v>333</v>
      </c>
      <c r="F5" s="301" t="s">
        <v>331</v>
      </c>
      <c r="G5" s="303"/>
      <c r="H5" s="149" t="s">
        <v>332</v>
      </c>
      <c r="I5" s="150" t="s">
        <v>333</v>
      </c>
    </row>
    <row r="6" spans="1:16" x14ac:dyDescent="0.3">
      <c r="A6" s="162" t="s">
        <v>336</v>
      </c>
      <c r="B6" s="151"/>
      <c r="C6" s="157">
        <f>IE!H17</f>
        <v>377395</v>
      </c>
      <c r="D6" s="157" t="e">
        <f>IE!#REF!</f>
        <v>#REF!</v>
      </c>
      <c r="E6" s="159" t="e">
        <f>C6-D6</f>
        <v>#REF!</v>
      </c>
      <c r="F6" s="130"/>
      <c r="G6" s="157">
        <f>Estimated!D17</f>
        <v>241360</v>
      </c>
      <c r="H6" s="152">
        <f>Estimated!B36</f>
        <v>241360</v>
      </c>
      <c r="I6" s="148">
        <f>G6-H6</f>
        <v>0</v>
      </c>
    </row>
    <row r="7" spans="1:16" x14ac:dyDescent="0.3">
      <c r="A7" s="138" t="s">
        <v>65</v>
      </c>
      <c r="B7" s="131"/>
      <c r="C7" s="137">
        <f>IE!G8</f>
        <v>162300</v>
      </c>
      <c r="D7" s="137" t="e">
        <f>IE!#REF!</f>
        <v>#REF!</v>
      </c>
      <c r="E7" s="160" t="e">
        <f>C7-D7</f>
        <v>#REF!</v>
      </c>
      <c r="G7" s="137">
        <f>Estimated!D8</f>
        <v>130500</v>
      </c>
      <c r="H7" s="132">
        <f>Estimated!B18+Estimated!B19+Estimated!B39+Estimated!B40</f>
        <v>139000</v>
      </c>
      <c r="I7" s="148">
        <f>G7-H7</f>
        <v>-8500</v>
      </c>
    </row>
    <row r="8" spans="1:16" x14ac:dyDescent="0.3">
      <c r="A8" s="138" t="s">
        <v>372</v>
      </c>
      <c r="B8" s="131"/>
      <c r="C8" s="137">
        <f>IE!G7</f>
        <v>147840</v>
      </c>
      <c r="D8" s="137">
        <f>IE!D11</f>
        <v>130466.9</v>
      </c>
      <c r="E8" s="160">
        <f>C8-D8</f>
        <v>17373.100000000006</v>
      </c>
      <c r="G8" s="137">
        <f>Estimated!D7</f>
        <v>115000</v>
      </c>
      <c r="H8" s="132">
        <f>Estimated!B35</f>
        <v>115000</v>
      </c>
      <c r="I8" s="148">
        <f>G8-H8</f>
        <v>0</v>
      </c>
    </row>
    <row r="9" spans="1:16" x14ac:dyDescent="0.3">
      <c r="A9" s="138" t="s">
        <v>343</v>
      </c>
      <c r="B9" s="131"/>
      <c r="C9" s="137">
        <f>IE!G9</f>
        <v>31920</v>
      </c>
      <c r="D9" s="137" t="e">
        <f>IE!#REF!</f>
        <v>#REF!</v>
      </c>
      <c r="E9" s="160" t="e">
        <f>C9-D9</f>
        <v>#REF!</v>
      </c>
      <c r="G9" s="137">
        <f>Estimated!D9</f>
        <v>260000</v>
      </c>
      <c r="H9" s="132">
        <f>Estimated!B34</f>
        <v>260000</v>
      </c>
      <c r="I9" s="148">
        <f>G9-H9</f>
        <v>0</v>
      </c>
    </row>
    <row r="10" spans="1:16" x14ac:dyDescent="0.3">
      <c r="A10" s="163" t="s">
        <v>344</v>
      </c>
      <c r="B10" s="131"/>
      <c r="C10" s="138"/>
      <c r="D10" s="138"/>
      <c r="E10" s="160"/>
      <c r="G10" s="138"/>
      <c r="H10" s="134"/>
      <c r="I10" s="148"/>
    </row>
    <row r="11" spans="1:16" x14ac:dyDescent="0.3">
      <c r="A11" s="138" t="s">
        <v>345</v>
      </c>
      <c r="B11" s="153">
        <f>IE!G6</f>
        <v>295680</v>
      </c>
      <c r="C11" s="138"/>
      <c r="D11" s="138"/>
      <c r="E11" s="160"/>
      <c r="F11" s="12">
        <f>Estimated!D6</f>
        <v>1042268</v>
      </c>
      <c r="G11" s="138"/>
      <c r="H11" s="134"/>
      <c r="I11" s="148"/>
    </row>
    <row r="12" spans="1:16" ht="15" thickBot="1" x14ac:dyDescent="0.35">
      <c r="A12" s="164" t="s">
        <v>346</v>
      </c>
      <c r="B12" s="154" t="e">
        <f>B46</f>
        <v>#REF!</v>
      </c>
      <c r="C12" s="158" t="e">
        <f>SUM(B11:B12)</f>
        <v>#REF!</v>
      </c>
      <c r="D12" s="158" t="e">
        <f>H46</f>
        <v>#REF!</v>
      </c>
      <c r="E12" s="161" t="e">
        <f>C12-D12</f>
        <v>#REF!</v>
      </c>
      <c r="F12" s="155">
        <f>C46</f>
        <v>192450</v>
      </c>
      <c r="G12" s="158">
        <f>SUM(F11:F12)</f>
        <v>1234718</v>
      </c>
      <c r="H12" s="132">
        <f>I46</f>
        <v>1047472</v>
      </c>
      <c r="I12" s="148">
        <f>G12-H12</f>
        <v>187246</v>
      </c>
      <c r="L12" s="12"/>
    </row>
    <row r="13" spans="1:16" ht="15" thickBot="1" x14ac:dyDescent="0.35">
      <c r="A13" s="167"/>
      <c r="B13" s="169"/>
      <c r="C13" s="165" t="e">
        <f>SUM(C6:C12)</f>
        <v>#REF!</v>
      </c>
      <c r="D13" s="165" t="e">
        <f t="shared" ref="D13:E13" si="0">SUM(D6:D12)</f>
        <v>#REF!</v>
      </c>
      <c r="E13" s="165" t="e">
        <f t="shared" si="0"/>
        <v>#REF!</v>
      </c>
      <c r="G13" s="165">
        <f>SUM(G6:G12)</f>
        <v>1981578</v>
      </c>
      <c r="H13" s="165">
        <f t="shared" ref="H13:I13" si="1">SUM(H6:H12)</f>
        <v>1802832</v>
      </c>
      <c r="I13" s="166">
        <f t="shared" si="1"/>
        <v>178746</v>
      </c>
      <c r="L13" s="12"/>
    </row>
    <row r="14" spans="1:16" ht="15" thickBot="1" x14ac:dyDescent="0.35">
      <c r="A14" s="167"/>
      <c r="B14" s="168"/>
      <c r="C14" s="156"/>
      <c r="D14" s="156"/>
      <c r="E14" s="170" t="s">
        <v>376</v>
      </c>
      <c r="F14" s="168"/>
      <c r="G14" s="156"/>
      <c r="H14" s="156"/>
      <c r="I14" s="171" t="s">
        <v>342</v>
      </c>
      <c r="L14" s="12"/>
    </row>
    <row r="15" spans="1:16" x14ac:dyDescent="0.3">
      <c r="C15" s="129"/>
      <c r="D15" s="129"/>
      <c r="E15" s="129"/>
      <c r="G15" s="129"/>
      <c r="H15" s="129"/>
      <c r="I15" s="129"/>
      <c r="L15" s="12"/>
    </row>
    <row r="16" spans="1:16" ht="15" thickBot="1" x14ac:dyDescent="0.35"/>
    <row r="17" spans="1:9" ht="15" thickBot="1" x14ac:dyDescent="0.35">
      <c r="A17" s="317" t="s">
        <v>347</v>
      </c>
      <c r="B17" s="318"/>
      <c r="C17" s="318"/>
      <c r="D17" s="318" t="s">
        <v>348</v>
      </c>
      <c r="E17" s="318"/>
      <c r="F17" s="318"/>
      <c r="G17" s="318"/>
      <c r="H17" s="318"/>
      <c r="I17" s="319"/>
    </row>
    <row r="18" spans="1:9" ht="29.4" thickBot="1" x14ac:dyDescent="0.35">
      <c r="A18" s="142" t="s">
        <v>99</v>
      </c>
      <c r="B18" s="143" t="s">
        <v>349</v>
      </c>
      <c r="C18" s="144" t="s">
        <v>350</v>
      </c>
      <c r="D18" s="314" t="s">
        <v>99</v>
      </c>
      <c r="E18" s="315"/>
      <c r="F18" s="315"/>
      <c r="G18" s="316"/>
      <c r="H18" s="143" t="s">
        <v>349</v>
      </c>
      <c r="I18" s="145" t="s">
        <v>350</v>
      </c>
    </row>
    <row r="19" spans="1:9" x14ac:dyDescent="0.3">
      <c r="A19" s="131" t="s">
        <v>351</v>
      </c>
      <c r="B19" s="137">
        <f>IE!G20</f>
        <v>11218</v>
      </c>
      <c r="C19" s="12">
        <f>Estimated!D23</f>
        <v>0</v>
      </c>
      <c r="D19" s="131" t="s">
        <v>52</v>
      </c>
      <c r="G19" s="134"/>
      <c r="H19" s="137">
        <f>IE!C32</f>
        <v>3000</v>
      </c>
      <c r="I19" s="132">
        <f>Estimated!B5</f>
        <v>5900</v>
      </c>
    </row>
    <row r="20" spans="1:9" x14ac:dyDescent="0.3">
      <c r="A20" s="131" t="s">
        <v>352</v>
      </c>
      <c r="B20" s="137">
        <f>IE!G22</f>
        <v>146958</v>
      </c>
      <c r="C20" s="12">
        <f>Estimated!D24</f>
        <v>0</v>
      </c>
      <c r="D20" s="131" t="s">
        <v>370</v>
      </c>
      <c r="G20" s="134"/>
      <c r="H20" s="137">
        <f>IE!C38</f>
        <v>826</v>
      </c>
      <c r="I20" s="132">
        <f>Estimated!B13</f>
        <v>826</v>
      </c>
    </row>
    <row r="21" spans="1:9" x14ac:dyDescent="0.3">
      <c r="A21" s="131" t="s">
        <v>374</v>
      </c>
      <c r="B21" s="137" t="e">
        <f>IE!#REF!</f>
        <v>#REF!</v>
      </c>
      <c r="C21" s="12">
        <f>Estimated!D25</f>
        <v>0</v>
      </c>
      <c r="D21" s="131" t="s">
        <v>355</v>
      </c>
      <c r="G21" s="134"/>
      <c r="H21" s="137">
        <f>IE!C29</f>
        <v>301548</v>
      </c>
      <c r="I21" s="132">
        <f>Estimated!B26</f>
        <v>275000</v>
      </c>
    </row>
    <row r="22" spans="1:9" x14ac:dyDescent="0.3">
      <c r="A22" s="131" t="s">
        <v>71</v>
      </c>
      <c r="B22" s="137">
        <f>IE!G14</f>
        <v>30299</v>
      </c>
      <c r="C22" s="12">
        <f>Estimated!D14</f>
        <v>0</v>
      </c>
      <c r="D22" s="131" t="s">
        <v>356</v>
      </c>
      <c r="G22" s="134"/>
      <c r="H22" s="137">
        <f>IE!C8</f>
        <v>79500</v>
      </c>
      <c r="I22" s="132">
        <f>Estimated!B22</f>
        <v>60000</v>
      </c>
    </row>
    <row r="23" spans="1:9" x14ac:dyDescent="0.3">
      <c r="A23" s="131" t="s">
        <v>373</v>
      </c>
      <c r="B23" s="137">
        <f>IE!G13</f>
        <v>0</v>
      </c>
      <c r="C23" s="12">
        <f>Estimated!D13</f>
        <v>0</v>
      </c>
      <c r="D23" s="131" t="s">
        <v>357</v>
      </c>
      <c r="G23" s="134"/>
      <c r="H23" s="137">
        <f>IE!C9</f>
        <v>14000</v>
      </c>
      <c r="I23" s="132">
        <f>Estimated!B23</f>
        <v>5000</v>
      </c>
    </row>
    <row r="24" spans="1:9" x14ac:dyDescent="0.3">
      <c r="A24" s="131" t="s">
        <v>353</v>
      </c>
      <c r="B24" s="137">
        <f>IE!G10</f>
        <v>34297</v>
      </c>
      <c r="C24" s="12">
        <f>Estimated!D10</f>
        <v>0</v>
      </c>
      <c r="D24" s="131" t="s">
        <v>367</v>
      </c>
      <c r="G24" s="134"/>
      <c r="H24" s="137">
        <f>IE!C30</f>
        <v>73821</v>
      </c>
      <c r="I24" s="132">
        <f>Estimated!B24+Estimated!B20</f>
        <v>68000</v>
      </c>
    </row>
    <row r="25" spans="1:9" x14ac:dyDescent="0.3">
      <c r="A25" s="131" t="s">
        <v>354</v>
      </c>
      <c r="B25" s="137">
        <f>IE!G12</f>
        <v>143884</v>
      </c>
      <c r="C25" s="12">
        <f>Estimated!D12</f>
        <v>0</v>
      </c>
      <c r="D25" s="131" t="s">
        <v>58</v>
      </c>
      <c r="G25" s="134"/>
      <c r="H25" s="137" t="e">
        <f>IE!#REF!</f>
        <v>#REF!</v>
      </c>
      <c r="I25" s="132">
        <f>Estimated!B25</f>
        <v>105000</v>
      </c>
    </row>
    <row r="26" spans="1:9" x14ac:dyDescent="0.3">
      <c r="A26" s="131" t="s">
        <v>68</v>
      </c>
      <c r="B26" s="137">
        <f>IE!G11</f>
        <v>13490</v>
      </c>
      <c r="C26" s="12">
        <f>Estimated!D11</f>
        <v>0</v>
      </c>
      <c r="D26" s="131" t="s">
        <v>358</v>
      </c>
      <c r="G26" s="134"/>
      <c r="H26" s="137">
        <f>IE!C18</f>
        <v>34900</v>
      </c>
      <c r="I26" s="132">
        <f>Estimated!B29</f>
        <v>12000</v>
      </c>
    </row>
    <row r="27" spans="1:9" x14ac:dyDescent="0.3">
      <c r="A27" s="131" t="s">
        <v>75</v>
      </c>
      <c r="B27" s="137" t="e">
        <f>IE!#REF!</f>
        <v>#REF!</v>
      </c>
      <c r="C27" s="12">
        <f>Estimated!D20</f>
        <v>0</v>
      </c>
      <c r="D27" s="131" t="s">
        <v>300</v>
      </c>
      <c r="G27" s="134"/>
      <c r="H27" s="137">
        <f>IE!C20</f>
        <v>5000</v>
      </c>
      <c r="I27" s="132">
        <f>Estimated!B30</f>
        <v>7000</v>
      </c>
    </row>
    <row r="28" spans="1:9" x14ac:dyDescent="0.3">
      <c r="A28" s="131" t="s">
        <v>81</v>
      </c>
      <c r="B28" s="137">
        <f>IE!H28</f>
        <v>706748.33</v>
      </c>
      <c r="C28" s="12">
        <f>Estimated!D28</f>
        <v>192450</v>
      </c>
      <c r="D28" s="131" t="s">
        <v>327</v>
      </c>
      <c r="G28" s="134"/>
      <c r="H28" s="137">
        <v>0</v>
      </c>
      <c r="I28" s="132">
        <f>Estimated!B38</f>
        <v>3360</v>
      </c>
    </row>
    <row r="29" spans="1:9" x14ac:dyDescent="0.3">
      <c r="A29" s="131"/>
      <c r="B29" s="138"/>
      <c r="D29" s="131" t="s">
        <v>54</v>
      </c>
      <c r="G29" s="134"/>
      <c r="H29" s="137">
        <f>IE!C36</f>
        <v>26400</v>
      </c>
      <c r="I29" s="132">
        <f>Estimated!B21</f>
        <v>24000</v>
      </c>
    </row>
    <row r="30" spans="1:9" x14ac:dyDescent="0.3">
      <c r="A30" s="131"/>
      <c r="B30" s="138"/>
      <c r="D30" s="131" t="s">
        <v>359</v>
      </c>
      <c r="G30" s="134"/>
      <c r="H30" s="137">
        <f>IE!C39</f>
        <v>3551</v>
      </c>
      <c r="I30" s="132">
        <f>Estimated!B12</f>
        <v>4000</v>
      </c>
    </row>
    <row r="31" spans="1:9" x14ac:dyDescent="0.3">
      <c r="A31" s="131"/>
      <c r="B31" s="138"/>
      <c r="D31" s="131" t="s">
        <v>366</v>
      </c>
      <c r="G31" s="134"/>
      <c r="H31" s="137">
        <f>IE!C31</f>
        <v>1370</v>
      </c>
      <c r="I31" s="132">
        <f>Estimated!B27</f>
        <v>6000</v>
      </c>
    </row>
    <row r="32" spans="1:9" x14ac:dyDescent="0.3">
      <c r="A32" s="131"/>
      <c r="B32" s="138"/>
      <c r="D32" s="131" t="s">
        <v>360</v>
      </c>
      <c r="G32" s="134"/>
      <c r="H32" s="137">
        <f>IE!C35</f>
        <v>4740</v>
      </c>
      <c r="I32" s="132">
        <f>Estimated!B11</f>
        <v>600</v>
      </c>
    </row>
    <row r="33" spans="1:15" x14ac:dyDescent="0.3">
      <c r="A33" s="131"/>
      <c r="B33" s="138"/>
      <c r="D33" s="131" t="s">
        <v>91</v>
      </c>
      <c r="G33" s="134"/>
      <c r="H33" s="137">
        <f>IE!C43</f>
        <v>14070</v>
      </c>
      <c r="I33" s="132">
        <f>Estimated!B37</f>
        <v>14344</v>
      </c>
    </row>
    <row r="34" spans="1:15" x14ac:dyDescent="0.3">
      <c r="A34" s="131"/>
      <c r="B34" s="138"/>
      <c r="D34" s="131" t="s">
        <v>95</v>
      </c>
      <c r="G34" s="134"/>
      <c r="H34" s="137">
        <f>IE!C46</f>
        <v>75149</v>
      </c>
      <c r="I34" s="132">
        <f>Estimated!B9</f>
        <v>77584</v>
      </c>
    </row>
    <row r="35" spans="1:15" x14ac:dyDescent="0.3">
      <c r="A35" s="131"/>
      <c r="B35" s="138"/>
      <c r="D35" s="131" t="s">
        <v>361</v>
      </c>
      <c r="G35" s="134"/>
      <c r="H35" s="137">
        <f>IE!C26</f>
        <v>13165</v>
      </c>
      <c r="I35" s="132">
        <f>Estimated!B16</f>
        <v>4000</v>
      </c>
    </row>
    <row r="36" spans="1:15" x14ac:dyDescent="0.3">
      <c r="A36" s="131"/>
      <c r="B36" s="138"/>
      <c r="D36" s="131" t="s">
        <v>362</v>
      </c>
      <c r="G36" s="134"/>
      <c r="H36" s="137" t="e">
        <f>IE!#REF!</f>
        <v>#REF!</v>
      </c>
      <c r="I36" s="132">
        <f>Estimated!B17</f>
        <v>80500</v>
      </c>
    </row>
    <row r="37" spans="1:15" x14ac:dyDescent="0.3">
      <c r="A37" s="131"/>
      <c r="B37" s="138"/>
      <c r="D37" s="131" t="s">
        <v>371</v>
      </c>
      <c r="G37" s="134"/>
      <c r="H37" s="137" t="e">
        <f>IE!#REF!</f>
        <v>#REF!</v>
      </c>
      <c r="I37" s="132">
        <f>Estimated!B32</f>
        <v>2500</v>
      </c>
    </row>
    <row r="38" spans="1:15" x14ac:dyDescent="0.3">
      <c r="A38" s="131"/>
      <c r="B38" s="138"/>
      <c r="D38" s="139" t="s">
        <v>363</v>
      </c>
      <c r="E38" s="122"/>
      <c r="F38" s="122"/>
      <c r="G38" s="133"/>
      <c r="H38" s="141" t="e">
        <f>IE!#REF!+IE!C41+IE!#REF!</f>
        <v>#REF!</v>
      </c>
      <c r="I38" s="133">
        <f>Estimated!B6+Estimated!B8</f>
        <v>700</v>
      </c>
      <c r="J38" s="122"/>
      <c r="K38" s="122"/>
    </row>
    <row r="39" spans="1:15" x14ac:dyDescent="0.3">
      <c r="A39" s="131"/>
      <c r="B39" s="138"/>
      <c r="D39" s="139" t="s">
        <v>310</v>
      </c>
      <c r="E39" s="122"/>
      <c r="F39" s="122"/>
      <c r="G39" s="133"/>
      <c r="H39" s="141" t="e">
        <f>IE!#REF!</f>
        <v>#REF!</v>
      </c>
      <c r="I39" s="133">
        <f>Estimated!B7</f>
        <v>700</v>
      </c>
      <c r="J39" s="122"/>
      <c r="K39" s="122"/>
    </row>
    <row r="40" spans="1:15" x14ac:dyDescent="0.3">
      <c r="A40" s="131"/>
      <c r="B40" s="138"/>
      <c r="D40" s="131" t="s">
        <v>364</v>
      </c>
      <c r="G40" s="134"/>
      <c r="H40" s="137">
        <f>IE!C40</f>
        <v>23341</v>
      </c>
      <c r="I40" s="132">
        <f>Estimated!B12</f>
        <v>4000</v>
      </c>
      <c r="L40" s="122"/>
      <c r="M40" s="122"/>
      <c r="N40" s="122"/>
      <c r="O40" s="122"/>
    </row>
    <row r="41" spans="1:15" x14ac:dyDescent="0.3">
      <c r="A41" s="131"/>
      <c r="B41" s="138"/>
      <c r="D41" s="131" t="s">
        <v>365</v>
      </c>
      <c r="G41" s="134"/>
      <c r="H41" s="137">
        <f>IE!C19</f>
        <v>19287</v>
      </c>
      <c r="I41" s="132">
        <f>Estimated!B31</f>
        <v>20000</v>
      </c>
    </row>
    <row r="42" spans="1:15" x14ac:dyDescent="0.3">
      <c r="A42" s="131"/>
      <c r="B42" s="138"/>
      <c r="C42" s="122"/>
      <c r="D42" s="131" t="s">
        <v>368</v>
      </c>
      <c r="G42" s="134"/>
      <c r="H42" s="137">
        <f>IE!C42</f>
        <v>45864</v>
      </c>
      <c r="I42" s="132">
        <f>Estimated!B28</f>
        <v>60000</v>
      </c>
    </row>
    <row r="43" spans="1:15" x14ac:dyDescent="0.3">
      <c r="A43" s="131"/>
      <c r="B43" s="138"/>
      <c r="C43" s="122"/>
      <c r="D43" s="131" t="s">
        <v>379</v>
      </c>
      <c r="G43" s="134"/>
      <c r="H43" s="137" t="e">
        <f>IE!#REF!</f>
        <v>#REF!</v>
      </c>
      <c r="I43" s="132"/>
    </row>
    <row r="44" spans="1:15" x14ac:dyDescent="0.3">
      <c r="A44" s="131"/>
      <c r="B44" s="138"/>
      <c r="D44" s="131" t="s">
        <v>369</v>
      </c>
      <c r="G44" s="134"/>
      <c r="H44" s="137">
        <f>IE!C48</f>
        <v>158319</v>
      </c>
      <c r="I44" s="132">
        <f>Estimated!B10</f>
        <v>206458</v>
      </c>
    </row>
    <row r="45" spans="1:15" ht="15" thickBot="1" x14ac:dyDescent="0.35">
      <c r="A45" s="131"/>
      <c r="B45" s="138"/>
      <c r="D45" s="131"/>
      <c r="G45" s="134"/>
      <c r="H45" s="138"/>
      <c r="I45" s="134"/>
    </row>
    <row r="46" spans="1:15" ht="15" thickBot="1" x14ac:dyDescent="0.35">
      <c r="A46" s="150" t="s">
        <v>375</v>
      </c>
      <c r="B46" s="146" t="e">
        <f>SUM(B19:B45)</f>
        <v>#REF!</v>
      </c>
      <c r="C46" s="147">
        <f>SUM(C19:C45)</f>
        <v>192450</v>
      </c>
      <c r="D46" s="301" t="s">
        <v>375</v>
      </c>
      <c r="E46" s="302"/>
      <c r="F46" s="302"/>
      <c r="G46" s="303"/>
      <c r="H46" s="146" t="e">
        <f>SUM(H19:H45)</f>
        <v>#REF!</v>
      </c>
      <c r="I46" s="147">
        <f>SUM(I19:I45)</f>
        <v>1047472</v>
      </c>
    </row>
    <row r="62" spans="4:15" x14ac:dyDescent="0.3">
      <c r="D62" s="123"/>
      <c r="E62" s="123"/>
      <c r="F62" s="123"/>
      <c r="G62" s="123"/>
      <c r="H62" s="123"/>
      <c r="I62" s="123"/>
      <c r="J62" s="123"/>
      <c r="K62" s="123"/>
    </row>
    <row r="63" spans="4:15" x14ac:dyDescent="0.3">
      <c r="L63" s="123"/>
      <c r="M63" s="123"/>
      <c r="N63" s="123"/>
      <c r="O63" s="123"/>
    </row>
    <row r="65" spans="3:17" x14ac:dyDescent="0.3">
      <c r="C65" s="123"/>
      <c r="O65" s="122"/>
      <c r="Q65" s="44"/>
    </row>
    <row r="66" spans="3:17" x14ac:dyDescent="0.3">
      <c r="Q66" s="44"/>
    </row>
    <row r="67" spans="3:17" x14ac:dyDescent="0.3">
      <c r="Q67" s="44"/>
    </row>
    <row r="68" spans="3:17" x14ac:dyDescent="0.3">
      <c r="Q68" s="44"/>
    </row>
    <row r="69" spans="3:17" x14ac:dyDescent="0.3">
      <c r="Q69" s="44"/>
    </row>
    <row r="70" spans="3:17" x14ac:dyDescent="0.3">
      <c r="Q70" s="44"/>
    </row>
    <row r="71" spans="3:17" x14ac:dyDescent="0.3">
      <c r="Q71" s="44"/>
    </row>
    <row r="72" spans="3:17" x14ac:dyDescent="0.3">
      <c r="Q72" s="44"/>
    </row>
    <row r="73" spans="3:17" x14ac:dyDescent="0.3">
      <c r="O73" s="12"/>
    </row>
    <row r="74" spans="3:17" x14ac:dyDescent="0.3">
      <c r="O74" s="12"/>
    </row>
    <row r="80" spans="3:17" x14ac:dyDescent="0.3">
      <c r="O80" s="124"/>
    </row>
    <row r="81" spans="15:15" x14ac:dyDescent="0.3">
      <c r="O81" s="12"/>
    </row>
  </sheetData>
  <mergeCells count="11">
    <mergeCell ref="D46:G46"/>
    <mergeCell ref="A1:I1"/>
    <mergeCell ref="A2:I2"/>
    <mergeCell ref="B4:E4"/>
    <mergeCell ref="B5:C5"/>
    <mergeCell ref="F5:G5"/>
    <mergeCell ref="F4:I4"/>
    <mergeCell ref="A4:A5"/>
    <mergeCell ref="D18:G18"/>
    <mergeCell ref="A17:C17"/>
    <mergeCell ref="D17:I17"/>
  </mergeCells>
  <printOptions horizontalCentered="1"/>
  <pageMargins left="0" right="0" top="0.15748031496062992" bottom="0.35433070866141736" header="0.31496062992125984" footer="0.31496062992125984"/>
  <pageSetup paperSize="9" scale="82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workbookViewId="0">
      <selection activeCell="A6" sqref="A6"/>
    </sheetView>
  </sheetViews>
  <sheetFormatPr defaultRowHeight="14.4" x14ac:dyDescent="0.3"/>
  <cols>
    <col min="1" max="1" width="29.5546875" bestFit="1" customWidth="1"/>
    <col min="2" max="2" width="12.5546875" bestFit="1" customWidth="1"/>
    <col min="3" max="3" width="31" bestFit="1" customWidth="1"/>
    <col min="4" max="4" width="14.88671875" bestFit="1" customWidth="1"/>
  </cols>
  <sheetData>
    <row r="1" spans="1:4" ht="19.8" x14ac:dyDescent="0.3">
      <c r="A1" s="274"/>
      <c r="B1" s="274"/>
      <c r="C1" s="274"/>
      <c r="D1" s="274"/>
    </row>
    <row r="2" spans="1:4" x14ac:dyDescent="0.3">
      <c r="A2" s="270"/>
      <c r="B2" s="270"/>
      <c r="C2" s="270"/>
      <c r="D2" s="270"/>
    </row>
    <row r="3" spans="1:4" x14ac:dyDescent="0.3">
      <c r="A3" s="270"/>
      <c r="B3" s="270"/>
      <c r="C3" s="270"/>
      <c r="D3" s="270"/>
    </row>
    <row r="4" spans="1:4" x14ac:dyDescent="0.3">
      <c r="A4" s="86" t="s">
        <v>83</v>
      </c>
      <c r="B4" s="4" t="s">
        <v>329</v>
      </c>
      <c r="C4" s="87" t="s">
        <v>84</v>
      </c>
      <c r="D4" s="4" t="s">
        <v>329</v>
      </c>
    </row>
    <row r="5" spans="1:4" x14ac:dyDescent="0.3">
      <c r="A5" t="s">
        <v>52</v>
      </c>
      <c r="B5" s="23">
        <v>5900</v>
      </c>
      <c r="C5" s="125" t="s">
        <v>62</v>
      </c>
      <c r="D5" s="18"/>
    </row>
    <row r="6" spans="1:4" x14ac:dyDescent="0.3">
      <c r="A6" t="s">
        <v>59</v>
      </c>
      <c r="B6" s="23">
        <v>600</v>
      </c>
      <c r="C6" s="2" t="s">
        <v>63</v>
      </c>
      <c r="D6" s="41">
        <f>ROUND(SUM(B5:B32),0)</f>
        <v>1042268</v>
      </c>
    </row>
    <row r="7" spans="1:4" x14ac:dyDescent="0.3">
      <c r="A7" t="s">
        <v>310</v>
      </c>
      <c r="B7" s="23">
        <v>700</v>
      </c>
      <c r="C7" s="2" t="s">
        <v>64</v>
      </c>
      <c r="D7" s="41">
        <f>B35</f>
        <v>115000</v>
      </c>
    </row>
    <row r="8" spans="1:4" x14ac:dyDescent="0.3">
      <c r="A8" t="s">
        <v>337</v>
      </c>
      <c r="B8" s="23">
        <v>100</v>
      </c>
      <c r="C8" s="2" t="s">
        <v>65</v>
      </c>
      <c r="D8" s="41">
        <f>B39+B40</f>
        <v>130500</v>
      </c>
    </row>
    <row r="9" spans="1:4" x14ac:dyDescent="0.3">
      <c r="A9" t="s">
        <v>95</v>
      </c>
      <c r="B9" s="23">
        <v>77584</v>
      </c>
      <c r="C9" s="2" t="s">
        <v>66</v>
      </c>
      <c r="D9" s="41">
        <f>B34</f>
        <v>260000</v>
      </c>
    </row>
    <row r="10" spans="1:4" x14ac:dyDescent="0.3">
      <c r="A10" t="s">
        <v>338</v>
      </c>
      <c r="B10" s="23">
        <v>206458</v>
      </c>
      <c r="C10" s="2" t="s">
        <v>67</v>
      </c>
      <c r="D10" s="41"/>
    </row>
    <row r="11" spans="1:4" x14ac:dyDescent="0.3">
      <c r="A11" t="s">
        <v>311</v>
      </c>
      <c r="B11" s="23">
        <v>600</v>
      </c>
      <c r="C11" s="2" t="s">
        <v>68</v>
      </c>
      <c r="D11" s="41"/>
    </row>
    <row r="12" spans="1:4" x14ac:dyDescent="0.3">
      <c r="A12" t="s">
        <v>56</v>
      </c>
      <c r="B12" s="23">
        <v>4000</v>
      </c>
      <c r="C12" s="2" t="s">
        <v>69</v>
      </c>
      <c r="D12" s="41"/>
    </row>
    <row r="13" spans="1:4" x14ac:dyDescent="0.3">
      <c r="A13" t="s">
        <v>94</v>
      </c>
      <c r="B13" s="23">
        <v>826</v>
      </c>
      <c r="C13" s="2" t="s">
        <v>70</v>
      </c>
      <c r="D13" s="41"/>
    </row>
    <row r="14" spans="1:4" x14ac:dyDescent="0.3">
      <c r="A14" t="s">
        <v>312</v>
      </c>
      <c r="B14" s="23">
        <v>0</v>
      </c>
      <c r="C14" s="2" t="s">
        <v>71</v>
      </c>
      <c r="D14" s="42"/>
    </row>
    <row r="15" spans="1:4" x14ac:dyDescent="0.3">
      <c r="A15" t="s">
        <v>313</v>
      </c>
      <c r="B15" s="23">
        <v>8000</v>
      </c>
      <c r="C15" s="2"/>
      <c r="D15" s="43"/>
    </row>
    <row r="16" spans="1:4" x14ac:dyDescent="0.3">
      <c r="A16" t="s">
        <v>314</v>
      </c>
      <c r="B16" s="23">
        <v>4000</v>
      </c>
      <c r="C16" s="1" t="s">
        <v>72</v>
      </c>
      <c r="D16" s="41"/>
    </row>
    <row r="17" spans="1:4" x14ac:dyDescent="0.3">
      <c r="A17" t="s">
        <v>297</v>
      </c>
      <c r="B17" s="23">
        <v>80500</v>
      </c>
      <c r="C17" s="2" t="s">
        <v>73</v>
      </c>
      <c r="D17" s="42">
        <f>B36</f>
        <v>241360</v>
      </c>
    </row>
    <row r="18" spans="1:4" x14ac:dyDescent="0.3">
      <c r="A18" t="s">
        <v>315</v>
      </c>
      <c r="B18" s="23">
        <v>2500</v>
      </c>
      <c r="C18" s="2"/>
      <c r="D18" s="43"/>
    </row>
    <row r="19" spans="1:4" x14ac:dyDescent="0.3">
      <c r="A19" t="s">
        <v>316</v>
      </c>
      <c r="B19" s="23">
        <v>6000</v>
      </c>
      <c r="C19" s="1" t="s">
        <v>74</v>
      </c>
      <c r="D19" s="41"/>
    </row>
    <row r="20" spans="1:4" x14ac:dyDescent="0.3">
      <c r="A20" t="s">
        <v>339</v>
      </c>
      <c r="B20" s="23">
        <v>8000</v>
      </c>
      <c r="C20" s="2" t="s">
        <v>75</v>
      </c>
      <c r="D20" s="42"/>
    </row>
    <row r="21" spans="1:4" x14ac:dyDescent="0.3">
      <c r="A21" t="s">
        <v>317</v>
      </c>
      <c r="B21" s="23">
        <v>24000</v>
      </c>
      <c r="C21" s="2"/>
      <c r="D21" s="43"/>
    </row>
    <row r="22" spans="1:4" x14ac:dyDescent="0.3">
      <c r="A22" t="s">
        <v>340</v>
      </c>
      <c r="B22" s="23">
        <v>60000</v>
      </c>
      <c r="C22" s="1" t="s">
        <v>76</v>
      </c>
      <c r="D22" s="41"/>
    </row>
    <row r="23" spans="1:4" x14ac:dyDescent="0.3">
      <c r="A23" t="s">
        <v>93</v>
      </c>
      <c r="B23" s="23">
        <v>5000</v>
      </c>
      <c r="C23" s="2" t="s">
        <v>77</v>
      </c>
      <c r="D23" s="41"/>
    </row>
    <row r="24" spans="1:4" x14ac:dyDescent="0.3">
      <c r="A24" t="s">
        <v>318</v>
      </c>
      <c r="B24" s="23">
        <v>60000</v>
      </c>
      <c r="C24" s="2" t="s">
        <v>78</v>
      </c>
      <c r="D24" s="41"/>
    </row>
    <row r="25" spans="1:4" x14ac:dyDescent="0.3">
      <c r="A25" t="s">
        <v>319</v>
      </c>
      <c r="B25" s="23">
        <v>105000</v>
      </c>
      <c r="C25" s="2" t="s">
        <v>79</v>
      </c>
      <c r="D25" s="42"/>
    </row>
    <row r="26" spans="1:4" x14ac:dyDescent="0.3">
      <c r="A26" t="s">
        <v>49</v>
      </c>
      <c r="B26" s="23">
        <v>275000</v>
      </c>
      <c r="C26" s="2"/>
      <c r="D26" s="43"/>
    </row>
    <row r="27" spans="1:4" x14ac:dyDescent="0.3">
      <c r="A27" t="s">
        <v>320</v>
      </c>
      <c r="B27" s="23">
        <v>6000</v>
      </c>
      <c r="C27" s="1" t="s">
        <v>80</v>
      </c>
      <c r="D27" s="41"/>
    </row>
    <row r="28" spans="1:4" x14ac:dyDescent="0.3">
      <c r="A28" t="s">
        <v>321</v>
      </c>
      <c r="B28" s="23">
        <v>60000</v>
      </c>
      <c r="C28" s="2" t="s">
        <v>81</v>
      </c>
      <c r="D28" s="42">
        <v>192450</v>
      </c>
    </row>
    <row r="29" spans="1:4" x14ac:dyDescent="0.3">
      <c r="A29" t="s">
        <v>322</v>
      </c>
      <c r="B29" s="23">
        <v>12000</v>
      </c>
      <c r="C29" s="2"/>
      <c r="D29" s="41"/>
    </row>
    <row r="30" spans="1:4" x14ac:dyDescent="0.3">
      <c r="A30" t="s">
        <v>323</v>
      </c>
      <c r="B30" s="23">
        <v>7000</v>
      </c>
      <c r="C30" s="2"/>
      <c r="D30" s="41">
        <v>0</v>
      </c>
    </row>
    <row r="31" spans="1:4" x14ac:dyDescent="0.3">
      <c r="A31" t="s">
        <v>324</v>
      </c>
      <c r="B31" s="23">
        <v>20000</v>
      </c>
      <c r="C31" s="2"/>
      <c r="D31" s="41"/>
    </row>
    <row r="32" spans="1:4" x14ac:dyDescent="0.3">
      <c r="A32" t="s">
        <v>341</v>
      </c>
      <c r="B32" s="23">
        <v>2500</v>
      </c>
      <c r="C32" s="2"/>
      <c r="D32" s="41"/>
    </row>
    <row r="33" spans="1:4" x14ac:dyDescent="0.3">
      <c r="B33" s="126"/>
      <c r="C33" s="2"/>
      <c r="D33" s="41"/>
    </row>
    <row r="34" spans="1:4" x14ac:dyDescent="0.3">
      <c r="A34" t="s">
        <v>325</v>
      </c>
      <c r="B34" s="23">
        <v>260000</v>
      </c>
      <c r="C34" s="2"/>
      <c r="D34" s="127"/>
    </row>
    <row r="35" spans="1:4" x14ac:dyDescent="0.3">
      <c r="A35" t="s">
        <v>64</v>
      </c>
      <c r="B35" s="23">
        <v>115000</v>
      </c>
      <c r="C35" s="2"/>
      <c r="D35" s="41"/>
    </row>
    <row r="36" spans="1:4" x14ac:dyDescent="0.3">
      <c r="A36" t="s">
        <v>89</v>
      </c>
      <c r="B36" s="23">
        <v>241360</v>
      </c>
      <c r="C36" s="2"/>
      <c r="D36" s="41"/>
    </row>
    <row r="37" spans="1:4" x14ac:dyDescent="0.3">
      <c r="A37" t="s">
        <v>326</v>
      </c>
      <c r="B37" s="23">
        <v>14344</v>
      </c>
      <c r="C37" s="2"/>
      <c r="D37" s="41"/>
    </row>
    <row r="38" spans="1:4" x14ac:dyDescent="0.3">
      <c r="A38" t="s">
        <v>327</v>
      </c>
      <c r="B38" s="23">
        <v>3360</v>
      </c>
      <c r="C38" s="2"/>
      <c r="D38" s="41"/>
    </row>
    <row r="39" spans="1:4" x14ac:dyDescent="0.3">
      <c r="A39" t="s">
        <v>65</v>
      </c>
      <c r="B39" s="23">
        <v>118000</v>
      </c>
      <c r="C39" s="2"/>
      <c r="D39" s="41"/>
    </row>
    <row r="40" spans="1:4" x14ac:dyDescent="0.3">
      <c r="A40" t="s">
        <v>328</v>
      </c>
      <c r="B40" s="23">
        <v>12500</v>
      </c>
      <c r="C40" s="2"/>
      <c r="D40" s="41"/>
    </row>
    <row r="41" spans="1:4" x14ac:dyDescent="0.3">
      <c r="B41" s="23"/>
      <c r="C41" s="2"/>
      <c r="D41" s="41"/>
    </row>
    <row r="42" spans="1:4" x14ac:dyDescent="0.3">
      <c r="A42" t="s">
        <v>342</v>
      </c>
      <c r="B42" s="23">
        <f>D43-SUM(B5:B40)</f>
        <v>174746</v>
      </c>
      <c r="C42" s="128"/>
      <c r="D42" s="41"/>
    </row>
    <row r="43" spans="1:4" x14ac:dyDescent="0.3">
      <c r="A43" s="85" t="s">
        <v>13</v>
      </c>
      <c r="B43" s="6">
        <f>SUM(B5:B42)</f>
        <v>1981578</v>
      </c>
      <c r="C43" s="85" t="s">
        <v>13</v>
      </c>
      <c r="D43" s="6">
        <f>SUM(D5:D42)</f>
        <v>1981578</v>
      </c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>
      <selection activeCell="J22" sqref="J22"/>
    </sheetView>
  </sheetViews>
  <sheetFormatPr defaultRowHeight="14.4" x14ac:dyDescent="0.3"/>
  <cols>
    <col min="2" max="2" width="10.33203125" bestFit="1" customWidth="1"/>
    <col min="3" max="3" width="11.33203125" bestFit="1" customWidth="1"/>
    <col min="11" max="11" width="11.88671875" bestFit="1" customWidth="1"/>
    <col min="12" max="12" width="9.88671875" bestFit="1" customWidth="1"/>
  </cols>
  <sheetData>
    <row r="1" spans="1:12" x14ac:dyDescent="0.3">
      <c r="A1" t="s">
        <v>564</v>
      </c>
    </row>
    <row r="2" spans="1:12" x14ac:dyDescent="0.3">
      <c r="B2" s="184">
        <v>45931</v>
      </c>
      <c r="C2" s="184">
        <v>46295</v>
      </c>
      <c r="D2">
        <f>C2-B2+1</f>
        <v>365</v>
      </c>
      <c r="E2" s="49">
        <v>8200</v>
      </c>
    </row>
    <row r="3" spans="1:12" x14ac:dyDescent="0.3">
      <c r="B3" s="184">
        <v>46113</v>
      </c>
      <c r="C3" s="184">
        <f>+C2</f>
        <v>46295</v>
      </c>
      <c r="D3">
        <f>C3-B3+1</f>
        <v>183</v>
      </c>
      <c r="E3" s="49">
        <f>+E2*D3/D2</f>
        <v>4111.232876712329</v>
      </c>
      <c r="K3" s="5" t="s">
        <v>595</v>
      </c>
      <c r="L3" s="5" t="s">
        <v>137</v>
      </c>
    </row>
    <row r="4" spans="1:12" x14ac:dyDescent="0.3">
      <c r="K4">
        <v>151591540</v>
      </c>
      <c r="L4" s="45">
        <v>5727.45</v>
      </c>
    </row>
    <row r="5" spans="1:12" x14ac:dyDescent="0.3">
      <c r="A5" t="s">
        <v>326</v>
      </c>
      <c r="K5">
        <v>151591541</v>
      </c>
      <c r="L5" s="322">
        <v>6424.05</v>
      </c>
    </row>
    <row r="6" spans="1:12" x14ac:dyDescent="0.3">
      <c r="B6" s="184">
        <v>45898</v>
      </c>
      <c r="C6" s="184">
        <v>46262</v>
      </c>
      <c r="D6">
        <f>C6-B6+1</f>
        <v>365</v>
      </c>
      <c r="E6" s="49">
        <v>13946</v>
      </c>
      <c r="L6" s="45">
        <f>SUM(L4:L5)</f>
        <v>12151.5</v>
      </c>
    </row>
    <row r="7" spans="1:12" x14ac:dyDescent="0.3">
      <c r="B7" s="184">
        <v>46113</v>
      </c>
      <c r="C7" s="184">
        <f>+C6</f>
        <v>46262</v>
      </c>
      <c r="D7">
        <f>C7-B7+1</f>
        <v>150</v>
      </c>
      <c r="E7" s="49">
        <f>+E6*D7/D6</f>
        <v>5731.232876712329</v>
      </c>
    </row>
    <row r="9" spans="1:12" x14ac:dyDescent="0.3">
      <c r="A9" t="s">
        <v>565</v>
      </c>
    </row>
    <row r="10" spans="1:12" x14ac:dyDescent="0.3">
      <c r="B10" s="184">
        <v>45692</v>
      </c>
      <c r="C10" s="184">
        <v>46057</v>
      </c>
      <c r="D10">
        <f>C10-B10+1</f>
        <v>366</v>
      </c>
      <c r="E10" s="49">
        <v>115006</v>
      </c>
    </row>
    <row r="11" spans="1:12" x14ac:dyDescent="0.3">
      <c r="B11" s="184">
        <v>46057</v>
      </c>
      <c r="C11" s="184">
        <v>46112</v>
      </c>
      <c r="D11">
        <f>C11-B11+1</f>
        <v>56</v>
      </c>
      <c r="E11" s="49">
        <f>+E10*D11/D10</f>
        <v>17596.546448087433</v>
      </c>
    </row>
    <row r="15" spans="1:12" x14ac:dyDescent="0.3">
      <c r="A15" t="s">
        <v>566</v>
      </c>
    </row>
    <row r="16" spans="1:12" x14ac:dyDescent="0.3">
      <c r="C16" t="s">
        <v>567</v>
      </c>
      <c r="D16" t="s">
        <v>568</v>
      </c>
      <c r="E16" t="s">
        <v>569</v>
      </c>
    </row>
    <row r="17" spans="1:5" x14ac:dyDescent="0.3">
      <c r="A17" t="s">
        <v>570</v>
      </c>
      <c r="C17" s="49">
        <v>692476</v>
      </c>
      <c r="D17" s="49">
        <f>ROUND(C17*30%,)</f>
        <v>207743</v>
      </c>
      <c r="E17" s="49">
        <f>C17-D17</f>
        <v>484733</v>
      </c>
    </row>
    <row r="18" spans="1:5" x14ac:dyDescent="0.3">
      <c r="A18" t="s">
        <v>571</v>
      </c>
      <c r="C18" s="49">
        <v>11218</v>
      </c>
      <c r="D18" s="49">
        <v>0</v>
      </c>
      <c r="E18" s="49">
        <f>C18-D18</f>
        <v>11218</v>
      </c>
    </row>
    <row r="19" spans="1:5" x14ac:dyDescent="0.3">
      <c r="C19" s="49"/>
      <c r="D19" s="49"/>
      <c r="E19" s="49">
        <f>ROUND(SUM(E17:E18),-1)</f>
        <v>495950</v>
      </c>
    </row>
    <row r="20" spans="1:5" x14ac:dyDescent="0.3">
      <c r="A20" t="s">
        <v>572</v>
      </c>
      <c r="C20" s="49"/>
      <c r="D20" s="49"/>
      <c r="E20" s="254">
        <f>ROUND((3000+(E19-20000)*30%)*1.04,-3)</f>
        <v>152000</v>
      </c>
    </row>
    <row r="21" spans="1:5" x14ac:dyDescent="0.3">
      <c r="C21" s="49"/>
      <c r="D21" s="49"/>
      <c r="E21" s="49"/>
    </row>
    <row r="22" spans="1:5" x14ac:dyDescent="0.3">
      <c r="C22" s="49"/>
      <c r="D22" s="49"/>
      <c r="E22" s="49"/>
    </row>
    <row r="23" spans="1:5" x14ac:dyDescent="0.3">
      <c r="C23" s="49"/>
      <c r="D23" s="49"/>
      <c r="E23" s="49"/>
    </row>
    <row r="24" spans="1:5" x14ac:dyDescent="0.3">
      <c r="C24" s="49"/>
      <c r="D24" s="49"/>
      <c r="E24" s="49"/>
    </row>
    <row r="25" spans="1:5" x14ac:dyDescent="0.3">
      <c r="C25" s="49"/>
      <c r="D25" s="49"/>
      <c r="E25" s="49"/>
    </row>
    <row r="26" spans="1:5" x14ac:dyDescent="0.3">
      <c r="C26" s="49"/>
      <c r="D26" s="49"/>
      <c r="E26" s="49"/>
    </row>
    <row r="27" spans="1:5" x14ac:dyDescent="0.3">
      <c r="C27" s="49"/>
      <c r="D27" s="49"/>
      <c r="E27" s="49"/>
    </row>
    <row r="28" spans="1:5" x14ac:dyDescent="0.3">
      <c r="C28" s="49"/>
      <c r="D28" s="49"/>
      <c r="E28" s="49"/>
    </row>
    <row r="29" spans="1:5" x14ac:dyDescent="0.3">
      <c r="C29" s="49"/>
      <c r="D29" s="49"/>
      <c r="E29" s="49"/>
    </row>
  </sheetData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topLeftCell="C1" workbookViewId="0">
      <selection activeCell="E14" sqref="E14"/>
    </sheetView>
  </sheetViews>
  <sheetFormatPr defaultColWidth="9.109375" defaultRowHeight="13.8" x14ac:dyDescent="0.3"/>
  <cols>
    <col min="1" max="1" width="58.109375" style="176" hidden="1" customWidth="1"/>
    <col min="2" max="2" width="0" style="176" hidden="1" customWidth="1"/>
    <col min="3" max="3" width="9.109375" style="176"/>
    <col min="4" max="4" width="69.88671875" style="176" bestFit="1" customWidth="1"/>
    <col min="5" max="16384" width="9.109375" style="176"/>
  </cols>
  <sheetData>
    <row r="1" spans="1:14" x14ac:dyDescent="0.3">
      <c r="A1" s="176" t="s">
        <v>385</v>
      </c>
    </row>
    <row r="2" spans="1:14" x14ac:dyDescent="0.3">
      <c r="A2" s="176" t="s">
        <v>386</v>
      </c>
    </row>
    <row r="3" spans="1:14" x14ac:dyDescent="0.3">
      <c r="A3" s="176" t="s">
        <v>387</v>
      </c>
    </row>
    <row r="4" spans="1:14" x14ac:dyDescent="0.3">
      <c r="A4" s="176" t="s">
        <v>389</v>
      </c>
      <c r="B4" s="176" t="s">
        <v>390</v>
      </c>
    </row>
    <row r="5" spans="1:14" x14ac:dyDescent="0.3">
      <c r="A5" s="176" t="s">
        <v>392</v>
      </c>
      <c r="B5" s="176" t="s">
        <v>390</v>
      </c>
      <c r="C5" s="186">
        <v>1</v>
      </c>
      <c r="D5" s="187" t="s">
        <v>393</v>
      </c>
      <c r="E5" s="176" t="s">
        <v>525</v>
      </c>
    </row>
    <row r="6" spans="1:14" x14ac:dyDescent="0.3">
      <c r="A6" s="176" t="s">
        <v>394</v>
      </c>
      <c r="B6" s="176" t="s">
        <v>390</v>
      </c>
      <c r="C6" s="186">
        <v>2</v>
      </c>
      <c r="D6" s="186" t="s">
        <v>395</v>
      </c>
    </row>
    <row r="7" spans="1:14" x14ac:dyDescent="0.3">
      <c r="A7" s="176" t="s">
        <v>396</v>
      </c>
      <c r="B7" s="176" t="s">
        <v>390</v>
      </c>
      <c r="C7" s="186">
        <v>3</v>
      </c>
      <c r="D7" s="186" t="s">
        <v>397</v>
      </c>
    </row>
    <row r="8" spans="1:14" x14ac:dyDescent="0.3">
      <c r="A8" s="176" t="s">
        <v>398</v>
      </c>
      <c r="C8" s="186">
        <v>4</v>
      </c>
      <c r="D8" s="186" t="s">
        <v>399</v>
      </c>
      <c r="E8" s="176" t="s">
        <v>525</v>
      </c>
    </row>
    <row r="9" spans="1:14" x14ac:dyDescent="0.3">
      <c r="A9" s="176" t="s">
        <v>400</v>
      </c>
      <c r="B9" s="176" t="s">
        <v>390</v>
      </c>
      <c r="C9" s="186">
        <v>5</v>
      </c>
      <c r="D9" s="186" t="s">
        <v>403</v>
      </c>
    </row>
    <row r="10" spans="1:14" x14ac:dyDescent="0.3">
      <c r="A10" s="176" t="s">
        <v>401</v>
      </c>
      <c r="B10" s="176" t="s">
        <v>390</v>
      </c>
      <c r="C10" s="186">
        <v>6</v>
      </c>
      <c r="D10" s="186" t="s">
        <v>520</v>
      </c>
    </row>
    <row r="11" spans="1:14" x14ac:dyDescent="0.3">
      <c r="A11" s="176" t="s">
        <v>402</v>
      </c>
      <c r="B11" s="176" t="s">
        <v>390</v>
      </c>
      <c r="C11" s="186">
        <v>7</v>
      </c>
      <c r="D11" s="186" t="s">
        <v>385</v>
      </c>
    </row>
    <row r="12" spans="1:14" x14ac:dyDescent="0.3">
      <c r="A12" s="176" t="s">
        <v>404</v>
      </c>
      <c r="B12" s="176" t="s">
        <v>390</v>
      </c>
      <c r="C12" s="186">
        <v>8</v>
      </c>
      <c r="D12" s="186" t="s">
        <v>406</v>
      </c>
    </row>
    <row r="13" spans="1:14" x14ac:dyDescent="0.3">
      <c r="A13" s="176" t="s">
        <v>405</v>
      </c>
      <c r="B13" s="176" t="s">
        <v>390</v>
      </c>
      <c r="C13" s="186">
        <v>9</v>
      </c>
      <c r="D13" s="186" t="s">
        <v>408</v>
      </c>
    </row>
    <row r="14" spans="1:14" x14ac:dyDescent="0.3">
      <c r="A14" s="176" t="s">
        <v>407</v>
      </c>
      <c r="B14" s="176" t="s">
        <v>390</v>
      </c>
      <c r="C14" s="186">
        <v>10</v>
      </c>
      <c r="D14" s="186" t="s">
        <v>410</v>
      </c>
    </row>
    <row r="15" spans="1:14" x14ac:dyDescent="0.3">
      <c r="A15" s="176" t="s">
        <v>409</v>
      </c>
      <c r="C15" s="186">
        <v>11</v>
      </c>
      <c r="D15" s="186" t="s">
        <v>412</v>
      </c>
      <c r="E15" s="176" t="s">
        <v>525</v>
      </c>
      <c r="H15" s="320"/>
      <c r="I15" s="320"/>
      <c r="J15" s="320"/>
      <c r="K15" s="320"/>
      <c r="L15" s="320"/>
      <c r="M15" s="320"/>
      <c r="N15" s="320"/>
    </row>
    <row r="16" spans="1:14" x14ac:dyDescent="0.3">
      <c r="A16" s="176" t="s">
        <v>411</v>
      </c>
      <c r="B16" s="176" t="s">
        <v>390</v>
      </c>
      <c r="C16" s="186">
        <v>12</v>
      </c>
      <c r="D16" s="186" t="s">
        <v>523</v>
      </c>
      <c r="H16" s="320"/>
      <c r="I16" s="320"/>
      <c r="J16" s="320"/>
      <c r="K16" s="320"/>
      <c r="L16" s="320"/>
      <c r="M16" s="320"/>
      <c r="N16" s="320"/>
    </row>
    <row r="17" spans="1:14" ht="14.4" x14ac:dyDescent="0.3">
      <c r="A17" s="176" t="s">
        <v>413</v>
      </c>
      <c r="C17" s="186">
        <v>13</v>
      </c>
      <c r="D17" s="191" t="s">
        <v>521</v>
      </c>
      <c r="H17" s="321"/>
      <c r="I17" s="321"/>
      <c r="J17" s="321"/>
      <c r="K17" s="321"/>
      <c r="L17" s="321"/>
      <c r="M17" s="321"/>
      <c r="N17" s="321"/>
    </row>
    <row r="18" spans="1:14" ht="14.4" x14ac:dyDescent="0.3">
      <c r="A18" s="176" t="s">
        <v>414</v>
      </c>
      <c r="B18" s="176" t="s">
        <v>390</v>
      </c>
      <c r="C18" s="186">
        <v>14</v>
      </c>
      <c r="D18" s="191" t="s">
        <v>522</v>
      </c>
    </row>
    <row r="19" spans="1:14" x14ac:dyDescent="0.3">
      <c r="A19" s="176" t="s">
        <v>388</v>
      </c>
      <c r="B19" s="176" t="s">
        <v>390</v>
      </c>
      <c r="C19" s="186">
        <v>15</v>
      </c>
      <c r="D19" s="186" t="s">
        <v>524</v>
      </c>
    </row>
    <row r="20" spans="1:14" x14ac:dyDescent="0.3">
      <c r="A20" s="176" t="s">
        <v>391</v>
      </c>
      <c r="B20" s="176" t="s">
        <v>390</v>
      </c>
    </row>
    <row r="21" spans="1:14" x14ac:dyDescent="0.3">
      <c r="A21" s="177" t="s">
        <v>393</v>
      </c>
      <c r="B21" s="176" t="s">
        <v>420</v>
      </c>
    </row>
    <row r="22" spans="1:14" x14ac:dyDescent="0.3">
      <c r="A22" s="176" t="s">
        <v>395</v>
      </c>
      <c r="B22" s="176" t="s">
        <v>421</v>
      </c>
    </row>
    <row r="23" spans="1:14" x14ac:dyDescent="0.3">
      <c r="A23" s="176" t="s">
        <v>397</v>
      </c>
    </row>
    <row r="24" spans="1:14" x14ac:dyDescent="0.3">
      <c r="A24" s="176" t="s">
        <v>399</v>
      </c>
      <c r="B24" s="176" t="s">
        <v>420</v>
      </c>
    </row>
    <row r="25" spans="1:14" x14ac:dyDescent="0.3">
      <c r="A25" s="176" t="s">
        <v>403</v>
      </c>
    </row>
    <row r="26" spans="1:14" x14ac:dyDescent="0.3">
      <c r="A26" s="176" t="s">
        <v>385</v>
      </c>
    </row>
    <row r="27" spans="1:14" x14ac:dyDescent="0.3">
      <c r="A27" s="176" t="s">
        <v>406</v>
      </c>
    </row>
    <row r="28" spans="1:14" x14ac:dyDescent="0.3">
      <c r="A28" s="176" t="s">
        <v>408</v>
      </c>
    </row>
    <row r="29" spans="1:14" x14ac:dyDescent="0.3">
      <c r="A29" s="176" t="s">
        <v>410</v>
      </c>
    </row>
    <row r="30" spans="1:14" x14ac:dyDescent="0.3">
      <c r="A30" s="176" t="s">
        <v>412</v>
      </c>
    </row>
  </sheetData>
  <mergeCells count="2">
    <mergeCell ref="H15:N16"/>
    <mergeCell ref="H17:N17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6"/>
  <sheetViews>
    <sheetView workbookViewId="0">
      <selection activeCell="H17" sqref="H17"/>
    </sheetView>
  </sheetViews>
  <sheetFormatPr defaultRowHeight="14.4" x14ac:dyDescent="0.3"/>
  <cols>
    <col min="1" max="1" width="3.109375" bestFit="1" customWidth="1"/>
    <col min="2" max="2" width="17.33203125" bestFit="1" customWidth="1"/>
    <col min="3" max="3" width="11.5546875" style="44" bestFit="1" customWidth="1"/>
    <col min="4" max="4" width="12.5546875" bestFit="1" customWidth="1"/>
    <col min="5" max="6" width="13.33203125" bestFit="1" customWidth="1"/>
    <col min="7" max="7" width="13.33203125" customWidth="1"/>
    <col min="8" max="8" width="12.5546875" bestFit="1" customWidth="1"/>
    <col min="9" max="9" width="10.109375" bestFit="1" customWidth="1"/>
    <col min="10" max="10" width="12.5546875" bestFit="1" customWidth="1"/>
    <col min="11" max="11" width="11.5546875" style="44" customWidth="1"/>
    <col min="12" max="12" width="11.109375" bestFit="1" customWidth="1"/>
    <col min="14" max="14" width="11.33203125" bestFit="1" customWidth="1"/>
    <col min="19" max="19" width="9.88671875" bestFit="1" customWidth="1"/>
  </cols>
  <sheetData>
    <row r="1" spans="1:20" x14ac:dyDescent="0.3">
      <c r="A1" s="270" t="s">
        <v>0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</row>
    <row r="2" spans="1:20" x14ac:dyDescent="0.3">
      <c r="A2" s="267" t="s">
        <v>198</v>
      </c>
      <c r="B2" s="267"/>
      <c r="C2" s="267"/>
      <c r="D2" s="267"/>
      <c r="E2" s="267"/>
      <c r="F2" s="267"/>
      <c r="G2" s="267"/>
      <c r="H2" s="267"/>
      <c r="I2" s="267"/>
      <c r="J2" s="267"/>
      <c r="K2" s="267"/>
      <c r="L2" s="267"/>
    </row>
    <row r="3" spans="1:20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20" s="5" customFormat="1" ht="28.8" x14ac:dyDescent="0.3">
      <c r="A4" s="69" t="s">
        <v>148</v>
      </c>
      <c r="B4" s="69" t="s">
        <v>149</v>
      </c>
      <c r="C4" s="69" t="s">
        <v>151</v>
      </c>
      <c r="D4" s="70" t="s">
        <v>153</v>
      </c>
      <c r="E4" s="70" t="s">
        <v>154</v>
      </c>
      <c r="F4" s="70" t="s">
        <v>155</v>
      </c>
      <c r="G4" s="70" t="s">
        <v>384</v>
      </c>
      <c r="H4" s="70" t="s">
        <v>13</v>
      </c>
      <c r="I4" s="69" t="s">
        <v>156</v>
      </c>
      <c r="J4" s="70" t="s">
        <v>158</v>
      </c>
      <c r="K4" s="70" t="s">
        <v>207</v>
      </c>
      <c r="L4" s="69" t="s">
        <v>183</v>
      </c>
    </row>
    <row r="5" spans="1:20" x14ac:dyDescent="0.3">
      <c r="A5" s="46"/>
      <c r="B5" s="48" t="s">
        <v>3</v>
      </c>
      <c r="C5" s="46"/>
      <c r="D5" s="47"/>
      <c r="E5" s="47"/>
      <c r="F5" s="47"/>
      <c r="G5" s="47"/>
      <c r="H5" s="47"/>
      <c r="I5" s="46"/>
      <c r="J5" s="47"/>
      <c r="K5" s="47"/>
      <c r="L5" s="46"/>
    </row>
    <row r="6" spans="1:20" x14ac:dyDescent="0.3">
      <c r="A6" s="3">
        <v>1</v>
      </c>
      <c r="B6" s="50" t="s">
        <v>150</v>
      </c>
      <c r="C6" s="3" t="s">
        <v>152</v>
      </c>
      <c r="D6" s="25">
        <v>38000</v>
      </c>
      <c r="E6" s="25">
        <f>1933-195</f>
        <v>1738</v>
      </c>
      <c r="F6" s="25">
        <f>2024-101</f>
        <v>1923</v>
      </c>
      <c r="G6" s="25">
        <f>242-53</f>
        <v>189</v>
      </c>
      <c r="H6" s="25">
        <v>0</v>
      </c>
      <c r="I6" s="29" t="s">
        <v>157</v>
      </c>
      <c r="J6" s="25">
        <v>44660</v>
      </c>
      <c r="K6" s="68">
        <v>5</v>
      </c>
      <c r="L6" s="29" t="s">
        <v>184</v>
      </c>
    </row>
    <row r="7" spans="1:20" x14ac:dyDescent="0.3">
      <c r="A7" s="3">
        <v>2</v>
      </c>
      <c r="B7" s="50" t="s">
        <v>159</v>
      </c>
      <c r="C7" s="3" t="s">
        <v>160</v>
      </c>
      <c r="D7" s="25">
        <v>100000</v>
      </c>
      <c r="E7" s="25">
        <v>0</v>
      </c>
      <c r="F7" s="25">
        <v>0</v>
      </c>
      <c r="G7" s="25">
        <v>0</v>
      </c>
      <c r="H7" s="25">
        <f t="shared" ref="H7:H12" si="0">SUM(D7:G7)</f>
        <v>100000</v>
      </c>
      <c r="I7" s="29" t="s">
        <v>161</v>
      </c>
      <c r="J7" s="25">
        <v>100000</v>
      </c>
      <c r="K7" s="68">
        <v>4.75</v>
      </c>
      <c r="L7" s="29" t="s">
        <v>184</v>
      </c>
    </row>
    <row r="8" spans="1:20" x14ac:dyDescent="0.3">
      <c r="A8" s="3">
        <v>3</v>
      </c>
      <c r="B8" s="50" t="s">
        <v>162</v>
      </c>
      <c r="C8" s="3" t="s">
        <v>163</v>
      </c>
      <c r="D8" s="25">
        <v>138443</v>
      </c>
      <c r="E8" s="25">
        <v>0</v>
      </c>
      <c r="F8" s="25">
        <v>0</v>
      </c>
      <c r="G8" s="25">
        <v>3251</v>
      </c>
      <c r="H8" s="25">
        <f t="shared" si="0"/>
        <v>141694</v>
      </c>
      <c r="I8" s="29" t="s">
        <v>211</v>
      </c>
      <c r="J8" s="25">
        <v>138564</v>
      </c>
      <c r="K8" s="68">
        <v>4.75</v>
      </c>
      <c r="L8" s="29" t="s">
        <v>184</v>
      </c>
      <c r="N8" s="12">
        <f>D8+F8</f>
        <v>138443</v>
      </c>
      <c r="O8">
        <f>138443</f>
        <v>138443</v>
      </c>
      <c r="P8" s="12">
        <f>O8-N8</f>
        <v>0</v>
      </c>
      <c r="Q8">
        <f>7424</f>
        <v>7424</v>
      </c>
      <c r="R8">
        <v>155</v>
      </c>
      <c r="S8" s="12">
        <f>Q8-P8</f>
        <v>7424</v>
      </c>
    </row>
    <row r="9" spans="1:20" x14ac:dyDescent="0.3">
      <c r="A9" s="3">
        <v>4</v>
      </c>
      <c r="B9" s="50" t="s">
        <v>164</v>
      </c>
      <c r="C9" s="3" t="s">
        <v>165</v>
      </c>
      <c r="D9" s="25">
        <v>88000</v>
      </c>
      <c r="E9" s="25">
        <v>0</v>
      </c>
      <c r="F9" s="25">
        <v>0</v>
      </c>
      <c r="G9" s="25">
        <v>0</v>
      </c>
      <c r="H9" s="25">
        <v>0</v>
      </c>
      <c r="I9" s="29" t="s">
        <v>210</v>
      </c>
      <c r="J9" s="25">
        <v>88000</v>
      </c>
      <c r="K9" s="68">
        <v>5.15</v>
      </c>
      <c r="L9" s="29" t="s">
        <v>184</v>
      </c>
    </row>
    <row r="10" spans="1:20" x14ac:dyDescent="0.3">
      <c r="A10" s="3">
        <v>5</v>
      </c>
      <c r="B10" s="50" t="s">
        <v>166</v>
      </c>
      <c r="C10" s="3" t="s">
        <v>167</v>
      </c>
      <c r="D10" s="25">
        <v>135693</v>
      </c>
      <c r="E10" s="25">
        <v>0</v>
      </c>
      <c r="F10" s="25">
        <v>0</v>
      </c>
      <c r="G10" s="25">
        <v>1170</v>
      </c>
      <c r="H10" s="25">
        <f t="shared" si="0"/>
        <v>136863</v>
      </c>
      <c r="I10" s="29" t="s">
        <v>213</v>
      </c>
      <c r="J10" s="25">
        <v>135693</v>
      </c>
      <c r="K10" s="68">
        <v>5.15</v>
      </c>
      <c r="L10" s="29" t="s">
        <v>184</v>
      </c>
      <c r="N10" s="12">
        <v>129918</v>
      </c>
      <c r="O10">
        <v>135693</v>
      </c>
      <c r="P10" s="12">
        <f>O10-N10</f>
        <v>5775</v>
      </c>
      <c r="Q10">
        <v>6945</v>
      </c>
      <c r="R10">
        <v>164</v>
      </c>
      <c r="S10" s="12">
        <f>Q10-P10</f>
        <v>1170</v>
      </c>
    </row>
    <row r="11" spans="1:20" x14ac:dyDescent="0.3">
      <c r="A11" s="3">
        <v>6</v>
      </c>
      <c r="B11" s="50" t="s">
        <v>168</v>
      </c>
      <c r="C11" s="3" t="s">
        <v>169</v>
      </c>
      <c r="D11" s="25">
        <v>48500</v>
      </c>
      <c r="E11" s="25">
        <v>0</v>
      </c>
      <c r="F11" s="25">
        <v>0</v>
      </c>
      <c r="G11" s="25">
        <v>1469</v>
      </c>
      <c r="H11" s="178">
        <f t="shared" si="0"/>
        <v>49969</v>
      </c>
      <c r="I11" s="29" t="s">
        <v>208</v>
      </c>
      <c r="J11" s="25">
        <v>48611</v>
      </c>
      <c r="K11" s="68">
        <v>4.75</v>
      </c>
      <c r="L11" s="29" t="s">
        <v>184</v>
      </c>
      <c r="N11" s="12">
        <v>47294</v>
      </c>
      <c r="O11">
        <v>48500</v>
      </c>
      <c r="P11" s="12">
        <f>O11-N11</f>
        <v>1206</v>
      </c>
      <c r="Q11">
        <v>2675</v>
      </c>
      <c r="R11" s="12">
        <v>55</v>
      </c>
      <c r="S11" s="12">
        <f>Q11-P11</f>
        <v>1469</v>
      </c>
      <c r="T11">
        <f>49922-49969</f>
        <v>-47</v>
      </c>
    </row>
    <row r="12" spans="1:20" x14ac:dyDescent="0.3">
      <c r="A12" s="3">
        <v>7</v>
      </c>
      <c r="B12" s="50" t="s">
        <v>170</v>
      </c>
      <c r="C12" s="3" t="s">
        <v>171</v>
      </c>
      <c r="D12" s="25">
        <v>56023</v>
      </c>
      <c r="E12" s="25">
        <v>0</v>
      </c>
      <c r="F12" s="25">
        <v>156</v>
      </c>
      <c r="G12" s="25">
        <v>4060</v>
      </c>
      <c r="H12" s="25">
        <f t="shared" si="0"/>
        <v>60239</v>
      </c>
      <c r="I12" s="29" t="s">
        <v>209</v>
      </c>
      <c r="J12" s="25">
        <v>61587</v>
      </c>
      <c r="K12" s="68">
        <v>7.25</v>
      </c>
      <c r="L12" s="29" t="s">
        <v>184</v>
      </c>
    </row>
    <row r="13" spans="1:20" x14ac:dyDescent="0.3">
      <c r="A13" s="44"/>
      <c r="B13" s="8" t="s">
        <v>13</v>
      </c>
      <c r="D13" s="26">
        <f>SUM(D6:D12)</f>
        <v>604659</v>
      </c>
      <c r="E13" s="26">
        <f>SUM(E6:E12)</f>
        <v>1738</v>
      </c>
      <c r="F13" s="26">
        <f>SUM(F6:F12)</f>
        <v>2079</v>
      </c>
      <c r="G13" s="26">
        <f>SUM(G6:G12)</f>
        <v>10139</v>
      </c>
      <c r="H13" s="26">
        <f>SUM(H6:H12)</f>
        <v>488765</v>
      </c>
      <c r="I13" s="5"/>
      <c r="J13" s="26">
        <f>SUM(J6:J12)</f>
        <v>617115</v>
      </c>
      <c r="K13" s="61"/>
      <c r="N13" s="12"/>
    </row>
    <row r="14" spans="1:20" x14ac:dyDescent="0.3">
      <c r="A14" s="44"/>
      <c r="D14" s="45"/>
      <c r="E14" s="45"/>
      <c r="F14" s="45"/>
      <c r="G14" s="45"/>
      <c r="H14" s="45"/>
      <c r="J14" s="45"/>
      <c r="K14" s="53"/>
    </row>
    <row r="15" spans="1:20" x14ac:dyDescent="0.3">
      <c r="A15" s="44"/>
      <c r="B15" s="8" t="s">
        <v>199</v>
      </c>
      <c r="D15" s="45"/>
      <c r="E15" s="45"/>
      <c r="F15" s="45"/>
      <c r="G15" s="45"/>
      <c r="H15" s="45"/>
      <c r="J15" s="45"/>
      <c r="K15" s="53"/>
    </row>
    <row r="16" spans="1:20" x14ac:dyDescent="0.3">
      <c r="A16" s="3">
        <v>8</v>
      </c>
      <c r="B16" s="50" t="s">
        <v>173</v>
      </c>
      <c r="C16" s="3" t="s">
        <v>152</v>
      </c>
      <c r="D16" s="25">
        <v>127200</v>
      </c>
      <c r="E16" s="25">
        <f>6469-649</f>
        <v>5820</v>
      </c>
      <c r="F16" s="25">
        <f>6776-662</f>
        <v>6114</v>
      </c>
      <c r="G16" s="25">
        <f>780-515</f>
        <v>265</v>
      </c>
      <c r="H16" s="25">
        <v>0</v>
      </c>
      <c r="I16" s="29" t="s">
        <v>157</v>
      </c>
      <c r="J16" s="25">
        <v>149494</v>
      </c>
      <c r="K16" s="68">
        <v>5</v>
      </c>
      <c r="L16" s="29" t="s">
        <v>184</v>
      </c>
    </row>
    <row r="17" spans="1:19" x14ac:dyDescent="0.3">
      <c r="A17" s="3">
        <v>9</v>
      </c>
      <c r="B17" s="50" t="s">
        <v>174</v>
      </c>
      <c r="C17" s="3" t="s">
        <v>152</v>
      </c>
      <c r="D17" s="25">
        <v>600000</v>
      </c>
      <c r="E17" s="25">
        <f>30517-3054</f>
        <v>27463</v>
      </c>
      <c r="F17" s="25">
        <f>31959-3120</f>
        <v>28839</v>
      </c>
      <c r="G17" s="25">
        <f>4197-2426</f>
        <v>1771</v>
      </c>
      <c r="H17" s="25">
        <v>0</v>
      </c>
      <c r="I17" s="29" t="s">
        <v>157</v>
      </c>
      <c r="J17" s="25">
        <v>705158</v>
      </c>
      <c r="K17" s="68">
        <v>5</v>
      </c>
      <c r="L17" s="29" t="s">
        <v>184</v>
      </c>
    </row>
    <row r="18" spans="1:19" x14ac:dyDescent="0.3">
      <c r="A18" s="3">
        <v>10</v>
      </c>
      <c r="B18" s="50" t="s">
        <v>175</v>
      </c>
      <c r="C18" s="29" t="s">
        <v>161</v>
      </c>
      <c r="D18" s="25">
        <v>300000</v>
      </c>
      <c r="E18" s="25">
        <v>0</v>
      </c>
      <c r="F18" s="25">
        <v>0</v>
      </c>
      <c r="G18" s="25"/>
      <c r="H18" s="26">
        <f t="shared" ref="H18" si="1">SUM(D18:F18)</f>
        <v>300000</v>
      </c>
      <c r="I18" s="179" t="s">
        <v>215</v>
      </c>
      <c r="J18" s="25">
        <v>300000</v>
      </c>
      <c r="K18" s="68">
        <v>4.75</v>
      </c>
      <c r="L18" s="29" t="s">
        <v>184</v>
      </c>
    </row>
    <row r="19" spans="1:19" x14ac:dyDescent="0.3">
      <c r="A19" s="3">
        <v>11</v>
      </c>
      <c r="B19" s="50" t="s">
        <v>172</v>
      </c>
      <c r="C19" s="3" t="s">
        <v>213</v>
      </c>
      <c r="D19" s="25">
        <v>134826</v>
      </c>
      <c r="E19" s="25">
        <v>0</v>
      </c>
      <c r="F19" s="25">
        <v>0</v>
      </c>
      <c r="G19" s="25">
        <f>1102+10</f>
        <v>1112</v>
      </c>
      <c r="H19" s="26">
        <f t="shared" ref="H19:H26" si="2">SUM(D19:G19)</f>
        <v>135938</v>
      </c>
      <c r="I19" s="179" t="s">
        <v>415</v>
      </c>
      <c r="J19" s="25">
        <v>135693</v>
      </c>
      <c r="K19" s="68">
        <v>5.15</v>
      </c>
      <c r="L19" s="29" t="s">
        <v>184</v>
      </c>
      <c r="N19" s="12">
        <v>129615</v>
      </c>
      <c r="O19">
        <v>134826</v>
      </c>
      <c r="P19" s="12">
        <f>O19-N19</f>
        <v>5211</v>
      </c>
      <c r="Q19">
        <v>6928</v>
      </c>
      <c r="R19" s="12">
        <v>615</v>
      </c>
      <c r="S19" s="12">
        <f>Q19-P19-R19</f>
        <v>1102</v>
      </c>
    </row>
    <row r="20" spans="1:19" x14ac:dyDescent="0.3">
      <c r="A20" s="3">
        <v>12</v>
      </c>
      <c r="B20" s="50" t="s">
        <v>176</v>
      </c>
      <c r="C20" s="3" t="s">
        <v>211</v>
      </c>
      <c r="D20" s="25">
        <v>447436</v>
      </c>
      <c r="E20" s="25">
        <v>0</v>
      </c>
      <c r="F20" s="25">
        <v>0</v>
      </c>
      <c r="G20" s="25">
        <v>9916</v>
      </c>
      <c r="H20" s="26">
        <f t="shared" si="2"/>
        <v>457352</v>
      </c>
      <c r="I20" s="179" t="s">
        <v>416</v>
      </c>
      <c r="J20" s="25">
        <v>450099</v>
      </c>
      <c r="K20" s="68">
        <v>4.75</v>
      </c>
      <c r="L20" s="29" t="s">
        <v>184</v>
      </c>
      <c r="N20">
        <v>435195</v>
      </c>
      <c r="O20">
        <v>447436</v>
      </c>
      <c r="P20">
        <f>O20-N20</f>
        <v>12241</v>
      </c>
      <c r="Q20">
        <v>24067</v>
      </c>
      <c r="R20">
        <v>1910</v>
      </c>
      <c r="S20" s="12">
        <f>Q20-P20-R20</f>
        <v>9916</v>
      </c>
    </row>
    <row r="21" spans="1:19" x14ac:dyDescent="0.3">
      <c r="A21" s="3">
        <v>13</v>
      </c>
      <c r="B21" s="50" t="s">
        <v>177</v>
      </c>
      <c r="C21" s="3" t="s">
        <v>213</v>
      </c>
      <c r="D21" s="25">
        <v>134826</v>
      </c>
      <c r="E21" s="25">
        <v>0</v>
      </c>
      <c r="F21" s="25">
        <v>0</v>
      </c>
      <c r="G21" s="25">
        <f>1102+10</f>
        <v>1112</v>
      </c>
      <c r="H21" s="26">
        <f t="shared" si="2"/>
        <v>135938</v>
      </c>
      <c r="I21" s="179" t="s">
        <v>415</v>
      </c>
      <c r="J21" s="25">
        <v>135693</v>
      </c>
      <c r="K21" s="68">
        <v>5.15</v>
      </c>
      <c r="L21" s="29" t="s">
        <v>184</v>
      </c>
      <c r="N21" s="12">
        <v>129615</v>
      </c>
      <c r="O21">
        <v>134826</v>
      </c>
      <c r="P21" s="12">
        <f>O21-N21</f>
        <v>5211</v>
      </c>
      <c r="Q21">
        <v>6928</v>
      </c>
      <c r="R21" s="12">
        <v>615</v>
      </c>
      <c r="S21" s="12">
        <f>Q21-P21-R21</f>
        <v>1102</v>
      </c>
    </row>
    <row r="22" spans="1:19" x14ac:dyDescent="0.3">
      <c r="A22" s="3">
        <v>14</v>
      </c>
      <c r="B22" s="50" t="s">
        <v>178</v>
      </c>
      <c r="C22" s="3" t="s">
        <v>213</v>
      </c>
      <c r="D22" s="25">
        <v>134826</v>
      </c>
      <c r="E22" s="25">
        <v>0</v>
      </c>
      <c r="F22" s="25">
        <v>0</v>
      </c>
      <c r="G22" s="25">
        <f>1102+10</f>
        <v>1112</v>
      </c>
      <c r="H22" s="26">
        <f t="shared" si="2"/>
        <v>135938</v>
      </c>
      <c r="I22" s="179" t="s">
        <v>415</v>
      </c>
      <c r="J22" s="25">
        <v>135693</v>
      </c>
      <c r="K22" s="68">
        <v>5.15</v>
      </c>
      <c r="L22" s="29" t="s">
        <v>184</v>
      </c>
      <c r="N22" s="12">
        <v>129615</v>
      </c>
      <c r="O22">
        <v>134826</v>
      </c>
      <c r="P22" s="12">
        <f>O22-N22</f>
        <v>5211</v>
      </c>
      <c r="Q22">
        <v>6928</v>
      </c>
      <c r="R22" s="12">
        <v>615</v>
      </c>
      <c r="S22" s="12">
        <f>Q22-P22-R22</f>
        <v>1102</v>
      </c>
    </row>
    <row r="23" spans="1:19" x14ac:dyDescent="0.3">
      <c r="A23" s="3">
        <v>15</v>
      </c>
      <c r="B23" s="50" t="s">
        <v>179</v>
      </c>
      <c r="C23" s="3" t="s">
        <v>213</v>
      </c>
      <c r="D23" s="25">
        <v>134826</v>
      </c>
      <c r="E23" s="25">
        <v>0</v>
      </c>
      <c r="F23" s="25">
        <v>0</v>
      </c>
      <c r="G23" s="25">
        <f>1102+10</f>
        <v>1112</v>
      </c>
      <c r="H23" s="26">
        <f t="shared" si="2"/>
        <v>135938</v>
      </c>
      <c r="I23" s="179" t="s">
        <v>415</v>
      </c>
      <c r="J23" s="25">
        <v>135693</v>
      </c>
      <c r="K23" s="68">
        <v>5.15</v>
      </c>
      <c r="L23" s="29" t="s">
        <v>184</v>
      </c>
      <c r="N23" s="12">
        <v>129615</v>
      </c>
      <c r="O23">
        <v>134826</v>
      </c>
      <c r="P23" s="12">
        <f>O23-N23</f>
        <v>5211</v>
      </c>
      <c r="Q23">
        <v>6928</v>
      </c>
      <c r="R23" s="12">
        <v>615</v>
      </c>
      <c r="S23" s="12">
        <f>Q23-P23-R23</f>
        <v>1102</v>
      </c>
    </row>
    <row r="24" spans="1:19" x14ac:dyDescent="0.3">
      <c r="A24" s="3">
        <v>16</v>
      </c>
      <c r="B24" s="50" t="s">
        <v>180</v>
      </c>
      <c r="C24" s="3" t="s">
        <v>171</v>
      </c>
      <c r="D24" s="25">
        <v>181519</v>
      </c>
      <c r="E24" s="25">
        <v>0</v>
      </c>
      <c r="F24" s="25">
        <f>505-51</f>
        <v>454</v>
      </c>
      <c r="G24" s="25">
        <f>13160-1106</f>
        <v>12054</v>
      </c>
      <c r="H24" s="26">
        <f t="shared" si="2"/>
        <v>194027</v>
      </c>
      <c r="I24" s="29" t="s">
        <v>209</v>
      </c>
      <c r="J24" s="25">
        <v>199547</v>
      </c>
      <c r="K24" s="68">
        <v>7.25</v>
      </c>
      <c r="L24" s="29" t="s">
        <v>184</v>
      </c>
    </row>
    <row r="25" spans="1:19" x14ac:dyDescent="0.3">
      <c r="A25" s="3">
        <v>17</v>
      </c>
      <c r="B25" s="50" t="s">
        <v>181</v>
      </c>
      <c r="C25" s="3" t="s">
        <v>212</v>
      </c>
      <c r="D25" s="25">
        <v>112125</v>
      </c>
      <c r="E25" s="25">
        <v>0</v>
      </c>
      <c r="F25" s="25">
        <v>0</v>
      </c>
      <c r="G25" s="25">
        <v>4990</v>
      </c>
      <c r="H25" s="26">
        <f t="shared" si="2"/>
        <v>117115</v>
      </c>
      <c r="I25" s="179" t="s">
        <v>417</v>
      </c>
      <c r="J25" s="25">
        <v>112794</v>
      </c>
      <c r="K25" s="68">
        <v>4.75</v>
      </c>
      <c r="L25" s="29" t="s">
        <v>184</v>
      </c>
      <c r="N25" s="12">
        <v>110634</v>
      </c>
      <c r="O25">
        <v>112125</v>
      </c>
      <c r="P25" s="12">
        <f>O25-N25</f>
        <v>1491</v>
      </c>
      <c r="Q25">
        <v>7065</v>
      </c>
      <c r="R25" s="12">
        <v>584</v>
      </c>
      <c r="S25" s="12">
        <f>Q25-P25-R25</f>
        <v>4990</v>
      </c>
    </row>
    <row r="26" spans="1:19" x14ac:dyDescent="0.3">
      <c r="A26" s="3">
        <v>18</v>
      </c>
      <c r="B26" s="50" t="s">
        <v>182</v>
      </c>
      <c r="C26" s="3" t="s">
        <v>212</v>
      </c>
      <c r="D26" s="25">
        <v>112125</v>
      </c>
      <c r="E26" s="25">
        <v>0</v>
      </c>
      <c r="F26" s="25">
        <v>0</v>
      </c>
      <c r="G26" s="25">
        <v>4990</v>
      </c>
      <c r="H26" s="26">
        <f t="shared" si="2"/>
        <v>117115</v>
      </c>
      <c r="I26" s="179" t="s">
        <v>417</v>
      </c>
      <c r="J26" s="25">
        <v>112794</v>
      </c>
      <c r="K26" s="68">
        <v>4.75</v>
      </c>
      <c r="L26" s="29" t="s">
        <v>184</v>
      </c>
      <c r="N26" s="12">
        <v>110634</v>
      </c>
      <c r="O26">
        <v>112125</v>
      </c>
      <c r="P26" s="12">
        <f>O26-N26</f>
        <v>1491</v>
      </c>
      <c r="Q26">
        <v>7065</v>
      </c>
      <c r="R26" s="12">
        <v>584</v>
      </c>
      <c r="S26" s="12">
        <f>Q26-P26-R26</f>
        <v>4990</v>
      </c>
    </row>
    <row r="27" spans="1:19" x14ac:dyDescent="0.3">
      <c r="A27" s="3">
        <v>19</v>
      </c>
      <c r="B27" s="50" t="s">
        <v>185</v>
      </c>
      <c r="C27" s="3" t="s">
        <v>216</v>
      </c>
      <c r="D27" s="25">
        <v>300000</v>
      </c>
      <c r="E27" s="25">
        <f>1093-110</f>
        <v>983</v>
      </c>
      <c r="F27" s="25">
        <f>14271-1395</f>
        <v>12876</v>
      </c>
      <c r="G27" s="25"/>
      <c r="H27" s="25">
        <v>0</v>
      </c>
      <c r="I27" s="179" t="s">
        <v>418</v>
      </c>
      <c r="J27" s="25">
        <v>319521</v>
      </c>
      <c r="K27" s="68">
        <v>4.75</v>
      </c>
      <c r="L27" s="29" t="s">
        <v>184</v>
      </c>
    </row>
    <row r="28" spans="1:19" x14ac:dyDescent="0.3">
      <c r="A28" s="3">
        <v>20</v>
      </c>
      <c r="B28" s="50" t="s">
        <v>186</v>
      </c>
      <c r="C28" s="3" t="s">
        <v>216</v>
      </c>
      <c r="D28" s="25">
        <v>423514</v>
      </c>
      <c r="E28" s="25">
        <v>0</v>
      </c>
      <c r="F28" s="25">
        <v>0</v>
      </c>
      <c r="G28" s="25">
        <v>19840</v>
      </c>
      <c r="H28" s="26">
        <f t="shared" ref="H28:H33" si="3">SUM(D28:G28)</f>
        <v>443354</v>
      </c>
      <c r="I28" s="179" t="s">
        <v>418</v>
      </c>
      <c r="J28" s="25">
        <v>426027</v>
      </c>
      <c r="K28" s="68">
        <v>4.75</v>
      </c>
      <c r="L28" s="29" t="s">
        <v>184</v>
      </c>
      <c r="N28">
        <v>418480</v>
      </c>
      <c r="O28">
        <v>423514</v>
      </c>
      <c r="P28">
        <f>O28-N28</f>
        <v>5034</v>
      </c>
      <c r="Q28">
        <v>27106</v>
      </c>
      <c r="R28" s="12">
        <v>2232</v>
      </c>
      <c r="S28" s="12">
        <f>Q28-P28-R28</f>
        <v>19840</v>
      </c>
    </row>
    <row r="29" spans="1:19" x14ac:dyDescent="0.3">
      <c r="A29" s="3">
        <v>21</v>
      </c>
      <c r="B29" s="50" t="s">
        <v>187</v>
      </c>
      <c r="C29" s="3" t="s">
        <v>212</v>
      </c>
      <c r="D29" s="25">
        <v>112125</v>
      </c>
      <c r="E29" s="25">
        <v>0</v>
      </c>
      <c r="F29" s="25">
        <v>0</v>
      </c>
      <c r="G29" s="25">
        <v>4990</v>
      </c>
      <c r="H29" s="26">
        <f t="shared" si="3"/>
        <v>117115</v>
      </c>
      <c r="I29" s="179" t="s">
        <v>417</v>
      </c>
      <c r="J29" s="25">
        <v>112794</v>
      </c>
      <c r="K29" s="68">
        <v>4.75</v>
      </c>
      <c r="L29" s="29" t="s">
        <v>184</v>
      </c>
      <c r="N29" s="12">
        <v>110634</v>
      </c>
      <c r="O29">
        <v>112125</v>
      </c>
      <c r="P29" s="12">
        <f>O29-N29</f>
        <v>1491</v>
      </c>
      <c r="Q29">
        <v>7065</v>
      </c>
      <c r="R29" s="12">
        <v>584</v>
      </c>
      <c r="S29" s="12">
        <f>Q29-P29-R29</f>
        <v>4990</v>
      </c>
    </row>
    <row r="30" spans="1:19" x14ac:dyDescent="0.3">
      <c r="A30" s="3">
        <v>22</v>
      </c>
      <c r="B30" s="50" t="s">
        <v>188</v>
      </c>
      <c r="C30" s="3" t="s">
        <v>208</v>
      </c>
      <c r="D30" s="25">
        <v>155476</v>
      </c>
      <c r="E30" s="25">
        <v>0</v>
      </c>
      <c r="F30" s="25">
        <v>0</v>
      </c>
      <c r="G30" s="25">
        <f>4412-150</f>
        <v>4262</v>
      </c>
      <c r="H30" s="26">
        <f t="shared" si="3"/>
        <v>159738</v>
      </c>
      <c r="I30" s="179" t="s">
        <v>419</v>
      </c>
      <c r="J30" s="25">
        <v>156546</v>
      </c>
      <c r="K30" s="68">
        <v>4.75</v>
      </c>
      <c r="L30" s="29" t="s">
        <v>184</v>
      </c>
      <c r="N30">
        <v>151971</v>
      </c>
      <c r="O30">
        <v>155476</v>
      </c>
      <c r="P30" s="12">
        <f>O30-N30</f>
        <v>3505</v>
      </c>
      <c r="Q30">
        <v>8596</v>
      </c>
      <c r="R30" s="12">
        <v>679</v>
      </c>
      <c r="S30" s="12">
        <f>Q30-P30-R30</f>
        <v>4412</v>
      </c>
    </row>
    <row r="31" spans="1:19" x14ac:dyDescent="0.3">
      <c r="A31" s="3">
        <v>23</v>
      </c>
      <c r="B31" s="50" t="s">
        <v>189</v>
      </c>
      <c r="C31" s="3" t="s">
        <v>212</v>
      </c>
      <c r="D31" s="25">
        <v>112125</v>
      </c>
      <c r="E31" s="25">
        <v>0</v>
      </c>
      <c r="F31" s="25">
        <v>0</v>
      </c>
      <c r="G31" s="25">
        <v>4990</v>
      </c>
      <c r="H31" s="26">
        <f t="shared" si="3"/>
        <v>117115</v>
      </c>
      <c r="I31" s="179" t="s">
        <v>417</v>
      </c>
      <c r="J31" s="25">
        <v>112794</v>
      </c>
      <c r="K31" s="68">
        <v>4.75</v>
      </c>
      <c r="L31" s="29" t="s">
        <v>184</v>
      </c>
      <c r="N31" s="12">
        <v>110634</v>
      </c>
      <c r="O31">
        <v>112125</v>
      </c>
      <c r="P31" s="12">
        <f>O31-N31</f>
        <v>1491</v>
      </c>
      <c r="Q31">
        <v>7065</v>
      </c>
      <c r="R31" s="12">
        <v>584</v>
      </c>
      <c r="S31" s="12">
        <f>Q31-P31-R31</f>
        <v>4990</v>
      </c>
    </row>
    <row r="32" spans="1:19" x14ac:dyDescent="0.3">
      <c r="A32" s="3">
        <v>24</v>
      </c>
      <c r="B32" s="50" t="s">
        <v>190</v>
      </c>
      <c r="C32" s="3" t="s">
        <v>212</v>
      </c>
      <c r="D32" s="25">
        <v>112125</v>
      </c>
      <c r="E32" s="25">
        <v>0</v>
      </c>
      <c r="F32" s="25">
        <v>0</v>
      </c>
      <c r="G32" s="25">
        <v>4990</v>
      </c>
      <c r="H32" s="26">
        <f t="shared" si="3"/>
        <v>117115</v>
      </c>
      <c r="I32" s="179" t="s">
        <v>417</v>
      </c>
      <c r="J32" s="25">
        <v>112794</v>
      </c>
      <c r="K32" s="68">
        <v>4.75</v>
      </c>
      <c r="L32" s="29" t="s">
        <v>184</v>
      </c>
      <c r="N32" s="12">
        <v>110634</v>
      </c>
      <c r="O32">
        <v>112125</v>
      </c>
      <c r="P32" s="12">
        <f>O32-N32</f>
        <v>1491</v>
      </c>
      <c r="Q32">
        <v>7065</v>
      </c>
      <c r="R32" s="12">
        <v>584</v>
      </c>
      <c r="S32" s="12">
        <f>Q32-P32-R32</f>
        <v>4990</v>
      </c>
    </row>
    <row r="33" spans="1:12" x14ac:dyDescent="0.3">
      <c r="A33" s="3">
        <v>25</v>
      </c>
      <c r="B33" s="50" t="s">
        <v>191</v>
      </c>
      <c r="C33" s="3" t="s">
        <v>192</v>
      </c>
      <c r="D33" s="25">
        <v>163609</v>
      </c>
      <c r="E33" s="25">
        <v>0</v>
      </c>
      <c r="F33" s="25">
        <v>1787</v>
      </c>
      <c r="G33" s="25">
        <f>9816-825</f>
        <v>8991</v>
      </c>
      <c r="H33" s="26">
        <f t="shared" si="3"/>
        <v>174387</v>
      </c>
      <c r="I33" s="29" t="s">
        <v>214</v>
      </c>
      <c r="J33" s="25">
        <v>177056</v>
      </c>
      <c r="K33" s="68">
        <v>6</v>
      </c>
      <c r="L33" s="29" t="s">
        <v>184</v>
      </c>
    </row>
    <row r="34" spans="1:12" x14ac:dyDescent="0.3">
      <c r="B34" s="8" t="s">
        <v>13</v>
      </c>
      <c r="D34" s="26">
        <f>SUM(D16:D33)</f>
        <v>3798683</v>
      </c>
      <c r="E34" s="26">
        <f>SUM(E16:E33)</f>
        <v>34266</v>
      </c>
      <c r="F34" s="26">
        <f>SUM(F16:F33)</f>
        <v>50070</v>
      </c>
      <c r="G34" s="26">
        <f>SUM(G16:G33)</f>
        <v>86497</v>
      </c>
      <c r="H34" s="26">
        <f>SUM(H16:H33)</f>
        <v>2858185</v>
      </c>
      <c r="I34" s="5"/>
      <c r="J34" s="26">
        <f>SUM(J16:J33)</f>
        <v>3990190</v>
      </c>
      <c r="K34" s="61"/>
    </row>
    <row r="35" spans="1:12" x14ac:dyDescent="0.3">
      <c r="B35" s="8"/>
      <c r="D35" s="51"/>
      <c r="E35" s="51"/>
      <c r="F35" s="51"/>
      <c r="G35" s="51"/>
      <c r="H35" s="51"/>
      <c r="I35" s="5"/>
      <c r="J35" s="51"/>
      <c r="K35" s="61"/>
    </row>
    <row r="36" spans="1:12" x14ac:dyDescent="0.3">
      <c r="B36" s="283" t="s">
        <v>200</v>
      </c>
      <c r="C36" s="284"/>
      <c r="D36" s="26">
        <f>+D13+D34</f>
        <v>4403342</v>
      </c>
      <c r="E36" s="26">
        <f>+E13+E34</f>
        <v>36004</v>
      </c>
      <c r="F36" s="26">
        <f>+F13+F34</f>
        <v>52149</v>
      </c>
      <c r="G36" s="26">
        <f>+G13+G34</f>
        <v>96636</v>
      </c>
      <c r="H36" s="26">
        <f>+H13+H34</f>
        <v>3346950</v>
      </c>
      <c r="I36" s="5"/>
      <c r="J36" s="26">
        <f>+J13+J34</f>
        <v>4607305</v>
      </c>
      <c r="K36" s="61"/>
    </row>
  </sheetData>
  <mergeCells count="3">
    <mergeCell ref="A1:L1"/>
    <mergeCell ref="A2:L2"/>
    <mergeCell ref="B36:C3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BS</vt:lpstr>
      <vt:lpstr>IE</vt:lpstr>
      <vt:lpstr>TB</vt:lpstr>
      <vt:lpstr>Receipt &amp; Payments</vt:lpstr>
      <vt:lpstr>FD Details</vt:lpstr>
      <vt:lpstr>FA</vt:lpstr>
      <vt:lpstr>Sch 4</vt:lpstr>
      <vt:lpstr>Members Contribution</vt:lpstr>
      <vt:lpstr>Property Tax</vt:lpstr>
      <vt:lpstr>Sch 3</vt:lpstr>
      <vt:lpstr>BRS</vt:lpstr>
      <vt:lpstr>Budget</vt:lpstr>
      <vt:lpstr>Estimated</vt:lpstr>
      <vt:lpstr>Workings</vt:lpstr>
      <vt:lpstr>Queries</vt:lpstr>
      <vt:lpstr>fd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Rosario</dc:creator>
  <cp:lastModifiedBy>Lenovo</cp:lastModifiedBy>
  <cp:lastPrinted>2023-08-31T08:04:15Z</cp:lastPrinted>
  <dcterms:created xsi:type="dcterms:W3CDTF">2023-07-11T10:20:11Z</dcterms:created>
  <dcterms:modified xsi:type="dcterms:W3CDTF">2026-08-18T05:10:22Z</dcterms:modified>
</cp:coreProperties>
</file>