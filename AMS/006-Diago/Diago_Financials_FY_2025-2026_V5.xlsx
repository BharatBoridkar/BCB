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BHARAT\2025-2026\BCB\AMS\006-Diago\"/>
    </mc:Choice>
  </mc:AlternateContent>
  <xr:revisionPtr revIDLastSave="0" documentId="13_ncr:1_{9B72437E-63A5-4930-A36A-3E5234147968}" xr6:coauthVersionLast="47" xr6:coauthVersionMax="47" xr10:uidLastSave="{00000000-0000-0000-0000-000000000000}"/>
  <bookViews>
    <workbookView xWindow="-108" yWindow="-108" windowWidth="23256" windowHeight="12456" tabRatio="685" activeTab="6" xr2:uid="{00000000-000D-0000-FFFF-FFFF00000000}"/>
  </bookViews>
  <sheets>
    <sheet name="BS" sheetId="1" r:id="rId1"/>
    <sheet name="IE" sheetId="2" r:id="rId2"/>
    <sheet name="Fund Sch_1" sheetId="9" r:id="rId3"/>
    <sheet name="FD Sch_2" sheetId="3" r:id="rId4"/>
    <sheet name="FA Sch_3" sheetId="4" r:id="rId5"/>
    <sheet name="Advance n Refundable Sch 4 to 7" sheetId="5" r:id="rId6"/>
    <sheet name="Sheet1" sheetId="10" r:id="rId7"/>
  </sheets>
  <definedNames>
    <definedName name="_xlnm._FilterDatabase" localSheetId="5" hidden="1">'Advance n Refundable Sch 4 to 7'!$A$15:$E$28</definedName>
    <definedName name="_xlnm._FilterDatabase" localSheetId="3" hidden="1">'FD Sch_2'!$A$3:$L$73</definedName>
    <definedName name="_xlnm.Print_Area" localSheetId="5">'Advance n Refundable Sch 4 to 7'!$A$1:$J$29</definedName>
    <definedName name="_xlnm.Print_Area" localSheetId="0">BS!$A$1:$H$45</definedName>
    <definedName name="_xlnm.Print_Area" localSheetId="4">'FA Sch_3'!$A$1:$H$11</definedName>
    <definedName name="_xlnm.Print_Area" localSheetId="3">'FD Sch_2'!$A$1:$L$82</definedName>
    <definedName name="_xlnm.Print_Area" localSheetId="2">'Fund Sch_1'!$A$1:$D$42</definedName>
    <definedName name="_xlnm.Print_Area" localSheetId="1">IE!$A$1:$H$62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2" l="1"/>
  <c r="C29" i="2"/>
  <c r="G15" i="1"/>
  <c r="C13" i="4"/>
  <c r="H14" i="4"/>
  <c r="C41" i="2" l="1"/>
  <c r="H21" i="2"/>
  <c r="D47" i="2"/>
  <c r="I81" i="3"/>
  <c r="J80" i="3"/>
  <c r="E77" i="3"/>
  <c r="D77" i="3"/>
  <c r="J77" i="3"/>
  <c r="J73" i="3"/>
  <c r="J67" i="3"/>
  <c r="J17" i="3"/>
  <c r="J26" i="3"/>
  <c r="J30" i="3"/>
  <c r="J36" i="3"/>
  <c r="J45" i="3"/>
  <c r="J53" i="3"/>
  <c r="J62" i="3"/>
  <c r="D73" i="3"/>
  <c r="G66" i="3"/>
  <c r="G59" i="3"/>
  <c r="G60" i="3"/>
  <c r="G61" i="3"/>
  <c r="G58" i="3"/>
  <c r="D53" i="3"/>
  <c r="D45" i="3"/>
  <c r="D40" i="3"/>
  <c r="G39" i="3"/>
  <c r="G38" i="3"/>
  <c r="G29" i="3"/>
  <c r="D30" i="3"/>
  <c r="H19" i="3"/>
  <c r="G19" i="3"/>
  <c r="D17" i="3"/>
  <c r="H29" i="3"/>
  <c r="D36" i="3"/>
  <c r="D26" i="3"/>
  <c r="H27" i="1" l="1"/>
  <c r="D26" i="2" l="1"/>
  <c r="D21" i="2"/>
  <c r="C27" i="1"/>
  <c r="H19" i="1" l="1"/>
  <c r="H66" i="3" l="1"/>
  <c r="H61" i="3"/>
  <c r="H60" i="3"/>
  <c r="H59" i="3"/>
  <c r="G40" i="3"/>
  <c r="E62" i="3"/>
  <c r="F62" i="3"/>
  <c r="D62" i="3"/>
  <c r="D67" i="3"/>
  <c r="E42" i="3"/>
  <c r="G12" i="2"/>
  <c r="G11" i="2"/>
  <c r="E40" i="3"/>
  <c r="F40" i="3"/>
  <c r="E80" i="3"/>
  <c r="D80" i="3"/>
  <c r="F44" i="3"/>
  <c r="G44" i="3" s="1"/>
  <c r="F72" i="3"/>
  <c r="G72" i="3" s="1"/>
  <c r="F52" i="3"/>
  <c r="D81" i="3" l="1"/>
  <c r="G52" i="3"/>
  <c r="H52" i="3" s="1"/>
  <c r="E45" i="3"/>
  <c r="H44" i="3"/>
  <c r="G62" i="3"/>
  <c r="H16" i="2"/>
  <c r="H58" i="3"/>
  <c r="H72" i="3"/>
  <c r="H62" i="3" l="1"/>
  <c r="F25" i="3"/>
  <c r="G25" i="3" s="1"/>
  <c r="F76" i="3"/>
  <c r="G76" i="3" s="1"/>
  <c r="F15" i="3"/>
  <c r="G15" i="3" s="1"/>
  <c r="F24" i="3"/>
  <c r="G24" i="3" s="1"/>
  <c r="F23" i="3"/>
  <c r="G23" i="3" s="1"/>
  <c r="F79" i="3"/>
  <c r="F51" i="3"/>
  <c r="G51" i="3" s="1"/>
  <c r="F75" i="3"/>
  <c r="F16" i="3"/>
  <c r="G16" i="3" s="1"/>
  <c r="F28" i="3"/>
  <c r="F30" i="3" s="1"/>
  <c r="F13" i="3"/>
  <c r="F9" i="3"/>
  <c r="F10" i="3"/>
  <c r="F22" i="3"/>
  <c r="F71" i="3"/>
  <c r="F35" i="3"/>
  <c r="F14" i="3"/>
  <c r="F21" i="3"/>
  <c r="G21" i="3" s="1"/>
  <c r="F70" i="3"/>
  <c r="G70" i="3" s="1"/>
  <c r="F65" i="3"/>
  <c r="G65" i="3" s="1"/>
  <c r="F20" i="3"/>
  <c r="G20" i="3" s="1"/>
  <c r="F69" i="3"/>
  <c r="F64" i="3"/>
  <c r="F67" i="3" s="1"/>
  <c r="F50" i="3"/>
  <c r="F48" i="3"/>
  <c r="F5" i="3"/>
  <c r="F42" i="3"/>
  <c r="F49" i="3"/>
  <c r="F34" i="3"/>
  <c r="F12" i="3"/>
  <c r="F47" i="3"/>
  <c r="F53" i="3" s="1"/>
  <c r="F32" i="3"/>
  <c r="F7" i="3"/>
  <c r="F8" i="3"/>
  <c r="F6" i="3"/>
  <c r="F33" i="3"/>
  <c r="F43" i="3"/>
  <c r="G43" i="3" s="1"/>
  <c r="F11" i="3"/>
  <c r="H10" i="1"/>
  <c r="F73" i="3" l="1"/>
  <c r="F45" i="3"/>
  <c r="G42" i="3"/>
  <c r="G45" i="3" s="1"/>
  <c r="G77" i="3"/>
  <c r="G79" i="3"/>
  <c r="H79" i="3" s="1"/>
  <c r="F80" i="3"/>
  <c r="F77" i="3"/>
  <c r="G75" i="3"/>
  <c r="F36" i="3"/>
  <c r="F17" i="3"/>
  <c r="H43" i="3"/>
  <c r="H16" i="3"/>
  <c r="H23" i="3"/>
  <c r="H15" i="3"/>
  <c r="H25" i="3"/>
  <c r="H65" i="3"/>
  <c r="H21" i="3"/>
  <c r="H51" i="3"/>
  <c r="H24" i="3"/>
  <c r="H76" i="3"/>
  <c r="F26" i="3"/>
  <c r="G80" i="3"/>
  <c r="E28" i="5"/>
  <c r="C20" i="1" s="1"/>
  <c r="C39" i="9"/>
  <c r="D41" i="9" s="1"/>
  <c r="C34" i="9"/>
  <c r="D36" i="9" s="1"/>
  <c r="C29" i="9"/>
  <c r="C24" i="9"/>
  <c r="C19" i="9"/>
  <c r="D21" i="9" s="1"/>
  <c r="C15" i="9"/>
  <c r="C11" i="9"/>
  <c r="C5" i="9"/>
  <c r="E4" i="5"/>
  <c r="E5" i="5"/>
  <c r="H23" i="1" s="1"/>
  <c r="E11" i="2"/>
  <c r="E12" i="2"/>
  <c r="E28" i="3"/>
  <c r="E13" i="3"/>
  <c r="G13" i="3" s="1"/>
  <c r="E9" i="3"/>
  <c r="G9" i="3" s="1"/>
  <c r="E10" i="3"/>
  <c r="G10" i="3" s="1"/>
  <c r="E6" i="3"/>
  <c r="E64" i="3"/>
  <c r="G64" i="3" s="1"/>
  <c r="E11" i="3"/>
  <c r="G11" i="3" s="1"/>
  <c r="E22" i="3"/>
  <c r="E71" i="3"/>
  <c r="G71" i="3" s="1"/>
  <c r="E35" i="3"/>
  <c r="G35" i="3" s="1"/>
  <c r="E14" i="3"/>
  <c r="G14" i="3" s="1"/>
  <c r="E69" i="3"/>
  <c r="E50" i="3"/>
  <c r="G50" i="3" s="1"/>
  <c r="E49" i="3"/>
  <c r="G49" i="3" s="1"/>
  <c r="E48" i="3"/>
  <c r="G48" i="3" s="1"/>
  <c r="E47" i="3"/>
  <c r="E34" i="3"/>
  <c r="G34" i="3" s="1"/>
  <c r="E33" i="3"/>
  <c r="G33" i="3" s="1"/>
  <c r="E32" i="3"/>
  <c r="E12" i="3"/>
  <c r="G12" i="3" s="1"/>
  <c r="E8" i="3"/>
  <c r="G8" i="3" s="1"/>
  <c r="E7" i="3"/>
  <c r="G7" i="3" s="1"/>
  <c r="E5" i="3"/>
  <c r="G5" i="3" s="1"/>
  <c r="E30" i="3" l="1"/>
  <c r="G28" i="3"/>
  <c r="G47" i="3"/>
  <c r="E53" i="3"/>
  <c r="E26" i="3"/>
  <c r="G22" i="3"/>
  <c r="G26" i="3" s="1"/>
  <c r="H5" i="3"/>
  <c r="G69" i="3"/>
  <c r="G73" i="3" s="1"/>
  <c r="E73" i="3"/>
  <c r="E36" i="3"/>
  <c r="G32" i="3"/>
  <c r="H32" i="3" s="1"/>
  <c r="F81" i="3"/>
  <c r="G6" i="3"/>
  <c r="G17" i="3" s="1"/>
  <c r="E17" i="3"/>
  <c r="H8" i="3"/>
  <c r="H34" i="3"/>
  <c r="H48" i="3"/>
  <c r="H50" i="3"/>
  <c r="H14" i="3"/>
  <c r="H11" i="3"/>
  <c r="H9" i="3"/>
  <c r="H7" i="3"/>
  <c r="H12" i="3"/>
  <c r="H33" i="3"/>
  <c r="H49" i="3"/>
  <c r="H35" i="3"/>
  <c r="H10" i="3"/>
  <c r="H13" i="3"/>
  <c r="E67" i="3"/>
  <c r="H20" i="3"/>
  <c r="H42" i="3"/>
  <c r="H45" i="3" s="1"/>
  <c r="H80" i="3"/>
  <c r="H75" i="3"/>
  <c r="H77" i="3" s="1"/>
  <c r="H71" i="3"/>
  <c r="E52" i="2"/>
  <c r="A51" i="2" s="1"/>
  <c r="A52" i="2" s="1"/>
  <c r="G53" i="2" s="1"/>
  <c r="H6" i="3" l="1"/>
  <c r="G53" i="3"/>
  <c r="H47" i="3"/>
  <c r="H53" i="3" s="1"/>
  <c r="H17" i="3"/>
  <c r="G36" i="3"/>
  <c r="G30" i="3"/>
  <c r="G81" i="3" s="1"/>
  <c r="H28" i="3"/>
  <c r="H30" i="3" s="1"/>
  <c r="H22" i="3"/>
  <c r="E81" i="3"/>
  <c r="H26" i="3"/>
  <c r="H36" i="3"/>
  <c r="G67" i="3"/>
  <c r="H64" i="3"/>
  <c r="H67" i="3" s="1"/>
  <c r="J40" i="3"/>
  <c r="J81" i="3" s="1"/>
  <c r="E35" i="1" l="1"/>
  <c r="H70" i="3" l="1"/>
  <c r="D16" i="9" l="1"/>
  <c r="H5" i="1"/>
  <c r="E5" i="1"/>
  <c r="H5" i="2"/>
  <c r="E5" i="2"/>
  <c r="A1" i="2" l="1"/>
  <c r="A42" i="9"/>
  <c r="A12" i="1" s="1"/>
  <c r="A34" i="1" s="1"/>
  <c r="C31" i="1" s="1"/>
  <c r="E12" i="5"/>
  <c r="C19" i="1" s="1"/>
  <c r="J8" i="5"/>
  <c r="D12" i="9"/>
  <c r="A35" i="1" l="1"/>
  <c r="G36" i="1" s="1"/>
  <c r="D28" i="1"/>
  <c r="H69" i="3"/>
  <c r="H73" i="3" s="1"/>
  <c r="G9" i="4" l="1"/>
  <c r="G8" i="4"/>
  <c r="G7" i="4"/>
  <c r="G6" i="4"/>
  <c r="G5" i="4"/>
  <c r="G4" i="4"/>
  <c r="D10" i="4"/>
  <c r="E10" i="4"/>
  <c r="C10" i="4"/>
  <c r="F9" i="4"/>
  <c r="F8" i="4"/>
  <c r="F7" i="4"/>
  <c r="F6" i="4"/>
  <c r="F5" i="4"/>
  <c r="F4" i="4"/>
  <c r="A1" i="4"/>
  <c r="A1" i="3"/>
  <c r="A54" i="3" s="1"/>
  <c r="A1" i="5"/>
  <c r="D31" i="9"/>
  <c r="D26" i="9"/>
  <c r="A3" i="2"/>
  <c r="A2" i="2"/>
  <c r="A7" i="1"/>
  <c r="H39" i="3"/>
  <c r="D10" i="2"/>
  <c r="G14" i="1" l="1"/>
  <c r="H15" i="1" s="1"/>
  <c r="H4" i="4"/>
  <c r="H6" i="4"/>
  <c r="H5" i="4"/>
  <c r="F10" i="4"/>
  <c r="H9" i="4"/>
  <c r="H8" i="4"/>
  <c r="G10" i="4"/>
  <c r="C28" i="2" s="1"/>
  <c r="D37" i="2" s="1"/>
  <c r="D52" i="2" s="1"/>
  <c r="H50" i="2" s="1"/>
  <c r="C34" i="1" s="1"/>
  <c r="H7" i="4"/>
  <c r="D20" i="1"/>
  <c r="H38" i="3"/>
  <c r="H40" i="3" s="1"/>
  <c r="H81" i="3" s="1"/>
  <c r="H10" i="4" l="1"/>
  <c r="H32" i="1" s="1"/>
  <c r="D8" i="9" l="1"/>
  <c r="H35" i="1"/>
  <c r="D42" i="9" l="1"/>
  <c r="D13" i="1" s="1"/>
  <c r="D34" i="1" l="1"/>
  <c r="D35" i="1" s="1"/>
  <c r="H36" i="1" s="1"/>
  <c r="H52" i="2" l="1"/>
  <c r="H53" i="2" s="1"/>
</calcChain>
</file>

<file path=xl/sharedStrings.xml><?xml version="1.0" encoding="utf-8"?>
<sst xmlns="http://schemas.openxmlformats.org/spreadsheetml/2006/main" count="493" uniqueCount="301">
  <si>
    <t>LIABILITIES</t>
  </si>
  <si>
    <t>ASSETS</t>
  </si>
  <si>
    <t>Cash and Bank Balances:</t>
  </si>
  <si>
    <t>Investments:</t>
  </si>
  <si>
    <t>Accrued Interest</t>
  </si>
  <si>
    <t>Reserves and Surplus:</t>
  </si>
  <si>
    <t>Sinking Fund</t>
  </si>
  <si>
    <t>Certificate No.</t>
  </si>
  <si>
    <t>Bank</t>
  </si>
  <si>
    <t>Maturity Date</t>
  </si>
  <si>
    <t>Authorised Share Capital</t>
  </si>
  <si>
    <t>Maturity Value</t>
  </si>
  <si>
    <t>Date</t>
  </si>
  <si>
    <t>Amount Invested</t>
  </si>
  <si>
    <t>Total</t>
  </si>
  <si>
    <t>Interest %</t>
  </si>
  <si>
    <t>Painting Fund</t>
  </si>
  <si>
    <t>Share Capital</t>
  </si>
  <si>
    <t>Cash in Hand</t>
  </si>
  <si>
    <t>Mumbai District Central Co-op Bank</t>
  </si>
  <si>
    <t>Share of MDCC Bank</t>
  </si>
  <si>
    <t>Balance as per last balance sheet</t>
  </si>
  <si>
    <t>Deposit with BMC</t>
  </si>
  <si>
    <t>Deposit with Tata Power</t>
  </si>
  <si>
    <t>Issued, Subscribed and Fully Paid-up:</t>
  </si>
  <si>
    <t>Current Liabilities:</t>
  </si>
  <si>
    <t>Provisions:</t>
  </si>
  <si>
    <t>Water Charges Payable</t>
  </si>
  <si>
    <t>Audit Fees Payable</t>
  </si>
  <si>
    <t>Income and Expenditure Account:</t>
  </si>
  <si>
    <t>A</t>
  </si>
  <si>
    <t>B</t>
  </si>
  <si>
    <t>Flat</t>
  </si>
  <si>
    <t>Name of Member</t>
  </si>
  <si>
    <t>Amount</t>
  </si>
  <si>
    <t>EXPENDITURE</t>
  </si>
  <si>
    <t>INCOME</t>
  </si>
  <si>
    <t>Property Tax</t>
  </si>
  <si>
    <t>Water Expenses</t>
  </si>
  <si>
    <t>Common Electricity Charges</t>
  </si>
  <si>
    <t>Salary Expenses</t>
  </si>
  <si>
    <t>Repair and Maintenance Expenses</t>
  </si>
  <si>
    <t>Electrical Repairs</t>
  </si>
  <si>
    <t>Other Repairs</t>
  </si>
  <si>
    <t>Service Charges</t>
  </si>
  <si>
    <t>Insurance Expense</t>
  </si>
  <si>
    <t>Audit Fees</t>
  </si>
  <si>
    <t>Accounting Charges</t>
  </si>
  <si>
    <t>Other Expenses</t>
  </si>
  <si>
    <t>Depreciation</t>
  </si>
  <si>
    <t>Printing and Stationary</t>
  </si>
  <si>
    <t>Professional Fees</t>
  </si>
  <si>
    <t>Bank Charges</t>
  </si>
  <si>
    <t>Subscription Federation</t>
  </si>
  <si>
    <t>Meeting Expenses</t>
  </si>
  <si>
    <t>Water Charges</t>
  </si>
  <si>
    <t>Parking Charges</t>
  </si>
  <si>
    <t>Insurance Charges</t>
  </si>
  <si>
    <t>Interest Income</t>
  </si>
  <si>
    <t>Interest Income from Savings Deposits</t>
  </si>
  <si>
    <t>Interest Income from Fixed Deposits</t>
  </si>
  <si>
    <t>Other Income</t>
  </si>
  <si>
    <t>Sr.</t>
  </si>
  <si>
    <t>Total Accrued Int</t>
  </si>
  <si>
    <t>General Fund</t>
  </si>
  <si>
    <t>Pest Control Fund</t>
  </si>
  <si>
    <t>Common Amenity Fund</t>
  </si>
  <si>
    <t>Legal Fund</t>
  </si>
  <si>
    <t>Leave and Licence Deposit</t>
  </si>
  <si>
    <t>Grand Total</t>
  </si>
  <si>
    <t>SCB</t>
  </si>
  <si>
    <t>MDCC</t>
  </si>
  <si>
    <t>4460 Share of ₹ 50/- each</t>
  </si>
  <si>
    <t>360 Shares of ₹ 50/- each</t>
  </si>
  <si>
    <t>Maintenance Income</t>
  </si>
  <si>
    <t>Maintenance Charges</t>
  </si>
  <si>
    <t>Electricity Charges</t>
  </si>
  <si>
    <t>Non Occupancy Charges</t>
  </si>
  <si>
    <t>Interest on Delayed Payments</t>
  </si>
  <si>
    <t>Fines</t>
  </si>
  <si>
    <t>Less: trf to Sinking Fund</t>
  </si>
  <si>
    <t>Less: trf to Painting Fund</t>
  </si>
  <si>
    <t>Less: trf to Legal Fund</t>
  </si>
  <si>
    <t>Less: trf to Common Amenity Fund</t>
  </si>
  <si>
    <t>Less: trf to General Fund</t>
  </si>
  <si>
    <t>Less: trf to Pest Control Fund</t>
  </si>
  <si>
    <t>Dividend Income</t>
  </si>
  <si>
    <t>186-A, Baudi Cross Lane, Orlem, Malad (West), Mumbai, Maharashtra - 400064</t>
  </si>
  <si>
    <t>Society Reg No : BOM/(WP)/HSG(TC) 1007/84-85 dated.13/07/1984</t>
  </si>
  <si>
    <t>Water Tank Cleaning Expenses</t>
  </si>
  <si>
    <t>Plumbing Repairs</t>
  </si>
  <si>
    <t>Conveyance Expense</t>
  </si>
  <si>
    <t>Saraswat Co-op Bank</t>
  </si>
  <si>
    <t>Bank of Baroda</t>
  </si>
  <si>
    <t>Particulars</t>
  </si>
  <si>
    <t>Add: Additions during the year</t>
  </si>
  <si>
    <t>DIAGO CO-OP HOUSING SOCIETY LIMITED.</t>
  </si>
  <si>
    <t>As per last Balance Sheet</t>
  </si>
  <si>
    <t>Add: Addition during the year</t>
  </si>
  <si>
    <t>Add: 25% surplus trfd from Income/Expend.</t>
  </si>
  <si>
    <t>Add: Accrued interest</t>
  </si>
  <si>
    <t>Add: Interest received/accrued</t>
  </si>
  <si>
    <t>Members Contributions Towards</t>
  </si>
  <si>
    <t>Land and Building</t>
  </si>
  <si>
    <t>Retention - Ecotech Exterior and Interior</t>
  </si>
  <si>
    <t>Sl.No</t>
  </si>
  <si>
    <t>Vendor</t>
  </si>
  <si>
    <t>Ecotech Exteriror &amp; Interior Co.</t>
  </si>
  <si>
    <t>Tata Power</t>
  </si>
  <si>
    <t>Amt</t>
  </si>
  <si>
    <t>Major Repairs</t>
  </si>
  <si>
    <t>Electricity Expenses</t>
  </si>
  <si>
    <t>Mr. Sydney Joe Lobo</t>
  </si>
  <si>
    <t>Sr</t>
  </si>
  <si>
    <t>Ms. Rita H. D'Souza</t>
  </si>
  <si>
    <t>Mrs. Chinnamma Joseph</t>
  </si>
  <si>
    <t>Mrs. Fatima A. Mascarenhas</t>
  </si>
  <si>
    <t>C</t>
  </si>
  <si>
    <t>Fixed Assets</t>
  </si>
  <si>
    <t>Deposits:</t>
  </si>
  <si>
    <t>Sundry Debtors:</t>
  </si>
  <si>
    <t>Prepaid Expenses:</t>
  </si>
  <si>
    <t>Pest Control Charges</t>
  </si>
  <si>
    <t>TDS Receivable</t>
  </si>
  <si>
    <t>Fixed Deposits: (Refer Schedule 2)</t>
  </si>
  <si>
    <t>(Refer Schedule 1)</t>
  </si>
  <si>
    <t>(Refer Schedule 3)</t>
  </si>
  <si>
    <t>Rate %</t>
  </si>
  <si>
    <t>Depreciation for the year</t>
  </si>
  <si>
    <t>Building</t>
  </si>
  <si>
    <t>Office Premises</t>
  </si>
  <si>
    <t>Furniture and Fixture</t>
  </si>
  <si>
    <t>Water Pump</t>
  </si>
  <si>
    <t>CCTV</t>
  </si>
  <si>
    <t>Income Tax</t>
  </si>
  <si>
    <t>Expense Head</t>
  </si>
  <si>
    <t>Less: 25% Surplus trfd. to Reserves</t>
  </si>
  <si>
    <t>Wing</t>
  </si>
  <si>
    <t>31.03.24</t>
  </si>
  <si>
    <t>28.03.25</t>
  </si>
  <si>
    <t>04.12.24</t>
  </si>
  <si>
    <t>30.10.23</t>
  </si>
  <si>
    <t>08.09.24</t>
  </si>
  <si>
    <t>25.06.24</t>
  </si>
  <si>
    <t>22.06.24</t>
  </si>
  <si>
    <t>05.06.24</t>
  </si>
  <si>
    <t>Guest Parking Charges</t>
  </si>
  <si>
    <t>CCTV AMC Expense</t>
  </si>
  <si>
    <t>TD1000295859</t>
  </si>
  <si>
    <t>Redevelopment Fund</t>
  </si>
  <si>
    <t>Education &amp; Training Fund</t>
  </si>
  <si>
    <t>Less: trf to Redevelopment Fund</t>
  </si>
  <si>
    <t>Less: trf to Education &amp; Training Fund</t>
  </si>
  <si>
    <t>Misc. Expenses</t>
  </si>
  <si>
    <t>23.03.25</t>
  </si>
  <si>
    <t>23.05.24</t>
  </si>
  <si>
    <t>Professional Fee Payable</t>
  </si>
  <si>
    <t>Mr. Lovette Remedios</t>
  </si>
  <si>
    <t>Mr. Nigel P. A. Rodrigues</t>
  </si>
  <si>
    <t>Payables (Refer Schedule 7)</t>
  </si>
  <si>
    <t>Surplus/(Deficit) for the year</t>
  </si>
  <si>
    <t>Add: Surplus/(Defecit) for the year</t>
  </si>
  <si>
    <t>Less: Expenses incurred for the year</t>
  </si>
  <si>
    <t>02.05.25</t>
  </si>
  <si>
    <t>Advance from Members (Sch 5)</t>
  </si>
  <si>
    <t>Refundable Deposit (Sch 6)</t>
  </si>
  <si>
    <t>Mr. Robert D'Souza</t>
  </si>
  <si>
    <t>TD1001101183</t>
  </si>
  <si>
    <t>TD0000415675_02</t>
  </si>
  <si>
    <t xml:space="preserve">TD1001126321 </t>
  </si>
  <si>
    <t>TD1001126346</t>
  </si>
  <si>
    <t>30.06.25</t>
  </si>
  <si>
    <t>19.06.25</t>
  </si>
  <si>
    <t>09.05.25</t>
  </si>
  <si>
    <t>24.05.25</t>
  </si>
  <si>
    <t>Member's Due (Refer Schedule 4)</t>
  </si>
  <si>
    <t>March 31, 2025</t>
  </si>
  <si>
    <t>FY 24-25</t>
  </si>
  <si>
    <t>002</t>
  </si>
  <si>
    <t>Ms. Valentine D'Souza</t>
  </si>
  <si>
    <t>Mrs. Rita D'Souza</t>
  </si>
  <si>
    <t>Mr. Francis Pais</t>
  </si>
  <si>
    <t>Interest on Income Tax Refund</t>
  </si>
  <si>
    <t>Miscellaneous Income</t>
  </si>
  <si>
    <t>Fire Fighting Expenses</t>
  </si>
  <si>
    <t>Legal Fees</t>
  </si>
  <si>
    <t>Add: Excess Prof. Fees Prov. written back</t>
  </si>
  <si>
    <t>TD1000182883_01</t>
  </si>
  <si>
    <t>Accrued Int 24-25</t>
  </si>
  <si>
    <t>TD0000415687_02</t>
  </si>
  <si>
    <t>TD0000415693_02</t>
  </si>
  <si>
    <t>TD0000415690_02</t>
  </si>
  <si>
    <t>TD0000415655_01</t>
  </si>
  <si>
    <t>TD1000106181_01</t>
  </si>
  <si>
    <t>27.11.25</t>
  </si>
  <si>
    <t>TD0000415696_02</t>
  </si>
  <si>
    <t>TD0000415681_02</t>
  </si>
  <si>
    <t>TD1000106202_01</t>
  </si>
  <si>
    <t>TD1000106230_01</t>
  </si>
  <si>
    <t>TD0000415698_02</t>
  </si>
  <si>
    <t>TD1000182911_01</t>
  </si>
  <si>
    <t>TD1000106216_01</t>
  </si>
  <si>
    <t>TD1000717533_01</t>
  </si>
  <si>
    <t>TD1000346250_01</t>
  </si>
  <si>
    <t>TD1000717591_01</t>
  </si>
  <si>
    <t>TD1000717573_01</t>
  </si>
  <si>
    <t>TD1000717580_01</t>
  </si>
  <si>
    <t>TD1001583325</t>
  </si>
  <si>
    <t>28.07.26</t>
  </si>
  <si>
    <t>TD1001583375</t>
  </si>
  <si>
    <t>TD1001583354</t>
  </si>
  <si>
    <t>TD1001583365</t>
  </si>
  <si>
    <t>04.12.27</t>
  </si>
  <si>
    <t>05.06.27</t>
  </si>
  <si>
    <t>25.06.27</t>
  </si>
  <si>
    <t>22.06.27</t>
  </si>
  <si>
    <t>TD1001583745</t>
  </si>
  <si>
    <t>TD1001583749</t>
  </si>
  <si>
    <t>TD1001583757</t>
  </si>
  <si>
    <t>TD1001583788</t>
  </si>
  <si>
    <t>08.09.27</t>
  </si>
  <si>
    <t>TD0000400904_02</t>
  </si>
  <si>
    <t>TD1000225977_01</t>
  </si>
  <si>
    <t>21.01.24</t>
  </si>
  <si>
    <t>24.01.24</t>
  </si>
  <si>
    <t>21.01.28</t>
  </si>
  <si>
    <t>24.01.28</t>
  </si>
  <si>
    <t>23.07.26</t>
  </si>
  <si>
    <t>23.05.26</t>
  </si>
  <si>
    <t>Income and Expenditure Account for the year ended March 31, 2026</t>
  </si>
  <si>
    <t>March 31, 2026</t>
  </si>
  <si>
    <t>Transfer of Funds</t>
  </si>
  <si>
    <t>Major Repair Expenses</t>
  </si>
  <si>
    <t>Postage &amp; Courier</t>
  </si>
  <si>
    <t>BMC</t>
  </si>
  <si>
    <t>Ivan Rosario</t>
  </si>
  <si>
    <t>Mr. Sheldon C. D'Silva</t>
  </si>
  <si>
    <t>Schedule 1 - Liability - Funds as at 31st March 2026</t>
  </si>
  <si>
    <t>FY 25-26</t>
  </si>
  <si>
    <t>Opening W.D.V as on 01.04.2025</t>
  </si>
  <si>
    <t>Additions during the year after 30.09.2025</t>
  </si>
  <si>
    <t>Gross Block (at cost) as on 31.03.2026</t>
  </si>
  <si>
    <t>Closing W.D.V as on 31.03.2026</t>
  </si>
  <si>
    <t>Schedule 4: Member's Due as on 31st March 2026</t>
  </si>
  <si>
    <t>Schedule 7: Payables as on 31st March 2026</t>
  </si>
  <si>
    <t>Schedule 5: Advance from Members as on 31st March 2026</t>
  </si>
  <si>
    <t>Schedule 6: Refundable Deposit as on 31st March 2026</t>
  </si>
  <si>
    <t>Balance Sheet as at March 31, 2026</t>
  </si>
  <si>
    <t>Schedule 3 - Details of Fixed Assets as on 31st March 2026</t>
  </si>
  <si>
    <t>Accrued Int 25-26</t>
  </si>
  <si>
    <t>TD1000784123_01</t>
  </si>
  <si>
    <t>19.05.25</t>
  </si>
  <si>
    <t>TD1001126359_01</t>
  </si>
  <si>
    <t>TD1001713033</t>
  </si>
  <si>
    <t>Repair &amp; Maint Fund</t>
  </si>
  <si>
    <t xml:space="preserve">TD1001713045 </t>
  </si>
  <si>
    <t xml:space="preserve">TD1001713080 </t>
  </si>
  <si>
    <t>TD1001713094 </t>
  </si>
  <si>
    <t>TD1001713087 </t>
  </si>
  <si>
    <t xml:space="preserve">Retention </t>
  </si>
  <si>
    <t>TD1001713102 </t>
  </si>
  <si>
    <t>TD1002072829 </t>
  </si>
  <si>
    <t>TD1002072996 </t>
  </si>
  <si>
    <t>TD1002073005 </t>
  </si>
  <si>
    <t>TD1002073016 </t>
  </si>
  <si>
    <t>TD1002073025 </t>
  </si>
  <si>
    <t>TD1002073066 </t>
  </si>
  <si>
    <t>TD1002073097</t>
  </si>
  <si>
    <t>Schedule 2 - Details of Fixed Deposits as on 31st March 2026</t>
  </si>
  <si>
    <t>Mr. Gladston Leo D'souza</t>
  </si>
  <si>
    <t>Mr. John V. Rodrigues</t>
  </si>
  <si>
    <t>Mr. Simon P. Pereira</t>
  </si>
  <si>
    <t>Additions during the year before 30.09.2025</t>
  </si>
  <si>
    <t>27.06.25</t>
  </si>
  <si>
    <t>27.03.26</t>
  </si>
  <si>
    <t>Income tax refund receivables</t>
  </si>
  <si>
    <t>Membership &amp; Subscription</t>
  </si>
  <si>
    <t>6605300013705_02</t>
  </si>
  <si>
    <t>02.08.26</t>
  </si>
  <si>
    <t>6605300016121_03</t>
  </si>
  <si>
    <t>27.11.26</t>
  </si>
  <si>
    <t>27.03.28</t>
  </si>
  <si>
    <t>26.06.27</t>
  </si>
  <si>
    <t>09.05.27</t>
  </si>
  <si>
    <t>19.09.26</t>
  </si>
  <si>
    <t>26.06.25</t>
  </si>
  <si>
    <t>30.10.27</t>
  </si>
  <si>
    <t>25.08.26</t>
  </si>
  <si>
    <t>24.07.26</t>
  </si>
  <si>
    <t>26.06.26</t>
  </si>
  <si>
    <t>As per my report of even date</t>
  </si>
  <si>
    <t>Shri. Bharat C. Boridkar</t>
  </si>
  <si>
    <t>Govt. Certified Panel Auditor</t>
  </si>
  <si>
    <t>Chairman                        Secretary                        Treasurer</t>
  </si>
  <si>
    <t>[Panel No.: Mumbai-4/C1/1011404]</t>
  </si>
  <si>
    <t>DIAGO CO-OPERATIVE HOUSING SOCIETY LIMITED</t>
  </si>
  <si>
    <t>FOR DIAGO CO-OPERATIVE HOUSING SOCIETY LIMITED</t>
  </si>
  <si>
    <t>Excess of Expenditure over Income</t>
  </si>
  <si>
    <t>Total :-</t>
  </si>
  <si>
    <t>Add: Excess provision fire fighting System. Writte back</t>
  </si>
  <si>
    <t>Suzie Rupesh Dlima &amp; Rupesh Kaitan Dlima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</si>
</sst>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&quot;Mumbai: &quot;dd&quot;th&quot;\ mmmm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4" fillId="0" borderId="0"/>
  </cellStyleXfs>
  <cellXfs count="20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10" fontId="0" fillId="0" borderId="1" xfId="1" applyNumberFormat="1" applyFont="1" applyFill="1" applyBorder="1"/>
    <xf numFmtId="43" fontId="0" fillId="0" borderId="0" xfId="1" applyFont="1" applyFill="1"/>
    <xf numFmtId="43" fontId="0" fillId="0" borderId="0" xfId="1" applyFont="1" applyFill="1" applyAlignment="1">
      <alignment horizontal="center"/>
    </xf>
    <xf numFmtId="43" fontId="2" fillId="0" borderId="1" xfId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/>
    </xf>
    <xf numFmtId="43" fontId="0" fillId="0" borderId="7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164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/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/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9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2" fillId="0" borderId="0" xfId="1" applyFont="1" applyFill="1" applyAlignment="1">
      <alignment vertical="center"/>
    </xf>
    <xf numFmtId="164" fontId="2" fillId="0" borderId="0" xfId="1" applyNumberFormat="1" applyFont="1" applyFill="1" applyBorder="1" applyAlignment="1">
      <alignment horizontal="center"/>
    </xf>
    <xf numFmtId="164" fontId="0" fillId="0" borderId="10" xfId="1" applyNumberFormat="1" applyFont="1" applyFill="1" applyBorder="1"/>
    <xf numFmtId="43" fontId="3" fillId="0" borderId="0" xfId="1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2" fillId="2" borderId="2" xfId="1" applyNumberFormat="1" applyFont="1" applyFill="1" applyBorder="1" applyAlignment="1">
      <alignment vertical="center"/>
    </xf>
    <xf numFmtId="43" fontId="0" fillId="2" borderId="9" xfId="1" applyFont="1" applyFill="1" applyBorder="1" applyAlignment="1">
      <alignment vertical="center"/>
    </xf>
    <xf numFmtId="43" fontId="2" fillId="2" borderId="3" xfId="1" applyFont="1" applyFill="1" applyBorder="1" applyAlignment="1">
      <alignment vertical="center"/>
    </xf>
    <xf numFmtId="43" fontId="0" fillId="2" borderId="7" xfId="1" applyFont="1" applyFill="1" applyBorder="1" applyAlignment="1">
      <alignment vertical="center"/>
    </xf>
    <xf numFmtId="43" fontId="2" fillId="2" borderId="16" xfId="1" applyFont="1" applyFill="1" applyBorder="1" applyAlignment="1">
      <alignment vertical="center"/>
    </xf>
    <xf numFmtId="43" fontId="1" fillId="2" borderId="2" xfId="1" applyFont="1" applyFill="1" applyBorder="1" applyAlignment="1">
      <alignment vertical="center"/>
    </xf>
    <xf numFmtId="43" fontId="0" fillId="2" borderId="19" xfId="1" applyFont="1" applyFill="1" applyBorder="1" applyAlignment="1">
      <alignment vertical="center"/>
    </xf>
    <xf numFmtId="43" fontId="0" fillId="2" borderId="10" xfId="1" applyFont="1" applyFill="1" applyBorder="1" applyAlignment="1">
      <alignment vertical="center"/>
    </xf>
    <xf numFmtId="43" fontId="0" fillId="2" borderId="0" xfId="1" applyFont="1" applyFill="1" applyBorder="1" applyAlignment="1">
      <alignment vertical="center"/>
    </xf>
    <xf numFmtId="43" fontId="1" fillId="2" borderId="19" xfId="1" applyFont="1" applyFill="1" applyBorder="1" applyAlignment="1">
      <alignment vertical="center"/>
    </xf>
    <xf numFmtId="43" fontId="0" fillId="2" borderId="2" xfId="1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43" fontId="2" fillId="2" borderId="7" xfId="1" applyFont="1" applyFill="1" applyBorder="1" applyAlignment="1">
      <alignment vertical="center"/>
    </xf>
    <xf numFmtId="43" fontId="2" fillId="2" borderId="0" xfId="1" applyFont="1" applyFill="1" applyBorder="1" applyAlignment="1">
      <alignment vertical="center"/>
    </xf>
    <xf numFmtId="43" fontId="1" fillId="2" borderId="7" xfId="1" applyFont="1" applyFill="1" applyBorder="1" applyAlignment="1">
      <alignment vertical="center"/>
    </xf>
    <xf numFmtId="4" fontId="0" fillId="2" borderId="10" xfId="0" applyNumberFormat="1" applyFill="1" applyBorder="1" applyAlignment="1">
      <alignment horizontal="right"/>
    </xf>
    <xf numFmtId="0" fontId="2" fillId="2" borderId="2" xfId="1" applyNumberFormat="1" applyFont="1" applyFill="1" applyBorder="1" applyAlignment="1"/>
    <xf numFmtId="43" fontId="0" fillId="2" borderId="0" xfId="1" applyFont="1" applyFill="1" applyBorder="1" applyAlignment="1">
      <alignment horizontal="left" vertical="center" wrapText="1"/>
    </xf>
    <xf numFmtId="43" fontId="0" fillId="2" borderId="28" xfId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/>
    </xf>
    <xf numFmtId="0" fontId="2" fillId="2" borderId="7" xfId="1" applyNumberFormat="1" applyFont="1" applyFill="1" applyBorder="1" applyAlignment="1">
      <alignment vertical="center"/>
    </xf>
    <xf numFmtId="43" fontId="1" fillId="2" borderId="10" xfId="1" applyFont="1" applyFill="1" applyBorder="1" applyAlignment="1">
      <alignment vertical="center"/>
    </xf>
    <xf numFmtId="43" fontId="4" fillId="2" borderId="7" xfId="1" applyFont="1" applyFill="1" applyBorder="1" applyAlignment="1">
      <alignment vertical="center"/>
    </xf>
    <xf numFmtId="0" fontId="0" fillId="0" borderId="1" xfId="0" quotePrefix="1" applyBorder="1" applyAlignment="1">
      <alignment horizontal="left"/>
    </xf>
    <xf numFmtId="10" fontId="0" fillId="0" borderId="1" xfId="3" applyNumberFormat="1" applyFont="1" applyFill="1" applyBorder="1"/>
    <xf numFmtId="43" fontId="2" fillId="0" borderId="25" xfId="1" applyFont="1" applyFill="1" applyBorder="1" applyAlignment="1">
      <alignment horizontal="center" vertical="center"/>
    </xf>
    <xf numFmtId="43" fontId="0" fillId="2" borderId="32" xfId="1" applyFont="1" applyFill="1" applyBorder="1" applyAlignment="1">
      <alignment vertical="center"/>
    </xf>
    <xf numFmtId="0" fontId="0" fillId="0" borderId="2" xfId="0" applyBorder="1"/>
    <xf numFmtId="43" fontId="0" fillId="0" borderId="0" xfId="1" applyFont="1" applyBorder="1"/>
    <xf numFmtId="43" fontId="2" fillId="0" borderId="0" xfId="1" applyFont="1" applyBorder="1"/>
    <xf numFmtId="43" fontId="2" fillId="0" borderId="3" xfId="1" applyFont="1" applyBorder="1"/>
    <xf numFmtId="165" fontId="0" fillId="0" borderId="0" xfId="0" applyNumberFormat="1"/>
    <xf numFmtId="0" fontId="7" fillId="0" borderId="2" xfId="0" applyFont="1" applyBorder="1"/>
    <xf numFmtId="0" fontId="7" fillId="0" borderId="0" xfId="0" applyFont="1"/>
    <xf numFmtId="43" fontId="7" fillId="0" borderId="0" xfId="1" applyFont="1" applyBorder="1"/>
    <xf numFmtId="0" fontId="9" fillId="0" borderId="0" xfId="0" applyFont="1"/>
    <xf numFmtId="0" fontId="10" fillId="0" borderId="0" xfId="0" applyFont="1"/>
    <xf numFmtId="0" fontId="8" fillId="0" borderId="2" xfId="0" applyFont="1" applyBorder="1"/>
    <xf numFmtId="0" fontId="7" fillId="0" borderId="3" xfId="0" applyFont="1" applyBorder="1"/>
    <xf numFmtId="43" fontId="7" fillId="0" borderId="0" xfId="1" applyFont="1" applyFill="1" applyBorder="1"/>
    <xf numFmtId="43" fontId="7" fillId="0" borderId="3" xfId="1" applyFont="1" applyBorder="1"/>
    <xf numFmtId="1" fontId="12" fillId="0" borderId="2" xfId="4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1" fontId="13" fillId="0" borderId="2" xfId="4" applyNumberFormat="1" applyFont="1" applyBorder="1" applyAlignment="1">
      <alignment vertical="center"/>
    </xf>
    <xf numFmtId="0" fontId="7" fillId="0" borderId="34" xfId="0" applyFont="1" applyBorder="1"/>
    <xf numFmtId="0" fontId="7" fillId="0" borderId="11" xfId="0" applyFont="1" applyBorder="1"/>
    <xf numFmtId="43" fontId="7" fillId="0" borderId="11" xfId="1" applyFont="1" applyBorder="1"/>
    <xf numFmtId="0" fontId="7" fillId="0" borderId="33" xfId="0" applyFont="1" applyBorder="1"/>
    <xf numFmtId="43" fontId="2" fillId="0" borderId="35" xfId="1" applyFont="1" applyFill="1" applyBorder="1" applyAlignment="1">
      <alignment vertical="center"/>
    </xf>
    <xf numFmtId="43" fontId="2" fillId="2" borderId="26" xfId="1" applyFont="1" applyFill="1" applyBorder="1" applyAlignment="1">
      <alignment horizontal="center" vertical="center"/>
    </xf>
    <xf numFmtId="43" fontId="2" fillId="2" borderId="25" xfId="1" applyFont="1" applyFill="1" applyBorder="1" applyAlignment="1">
      <alignment horizontal="center" vertical="center"/>
    </xf>
    <xf numFmtId="43" fontId="0" fillId="2" borderId="3" xfId="1" applyFont="1" applyFill="1" applyBorder="1" applyAlignment="1">
      <alignment vertical="center"/>
    </xf>
    <xf numFmtId="43" fontId="2" fillId="0" borderId="37" xfId="1" applyFont="1" applyFill="1" applyBorder="1" applyAlignment="1">
      <alignment vertical="center"/>
    </xf>
    <xf numFmtId="43" fontId="2" fillId="0" borderId="38" xfId="1" applyFont="1" applyFill="1" applyBorder="1" applyAlignment="1">
      <alignment horizontal="center" vertical="center"/>
    </xf>
    <xf numFmtId="43" fontId="2" fillId="2" borderId="39" xfId="1" applyFont="1" applyFill="1" applyBorder="1" applyAlignment="1">
      <alignment vertical="center"/>
    </xf>
    <xf numFmtId="43" fontId="1" fillId="2" borderId="39" xfId="1" applyFont="1" applyFill="1" applyBorder="1" applyAlignment="1">
      <alignment vertical="center"/>
    </xf>
    <xf numFmtId="43" fontId="1" fillId="0" borderId="39" xfId="1" applyFont="1" applyFill="1" applyBorder="1" applyAlignment="1">
      <alignment vertical="center"/>
    </xf>
    <xf numFmtId="43" fontId="0" fillId="2" borderId="39" xfId="1" applyFont="1" applyFill="1" applyBorder="1" applyAlignment="1">
      <alignment vertical="center"/>
    </xf>
    <xf numFmtId="43" fontId="2" fillId="0" borderId="36" xfId="1" applyFont="1" applyFill="1" applyBorder="1" applyAlignment="1">
      <alignment vertical="center"/>
    </xf>
    <xf numFmtId="43" fontId="1" fillId="2" borderId="3" xfId="1" applyFont="1" applyFill="1" applyBorder="1" applyAlignment="1">
      <alignment vertical="center"/>
    </xf>
    <xf numFmtId="43" fontId="2" fillId="2" borderId="38" xfId="1" applyFont="1" applyFill="1" applyBorder="1" applyAlignment="1">
      <alignment horizontal="center" vertical="center"/>
    </xf>
    <xf numFmtId="43" fontId="2" fillId="2" borderId="40" xfId="1" applyFont="1" applyFill="1" applyBorder="1" applyAlignment="1">
      <alignment vertical="center"/>
    </xf>
    <xf numFmtId="43" fontId="2" fillId="2" borderId="41" xfId="1" applyFont="1" applyFill="1" applyBorder="1" applyAlignment="1">
      <alignment vertical="center"/>
    </xf>
    <xf numFmtId="43" fontId="2" fillId="0" borderId="23" xfId="1" applyFont="1" applyFill="1" applyBorder="1" applyAlignment="1">
      <alignment horizontal="center" vertical="center"/>
    </xf>
    <xf numFmtId="43" fontId="2" fillId="0" borderId="27" xfId="1" applyFont="1" applyFill="1" applyBorder="1" applyAlignment="1">
      <alignment horizontal="center" vertical="center"/>
    </xf>
    <xf numFmtId="43" fontId="2" fillId="0" borderId="43" xfId="1" applyFont="1" applyFill="1" applyBorder="1" applyAlignment="1">
      <alignment vertical="center"/>
    </xf>
    <xf numFmtId="43" fontId="2" fillId="0" borderId="44" xfId="1" applyFont="1" applyFill="1" applyBorder="1" applyAlignment="1">
      <alignment vertical="center"/>
    </xf>
    <xf numFmtId="0" fontId="0" fillId="0" borderId="15" xfId="0" applyBorder="1"/>
    <xf numFmtId="43" fontId="2" fillId="0" borderId="16" xfId="1" applyFont="1" applyBorder="1"/>
    <xf numFmtId="0" fontId="7" fillId="0" borderId="15" xfId="0" applyFont="1" applyBorder="1"/>
    <xf numFmtId="0" fontId="8" fillId="0" borderId="15" xfId="0" applyFont="1" applyBorder="1"/>
    <xf numFmtId="0" fontId="7" fillId="0" borderId="16" xfId="0" applyFont="1" applyBorder="1"/>
    <xf numFmtId="43" fontId="7" fillId="0" borderId="16" xfId="1" applyFont="1" applyBorder="1"/>
    <xf numFmtId="1" fontId="12" fillId="0" borderId="15" xfId="4" applyNumberFormat="1" applyFont="1" applyBorder="1" applyAlignment="1">
      <alignment vertical="center"/>
    </xf>
    <xf numFmtId="1" fontId="13" fillId="0" borderId="15" xfId="4" applyNumberFormat="1" applyFont="1" applyBorder="1" applyAlignment="1">
      <alignment vertical="center"/>
    </xf>
    <xf numFmtId="0" fontId="7" fillId="0" borderId="20" xfId="0" applyFont="1" applyBorder="1"/>
    <xf numFmtId="0" fontId="7" fillId="0" borderId="21" xfId="0" applyFont="1" applyBorder="1"/>
    <xf numFmtId="43" fontId="7" fillId="0" borderId="21" xfId="1" applyFont="1" applyBorder="1"/>
    <xf numFmtId="0" fontId="7" fillId="0" borderId="22" xfId="0" applyFont="1" applyBorder="1"/>
    <xf numFmtId="43" fontId="2" fillId="0" borderId="42" xfId="1" applyFont="1" applyFill="1" applyBorder="1" applyAlignment="1">
      <alignment horizontal="center" vertical="center"/>
    </xf>
    <xf numFmtId="43" fontId="2" fillId="0" borderId="45" xfId="1" applyFont="1" applyFill="1" applyBorder="1" applyAlignment="1">
      <alignment horizontal="center" vertical="center"/>
    </xf>
    <xf numFmtId="43" fontId="2" fillId="0" borderId="46" xfId="1" applyFont="1" applyFill="1" applyBorder="1" applyAlignment="1">
      <alignment horizontal="center" vertical="center"/>
    </xf>
    <xf numFmtId="43" fontId="2" fillId="0" borderId="47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vertical="center"/>
    </xf>
    <xf numFmtId="43" fontId="0" fillId="0" borderId="10" xfId="1" applyFont="1" applyFill="1" applyBorder="1" applyAlignment="1">
      <alignment vertical="center"/>
    </xf>
    <xf numFmtId="43" fontId="2" fillId="0" borderId="48" xfId="1" applyFont="1" applyFill="1" applyBorder="1" applyAlignment="1">
      <alignment vertical="center"/>
    </xf>
    <xf numFmtId="43" fontId="2" fillId="0" borderId="49" xfId="1" applyFont="1" applyFill="1" applyBorder="1" applyAlignment="1">
      <alignment vertical="center"/>
    </xf>
    <xf numFmtId="43" fontId="2" fillId="0" borderId="50" xfId="1" applyFont="1" applyFill="1" applyBorder="1" applyAlignment="1">
      <alignment vertical="center"/>
    </xf>
    <xf numFmtId="43" fontId="2" fillId="0" borderId="51" xfId="1" applyFont="1" applyFill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left"/>
    </xf>
    <xf numFmtId="164" fontId="2" fillId="0" borderId="26" xfId="1" applyNumberFormat="1" applyFont="1" applyFill="1" applyBorder="1" applyAlignment="1">
      <alignment horizontal="right"/>
    </xf>
    <xf numFmtId="43" fontId="0" fillId="0" borderId="26" xfId="1" applyFont="1" applyFill="1" applyBorder="1" applyAlignment="1">
      <alignment horizontal="center"/>
    </xf>
    <xf numFmtId="43" fontId="0" fillId="0" borderId="26" xfId="1" applyFont="1" applyFill="1" applyBorder="1"/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0" xfId="0" applyBorder="1" applyAlignment="1">
      <alignment horizontal="center"/>
    </xf>
    <xf numFmtId="164" fontId="2" fillId="0" borderId="50" xfId="1" applyNumberFormat="1" applyFont="1" applyFill="1" applyBorder="1" applyAlignment="1">
      <alignment horizontal="right"/>
    </xf>
    <xf numFmtId="43" fontId="0" fillId="0" borderId="50" xfId="1" applyFont="1" applyFill="1" applyBorder="1" applyAlignment="1">
      <alignment horizontal="center"/>
    </xf>
    <xf numFmtId="43" fontId="0" fillId="0" borderId="50" xfId="1" applyFont="1" applyFill="1" applyBorder="1"/>
    <xf numFmtId="0" fontId="0" fillId="0" borderId="5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43" fontId="0" fillId="0" borderId="50" xfId="1" applyFont="1" applyFill="1" applyBorder="1" applyAlignment="1">
      <alignment vertical="center"/>
    </xf>
    <xf numFmtId="43" fontId="2" fillId="0" borderId="46" xfId="1" applyFont="1" applyFill="1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43" fontId="0" fillId="0" borderId="35" xfId="1" applyFont="1" applyFill="1" applyBorder="1" applyAlignment="1">
      <alignment horizontal="center" vertical="center" wrapText="1"/>
    </xf>
    <xf numFmtId="43" fontId="0" fillId="0" borderId="8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164" fontId="0" fillId="0" borderId="10" xfId="1" applyNumberFormat="1" applyFont="1" applyBorder="1" applyAlignment="1">
      <alignment horizontal="right" vertical="center"/>
    </xf>
    <xf numFmtId="0" fontId="2" fillId="0" borderId="35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64" fontId="0" fillId="0" borderId="10" xfId="1" applyNumberFormat="1" applyFont="1" applyFill="1" applyBorder="1" applyAlignment="1">
      <alignment vertical="center"/>
    </xf>
    <xf numFmtId="4" fontId="0" fillId="0" borderId="10" xfId="0" applyNumberForma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164" fontId="2" fillId="0" borderId="26" xfId="1" applyNumberFormat="1" applyFont="1" applyFill="1" applyBorder="1" applyAlignment="1">
      <alignment vertical="center"/>
    </xf>
    <xf numFmtId="164" fontId="2" fillId="0" borderId="26" xfId="1" applyNumberFormat="1" applyFont="1" applyFill="1" applyBorder="1" applyAlignment="1">
      <alignment horizontal="right" vertical="center"/>
    </xf>
    <xf numFmtId="165" fontId="0" fillId="2" borderId="7" xfId="1" applyNumberFormat="1" applyFont="1" applyFill="1" applyBorder="1" applyAlignment="1">
      <alignment vertical="center"/>
    </xf>
    <xf numFmtId="43" fontId="0" fillId="0" borderId="2" xfId="1" applyFont="1" applyFill="1" applyBorder="1" applyAlignment="1">
      <alignment vertical="center"/>
    </xf>
    <xf numFmtId="43" fontId="1" fillId="0" borderId="7" xfId="1" applyFont="1" applyFill="1" applyBorder="1" applyAlignment="1">
      <alignment vertical="center"/>
    </xf>
    <xf numFmtId="43" fontId="1" fillId="0" borderId="2" xfId="1" applyFont="1" applyFill="1" applyBorder="1" applyAlignment="1">
      <alignment vertical="center"/>
    </xf>
    <xf numFmtId="4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166" fontId="13" fillId="0" borderId="2" xfId="5" applyNumberFormat="1" applyFont="1" applyBorder="1" applyAlignment="1">
      <alignment horizontal="left" vertical="center"/>
    </xf>
    <xf numFmtId="166" fontId="13" fillId="0" borderId="0" xfId="5" applyNumberFormat="1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43" fontId="2" fillId="0" borderId="35" xfId="1" applyFont="1" applyFill="1" applyBorder="1" applyAlignment="1">
      <alignment horizontal="center" vertical="center"/>
    </xf>
    <xf numFmtId="43" fontId="6" fillId="0" borderId="29" xfId="1" applyFont="1" applyFill="1" applyBorder="1" applyAlignment="1">
      <alignment horizontal="center" vertical="center"/>
    </xf>
    <xf numFmtId="43" fontId="6" fillId="0" borderId="30" xfId="1" applyFont="1" applyFill="1" applyBorder="1" applyAlignment="1">
      <alignment horizontal="center" vertical="center"/>
    </xf>
    <xf numFmtId="43" fontId="6" fillId="0" borderId="31" xfId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3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43" fontId="5" fillId="0" borderId="6" xfId="1" applyFont="1" applyFill="1" applyBorder="1" applyAlignment="1">
      <alignment horizontal="center" vertical="center"/>
    </xf>
    <xf numFmtId="43" fontId="2" fillId="2" borderId="24" xfId="1" applyFont="1" applyFill="1" applyBorder="1" applyAlignment="1">
      <alignment horizontal="center" vertical="center"/>
    </xf>
    <xf numFmtId="43" fontId="2" fillId="2" borderId="25" xfId="1" applyFont="1" applyFill="1" applyBorder="1" applyAlignment="1">
      <alignment horizontal="center" vertical="center"/>
    </xf>
    <xf numFmtId="166" fontId="13" fillId="0" borderId="15" xfId="5" applyNumberFormat="1" applyFont="1" applyBorder="1" applyAlignment="1">
      <alignment horizontal="left" vertical="center"/>
    </xf>
    <xf numFmtId="0" fontId="8" fillId="0" borderId="16" xfId="0" applyFont="1" applyBorder="1" applyAlignment="1">
      <alignment horizontal="center"/>
    </xf>
    <xf numFmtId="43" fontId="6" fillId="0" borderId="12" xfId="1" applyFont="1" applyFill="1" applyBorder="1" applyAlignment="1">
      <alignment horizontal="center" vertical="center"/>
    </xf>
    <xf numFmtId="43" fontId="6" fillId="0" borderId="13" xfId="1" applyFont="1" applyFill="1" applyBorder="1" applyAlignment="1">
      <alignment horizontal="center" vertical="center"/>
    </xf>
    <xf numFmtId="43" fontId="6" fillId="0" borderId="14" xfId="1" applyFont="1" applyFill="1" applyBorder="1" applyAlignment="1">
      <alignment horizontal="center" vertical="center"/>
    </xf>
    <xf numFmtId="43" fontId="2" fillId="0" borderId="15" xfId="1" applyFont="1" applyFill="1" applyBorder="1" applyAlignment="1">
      <alignment horizontal="center" vertical="center"/>
    </xf>
    <xf numFmtId="43" fontId="2" fillId="0" borderId="16" xfId="1" applyFont="1" applyFill="1" applyBorder="1" applyAlignment="1">
      <alignment horizontal="center" vertical="center"/>
    </xf>
    <xf numFmtId="43" fontId="5" fillId="0" borderId="17" xfId="1" applyFont="1" applyFill="1" applyBorder="1" applyAlignment="1">
      <alignment horizontal="center" vertical="center"/>
    </xf>
    <xf numFmtId="43" fontId="5" fillId="0" borderId="18" xfId="1" applyFont="1" applyFill="1" applyBorder="1" applyAlignment="1">
      <alignment horizontal="center" vertical="center"/>
    </xf>
    <xf numFmtId="43" fontId="2" fillId="0" borderId="26" xfId="1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  <xf numFmtId="43" fontId="1" fillId="0" borderId="3" xfId="1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</cellXfs>
  <cellStyles count="6">
    <cellStyle name="Comma" xfId="1" builtinId="3"/>
    <cellStyle name="Comma 2 2" xfId="2" xr:uid="{A896DCD7-19AE-4F7D-A340-3D6342743A14}"/>
    <cellStyle name="Normal" xfId="0" builtinId="0"/>
    <cellStyle name="Normal_BSPL 2004 NS" xfId="5" xr:uid="{694CC67E-AAE9-40DA-9388-ACD06815D104}"/>
    <cellStyle name="Normal_FY 2003-2004  2 2" xfId="4" xr:uid="{A29D7E2A-DEE8-4BDA-9D13-8BA4DDB0B92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view="pageBreakPreview" topLeftCell="A24" zoomScaleNormal="100" zoomScaleSheetLayoutView="100" workbookViewId="0">
      <selection activeCell="A45" sqref="A45"/>
    </sheetView>
  </sheetViews>
  <sheetFormatPr defaultColWidth="8.88671875" defaultRowHeight="14.4" x14ac:dyDescent="0.3"/>
  <cols>
    <col min="1" max="1" width="15.5546875" style="17" customWidth="1"/>
    <col min="2" max="2" width="37.109375" style="17" bestFit="1" customWidth="1"/>
    <col min="3" max="3" width="12.33203125" style="17" bestFit="1" customWidth="1"/>
    <col min="4" max="4" width="14.88671875" style="22" bestFit="1" customWidth="1"/>
    <col min="5" max="5" width="14.88671875" style="17" bestFit="1" customWidth="1"/>
    <col min="6" max="6" width="42.33203125" style="17" bestFit="1" customWidth="1"/>
    <col min="7" max="7" width="12.5546875" style="17" bestFit="1" customWidth="1"/>
    <col min="8" max="8" width="14.88671875" style="22" bestFit="1" customWidth="1"/>
    <col min="9" max="9" width="12" style="17" bestFit="1" customWidth="1"/>
    <col min="10" max="10" width="13.44140625" style="17" bestFit="1" customWidth="1"/>
    <col min="11" max="11" width="11.33203125" style="17" bestFit="1" customWidth="1"/>
    <col min="12" max="12" width="9.5546875" style="17" bestFit="1" customWidth="1"/>
    <col min="13" max="13" width="12.33203125" style="17" bestFit="1" customWidth="1"/>
    <col min="14" max="16384" width="8.88671875" style="17"/>
  </cols>
  <sheetData>
    <row r="1" spans="1:8" ht="18" x14ac:dyDescent="0.3">
      <c r="A1" s="175" t="s">
        <v>295</v>
      </c>
      <c r="B1" s="176"/>
      <c r="C1" s="176"/>
      <c r="D1" s="176"/>
      <c r="E1" s="176"/>
      <c r="F1" s="176"/>
      <c r="G1" s="176"/>
      <c r="H1" s="177"/>
    </row>
    <row r="2" spans="1:8" x14ac:dyDescent="0.3">
      <c r="A2" s="178" t="s">
        <v>87</v>
      </c>
      <c r="B2" s="179"/>
      <c r="C2" s="179"/>
      <c r="D2" s="179"/>
      <c r="E2" s="179"/>
      <c r="F2" s="179"/>
      <c r="G2" s="179"/>
      <c r="H2" s="180"/>
    </row>
    <row r="3" spans="1:8" x14ac:dyDescent="0.3">
      <c r="A3" s="178" t="s">
        <v>88</v>
      </c>
      <c r="B3" s="181"/>
      <c r="C3" s="181"/>
      <c r="D3" s="181"/>
      <c r="E3" s="181"/>
      <c r="F3" s="181"/>
      <c r="G3" s="181"/>
      <c r="H3" s="182"/>
    </row>
    <row r="4" spans="1:8" ht="15.6" x14ac:dyDescent="0.3">
      <c r="A4" s="183" t="s">
        <v>247</v>
      </c>
      <c r="B4" s="184"/>
      <c r="C4" s="184"/>
      <c r="D4" s="184"/>
      <c r="E4" s="184"/>
      <c r="F4" s="184"/>
      <c r="G4" s="184"/>
      <c r="H4" s="185"/>
    </row>
    <row r="5" spans="1:8" s="18" customFormat="1" ht="15" thickBot="1" x14ac:dyDescent="0.35">
      <c r="A5" s="83" t="s">
        <v>176</v>
      </c>
      <c r="B5" s="186" t="s">
        <v>0</v>
      </c>
      <c r="C5" s="187"/>
      <c r="D5" s="94" t="s">
        <v>230</v>
      </c>
      <c r="E5" s="84" t="str">
        <f>+A5</f>
        <v>March 31, 2025</v>
      </c>
      <c r="F5" s="186" t="s">
        <v>1</v>
      </c>
      <c r="G5" s="187"/>
      <c r="H5" s="83" t="str">
        <f>+D5</f>
        <v>March 31, 2026</v>
      </c>
    </row>
    <row r="6" spans="1:8" x14ac:dyDescent="0.3">
      <c r="A6" s="36"/>
      <c r="B6" s="33" t="s">
        <v>10</v>
      </c>
      <c r="C6" s="36"/>
      <c r="D6" s="95"/>
      <c r="E6" s="85"/>
      <c r="F6" s="33" t="s">
        <v>2</v>
      </c>
      <c r="G6" s="36"/>
      <c r="H6" s="35"/>
    </row>
    <row r="7" spans="1:8" ht="15" thickBot="1" x14ac:dyDescent="0.35">
      <c r="A7" s="59">
        <f>4460*50</f>
        <v>223000</v>
      </c>
      <c r="B7" s="38" t="s">
        <v>72</v>
      </c>
      <c r="C7" s="36"/>
      <c r="D7" s="96">
        <v>223000</v>
      </c>
      <c r="E7" s="85">
        <v>2056</v>
      </c>
      <c r="F7" s="38" t="s">
        <v>18</v>
      </c>
      <c r="G7" s="36">
        <v>950</v>
      </c>
      <c r="H7" s="35"/>
    </row>
    <row r="8" spans="1:8" ht="15" thickTop="1" x14ac:dyDescent="0.3">
      <c r="A8" s="36"/>
      <c r="B8" s="38"/>
      <c r="C8" s="36"/>
      <c r="D8" s="95"/>
      <c r="E8" s="85">
        <v>257877.75</v>
      </c>
      <c r="F8" s="38" t="s">
        <v>92</v>
      </c>
      <c r="G8" s="36">
        <v>203659.25</v>
      </c>
      <c r="H8" s="35"/>
    </row>
    <row r="9" spans="1:8" x14ac:dyDescent="0.3">
      <c r="A9" s="36"/>
      <c r="B9" s="33" t="s">
        <v>24</v>
      </c>
      <c r="C9" s="36"/>
      <c r="D9" s="95"/>
      <c r="E9" s="85">
        <v>2777.86</v>
      </c>
      <c r="F9" s="38" t="s">
        <v>19</v>
      </c>
      <c r="G9" s="36">
        <v>2862.86</v>
      </c>
      <c r="H9" s="35"/>
    </row>
    <row r="10" spans="1:8" x14ac:dyDescent="0.3">
      <c r="A10" s="36">
        <v>18000</v>
      </c>
      <c r="B10" s="38" t="s">
        <v>73</v>
      </c>
      <c r="C10" s="36"/>
      <c r="D10" s="95">
        <v>18000</v>
      </c>
      <c r="E10" s="85">
        <v>3441.85</v>
      </c>
      <c r="F10" s="38" t="s">
        <v>93</v>
      </c>
      <c r="G10" s="40">
        <v>3381.35</v>
      </c>
      <c r="H10" s="35">
        <f>SUM(G7:G10)</f>
        <v>210853.46</v>
      </c>
    </row>
    <row r="11" spans="1:8" x14ac:dyDescent="0.3">
      <c r="A11" s="36"/>
      <c r="B11" s="41"/>
      <c r="C11" s="36"/>
      <c r="D11" s="95"/>
      <c r="E11" s="85"/>
      <c r="F11" s="38"/>
      <c r="G11" s="36"/>
      <c r="H11" s="35"/>
    </row>
    <row r="12" spans="1:8" x14ac:dyDescent="0.3">
      <c r="A12" s="47">
        <f>'Fund Sch_1'!A42</f>
        <v>1260442</v>
      </c>
      <c r="B12" s="33" t="s">
        <v>5</v>
      </c>
      <c r="C12" s="36"/>
      <c r="D12" s="95"/>
      <c r="E12" s="85"/>
      <c r="F12" s="33" t="s">
        <v>3</v>
      </c>
      <c r="G12" s="36"/>
      <c r="H12" s="35"/>
    </row>
    <row r="13" spans="1:8" x14ac:dyDescent="0.3">
      <c r="A13" s="36"/>
      <c r="B13" s="43" t="s">
        <v>125</v>
      </c>
      <c r="C13" s="36"/>
      <c r="D13" s="95">
        <f>'Fund Sch_1'!D42</f>
        <v>1486441</v>
      </c>
      <c r="E13" s="85">
        <v>1000</v>
      </c>
      <c r="F13" s="38" t="s">
        <v>20</v>
      </c>
      <c r="G13" s="36">
        <v>1000</v>
      </c>
      <c r="H13" s="35"/>
    </row>
    <row r="14" spans="1:8" x14ac:dyDescent="0.3">
      <c r="A14" s="36"/>
      <c r="B14" s="44"/>
      <c r="C14" s="36"/>
      <c r="D14" s="95"/>
      <c r="E14" s="85">
        <v>1228170</v>
      </c>
      <c r="F14" s="164" t="s">
        <v>124</v>
      </c>
      <c r="G14" s="165">
        <f>'FD Sch_2'!D81</f>
        <v>1523053</v>
      </c>
      <c r="H14" s="35"/>
    </row>
    <row r="15" spans="1:8" x14ac:dyDescent="0.3">
      <c r="A15" s="36"/>
      <c r="B15" s="46" t="s">
        <v>102</v>
      </c>
      <c r="C15" s="36"/>
      <c r="D15" s="95"/>
      <c r="E15" s="85">
        <v>67712</v>
      </c>
      <c r="F15" s="166" t="s">
        <v>4</v>
      </c>
      <c r="G15" s="118">
        <f>'FD Sch_2'!G81</f>
        <v>76526</v>
      </c>
      <c r="H15" s="35">
        <f>SUM(G13:G15)</f>
        <v>1600579</v>
      </c>
    </row>
    <row r="16" spans="1:8" x14ac:dyDescent="0.3">
      <c r="A16" s="36">
        <v>2227750</v>
      </c>
      <c r="B16" s="43" t="s">
        <v>103</v>
      </c>
      <c r="C16" s="36"/>
      <c r="D16" s="95">
        <v>2227750</v>
      </c>
      <c r="E16" s="85"/>
      <c r="F16" s="38"/>
      <c r="G16" s="36"/>
      <c r="H16" s="35"/>
    </row>
    <row r="17" spans="1:8" x14ac:dyDescent="0.3">
      <c r="A17" s="36"/>
      <c r="B17" s="43"/>
      <c r="C17" s="36"/>
      <c r="D17" s="95"/>
      <c r="E17" s="93"/>
      <c r="F17" s="33" t="s">
        <v>119</v>
      </c>
      <c r="G17" s="36"/>
      <c r="H17" s="35"/>
    </row>
    <row r="18" spans="1:8" x14ac:dyDescent="0.3">
      <c r="A18" s="36"/>
      <c r="B18" s="33" t="s">
        <v>25</v>
      </c>
      <c r="C18" s="36"/>
      <c r="D18" s="95"/>
      <c r="E18" s="85">
        <v>33319</v>
      </c>
      <c r="F18" s="38" t="s">
        <v>22</v>
      </c>
      <c r="G18" s="36">
        <v>33319</v>
      </c>
      <c r="H18" s="35"/>
    </row>
    <row r="19" spans="1:8" x14ac:dyDescent="0.3">
      <c r="A19" s="36">
        <v>31930</v>
      </c>
      <c r="B19" s="43" t="s">
        <v>164</v>
      </c>
      <c r="C19" s="36">
        <f>'Advance n Refundable Sch 4 to 7'!E12</f>
        <v>21383</v>
      </c>
      <c r="D19" s="95"/>
      <c r="E19" s="85">
        <v>4430</v>
      </c>
      <c r="F19" s="38" t="s">
        <v>23</v>
      </c>
      <c r="G19" s="40">
        <v>4430</v>
      </c>
      <c r="H19" s="35">
        <f>SUM(G18:G19)</f>
        <v>37749</v>
      </c>
    </row>
    <row r="20" spans="1:8" x14ac:dyDescent="0.3">
      <c r="A20" s="36">
        <v>20000</v>
      </c>
      <c r="B20" s="43" t="s">
        <v>165</v>
      </c>
      <c r="C20" s="40">
        <f>'Advance n Refundable Sch 4 to 7'!E28</f>
        <v>24000</v>
      </c>
      <c r="D20" s="95">
        <f>SUM(C19:C20)</f>
        <v>45383</v>
      </c>
      <c r="E20" s="85"/>
      <c r="F20" s="38"/>
      <c r="G20" s="36"/>
      <c r="H20" s="35"/>
    </row>
    <row r="21" spans="1:8" x14ac:dyDescent="0.3">
      <c r="A21" s="36"/>
      <c r="B21" s="43"/>
      <c r="C21" s="36"/>
      <c r="D21" s="95"/>
      <c r="E21" s="85"/>
      <c r="F21" s="38"/>
      <c r="G21" s="36"/>
      <c r="H21" s="35"/>
    </row>
    <row r="22" spans="1:8" x14ac:dyDescent="0.3">
      <c r="A22" s="36"/>
      <c r="B22" s="33" t="s">
        <v>26</v>
      </c>
      <c r="C22" s="36"/>
      <c r="D22" s="95"/>
      <c r="E22" s="85"/>
      <c r="F22" s="33" t="s">
        <v>120</v>
      </c>
      <c r="G22" s="36"/>
      <c r="H22" s="35"/>
    </row>
    <row r="23" spans="1:8" x14ac:dyDescent="0.3">
      <c r="A23" s="36">
        <v>3600</v>
      </c>
      <c r="B23" s="43" t="s">
        <v>28</v>
      </c>
      <c r="C23" s="36">
        <v>3600</v>
      </c>
      <c r="D23" s="95"/>
      <c r="E23" s="85">
        <v>6921</v>
      </c>
      <c r="F23" s="43" t="s">
        <v>175</v>
      </c>
      <c r="G23" s="36"/>
      <c r="H23" s="35">
        <f>'Advance n Refundable Sch 4 to 7'!E5</f>
        <v>3982</v>
      </c>
    </row>
    <row r="24" spans="1:8" x14ac:dyDescent="0.3">
      <c r="A24" s="36">
        <v>18026</v>
      </c>
      <c r="B24" s="43" t="s">
        <v>27</v>
      </c>
      <c r="C24" s="36">
        <v>18771</v>
      </c>
      <c r="D24" s="95"/>
      <c r="E24" s="85"/>
      <c r="F24" s="43"/>
      <c r="G24" s="36"/>
      <c r="H24" s="35"/>
    </row>
    <row r="25" spans="1:8" x14ac:dyDescent="0.3">
      <c r="A25" s="36">
        <v>0</v>
      </c>
      <c r="B25" s="43" t="s">
        <v>276</v>
      </c>
      <c r="C25" s="36">
        <v>826</v>
      </c>
      <c r="D25" s="95"/>
      <c r="E25" s="85"/>
      <c r="F25" s="33" t="s">
        <v>121</v>
      </c>
      <c r="G25" s="36"/>
      <c r="H25" s="35"/>
    </row>
    <row r="26" spans="1:8" x14ac:dyDescent="0.3">
      <c r="A26" s="36">
        <v>5310</v>
      </c>
      <c r="B26" s="43" t="s">
        <v>156</v>
      </c>
      <c r="C26" s="36">
        <v>3540</v>
      </c>
      <c r="D26" s="95"/>
      <c r="E26" s="85">
        <v>7269</v>
      </c>
      <c r="F26" s="38" t="s">
        <v>57</v>
      </c>
      <c r="G26" s="36">
        <v>7269</v>
      </c>
      <c r="H26" s="35"/>
    </row>
    <row r="27" spans="1:8" x14ac:dyDescent="0.3">
      <c r="A27" s="36">
        <v>9694</v>
      </c>
      <c r="B27" s="43" t="s">
        <v>159</v>
      </c>
      <c r="C27" s="36">
        <f>'Advance n Refundable Sch 4 to 7'!J8</f>
        <v>33044</v>
      </c>
      <c r="D27" s="95"/>
      <c r="E27" s="85">
        <v>9802</v>
      </c>
      <c r="F27" s="38" t="s">
        <v>122</v>
      </c>
      <c r="G27" s="48">
        <v>3332</v>
      </c>
      <c r="H27" s="35">
        <f>+G26+G27</f>
        <v>10601</v>
      </c>
    </row>
    <row r="28" spans="1:8" x14ac:dyDescent="0.3">
      <c r="A28" s="36">
        <v>54400</v>
      </c>
      <c r="B28" s="43" t="s">
        <v>104</v>
      </c>
      <c r="C28" s="40">
        <v>54400</v>
      </c>
      <c r="D28" s="95">
        <f>SUM(C23:C28)</f>
        <v>114181</v>
      </c>
      <c r="E28" s="85"/>
      <c r="F28" s="38" t="s">
        <v>275</v>
      </c>
      <c r="G28" s="34"/>
      <c r="H28" s="35">
        <v>6321</v>
      </c>
    </row>
    <row r="29" spans="1:8" x14ac:dyDescent="0.3">
      <c r="A29" s="36"/>
      <c r="B29" s="43"/>
      <c r="C29" s="36"/>
      <c r="D29" s="95"/>
      <c r="E29" s="85">
        <v>6995</v>
      </c>
      <c r="F29" s="38" t="s">
        <v>123</v>
      </c>
      <c r="G29" s="36"/>
      <c r="H29" s="35">
        <v>8597</v>
      </c>
    </row>
    <row r="30" spans="1:8" x14ac:dyDescent="0.3">
      <c r="A30" s="36"/>
      <c r="B30" s="33" t="s">
        <v>29</v>
      </c>
      <c r="C30" s="36"/>
      <c r="D30" s="95"/>
      <c r="E30" s="85"/>
      <c r="F30" s="38"/>
      <c r="G30" s="36"/>
      <c r="H30" s="35"/>
    </row>
    <row r="31" spans="1:8" ht="15" customHeight="1" x14ac:dyDescent="0.3">
      <c r="A31" s="36">
        <v>236930.74</v>
      </c>
      <c r="B31" s="41" t="s">
        <v>21</v>
      </c>
      <c r="C31" s="36">
        <f>A31+A32+A34</f>
        <v>269629.45999999973</v>
      </c>
      <c r="D31" s="95"/>
      <c r="E31" s="85"/>
      <c r="F31" s="49" t="s">
        <v>118</v>
      </c>
      <c r="G31" s="36"/>
      <c r="H31" s="35"/>
    </row>
    <row r="32" spans="1:8" ht="15" customHeight="1" x14ac:dyDescent="0.3">
      <c r="A32" s="36">
        <v>1770</v>
      </c>
      <c r="B32" s="50" t="s">
        <v>186</v>
      </c>
      <c r="C32" s="36">
        <v>0</v>
      </c>
      <c r="D32" s="95"/>
      <c r="E32" s="85">
        <v>2287010</v>
      </c>
      <c r="F32" s="43" t="s">
        <v>126</v>
      </c>
      <c r="G32" s="36"/>
      <c r="H32" s="35">
        <f>'FA Sch_3'!H10</f>
        <v>2283328</v>
      </c>
    </row>
    <row r="33" spans="1:13" ht="26.4" customHeight="1" x14ac:dyDescent="0.3">
      <c r="A33" s="36">
        <v>0</v>
      </c>
      <c r="B33" s="50" t="s">
        <v>299</v>
      </c>
      <c r="C33" s="36">
        <v>1300</v>
      </c>
      <c r="D33" s="95"/>
      <c r="E33" s="85"/>
      <c r="F33" s="38"/>
      <c r="G33" s="36"/>
      <c r="H33" s="35"/>
    </row>
    <row r="34" spans="1:13" ht="15" customHeight="1" x14ac:dyDescent="0.3">
      <c r="A34" s="36">
        <f>E35-SUM(A10:A32)</f>
        <v>30928.719999999739</v>
      </c>
      <c r="B34" s="43" t="s">
        <v>161</v>
      </c>
      <c r="C34" s="163">
        <f>-IE!H50</f>
        <v>-674</v>
      </c>
      <c r="D34" s="95">
        <f>SUM(C31:C34)</f>
        <v>270255.45999999973</v>
      </c>
      <c r="E34" s="85"/>
      <c r="F34" s="41"/>
      <c r="G34" s="36"/>
      <c r="H34" s="35"/>
    </row>
    <row r="35" spans="1:13" ht="15" thickBot="1" x14ac:dyDescent="0.35">
      <c r="A35" s="82">
        <f>SUM(A10:A34)</f>
        <v>3918781.46</v>
      </c>
      <c r="B35" s="174" t="s">
        <v>14</v>
      </c>
      <c r="C35" s="174"/>
      <c r="D35" s="92">
        <f>SUM(D10:D34)</f>
        <v>4162010.46</v>
      </c>
      <c r="E35" s="86">
        <f>SUM(E6:E34)</f>
        <v>3918781.46</v>
      </c>
      <c r="F35" s="174" t="s">
        <v>14</v>
      </c>
      <c r="G35" s="174"/>
      <c r="H35" s="82">
        <f>SUM(H6:H34)</f>
        <v>4162010.46</v>
      </c>
    </row>
    <row r="36" spans="1:13" customFormat="1" ht="7.2" customHeight="1" thickTop="1" x14ac:dyDescent="0.3">
      <c r="A36" s="60"/>
      <c r="C36" s="61"/>
      <c r="D36" s="62"/>
      <c r="E36" s="62"/>
      <c r="G36" s="61">
        <f>A35-E35</f>
        <v>0</v>
      </c>
      <c r="H36" s="63">
        <f>H35-D35</f>
        <v>0</v>
      </c>
      <c r="J36" s="64"/>
    </row>
    <row r="37" spans="1:13" s="69" customFormat="1" ht="13.8" x14ac:dyDescent="0.25">
      <c r="A37" s="65" t="s">
        <v>290</v>
      </c>
      <c r="B37" s="66"/>
      <c r="C37" s="67"/>
      <c r="D37" s="66"/>
      <c r="E37" s="172" t="s">
        <v>296</v>
      </c>
      <c r="F37" s="172"/>
      <c r="G37" s="172"/>
      <c r="H37" s="173"/>
      <c r="I37" s="67"/>
      <c r="J37" s="66"/>
      <c r="K37" s="66"/>
      <c r="L37" s="68"/>
      <c r="M37" s="68"/>
    </row>
    <row r="38" spans="1:13" s="66" customFormat="1" ht="13.8" x14ac:dyDescent="0.25">
      <c r="A38" s="70"/>
      <c r="C38" s="67"/>
      <c r="H38" s="71"/>
      <c r="I38" s="67"/>
    </row>
    <row r="39" spans="1:13" s="66" customFormat="1" ht="13.8" x14ac:dyDescent="0.25">
      <c r="A39" s="70"/>
      <c r="C39" s="67"/>
      <c r="F39" s="72"/>
      <c r="G39" s="72"/>
      <c r="H39" s="73"/>
      <c r="I39" s="67"/>
    </row>
    <row r="40" spans="1:13" s="66" customFormat="1" ht="13.8" x14ac:dyDescent="0.25">
      <c r="A40" s="70"/>
      <c r="C40" s="67"/>
      <c r="F40" s="72"/>
      <c r="G40" s="72"/>
      <c r="H40" s="73"/>
      <c r="I40" s="67"/>
    </row>
    <row r="41" spans="1:13" s="66" customFormat="1" ht="17.100000000000001" customHeight="1" x14ac:dyDescent="0.25">
      <c r="A41" s="74" t="s">
        <v>291</v>
      </c>
      <c r="B41" s="75"/>
      <c r="C41" s="76"/>
      <c r="F41" s="72"/>
      <c r="G41" s="72"/>
      <c r="H41" s="73"/>
      <c r="I41" s="67"/>
    </row>
    <row r="42" spans="1:13" s="66" customFormat="1" ht="15.6" x14ac:dyDescent="0.25">
      <c r="A42" s="77" t="s">
        <v>292</v>
      </c>
      <c r="B42" s="75"/>
      <c r="C42" s="76"/>
      <c r="E42" s="172" t="s">
        <v>293</v>
      </c>
      <c r="F42" s="172"/>
      <c r="G42" s="172"/>
      <c r="H42" s="173"/>
      <c r="I42" s="67"/>
    </row>
    <row r="43" spans="1:13" s="66" customFormat="1" ht="15.6" x14ac:dyDescent="0.25">
      <c r="A43" s="77" t="s">
        <v>294</v>
      </c>
      <c r="B43" s="75"/>
      <c r="C43" s="76"/>
      <c r="E43" s="72"/>
      <c r="F43" s="72"/>
      <c r="G43" s="72"/>
      <c r="H43" s="73"/>
      <c r="I43" s="67"/>
    </row>
    <row r="44" spans="1:13" s="66" customFormat="1" ht="15.6" x14ac:dyDescent="0.25">
      <c r="A44" s="170">
        <v>46234</v>
      </c>
      <c r="B44" s="171"/>
      <c r="C44" s="171"/>
      <c r="H44" s="71"/>
      <c r="I44" s="67"/>
    </row>
    <row r="45" spans="1:13" s="66" customFormat="1" ht="6.6" customHeight="1" x14ac:dyDescent="0.25">
      <c r="A45" s="78"/>
      <c r="B45" s="79"/>
      <c r="C45" s="80"/>
      <c r="D45" s="79"/>
      <c r="E45" s="80"/>
      <c r="F45" s="79"/>
      <c r="G45" s="79"/>
      <c r="H45" s="81"/>
      <c r="I45" s="67"/>
    </row>
  </sheetData>
  <mergeCells count="11">
    <mergeCell ref="A44:C44"/>
    <mergeCell ref="E37:H37"/>
    <mergeCell ref="B35:C35"/>
    <mergeCell ref="F35:G35"/>
    <mergeCell ref="A1:H1"/>
    <mergeCell ref="A2:H2"/>
    <mergeCell ref="A3:H3"/>
    <mergeCell ref="A4:H4"/>
    <mergeCell ref="B5:C5"/>
    <mergeCell ref="F5:G5"/>
    <mergeCell ref="E42:H42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"/>
  <sheetViews>
    <sheetView view="pageBreakPreview" topLeftCell="A51" zoomScaleNormal="100" zoomScaleSheetLayoutView="100" workbookViewId="0">
      <selection activeCell="A45" sqref="A45"/>
    </sheetView>
  </sheetViews>
  <sheetFormatPr defaultColWidth="8.88671875" defaultRowHeight="14.4" x14ac:dyDescent="0.3"/>
  <cols>
    <col min="1" max="1" width="16.33203125" style="17" customWidth="1"/>
    <col min="2" max="2" width="36.109375" style="17" bestFit="1" customWidth="1"/>
    <col min="3" max="3" width="12.33203125" style="17" bestFit="1" customWidth="1"/>
    <col min="4" max="4" width="15" style="22" bestFit="1" customWidth="1"/>
    <col min="5" max="5" width="15" style="17" bestFit="1" customWidth="1"/>
    <col min="6" max="6" width="36.5546875" style="17" bestFit="1" customWidth="1"/>
    <col min="7" max="7" width="12.33203125" style="17" bestFit="1" customWidth="1"/>
    <col min="8" max="8" width="15" style="22" bestFit="1" customWidth="1"/>
    <col min="9" max="9" width="8.88671875" style="17"/>
    <col min="10" max="10" width="51.33203125" style="17" bestFit="1" customWidth="1"/>
    <col min="11" max="16384" width="8.88671875" style="17"/>
  </cols>
  <sheetData>
    <row r="1" spans="1:10" ht="18" x14ac:dyDescent="0.3">
      <c r="A1" s="190" t="str">
        <f>BS!A1</f>
        <v>DIAGO CO-OPERATIVE HOUSING SOCIETY LIMITED</v>
      </c>
      <c r="B1" s="191"/>
      <c r="C1" s="191"/>
      <c r="D1" s="191"/>
      <c r="E1" s="191"/>
      <c r="F1" s="191"/>
      <c r="G1" s="191"/>
      <c r="H1" s="192"/>
    </row>
    <row r="2" spans="1:10" x14ac:dyDescent="0.3">
      <c r="A2" s="193" t="str">
        <f>BS!A2</f>
        <v>186-A, Baudi Cross Lane, Orlem, Malad (West), Mumbai, Maharashtra - 400064</v>
      </c>
      <c r="B2" s="179"/>
      <c r="C2" s="179"/>
      <c r="D2" s="179"/>
      <c r="E2" s="179"/>
      <c r="F2" s="179"/>
      <c r="G2" s="179"/>
      <c r="H2" s="194"/>
    </row>
    <row r="3" spans="1:10" x14ac:dyDescent="0.3">
      <c r="A3" s="193" t="str">
        <f>BS!A3</f>
        <v>Society Reg No : BOM/(WP)/HSG(TC) 1007/84-85 dated.13/07/1984</v>
      </c>
      <c r="B3" s="179"/>
      <c r="C3" s="179"/>
      <c r="D3" s="179"/>
      <c r="E3" s="179"/>
      <c r="F3" s="179"/>
      <c r="G3" s="179"/>
      <c r="H3" s="194"/>
    </row>
    <row r="4" spans="1:10" ht="15.6" x14ac:dyDescent="0.3">
      <c r="A4" s="195" t="s">
        <v>229</v>
      </c>
      <c r="B4" s="184"/>
      <c r="C4" s="184"/>
      <c r="D4" s="184"/>
      <c r="E4" s="184"/>
      <c r="F4" s="184"/>
      <c r="G4" s="184"/>
      <c r="H4" s="196"/>
    </row>
    <row r="5" spans="1:10" s="18" customFormat="1" ht="15" thickBot="1" x14ac:dyDescent="0.35">
      <c r="A5" s="97" t="s">
        <v>176</v>
      </c>
      <c r="B5" s="197" t="s">
        <v>35</v>
      </c>
      <c r="C5" s="197"/>
      <c r="D5" s="87" t="s">
        <v>230</v>
      </c>
      <c r="E5" s="58" t="str">
        <f>+A5</f>
        <v>March 31, 2025</v>
      </c>
      <c r="F5" s="197" t="s">
        <v>36</v>
      </c>
      <c r="G5" s="197"/>
      <c r="H5" s="98" t="str">
        <f>+D5</f>
        <v>March 31, 2026</v>
      </c>
      <c r="J5" s="19"/>
    </row>
    <row r="6" spans="1:10" x14ac:dyDescent="0.3">
      <c r="A6" s="39"/>
      <c r="B6" s="52" t="s">
        <v>37</v>
      </c>
      <c r="C6" s="36"/>
      <c r="D6" s="88"/>
      <c r="E6" s="41"/>
      <c r="F6" s="53" t="s">
        <v>74</v>
      </c>
      <c r="G6" s="36"/>
      <c r="H6" s="37"/>
    </row>
    <row r="7" spans="1:10" x14ac:dyDescent="0.3">
      <c r="A7" s="39">
        <v>13333</v>
      </c>
      <c r="B7" s="41" t="s">
        <v>37</v>
      </c>
      <c r="C7" s="36"/>
      <c r="D7" s="88">
        <v>13654</v>
      </c>
      <c r="E7" s="41">
        <v>13330</v>
      </c>
      <c r="F7" s="36" t="s">
        <v>37</v>
      </c>
      <c r="G7" s="36">
        <v>13656</v>
      </c>
      <c r="H7" s="37"/>
    </row>
    <row r="8" spans="1:10" x14ac:dyDescent="0.3">
      <c r="A8" s="39"/>
      <c r="B8" s="52" t="s">
        <v>38</v>
      </c>
      <c r="C8" s="36"/>
      <c r="D8" s="88"/>
      <c r="E8" s="41">
        <v>226080</v>
      </c>
      <c r="F8" s="36" t="s">
        <v>75</v>
      </c>
      <c r="G8" s="36">
        <v>226080</v>
      </c>
      <c r="H8" s="37"/>
    </row>
    <row r="9" spans="1:10" x14ac:dyDescent="0.3">
      <c r="A9" s="39">
        <v>76693</v>
      </c>
      <c r="B9" s="41" t="s">
        <v>38</v>
      </c>
      <c r="C9" s="47">
        <v>78473</v>
      </c>
      <c r="D9" s="88"/>
      <c r="E9" s="41">
        <v>55008</v>
      </c>
      <c r="F9" s="36" t="s">
        <v>76</v>
      </c>
      <c r="G9" s="36">
        <v>55008</v>
      </c>
      <c r="H9" s="37"/>
    </row>
    <row r="10" spans="1:10" x14ac:dyDescent="0.3">
      <c r="A10" s="51">
        <v>4000</v>
      </c>
      <c r="B10" s="21" t="s">
        <v>89</v>
      </c>
      <c r="C10" s="40">
        <v>0</v>
      </c>
      <c r="D10" s="88">
        <f>SUM(C9:C10)</f>
        <v>78473</v>
      </c>
      <c r="E10" s="41">
        <v>75312</v>
      </c>
      <c r="F10" s="36" t="s">
        <v>55</v>
      </c>
      <c r="G10" s="36">
        <v>75312</v>
      </c>
      <c r="H10" s="37"/>
    </row>
    <row r="11" spans="1:10" x14ac:dyDescent="0.3">
      <c r="A11" s="39"/>
      <c r="B11" s="41"/>
      <c r="C11" s="36"/>
      <c r="D11" s="88"/>
      <c r="E11" s="41">
        <f>9589+83</f>
        <v>9672</v>
      </c>
      <c r="F11" s="36" t="s">
        <v>77</v>
      </c>
      <c r="G11" s="36">
        <f>11408+83</f>
        <v>11491</v>
      </c>
      <c r="H11" s="37"/>
    </row>
    <row r="12" spans="1:10" x14ac:dyDescent="0.3">
      <c r="A12" s="42">
        <v>75021</v>
      </c>
      <c r="B12" s="52" t="s">
        <v>39</v>
      </c>
      <c r="C12" s="36"/>
      <c r="D12" s="88">
        <v>76274</v>
      </c>
      <c r="E12" s="41">
        <f>12200+15200+1600</f>
        <v>29000</v>
      </c>
      <c r="F12" s="36" t="s">
        <v>56</v>
      </c>
      <c r="G12" s="36">
        <f>7450+16100+50</f>
        <v>23600</v>
      </c>
      <c r="H12" s="37"/>
    </row>
    <row r="13" spans="1:10" x14ac:dyDescent="0.3">
      <c r="A13" s="42"/>
      <c r="B13" s="41"/>
      <c r="C13" s="36"/>
      <c r="D13" s="88"/>
      <c r="E13" s="41">
        <v>781</v>
      </c>
      <c r="F13" s="36" t="s">
        <v>78</v>
      </c>
      <c r="G13" s="36">
        <v>2287</v>
      </c>
      <c r="H13" s="37"/>
    </row>
    <row r="14" spans="1:10" x14ac:dyDescent="0.3">
      <c r="A14" s="42">
        <v>40500</v>
      </c>
      <c r="B14" s="52" t="s">
        <v>40</v>
      </c>
      <c r="C14" s="36"/>
      <c r="D14" s="88">
        <v>52000</v>
      </c>
      <c r="E14" s="41">
        <v>13172</v>
      </c>
      <c r="F14" s="36" t="s">
        <v>57</v>
      </c>
      <c r="G14" s="36">
        <v>13172</v>
      </c>
      <c r="H14" s="37"/>
    </row>
    <row r="15" spans="1:10" x14ac:dyDescent="0.3">
      <c r="A15" s="39"/>
      <c r="B15" s="52" t="s">
        <v>41</v>
      </c>
      <c r="C15" s="36"/>
      <c r="D15" s="88"/>
      <c r="E15" s="41">
        <v>200</v>
      </c>
      <c r="F15" s="36" t="s">
        <v>79</v>
      </c>
      <c r="G15" s="36">
        <v>1300</v>
      </c>
      <c r="H15" s="37"/>
    </row>
    <row r="16" spans="1:10" x14ac:dyDescent="0.3">
      <c r="A16" s="39">
        <v>8240</v>
      </c>
      <c r="B16" s="41" t="s">
        <v>42</v>
      </c>
      <c r="C16" s="47">
        <v>4800</v>
      </c>
      <c r="D16" s="88"/>
      <c r="E16" s="41">
        <v>2925</v>
      </c>
      <c r="F16" s="36" t="s">
        <v>146</v>
      </c>
      <c r="G16" s="40">
        <v>250</v>
      </c>
      <c r="H16" s="37">
        <f>SUM(G7:G16)</f>
        <v>422156</v>
      </c>
    </row>
    <row r="17" spans="1:10" x14ac:dyDescent="0.3">
      <c r="A17" s="39">
        <v>47219</v>
      </c>
      <c r="B17" s="41" t="s">
        <v>90</v>
      </c>
      <c r="C17" s="36">
        <v>0</v>
      </c>
      <c r="D17" s="88"/>
      <c r="E17" s="41"/>
      <c r="F17" s="36"/>
      <c r="G17" s="36"/>
      <c r="H17" s="37"/>
    </row>
    <row r="18" spans="1:10" x14ac:dyDescent="0.3">
      <c r="A18" s="39">
        <v>58875</v>
      </c>
      <c r="B18" s="41" t="s">
        <v>43</v>
      </c>
      <c r="C18" s="47">
        <v>116000</v>
      </c>
      <c r="D18" s="88"/>
      <c r="E18" s="41"/>
      <c r="F18" s="53" t="s">
        <v>58</v>
      </c>
      <c r="G18" s="36"/>
      <c r="H18" s="37"/>
    </row>
    <row r="19" spans="1:10" x14ac:dyDescent="0.3">
      <c r="A19" s="39">
        <v>2510</v>
      </c>
      <c r="B19" s="41" t="s">
        <v>147</v>
      </c>
      <c r="C19" s="47">
        <v>3304</v>
      </c>
      <c r="D19" s="88"/>
      <c r="E19" s="41">
        <v>6310</v>
      </c>
      <c r="F19" s="36" t="s">
        <v>59</v>
      </c>
      <c r="G19" s="36">
        <v>7174</v>
      </c>
      <c r="H19" s="37"/>
    </row>
    <row r="20" spans="1:10" x14ac:dyDescent="0.3">
      <c r="A20" s="39">
        <v>1300</v>
      </c>
      <c r="B20" s="41" t="s">
        <v>184</v>
      </c>
      <c r="C20" s="36">
        <v>0</v>
      </c>
      <c r="D20" s="88"/>
      <c r="E20" s="41">
        <v>751</v>
      </c>
      <c r="F20" s="36" t="s">
        <v>182</v>
      </c>
      <c r="G20" s="36">
        <v>0</v>
      </c>
      <c r="H20" s="37"/>
      <c r="J20" s="25"/>
    </row>
    <row r="21" spans="1:10" x14ac:dyDescent="0.3">
      <c r="A21" s="39">
        <v>0</v>
      </c>
      <c r="B21" s="41" t="s">
        <v>232</v>
      </c>
      <c r="C21" s="54">
        <v>18000</v>
      </c>
      <c r="D21" s="88">
        <f>SUM(C16:C21)</f>
        <v>142104</v>
      </c>
      <c r="E21" s="41">
        <v>84529</v>
      </c>
      <c r="F21" s="36" t="s">
        <v>60</v>
      </c>
      <c r="G21" s="40">
        <v>101559</v>
      </c>
      <c r="H21" s="37">
        <f>SUM(G19:G21)</f>
        <v>108733</v>
      </c>
    </row>
    <row r="22" spans="1:10" x14ac:dyDescent="0.3">
      <c r="A22" s="39"/>
      <c r="B22" s="52" t="s">
        <v>44</v>
      </c>
      <c r="C22" s="36"/>
      <c r="D22" s="88"/>
      <c r="E22" s="41"/>
      <c r="F22" s="36"/>
      <c r="G22" s="36"/>
      <c r="H22" s="37"/>
    </row>
    <row r="23" spans="1:10" x14ac:dyDescent="0.3">
      <c r="A23" s="39">
        <v>7780</v>
      </c>
      <c r="B23" s="41" t="s">
        <v>45</v>
      </c>
      <c r="C23" s="47">
        <v>7781</v>
      </c>
      <c r="D23" s="88"/>
      <c r="E23" s="41"/>
      <c r="F23" s="53" t="s">
        <v>61</v>
      </c>
      <c r="G23" s="36"/>
      <c r="H23" s="37"/>
    </row>
    <row r="24" spans="1:10" x14ac:dyDescent="0.3">
      <c r="A24" s="39">
        <v>3600</v>
      </c>
      <c r="B24" s="41" t="s">
        <v>46</v>
      </c>
      <c r="C24" s="47">
        <v>3600</v>
      </c>
      <c r="D24" s="88"/>
      <c r="E24" s="41">
        <v>7</v>
      </c>
      <c r="F24" s="36" t="s">
        <v>183</v>
      </c>
      <c r="G24" s="36">
        <v>0</v>
      </c>
      <c r="H24" s="37"/>
    </row>
    <row r="25" spans="1:10" x14ac:dyDescent="0.3">
      <c r="A25" s="39">
        <v>826</v>
      </c>
      <c r="B25" s="41" t="s">
        <v>53</v>
      </c>
      <c r="C25" s="55">
        <v>826</v>
      </c>
      <c r="D25" s="88"/>
      <c r="E25" s="41"/>
      <c r="F25" s="36" t="s">
        <v>86</v>
      </c>
      <c r="G25" s="40"/>
      <c r="H25" s="37">
        <v>0</v>
      </c>
    </row>
    <row r="26" spans="1:10" x14ac:dyDescent="0.3">
      <c r="A26" s="39">
        <v>20392</v>
      </c>
      <c r="B26" s="41" t="s">
        <v>47</v>
      </c>
      <c r="C26" s="54">
        <v>22432</v>
      </c>
      <c r="D26" s="88">
        <f>SUM(C23:C26)</f>
        <v>34639</v>
      </c>
      <c r="E26" s="41"/>
      <c r="F26" s="36"/>
      <c r="G26" s="36"/>
      <c r="H26" s="37"/>
    </row>
    <row r="27" spans="1:10" x14ac:dyDescent="0.3">
      <c r="A27" s="39"/>
      <c r="B27" s="52" t="s">
        <v>48</v>
      </c>
      <c r="C27" s="36"/>
      <c r="D27" s="88"/>
      <c r="E27" s="41"/>
      <c r="F27" s="36"/>
      <c r="G27" s="36"/>
      <c r="H27" s="37"/>
    </row>
    <row r="28" spans="1:10" x14ac:dyDescent="0.3">
      <c r="A28" s="39">
        <v>4314</v>
      </c>
      <c r="B28" s="41" t="s">
        <v>49</v>
      </c>
      <c r="C28" s="47">
        <f>'FA Sch_3'!G10</f>
        <v>3682</v>
      </c>
      <c r="D28" s="88"/>
      <c r="E28" s="41"/>
      <c r="F28" s="36"/>
      <c r="G28" s="36"/>
      <c r="H28" s="37"/>
    </row>
    <row r="29" spans="1:10" x14ac:dyDescent="0.3">
      <c r="A29" s="39">
        <v>998</v>
      </c>
      <c r="B29" s="41" t="s">
        <v>50</v>
      </c>
      <c r="C29" s="47">
        <f>3420+4</f>
        <v>3424</v>
      </c>
      <c r="D29" s="88"/>
      <c r="E29" s="41"/>
      <c r="F29" s="36"/>
      <c r="G29" s="36"/>
      <c r="H29" s="37"/>
    </row>
    <row r="30" spans="1:10" x14ac:dyDescent="0.3">
      <c r="A30" s="39">
        <v>10406</v>
      </c>
      <c r="B30" s="41" t="s">
        <v>54</v>
      </c>
      <c r="C30" s="47">
        <v>8824</v>
      </c>
      <c r="D30" s="88"/>
      <c r="E30" s="21"/>
      <c r="F30" s="10"/>
      <c r="G30" s="10"/>
      <c r="H30" s="37"/>
    </row>
    <row r="31" spans="1:10" x14ac:dyDescent="0.3">
      <c r="A31" s="39">
        <v>4751</v>
      </c>
      <c r="B31" s="41" t="s">
        <v>91</v>
      </c>
      <c r="C31" s="47">
        <v>5534</v>
      </c>
      <c r="D31" s="88"/>
      <c r="E31" s="85"/>
      <c r="F31" s="36"/>
      <c r="G31" s="36"/>
      <c r="H31" s="37"/>
    </row>
    <row r="32" spans="1:10" x14ac:dyDescent="0.3">
      <c r="A32" s="39">
        <v>7080</v>
      </c>
      <c r="B32" s="41" t="s">
        <v>51</v>
      </c>
      <c r="C32" s="36">
        <v>3540</v>
      </c>
      <c r="D32" s="88"/>
      <c r="E32" s="85"/>
      <c r="F32" s="36"/>
      <c r="G32" s="36"/>
      <c r="H32" s="37"/>
    </row>
    <row r="33" spans="1:8" x14ac:dyDescent="0.3">
      <c r="A33" s="39">
        <v>2500</v>
      </c>
      <c r="B33" s="41" t="s">
        <v>185</v>
      </c>
      <c r="C33" s="47">
        <v>12000</v>
      </c>
      <c r="D33" s="88"/>
      <c r="E33" s="85"/>
      <c r="F33" s="36"/>
      <c r="G33" s="36"/>
      <c r="H33" s="37"/>
    </row>
    <row r="34" spans="1:8" x14ac:dyDescent="0.3">
      <c r="A34" s="39">
        <v>403.28</v>
      </c>
      <c r="B34" s="41" t="s">
        <v>52</v>
      </c>
      <c r="C34" s="47">
        <v>733</v>
      </c>
      <c r="D34" s="88"/>
      <c r="E34" s="85"/>
      <c r="F34" s="36"/>
      <c r="G34" s="36"/>
      <c r="H34" s="37"/>
    </row>
    <row r="35" spans="1:8" x14ac:dyDescent="0.3">
      <c r="A35" s="39">
        <v>36</v>
      </c>
      <c r="B35" s="41" t="s">
        <v>134</v>
      </c>
      <c r="C35" s="36">
        <v>674</v>
      </c>
      <c r="D35" s="88"/>
      <c r="E35" s="85"/>
      <c r="F35" s="36"/>
      <c r="G35" s="36"/>
      <c r="H35" s="37"/>
    </row>
    <row r="36" spans="1:8" x14ac:dyDescent="0.3">
      <c r="A36" s="39">
        <v>3000</v>
      </c>
      <c r="B36" s="41" t="s">
        <v>153</v>
      </c>
      <c r="C36" s="36">
        <v>0</v>
      </c>
      <c r="D36" s="88"/>
      <c r="E36" s="85"/>
      <c r="F36" s="36"/>
      <c r="G36" s="36"/>
      <c r="H36" s="37"/>
    </row>
    <row r="37" spans="1:8" x14ac:dyDescent="0.3">
      <c r="A37" s="39">
        <v>0</v>
      </c>
      <c r="B37" s="41" t="s">
        <v>233</v>
      </c>
      <c r="C37" s="54">
        <v>99</v>
      </c>
      <c r="D37" s="88">
        <f>SUM(C28:C37)</f>
        <v>38510</v>
      </c>
      <c r="E37" s="85"/>
      <c r="F37" s="36"/>
      <c r="G37" s="36"/>
      <c r="H37" s="37"/>
    </row>
    <row r="38" spans="1:8" x14ac:dyDescent="0.3">
      <c r="A38" s="39"/>
      <c r="B38" s="41"/>
      <c r="C38" s="36"/>
      <c r="D38" s="88"/>
      <c r="E38" s="85"/>
      <c r="F38" s="36"/>
      <c r="G38" s="36"/>
      <c r="H38" s="37"/>
    </row>
    <row r="39" spans="1:8" ht="7.95" customHeight="1" x14ac:dyDescent="0.3">
      <c r="A39" s="39"/>
      <c r="B39" s="41" t="s">
        <v>231</v>
      </c>
      <c r="C39" s="36"/>
      <c r="D39" s="88"/>
      <c r="E39" s="85"/>
      <c r="F39" s="36"/>
      <c r="G39" s="36"/>
      <c r="H39" s="37"/>
    </row>
    <row r="40" spans="1:8" x14ac:dyDescent="0.3">
      <c r="A40" s="39">
        <v>10936</v>
      </c>
      <c r="B40" s="41" t="s">
        <v>80</v>
      </c>
      <c r="C40" s="36">
        <v>13233</v>
      </c>
      <c r="D40" s="88"/>
      <c r="E40" s="85"/>
      <c r="F40" s="36"/>
      <c r="G40" s="36"/>
      <c r="H40" s="37"/>
    </row>
    <row r="41" spans="1:8" x14ac:dyDescent="0.3">
      <c r="A41" s="39">
        <v>9156</v>
      </c>
      <c r="B41" s="41" t="s">
        <v>81</v>
      </c>
      <c r="C41" s="36">
        <f>9923+2055</f>
        <v>11978</v>
      </c>
      <c r="D41" s="89"/>
      <c r="E41" s="85"/>
      <c r="F41" s="36"/>
      <c r="G41" s="36"/>
      <c r="H41" s="37"/>
    </row>
    <row r="42" spans="1:8" x14ac:dyDescent="0.3">
      <c r="A42" s="39">
        <v>17335</v>
      </c>
      <c r="B42" s="41" t="s">
        <v>82</v>
      </c>
      <c r="C42" s="36">
        <v>18595</v>
      </c>
      <c r="D42" s="89"/>
      <c r="E42" s="85"/>
      <c r="F42" s="36"/>
      <c r="G42" s="36"/>
      <c r="H42" s="37"/>
    </row>
    <row r="43" spans="1:8" x14ac:dyDescent="0.3">
      <c r="A43" s="39">
        <v>9159</v>
      </c>
      <c r="B43" s="41" t="s">
        <v>83</v>
      </c>
      <c r="C43" s="36">
        <v>9900</v>
      </c>
      <c r="D43" s="89"/>
      <c r="E43" s="85"/>
      <c r="F43" s="36"/>
      <c r="G43" s="36"/>
      <c r="H43" s="37"/>
    </row>
    <row r="44" spans="1:8" x14ac:dyDescent="0.3">
      <c r="A44" s="39">
        <v>12681</v>
      </c>
      <c r="B44" s="41" t="s">
        <v>84</v>
      </c>
      <c r="C44" s="10">
        <v>17232</v>
      </c>
      <c r="D44" s="89"/>
      <c r="E44" s="85"/>
      <c r="F44" s="36"/>
      <c r="G44" s="36"/>
      <c r="H44" s="37"/>
    </row>
    <row r="45" spans="1:8" x14ac:dyDescent="0.3">
      <c r="A45" s="39">
        <v>10495</v>
      </c>
      <c r="B45" s="41" t="s">
        <v>85</v>
      </c>
      <c r="C45" s="36">
        <v>11451</v>
      </c>
      <c r="D45" s="89"/>
      <c r="E45" s="85"/>
      <c r="F45" s="36"/>
      <c r="G45" s="36"/>
      <c r="H45" s="37"/>
    </row>
    <row r="46" spans="1:8" x14ac:dyDescent="0.3">
      <c r="A46" s="20">
        <v>10095</v>
      </c>
      <c r="B46" s="21" t="s">
        <v>151</v>
      </c>
      <c r="C46" s="10">
        <v>10760</v>
      </c>
      <c r="D46" s="90"/>
      <c r="E46" s="85"/>
      <c r="F46" s="36"/>
      <c r="G46" s="36"/>
      <c r="H46" s="37"/>
    </row>
    <row r="47" spans="1:8" x14ac:dyDescent="0.3">
      <c r="A47" s="39">
        <v>2205</v>
      </c>
      <c r="B47" s="36" t="s">
        <v>152</v>
      </c>
      <c r="C47" s="40">
        <v>2760</v>
      </c>
      <c r="D47" s="88">
        <f>SUM(C40:C47)</f>
        <v>95909</v>
      </c>
      <c r="E47" s="85"/>
      <c r="F47" s="36"/>
      <c r="G47" s="36"/>
      <c r="H47" s="37"/>
    </row>
    <row r="48" spans="1:8" x14ac:dyDescent="0.3">
      <c r="A48" s="39"/>
      <c r="B48" s="36"/>
      <c r="C48" s="36"/>
      <c r="D48" s="91"/>
      <c r="E48" s="85"/>
      <c r="F48" s="36"/>
      <c r="G48" s="36"/>
      <c r="H48" s="37"/>
    </row>
    <row r="49" spans="1:13" ht="7.95" customHeight="1" x14ac:dyDescent="0.3">
      <c r="A49" s="39"/>
      <c r="B49" s="36"/>
      <c r="C49" s="36"/>
      <c r="D49" s="91"/>
      <c r="E49" s="85"/>
      <c r="F49" s="36"/>
      <c r="G49" s="36"/>
      <c r="H49" s="37"/>
    </row>
    <row r="50" spans="1:13" ht="15" customHeight="1" x14ac:dyDescent="0.3">
      <c r="A50" s="39">
        <v>10309</v>
      </c>
      <c r="B50" s="36" t="s">
        <v>136</v>
      </c>
      <c r="C50" s="36"/>
      <c r="D50" s="91"/>
      <c r="E50" s="85"/>
      <c r="F50" s="45" t="s">
        <v>297</v>
      </c>
      <c r="G50" s="36"/>
      <c r="H50" s="37">
        <f>D52-SUM(H7:H47)</f>
        <v>674</v>
      </c>
    </row>
    <row r="51" spans="1:13" ht="15" customHeight="1" x14ac:dyDescent="0.3">
      <c r="A51" s="39">
        <f>E52-SUM(A6:A50)</f>
        <v>30928.719999999972</v>
      </c>
      <c r="B51" s="36" t="s">
        <v>160</v>
      </c>
      <c r="C51" s="36">
        <v>0</v>
      </c>
      <c r="D51" s="91"/>
      <c r="E51" s="85"/>
      <c r="F51" s="36"/>
      <c r="G51" s="36"/>
      <c r="H51" s="37"/>
    </row>
    <row r="52" spans="1:13" ht="15" customHeight="1" thickBot="1" x14ac:dyDescent="0.35">
      <c r="A52" s="99">
        <f>SUM(A6:A51)</f>
        <v>517077</v>
      </c>
      <c r="B52" s="174" t="s">
        <v>14</v>
      </c>
      <c r="C52" s="174"/>
      <c r="D52" s="92">
        <f>SUM(D6:D51)</f>
        <v>531563</v>
      </c>
      <c r="E52" s="86">
        <f>SUM(E6:E51)</f>
        <v>517077</v>
      </c>
      <c r="F52" s="174" t="s">
        <v>14</v>
      </c>
      <c r="G52" s="174"/>
      <c r="H52" s="100">
        <f>SUM(H6:H51)</f>
        <v>531563</v>
      </c>
    </row>
    <row r="53" spans="1:13" ht="7.95" customHeight="1" thickTop="1" x14ac:dyDescent="0.3">
      <c r="A53" s="101"/>
      <c r="B53"/>
      <c r="C53" s="61"/>
      <c r="D53" s="62"/>
      <c r="E53" s="62"/>
      <c r="F53"/>
      <c r="G53" s="61">
        <f>A52-E52</f>
        <v>0</v>
      </c>
      <c r="H53" s="102">
        <f>H52-D52</f>
        <v>0</v>
      </c>
    </row>
    <row r="54" spans="1:13" ht="15" customHeight="1" x14ac:dyDescent="0.25">
      <c r="A54" s="103" t="s">
        <v>290</v>
      </c>
      <c r="B54" s="66"/>
      <c r="C54" s="67"/>
      <c r="D54" s="66"/>
      <c r="E54" s="172" t="s">
        <v>296</v>
      </c>
      <c r="F54" s="172"/>
      <c r="G54" s="172"/>
      <c r="H54" s="189"/>
    </row>
    <row r="55" spans="1:13" ht="15" customHeight="1" x14ac:dyDescent="0.25">
      <c r="A55" s="104"/>
      <c r="B55" s="66"/>
      <c r="C55" s="67"/>
      <c r="D55" s="66"/>
      <c r="E55" s="66"/>
      <c r="F55" s="66"/>
      <c r="G55" s="66"/>
      <c r="H55" s="105"/>
    </row>
    <row r="56" spans="1:13" ht="15" customHeight="1" x14ac:dyDescent="0.25">
      <c r="A56" s="104"/>
      <c r="B56" s="66"/>
      <c r="C56" s="67"/>
      <c r="D56" s="66"/>
      <c r="E56" s="66"/>
      <c r="F56" s="72"/>
      <c r="G56" s="72"/>
      <c r="H56" s="106"/>
    </row>
    <row r="57" spans="1:13" customFormat="1" ht="15" customHeight="1" x14ac:dyDescent="0.3">
      <c r="A57" s="104"/>
      <c r="B57" s="66"/>
      <c r="C57" s="67"/>
      <c r="D57" s="66"/>
      <c r="E57" s="66"/>
      <c r="F57" s="72"/>
      <c r="G57" s="72"/>
      <c r="H57" s="106"/>
      <c r="J57" s="64"/>
    </row>
    <row r="58" spans="1:13" s="69" customFormat="1" ht="15" customHeight="1" x14ac:dyDescent="0.25">
      <c r="A58" s="107" t="s">
        <v>291</v>
      </c>
      <c r="B58" s="75"/>
      <c r="C58" s="76"/>
      <c r="D58" s="66"/>
      <c r="E58" s="66"/>
      <c r="F58" s="72"/>
      <c r="G58" s="72"/>
      <c r="H58" s="106"/>
      <c r="I58" s="67"/>
      <c r="J58" s="66"/>
      <c r="K58" s="66"/>
      <c r="L58" s="68"/>
      <c r="M58" s="68"/>
    </row>
    <row r="59" spans="1:13" s="66" customFormat="1" ht="15" customHeight="1" x14ac:dyDescent="0.25">
      <c r="A59" s="108" t="s">
        <v>292</v>
      </c>
      <c r="B59" s="75"/>
      <c r="C59" s="76"/>
      <c r="E59" s="172" t="s">
        <v>293</v>
      </c>
      <c r="F59" s="172"/>
      <c r="G59" s="172"/>
      <c r="H59" s="189"/>
      <c r="I59" s="67"/>
    </row>
    <row r="60" spans="1:13" s="66" customFormat="1" ht="15" customHeight="1" x14ac:dyDescent="0.25">
      <c r="A60" s="108" t="s">
        <v>294</v>
      </c>
      <c r="B60" s="75"/>
      <c r="C60" s="76"/>
      <c r="E60" s="72"/>
      <c r="F60" s="72"/>
      <c r="G60" s="72"/>
      <c r="H60" s="106"/>
      <c r="I60" s="67"/>
    </row>
    <row r="61" spans="1:13" s="66" customFormat="1" ht="15" customHeight="1" x14ac:dyDescent="0.25">
      <c r="A61" s="188">
        <f>+BS!A44</f>
        <v>46234</v>
      </c>
      <c r="B61" s="171"/>
      <c r="C61" s="171"/>
      <c r="H61" s="105"/>
      <c r="I61" s="67"/>
    </row>
    <row r="62" spans="1:13" s="66" customFormat="1" ht="7.95" customHeight="1" thickBot="1" x14ac:dyDescent="0.3">
      <c r="A62" s="109"/>
      <c r="B62" s="110"/>
      <c r="C62" s="111"/>
      <c r="D62" s="110"/>
      <c r="E62" s="111"/>
      <c r="F62" s="110"/>
      <c r="G62" s="110"/>
      <c r="H62" s="112"/>
      <c r="I62" s="67"/>
    </row>
    <row r="63" spans="1:13" s="66" customFormat="1" ht="7.95" customHeight="1" x14ac:dyDescent="0.25">
      <c r="A63" s="17"/>
      <c r="B63" s="17"/>
      <c r="C63" s="17"/>
      <c r="D63" s="22"/>
      <c r="E63" s="17"/>
      <c r="F63" s="17"/>
      <c r="G63" s="17"/>
      <c r="H63" s="22"/>
      <c r="I63" s="67"/>
    </row>
    <row r="64" spans="1:13" s="66" customFormat="1" ht="15" customHeight="1" x14ac:dyDescent="0.25">
      <c r="A64" s="17"/>
      <c r="B64" s="17"/>
      <c r="C64" s="17"/>
      <c r="D64" s="22"/>
      <c r="E64" s="17"/>
      <c r="F64" s="17"/>
      <c r="G64" s="17"/>
      <c r="H64" s="22"/>
      <c r="I64" s="67"/>
    </row>
    <row r="65" spans="1:9" s="66" customFormat="1" ht="15" customHeight="1" x14ac:dyDescent="0.25">
      <c r="A65" s="17"/>
      <c r="B65" s="17"/>
      <c r="C65" s="17"/>
      <c r="D65" s="22"/>
      <c r="E65" s="17"/>
      <c r="F65" s="17"/>
      <c r="G65" s="17"/>
      <c r="H65" s="22"/>
      <c r="I65" s="67"/>
    </row>
    <row r="66" spans="1:9" s="66" customFormat="1" ht="15" customHeight="1" x14ac:dyDescent="0.25">
      <c r="A66" s="17"/>
      <c r="B66" s="17"/>
      <c r="C66" s="17"/>
      <c r="D66" s="22"/>
      <c r="E66" s="17"/>
      <c r="F66" s="17"/>
      <c r="G66" s="17"/>
      <c r="H66" s="22"/>
      <c r="I66" s="67"/>
    </row>
    <row r="67" spans="1:9" ht="15" customHeight="1" x14ac:dyDescent="0.3"/>
  </sheetData>
  <mergeCells count="11">
    <mergeCell ref="A61:C61"/>
    <mergeCell ref="E59:H59"/>
    <mergeCell ref="A1:H1"/>
    <mergeCell ref="A2:H2"/>
    <mergeCell ref="A3:H3"/>
    <mergeCell ref="A4:H4"/>
    <mergeCell ref="B5:C5"/>
    <mergeCell ref="F5:G5"/>
    <mergeCell ref="B52:C52"/>
    <mergeCell ref="F52:G52"/>
    <mergeCell ref="E54:H54"/>
  </mergeCells>
  <printOptions horizontalCentered="1"/>
  <pageMargins left="0.39370078740157483" right="0.23622047244094491" top="0.39370078740157483" bottom="0.39370078740157483" header="0.31496062992125984" footer="0.31496062992125984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view="pageBreakPreview" topLeftCell="A9" zoomScaleNormal="100" zoomScaleSheetLayoutView="100" workbookViewId="0">
      <selection activeCell="A45" sqref="A45"/>
    </sheetView>
  </sheetViews>
  <sheetFormatPr defaultColWidth="8.88671875" defaultRowHeight="14.4" x14ac:dyDescent="0.3"/>
  <cols>
    <col min="1" max="1" width="13.33203125" style="17" customWidth="1"/>
    <col min="2" max="2" width="41.33203125" style="17" bestFit="1" customWidth="1"/>
    <col min="3" max="3" width="13.33203125" style="17" customWidth="1"/>
    <col min="4" max="4" width="13.33203125" style="22" customWidth="1"/>
    <col min="5" max="6" width="8.88671875" style="17"/>
    <col min="7" max="7" width="9.88671875" style="17" bestFit="1" customWidth="1"/>
    <col min="8" max="8" width="8.88671875" style="17"/>
    <col min="9" max="10" width="9.88671875" style="17" bestFit="1" customWidth="1"/>
    <col min="11" max="16384" width="8.88671875" style="17"/>
  </cols>
  <sheetData>
    <row r="1" spans="1:10" ht="18" x14ac:dyDescent="0.3">
      <c r="A1" s="175" t="s">
        <v>96</v>
      </c>
      <c r="B1" s="176"/>
      <c r="C1" s="176"/>
      <c r="D1" s="177"/>
    </row>
    <row r="2" spans="1:10" ht="15" thickBot="1" x14ac:dyDescent="0.35">
      <c r="A2" s="198" t="s">
        <v>237</v>
      </c>
      <c r="B2" s="199"/>
      <c r="C2" s="199"/>
      <c r="D2" s="200"/>
    </row>
    <row r="3" spans="1:10" ht="15" thickBot="1" x14ac:dyDescent="0.35">
      <c r="A3" s="114" t="s">
        <v>177</v>
      </c>
      <c r="B3" s="113" t="s">
        <v>94</v>
      </c>
      <c r="C3" s="115"/>
      <c r="D3" s="116" t="s">
        <v>238</v>
      </c>
    </row>
    <row r="4" spans="1:10" x14ac:dyDescent="0.3">
      <c r="A4" s="10"/>
      <c r="B4" s="22" t="s">
        <v>64</v>
      </c>
      <c r="C4" s="10"/>
      <c r="D4" s="117"/>
    </row>
    <row r="5" spans="1:10" x14ac:dyDescent="0.3">
      <c r="A5" s="10">
        <v>116266</v>
      </c>
      <c r="B5" s="17" t="s">
        <v>97</v>
      </c>
      <c r="C5" s="10">
        <f>SUM(A5:A8)</f>
        <v>193456</v>
      </c>
      <c r="D5" s="117"/>
      <c r="G5" s="21"/>
      <c r="H5" s="21"/>
      <c r="I5" s="21"/>
      <c r="J5" s="21"/>
    </row>
    <row r="6" spans="1:10" x14ac:dyDescent="0.3">
      <c r="A6" s="10">
        <v>54200</v>
      </c>
      <c r="B6" s="17" t="s">
        <v>98</v>
      </c>
      <c r="C6" s="10">
        <v>78700</v>
      </c>
      <c r="D6" s="117"/>
      <c r="G6" s="21"/>
      <c r="H6" s="21"/>
      <c r="I6" s="21"/>
      <c r="J6" s="21"/>
    </row>
    <row r="7" spans="1:10" x14ac:dyDescent="0.3">
      <c r="A7" s="10">
        <v>10309</v>
      </c>
      <c r="B7" s="17" t="s">
        <v>99</v>
      </c>
      <c r="C7" s="10">
        <v>0</v>
      </c>
      <c r="D7" s="117"/>
      <c r="G7" s="21"/>
      <c r="H7" s="21"/>
      <c r="I7" s="21"/>
      <c r="J7" s="21"/>
    </row>
    <row r="8" spans="1:10" x14ac:dyDescent="0.3">
      <c r="A8" s="10">
        <v>12681</v>
      </c>
      <c r="B8" s="17" t="s">
        <v>100</v>
      </c>
      <c r="C8" s="118">
        <v>17232</v>
      </c>
      <c r="D8" s="117">
        <f>SUM(C5:C8)</f>
        <v>289388</v>
      </c>
      <c r="G8" s="21"/>
      <c r="H8" s="21"/>
      <c r="I8" s="21"/>
      <c r="J8" s="21"/>
    </row>
    <row r="9" spans="1:10" x14ac:dyDescent="0.3">
      <c r="A9" s="10"/>
      <c r="C9" s="10"/>
      <c r="D9" s="117"/>
      <c r="G9" s="21"/>
      <c r="H9" s="21"/>
      <c r="I9" s="21"/>
      <c r="J9" s="21"/>
    </row>
    <row r="10" spans="1:10" x14ac:dyDescent="0.3">
      <c r="A10" s="10"/>
      <c r="B10" s="22" t="s">
        <v>66</v>
      </c>
      <c r="C10" s="10"/>
      <c r="D10" s="117"/>
      <c r="G10" s="21"/>
      <c r="H10" s="21"/>
      <c r="I10" s="21"/>
      <c r="J10" s="21"/>
    </row>
    <row r="11" spans="1:10" x14ac:dyDescent="0.3">
      <c r="A11" s="10">
        <v>128875</v>
      </c>
      <c r="B11" s="17" t="s">
        <v>97</v>
      </c>
      <c r="C11" s="10">
        <f>SUM(A11:A12)</f>
        <v>138034</v>
      </c>
      <c r="D11" s="117"/>
      <c r="G11" s="21"/>
      <c r="H11" s="21"/>
      <c r="I11" s="21"/>
      <c r="J11" s="21"/>
    </row>
    <row r="12" spans="1:10" x14ac:dyDescent="0.3">
      <c r="A12" s="10">
        <v>9159</v>
      </c>
      <c r="B12" s="17" t="s">
        <v>100</v>
      </c>
      <c r="C12" s="118">
        <v>9900</v>
      </c>
      <c r="D12" s="117">
        <f>SUM(C11:C12)</f>
        <v>147934</v>
      </c>
      <c r="G12" s="21"/>
      <c r="H12" s="21"/>
      <c r="I12" s="21"/>
      <c r="J12" s="21"/>
    </row>
    <row r="13" spans="1:10" x14ac:dyDescent="0.3">
      <c r="A13" s="10"/>
      <c r="C13" s="10"/>
      <c r="D13" s="117"/>
      <c r="G13" s="21"/>
      <c r="H13" s="21"/>
      <c r="I13" s="21"/>
      <c r="J13" s="21"/>
    </row>
    <row r="14" spans="1:10" x14ac:dyDescent="0.3">
      <c r="A14" s="10"/>
      <c r="B14" s="22" t="s">
        <v>149</v>
      </c>
      <c r="C14" s="10"/>
      <c r="D14" s="117"/>
      <c r="G14" s="21"/>
      <c r="H14" s="21"/>
      <c r="I14" s="21"/>
      <c r="J14" s="21"/>
    </row>
    <row r="15" spans="1:10" x14ac:dyDescent="0.3">
      <c r="A15" s="10">
        <v>133117</v>
      </c>
      <c r="B15" s="17" t="s">
        <v>97</v>
      </c>
      <c r="C15" s="10">
        <f>SUM(A15:A16)</f>
        <v>143212</v>
      </c>
      <c r="D15" s="117"/>
      <c r="G15" s="21"/>
      <c r="H15" s="21"/>
      <c r="I15" s="21"/>
      <c r="J15" s="21"/>
    </row>
    <row r="16" spans="1:10" x14ac:dyDescent="0.3">
      <c r="A16" s="10">
        <v>10095</v>
      </c>
      <c r="B16" s="17" t="s">
        <v>101</v>
      </c>
      <c r="C16" s="118">
        <v>10760</v>
      </c>
      <c r="D16" s="117">
        <f>SUM(C15:C16)</f>
        <v>153972</v>
      </c>
      <c r="G16" s="21"/>
      <c r="H16" s="21"/>
      <c r="I16" s="21"/>
      <c r="J16" s="21"/>
    </row>
    <row r="17" spans="1:10" x14ac:dyDescent="0.3">
      <c r="A17" s="10"/>
      <c r="C17" s="10"/>
      <c r="D17" s="117"/>
      <c r="G17" s="21"/>
      <c r="H17" s="21"/>
      <c r="I17" s="21"/>
      <c r="J17" s="21"/>
    </row>
    <row r="18" spans="1:10" x14ac:dyDescent="0.3">
      <c r="A18" s="10"/>
      <c r="B18" s="22" t="s">
        <v>6</v>
      </c>
      <c r="C18" s="10"/>
      <c r="D18" s="117"/>
      <c r="G18" s="21"/>
      <c r="H18" s="21"/>
      <c r="I18" s="21"/>
      <c r="J18" s="21"/>
    </row>
    <row r="19" spans="1:10" x14ac:dyDescent="0.3">
      <c r="A19" s="10">
        <v>165556</v>
      </c>
      <c r="B19" s="17" t="s">
        <v>97</v>
      </c>
      <c r="C19" s="10">
        <f>SUM(A19:A21)</f>
        <v>184476</v>
      </c>
      <c r="D19" s="117"/>
      <c r="G19" s="21"/>
      <c r="H19" s="21"/>
      <c r="I19" s="21"/>
      <c r="J19" s="21"/>
    </row>
    <row r="20" spans="1:10" x14ac:dyDescent="0.3">
      <c r="A20" s="10">
        <v>7984</v>
      </c>
      <c r="B20" s="17" t="s">
        <v>95</v>
      </c>
      <c r="C20" s="10">
        <v>7984</v>
      </c>
      <c r="D20" s="117"/>
      <c r="G20" s="21"/>
      <c r="H20" s="21"/>
      <c r="I20" s="21"/>
      <c r="J20" s="21"/>
    </row>
    <row r="21" spans="1:10" x14ac:dyDescent="0.3">
      <c r="A21" s="10">
        <v>10936</v>
      </c>
      <c r="B21" s="17" t="s">
        <v>101</v>
      </c>
      <c r="C21" s="118">
        <v>13233</v>
      </c>
      <c r="D21" s="117">
        <f>SUM(C19:C21)</f>
        <v>205693</v>
      </c>
      <c r="G21" s="21"/>
      <c r="H21" s="21"/>
      <c r="I21" s="21"/>
      <c r="J21" s="21"/>
    </row>
    <row r="22" spans="1:10" x14ac:dyDescent="0.3">
      <c r="A22" s="10"/>
      <c r="C22" s="10"/>
      <c r="D22" s="117"/>
      <c r="G22" s="21"/>
      <c r="H22" s="21"/>
      <c r="I22" s="21"/>
      <c r="J22" s="21"/>
    </row>
    <row r="23" spans="1:10" x14ac:dyDescent="0.3">
      <c r="A23" s="10"/>
      <c r="B23" s="22" t="s">
        <v>16</v>
      </c>
      <c r="C23" s="10"/>
      <c r="D23" s="117"/>
      <c r="G23" s="21"/>
      <c r="H23" s="21"/>
      <c r="I23" s="21"/>
      <c r="J23" s="21"/>
    </row>
    <row r="24" spans="1:10" x14ac:dyDescent="0.3">
      <c r="A24" s="10">
        <v>133411</v>
      </c>
      <c r="B24" s="17" t="s">
        <v>97</v>
      </c>
      <c r="C24" s="10">
        <f>SUM(A24:A26)</f>
        <v>166523</v>
      </c>
      <c r="D24" s="117"/>
      <c r="G24" s="21"/>
      <c r="H24" s="21"/>
      <c r="I24" s="21"/>
      <c r="J24" s="21"/>
    </row>
    <row r="25" spans="1:10" x14ac:dyDescent="0.3">
      <c r="A25" s="10">
        <v>23956</v>
      </c>
      <c r="B25" s="17" t="s">
        <v>95</v>
      </c>
      <c r="C25" s="10">
        <v>23956</v>
      </c>
      <c r="D25" s="117"/>
      <c r="G25" s="21"/>
      <c r="H25" s="21"/>
      <c r="I25" s="21"/>
      <c r="J25" s="21"/>
    </row>
    <row r="26" spans="1:10" x14ac:dyDescent="0.3">
      <c r="A26" s="10">
        <v>9156</v>
      </c>
      <c r="B26" s="17" t="s">
        <v>101</v>
      </c>
      <c r="C26" s="118">
        <v>11978</v>
      </c>
      <c r="D26" s="117">
        <f>SUM(C24:C26)</f>
        <v>202457</v>
      </c>
      <c r="G26" s="21"/>
      <c r="H26" s="21"/>
      <c r="I26" s="21"/>
      <c r="J26" s="21"/>
    </row>
    <row r="27" spans="1:10" x14ac:dyDescent="0.3">
      <c r="A27" s="10"/>
      <c r="C27" s="10"/>
      <c r="D27" s="117"/>
      <c r="G27" s="21"/>
      <c r="H27" s="21"/>
      <c r="I27" s="21"/>
      <c r="J27" s="21"/>
    </row>
    <row r="28" spans="1:10" x14ac:dyDescent="0.3">
      <c r="A28" s="10"/>
      <c r="B28" s="22" t="s">
        <v>65</v>
      </c>
      <c r="C28" s="10"/>
      <c r="D28" s="117"/>
      <c r="G28" s="21"/>
      <c r="H28" s="21"/>
      <c r="I28" s="21"/>
      <c r="J28" s="21"/>
    </row>
    <row r="29" spans="1:10" x14ac:dyDescent="0.3">
      <c r="A29" s="10">
        <v>136380</v>
      </c>
      <c r="B29" s="17" t="s">
        <v>97</v>
      </c>
      <c r="C29" s="10">
        <f>SUM(A29:A31)</f>
        <v>137847</v>
      </c>
      <c r="D29" s="117"/>
      <c r="G29" s="21"/>
      <c r="H29" s="21"/>
      <c r="I29" s="21"/>
      <c r="J29" s="21"/>
    </row>
    <row r="30" spans="1:10" x14ac:dyDescent="0.3">
      <c r="A30" s="10">
        <v>-9028</v>
      </c>
      <c r="B30" s="17" t="s">
        <v>162</v>
      </c>
      <c r="C30" s="10">
        <v>-6470</v>
      </c>
      <c r="D30" s="117"/>
      <c r="G30" s="21"/>
      <c r="H30" s="21"/>
      <c r="I30" s="21"/>
      <c r="J30" s="21"/>
    </row>
    <row r="31" spans="1:10" x14ac:dyDescent="0.3">
      <c r="A31" s="10">
        <v>10495</v>
      </c>
      <c r="B31" s="17" t="s">
        <v>101</v>
      </c>
      <c r="C31" s="118">
        <v>11451</v>
      </c>
      <c r="D31" s="117">
        <f>SUM(C29:C31)</f>
        <v>142828</v>
      </c>
      <c r="G31" s="21"/>
      <c r="H31" s="21"/>
      <c r="I31" s="21"/>
      <c r="J31" s="21"/>
    </row>
    <row r="32" spans="1:10" x14ac:dyDescent="0.3">
      <c r="A32" s="10"/>
      <c r="C32" s="10"/>
      <c r="D32" s="117"/>
      <c r="G32" s="21"/>
      <c r="H32" s="21"/>
      <c r="I32" s="21"/>
      <c r="J32" s="21"/>
    </row>
    <row r="33" spans="1:10" x14ac:dyDescent="0.3">
      <c r="A33" s="10"/>
      <c r="B33" s="22" t="s">
        <v>67</v>
      </c>
      <c r="C33" s="10"/>
      <c r="D33" s="117"/>
      <c r="G33" s="21"/>
      <c r="H33" s="21"/>
      <c r="I33" s="21"/>
      <c r="J33" s="21"/>
    </row>
    <row r="34" spans="1:10" x14ac:dyDescent="0.3">
      <c r="A34" s="10">
        <v>221813</v>
      </c>
      <c r="B34" s="17" t="s">
        <v>97</v>
      </c>
      <c r="C34" s="10">
        <f>SUM(A34:A36)</f>
        <v>260748</v>
      </c>
      <c r="D34" s="117"/>
      <c r="G34" s="21"/>
      <c r="H34" s="21"/>
      <c r="I34" s="21"/>
      <c r="J34" s="21"/>
    </row>
    <row r="35" spans="1:10" x14ac:dyDescent="0.3">
      <c r="A35" s="10">
        <v>21600</v>
      </c>
      <c r="B35" s="17" t="s">
        <v>95</v>
      </c>
      <c r="C35" s="10">
        <v>21600</v>
      </c>
      <c r="D35" s="117"/>
      <c r="G35" s="21"/>
      <c r="H35" s="21"/>
      <c r="I35" s="21"/>
      <c r="J35" s="21"/>
    </row>
    <row r="36" spans="1:10" x14ac:dyDescent="0.3">
      <c r="A36" s="10">
        <v>17335</v>
      </c>
      <c r="B36" s="17" t="s">
        <v>101</v>
      </c>
      <c r="C36" s="118">
        <v>18595</v>
      </c>
      <c r="D36" s="117">
        <f>+SUM(C34:C36)</f>
        <v>300943</v>
      </c>
      <c r="G36" s="21"/>
      <c r="H36" s="21"/>
      <c r="I36" s="21"/>
      <c r="J36" s="21"/>
    </row>
    <row r="37" spans="1:10" x14ac:dyDescent="0.3">
      <c r="A37" s="10"/>
      <c r="C37" s="10"/>
      <c r="D37" s="117"/>
      <c r="G37" s="21"/>
      <c r="H37" s="21"/>
      <c r="I37" s="21"/>
      <c r="J37" s="21"/>
    </row>
    <row r="38" spans="1:10" x14ac:dyDescent="0.3">
      <c r="A38" s="10"/>
      <c r="B38" s="22" t="s">
        <v>150</v>
      </c>
      <c r="C38" s="10"/>
      <c r="D38" s="117"/>
      <c r="G38" s="21"/>
      <c r="H38" s="21"/>
      <c r="I38" s="21"/>
      <c r="J38" s="21"/>
    </row>
    <row r="39" spans="1:10" x14ac:dyDescent="0.3">
      <c r="A39" s="10">
        <v>29621</v>
      </c>
      <c r="B39" s="17" t="s">
        <v>97</v>
      </c>
      <c r="C39" s="10">
        <f>SUM(A39:A41)</f>
        <v>36146</v>
      </c>
      <c r="D39" s="117"/>
      <c r="G39" s="21"/>
      <c r="H39" s="21"/>
      <c r="I39" s="21"/>
      <c r="J39" s="21"/>
    </row>
    <row r="40" spans="1:10" x14ac:dyDescent="0.3">
      <c r="A40" s="10">
        <v>4320</v>
      </c>
      <c r="B40" s="17" t="s">
        <v>95</v>
      </c>
      <c r="C40" s="10">
        <v>4320</v>
      </c>
      <c r="D40" s="117"/>
      <c r="G40" s="21"/>
      <c r="H40" s="21"/>
      <c r="I40" s="21"/>
      <c r="J40" s="21"/>
    </row>
    <row r="41" spans="1:10" ht="15" thickBot="1" x14ac:dyDescent="0.35">
      <c r="A41" s="10">
        <v>2205</v>
      </c>
      <c r="B41" s="17" t="s">
        <v>101</v>
      </c>
      <c r="C41" s="10">
        <v>2760</v>
      </c>
      <c r="D41" s="117">
        <f>SUM(C39:C41)</f>
        <v>43226</v>
      </c>
      <c r="G41" s="21"/>
      <c r="H41" s="21"/>
      <c r="I41" s="21"/>
      <c r="J41" s="21"/>
    </row>
    <row r="42" spans="1:10" ht="22.2" customHeight="1" thickBot="1" x14ac:dyDescent="0.35">
      <c r="A42" s="119">
        <f>SUM(A5:A41)</f>
        <v>1260442</v>
      </c>
      <c r="B42" s="120" t="s">
        <v>14</v>
      </c>
      <c r="C42" s="121"/>
      <c r="D42" s="122">
        <f>SUM(D5:D41)</f>
        <v>1486441</v>
      </c>
      <c r="G42" s="21"/>
      <c r="H42" s="21"/>
      <c r="I42" s="21"/>
      <c r="J42" s="21"/>
    </row>
  </sheetData>
  <mergeCells count="2">
    <mergeCell ref="A2:D2"/>
    <mergeCell ref="A1:D1"/>
  </mergeCells>
  <printOptions horizontalCentered="1"/>
  <pageMargins left="0.39370078740157483" right="0.19685039370078741" top="0.39370078740157483" bottom="0.19685039370078741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1"/>
  <sheetViews>
    <sheetView view="pageBreakPreview" zoomScaleNormal="100" zoomScaleSheetLayoutView="100" workbookViewId="0">
      <pane xSplit="1" ySplit="3" topLeftCell="B65" activePane="bottomRight" state="frozen"/>
      <selection activeCell="A45" sqref="A45"/>
      <selection pane="topRight" activeCell="A45" sqref="A45"/>
      <selection pane="bottomLeft" activeCell="A45" sqref="A45"/>
      <selection pane="bottomRight" activeCell="A45" sqref="A45"/>
    </sheetView>
  </sheetViews>
  <sheetFormatPr defaultColWidth="8.88671875" defaultRowHeight="14.4" x14ac:dyDescent="0.3"/>
  <cols>
    <col min="1" max="1" width="3.21875" style="1" bestFit="1" customWidth="1"/>
    <col min="2" max="2" width="23.88671875" style="31" bestFit="1" customWidth="1"/>
    <col min="3" max="3" width="12.77734375" style="1" customWidth="1"/>
    <col min="4" max="4" width="12.77734375" style="7" customWidth="1"/>
    <col min="5" max="8" width="12.77734375" style="6" customWidth="1"/>
    <col min="9" max="9" width="12.77734375" style="7" customWidth="1"/>
    <col min="10" max="10" width="12.77734375" style="6" customWidth="1"/>
    <col min="11" max="11" width="7.77734375" style="6" bestFit="1" customWidth="1"/>
    <col min="12" max="12" width="6.109375" style="1" bestFit="1" customWidth="1"/>
    <col min="13" max="13" width="24.6640625" bestFit="1" customWidth="1"/>
  </cols>
  <sheetData>
    <row r="1" spans="1:14" ht="18" x14ac:dyDescent="0.35">
      <c r="A1" s="167" t="str">
        <f>BS!A1</f>
        <v>DIAGO CO-OPERATIVE HOUSING SOCIETY LIMITED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4" x14ac:dyDescent="0.3">
      <c r="A2" s="169" t="s">
        <v>268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4" s="27" customFormat="1" ht="28.8" x14ac:dyDescent="0.3">
      <c r="A3" s="26" t="s">
        <v>62</v>
      </c>
      <c r="B3" s="26" t="s">
        <v>7</v>
      </c>
      <c r="C3" s="26" t="s">
        <v>12</v>
      </c>
      <c r="D3" s="8" t="s">
        <v>13</v>
      </c>
      <c r="E3" s="8" t="s">
        <v>188</v>
      </c>
      <c r="F3" s="8" t="s">
        <v>249</v>
      </c>
      <c r="G3" s="8" t="s">
        <v>63</v>
      </c>
      <c r="H3" s="8" t="s">
        <v>14</v>
      </c>
      <c r="I3" s="8" t="s">
        <v>9</v>
      </c>
      <c r="J3" s="8" t="s">
        <v>11</v>
      </c>
      <c r="K3" s="26" t="s">
        <v>15</v>
      </c>
      <c r="L3" s="26" t="s">
        <v>8</v>
      </c>
    </row>
    <row r="4" spans="1:14" x14ac:dyDescent="0.3">
      <c r="B4" s="28" t="s">
        <v>6</v>
      </c>
    </row>
    <row r="5" spans="1:14" x14ac:dyDescent="0.3">
      <c r="A5" s="2">
        <v>1</v>
      </c>
      <c r="B5" s="29" t="s">
        <v>187</v>
      </c>
      <c r="C5" s="2" t="s">
        <v>140</v>
      </c>
      <c r="D5" s="11">
        <v>13194</v>
      </c>
      <c r="E5" s="11">
        <f>302-30</f>
        <v>272</v>
      </c>
      <c r="F5" s="11">
        <f>965-96</f>
        <v>869</v>
      </c>
      <c r="G5" s="11">
        <f>+E5+F5</f>
        <v>1141</v>
      </c>
      <c r="H5" s="12">
        <f t="shared" ref="H5:H16" si="0">D5+G5</f>
        <v>14335</v>
      </c>
      <c r="I5" s="3" t="s">
        <v>212</v>
      </c>
      <c r="J5" s="16">
        <v>16248</v>
      </c>
      <c r="K5" s="5">
        <v>7.0000000000000007E-2</v>
      </c>
      <c r="L5" s="2" t="s">
        <v>70</v>
      </c>
    </row>
    <row r="6" spans="1:14" x14ac:dyDescent="0.3">
      <c r="A6" s="2">
        <v>2</v>
      </c>
      <c r="B6" s="29" t="s">
        <v>189</v>
      </c>
      <c r="C6" s="2" t="s">
        <v>145</v>
      </c>
      <c r="D6" s="11">
        <v>7366</v>
      </c>
      <c r="E6" s="11">
        <f>432-44</f>
        <v>388</v>
      </c>
      <c r="F6" s="11">
        <f>556-56</f>
        <v>500</v>
      </c>
      <c r="G6" s="11">
        <f t="shared" ref="G6:G16" si="1">+E6+F6</f>
        <v>888</v>
      </c>
      <c r="H6" s="12">
        <f t="shared" si="0"/>
        <v>8254</v>
      </c>
      <c r="I6" s="3" t="s">
        <v>213</v>
      </c>
      <c r="J6" s="16">
        <v>9071</v>
      </c>
      <c r="K6" s="5">
        <v>7.0000000000000007E-2</v>
      </c>
      <c r="L6" s="2" t="s">
        <v>70</v>
      </c>
    </row>
    <row r="7" spans="1:14" x14ac:dyDescent="0.3">
      <c r="A7" s="2">
        <v>3</v>
      </c>
      <c r="B7" s="29" t="s">
        <v>190</v>
      </c>
      <c r="C7" s="2" t="s">
        <v>143</v>
      </c>
      <c r="D7" s="11">
        <v>7281</v>
      </c>
      <c r="E7" s="11">
        <f>398-39</f>
        <v>359</v>
      </c>
      <c r="F7" s="11">
        <f>548-55</f>
        <v>493</v>
      </c>
      <c r="G7" s="11">
        <f t="shared" si="1"/>
        <v>852</v>
      </c>
      <c r="H7" s="12">
        <f t="shared" si="0"/>
        <v>8133</v>
      </c>
      <c r="I7" s="3" t="s">
        <v>214</v>
      </c>
      <c r="J7" s="16">
        <v>8966</v>
      </c>
      <c r="K7" s="5">
        <v>7.0000000000000007E-2</v>
      </c>
      <c r="L7" s="2" t="s">
        <v>70</v>
      </c>
    </row>
    <row r="8" spans="1:14" x14ac:dyDescent="0.3">
      <c r="A8" s="2">
        <v>4</v>
      </c>
      <c r="B8" s="29" t="s">
        <v>191</v>
      </c>
      <c r="C8" s="2" t="s">
        <v>144</v>
      </c>
      <c r="D8" s="11">
        <v>19266</v>
      </c>
      <c r="E8" s="11">
        <f>1065-107</f>
        <v>958</v>
      </c>
      <c r="F8" s="11">
        <f>1450-143</f>
        <v>1307</v>
      </c>
      <c r="G8" s="11">
        <f t="shared" si="1"/>
        <v>2265</v>
      </c>
      <c r="H8" s="12">
        <f t="shared" si="0"/>
        <v>21531</v>
      </c>
      <c r="I8" s="3" t="s">
        <v>215</v>
      </c>
      <c r="J8" s="16">
        <v>23725</v>
      </c>
      <c r="K8" s="5">
        <v>7.0000000000000007E-2</v>
      </c>
      <c r="L8" s="2" t="s">
        <v>70</v>
      </c>
    </row>
    <row r="9" spans="1:14" x14ac:dyDescent="0.3">
      <c r="A9" s="2">
        <v>5</v>
      </c>
      <c r="B9" s="29" t="s">
        <v>217</v>
      </c>
      <c r="C9" s="2" t="s">
        <v>139</v>
      </c>
      <c r="D9" s="11">
        <v>11492</v>
      </c>
      <c r="E9" s="11">
        <f>9-1</f>
        <v>8</v>
      </c>
      <c r="F9" s="11">
        <f>885-89</f>
        <v>796</v>
      </c>
      <c r="G9" s="11">
        <f t="shared" si="1"/>
        <v>804</v>
      </c>
      <c r="H9" s="12">
        <f t="shared" si="0"/>
        <v>12296</v>
      </c>
      <c r="I9" s="3" t="s">
        <v>208</v>
      </c>
      <c r="J9" s="16">
        <v>12688</v>
      </c>
      <c r="K9" s="5">
        <v>7.4999999999999997E-2</v>
      </c>
      <c r="L9" s="2" t="s">
        <v>70</v>
      </c>
    </row>
    <row r="10" spans="1:14" x14ac:dyDescent="0.3">
      <c r="A10" s="2">
        <v>6</v>
      </c>
      <c r="B10" s="29" t="s">
        <v>216</v>
      </c>
      <c r="C10" s="2" t="s">
        <v>139</v>
      </c>
      <c r="D10" s="11">
        <v>26590</v>
      </c>
      <c r="E10" s="11">
        <f>21-3</f>
        <v>18</v>
      </c>
      <c r="F10" s="11">
        <f>2047-204</f>
        <v>1843</v>
      </c>
      <c r="G10" s="11">
        <f t="shared" si="1"/>
        <v>1861</v>
      </c>
      <c r="H10" s="12">
        <f t="shared" si="0"/>
        <v>28451</v>
      </c>
      <c r="I10" s="3" t="s">
        <v>208</v>
      </c>
      <c r="J10" s="16">
        <v>29358</v>
      </c>
      <c r="K10" s="5">
        <v>7.4999999999999997E-2</v>
      </c>
      <c r="L10" s="2" t="s">
        <v>70</v>
      </c>
    </row>
    <row r="11" spans="1:14" x14ac:dyDescent="0.3">
      <c r="A11" s="2">
        <v>7</v>
      </c>
      <c r="B11" s="29" t="s">
        <v>192</v>
      </c>
      <c r="C11" s="2" t="s">
        <v>139</v>
      </c>
      <c r="D11" s="11">
        <v>3663</v>
      </c>
      <c r="E11" s="11">
        <f>3-0</f>
        <v>3</v>
      </c>
      <c r="F11" s="11">
        <f>282-27</f>
        <v>255</v>
      </c>
      <c r="G11" s="11">
        <f t="shared" si="1"/>
        <v>258</v>
      </c>
      <c r="H11" s="12">
        <f t="shared" si="0"/>
        <v>3921</v>
      </c>
      <c r="I11" s="3" t="s">
        <v>208</v>
      </c>
      <c r="J11" s="16">
        <v>4044</v>
      </c>
      <c r="K11" s="5">
        <v>7.4999999999999997E-2</v>
      </c>
      <c r="L11" s="2" t="s">
        <v>70</v>
      </c>
    </row>
    <row r="12" spans="1:14" x14ac:dyDescent="0.3">
      <c r="A12" s="2">
        <v>8</v>
      </c>
      <c r="B12" s="29" t="s">
        <v>193</v>
      </c>
      <c r="C12" s="2" t="s">
        <v>142</v>
      </c>
      <c r="D12" s="11">
        <v>6063</v>
      </c>
      <c r="E12" s="11">
        <f>242-25</f>
        <v>217</v>
      </c>
      <c r="F12" s="11">
        <f>450-45</f>
        <v>405</v>
      </c>
      <c r="G12" s="11">
        <f t="shared" si="1"/>
        <v>622</v>
      </c>
      <c r="H12" s="12">
        <f t="shared" si="0"/>
        <v>6685</v>
      </c>
      <c r="I12" s="3" t="s">
        <v>220</v>
      </c>
      <c r="J12" s="16">
        <v>7466</v>
      </c>
      <c r="K12" s="5">
        <v>7.0000000000000007E-2</v>
      </c>
      <c r="L12" s="2" t="s">
        <v>70</v>
      </c>
    </row>
    <row r="13" spans="1:14" x14ac:dyDescent="0.3">
      <c r="A13" s="2">
        <v>9</v>
      </c>
      <c r="B13" s="29" t="s">
        <v>218</v>
      </c>
      <c r="C13" s="2" t="s">
        <v>139</v>
      </c>
      <c r="D13" s="11">
        <v>3345</v>
      </c>
      <c r="E13" s="11">
        <f>3-1</f>
        <v>2</v>
      </c>
      <c r="F13" s="11">
        <f>257-24</f>
        <v>233</v>
      </c>
      <c r="G13" s="11">
        <f t="shared" si="1"/>
        <v>235</v>
      </c>
      <c r="H13" s="12">
        <f t="shared" si="0"/>
        <v>3580</v>
      </c>
      <c r="I13" s="3" t="s">
        <v>208</v>
      </c>
      <c r="J13" s="16">
        <v>3693</v>
      </c>
      <c r="K13" s="5">
        <v>7.4999999999999997E-2</v>
      </c>
      <c r="L13" s="2" t="s">
        <v>70</v>
      </c>
    </row>
    <row r="14" spans="1:14" x14ac:dyDescent="0.3">
      <c r="A14" s="2">
        <v>10</v>
      </c>
      <c r="B14" s="29" t="s">
        <v>207</v>
      </c>
      <c r="C14" s="2" t="s">
        <v>139</v>
      </c>
      <c r="D14" s="11">
        <v>8879</v>
      </c>
      <c r="E14" s="11">
        <f>7-1</f>
        <v>6</v>
      </c>
      <c r="F14" s="11">
        <f>684-68</f>
        <v>616</v>
      </c>
      <c r="G14" s="11">
        <f t="shared" si="1"/>
        <v>622</v>
      </c>
      <c r="H14" s="12">
        <f t="shared" si="0"/>
        <v>9501</v>
      </c>
      <c r="I14" s="3" t="s">
        <v>208</v>
      </c>
      <c r="J14" s="24">
        <v>9803</v>
      </c>
      <c r="K14" s="5">
        <v>7.4999999999999997E-2</v>
      </c>
      <c r="L14" s="2" t="s">
        <v>70</v>
      </c>
    </row>
    <row r="15" spans="1:14" x14ac:dyDescent="0.3">
      <c r="A15" s="2">
        <v>11</v>
      </c>
      <c r="B15" s="29" t="s">
        <v>261</v>
      </c>
      <c r="C15" s="2" t="s">
        <v>274</v>
      </c>
      <c r="D15" s="11">
        <v>53839</v>
      </c>
      <c r="E15" s="11">
        <v>0</v>
      </c>
      <c r="F15" s="11">
        <f>49-5</f>
        <v>44</v>
      </c>
      <c r="G15" s="11">
        <f t="shared" si="1"/>
        <v>44</v>
      </c>
      <c r="H15" s="12">
        <f t="shared" si="0"/>
        <v>53883</v>
      </c>
      <c r="I15" s="3" t="s">
        <v>281</v>
      </c>
      <c r="J15" s="24">
        <v>61612</v>
      </c>
      <c r="K15" s="5">
        <v>6.8000000000000005E-2</v>
      </c>
      <c r="L15" s="2" t="s">
        <v>70</v>
      </c>
      <c r="N15" s="30"/>
    </row>
    <row r="16" spans="1:14" x14ac:dyDescent="0.3">
      <c r="A16" s="2">
        <v>12</v>
      </c>
      <c r="B16" s="29" t="s">
        <v>253</v>
      </c>
      <c r="C16" s="2" t="s">
        <v>273</v>
      </c>
      <c r="D16" s="11">
        <v>32675</v>
      </c>
      <c r="E16" s="11">
        <v>0</v>
      </c>
      <c r="F16" s="11">
        <f>1781-178</f>
        <v>1603</v>
      </c>
      <c r="G16" s="11">
        <f t="shared" si="1"/>
        <v>1603</v>
      </c>
      <c r="H16" s="12">
        <f t="shared" si="0"/>
        <v>34278</v>
      </c>
      <c r="I16" s="3" t="s">
        <v>282</v>
      </c>
      <c r="J16" s="16">
        <v>37540</v>
      </c>
      <c r="K16" s="5">
        <v>7.0000000000000007E-2</v>
      </c>
      <c r="L16" s="2" t="s">
        <v>70</v>
      </c>
    </row>
    <row r="17" spans="1:15" ht="15" thickBot="1" x14ac:dyDescent="0.35">
      <c r="A17" s="123"/>
      <c r="B17" s="124"/>
      <c r="C17" s="123"/>
      <c r="D17" s="125">
        <f>SUM(D5:D16)</f>
        <v>193653</v>
      </c>
      <c r="E17" s="125">
        <f t="shared" ref="E17:G17" si="2">SUM(E5:E16)</f>
        <v>2231</v>
      </c>
      <c r="F17" s="125">
        <f t="shared" si="2"/>
        <v>8964</v>
      </c>
      <c r="G17" s="125">
        <f t="shared" si="2"/>
        <v>11195</v>
      </c>
      <c r="H17" s="125">
        <f>SUM(H5:H16)</f>
        <v>204848</v>
      </c>
      <c r="I17" s="126"/>
      <c r="J17" s="125">
        <f>SUM(J5:J16)</f>
        <v>224214</v>
      </c>
      <c r="K17" s="127"/>
      <c r="L17" s="123"/>
      <c r="O17" s="30"/>
    </row>
    <row r="18" spans="1:15" x14ac:dyDescent="0.3">
      <c r="B18" s="28" t="s">
        <v>64</v>
      </c>
      <c r="D18" s="13"/>
      <c r="E18" s="14"/>
      <c r="F18" s="14"/>
      <c r="G18" s="14"/>
      <c r="H18" s="14"/>
      <c r="J18" s="14"/>
      <c r="N18" s="30"/>
      <c r="O18" s="30"/>
    </row>
    <row r="19" spans="1:15" x14ac:dyDescent="0.3">
      <c r="A19" s="2">
        <v>13</v>
      </c>
      <c r="B19" s="56" t="s">
        <v>277</v>
      </c>
      <c r="C19" s="2" t="s">
        <v>163</v>
      </c>
      <c r="D19" s="15">
        <v>66724</v>
      </c>
      <c r="E19" s="16">
        <v>0</v>
      </c>
      <c r="F19" s="16">
        <v>4505</v>
      </c>
      <c r="G19" s="11">
        <f>E19+F19</f>
        <v>4505</v>
      </c>
      <c r="H19" s="11">
        <f t="shared" ref="H19:H25" si="3">D19+G19</f>
        <v>71229</v>
      </c>
      <c r="I19" s="3" t="s">
        <v>278</v>
      </c>
      <c r="J19" s="16">
        <v>72949</v>
      </c>
      <c r="K19" s="5">
        <v>7.1999999999999995E-2</v>
      </c>
      <c r="L19" s="2" t="s">
        <v>71</v>
      </c>
      <c r="N19" s="30"/>
      <c r="O19" s="30"/>
    </row>
    <row r="20" spans="1:15" x14ac:dyDescent="0.3">
      <c r="A20" s="2">
        <v>14</v>
      </c>
      <c r="B20" s="56" t="s">
        <v>250</v>
      </c>
      <c r="C20" s="2" t="s">
        <v>173</v>
      </c>
      <c r="D20" s="15">
        <v>85428</v>
      </c>
      <c r="E20" s="16">
        <v>0</v>
      </c>
      <c r="F20" s="16">
        <f>5705-571</f>
        <v>5134</v>
      </c>
      <c r="G20" s="11">
        <f t="shared" ref="G20:G25" si="4">E20+F20</f>
        <v>5134</v>
      </c>
      <c r="H20" s="11">
        <f t="shared" si="3"/>
        <v>90562</v>
      </c>
      <c r="I20" s="3" t="s">
        <v>283</v>
      </c>
      <c r="J20" s="16">
        <v>98727</v>
      </c>
      <c r="K20" s="5">
        <v>7.2999999999999995E-2</v>
      </c>
      <c r="L20" s="2" t="s">
        <v>70</v>
      </c>
    </row>
    <row r="21" spans="1:15" x14ac:dyDescent="0.3">
      <c r="A21" s="2">
        <v>15</v>
      </c>
      <c r="B21" s="56" t="s">
        <v>252</v>
      </c>
      <c r="C21" s="2" t="s">
        <v>172</v>
      </c>
      <c r="D21" s="15">
        <v>29862</v>
      </c>
      <c r="E21" s="16">
        <v>0</v>
      </c>
      <c r="F21" s="16">
        <f>1742-174</f>
        <v>1568</v>
      </c>
      <c r="G21" s="11">
        <f t="shared" si="4"/>
        <v>1568</v>
      </c>
      <c r="H21" s="11">
        <f t="shared" si="3"/>
        <v>31430</v>
      </c>
      <c r="I21" s="3" t="s">
        <v>284</v>
      </c>
      <c r="J21" s="16">
        <v>32688</v>
      </c>
      <c r="K21" s="5">
        <v>7.2999999999999995E-2</v>
      </c>
      <c r="L21" s="2" t="s">
        <v>70</v>
      </c>
    </row>
    <row r="22" spans="1:15" x14ac:dyDescent="0.3">
      <c r="A22" s="2">
        <v>16</v>
      </c>
      <c r="B22" s="56" t="s">
        <v>209</v>
      </c>
      <c r="C22" s="2" t="s">
        <v>139</v>
      </c>
      <c r="D22" s="15">
        <v>2528</v>
      </c>
      <c r="E22" s="16">
        <f>2-0</f>
        <v>2</v>
      </c>
      <c r="F22" s="16">
        <f>195-20</f>
        <v>175</v>
      </c>
      <c r="G22" s="11">
        <f t="shared" si="4"/>
        <v>177</v>
      </c>
      <c r="H22" s="11">
        <f t="shared" si="3"/>
        <v>2705</v>
      </c>
      <c r="I22" s="3" t="s">
        <v>208</v>
      </c>
      <c r="J22" s="16">
        <v>2791</v>
      </c>
      <c r="K22" s="5">
        <v>7.4999999999999997E-2</v>
      </c>
      <c r="L22" s="2" t="s">
        <v>70</v>
      </c>
    </row>
    <row r="23" spans="1:15" x14ac:dyDescent="0.3">
      <c r="A23" s="2">
        <v>17</v>
      </c>
      <c r="B23" s="56" t="s">
        <v>257</v>
      </c>
      <c r="C23" s="2" t="s">
        <v>285</v>
      </c>
      <c r="D23" s="15">
        <v>10309</v>
      </c>
      <c r="E23" s="16">
        <v>0</v>
      </c>
      <c r="F23" s="16">
        <f>562-57</f>
        <v>505</v>
      </c>
      <c r="G23" s="11">
        <f t="shared" si="4"/>
        <v>505</v>
      </c>
      <c r="H23" s="11">
        <f t="shared" si="3"/>
        <v>10814</v>
      </c>
      <c r="I23" s="3" t="s">
        <v>282</v>
      </c>
      <c r="J23" s="16">
        <v>11844</v>
      </c>
      <c r="K23" s="5">
        <v>7.0000000000000007E-2</v>
      </c>
      <c r="L23" s="2" t="s">
        <v>70</v>
      </c>
    </row>
    <row r="24" spans="1:15" x14ac:dyDescent="0.3">
      <c r="A24" s="2">
        <v>18</v>
      </c>
      <c r="B24" s="56" t="s">
        <v>260</v>
      </c>
      <c r="C24" s="2" t="s">
        <v>285</v>
      </c>
      <c r="D24" s="15">
        <v>54200</v>
      </c>
      <c r="E24" s="16">
        <v>0</v>
      </c>
      <c r="F24" s="16">
        <f>2955-296</f>
        <v>2659</v>
      </c>
      <c r="G24" s="11">
        <f t="shared" si="4"/>
        <v>2659</v>
      </c>
      <c r="H24" s="11">
        <f t="shared" si="3"/>
        <v>56859</v>
      </c>
      <c r="I24" s="3" t="s">
        <v>282</v>
      </c>
      <c r="J24" s="16">
        <v>62269</v>
      </c>
      <c r="K24" s="5">
        <v>7.0000000000000007E-2</v>
      </c>
      <c r="L24" s="2" t="s">
        <v>70</v>
      </c>
    </row>
    <row r="25" spans="1:15" x14ac:dyDescent="0.3">
      <c r="A25" s="2">
        <v>19</v>
      </c>
      <c r="B25" s="56" t="s">
        <v>263</v>
      </c>
      <c r="C25" s="2" t="s">
        <v>274</v>
      </c>
      <c r="D25" s="15">
        <v>27023</v>
      </c>
      <c r="E25" s="16">
        <v>0</v>
      </c>
      <c r="F25" s="16">
        <f>25-3</f>
        <v>22</v>
      </c>
      <c r="G25" s="11">
        <f t="shared" si="4"/>
        <v>22</v>
      </c>
      <c r="H25" s="11">
        <f t="shared" si="3"/>
        <v>27045</v>
      </c>
      <c r="I25" s="3" t="s">
        <v>281</v>
      </c>
      <c r="J25" s="16">
        <v>30924</v>
      </c>
      <c r="K25" s="5">
        <v>6.8000000000000005E-2</v>
      </c>
      <c r="L25" s="2" t="s">
        <v>70</v>
      </c>
    </row>
    <row r="26" spans="1:15" ht="15" thickBot="1" x14ac:dyDescent="0.35">
      <c r="A26" s="123"/>
      <c r="B26" s="124"/>
      <c r="C26" s="123"/>
      <c r="D26" s="125">
        <f>SUM(D19:D25)</f>
        <v>276074</v>
      </c>
      <c r="E26" s="125">
        <f>SUM(E19:E25)</f>
        <v>2</v>
      </c>
      <c r="F26" s="125">
        <f t="shared" ref="F26:H26" si="5">SUM(F19:F25)</f>
        <v>14568</v>
      </c>
      <c r="G26" s="125">
        <f t="shared" si="5"/>
        <v>14570</v>
      </c>
      <c r="H26" s="125">
        <f t="shared" si="5"/>
        <v>290644</v>
      </c>
      <c r="I26" s="126"/>
      <c r="J26" s="125">
        <f>SUM(J19:J25)</f>
        <v>312192</v>
      </c>
      <c r="K26" s="127"/>
      <c r="L26" s="123"/>
      <c r="O26" s="30"/>
    </row>
    <row r="27" spans="1:15" x14ac:dyDescent="0.3">
      <c r="B27" s="28" t="s">
        <v>65</v>
      </c>
      <c r="D27" s="13"/>
      <c r="E27" s="14"/>
      <c r="F27" s="14"/>
      <c r="G27" s="14"/>
      <c r="H27" s="14"/>
      <c r="J27" s="14"/>
    </row>
    <row r="28" spans="1:15" x14ac:dyDescent="0.3">
      <c r="A28" s="2">
        <v>20</v>
      </c>
      <c r="B28" s="29" t="s">
        <v>219</v>
      </c>
      <c r="C28" s="2" t="s">
        <v>139</v>
      </c>
      <c r="D28" s="15">
        <v>10374</v>
      </c>
      <c r="E28" s="16">
        <f>8-1</f>
        <v>7</v>
      </c>
      <c r="F28" s="16">
        <f>799-80</f>
        <v>719</v>
      </c>
      <c r="G28" s="11">
        <f>E28+F28</f>
        <v>726</v>
      </c>
      <c r="H28" s="11">
        <f>D28+G28</f>
        <v>11100</v>
      </c>
      <c r="I28" s="3" t="s">
        <v>208</v>
      </c>
      <c r="J28" s="16">
        <v>11454</v>
      </c>
      <c r="K28" s="5">
        <v>7.4999999999999997E-2</v>
      </c>
      <c r="L28" s="2" t="s">
        <v>70</v>
      </c>
    </row>
    <row r="29" spans="1:15" x14ac:dyDescent="0.3">
      <c r="A29" s="2">
        <v>21</v>
      </c>
      <c r="B29" s="29" t="s">
        <v>279</v>
      </c>
      <c r="C29" s="2" t="s">
        <v>194</v>
      </c>
      <c r="D29" s="15">
        <v>147432</v>
      </c>
      <c r="E29" s="16">
        <v>0</v>
      </c>
      <c r="F29" s="16">
        <v>3466</v>
      </c>
      <c r="G29" s="11">
        <f>E29+F29</f>
        <v>3466</v>
      </c>
      <c r="H29" s="11">
        <f>D29+G29</f>
        <v>150898</v>
      </c>
      <c r="I29" s="3" t="s">
        <v>280</v>
      </c>
      <c r="J29" s="16">
        <v>157716</v>
      </c>
      <c r="K29" s="5">
        <v>6.8000000000000005E-2</v>
      </c>
      <c r="L29" s="2" t="s">
        <v>71</v>
      </c>
    </row>
    <row r="30" spans="1:15" ht="15" thickBot="1" x14ac:dyDescent="0.35">
      <c r="A30" s="123"/>
      <c r="B30" s="124"/>
      <c r="C30" s="123"/>
      <c r="D30" s="125">
        <f>SUM(D28:D29)</f>
        <v>157806</v>
      </c>
      <c r="E30" s="125">
        <f t="shared" ref="E30:H30" si="6">SUM(E28:E29)</f>
        <v>7</v>
      </c>
      <c r="F30" s="125">
        <f t="shared" si="6"/>
        <v>4185</v>
      </c>
      <c r="G30" s="125">
        <f t="shared" si="6"/>
        <v>4192</v>
      </c>
      <c r="H30" s="125">
        <f t="shared" si="6"/>
        <v>161998</v>
      </c>
      <c r="I30" s="126"/>
      <c r="J30" s="125">
        <f>SUM(J28:J29)</f>
        <v>169170</v>
      </c>
      <c r="K30" s="127"/>
      <c r="L30" s="123"/>
      <c r="O30" s="30"/>
    </row>
    <row r="31" spans="1:15" x14ac:dyDescent="0.3">
      <c r="B31" s="28" t="s">
        <v>16</v>
      </c>
      <c r="D31" s="13"/>
      <c r="E31" s="14"/>
      <c r="F31" s="14"/>
      <c r="G31" s="14"/>
      <c r="H31" s="14"/>
      <c r="J31" s="14"/>
    </row>
    <row r="32" spans="1:15" x14ac:dyDescent="0.3">
      <c r="A32" s="2">
        <v>22</v>
      </c>
      <c r="B32" s="29" t="s">
        <v>195</v>
      </c>
      <c r="C32" s="2" t="s">
        <v>145</v>
      </c>
      <c r="D32" s="15">
        <v>22099</v>
      </c>
      <c r="E32" s="16">
        <f>1296-130</f>
        <v>1166</v>
      </c>
      <c r="F32" s="16">
        <f>1668-167</f>
        <v>1501</v>
      </c>
      <c r="G32" s="11">
        <f>E32+F32</f>
        <v>2667</v>
      </c>
      <c r="H32" s="11">
        <f>D32+G32</f>
        <v>24766</v>
      </c>
      <c r="I32" s="3" t="s">
        <v>213</v>
      </c>
      <c r="J32" s="16">
        <v>27214</v>
      </c>
      <c r="K32" s="5">
        <v>7.0000000000000007E-2</v>
      </c>
      <c r="L32" s="2" t="s">
        <v>70</v>
      </c>
    </row>
    <row r="33" spans="1:15" x14ac:dyDescent="0.3">
      <c r="A33" s="2">
        <v>23</v>
      </c>
      <c r="B33" s="29" t="s">
        <v>196</v>
      </c>
      <c r="C33" s="2" t="s">
        <v>140</v>
      </c>
      <c r="D33" s="15">
        <v>10790</v>
      </c>
      <c r="E33" s="16">
        <f>247-25</f>
        <v>222</v>
      </c>
      <c r="F33" s="16">
        <f>789-79</f>
        <v>710</v>
      </c>
      <c r="G33" s="11">
        <f t="shared" ref="G33:G35" si="7">E33+F33</f>
        <v>932</v>
      </c>
      <c r="H33" s="11">
        <f>D33+G33</f>
        <v>11722</v>
      </c>
      <c r="I33" s="3" t="s">
        <v>212</v>
      </c>
      <c r="J33" s="16">
        <v>13287</v>
      </c>
      <c r="K33" s="5">
        <v>7.0000000000000007E-2</v>
      </c>
      <c r="L33" s="2" t="s">
        <v>70</v>
      </c>
    </row>
    <row r="34" spans="1:15" x14ac:dyDescent="0.3">
      <c r="A34" s="2">
        <v>24</v>
      </c>
      <c r="B34" s="29" t="s">
        <v>197</v>
      </c>
      <c r="C34" s="2" t="s">
        <v>142</v>
      </c>
      <c r="D34" s="15">
        <v>18192</v>
      </c>
      <c r="E34" s="16">
        <f>727-73</f>
        <v>654</v>
      </c>
      <c r="F34" s="16">
        <f>1350-137</f>
        <v>1213</v>
      </c>
      <c r="G34" s="11">
        <f t="shared" si="7"/>
        <v>1867</v>
      </c>
      <c r="H34" s="11">
        <f>D34+G34</f>
        <v>20059</v>
      </c>
      <c r="I34" s="3" t="s">
        <v>220</v>
      </c>
      <c r="J34" s="16">
        <v>22402</v>
      </c>
      <c r="K34" s="5">
        <v>7.0000000000000007E-2</v>
      </c>
      <c r="L34" s="2" t="s">
        <v>70</v>
      </c>
    </row>
    <row r="35" spans="1:15" x14ac:dyDescent="0.3">
      <c r="A35" s="2">
        <v>25</v>
      </c>
      <c r="B35" s="29" t="s">
        <v>210</v>
      </c>
      <c r="C35" s="2" t="s">
        <v>139</v>
      </c>
      <c r="D35" s="15">
        <v>27774</v>
      </c>
      <c r="E35" s="16">
        <f>22-2</f>
        <v>20</v>
      </c>
      <c r="F35" s="16">
        <f>2138-214</f>
        <v>1924</v>
      </c>
      <c r="G35" s="11">
        <f t="shared" si="7"/>
        <v>1944</v>
      </c>
      <c r="H35" s="11">
        <f>D35+G35</f>
        <v>29718</v>
      </c>
      <c r="I35" s="3" t="s">
        <v>208</v>
      </c>
      <c r="J35" s="16">
        <v>30665</v>
      </c>
      <c r="K35" s="5">
        <v>7.4999999999999997E-2</v>
      </c>
      <c r="L35" s="2" t="s">
        <v>70</v>
      </c>
    </row>
    <row r="36" spans="1:15" ht="15" thickBot="1" x14ac:dyDescent="0.35">
      <c r="A36" s="123"/>
      <c r="B36" s="124"/>
      <c r="C36" s="123"/>
      <c r="D36" s="125">
        <f>SUM(D32:D35)</f>
        <v>78855</v>
      </c>
      <c r="E36" s="125">
        <f t="shared" ref="E36:H36" si="8">SUM(E32:E35)</f>
        <v>2062</v>
      </c>
      <c r="F36" s="125">
        <f t="shared" si="8"/>
        <v>5348</v>
      </c>
      <c r="G36" s="125">
        <f t="shared" si="8"/>
        <v>7410</v>
      </c>
      <c r="H36" s="125">
        <f t="shared" si="8"/>
        <v>86265</v>
      </c>
      <c r="I36" s="126"/>
      <c r="J36" s="125">
        <f>SUM(J32:J35)</f>
        <v>93568</v>
      </c>
      <c r="K36" s="127"/>
      <c r="L36" s="123"/>
      <c r="O36" s="30"/>
    </row>
    <row r="37" spans="1:15" x14ac:dyDescent="0.3">
      <c r="B37" s="28" t="s">
        <v>17</v>
      </c>
      <c r="D37" s="13"/>
      <c r="E37" s="14"/>
      <c r="F37" s="14"/>
      <c r="G37" s="14"/>
      <c r="H37" s="14"/>
      <c r="J37" s="14"/>
    </row>
    <row r="38" spans="1:15" x14ac:dyDescent="0.3">
      <c r="A38" s="2">
        <v>26</v>
      </c>
      <c r="B38" s="29" t="s">
        <v>221</v>
      </c>
      <c r="C38" s="2" t="s">
        <v>223</v>
      </c>
      <c r="D38" s="15">
        <v>9000</v>
      </c>
      <c r="E38" s="16">
        <v>0</v>
      </c>
      <c r="F38" s="16">
        <v>0</v>
      </c>
      <c r="G38" s="11">
        <f>E38+F38</f>
        <v>0</v>
      </c>
      <c r="H38" s="11">
        <f>D38+G38</f>
        <v>9000</v>
      </c>
      <c r="I38" s="3" t="s">
        <v>225</v>
      </c>
      <c r="J38" s="16">
        <v>9000</v>
      </c>
      <c r="K38" s="5">
        <v>7.0000000000000007E-2</v>
      </c>
      <c r="L38" s="2" t="s">
        <v>70</v>
      </c>
    </row>
    <row r="39" spans="1:15" x14ac:dyDescent="0.3">
      <c r="A39" s="2">
        <v>27</v>
      </c>
      <c r="B39" s="29" t="s">
        <v>222</v>
      </c>
      <c r="C39" s="2" t="s">
        <v>224</v>
      </c>
      <c r="D39" s="15">
        <v>9000</v>
      </c>
      <c r="E39" s="16">
        <v>0</v>
      </c>
      <c r="F39" s="16">
        <v>0</v>
      </c>
      <c r="G39" s="11">
        <f>E39+F39</f>
        <v>0</v>
      </c>
      <c r="H39" s="11">
        <f>D39+G39</f>
        <v>9000</v>
      </c>
      <c r="I39" s="3" t="s">
        <v>226</v>
      </c>
      <c r="J39" s="16">
        <v>9000</v>
      </c>
      <c r="K39" s="5">
        <v>7.0000000000000007E-2</v>
      </c>
      <c r="L39" s="2" t="s">
        <v>70</v>
      </c>
    </row>
    <row r="40" spans="1:15" ht="15" thickBot="1" x14ac:dyDescent="0.35">
      <c r="A40" s="123"/>
      <c r="B40" s="124"/>
      <c r="C40" s="123"/>
      <c r="D40" s="125">
        <f>SUM(D38:D39)</f>
        <v>18000</v>
      </c>
      <c r="E40" s="125">
        <f t="shared" ref="E40:H40" si="9">SUM(E38:E39)</f>
        <v>0</v>
      </c>
      <c r="F40" s="125">
        <f t="shared" si="9"/>
        <v>0</v>
      </c>
      <c r="G40" s="125">
        <f t="shared" si="9"/>
        <v>0</v>
      </c>
      <c r="H40" s="125">
        <f t="shared" si="9"/>
        <v>18000</v>
      </c>
      <c r="I40" s="126"/>
      <c r="J40" s="125">
        <f t="shared" ref="J40" si="10">SUM(J38:J39)</f>
        <v>18000</v>
      </c>
      <c r="K40" s="127"/>
      <c r="L40" s="123"/>
      <c r="O40" s="30"/>
    </row>
    <row r="41" spans="1:15" x14ac:dyDescent="0.3">
      <c r="B41" s="28" t="s">
        <v>66</v>
      </c>
      <c r="D41" s="13"/>
      <c r="E41" s="14"/>
      <c r="F41" s="14"/>
      <c r="G41" s="14"/>
      <c r="H41" s="14"/>
      <c r="J41" s="14"/>
    </row>
    <row r="42" spans="1:15" x14ac:dyDescent="0.3">
      <c r="A42" s="2">
        <v>28</v>
      </c>
      <c r="B42" s="29" t="s">
        <v>198</v>
      </c>
      <c r="C42" s="2" t="s">
        <v>142</v>
      </c>
      <c r="D42" s="15">
        <v>37901</v>
      </c>
      <c r="E42" s="16">
        <f>1514-151</f>
        <v>1363</v>
      </c>
      <c r="F42" s="16">
        <f>2814-282</f>
        <v>2532</v>
      </c>
      <c r="G42" s="11">
        <f>E42+F42</f>
        <v>3895</v>
      </c>
      <c r="H42" s="11">
        <f>D42+G42</f>
        <v>41796</v>
      </c>
      <c r="I42" s="3" t="s">
        <v>220</v>
      </c>
      <c r="J42" s="16">
        <v>46673</v>
      </c>
      <c r="K42" s="5">
        <v>7.0000000000000007E-2</v>
      </c>
      <c r="L42" s="2" t="s">
        <v>70</v>
      </c>
    </row>
    <row r="43" spans="1:15" x14ac:dyDescent="0.3">
      <c r="A43" s="2">
        <v>29</v>
      </c>
      <c r="B43" s="29" t="s">
        <v>168</v>
      </c>
      <c r="C43" s="2" t="s">
        <v>141</v>
      </c>
      <c r="D43" s="15">
        <v>57345</v>
      </c>
      <c r="E43" s="16">
        <v>0</v>
      </c>
      <c r="F43" s="16">
        <f>1656-165</f>
        <v>1491</v>
      </c>
      <c r="G43" s="11">
        <f t="shared" ref="G43:G44" si="11">E43+F43</f>
        <v>1491</v>
      </c>
      <c r="H43" s="11">
        <f>D43+G43</f>
        <v>58836</v>
      </c>
      <c r="I43" s="3" t="s">
        <v>286</v>
      </c>
      <c r="J43" s="16">
        <v>65624</v>
      </c>
      <c r="K43" s="5">
        <v>6.8000000000000005E-2</v>
      </c>
      <c r="L43" s="2" t="s">
        <v>70</v>
      </c>
    </row>
    <row r="44" spans="1:15" x14ac:dyDescent="0.3">
      <c r="A44" s="2">
        <v>30</v>
      </c>
      <c r="B44" s="29" t="s">
        <v>167</v>
      </c>
      <c r="C44" s="2" t="s">
        <v>174</v>
      </c>
      <c r="D44" s="15">
        <v>42203</v>
      </c>
      <c r="E44" s="16">
        <v>0</v>
      </c>
      <c r="F44" s="16">
        <f>2688-270</f>
        <v>2418</v>
      </c>
      <c r="G44" s="11">
        <f t="shared" si="11"/>
        <v>2418</v>
      </c>
      <c r="H44" s="11">
        <f>D44+G44</f>
        <v>44621</v>
      </c>
      <c r="I44" s="3" t="s">
        <v>287</v>
      </c>
      <c r="J44" s="16">
        <v>46197</v>
      </c>
      <c r="K44" s="5">
        <v>7.2999999999999995E-2</v>
      </c>
      <c r="L44" s="2" t="s">
        <v>70</v>
      </c>
    </row>
    <row r="45" spans="1:15" ht="15" thickBot="1" x14ac:dyDescent="0.35">
      <c r="A45" s="123"/>
      <c r="B45" s="124"/>
      <c r="C45" s="123"/>
      <c r="D45" s="125">
        <f>SUM(D42:D44)</f>
        <v>137449</v>
      </c>
      <c r="E45" s="125">
        <f t="shared" ref="E45:H45" si="12">SUM(E42:E44)</f>
        <v>1363</v>
      </c>
      <c r="F45" s="125">
        <f t="shared" si="12"/>
        <v>6441</v>
      </c>
      <c r="G45" s="125">
        <f t="shared" si="12"/>
        <v>7804</v>
      </c>
      <c r="H45" s="125">
        <f t="shared" si="12"/>
        <v>145253</v>
      </c>
      <c r="I45" s="126"/>
      <c r="J45" s="125">
        <f>SUM(J42:J44)</f>
        <v>158494</v>
      </c>
      <c r="K45" s="127"/>
      <c r="L45" s="123"/>
      <c r="O45" s="30"/>
    </row>
    <row r="46" spans="1:15" x14ac:dyDescent="0.3">
      <c r="B46" s="28" t="s">
        <v>67</v>
      </c>
      <c r="D46" s="13"/>
      <c r="E46" s="14"/>
      <c r="F46" s="14"/>
      <c r="G46" s="14"/>
      <c r="H46" s="14"/>
      <c r="J46" s="14"/>
    </row>
    <row r="47" spans="1:15" x14ac:dyDescent="0.3">
      <c r="A47" s="2">
        <v>31</v>
      </c>
      <c r="B47" s="29" t="s">
        <v>199</v>
      </c>
      <c r="C47" s="2" t="s">
        <v>144</v>
      </c>
      <c r="D47" s="15">
        <v>8940</v>
      </c>
      <c r="E47" s="16">
        <f>494-51</f>
        <v>443</v>
      </c>
      <c r="F47" s="16">
        <f>673-68</f>
        <v>605</v>
      </c>
      <c r="G47" s="11">
        <f>E47+F47</f>
        <v>1048</v>
      </c>
      <c r="H47" s="11">
        <f t="shared" ref="H47:H52" si="13">D47+G47</f>
        <v>9988</v>
      </c>
      <c r="I47" s="3" t="s">
        <v>215</v>
      </c>
      <c r="J47" s="16">
        <v>11009</v>
      </c>
      <c r="K47" s="5">
        <v>7.0000000000000007E-2</v>
      </c>
      <c r="L47" s="2" t="s">
        <v>70</v>
      </c>
    </row>
    <row r="48" spans="1:15" x14ac:dyDescent="0.3">
      <c r="A48" s="2">
        <v>32</v>
      </c>
      <c r="B48" s="29" t="s">
        <v>200</v>
      </c>
      <c r="C48" s="2" t="s">
        <v>140</v>
      </c>
      <c r="D48" s="15">
        <v>28279</v>
      </c>
      <c r="E48" s="16">
        <f>646-65</f>
        <v>581</v>
      </c>
      <c r="F48" s="16">
        <f>2069-207</f>
        <v>1862</v>
      </c>
      <c r="G48" s="11">
        <f t="shared" ref="G48:G52" si="14">E48+F48</f>
        <v>2443</v>
      </c>
      <c r="H48" s="11">
        <f t="shared" si="13"/>
        <v>30722</v>
      </c>
      <c r="I48" s="3" t="s">
        <v>212</v>
      </c>
      <c r="J48" s="16">
        <v>34824</v>
      </c>
      <c r="K48" s="5">
        <v>7.0000000000000007E-2</v>
      </c>
      <c r="L48" s="2" t="s">
        <v>70</v>
      </c>
    </row>
    <row r="49" spans="1:15" x14ac:dyDescent="0.3">
      <c r="A49" s="2">
        <v>33</v>
      </c>
      <c r="B49" s="29" t="s">
        <v>201</v>
      </c>
      <c r="C49" s="2" t="s">
        <v>142</v>
      </c>
      <c r="D49" s="15">
        <v>16371</v>
      </c>
      <c r="E49" s="16">
        <f>654-65</f>
        <v>589</v>
      </c>
      <c r="F49" s="16">
        <f>1215-121</f>
        <v>1094</v>
      </c>
      <c r="G49" s="11">
        <f t="shared" si="14"/>
        <v>1683</v>
      </c>
      <c r="H49" s="11">
        <f t="shared" si="13"/>
        <v>18054</v>
      </c>
      <c r="I49" s="3" t="s">
        <v>220</v>
      </c>
      <c r="J49" s="16">
        <v>20160</v>
      </c>
      <c r="K49" s="5">
        <v>7.0000000000000007E-2</v>
      </c>
      <c r="L49" s="2" t="s">
        <v>70</v>
      </c>
    </row>
    <row r="50" spans="1:15" x14ac:dyDescent="0.3">
      <c r="A50" s="2">
        <v>34</v>
      </c>
      <c r="B50" s="29" t="s">
        <v>202</v>
      </c>
      <c r="C50" s="2" t="s">
        <v>154</v>
      </c>
      <c r="D50" s="15">
        <v>24590</v>
      </c>
      <c r="E50" s="16">
        <f>45-4</f>
        <v>41</v>
      </c>
      <c r="F50" s="16">
        <f>1894-189</f>
        <v>1705</v>
      </c>
      <c r="G50" s="11">
        <f t="shared" si="14"/>
        <v>1746</v>
      </c>
      <c r="H50" s="11">
        <f t="shared" si="13"/>
        <v>26336</v>
      </c>
      <c r="I50" s="3" t="s">
        <v>227</v>
      </c>
      <c r="J50" s="16">
        <v>27150</v>
      </c>
      <c r="K50" s="5">
        <v>7.4999999999999997E-2</v>
      </c>
      <c r="L50" s="2" t="s">
        <v>70</v>
      </c>
    </row>
    <row r="51" spans="1:15" x14ac:dyDescent="0.3">
      <c r="A51" s="2">
        <v>35</v>
      </c>
      <c r="B51" s="29" t="s">
        <v>256</v>
      </c>
      <c r="C51" s="2" t="s">
        <v>285</v>
      </c>
      <c r="D51" s="15">
        <v>183627</v>
      </c>
      <c r="E51" s="4">
        <v>0</v>
      </c>
      <c r="F51" s="16">
        <f>10010-1002</f>
        <v>9008</v>
      </c>
      <c r="G51" s="11">
        <f t="shared" si="14"/>
        <v>9008</v>
      </c>
      <c r="H51" s="11">
        <f t="shared" si="13"/>
        <v>192635</v>
      </c>
      <c r="I51" s="3" t="s">
        <v>282</v>
      </c>
      <c r="J51" s="16">
        <v>210966</v>
      </c>
      <c r="K51" s="5">
        <v>7.0000000000000007E-2</v>
      </c>
      <c r="L51" s="2" t="s">
        <v>70</v>
      </c>
    </row>
    <row r="52" spans="1:15" x14ac:dyDescent="0.3">
      <c r="A52" s="2">
        <v>36</v>
      </c>
      <c r="B52" s="29" t="s">
        <v>264</v>
      </c>
      <c r="C52" s="2" t="s">
        <v>274</v>
      </c>
      <c r="D52" s="15">
        <v>22512</v>
      </c>
      <c r="E52" s="4">
        <v>0</v>
      </c>
      <c r="F52" s="16">
        <f>21-2</f>
        <v>19</v>
      </c>
      <c r="G52" s="11">
        <f t="shared" si="14"/>
        <v>19</v>
      </c>
      <c r="H52" s="11">
        <f t="shared" si="13"/>
        <v>22531</v>
      </c>
      <c r="I52" s="3" t="s">
        <v>281</v>
      </c>
      <c r="J52" s="16">
        <v>25762</v>
      </c>
      <c r="K52" s="5">
        <v>6.8000000000000005E-2</v>
      </c>
      <c r="L52" s="2" t="s">
        <v>70</v>
      </c>
    </row>
    <row r="53" spans="1:15" ht="15" thickBot="1" x14ac:dyDescent="0.35">
      <c r="A53" s="123"/>
      <c r="B53" s="124"/>
      <c r="C53" s="123"/>
      <c r="D53" s="125">
        <f>SUM(D47:D52)</f>
        <v>284319</v>
      </c>
      <c r="E53" s="125">
        <f t="shared" ref="E53:H53" si="15">SUM(E47:E52)</f>
        <v>1654</v>
      </c>
      <c r="F53" s="125">
        <f t="shared" si="15"/>
        <v>14293</v>
      </c>
      <c r="G53" s="125">
        <f t="shared" si="15"/>
        <v>15947</v>
      </c>
      <c r="H53" s="125">
        <f t="shared" si="15"/>
        <v>300266</v>
      </c>
      <c r="I53" s="126"/>
      <c r="J53" s="125">
        <f>SUM(J47:J52)</f>
        <v>329871</v>
      </c>
      <c r="K53" s="127"/>
      <c r="L53" s="123"/>
      <c r="O53" s="30"/>
    </row>
    <row r="54" spans="1:15" ht="18" x14ac:dyDescent="0.35">
      <c r="A54" s="167" t="str">
        <f>+A1</f>
        <v>DIAGO CO-OPERATIVE HOUSING SOCIETY LIMITED</v>
      </c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</row>
    <row r="55" spans="1:15" x14ac:dyDescent="0.3">
      <c r="A55" s="169" t="s">
        <v>268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</row>
    <row r="56" spans="1:15" s="27" customFormat="1" ht="28.8" x14ac:dyDescent="0.3">
      <c r="A56" s="26" t="s">
        <v>62</v>
      </c>
      <c r="B56" s="26" t="s">
        <v>7</v>
      </c>
      <c r="C56" s="26" t="s">
        <v>12</v>
      </c>
      <c r="D56" s="8" t="s">
        <v>13</v>
      </c>
      <c r="E56" s="8" t="s">
        <v>188</v>
      </c>
      <c r="F56" s="8" t="s">
        <v>249</v>
      </c>
      <c r="G56" s="8" t="s">
        <v>63</v>
      </c>
      <c r="H56" s="8" t="s">
        <v>14</v>
      </c>
      <c r="I56" s="8" t="s">
        <v>9</v>
      </c>
      <c r="J56" s="8" t="s">
        <v>11</v>
      </c>
      <c r="K56" s="26" t="s">
        <v>15</v>
      </c>
      <c r="L56" s="26" t="s">
        <v>8</v>
      </c>
    </row>
    <row r="57" spans="1:15" ht="15" customHeight="1" x14ac:dyDescent="0.3">
      <c r="B57" s="28" t="s">
        <v>68</v>
      </c>
      <c r="D57" s="13"/>
      <c r="E57" s="14"/>
      <c r="F57" s="14"/>
      <c r="G57" s="14"/>
      <c r="H57" s="14"/>
      <c r="J57" s="14"/>
    </row>
    <row r="58" spans="1:15" x14ac:dyDescent="0.3">
      <c r="A58" s="2">
        <v>37</v>
      </c>
      <c r="B58" s="29" t="s">
        <v>148</v>
      </c>
      <c r="C58" s="2" t="s">
        <v>138</v>
      </c>
      <c r="D58" s="15">
        <v>8000</v>
      </c>
      <c r="E58" s="15">
        <v>0</v>
      </c>
      <c r="F58" s="15">
        <v>0</v>
      </c>
      <c r="G58" s="11">
        <f>E58+F58</f>
        <v>0</v>
      </c>
      <c r="H58" s="11">
        <f>D58+G58</f>
        <v>8000</v>
      </c>
      <c r="I58" s="3" t="s">
        <v>171</v>
      </c>
      <c r="J58" s="16">
        <v>8000</v>
      </c>
      <c r="K58" s="5">
        <v>7.4999999999999997E-2</v>
      </c>
      <c r="L58" s="2" t="s">
        <v>70</v>
      </c>
    </row>
    <row r="59" spans="1:15" x14ac:dyDescent="0.3">
      <c r="A59" s="2">
        <v>38</v>
      </c>
      <c r="B59" s="29" t="s">
        <v>203</v>
      </c>
      <c r="C59" s="2" t="s">
        <v>155</v>
      </c>
      <c r="D59" s="15">
        <v>4000</v>
      </c>
      <c r="E59" s="16">
        <v>0</v>
      </c>
      <c r="F59" s="16">
        <v>0</v>
      </c>
      <c r="G59" s="11">
        <f t="shared" ref="G59:G61" si="16">E59+F59</f>
        <v>0</v>
      </c>
      <c r="H59" s="11">
        <f>D59+G59</f>
        <v>4000</v>
      </c>
      <c r="I59" s="3" t="s">
        <v>228</v>
      </c>
      <c r="J59" s="16">
        <v>4000</v>
      </c>
      <c r="K59" s="5">
        <v>7.0000000000000007E-2</v>
      </c>
      <c r="L59" s="2" t="s">
        <v>70</v>
      </c>
    </row>
    <row r="60" spans="1:15" x14ac:dyDescent="0.3">
      <c r="A60" s="2">
        <v>39</v>
      </c>
      <c r="B60" s="29" t="s">
        <v>204</v>
      </c>
      <c r="C60" s="2" t="s">
        <v>154</v>
      </c>
      <c r="D60" s="15">
        <v>6000</v>
      </c>
      <c r="E60" s="16">
        <v>0</v>
      </c>
      <c r="F60" s="16">
        <v>0</v>
      </c>
      <c r="G60" s="11">
        <f t="shared" si="16"/>
        <v>0</v>
      </c>
      <c r="H60" s="11">
        <f>D60+G60</f>
        <v>6000</v>
      </c>
      <c r="I60" s="3" t="s">
        <v>227</v>
      </c>
      <c r="J60" s="16">
        <v>6000</v>
      </c>
      <c r="K60" s="5">
        <v>7.4999999999999997E-2</v>
      </c>
      <c r="L60" s="2" t="s">
        <v>70</v>
      </c>
    </row>
    <row r="61" spans="1:15" x14ac:dyDescent="0.3">
      <c r="A61" s="2">
        <v>40</v>
      </c>
      <c r="B61" s="29" t="s">
        <v>267</v>
      </c>
      <c r="C61" s="2" t="s">
        <v>274</v>
      </c>
      <c r="D61" s="15">
        <v>6000</v>
      </c>
      <c r="E61" s="16">
        <v>0</v>
      </c>
      <c r="F61" s="16">
        <v>0</v>
      </c>
      <c r="G61" s="11">
        <f t="shared" si="16"/>
        <v>0</v>
      </c>
      <c r="H61" s="11">
        <f>D61+G61</f>
        <v>6000</v>
      </c>
      <c r="I61" s="3" t="s">
        <v>281</v>
      </c>
      <c r="J61" s="16">
        <v>6000</v>
      </c>
      <c r="K61" s="5">
        <v>6.8000000000000005E-2</v>
      </c>
      <c r="L61" s="2" t="s">
        <v>70</v>
      </c>
    </row>
    <row r="62" spans="1:15" ht="15" thickBot="1" x14ac:dyDescent="0.35">
      <c r="A62" s="123"/>
      <c r="B62" s="124"/>
      <c r="C62" s="123"/>
      <c r="D62" s="125">
        <f>SUM(D58:D61)</f>
        <v>24000</v>
      </c>
      <c r="E62" s="125">
        <f t="shared" ref="E62:H62" si="17">SUM(E58:E61)</f>
        <v>0</v>
      </c>
      <c r="F62" s="125">
        <f t="shared" si="17"/>
        <v>0</v>
      </c>
      <c r="G62" s="125">
        <f t="shared" si="17"/>
        <v>0</v>
      </c>
      <c r="H62" s="125">
        <f t="shared" si="17"/>
        <v>24000</v>
      </c>
      <c r="I62" s="126"/>
      <c r="J62" s="125">
        <f>SUM(J58:J61)</f>
        <v>24000</v>
      </c>
      <c r="K62" s="127"/>
      <c r="L62" s="123"/>
      <c r="O62" s="30"/>
    </row>
    <row r="63" spans="1:15" x14ac:dyDescent="0.3">
      <c r="B63" s="28" t="s">
        <v>149</v>
      </c>
      <c r="D63" s="13"/>
      <c r="E63" s="14"/>
      <c r="F63" s="14"/>
      <c r="G63" s="14"/>
      <c r="H63" s="14"/>
      <c r="J63" s="14"/>
    </row>
    <row r="64" spans="1:15" x14ac:dyDescent="0.3">
      <c r="A64" s="2">
        <v>41</v>
      </c>
      <c r="B64" s="29" t="s">
        <v>205</v>
      </c>
      <c r="C64" s="2" t="s">
        <v>154</v>
      </c>
      <c r="D64" s="15">
        <v>49178</v>
      </c>
      <c r="E64" s="15">
        <f>89-9</f>
        <v>80</v>
      </c>
      <c r="F64" s="15">
        <f>3789-377</f>
        <v>3412</v>
      </c>
      <c r="G64" s="11">
        <f>E64+F64</f>
        <v>3492</v>
      </c>
      <c r="H64" s="11">
        <f>D64+G64</f>
        <v>52670</v>
      </c>
      <c r="I64" s="3" t="s">
        <v>227</v>
      </c>
      <c r="J64" s="16">
        <v>54297</v>
      </c>
      <c r="K64" s="5">
        <v>7.4999999999999997E-2</v>
      </c>
      <c r="L64" s="2" t="s">
        <v>70</v>
      </c>
    </row>
    <row r="65" spans="1:15" x14ac:dyDescent="0.3">
      <c r="A65" s="2">
        <v>42</v>
      </c>
      <c r="B65" s="29" t="s">
        <v>169</v>
      </c>
      <c r="C65" s="2" t="s">
        <v>172</v>
      </c>
      <c r="D65" s="15">
        <v>93940</v>
      </c>
      <c r="E65" s="15">
        <v>0</v>
      </c>
      <c r="F65" s="15">
        <f>5480-547</f>
        <v>4933</v>
      </c>
      <c r="G65" s="11">
        <f t="shared" ref="G65:G66" si="18">E65+F65</f>
        <v>4933</v>
      </c>
      <c r="H65" s="11">
        <f>D65+G65</f>
        <v>98873</v>
      </c>
      <c r="I65" s="3" t="s">
        <v>284</v>
      </c>
      <c r="J65" s="16">
        <v>102831</v>
      </c>
      <c r="K65" s="5">
        <v>7.2999999999999995E-2</v>
      </c>
      <c r="L65" s="2" t="s">
        <v>70</v>
      </c>
    </row>
    <row r="66" spans="1:15" x14ac:dyDescent="0.3">
      <c r="A66" s="2">
        <v>43</v>
      </c>
      <c r="B66" s="29" t="s">
        <v>266</v>
      </c>
      <c r="C66" s="2" t="s">
        <v>274</v>
      </c>
      <c r="D66" s="15">
        <v>1355</v>
      </c>
      <c r="E66" s="15">
        <v>0</v>
      </c>
      <c r="F66" s="15">
        <v>1</v>
      </c>
      <c r="G66" s="11">
        <f t="shared" si="18"/>
        <v>1</v>
      </c>
      <c r="H66" s="11">
        <f>D66+G66</f>
        <v>1356</v>
      </c>
      <c r="I66" s="3" t="s">
        <v>281</v>
      </c>
      <c r="J66" s="16">
        <v>1551</v>
      </c>
      <c r="K66" s="5">
        <v>6.8000000000000005E-2</v>
      </c>
      <c r="L66" s="2" t="s">
        <v>70</v>
      </c>
    </row>
    <row r="67" spans="1:15" ht="15" thickBot="1" x14ac:dyDescent="0.35">
      <c r="A67" s="123"/>
      <c r="B67" s="124"/>
      <c r="C67" s="123"/>
      <c r="D67" s="125">
        <f>SUM(D64:D66)</f>
        <v>144473</v>
      </c>
      <c r="E67" s="125">
        <f t="shared" ref="E67:H67" si="19">SUM(E64:E66)</f>
        <v>80</v>
      </c>
      <c r="F67" s="125">
        <f t="shared" si="19"/>
        <v>8346</v>
      </c>
      <c r="G67" s="125">
        <f t="shared" si="19"/>
        <v>8426</v>
      </c>
      <c r="H67" s="125">
        <f t="shared" si="19"/>
        <v>152899</v>
      </c>
      <c r="I67" s="126"/>
      <c r="J67" s="125">
        <f>SUM(J64:J66)</f>
        <v>158679</v>
      </c>
      <c r="K67" s="127"/>
      <c r="L67" s="123"/>
      <c r="O67" s="30"/>
    </row>
    <row r="68" spans="1:15" x14ac:dyDescent="0.3">
      <c r="A68" s="32"/>
      <c r="B68" s="28" t="s">
        <v>150</v>
      </c>
      <c r="D68" s="13"/>
      <c r="E68" s="14"/>
      <c r="F68" s="14"/>
      <c r="G68" s="14"/>
      <c r="H68" s="14"/>
      <c r="J68" s="14"/>
    </row>
    <row r="69" spans="1:15" x14ac:dyDescent="0.3">
      <c r="A69" s="2">
        <v>44</v>
      </c>
      <c r="B69" s="29" t="s">
        <v>206</v>
      </c>
      <c r="C69" s="2" t="s">
        <v>154</v>
      </c>
      <c r="D69" s="15">
        <v>26753</v>
      </c>
      <c r="E69" s="15">
        <f>49-4</f>
        <v>45</v>
      </c>
      <c r="F69" s="15">
        <f>2061-206</f>
        <v>1855</v>
      </c>
      <c r="G69" s="11">
        <f>E69+F69</f>
        <v>1900</v>
      </c>
      <c r="H69" s="11">
        <f>D69+G69</f>
        <v>28653</v>
      </c>
      <c r="I69" s="3" t="s">
        <v>227</v>
      </c>
      <c r="J69" s="16">
        <v>29538</v>
      </c>
      <c r="K69" s="5">
        <v>7.4999999999999997E-2</v>
      </c>
      <c r="L69" s="2" t="s">
        <v>70</v>
      </c>
    </row>
    <row r="70" spans="1:15" x14ac:dyDescent="0.3">
      <c r="A70" s="2">
        <v>45</v>
      </c>
      <c r="B70" s="29" t="s">
        <v>170</v>
      </c>
      <c r="C70" s="2" t="s">
        <v>251</v>
      </c>
      <c r="D70" s="15">
        <v>4698</v>
      </c>
      <c r="E70" s="15">
        <v>0</v>
      </c>
      <c r="F70" s="15">
        <f>274-27</f>
        <v>247</v>
      </c>
      <c r="G70" s="11">
        <f t="shared" ref="G70:G72" si="20">E70+F70</f>
        <v>247</v>
      </c>
      <c r="H70" s="11">
        <f>D70+G70</f>
        <v>4945</v>
      </c>
      <c r="I70" s="3" t="s">
        <v>288</v>
      </c>
      <c r="J70" s="16">
        <v>5086</v>
      </c>
      <c r="K70" s="5">
        <v>7.2999999999999995E-2</v>
      </c>
      <c r="L70" s="2" t="s">
        <v>70</v>
      </c>
    </row>
    <row r="71" spans="1:15" x14ac:dyDescent="0.3">
      <c r="A71" s="2">
        <v>46</v>
      </c>
      <c r="B71" s="29" t="s">
        <v>211</v>
      </c>
      <c r="C71" s="2" t="s">
        <v>139</v>
      </c>
      <c r="D71" s="15">
        <v>4496</v>
      </c>
      <c r="E71" s="15">
        <f>4-1</f>
        <v>3</v>
      </c>
      <c r="F71" s="15">
        <f>346-35</f>
        <v>311</v>
      </c>
      <c r="G71" s="11">
        <f t="shared" si="20"/>
        <v>314</v>
      </c>
      <c r="H71" s="11">
        <f>D71+G71</f>
        <v>4810</v>
      </c>
      <c r="I71" s="3" t="s">
        <v>208</v>
      </c>
      <c r="J71" s="16">
        <v>4964</v>
      </c>
      <c r="K71" s="5">
        <v>7.4999999999999997E-2</v>
      </c>
      <c r="L71" s="2" t="s">
        <v>70</v>
      </c>
    </row>
    <row r="72" spans="1:15" x14ac:dyDescent="0.3">
      <c r="A72" s="2">
        <v>47</v>
      </c>
      <c r="B72" s="29" t="s">
        <v>265</v>
      </c>
      <c r="C72" s="2" t="s">
        <v>274</v>
      </c>
      <c r="D72" s="15">
        <v>4539</v>
      </c>
      <c r="E72" s="15">
        <v>0</v>
      </c>
      <c r="F72" s="15">
        <f>4-1</f>
        <v>3</v>
      </c>
      <c r="G72" s="11">
        <f t="shared" si="20"/>
        <v>3</v>
      </c>
      <c r="H72" s="11">
        <f>D72+G72</f>
        <v>4542</v>
      </c>
      <c r="I72" s="3" t="s">
        <v>281</v>
      </c>
      <c r="J72" s="16">
        <v>5194</v>
      </c>
      <c r="K72" s="5">
        <v>6.8000000000000005E-2</v>
      </c>
      <c r="L72" s="2" t="s">
        <v>70</v>
      </c>
    </row>
    <row r="73" spans="1:15" ht="15" thickBot="1" x14ac:dyDescent="0.35">
      <c r="A73" s="123"/>
      <c r="B73" s="124"/>
      <c r="C73" s="123"/>
      <c r="D73" s="125">
        <f>SUM(D69:D72)</f>
        <v>40486</v>
      </c>
      <c r="E73" s="125">
        <f t="shared" ref="E73:H73" si="21">SUM(E69:E72)</f>
        <v>48</v>
      </c>
      <c r="F73" s="125">
        <f t="shared" si="21"/>
        <v>2416</v>
      </c>
      <c r="G73" s="125">
        <f t="shared" si="21"/>
        <v>2464</v>
      </c>
      <c r="H73" s="125">
        <f t="shared" si="21"/>
        <v>42950</v>
      </c>
      <c r="I73" s="126"/>
      <c r="J73" s="125">
        <f>SUM(J69:J72)</f>
        <v>44782</v>
      </c>
      <c r="K73" s="127"/>
      <c r="L73" s="123"/>
      <c r="O73" s="30"/>
    </row>
    <row r="74" spans="1:15" x14ac:dyDescent="0.3">
      <c r="B74" s="28" t="s">
        <v>254</v>
      </c>
      <c r="D74" s="23"/>
      <c r="E74" s="23"/>
      <c r="F74" s="23"/>
      <c r="G74" s="23"/>
      <c r="H74" s="23"/>
      <c r="I74" s="9"/>
      <c r="J74" s="23"/>
    </row>
    <row r="75" spans="1:15" x14ac:dyDescent="0.3">
      <c r="A75" s="2">
        <v>48</v>
      </c>
      <c r="B75" s="29" t="s">
        <v>255</v>
      </c>
      <c r="C75" s="3" t="s">
        <v>285</v>
      </c>
      <c r="D75" s="15">
        <v>36411</v>
      </c>
      <c r="E75" s="3">
        <v>0</v>
      </c>
      <c r="F75" s="3">
        <f>1985-198</f>
        <v>1787</v>
      </c>
      <c r="G75" s="11">
        <f>E75+F75</f>
        <v>1787</v>
      </c>
      <c r="H75" s="11">
        <f>D75+G75</f>
        <v>38198</v>
      </c>
      <c r="I75" s="3" t="s">
        <v>282</v>
      </c>
      <c r="J75" s="4">
        <v>41832</v>
      </c>
      <c r="K75" s="57">
        <v>7.0000000000000007E-2</v>
      </c>
      <c r="L75" s="3" t="s">
        <v>70</v>
      </c>
    </row>
    <row r="76" spans="1:15" x14ac:dyDescent="0.3">
      <c r="A76" s="2">
        <v>49</v>
      </c>
      <c r="B76" s="29" t="s">
        <v>262</v>
      </c>
      <c r="C76" s="3" t="s">
        <v>274</v>
      </c>
      <c r="D76" s="15">
        <v>77127</v>
      </c>
      <c r="E76" s="3">
        <v>0</v>
      </c>
      <c r="F76" s="3">
        <f>70-7</f>
        <v>63</v>
      </c>
      <c r="G76" s="11">
        <f>E76+F76</f>
        <v>63</v>
      </c>
      <c r="H76" s="11">
        <f>D76+G76</f>
        <v>77190</v>
      </c>
      <c r="I76" s="3" t="s">
        <v>281</v>
      </c>
      <c r="J76" s="4">
        <v>88262</v>
      </c>
      <c r="K76" s="57">
        <v>6.8000000000000005E-2</v>
      </c>
      <c r="L76" s="3" t="s">
        <v>70</v>
      </c>
    </row>
    <row r="77" spans="1:15" ht="15" thickBot="1" x14ac:dyDescent="0.35">
      <c r="A77" s="123"/>
      <c r="B77" s="124"/>
      <c r="C77" s="123"/>
      <c r="D77" s="125">
        <f>SUM(D75:D76)</f>
        <v>113538</v>
      </c>
      <c r="E77" s="125">
        <f t="shared" ref="E77:H77" si="22">SUM(E75:E76)</f>
        <v>0</v>
      </c>
      <c r="F77" s="125">
        <f t="shared" si="22"/>
        <v>1850</v>
      </c>
      <c r="G77" s="125">
        <f t="shared" si="22"/>
        <v>1850</v>
      </c>
      <c r="H77" s="125">
        <f t="shared" si="22"/>
        <v>115388</v>
      </c>
      <c r="I77" s="126"/>
      <c r="J77" s="125">
        <f>SUM(J75:J76)</f>
        <v>130094</v>
      </c>
      <c r="K77" s="127"/>
      <c r="L77" s="123"/>
      <c r="O77" s="30"/>
    </row>
    <row r="78" spans="1:15" x14ac:dyDescent="0.3">
      <c r="B78" s="28" t="s">
        <v>259</v>
      </c>
      <c r="D78" s="23"/>
      <c r="E78" s="23"/>
      <c r="F78" s="23"/>
      <c r="G78" s="23"/>
      <c r="H78" s="23"/>
      <c r="I78" s="9"/>
      <c r="J78" s="23"/>
    </row>
    <row r="79" spans="1:15" x14ac:dyDescent="0.3">
      <c r="A79" s="2">
        <v>50</v>
      </c>
      <c r="B79" s="29" t="s">
        <v>258</v>
      </c>
      <c r="C79" s="3" t="s">
        <v>289</v>
      </c>
      <c r="D79" s="15">
        <v>54400</v>
      </c>
      <c r="E79" s="3">
        <v>0</v>
      </c>
      <c r="F79" s="3">
        <f>2966-298</f>
        <v>2668</v>
      </c>
      <c r="G79" s="11">
        <f>E79+F79</f>
        <v>2668</v>
      </c>
      <c r="H79" s="11">
        <f>D79+G79</f>
        <v>57068</v>
      </c>
      <c r="I79" s="3" t="s">
        <v>282</v>
      </c>
      <c r="J79" s="4">
        <v>62499</v>
      </c>
      <c r="K79" s="5">
        <v>7.0000000000000007E-2</v>
      </c>
      <c r="L79" s="3" t="s">
        <v>70</v>
      </c>
    </row>
    <row r="80" spans="1:15" ht="15" thickBot="1" x14ac:dyDescent="0.35">
      <c r="A80" s="123"/>
      <c r="B80" s="124"/>
      <c r="C80" s="123"/>
      <c r="D80" s="125">
        <f>SUM(D79:D79)</f>
        <v>54400</v>
      </c>
      <c r="E80" s="125">
        <f t="shared" ref="E80:H80" si="23">SUM(E79:E79)</f>
        <v>0</v>
      </c>
      <c r="F80" s="125">
        <f>SUM(F79:F79)</f>
        <v>2668</v>
      </c>
      <c r="G80" s="125">
        <f t="shared" si="23"/>
        <v>2668</v>
      </c>
      <c r="H80" s="125">
        <f t="shared" si="23"/>
        <v>57068</v>
      </c>
      <c r="I80" s="126"/>
      <c r="J80" s="125">
        <f>SUM(J79:J79)</f>
        <v>62499</v>
      </c>
      <c r="K80" s="127"/>
      <c r="L80" s="123"/>
      <c r="O80" s="30"/>
    </row>
    <row r="81" spans="1:15" ht="15" thickBot="1" x14ac:dyDescent="0.35">
      <c r="A81" s="128"/>
      <c r="B81" s="129" t="s">
        <v>69</v>
      </c>
      <c r="C81" s="130"/>
      <c r="D81" s="131">
        <f>D17+D26+D30+D36+D40+D45+D53+D62+D67+D73+D77+D80</f>
        <v>1523053</v>
      </c>
      <c r="E81" s="131">
        <f t="shared" ref="E81:H81" si="24">E17+E26+E30+E36+E40+E45+E53+E62+E67+E73+E77+E80</f>
        <v>7447</v>
      </c>
      <c r="F81" s="131">
        <f t="shared" si="24"/>
        <v>69079</v>
      </c>
      <c r="G81" s="131">
        <f t="shared" si="24"/>
        <v>76526</v>
      </c>
      <c r="H81" s="131">
        <f t="shared" si="24"/>
        <v>1599579</v>
      </c>
      <c r="I81" s="132">
        <f>I17+I26+I30+I36+I40+I45+I53+I62+I67+I73+I77+I80</f>
        <v>0</v>
      </c>
      <c r="J81" s="131">
        <f>J17+J26+J30+J36+J40+J45+J53+J62+J67+J73+J77+J80</f>
        <v>1725563</v>
      </c>
      <c r="K81" s="133"/>
      <c r="L81" s="134"/>
      <c r="O81" s="30"/>
    </row>
  </sheetData>
  <mergeCells count="4">
    <mergeCell ref="A1:L1"/>
    <mergeCell ref="A2:L2"/>
    <mergeCell ref="A54:L54"/>
    <mergeCell ref="A55:L55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view="pageBreakPreview" topLeftCell="A2" zoomScaleNormal="100" zoomScaleSheetLayoutView="100" workbookViewId="0">
      <selection activeCell="A45" sqref="A45"/>
    </sheetView>
  </sheetViews>
  <sheetFormatPr defaultColWidth="9.109375" defaultRowHeight="14.4" x14ac:dyDescent="0.3"/>
  <cols>
    <col min="1" max="1" width="23.33203125" style="135" customWidth="1"/>
    <col min="2" max="2" width="5.44140625" style="17" bestFit="1" customWidth="1"/>
    <col min="3" max="3" width="14.5546875" style="17" customWidth="1"/>
    <col min="4" max="4" width="16" style="17" customWidth="1"/>
    <col min="5" max="8" width="14.5546875" style="17" customWidth="1"/>
    <col min="9" max="16384" width="9.109375" style="135"/>
  </cols>
  <sheetData>
    <row r="1" spans="1:8" ht="18" x14ac:dyDescent="0.3">
      <c r="A1" s="201" t="str">
        <f>BS!A1</f>
        <v>DIAGO CO-OPERATIVE HOUSING SOCIETY LIMITED</v>
      </c>
      <c r="B1" s="202"/>
      <c r="C1" s="202"/>
      <c r="D1" s="202"/>
      <c r="E1" s="202"/>
      <c r="F1" s="202"/>
      <c r="G1" s="202"/>
      <c r="H1" s="202"/>
    </row>
    <row r="2" spans="1:8" x14ac:dyDescent="0.3">
      <c r="A2" s="203" t="s">
        <v>248</v>
      </c>
      <c r="B2" s="203"/>
      <c r="C2" s="203"/>
      <c r="D2" s="203"/>
      <c r="E2" s="203"/>
      <c r="F2" s="203"/>
      <c r="G2" s="203"/>
      <c r="H2" s="203"/>
    </row>
    <row r="3" spans="1:8" ht="60" customHeight="1" thickBot="1" x14ac:dyDescent="0.35">
      <c r="A3" s="140" t="s">
        <v>94</v>
      </c>
      <c r="B3" s="141" t="s">
        <v>127</v>
      </c>
      <c r="C3" s="141" t="s">
        <v>239</v>
      </c>
      <c r="D3" s="141" t="s">
        <v>272</v>
      </c>
      <c r="E3" s="142" t="s">
        <v>240</v>
      </c>
      <c r="F3" s="141" t="s">
        <v>241</v>
      </c>
      <c r="G3" s="142" t="s">
        <v>128</v>
      </c>
      <c r="H3" s="141" t="s">
        <v>242</v>
      </c>
    </row>
    <row r="4" spans="1:8" ht="30" customHeight="1" thickTop="1" x14ac:dyDescent="0.3">
      <c r="A4" s="136" t="s">
        <v>103</v>
      </c>
      <c r="B4" s="10">
        <v>0</v>
      </c>
      <c r="C4" s="10">
        <v>45000</v>
      </c>
      <c r="D4" s="10">
        <v>0</v>
      </c>
      <c r="E4" s="17">
        <v>0</v>
      </c>
      <c r="F4" s="10">
        <f t="shared" ref="F4:F9" si="0">+C4+D4+E4</f>
        <v>45000</v>
      </c>
      <c r="G4" s="17">
        <f t="shared" ref="G4:G9" si="1">ROUND((C4*B4)+(D4*B4)+(E4*B4/2),0)</f>
        <v>0</v>
      </c>
      <c r="H4" s="117">
        <f t="shared" ref="H4:H9" si="2">F4-G4</f>
        <v>45000</v>
      </c>
    </row>
    <row r="5" spans="1:8" ht="30" customHeight="1" x14ac:dyDescent="0.3">
      <c r="A5" s="136" t="s">
        <v>129</v>
      </c>
      <c r="B5" s="10">
        <v>0</v>
      </c>
      <c r="C5" s="10">
        <v>2182750</v>
      </c>
      <c r="D5" s="10">
        <v>0</v>
      </c>
      <c r="E5" s="17">
        <v>0</v>
      </c>
      <c r="F5" s="10">
        <f t="shared" si="0"/>
        <v>2182750</v>
      </c>
      <c r="G5" s="17">
        <f t="shared" si="1"/>
        <v>0</v>
      </c>
      <c r="H5" s="117">
        <f t="shared" si="2"/>
        <v>2182750</v>
      </c>
    </row>
    <row r="6" spans="1:8" ht="30" customHeight="1" x14ac:dyDescent="0.3">
      <c r="A6" s="136" t="s">
        <v>130</v>
      </c>
      <c r="B6" s="10">
        <v>0</v>
      </c>
      <c r="C6" s="10">
        <v>33797</v>
      </c>
      <c r="D6" s="10">
        <v>0</v>
      </c>
      <c r="E6" s="17">
        <v>0</v>
      </c>
      <c r="F6" s="10">
        <f t="shared" si="0"/>
        <v>33797</v>
      </c>
      <c r="G6" s="17">
        <f t="shared" si="1"/>
        <v>0</v>
      </c>
      <c r="H6" s="117">
        <f t="shared" si="2"/>
        <v>33797</v>
      </c>
    </row>
    <row r="7" spans="1:8" ht="30" customHeight="1" x14ac:dyDescent="0.3">
      <c r="A7" s="136" t="s">
        <v>131</v>
      </c>
      <c r="B7" s="10">
        <v>0.1</v>
      </c>
      <c r="C7" s="10">
        <v>2739</v>
      </c>
      <c r="D7" s="10">
        <v>0</v>
      </c>
      <c r="E7" s="17">
        <v>0</v>
      </c>
      <c r="F7" s="10">
        <f t="shared" si="0"/>
        <v>2739</v>
      </c>
      <c r="G7" s="17">
        <f t="shared" si="1"/>
        <v>274</v>
      </c>
      <c r="H7" s="117">
        <f t="shared" si="2"/>
        <v>2465</v>
      </c>
    </row>
    <row r="8" spans="1:8" ht="30" customHeight="1" x14ac:dyDescent="0.3">
      <c r="A8" s="136" t="s">
        <v>132</v>
      </c>
      <c r="B8" s="10">
        <v>0.15</v>
      </c>
      <c r="C8" s="10">
        <v>2549</v>
      </c>
      <c r="D8" s="10">
        <v>0</v>
      </c>
      <c r="E8" s="17">
        <v>0</v>
      </c>
      <c r="F8" s="10">
        <f t="shared" si="0"/>
        <v>2549</v>
      </c>
      <c r="G8" s="17">
        <f t="shared" si="1"/>
        <v>382</v>
      </c>
      <c r="H8" s="117">
        <f t="shared" si="2"/>
        <v>2167</v>
      </c>
    </row>
    <row r="9" spans="1:8" ht="30" customHeight="1" thickBot="1" x14ac:dyDescent="0.35">
      <c r="A9" s="136" t="s">
        <v>133</v>
      </c>
      <c r="B9" s="10">
        <v>0.15</v>
      </c>
      <c r="C9" s="10">
        <v>20175</v>
      </c>
      <c r="D9" s="10">
        <v>0</v>
      </c>
      <c r="E9" s="17">
        <v>0</v>
      </c>
      <c r="F9" s="10">
        <f t="shared" si="0"/>
        <v>20175</v>
      </c>
      <c r="G9" s="17">
        <f t="shared" si="1"/>
        <v>3026</v>
      </c>
      <c r="H9" s="117">
        <f t="shared" si="2"/>
        <v>17149</v>
      </c>
    </row>
    <row r="10" spans="1:8" ht="30" customHeight="1" thickBot="1" x14ac:dyDescent="0.35">
      <c r="A10" s="137" t="s">
        <v>298</v>
      </c>
      <c r="B10" s="138"/>
      <c r="C10" s="121">
        <f t="shared" ref="C10:H10" si="3">SUM(C4:C9)</f>
        <v>2287010</v>
      </c>
      <c r="D10" s="121">
        <f t="shared" si="3"/>
        <v>0</v>
      </c>
      <c r="E10" s="139">
        <f t="shared" si="3"/>
        <v>0</v>
      </c>
      <c r="F10" s="121">
        <f t="shared" si="3"/>
        <v>2287010</v>
      </c>
      <c r="G10" s="139">
        <f t="shared" si="3"/>
        <v>3682</v>
      </c>
      <c r="H10" s="122">
        <f t="shared" si="3"/>
        <v>2283328</v>
      </c>
    </row>
    <row r="13" spans="1:8" x14ac:dyDescent="0.3">
      <c r="C13" s="17">
        <f>+C10-C5</f>
        <v>104260</v>
      </c>
    </row>
    <row r="14" spans="1:8" x14ac:dyDescent="0.3">
      <c r="H14" s="17">
        <f>+H10-H5</f>
        <v>100578</v>
      </c>
    </row>
  </sheetData>
  <mergeCells count="2">
    <mergeCell ref="A1:H1"/>
    <mergeCell ref="A2:H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8"/>
  <sheetViews>
    <sheetView view="pageBreakPreview" topLeftCell="A13" zoomScaleNormal="100" zoomScaleSheetLayoutView="100" workbookViewId="0">
      <selection activeCell="A45" sqref="A45"/>
    </sheetView>
  </sheetViews>
  <sheetFormatPr defaultColWidth="9.109375" defaultRowHeight="14.4" x14ac:dyDescent="0.3"/>
  <cols>
    <col min="1" max="1" width="5.33203125" style="148" bestFit="1" customWidth="1"/>
    <col min="2" max="2" width="5.6640625" style="135" bestFit="1" customWidth="1"/>
    <col min="3" max="3" width="4" style="135" bestFit="1" customWidth="1"/>
    <col min="4" max="4" width="38.5546875" style="135" bestFit="1" customWidth="1"/>
    <col min="5" max="5" width="12.77734375" style="135" customWidth="1"/>
    <col min="6" max="6" width="4.44140625" style="135" customWidth="1"/>
    <col min="7" max="7" width="5.33203125" style="148" bestFit="1" customWidth="1"/>
    <col min="8" max="8" width="34.44140625" style="135" customWidth="1"/>
    <col min="9" max="9" width="20.77734375" style="135" customWidth="1"/>
    <col min="10" max="10" width="12.77734375" style="135" customWidth="1"/>
    <col min="11" max="16384" width="9.109375" style="135"/>
  </cols>
  <sheetData>
    <row r="1" spans="1:17" ht="18" x14ac:dyDescent="0.3">
      <c r="A1" s="208" t="str">
        <f>BS!A1</f>
        <v>DIAGO CO-OPERATIVE HOUSING SOCIETY LIMITED</v>
      </c>
      <c r="B1" s="208"/>
      <c r="C1" s="208"/>
      <c r="D1" s="208"/>
      <c r="E1" s="208"/>
      <c r="F1" s="208"/>
      <c r="G1" s="208"/>
      <c r="H1" s="208"/>
      <c r="I1" s="208"/>
      <c r="J1" s="208"/>
    </row>
    <row r="2" spans="1:17" x14ac:dyDescent="0.3">
      <c r="A2" s="179" t="s">
        <v>243</v>
      </c>
      <c r="B2" s="179"/>
      <c r="C2" s="179"/>
      <c r="D2" s="179"/>
      <c r="E2" s="179"/>
      <c r="G2" s="179" t="s">
        <v>244</v>
      </c>
      <c r="H2" s="179"/>
      <c r="I2" s="179"/>
      <c r="J2" s="179"/>
    </row>
    <row r="3" spans="1:17" ht="15" thickBot="1" x14ac:dyDescent="0.35">
      <c r="A3" s="154" t="s">
        <v>113</v>
      </c>
      <c r="B3" s="154" t="s">
        <v>137</v>
      </c>
      <c r="C3" s="154" t="s">
        <v>32</v>
      </c>
      <c r="D3" s="154" t="s">
        <v>33</v>
      </c>
      <c r="E3" s="154" t="s">
        <v>34</v>
      </c>
      <c r="G3" s="154" t="s">
        <v>105</v>
      </c>
      <c r="H3" s="154" t="s">
        <v>106</v>
      </c>
      <c r="I3" s="154" t="s">
        <v>135</v>
      </c>
      <c r="J3" s="154" t="s">
        <v>109</v>
      </c>
    </row>
    <row r="4" spans="1:17" ht="18" customHeight="1" thickTop="1" x14ac:dyDescent="0.3">
      <c r="A4" s="151">
        <v>1</v>
      </c>
      <c r="B4" s="151" t="s">
        <v>30</v>
      </c>
      <c r="C4" s="152" t="s">
        <v>178</v>
      </c>
      <c r="D4" s="151" t="s">
        <v>179</v>
      </c>
      <c r="E4" s="153">
        <f>6912-2930</f>
        <v>3982</v>
      </c>
      <c r="G4" s="151">
        <v>1</v>
      </c>
      <c r="H4" s="155" t="s">
        <v>107</v>
      </c>
      <c r="I4" s="157" t="s">
        <v>110</v>
      </c>
      <c r="J4" s="156">
        <v>5000</v>
      </c>
    </row>
    <row r="5" spans="1:17" ht="18" customHeight="1" thickBot="1" x14ac:dyDescent="0.35">
      <c r="A5" s="205" t="s">
        <v>14</v>
      </c>
      <c r="B5" s="206"/>
      <c r="C5" s="206"/>
      <c r="D5" s="207"/>
      <c r="E5" s="162">
        <f>SUM(E4:E4)</f>
        <v>3982</v>
      </c>
      <c r="G5" s="143">
        <v>2</v>
      </c>
      <c r="H5" s="145" t="s">
        <v>108</v>
      </c>
      <c r="I5" s="146" t="s">
        <v>111</v>
      </c>
      <c r="J5" s="147">
        <v>6651</v>
      </c>
    </row>
    <row r="6" spans="1:17" ht="18" customHeight="1" x14ac:dyDescent="0.3">
      <c r="G6" s="143">
        <v>3</v>
      </c>
      <c r="H6" s="145" t="s">
        <v>234</v>
      </c>
      <c r="I6" s="146" t="s">
        <v>38</v>
      </c>
      <c r="J6" s="147">
        <v>19623</v>
      </c>
    </row>
    <row r="7" spans="1:17" ht="18" customHeight="1" x14ac:dyDescent="0.3">
      <c r="A7" s="204" t="s">
        <v>245</v>
      </c>
      <c r="B7" s="204"/>
      <c r="C7" s="204"/>
      <c r="D7" s="204"/>
      <c r="E7" s="204"/>
      <c r="G7" s="143">
        <v>4</v>
      </c>
      <c r="H7" s="145" t="s">
        <v>235</v>
      </c>
      <c r="I7" s="146" t="s">
        <v>51</v>
      </c>
      <c r="J7" s="147">
        <v>1770</v>
      </c>
      <c r="K7" s="149"/>
    </row>
    <row r="8" spans="1:17" ht="18" customHeight="1" thickBot="1" x14ac:dyDescent="0.35">
      <c r="A8" s="154" t="s">
        <v>113</v>
      </c>
      <c r="B8" s="154" t="s">
        <v>137</v>
      </c>
      <c r="C8" s="154" t="s">
        <v>32</v>
      </c>
      <c r="D8" s="154" t="s">
        <v>33</v>
      </c>
      <c r="E8" s="154" t="s">
        <v>34</v>
      </c>
      <c r="G8" s="205" t="s">
        <v>14</v>
      </c>
      <c r="H8" s="206"/>
      <c r="I8" s="207"/>
      <c r="J8" s="161">
        <f>SUM(J4:J7)</f>
        <v>33044</v>
      </c>
      <c r="Q8" s="150"/>
    </row>
    <row r="9" spans="1:17" ht="18" customHeight="1" thickTop="1" x14ac:dyDescent="0.3">
      <c r="A9" s="151">
        <v>1</v>
      </c>
      <c r="B9" s="151" t="s">
        <v>30</v>
      </c>
      <c r="C9" s="152">
        <v>102</v>
      </c>
      <c r="D9" s="155" t="s">
        <v>180</v>
      </c>
      <c r="E9" s="156">
        <v>10883</v>
      </c>
      <c r="Q9" s="150"/>
    </row>
    <row r="10" spans="1:17" ht="18" customHeight="1" x14ac:dyDescent="0.3">
      <c r="A10" s="143">
        <v>2</v>
      </c>
      <c r="B10" s="143" t="s">
        <v>31</v>
      </c>
      <c r="C10" s="143">
        <v>303</v>
      </c>
      <c r="D10" s="145" t="s">
        <v>112</v>
      </c>
      <c r="E10" s="147">
        <v>8989</v>
      </c>
      <c r="G10" s="135"/>
      <c r="L10" s="150"/>
    </row>
    <row r="11" spans="1:17" ht="18" customHeight="1" x14ac:dyDescent="0.3">
      <c r="A11" s="143">
        <v>3</v>
      </c>
      <c r="B11" s="143" t="s">
        <v>31</v>
      </c>
      <c r="C11" s="143">
        <v>402</v>
      </c>
      <c r="D11" s="145" t="s">
        <v>181</v>
      </c>
      <c r="E11" s="147">
        <v>1511</v>
      </c>
      <c r="G11" s="135"/>
      <c r="L11" s="150"/>
    </row>
    <row r="12" spans="1:17" ht="18" customHeight="1" thickBot="1" x14ac:dyDescent="0.35">
      <c r="A12" s="205" t="s">
        <v>14</v>
      </c>
      <c r="B12" s="206"/>
      <c r="C12" s="206"/>
      <c r="D12" s="207"/>
      <c r="E12" s="161">
        <f>SUM(E9:E11)</f>
        <v>21383</v>
      </c>
      <c r="G12" s="135"/>
      <c r="L12" s="150"/>
    </row>
    <row r="13" spans="1:17" ht="18" customHeight="1" x14ac:dyDescent="0.3">
      <c r="G13" s="135"/>
      <c r="L13" s="150"/>
    </row>
    <row r="14" spans="1:17" ht="18" customHeight="1" x14ac:dyDescent="0.3">
      <c r="A14" s="204" t="s">
        <v>246</v>
      </c>
      <c r="B14" s="204"/>
      <c r="C14" s="204"/>
      <c r="D14" s="204"/>
      <c r="E14" s="204"/>
      <c r="G14" s="135"/>
      <c r="L14" s="150"/>
    </row>
    <row r="15" spans="1:17" ht="18" customHeight="1" thickBot="1" x14ac:dyDescent="0.35">
      <c r="A15" s="154" t="s">
        <v>113</v>
      </c>
      <c r="B15" s="154" t="s">
        <v>137</v>
      </c>
      <c r="C15" s="154" t="s">
        <v>32</v>
      </c>
      <c r="D15" s="154" t="s">
        <v>33</v>
      </c>
      <c r="E15" s="154" t="s">
        <v>34</v>
      </c>
      <c r="G15" s="135"/>
      <c r="L15" s="150"/>
    </row>
    <row r="16" spans="1:17" ht="18" customHeight="1" thickTop="1" x14ac:dyDescent="0.3">
      <c r="A16" s="151">
        <v>1</v>
      </c>
      <c r="B16" s="151" t="s">
        <v>31</v>
      </c>
      <c r="C16" s="151">
        <v>1</v>
      </c>
      <c r="D16" s="155" t="s">
        <v>157</v>
      </c>
      <c r="E16" s="156">
        <v>2000</v>
      </c>
      <c r="G16" s="135"/>
      <c r="L16" s="150"/>
    </row>
    <row r="17" spans="1:17" ht="18" customHeight="1" x14ac:dyDescent="0.3">
      <c r="A17" s="143">
        <v>2</v>
      </c>
      <c r="B17" s="143" t="s">
        <v>117</v>
      </c>
      <c r="C17" s="143">
        <v>1</v>
      </c>
      <c r="D17" s="145" t="s">
        <v>158</v>
      </c>
      <c r="E17" s="147">
        <v>2000</v>
      </c>
      <c r="Q17" s="150"/>
    </row>
    <row r="18" spans="1:17" ht="18" customHeight="1" x14ac:dyDescent="0.3">
      <c r="A18" s="143">
        <v>3</v>
      </c>
      <c r="B18" s="143" t="s">
        <v>31</v>
      </c>
      <c r="C18" s="143">
        <v>3</v>
      </c>
      <c r="D18" s="145" t="s">
        <v>270</v>
      </c>
      <c r="E18" s="147">
        <v>2000</v>
      </c>
      <c r="Q18" s="150"/>
    </row>
    <row r="19" spans="1:17" ht="18" customHeight="1" x14ac:dyDescent="0.3">
      <c r="A19" s="143">
        <v>4</v>
      </c>
      <c r="B19" s="143" t="s">
        <v>30</v>
      </c>
      <c r="C19" s="144">
        <v>101</v>
      </c>
      <c r="D19" s="145" t="s">
        <v>271</v>
      </c>
      <c r="E19" s="147">
        <v>2000</v>
      </c>
    </row>
    <row r="20" spans="1:17" ht="18" customHeight="1" x14ac:dyDescent="0.3">
      <c r="A20" s="143">
        <v>5</v>
      </c>
      <c r="B20" s="143" t="s">
        <v>30</v>
      </c>
      <c r="C20" s="143">
        <v>102</v>
      </c>
      <c r="D20" s="145" t="s">
        <v>114</v>
      </c>
      <c r="E20" s="147">
        <v>2000</v>
      </c>
    </row>
    <row r="21" spans="1:17" ht="18" customHeight="1" x14ac:dyDescent="0.3">
      <c r="A21" s="143">
        <v>6</v>
      </c>
      <c r="B21" s="143" t="s">
        <v>30</v>
      </c>
      <c r="C21" s="144">
        <v>202</v>
      </c>
      <c r="D21" s="145" t="s">
        <v>269</v>
      </c>
      <c r="E21" s="147">
        <v>2000</v>
      </c>
    </row>
    <row r="22" spans="1:17" ht="18" customHeight="1" x14ac:dyDescent="0.3">
      <c r="A22" s="143">
        <v>7</v>
      </c>
      <c r="B22" s="143" t="s">
        <v>30</v>
      </c>
      <c r="C22" s="143">
        <v>203</v>
      </c>
      <c r="D22" s="145" t="s">
        <v>166</v>
      </c>
      <c r="E22" s="147">
        <v>2000</v>
      </c>
    </row>
    <row r="23" spans="1:17" ht="18" customHeight="1" x14ac:dyDescent="0.3">
      <c r="A23" s="143">
        <v>8</v>
      </c>
      <c r="B23" s="143" t="s">
        <v>31</v>
      </c>
      <c r="C23" s="144">
        <v>301</v>
      </c>
      <c r="D23" s="145" t="s">
        <v>116</v>
      </c>
      <c r="E23" s="147">
        <v>2000</v>
      </c>
    </row>
    <row r="24" spans="1:17" ht="18" customHeight="1" x14ac:dyDescent="0.3">
      <c r="A24" s="143">
        <v>9</v>
      </c>
      <c r="B24" s="143" t="s">
        <v>30</v>
      </c>
      <c r="C24" s="143">
        <v>301</v>
      </c>
      <c r="D24" s="145" t="s">
        <v>236</v>
      </c>
      <c r="E24" s="147">
        <v>2000</v>
      </c>
    </row>
    <row r="25" spans="1:17" ht="18" customHeight="1" x14ac:dyDescent="0.3">
      <c r="A25" s="143">
        <v>10</v>
      </c>
      <c r="B25" s="143" t="s">
        <v>30</v>
      </c>
      <c r="C25" s="143">
        <v>303</v>
      </c>
      <c r="D25" s="145" t="s">
        <v>115</v>
      </c>
      <c r="E25" s="147">
        <v>2000</v>
      </c>
    </row>
    <row r="26" spans="1:17" ht="18" customHeight="1" x14ac:dyDescent="0.3">
      <c r="A26" s="143">
        <v>11</v>
      </c>
      <c r="B26" s="143" t="s">
        <v>31</v>
      </c>
      <c r="C26" s="143">
        <v>303</v>
      </c>
      <c r="D26" s="145" t="s">
        <v>112</v>
      </c>
      <c r="E26" s="147">
        <v>2000</v>
      </c>
    </row>
    <row r="27" spans="1:17" ht="18" customHeight="1" x14ac:dyDescent="0.3">
      <c r="A27" s="143">
        <v>12</v>
      </c>
      <c r="B27" s="143" t="s">
        <v>30</v>
      </c>
      <c r="C27" s="143">
        <v>403</v>
      </c>
      <c r="D27" s="145" t="s">
        <v>300</v>
      </c>
      <c r="E27" s="147">
        <v>2000</v>
      </c>
    </row>
    <row r="28" spans="1:17" ht="18" customHeight="1" thickBot="1" x14ac:dyDescent="0.35">
      <c r="A28" s="158"/>
      <c r="B28" s="159"/>
      <c r="C28" s="159"/>
      <c r="D28" s="160" t="s">
        <v>14</v>
      </c>
      <c r="E28" s="161">
        <f>SUM(E16:E27)</f>
        <v>24000</v>
      </c>
    </row>
  </sheetData>
  <mergeCells count="8">
    <mergeCell ref="A14:E14"/>
    <mergeCell ref="G2:J2"/>
    <mergeCell ref="G8:I8"/>
    <mergeCell ref="A1:J1"/>
    <mergeCell ref="A12:D12"/>
    <mergeCell ref="A2:E2"/>
    <mergeCell ref="A5:D5"/>
    <mergeCell ref="A7:E7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3A16-684C-4B8F-8CDE-9299A4B83203}">
  <dimension ref="A1"/>
  <sheetViews>
    <sheetView tabSelected="1"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BS</vt:lpstr>
      <vt:lpstr>IE</vt:lpstr>
      <vt:lpstr>Fund Sch_1</vt:lpstr>
      <vt:lpstr>FD Sch_2</vt:lpstr>
      <vt:lpstr>FA Sch_3</vt:lpstr>
      <vt:lpstr>Advance n Refundable Sch 4 to 7</vt:lpstr>
      <vt:lpstr>Sheet1</vt:lpstr>
      <vt:lpstr>'Advance n Refundable Sch 4 to 7'!Print_Area</vt:lpstr>
      <vt:lpstr>BS!Print_Area</vt:lpstr>
      <vt:lpstr>'FA Sch_3'!Print_Area</vt:lpstr>
      <vt:lpstr>'FD Sch_2'!Print_Area</vt:lpstr>
      <vt:lpstr>'Fund Sch_1'!Print_Area</vt:lpstr>
      <vt:lpstr>IE!Print_Area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2026-08-04T18:35:55Z</cp:lastPrinted>
  <dcterms:created xsi:type="dcterms:W3CDTF">2015-06-05T18:17:20Z</dcterms:created>
  <dcterms:modified xsi:type="dcterms:W3CDTF">2026-08-04T18:36:01Z</dcterms:modified>
</cp:coreProperties>
</file>