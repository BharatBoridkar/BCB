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HARAT\2025-2026\BCB\AMS\005-Kittypark\"/>
    </mc:Choice>
  </mc:AlternateContent>
  <xr:revisionPtr revIDLastSave="0" documentId="13_ncr:1_{88A83E47-054A-4D29-B9E1-98DB2BB5D7F4}" xr6:coauthVersionLast="47" xr6:coauthVersionMax="47" xr10:uidLastSave="{00000000-0000-0000-0000-000000000000}"/>
  <bookViews>
    <workbookView xWindow="-108" yWindow="-108" windowWidth="23256" windowHeight="12456" tabRatio="702" xr2:uid="{00000000-000D-0000-FFFF-FFFF00000000}"/>
  </bookViews>
  <sheets>
    <sheet name="BS" sheetId="2" r:id="rId1"/>
    <sheet name="IE" sheetId="1" r:id="rId2"/>
    <sheet name="FD" sheetId="19" r:id="rId3"/>
    <sheet name="SCH-II-III-IV-V" sheetId="20" r:id="rId4"/>
    <sheet name="Vendor Prov n Advance" sheetId="25" r:id="rId5"/>
    <sheet name="BRS" sheetId="22" r:id="rId6"/>
    <sheet name="FD Interest Working" sheetId="24" r:id="rId7"/>
    <sheet name="Working" sheetId="23" r:id="rId8"/>
    <sheet name="Cash Book" sheetId="15" state="hidden" r:id="rId9"/>
  </sheets>
  <definedNames>
    <definedName name="_xlnm._FilterDatabase" localSheetId="6" hidden="1">'FD Interest Working'!$A$2:$X$47</definedName>
    <definedName name="_xlnm.Print_Area" localSheetId="0">BS!$A$1:$H$65</definedName>
    <definedName name="_xlnm.Print_Area" localSheetId="2">FD!$A$1:$L$43</definedName>
    <definedName name="_xlnm.Print_Area" localSheetId="1">IE!$A$1:$H$53</definedName>
    <definedName name="_xlnm.Print_Area" localSheetId="3">'SCH-II-III-IV-V'!$A$1:$D$46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20" l="1"/>
  <c r="D32" i="20"/>
  <c r="B32" i="20"/>
  <c r="B1" i="19"/>
  <c r="J53" i="1"/>
  <c r="G52" i="24" l="1"/>
  <c r="C33" i="2"/>
  <c r="D36" i="2" s="1"/>
  <c r="C52" i="2"/>
  <c r="D18" i="25"/>
  <c r="D13" i="20"/>
  <c r="H44" i="2"/>
  <c r="D31" i="25"/>
  <c r="G11" i="2"/>
  <c r="G10" i="2"/>
  <c r="D26" i="1"/>
  <c r="C10" i="23"/>
  <c r="C9" i="23"/>
  <c r="D10" i="23" s="1"/>
  <c r="C37" i="2"/>
  <c r="C30" i="2"/>
  <c r="C28" i="2"/>
  <c r="C24" i="2"/>
  <c r="C20" i="2"/>
  <c r="C16" i="2"/>
  <c r="C26" i="2"/>
  <c r="C18" i="2"/>
  <c r="D15" i="1"/>
  <c r="C3" i="23"/>
  <c r="G26" i="1"/>
  <c r="G28" i="1"/>
  <c r="G25" i="1"/>
  <c r="G32" i="2"/>
  <c r="J36" i="19"/>
  <c r="D36" i="19"/>
  <c r="G17" i="1"/>
  <c r="G11" i="1"/>
  <c r="D52" i="24"/>
  <c r="D47" i="24"/>
  <c r="G23" i="1" s="1"/>
  <c r="B18" i="25"/>
  <c r="G18" i="19"/>
  <c r="E29" i="19"/>
  <c r="D29" i="19"/>
  <c r="G39" i="19"/>
  <c r="G40" i="19" s="1"/>
  <c r="F39" i="19"/>
  <c r="F40" i="19" s="1"/>
  <c r="F28" i="19"/>
  <c r="F13" i="19"/>
  <c r="F35" i="19"/>
  <c r="G35" i="19" s="1"/>
  <c r="F34" i="19"/>
  <c r="G34" i="19" s="1"/>
  <c r="F27" i="19"/>
  <c r="F33" i="19"/>
  <c r="G33" i="19" s="1"/>
  <c r="F6" i="19"/>
  <c r="F26" i="19"/>
  <c r="G26" i="19" s="1"/>
  <c r="F21" i="19"/>
  <c r="G21" i="19" s="1"/>
  <c r="G22" i="19" s="1"/>
  <c r="F25" i="19"/>
  <c r="G25" i="19" s="1"/>
  <c r="F5" i="19"/>
  <c r="F14" i="19" s="1"/>
  <c r="F32" i="19"/>
  <c r="F7" i="19"/>
  <c r="E22" i="19"/>
  <c r="F19" i="19" a="1"/>
  <c r="F19" i="19" s="1"/>
  <c r="G17" i="19"/>
  <c r="G12" i="19"/>
  <c r="G11" i="19"/>
  <c r="G10" i="19"/>
  <c r="G9" i="19"/>
  <c r="D14" i="19"/>
  <c r="E19" i="19" a="1"/>
  <c r="E19" i="19" s="1"/>
  <c r="F22" i="19" l="1"/>
  <c r="F42" i="19" s="1"/>
  <c r="G5" i="19"/>
  <c r="F36" i="19"/>
  <c r="F29" i="19"/>
  <c r="D18" i="2"/>
  <c r="D31" i="2"/>
  <c r="H5" i="19"/>
  <c r="G19" i="19"/>
  <c r="D18" i="22"/>
  <c r="I7" i="22"/>
  <c r="D8" i="22" s="1"/>
  <c r="J7" i="22"/>
  <c r="D6" i="22" s="1"/>
  <c r="D10" i="22" l="1"/>
  <c r="A55" i="2"/>
  <c r="C4" i="23"/>
  <c r="D5" i="20"/>
  <c r="C39" i="2"/>
  <c r="D39" i="2" s="1"/>
  <c r="C22" i="2"/>
  <c r="D4" i="23" l="1"/>
  <c r="G41" i="2"/>
  <c r="H41" i="2" s="1"/>
  <c r="G38" i="2"/>
  <c r="H38" i="2" s="1"/>
  <c r="G35" i="2"/>
  <c r="H35" i="2" s="1"/>
  <c r="H32" i="2"/>
  <c r="G29" i="1" l="1"/>
  <c r="G27" i="1"/>
  <c r="D61" i="24"/>
  <c r="H29" i="1" l="1"/>
  <c r="G13" i="19"/>
  <c r="E40" i="19"/>
  <c r="G8" i="19" l="1"/>
  <c r="E32" i="19"/>
  <c r="G32" i="19" s="1"/>
  <c r="G36" i="19" s="1"/>
  <c r="E7" i="19"/>
  <c r="G7" i="19" s="1"/>
  <c r="E36" i="19" l="1"/>
  <c r="E14" i="19"/>
  <c r="E42" i="19" s="1"/>
  <c r="G15" i="2" s="1"/>
  <c r="D18" i="1"/>
  <c r="C46" i="2"/>
  <c r="H25" i="2"/>
  <c r="C45" i="2"/>
  <c r="H23" i="2"/>
  <c r="J40" i="19"/>
  <c r="D40" i="19"/>
  <c r="J29" i="19"/>
  <c r="G28" i="19"/>
  <c r="G27" i="19"/>
  <c r="G29" i="19" s="1"/>
  <c r="J22" i="19"/>
  <c r="D22" i="19"/>
  <c r="J19" i="19"/>
  <c r="D19" i="19"/>
  <c r="D42" i="19" s="1"/>
  <c r="H18" i="19"/>
  <c r="J14" i="19"/>
  <c r="H13" i="19"/>
  <c r="H12" i="19"/>
  <c r="H11" i="19"/>
  <c r="H10" i="19"/>
  <c r="H8" i="19"/>
  <c r="H7" i="19"/>
  <c r="D31" i="1"/>
  <c r="D49" i="2" l="1"/>
  <c r="G6" i="19"/>
  <c r="G14" i="19" s="1"/>
  <c r="G42" i="19" s="1"/>
  <c r="H6" i="19"/>
  <c r="H26" i="19"/>
  <c r="H27" i="19"/>
  <c r="H28" i="19"/>
  <c r="H33" i="19"/>
  <c r="H34" i="19"/>
  <c r="H35" i="19"/>
  <c r="H9" i="19"/>
  <c r="H32" i="19"/>
  <c r="H17" i="19"/>
  <c r="H19" i="19" s="1"/>
  <c r="J42" i="19"/>
  <c r="G14" i="2"/>
  <c r="H21" i="19"/>
  <c r="H22" i="19" s="1"/>
  <c r="H39" i="19"/>
  <c r="H40" i="19" s="1"/>
  <c r="H36" i="19" l="1"/>
  <c r="H14" i="19"/>
  <c r="H25" i="19"/>
  <c r="H29" i="19" s="1"/>
  <c r="H42" i="19" l="1"/>
  <c r="H29" i="2"/>
  <c r="D39" i="1" l="1"/>
  <c r="H35" i="1"/>
  <c r="E55" i="2" l="1"/>
  <c r="D26" i="2" l="1"/>
  <c r="H6" i="2" l="1"/>
  <c r="E6" i="2"/>
  <c r="H6" i="1"/>
  <c r="E6" i="1"/>
  <c r="G76" i="15" l="1"/>
  <c r="G68" i="15"/>
  <c r="F68" i="15"/>
  <c r="D22" i="2" l="1"/>
  <c r="H18" i="1" l="1"/>
  <c r="H14" i="1"/>
  <c r="H15" i="2" l="1"/>
  <c r="H11" i="2" l="1"/>
  <c r="H55" i="2" s="1"/>
  <c r="E43" i="1" l="1"/>
  <c r="D9" i="1"/>
  <c r="A43" i="1" l="1"/>
  <c r="I45" i="1" s="1"/>
  <c r="I59" i="2"/>
  <c r="A44" i="1" l="1"/>
  <c r="I53" i="1" l="1"/>
  <c r="D43" i="1"/>
  <c r="H41" i="1" l="1"/>
  <c r="C53" i="2" s="1"/>
  <c r="H43" i="1" l="1"/>
  <c r="J45" i="1" s="1"/>
  <c r="D54" i="2"/>
  <c r="D55" i="2" s="1"/>
  <c r="J5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<sst xmlns="http://schemas.openxmlformats.org/spreadsheetml/2006/main" count="838" uniqueCount="430">
  <si>
    <t>Electricity Charges</t>
  </si>
  <si>
    <t>Maintenance Charges</t>
  </si>
  <si>
    <t>Water Charges</t>
  </si>
  <si>
    <t>Property Tax</t>
  </si>
  <si>
    <t>Accounting Charges</t>
  </si>
  <si>
    <t>Audit Fees</t>
  </si>
  <si>
    <t>Non Occupancy Charges</t>
  </si>
  <si>
    <t>Sinking Fund</t>
  </si>
  <si>
    <t>Repair Fund</t>
  </si>
  <si>
    <t>Certificate No.</t>
  </si>
  <si>
    <t>Date</t>
  </si>
  <si>
    <t>Amount Invested</t>
  </si>
  <si>
    <t>Total</t>
  </si>
  <si>
    <t>Maturity Date</t>
  </si>
  <si>
    <t>Maturity Value</t>
  </si>
  <si>
    <t>Interest %</t>
  </si>
  <si>
    <t>Bank</t>
  </si>
  <si>
    <t>LIABILITIES</t>
  </si>
  <si>
    <t>ASSETS</t>
  </si>
  <si>
    <t>Authorised Share Capital</t>
  </si>
  <si>
    <t>Cash in hand</t>
  </si>
  <si>
    <t>Mumbai District Central Co-op. Bank</t>
  </si>
  <si>
    <t>As per last Balance Sheet</t>
  </si>
  <si>
    <t>Add: Interest on FD</t>
  </si>
  <si>
    <t>Share with MDCC</t>
  </si>
  <si>
    <t>With Tata Power</t>
  </si>
  <si>
    <t>Add: Additions during the year</t>
  </si>
  <si>
    <t>Major Repair Fund</t>
  </si>
  <si>
    <t>Professional Fees</t>
  </si>
  <si>
    <t>MDCC</t>
  </si>
  <si>
    <t>Accrued Interest on Fixed Deposits</t>
  </si>
  <si>
    <t>Add: Interest recd on FD</t>
  </si>
  <si>
    <t>Bonus</t>
  </si>
  <si>
    <t>Share Capital</t>
  </si>
  <si>
    <t>Amount</t>
  </si>
  <si>
    <t>Mr. Francis Ramos</t>
  </si>
  <si>
    <t>Sr.No</t>
  </si>
  <si>
    <t>Mr. John Cota</t>
  </si>
  <si>
    <t>Other Repair Maintenance</t>
  </si>
  <si>
    <t>Electrical Repair Maintenance</t>
  </si>
  <si>
    <t>As per my report of even date</t>
  </si>
  <si>
    <t>General Reserve Fund</t>
  </si>
  <si>
    <t>Salary Expenses</t>
  </si>
  <si>
    <t>Parking Charges</t>
  </si>
  <si>
    <t>Late Payment Interest</t>
  </si>
  <si>
    <t>Water Expenses</t>
  </si>
  <si>
    <t>Lift AMC Expenses</t>
  </si>
  <si>
    <t>Printing  and  Stationary</t>
  </si>
  <si>
    <t>Income</t>
  </si>
  <si>
    <t>SCB</t>
  </si>
  <si>
    <t xml:space="preserve">Add: 25% surplus trfd </t>
  </si>
  <si>
    <t>Retention Money - Univision Enterprises</t>
  </si>
  <si>
    <t>Gardener</t>
  </si>
  <si>
    <t>Pumpman</t>
  </si>
  <si>
    <t>Garden Maintenance expense</t>
  </si>
  <si>
    <t>Postage &amp; Courier</t>
  </si>
  <si>
    <t>Common Area P. Tax</t>
  </si>
  <si>
    <t>Sale of Scrap</t>
  </si>
  <si>
    <t>Kitty Park C.H.S. Ltd</t>
  </si>
  <si>
    <t xml:space="preserve">Cash in hand  - All Transactions ( 01-04-2019 to     31-03-2020 ) </t>
  </si>
  <si>
    <t>Posted Date</t>
  </si>
  <si>
    <t>Voucher No</t>
  </si>
  <si>
    <t>Account</t>
  </si>
  <si>
    <t>Instr No</t>
  </si>
  <si>
    <t>Comment</t>
  </si>
  <si>
    <t>Receipts</t>
  </si>
  <si>
    <t>Payments</t>
  </si>
  <si>
    <t>Salary Expenses,Salary Expenses,Salary Expenses</t>
  </si>
  <si>
    <t>N.A.</t>
  </si>
  <si>
    <t>Being salaries paid - March 2019</t>
  </si>
  <si>
    <t>Being Labour charges paid</t>
  </si>
  <si>
    <t>Paid to Narayan Electricals - Bin for society</t>
  </si>
  <si>
    <t>31.03.20</t>
  </si>
  <si>
    <t>LED light for Staircase by Smitha</t>
  </si>
  <si>
    <t xml:space="preserve">Sale of Scrap - Old metal gates		</t>
  </si>
  <si>
    <t>Salary Expenses,Garden Maintenance Expenses</t>
  </si>
  <si>
    <t>Being salary paid for April 2019</t>
  </si>
  <si>
    <t>Being salary paid for May 2019</t>
  </si>
  <si>
    <t>Being Cash withdrawn</t>
  </si>
  <si>
    <t>Being salary paid for June 2019</t>
  </si>
  <si>
    <t>Being paid for staircase washing</t>
  </si>
  <si>
    <t>Garden Maintenance Expenses</t>
  </si>
  <si>
    <t>Being paid for cutting of tree</t>
  </si>
  <si>
    <t>Being salary paid for July 2019</t>
  </si>
  <si>
    <t>Being paid for electrical repairs</t>
  </si>
  <si>
    <t>Being salary paid for August 2019</t>
  </si>
  <si>
    <t>Being paid for Lift Repair &amp; Maintenance</t>
  </si>
  <si>
    <t>Being Cash Withdrawn</t>
  </si>
  <si>
    <t>Being salary paid for September 2019</t>
  </si>
  <si>
    <t>Being paid for Name plate change</t>
  </si>
  <si>
    <t>Being courier exp paid</t>
  </si>
  <si>
    <t>Being cleaning expenses paid</t>
  </si>
  <si>
    <t>Being salary paid for Oct 2019</t>
  </si>
  <si>
    <t>Being paid towards broom for society</t>
  </si>
  <si>
    <t>Being Cash withdrawn for petty cash exp.</t>
  </si>
  <si>
    <t>Being salary paid for Nov 2019</t>
  </si>
  <si>
    <t>Salary Expenses,Bonus</t>
  </si>
  <si>
    <t>Being salary paid for Dec 2019</t>
  </si>
  <si>
    <t>Being paid towards washing of staircase</t>
  </si>
  <si>
    <t>Being paid towards Terrace lock</t>
  </si>
  <si>
    <t>Being salary paid for Jan 2020</t>
  </si>
  <si>
    <t>Being paid towards electrical work</t>
  </si>
  <si>
    <t>Being paid towards LED bulb</t>
  </si>
  <si>
    <t>Being salary paid for Feb 2020</t>
  </si>
  <si>
    <t>Being paid towards cleaning of gutter</t>
  </si>
  <si>
    <t>Being Cash withdrawn for petty cash exp</t>
  </si>
  <si>
    <t>As per Cash Book but vouchers not available</t>
  </si>
  <si>
    <t>15.06.19</t>
  </si>
  <si>
    <t xml:space="preserve">TDS - Uninsion Ent </t>
  </si>
  <si>
    <t>20.09.19</t>
  </si>
  <si>
    <t>Xerox</t>
  </si>
  <si>
    <t>Electrician</t>
  </si>
  <si>
    <t>03.10.19</t>
  </si>
  <si>
    <t>Electric Hardware</t>
  </si>
  <si>
    <t>Mr. Jha</t>
  </si>
  <si>
    <t>Tata Power</t>
  </si>
  <si>
    <t>Income Tax Expenses</t>
  </si>
  <si>
    <t>KITTY PARK CHS LTD</t>
  </si>
  <si>
    <t>Balance as per System (Book Balance)</t>
  </si>
  <si>
    <t xml:space="preserve">Add: </t>
  </si>
  <si>
    <t>Cheque issued but not presented (Outflow)</t>
  </si>
  <si>
    <t xml:space="preserve">Less: </t>
  </si>
  <si>
    <t>Cheque deposited but not cleared (Inflow)</t>
  </si>
  <si>
    <t>Balance as per Bank Passbook</t>
  </si>
  <si>
    <t>MCGM - Water Expenses</t>
  </si>
  <si>
    <t>29.03.2024</t>
  </si>
  <si>
    <t>Accrued Int. Total</t>
  </si>
  <si>
    <t>Total Deposit Amount</t>
  </si>
  <si>
    <t xml:space="preserve">     Sinking Fund</t>
  </si>
  <si>
    <t xml:space="preserve">     Repair Fund</t>
  </si>
  <si>
    <t xml:space="preserve">     Reserve Fund</t>
  </si>
  <si>
    <t>Less: Transfer to:</t>
  </si>
  <si>
    <t>Interest Income - Savings Deposit</t>
  </si>
  <si>
    <t>KITTY PARK  CO-OP. HOUSING SOCIETY LTD.</t>
  </si>
  <si>
    <t>(200 Shares of Rs.50/- each)</t>
  </si>
  <si>
    <t>(Amt. in Rs.)</t>
  </si>
  <si>
    <t xml:space="preserve">Reserve Fund &amp; Other Funds </t>
  </si>
  <si>
    <t>TDS Receivables on Interest from Banks</t>
  </si>
  <si>
    <t>KITTY PARK CO-OP. HOUSING SOCIETY LTD.</t>
  </si>
  <si>
    <t>Expenditure</t>
  </si>
  <si>
    <t>By Interest Income</t>
  </si>
  <si>
    <t>To Property Tax - Members</t>
  </si>
  <si>
    <t>To Electricity Expenses</t>
  </si>
  <si>
    <t>To Trfd to Reserve Fund ( 25%  )</t>
  </si>
  <si>
    <t>Depreciation on Fixed Assets</t>
  </si>
  <si>
    <t>Name of the Member</t>
  </si>
  <si>
    <t>Amount (Rs.)</t>
  </si>
  <si>
    <t>Saraswat Co-op. Bank</t>
  </si>
  <si>
    <t>(Regn.No.MUM/W-P/HSG/(TC)/11731/2002-2003)</t>
  </si>
  <si>
    <t>(Regd.No.MUM/W-P/HSG/(TC)/ 11731/2002-2003)</t>
  </si>
  <si>
    <t>Unidentified Credit</t>
  </si>
  <si>
    <t>Interest on IT Refund</t>
  </si>
  <si>
    <t>Shifting Charges</t>
  </si>
  <si>
    <t>Conveyance Charges</t>
  </si>
  <si>
    <t>Bank Charges</t>
  </si>
  <si>
    <t>05.05.2024</t>
  </si>
  <si>
    <t>16.09.2023</t>
  </si>
  <si>
    <t>Flat</t>
  </si>
  <si>
    <t>Issued, Subscribed and Paid Up Share Capital</t>
  </si>
  <si>
    <t xml:space="preserve">(i) Land &amp; Building </t>
  </si>
  <si>
    <t>(i) LED Monitor</t>
  </si>
  <si>
    <t>(ii) Furniture &amp; Fixtures</t>
  </si>
  <si>
    <t>(iii) Water Pump Account</t>
  </si>
  <si>
    <t>(iv) CCTV</t>
  </si>
  <si>
    <t>Less: Depreciation @ 15%</t>
  </si>
  <si>
    <t>Less: Depreciation @ 10%</t>
  </si>
  <si>
    <t>By Maintenance Income Contribution :</t>
  </si>
  <si>
    <t>By Property Tax Contribution :</t>
  </si>
  <si>
    <t>(130 Shares of Rs.50/- each )</t>
  </si>
  <si>
    <t>FDRs with Banks</t>
  </si>
  <si>
    <t>-- Land &amp; Building</t>
  </si>
  <si>
    <t>Members Contribution towards :</t>
  </si>
  <si>
    <t>Income &amp; Expenditure Account :</t>
  </si>
  <si>
    <t>Current Liabilities &amp; Provisions :</t>
  </si>
  <si>
    <t>Other Current Assets :</t>
  </si>
  <si>
    <t>Fixed Assets :</t>
  </si>
  <si>
    <t>Other Investment :</t>
  </si>
  <si>
    <t>Deposits &amp; Advances :</t>
  </si>
  <si>
    <t>Cash &amp; Bank Balance :</t>
  </si>
  <si>
    <t>Vendor</t>
  </si>
  <si>
    <t>Sweeper</t>
  </si>
  <si>
    <t>Washing of staircase</t>
  </si>
  <si>
    <t>(i) General Reserve Fund</t>
  </si>
  <si>
    <t>(ii) Sinking Fund</t>
  </si>
  <si>
    <t>(iii) Repair Fund</t>
  </si>
  <si>
    <t>(iv) Major Repair Fund</t>
  </si>
  <si>
    <t>ADD : CTS No. 556C, Village Valnai, Orlem, Malad (W), Mumbai – 400 064.</t>
  </si>
  <si>
    <t xml:space="preserve">     Education Fund</t>
  </si>
  <si>
    <t>To Excess of  Income over Expenses</t>
  </si>
  <si>
    <t>Lift Repair &amp; Maintenance</t>
  </si>
  <si>
    <t>Sr.</t>
  </si>
  <si>
    <t>29.06.2025</t>
  </si>
  <si>
    <t>30.06.2025</t>
  </si>
  <si>
    <t>Education &amp; Training Fund</t>
  </si>
  <si>
    <t>GRAND TOTAL</t>
  </si>
  <si>
    <t>Sl.No</t>
  </si>
  <si>
    <t>Sr.no</t>
  </si>
  <si>
    <t>25.05.2022</t>
  </si>
  <si>
    <t>Shankar Durgad</t>
  </si>
  <si>
    <t>05.06.2023</t>
  </si>
  <si>
    <t>28.06.2023</t>
  </si>
  <si>
    <t xml:space="preserve">Bharat Boridkar </t>
  </si>
  <si>
    <t>Flat No.</t>
  </si>
  <si>
    <t>Kitty Park Co-op. Housing Society Ltd.</t>
  </si>
  <si>
    <t>Advance from Members - ( As per Sch III )</t>
  </si>
  <si>
    <t>Payables and Provisions   - ( As per Sch IV )</t>
  </si>
  <si>
    <t>Dues from Members - ( As per Schedule  II )</t>
  </si>
  <si>
    <t>Investment In Fixed Deposit - (As per Sch. I )</t>
  </si>
  <si>
    <t>Add : Excess of Income over Expenditure fr yr</t>
  </si>
  <si>
    <t>To Salary Expenses :</t>
  </si>
  <si>
    <t>To Water Expenses :</t>
  </si>
  <si>
    <t>To Lift Expenses:</t>
  </si>
  <si>
    <t>Subscription Federation Fees</t>
  </si>
  <si>
    <t>To Repair &amp; Maintenance :</t>
  </si>
  <si>
    <t>By Interest on Fixed Deposits :</t>
  </si>
  <si>
    <t>By Other Income :</t>
  </si>
  <si>
    <t>To Office Expenses :</t>
  </si>
  <si>
    <t>To Service Charges :</t>
  </si>
  <si>
    <t>2024-2025</t>
  </si>
  <si>
    <t>TD0000414288_2</t>
  </si>
  <si>
    <t>1303641_3</t>
  </si>
  <si>
    <t>1303636_3</t>
  </si>
  <si>
    <t>Accrued Int. 2024-25</t>
  </si>
  <si>
    <t>TD0000414290_2</t>
  </si>
  <si>
    <t>16.03.2026</t>
  </si>
  <si>
    <t>22.03.2026</t>
  </si>
  <si>
    <t>29.03.2026</t>
  </si>
  <si>
    <t>16.09.2025</t>
  </si>
  <si>
    <t>TD0000400894_2</t>
  </si>
  <si>
    <t>Kitty Park C.H.S. Ltd - Income - Non Members &gt; Interest Income - Fixed Deposit  ( 306002 ) &lt;br&gt;Transactions From 01-04-2024 to 31-03-2025</t>
  </si>
  <si>
    <t>Journal No.</t>
  </si>
  <si>
    <t>Comments</t>
  </si>
  <si>
    <t>Credit</t>
  </si>
  <si>
    <t>Fund</t>
  </si>
  <si>
    <t>SC</t>
  </si>
  <si>
    <t>SF</t>
  </si>
  <si>
    <t>GF</t>
  </si>
  <si>
    <t>MRF</t>
  </si>
  <si>
    <t>RF</t>
  </si>
  <si>
    <t>ETF</t>
  </si>
  <si>
    <t>System</t>
  </si>
  <si>
    <t xml:space="preserve">     Painting &amp; Repair Fund</t>
  </si>
  <si>
    <t>CCTV Repair</t>
  </si>
  <si>
    <t xml:space="preserve"> Less: Expenses incurred during year</t>
  </si>
  <si>
    <t>Mr. Anthony Fernandes</t>
  </si>
  <si>
    <t>Leakhalt Associates</t>
  </si>
  <si>
    <t>Mukesh Plumber</t>
  </si>
  <si>
    <t>TDS Payable</t>
  </si>
  <si>
    <t>Water</t>
  </si>
  <si>
    <t>Days</t>
  </si>
  <si>
    <t>Period</t>
  </si>
  <si>
    <t>provision</t>
  </si>
  <si>
    <t>Irene Rosario</t>
  </si>
  <si>
    <t>Retention Money - Leakhalt Associates</t>
  </si>
  <si>
    <t>Add: Excess Provision wrtten back</t>
  </si>
  <si>
    <t>(v) Painting and Repair Fund</t>
  </si>
  <si>
    <t>Members contribution during the year</t>
  </si>
  <si>
    <t>Less: Expenses incurred during year</t>
  </si>
  <si>
    <t>(vi) Education Training Fund</t>
  </si>
  <si>
    <t>Flat/Vendor</t>
  </si>
  <si>
    <t>Dr</t>
  </si>
  <si>
    <t>Cr</t>
  </si>
  <si>
    <t>Cheque #</t>
  </si>
  <si>
    <t>Cleared On</t>
  </si>
  <si>
    <t>04.04.25</t>
  </si>
  <si>
    <t>Accrued Int. 2025-26</t>
  </si>
  <si>
    <t>05.05.2026</t>
  </si>
  <si>
    <t>TD0000414292_2</t>
  </si>
  <si>
    <t>TD0000414294_2</t>
  </si>
  <si>
    <t>TD0000414295_2</t>
  </si>
  <si>
    <t>TD0000414296_2</t>
  </si>
  <si>
    <t>TD0000414298_2</t>
  </si>
  <si>
    <t>TD0000414299_2</t>
  </si>
  <si>
    <t>TD0000414300_2</t>
  </si>
  <si>
    <t>TD0000414303_2</t>
  </si>
  <si>
    <t>TD1001143025_01</t>
  </si>
  <si>
    <t>TD1001143055_01</t>
  </si>
  <si>
    <t>TD1001143106_01</t>
  </si>
  <si>
    <t>TD1001143122_01</t>
  </si>
  <si>
    <t>22.03.2027</t>
  </si>
  <si>
    <t>1303638_4</t>
  </si>
  <si>
    <t>29.03.2027</t>
  </si>
  <si>
    <t>1303637_4</t>
  </si>
  <si>
    <t>16.03.2027</t>
  </si>
  <si>
    <t>1303639_4</t>
  </si>
  <si>
    <t>16.09.2026</t>
  </si>
  <si>
    <t>1303640_4</t>
  </si>
  <si>
    <t>30.09.2026</t>
  </si>
  <si>
    <t>29.09.2026</t>
  </si>
  <si>
    <t>Previous Year 2024-25</t>
  </si>
  <si>
    <t>Current Year 2025-26</t>
  </si>
  <si>
    <t>BALANCE SHEET  AS AT 31ST MARCH 2026</t>
  </si>
  <si>
    <t>INCOME &amp; EXPENDITURE ACCOUNT FOR THE YEAR ENDED 31ST MARCH 2026</t>
  </si>
  <si>
    <t>2025-2026</t>
  </si>
  <si>
    <t>Details of Fixed Deposits as on 31st March 2026</t>
  </si>
  <si>
    <t>RK Interprises</t>
  </si>
  <si>
    <t>JE-2025-0000024</t>
  </si>
  <si>
    <t>29-06-2025</t>
  </si>
  <si>
    <t>Being FD 414298 renewed and remade SCB - SF</t>
  </si>
  <si>
    <t>JE-2025-0000040</t>
  </si>
  <si>
    <t>Being FD 414297 renewed and remade SCB - mrf</t>
  </si>
  <si>
    <t>JE-2025-0000030</t>
  </si>
  <si>
    <t>JE-2025-0000028</t>
  </si>
  <si>
    <t>Being FD TD0000414300 renewed and remade SCB - MRF</t>
  </si>
  <si>
    <t>JE-2025-0000026</t>
  </si>
  <si>
    <t>Being FD TD0000414299 renewed and remade SCB - RES</t>
  </si>
  <si>
    <t>JE-2025-0000021</t>
  </si>
  <si>
    <t>Being FD TD0000414296 renewed and remade SCB - MRF</t>
  </si>
  <si>
    <t>JE-2025-0000019</t>
  </si>
  <si>
    <t>Being FD TD0000414295 renewed and remade SCB - RF</t>
  </si>
  <si>
    <t>JE-2025-0000017</t>
  </si>
  <si>
    <t>Being FD TD0000414294 renewed and remade SCB - MRF</t>
  </si>
  <si>
    <t>JE-2025-0000015</t>
  </si>
  <si>
    <t>Being FD TD0000414292 renewed and remade SCB - SF</t>
  </si>
  <si>
    <t>JE-2025-0000002</t>
  </si>
  <si>
    <t>30-06-2025</t>
  </si>
  <si>
    <t>Being Int recd on FD   TD0000400894 - SC SCB</t>
  </si>
  <si>
    <t>JE-2025-0000038</t>
  </si>
  <si>
    <t>Being FD TD1001143122 renewed and remade SCB - ETF</t>
  </si>
  <si>
    <t>JE-2025-0000036</t>
  </si>
  <si>
    <t>Being FD 1143106 renewed and remade SCB - MRF</t>
  </si>
  <si>
    <t>JE-2025-0000034</t>
  </si>
  <si>
    <t>Being FD 1143055 renewed and remade SCB - SF</t>
  </si>
  <si>
    <t>JE-2025-0000032</t>
  </si>
  <si>
    <t>JE-2025-0000050</t>
  </si>
  <si>
    <t>16-09-2025</t>
  </si>
  <si>
    <t>Being FD 1303639 renewed and remade MDCC - SC</t>
  </si>
  <si>
    <t>JE-2025-0000006</t>
  </si>
  <si>
    <t>30-09-2025</t>
  </si>
  <si>
    <t>Being interest recd on FD TD0000400894 SC SCB</t>
  </si>
  <si>
    <t>JE-2025-0000009</t>
  </si>
  <si>
    <t>31-12-2025</t>
  </si>
  <si>
    <t>JE-2025-0000023</t>
  </si>
  <si>
    <t>07-03-2026</t>
  </si>
  <si>
    <t>Being fd 414297 redeemed credited in bank SCB MRF</t>
  </si>
  <si>
    <t>JE-2025-0000046</t>
  </si>
  <si>
    <t>16-03-2026</t>
  </si>
  <si>
    <t>Being FD 1303637 renewed and remade MDCC - SF</t>
  </si>
  <si>
    <t>JE-2025-0000048</t>
  </si>
  <si>
    <t>Being FD 1303641 renewed and remade MDCC - SF</t>
  </si>
  <si>
    <t>JE-2025-0000052</t>
  </si>
  <si>
    <t>Being FD 1303640 renewed and remade MDCC - SF</t>
  </si>
  <si>
    <t>JE-2025-0000042</t>
  </si>
  <si>
    <t>22-03-2026</t>
  </si>
  <si>
    <t>Being FD 1303636 renewed and remade MDCC - SF</t>
  </si>
  <si>
    <t>JE-2025-0000044</t>
  </si>
  <si>
    <t>29-03-2026</t>
  </si>
  <si>
    <t>Being FD 1303638 renewed and remade MDCC - SF</t>
  </si>
  <si>
    <t>JE-2025-0000047</t>
  </si>
  <si>
    <t>31-03-2026</t>
  </si>
  <si>
    <t>Being int accu on FD 1303637- SF - MDCC</t>
  </si>
  <si>
    <t>JE-2025-0000053</t>
  </si>
  <si>
    <t>Being int accu on FD 1303640 - SF - MDCC</t>
  </si>
  <si>
    <t>JE-2025-0000045</t>
  </si>
  <si>
    <t>Being int accu on FD 1303638- SF - MDCC</t>
  </si>
  <si>
    <t>JE-2025-0000043</t>
  </si>
  <si>
    <t>Being int accu on FD 1303636- SF - MDCC</t>
  </si>
  <si>
    <t>JE-2025-0000041</t>
  </si>
  <si>
    <t>Being int on FD 40894 SCB SCF</t>
  </si>
  <si>
    <t>JE-2025-0000049</t>
  </si>
  <si>
    <t>Being int accu on FD 1303641 - SF - MDCC</t>
  </si>
  <si>
    <t>JE-2025-0000051</t>
  </si>
  <si>
    <t>Being int accu on FD 1303639- SC - MDCC</t>
  </si>
  <si>
    <t>JE-2025-0000039</t>
  </si>
  <si>
    <t>Being int accu on FD TD1001143122 - ETF - SCB</t>
  </si>
  <si>
    <t>JE-2025-0000037</t>
  </si>
  <si>
    <t>Being int accu on FD TD1001143106 - MRF - SCB</t>
  </si>
  <si>
    <t>JE-2025-0000035</t>
  </si>
  <si>
    <t>Being int accu on FD TD1001143055 - SF - SCB</t>
  </si>
  <si>
    <t>JE-2025-0000033</t>
  </si>
  <si>
    <t>JE-2025-0000031</t>
  </si>
  <si>
    <t>JE-2025-0000029</t>
  </si>
  <si>
    <t>JE-2025-0000027</t>
  </si>
  <si>
    <t>Being int accu on FD TD0000414299 - RES - SCB</t>
  </si>
  <si>
    <t>JE-2025-0000025</t>
  </si>
  <si>
    <t>Being int accu on FD TD0000414298- SF - SCB</t>
  </si>
  <si>
    <t>JE-2025-0000022</t>
  </si>
  <si>
    <t>JE-2025-0000020</t>
  </si>
  <si>
    <t>Being int accu on FD TD0000414295 - RF - SCB</t>
  </si>
  <si>
    <t>JE-2025-0000018</t>
  </si>
  <si>
    <t>Being int accu on FD  TD0000414294 - MRF - SCB</t>
  </si>
  <si>
    <t>JE-2025-0000016</t>
  </si>
  <si>
    <t>Being int accu on FD TD0000414292 - SF - SCB</t>
  </si>
  <si>
    <t>JE-2025-0000014</t>
  </si>
  <si>
    <t>Being int accu on FD 414290 - GF - SCB</t>
  </si>
  <si>
    <t>JE-2025-0000013</t>
  </si>
  <si>
    <t>Being int accu on FD  414288 - SF - SCB</t>
  </si>
  <si>
    <t>SCF</t>
  </si>
  <si>
    <t>Being FD TD0000414303 renewed and remade SCB - GF</t>
  </si>
  <si>
    <t>Being int accu on FD TD0000414303 - GF - SCB</t>
  </si>
  <si>
    <t>Being FD TD1001143025 renewed and remade SCB - GF</t>
  </si>
  <si>
    <t>Being int accu on FD TD1001143025 - GF - SCB</t>
  </si>
  <si>
    <t>Being int accu on FD 414300 - MRF - SCB</t>
  </si>
  <si>
    <t>Being int accu on FD TD0000414296 - MRF - SCB</t>
  </si>
  <si>
    <t>Lift Repair Charges</t>
  </si>
  <si>
    <t>Sale Of Scrap</t>
  </si>
  <si>
    <t>Repair &amp; Maintenance expense</t>
  </si>
  <si>
    <t>Fighting System Repairs and Maintenance</t>
  </si>
  <si>
    <t>CCTV AMC</t>
  </si>
  <si>
    <t xml:space="preserve">Prepaid </t>
  </si>
  <si>
    <t>Interest on TDS</t>
  </si>
  <si>
    <t>Miscellaneous Expenses</t>
  </si>
  <si>
    <t>Sch-IV: Payables and Provisions as of 31.03.2026</t>
  </si>
  <si>
    <t>FY 2024-25</t>
  </si>
  <si>
    <t>FY 2025-26</t>
  </si>
  <si>
    <t>13.03.26</t>
  </si>
  <si>
    <t>Kreative Welt</t>
  </si>
  <si>
    <t>06.04.26</t>
  </si>
  <si>
    <t>31.03.26</t>
  </si>
  <si>
    <t>RK Enterprises</t>
  </si>
  <si>
    <t>12.04.2025</t>
  </si>
  <si>
    <t>R.K. ENTERPRISES</t>
  </si>
  <si>
    <t>13.03.2026</t>
  </si>
  <si>
    <t>11.09.2025</t>
  </si>
  <si>
    <t>31.03.2026</t>
  </si>
  <si>
    <t>Prepaid Expenses :</t>
  </si>
  <si>
    <t>Income Tax Refund Receivable</t>
  </si>
  <si>
    <t>Schedule - III: Advance Members as at 31st March 2026</t>
  </si>
  <si>
    <t>Schedule  - II: Member's Dues as at 31st March 2026</t>
  </si>
  <si>
    <t>Provision Water Exp</t>
  </si>
  <si>
    <t>Schedule - V : Advance to Vendors as of 31.03.2026</t>
  </si>
  <si>
    <t>Saraswat Bank Reconciliation Statement as on 31.03.2026</t>
  </si>
  <si>
    <t>MDCC Bank Reconciliation Statement as on 31.03.2026</t>
  </si>
  <si>
    <t>FOR KITTY PARK CO-OPERATIVE HOUSING SOCIETY LTD</t>
  </si>
  <si>
    <t>Shri. Bharat C. Boridkar</t>
  </si>
  <si>
    <t>Govt. Certified Panel Auditor</t>
  </si>
  <si>
    <t>Chairman                Secretary              Treasurer</t>
  </si>
  <si>
    <t>[Panel No.: Mumbai-4/C1/1011404]</t>
  </si>
  <si>
    <t>Excess of Expenditure  over the Income</t>
  </si>
  <si>
    <t>Advance to  Ventors - (As per Schedule - V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</si>
</sst>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_-;\-* #,##0.00_-;_-* &quot;-&quot;??_-;_-@_-"/>
    <numFmt numFmtId="167" formatCode="_ * #,##0_ ;_ * \-#,##0_ ;_ * &quot;-&quot;??_ ;_ @_ "/>
    <numFmt numFmtId="168" formatCode="&quot;Mumbai: &quot;dd&quot;th&quot;\ mmmm\,\ yyyy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242626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9"/>
      <name val="Arial"/>
      <family val="2"/>
    </font>
    <font>
      <b/>
      <u/>
      <sz val="18"/>
      <color theme="1"/>
      <name val="Calibri"/>
      <family val="2"/>
      <scheme val="minor"/>
    </font>
    <font>
      <sz val="9"/>
      <name val="Arial"/>
      <family val="2"/>
    </font>
    <font>
      <b/>
      <u/>
      <sz val="16"/>
      <name val="Calibri"/>
      <family val="2"/>
      <scheme val="minor"/>
    </font>
    <font>
      <b/>
      <sz val="11"/>
      <color rgb="FF242626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imes New Roman"/>
      <family val="1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  <xf numFmtId="0" fontId="31" fillId="0" borderId="0"/>
    <xf numFmtId="0" fontId="5" fillId="0" borderId="0"/>
  </cellStyleXfs>
  <cellXfs count="247">
    <xf numFmtId="0" fontId="0" fillId="0" borderId="0" xfId="0"/>
    <xf numFmtId="43" fontId="0" fillId="0" borderId="0" xfId="1" applyFont="1"/>
    <xf numFmtId="43" fontId="2" fillId="0" borderId="0" xfId="1" applyFont="1"/>
    <xf numFmtId="0" fontId="0" fillId="0" borderId="0" xfId="0" applyAlignment="1">
      <alignment horizontal="center"/>
    </xf>
    <xf numFmtId="0" fontId="0" fillId="0" borderId="1" xfId="0" applyBorder="1"/>
    <xf numFmtId="165" fontId="0" fillId="0" borderId="1" xfId="2" applyFont="1" applyFill="1" applyBorder="1" applyAlignment="1"/>
    <xf numFmtId="43" fontId="6" fillId="0" borderId="0" xfId="1" applyFont="1" applyFill="1" applyBorder="1"/>
    <xf numFmtId="165" fontId="2" fillId="0" borderId="0" xfId="2" applyFont="1" applyFill="1" applyBorder="1" applyAlignment="1"/>
    <xf numFmtId="165" fontId="0" fillId="0" borderId="1" xfId="4" applyNumberFormat="1" applyFont="1" applyFill="1" applyBorder="1" applyAlignment="1"/>
    <xf numFmtId="0" fontId="0" fillId="0" borderId="1" xfId="0" applyBorder="1" applyAlignment="1">
      <alignment horizontal="center"/>
    </xf>
    <xf numFmtId="0" fontId="2" fillId="0" borderId="0" xfId="0" applyFont="1"/>
    <xf numFmtId="43" fontId="0" fillId="0" borderId="0" xfId="1" applyFont="1" applyFill="1"/>
    <xf numFmtId="0" fontId="0" fillId="2" borderId="1" xfId="0" applyFill="1" applyBorder="1"/>
    <xf numFmtId="14" fontId="0" fillId="0" borderId="1" xfId="0" applyNumberFormat="1" applyBorder="1"/>
    <xf numFmtId="0" fontId="0" fillId="0" borderId="5" xfId="0" applyBorder="1"/>
    <xf numFmtId="165" fontId="0" fillId="0" borderId="0" xfId="2" applyFont="1" applyFill="1" applyBorder="1" applyAlignment="1"/>
    <xf numFmtId="0" fontId="12" fillId="0" borderId="0" xfId="0" applyFont="1"/>
    <xf numFmtId="0" fontId="13" fillId="0" borderId="0" xfId="0" applyFont="1"/>
    <xf numFmtId="0" fontId="13" fillId="0" borderId="9" xfId="0" applyFont="1" applyBorder="1"/>
    <xf numFmtId="0" fontId="13" fillId="0" borderId="9" xfId="0" applyFont="1" applyBorder="1" applyAlignment="1">
      <alignment horizontal="center"/>
    </xf>
    <xf numFmtId="4" fontId="15" fillId="0" borderId="9" xfId="0" applyNumberFormat="1" applyFont="1" applyBorder="1"/>
    <xf numFmtId="43" fontId="13" fillId="0" borderId="0" xfId="0" applyNumberFormat="1" applyFont="1"/>
    <xf numFmtId="43" fontId="13" fillId="0" borderId="9" xfId="0" applyNumberFormat="1" applyFont="1" applyBorder="1" applyAlignment="1">
      <alignment horizontal="right"/>
    </xf>
    <xf numFmtId="0" fontId="12" fillId="0" borderId="9" xfId="0" applyFont="1" applyBorder="1"/>
    <xf numFmtId="165" fontId="0" fillId="0" borderId="0" xfId="2" applyFont="1" applyFill="1"/>
    <xf numFmtId="43" fontId="1" fillId="0" borderId="0" xfId="1" applyFont="1"/>
    <xf numFmtId="166" fontId="0" fillId="0" borderId="0" xfId="0" applyNumberFormat="1"/>
    <xf numFmtId="43" fontId="0" fillId="0" borderId="0" xfId="0" applyNumberFormat="1"/>
    <xf numFmtId="165" fontId="0" fillId="0" borderId="0" xfId="0" applyNumberFormat="1"/>
    <xf numFmtId="43" fontId="0" fillId="0" borderId="1" xfId="1" applyFont="1" applyBorder="1"/>
    <xf numFmtId="0" fontId="0" fillId="0" borderId="4" xfId="0" applyBorder="1" applyAlignment="1">
      <alignment horizontal="center"/>
    </xf>
    <xf numFmtId="43" fontId="0" fillId="0" borderId="13" xfId="1" applyFont="1" applyFill="1" applyBorder="1" applyAlignment="1">
      <alignment horizontal="right" vertical="center"/>
    </xf>
    <xf numFmtId="43" fontId="6" fillId="0" borderId="0" xfId="1" applyFont="1" applyFill="1" applyBorder="1" applyAlignment="1">
      <alignment wrapText="1"/>
    </xf>
    <xf numFmtId="43" fontId="1" fillId="0" borderId="0" xfId="1" applyFont="1" applyFill="1" applyBorder="1"/>
    <xf numFmtId="43" fontId="6" fillId="0" borderId="0" xfId="1" applyFont="1" applyFill="1" applyBorder="1" applyAlignment="1"/>
    <xf numFmtId="43" fontId="1" fillId="0" borderId="0" xfId="1" applyFont="1" applyFill="1" applyBorder="1" applyAlignment="1">
      <alignment horizontal="left"/>
    </xf>
    <xf numFmtId="0" fontId="18" fillId="0" borderId="0" xfId="1" applyNumberFormat="1" applyFont="1" applyFill="1" applyBorder="1" applyAlignment="1">
      <alignment horizontal="left" vertical="center" wrapText="1"/>
    </xf>
    <xf numFmtId="43" fontId="6" fillId="0" borderId="13" xfId="1" applyFont="1" applyFill="1" applyBorder="1" applyAlignment="1">
      <alignment horizontal="right"/>
    </xf>
    <xf numFmtId="43" fontId="9" fillId="0" borderId="13" xfId="1" applyFont="1" applyFill="1" applyBorder="1" applyAlignment="1">
      <alignment horizontal="left" vertical="center" wrapText="1"/>
    </xf>
    <xf numFmtId="43" fontId="6" fillId="0" borderId="14" xfId="1" applyFont="1" applyFill="1" applyBorder="1" applyAlignment="1">
      <alignment horizontal="right"/>
    </xf>
    <xf numFmtId="43" fontId="6" fillId="0" borderId="13" xfId="1" applyFont="1" applyFill="1" applyBorder="1" applyAlignment="1">
      <alignment wrapText="1"/>
    </xf>
    <xf numFmtId="43" fontId="1" fillId="0" borderId="13" xfId="1" applyFont="1" applyFill="1" applyBorder="1"/>
    <xf numFmtId="43" fontId="6" fillId="0" borderId="13" xfId="1" applyFont="1" applyFill="1" applyBorder="1"/>
    <xf numFmtId="0" fontId="0" fillId="0" borderId="3" xfId="0" applyBorder="1"/>
    <xf numFmtId="165" fontId="0" fillId="0" borderId="3" xfId="2" applyFont="1" applyFill="1" applyBorder="1" applyAlignment="1"/>
    <xf numFmtId="165" fontId="2" fillId="0" borderId="2" xfId="2" applyFont="1" applyFill="1" applyBorder="1" applyAlignment="1"/>
    <xf numFmtId="165" fontId="0" fillId="0" borderId="10" xfId="2" applyFont="1" applyFill="1" applyBorder="1" applyAlignment="1"/>
    <xf numFmtId="0" fontId="0" fillId="0" borderId="4" xfId="0" applyBorder="1"/>
    <xf numFmtId="43" fontId="0" fillId="0" borderId="4" xfId="1" applyFont="1" applyBorder="1"/>
    <xf numFmtId="43" fontId="2" fillId="0" borderId="2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3" fontId="6" fillId="0" borderId="13" xfId="1" applyFont="1" applyFill="1" applyBorder="1" applyAlignment="1">
      <alignment horizontal="left" vertical="center" wrapText="1"/>
    </xf>
    <xf numFmtId="0" fontId="3" fillId="0" borderId="0" xfId="1" applyNumberFormat="1" applyFont="1" applyFill="1" applyBorder="1"/>
    <xf numFmtId="43" fontId="0" fillId="0" borderId="18" xfId="1" applyFont="1" applyFill="1" applyBorder="1" applyAlignment="1">
      <alignment horizontal="left"/>
    </xf>
    <xf numFmtId="43" fontId="6" fillId="0" borderId="0" xfId="1" applyFont="1" applyFill="1" applyBorder="1" applyAlignment="1">
      <alignment horizontal="right"/>
    </xf>
    <xf numFmtId="165" fontId="0" fillId="0" borderId="4" xfId="2" applyFont="1" applyFill="1" applyBorder="1" applyAlignment="1"/>
    <xf numFmtId="165" fontId="0" fillId="0" borderId="0" xfId="2" applyFont="1" applyFill="1" applyAlignment="1"/>
    <xf numFmtId="43" fontId="2" fillId="0" borderId="2" xfId="1" applyFont="1" applyFill="1" applyBorder="1"/>
    <xf numFmtId="165" fontId="0" fillId="0" borderId="0" xfId="2" applyFont="1"/>
    <xf numFmtId="167" fontId="2" fillId="0" borderId="0" xfId="1" applyNumberFormat="1" applyFont="1" applyBorder="1"/>
    <xf numFmtId="4" fontId="27" fillId="0" borderId="9" xfId="0" applyNumberFormat="1" applyFont="1" applyBorder="1"/>
    <xf numFmtId="165" fontId="0" fillId="0" borderId="1" xfId="2" applyFont="1" applyBorder="1"/>
    <xf numFmtId="43" fontId="0" fillId="0" borderId="1" xfId="1" applyFont="1" applyBorder="1" applyAlignment="1">
      <alignment horizontal="center"/>
    </xf>
    <xf numFmtId="0" fontId="0" fillId="0" borderId="4" xfId="0" applyBorder="1" applyAlignment="1">
      <alignment horizontal="left"/>
    </xf>
    <xf numFmtId="43" fontId="1" fillId="0" borderId="4" xfId="1" applyFont="1" applyBorder="1" applyAlignment="1">
      <alignment horizontal="center"/>
    </xf>
    <xf numFmtId="43" fontId="0" fillId="0" borderId="4" xfId="1" applyFont="1" applyBorder="1" applyAlignment="1">
      <alignment horizontal="center"/>
    </xf>
    <xf numFmtId="165" fontId="2" fillId="0" borderId="2" xfId="2" applyFont="1" applyBorder="1" applyAlignment="1">
      <alignment horizontal="center"/>
    </xf>
    <xf numFmtId="165" fontId="2" fillId="0" borderId="2" xfId="2" applyFont="1" applyBorder="1"/>
    <xf numFmtId="165" fontId="0" fillId="0" borderId="4" xfId="2" applyFont="1" applyBorder="1"/>
    <xf numFmtId="165" fontId="0" fillId="0" borderId="5" xfId="2" applyFont="1" applyFill="1" applyBorder="1" applyAlignment="1"/>
    <xf numFmtId="43" fontId="6" fillId="0" borderId="18" xfId="1" applyFont="1" applyFill="1" applyBorder="1" applyAlignment="1">
      <alignment wrapText="1"/>
    </xf>
    <xf numFmtId="0" fontId="28" fillId="0" borderId="0" xfId="0" applyFont="1"/>
    <xf numFmtId="2" fontId="0" fillId="0" borderId="0" xfId="0" applyNumberFormat="1"/>
    <xf numFmtId="0" fontId="29" fillId="0" borderId="0" xfId="0" applyFont="1"/>
    <xf numFmtId="0" fontId="0" fillId="0" borderId="20" xfId="0" applyBorder="1"/>
    <xf numFmtId="0" fontId="0" fillId="0" borderId="5" xfId="0" applyBorder="1" applyAlignment="1">
      <alignment horizontal="center"/>
    </xf>
    <xf numFmtId="43" fontId="0" fillId="0" borderId="3" xfId="1" applyFont="1" applyBorder="1"/>
    <xf numFmtId="0" fontId="0" fillId="0" borderId="3" xfId="0" applyBorder="1" applyAlignment="1">
      <alignment horizontal="center"/>
    </xf>
    <xf numFmtId="43" fontId="0" fillId="0" borderId="3" xfId="1" applyFont="1" applyBorder="1" applyAlignment="1">
      <alignment horizontal="center"/>
    </xf>
    <xf numFmtId="14" fontId="0" fillId="0" borderId="0" xfId="0" applyNumberFormat="1"/>
    <xf numFmtId="0" fontId="13" fillId="0" borderId="1" xfId="0" applyFont="1" applyBorder="1" applyAlignment="1">
      <alignment horizontal="center"/>
    </xf>
    <xf numFmtId="0" fontId="30" fillId="0" borderId="0" xfId="0" applyFont="1"/>
    <xf numFmtId="43" fontId="6" fillId="0" borderId="18" xfId="1" applyFont="1" applyFill="1" applyBorder="1" applyAlignment="1"/>
    <xf numFmtId="43" fontId="6" fillId="0" borderId="0" xfId="1" applyFont="1" applyFill="1" applyBorder="1" applyAlignment="1">
      <alignment horizontal="left" wrapText="1"/>
    </xf>
    <xf numFmtId="43" fontId="13" fillId="0" borderId="1" xfId="1" applyFont="1" applyBorder="1" applyAlignment="1">
      <alignment horizontal="center"/>
    </xf>
    <xf numFmtId="0" fontId="3" fillId="0" borderId="0" xfId="0" applyFont="1"/>
    <xf numFmtId="43" fontId="0" fillId="0" borderId="0" xfId="1" applyFont="1" applyFill="1" applyBorder="1"/>
    <xf numFmtId="43" fontId="6" fillId="0" borderId="14" xfId="1" applyFont="1" applyFill="1" applyBorder="1" applyAlignment="1">
      <alignment horizontal="right" vertical="center"/>
    </xf>
    <xf numFmtId="43" fontId="2" fillId="0" borderId="0" xfId="1" applyFont="1" applyFill="1" applyBorder="1"/>
    <xf numFmtId="43" fontId="0" fillId="0" borderId="14" xfId="1" applyFont="1" applyFill="1" applyBorder="1" applyAlignment="1">
      <alignment horizontal="right" vertical="center"/>
    </xf>
    <xf numFmtId="43" fontId="2" fillId="0" borderId="0" xfId="1" quotePrefix="1" applyFont="1" applyFill="1" applyBorder="1"/>
    <xf numFmtId="43" fontId="2" fillId="0" borderId="13" xfId="1" applyFont="1" applyFill="1" applyBorder="1" applyAlignment="1">
      <alignment horizontal="right" vertical="center"/>
    </xf>
    <xf numFmtId="43" fontId="22" fillId="0" borderId="0" xfId="1" applyFont="1" applyFill="1" applyBorder="1"/>
    <xf numFmtId="43" fontId="20" fillId="0" borderId="0" xfId="1" applyFont="1" applyFill="1" applyBorder="1"/>
    <xf numFmtId="43" fontId="2" fillId="0" borderId="16" xfId="1" applyFont="1" applyFill="1" applyBorder="1" applyAlignment="1">
      <alignment horizontal="right" vertical="center"/>
    </xf>
    <xf numFmtId="43" fontId="16" fillId="0" borderId="0" xfId="1" applyFont="1" applyFill="1" applyBorder="1" applyAlignment="1">
      <alignment vertical="center"/>
    </xf>
    <xf numFmtId="43" fontId="9" fillId="0" borderId="0" xfId="1" applyFont="1" applyFill="1" applyBorder="1" applyAlignment="1"/>
    <xf numFmtId="43" fontId="1" fillId="0" borderId="0" xfId="1" applyFont="1" applyFill="1"/>
    <xf numFmtId="43" fontId="9" fillId="0" borderId="0" xfId="1" applyFont="1" applyFill="1" applyBorder="1"/>
    <xf numFmtId="43" fontId="6" fillId="0" borderId="14" xfId="1" applyFont="1" applyFill="1" applyBorder="1" applyAlignment="1">
      <alignment wrapText="1"/>
    </xf>
    <xf numFmtId="43" fontId="6" fillId="0" borderId="0" xfId="1" applyFont="1" applyFill="1" applyBorder="1" applyAlignment="1">
      <alignment horizontal="left" vertical="center" wrapText="1"/>
    </xf>
    <xf numFmtId="0" fontId="18" fillId="0" borderId="18" xfId="1" applyNumberFormat="1" applyFont="1" applyFill="1" applyBorder="1" applyAlignment="1">
      <alignment horizontal="left" vertical="center" wrapText="1"/>
    </xf>
    <xf numFmtId="43" fontId="6" fillId="0" borderId="14" xfId="1" applyFont="1" applyFill="1" applyBorder="1"/>
    <xf numFmtId="43" fontId="9" fillId="0" borderId="16" xfId="1" applyFont="1" applyFill="1" applyBorder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165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0" xfId="0" applyBorder="1"/>
    <xf numFmtId="0" fontId="16" fillId="0" borderId="0" xfId="3" applyFont="1" applyAlignment="1">
      <alignment vertical="center"/>
    </xf>
    <xf numFmtId="165" fontId="2" fillId="0" borderId="2" xfId="0" applyNumberFormat="1" applyFont="1" applyBorder="1"/>
    <xf numFmtId="0" fontId="9" fillId="0" borderId="0" xfId="3" applyFont="1"/>
    <xf numFmtId="165" fontId="9" fillId="0" borderId="0" xfId="3" applyNumberFormat="1" applyFont="1"/>
    <xf numFmtId="0" fontId="6" fillId="0" borderId="0" xfId="3" applyFont="1" applyAlignment="1">
      <alignment vertical="center"/>
    </xf>
    <xf numFmtId="0" fontId="6" fillId="0" borderId="0" xfId="3" applyFont="1"/>
    <xf numFmtId="1" fontId="0" fillId="0" borderId="0" xfId="0" applyNumberFormat="1"/>
    <xf numFmtId="4" fontId="0" fillId="0" borderId="0" xfId="0" applyNumberFormat="1"/>
    <xf numFmtId="2" fontId="28" fillId="0" borderId="0" xfId="0" applyNumberFormat="1" applyFont="1"/>
    <xf numFmtId="43" fontId="6" fillId="0" borderId="13" xfId="1" applyFont="1" applyFill="1" applyBorder="1" applyAlignment="1">
      <alignment horizontal="left" wrapText="1"/>
    </xf>
    <xf numFmtId="43" fontId="16" fillId="0" borderId="18" xfId="1" applyFont="1" applyFill="1" applyBorder="1"/>
    <xf numFmtId="0" fontId="16" fillId="0" borderId="0" xfId="0" applyFont="1"/>
    <xf numFmtId="43" fontId="16" fillId="0" borderId="0" xfId="1" applyFont="1" applyFill="1" applyBorder="1"/>
    <xf numFmtId="43" fontId="2" fillId="0" borderId="13" xfId="1" applyFont="1" applyFill="1" applyBorder="1"/>
    <xf numFmtId="0" fontId="1" fillId="0" borderId="18" xfId="0" applyFont="1" applyBorder="1"/>
    <xf numFmtId="0" fontId="2" fillId="0" borderId="18" xfId="0" applyFont="1" applyBorder="1"/>
    <xf numFmtId="0" fontId="2" fillId="0" borderId="0" xfId="1" applyNumberFormat="1" applyFont="1" applyFill="1" applyBorder="1" applyAlignment="1">
      <alignment horizontal="left" vertical="top"/>
    </xf>
    <xf numFmtId="0" fontId="16" fillId="0" borderId="0" xfId="1" applyNumberFormat="1" applyFont="1" applyFill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2" fillId="0" borderId="13" xfId="1" applyNumberFormat="1" applyFont="1" applyFill="1" applyBorder="1" applyAlignment="1">
      <alignment horizontal="left" vertical="top"/>
    </xf>
    <xf numFmtId="1" fontId="10" fillId="0" borderId="18" xfId="5" applyNumberFormat="1" applyFont="1" applyBorder="1" applyAlignment="1">
      <alignment vertical="center"/>
    </xf>
    <xf numFmtId="0" fontId="32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1" fontId="32" fillId="0" borderId="18" xfId="5" applyNumberFormat="1" applyFont="1" applyBorder="1" applyAlignment="1">
      <alignment vertical="center"/>
    </xf>
    <xf numFmtId="0" fontId="16" fillId="0" borderId="13" xfId="0" applyFont="1" applyBorder="1" applyAlignment="1">
      <alignment horizontal="left" vertical="top"/>
    </xf>
    <xf numFmtId="0" fontId="2" fillId="0" borderId="20" xfId="1" applyNumberFormat="1" applyFont="1" applyFill="1" applyBorder="1" applyAlignment="1">
      <alignment horizontal="left" vertical="top"/>
    </xf>
    <xf numFmtId="0" fontId="16" fillId="0" borderId="20" xfId="1" applyNumberFormat="1" applyFont="1" applyFill="1" applyBorder="1" applyAlignment="1">
      <alignment horizontal="left" vertical="top"/>
    </xf>
    <xf numFmtId="0" fontId="16" fillId="0" borderId="20" xfId="0" applyFont="1" applyBorder="1" applyAlignment="1">
      <alignment horizontal="left" vertical="top"/>
    </xf>
    <xf numFmtId="0" fontId="2" fillId="0" borderId="14" xfId="1" applyNumberFormat="1" applyFont="1" applyFill="1" applyBorder="1" applyAlignment="1">
      <alignment horizontal="left" vertical="top"/>
    </xf>
    <xf numFmtId="43" fontId="9" fillId="0" borderId="2" xfId="1" applyFont="1" applyFill="1" applyBorder="1" applyAlignment="1">
      <alignment horizontal="right"/>
    </xf>
    <xf numFmtId="43" fontId="1" fillId="0" borderId="18" xfId="1" applyFont="1" applyFill="1" applyBorder="1"/>
    <xf numFmtId="43" fontId="9" fillId="0" borderId="13" xfId="1" applyFont="1" applyFill="1" applyBorder="1" applyAlignment="1"/>
    <xf numFmtId="43" fontId="10" fillId="0" borderId="12" xfId="1" applyFont="1" applyFill="1" applyBorder="1" applyAlignment="1">
      <alignment horizontal="center" vertical="center" wrapText="1"/>
    </xf>
    <xf numFmtId="43" fontId="2" fillId="0" borderId="22" xfId="1" applyFont="1" applyFill="1" applyBorder="1" applyAlignment="1">
      <alignment horizontal="center"/>
    </xf>
    <xf numFmtId="43" fontId="2" fillId="0" borderId="20" xfId="1" applyFont="1" applyFill="1" applyBorder="1" applyAlignment="1">
      <alignment horizontal="center"/>
    </xf>
    <xf numFmtId="43" fontId="17" fillId="0" borderId="14" xfId="1" applyFont="1" applyFill="1" applyBorder="1" applyAlignment="1">
      <alignment horizontal="right"/>
    </xf>
    <xf numFmtId="43" fontId="2" fillId="0" borderId="2" xfId="1" applyFont="1" applyFill="1" applyBorder="1" applyAlignment="1">
      <alignment horizontal="right" vertical="center"/>
    </xf>
    <xf numFmtId="0" fontId="2" fillId="0" borderId="2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7" fillId="0" borderId="14" xfId="0" applyFont="1" applyBorder="1" applyAlignment="1">
      <alignment horizontal="right"/>
    </xf>
    <xf numFmtId="43" fontId="0" fillId="0" borderId="5" xfId="1" applyFont="1" applyFill="1" applyBorder="1" applyAlignment="1">
      <alignment horizontal="right" vertical="center"/>
    </xf>
    <xf numFmtId="0" fontId="3" fillId="0" borderId="0" xfId="0" applyFont="1" applyAlignment="1">
      <alignment horizontal="left"/>
    </xf>
    <xf numFmtId="43" fontId="2" fillId="0" borderId="21" xfId="1" applyFont="1" applyFill="1" applyBorder="1" applyAlignment="1">
      <alignment horizontal="right" vertical="center"/>
    </xf>
    <xf numFmtId="43" fontId="1" fillId="0" borderId="5" xfId="1" applyFont="1" applyFill="1" applyBorder="1" applyAlignment="1">
      <alignment horizontal="right" vertical="center"/>
    </xf>
    <xf numFmtId="43" fontId="9" fillId="0" borderId="5" xfId="1" applyFont="1" applyFill="1" applyBorder="1" applyAlignment="1">
      <alignment horizontal="left" vertical="center" wrapText="1"/>
    </xf>
    <xf numFmtId="43" fontId="1" fillId="0" borderId="5" xfId="1" applyFont="1" applyFill="1" applyBorder="1"/>
    <xf numFmtId="43" fontId="9" fillId="0" borderId="13" xfId="1" applyFont="1" applyFill="1" applyBorder="1" applyAlignment="1">
      <alignment wrapText="1"/>
    </xf>
    <xf numFmtId="43" fontId="6" fillId="0" borderId="5" xfId="1" applyFont="1" applyFill="1" applyBorder="1" applyAlignment="1">
      <alignment wrapText="1"/>
    </xf>
    <xf numFmtId="43" fontId="9" fillId="0" borderId="13" xfId="1" applyFont="1" applyFill="1" applyBorder="1" applyAlignment="1">
      <alignment horizontal="right"/>
    </xf>
    <xf numFmtId="43" fontId="9" fillId="0" borderId="13" xfId="1" applyFont="1" applyFill="1" applyBorder="1"/>
    <xf numFmtId="43" fontId="6" fillId="0" borderId="5" xfId="1" applyFont="1" applyFill="1" applyBorder="1" applyAlignment="1">
      <alignment horizontal="left" vertical="center" wrapText="1"/>
    </xf>
    <xf numFmtId="43" fontId="1" fillId="0" borderId="18" xfId="1" applyFont="1" applyFill="1" applyBorder="1" applyAlignment="1">
      <alignment horizontal="center" vertical="center"/>
    </xf>
    <xf numFmtId="43" fontId="9" fillId="0" borderId="5" xfId="1" applyFont="1" applyFill="1" applyBorder="1"/>
    <xf numFmtId="0" fontId="16" fillId="0" borderId="10" xfId="3" applyFont="1" applyBorder="1" applyAlignment="1">
      <alignment vertical="center"/>
    </xf>
    <xf numFmtId="0" fontId="16" fillId="0" borderId="19" xfId="3" applyFont="1" applyBorder="1" applyAlignment="1">
      <alignment vertical="center"/>
    </xf>
    <xf numFmtId="43" fontId="2" fillId="0" borderId="28" xfId="1" applyFont="1" applyFill="1" applyBorder="1" applyAlignment="1">
      <alignment horizontal="right" vertical="center"/>
    </xf>
    <xf numFmtId="43" fontId="2" fillId="0" borderId="29" xfId="1" applyFont="1" applyFill="1" applyBorder="1" applyAlignment="1">
      <alignment horizontal="right" vertical="center"/>
    </xf>
    <xf numFmtId="43" fontId="2" fillId="0" borderId="30" xfId="1" applyFont="1" applyFill="1" applyBorder="1" applyAlignment="1">
      <alignment horizontal="right" vertical="center"/>
    </xf>
    <xf numFmtId="43" fontId="10" fillId="0" borderId="2" xfId="1" quotePrefix="1" applyFont="1" applyFill="1" applyBorder="1" applyAlignment="1">
      <alignment horizontal="center" vertical="center" wrapText="1"/>
    </xf>
    <xf numFmtId="43" fontId="10" fillId="0" borderId="30" xfId="1" quotePrefix="1" applyFont="1" applyFill="1" applyBorder="1" applyAlignment="1">
      <alignment horizontal="center" vertical="center" wrapText="1"/>
    </xf>
    <xf numFmtId="43" fontId="9" fillId="0" borderId="28" xfId="1" applyFont="1" applyFill="1" applyBorder="1" applyAlignment="1">
      <alignment horizontal="left" vertical="center" wrapText="1"/>
    </xf>
    <xf numFmtId="43" fontId="6" fillId="0" borderId="28" xfId="1" applyFont="1" applyFill="1" applyBorder="1" applyAlignment="1">
      <alignment wrapText="1"/>
    </xf>
    <xf numFmtId="43" fontId="9" fillId="0" borderId="28" xfId="1" applyFont="1" applyFill="1" applyBorder="1" applyAlignment="1">
      <alignment wrapText="1"/>
    </xf>
    <xf numFmtId="43" fontId="9" fillId="0" borderId="28" xfId="1" applyFont="1" applyFill="1" applyBorder="1" applyAlignment="1">
      <alignment horizontal="right"/>
    </xf>
    <xf numFmtId="43" fontId="9" fillId="0" borderId="28" xfId="1" applyFont="1" applyFill="1" applyBorder="1"/>
    <xf numFmtId="43" fontId="2" fillId="0" borderId="28" xfId="1" applyFont="1" applyFill="1" applyBorder="1"/>
    <xf numFmtId="43" fontId="9" fillId="0" borderId="31" xfId="1" applyFont="1" applyFill="1" applyBorder="1" applyAlignment="1">
      <alignment horizontal="left" vertical="center" wrapText="1"/>
    </xf>
    <xf numFmtId="43" fontId="9" fillId="0" borderId="31" xfId="1" applyFont="1" applyFill="1" applyBorder="1" applyAlignment="1">
      <alignment wrapText="1"/>
    </xf>
    <xf numFmtId="43" fontId="2" fillId="0" borderId="31" xfId="1" applyFont="1" applyFill="1" applyBorder="1"/>
    <xf numFmtId="43" fontId="9" fillId="0" borderId="30" xfId="1" applyFont="1" applyFill="1" applyBorder="1" applyAlignment="1">
      <alignment horizontal="right"/>
    </xf>
    <xf numFmtId="165" fontId="0" fillId="0" borderId="13" xfId="1" applyNumberFormat="1" applyFont="1" applyFill="1" applyBorder="1" applyAlignment="1">
      <alignment horizontal="right" vertical="center"/>
    </xf>
    <xf numFmtId="165" fontId="0" fillId="0" borderId="14" xfId="1" applyNumberFormat="1" applyFont="1" applyFill="1" applyBorder="1" applyAlignment="1">
      <alignment horizontal="right" vertical="center"/>
    </xf>
    <xf numFmtId="168" fontId="32" fillId="0" borderId="22" xfId="6" applyNumberFormat="1" applyFont="1" applyBorder="1" applyAlignment="1">
      <alignment horizontal="left" vertical="center"/>
    </xf>
    <xf numFmtId="168" fontId="32" fillId="0" borderId="20" xfId="6" applyNumberFormat="1" applyFont="1" applyBorder="1" applyAlignment="1">
      <alignment horizontal="left" vertical="center"/>
    </xf>
    <xf numFmtId="0" fontId="7" fillId="0" borderId="0" xfId="0" applyFont="1" applyAlignment="1">
      <alignment horizontal="center" vertical="top"/>
    </xf>
    <xf numFmtId="0" fontId="7" fillId="0" borderId="13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0" borderId="13" xfId="0" applyFont="1" applyBorder="1" applyAlignment="1">
      <alignment horizontal="center" vertical="top"/>
    </xf>
    <xf numFmtId="0" fontId="26" fillId="0" borderId="23" xfId="1" applyNumberFormat="1" applyFont="1" applyFill="1" applyBorder="1" applyAlignment="1">
      <alignment horizontal="center"/>
    </xf>
    <xf numFmtId="0" fontId="26" fillId="0" borderId="24" xfId="1" applyNumberFormat="1" applyFont="1" applyFill="1" applyBorder="1" applyAlignment="1">
      <alignment horizontal="center"/>
    </xf>
    <xf numFmtId="0" fontId="26" fillId="0" borderId="25" xfId="1" applyNumberFormat="1" applyFont="1" applyFill="1" applyBorder="1" applyAlignment="1">
      <alignment horizontal="center"/>
    </xf>
    <xf numFmtId="43" fontId="16" fillId="0" borderId="18" xfId="1" applyFont="1" applyFill="1" applyBorder="1" applyAlignment="1">
      <alignment horizontal="center"/>
    </xf>
    <xf numFmtId="43" fontId="16" fillId="0" borderId="0" xfId="1" applyFont="1" applyFill="1" applyBorder="1" applyAlignment="1">
      <alignment horizontal="center"/>
    </xf>
    <xf numFmtId="43" fontId="16" fillId="0" borderId="13" xfId="1" applyFont="1" applyFill="1" applyBorder="1" applyAlignment="1">
      <alignment horizontal="center"/>
    </xf>
    <xf numFmtId="43" fontId="7" fillId="0" borderId="18" xfId="1" applyFont="1" applyFill="1" applyBorder="1" applyAlignment="1">
      <alignment horizontal="center"/>
    </xf>
    <xf numFmtId="43" fontId="7" fillId="0" borderId="0" xfId="1" applyFont="1" applyFill="1" applyBorder="1" applyAlignment="1">
      <alignment horizontal="center"/>
    </xf>
    <xf numFmtId="43" fontId="7" fillId="0" borderId="13" xfId="1" applyFont="1" applyFill="1" applyBorder="1" applyAlignment="1">
      <alignment horizontal="center"/>
    </xf>
    <xf numFmtId="43" fontId="9" fillId="0" borderId="10" xfId="1" applyFont="1" applyFill="1" applyBorder="1" applyAlignment="1">
      <alignment horizontal="center" vertical="center" wrapText="1"/>
    </xf>
    <xf numFmtId="43" fontId="9" fillId="0" borderId="16" xfId="1" applyFont="1" applyFill="1" applyBorder="1" applyAlignment="1">
      <alignment horizontal="center" vertical="center" wrapText="1"/>
    </xf>
    <xf numFmtId="43" fontId="10" fillId="0" borderId="10" xfId="1" applyFont="1" applyFill="1" applyBorder="1" applyAlignment="1">
      <alignment horizontal="center" vertical="center" wrapText="1"/>
    </xf>
    <xf numFmtId="43" fontId="10" fillId="0" borderId="16" xfId="1" applyFont="1" applyFill="1" applyBorder="1" applyAlignment="1">
      <alignment horizontal="center" vertical="center" wrapText="1"/>
    </xf>
    <xf numFmtId="43" fontId="10" fillId="0" borderId="11" xfId="1" applyFont="1" applyFill="1" applyBorder="1" applyAlignment="1">
      <alignment horizontal="center" vertical="center" wrapText="1"/>
    </xf>
    <xf numFmtId="43" fontId="10" fillId="0" borderId="12" xfId="1" applyFont="1" applyFill="1" applyBorder="1" applyAlignment="1">
      <alignment horizontal="center" vertical="center" wrapText="1"/>
    </xf>
    <xf numFmtId="0" fontId="18" fillId="0" borderId="15" xfId="1" applyNumberFormat="1" applyFont="1" applyFill="1" applyBorder="1" applyAlignment="1">
      <alignment horizontal="left" vertical="center" wrapText="1"/>
    </xf>
    <xf numFmtId="0" fontId="18" fillId="0" borderId="17" xfId="1" applyNumberFormat="1" applyFont="1" applyFill="1" applyBorder="1" applyAlignment="1">
      <alignment horizontal="left" vertical="center" wrapText="1"/>
    </xf>
    <xf numFmtId="43" fontId="6" fillId="0" borderId="18" xfId="1" applyFont="1" applyFill="1" applyBorder="1" applyAlignment="1">
      <alignment horizontal="left" wrapText="1"/>
    </xf>
    <xf numFmtId="43" fontId="6" fillId="0" borderId="13" xfId="1" applyFont="1" applyFill="1" applyBorder="1" applyAlignment="1">
      <alignment horizontal="left" wrapText="1"/>
    </xf>
    <xf numFmtId="0" fontId="25" fillId="0" borderId="18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3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25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13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center"/>
    </xf>
    <xf numFmtId="43" fontId="2" fillId="0" borderId="10" xfId="1" applyFont="1" applyFill="1" applyBorder="1" applyAlignment="1">
      <alignment horizontal="center"/>
    </xf>
    <xf numFmtId="43" fontId="2" fillId="0" borderId="16" xfId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0" borderId="0" xfId="3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8" fillId="0" borderId="6" xfId="0" applyFont="1" applyBorder="1"/>
    <xf numFmtId="0" fontId="14" fillId="0" borderId="7" xfId="0" applyFont="1" applyBorder="1" applyAlignment="1">
      <alignment horizontal="center"/>
    </xf>
    <xf numFmtId="0" fontId="8" fillId="0" borderId="8" xfId="0" applyFont="1" applyBorder="1"/>
    <xf numFmtId="0" fontId="0" fillId="0" borderId="0" xfId="0" applyAlignment="1">
      <alignment horizontal="center"/>
    </xf>
    <xf numFmtId="0" fontId="0" fillId="0" borderId="0" xfId="0"/>
  </cellXfs>
  <cellStyles count="7">
    <cellStyle name="Comma" xfId="1" builtinId="3"/>
    <cellStyle name="Comma 2" xfId="2" xr:uid="{00000000-0005-0000-0000-000001000000}"/>
    <cellStyle name="Currency" xfId="4" builtinId="4"/>
    <cellStyle name="Normal" xfId="0" builtinId="0"/>
    <cellStyle name="Normal 2" xfId="3" xr:uid="{00000000-0005-0000-0000-000004000000}"/>
    <cellStyle name="Normal_BSPL 2004 NS" xfId="6" xr:uid="{00000000-0005-0000-0000-000005000000}"/>
    <cellStyle name="Normal_FY 2003-2004  2 2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view="pageBreakPreview" zoomScaleNormal="100" zoomScaleSheetLayoutView="100" workbookViewId="0">
      <selection activeCell="H40" sqref="H40"/>
    </sheetView>
  </sheetViews>
  <sheetFormatPr defaultColWidth="8.88671875" defaultRowHeight="14.4" x14ac:dyDescent="0.3"/>
  <cols>
    <col min="1" max="1" width="14.77734375" customWidth="1"/>
    <col min="2" max="2" width="41.44140625" bestFit="1" customWidth="1"/>
    <col min="3" max="3" width="12.44140625" bestFit="1" customWidth="1"/>
    <col min="4" max="5" width="14.77734375" customWidth="1"/>
    <col min="6" max="6" width="33.109375" customWidth="1"/>
    <col min="7" max="7" width="12.88671875" bestFit="1" customWidth="1"/>
    <col min="8" max="8" width="14.77734375" customWidth="1"/>
    <col min="9" max="9" width="14.44140625" bestFit="1" customWidth="1"/>
    <col min="10" max="10" width="12.44140625" bestFit="1" customWidth="1"/>
  </cols>
  <sheetData>
    <row r="1" spans="1:9" ht="23.4" x14ac:dyDescent="0.45">
      <c r="A1" s="209" t="s">
        <v>133</v>
      </c>
      <c r="B1" s="210"/>
      <c r="C1" s="210"/>
      <c r="D1" s="210"/>
      <c r="E1" s="210"/>
      <c r="F1" s="210"/>
      <c r="G1" s="210"/>
      <c r="H1" s="211"/>
    </row>
    <row r="2" spans="1:9" x14ac:dyDescent="0.3">
      <c r="A2" s="212" t="s">
        <v>149</v>
      </c>
      <c r="B2" s="213"/>
      <c r="C2" s="213"/>
      <c r="D2" s="213"/>
      <c r="E2" s="213"/>
      <c r="F2" s="213"/>
      <c r="G2" s="213"/>
      <c r="H2" s="214"/>
    </row>
    <row r="3" spans="1:9" x14ac:dyDescent="0.3">
      <c r="A3" s="206" t="s">
        <v>186</v>
      </c>
      <c r="B3" s="207"/>
      <c r="C3" s="207"/>
      <c r="D3" s="207"/>
      <c r="E3" s="207"/>
      <c r="F3" s="207"/>
      <c r="G3" s="207"/>
      <c r="H3" s="208"/>
    </row>
    <row r="4" spans="1:9" ht="18" x14ac:dyDescent="0.35">
      <c r="A4" s="221" t="s">
        <v>291</v>
      </c>
      <c r="B4" s="222"/>
      <c r="C4" s="222"/>
      <c r="D4" s="222"/>
      <c r="E4" s="222"/>
      <c r="F4" s="222"/>
      <c r="G4" s="222"/>
      <c r="H4" s="223"/>
    </row>
    <row r="5" spans="1:9" x14ac:dyDescent="0.3">
      <c r="A5" s="146"/>
      <c r="B5" s="147"/>
      <c r="C5" s="147"/>
      <c r="D5" s="147"/>
      <c r="E5" s="147"/>
      <c r="F5" s="147"/>
      <c r="G5" s="147"/>
      <c r="H5" s="148" t="s">
        <v>135</v>
      </c>
    </row>
    <row r="6" spans="1:9" x14ac:dyDescent="0.3">
      <c r="A6" s="226" t="s">
        <v>289</v>
      </c>
      <c r="B6" s="215" t="s">
        <v>17</v>
      </c>
      <c r="C6" s="216"/>
      <c r="D6" s="230" t="s">
        <v>290</v>
      </c>
      <c r="E6" s="228" t="str">
        <f>A6</f>
        <v>Previous Year 2024-25</v>
      </c>
      <c r="F6" s="219" t="s">
        <v>18</v>
      </c>
      <c r="G6" s="220"/>
      <c r="H6" s="228" t="str">
        <f>D6</f>
        <v>Current Year 2025-26</v>
      </c>
    </row>
    <row r="7" spans="1:9" ht="15" thickBot="1" x14ac:dyDescent="0.35">
      <c r="A7" s="227"/>
      <c r="B7" s="217"/>
      <c r="C7" s="218"/>
      <c r="D7" s="231"/>
      <c r="E7" s="229"/>
      <c r="F7" s="217"/>
      <c r="G7" s="218"/>
      <c r="H7" s="229"/>
    </row>
    <row r="8" spans="1:9" ht="17.399999999999999" customHeight="1" thickTop="1" x14ac:dyDescent="0.3">
      <c r="A8" s="149"/>
      <c r="B8" s="85" t="s">
        <v>19</v>
      </c>
      <c r="C8" s="31"/>
      <c r="D8" s="164"/>
      <c r="E8" s="31"/>
      <c r="F8" s="150" t="s">
        <v>178</v>
      </c>
      <c r="G8" s="31"/>
      <c r="H8" s="91"/>
    </row>
    <row r="9" spans="1:9" ht="15" thickBot="1" x14ac:dyDescent="0.35">
      <c r="A9" s="151">
        <v>10000</v>
      </c>
      <c r="B9" s="10" t="s">
        <v>134</v>
      </c>
      <c r="C9" s="31"/>
      <c r="D9" s="165">
        <v>10000</v>
      </c>
      <c r="E9" s="31">
        <v>4</v>
      </c>
      <c r="F9" s="86" t="s">
        <v>20</v>
      </c>
      <c r="G9" s="31">
        <v>2814</v>
      </c>
      <c r="H9" s="91"/>
    </row>
    <row r="10" spans="1:9" ht="15" thickTop="1" x14ac:dyDescent="0.3">
      <c r="A10" s="149"/>
      <c r="B10" s="86"/>
      <c r="C10" s="31"/>
      <c r="D10" s="164"/>
      <c r="E10" s="31">
        <v>95191.48</v>
      </c>
      <c r="F10" s="86" t="s">
        <v>21</v>
      </c>
      <c r="G10" s="31">
        <f>BRS!D16</f>
        <v>98142.48</v>
      </c>
      <c r="H10" s="91"/>
      <c r="I10" s="26"/>
    </row>
    <row r="11" spans="1:9" x14ac:dyDescent="0.3">
      <c r="A11" s="149"/>
      <c r="B11" s="150" t="s">
        <v>158</v>
      </c>
      <c r="C11" s="31"/>
      <c r="D11" s="164"/>
      <c r="E11" s="31">
        <v>316931.84999999998</v>
      </c>
      <c r="F11" s="86" t="s">
        <v>147</v>
      </c>
      <c r="G11" s="87">
        <f>BRS!D4</f>
        <v>88348.63</v>
      </c>
      <c r="H11" s="91">
        <f>SUM(G9:G11)</f>
        <v>189305.11</v>
      </c>
    </row>
    <row r="12" spans="1:9" x14ac:dyDescent="0.3">
      <c r="A12" s="149">
        <v>6500</v>
      </c>
      <c r="B12" s="88" t="s">
        <v>168</v>
      </c>
      <c r="C12" s="31"/>
      <c r="D12" s="164">
        <v>6500</v>
      </c>
      <c r="E12" s="31"/>
      <c r="G12" s="31"/>
      <c r="H12" s="91"/>
    </row>
    <row r="13" spans="1:9" x14ac:dyDescent="0.3">
      <c r="A13" s="149"/>
      <c r="B13" s="86"/>
      <c r="C13" s="31"/>
      <c r="D13" s="164"/>
      <c r="E13" s="31"/>
      <c r="F13" s="150" t="s">
        <v>207</v>
      </c>
      <c r="G13" s="31"/>
      <c r="H13" s="91"/>
    </row>
    <row r="14" spans="1:9" x14ac:dyDescent="0.3">
      <c r="A14" s="149"/>
      <c r="B14" s="150" t="s">
        <v>136</v>
      </c>
      <c r="C14" s="31"/>
      <c r="D14" s="164"/>
      <c r="E14" s="31">
        <v>1430092</v>
      </c>
      <c r="F14" s="86" t="s">
        <v>169</v>
      </c>
      <c r="G14" s="31">
        <f>FD!D42</f>
        <v>1318170</v>
      </c>
      <c r="H14" s="91"/>
    </row>
    <row r="15" spans="1:9" x14ac:dyDescent="0.3">
      <c r="A15" s="149"/>
      <c r="B15" s="150" t="s">
        <v>182</v>
      </c>
      <c r="C15" s="31"/>
      <c r="D15" s="164"/>
      <c r="E15" s="31">
        <v>93181</v>
      </c>
      <c r="F15" s="86" t="s">
        <v>30</v>
      </c>
      <c r="G15" s="89">
        <f>FD!E42+FD!F42</f>
        <v>64651</v>
      </c>
      <c r="H15" s="91">
        <f>SUM(G14:G15)</f>
        <v>1382821</v>
      </c>
    </row>
    <row r="16" spans="1:9" x14ac:dyDescent="0.3">
      <c r="A16" s="149">
        <v>269938</v>
      </c>
      <c r="B16" s="86" t="s">
        <v>22</v>
      </c>
      <c r="C16" s="31">
        <f>SUM(A16:A18)</f>
        <v>310812</v>
      </c>
      <c r="D16" s="164"/>
      <c r="E16" s="31"/>
      <c r="G16" s="31"/>
      <c r="H16" s="91"/>
    </row>
    <row r="17" spans="1:9" x14ac:dyDescent="0.3">
      <c r="A17" s="149">
        <v>21522</v>
      </c>
      <c r="B17" s="86" t="s">
        <v>50</v>
      </c>
      <c r="C17" s="31">
        <v>0</v>
      </c>
      <c r="D17" s="164"/>
      <c r="E17" s="31"/>
      <c r="F17" s="150" t="s">
        <v>176</v>
      </c>
      <c r="G17" s="31"/>
      <c r="H17" s="91"/>
    </row>
    <row r="18" spans="1:9" x14ac:dyDescent="0.3">
      <c r="A18" s="149">
        <v>19352</v>
      </c>
      <c r="B18" s="86" t="s">
        <v>23</v>
      </c>
      <c r="C18" s="89">
        <f>'FD Interest Working'!D58</f>
        <v>19964</v>
      </c>
      <c r="D18" s="164">
        <f>SUM(C16:C18)</f>
        <v>330776</v>
      </c>
      <c r="E18" s="31">
        <v>1000</v>
      </c>
      <c r="F18" s="86" t="s">
        <v>24</v>
      </c>
      <c r="G18" s="31"/>
      <c r="H18" s="91">
        <v>1000</v>
      </c>
    </row>
    <row r="19" spans="1:9" x14ac:dyDescent="0.3">
      <c r="A19" s="149"/>
      <c r="B19" s="150" t="s">
        <v>183</v>
      </c>
      <c r="C19" s="31"/>
      <c r="D19" s="164"/>
      <c r="E19" s="31"/>
      <c r="G19" s="31"/>
      <c r="H19" s="91"/>
    </row>
    <row r="20" spans="1:9" x14ac:dyDescent="0.3">
      <c r="A20" s="149">
        <v>137603</v>
      </c>
      <c r="B20" s="86" t="s">
        <v>22</v>
      </c>
      <c r="C20" s="31">
        <f>SUM(A20:A22)</f>
        <v>150488</v>
      </c>
      <c r="D20" s="164"/>
      <c r="E20" s="31"/>
      <c r="F20" s="150" t="s">
        <v>177</v>
      </c>
      <c r="G20" s="31"/>
      <c r="H20" s="91"/>
    </row>
    <row r="21" spans="1:9" x14ac:dyDescent="0.3">
      <c r="A21" s="149">
        <v>2520</v>
      </c>
      <c r="B21" s="86" t="s">
        <v>26</v>
      </c>
      <c r="C21" s="31">
        <v>2520</v>
      </c>
      <c r="D21" s="164"/>
      <c r="E21" s="31">
        <v>5365</v>
      </c>
      <c r="F21" s="86" t="s">
        <v>25</v>
      </c>
      <c r="G21" s="31"/>
      <c r="H21" s="91">
        <v>5365</v>
      </c>
    </row>
    <row r="22" spans="1:9" x14ac:dyDescent="0.3">
      <c r="A22" s="149">
        <v>10365</v>
      </c>
      <c r="B22" s="86" t="s">
        <v>23</v>
      </c>
      <c r="C22" s="89">
        <f>'FD Interest Working'!D60</f>
        <v>11206</v>
      </c>
      <c r="D22" s="164">
        <f>SUM(C20:C22)</f>
        <v>164214</v>
      </c>
      <c r="E22" s="31"/>
      <c r="F22" s="86"/>
      <c r="G22" s="31"/>
      <c r="H22" s="91"/>
    </row>
    <row r="23" spans="1:9" x14ac:dyDescent="0.3">
      <c r="A23" s="149"/>
      <c r="B23" s="150" t="s">
        <v>184</v>
      </c>
      <c r="C23" s="31"/>
      <c r="D23" s="164"/>
      <c r="E23" s="31">
        <v>29459</v>
      </c>
      <c r="F23" s="150" t="s">
        <v>206</v>
      </c>
      <c r="G23" s="31"/>
      <c r="H23" s="91">
        <f>'SCH-II-III-IV-V'!D5</f>
        <v>20965</v>
      </c>
    </row>
    <row r="24" spans="1:9" x14ac:dyDescent="0.3">
      <c r="A24" s="149">
        <v>489871</v>
      </c>
      <c r="B24" s="86" t="s">
        <v>22</v>
      </c>
      <c r="C24" s="31">
        <f>SUM(A24:A26)</f>
        <v>538462</v>
      </c>
      <c r="D24" s="164"/>
      <c r="E24" s="31"/>
      <c r="F24" s="86"/>
      <c r="G24" s="31"/>
      <c r="H24" s="91"/>
    </row>
    <row r="25" spans="1:9" x14ac:dyDescent="0.3">
      <c r="A25" s="149">
        <v>7440</v>
      </c>
      <c r="B25" s="86" t="s">
        <v>26</v>
      </c>
      <c r="C25" s="31">
        <v>7440</v>
      </c>
      <c r="D25" s="164"/>
      <c r="E25" s="31">
        <v>66500</v>
      </c>
      <c r="F25" s="85" t="s">
        <v>429</v>
      </c>
      <c r="G25" s="31"/>
      <c r="H25" s="91">
        <f>'Vendor Prov n Advance'!D31</f>
        <v>259403.75</v>
      </c>
    </row>
    <row r="26" spans="1:9" x14ac:dyDescent="0.3">
      <c r="A26" s="149">
        <v>41151</v>
      </c>
      <c r="B26" s="86" t="s">
        <v>23</v>
      </c>
      <c r="C26" s="89">
        <f>'FD Interest Working'!D56</f>
        <v>41764</v>
      </c>
      <c r="D26" s="164">
        <f>SUM(C24:C26)</f>
        <v>587666</v>
      </c>
      <c r="E26" s="31"/>
      <c r="G26" s="31"/>
      <c r="H26" s="91"/>
    </row>
    <row r="27" spans="1:9" x14ac:dyDescent="0.3">
      <c r="A27" s="149"/>
      <c r="B27" s="150" t="s">
        <v>185</v>
      </c>
      <c r="C27" s="31"/>
      <c r="D27" s="164"/>
      <c r="E27" s="31"/>
      <c r="G27" s="31"/>
      <c r="H27" s="91"/>
    </row>
    <row r="28" spans="1:9" x14ac:dyDescent="0.3">
      <c r="A28" s="149">
        <v>473977</v>
      </c>
      <c r="B28" s="86" t="s">
        <v>22</v>
      </c>
      <c r="C28" s="31">
        <f>SUM(A28:A31)</f>
        <v>0</v>
      </c>
      <c r="D28" s="164"/>
      <c r="E28" s="31"/>
      <c r="F28" s="150" t="s">
        <v>175</v>
      </c>
      <c r="G28" s="31"/>
      <c r="H28" s="91"/>
    </row>
    <row r="29" spans="1:9" x14ac:dyDescent="0.3">
      <c r="A29" s="149">
        <v>31200</v>
      </c>
      <c r="B29" s="86" t="s">
        <v>26</v>
      </c>
      <c r="C29" s="31">
        <v>31200</v>
      </c>
      <c r="D29" s="164"/>
      <c r="E29" s="31">
        <v>11031100</v>
      </c>
      <c r="F29" s="86" t="s">
        <v>159</v>
      </c>
      <c r="G29" s="31"/>
      <c r="H29" s="91">
        <f>E29</f>
        <v>11031100</v>
      </c>
      <c r="I29" s="27"/>
    </row>
    <row r="30" spans="1:9" x14ac:dyDescent="0.3">
      <c r="A30" s="149">
        <v>0</v>
      </c>
      <c r="B30" s="86" t="s">
        <v>31</v>
      </c>
      <c r="C30" s="31">
        <f>'FD Interest Working'!D57</f>
        <v>32376</v>
      </c>
      <c r="D30" s="164"/>
      <c r="E30" s="31"/>
      <c r="G30" s="31"/>
      <c r="H30" s="91"/>
    </row>
    <row r="31" spans="1:9" x14ac:dyDescent="0.3">
      <c r="A31" s="149">
        <v>-505177</v>
      </c>
      <c r="B31" s="86" t="s">
        <v>243</v>
      </c>
      <c r="C31" s="89">
        <v>0</v>
      </c>
      <c r="D31" s="164">
        <f>SUM(C28:C31)</f>
        <v>63576</v>
      </c>
      <c r="E31" s="31">
        <v>2714</v>
      </c>
      <c r="F31" s="85" t="s">
        <v>160</v>
      </c>
      <c r="G31" s="31">
        <v>2307</v>
      </c>
      <c r="H31" s="91"/>
    </row>
    <row r="32" spans="1:9" x14ac:dyDescent="0.3">
      <c r="A32" s="149"/>
      <c r="B32" s="88" t="s">
        <v>255</v>
      </c>
      <c r="C32" s="31"/>
      <c r="D32" s="164"/>
      <c r="E32" s="31">
        <v>-407</v>
      </c>
      <c r="F32" t="s">
        <v>164</v>
      </c>
      <c r="G32" s="180">
        <f>-ROUND(G31*15%,0)</f>
        <v>-346</v>
      </c>
      <c r="H32" s="91">
        <f>SUM(G31:G32)</f>
        <v>1961</v>
      </c>
    </row>
    <row r="33" spans="1:10" x14ac:dyDescent="0.3">
      <c r="A33" s="149">
        <v>715000</v>
      </c>
      <c r="B33" s="86" t="s">
        <v>256</v>
      </c>
      <c r="C33" s="31">
        <f>SUM(A33:A36)</f>
        <v>347977</v>
      </c>
      <c r="D33" s="164"/>
      <c r="E33" s="31"/>
      <c r="G33" s="31"/>
      <c r="H33" s="91"/>
    </row>
    <row r="34" spans="1:10" x14ac:dyDescent="0.3">
      <c r="A34" s="149">
        <v>36300</v>
      </c>
      <c r="B34" s="86" t="s">
        <v>23</v>
      </c>
      <c r="C34" s="31">
        <v>0</v>
      </c>
      <c r="D34" s="164"/>
      <c r="E34" s="31">
        <v>493</v>
      </c>
      <c r="F34" s="85" t="s">
        <v>161</v>
      </c>
      <c r="G34" s="31">
        <v>444</v>
      </c>
      <c r="H34" s="91"/>
    </row>
    <row r="35" spans="1:10" x14ac:dyDescent="0.3">
      <c r="A35" s="149">
        <v>0</v>
      </c>
      <c r="B35" s="86" t="s">
        <v>26</v>
      </c>
      <c r="C35" s="31">
        <v>195000</v>
      </c>
      <c r="D35" s="164"/>
      <c r="E35" s="31">
        <v>-49</v>
      </c>
      <c r="F35" t="s">
        <v>165</v>
      </c>
      <c r="G35" s="180">
        <f>-ROUND(G34*10%,0)</f>
        <v>-44</v>
      </c>
      <c r="H35" s="91">
        <f>SUM(G34:G35)</f>
        <v>400</v>
      </c>
    </row>
    <row r="36" spans="1:10" x14ac:dyDescent="0.3">
      <c r="A36" s="149">
        <v>-403323</v>
      </c>
      <c r="B36" s="86" t="s">
        <v>257</v>
      </c>
      <c r="C36" s="180">
        <v>-234625</v>
      </c>
      <c r="D36" s="164">
        <f>SUM(C33:C36)</f>
        <v>308352</v>
      </c>
      <c r="E36" s="31"/>
      <c r="G36" s="31"/>
      <c r="H36" s="91"/>
    </row>
    <row r="37" spans="1:10" x14ac:dyDescent="0.3">
      <c r="A37" s="149">
        <v>13986</v>
      </c>
      <c r="B37" s="150" t="s">
        <v>258</v>
      </c>
      <c r="C37" s="31">
        <f>SUM(A37:A39)</f>
        <v>16621</v>
      </c>
      <c r="D37" s="164"/>
      <c r="E37" s="31">
        <v>5076</v>
      </c>
      <c r="F37" s="85" t="s">
        <v>162</v>
      </c>
      <c r="G37" s="31">
        <v>4315</v>
      </c>
      <c r="H37" s="91"/>
    </row>
    <row r="38" spans="1:10" x14ac:dyDescent="0.3">
      <c r="A38" s="149">
        <v>1560</v>
      </c>
      <c r="B38" s="86" t="s">
        <v>26</v>
      </c>
      <c r="C38" s="31">
        <v>1560</v>
      </c>
      <c r="D38" s="164"/>
      <c r="E38" s="31">
        <v>-761</v>
      </c>
      <c r="F38" t="s">
        <v>164</v>
      </c>
      <c r="G38" s="180">
        <f>-ROUND(G37*15%,0)</f>
        <v>-647</v>
      </c>
      <c r="H38" s="91">
        <f>SUM(G37:G38)</f>
        <v>3668</v>
      </c>
    </row>
    <row r="39" spans="1:10" x14ac:dyDescent="0.3">
      <c r="A39" s="149">
        <v>1075</v>
      </c>
      <c r="B39" s="86" t="s">
        <v>31</v>
      </c>
      <c r="C39" s="89">
        <f>'FD Interest Working'!D55</f>
        <v>1092</v>
      </c>
      <c r="D39" s="164">
        <f>SUM(C37:C39)</f>
        <v>19273</v>
      </c>
      <c r="E39" s="31"/>
      <c r="G39" s="31"/>
      <c r="H39" s="91"/>
    </row>
    <row r="40" spans="1:10" x14ac:dyDescent="0.3">
      <c r="A40" s="149"/>
      <c r="B40" s="86"/>
      <c r="C40" s="31"/>
      <c r="D40" s="164"/>
      <c r="E40" s="31">
        <v>18777</v>
      </c>
      <c r="F40" s="85" t="s">
        <v>163</v>
      </c>
      <c r="G40" s="31">
        <v>15960</v>
      </c>
      <c r="H40" s="91"/>
      <c r="I40" s="27"/>
    </row>
    <row r="41" spans="1:10" x14ac:dyDescent="0.3">
      <c r="A41" s="149"/>
      <c r="B41" s="150" t="s">
        <v>171</v>
      </c>
      <c r="C41" s="31"/>
      <c r="D41" s="164"/>
      <c r="E41" s="31">
        <v>-2817</v>
      </c>
      <c r="F41" t="s">
        <v>164</v>
      </c>
      <c r="G41" s="180">
        <f>-ROUND(G40*15%,0)</f>
        <v>-2394</v>
      </c>
      <c r="H41" s="91">
        <f>SUM(G40:G41)</f>
        <v>13566</v>
      </c>
    </row>
    <row r="42" spans="1:10" x14ac:dyDescent="0.3">
      <c r="A42" s="152">
        <v>11031100</v>
      </c>
      <c r="B42" s="90" t="s">
        <v>170</v>
      </c>
      <c r="C42" s="91"/>
      <c r="D42" s="164">
        <v>11031100</v>
      </c>
      <c r="E42" s="31"/>
      <c r="G42" s="31"/>
      <c r="H42" s="91"/>
    </row>
    <row r="43" spans="1:10" x14ac:dyDescent="0.3">
      <c r="A43" s="149"/>
      <c r="B43" s="86"/>
      <c r="C43" s="31"/>
      <c r="D43" s="164"/>
      <c r="E43" s="31"/>
      <c r="F43" s="85" t="s">
        <v>415</v>
      </c>
      <c r="G43" s="31"/>
      <c r="H43" s="91"/>
    </row>
    <row r="44" spans="1:10" x14ac:dyDescent="0.3">
      <c r="A44" s="149"/>
      <c r="B44" s="150" t="s">
        <v>173</v>
      </c>
      <c r="C44" s="31"/>
      <c r="D44" s="164"/>
      <c r="E44" s="31">
        <v>0</v>
      </c>
      <c r="F44" t="s">
        <v>398</v>
      </c>
      <c r="G44" s="31">
        <v>1110</v>
      </c>
      <c r="H44" s="91">
        <f>SUM(G44)</f>
        <v>1110</v>
      </c>
      <c r="J44" s="27"/>
    </row>
    <row r="45" spans="1:10" ht="16.2" x14ac:dyDescent="0.45">
      <c r="A45" s="149">
        <v>83563</v>
      </c>
      <c r="B45" s="92" t="s">
        <v>204</v>
      </c>
      <c r="C45" s="31">
        <f>'SCH-II-III-IV-V'!D13</f>
        <v>78327</v>
      </c>
      <c r="D45" s="164"/>
      <c r="E45" s="31"/>
      <c r="G45" s="31"/>
      <c r="H45" s="91"/>
    </row>
    <row r="46" spans="1:10" ht="16.2" x14ac:dyDescent="0.45">
      <c r="A46" s="149">
        <v>276718</v>
      </c>
      <c r="B46" s="92" t="s">
        <v>205</v>
      </c>
      <c r="C46" s="31">
        <f>'Vendor Prov n Advance'!D18</f>
        <v>36814</v>
      </c>
      <c r="D46" s="164"/>
      <c r="E46" s="31"/>
      <c r="G46" s="31"/>
      <c r="H46" s="91"/>
    </row>
    <row r="47" spans="1:10" x14ac:dyDescent="0.3">
      <c r="A47" s="149">
        <v>1300</v>
      </c>
      <c r="B47" s="86" t="s">
        <v>150</v>
      </c>
      <c r="C47" s="31">
        <v>1300</v>
      </c>
      <c r="D47" s="164"/>
      <c r="E47" s="31"/>
      <c r="F47" s="85" t="s">
        <v>174</v>
      </c>
      <c r="G47" s="31"/>
      <c r="H47" s="91"/>
      <c r="J47" s="1"/>
    </row>
    <row r="48" spans="1:10" x14ac:dyDescent="0.3">
      <c r="A48" s="149">
        <v>4803</v>
      </c>
      <c r="B48" s="86" t="s">
        <v>51</v>
      </c>
      <c r="C48" s="31">
        <v>4803</v>
      </c>
      <c r="D48" s="164"/>
      <c r="E48" s="31"/>
      <c r="G48" s="31"/>
      <c r="H48" s="91"/>
      <c r="J48" s="1"/>
    </row>
    <row r="49" spans="1:10" x14ac:dyDescent="0.3">
      <c r="A49" s="149">
        <v>37125</v>
      </c>
      <c r="B49" s="86" t="s">
        <v>253</v>
      </c>
      <c r="C49" s="31">
        <v>37125</v>
      </c>
      <c r="D49" s="164">
        <f>SUM(C45:C49)</f>
        <v>158369</v>
      </c>
      <c r="E49" s="31">
        <v>10278</v>
      </c>
      <c r="F49" t="s">
        <v>137</v>
      </c>
      <c r="G49" s="31"/>
      <c r="H49" s="91">
        <v>10019</v>
      </c>
      <c r="J49" s="1"/>
    </row>
    <row r="50" spans="1:10" ht="16.05" customHeight="1" x14ac:dyDescent="0.3">
      <c r="A50" s="149"/>
      <c r="C50" s="31"/>
      <c r="D50" s="164"/>
      <c r="E50" s="31">
        <v>0</v>
      </c>
      <c r="F50" t="s">
        <v>416</v>
      </c>
      <c r="G50" s="31"/>
      <c r="H50" s="91">
        <v>8070</v>
      </c>
      <c r="I50" s="27"/>
      <c r="J50" s="27"/>
    </row>
    <row r="51" spans="1:10" s="25" customFormat="1" ht="16.05" customHeight="1" x14ac:dyDescent="0.3">
      <c r="A51" s="149"/>
      <c r="B51" s="150" t="s">
        <v>172</v>
      </c>
      <c r="C51" s="31"/>
      <c r="D51" s="164"/>
      <c r="E51" s="31"/>
      <c r="F51"/>
      <c r="G51" s="31"/>
      <c r="H51" s="91"/>
    </row>
    <row r="52" spans="1:10" s="25" customFormat="1" ht="16.05" customHeight="1" x14ac:dyDescent="0.3">
      <c r="A52" s="149">
        <v>229844.16</v>
      </c>
      <c r="B52" s="86" t="s">
        <v>22</v>
      </c>
      <c r="C52" s="31">
        <f>SUM(A52:A54)</f>
        <v>296659.32999999996</v>
      </c>
      <c r="D52" s="164"/>
      <c r="E52" s="31"/>
      <c r="F52"/>
      <c r="G52" s="31"/>
      <c r="H52" s="91"/>
    </row>
    <row r="53" spans="1:10" s="25" customFormat="1" ht="16.05" customHeight="1" x14ac:dyDescent="0.3">
      <c r="A53" s="149">
        <v>64564.169999999984</v>
      </c>
      <c r="B53" s="93" t="s">
        <v>208</v>
      </c>
      <c r="C53" s="179">
        <f>-IE!H41</f>
        <v>-37731.469999999972</v>
      </c>
      <c r="D53" s="164"/>
      <c r="E53" s="31"/>
      <c r="F53"/>
      <c r="G53" s="31"/>
      <c r="H53" s="31"/>
    </row>
    <row r="54" spans="1:10" s="25" customFormat="1" ht="16.05" customHeight="1" x14ac:dyDescent="0.3">
      <c r="A54" s="149">
        <v>2251</v>
      </c>
      <c r="B54" s="93" t="s">
        <v>254</v>
      </c>
      <c r="C54" s="31">
        <v>0</v>
      </c>
      <c r="D54" s="164">
        <f>SUM(C52:C54)</f>
        <v>258927.86</v>
      </c>
      <c r="E54" s="31"/>
      <c r="F54"/>
      <c r="G54" s="31"/>
      <c r="H54" s="31"/>
    </row>
    <row r="55" spans="1:10" s="25" customFormat="1" ht="16.05" customHeight="1" thickBot="1" x14ac:dyDescent="0.35">
      <c r="A55" s="145">
        <f>SUM(A12:A54)</f>
        <v>13102128.33</v>
      </c>
      <c r="B55" s="224" t="s">
        <v>12</v>
      </c>
      <c r="C55" s="225"/>
      <c r="D55" s="166">
        <f>SUM(D12:D54)</f>
        <v>12928753.859999999</v>
      </c>
      <c r="E55" s="94">
        <f>SUM(E9:E52)</f>
        <v>13102128.33</v>
      </c>
      <c r="F55" s="224" t="s">
        <v>12</v>
      </c>
      <c r="G55" s="225"/>
      <c r="H55" s="94">
        <f>SUM(H8:H53)</f>
        <v>12928753.859999999</v>
      </c>
    </row>
    <row r="56" spans="1:10" s="25" customFormat="1" ht="7.95" customHeight="1" thickTop="1" x14ac:dyDescent="0.3">
      <c r="A56" s="139"/>
      <c r="B56" s="6"/>
      <c r="C56" s="95"/>
      <c r="D56" s="95"/>
      <c r="E56" s="96"/>
      <c r="F56" s="96"/>
      <c r="G56" s="96"/>
      <c r="H56" s="140"/>
    </row>
    <row r="57" spans="1:10" s="25" customFormat="1" ht="16.05" customHeight="1" x14ac:dyDescent="0.3">
      <c r="A57" s="123" t="s">
        <v>40</v>
      </c>
      <c r="B57" s="120"/>
      <c r="C57" s="120"/>
      <c r="D57" s="88"/>
      <c r="E57" s="121"/>
      <c r="F57" s="120"/>
      <c r="G57" s="121"/>
      <c r="H57" s="122"/>
    </row>
    <row r="58" spans="1:10" s="25" customFormat="1" ht="16.05" customHeight="1" x14ac:dyDescent="0.3">
      <c r="A58" s="124"/>
      <c r="B58" s="120"/>
      <c r="C58" s="120"/>
      <c r="D58" s="125"/>
      <c r="E58" s="183" t="s">
        <v>423</v>
      </c>
      <c r="F58" s="183"/>
      <c r="G58" s="183"/>
      <c r="H58" s="184"/>
    </row>
    <row r="59" spans="1:10" s="25" customFormat="1" ht="16.05" customHeight="1" x14ac:dyDescent="0.3">
      <c r="A59" s="119"/>
      <c r="B59" s="120"/>
      <c r="C59" s="120"/>
      <c r="D59" s="125"/>
      <c r="E59" s="126"/>
      <c r="F59" s="127"/>
      <c r="G59" s="126"/>
      <c r="H59" s="128"/>
      <c r="I59" s="25">
        <f>A55-E55</f>
        <v>0</v>
      </c>
      <c r="J59" s="25">
        <f>H55-D55</f>
        <v>0</v>
      </c>
    </row>
    <row r="60" spans="1:10" s="25" customFormat="1" ht="16.05" customHeight="1" x14ac:dyDescent="0.3">
      <c r="A60" s="124"/>
      <c r="B60" s="120"/>
      <c r="C60" s="120"/>
      <c r="D60" s="125"/>
      <c r="E60" s="126"/>
      <c r="F60" s="127"/>
      <c r="G60" s="126"/>
      <c r="H60" s="128"/>
      <c r="I60" s="2"/>
    </row>
    <row r="61" spans="1:10" s="25" customFormat="1" ht="16.05" customHeight="1" x14ac:dyDescent="0.3">
      <c r="A61" s="124"/>
      <c r="B61" s="120"/>
      <c r="C61" s="120"/>
      <c r="D61" s="125"/>
      <c r="E61" s="126"/>
      <c r="F61" s="127"/>
      <c r="G61" s="126"/>
      <c r="H61" s="128"/>
    </row>
    <row r="62" spans="1:10" s="25" customFormat="1" ht="16.05" customHeight="1" x14ac:dyDescent="0.3">
      <c r="A62" s="129" t="s">
        <v>424</v>
      </c>
      <c r="B62" s="130"/>
      <c r="C62" s="131"/>
      <c r="D62" s="125"/>
      <c r="E62" s="126"/>
      <c r="F62" s="127"/>
      <c r="G62" s="126"/>
      <c r="H62" s="128"/>
    </row>
    <row r="63" spans="1:10" s="25" customFormat="1" ht="16.05" customHeight="1" x14ac:dyDescent="0.3">
      <c r="A63" s="132" t="s">
        <v>425</v>
      </c>
      <c r="B63" s="130"/>
      <c r="C63" s="131"/>
      <c r="D63" s="125"/>
      <c r="E63" s="185" t="s">
        <v>426</v>
      </c>
      <c r="F63" s="185"/>
      <c r="G63" s="185"/>
      <c r="H63" s="186"/>
    </row>
    <row r="64" spans="1:10" s="25" customFormat="1" ht="16.05" customHeight="1" x14ac:dyDescent="0.3">
      <c r="A64" s="132" t="s">
        <v>427</v>
      </c>
      <c r="B64" s="130"/>
      <c r="C64" s="131"/>
      <c r="D64" s="125"/>
      <c r="E64" s="126"/>
      <c r="F64" s="127"/>
      <c r="G64" s="127"/>
      <c r="H64" s="133"/>
    </row>
    <row r="65" spans="1:8" s="25" customFormat="1" ht="16.05" customHeight="1" x14ac:dyDescent="0.3">
      <c r="A65" s="181">
        <v>46221</v>
      </c>
      <c r="B65" s="182"/>
      <c r="C65" s="182"/>
      <c r="D65" s="134"/>
      <c r="E65" s="135"/>
      <c r="F65" s="136"/>
      <c r="G65" s="135"/>
      <c r="H65" s="137"/>
    </row>
    <row r="66" spans="1:8" x14ac:dyDescent="0.3">
      <c r="A66" s="1"/>
      <c r="C66" s="1"/>
      <c r="D66" s="1"/>
      <c r="E66" s="1"/>
    </row>
    <row r="67" spans="1:8" x14ac:dyDescent="0.3">
      <c r="A67" s="1"/>
      <c r="C67" s="1"/>
      <c r="D67" s="1"/>
      <c r="E67" s="1"/>
    </row>
    <row r="68" spans="1:8" x14ac:dyDescent="0.3">
      <c r="A68" s="1"/>
      <c r="C68" s="1"/>
      <c r="D68" s="1"/>
      <c r="E68" s="1"/>
    </row>
    <row r="69" spans="1:8" x14ac:dyDescent="0.3">
      <c r="A69" s="1"/>
      <c r="C69" s="1"/>
      <c r="D69" s="1"/>
      <c r="E69" s="1"/>
    </row>
    <row r="72" spans="1:8" x14ac:dyDescent="0.3">
      <c r="D72" s="1"/>
    </row>
    <row r="73" spans="1:8" x14ac:dyDescent="0.3">
      <c r="D73" s="1"/>
    </row>
    <row r="74" spans="1:8" x14ac:dyDescent="0.3">
      <c r="D74" s="1"/>
    </row>
    <row r="75" spans="1:8" x14ac:dyDescent="0.3">
      <c r="D75" s="1"/>
    </row>
    <row r="76" spans="1:8" x14ac:dyDescent="0.3">
      <c r="D76" s="1"/>
    </row>
  </sheetData>
  <mergeCells count="15">
    <mergeCell ref="E63:H63"/>
    <mergeCell ref="A65:C65"/>
    <mergeCell ref="A1:H1"/>
    <mergeCell ref="A2:H2"/>
    <mergeCell ref="B6:C7"/>
    <mergeCell ref="F6:G7"/>
    <mergeCell ref="A4:H4"/>
    <mergeCell ref="B55:C55"/>
    <mergeCell ref="F55:G55"/>
    <mergeCell ref="A6:A7"/>
    <mergeCell ref="E6:E7"/>
    <mergeCell ref="H6:H7"/>
    <mergeCell ref="D6:D7"/>
    <mergeCell ref="A3:H3"/>
    <mergeCell ref="E58:H58"/>
  </mergeCells>
  <printOptions horizontalCentered="1"/>
  <pageMargins left="0.19685039370078741" right="0.19685039370078741" top="0.39370078740157483" bottom="0.19685039370078741" header="0.19685039370078741" footer="0.19685039370078741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view="pageBreakPreview" topLeftCell="A11" zoomScaleNormal="100" zoomScaleSheetLayoutView="100" workbookViewId="0">
      <selection activeCell="H21" sqref="H21:H29"/>
    </sheetView>
  </sheetViews>
  <sheetFormatPr defaultColWidth="8.88671875" defaultRowHeight="14.4" x14ac:dyDescent="0.3"/>
  <cols>
    <col min="1" max="1" width="12.88671875" style="97" customWidth="1"/>
    <col min="2" max="2" width="38.44140625" style="97" bestFit="1" customWidth="1"/>
    <col min="3" max="3" width="12.88671875" style="97" customWidth="1"/>
    <col min="4" max="4" width="13.44140625" style="97" customWidth="1"/>
    <col min="5" max="5" width="12.88671875" style="97" customWidth="1"/>
    <col min="6" max="6" width="27.44140625" style="97" customWidth="1"/>
    <col min="7" max="7" width="11.5546875" style="97" bestFit="1" customWidth="1"/>
    <col min="8" max="8" width="12.5546875" style="97" customWidth="1"/>
    <col min="9" max="9" width="12.109375" style="97" bestFit="1" customWidth="1"/>
    <col min="10" max="10" width="11.33203125" style="97" bestFit="1" customWidth="1"/>
    <col min="11" max="11" width="9.88671875" style="97" bestFit="1" customWidth="1"/>
    <col min="12" max="12" width="11.33203125" style="97" bestFit="1" customWidth="1"/>
    <col min="13" max="16384" width="8.88671875" style="97"/>
  </cols>
  <sheetData>
    <row r="1" spans="1:9" ht="21" x14ac:dyDescent="0.4">
      <c r="A1" s="187" t="s">
        <v>138</v>
      </c>
      <c r="B1" s="188"/>
      <c r="C1" s="188"/>
      <c r="D1" s="188"/>
      <c r="E1" s="188"/>
      <c r="F1" s="188"/>
      <c r="G1" s="188"/>
      <c r="H1" s="189"/>
    </row>
    <row r="2" spans="1:9" x14ac:dyDescent="0.3">
      <c r="A2" s="190" t="s">
        <v>148</v>
      </c>
      <c r="B2" s="191"/>
      <c r="C2" s="191"/>
      <c r="D2" s="191"/>
      <c r="E2" s="191"/>
      <c r="F2" s="191"/>
      <c r="G2" s="191"/>
      <c r="H2" s="192"/>
    </row>
    <row r="3" spans="1:9" x14ac:dyDescent="0.3">
      <c r="A3" s="206" t="s">
        <v>186</v>
      </c>
      <c r="B3" s="207"/>
      <c r="C3" s="207"/>
      <c r="D3" s="207"/>
      <c r="E3" s="207"/>
      <c r="F3" s="207"/>
      <c r="G3" s="207"/>
      <c r="H3" s="208"/>
    </row>
    <row r="4" spans="1:9" ht="15.6" x14ac:dyDescent="0.3">
      <c r="A4" s="193" t="s">
        <v>292</v>
      </c>
      <c r="B4" s="194"/>
      <c r="C4" s="194"/>
      <c r="D4" s="194"/>
      <c r="E4" s="194"/>
      <c r="F4" s="194"/>
      <c r="G4" s="194"/>
      <c r="H4" s="195"/>
    </row>
    <row r="5" spans="1:9" x14ac:dyDescent="0.3">
      <c r="A5" s="142"/>
      <c r="B5" s="143"/>
      <c r="C5" s="143"/>
      <c r="D5" s="143"/>
      <c r="E5" s="143"/>
      <c r="F5" s="143"/>
      <c r="G5" s="143"/>
      <c r="H5" s="144" t="s">
        <v>135</v>
      </c>
    </row>
    <row r="6" spans="1:9" ht="20.399999999999999" customHeight="1" thickBot="1" x14ac:dyDescent="0.35">
      <c r="A6" s="167" t="s">
        <v>218</v>
      </c>
      <c r="B6" s="198" t="s">
        <v>139</v>
      </c>
      <c r="C6" s="199"/>
      <c r="D6" s="168" t="s">
        <v>293</v>
      </c>
      <c r="E6" s="141" t="str">
        <f>A6</f>
        <v>2024-2025</v>
      </c>
      <c r="F6" s="200" t="s">
        <v>48</v>
      </c>
      <c r="G6" s="201"/>
      <c r="H6" s="141" t="str">
        <f>D6</f>
        <v>2025-2026</v>
      </c>
      <c r="I6" s="33"/>
    </row>
    <row r="7" spans="1:9" ht="23.4" customHeight="1" thickTop="1" x14ac:dyDescent="0.3">
      <c r="A7" s="153"/>
      <c r="B7" s="36" t="s">
        <v>209</v>
      </c>
      <c r="C7" s="38"/>
      <c r="D7" s="169"/>
      <c r="E7" s="38"/>
      <c r="F7" s="202" t="s">
        <v>166</v>
      </c>
      <c r="G7" s="203"/>
      <c r="H7" s="38"/>
    </row>
    <row r="8" spans="1:9" x14ac:dyDescent="0.3">
      <c r="A8" s="154">
        <v>50500</v>
      </c>
      <c r="B8" s="32" t="s">
        <v>42</v>
      </c>
      <c r="C8" s="37">
        <v>43200</v>
      </c>
      <c r="D8" s="170"/>
      <c r="E8" s="37">
        <v>55068</v>
      </c>
      <c r="F8" s="32" t="s">
        <v>0</v>
      </c>
      <c r="G8" s="37">
        <v>55068</v>
      </c>
      <c r="H8" s="155"/>
    </row>
    <row r="9" spans="1:9" x14ac:dyDescent="0.3">
      <c r="A9" s="156">
        <v>4200</v>
      </c>
      <c r="B9" s="32" t="s">
        <v>32</v>
      </c>
      <c r="C9" s="39">
        <v>4800</v>
      </c>
      <c r="D9" s="171">
        <f>SUM(C8:C9)</f>
        <v>48000</v>
      </c>
      <c r="E9" s="37">
        <v>28548</v>
      </c>
      <c r="F9" s="32" t="s">
        <v>2</v>
      </c>
      <c r="G9" s="37">
        <v>28548</v>
      </c>
      <c r="H9" s="155"/>
    </row>
    <row r="10" spans="1:9" x14ac:dyDescent="0.3">
      <c r="A10" s="156"/>
      <c r="B10" s="32"/>
      <c r="C10" s="40"/>
      <c r="D10" s="172"/>
      <c r="E10" s="37">
        <v>0</v>
      </c>
      <c r="F10" s="32" t="s">
        <v>394</v>
      </c>
      <c r="G10" s="37">
        <v>65000</v>
      </c>
      <c r="H10" s="155"/>
    </row>
    <row r="11" spans="1:9" x14ac:dyDescent="0.3">
      <c r="A11" s="154">
        <v>102856</v>
      </c>
      <c r="B11" s="32" t="s">
        <v>141</v>
      </c>
      <c r="C11" s="37"/>
      <c r="D11" s="172">
        <v>118050</v>
      </c>
      <c r="E11" s="37">
        <v>5724</v>
      </c>
      <c r="F11" s="32" t="s">
        <v>6</v>
      </c>
      <c r="G11" s="37">
        <f>7791+4626</f>
        <v>12417</v>
      </c>
      <c r="H11" s="155"/>
    </row>
    <row r="12" spans="1:9" x14ac:dyDescent="0.3">
      <c r="A12" s="154">
        <v>58184</v>
      </c>
      <c r="B12" s="32" t="s">
        <v>142</v>
      </c>
      <c r="C12" s="37"/>
      <c r="D12" s="172">
        <v>63958</v>
      </c>
      <c r="E12" s="37">
        <v>6960</v>
      </c>
      <c r="F12" s="32" t="s">
        <v>43</v>
      </c>
      <c r="G12" s="37">
        <v>7410</v>
      </c>
      <c r="H12" s="155"/>
    </row>
    <row r="13" spans="1:9" x14ac:dyDescent="0.3">
      <c r="A13" s="156"/>
      <c r="B13" s="32"/>
      <c r="C13" s="40"/>
      <c r="D13" s="173"/>
      <c r="E13" s="37">
        <v>5249</v>
      </c>
      <c r="F13" s="32" t="s">
        <v>44</v>
      </c>
      <c r="G13" s="37">
        <v>5297</v>
      </c>
      <c r="H13" s="155"/>
    </row>
    <row r="14" spans="1:9" x14ac:dyDescent="0.3">
      <c r="A14" s="153"/>
      <c r="B14" s="36" t="s">
        <v>210</v>
      </c>
      <c r="C14" s="38"/>
      <c r="D14" s="169"/>
      <c r="E14" s="37">
        <v>192504</v>
      </c>
      <c r="F14" s="32" t="s">
        <v>1</v>
      </c>
      <c r="G14" s="39">
        <v>192504</v>
      </c>
      <c r="H14" s="155">
        <f>SUM(G8:G14)</f>
        <v>366244</v>
      </c>
    </row>
    <row r="15" spans="1:9" x14ac:dyDescent="0.3">
      <c r="A15" s="154">
        <v>32915</v>
      </c>
      <c r="B15" s="32" t="s">
        <v>45</v>
      </c>
      <c r="C15" s="37">
        <v>31915</v>
      </c>
      <c r="D15" s="174">
        <f>SUM(C15)</f>
        <v>31915</v>
      </c>
      <c r="E15" s="40"/>
      <c r="F15" s="32"/>
      <c r="G15" s="40"/>
      <c r="H15" s="157"/>
    </row>
    <row r="16" spans="1:9" x14ac:dyDescent="0.3">
      <c r="A16" s="154"/>
      <c r="B16" s="36" t="s">
        <v>211</v>
      </c>
      <c r="C16" s="41"/>
      <c r="D16" s="171"/>
      <c r="E16" s="38"/>
      <c r="F16" s="36" t="s">
        <v>167</v>
      </c>
      <c r="G16" s="38"/>
      <c r="H16" s="38"/>
    </row>
    <row r="17" spans="1:8" x14ac:dyDescent="0.3">
      <c r="A17" s="159">
        <v>10000</v>
      </c>
      <c r="B17" s="100" t="s">
        <v>46</v>
      </c>
      <c r="C17" s="100">
        <v>10000</v>
      </c>
      <c r="D17" s="175"/>
      <c r="E17" s="41">
        <v>99936</v>
      </c>
      <c r="F17" s="32" t="s">
        <v>3</v>
      </c>
      <c r="G17" s="37">
        <f>109792+5060</f>
        <v>114852</v>
      </c>
      <c r="H17" s="157"/>
    </row>
    <row r="18" spans="1:8" x14ac:dyDescent="0.3">
      <c r="A18" s="139">
        <v>0</v>
      </c>
      <c r="B18" s="70" t="s">
        <v>189</v>
      </c>
      <c r="C18" s="39">
        <v>143500</v>
      </c>
      <c r="D18" s="176">
        <f>C17+C18</f>
        <v>153500</v>
      </c>
      <c r="E18" s="40">
        <v>2964</v>
      </c>
      <c r="F18" s="32" t="s">
        <v>56</v>
      </c>
      <c r="G18" s="99">
        <v>3172</v>
      </c>
      <c r="H18" s="158">
        <f>SUM(G17:G18)</f>
        <v>118024</v>
      </c>
    </row>
    <row r="19" spans="1:8" x14ac:dyDescent="0.3">
      <c r="A19" s="139"/>
      <c r="B19" s="101" t="s">
        <v>213</v>
      </c>
      <c r="C19" s="54"/>
      <c r="D19" s="176"/>
      <c r="E19" s="40"/>
      <c r="F19" s="32"/>
      <c r="G19" s="40"/>
      <c r="H19" s="158"/>
    </row>
    <row r="20" spans="1:8" x14ac:dyDescent="0.3">
      <c r="A20" s="139">
        <v>0</v>
      </c>
      <c r="B20" s="70" t="s">
        <v>396</v>
      </c>
      <c r="C20" s="54">
        <v>1650</v>
      </c>
      <c r="D20" s="176"/>
      <c r="E20" s="38"/>
      <c r="F20" s="36" t="s">
        <v>140</v>
      </c>
      <c r="G20" s="38"/>
      <c r="H20" s="38"/>
    </row>
    <row r="21" spans="1:8" x14ac:dyDescent="0.3">
      <c r="A21" s="139">
        <v>6840</v>
      </c>
      <c r="B21" s="70" t="s">
        <v>39</v>
      </c>
      <c r="C21" s="54">
        <v>5785</v>
      </c>
      <c r="D21" s="176"/>
      <c r="E21" s="41">
        <v>15420</v>
      </c>
      <c r="F21" s="34" t="s">
        <v>132</v>
      </c>
      <c r="G21" s="37"/>
      <c r="H21" s="155">
        <v>6095</v>
      </c>
    </row>
    <row r="22" spans="1:8" x14ac:dyDescent="0.3">
      <c r="A22" s="139">
        <v>32705</v>
      </c>
      <c r="B22" s="70" t="s">
        <v>38</v>
      </c>
      <c r="C22" s="54">
        <v>58285</v>
      </c>
      <c r="D22" s="176"/>
      <c r="E22" s="41"/>
      <c r="F22" s="36"/>
      <c r="G22" s="37"/>
      <c r="H22" s="155"/>
    </row>
    <row r="23" spans="1:8" x14ac:dyDescent="0.3">
      <c r="A23" s="139">
        <v>11300</v>
      </c>
      <c r="B23" s="70" t="s">
        <v>54</v>
      </c>
      <c r="C23" s="54">
        <v>7200</v>
      </c>
      <c r="D23" s="177"/>
      <c r="E23" s="41">
        <v>108834</v>
      </c>
      <c r="F23" s="36" t="s">
        <v>214</v>
      </c>
      <c r="G23" s="41">
        <f>'FD Interest Working'!D47</f>
        <v>107013</v>
      </c>
      <c r="H23" s="122"/>
    </row>
    <row r="24" spans="1:8" x14ac:dyDescent="0.3">
      <c r="A24" s="160">
        <v>0</v>
      </c>
      <c r="B24" s="82" t="s">
        <v>397</v>
      </c>
      <c r="C24" s="54">
        <v>20650</v>
      </c>
      <c r="D24" s="177"/>
      <c r="E24" s="41"/>
      <c r="F24" s="52" t="s">
        <v>131</v>
      </c>
      <c r="G24" s="41"/>
      <c r="H24" s="122"/>
    </row>
    <row r="25" spans="1:8" x14ac:dyDescent="0.3">
      <c r="A25" s="160">
        <v>0</v>
      </c>
      <c r="B25" s="82" t="s">
        <v>398</v>
      </c>
      <c r="C25" s="54">
        <v>1390</v>
      </c>
      <c r="D25" s="177"/>
      <c r="E25" s="41">
        <v>-10365</v>
      </c>
      <c r="F25" s="35" t="s">
        <v>128</v>
      </c>
      <c r="G25" s="41">
        <f>-'FD Interest Working'!D60</f>
        <v>-11206</v>
      </c>
      <c r="H25" s="122"/>
    </row>
    <row r="26" spans="1:8" x14ac:dyDescent="0.3">
      <c r="A26" s="139">
        <v>2500</v>
      </c>
      <c r="B26" s="70" t="s">
        <v>242</v>
      </c>
      <c r="C26" s="39">
        <v>0</v>
      </c>
      <c r="D26" s="177">
        <f>SUM(C20:C26)</f>
        <v>94960</v>
      </c>
      <c r="E26" s="41">
        <v>-41151</v>
      </c>
      <c r="F26" s="35" t="s">
        <v>129</v>
      </c>
      <c r="G26" s="41">
        <f>-'FD Interest Working'!D56</f>
        <v>-41764</v>
      </c>
      <c r="H26" s="122"/>
    </row>
    <row r="27" spans="1:8" ht="16.95" customHeight="1" x14ac:dyDescent="0.3">
      <c r="A27" s="153"/>
      <c r="B27" s="36" t="s">
        <v>217</v>
      </c>
      <c r="C27" s="38"/>
      <c r="D27" s="169"/>
      <c r="E27" s="41">
        <v>-36300</v>
      </c>
      <c r="F27" s="33" t="s">
        <v>241</v>
      </c>
      <c r="G27" s="41">
        <f>-'FD Interest Working'!D57</f>
        <v>-32376</v>
      </c>
      <c r="H27" s="122"/>
    </row>
    <row r="28" spans="1:8" x14ac:dyDescent="0.3">
      <c r="A28" s="154">
        <v>9096</v>
      </c>
      <c r="B28" s="32" t="s">
        <v>4</v>
      </c>
      <c r="C28" s="37">
        <v>9096</v>
      </c>
      <c r="D28" s="171"/>
      <c r="E28" s="41">
        <v>-19352</v>
      </c>
      <c r="F28" s="35" t="s">
        <v>130</v>
      </c>
      <c r="G28" s="41">
        <f>-'FD Interest Working'!D58</f>
        <v>-19964</v>
      </c>
      <c r="H28" s="122"/>
    </row>
    <row r="29" spans="1:8" x14ac:dyDescent="0.3">
      <c r="A29" s="154">
        <v>4500</v>
      </c>
      <c r="B29" s="33" t="s">
        <v>28</v>
      </c>
      <c r="C29" s="37">
        <v>4900</v>
      </c>
      <c r="D29" s="171"/>
      <c r="E29" s="6">
        <v>-1075</v>
      </c>
      <c r="F29" s="53" t="s">
        <v>187</v>
      </c>
      <c r="G29" s="102">
        <f>-'FD Interest Working'!D55</f>
        <v>-1092</v>
      </c>
      <c r="H29" s="161">
        <f>SUM(G23:G29)</f>
        <v>611</v>
      </c>
    </row>
    <row r="30" spans="1:8" x14ac:dyDescent="0.3">
      <c r="A30" s="154">
        <v>1500</v>
      </c>
      <c r="B30" s="32" t="s">
        <v>5</v>
      </c>
      <c r="C30" s="37">
        <v>2500</v>
      </c>
      <c r="D30" s="171"/>
      <c r="E30" s="42"/>
      <c r="F30" s="6"/>
      <c r="G30" s="42"/>
      <c r="H30" s="158"/>
    </row>
    <row r="31" spans="1:8" x14ac:dyDescent="0.3">
      <c r="A31" s="154">
        <v>826</v>
      </c>
      <c r="B31" s="32" t="s">
        <v>212</v>
      </c>
      <c r="C31" s="39">
        <v>826</v>
      </c>
      <c r="D31" s="171">
        <f>SUM(C28:C31)</f>
        <v>17322</v>
      </c>
      <c r="E31" s="42">
        <v>214</v>
      </c>
      <c r="F31" s="6" t="s">
        <v>151</v>
      </c>
      <c r="G31" s="42"/>
      <c r="H31" s="158">
        <v>0</v>
      </c>
    </row>
    <row r="32" spans="1:8" x14ac:dyDescent="0.3">
      <c r="A32" s="153"/>
      <c r="B32" s="36" t="s">
        <v>216</v>
      </c>
      <c r="C32" s="38"/>
      <c r="D32" s="169"/>
      <c r="E32" s="42"/>
      <c r="F32" s="6"/>
      <c r="G32" s="42"/>
      <c r="H32" s="158"/>
    </row>
    <row r="33" spans="1:10" x14ac:dyDescent="0.3">
      <c r="A33" s="154">
        <v>83</v>
      </c>
      <c r="B33" s="32" t="s">
        <v>47</v>
      </c>
      <c r="C33" s="37">
        <v>0</v>
      </c>
      <c r="D33" s="171"/>
      <c r="E33" s="38"/>
      <c r="F33" s="36" t="s">
        <v>215</v>
      </c>
      <c r="G33" s="38"/>
      <c r="H33" s="38"/>
    </row>
    <row r="34" spans="1:10" x14ac:dyDescent="0.3">
      <c r="A34" s="154">
        <v>0</v>
      </c>
      <c r="B34" s="32" t="s">
        <v>400</v>
      </c>
      <c r="C34" s="37">
        <v>226</v>
      </c>
      <c r="D34" s="171"/>
      <c r="E34" s="41">
        <v>0</v>
      </c>
      <c r="F34" s="32" t="s">
        <v>395</v>
      </c>
      <c r="G34" s="51">
        <v>255</v>
      </c>
      <c r="H34" s="155"/>
    </row>
    <row r="35" spans="1:10" x14ac:dyDescent="0.3">
      <c r="A35" s="154">
        <v>0</v>
      </c>
      <c r="B35" s="33" t="s">
        <v>116</v>
      </c>
      <c r="C35" s="37">
        <v>2208</v>
      </c>
      <c r="D35" s="171"/>
      <c r="E35" s="41">
        <v>5000</v>
      </c>
      <c r="F35" s="32" t="s">
        <v>152</v>
      </c>
      <c r="G35" s="39">
        <v>5000</v>
      </c>
      <c r="H35" s="155">
        <f>+G34+G35</f>
        <v>5255</v>
      </c>
    </row>
    <row r="36" spans="1:10" x14ac:dyDescent="0.3">
      <c r="A36" s="154">
        <v>52.83</v>
      </c>
      <c r="B36" s="33" t="s">
        <v>154</v>
      </c>
      <c r="C36" s="37">
        <v>140.47</v>
      </c>
      <c r="D36" s="171"/>
      <c r="E36" s="41"/>
      <c r="F36" s="32"/>
      <c r="G36" s="37"/>
      <c r="H36" s="155"/>
    </row>
    <row r="37" spans="1:10" x14ac:dyDescent="0.3">
      <c r="A37" s="154">
        <v>0</v>
      </c>
      <c r="B37" s="33" t="s">
        <v>153</v>
      </c>
      <c r="C37" s="37">
        <v>100</v>
      </c>
      <c r="D37" s="171"/>
      <c r="E37" s="40"/>
      <c r="F37" s="204"/>
      <c r="G37" s="205"/>
      <c r="H37" s="157"/>
    </row>
    <row r="38" spans="1:10" x14ac:dyDescent="0.3">
      <c r="A38" s="154">
        <v>0</v>
      </c>
      <c r="B38" s="32" t="s">
        <v>401</v>
      </c>
      <c r="C38" s="37">
        <v>150</v>
      </c>
      <c r="D38" s="171"/>
      <c r="E38" s="40"/>
      <c r="F38" s="83"/>
      <c r="G38" s="118"/>
      <c r="H38" s="157"/>
    </row>
    <row r="39" spans="1:10" x14ac:dyDescent="0.3">
      <c r="A39" s="154">
        <v>4034</v>
      </c>
      <c r="B39" s="32" t="s">
        <v>144</v>
      </c>
      <c r="C39" s="39">
        <v>3431</v>
      </c>
      <c r="D39" s="171">
        <f>SUM(C33:C39)</f>
        <v>6255.4699999999993</v>
      </c>
      <c r="E39" s="42"/>
      <c r="F39" s="6"/>
      <c r="G39" s="42"/>
      <c r="H39" s="42"/>
    </row>
    <row r="40" spans="1:10" x14ac:dyDescent="0.3">
      <c r="A40" s="154"/>
      <c r="B40" s="88"/>
      <c r="C40" s="37"/>
      <c r="D40" s="171"/>
      <c r="E40" s="42"/>
      <c r="F40" s="6"/>
      <c r="G40" s="42"/>
      <c r="H40" s="42"/>
    </row>
    <row r="41" spans="1:10" x14ac:dyDescent="0.3">
      <c r="A41" s="156">
        <v>21522</v>
      </c>
      <c r="B41" s="33" t="s">
        <v>143</v>
      </c>
      <c r="C41" s="40"/>
      <c r="D41" s="172">
        <v>0</v>
      </c>
      <c r="E41" s="42">
        <v>0</v>
      </c>
      <c r="F41" s="98" t="s">
        <v>428</v>
      </c>
      <c r="G41" s="42"/>
      <c r="H41" s="42">
        <f>D43-SUM(H8:H39)</f>
        <v>37731.469999999972</v>
      </c>
    </row>
    <row r="42" spans="1:10" x14ac:dyDescent="0.3">
      <c r="A42" s="154">
        <v>64564.169999999984</v>
      </c>
      <c r="B42" s="33" t="s">
        <v>188</v>
      </c>
      <c r="C42" s="99"/>
      <c r="D42" s="172">
        <v>0</v>
      </c>
      <c r="E42" s="42"/>
      <c r="F42" s="6"/>
      <c r="G42" s="42"/>
      <c r="H42" s="42"/>
    </row>
    <row r="43" spans="1:10" ht="15" thickBot="1" x14ac:dyDescent="0.35">
      <c r="A43" s="138">
        <f>SUM(A8:A42)</f>
        <v>418178</v>
      </c>
      <c r="B43" s="196" t="s">
        <v>12</v>
      </c>
      <c r="C43" s="197"/>
      <c r="D43" s="178">
        <f>SUM(D8:D42)</f>
        <v>533960.47</v>
      </c>
      <c r="E43" s="103">
        <f>SUM(E8:E41)</f>
        <v>418178</v>
      </c>
      <c r="F43" s="196" t="s">
        <v>12</v>
      </c>
      <c r="G43" s="197"/>
      <c r="H43" s="103">
        <f>SUM(H8:H41)</f>
        <v>533960.47</v>
      </c>
    </row>
    <row r="44" spans="1:10" ht="15" thickTop="1" x14ac:dyDescent="0.3">
      <c r="A44" s="139">
        <f>A43-E43</f>
        <v>0</v>
      </c>
      <c r="B44" s="6"/>
      <c r="C44" s="95"/>
      <c r="D44" s="95"/>
      <c r="E44" s="96"/>
      <c r="F44" s="96"/>
      <c r="G44" s="96"/>
      <c r="H44" s="140"/>
    </row>
    <row r="45" spans="1:10" x14ac:dyDescent="0.3">
      <c r="A45" s="123" t="s">
        <v>40</v>
      </c>
      <c r="B45" s="120"/>
      <c r="C45" s="120"/>
      <c r="D45" s="88"/>
      <c r="E45" s="121"/>
      <c r="F45" s="120"/>
      <c r="G45" s="121"/>
      <c r="H45" s="122"/>
      <c r="I45" s="97">
        <f>A43-E43</f>
        <v>0</v>
      </c>
      <c r="J45" s="97">
        <f>D43-H43</f>
        <v>0</v>
      </c>
    </row>
    <row r="46" spans="1:10" ht="15.6" x14ac:dyDescent="0.3">
      <c r="A46" s="124"/>
      <c r="B46" s="120"/>
      <c r="C46" s="120"/>
      <c r="D46" s="125"/>
      <c r="E46" s="183" t="s">
        <v>423</v>
      </c>
      <c r="F46" s="183"/>
      <c r="G46" s="183"/>
      <c r="H46" s="184"/>
    </row>
    <row r="47" spans="1:10" x14ac:dyDescent="0.3">
      <c r="A47" s="119"/>
      <c r="B47" s="120"/>
      <c r="C47" s="120"/>
      <c r="D47" s="125"/>
      <c r="E47" s="126"/>
      <c r="F47" s="127"/>
      <c r="G47" s="126"/>
      <c r="H47" s="128"/>
    </row>
    <row r="48" spans="1:10" s="25" customFormat="1" ht="8.1" customHeight="1" x14ac:dyDescent="0.3">
      <c r="A48" s="124"/>
      <c r="B48" s="120"/>
      <c r="C48" s="120"/>
      <c r="D48" s="125"/>
      <c r="E48" s="126"/>
      <c r="F48" s="127"/>
      <c r="G48" s="126"/>
      <c r="H48" s="128"/>
    </row>
    <row r="49" spans="1:10" s="25" customFormat="1" ht="15" customHeight="1" x14ac:dyDescent="0.3">
      <c r="A49" s="124"/>
      <c r="B49" s="120"/>
      <c r="C49" s="120"/>
      <c r="D49" s="125"/>
      <c r="E49" s="126"/>
      <c r="F49" s="127"/>
      <c r="G49" s="126"/>
      <c r="H49" s="128"/>
    </row>
    <row r="50" spans="1:10" s="25" customFormat="1" ht="15" customHeight="1" x14ac:dyDescent="0.3">
      <c r="A50" s="129" t="s">
        <v>424</v>
      </c>
      <c r="B50" s="130"/>
      <c r="C50" s="131"/>
      <c r="D50" s="125"/>
      <c r="E50" s="126"/>
      <c r="F50" s="127"/>
      <c r="G50" s="126"/>
      <c r="H50" s="128"/>
    </row>
    <row r="51" spans="1:10" s="25" customFormat="1" ht="15" customHeight="1" x14ac:dyDescent="0.3">
      <c r="A51" s="132" t="s">
        <v>425</v>
      </c>
      <c r="B51" s="130"/>
      <c r="C51" s="131"/>
      <c r="D51" s="125"/>
      <c r="E51" s="185" t="s">
        <v>426</v>
      </c>
      <c r="F51" s="185"/>
      <c r="G51" s="185"/>
      <c r="H51" s="186"/>
    </row>
    <row r="52" spans="1:10" s="25" customFormat="1" ht="15" customHeight="1" x14ac:dyDescent="0.3">
      <c r="A52" s="132" t="s">
        <v>427</v>
      </c>
      <c r="B52" s="130"/>
      <c r="C52" s="131"/>
      <c r="D52" s="125"/>
      <c r="E52" s="126"/>
      <c r="F52" s="127"/>
      <c r="G52" s="127"/>
      <c r="H52" s="133"/>
    </row>
    <row r="53" spans="1:10" s="25" customFormat="1" ht="15" customHeight="1" x14ac:dyDescent="0.3">
      <c r="A53" s="181">
        <v>46215</v>
      </c>
      <c r="B53" s="182"/>
      <c r="C53" s="182"/>
      <c r="D53" s="134"/>
      <c r="E53" s="135"/>
      <c r="F53" s="136"/>
      <c r="G53" s="135"/>
      <c r="H53" s="137"/>
      <c r="I53" s="25">
        <f>A44-E44</f>
        <v>0</v>
      </c>
      <c r="J53" s="25">
        <f>D44-H44</f>
        <v>0</v>
      </c>
    </row>
  </sheetData>
  <mergeCells count="13">
    <mergeCell ref="A53:C53"/>
    <mergeCell ref="E46:H46"/>
    <mergeCell ref="E51:H51"/>
    <mergeCell ref="A1:H1"/>
    <mergeCell ref="A2:H2"/>
    <mergeCell ref="A4:H4"/>
    <mergeCell ref="B43:C43"/>
    <mergeCell ref="F43:G43"/>
    <mergeCell ref="B6:C6"/>
    <mergeCell ref="F6:G6"/>
    <mergeCell ref="F7:G7"/>
    <mergeCell ref="F37:G37"/>
    <mergeCell ref="A3:H3"/>
  </mergeCells>
  <printOptions horizontalCentered="1"/>
  <pageMargins left="0.39370078740157483" right="0.19685039370078741" top="0.59055118110236227" bottom="0.39370078740157483" header="0.19685039370078741" footer="0.19685039370078741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7"/>
  <sheetViews>
    <sheetView view="pageBreakPreview" zoomScaleNormal="100" zoomScaleSheetLayoutView="100" workbookViewId="0">
      <pane xSplit="1" ySplit="3" topLeftCell="B27" activePane="bottomRight" state="frozen"/>
      <selection activeCell="C57" sqref="C57"/>
      <selection pane="topRight" activeCell="C57" sqref="C57"/>
      <selection pane="bottomLeft" activeCell="C57" sqref="C57"/>
      <selection pane="bottomRight" activeCell="M34" sqref="M34"/>
    </sheetView>
  </sheetViews>
  <sheetFormatPr defaultColWidth="21" defaultRowHeight="14.4" x14ac:dyDescent="0.3"/>
  <cols>
    <col min="1" max="1" width="3.109375" style="3" bestFit="1" customWidth="1"/>
    <col min="2" max="2" width="19.44140625" bestFit="1" customWidth="1"/>
    <col min="3" max="3" width="10.109375" bestFit="1" customWidth="1"/>
    <col min="4" max="4" width="13.109375" bestFit="1" customWidth="1"/>
    <col min="5" max="6" width="11.109375" customWidth="1"/>
    <col min="7" max="7" width="12" bestFit="1" customWidth="1"/>
    <col min="8" max="8" width="13.109375" bestFit="1" customWidth="1"/>
    <col min="9" max="9" width="11.109375" bestFit="1" customWidth="1"/>
    <col min="10" max="10" width="13.109375" bestFit="1" customWidth="1"/>
    <col min="11" max="11" width="7.44140625" bestFit="1" customWidth="1"/>
    <col min="12" max="12" width="7.109375" bestFit="1" customWidth="1"/>
  </cols>
  <sheetData>
    <row r="1" spans="1:12" ht="18" x14ac:dyDescent="0.35">
      <c r="B1" s="232" t="str">
        <f>+IE!A1</f>
        <v>KITTY PARK CO-OP. HOUSING SOCIETY LTD.</v>
      </c>
      <c r="C1" s="232"/>
      <c r="D1" s="232"/>
      <c r="E1" s="232"/>
      <c r="F1" s="232"/>
      <c r="G1" s="232"/>
      <c r="H1" s="232"/>
      <c r="I1" s="232"/>
      <c r="J1" s="232"/>
      <c r="K1" s="232"/>
      <c r="L1" s="232"/>
    </row>
    <row r="2" spans="1:12" ht="15.6" x14ac:dyDescent="0.3">
      <c r="B2" s="233" t="s">
        <v>294</v>
      </c>
      <c r="C2" s="233"/>
      <c r="D2" s="233"/>
      <c r="E2" s="233"/>
      <c r="F2" s="233"/>
      <c r="G2" s="233"/>
      <c r="H2" s="233"/>
      <c r="I2" s="233"/>
      <c r="J2" s="233"/>
      <c r="K2" s="233"/>
      <c r="L2" s="233"/>
    </row>
    <row r="3" spans="1:12" ht="29.4" thickBot="1" x14ac:dyDescent="0.35">
      <c r="A3" s="104" t="s">
        <v>190</v>
      </c>
      <c r="B3" s="104" t="s">
        <v>9</v>
      </c>
      <c r="C3" s="104" t="s">
        <v>10</v>
      </c>
      <c r="D3" s="104" t="s">
        <v>11</v>
      </c>
      <c r="E3" s="104" t="s">
        <v>222</v>
      </c>
      <c r="F3" s="104" t="s">
        <v>265</v>
      </c>
      <c r="G3" s="104" t="s">
        <v>126</v>
      </c>
      <c r="H3" s="104" t="s">
        <v>127</v>
      </c>
      <c r="I3" s="104" t="s">
        <v>13</v>
      </c>
      <c r="J3" s="104" t="s">
        <v>14</v>
      </c>
      <c r="K3" s="104" t="s">
        <v>15</v>
      </c>
      <c r="L3" s="104" t="s">
        <v>16</v>
      </c>
    </row>
    <row r="4" spans="1:12" ht="15" thickTop="1" x14ac:dyDescent="0.3">
      <c r="B4" s="85" t="s">
        <v>7</v>
      </c>
    </row>
    <row r="5" spans="1:12" x14ac:dyDescent="0.3">
      <c r="A5" s="9">
        <v>1</v>
      </c>
      <c r="B5" s="4" t="s">
        <v>267</v>
      </c>
      <c r="C5" s="4" t="s">
        <v>191</v>
      </c>
      <c r="D5" s="5">
        <v>3850</v>
      </c>
      <c r="E5" s="8">
        <v>0</v>
      </c>
      <c r="F5" s="8">
        <f>208-21</f>
        <v>187</v>
      </c>
      <c r="G5" s="8">
        <f t="shared" ref="G5:G13" si="0">SUM(E5:F5)</f>
        <v>187</v>
      </c>
      <c r="H5" s="5">
        <f t="shared" ref="H5:H13" si="1">D5+G5</f>
        <v>4037</v>
      </c>
      <c r="I5" s="5" t="s">
        <v>288</v>
      </c>
      <c r="J5" s="5">
        <v>4199</v>
      </c>
      <c r="K5" s="105">
        <v>7</v>
      </c>
      <c r="L5" s="5" t="s">
        <v>49</v>
      </c>
    </row>
    <row r="6" spans="1:12" x14ac:dyDescent="0.3">
      <c r="A6" s="9">
        <v>2</v>
      </c>
      <c r="B6" s="4" t="s">
        <v>271</v>
      </c>
      <c r="C6" s="4" t="s">
        <v>191</v>
      </c>
      <c r="D6" s="5">
        <v>47652</v>
      </c>
      <c r="E6" s="5">
        <v>0</v>
      </c>
      <c r="F6" s="5">
        <f>2569-258</f>
        <v>2311</v>
      </c>
      <c r="G6" s="8">
        <f t="shared" si="0"/>
        <v>2311</v>
      </c>
      <c r="H6" s="5">
        <f t="shared" si="1"/>
        <v>49963</v>
      </c>
      <c r="I6" s="5" t="s">
        <v>288</v>
      </c>
      <c r="J6" s="5">
        <v>51970</v>
      </c>
      <c r="K6" s="105">
        <v>7</v>
      </c>
      <c r="L6" s="5" t="s">
        <v>49</v>
      </c>
    </row>
    <row r="7" spans="1:12" x14ac:dyDescent="0.3">
      <c r="A7" s="9">
        <v>3</v>
      </c>
      <c r="B7" s="4" t="s">
        <v>219</v>
      </c>
      <c r="C7" s="4" t="s">
        <v>155</v>
      </c>
      <c r="D7" s="5">
        <v>4549</v>
      </c>
      <c r="E7" s="5">
        <f>295-30</f>
        <v>265</v>
      </c>
      <c r="F7" s="5">
        <f>345-34</f>
        <v>311</v>
      </c>
      <c r="G7" s="8">
        <f t="shared" si="0"/>
        <v>576</v>
      </c>
      <c r="H7" s="5">
        <f t="shared" si="1"/>
        <v>5125</v>
      </c>
      <c r="I7" s="5" t="s">
        <v>266</v>
      </c>
      <c r="J7" s="5">
        <v>5226</v>
      </c>
      <c r="K7" s="5">
        <v>7</v>
      </c>
      <c r="L7" s="5" t="s">
        <v>49</v>
      </c>
    </row>
    <row r="8" spans="1:12" x14ac:dyDescent="0.3">
      <c r="A8" s="9">
        <v>4</v>
      </c>
      <c r="B8" s="106" t="s">
        <v>220</v>
      </c>
      <c r="C8" s="4" t="s">
        <v>224</v>
      </c>
      <c r="D8" s="5">
        <v>6083</v>
      </c>
      <c r="E8" s="5">
        <v>0</v>
      </c>
      <c r="F8" s="5">
        <v>17</v>
      </c>
      <c r="G8" s="8">
        <f t="shared" si="0"/>
        <v>17</v>
      </c>
      <c r="H8" s="5">
        <f t="shared" si="1"/>
        <v>6100</v>
      </c>
      <c r="I8" s="5" t="s">
        <v>283</v>
      </c>
      <c r="J8" s="5">
        <v>6498</v>
      </c>
      <c r="K8" s="5">
        <v>6.65</v>
      </c>
      <c r="L8" s="5" t="s">
        <v>29</v>
      </c>
    </row>
    <row r="9" spans="1:12" x14ac:dyDescent="0.3">
      <c r="A9" s="9">
        <v>5</v>
      </c>
      <c r="B9" s="106" t="s">
        <v>286</v>
      </c>
      <c r="C9" s="4" t="s">
        <v>224</v>
      </c>
      <c r="D9" s="5">
        <v>65616</v>
      </c>
      <c r="E9" s="5">
        <v>0</v>
      </c>
      <c r="F9" s="5">
        <v>191</v>
      </c>
      <c r="G9" s="8">
        <f t="shared" si="0"/>
        <v>191</v>
      </c>
      <c r="H9" s="5">
        <f t="shared" si="1"/>
        <v>65807</v>
      </c>
      <c r="I9" s="5" t="s">
        <v>283</v>
      </c>
      <c r="J9" s="5">
        <v>70090</v>
      </c>
      <c r="K9" s="5">
        <v>6.65</v>
      </c>
      <c r="L9" s="5" t="s">
        <v>29</v>
      </c>
    </row>
    <row r="10" spans="1:12" x14ac:dyDescent="0.3">
      <c r="A10" s="9">
        <v>6</v>
      </c>
      <c r="B10" s="106" t="s">
        <v>282</v>
      </c>
      <c r="C10" s="4" t="s">
        <v>224</v>
      </c>
      <c r="D10" s="5">
        <v>5276</v>
      </c>
      <c r="E10" s="5">
        <v>0</v>
      </c>
      <c r="F10" s="5">
        <v>15</v>
      </c>
      <c r="G10" s="8">
        <f t="shared" si="0"/>
        <v>15</v>
      </c>
      <c r="H10" s="5">
        <f t="shared" si="1"/>
        <v>5291</v>
      </c>
      <c r="I10" s="5" t="s">
        <v>283</v>
      </c>
      <c r="J10" s="5">
        <v>5636</v>
      </c>
      <c r="K10" s="5">
        <v>6.65</v>
      </c>
      <c r="L10" s="5" t="s">
        <v>29</v>
      </c>
    </row>
    <row r="11" spans="1:12" x14ac:dyDescent="0.3">
      <c r="A11" s="9">
        <v>7</v>
      </c>
      <c r="B11" s="106" t="s">
        <v>221</v>
      </c>
      <c r="C11" s="4" t="s">
        <v>225</v>
      </c>
      <c r="D11" s="5">
        <v>4618</v>
      </c>
      <c r="E11" s="5">
        <v>0</v>
      </c>
      <c r="F11" s="5">
        <v>8</v>
      </c>
      <c r="G11" s="8">
        <f t="shared" si="0"/>
        <v>8</v>
      </c>
      <c r="H11" s="5">
        <f t="shared" si="1"/>
        <v>4626</v>
      </c>
      <c r="I11" s="5" t="s">
        <v>279</v>
      </c>
      <c r="J11" s="5">
        <v>4933</v>
      </c>
      <c r="K11" s="5">
        <v>6.65</v>
      </c>
      <c r="L11" s="5" t="s">
        <v>29</v>
      </c>
    </row>
    <row r="12" spans="1:12" x14ac:dyDescent="0.3">
      <c r="A12" s="9">
        <v>8</v>
      </c>
      <c r="B12" s="106" t="s">
        <v>280</v>
      </c>
      <c r="C12" s="4" t="s">
        <v>226</v>
      </c>
      <c r="D12" s="5">
        <v>4987</v>
      </c>
      <c r="E12" s="5">
        <v>0</v>
      </c>
      <c r="F12" s="5">
        <v>2</v>
      </c>
      <c r="G12" s="8">
        <f t="shared" si="0"/>
        <v>2</v>
      </c>
      <c r="H12" s="5">
        <f t="shared" si="1"/>
        <v>4989</v>
      </c>
      <c r="I12" s="5" t="s">
        <v>281</v>
      </c>
      <c r="J12" s="5">
        <v>5327</v>
      </c>
      <c r="K12" s="5">
        <v>6.65</v>
      </c>
      <c r="L12" s="5" t="s">
        <v>29</v>
      </c>
    </row>
    <row r="13" spans="1:12" x14ac:dyDescent="0.3">
      <c r="A13" s="9">
        <v>9</v>
      </c>
      <c r="B13" s="43" t="s">
        <v>276</v>
      </c>
      <c r="C13" s="43" t="s">
        <v>192</v>
      </c>
      <c r="D13" s="69">
        <v>11534</v>
      </c>
      <c r="E13" s="69">
        <v>0</v>
      </c>
      <c r="F13" s="69">
        <f>620-61</f>
        <v>559</v>
      </c>
      <c r="G13" s="8">
        <f t="shared" si="0"/>
        <v>559</v>
      </c>
      <c r="H13" s="69">
        <f t="shared" si="1"/>
        <v>12093</v>
      </c>
      <c r="I13" s="5" t="s">
        <v>287</v>
      </c>
      <c r="J13" s="5">
        <v>12579</v>
      </c>
      <c r="K13" s="5">
        <v>7</v>
      </c>
      <c r="L13" s="44" t="s">
        <v>49</v>
      </c>
    </row>
    <row r="14" spans="1:12" ht="15" thickBot="1" x14ac:dyDescent="0.35">
      <c r="A14" s="107"/>
      <c r="B14" s="108"/>
      <c r="C14" s="108"/>
      <c r="D14" s="45">
        <f>SUM(D5:D13)</f>
        <v>154165</v>
      </c>
      <c r="E14" s="45">
        <f t="shared" ref="E14:H14" si="2">SUM(E5:E13)</f>
        <v>265</v>
      </c>
      <c r="F14" s="45">
        <f t="shared" si="2"/>
        <v>3601</v>
      </c>
      <c r="G14" s="45">
        <f t="shared" si="2"/>
        <v>3866</v>
      </c>
      <c r="H14" s="45">
        <f t="shared" si="2"/>
        <v>158031</v>
      </c>
      <c r="I14" s="162"/>
      <c r="J14" s="45">
        <f t="shared" ref="J14" si="3">SUM(J5:J13)</f>
        <v>166458</v>
      </c>
      <c r="K14" s="46"/>
      <c r="L14" s="46"/>
    </row>
    <row r="15" spans="1:12" ht="15" thickTop="1" x14ac:dyDescent="0.3">
      <c r="D15" s="7"/>
      <c r="E15" s="7"/>
      <c r="F15" s="7"/>
      <c r="G15" s="7"/>
      <c r="H15" s="7"/>
      <c r="I15" s="56"/>
      <c r="J15" s="56"/>
      <c r="K15" s="56"/>
      <c r="L15" s="56"/>
    </row>
    <row r="16" spans="1:12" x14ac:dyDescent="0.3">
      <c r="B16" s="85" t="s">
        <v>33</v>
      </c>
    </row>
    <row r="17" spans="1:12" x14ac:dyDescent="0.3">
      <c r="A17" s="9">
        <v>10</v>
      </c>
      <c r="B17" s="106" t="s">
        <v>284</v>
      </c>
      <c r="C17" s="4" t="s">
        <v>227</v>
      </c>
      <c r="D17" s="5">
        <v>7043</v>
      </c>
      <c r="E17" s="5">
        <v>0</v>
      </c>
      <c r="F17" s="5">
        <v>261</v>
      </c>
      <c r="G17" s="8">
        <f>SUM(E17:F17)</f>
        <v>261</v>
      </c>
      <c r="H17" s="5">
        <f>D17+G17</f>
        <v>7304</v>
      </c>
      <c r="I17" s="5" t="s">
        <v>285</v>
      </c>
      <c r="J17" s="5">
        <v>7534</v>
      </c>
      <c r="K17" s="5">
        <v>6.8</v>
      </c>
      <c r="L17" s="5" t="s">
        <v>29</v>
      </c>
    </row>
    <row r="18" spans="1:12" x14ac:dyDescent="0.3">
      <c r="A18" s="9">
        <v>11</v>
      </c>
      <c r="B18" s="106" t="s">
        <v>228</v>
      </c>
      <c r="C18" s="4" t="s">
        <v>155</v>
      </c>
      <c r="D18" s="5">
        <v>1745</v>
      </c>
      <c r="E18" s="5">
        <v>0</v>
      </c>
      <c r="F18" s="5">
        <v>0</v>
      </c>
      <c r="G18" s="8">
        <f>F18+E18</f>
        <v>0</v>
      </c>
      <c r="H18" s="5">
        <f>D18+G18</f>
        <v>1745</v>
      </c>
      <c r="I18" s="5" t="s">
        <v>266</v>
      </c>
      <c r="J18" s="5">
        <v>1745</v>
      </c>
      <c r="K18" s="5">
        <v>7</v>
      </c>
      <c r="L18" s="5" t="s">
        <v>49</v>
      </c>
    </row>
    <row r="19" spans="1:12" ht="15" thickBot="1" x14ac:dyDescent="0.35">
      <c r="A19" s="107"/>
      <c r="B19" s="108"/>
      <c r="C19" s="108"/>
      <c r="D19" s="45">
        <f>SUM(D17:D18)</f>
        <v>8788</v>
      </c>
      <c r="E19" s="45" cm="1">
        <f t="array" ref="E19:E20">E17:E18</f>
        <v>0</v>
      </c>
      <c r="F19" s="45" cm="1">
        <f t="array" ref="F19:F20">F17:F18</f>
        <v>261</v>
      </c>
      <c r="G19" s="45">
        <f t="shared" ref="G19:J19" si="4">SUM(G17:G18)</f>
        <v>261</v>
      </c>
      <c r="H19" s="45">
        <f t="shared" si="4"/>
        <v>9049</v>
      </c>
      <c r="I19" s="162"/>
      <c r="J19" s="45">
        <f t="shared" si="4"/>
        <v>9279</v>
      </c>
      <c r="K19" s="46"/>
      <c r="L19" s="46"/>
    </row>
    <row r="20" spans="1:12" ht="15" thickTop="1" x14ac:dyDescent="0.3">
      <c r="B20" s="85" t="s">
        <v>8</v>
      </c>
      <c r="D20" s="7"/>
      <c r="E20" s="7">
        <v>0</v>
      </c>
      <c r="F20" s="7">
        <v>0</v>
      </c>
      <c r="G20" s="7"/>
      <c r="H20" s="7"/>
      <c r="I20" s="56"/>
      <c r="J20" s="56"/>
      <c r="K20" s="56"/>
      <c r="L20" s="56"/>
    </row>
    <row r="21" spans="1:12" x14ac:dyDescent="0.3">
      <c r="A21" s="9">
        <v>12</v>
      </c>
      <c r="B21" s="4" t="s">
        <v>269</v>
      </c>
      <c r="C21" s="4" t="s">
        <v>191</v>
      </c>
      <c r="D21" s="5">
        <v>582381</v>
      </c>
      <c r="E21" s="5">
        <v>0</v>
      </c>
      <c r="F21" s="5">
        <f>31392-3315</f>
        <v>28077</v>
      </c>
      <c r="G21" s="8">
        <f>SUM(E21:F21)</f>
        <v>28077</v>
      </c>
      <c r="H21" s="5">
        <f>D21+G21</f>
        <v>610458</v>
      </c>
      <c r="I21" s="5" t="s">
        <v>288</v>
      </c>
      <c r="J21" s="5">
        <v>635134</v>
      </c>
      <c r="K21" s="5">
        <v>7</v>
      </c>
      <c r="L21" s="5" t="s">
        <v>49</v>
      </c>
    </row>
    <row r="22" spans="1:12" ht="15" thickBot="1" x14ac:dyDescent="0.35">
      <c r="A22" s="107"/>
      <c r="B22" s="108"/>
      <c r="C22" s="108"/>
      <c r="D22" s="45">
        <f>SUM(D21)</f>
        <v>582381</v>
      </c>
      <c r="E22" s="45">
        <f>SUM(E21)</f>
        <v>0</v>
      </c>
      <c r="F22" s="45">
        <f t="shared" ref="F22:H22" si="5">SUM(F21)</f>
        <v>28077</v>
      </c>
      <c r="G22" s="45">
        <f t="shared" si="5"/>
        <v>28077</v>
      </c>
      <c r="H22" s="45">
        <f t="shared" si="5"/>
        <v>610458</v>
      </c>
      <c r="I22" s="163"/>
      <c r="J22" s="45">
        <f t="shared" ref="J22" si="6">SUM(J21)</f>
        <v>635134</v>
      </c>
      <c r="K22" s="46"/>
      <c r="L22" s="46"/>
    </row>
    <row r="23" spans="1:12" ht="15" thickTop="1" x14ac:dyDescent="0.3">
      <c r="D23" s="7"/>
      <c r="E23" s="7"/>
      <c r="F23" s="7"/>
      <c r="G23" s="7"/>
      <c r="H23" s="7"/>
      <c r="I23" s="56"/>
      <c r="J23" s="56"/>
      <c r="K23" s="56"/>
      <c r="L23" s="56"/>
    </row>
    <row r="24" spans="1:12" x14ac:dyDescent="0.3">
      <c r="B24" s="85" t="s">
        <v>27</v>
      </c>
      <c r="D24" s="7"/>
      <c r="E24" s="7"/>
      <c r="F24" s="7"/>
      <c r="G24" s="7"/>
      <c r="H24" s="7"/>
      <c r="I24" s="56"/>
      <c r="J24" s="56"/>
      <c r="K24" s="56"/>
      <c r="L24" s="56"/>
    </row>
    <row r="25" spans="1:12" x14ac:dyDescent="0.3">
      <c r="A25" s="9">
        <v>13</v>
      </c>
      <c r="B25" s="4" t="s">
        <v>268</v>
      </c>
      <c r="C25" s="4" t="s">
        <v>191</v>
      </c>
      <c r="D25" s="5">
        <v>40476</v>
      </c>
      <c r="E25" s="5">
        <v>0</v>
      </c>
      <c r="F25" s="5">
        <f>2183-217</f>
        <v>1966</v>
      </c>
      <c r="G25" s="8">
        <f>SUM(E25:F25)</f>
        <v>1966</v>
      </c>
      <c r="H25" s="5">
        <f>D25+G25</f>
        <v>42442</v>
      </c>
      <c r="I25" s="5" t="s">
        <v>288</v>
      </c>
      <c r="J25" s="5">
        <v>44144</v>
      </c>
      <c r="K25" s="105">
        <v>7</v>
      </c>
      <c r="L25" s="5" t="s">
        <v>49</v>
      </c>
    </row>
    <row r="26" spans="1:12" x14ac:dyDescent="0.3">
      <c r="A26" s="9">
        <v>14</v>
      </c>
      <c r="B26" s="4" t="s">
        <v>270</v>
      </c>
      <c r="C26" s="4" t="s">
        <v>191</v>
      </c>
      <c r="D26" s="5">
        <v>11364</v>
      </c>
      <c r="E26" s="5">
        <v>0</v>
      </c>
      <c r="F26" s="5">
        <f>613-63</f>
        <v>550</v>
      </c>
      <c r="G26" s="8">
        <f>SUM(E26:F26)</f>
        <v>550</v>
      </c>
      <c r="H26" s="5">
        <f>D26+G26</f>
        <v>11914</v>
      </c>
      <c r="I26" s="5" t="s">
        <v>288</v>
      </c>
      <c r="J26" s="5">
        <v>12394</v>
      </c>
      <c r="K26" s="105">
        <v>7</v>
      </c>
      <c r="L26" s="5" t="s">
        <v>49</v>
      </c>
    </row>
    <row r="27" spans="1:12" x14ac:dyDescent="0.3">
      <c r="A27" s="9">
        <v>16</v>
      </c>
      <c r="B27" s="4" t="s">
        <v>273</v>
      </c>
      <c r="C27" s="4" t="s">
        <v>125</v>
      </c>
      <c r="D27" s="5">
        <v>152740</v>
      </c>
      <c r="E27" s="5">
        <v>0</v>
      </c>
      <c r="F27" s="5">
        <f>8233-876</f>
        <v>7357</v>
      </c>
      <c r="G27" s="8">
        <f>SUM(E27:F27)</f>
        <v>7357</v>
      </c>
      <c r="H27" s="5">
        <f>D27+G27</f>
        <v>160097</v>
      </c>
      <c r="I27" s="5" t="s">
        <v>288</v>
      </c>
      <c r="J27" s="5">
        <v>166575</v>
      </c>
      <c r="K27" s="105">
        <v>7</v>
      </c>
      <c r="L27" s="5" t="s">
        <v>49</v>
      </c>
    </row>
    <row r="28" spans="1:12" x14ac:dyDescent="0.3">
      <c r="A28" s="9">
        <v>17</v>
      </c>
      <c r="B28" s="4" t="s">
        <v>277</v>
      </c>
      <c r="C28" s="4" t="s">
        <v>192</v>
      </c>
      <c r="D28" s="5">
        <v>78272</v>
      </c>
      <c r="E28" s="5">
        <v>0</v>
      </c>
      <c r="F28" s="5">
        <f>4205-419</f>
        <v>3786</v>
      </c>
      <c r="G28" s="8">
        <f>SUM(E28:F28)</f>
        <v>3786</v>
      </c>
      <c r="H28" s="5">
        <f>D28+G28</f>
        <v>82058</v>
      </c>
      <c r="I28" s="5" t="s">
        <v>287</v>
      </c>
      <c r="J28" s="5">
        <v>85365</v>
      </c>
      <c r="K28" s="105">
        <v>7</v>
      </c>
      <c r="L28" s="5" t="s">
        <v>49</v>
      </c>
    </row>
    <row r="29" spans="1:12" ht="15" thickBot="1" x14ac:dyDescent="0.35">
      <c r="A29" s="107"/>
      <c r="B29" s="108"/>
      <c r="C29" s="108"/>
      <c r="D29" s="45">
        <f>SUM(D25:D28)</f>
        <v>282852</v>
      </c>
      <c r="E29" s="45">
        <f t="shared" ref="E29:H29" si="7">SUM(E25:E28)</f>
        <v>0</v>
      </c>
      <c r="F29" s="45">
        <f t="shared" si="7"/>
        <v>13659</v>
      </c>
      <c r="G29" s="45">
        <f t="shared" si="7"/>
        <v>13659</v>
      </c>
      <c r="H29" s="45">
        <f t="shared" si="7"/>
        <v>296511</v>
      </c>
      <c r="I29" s="163"/>
      <c r="J29" s="45">
        <f>SUM(J25:J28)</f>
        <v>308478</v>
      </c>
      <c r="K29" s="46"/>
      <c r="L29" s="46"/>
    </row>
    <row r="30" spans="1:12" ht="15" thickTop="1" x14ac:dyDescent="0.3">
      <c r="D30" s="7"/>
      <c r="E30" s="7"/>
      <c r="F30" s="7"/>
      <c r="G30" s="7"/>
      <c r="H30" s="7"/>
      <c r="I30" s="56"/>
      <c r="J30" s="56"/>
      <c r="K30" s="56"/>
      <c r="L30" s="56"/>
    </row>
    <row r="31" spans="1:12" x14ac:dyDescent="0.3">
      <c r="B31" s="85" t="s">
        <v>41</v>
      </c>
      <c r="D31" s="7"/>
      <c r="E31" s="7"/>
      <c r="F31" s="7"/>
      <c r="G31" s="7"/>
      <c r="H31" s="7"/>
      <c r="I31" s="56"/>
      <c r="J31" s="56"/>
      <c r="K31" s="56"/>
      <c r="L31" s="56"/>
    </row>
    <row r="32" spans="1:12" x14ac:dyDescent="0.3">
      <c r="A32" s="9">
        <v>18</v>
      </c>
      <c r="B32" s="4" t="s">
        <v>223</v>
      </c>
      <c r="C32" s="4" t="s">
        <v>155</v>
      </c>
      <c r="D32" s="5">
        <v>78729</v>
      </c>
      <c r="E32" s="5">
        <f>5099-510</f>
        <v>4589</v>
      </c>
      <c r="F32" s="5">
        <f>5901-1901</f>
        <v>4000</v>
      </c>
      <c r="G32" s="8">
        <f>SUM(E32:F32)</f>
        <v>8589</v>
      </c>
      <c r="H32" s="5">
        <f>D32+G32</f>
        <v>87318</v>
      </c>
      <c r="I32" s="5" t="s">
        <v>266</v>
      </c>
      <c r="J32" s="5">
        <v>90439</v>
      </c>
      <c r="K32" s="5">
        <v>7</v>
      </c>
      <c r="L32" s="5" t="s">
        <v>49</v>
      </c>
    </row>
    <row r="33" spans="1:12" x14ac:dyDescent="0.3">
      <c r="A33" s="9">
        <v>19</v>
      </c>
      <c r="B33" s="4" t="s">
        <v>272</v>
      </c>
      <c r="C33" s="4" t="s">
        <v>191</v>
      </c>
      <c r="D33" s="5">
        <v>40469</v>
      </c>
      <c r="E33" s="5">
        <v>0</v>
      </c>
      <c r="F33" s="5">
        <f>2182-218</f>
        <v>1964</v>
      </c>
      <c r="G33" s="8">
        <f>SUM(E33:F33)</f>
        <v>1964</v>
      </c>
      <c r="H33" s="5">
        <f>D33+G33</f>
        <v>42433</v>
      </c>
      <c r="I33" s="5" t="s">
        <v>288</v>
      </c>
      <c r="J33" s="5">
        <v>44136</v>
      </c>
      <c r="K33" s="5">
        <v>7</v>
      </c>
      <c r="L33" s="5" t="s">
        <v>49</v>
      </c>
    </row>
    <row r="34" spans="1:12" x14ac:dyDescent="0.3">
      <c r="A34" s="9">
        <v>20</v>
      </c>
      <c r="B34" s="4" t="s">
        <v>274</v>
      </c>
      <c r="C34" s="4" t="s">
        <v>191</v>
      </c>
      <c r="D34" s="5">
        <v>112740</v>
      </c>
      <c r="E34" s="5">
        <v>0</v>
      </c>
      <c r="F34" s="5">
        <f>6077-647</f>
        <v>5430</v>
      </c>
      <c r="G34" s="8">
        <f>SUM(E34:F34)</f>
        <v>5430</v>
      </c>
      <c r="H34" s="5">
        <f>D34+G34</f>
        <v>118170</v>
      </c>
      <c r="I34" s="5" t="s">
        <v>288</v>
      </c>
      <c r="J34" s="5">
        <v>122952</v>
      </c>
      <c r="K34" s="5">
        <v>7</v>
      </c>
      <c r="L34" s="5" t="s">
        <v>49</v>
      </c>
    </row>
    <row r="35" spans="1:12" x14ac:dyDescent="0.3">
      <c r="A35" s="9">
        <v>21</v>
      </c>
      <c r="B35" s="4" t="s">
        <v>275</v>
      </c>
      <c r="C35" s="4" t="s">
        <v>192</v>
      </c>
      <c r="D35" s="55">
        <v>42845</v>
      </c>
      <c r="E35" s="55">
        <v>0</v>
      </c>
      <c r="F35" s="55">
        <f>2302-231</f>
        <v>2071</v>
      </c>
      <c r="G35" s="8">
        <f>SUM(E35:F35)</f>
        <v>2071</v>
      </c>
      <c r="H35" s="5">
        <f>D35+G35</f>
        <v>44916</v>
      </c>
      <c r="I35" s="5" t="s">
        <v>287</v>
      </c>
      <c r="J35" s="5">
        <v>46727</v>
      </c>
      <c r="K35" s="5">
        <v>7</v>
      </c>
      <c r="L35" s="5" t="s">
        <v>49</v>
      </c>
    </row>
    <row r="36" spans="1:12" ht="15" thickBot="1" x14ac:dyDescent="0.35">
      <c r="A36" s="107"/>
      <c r="B36" s="108"/>
      <c r="C36" s="108"/>
      <c r="D36" s="45">
        <f>SUM(D32:D35)</f>
        <v>274783</v>
      </c>
      <c r="E36" s="45">
        <f t="shared" ref="E36:H36" si="8">SUM(E32:E35)</f>
        <v>4589</v>
      </c>
      <c r="F36" s="45">
        <f t="shared" si="8"/>
        <v>13465</v>
      </c>
      <c r="G36" s="45">
        <f>SUM(G32:G35)</f>
        <v>18054</v>
      </c>
      <c r="H36" s="45">
        <f t="shared" si="8"/>
        <v>292837</v>
      </c>
      <c r="I36" s="163"/>
      <c r="J36" s="45">
        <f>SUM(J32:J35)</f>
        <v>304254</v>
      </c>
      <c r="K36" s="46"/>
      <c r="L36" s="46"/>
    </row>
    <row r="37" spans="1:12" ht="15" thickTop="1" x14ac:dyDescent="0.3">
      <c r="D37" s="7"/>
      <c r="E37" s="7"/>
      <c r="F37" s="7"/>
      <c r="G37" s="7"/>
      <c r="H37" s="7"/>
      <c r="I37" s="56"/>
      <c r="J37" s="7"/>
      <c r="K37" s="56"/>
      <c r="L37" s="56"/>
    </row>
    <row r="38" spans="1:12" x14ac:dyDescent="0.3">
      <c r="B38" s="85" t="s">
        <v>193</v>
      </c>
      <c r="D38" s="7"/>
      <c r="E38" s="7"/>
      <c r="F38" s="7"/>
      <c r="G38" s="7"/>
      <c r="H38" s="7"/>
      <c r="I38" s="56"/>
      <c r="J38" s="56"/>
      <c r="K38" s="56"/>
      <c r="L38" s="56"/>
    </row>
    <row r="39" spans="1:12" x14ac:dyDescent="0.3">
      <c r="A39" s="9">
        <v>22</v>
      </c>
      <c r="B39" s="4" t="s">
        <v>278</v>
      </c>
      <c r="C39" s="4" t="s">
        <v>192</v>
      </c>
      <c r="D39" s="5">
        <v>15201</v>
      </c>
      <c r="E39" s="5">
        <v>0</v>
      </c>
      <c r="F39" s="5">
        <f>817-83</f>
        <v>734</v>
      </c>
      <c r="G39" s="8">
        <f>SUM(E39:F39)</f>
        <v>734</v>
      </c>
      <c r="H39" s="5">
        <f>D39+G39</f>
        <v>15935</v>
      </c>
      <c r="I39" s="5" t="s">
        <v>287</v>
      </c>
      <c r="J39" s="5">
        <v>16578</v>
      </c>
      <c r="K39" s="5">
        <v>7</v>
      </c>
      <c r="L39" s="5" t="s">
        <v>49</v>
      </c>
    </row>
    <row r="40" spans="1:12" ht="15" thickBot="1" x14ac:dyDescent="0.35">
      <c r="A40" s="107"/>
      <c r="B40" s="108"/>
      <c r="C40" s="108"/>
      <c r="D40" s="45">
        <f>SUM(D39:D39)</f>
        <v>15201</v>
      </c>
      <c r="E40" s="45">
        <f t="shared" ref="E40:H40" si="9">SUM(E39:E39)</f>
        <v>0</v>
      </c>
      <c r="F40" s="45">
        <f t="shared" si="9"/>
        <v>734</v>
      </c>
      <c r="G40" s="45">
        <f>SUM(G39:G39)</f>
        <v>734</v>
      </c>
      <c r="H40" s="45">
        <f t="shared" si="9"/>
        <v>15935</v>
      </c>
      <c r="I40" s="45"/>
      <c r="J40" s="45">
        <f>SUM(J39:J39)</f>
        <v>16578</v>
      </c>
      <c r="K40" s="46"/>
      <c r="L40" s="46"/>
    </row>
    <row r="41" spans="1:12" ht="15" thickTop="1" x14ac:dyDescent="0.3">
      <c r="D41" s="7"/>
      <c r="E41" s="7"/>
      <c r="F41" s="7"/>
      <c r="G41" s="7"/>
      <c r="H41" s="7"/>
      <c r="I41" s="15"/>
      <c r="J41" s="7"/>
      <c r="K41" s="15"/>
      <c r="L41" s="15"/>
    </row>
    <row r="42" spans="1:12" ht="15" thickBot="1" x14ac:dyDescent="0.35">
      <c r="A42" s="107"/>
      <c r="B42" s="234" t="s">
        <v>194</v>
      </c>
      <c r="C42" s="235"/>
      <c r="D42" s="110">
        <f>D14+D19+D22+D29+D36+D40</f>
        <v>1318170</v>
      </c>
      <c r="E42" s="110">
        <f t="shared" ref="E42:H42" si="10">E14+E19+E22+E29+E36+E40</f>
        <v>4854</v>
      </c>
      <c r="F42" s="110">
        <f>F14+F19+F22+F29+F36+F40</f>
        <v>59797</v>
      </c>
      <c r="G42" s="110">
        <f>G14+G19+G22+G29+G36+G40</f>
        <v>64651</v>
      </c>
      <c r="H42" s="110">
        <f t="shared" si="10"/>
        <v>1382821</v>
      </c>
      <c r="I42" s="162"/>
      <c r="J42" s="110">
        <f>J14+J19+J22+J29+J36+J40</f>
        <v>1440181</v>
      </c>
      <c r="K42" s="107"/>
      <c r="L42" s="108"/>
    </row>
    <row r="43" spans="1:12" ht="15" thickTop="1" x14ac:dyDescent="0.3">
      <c r="L43" s="3"/>
    </row>
    <row r="44" spans="1:12" x14ac:dyDescent="0.3">
      <c r="C44" s="109"/>
      <c r="D44" s="109"/>
      <c r="I44" s="236"/>
      <c r="J44" s="236"/>
      <c r="K44" s="236"/>
    </row>
    <row r="45" spans="1:12" x14ac:dyDescent="0.3">
      <c r="B45" s="10"/>
      <c r="C45" s="109"/>
      <c r="D45" s="109"/>
      <c r="E45" s="111"/>
      <c r="F45" s="111"/>
      <c r="G45" s="112"/>
      <c r="I45" s="109"/>
      <c r="K45" s="3"/>
    </row>
    <row r="46" spans="1:12" x14ac:dyDescent="0.3">
      <c r="C46" s="109"/>
      <c r="D46" s="109"/>
      <c r="E46" s="111"/>
      <c r="F46" s="111"/>
      <c r="G46" s="111"/>
      <c r="I46" s="109"/>
      <c r="K46" s="3"/>
    </row>
    <row r="47" spans="1:12" x14ac:dyDescent="0.3">
      <c r="C47" s="109"/>
      <c r="D47" s="109"/>
      <c r="E47" s="111"/>
      <c r="F47" s="111"/>
      <c r="G47" s="111"/>
      <c r="I47" s="109"/>
      <c r="K47" s="3"/>
    </row>
    <row r="48" spans="1:12" x14ac:dyDescent="0.3">
      <c r="B48" s="10"/>
      <c r="C48" s="109"/>
      <c r="D48" s="109"/>
      <c r="H48" s="109"/>
      <c r="J48" s="3"/>
    </row>
    <row r="49" spans="2:11" x14ac:dyDescent="0.3">
      <c r="C49" s="113"/>
      <c r="D49" s="113"/>
      <c r="H49" s="113"/>
      <c r="J49" s="3"/>
    </row>
    <row r="50" spans="2:11" x14ac:dyDescent="0.3">
      <c r="C50" s="114"/>
      <c r="D50" s="113"/>
      <c r="H50" s="113"/>
      <c r="J50" s="3"/>
    </row>
    <row r="51" spans="2:11" x14ac:dyDescent="0.3">
      <c r="C51" s="113"/>
      <c r="D51" s="114"/>
      <c r="K51" s="3"/>
    </row>
    <row r="52" spans="2:11" x14ac:dyDescent="0.3">
      <c r="K52" s="3"/>
    </row>
    <row r="53" spans="2:11" x14ac:dyDescent="0.3">
      <c r="B53" s="24"/>
      <c r="K53" s="3"/>
    </row>
    <row r="54" spans="2:11" x14ac:dyDescent="0.3">
      <c r="B54" s="24"/>
      <c r="K54" s="3"/>
    </row>
    <row r="56" spans="2:11" x14ac:dyDescent="0.3">
      <c r="B56" s="11"/>
    </row>
    <row r="57" spans="2:11" x14ac:dyDescent="0.3">
      <c r="B57" s="11"/>
    </row>
  </sheetData>
  <mergeCells count="4">
    <mergeCell ref="B1:L1"/>
    <mergeCell ref="B2:L2"/>
    <mergeCell ref="B42:C42"/>
    <mergeCell ref="I44:K44"/>
  </mergeCells>
  <printOptions horizontalCentered="1"/>
  <pageMargins left="0.39370078740157483" right="0.39370078740157483" top="0.59055118110236227" bottom="0.19685039370078741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6"/>
  <sheetViews>
    <sheetView view="pageBreakPreview" topLeftCell="A21" zoomScaleNormal="100" zoomScaleSheetLayoutView="100" workbookViewId="0">
      <selection activeCell="F33" sqref="F33"/>
    </sheetView>
  </sheetViews>
  <sheetFormatPr defaultColWidth="25.5546875" defaultRowHeight="14.4" x14ac:dyDescent="0.3"/>
  <cols>
    <col min="1" max="1" width="5.44140625" style="3" bestFit="1" customWidth="1"/>
    <col min="2" max="2" width="11.88671875" style="3" customWidth="1"/>
    <col min="3" max="3" width="34.5546875" bestFit="1" customWidth="1"/>
    <col min="4" max="4" width="19.44140625" style="58" customWidth="1"/>
  </cols>
  <sheetData>
    <row r="1" spans="1:4" ht="18" x14ac:dyDescent="0.3">
      <c r="A1" s="237" t="s">
        <v>203</v>
      </c>
      <c r="B1" s="237"/>
      <c r="C1" s="237"/>
      <c r="D1" s="237"/>
    </row>
    <row r="2" spans="1:4" ht="15.6" x14ac:dyDescent="0.3">
      <c r="A2" s="240" t="s">
        <v>418</v>
      </c>
      <c r="B2" s="240"/>
      <c r="C2" s="240"/>
      <c r="D2" s="240"/>
    </row>
    <row r="3" spans="1:4" ht="15" thickBot="1" x14ac:dyDescent="0.35">
      <c r="A3" s="50" t="s">
        <v>36</v>
      </c>
      <c r="B3" s="50" t="s">
        <v>157</v>
      </c>
      <c r="C3" s="50" t="s">
        <v>145</v>
      </c>
      <c r="D3" s="49" t="s">
        <v>146</v>
      </c>
    </row>
    <row r="4" spans="1:4" ht="15" thickTop="1" x14ac:dyDescent="0.3">
      <c r="A4" s="75">
        <v>1</v>
      </c>
      <c r="B4" s="30">
        <v>103</v>
      </c>
      <c r="C4" s="63" t="s">
        <v>114</v>
      </c>
      <c r="D4" s="64">
        <v>20965</v>
      </c>
    </row>
    <row r="5" spans="1:4" ht="15" thickBot="1" x14ac:dyDescent="0.35">
      <c r="A5" s="239" t="s">
        <v>12</v>
      </c>
      <c r="B5" s="234"/>
      <c r="C5" s="235"/>
      <c r="D5" s="57">
        <f>SUM(D4:D4)</f>
        <v>20965</v>
      </c>
    </row>
    <row r="6" spans="1:4" ht="15" thickTop="1" x14ac:dyDescent="0.3"/>
    <row r="8" spans="1:4" ht="15.6" x14ac:dyDescent="0.3">
      <c r="A8" s="240" t="s">
        <v>417</v>
      </c>
      <c r="B8" s="240"/>
      <c r="C8" s="240"/>
      <c r="D8" s="240"/>
    </row>
    <row r="9" spans="1:4" ht="15" thickBot="1" x14ac:dyDescent="0.35">
      <c r="A9" s="50" t="s">
        <v>36</v>
      </c>
      <c r="B9" s="50" t="s">
        <v>202</v>
      </c>
      <c r="C9" s="50" t="s">
        <v>145</v>
      </c>
      <c r="D9" s="49" t="s">
        <v>146</v>
      </c>
    </row>
    <row r="10" spans="1:4" ht="15" thickTop="1" x14ac:dyDescent="0.3">
      <c r="A10" s="9">
        <v>1</v>
      </c>
      <c r="B10" s="9">
        <v>201</v>
      </c>
      <c r="C10" s="4" t="s">
        <v>37</v>
      </c>
      <c r="D10" s="29">
        <v>7704</v>
      </c>
    </row>
    <row r="11" spans="1:4" x14ac:dyDescent="0.3">
      <c r="A11" s="9">
        <v>2</v>
      </c>
      <c r="B11" s="9">
        <v>401</v>
      </c>
      <c r="C11" s="4" t="s">
        <v>35</v>
      </c>
      <c r="D11" s="29">
        <v>62530</v>
      </c>
    </row>
    <row r="12" spans="1:4" x14ac:dyDescent="0.3">
      <c r="A12" s="9">
        <v>3</v>
      </c>
      <c r="B12" s="9">
        <v>602</v>
      </c>
      <c r="C12" s="4" t="s">
        <v>244</v>
      </c>
      <c r="D12" s="29">
        <v>8093</v>
      </c>
    </row>
    <row r="13" spans="1:4" ht="15" thickBot="1" x14ac:dyDescent="0.35">
      <c r="A13" s="239" t="s">
        <v>12</v>
      </c>
      <c r="B13" s="234"/>
      <c r="C13" s="235"/>
      <c r="D13" s="57">
        <f>SUM(D10:D12)</f>
        <v>78327</v>
      </c>
    </row>
    <row r="14" spans="1:4" ht="15" thickTop="1" x14ac:dyDescent="0.3">
      <c r="C14" s="10"/>
      <c r="D14" s="59"/>
    </row>
    <row r="15" spans="1:4" ht="18" x14ac:dyDescent="0.3">
      <c r="A15" s="237" t="s">
        <v>203</v>
      </c>
      <c r="B15" s="237"/>
      <c r="C15" s="237"/>
      <c r="D15" s="237"/>
    </row>
    <row r="16" spans="1:4" ht="15.6" x14ac:dyDescent="0.3">
      <c r="A16" s="238" t="s">
        <v>402</v>
      </c>
      <c r="B16" s="238"/>
      <c r="C16" s="238"/>
      <c r="D16" s="238"/>
    </row>
    <row r="17" spans="1:6" ht="15" thickBot="1" x14ac:dyDescent="0.35">
      <c r="A17" s="50" t="s">
        <v>195</v>
      </c>
      <c r="B17" s="66" t="s">
        <v>403</v>
      </c>
      <c r="C17" s="50" t="s">
        <v>179</v>
      </c>
      <c r="D17" s="66" t="s">
        <v>404</v>
      </c>
    </row>
    <row r="18" spans="1:6" ht="15" thickTop="1" x14ac:dyDescent="0.3">
      <c r="A18" s="30">
        <v>1</v>
      </c>
      <c r="B18" s="65">
        <v>600</v>
      </c>
      <c r="C18" s="47" t="s">
        <v>52</v>
      </c>
      <c r="D18" s="48">
        <v>600</v>
      </c>
    </row>
    <row r="19" spans="1:6" x14ac:dyDescent="0.3">
      <c r="A19" s="9">
        <v>2</v>
      </c>
      <c r="B19" s="62">
        <v>1800</v>
      </c>
      <c r="C19" s="4" t="s">
        <v>53</v>
      </c>
      <c r="D19" s="29">
        <v>1800</v>
      </c>
    </row>
    <row r="20" spans="1:6" x14ac:dyDescent="0.3">
      <c r="A20" s="9">
        <v>3</v>
      </c>
      <c r="B20" s="62">
        <v>1800</v>
      </c>
      <c r="C20" s="4" t="s">
        <v>180</v>
      </c>
      <c r="D20" s="29">
        <v>1800</v>
      </c>
    </row>
    <row r="21" spans="1:6" x14ac:dyDescent="0.3">
      <c r="A21" s="9">
        <v>4</v>
      </c>
      <c r="B21" s="62">
        <v>1200</v>
      </c>
      <c r="C21" s="4" t="s">
        <v>181</v>
      </c>
      <c r="D21" s="29">
        <v>1200</v>
      </c>
    </row>
    <row r="22" spans="1:6" x14ac:dyDescent="0.3">
      <c r="A22" s="9">
        <v>5</v>
      </c>
      <c r="B22" s="62">
        <v>7145</v>
      </c>
      <c r="C22" s="4" t="s">
        <v>124</v>
      </c>
      <c r="D22" s="29">
        <v>7198</v>
      </c>
    </row>
    <row r="23" spans="1:6" x14ac:dyDescent="0.3">
      <c r="A23" s="9">
        <v>6</v>
      </c>
      <c r="B23" s="62">
        <v>5048</v>
      </c>
      <c r="C23" s="4" t="s">
        <v>115</v>
      </c>
      <c r="D23" s="29">
        <v>5236</v>
      </c>
    </row>
    <row r="24" spans="1:6" x14ac:dyDescent="0.3">
      <c r="A24" s="9">
        <v>7</v>
      </c>
      <c r="B24" s="62">
        <v>1500</v>
      </c>
      <c r="C24" s="4" t="s">
        <v>5</v>
      </c>
      <c r="D24" s="29">
        <v>2000</v>
      </c>
    </row>
    <row r="25" spans="1:6" x14ac:dyDescent="0.3">
      <c r="A25" s="9">
        <v>8</v>
      </c>
      <c r="B25" s="62">
        <v>0</v>
      </c>
      <c r="C25" s="4" t="s">
        <v>419</v>
      </c>
      <c r="D25" s="29">
        <v>7884</v>
      </c>
    </row>
    <row r="26" spans="1:6" x14ac:dyDescent="0.3">
      <c r="A26" s="9">
        <v>9</v>
      </c>
      <c r="B26" s="62">
        <v>4500</v>
      </c>
      <c r="C26" s="4" t="s">
        <v>28</v>
      </c>
      <c r="D26" s="29">
        <v>4500</v>
      </c>
    </row>
    <row r="27" spans="1:6" x14ac:dyDescent="0.3">
      <c r="A27" s="77">
        <v>10</v>
      </c>
      <c r="B27" s="78">
        <v>235125</v>
      </c>
      <c r="C27" s="43" t="s">
        <v>245</v>
      </c>
      <c r="D27" s="76">
        <v>0</v>
      </c>
    </row>
    <row r="28" spans="1:6" x14ac:dyDescent="0.3">
      <c r="A28" s="77">
        <v>11</v>
      </c>
      <c r="B28" s="78">
        <v>9000</v>
      </c>
      <c r="C28" s="43" t="s">
        <v>246</v>
      </c>
      <c r="D28" s="76">
        <v>0</v>
      </c>
      <c r="F28" s="28"/>
    </row>
    <row r="29" spans="1:6" x14ac:dyDescent="0.3">
      <c r="A29" s="77">
        <v>12</v>
      </c>
      <c r="B29" s="78">
        <v>7500</v>
      </c>
      <c r="C29" s="43" t="s">
        <v>247</v>
      </c>
      <c r="D29" s="76">
        <v>3246</v>
      </c>
    </row>
    <row r="30" spans="1:6" s="10" customFormat="1" x14ac:dyDescent="0.3">
      <c r="A30" s="77">
        <v>13</v>
      </c>
      <c r="B30" s="78">
        <v>1500</v>
      </c>
      <c r="C30" s="43" t="s">
        <v>252</v>
      </c>
      <c r="D30" s="76">
        <v>0</v>
      </c>
    </row>
    <row r="31" spans="1:6" x14ac:dyDescent="0.3">
      <c r="A31" s="77">
        <v>14</v>
      </c>
      <c r="B31" s="78">
        <v>0</v>
      </c>
      <c r="C31" s="43" t="s">
        <v>295</v>
      </c>
      <c r="D31" s="76">
        <v>1350</v>
      </c>
    </row>
    <row r="32" spans="1:6" ht="15" thickBot="1" x14ac:dyDescent="0.35">
      <c r="A32" s="50"/>
      <c r="B32" s="49">
        <f>SUM(B18:B31)</f>
        <v>276718</v>
      </c>
      <c r="C32" s="50" t="s">
        <v>12</v>
      </c>
      <c r="D32" s="67">
        <f>SUM(D18:D31)</f>
        <v>36814</v>
      </c>
    </row>
    <row r="33" spans="1:4" ht="15" thickTop="1" x14ac:dyDescent="0.3"/>
    <row r="35" spans="1:4" ht="15.6" x14ac:dyDescent="0.3">
      <c r="A35" s="238" t="s">
        <v>420</v>
      </c>
      <c r="B35" s="238"/>
      <c r="C35" s="238"/>
      <c r="D35" s="238"/>
    </row>
    <row r="36" spans="1:4" ht="15" thickBot="1" x14ac:dyDescent="0.35">
      <c r="A36" s="50" t="s">
        <v>196</v>
      </c>
      <c r="B36" s="50" t="s">
        <v>10</v>
      </c>
      <c r="C36" s="50" t="s">
        <v>179</v>
      </c>
      <c r="D36" s="49" t="s">
        <v>146</v>
      </c>
    </row>
    <row r="37" spans="1:4" ht="15" thickTop="1" x14ac:dyDescent="0.3">
      <c r="A37" s="30">
        <v>1</v>
      </c>
      <c r="B37" s="30" t="s">
        <v>197</v>
      </c>
      <c r="C37" s="47" t="s">
        <v>198</v>
      </c>
      <c r="D37" s="68">
        <v>25000</v>
      </c>
    </row>
    <row r="38" spans="1:4" x14ac:dyDescent="0.3">
      <c r="A38" s="9">
        <v>2</v>
      </c>
      <c r="B38" s="9" t="s">
        <v>199</v>
      </c>
      <c r="C38" s="4" t="s">
        <v>198</v>
      </c>
      <c r="D38" s="61">
        <v>15000</v>
      </c>
    </row>
    <row r="39" spans="1:4" x14ac:dyDescent="0.3">
      <c r="A39" s="9">
        <v>3</v>
      </c>
      <c r="B39" s="9" t="s">
        <v>200</v>
      </c>
      <c r="C39" s="4" t="s">
        <v>198</v>
      </c>
      <c r="D39" s="61">
        <v>25000</v>
      </c>
    </row>
    <row r="40" spans="1:4" x14ac:dyDescent="0.3">
      <c r="A40" s="9">
        <v>4</v>
      </c>
      <c r="B40" s="9" t="s">
        <v>156</v>
      </c>
      <c r="C40" s="4" t="s">
        <v>201</v>
      </c>
      <c r="D40" s="61">
        <v>1500</v>
      </c>
    </row>
    <row r="41" spans="1:4" x14ac:dyDescent="0.3">
      <c r="A41" s="9">
        <v>5</v>
      </c>
      <c r="B41" s="9" t="s">
        <v>410</v>
      </c>
      <c r="C41" s="4" t="s">
        <v>252</v>
      </c>
      <c r="D41" s="61">
        <v>774</v>
      </c>
    </row>
    <row r="42" spans="1:4" x14ac:dyDescent="0.3">
      <c r="A42" s="9">
        <v>6</v>
      </c>
      <c r="B42" s="9" t="s">
        <v>412</v>
      </c>
      <c r="C42" s="4" t="s">
        <v>406</v>
      </c>
      <c r="D42" s="61">
        <v>81629.75</v>
      </c>
    </row>
    <row r="43" spans="1:4" x14ac:dyDescent="0.3">
      <c r="A43" s="9">
        <v>7</v>
      </c>
      <c r="B43" s="9" t="s">
        <v>413</v>
      </c>
      <c r="C43" s="4" t="s">
        <v>245</v>
      </c>
      <c r="D43" s="61">
        <v>2500</v>
      </c>
    </row>
    <row r="44" spans="1:4" x14ac:dyDescent="0.3">
      <c r="A44" s="9">
        <v>8</v>
      </c>
      <c r="B44" s="9" t="s">
        <v>414</v>
      </c>
      <c r="C44" s="4" t="s">
        <v>411</v>
      </c>
      <c r="D44" s="61">
        <v>108000</v>
      </c>
    </row>
    <row r="45" spans="1:4" ht="15" thickBot="1" x14ac:dyDescent="0.35">
      <c r="A45" s="239" t="s">
        <v>12</v>
      </c>
      <c r="B45" s="234"/>
      <c r="C45" s="235"/>
      <c r="D45" s="67">
        <f>SUM(D37:D44)</f>
        <v>259403.75</v>
      </c>
    </row>
    <row r="46" spans="1:4" ht="15" thickTop="1" x14ac:dyDescent="0.3">
      <c r="A46"/>
      <c r="B46"/>
      <c r="D46"/>
    </row>
  </sheetData>
  <mergeCells count="9">
    <mergeCell ref="A15:D15"/>
    <mergeCell ref="A16:D16"/>
    <mergeCell ref="A35:D35"/>
    <mergeCell ref="A45:C45"/>
    <mergeCell ref="A1:D1"/>
    <mergeCell ref="A2:D2"/>
    <mergeCell ref="A8:D8"/>
    <mergeCell ref="A13:C13"/>
    <mergeCell ref="A5:C5"/>
  </mergeCells>
  <printOptions horizontalCentered="1"/>
  <pageMargins left="0.51181102362204722" right="0.31496062992125984" top="0.39370078740157483" bottom="0.39370078740157483" header="0.31496062992125984" footer="0.31496062992125984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"/>
  <sheetViews>
    <sheetView topLeftCell="A9" workbookViewId="0">
      <selection activeCell="H11" sqref="H11"/>
    </sheetView>
  </sheetViews>
  <sheetFormatPr defaultRowHeight="14.4" x14ac:dyDescent="0.3"/>
  <cols>
    <col min="1" max="1" width="5.6640625" bestFit="1" customWidth="1"/>
    <col min="2" max="2" width="13.88671875" customWidth="1"/>
    <col min="3" max="3" width="29.5546875" customWidth="1"/>
    <col min="4" max="4" width="17" customWidth="1"/>
    <col min="6" max="7" width="9.88671875" bestFit="1" customWidth="1"/>
    <col min="9" max="9" width="9.88671875" bestFit="1" customWidth="1"/>
  </cols>
  <sheetData>
    <row r="1" spans="1:4" ht="18" x14ac:dyDescent="0.3">
      <c r="A1" s="237" t="s">
        <v>203</v>
      </c>
      <c r="B1" s="237"/>
      <c r="C1" s="237"/>
      <c r="D1" s="237"/>
    </row>
    <row r="2" spans="1:4" ht="15.6" x14ac:dyDescent="0.3">
      <c r="A2" s="238" t="s">
        <v>402</v>
      </c>
      <c r="B2" s="238"/>
      <c r="C2" s="238"/>
      <c r="D2" s="238"/>
    </row>
    <row r="3" spans="1:4" ht="15" thickBot="1" x14ac:dyDescent="0.35">
      <c r="A3" s="50" t="s">
        <v>195</v>
      </c>
      <c r="B3" s="66" t="s">
        <v>403</v>
      </c>
      <c r="C3" s="50" t="s">
        <v>179</v>
      </c>
      <c r="D3" s="66" t="s">
        <v>404</v>
      </c>
    </row>
    <row r="4" spans="1:4" ht="15" thickTop="1" x14ac:dyDescent="0.3">
      <c r="A4" s="30">
        <v>1</v>
      </c>
      <c r="B4" s="65">
        <v>600</v>
      </c>
      <c r="C4" s="47" t="s">
        <v>52</v>
      </c>
      <c r="D4" s="48">
        <v>600</v>
      </c>
    </row>
    <row r="5" spans="1:4" x14ac:dyDescent="0.3">
      <c r="A5" s="9">
        <v>2</v>
      </c>
      <c r="B5" s="62">
        <v>1800</v>
      </c>
      <c r="C5" s="4" t="s">
        <v>53</v>
      </c>
      <c r="D5" s="29">
        <v>1800</v>
      </c>
    </row>
    <row r="6" spans="1:4" x14ac:dyDescent="0.3">
      <c r="A6" s="9">
        <v>3</v>
      </c>
      <c r="B6" s="62">
        <v>1800</v>
      </c>
      <c r="C6" s="4" t="s">
        <v>180</v>
      </c>
      <c r="D6" s="29">
        <v>1800</v>
      </c>
    </row>
    <row r="7" spans="1:4" x14ac:dyDescent="0.3">
      <c r="A7" s="9">
        <v>4</v>
      </c>
      <c r="B7" s="62">
        <v>1200</v>
      </c>
      <c r="C7" s="4" t="s">
        <v>181</v>
      </c>
      <c r="D7" s="29">
        <v>1200</v>
      </c>
    </row>
    <row r="8" spans="1:4" x14ac:dyDescent="0.3">
      <c r="A8" s="9">
        <v>5</v>
      </c>
      <c r="B8" s="62">
        <v>7145</v>
      </c>
      <c r="C8" s="4" t="s">
        <v>124</v>
      </c>
      <c r="D8" s="29">
        <v>7198</v>
      </c>
    </row>
    <row r="9" spans="1:4" x14ac:dyDescent="0.3">
      <c r="A9" s="9">
        <v>6</v>
      </c>
      <c r="B9" s="62">
        <v>5048</v>
      </c>
      <c r="C9" s="4" t="s">
        <v>115</v>
      </c>
      <c r="D9" s="29">
        <v>5236</v>
      </c>
    </row>
    <row r="10" spans="1:4" x14ac:dyDescent="0.3">
      <c r="A10" s="9">
        <v>7</v>
      </c>
      <c r="B10" s="62">
        <v>1500</v>
      </c>
      <c r="C10" s="4" t="s">
        <v>5</v>
      </c>
      <c r="D10" s="29">
        <v>2000</v>
      </c>
    </row>
    <row r="11" spans="1:4" x14ac:dyDescent="0.3">
      <c r="A11" s="9">
        <v>8</v>
      </c>
      <c r="B11" s="62">
        <v>0</v>
      </c>
      <c r="C11" s="4" t="s">
        <v>419</v>
      </c>
      <c r="D11" s="29">
        <v>7884</v>
      </c>
    </row>
    <row r="12" spans="1:4" x14ac:dyDescent="0.3">
      <c r="A12" s="9">
        <v>9</v>
      </c>
      <c r="B12" s="62">
        <v>4500</v>
      </c>
      <c r="C12" s="4" t="s">
        <v>28</v>
      </c>
      <c r="D12" s="29">
        <v>4500</v>
      </c>
    </row>
    <row r="13" spans="1:4" x14ac:dyDescent="0.3">
      <c r="A13" s="77">
        <v>10</v>
      </c>
      <c r="B13" s="78">
        <v>235125</v>
      </c>
      <c r="C13" s="43" t="s">
        <v>245</v>
      </c>
      <c r="D13" s="76">
        <v>0</v>
      </c>
    </row>
    <row r="14" spans="1:4" x14ac:dyDescent="0.3">
      <c r="A14" s="77">
        <v>11</v>
      </c>
      <c r="B14" s="78">
        <v>9000</v>
      </c>
      <c r="C14" s="43" t="s">
        <v>246</v>
      </c>
      <c r="D14" s="76">
        <v>0</v>
      </c>
    </row>
    <row r="15" spans="1:4" x14ac:dyDescent="0.3">
      <c r="A15" s="77">
        <v>12</v>
      </c>
      <c r="B15" s="78">
        <v>7500</v>
      </c>
      <c r="C15" s="43" t="s">
        <v>247</v>
      </c>
      <c r="D15" s="76">
        <v>3246</v>
      </c>
    </row>
    <row r="16" spans="1:4" x14ac:dyDescent="0.3">
      <c r="A16" s="77">
        <v>13</v>
      </c>
      <c r="B16" s="78">
        <v>1500</v>
      </c>
      <c r="C16" s="43" t="s">
        <v>252</v>
      </c>
      <c r="D16" s="76">
        <v>0</v>
      </c>
    </row>
    <row r="17" spans="1:9" x14ac:dyDescent="0.3">
      <c r="A17" s="77">
        <v>14</v>
      </c>
      <c r="B17" s="78">
        <v>0</v>
      </c>
      <c r="C17" s="43" t="s">
        <v>295</v>
      </c>
      <c r="D17" s="76">
        <v>1350</v>
      </c>
    </row>
    <row r="18" spans="1:9" ht="15" thickBot="1" x14ac:dyDescent="0.35">
      <c r="A18" s="50"/>
      <c r="B18" s="49">
        <f>SUM(B4:B17)</f>
        <v>276718</v>
      </c>
      <c r="C18" s="50" t="s">
        <v>12</v>
      </c>
      <c r="D18" s="67">
        <f>SUM(D4:D17)</f>
        <v>36814</v>
      </c>
      <c r="F18" s="27"/>
      <c r="G18" s="27"/>
      <c r="I18" s="27"/>
    </row>
    <row r="19" spans="1:9" ht="15" thickTop="1" x14ac:dyDescent="0.3">
      <c r="A19" s="3"/>
      <c r="B19" s="3"/>
      <c r="D19" s="58"/>
    </row>
    <row r="20" spans="1:9" x14ac:dyDescent="0.3">
      <c r="A20" s="3"/>
      <c r="B20" s="3"/>
      <c r="D20" s="58"/>
    </row>
    <row r="21" spans="1:9" ht="15.6" x14ac:dyDescent="0.3">
      <c r="A21" s="238" t="s">
        <v>420</v>
      </c>
      <c r="B21" s="238"/>
      <c r="C21" s="238"/>
      <c r="D21" s="238"/>
    </row>
    <row r="22" spans="1:9" ht="15" thickBot="1" x14ac:dyDescent="0.35">
      <c r="A22" s="50" t="s">
        <v>196</v>
      </c>
      <c r="B22" s="50" t="s">
        <v>10</v>
      </c>
      <c r="C22" s="50" t="s">
        <v>179</v>
      </c>
      <c r="D22" s="49" t="s">
        <v>146</v>
      </c>
    </row>
    <row r="23" spans="1:9" ht="15" thickTop="1" x14ac:dyDescent="0.3">
      <c r="A23" s="30">
        <v>1</v>
      </c>
      <c r="B23" s="30" t="s">
        <v>197</v>
      </c>
      <c r="C23" s="47" t="s">
        <v>198</v>
      </c>
      <c r="D23" s="68">
        <v>25000</v>
      </c>
    </row>
    <row r="24" spans="1:9" x14ac:dyDescent="0.3">
      <c r="A24" s="9">
        <v>2</v>
      </c>
      <c r="B24" s="9" t="s">
        <v>199</v>
      </c>
      <c r="C24" s="4" t="s">
        <v>198</v>
      </c>
      <c r="D24" s="61">
        <v>15000</v>
      </c>
    </row>
    <row r="25" spans="1:9" x14ac:dyDescent="0.3">
      <c r="A25" s="9">
        <v>3</v>
      </c>
      <c r="B25" s="9" t="s">
        <v>200</v>
      </c>
      <c r="C25" s="4" t="s">
        <v>198</v>
      </c>
      <c r="D25" s="61">
        <v>25000</v>
      </c>
    </row>
    <row r="26" spans="1:9" x14ac:dyDescent="0.3">
      <c r="A26" s="9">
        <v>4</v>
      </c>
      <c r="B26" s="9" t="s">
        <v>156</v>
      </c>
      <c r="C26" s="4" t="s">
        <v>201</v>
      </c>
      <c r="D26" s="61">
        <v>1500</v>
      </c>
    </row>
    <row r="27" spans="1:9" x14ac:dyDescent="0.3">
      <c r="A27" s="9">
        <v>5</v>
      </c>
      <c r="B27" s="9" t="s">
        <v>410</v>
      </c>
      <c r="C27" s="4" t="s">
        <v>252</v>
      </c>
      <c r="D27" s="61">
        <v>774</v>
      </c>
    </row>
    <row r="28" spans="1:9" x14ac:dyDescent="0.3">
      <c r="A28" s="9">
        <v>6</v>
      </c>
      <c r="B28" s="9" t="s">
        <v>412</v>
      </c>
      <c r="C28" s="4" t="s">
        <v>406</v>
      </c>
      <c r="D28" s="61">
        <v>81629.75</v>
      </c>
    </row>
    <row r="29" spans="1:9" x14ac:dyDescent="0.3">
      <c r="A29" s="9">
        <v>7</v>
      </c>
      <c r="B29" s="9" t="s">
        <v>413</v>
      </c>
      <c r="C29" s="4" t="s">
        <v>245</v>
      </c>
      <c r="D29" s="61">
        <v>2500</v>
      </c>
    </row>
    <row r="30" spans="1:9" x14ac:dyDescent="0.3">
      <c r="A30" s="9">
        <v>8</v>
      </c>
      <c r="B30" s="9" t="s">
        <v>414</v>
      </c>
      <c r="C30" s="4" t="s">
        <v>411</v>
      </c>
      <c r="D30" s="61">
        <v>108000</v>
      </c>
    </row>
    <row r="31" spans="1:9" ht="15" thickBot="1" x14ac:dyDescent="0.35">
      <c r="A31" s="239" t="s">
        <v>12</v>
      </c>
      <c r="B31" s="234"/>
      <c r="C31" s="235"/>
      <c r="D31" s="67">
        <f>SUM(D23:D30)</f>
        <v>259403.75</v>
      </c>
    </row>
    <row r="32" spans="1:9" ht="15" thickTop="1" x14ac:dyDescent="0.3"/>
  </sheetData>
  <mergeCells count="4">
    <mergeCell ref="A31:C31"/>
    <mergeCell ref="A21:D21"/>
    <mergeCell ref="A2:D2"/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63"/>
  <sheetViews>
    <sheetView workbookViewId="0">
      <selection activeCell="F23" sqref="F23"/>
    </sheetView>
  </sheetViews>
  <sheetFormatPr defaultColWidth="14.44140625" defaultRowHeight="14.4" x14ac:dyDescent="0.3"/>
  <cols>
    <col min="1" max="1" width="5.5546875" bestFit="1" customWidth="1"/>
    <col min="2" max="2" width="60" bestFit="1" customWidth="1"/>
    <col min="3" max="3" width="10.44140625" bestFit="1" customWidth="1"/>
    <col min="4" max="4" width="15.109375" customWidth="1"/>
    <col min="5" max="5" width="14.109375" customWidth="1"/>
    <col min="6" max="6" width="9.88671875" customWidth="1"/>
    <col min="7" max="7" width="12.88671875" bestFit="1" customWidth="1"/>
    <col min="8" max="9" width="9.88671875" customWidth="1"/>
    <col min="10" max="10" width="11.33203125" bestFit="1" customWidth="1"/>
    <col min="11" max="16" width="9.88671875" customWidth="1"/>
  </cols>
  <sheetData>
    <row r="1" spans="1:16" ht="18" x14ac:dyDescent="0.3">
      <c r="A1" s="241" t="s">
        <v>117</v>
      </c>
      <c r="B1" s="242"/>
      <c r="C1" s="242"/>
      <c r="D1" s="242"/>
      <c r="E1" s="16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3">
      <c r="A2" s="243" t="s">
        <v>421</v>
      </c>
      <c r="B2" s="244"/>
      <c r="C2" s="244"/>
      <c r="D2" s="244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x14ac:dyDescent="0.3">
      <c r="A3" s="18"/>
      <c r="B3" s="18"/>
      <c r="C3" s="18"/>
      <c r="D3" s="19" t="s">
        <v>34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x14ac:dyDescent="0.3">
      <c r="A4" s="18"/>
      <c r="B4" s="18" t="s">
        <v>118</v>
      </c>
      <c r="C4" s="18"/>
      <c r="D4" s="20">
        <v>88348.63</v>
      </c>
      <c r="E4" s="17"/>
      <c r="F4" s="80" t="s">
        <v>10</v>
      </c>
      <c r="G4" s="80" t="s">
        <v>259</v>
      </c>
      <c r="H4" s="80" t="s">
        <v>262</v>
      </c>
      <c r="I4" s="80" t="s">
        <v>260</v>
      </c>
      <c r="J4" s="80" t="s">
        <v>261</v>
      </c>
      <c r="K4" s="80" t="s">
        <v>263</v>
      </c>
      <c r="L4" s="17"/>
      <c r="M4" s="17"/>
      <c r="N4" s="17"/>
      <c r="O4" s="17"/>
      <c r="P4" s="17"/>
    </row>
    <row r="5" spans="1:16" x14ac:dyDescent="0.3">
      <c r="A5" s="18"/>
      <c r="B5" s="18"/>
      <c r="C5" s="18"/>
      <c r="D5" s="22"/>
      <c r="E5" s="17"/>
      <c r="F5" s="80" t="s">
        <v>405</v>
      </c>
      <c r="G5" s="80" t="s">
        <v>406</v>
      </c>
      <c r="H5" s="80">
        <v>202675</v>
      </c>
      <c r="I5" s="80">
        <v>0</v>
      </c>
      <c r="J5" s="84">
        <v>13469</v>
      </c>
      <c r="K5" s="80" t="s">
        <v>407</v>
      </c>
      <c r="L5" s="17"/>
      <c r="M5" s="17"/>
      <c r="N5" s="17"/>
      <c r="O5" s="17"/>
      <c r="P5" s="17"/>
    </row>
    <row r="6" spans="1:16" x14ac:dyDescent="0.3">
      <c r="A6" s="18" t="s">
        <v>119</v>
      </c>
      <c r="B6" s="23" t="s">
        <v>120</v>
      </c>
      <c r="C6" s="18"/>
      <c r="D6" s="22">
        <f>J7</f>
        <v>120389</v>
      </c>
      <c r="E6" s="17"/>
      <c r="F6" s="80" t="s">
        <v>408</v>
      </c>
      <c r="G6" s="80" t="s">
        <v>409</v>
      </c>
      <c r="H6" s="80">
        <v>202676</v>
      </c>
      <c r="I6" s="80">
        <v>0</v>
      </c>
      <c r="J6" s="84">
        <v>106920</v>
      </c>
      <c r="K6" s="80" t="s">
        <v>264</v>
      </c>
      <c r="L6" s="17"/>
      <c r="M6" s="17"/>
      <c r="N6" s="17"/>
      <c r="O6" s="17"/>
      <c r="P6" s="17"/>
    </row>
    <row r="7" spans="1:16" x14ac:dyDescent="0.3">
      <c r="A7" s="18"/>
      <c r="B7" s="23"/>
      <c r="C7" s="23"/>
      <c r="D7" s="22"/>
      <c r="E7" s="17"/>
      <c r="F7" s="17"/>
      <c r="G7" s="17"/>
      <c r="H7" s="17"/>
      <c r="I7" s="16">
        <f t="shared" ref="I7:J7" si="0">SUM(I5:I6)</f>
        <v>0</v>
      </c>
      <c r="J7" s="16">
        <f t="shared" si="0"/>
        <v>120389</v>
      </c>
      <c r="K7" s="17"/>
      <c r="L7" s="17"/>
      <c r="M7" s="17"/>
      <c r="N7" s="17"/>
      <c r="O7" s="17"/>
      <c r="P7" s="17"/>
    </row>
    <row r="8" spans="1:16" x14ac:dyDescent="0.3">
      <c r="A8" s="18" t="s">
        <v>121</v>
      </c>
      <c r="B8" s="23" t="s">
        <v>122</v>
      </c>
      <c r="C8" s="23"/>
      <c r="D8" s="22">
        <f>I7</f>
        <v>0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6" x14ac:dyDescent="0.3">
      <c r="A9" s="18"/>
      <c r="B9" s="23"/>
      <c r="C9" s="23"/>
      <c r="D9" s="22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 spans="1:16" x14ac:dyDescent="0.3">
      <c r="A10" s="18"/>
      <c r="B10" s="23" t="s">
        <v>123</v>
      </c>
      <c r="C10" s="23"/>
      <c r="D10" s="60">
        <f>D4+D6-D8</f>
        <v>208737.63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x14ac:dyDescent="0.3">
      <c r="A11" s="17"/>
      <c r="B11" s="17"/>
      <c r="C11" s="17"/>
      <c r="D11" s="21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spans="1:16" ht="15.75" customHeight="1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3" spans="1:16" ht="15.75" customHeight="1" x14ac:dyDescent="0.3">
      <c r="A13" s="241" t="s">
        <v>117</v>
      </c>
      <c r="B13" s="242"/>
      <c r="C13" s="242"/>
      <c r="D13" s="242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16" ht="15.75" customHeight="1" x14ac:dyDescent="0.3">
      <c r="A14" s="243" t="s">
        <v>422</v>
      </c>
      <c r="B14" s="244"/>
      <c r="C14" s="244"/>
      <c r="D14" s="244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spans="1:16" ht="15.75" customHeight="1" x14ac:dyDescent="0.3">
      <c r="A15" s="18"/>
      <c r="B15" s="18"/>
      <c r="C15" s="18"/>
      <c r="D15" s="19" t="s">
        <v>34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spans="1:16" ht="15.75" customHeight="1" x14ac:dyDescent="0.3">
      <c r="A16" s="18"/>
      <c r="B16" s="18" t="s">
        <v>118</v>
      </c>
      <c r="C16" s="18"/>
      <c r="D16" s="20">
        <v>98142.48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spans="1:16" ht="15.75" customHeight="1" x14ac:dyDescent="0.3">
      <c r="A17" s="18"/>
      <c r="B17" s="18"/>
      <c r="C17" s="18"/>
      <c r="D17" s="22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spans="1:16" ht="15.75" customHeight="1" x14ac:dyDescent="0.3">
      <c r="A18" s="18"/>
      <c r="B18" s="23" t="s">
        <v>123</v>
      </c>
      <c r="C18" s="23"/>
      <c r="D18" s="60">
        <f>D16</f>
        <v>98142.48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 spans="1:16" ht="15.75" customHeight="1" x14ac:dyDescent="0.3">
      <c r="A19" s="17"/>
      <c r="B19" s="17"/>
      <c r="C19" s="17"/>
      <c r="D19" s="21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spans="1:16" ht="15.75" customHeight="1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spans="1:16" ht="15.75" customHeight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spans="1:16" ht="15.75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spans="1:16" ht="15.75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spans="1:16" ht="15.7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ht="15.7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6" ht="15.7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 ht="15.7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16" ht="15.7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16" ht="15.7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16" ht="15.7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 ht="15.7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 ht="15.75" customHeight="1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ht="15.75" customHeight="1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ht="15.75" customHeight="1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ht="15.75" customHeight="1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ht="15.75" customHeight="1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ht="15.7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ht="15.75" customHeight="1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ht="15.75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spans="1:16" ht="15.75" customHeight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spans="1:16" ht="15.75" customHeight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 spans="1:16" ht="15.75" customHeight="1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 spans="1:16" ht="15.75" customHeigh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spans="1:16" ht="15.75" customHeight="1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</row>
    <row r="45" spans="1:16" ht="15.75" customHeigh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spans="1:16" ht="15.75" customHeight="1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7" spans="1:16" ht="15.75" customHeight="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spans="1:16" ht="15.75" customHeight="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</row>
    <row r="49" spans="1:16" ht="15.75" customHeight="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spans="1:16" ht="15.75" customHeight="1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spans="1:16" ht="15.75" customHeight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spans="1:16" ht="15.75" customHeight="1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spans="1:16" ht="15.75" customHeigh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spans="1:16" ht="15.75" customHeight="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</row>
    <row r="55" spans="1:16" ht="15.75" customHeigh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 spans="1:16" ht="15.75" customHeight="1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 spans="1:16" ht="15.75" customHeight="1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</row>
    <row r="58" spans="1:16" ht="15.75" customHeight="1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 spans="1:16" ht="15.75" customHeight="1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 spans="1:16" ht="15.75" customHeight="1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 spans="1:16" ht="15.75" customHeight="1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 spans="1:16" ht="15.75" customHeight="1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</row>
    <row r="63" spans="1:16" ht="15.75" customHeight="1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</row>
    <row r="64" spans="1:16" ht="15.75" customHeight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</row>
    <row r="65" spans="1:16" ht="15.75" customHeight="1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</row>
    <row r="66" spans="1:16" ht="15.75" customHeight="1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</row>
    <row r="67" spans="1:16" ht="15.75" customHeight="1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</row>
    <row r="68" spans="1:16" ht="15.75" customHeight="1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</row>
    <row r="69" spans="1:16" ht="15.75" customHeight="1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</row>
    <row r="70" spans="1:16" ht="15.75" customHeight="1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</row>
    <row r="71" spans="1:16" ht="15.75" customHeight="1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</row>
    <row r="72" spans="1:16" ht="15.75" customHeight="1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</row>
    <row r="73" spans="1:16" ht="15.75" customHeight="1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</row>
    <row r="74" spans="1:16" ht="15.75" customHeight="1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</row>
    <row r="75" spans="1:16" ht="15.75" customHeight="1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</row>
    <row r="76" spans="1:16" ht="15.75" customHeight="1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</row>
    <row r="77" spans="1:16" ht="15.75" customHeight="1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</row>
    <row r="78" spans="1:16" ht="15.75" customHeight="1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</row>
    <row r="79" spans="1:16" ht="15.75" customHeight="1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</row>
    <row r="80" spans="1:16" ht="15.75" customHeight="1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</row>
    <row r="81" spans="1:16" ht="15.75" customHeight="1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</row>
    <row r="82" spans="1:16" ht="15.75" customHeight="1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</row>
    <row r="83" spans="1:16" ht="15.75" customHeight="1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</row>
    <row r="84" spans="1:16" ht="15.75" customHeight="1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</row>
    <row r="85" spans="1:16" ht="15.75" customHeight="1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</row>
    <row r="86" spans="1:16" ht="15.75" customHeigh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</row>
    <row r="87" spans="1:16" ht="15.75" customHeigh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</row>
    <row r="88" spans="1:16" ht="15.75" customHeight="1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</row>
    <row r="89" spans="1:16" ht="15.75" customHeight="1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</row>
    <row r="90" spans="1:16" ht="15.75" customHeight="1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</row>
    <row r="91" spans="1:16" ht="15.75" customHeight="1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</row>
    <row r="92" spans="1:16" ht="15.75" customHeight="1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</row>
    <row r="93" spans="1:16" ht="15.75" customHeight="1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</row>
    <row r="94" spans="1:16" ht="15.75" customHeight="1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</row>
    <row r="95" spans="1:16" ht="15.75" customHeight="1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</row>
    <row r="96" spans="1:16" ht="15.75" customHeight="1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</row>
    <row r="97" spans="1:16" ht="15.75" customHeight="1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</row>
    <row r="98" spans="1:16" ht="15.75" customHeight="1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</row>
    <row r="99" spans="1:16" ht="15.75" customHeight="1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</row>
    <row r="100" spans="1:16" ht="15.75" customHeight="1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</row>
    <row r="101" spans="1:16" ht="15.75" customHeight="1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</row>
    <row r="102" spans="1:16" ht="15.75" customHeight="1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</row>
    <row r="103" spans="1:16" ht="15.75" customHeight="1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</row>
    <row r="104" spans="1:16" ht="15.75" customHeight="1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</row>
    <row r="105" spans="1:16" ht="15.75" customHeight="1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</row>
    <row r="106" spans="1:16" ht="15.75" customHeight="1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</row>
    <row r="107" spans="1:16" ht="15.75" customHeight="1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</row>
    <row r="108" spans="1:16" ht="15.75" customHeight="1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</row>
    <row r="109" spans="1:16" ht="15.75" customHeight="1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</row>
    <row r="110" spans="1:16" ht="15.75" customHeight="1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</row>
    <row r="111" spans="1:16" ht="15.75" customHeight="1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</row>
    <row r="112" spans="1:16" ht="15.75" customHeight="1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</row>
    <row r="113" spans="1:16" ht="15.75" customHeight="1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</row>
    <row r="114" spans="1:16" ht="15.75" customHeight="1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</row>
    <row r="115" spans="1:16" ht="15.75" customHeight="1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</row>
    <row r="116" spans="1:16" ht="15.75" customHeight="1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</row>
    <row r="117" spans="1:16" ht="15.75" customHeight="1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</row>
    <row r="118" spans="1:16" ht="15.75" customHeight="1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</row>
    <row r="119" spans="1:16" ht="15.75" customHeight="1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</row>
    <row r="120" spans="1:16" ht="15.75" customHeight="1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</row>
    <row r="121" spans="1:16" ht="15.75" customHeight="1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</row>
    <row r="122" spans="1:16" ht="15.75" customHeight="1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</row>
    <row r="123" spans="1:16" ht="15.75" customHeight="1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</row>
    <row r="124" spans="1:16" ht="15.75" customHeight="1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</row>
    <row r="125" spans="1:16" ht="15.75" customHeight="1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</row>
    <row r="126" spans="1:16" ht="15.75" customHeight="1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</row>
    <row r="127" spans="1:16" ht="15.75" customHeight="1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</row>
    <row r="128" spans="1:16" ht="15.75" customHeight="1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</row>
    <row r="129" spans="1:16" ht="15.75" customHeight="1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</row>
    <row r="130" spans="1:16" ht="15.75" customHeight="1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</row>
    <row r="131" spans="1:16" ht="15.75" customHeight="1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</row>
    <row r="132" spans="1:16" ht="15.75" customHeight="1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</row>
    <row r="133" spans="1:16" ht="15.75" customHeight="1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</row>
    <row r="134" spans="1:16" ht="15.75" customHeight="1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</row>
    <row r="135" spans="1:16" ht="15.75" customHeight="1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</row>
    <row r="136" spans="1:16" ht="15.75" customHeight="1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</row>
    <row r="137" spans="1:16" ht="15.75" customHeight="1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</row>
    <row r="138" spans="1:16" ht="15.75" customHeight="1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</row>
    <row r="139" spans="1:16" ht="15.75" customHeight="1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</row>
    <row r="140" spans="1:16" ht="15.75" customHeight="1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</row>
    <row r="141" spans="1:16" ht="15.75" customHeight="1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</row>
    <row r="142" spans="1:16" ht="15.75" customHeight="1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</row>
    <row r="143" spans="1:16" ht="15.75" customHeight="1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</row>
    <row r="144" spans="1:16" ht="15.75" customHeight="1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</row>
    <row r="145" spans="1:16" ht="15.75" customHeight="1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</row>
    <row r="146" spans="1:16" ht="15.75" customHeight="1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</row>
    <row r="147" spans="1:16" ht="15.75" customHeight="1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</row>
    <row r="148" spans="1:16" ht="15.75" customHeight="1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</row>
    <row r="149" spans="1:16" ht="15.75" customHeight="1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</row>
    <row r="150" spans="1:16" ht="15.75" customHeight="1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</row>
    <row r="151" spans="1:16" ht="15.75" customHeight="1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</row>
    <row r="152" spans="1:16" ht="15.75" customHeight="1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</row>
    <row r="153" spans="1:16" ht="15.75" customHeight="1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</row>
    <row r="154" spans="1:16" ht="15.75" customHeight="1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</row>
    <row r="155" spans="1:16" ht="15.75" customHeight="1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</row>
    <row r="156" spans="1:16" ht="15.75" customHeight="1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</row>
    <row r="157" spans="1:16" ht="15.75" customHeight="1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</row>
    <row r="158" spans="1:16" ht="15.75" customHeight="1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</row>
    <row r="159" spans="1:16" ht="15.75" customHeight="1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</row>
    <row r="160" spans="1:16" ht="15.75" customHeight="1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</row>
    <row r="161" spans="1:16" ht="15.75" customHeight="1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</row>
    <row r="162" spans="1:16" ht="15.75" customHeight="1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</row>
    <row r="163" spans="1:16" ht="15.75" customHeight="1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</row>
    <row r="164" spans="1:16" ht="15.75" customHeight="1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</row>
    <row r="165" spans="1:16" ht="15.75" customHeight="1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</row>
    <row r="166" spans="1:16" ht="15.75" customHeight="1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</row>
    <row r="167" spans="1:16" ht="15.75" customHeight="1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</row>
    <row r="168" spans="1:16" ht="15.75" customHeight="1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</row>
    <row r="169" spans="1:16" ht="15.75" customHeight="1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</row>
    <row r="170" spans="1:16" ht="15.75" customHeight="1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</row>
    <row r="171" spans="1:16" ht="15.75" customHeight="1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</row>
    <row r="172" spans="1:16" ht="15.75" customHeight="1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</row>
    <row r="173" spans="1:16" ht="15.75" customHeight="1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</row>
    <row r="174" spans="1:16" ht="15.75" customHeight="1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</row>
    <row r="175" spans="1:16" ht="15.75" customHeight="1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</row>
    <row r="176" spans="1:16" ht="15.75" customHeight="1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</row>
    <row r="177" spans="1:16" ht="15.75" customHeight="1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</row>
    <row r="178" spans="1:16" ht="15.75" customHeight="1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</row>
    <row r="179" spans="1:16" ht="15.75" customHeight="1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</row>
    <row r="180" spans="1:16" ht="15.75" customHeight="1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</row>
    <row r="181" spans="1:16" ht="15.75" customHeight="1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</row>
    <row r="182" spans="1:16" ht="15.75" customHeight="1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</row>
    <row r="183" spans="1:16" ht="15.75" customHeight="1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</row>
    <row r="184" spans="1:16" ht="15.75" customHeight="1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</row>
    <row r="185" spans="1:16" ht="15.75" customHeight="1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</row>
    <row r="186" spans="1:16" ht="15.75" customHeight="1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</row>
    <row r="187" spans="1:16" ht="15.75" customHeight="1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</row>
    <row r="188" spans="1:16" ht="15.75" customHeight="1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</row>
    <row r="189" spans="1:16" ht="15.75" customHeight="1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</row>
    <row r="190" spans="1:16" ht="15.75" customHeight="1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</row>
    <row r="191" spans="1:16" ht="15.75" customHeight="1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</row>
    <row r="192" spans="1:16" ht="15.75" customHeight="1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</row>
    <row r="193" spans="1:16" ht="15.75" customHeight="1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</row>
    <row r="194" spans="1:16" ht="15.75" customHeight="1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</row>
    <row r="195" spans="1:16" ht="15.75" customHeight="1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</row>
    <row r="196" spans="1:16" ht="15.75" customHeight="1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</row>
    <row r="197" spans="1:16" ht="15.75" customHeight="1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</row>
    <row r="198" spans="1:16" ht="15.75" customHeight="1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</row>
    <row r="199" spans="1:16" ht="15.75" customHeight="1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</row>
    <row r="200" spans="1:16" ht="15.75" customHeight="1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</row>
    <row r="201" spans="1:16" ht="15.75" customHeight="1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</row>
    <row r="202" spans="1:16" ht="15.75" customHeight="1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</row>
    <row r="203" spans="1:16" ht="15.75" customHeight="1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</row>
    <row r="204" spans="1:16" ht="15.75" customHeight="1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</row>
    <row r="205" spans="1:16" ht="15.75" customHeight="1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</row>
    <row r="206" spans="1:16" ht="15.75" customHeight="1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</row>
    <row r="207" spans="1:16" ht="15.75" customHeight="1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</row>
    <row r="208" spans="1:16" ht="15.75" customHeight="1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</row>
    <row r="209" spans="1:16" ht="15.75" customHeight="1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</row>
    <row r="210" spans="1:16" ht="15.75" customHeight="1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</row>
    <row r="211" spans="1:16" ht="15.75" customHeight="1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</row>
    <row r="212" spans="1:16" ht="15.75" customHeight="1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</row>
    <row r="213" spans="1:16" ht="15.75" customHeight="1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</row>
    <row r="214" spans="1:16" ht="15.75" customHeight="1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</row>
    <row r="215" spans="1:16" ht="15.75" customHeight="1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</row>
    <row r="216" spans="1:16" ht="15.75" customHeight="1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</row>
    <row r="217" spans="1:16" ht="15.75" customHeight="1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</row>
    <row r="218" spans="1:16" ht="15.75" customHeight="1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</row>
    <row r="219" spans="1:16" ht="15.75" customHeight="1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</row>
    <row r="220" spans="1:16" ht="15.75" customHeight="1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</row>
    <row r="221" spans="1:16" ht="15.75" customHeight="1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</row>
    <row r="222" spans="1:16" ht="15.75" customHeight="1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</row>
    <row r="223" spans="1:16" ht="15.75" customHeight="1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</row>
    <row r="224" spans="1:16" ht="15.75" customHeight="1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</row>
    <row r="225" spans="1:16" ht="15.75" customHeight="1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</row>
    <row r="226" spans="1:16" ht="15.75" customHeight="1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</row>
    <row r="227" spans="1:16" ht="15.75" customHeight="1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</row>
    <row r="228" spans="1:16" ht="15.75" customHeight="1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</row>
    <row r="229" spans="1:16" ht="15.75" customHeight="1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</row>
    <row r="230" spans="1:16" ht="15.75" customHeight="1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</row>
    <row r="231" spans="1:16" ht="15.75" customHeight="1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</row>
    <row r="232" spans="1:16" ht="15.75" customHeight="1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</row>
    <row r="233" spans="1:16" ht="15.75" customHeight="1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</row>
    <row r="234" spans="1:16" ht="15.75" customHeight="1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</row>
    <row r="235" spans="1:16" ht="15.75" customHeight="1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</row>
    <row r="236" spans="1:16" ht="15.75" customHeight="1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</row>
    <row r="237" spans="1:16" ht="15.75" customHeight="1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</row>
    <row r="238" spans="1:16" ht="15.75" customHeight="1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</row>
    <row r="239" spans="1:16" ht="15.75" customHeight="1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</row>
    <row r="240" spans="1:16" ht="15.75" customHeight="1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</row>
    <row r="241" spans="1:16" ht="15.75" customHeight="1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</row>
    <row r="242" spans="1:16" ht="15.75" customHeight="1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</row>
    <row r="243" spans="1:16" ht="15.75" customHeight="1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</row>
    <row r="244" spans="1:16" ht="15.75" customHeight="1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</row>
    <row r="245" spans="1:16" ht="15.75" customHeight="1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</row>
    <row r="246" spans="1:16" ht="15.75" customHeight="1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</row>
    <row r="247" spans="1:16" ht="15.75" customHeight="1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</row>
    <row r="248" spans="1:16" ht="15.75" customHeight="1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</row>
    <row r="249" spans="1:16" ht="15.75" customHeight="1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</row>
    <row r="250" spans="1:16" ht="15.75" customHeight="1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</row>
    <row r="251" spans="1:16" ht="15.75" customHeight="1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</row>
    <row r="252" spans="1:16" ht="15.75" customHeight="1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</row>
    <row r="253" spans="1:16" ht="15.75" customHeight="1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</row>
    <row r="254" spans="1:16" ht="15.75" customHeight="1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</row>
    <row r="255" spans="1:16" ht="15.75" customHeight="1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</row>
    <row r="256" spans="1:16" ht="15.75" customHeight="1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</row>
    <row r="257" spans="1:16" ht="15.75" customHeight="1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</row>
    <row r="258" spans="1:16" ht="15.75" customHeight="1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</row>
    <row r="259" spans="1:16" ht="15.75" customHeight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</row>
    <row r="260" spans="1:16" ht="15.75" customHeight="1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</row>
    <row r="261" spans="1:16" ht="15.75" customHeight="1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</row>
    <row r="262" spans="1:16" ht="15.75" customHeight="1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</row>
    <row r="263" spans="1:16" ht="15.75" customHeight="1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</row>
    <row r="264" spans="1:16" ht="15.75" customHeight="1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</row>
    <row r="265" spans="1:16" ht="15.75" customHeight="1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</row>
    <row r="266" spans="1:16" ht="15.75" customHeight="1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</row>
    <row r="267" spans="1:16" ht="15.75" customHeight="1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</row>
    <row r="268" spans="1:16" ht="15.75" customHeight="1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</row>
    <row r="269" spans="1:16" ht="15.75" customHeight="1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</row>
    <row r="270" spans="1:16" ht="15.75" customHeight="1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</row>
    <row r="271" spans="1:16" ht="15.75" customHeight="1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</row>
    <row r="272" spans="1:16" ht="15.75" customHeight="1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</row>
    <row r="273" spans="1:16" ht="15.75" customHeight="1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</row>
    <row r="274" spans="1:16" ht="15.75" customHeight="1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</row>
    <row r="275" spans="1:16" ht="15.75" customHeight="1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</row>
    <row r="276" spans="1:16" ht="15.75" customHeight="1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</row>
    <row r="277" spans="1:16" ht="15.75" customHeight="1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</row>
    <row r="278" spans="1:16" ht="15.75" customHeight="1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</row>
    <row r="279" spans="1:16" ht="15.75" customHeight="1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</row>
    <row r="280" spans="1:16" ht="15.75" customHeight="1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</row>
    <row r="281" spans="1:16" ht="15.75" customHeight="1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</row>
    <row r="282" spans="1:16" ht="15.75" customHeight="1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</row>
    <row r="283" spans="1:16" ht="15.75" customHeight="1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</row>
    <row r="284" spans="1:16" ht="15.75" customHeight="1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</row>
    <row r="285" spans="1:16" ht="15.75" customHeight="1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</row>
    <row r="286" spans="1:16" ht="15.75" customHeight="1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</row>
    <row r="287" spans="1:16" ht="15.75" customHeight="1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</row>
    <row r="288" spans="1:16" ht="15.75" customHeight="1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</row>
    <row r="289" spans="1:16" ht="15.75" customHeight="1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</row>
    <row r="290" spans="1:16" ht="15.75" customHeight="1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</row>
    <row r="291" spans="1:16" ht="15.75" customHeight="1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</row>
    <row r="292" spans="1:16" ht="15.75" customHeight="1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</row>
    <row r="293" spans="1:16" ht="15.75" customHeight="1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</row>
    <row r="294" spans="1:16" ht="15.75" customHeight="1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</row>
    <row r="295" spans="1:16" ht="15.75" customHeight="1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</row>
    <row r="296" spans="1:16" ht="15.75" customHeight="1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</row>
    <row r="297" spans="1:16" ht="15.75" customHeight="1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</row>
    <row r="298" spans="1:16" ht="15.75" customHeight="1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</row>
    <row r="299" spans="1:16" ht="15.75" customHeight="1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</row>
    <row r="300" spans="1:16" ht="15.75" customHeight="1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</row>
    <row r="301" spans="1:16" ht="15.75" customHeight="1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</row>
    <row r="302" spans="1:16" ht="15.75" customHeight="1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</row>
    <row r="303" spans="1:16" ht="15.75" customHeight="1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</row>
    <row r="304" spans="1:16" ht="15.75" customHeight="1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</row>
    <row r="305" spans="1:16" ht="15.75" customHeight="1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</row>
    <row r="306" spans="1:16" ht="15.75" customHeight="1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</row>
    <row r="307" spans="1:16" ht="15.75" customHeight="1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</row>
    <row r="308" spans="1:16" ht="15.75" customHeight="1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</row>
    <row r="309" spans="1:16" ht="15.75" customHeight="1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</row>
    <row r="310" spans="1:16" ht="15.75" customHeight="1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</row>
    <row r="311" spans="1:16" ht="15.75" customHeight="1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</row>
    <row r="312" spans="1:16" ht="15.75" customHeight="1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</row>
    <row r="313" spans="1:16" ht="15.75" customHeight="1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</row>
    <row r="314" spans="1:16" ht="15.75" customHeight="1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</row>
    <row r="315" spans="1:16" ht="15.75" customHeight="1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</row>
    <row r="316" spans="1:16" ht="15.75" customHeight="1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</row>
    <row r="317" spans="1:16" ht="15.75" customHeight="1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</row>
    <row r="318" spans="1:16" ht="15.75" customHeight="1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</row>
    <row r="319" spans="1:16" ht="15.75" customHeight="1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</row>
    <row r="320" spans="1:16" ht="15.75" customHeight="1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</row>
    <row r="321" spans="1:16" ht="15.75" customHeight="1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</row>
    <row r="322" spans="1:16" ht="15.75" customHeight="1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</row>
    <row r="323" spans="1:16" ht="15.75" customHeight="1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</row>
    <row r="324" spans="1:16" ht="15.75" customHeight="1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</row>
    <row r="325" spans="1:16" ht="15.75" customHeight="1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</row>
    <row r="326" spans="1:16" ht="15.75" customHeight="1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</row>
    <row r="327" spans="1:16" ht="15.75" customHeight="1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</row>
    <row r="328" spans="1:16" ht="15.75" customHeight="1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</row>
    <row r="329" spans="1:16" ht="15.75" customHeight="1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</row>
    <row r="330" spans="1:16" ht="15.75" customHeight="1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</row>
    <row r="331" spans="1:16" ht="15.75" customHeight="1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</row>
    <row r="332" spans="1:16" ht="15.75" customHeight="1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</row>
    <row r="333" spans="1:16" ht="15.75" customHeight="1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</row>
    <row r="334" spans="1:16" ht="15.75" customHeight="1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</row>
    <row r="335" spans="1:16" ht="15.75" customHeight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</row>
    <row r="336" spans="1:16" ht="15.75" customHeight="1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</row>
    <row r="337" spans="1:16" ht="15.75" customHeight="1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</row>
    <row r="338" spans="1:16" ht="15.75" customHeight="1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</row>
    <row r="339" spans="1:16" ht="15.75" customHeight="1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</row>
    <row r="340" spans="1:16" ht="15.75" customHeight="1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</row>
    <row r="341" spans="1:16" ht="15.75" customHeight="1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</row>
    <row r="342" spans="1:16" ht="15.75" customHeight="1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</row>
    <row r="343" spans="1:16" ht="15.75" customHeight="1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</row>
    <row r="344" spans="1:16" ht="15.75" customHeight="1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</row>
    <row r="345" spans="1:16" ht="15.75" customHeight="1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</row>
    <row r="346" spans="1:16" ht="15.75" customHeight="1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</row>
    <row r="347" spans="1:16" ht="15.75" customHeight="1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</row>
    <row r="348" spans="1:16" ht="15.75" customHeight="1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</row>
    <row r="349" spans="1:16" ht="15.75" customHeight="1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</row>
    <row r="350" spans="1:16" ht="15.75" customHeight="1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</row>
    <row r="351" spans="1:16" ht="15.75" customHeight="1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</row>
    <row r="352" spans="1:16" ht="15.75" customHeight="1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</row>
    <row r="353" spans="1:16" ht="15.75" customHeight="1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</row>
    <row r="354" spans="1:16" ht="15.75" customHeight="1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</row>
    <row r="355" spans="1:16" ht="15.75" customHeight="1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</row>
    <row r="356" spans="1:16" ht="15.75" customHeight="1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</row>
    <row r="357" spans="1:16" ht="15.75" customHeight="1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</row>
    <row r="358" spans="1:16" ht="15.75" customHeight="1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</row>
    <row r="359" spans="1:16" ht="15.75" customHeight="1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</row>
    <row r="360" spans="1:16" ht="15.75" customHeight="1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</row>
    <row r="361" spans="1:16" ht="15.75" customHeight="1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</row>
    <row r="362" spans="1:16" ht="15.75" customHeight="1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</row>
    <row r="363" spans="1:16" ht="15.75" customHeight="1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</row>
    <row r="364" spans="1:16" ht="15.75" customHeight="1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</row>
    <row r="365" spans="1:16" ht="15.75" customHeight="1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</row>
    <row r="366" spans="1:16" ht="15.75" customHeight="1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</row>
    <row r="367" spans="1:16" ht="15.75" customHeight="1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</row>
    <row r="368" spans="1:16" ht="15.75" customHeight="1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</row>
    <row r="369" spans="1:16" ht="15.75" customHeight="1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</row>
    <row r="370" spans="1:16" ht="15.75" customHeight="1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</row>
    <row r="371" spans="1:16" ht="15.75" customHeight="1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</row>
    <row r="372" spans="1:16" ht="15.75" customHeight="1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</row>
    <row r="373" spans="1:16" ht="15.75" customHeight="1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</row>
    <row r="374" spans="1:16" ht="15.75" customHeight="1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</row>
    <row r="375" spans="1:16" ht="15.75" customHeight="1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</row>
    <row r="376" spans="1:16" ht="15.75" customHeight="1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</row>
    <row r="377" spans="1:16" ht="15.75" customHeight="1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</row>
    <row r="378" spans="1:16" ht="15.75" customHeight="1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</row>
    <row r="379" spans="1:16" ht="15.75" customHeight="1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</row>
    <row r="380" spans="1:16" ht="15.75" customHeight="1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</row>
    <row r="381" spans="1:16" ht="15.75" customHeight="1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</row>
    <row r="382" spans="1:16" ht="15.75" customHeight="1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</row>
    <row r="383" spans="1:16" ht="15.75" customHeight="1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</row>
    <row r="384" spans="1:16" ht="15.75" customHeight="1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</row>
    <row r="385" spans="1:16" ht="15.75" customHeight="1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</row>
    <row r="386" spans="1:16" ht="15.75" customHeight="1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</row>
    <row r="387" spans="1:16" ht="15.75" customHeight="1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</row>
    <row r="388" spans="1:16" ht="15.75" customHeight="1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</row>
    <row r="389" spans="1:16" ht="15.75" customHeight="1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</row>
    <row r="390" spans="1:16" ht="15.75" customHeight="1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</row>
    <row r="391" spans="1:16" ht="15.75" customHeight="1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</row>
    <row r="392" spans="1:16" ht="15.75" customHeight="1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</row>
    <row r="393" spans="1:16" ht="15.75" customHeight="1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</row>
    <row r="394" spans="1:16" ht="15.75" customHeight="1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</row>
    <row r="395" spans="1:16" ht="15.75" customHeight="1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</row>
    <row r="396" spans="1:16" ht="15.75" customHeight="1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</row>
    <row r="397" spans="1:16" ht="15.75" customHeight="1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</row>
    <row r="398" spans="1:16" ht="15.75" customHeight="1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</row>
    <row r="399" spans="1:16" ht="15.75" customHeight="1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</row>
    <row r="400" spans="1:16" ht="15.75" customHeight="1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</row>
    <row r="401" spans="1:16" ht="15.75" customHeight="1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</row>
    <row r="402" spans="1:16" ht="15.75" customHeight="1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</row>
    <row r="403" spans="1:16" ht="15.75" customHeight="1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</row>
    <row r="404" spans="1:16" ht="15.75" customHeight="1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</row>
    <row r="405" spans="1:16" ht="15.75" customHeight="1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</row>
    <row r="406" spans="1:16" ht="15.75" customHeight="1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</row>
    <row r="407" spans="1:16" ht="15.75" customHeight="1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</row>
    <row r="408" spans="1:16" ht="15.75" customHeight="1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</row>
    <row r="409" spans="1:16" ht="15.75" customHeight="1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</row>
    <row r="410" spans="1:16" ht="15.75" customHeight="1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</row>
    <row r="411" spans="1:16" ht="15.75" customHeight="1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</row>
    <row r="412" spans="1:16" ht="15.75" customHeight="1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</row>
    <row r="413" spans="1:16" ht="15.75" customHeight="1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</row>
    <row r="414" spans="1:16" ht="15.75" customHeight="1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</row>
    <row r="415" spans="1:16" ht="15.75" customHeight="1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</row>
    <row r="416" spans="1:16" ht="15.75" customHeight="1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</row>
    <row r="417" spans="1:16" ht="15.75" customHeight="1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</row>
    <row r="418" spans="1:16" ht="15.75" customHeight="1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</row>
    <row r="419" spans="1:16" ht="15.75" customHeight="1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</row>
    <row r="420" spans="1:16" ht="15.75" customHeight="1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</row>
    <row r="421" spans="1:16" ht="15.75" customHeight="1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</row>
    <row r="422" spans="1:16" ht="15.75" customHeight="1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</row>
    <row r="423" spans="1:16" ht="15.75" customHeight="1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</row>
    <row r="424" spans="1:16" ht="15.75" customHeight="1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</row>
    <row r="425" spans="1:16" ht="15.75" customHeight="1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</row>
    <row r="426" spans="1:16" ht="15.75" customHeight="1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</row>
    <row r="427" spans="1:16" ht="15.75" customHeight="1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</row>
    <row r="428" spans="1:16" ht="15.75" customHeight="1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</row>
    <row r="429" spans="1:16" ht="15.75" customHeight="1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</row>
    <row r="430" spans="1:16" ht="15.75" customHeight="1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</row>
    <row r="431" spans="1:16" ht="15.75" customHeight="1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</row>
    <row r="432" spans="1:16" ht="15.75" customHeight="1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</row>
    <row r="433" spans="1:16" ht="15.75" customHeight="1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</row>
    <row r="434" spans="1:16" ht="15.75" customHeight="1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</row>
    <row r="435" spans="1:16" ht="15.75" customHeight="1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</row>
    <row r="436" spans="1:16" ht="15.75" customHeight="1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</row>
    <row r="437" spans="1:16" ht="15.75" customHeight="1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</row>
    <row r="438" spans="1:16" ht="15.75" customHeight="1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</row>
    <row r="439" spans="1:16" ht="15.75" customHeight="1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</row>
    <row r="440" spans="1:16" ht="15.75" customHeight="1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</row>
    <row r="441" spans="1:16" ht="15.75" customHeight="1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</row>
    <row r="442" spans="1:16" ht="15.75" customHeight="1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</row>
    <row r="443" spans="1:16" ht="15.75" customHeight="1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</row>
    <row r="444" spans="1:16" ht="15.75" customHeight="1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</row>
    <row r="445" spans="1:16" ht="15.75" customHeight="1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</row>
    <row r="446" spans="1:16" ht="15.75" customHeight="1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</row>
    <row r="447" spans="1:16" ht="15.75" customHeight="1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</row>
    <row r="448" spans="1:16" ht="15.75" customHeight="1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</row>
    <row r="449" spans="1:16" ht="15.75" customHeight="1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</row>
    <row r="450" spans="1:16" ht="15.75" customHeight="1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</row>
    <row r="451" spans="1:16" ht="15.75" customHeight="1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</row>
    <row r="452" spans="1:16" ht="15.75" customHeight="1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</row>
    <row r="453" spans="1:16" ht="15.75" customHeight="1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</row>
    <row r="454" spans="1:16" ht="15.75" customHeight="1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</row>
    <row r="455" spans="1:16" ht="15.75" customHeight="1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</row>
    <row r="456" spans="1:16" ht="15.75" customHeight="1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</row>
    <row r="457" spans="1:16" ht="15.75" customHeight="1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</row>
    <row r="458" spans="1:16" ht="15.75" customHeight="1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</row>
    <row r="459" spans="1:16" ht="15.75" customHeight="1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</row>
    <row r="460" spans="1:16" ht="15.75" customHeight="1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</row>
    <row r="461" spans="1:16" ht="15.75" customHeight="1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</row>
    <row r="462" spans="1:16" ht="15.75" customHeight="1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</row>
    <row r="463" spans="1:16" ht="15.75" customHeight="1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</row>
    <row r="464" spans="1:16" ht="15.75" customHeight="1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</row>
    <row r="465" spans="1:16" ht="15.75" customHeight="1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</row>
    <row r="466" spans="1:16" ht="15.75" customHeight="1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</row>
    <row r="467" spans="1:16" ht="15.75" customHeight="1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</row>
    <row r="468" spans="1:16" ht="15.75" customHeight="1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</row>
    <row r="469" spans="1:16" ht="15.75" customHeight="1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</row>
    <row r="470" spans="1:16" ht="15.75" customHeight="1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</row>
    <row r="471" spans="1:16" ht="15.75" customHeight="1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</row>
    <row r="472" spans="1:16" ht="15.75" customHeight="1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</row>
    <row r="473" spans="1:16" ht="15.75" customHeight="1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</row>
    <row r="474" spans="1:16" ht="15.75" customHeight="1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</row>
    <row r="475" spans="1:16" ht="15.75" customHeight="1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</row>
    <row r="476" spans="1:16" ht="15.75" customHeight="1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</row>
    <row r="477" spans="1:16" ht="15.75" customHeight="1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</row>
    <row r="478" spans="1:16" ht="15.75" customHeight="1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</row>
    <row r="479" spans="1:16" ht="15.75" customHeight="1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</row>
    <row r="480" spans="1:16" ht="15.75" customHeight="1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</row>
    <row r="481" spans="1:16" ht="15.75" customHeight="1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</row>
    <row r="482" spans="1:16" ht="15.75" customHeight="1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</row>
    <row r="483" spans="1:16" ht="15.75" customHeight="1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</row>
    <row r="484" spans="1:16" ht="15.75" customHeight="1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</row>
    <row r="485" spans="1:16" ht="15.75" customHeight="1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</row>
    <row r="486" spans="1:16" ht="15.75" customHeight="1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</row>
    <row r="487" spans="1:16" ht="15.75" customHeight="1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</row>
    <row r="488" spans="1:16" ht="15.75" customHeight="1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</row>
    <row r="489" spans="1:16" ht="15.75" customHeight="1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</row>
    <row r="490" spans="1:16" ht="15.75" customHeight="1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</row>
    <row r="491" spans="1:16" ht="15.75" customHeight="1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</row>
    <row r="492" spans="1:16" ht="15.75" customHeight="1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</row>
    <row r="493" spans="1:16" ht="15.75" customHeight="1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</row>
    <row r="494" spans="1:16" ht="15.75" customHeight="1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</row>
    <row r="495" spans="1:16" ht="15.75" customHeight="1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</row>
    <row r="496" spans="1:16" ht="15.75" customHeight="1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</row>
    <row r="497" spans="1:16" ht="15.75" customHeight="1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</row>
    <row r="498" spans="1:16" ht="15.75" customHeight="1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</row>
    <row r="499" spans="1:16" ht="15.75" customHeight="1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</row>
    <row r="500" spans="1:16" ht="15.75" customHeight="1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</row>
    <row r="501" spans="1:16" ht="15.75" customHeight="1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</row>
    <row r="502" spans="1:16" ht="15.75" customHeight="1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</row>
    <row r="503" spans="1:16" ht="15.75" customHeight="1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</row>
    <row r="504" spans="1:16" ht="15.75" customHeight="1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</row>
    <row r="505" spans="1:16" ht="15.75" customHeight="1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</row>
    <row r="506" spans="1:16" ht="15.75" customHeight="1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</row>
    <row r="507" spans="1:16" ht="15.75" customHeight="1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</row>
    <row r="508" spans="1:16" ht="15.75" customHeight="1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</row>
    <row r="509" spans="1:16" ht="15.75" customHeight="1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</row>
    <row r="510" spans="1:16" ht="15.75" customHeight="1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</row>
    <row r="511" spans="1:16" ht="15.75" customHeight="1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</row>
    <row r="512" spans="1:16" ht="15.75" customHeight="1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</row>
    <row r="513" spans="1:16" ht="15.75" customHeight="1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</row>
    <row r="514" spans="1:16" ht="15.75" customHeight="1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</row>
    <row r="515" spans="1:16" ht="15.75" customHeight="1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</row>
    <row r="516" spans="1:16" ht="15.75" customHeight="1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</row>
    <row r="517" spans="1:16" ht="15.75" customHeight="1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</row>
    <row r="518" spans="1:16" ht="15.75" customHeight="1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</row>
    <row r="519" spans="1:16" ht="15.75" customHeight="1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</row>
    <row r="520" spans="1:16" ht="15.75" customHeight="1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</row>
    <row r="521" spans="1:16" ht="15.75" customHeight="1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</row>
    <row r="522" spans="1:16" ht="15.75" customHeight="1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</row>
    <row r="523" spans="1:16" ht="15.75" customHeight="1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</row>
    <row r="524" spans="1:16" ht="15.75" customHeight="1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</row>
    <row r="525" spans="1:16" ht="15.75" customHeight="1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</row>
    <row r="526" spans="1:16" ht="15.75" customHeight="1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</row>
    <row r="527" spans="1:16" ht="15.75" customHeight="1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</row>
    <row r="528" spans="1:16" ht="15.75" customHeight="1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</row>
    <row r="529" spans="1:16" ht="15.75" customHeight="1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</row>
    <row r="530" spans="1:16" ht="15.75" customHeight="1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</row>
    <row r="531" spans="1:16" ht="15.75" customHeight="1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</row>
    <row r="532" spans="1:16" ht="15.75" customHeight="1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</row>
    <row r="533" spans="1:16" ht="15.75" customHeight="1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</row>
    <row r="534" spans="1:16" ht="15.75" customHeight="1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</row>
    <row r="535" spans="1:16" ht="15.75" customHeight="1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</row>
    <row r="536" spans="1:16" ht="15.75" customHeight="1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</row>
    <row r="537" spans="1:16" ht="15.75" customHeight="1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</row>
    <row r="538" spans="1:16" ht="15.75" customHeight="1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</row>
    <row r="539" spans="1:16" ht="15.75" customHeight="1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</row>
    <row r="540" spans="1:16" ht="15.75" customHeight="1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</row>
    <row r="541" spans="1:16" ht="15.75" customHeight="1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</row>
    <row r="542" spans="1:16" ht="15.75" customHeight="1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</row>
    <row r="543" spans="1:16" ht="15.75" customHeight="1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</row>
    <row r="544" spans="1:16" ht="15.75" customHeight="1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</row>
    <row r="545" spans="1:16" ht="15.75" customHeight="1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</row>
    <row r="546" spans="1:16" ht="15.75" customHeight="1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</row>
    <row r="547" spans="1:16" ht="15.75" customHeight="1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</row>
    <row r="548" spans="1:16" ht="15.75" customHeight="1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</row>
    <row r="549" spans="1:16" ht="15.75" customHeight="1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</row>
    <row r="550" spans="1:16" ht="15.75" customHeight="1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</row>
    <row r="551" spans="1:16" ht="15.75" customHeight="1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</row>
    <row r="552" spans="1:16" ht="15.75" customHeight="1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</row>
    <row r="553" spans="1:16" ht="15.75" customHeight="1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</row>
    <row r="554" spans="1:16" ht="15.75" customHeight="1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</row>
    <row r="555" spans="1:16" ht="15.75" customHeight="1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</row>
    <row r="556" spans="1:16" ht="15.75" customHeight="1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</row>
    <row r="557" spans="1:16" ht="15.75" customHeight="1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</row>
    <row r="558" spans="1:16" ht="15.75" customHeight="1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</row>
    <row r="559" spans="1:16" ht="15.75" customHeight="1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</row>
    <row r="560" spans="1:16" ht="15.75" customHeight="1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</row>
    <row r="561" spans="1:16" ht="15.75" customHeight="1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</row>
    <row r="562" spans="1:16" ht="15.75" customHeight="1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</row>
    <row r="563" spans="1:16" ht="15.75" customHeight="1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</row>
    <row r="564" spans="1:16" ht="15.75" customHeight="1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</row>
    <row r="565" spans="1:16" ht="15.75" customHeight="1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</row>
    <row r="566" spans="1:16" ht="15.75" customHeight="1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</row>
    <row r="567" spans="1:16" ht="15.75" customHeight="1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</row>
    <row r="568" spans="1:16" ht="15.75" customHeight="1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</row>
    <row r="569" spans="1:16" ht="15.75" customHeight="1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</row>
    <row r="570" spans="1:16" ht="15.75" customHeight="1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</row>
    <row r="571" spans="1:16" ht="15.75" customHeight="1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</row>
    <row r="572" spans="1:16" ht="15.75" customHeight="1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</row>
    <row r="573" spans="1:16" ht="15.75" customHeight="1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</row>
    <row r="574" spans="1:16" ht="15.75" customHeight="1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</row>
    <row r="575" spans="1:16" ht="15.75" customHeight="1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</row>
    <row r="576" spans="1:16" ht="15.75" customHeight="1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</row>
    <row r="577" spans="1:16" ht="15.75" customHeight="1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</row>
    <row r="578" spans="1:16" ht="15.75" customHeight="1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</row>
    <row r="579" spans="1:16" ht="15.75" customHeight="1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</row>
    <row r="580" spans="1:16" ht="15.75" customHeight="1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</row>
    <row r="581" spans="1:16" ht="15.75" customHeight="1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</row>
    <row r="582" spans="1:16" ht="15.75" customHeight="1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</row>
    <row r="583" spans="1:16" ht="15.75" customHeight="1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</row>
    <row r="584" spans="1:16" ht="15.75" customHeight="1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</row>
    <row r="585" spans="1:16" ht="15.75" customHeight="1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</row>
    <row r="586" spans="1:16" ht="15.75" customHeight="1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</row>
    <row r="587" spans="1:16" ht="15.75" customHeight="1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</row>
    <row r="588" spans="1:16" ht="15.75" customHeight="1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</row>
    <row r="589" spans="1:16" ht="15.75" customHeight="1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</row>
    <row r="590" spans="1:16" ht="15.75" customHeight="1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</row>
    <row r="591" spans="1:16" ht="15.75" customHeight="1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</row>
    <row r="592" spans="1:16" ht="15.75" customHeight="1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</row>
    <row r="593" spans="1:16" ht="15.75" customHeight="1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</row>
    <row r="594" spans="1:16" ht="15.75" customHeight="1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</row>
    <row r="595" spans="1:16" ht="15.75" customHeight="1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</row>
    <row r="596" spans="1:16" ht="15.75" customHeight="1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</row>
    <row r="597" spans="1:16" ht="15.75" customHeight="1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</row>
    <row r="598" spans="1:16" ht="15.75" customHeight="1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</row>
    <row r="599" spans="1:16" ht="15.75" customHeight="1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</row>
    <row r="600" spans="1:16" ht="15.75" customHeight="1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</row>
    <row r="601" spans="1:16" ht="15.75" customHeight="1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</row>
    <row r="602" spans="1:16" ht="15.75" customHeight="1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</row>
    <row r="603" spans="1:16" ht="15.75" customHeight="1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</row>
    <row r="604" spans="1:16" ht="15.75" customHeight="1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</row>
    <row r="605" spans="1:16" ht="15.75" customHeight="1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</row>
    <row r="606" spans="1:16" ht="15.75" customHeight="1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</row>
    <row r="607" spans="1:16" ht="15.75" customHeight="1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</row>
    <row r="608" spans="1:16" ht="15.75" customHeight="1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</row>
    <row r="609" spans="1:16" ht="15.75" customHeight="1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</row>
    <row r="610" spans="1:16" ht="15.75" customHeight="1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</row>
    <row r="611" spans="1:16" ht="15.75" customHeight="1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</row>
    <row r="612" spans="1:16" ht="15.75" customHeight="1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</row>
    <row r="613" spans="1:16" ht="15.75" customHeight="1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</row>
    <row r="614" spans="1:16" ht="15.75" customHeight="1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</row>
    <row r="615" spans="1:16" ht="15.75" customHeight="1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</row>
    <row r="616" spans="1:16" ht="15.75" customHeight="1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</row>
    <row r="617" spans="1:16" ht="15.75" customHeight="1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</row>
    <row r="618" spans="1:16" ht="15.75" customHeight="1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</row>
    <row r="619" spans="1:16" ht="15.75" customHeight="1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</row>
    <row r="620" spans="1:16" ht="15.75" customHeight="1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</row>
    <row r="621" spans="1:16" ht="15.75" customHeight="1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</row>
    <row r="622" spans="1:16" ht="15.75" customHeight="1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</row>
    <row r="623" spans="1:16" ht="15.75" customHeight="1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</row>
    <row r="624" spans="1:16" ht="15.75" customHeight="1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</row>
    <row r="625" spans="1:16" ht="15.75" customHeight="1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</row>
    <row r="626" spans="1:16" ht="15.75" customHeight="1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</row>
    <row r="627" spans="1:16" ht="15.75" customHeight="1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</row>
    <row r="628" spans="1:16" ht="15.75" customHeight="1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</row>
    <row r="629" spans="1:16" ht="15.75" customHeight="1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</row>
    <row r="630" spans="1:16" ht="15.75" customHeight="1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</row>
    <row r="631" spans="1:16" ht="15.75" customHeight="1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</row>
    <row r="632" spans="1:16" ht="15.75" customHeight="1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</row>
    <row r="633" spans="1:16" ht="15.75" customHeight="1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</row>
    <row r="634" spans="1:16" ht="15.75" customHeight="1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</row>
    <row r="635" spans="1:16" ht="15.75" customHeight="1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</row>
    <row r="636" spans="1:16" ht="15.75" customHeight="1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</row>
    <row r="637" spans="1:16" ht="15.75" customHeight="1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</row>
    <row r="638" spans="1:16" ht="15.75" customHeight="1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</row>
    <row r="639" spans="1:16" ht="15.75" customHeight="1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</row>
    <row r="640" spans="1:16" ht="15.75" customHeight="1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</row>
    <row r="641" spans="1:16" ht="15.75" customHeight="1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</row>
    <row r="642" spans="1:16" ht="15.75" customHeight="1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</row>
    <row r="643" spans="1:16" ht="15.75" customHeight="1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</row>
    <row r="644" spans="1:16" ht="15.75" customHeight="1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</row>
    <row r="645" spans="1:16" ht="15.75" customHeight="1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</row>
    <row r="646" spans="1:16" ht="15.75" customHeight="1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</row>
    <row r="647" spans="1:16" ht="15.75" customHeight="1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</row>
    <row r="648" spans="1:16" ht="15.75" customHeight="1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</row>
    <row r="649" spans="1:16" ht="15.75" customHeight="1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</row>
    <row r="650" spans="1:16" ht="15.75" customHeight="1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</row>
    <row r="651" spans="1:16" ht="15.75" customHeight="1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</row>
    <row r="652" spans="1:16" ht="15.75" customHeight="1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</row>
    <row r="653" spans="1:16" ht="15.75" customHeight="1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</row>
    <row r="654" spans="1:16" ht="15.75" customHeight="1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</row>
    <row r="655" spans="1:16" ht="15.75" customHeight="1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</row>
    <row r="656" spans="1:16" ht="15.75" customHeight="1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</row>
    <row r="657" spans="1:16" ht="15.75" customHeight="1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</row>
    <row r="658" spans="1:16" ht="15.75" customHeight="1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</row>
    <row r="659" spans="1:16" ht="15.75" customHeight="1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</row>
    <row r="660" spans="1:16" ht="15.75" customHeight="1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</row>
    <row r="661" spans="1:16" ht="15.75" customHeight="1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</row>
    <row r="662" spans="1:16" ht="15.75" customHeight="1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</row>
    <row r="663" spans="1:16" ht="15.75" customHeight="1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</row>
    <row r="664" spans="1:16" ht="15.75" customHeight="1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</row>
    <row r="665" spans="1:16" ht="15.75" customHeight="1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</row>
    <row r="666" spans="1:16" ht="15.75" customHeight="1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</row>
    <row r="667" spans="1:16" ht="15.75" customHeight="1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</row>
    <row r="668" spans="1:16" ht="15.75" customHeight="1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</row>
    <row r="669" spans="1:16" ht="15.75" customHeight="1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</row>
    <row r="670" spans="1:16" ht="15.75" customHeight="1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</row>
    <row r="671" spans="1:16" ht="15.75" customHeight="1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</row>
    <row r="672" spans="1:16" ht="15.75" customHeight="1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</row>
    <row r="673" spans="1:16" ht="15.75" customHeight="1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</row>
    <row r="674" spans="1:16" ht="15.75" customHeight="1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</row>
    <row r="675" spans="1:16" ht="15.75" customHeight="1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</row>
    <row r="676" spans="1:16" ht="15.75" customHeight="1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</row>
    <row r="677" spans="1:16" ht="15.75" customHeight="1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</row>
    <row r="678" spans="1:16" ht="15.75" customHeight="1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</row>
    <row r="679" spans="1:16" ht="15.75" customHeight="1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</row>
    <row r="680" spans="1:16" ht="15.75" customHeight="1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</row>
    <row r="681" spans="1:16" ht="15.75" customHeight="1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</row>
    <row r="682" spans="1:16" ht="15.75" customHeight="1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</row>
    <row r="683" spans="1:16" ht="15.75" customHeight="1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</row>
    <row r="684" spans="1:16" ht="15.75" customHeight="1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</row>
    <row r="685" spans="1:16" ht="15.75" customHeight="1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</row>
    <row r="686" spans="1:16" ht="15.75" customHeight="1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</row>
    <row r="687" spans="1:16" ht="15.75" customHeight="1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</row>
    <row r="688" spans="1:16" ht="15.75" customHeight="1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</row>
    <row r="689" spans="1:16" ht="15.75" customHeight="1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</row>
    <row r="690" spans="1:16" ht="15.75" customHeight="1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</row>
    <row r="691" spans="1:16" ht="15.75" customHeight="1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</row>
    <row r="692" spans="1:16" ht="15.75" customHeight="1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</row>
    <row r="693" spans="1:16" ht="15.75" customHeight="1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</row>
    <row r="694" spans="1:16" ht="15.75" customHeight="1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</row>
    <row r="695" spans="1:16" ht="15.75" customHeight="1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</row>
    <row r="696" spans="1:16" ht="15.75" customHeight="1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</row>
    <row r="697" spans="1:16" ht="15.75" customHeight="1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</row>
    <row r="698" spans="1:16" ht="15.75" customHeight="1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</row>
    <row r="699" spans="1:16" ht="15.75" customHeight="1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</row>
    <row r="700" spans="1:16" ht="15.75" customHeight="1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</row>
    <row r="701" spans="1:16" ht="15.75" customHeight="1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</row>
    <row r="702" spans="1:16" ht="15.75" customHeight="1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</row>
    <row r="703" spans="1:16" ht="15.75" customHeight="1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</row>
    <row r="704" spans="1:16" ht="15.75" customHeight="1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</row>
    <row r="705" spans="1:16" ht="15.75" customHeight="1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</row>
    <row r="706" spans="1:16" ht="15.75" customHeight="1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</row>
    <row r="707" spans="1:16" ht="15.75" customHeight="1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</row>
    <row r="708" spans="1:16" ht="15.75" customHeight="1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</row>
    <row r="709" spans="1:16" ht="15.75" customHeight="1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</row>
    <row r="710" spans="1:16" ht="15.75" customHeight="1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</row>
    <row r="711" spans="1:16" ht="15.75" customHeight="1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</row>
    <row r="712" spans="1:16" ht="15.75" customHeight="1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</row>
    <row r="713" spans="1:16" ht="15.75" customHeight="1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</row>
    <row r="714" spans="1:16" ht="15.75" customHeight="1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</row>
    <row r="715" spans="1:16" ht="15.75" customHeight="1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</row>
    <row r="716" spans="1:16" ht="15.75" customHeight="1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</row>
    <row r="717" spans="1:16" ht="15.75" customHeight="1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</row>
    <row r="718" spans="1:16" ht="15.75" customHeight="1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</row>
    <row r="719" spans="1:16" ht="15.75" customHeight="1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</row>
    <row r="720" spans="1:16" ht="15.75" customHeight="1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</row>
    <row r="721" spans="1:16" ht="15.75" customHeight="1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</row>
    <row r="722" spans="1:16" ht="15.75" customHeight="1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</row>
    <row r="723" spans="1:16" ht="15.75" customHeight="1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</row>
    <row r="724" spans="1:16" ht="15.75" customHeight="1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</row>
    <row r="725" spans="1:16" ht="15.75" customHeight="1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</row>
    <row r="726" spans="1:16" ht="15.75" customHeight="1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</row>
    <row r="727" spans="1:16" ht="15.75" customHeight="1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</row>
    <row r="728" spans="1:16" ht="15.75" customHeight="1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</row>
    <row r="729" spans="1:16" ht="15.75" customHeight="1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</row>
    <row r="730" spans="1:16" ht="15.75" customHeight="1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</row>
    <row r="731" spans="1:16" ht="15.75" customHeight="1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</row>
    <row r="732" spans="1:16" ht="15.75" customHeight="1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</row>
    <row r="733" spans="1:16" ht="15.75" customHeight="1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</row>
    <row r="734" spans="1:16" ht="15.75" customHeight="1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</row>
    <row r="735" spans="1:16" ht="15.75" customHeight="1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</row>
    <row r="736" spans="1:16" ht="15.75" customHeight="1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</row>
    <row r="737" spans="1:16" ht="15.75" customHeight="1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</row>
    <row r="738" spans="1:16" ht="15.75" customHeight="1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</row>
    <row r="739" spans="1:16" ht="15.75" customHeight="1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</row>
    <row r="740" spans="1:16" ht="15.75" customHeight="1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</row>
    <row r="741" spans="1:16" ht="15.75" customHeight="1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</row>
    <row r="742" spans="1:16" ht="15.75" customHeight="1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</row>
    <row r="743" spans="1:16" ht="15.75" customHeight="1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</row>
    <row r="744" spans="1:16" ht="15.75" customHeight="1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</row>
    <row r="745" spans="1:16" ht="15.75" customHeight="1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</row>
    <row r="746" spans="1:16" ht="15.75" customHeight="1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</row>
    <row r="747" spans="1:16" ht="15.75" customHeight="1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</row>
    <row r="748" spans="1:16" ht="15.75" customHeight="1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</row>
    <row r="749" spans="1:16" ht="15.75" customHeight="1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</row>
    <row r="750" spans="1:16" ht="15.75" customHeight="1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</row>
    <row r="751" spans="1:16" ht="15.75" customHeight="1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</row>
    <row r="752" spans="1:16" ht="15.75" customHeight="1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</row>
    <row r="753" spans="1:16" ht="15.75" customHeight="1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</row>
    <row r="754" spans="1:16" ht="15.75" customHeight="1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</row>
    <row r="755" spans="1:16" ht="15.75" customHeight="1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</row>
    <row r="756" spans="1:16" ht="15.75" customHeight="1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</row>
    <row r="757" spans="1:16" ht="15.75" customHeight="1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</row>
    <row r="758" spans="1:16" ht="15.75" customHeight="1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</row>
    <row r="759" spans="1:16" ht="15.75" customHeight="1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</row>
    <row r="760" spans="1:16" ht="15.75" customHeight="1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</row>
    <row r="761" spans="1:16" ht="15.75" customHeight="1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</row>
    <row r="762" spans="1:16" ht="15.75" customHeight="1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</row>
    <row r="763" spans="1:16" ht="15.75" customHeight="1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</row>
    <row r="764" spans="1:16" ht="15.75" customHeight="1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</row>
    <row r="765" spans="1:16" ht="15.75" customHeight="1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</row>
    <row r="766" spans="1:16" ht="15.75" customHeight="1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</row>
    <row r="767" spans="1:16" ht="15.75" customHeight="1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</row>
    <row r="768" spans="1:16" ht="15.75" customHeight="1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</row>
    <row r="769" spans="1:16" ht="15.75" customHeight="1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</row>
    <row r="770" spans="1:16" ht="15.75" customHeight="1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</row>
    <row r="771" spans="1:16" ht="15.75" customHeight="1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</row>
    <row r="772" spans="1:16" ht="15.75" customHeight="1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</row>
    <row r="773" spans="1:16" ht="15.75" customHeight="1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</row>
    <row r="774" spans="1:16" ht="15.75" customHeight="1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</row>
    <row r="775" spans="1:16" ht="15.75" customHeight="1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</row>
    <row r="776" spans="1:16" ht="15.75" customHeight="1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</row>
    <row r="777" spans="1:16" ht="15.75" customHeight="1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</row>
    <row r="778" spans="1:16" ht="15.75" customHeight="1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</row>
    <row r="779" spans="1:16" ht="15.75" customHeight="1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</row>
    <row r="780" spans="1:16" ht="15.75" customHeight="1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</row>
    <row r="781" spans="1:16" ht="15.75" customHeight="1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</row>
    <row r="782" spans="1:16" ht="15.75" customHeight="1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</row>
    <row r="783" spans="1:16" ht="15.75" customHeight="1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</row>
    <row r="784" spans="1:16" ht="15.75" customHeight="1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</row>
    <row r="785" spans="1:16" ht="15.75" customHeight="1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</row>
    <row r="786" spans="1:16" ht="15.75" customHeight="1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</row>
    <row r="787" spans="1:16" ht="15.75" customHeight="1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</row>
    <row r="788" spans="1:16" ht="15.75" customHeight="1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</row>
    <row r="789" spans="1:16" ht="15.75" customHeight="1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</row>
    <row r="790" spans="1:16" ht="15.75" customHeight="1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</row>
    <row r="791" spans="1:16" ht="15.75" customHeight="1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</row>
    <row r="792" spans="1:16" ht="15.75" customHeight="1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</row>
    <row r="793" spans="1:16" ht="15.75" customHeight="1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</row>
    <row r="794" spans="1:16" ht="15.75" customHeight="1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</row>
    <row r="795" spans="1:16" ht="15.75" customHeight="1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</row>
    <row r="796" spans="1:16" ht="15.75" customHeight="1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</row>
    <row r="797" spans="1:16" ht="15.75" customHeight="1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</row>
    <row r="798" spans="1:16" ht="15.75" customHeight="1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</row>
    <row r="799" spans="1:16" ht="15.75" customHeight="1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</row>
    <row r="800" spans="1:16" ht="15.75" customHeight="1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</row>
    <row r="801" spans="1:16" ht="15.75" customHeight="1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</row>
    <row r="802" spans="1:16" ht="15.75" customHeight="1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</row>
    <row r="803" spans="1:16" ht="15.75" customHeight="1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</row>
    <row r="804" spans="1:16" ht="15.75" customHeight="1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</row>
    <row r="805" spans="1:16" ht="15.75" customHeight="1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</row>
    <row r="806" spans="1:16" ht="15.75" customHeight="1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</row>
    <row r="807" spans="1:16" ht="15.75" customHeight="1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</row>
    <row r="808" spans="1:16" ht="15.75" customHeight="1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</row>
    <row r="809" spans="1:16" ht="15.75" customHeight="1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</row>
    <row r="810" spans="1:16" ht="15.75" customHeight="1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</row>
    <row r="811" spans="1:16" ht="15.75" customHeight="1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</row>
    <row r="812" spans="1:16" ht="15.75" customHeight="1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</row>
    <row r="813" spans="1:16" ht="15.75" customHeight="1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</row>
    <row r="814" spans="1:16" ht="15.75" customHeight="1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</row>
    <row r="815" spans="1:16" ht="15.75" customHeight="1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</row>
    <row r="816" spans="1:16" ht="15.75" customHeight="1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</row>
    <row r="817" spans="1:16" ht="15.75" customHeight="1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</row>
    <row r="818" spans="1:16" ht="15.75" customHeight="1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</row>
    <row r="819" spans="1:16" ht="15.75" customHeight="1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</row>
    <row r="820" spans="1:16" ht="15.75" customHeight="1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</row>
    <row r="821" spans="1:16" ht="15.75" customHeight="1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</row>
    <row r="822" spans="1:16" ht="15.75" customHeight="1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</row>
    <row r="823" spans="1:16" ht="15.75" customHeight="1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</row>
    <row r="824" spans="1:16" ht="15.75" customHeight="1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</row>
    <row r="825" spans="1:16" ht="15.75" customHeight="1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</row>
    <row r="826" spans="1:16" ht="15.75" customHeight="1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</row>
    <row r="827" spans="1:16" ht="15.75" customHeight="1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</row>
    <row r="828" spans="1:16" ht="15.75" customHeight="1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</row>
    <row r="829" spans="1:16" ht="15.75" customHeight="1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</row>
    <row r="830" spans="1:16" ht="15.75" customHeight="1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</row>
    <row r="831" spans="1:16" ht="15.75" customHeight="1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</row>
    <row r="832" spans="1:16" ht="15.75" customHeight="1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</row>
    <row r="833" spans="1:16" ht="15.75" customHeight="1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</row>
    <row r="834" spans="1:16" ht="15.75" customHeight="1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</row>
    <row r="835" spans="1:16" ht="15.75" customHeight="1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</row>
    <row r="836" spans="1:16" ht="15.75" customHeight="1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</row>
    <row r="837" spans="1:16" ht="15.75" customHeight="1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</row>
    <row r="838" spans="1:16" ht="15.75" customHeight="1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</row>
    <row r="839" spans="1:16" ht="15.75" customHeight="1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</row>
    <row r="840" spans="1:16" ht="15.75" customHeight="1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</row>
    <row r="841" spans="1:16" ht="15.75" customHeight="1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</row>
    <row r="842" spans="1:16" ht="15.75" customHeight="1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</row>
    <row r="843" spans="1:16" ht="15.75" customHeight="1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</row>
    <row r="844" spans="1:16" ht="15.75" customHeight="1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</row>
    <row r="845" spans="1:16" ht="15.75" customHeight="1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</row>
    <row r="846" spans="1:16" ht="15.75" customHeight="1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</row>
    <row r="847" spans="1:16" ht="15.75" customHeight="1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</row>
    <row r="848" spans="1:16" ht="15.75" customHeight="1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</row>
    <row r="849" spans="1:16" ht="15.75" customHeight="1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</row>
    <row r="850" spans="1:16" ht="15.75" customHeight="1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</row>
    <row r="851" spans="1:16" ht="15.75" customHeight="1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</row>
    <row r="852" spans="1:16" ht="15.75" customHeight="1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</row>
    <row r="853" spans="1:16" ht="15.75" customHeight="1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</row>
    <row r="854" spans="1:16" ht="15.75" customHeight="1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</row>
    <row r="855" spans="1:16" ht="15.75" customHeight="1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</row>
    <row r="856" spans="1:16" ht="15.75" customHeight="1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</row>
    <row r="857" spans="1:16" ht="15.75" customHeight="1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</row>
    <row r="858" spans="1:16" ht="15.75" customHeight="1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</row>
    <row r="859" spans="1:16" ht="15.75" customHeight="1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</row>
    <row r="860" spans="1:16" ht="15.75" customHeight="1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</row>
    <row r="861" spans="1:16" ht="15.75" customHeight="1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</row>
    <row r="862" spans="1:16" ht="15.75" customHeight="1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</row>
    <row r="863" spans="1:16" ht="15.75" customHeight="1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</row>
    <row r="864" spans="1:16" ht="15.75" customHeight="1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</row>
    <row r="865" spans="1:16" ht="15.75" customHeight="1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</row>
    <row r="866" spans="1:16" ht="15.75" customHeight="1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</row>
    <row r="867" spans="1:16" ht="15.75" customHeight="1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</row>
    <row r="868" spans="1:16" ht="15.75" customHeight="1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</row>
    <row r="869" spans="1:16" ht="15.75" customHeight="1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</row>
    <row r="870" spans="1:16" ht="15.75" customHeight="1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</row>
    <row r="871" spans="1:16" ht="15.75" customHeight="1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</row>
    <row r="872" spans="1:16" ht="15.75" customHeight="1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</row>
    <row r="873" spans="1:16" ht="15.75" customHeight="1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</row>
    <row r="874" spans="1:16" ht="15.75" customHeight="1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</row>
    <row r="875" spans="1:16" ht="15.75" customHeight="1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</row>
    <row r="876" spans="1:16" ht="15.75" customHeight="1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</row>
    <row r="877" spans="1:16" ht="15.75" customHeight="1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</row>
    <row r="878" spans="1:16" ht="15.75" customHeight="1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</row>
    <row r="879" spans="1:16" ht="15.75" customHeight="1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</row>
    <row r="880" spans="1:16" ht="15.75" customHeight="1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</row>
    <row r="881" spans="1:16" ht="15.75" customHeight="1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</row>
    <row r="882" spans="1:16" ht="15.75" customHeight="1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</row>
    <row r="883" spans="1:16" ht="15.75" customHeight="1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</row>
    <row r="884" spans="1:16" ht="15.75" customHeight="1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</row>
    <row r="885" spans="1:16" ht="15.75" customHeight="1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</row>
    <row r="886" spans="1:16" ht="15.75" customHeight="1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</row>
    <row r="887" spans="1:16" ht="15.75" customHeight="1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</row>
    <row r="888" spans="1:16" ht="15.75" customHeight="1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</row>
    <row r="889" spans="1:16" ht="15.75" customHeight="1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</row>
    <row r="890" spans="1:16" ht="15.75" customHeight="1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</row>
    <row r="891" spans="1:16" ht="15.75" customHeight="1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</row>
    <row r="892" spans="1:16" ht="15.75" customHeight="1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</row>
    <row r="893" spans="1:16" ht="15.75" customHeight="1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</row>
    <row r="894" spans="1:16" ht="15.75" customHeight="1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</row>
    <row r="895" spans="1:16" ht="15.75" customHeight="1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</row>
    <row r="896" spans="1:16" ht="15.75" customHeight="1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</row>
    <row r="897" spans="1:16" ht="15.75" customHeight="1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</row>
    <row r="898" spans="1:16" ht="15.75" customHeight="1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</row>
    <row r="899" spans="1:16" ht="15.75" customHeight="1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</row>
    <row r="900" spans="1:16" ht="15.75" customHeight="1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</row>
    <row r="901" spans="1:16" ht="15.75" customHeight="1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</row>
    <row r="902" spans="1:16" ht="15.75" customHeight="1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</row>
    <row r="903" spans="1:16" ht="15.75" customHeight="1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</row>
    <row r="904" spans="1:16" ht="15.75" customHeight="1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</row>
    <row r="905" spans="1:16" ht="15.75" customHeight="1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</row>
    <row r="906" spans="1:16" ht="15.75" customHeight="1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</row>
    <row r="907" spans="1:16" ht="15.75" customHeight="1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</row>
    <row r="908" spans="1:16" ht="15.75" customHeight="1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</row>
    <row r="909" spans="1:16" ht="15.75" customHeight="1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</row>
    <row r="910" spans="1:16" ht="15.75" customHeight="1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</row>
    <row r="911" spans="1:16" ht="15.75" customHeight="1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</row>
    <row r="912" spans="1:16" ht="15.75" customHeight="1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</row>
    <row r="913" spans="1:16" ht="15.75" customHeight="1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</row>
    <row r="914" spans="1:16" ht="15.75" customHeight="1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</row>
    <row r="915" spans="1:16" ht="15.75" customHeight="1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</row>
    <row r="916" spans="1:16" ht="15.75" customHeight="1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</row>
    <row r="917" spans="1:16" ht="15.75" customHeight="1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</row>
    <row r="918" spans="1:16" ht="15.75" customHeight="1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</row>
    <row r="919" spans="1:16" ht="15.75" customHeight="1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</row>
    <row r="920" spans="1:16" ht="15.75" customHeight="1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</row>
    <row r="921" spans="1:16" ht="15.75" customHeight="1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</row>
    <row r="922" spans="1:16" ht="15.75" customHeight="1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</row>
    <row r="923" spans="1:16" ht="15.75" customHeight="1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</row>
    <row r="924" spans="1:16" ht="15.75" customHeight="1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</row>
    <row r="925" spans="1:16" ht="15.75" customHeight="1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</row>
    <row r="926" spans="1:16" ht="15.75" customHeight="1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</row>
    <row r="927" spans="1:16" ht="15.75" customHeight="1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</row>
    <row r="928" spans="1:16" ht="15.75" customHeight="1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</row>
    <row r="929" spans="1:16" ht="15.75" customHeight="1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</row>
    <row r="930" spans="1:16" ht="15.75" customHeight="1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</row>
    <row r="931" spans="1:16" ht="15.75" customHeight="1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</row>
    <row r="932" spans="1:16" ht="15.75" customHeight="1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</row>
    <row r="933" spans="1:16" ht="15.75" customHeight="1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</row>
    <row r="934" spans="1:16" ht="15.75" customHeight="1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</row>
    <row r="935" spans="1:16" ht="15.75" customHeight="1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</row>
    <row r="936" spans="1:16" ht="15.75" customHeight="1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</row>
    <row r="937" spans="1:16" ht="15.75" customHeight="1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</row>
    <row r="938" spans="1:16" ht="15.75" customHeight="1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</row>
    <row r="939" spans="1:16" ht="15.75" customHeight="1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</row>
    <row r="940" spans="1:16" ht="15.75" customHeight="1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</row>
    <row r="941" spans="1:16" ht="15.75" customHeight="1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</row>
    <row r="942" spans="1:16" ht="15.75" customHeight="1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</row>
    <row r="943" spans="1:16" ht="15.75" customHeight="1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</row>
    <row r="944" spans="1:16" ht="15.75" customHeight="1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</row>
    <row r="945" spans="1:16" ht="15.75" customHeight="1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</row>
    <row r="946" spans="1:16" ht="15.75" customHeight="1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</row>
    <row r="947" spans="1:16" ht="15.75" customHeight="1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</row>
    <row r="948" spans="1:16" ht="15.75" customHeight="1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</row>
    <row r="949" spans="1:16" ht="15.75" customHeight="1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</row>
    <row r="950" spans="1:16" ht="15.75" customHeight="1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</row>
    <row r="951" spans="1:16" ht="15.75" customHeight="1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</row>
    <row r="952" spans="1:16" ht="15.75" customHeight="1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</row>
    <row r="953" spans="1:16" ht="15.75" customHeight="1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</row>
    <row r="954" spans="1:16" ht="15.75" customHeight="1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</row>
    <row r="955" spans="1:16" ht="15.75" customHeight="1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</row>
    <row r="956" spans="1:16" ht="15.75" customHeight="1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</row>
    <row r="957" spans="1:16" ht="15.75" customHeight="1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</row>
    <row r="958" spans="1:16" ht="15.75" customHeight="1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</row>
    <row r="959" spans="1:16" ht="15.75" customHeight="1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</row>
    <row r="960" spans="1:16" ht="15.75" customHeight="1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</row>
    <row r="961" spans="1:16" ht="15.75" customHeight="1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</row>
    <row r="962" spans="1:16" ht="15.75" customHeight="1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</row>
    <row r="963" spans="1:16" ht="15.75" customHeight="1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</row>
  </sheetData>
  <mergeCells count="4">
    <mergeCell ref="A1:D1"/>
    <mergeCell ref="A2:D2"/>
    <mergeCell ref="A13:D13"/>
    <mergeCell ref="A14:D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61"/>
  <sheetViews>
    <sheetView topLeftCell="A22" workbookViewId="0">
      <selection activeCell="M18" sqref="M18"/>
    </sheetView>
  </sheetViews>
  <sheetFormatPr defaultRowHeight="14.4" x14ac:dyDescent="0.3"/>
  <cols>
    <col min="1" max="1" width="20.33203125" customWidth="1"/>
    <col min="2" max="2" width="27" customWidth="1"/>
    <col min="3" max="3" width="81.109375" bestFit="1" customWidth="1"/>
    <col min="4" max="4" width="16.109375" customWidth="1"/>
  </cols>
  <sheetData>
    <row r="1" spans="1:7" x14ac:dyDescent="0.3">
      <c r="A1" s="245" t="s">
        <v>229</v>
      </c>
      <c r="B1" s="246"/>
      <c r="C1" s="246"/>
      <c r="D1" s="246"/>
    </row>
    <row r="2" spans="1:7" x14ac:dyDescent="0.3">
      <c r="A2" s="71" t="s">
        <v>230</v>
      </c>
      <c r="B2" s="71" t="s">
        <v>60</v>
      </c>
      <c r="C2" s="71" t="s">
        <v>231</v>
      </c>
      <c r="D2" s="71" t="s">
        <v>232</v>
      </c>
      <c r="F2" s="71" t="s">
        <v>16</v>
      </c>
      <c r="G2" s="71" t="s">
        <v>233</v>
      </c>
    </row>
    <row r="3" spans="1:7" x14ac:dyDescent="0.3">
      <c r="A3" t="s">
        <v>296</v>
      </c>
      <c r="B3" t="s">
        <v>297</v>
      </c>
      <c r="C3" t="s">
        <v>298</v>
      </c>
      <c r="D3" s="115">
        <v>848</v>
      </c>
      <c r="F3" s="73" t="s">
        <v>49</v>
      </c>
      <c r="G3" s="73" t="s">
        <v>235</v>
      </c>
    </row>
    <row r="4" spans="1:7" x14ac:dyDescent="0.3">
      <c r="A4" t="s">
        <v>299</v>
      </c>
      <c r="B4" t="s">
        <v>297</v>
      </c>
      <c r="C4" t="s">
        <v>300</v>
      </c>
      <c r="D4" s="115">
        <v>4101</v>
      </c>
      <c r="F4" s="73" t="s">
        <v>49</v>
      </c>
      <c r="G4" s="73" t="s">
        <v>237</v>
      </c>
    </row>
    <row r="5" spans="1:7" x14ac:dyDescent="0.3">
      <c r="A5" t="s">
        <v>301</v>
      </c>
      <c r="B5" t="s">
        <v>297</v>
      </c>
      <c r="C5" t="s">
        <v>388</v>
      </c>
      <c r="D5" s="115">
        <v>2008</v>
      </c>
      <c r="F5" s="73" t="s">
        <v>49</v>
      </c>
      <c r="G5" s="73" t="s">
        <v>236</v>
      </c>
    </row>
    <row r="6" spans="1:7" x14ac:dyDescent="0.3">
      <c r="A6" t="s">
        <v>302</v>
      </c>
      <c r="B6" t="s">
        <v>297</v>
      </c>
      <c r="C6" t="s">
        <v>303</v>
      </c>
      <c r="D6" s="115">
        <v>2721</v>
      </c>
      <c r="F6" s="73" t="s">
        <v>49</v>
      </c>
      <c r="G6" s="73" t="s">
        <v>237</v>
      </c>
    </row>
    <row r="7" spans="1:7" x14ac:dyDescent="0.3">
      <c r="A7" t="s">
        <v>304</v>
      </c>
      <c r="B7" t="s">
        <v>297</v>
      </c>
      <c r="C7" t="s">
        <v>305</v>
      </c>
      <c r="D7" s="115">
        <v>721</v>
      </c>
      <c r="F7" s="73" t="s">
        <v>49</v>
      </c>
      <c r="G7" s="73" t="s">
        <v>236</v>
      </c>
    </row>
    <row r="8" spans="1:7" x14ac:dyDescent="0.3">
      <c r="A8" t="s">
        <v>306</v>
      </c>
      <c r="B8" t="s">
        <v>297</v>
      </c>
      <c r="C8" t="s">
        <v>307</v>
      </c>
      <c r="D8" s="115">
        <v>203</v>
      </c>
      <c r="F8" s="73" t="s">
        <v>49</v>
      </c>
      <c r="G8" s="73" t="s">
        <v>237</v>
      </c>
    </row>
    <row r="9" spans="1:7" x14ac:dyDescent="0.3">
      <c r="A9" t="s">
        <v>308</v>
      </c>
      <c r="B9" t="s">
        <v>297</v>
      </c>
      <c r="C9" t="s">
        <v>309</v>
      </c>
      <c r="D9" s="115">
        <v>10372</v>
      </c>
      <c r="F9" s="73" t="s">
        <v>49</v>
      </c>
      <c r="G9" s="73" t="s">
        <v>238</v>
      </c>
    </row>
    <row r="10" spans="1:7" x14ac:dyDescent="0.3">
      <c r="A10" t="s">
        <v>310</v>
      </c>
      <c r="B10" t="s">
        <v>297</v>
      </c>
      <c r="C10" t="s">
        <v>311</v>
      </c>
      <c r="D10" s="115">
        <v>720</v>
      </c>
      <c r="F10" s="73" t="s">
        <v>49</v>
      </c>
      <c r="G10" s="73" t="s">
        <v>237</v>
      </c>
    </row>
    <row r="11" spans="1:7" x14ac:dyDescent="0.3">
      <c r="A11" t="s">
        <v>312</v>
      </c>
      <c r="B11" t="s">
        <v>297</v>
      </c>
      <c r="C11" t="s">
        <v>313</v>
      </c>
      <c r="D11" s="115">
        <v>69</v>
      </c>
      <c r="F11" s="73" t="s">
        <v>49</v>
      </c>
      <c r="G11" s="73" t="s">
        <v>235</v>
      </c>
    </row>
    <row r="12" spans="1:7" x14ac:dyDescent="0.3">
      <c r="A12" t="s">
        <v>314</v>
      </c>
      <c r="B12" t="s">
        <v>315</v>
      </c>
      <c r="C12" t="s">
        <v>316</v>
      </c>
      <c r="D12" s="115">
        <v>30</v>
      </c>
      <c r="F12" s="73" t="s">
        <v>49</v>
      </c>
      <c r="G12" s="73" t="s">
        <v>387</v>
      </c>
    </row>
    <row r="13" spans="1:7" x14ac:dyDescent="0.3">
      <c r="A13" t="s">
        <v>317</v>
      </c>
      <c r="B13" t="s">
        <v>315</v>
      </c>
      <c r="C13" t="s">
        <v>318</v>
      </c>
      <c r="D13" s="115">
        <v>275</v>
      </c>
      <c r="F13" s="73" t="s">
        <v>49</v>
      </c>
      <c r="G13" s="73" t="s">
        <v>239</v>
      </c>
    </row>
    <row r="14" spans="1:7" x14ac:dyDescent="0.3">
      <c r="A14" t="s">
        <v>319</v>
      </c>
      <c r="B14" t="s">
        <v>315</v>
      </c>
      <c r="C14" t="s">
        <v>320</v>
      </c>
      <c r="D14" s="115">
        <v>1421</v>
      </c>
      <c r="F14" s="73" t="s">
        <v>49</v>
      </c>
      <c r="G14" s="73" t="s">
        <v>237</v>
      </c>
    </row>
    <row r="15" spans="1:7" x14ac:dyDescent="0.3">
      <c r="A15" t="s">
        <v>321</v>
      </c>
      <c r="B15" t="s">
        <v>315</v>
      </c>
      <c r="C15" t="s">
        <v>322</v>
      </c>
      <c r="D15" s="115">
        <v>208</v>
      </c>
      <c r="F15" s="73" t="s">
        <v>49</v>
      </c>
      <c r="G15" s="73" t="s">
        <v>235</v>
      </c>
    </row>
    <row r="16" spans="1:7" x14ac:dyDescent="0.3">
      <c r="A16" t="s">
        <v>323</v>
      </c>
      <c r="B16" t="s">
        <v>315</v>
      </c>
      <c r="C16" t="s">
        <v>390</v>
      </c>
      <c r="D16" s="115">
        <v>773</v>
      </c>
      <c r="F16" s="73" t="s">
        <v>49</v>
      </c>
      <c r="G16" s="73" t="s">
        <v>236</v>
      </c>
    </row>
    <row r="17" spans="1:7" x14ac:dyDescent="0.3">
      <c r="A17" t="s">
        <v>324</v>
      </c>
      <c r="B17" t="s">
        <v>325</v>
      </c>
      <c r="C17" t="s">
        <v>326</v>
      </c>
      <c r="D17" s="72">
        <v>228</v>
      </c>
      <c r="F17" s="73" t="s">
        <v>29</v>
      </c>
      <c r="G17" s="73" t="s">
        <v>387</v>
      </c>
    </row>
    <row r="18" spans="1:7" x14ac:dyDescent="0.3">
      <c r="A18" t="s">
        <v>327</v>
      </c>
      <c r="B18" t="s">
        <v>328</v>
      </c>
      <c r="C18" t="s">
        <v>329</v>
      </c>
      <c r="D18" s="115">
        <v>31</v>
      </c>
      <c r="F18" s="73" t="s">
        <v>49</v>
      </c>
      <c r="G18" s="73" t="s">
        <v>387</v>
      </c>
    </row>
    <row r="19" spans="1:7" x14ac:dyDescent="0.3">
      <c r="A19" t="s">
        <v>330</v>
      </c>
      <c r="B19" t="s">
        <v>331</v>
      </c>
      <c r="C19" t="s">
        <v>329</v>
      </c>
      <c r="D19" s="115">
        <v>30</v>
      </c>
      <c r="F19" s="73" t="s">
        <v>49</v>
      </c>
      <c r="G19" s="73" t="s">
        <v>387</v>
      </c>
    </row>
    <row r="20" spans="1:7" x14ac:dyDescent="0.3">
      <c r="A20" t="s">
        <v>332</v>
      </c>
      <c r="B20" t="s">
        <v>333</v>
      </c>
      <c r="C20" t="s">
        <v>334</v>
      </c>
      <c r="D20" s="115">
        <v>7976</v>
      </c>
      <c r="F20" s="73" t="s">
        <v>49</v>
      </c>
      <c r="G20" s="73" t="s">
        <v>237</v>
      </c>
    </row>
    <row r="21" spans="1:7" x14ac:dyDescent="0.3">
      <c r="A21" t="s">
        <v>335</v>
      </c>
      <c r="B21" t="s">
        <v>336</v>
      </c>
      <c r="C21" t="s">
        <v>337</v>
      </c>
      <c r="D21" s="72">
        <v>371</v>
      </c>
      <c r="F21" s="73" t="s">
        <v>29</v>
      </c>
      <c r="G21" s="73" t="s">
        <v>235</v>
      </c>
    </row>
    <row r="22" spans="1:7" x14ac:dyDescent="0.3">
      <c r="A22" t="s">
        <v>338</v>
      </c>
      <c r="B22" t="s">
        <v>336</v>
      </c>
      <c r="C22" t="s">
        <v>339</v>
      </c>
      <c r="D22" s="72">
        <v>428</v>
      </c>
      <c r="F22" s="73" t="s">
        <v>29</v>
      </c>
      <c r="G22" s="73" t="s">
        <v>235</v>
      </c>
    </row>
    <row r="23" spans="1:7" x14ac:dyDescent="0.3">
      <c r="A23" t="s">
        <v>340</v>
      </c>
      <c r="B23" t="s">
        <v>336</v>
      </c>
      <c r="C23" t="s">
        <v>341</v>
      </c>
      <c r="D23" s="116">
        <v>4613</v>
      </c>
      <c r="F23" s="73" t="s">
        <v>29</v>
      </c>
      <c r="G23" s="73" t="s">
        <v>235</v>
      </c>
    </row>
    <row r="24" spans="1:7" x14ac:dyDescent="0.3">
      <c r="A24" t="s">
        <v>342</v>
      </c>
      <c r="B24" t="s">
        <v>343</v>
      </c>
      <c r="C24" t="s">
        <v>344</v>
      </c>
      <c r="D24" s="72">
        <v>330</v>
      </c>
      <c r="F24" s="73" t="s">
        <v>29</v>
      </c>
      <c r="G24" s="73" t="s">
        <v>235</v>
      </c>
    </row>
    <row r="25" spans="1:7" x14ac:dyDescent="0.3">
      <c r="A25" t="s">
        <v>345</v>
      </c>
      <c r="B25" t="s">
        <v>346</v>
      </c>
      <c r="C25" t="s">
        <v>347</v>
      </c>
      <c r="D25" s="72">
        <v>364</v>
      </c>
      <c r="F25" s="73" t="s">
        <v>29</v>
      </c>
      <c r="G25" s="73" t="s">
        <v>235</v>
      </c>
    </row>
    <row r="26" spans="1:7" x14ac:dyDescent="0.3">
      <c r="A26" t="s">
        <v>348</v>
      </c>
      <c r="B26" t="s">
        <v>349</v>
      </c>
      <c r="C26" t="s">
        <v>350</v>
      </c>
      <c r="D26" s="72">
        <v>15</v>
      </c>
      <c r="F26" s="73" t="s">
        <v>29</v>
      </c>
      <c r="G26" s="73" t="s">
        <v>235</v>
      </c>
    </row>
    <row r="27" spans="1:7" x14ac:dyDescent="0.3">
      <c r="A27" t="s">
        <v>351</v>
      </c>
      <c r="B27" t="s">
        <v>349</v>
      </c>
      <c r="C27" t="s">
        <v>352</v>
      </c>
      <c r="D27" s="72">
        <v>191</v>
      </c>
      <c r="F27" s="73" t="s">
        <v>29</v>
      </c>
      <c r="G27" s="73" t="s">
        <v>235</v>
      </c>
    </row>
    <row r="28" spans="1:7" x14ac:dyDescent="0.3">
      <c r="A28" t="s">
        <v>353</v>
      </c>
      <c r="B28" t="s">
        <v>349</v>
      </c>
      <c r="C28" t="s">
        <v>354</v>
      </c>
      <c r="D28" s="72">
        <v>2</v>
      </c>
      <c r="F28" s="73" t="s">
        <v>29</v>
      </c>
      <c r="G28" s="73" t="s">
        <v>235</v>
      </c>
    </row>
    <row r="29" spans="1:7" x14ac:dyDescent="0.3">
      <c r="A29" t="s">
        <v>355</v>
      </c>
      <c r="B29" t="s">
        <v>349</v>
      </c>
      <c r="C29" t="s">
        <v>356</v>
      </c>
      <c r="D29" s="72">
        <v>8</v>
      </c>
      <c r="F29" s="73" t="s">
        <v>29</v>
      </c>
      <c r="G29" s="73" t="s">
        <v>235</v>
      </c>
    </row>
    <row r="30" spans="1:7" x14ac:dyDescent="0.3">
      <c r="A30" t="s">
        <v>357</v>
      </c>
      <c r="B30" t="s">
        <v>349</v>
      </c>
      <c r="C30" t="s">
        <v>358</v>
      </c>
      <c r="D30" s="115">
        <v>31</v>
      </c>
      <c r="F30" s="73" t="s">
        <v>49</v>
      </c>
      <c r="G30" s="73" t="s">
        <v>387</v>
      </c>
    </row>
    <row r="31" spans="1:7" x14ac:dyDescent="0.3">
      <c r="A31" t="s">
        <v>359</v>
      </c>
      <c r="B31" t="s">
        <v>349</v>
      </c>
      <c r="C31" t="s">
        <v>360</v>
      </c>
      <c r="D31" s="72">
        <v>17</v>
      </c>
      <c r="F31" s="73" t="s">
        <v>29</v>
      </c>
      <c r="G31" s="73" t="s">
        <v>235</v>
      </c>
    </row>
    <row r="32" spans="1:7" x14ac:dyDescent="0.3">
      <c r="A32" t="s">
        <v>361</v>
      </c>
      <c r="B32" t="s">
        <v>349</v>
      </c>
      <c r="C32" t="s">
        <v>362</v>
      </c>
      <c r="D32" s="72">
        <v>261</v>
      </c>
      <c r="F32" s="73" t="s">
        <v>29</v>
      </c>
      <c r="G32" s="73" t="s">
        <v>387</v>
      </c>
    </row>
    <row r="33" spans="1:23" x14ac:dyDescent="0.3">
      <c r="A33" t="s">
        <v>363</v>
      </c>
      <c r="B33" t="s">
        <v>349</v>
      </c>
      <c r="C33" t="s">
        <v>364</v>
      </c>
      <c r="D33" s="115">
        <v>817</v>
      </c>
      <c r="F33" s="73" t="s">
        <v>49</v>
      </c>
      <c r="G33" s="73" t="s">
        <v>239</v>
      </c>
    </row>
    <row r="34" spans="1:23" x14ac:dyDescent="0.3">
      <c r="A34" t="s">
        <v>365</v>
      </c>
      <c r="B34" t="s">
        <v>349</v>
      </c>
      <c r="C34" t="s">
        <v>366</v>
      </c>
      <c r="D34" s="115">
        <v>4205</v>
      </c>
      <c r="F34" s="73" t="s">
        <v>49</v>
      </c>
      <c r="G34" s="73" t="s">
        <v>237</v>
      </c>
    </row>
    <row r="35" spans="1:23" x14ac:dyDescent="0.3">
      <c r="A35" t="s">
        <v>367</v>
      </c>
      <c r="B35" t="s">
        <v>349</v>
      </c>
      <c r="C35" t="s">
        <v>368</v>
      </c>
      <c r="D35" s="115">
        <v>620</v>
      </c>
      <c r="F35" s="73" t="s">
        <v>49</v>
      </c>
      <c r="G35" s="73" t="s">
        <v>235</v>
      </c>
    </row>
    <row r="36" spans="1:23" x14ac:dyDescent="0.3">
      <c r="A36" t="s">
        <v>369</v>
      </c>
      <c r="B36" t="s">
        <v>349</v>
      </c>
      <c r="C36" t="s">
        <v>391</v>
      </c>
      <c r="D36" s="115">
        <v>2302</v>
      </c>
      <c r="F36" s="73" t="s">
        <v>49</v>
      </c>
      <c r="G36" s="73" t="s">
        <v>236</v>
      </c>
      <c r="T36" s="81" t="s">
        <v>230</v>
      </c>
      <c r="U36" s="81" t="s">
        <v>60</v>
      </c>
      <c r="V36" s="81" t="s">
        <v>231</v>
      </c>
      <c r="W36" s="81" t="s">
        <v>232</v>
      </c>
    </row>
    <row r="37" spans="1:23" x14ac:dyDescent="0.3">
      <c r="A37" t="s">
        <v>370</v>
      </c>
      <c r="B37" t="s">
        <v>349</v>
      </c>
      <c r="C37" t="s">
        <v>389</v>
      </c>
      <c r="D37" s="115">
        <v>6077</v>
      </c>
      <c r="F37" s="73" t="s">
        <v>49</v>
      </c>
      <c r="G37" s="73" t="s">
        <v>236</v>
      </c>
      <c r="T37" s="81"/>
      <c r="U37" s="81"/>
      <c r="V37" s="81"/>
      <c r="W37" s="81"/>
    </row>
    <row r="38" spans="1:23" x14ac:dyDescent="0.3">
      <c r="A38" t="s">
        <v>371</v>
      </c>
      <c r="B38" t="s">
        <v>349</v>
      </c>
      <c r="C38" t="s">
        <v>392</v>
      </c>
      <c r="D38" s="115">
        <v>8233</v>
      </c>
      <c r="F38" s="73" t="s">
        <v>49</v>
      </c>
      <c r="G38" s="73" t="s">
        <v>237</v>
      </c>
      <c r="T38" s="81"/>
      <c r="U38" s="81"/>
      <c r="V38" s="81"/>
      <c r="W38" s="81"/>
    </row>
    <row r="39" spans="1:23" x14ac:dyDescent="0.3">
      <c r="A39" t="s">
        <v>372</v>
      </c>
      <c r="B39" t="s">
        <v>349</v>
      </c>
      <c r="C39" t="s">
        <v>373</v>
      </c>
      <c r="D39" s="115">
        <v>2182</v>
      </c>
      <c r="F39" s="73" t="s">
        <v>49</v>
      </c>
      <c r="G39" s="73" t="s">
        <v>236</v>
      </c>
      <c r="T39" s="81"/>
      <c r="U39" s="81"/>
      <c r="V39" s="81"/>
      <c r="W39" s="81"/>
    </row>
    <row r="40" spans="1:23" x14ac:dyDescent="0.3">
      <c r="A40" t="s">
        <v>374</v>
      </c>
      <c r="B40" t="s">
        <v>349</v>
      </c>
      <c r="C40" t="s">
        <v>375</v>
      </c>
      <c r="D40" s="115">
        <v>2569</v>
      </c>
      <c r="F40" s="73" t="s">
        <v>49</v>
      </c>
      <c r="G40" s="73" t="s">
        <v>235</v>
      </c>
      <c r="T40" s="81"/>
      <c r="U40" s="81"/>
      <c r="V40" s="81"/>
      <c r="W40" s="81"/>
    </row>
    <row r="41" spans="1:23" x14ac:dyDescent="0.3">
      <c r="A41" t="s">
        <v>376</v>
      </c>
      <c r="B41" t="s">
        <v>349</v>
      </c>
      <c r="C41" t="s">
        <v>393</v>
      </c>
      <c r="D41" s="115">
        <v>613</v>
      </c>
      <c r="F41" s="73" t="s">
        <v>49</v>
      </c>
      <c r="G41" s="73" t="s">
        <v>237</v>
      </c>
      <c r="T41" s="81"/>
      <c r="U41" s="81"/>
      <c r="V41" s="81"/>
      <c r="W41" s="81"/>
    </row>
    <row r="42" spans="1:23" x14ac:dyDescent="0.3">
      <c r="A42" t="s">
        <v>377</v>
      </c>
      <c r="B42" t="s">
        <v>349</v>
      </c>
      <c r="C42" t="s">
        <v>378</v>
      </c>
      <c r="D42" s="115">
        <v>31392</v>
      </c>
      <c r="F42" s="73" t="s">
        <v>49</v>
      </c>
      <c r="G42" s="73" t="s">
        <v>238</v>
      </c>
      <c r="T42" s="81"/>
      <c r="U42" s="81"/>
      <c r="V42" s="81"/>
      <c r="W42" s="81"/>
    </row>
    <row r="43" spans="1:23" x14ac:dyDescent="0.3">
      <c r="A43" t="s">
        <v>379</v>
      </c>
      <c r="B43" t="s">
        <v>349</v>
      </c>
      <c r="C43" t="s">
        <v>380</v>
      </c>
      <c r="D43" s="115">
        <v>2183</v>
      </c>
      <c r="F43" s="73" t="s">
        <v>49</v>
      </c>
      <c r="G43" s="73" t="s">
        <v>237</v>
      </c>
      <c r="T43" s="81"/>
      <c r="U43" s="81"/>
      <c r="V43" s="81"/>
      <c r="W43" s="81"/>
    </row>
    <row r="44" spans="1:23" x14ac:dyDescent="0.3">
      <c r="A44" t="s">
        <v>381</v>
      </c>
      <c r="B44" t="s">
        <v>349</v>
      </c>
      <c r="C44" t="s">
        <v>382</v>
      </c>
      <c r="D44" s="115">
        <v>208</v>
      </c>
      <c r="F44" s="73" t="s">
        <v>49</v>
      </c>
      <c r="G44" s="73" t="s">
        <v>235</v>
      </c>
      <c r="T44" s="81"/>
      <c r="U44" s="81"/>
      <c r="V44" s="81"/>
      <c r="W44" s="81"/>
    </row>
    <row r="45" spans="1:23" x14ac:dyDescent="0.3">
      <c r="A45" t="s">
        <v>383</v>
      </c>
      <c r="B45" t="s">
        <v>349</v>
      </c>
      <c r="C45" t="s">
        <v>384</v>
      </c>
      <c r="D45" s="115">
        <v>5901</v>
      </c>
      <c r="F45" s="73" t="s">
        <v>49</v>
      </c>
      <c r="G45" s="73" t="s">
        <v>236</v>
      </c>
      <c r="T45" s="81"/>
      <c r="U45" s="81"/>
      <c r="V45" s="81"/>
      <c r="W45" s="81"/>
    </row>
    <row r="46" spans="1:23" x14ac:dyDescent="0.3">
      <c r="A46" t="s">
        <v>385</v>
      </c>
      <c r="B46" t="s">
        <v>349</v>
      </c>
      <c r="C46" t="s">
        <v>386</v>
      </c>
      <c r="D46" s="115">
        <v>345</v>
      </c>
      <c r="F46" s="73" t="s">
        <v>49</v>
      </c>
      <c r="G46" s="73" t="s">
        <v>235</v>
      </c>
      <c r="T46" s="81"/>
      <c r="U46" s="81"/>
      <c r="V46" s="81"/>
      <c r="W46" s="81"/>
    </row>
    <row r="47" spans="1:23" x14ac:dyDescent="0.3">
      <c r="D47" s="117">
        <f>SUM(D3:D46)</f>
        <v>107013</v>
      </c>
    </row>
    <row r="49" spans="4:9" x14ac:dyDescent="0.3">
      <c r="D49" s="73" t="s">
        <v>240</v>
      </c>
      <c r="G49" s="73" t="s">
        <v>16</v>
      </c>
      <c r="I49" s="73"/>
    </row>
    <row r="50" spans="4:9" x14ac:dyDescent="0.3">
      <c r="D50" s="72">
        <v>6828</v>
      </c>
      <c r="F50" s="73" t="s">
        <v>29</v>
      </c>
      <c r="G50">
        <v>6828</v>
      </c>
      <c r="I50" s="72"/>
    </row>
    <row r="51" spans="4:9" x14ac:dyDescent="0.3">
      <c r="D51" s="72">
        <v>100185</v>
      </c>
      <c r="F51" s="73" t="s">
        <v>49</v>
      </c>
      <c r="G51">
        <v>100185</v>
      </c>
      <c r="I51" s="72"/>
    </row>
    <row r="52" spans="4:9" x14ac:dyDescent="0.3">
      <c r="D52">
        <f>SUBTOTAL(9,D50:D51)</f>
        <v>107013</v>
      </c>
      <c r="G52">
        <f>SUM(G50:G51)</f>
        <v>107013</v>
      </c>
    </row>
    <row r="55" spans="4:9" x14ac:dyDescent="0.3">
      <c r="D55">
        <v>1092</v>
      </c>
      <c r="G55" s="73" t="s">
        <v>239</v>
      </c>
    </row>
    <row r="56" spans="4:9" x14ac:dyDescent="0.3">
      <c r="D56">
        <v>41764</v>
      </c>
      <c r="G56" s="73" t="s">
        <v>238</v>
      </c>
    </row>
    <row r="57" spans="4:9" x14ac:dyDescent="0.3">
      <c r="D57">
        <v>32376</v>
      </c>
      <c r="G57" s="73" t="s">
        <v>237</v>
      </c>
      <c r="H57" s="73"/>
    </row>
    <row r="58" spans="4:9" x14ac:dyDescent="0.3">
      <c r="D58">
        <v>19964</v>
      </c>
      <c r="G58" s="73" t="s">
        <v>236</v>
      </c>
    </row>
    <row r="59" spans="4:9" x14ac:dyDescent="0.3">
      <c r="D59">
        <v>611</v>
      </c>
      <c r="G59" s="73" t="s">
        <v>234</v>
      </c>
    </row>
    <row r="60" spans="4:9" x14ac:dyDescent="0.3">
      <c r="D60" s="74">
        <v>11206</v>
      </c>
      <c r="G60" s="73" t="s">
        <v>235</v>
      </c>
    </row>
    <row r="61" spans="4:9" x14ac:dyDescent="0.3">
      <c r="D61" s="71">
        <f>SUBTOTAL(9,D55:D60)</f>
        <v>107013</v>
      </c>
    </row>
  </sheetData>
  <autoFilter ref="A2:X47" xr:uid="{00000000-0009-0000-0000-000006000000}"/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>
      <selection activeCell="J8" sqref="J8"/>
    </sheetView>
  </sheetViews>
  <sheetFormatPr defaultRowHeight="14.4" x14ac:dyDescent="0.3"/>
  <cols>
    <col min="1" max="2" width="10.5546875" bestFit="1" customWidth="1"/>
  </cols>
  <sheetData>
    <row r="1" spans="1:5" x14ac:dyDescent="0.3">
      <c r="A1" t="s">
        <v>248</v>
      </c>
    </row>
    <row r="2" spans="1:5" x14ac:dyDescent="0.3">
      <c r="A2" s="245" t="s">
        <v>250</v>
      </c>
      <c r="B2" s="245"/>
      <c r="C2" t="s">
        <v>249</v>
      </c>
      <c r="D2" t="s">
        <v>34</v>
      </c>
    </row>
    <row r="3" spans="1:5" x14ac:dyDescent="0.3">
      <c r="A3" s="79">
        <v>45936</v>
      </c>
      <c r="B3" s="79">
        <v>46028</v>
      </c>
      <c r="C3">
        <f>B3-A3</f>
        <v>92</v>
      </c>
      <c r="D3">
        <v>7884</v>
      </c>
    </row>
    <row r="4" spans="1:5" x14ac:dyDescent="0.3">
      <c r="A4" s="79">
        <v>46028</v>
      </c>
      <c r="B4" s="79">
        <v>46112</v>
      </c>
      <c r="C4">
        <f>B4-A4</f>
        <v>84</v>
      </c>
      <c r="D4" s="10">
        <f>ROUND((C4*D3)/C3,0)</f>
        <v>7198</v>
      </c>
      <c r="E4" s="10" t="s">
        <v>251</v>
      </c>
    </row>
    <row r="7" spans="1:5" x14ac:dyDescent="0.3">
      <c r="A7" t="s">
        <v>398</v>
      </c>
    </row>
    <row r="8" spans="1:5" x14ac:dyDescent="0.3">
      <c r="A8" s="245" t="s">
        <v>250</v>
      </c>
      <c r="B8" s="245"/>
      <c r="C8" t="s">
        <v>249</v>
      </c>
      <c r="D8" t="s">
        <v>34</v>
      </c>
    </row>
    <row r="9" spans="1:5" x14ac:dyDescent="0.3">
      <c r="A9" s="79">
        <v>45910</v>
      </c>
      <c r="B9" s="79">
        <v>46275</v>
      </c>
      <c r="C9">
        <f>B9-A9</f>
        <v>365</v>
      </c>
      <c r="D9">
        <v>2500</v>
      </c>
    </row>
    <row r="10" spans="1:5" x14ac:dyDescent="0.3">
      <c r="A10" s="79">
        <v>46113</v>
      </c>
      <c r="B10" s="79">
        <v>46275</v>
      </c>
      <c r="C10">
        <f>B10-A10</f>
        <v>162</v>
      </c>
      <c r="D10" s="10">
        <f>ROUND((C10*D9)/C9,0)</f>
        <v>1110</v>
      </c>
      <c r="E10" t="s">
        <v>399</v>
      </c>
    </row>
  </sheetData>
  <mergeCells count="2">
    <mergeCell ref="A2:B2"/>
    <mergeCell ref="A8:B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6"/>
  <sheetViews>
    <sheetView topLeftCell="A65" workbookViewId="0">
      <selection activeCell="E79" sqref="E79"/>
    </sheetView>
  </sheetViews>
  <sheetFormatPr defaultRowHeight="14.4" x14ac:dyDescent="0.3"/>
  <cols>
    <col min="1" max="1" width="11.88671875" bestFit="1" customWidth="1"/>
    <col min="2" max="2" width="11.44140625" bestFit="1" customWidth="1"/>
    <col min="3" max="3" width="45.109375" bestFit="1" customWidth="1"/>
    <col min="5" max="5" width="39.109375" bestFit="1" customWidth="1"/>
  </cols>
  <sheetData>
    <row r="1" spans="1:8" x14ac:dyDescent="0.3">
      <c r="A1" s="245" t="s">
        <v>58</v>
      </c>
      <c r="B1" s="245"/>
      <c r="C1" s="245"/>
      <c r="D1" s="245"/>
      <c r="E1" s="245"/>
      <c r="F1" s="245"/>
      <c r="G1" s="245"/>
    </row>
    <row r="2" spans="1:8" x14ac:dyDescent="0.3">
      <c r="A2" s="245" t="s">
        <v>59</v>
      </c>
      <c r="B2" s="245"/>
      <c r="C2" s="245"/>
      <c r="D2" s="245"/>
      <c r="E2" s="245"/>
      <c r="F2" s="245"/>
      <c r="G2" s="245"/>
    </row>
    <row r="4" spans="1:8" x14ac:dyDescent="0.3">
      <c r="A4" s="4" t="s">
        <v>60</v>
      </c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66</v>
      </c>
    </row>
    <row r="5" spans="1:8" x14ac:dyDescent="0.3">
      <c r="A5" s="13">
        <v>43556</v>
      </c>
      <c r="B5" s="4">
        <v>338</v>
      </c>
      <c r="C5" s="4" t="s">
        <v>67</v>
      </c>
      <c r="D5" s="4" t="s">
        <v>68</v>
      </c>
      <c r="E5" s="4" t="s">
        <v>69</v>
      </c>
      <c r="F5" s="4">
        <v>0</v>
      </c>
      <c r="G5" s="12">
        <v>3000</v>
      </c>
    </row>
    <row r="6" spans="1:8" x14ac:dyDescent="0.3">
      <c r="A6" s="13">
        <v>43556</v>
      </c>
      <c r="B6" s="4">
        <v>339</v>
      </c>
      <c r="C6" s="4" t="s">
        <v>38</v>
      </c>
      <c r="D6" s="4" t="s">
        <v>68</v>
      </c>
      <c r="E6" s="4" t="s">
        <v>70</v>
      </c>
      <c r="F6" s="4">
        <v>0</v>
      </c>
      <c r="G6" s="12">
        <v>450</v>
      </c>
    </row>
    <row r="7" spans="1:8" x14ac:dyDescent="0.3">
      <c r="A7" s="13">
        <v>43556</v>
      </c>
      <c r="B7" s="4">
        <v>460</v>
      </c>
      <c r="C7" s="4" t="s">
        <v>38</v>
      </c>
      <c r="D7" s="4" t="s">
        <v>68</v>
      </c>
      <c r="E7" s="4" t="s">
        <v>71</v>
      </c>
      <c r="F7" s="4">
        <v>0</v>
      </c>
      <c r="G7" s="4">
        <v>290</v>
      </c>
      <c r="H7" s="14" t="s">
        <v>72</v>
      </c>
    </row>
    <row r="8" spans="1:8" x14ac:dyDescent="0.3">
      <c r="A8" s="13">
        <v>43556</v>
      </c>
      <c r="B8" s="4">
        <v>461</v>
      </c>
      <c r="C8" s="4" t="s">
        <v>39</v>
      </c>
      <c r="D8" s="4" t="s">
        <v>68</v>
      </c>
      <c r="E8" s="4" t="s">
        <v>73</v>
      </c>
      <c r="F8" s="4">
        <v>0</v>
      </c>
      <c r="G8" s="4">
        <v>179</v>
      </c>
      <c r="H8" s="14" t="s">
        <v>72</v>
      </c>
    </row>
    <row r="9" spans="1:8" x14ac:dyDescent="0.3">
      <c r="A9" s="13">
        <v>43556</v>
      </c>
      <c r="B9" s="4">
        <v>0</v>
      </c>
      <c r="C9" s="4" t="s">
        <v>57</v>
      </c>
      <c r="D9" s="4" t="s">
        <v>68</v>
      </c>
      <c r="E9" s="4" t="s">
        <v>74</v>
      </c>
      <c r="F9" s="12">
        <v>3700</v>
      </c>
      <c r="G9" s="4">
        <v>0</v>
      </c>
    </row>
    <row r="10" spans="1:8" x14ac:dyDescent="0.3">
      <c r="A10" s="13">
        <v>43586</v>
      </c>
      <c r="B10" s="4">
        <v>352</v>
      </c>
      <c r="C10" s="4" t="s">
        <v>75</v>
      </c>
      <c r="D10" s="4" t="s">
        <v>68</v>
      </c>
      <c r="E10" s="4" t="s">
        <v>76</v>
      </c>
      <c r="F10" s="4">
        <v>0</v>
      </c>
      <c r="G10" s="12">
        <v>1000</v>
      </c>
    </row>
    <row r="11" spans="1:8" x14ac:dyDescent="0.3">
      <c r="A11" s="13">
        <v>43586</v>
      </c>
      <c r="B11" s="4">
        <v>354</v>
      </c>
      <c r="C11" s="4" t="s">
        <v>42</v>
      </c>
      <c r="D11" s="4" t="s">
        <v>68</v>
      </c>
      <c r="E11" s="4" t="s">
        <v>76</v>
      </c>
      <c r="F11" s="4">
        <v>0</v>
      </c>
      <c r="G11" s="12">
        <v>1000</v>
      </c>
    </row>
    <row r="12" spans="1:8" x14ac:dyDescent="0.3">
      <c r="A12" s="13">
        <v>43586</v>
      </c>
      <c r="B12" s="4">
        <v>356</v>
      </c>
      <c r="C12" s="4" t="s">
        <v>42</v>
      </c>
      <c r="D12" s="4" t="s">
        <v>68</v>
      </c>
      <c r="E12" s="4" t="s">
        <v>76</v>
      </c>
      <c r="F12" s="4">
        <v>0</v>
      </c>
      <c r="G12" s="12">
        <v>1125</v>
      </c>
    </row>
    <row r="13" spans="1:8" x14ac:dyDescent="0.3">
      <c r="A13" s="13">
        <v>43617</v>
      </c>
      <c r="B13" s="4">
        <v>353</v>
      </c>
      <c r="C13" s="4" t="s">
        <v>75</v>
      </c>
      <c r="D13" s="4" t="s">
        <v>68</v>
      </c>
      <c r="E13" s="4" t="s">
        <v>77</v>
      </c>
      <c r="F13" s="4">
        <v>0</v>
      </c>
      <c r="G13" s="12">
        <v>900</v>
      </c>
    </row>
    <row r="14" spans="1:8" x14ac:dyDescent="0.3">
      <c r="A14" s="13">
        <v>43617</v>
      </c>
      <c r="B14" s="4">
        <v>355</v>
      </c>
      <c r="C14" s="4" t="s">
        <v>42</v>
      </c>
      <c r="D14" s="4" t="s">
        <v>68</v>
      </c>
      <c r="E14" s="4" t="s">
        <v>77</v>
      </c>
      <c r="F14" s="4">
        <v>0</v>
      </c>
      <c r="G14" s="12">
        <v>1000</v>
      </c>
    </row>
    <row r="15" spans="1:8" x14ac:dyDescent="0.3">
      <c r="A15" s="13">
        <v>43617</v>
      </c>
      <c r="B15" s="4">
        <v>357</v>
      </c>
      <c r="C15" s="4" t="s">
        <v>42</v>
      </c>
      <c r="D15" s="4" t="s">
        <v>68</v>
      </c>
      <c r="E15" s="4" t="s">
        <v>77</v>
      </c>
      <c r="F15" s="4">
        <v>0</v>
      </c>
      <c r="G15" s="12">
        <v>1500</v>
      </c>
    </row>
    <row r="16" spans="1:8" x14ac:dyDescent="0.3">
      <c r="A16" s="13">
        <v>43623</v>
      </c>
      <c r="B16" s="4">
        <v>0</v>
      </c>
      <c r="C16" s="4"/>
      <c r="D16" s="4">
        <v>15431</v>
      </c>
      <c r="E16" s="4" t="s">
        <v>78</v>
      </c>
      <c r="F16" s="12">
        <v>3000</v>
      </c>
      <c r="G16" s="4">
        <v>0</v>
      </c>
    </row>
    <row r="17" spans="1:7" x14ac:dyDescent="0.3">
      <c r="A17" s="13">
        <v>43647</v>
      </c>
      <c r="B17" s="4">
        <v>359</v>
      </c>
      <c r="C17" s="4" t="s">
        <v>42</v>
      </c>
      <c r="D17" s="4" t="s">
        <v>68</v>
      </c>
      <c r="E17" s="4" t="s">
        <v>79</v>
      </c>
      <c r="F17" s="4">
        <v>0</v>
      </c>
      <c r="G17" s="12">
        <v>600</v>
      </c>
    </row>
    <row r="18" spans="1:7" x14ac:dyDescent="0.3">
      <c r="A18" s="13">
        <v>43647</v>
      </c>
      <c r="B18" s="4">
        <v>360</v>
      </c>
      <c r="C18" s="4" t="s">
        <v>42</v>
      </c>
      <c r="D18" s="4" t="s">
        <v>68</v>
      </c>
      <c r="E18" s="4" t="s">
        <v>79</v>
      </c>
      <c r="F18" s="4">
        <v>0</v>
      </c>
      <c r="G18" s="12">
        <v>1500</v>
      </c>
    </row>
    <row r="19" spans="1:7" x14ac:dyDescent="0.3">
      <c r="A19" s="13">
        <v>43647</v>
      </c>
      <c r="B19" s="4">
        <v>361</v>
      </c>
      <c r="C19" s="4" t="s">
        <v>42</v>
      </c>
      <c r="D19" s="4" t="s">
        <v>68</v>
      </c>
      <c r="E19" s="4" t="s">
        <v>79</v>
      </c>
      <c r="F19" s="4">
        <v>0</v>
      </c>
      <c r="G19" s="12">
        <v>1000</v>
      </c>
    </row>
    <row r="20" spans="1:7" x14ac:dyDescent="0.3">
      <c r="A20" s="13">
        <v>43647</v>
      </c>
      <c r="B20" s="4">
        <v>362</v>
      </c>
      <c r="C20" s="4" t="s">
        <v>38</v>
      </c>
      <c r="D20" s="4" t="s">
        <v>68</v>
      </c>
      <c r="E20" s="4" t="s">
        <v>80</v>
      </c>
      <c r="F20" s="4">
        <v>0</v>
      </c>
      <c r="G20" s="12">
        <v>200</v>
      </c>
    </row>
    <row r="21" spans="1:7" x14ac:dyDescent="0.3">
      <c r="A21" s="13">
        <v>43649</v>
      </c>
      <c r="B21" s="4">
        <v>0</v>
      </c>
      <c r="C21" s="4"/>
      <c r="D21" s="4">
        <v>15435</v>
      </c>
      <c r="E21" s="4" t="s">
        <v>78</v>
      </c>
      <c r="F21" s="12">
        <v>7000</v>
      </c>
      <c r="G21" s="4">
        <v>0</v>
      </c>
    </row>
    <row r="22" spans="1:7" x14ac:dyDescent="0.3">
      <c r="A22" s="13">
        <v>43668</v>
      </c>
      <c r="B22" s="4">
        <v>0</v>
      </c>
      <c r="C22" s="4"/>
      <c r="D22" s="4">
        <v>15439</v>
      </c>
      <c r="E22" s="4" t="s">
        <v>78</v>
      </c>
      <c r="F22" s="12">
        <v>6000</v>
      </c>
      <c r="G22" s="4">
        <v>0</v>
      </c>
    </row>
    <row r="23" spans="1:7" x14ac:dyDescent="0.3">
      <c r="A23" s="13">
        <v>43669</v>
      </c>
      <c r="B23" s="4">
        <v>358</v>
      </c>
      <c r="C23" s="4" t="s">
        <v>81</v>
      </c>
      <c r="D23" s="4" t="s">
        <v>68</v>
      </c>
      <c r="E23" s="4" t="s">
        <v>82</v>
      </c>
      <c r="F23" s="4">
        <v>0</v>
      </c>
      <c r="G23" s="12">
        <v>6000</v>
      </c>
    </row>
    <row r="24" spans="1:7" x14ac:dyDescent="0.3">
      <c r="A24" s="13">
        <v>43680</v>
      </c>
      <c r="B24" s="4">
        <v>363</v>
      </c>
      <c r="C24" s="4" t="s">
        <v>42</v>
      </c>
      <c r="D24" s="4" t="s">
        <v>68</v>
      </c>
      <c r="E24" s="4" t="s">
        <v>83</v>
      </c>
      <c r="F24" s="4">
        <v>0</v>
      </c>
      <c r="G24" s="12">
        <v>600</v>
      </c>
    </row>
    <row r="25" spans="1:7" x14ac:dyDescent="0.3">
      <c r="A25" s="13">
        <v>43680</v>
      </c>
      <c r="B25" s="4">
        <v>364</v>
      </c>
      <c r="C25" s="4" t="s">
        <v>42</v>
      </c>
      <c r="D25" s="4" t="s">
        <v>68</v>
      </c>
      <c r="E25" s="4" t="s">
        <v>83</v>
      </c>
      <c r="F25" s="4">
        <v>0</v>
      </c>
      <c r="G25" s="12">
        <v>1500</v>
      </c>
    </row>
    <row r="26" spans="1:7" x14ac:dyDescent="0.3">
      <c r="A26" s="13">
        <v>43680</v>
      </c>
      <c r="B26" s="4">
        <v>365</v>
      </c>
      <c r="C26" s="4" t="s">
        <v>42</v>
      </c>
      <c r="D26" s="4" t="s">
        <v>68</v>
      </c>
      <c r="E26" s="4" t="s">
        <v>83</v>
      </c>
      <c r="F26" s="4">
        <v>0</v>
      </c>
      <c r="G26" s="12">
        <v>1000</v>
      </c>
    </row>
    <row r="27" spans="1:7" x14ac:dyDescent="0.3">
      <c r="A27" s="13">
        <v>43687</v>
      </c>
      <c r="B27" s="4">
        <v>370</v>
      </c>
      <c r="C27" s="4" t="s">
        <v>39</v>
      </c>
      <c r="D27" s="4" t="s">
        <v>68</v>
      </c>
      <c r="E27" s="4" t="s">
        <v>84</v>
      </c>
      <c r="F27" s="4">
        <v>0</v>
      </c>
      <c r="G27" s="12">
        <v>1295</v>
      </c>
    </row>
    <row r="28" spans="1:7" x14ac:dyDescent="0.3">
      <c r="A28" s="13">
        <v>43690</v>
      </c>
      <c r="B28" s="4">
        <v>0</v>
      </c>
      <c r="C28" s="4"/>
      <c r="D28" s="4">
        <v>35067</v>
      </c>
      <c r="E28" s="4" t="s">
        <v>78</v>
      </c>
      <c r="F28" s="12">
        <v>3000</v>
      </c>
      <c r="G28" s="4">
        <v>0</v>
      </c>
    </row>
    <row r="29" spans="1:7" x14ac:dyDescent="0.3">
      <c r="A29" s="13">
        <v>43710</v>
      </c>
      <c r="B29" s="4">
        <v>366</v>
      </c>
      <c r="C29" s="4" t="s">
        <v>42</v>
      </c>
      <c r="D29" s="4" t="s">
        <v>68</v>
      </c>
      <c r="E29" s="4" t="s">
        <v>85</v>
      </c>
      <c r="F29" s="4">
        <v>0</v>
      </c>
      <c r="G29" s="12">
        <v>600</v>
      </c>
    </row>
    <row r="30" spans="1:7" x14ac:dyDescent="0.3">
      <c r="A30" s="13">
        <v>43710</v>
      </c>
      <c r="B30" s="4">
        <v>367</v>
      </c>
      <c r="C30" s="4" t="s">
        <v>42</v>
      </c>
      <c r="D30" s="4" t="s">
        <v>68</v>
      </c>
      <c r="E30" s="4" t="s">
        <v>85</v>
      </c>
      <c r="F30" s="4">
        <v>0</v>
      </c>
      <c r="G30" s="12">
        <v>1000</v>
      </c>
    </row>
    <row r="31" spans="1:7" x14ac:dyDescent="0.3">
      <c r="A31" s="13">
        <v>43710</v>
      </c>
      <c r="B31" s="4">
        <v>368</v>
      </c>
      <c r="C31" s="4" t="s">
        <v>42</v>
      </c>
      <c r="D31" s="4" t="s">
        <v>68</v>
      </c>
      <c r="E31" s="4" t="s">
        <v>85</v>
      </c>
      <c r="F31" s="4">
        <v>0</v>
      </c>
      <c r="G31" s="12">
        <v>1500</v>
      </c>
    </row>
    <row r="32" spans="1:7" x14ac:dyDescent="0.3">
      <c r="A32" s="13">
        <v>43710</v>
      </c>
      <c r="B32" s="4">
        <v>369</v>
      </c>
      <c r="C32" s="4" t="s">
        <v>39</v>
      </c>
      <c r="D32" s="4" t="s">
        <v>68</v>
      </c>
      <c r="E32" s="4" t="s">
        <v>86</v>
      </c>
      <c r="F32" s="4">
        <v>0</v>
      </c>
      <c r="G32" s="12">
        <v>140</v>
      </c>
    </row>
    <row r="33" spans="1:7" x14ac:dyDescent="0.3">
      <c r="A33" s="13">
        <v>43721</v>
      </c>
      <c r="B33" s="4">
        <v>0</v>
      </c>
      <c r="C33" s="4"/>
      <c r="D33" s="4">
        <v>35069</v>
      </c>
      <c r="E33" s="4" t="s">
        <v>87</v>
      </c>
      <c r="F33" s="12">
        <v>3000</v>
      </c>
      <c r="G33" s="4">
        <v>0</v>
      </c>
    </row>
    <row r="34" spans="1:7" x14ac:dyDescent="0.3">
      <c r="A34" s="13">
        <v>43732</v>
      </c>
      <c r="B34" s="4">
        <v>0</v>
      </c>
      <c r="C34" s="4"/>
      <c r="D34" s="4">
        <v>35070</v>
      </c>
      <c r="E34" s="4" t="s">
        <v>87</v>
      </c>
      <c r="F34" s="12">
        <v>2000</v>
      </c>
      <c r="G34" s="4">
        <v>0</v>
      </c>
    </row>
    <row r="35" spans="1:7" x14ac:dyDescent="0.3">
      <c r="A35" s="13">
        <v>43739</v>
      </c>
      <c r="B35" s="4">
        <v>371</v>
      </c>
      <c r="C35" s="4" t="s">
        <v>42</v>
      </c>
      <c r="D35" s="4" t="s">
        <v>68</v>
      </c>
      <c r="E35" s="4" t="s">
        <v>88</v>
      </c>
      <c r="F35" s="4">
        <v>0</v>
      </c>
      <c r="G35" s="12">
        <v>600</v>
      </c>
    </row>
    <row r="36" spans="1:7" x14ac:dyDescent="0.3">
      <c r="A36" s="13">
        <v>43739</v>
      </c>
      <c r="B36" s="4">
        <v>372</v>
      </c>
      <c r="C36" s="4" t="s">
        <v>42</v>
      </c>
      <c r="D36" s="4" t="s">
        <v>68</v>
      </c>
      <c r="E36" s="4" t="s">
        <v>88</v>
      </c>
      <c r="F36" s="4">
        <v>0</v>
      </c>
      <c r="G36" s="12">
        <v>1000</v>
      </c>
    </row>
    <row r="37" spans="1:7" x14ac:dyDescent="0.3">
      <c r="A37" s="13">
        <v>43739</v>
      </c>
      <c r="B37" s="4">
        <v>373</v>
      </c>
      <c r="C37" s="4" t="s">
        <v>42</v>
      </c>
      <c r="D37" s="4" t="s">
        <v>68</v>
      </c>
      <c r="E37" s="4" t="s">
        <v>88</v>
      </c>
      <c r="F37" s="4">
        <v>0</v>
      </c>
      <c r="G37" s="12">
        <v>1500</v>
      </c>
    </row>
    <row r="38" spans="1:7" x14ac:dyDescent="0.3">
      <c r="A38" s="13">
        <v>43739</v>
      </c>
      <c r="B38" s="4">
        <v>374</v>
      </c>
      <c r="C38" s="4" t="s">
        <v>38</v>
      </c>
      <c r="D38" s="4" t="s">
        <v>68</v>
      </c>
      <c r="E38" s="4" t="s">
        <v>89</v>
      </c>
      <c r="F38" s="4">
        <v>0</v>
      </c>
      <c r="G38" s="12">
        <v>600</v>
      </c>
    </row>
    <row r="39" spans="1:7" x14ac:dyDescent="0.3">
      <c r="A39" s="13">
        <v>43739</v>
      </c>
      <c r="B39" s="4">
        <v>375</v>
      </c>
      <c r="C39" s="4" t="s">
        <v>55</v>
      </c>
      <c r="D39" s="4" t="s">
        <v>68</v>
      </c>
      <c r="E39" s="4" t="s">
        <v>90</v>
      </c>
      <c r="F39" s="4">
        <v>0</v>
      </c>
      <c r="G39" s="12">
        <v>35</v>
      </c>
    </row>
    <row r="40" spans="1:7" x14ac:dyDescent="0.3">
      <c r="A40" s="13">
        <v>43739</v>
      </c>
      <c r="B40" s="4">
        <v>376</v>
      </c>
      <c r="C40" s="4" t="s">
        <v>38</v>
      </c>
      <c r="D40" s="4" t="s">
        <v>68</v>
      </c>
      <c r="E40" s="4" t="s">
        <v>91</v>
      </c>
      <c r="F40" s="4">
        <v>0</v>
      </c>
      <c r="G40" s="12">
        <v>200</v>
      </c>
    </row>
    <row r="41" spans="1:7" x14ac:dyDescent="0.3">
      <c r="A41" s="13">
        <v>43767</v>
      </c>
      <c r="B41" s="4">
        <v>0</v>
      </c>
      <c r="C41" s="4"/>
      <c r="D41" s="4">
        <v>35074</v>
      </c>
      <c r="E41" s="4" t="s">
        <v>78</v>
      </c>
      <c r="F41" s="12">
        <v>3000</v>
      </c>
      <c r="G41" s="4">
        <v>0</v>
      </c>
    </row>
    <row r="42" spans="1:7" x14ac:dyDescent="0.3">
      <c r="A42" s="13">
        <v>43770</v>
      </c>
      <c r="B42" s="4">
        <v>401</v>
      </c>
      <c r="C42" s="4" t="s">
        <v>42</v>
      </c>
      <c r="D42" s="4" t="s">
        <v>68</v>
      </c>
      <c r="E42" s="4" t="s">
        <v>92</v>
      </c>
      <c r="F42" s="4">
        <v>0</v>
      </c>
      <c r="G42" s="12">
        <v>1000</v>
      </c>
    </row>
    <row r="43" spans="1:7" x14ac:dyDescent="0.3">
      <c r="A43" s="13">
        <v>43770</v>
      </c>
      <c r="B43" s="4">
        <v>402</v>
      </c>
      <c r="C43" s="4" t="s">
        <v>42</v>
      </c>
      <c r="D43" s="4" t="s">
        <v>68</v>
      </c>
      <c r="E43" s="4" t="s">
        <v>92</v>
      </c>
      <c r="F43" s="4">
        <v>0</v>
      </c>
      <c r="G43" s="12">
        <v>600</v>
      </c>
    </row>
    <row r="44" spans="1:7" x14ac:dyDescent="0.3">
      <c r="A44" s="13">
        <v>43770</v>
      </c>
      <c r="B44" s="4">
        <v>403</v>
      </c>
      <c r="C44" s="4" t="s">
        <v>42</v>
      </c>
      <c r="D44" s="4" t="s">
        <v>68</v>
      </c>
      <c r="E44" s="4" t="s">
        <v>92</v>
      </c>
      <c r="F44" s="4">
        <v>0</v>
      </c>
      <c r="G44" s="12">
        <v>1500</v>
      </c>
    </row>
    <row r="45" spans="1:7" x14ac:dyDescent="0.3">
      <c r="A45" s="13">
        <v>43770</v>
      </c>
      <c r="B45" s="4">
        <v>404</v>
      </c>
      <c r="C45" s="4" t="s">
        <v>38</v>
      </c>
      <c r="D45" s="4" t="s">
        <v>68</v>
      </c>
      <c r="E45" s="4" t="s">
        <v>93</v>
      </c>
      <c r="F45" s="4">
        <v>0</v>
      </c>
      <c r="G45" s="12">
        <v>160</v>
      </c>
    </row>
    <row r="46" spans="1:7" x14ac:dyDescent="0.3">
      <c r="A46" s="13">
        <v>43775</v>
      </c>
      <c r="B46" s="4">
        <v>0</v>
      </c>
      <c r="C46" s="4"/>
      <c r="D46" s="4">
        <v>35076</v>
      </c>
      <c r="E46" s="4" t="s">
        <v>94</v>
      </c>
      <c r="F46" s="12">
        <v>3000</v>
      </c>
      <c r="G46" s="4">
        <v>0</v>
      </c>
    </row>
    <row r="47" spans="1:7" x14ac:dyDescent="0.3">
      <c r="A47" s="13">
        <v>43800</v>
      </c>
      <c r="B47" s="4">
        <v>408</v>
      </c>
      <c r="C47" s="4" t="s">
        <v>42</v>
      </c>
      <c r="D47" s="4" t="s">
        <v>68</v>
      </c>
      <c r="E47" s="4" t="s">
        <v>95</v>
      </c>
      <c r="F47" s="4">
        <v>0</v>
      </c>
      <c r="G47" s="12">
        <v>600</v>
      </c>
    </row>
    <row r="48" spans="1:7" x14ac:dyDescent="0.3">
      <c r="A48" s="13">
        <v>43800</v>
      </c>
      <c r="B48" s="4">
        <v>409</v>
      </c>
      <c r="C48" s="4" t="s">
        <v>42</v>
      </c>
      <c r="D48" s="4" t="s">
        <v>68</v>
      </c>
      <c r="E48" s="4" t="s">
        <v>95</v>
      </c>
      <c r="F48" s="4">
        <v>0</v>
      </c>
      <c r="G48" s="12">
        <v>1000</v>
      </c>
    </row>
    <row r="49" spans="1:7" x14ac:dyDescent="0.3">
      <c r="A49" s="13">
        <v>43800</v>
      </c>
      <c r="B49" s="4">
        <v>410</v>
      </c>
      <c r="C49" s="4" t="s">
        <v>42</v>
      </c>
      <c r="D49" s="4" t="s">
        <v>68</v>
      </c>
      <c r="E49" s="4" t="s">
        <v>95</v>
      </c>
      <c r="F49" s="4">
        <v>0</v>
      </c>
      <c r="G49" s="12">
        <v>1500</v>
      </c>
    </row>
    <row r="50" spans="1:7" x14ac:dyDescent="0.3">
      <c r="A50" s="13">
        <v>43802</v>
      </c>
      <c r="B50" s="4">
        <v>0</v>
      </c>
      <c r="C50" s="4"/>
      <c r="D50" s="4">
        <v>35079</v>
      </c>
      <c r="E50" s="4" t="s">
        <v>94</v>
      </c>
      <c r="F50" s="12">
        <v>4500</v>
      </c>
      <c r="G50" s="4">
        <v>0</v>
      </c>
    </row>
    <row r="51" spans="1:7" x14ac:dyDescent="0.3">
      <c r="A51" s="13">
        <v>43823</v>
      </c>
      <c r="B51" s="4">
        <v>0</v>
      </c>
      <c r="C51" s="4"/>
      <c r="D51" s="4">
        <v>46162</v>
      </c>
      <c r="E51" s="4" t="s">
        <v>94</v>
      </c>
      <c r="F51" s="12">
        <v>7000</v>
      </c>
      <c r="G51" s="4">
        <v>0</v>
      </c>
    </row>
    <row r="52" spans="1:7" x14ac:dyDescent="0.3">
      <c r="A52" s="13">
        <v>43831</v>
      </c>
      <c r="B52" s="4">
        <v>424</v>
      </c>
      <c r="C52" s="4" t="s">
        <v>96</v>
      </c>
      <c r="D52" s="4" t="s">
        <v>68</v>
      </c>
      <c r="E52" s="4" t="s">
        <v>97</v>
      </c>
      <c r="F52" s="4">
        <v>0</v>
      </c>
      <c r="G52" s="12">
        <v>1200</v>
      </c>
    </row>
    <row r="53" spans="1:7" x14ac:dyDescent="0.3">
      <c r="A53" s="13">
        <v>43831</v>
      </c>
      <c r="B53" s="4">
        <v>425</v>
      </c>
      <c r="C53" s="4" t="s">
        <v>96</v>
      </c>
      <c r="D53" s="4" t="s">
        <v>68</v>
      </c>
      <c r="E53" s="4" t="s">
        <v>97</v>
      </c>
      <c r="F53" s="4">
        <v>0</v>
      </c>
      <c r="G53" s="12">
        <v>2000</v>
      </c>
    </row>
    <row r="54" spans="1:7" x14ac:dyDescent="0.3">
      <c r="A54" s="13">
        <v>43831</v>
      </c>
      <c r="B54" s="4">
        <v>426</v>
      </c>
      <c r="C54" s="4" t="s">
        <v>96</v>
      </c>
      <c r="D54" s="4" t="s">
        <v>68</v>
      </c>
      <c r="E54" s="4" t="s">
        <v>97</v>
      </c>
      <c r="F54" s="4">
        <v>0</v>
      </c>
      <c r="G54" s="12">
        <v>3000</v>
      </c>
    </row>
    <row r="55" spans="1:7" x14ac:dyDescent="0.3">
      <c r="A55" s="13">
        <v>43831</v>
      </c>
      <c r="B55" s="4">
        <v>427</v>
      </c>
      <c r="C55" s="4" t="s">
        <v>38</v>
      </c>
      <c r="D55" s="4" t="s">
        <v>68</v>
      </c>
      <c r="E55" s="4" t="s">
        <v>98</v>
      </c>
      <c r="F55" s="4">
        <v>0</v>
      </c>
      <c r="G55" s="12">
        <v>200</v>
      </c>
    </row>
    <row r="56" spans="1:7" x14ac:dyDescent="0.3">
      <c r="A56" s="13">
        <v>43831</v>
      </c>
      <c r="B56" s="4">
        <v>428</v>
      </c>
      <c r="C56" s="4" t="s">
        <v>38</v>
      </c>
      <c r="D56" s="4" t="s">
        <v>68</v>
      </c>
      <c r="E56" s="4" t="s">
        <v>99</v>
      </c>
      <c r="F56" s="4">
        <v>0</v>
      </c>
      <c r="G56" s="12">
        <v>320</v>
      </c>
    </row>
    <row r="57" spans="1:7" x14ac:dyDescent="0.3">
      <c r="A57" s="13">
        <v>43862</v>
      </c>
      <c r="B57" s="4">
        <v>433</v>
      </c>
      <c r="C57" s="4" t="s">
        <v>42</v>
      </c>
      <c r="D57" s="4" t="s">
        <v>68</v>
      </c>
      <c r="E57" s="4" t="s">
        <v>100</v>
      </c>
      <c r="F57" s="4">
        <v>0</v>
      </c>
      <c r="G57" s="12">
        <v>600</v>
      </c>
    </row>
    <row r="58" spans="1:7" x14ac:dyDescent="0.3">
      <c r="A58" s="13">
        <v>43862</v>
      </c>
      <c r="B58" s="4">
        <v>434</v>
      </c>
      <c r="C58" s="4" t="s">
        <v>42</v>
      </c>
      <c r="D58" s="4" t="s">
        <v>68</v>
      </c>
      <c r="E58" s="4" t="s">
        <v>100</v>
      </c>
      <c r="F58" s="4">
        <v>0</v>
      </c>
      <c r="G58" s="12">
        <v>1000</v>
      </c>
    </row>
    <row r="59" spans="1:7" x14ac:dyDescent="0.3">
      <c r="A59" s="13">
        <v>43862</v>
      </c>
      <c r="B59" s="4">
        <v>435</v>
      </c>
      <c r="C59" s="4" t="s">
        <v>39</v>
      </c>
      <c r="D59" s="4" t="s">
        <v>68</v>
      </c>
      <c r="E59" s="4" t="s">
        <v>101</v>
      </c>
      <c r="F59" s="4">
        <v>0</v>
      </c>
      <c r="G59" s="12">
        <v>250</v>
      </c>
    </row>
    <row r="60" spans="1:7" x14ac:dyDescent="0.3">
      <c r="A60" s="13">
        <v>43862</v>
      </c>
      <c r="B60" s="4">
        <v>436</v>
      </c>
      <c r="C60" s="4" t="s">
        <v>42</v>
      </c>
      <c r="D60" s="4" t="s">
        <v>68</v>
      </c>
      <c r="E60" s="4" t="s">
        <v>100</v>
      </c>
      <c r="F60" s="4">
        <v>0</v>
      </c>
      <c r="G60" s="12">
        <v>1500</v>
      </c>
    </row>
    <row r="61" spans="1:7" x14ac:dyDescent="0.3">
      <c r="A61" s="13">
        <v>43862</v>
      </c>
      <c r="B61" s="4">
        <v>437</v>
      </c>
      <c r="C61" s="4" t="s">
        <v>39</v>
      </c>
      <c r="D61" s="4" t="s">
        <v>68</v>
      </c>
      <c r="E61" s="4" t="s">
        <v>102</v>
      </c>
      <c r="F61" s="4">
        <v>0</v>
      </c>
      <c r="G61" s="12">
        <v>230</v>
      </c>
    </row>
    <row r="62" spans="1:7" x14ac:dyDescent="0.3">
      <c r="A62" s="13">
        <v>43865</v>
      </c>
      <c r="B62" s="4">
        <v>0</v>
      </c>
      <c r="C62" s="4"/>
      <c r="D62" s="4">
        <v>46165</v>
      </c>
      <c r="E62" s="4" t="s">
        <v>94</v>
      </c>
      <c r="F62" s="12">
        <v>3000</v>
      </c>
      <c r="G62" s="4">
        <v>0</v>
      </c>
    </row>
    <row r="63" spans="1:7" x14ac:dyDescent="0.3">
      <c r="A63" s="13">
        <v>43891</v>
      </c>
      <c r="B63" s="4">
        <v>438</v>
      </c>
      <c r="C63" s="4" t="s">
        <v>42</v>
      </c>
      <c r="D63" s="4" t="s">
        <v>68</v>
      </c>
      <c r="E63" s="4" t="s">
        <v>103</v>
      </c>
      <c r="F63" s="4">
        <v>0</v>
      </c>
      <c r="G63" s="12">
        <v>600</v>
      </c>
    </row>
    <row r="64" spans="1:7" x14ac:dyDescent="0.3">
      <c r="A64" s="13">
        <v>43891</v>
      </c>
      <c r="B64" s="4">
        <v>439</v>
      </c>
      <c r="C64" s="4" t="s">
        <v>42</v>
      </c>
      <c r="D64" s="4" t="s">
        <v>68</v>
      </c>
      <c r="E64" s="4" t="s">
        <v>103</v>
      </c>
      <c r="F64" s="4">
        <v>0</v>
      </c>
      <c r="G64" s="12">
        <v>1000</v>
      </c>
    </row>
    <row r="65" spans="1:7" x14ac:dyDescent="0.3">
      <c r="A65" s="13">
        <v>43891</v>
      </c>
      <c r="B65" s="4">
        <v>440</v>
      </c>
      <c r="C65" s="4" t="s">
        <v>42</v>
      </c>
      <c r="D65" s="4" t="s">
        <v>68</v>
      </c>
      <c r="E65" s="4" t="s">
        <v>103</v>
      </c>
      <c r="F65" s="4">
        <v>0</v>
      </c>
      <c r="G65" s="12">
        <v>1500</v>
      </c>
    </row>
    <row r="66" spans="1:7" x14ac:dyDescent="0.3">
      <c r="A66" s="13">
        <v>43891</v>
      </c>
      <c r="B66" s="4">
        <v>441</v>
      </c>
      <c r="C66" s="4" t="s">
        <v>38</v>
      </c>
      <c r="D66" s="4" t="s">
        <v>68</v>
      </c>
      <c r="E66" s="4" t="s">
        <v>104</v>
      </c>
      <c r="F66" s="4">
        <v>0</v>
      </c>
      <c r="G66" s="12">
        <v>300</v>
      </c>
    </row>
    <row r="67" spans="1:7" x14ac:dyDescent="0.3">
      <c r="A67" s="13">
        <v>43892</v>
      </c>
      <c r="B67" s="4">
        <v>0</v>
      </c>
      <c r="C67" s="4"/>
      <c r="D67" s="4">
        <v>46167</v>
      </c>
      <c r="E67" s="4" t="s">
        <v>105</v>
      </c>
      <c r="F67" s="12">
        <v>3000</v>
      </c>
      <c r="G67" s="4">
        <v>0</v>
      </c>
    </row>
    <row r="68" spans="1:7" x14ac:dyDescent="0.3">
      <c r="A68" s="4"/>
      <c r="B68" s="4"/>
      <c r="C68" s="4"/>
      <c r="D68" s="4"/>
      <c r="E68" s="4"/>
      <c r="F68" s="4">
        <f>SUM(F5:F67)</f>
        <v>51200</v>
      </c>
      <c r="G68" s="4">
        <f>SUM(G5:G67)</f>
        <v>51374</v>
      </c>
    </row>
    <row r="70" spans="1:7" x14ac:dyDescent="0.3">
      <c r="A70" t="s">
        <v>106</v>
      </c>
    </row>
    <row r="71" spans="1:7" x14ac:dyDescent="0.3">
      <c r="A71" s="4" t="s">
        <v>60</v>
      </c>
      <c r="B71" s="4" t="s">
        <v>61</v>
      </c>
      <c r="C71" s="4" t="s">
        <v>62</v>
      </c>
      <c r="D71" s="4" t="s">
        <v>63</v>
      </c>
      <c r="E71" s="4" t="s">
        <v>64</v>
      </c>
      <c r="F71" s="4" t="s">
        <v>65</v>
      </c>
      <c r="G71" s="4" t="s">
        <v>66</v>
      </c>
    </row>
    <row r="72" spans="1:7" x14ac:dyDescent="0.3">
      <c r="A72" s="4" t="s">
        <v>107</v>
      </c>
      <c r="B72" s="4"/>
      <c r="C72" s="4"/>
      <c r="D72" s="4"/>
      <c r="E72" s="4" t="s">
        <v>108</v>
      </c>
      <c r="F72" s="4"/>
      <c r="G72" s="4">
        <v>913</v>
      </c>
    </row>
    <row r="73" spans="1:7" x14ac:dyDescent="0.3">
      <c r="A73" s="4" t="s">
        <v>109</v>
      </c>
      <c r="B73" s="4"/>
      <c r="C73" s="4"/>
      <c r="D73" s="4"/>
      <c r="E73" s="12" t="s">
        <v>110</v>
      </c>
      <c r="F73" s="4"/>
      <c r="G73" s="4">
        <v>30</v>
      </c>
    </row>
    <row r="74" spans="1:7" x14ac:dyDescent="0.3">
      <c r="A74" s="4" t="s">
        <v>109</v>
      </c>
      <c r="B74" s="4"/>
      <c r="C74" s="4"/>
      <c r="D74" s="4"/>
      <c r="E74" s="4" t="s">
        <v>111</v>
      </c>
      <c r="F74" s="4"/>
      <c r="G74" s="4">
        <v>150</v>
      </c>
    </row>
    <row r="75" spans="1:7" x14ac:dyDescent="0.3">
      <c r="A75" s="4" t="s">
        <v>112</v>
      </c>
      <c r="B75" s="4"/>
      <c r="C75" s="4"/>
      <c r="D75" s="4"/>
      <c r="E75" s="4" t="s">
        <v>113</v>
      </c>
      <c r="F75" s="4"/>
      <c r="G75" s="4">
        <v>570</v>
      </c>
    </row>
    <row r="76" spans="1:7" x14ac:dyDescent="0.3">
      <c r="A76" s="4"/>
      <c r="B76" s="4"/>
      <c r="C76" s="4"/>
      <c r="D76" s="4"/>
      <c r="E76" s="4"/>
      <c r="F76" s="4"/>
      <c r="G76" s="4">
        <f>SUM(G72:G75)</f>
        <v>1663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BS</vt:lpstr>
      <vt:lpstr>IE</vt:lpstr>
      <vt:lpstr>FD</vt:lpstr>
      <vt:lpstr>SCH-II-III-IV-V</vt:lpstr>
      <vt:lpstr>Vendor Prov n Advance</vt:lpstr>
      <vt:lpstr>BRS</vt:lpstr>
      <vt:lpstr>FD Interest Working</vt:lpstr>
      <vt:lpstr>Working</vt:lpstr>
      <vt:lpstr>Cash Book</vt:lpstr>
      <vt:lpstr>BS!Print_Area</vt:lpstr>
      <vt:lpstr>FD!Print_Area</vt:lpstr>
      <vt:lpstr>IE!Print_Area</vt:lpstr>
      <vt:lpstr>'SCH-II-III-IV-V'!Print_Area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Rosario</dc:creator>
  <cp:lastModifiedBy>bharatboridkar@gmail.com</cp:lastModifiedBy>
  <cp:lastPrinted>2026-07-23T15:41:11Z</cp:lastPrinted>
  <dcterms:created xsi:type="dcterms:W3CDTF">2014-08-27T08:21:13Z</dcterms:created>
  <dcterms:modified xsi:type="dcterms:W3CDTF">2026-07-23T15:42:04Z</dcterms:modified>
</cp:coreProperties>
</file>