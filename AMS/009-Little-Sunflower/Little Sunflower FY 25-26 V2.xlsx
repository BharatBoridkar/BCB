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09-Little-Sunflower\"/>
    </mc:Choice>
  </mc:AlternateContent>
  <xr:revisionPtr revIDLastSave="0" documentId="13_ncr:1_{1CA87BAC-9667-4A9A-A7BA-97338FC3AB15}" xr6:coauthVersionLast="47" xr6:coauthVersionMax="47" xr10:uidLastSave="{00000000-0000-0000-0000-000000000000}"/>
  <bookViews>
    <workbookView xWindow="-108" yWindow="-108" windowWidth="23256" windowHeight="12456" tabRatio="862" activeTab="6" xr2:uid="{00000000-000D-0000-FFFF-FFFF00000000}"/>
  </bookViews>
  <sheets>
    <sheet name="BS" sheetId="1" r:id="rId1"/>
    <sheet name="IE" sheetId="16" r:id="rId2"/>
    <sheet name="Sch I Fixed Deposits" sheetId="19" r:id="rId3"/>
    <sheet name="Sch II Fixed Asset" sheetId="13" r:id="rId4"/>
    <sheet name="Sch III, IV, V, VI &amp; VII" sheetId="10" r:id="rId5"/>
    <sheet name="BRS" sheetId="14" r:id="rId6"/>
    <sheet name="Working" sheetId="8" r:id="rId7"/>
    <sheet name="FD Interest Working" sheetId="20" r:id="rId8"/>
  </sheets>
  <definedNames>
    <definedName name="_xlnm._FilterDatabase" localSheetId="7" hidden="1">'FD Interest Working'!$A$2:$H$100</definedName>
    <definedName name="_xlnm._FilterDatabase" localSheetId="2" hidden="1">'Sch I Fixed Deposits'!$A$3:$R$23</definedName>
    <definedName name="_xlnm.Print_Area" localSheetId="5">BRS!$A$1:$B$12</definedName>
    <definedName name="_xlnm.Print_Area" localSheetId="0">BS!$A$1:$H$77</definedName>
    <definedName name="_xlnm.Print_Area" localSheetId="1">IE!$A$1:$H$57</definedName>
    <definedName name="_xlnm.Print_Area" localSheetId="2">'Sch I Fixed Deposits'!$A$1:$N$99</definedName>
    <definedName name="_xlnm.Print_Area" localSheetId="3">'Sch II Fixed Asset'!$A$1:$H$11</definedName>
    <definedName name="_xlnm.Print_Area" localSheetId="4">'Sch III, IV, V, VI &amp; VII'!$A$1:$D$49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" i="16" l="1"/>
  <c r="I54" i="16"/>
  <c r="I74" i="1"/>
  <c r="D17" i="1"/>
  <c r="L47" i="19"/>
  <c r="E47" i="19"/>
  <c r="F47" i="19"/>
  <c r="D47" i="19"/>
  <c r="D93" i="19"/>
  <c r="D85" i="19"/>
  <c r="D23" i="19"/>
  <c r="E124" i="20"/>
  <c r="E123" i="20"/>
  <c r="E85" i="19"/>
  <c r="F85" i="19"/>
  <c r="E93" i="19"/>
  <c r="F93" i="19"/>
  <c r="L68" i="19"/>
  <c r="D68" i="19"/>
  <c r="L38" i="19"/>
  <c r="D38" i="19"/>
  <c r="L23" i="19"/>
  <c r="E23" i="19"/>
  <c r="Q25" i="19"/>
  <c r="R23" i="19"/>
  <c r="R20" i="19"/>
  <c r="R18" i="19"/>
  <c r="Q24" i="19"/>
  <c r="Q23" i="19"/>
  <c r="Q22" i="19"/>
  <c r="Q21" i="19"/>
  <c r="Q20" i="19"/>
  <c r="Q19" i="19"/>
  <c r="F105" i="20"/>
  <c r="D36" i="10"/>
  <c r="D48" i="10"/>
  <c r="G12" i="1"/>
  <c r="F10" i="14"/>
  <c r="A68" i="1"/>
  <c r="C64" i="1"/>
  <c r="C46" i="1"/>
  <c r="C43" i="1"/>
  <c r="C42" i="1"/>
  <c r="C28" i="1"/>
  <c r="C26" i="1"/>
  <c r="C17" i="1"/>
  <c r="C14" i="1"/>
  <c r="C20" i="1"/>
  <c r="C23" i="1"/>
  <c r="C39" i="1"/>
  <c r="C36" i="1"/>
  <c r="C33" i="1"/>
  <c r="C31" i="1"/>
  <c r="D78" i="19"/>
  <c r="C11" i="16"/>
  <c r="C35" i="16"/>
  <c r="E109" i="20"/>
  <c r="D109" i="20"/>
  <c r="H18" i="16"/>
  <c r="G13" i="16"/>
  <c r="D9" i="10"/>
  <c r="E5" i="13"/>
  <c r="D100" i="20"/>
  <c r="J37" i="19" l="1"/>
  <c r="I28" i="19"/>
  <c r="J28" i="19" s="1"/>
  <c r="J67" i="19"/>
  <c r="I64" i="19" l="1"/>
  <c r="I84" i="19"/>
  <c r="I9" i="19"/>
  <c r="J9" i="19" s="1"/>
  <c r="I22" i="19"/>
  <c r="J22" i="19" s="1"/>
  <c r="I20" i="19"/>
  <c r="I19" i="19"/>
  <c r="J19" i="19" s="1"/>
  <c r="I17" i="19"/>
  <c r="I14" i="19"/>
  <c r="J14" i="19" s="1"/>
  <c r="I32" i="19"/>
  <c r="I44" i="19"/>
  <c r="I50" i="19"/>
  <c r="I10" i="19"/>
  <c r="J10" i="19" s="1"/>
  <c r="I12" i="19"/>
  <c r="J12" i="19" s="1"/>
  <c r="I54" i="19"/>
  <c r="I13" i="19"/>
  <c r="I18" i="19"/>
  <c r="I16" i="19"/>
  <c r="I55" i="19"/>
  <c r="J55" i="19" s="1"/>
  <c r="I75" i="19"/>
  <c r="I41" i="19"/>
  <c r="I15" i="19"/>
  <c r="J15" i="19" s="1"/>
  <c r="I53" i="19"/>
  <c r="J53" i="19" s="1"/>
  <c r="I46" i="19"/>
  <c r="J41" i="19" l="1"/>
  <c r="I21" i="19"/>
  <c r="I66" i="19"/>
  <c r="I36" i="19"/>
  <c r="I77" i="19"/>
  <c r="I11" i="19"/>
  <c r="I90" i="19"/>
  <c r="I45" i="19"/>
  <c r="I26" i="19"/>
  <c r="H26" i="19"/>
  <c r="I5" i="19"/>
  <c r="I76" i="19"/>
  <c r="I65" i="19"/>
  <c r="I35" i="19"/>
  <c r="I61" i="19"/>
  <c r="I31" i="19"/>
  <c r="I30" i="19"/>
  <c r="I60" i="19"/>
  <c r="I29" i="19"/>
  <c r="I82" i="19"/>
  <c r="I71" i="19"/>
  <c r="I74" i="19"/>
  <c r="I57" i="19"/>
  <c r="I73" i="19"/>
  <c r="I81" i="19"/>
  <c r="I8" i="19"/>
  <c r="I56" i="19"/>
  <c r="I59" i="19"/>
  <c r="I83" i="19"/>
  <c r="I58" i="19"/>
  <c r="I6" i="19"/>
  <c r="I27" i="19"/>
  <c r="I7" i="19"/>
  <c r="I43" i="19"/>
  <c r="I52" i="19"/>
  <c r="I92" i="19"/>
  <c r="I34" i="19"/>
  <c r="J34" i="19" s="1"/>
  <c r="I88" i="19"/>
  <c r="I62" i="19"/>
  <c r="I51" i="19"/>
  <c r="I33" i="19"/>
  <c r="J33" i="19" s="1"/>
  <c r="J96" i="19"/>
  <c r="J62" i="19"/>
  <c r="J63" i="19"/>
  <c r="J64" i="19"/>
  <c r="J51" i="19"/>
  <c r="J89" i="19"/>
  <c r="I42" i="19"/>
  <c r="I47" i="19" s="1"/>
  <c r="I91" i="19"/>
  <c r="I72" i="19"/>
  <c r="G33" i="16"/>
  <c r="G35" i="16"/>
  <c r="G34" i="16"/>
  <c r="G32" i="16"/>
  <c r="G31" i="16"/>
  <c r="G30" i="16"/>
  <c r="F108" i="20"/>
  <c r="F106" i="20"/>
  <c r="I68" i="19" l="1"/>
  <c r="J88" i="19"/>
  <c r="I93" i="19"/>
  <c r="I85" i="19"/>
  <c r="I78" i="19"/>
  <c r="I23" i="19"/>
  <c r="I38" i="19"/>
  <c r="J26" i="19"/>
  <c r="H35" i="16"/>
  <c r="J42" i="19"/>
  <c r="F107" i="20"/>
  <c r="I99" i="19" l="1"/>
  <c r="C38" i="1"/>
  <c r="H92" i="19" l="1"/>
  <c r="J92" i="19" s="1"/>
  <c r="L85" i="19" l="1"/>
  <c r="H5" i="19"/>
  <c r="H46" i="19"/>
  <c r="J46" i="19" s="1"/>
  <c r="H21" i="19"/>
  <c r="J21" i="19" s="1"/>
  <c r="H66" i="19"/>
  <c r="J66" i="19" s="1"/>
  <c r="H36" i="19"/>
  <c r="J36" i="19" s="1"/>
  <c r="H77" i="19"/>
  <c r="J77" i="19" s="1"/>
  <c r="H11" i="19"/>
  <c r="J11" i="19" s="1"/>
  <c r="H90" i="19"/>
  <c r="H45" i="19"/>
  <c r="J45" i="19" s="1"/>
  <c r="L78" i="19"/>
  <c r="D48" i="1"/>
  <c r="H33" i="1"/>
  <c r="D44" i="16"/>
  <c r="D10" i="13"/>
  <c r="B10" i="13"/>
  <c r="C10" i="13"/>
  <c r="G9" i="13"/>
  <c r="E9" i="13"/>
  <c r="H9" i="13" s="1"/>
  <c r="J90" i="19" l="1"/>
  <c r="J5" i="19"/>
  <c r="H18" i="19"/>
  <c r="J18" i="19" s="1"/>
  <c r="H20" i="19"/>
  <c r="J20" i="19" s="1"/>
  <c r="H35" i="19"/>
  <c r="H65" i="19"/>
  <c r="H76" i="19"/>
  <c r="H61" i="19"/>
  <c r="H31" i="19"/>
  <c r="H30" i="19"/>
  <c r="H60" i="19"/>
  <c r="J60" i="19" s="1"/>
  <c r="H6" i="19"/>
  <c r="H29" i="19"/>
  <c r="J29" i="19" s="1"/>
  <c r="H71" i="19"/>
  <c r="H74" i="19"/>
  <c r="J74" i="19" s="1"/>
  <c r="H82" i="19"/>
  <c r="J82" i="19" s="1"/>
  <c r="H57" i="19"/>
  <c r="H73" i="19"/>
  <c r="H81" i="19"/>
  <c r="H8" i="19"/>
  <c r="J8" i="19" s="1"/>
  <c r="H56" i="19"/>
  <c r="J56" i="19" s="1"/>
  <c r="H59" i="19"/>
  <c r="H83" i="19"/>
  <c r="H58" i="19"/>
  <c r="H27" i="19"/>
  <c r="H7" i="19"/>
  <c r="H43" i="19"/>
  <c r="H52" i="19"/>
  <c r="H72" i="19"/>
  <c r="H91" i="19"/>
  <c r="H93" i="19" s="1"/>
  <c r="J50" i="19"/>
  <c r="H44" i="19"/>
  <c r="J44" i="19" s="1"/>
  <c r="H32" i="19"/>
  <c r="J32" i="19" s="1"/>
  <c r="H16" i="19"/>
  <c r="H17" i="19"/>
  <c r="H54" i="19"/>
  <c r="H13" i="19"/>
  <c r="J13" i="19" s="1"/>
  <c r="H75" i="19"/>
  <c r="J75" i="19" s="1"/>
  <c r="H23" i="19" l="1"/>
  <c r="H47" i="19"/>
  <c r="H38" i="19"/>
  <c r="J81" i="19"/>
  <c r="H85" i="19"/>
  <c r="H68" i="19"/>
  <c r="H78" i="19"/>
  <c r="J54" i="19"/>
  <c r="H99" i="19" l="1"/>
  <c r="C35" i="14"/>
  <c r="C27" i="14"/>
  <c r="C19" i="14"/>
  <c r="A2" i="16"/>
  <c r="L93" i="19"/>
  <c r="D97" i="19" l="1"/>
  <c r="D99" i="19" s="1"/>
  <c r="D15" i="16" l="1"/>
  <c r="D23" i="1" l="1"/>
  <c r="G83" i="19"/>
  <c r="G76" i="19"/>
  <c r="J76" i="19" s="1"/>
  <c r="G11" i="1"/>
  <c r="G10" i="1"/>
  <c r="G9" i="1"/>
  <c r="C7" i="14"/>
  <c r="C11" i="14" s="1"/>
  <c r="J83" i="19" l="1"/>
  <c r="G85" i="19"/>
  <c r="D13" i="8"/>
  <c r="B6" i="8"/>
  <c r="G65" i="19" l="1"/>
  <c r="J65" i="19" s="1"/>
  <c r="G35" i="19"/>
  <c r="J35" i="19" s="1"/>
  <c r="G61" i="19"/>
  <c r="G31" i="19"/>
  <c r="G30" i="19"/>
  <c r="G71" i="19" l="1"/>
  <c r="G57" i="19"/>
  <c r="G73" i="19"/>
  <c r="G59" i="19" l="1"/>
  <c r="J59" i="19" s="1"/>
  <c r="G58" i="19"/>
  <c r="J58" i="19" s="1"/>
  <c r="G6" i="19"/>
  <c r="G27" i="19"/>
  <c r="G38" i="19" s="1"/>
  <c r="G7" i="19"/>
  <c r="J7" i="19" s="1"/>
  <c r="G52" i="19"/>
  <c r="G68" i="19" s="1"/>
  <c r="G43" i="19"/>
  <c r="G47" i="19" s="1"/>
  <c r="G72" i="19"/>
  <c r="J72" i="19" s="1"/>
  <c r="J43" i="19" l="1"/>
  <c r="J47" i="19" s="1"/>
  <c r="G78" i="19"/>
  <c r="J6" i="19"/>
  <c r="J27" i="19"/>
  <c r="J52" i="19"/>
  <c r="J84" i="19"/>
  <c r="J85" i="19" s="1"/>
  <c r="G16" i="19" l="1"/>
  <c r="G17" i="19"/>
  <c r="G23" i="19" l="1"/>
  <c r="J16" i="19"/>
  <c r="G91" i="19"/>
  <c r="E97" i="19"/>
  <c r="F97" i="19"/>
  <c r="G97" i="19"/>
  <c r="L10" i="1"/>
  <c r="H6" i="1"/>
  <c r="J91" i="19" l="1"/>
  <c r="G93" i="19"/>
  <c r="G99" i="19" s="1"/>
  <c r="A48" i="16"/>
  <c r="D21" i="10"/>
  <c r="C51" i="1" s="1"/>
  <c r="D54" i="1" s="1"/>
  <c r="R25" i="19" s="1"/>
  <c r="E71" i="19"/>
  <c r="F71" i="19"/>
  <c r="L97" i="19"/>
  <c r="D31" i="10"/>
  <c r="D58" i="1" s="1"/>
  <c r="H26" i="16"/>
  <c r="E6" i="1"/>
  <c r="F17" i="19"/>
  <c r="F23" i="19" s="1"/>
  <c r="J93" i="19" l="1"/>
  <c r="S24" i="19" s="1"/>
  <c r="J17" i="19"/>
  <c r="J71" i="19"/>
  <c r="F61" i="19"/>
  <c r="J61" i="19" s="1"/>
  <c r="F31" i="19"/>
  <c r="J31" i="19" s="1"/>
  <c r="F30" i="19"/>
  <c r="F57" i="19"/>
  <c r="F68" i="19" s="1"/>
  <c r="F73" i="19"/>
  <c r="F78" i="19" s="1"/>
  <c r="H12" i="1"/>
  <c r="H37" i="1"/>
  <c r="E68" i="1"/>
  <c r="I68" i="1" s="1"/>
  <c r="D28" i="1"/>
  <c r="R21" i="19" s="1"/>
  <c r="C14" i="8"/>
  <c r="D14" i="8" s="1"/>
  <c r="C10" i="8"/>
  <c r="D10" i="8" s="1"/>
  <c r="D9" i="8"/>
  <c r="D11" i="16"/>
  <c r="D6" i="8"/>
  <c r="D5" i="8"/>
  <c r="D6" i="16"/>
  <c r="A6" i="16"/>
  <c r="E48" i="16"/>
  <c r="E30" i="19"/>
  <c r="E38" i="19" s="1"/>
  <c r="E73" i="19"/>
  <c r="E78" i="19" s="1"/>
  <c r="E57" i="19"/>
  <c r="E68" i="19" s="1"/>
  <c r="J23" i="19" l="1"/>
  <c r="E99" i="19"/>
  <c r="F38" i="19"/>
  <c r="F99" i="19" s="1"/>
  <c r="J30" i="19"/>
  <c r="J73" i="19"/>
  <c r="J57" i="19"/>
  <c r="E6" i="8"/>
  <c r="E10" i="8"/>
  <c r="E14" i="8"/>
  <c r="H48" i="16"/>
  <c r="H29" i="1"/>
  <c r="D24" i="16"/>
  <c r="G19" i="1" l="1"/>
  <c r="J68" i="19"/>
  <c r="S21" i="19" s="1"/>
  <c r="T21" i="19" s="1"/>
  <c r="J38" i="19"/>
  <c r="S23" i="19" s="1"/>
  <c r="T23" i="19" s="1"/>
  <c r="J78" i="19"/>
  <c r="S20" i="19" s="1"/>
  <c r="T20" i="19" s="1"/>
  <c r="S22" i="19"/>
  <c r="D46" i="16"/>
  <c r="D47" i="16" s="1"/>
  <c r="S25" i="19"/>
  <c r="T25" i="19" s="1"/>
  <c r="D61" i="1" l="1"/>
  <c r="D43" i="1"/>
  <c r="R24" i="19" s="1"/>
  <c r="T24" i="19" s="1"/>
  <c r="G6" i="13"/>
  <c r="G7" i="13"/>
  <c r="G8" i="13"/>
  <c r="G5" i="13"/>
  <c r="H6" i="16"/>
  <c r="E6" i="16"/>
  <c r="J97" i="19"/>
  <c r="J99" i="19" s="1"/>
  <c r="S18" i="19" l="1"/>
  <c r="G10" i="13"/>
  <c r="C29" i="16" s="1"/>
  <c r="D32" i="16" s="1"/>
  <c r="H5" i="13"/>
  <c r="T18" i="19" l="1"/>
  <c r="C15" i="1"/>
  <c r="R19" i="19" s="1"/>
  <c r="D39" i="1"/>
  <c r="D33" i="1"/>
  <c r="R22" i="19" s="1"/>
  <c r="T22" i="19" s="1"/>
  <c r="R27" i="19" l="1"/>
  <c r="C67" i="1"/>
  <c r="D67" i="1" s="1"/>
  <c r="D68" i="1" s="1"/>
  <c r="J74" i="1" s="1"/>
  <c r="E8" i="13"/>
  <c r="E7" i="13"/>
  <c r="E6" i="13"/>
  <c r="E10" i="13" s="1"/>
  <c r="D48" i="16" l="1"/>
  <c r="H7" i="13"/>
  <c r="H8" i="13"/>
  <c r="H6" i="13" l="1"/>
  <c r="H10" i="13" s="1"/>
  <c r="H26" i="1" l="1"/>
  <c r="G18" i="1"/>
  <c r="S19" i="19"/>
  <c r="T19" i="19" l="1"/>
  <c r="T27" i="19" s="1"/>
  <c r="H19" i="1"/>
  <c r="H68" i="1" s="1"/>
  <c r="J68" i="1" s="1"/>
  <c r="S27" i="19"/>
  <c r="L99" i="19"/>
</calcChain>
</file>

<file path=xl/sharedStrings.xml><?xml version="1.0" encoding="utf-8"?>
<sst xmlns="http://schemas.openxmlformats.org/spreadsheetml/2006/main" count="1013" uniqueCount="623">
  <si>
    <t>Cash &amp; Bank Balance</t>
  </si>
  <si>
    <t>Cash in hand</t>
  </si>
  <si>
    <t>Mumbai District Central Co-op. Bank</t>
  </si>
  <si>
    <t>Deposits</t>
  </si>
  <si>
    <t>Fixed Assets</t>
  </si>
  <si>
    <t>Sundry Debtors</t>
  </si>
  <si>
    <t>Insurance Charges</t>
  </si>
  <si>
    <t>Furniture &amp; Fixture</t>
  </si>
  <si>
    <t>As per last Balance Sheet</t>
  </si>
  <si>
    <t>ASSETS</t>
  </si>
  <si>
    <t>LIABILITIES</t>
  </si>
  <si>
    <t>Authorised Share Capital</t>
  </si>
  <si>
    <t>Reserve and Surplus Fund</t>
  </si>
  <si>
    <t>Sinking Fund</t>
  </si>
  <si>
    <t>Add: Additions during the year</t>
  </si>
  <si>
    <t>Current Liabilities &amp; Provisions</t>
  </si>
  <si>
    <t>Audit Fees</t>
  </si>
  <si>
    <t>Water Charges</t>
  </si>
  <si>
    <t>Income &amp; Expenditure Account</t>
  </si>
  <si>
    <t>Electricity Charges</t>
  </si>
  <si>
    <t>Parking Charges</t>
  </si>
  <si>
    <t>Non Occupancy Charges</t>
  </si>
  <si>
    <t>Accounting Charges</t>
  </si>
  <si>
    <t>Meeting Expenses</t>
  </si>
  <si>
    <t>Depreciation</t>
  </si>
  <si>
    <t>Conveyance</t>
  </si>
  <si>
    <t>Certificate No.</t>
  </si>
  <si>
    <t>Date</t>
  </si>
  <si>
    <t>Total</t>
  </si>
  <si>
    <t>Maturity Date</t>
  </si>
  <si>
    <t>Maturity Value</t>
  </si>
  <si>
    <t>Interest %</t>
  </si>
  <si>
    <t>Bank</t>
  </si>
  <si>
    <t>Amount Invested</t>
  </si>
  <si>
    <t>Professional Fees</t>
  </si>
  <si>
    <t>The Shamrao Vithal Co-op. Bank Ltd.</t>
  </si>
  <si>
    <t>Shares in Mah. State Co-op. Hsg. Fed. Ltd.</t>
  </si>
  <si>
    <t>Land and Building</t>
  </si>
  <si>
    <t>Add: Addition during the year</t>
  </si>
  <si>
    <t>Contingency Fund</t>
  </si>
  <si>
    <t>Repair Fund</t>
  </si>
  <si>
    <t>Security Charges</t>
  </si>
  <si>
    <t>Sr. No.</t>
  </si>
  <si>
    <t>Festival Expenses</t>
  </si>
  <si>
    <t>Insurance</t>
  </si>
  <si>
    <t>Service Charges</t>
  </si>
  <si>
    <t>Stilt Tax</t>
  </si>
  <si>
    <t>Lift Maintenance Charges</t>
  </si>
  <si>
    <t>Bank Charges</t>
  </si>
  <si>
    <t>Pest Control Charges</t>
  </si>
  <si>
    <t>Sl.No</t>
  </si>
  <si>
    <t>Flat</t>
  </si>
  <si>
    <t>Name</t>
  </si>
  <si>
    <t>Amount</t>
  </si>
  <si>
    <t>Mr. Chandresh Gawans</t>
  </si>
  <si>
    <t>Mr. Anthony Rodrigues</t>
  </si>
  <si>
    <t>MDCC</t>
  </si>
  <si>
    <t>GRAND TOTAL</t>
  </si>
  <si>
    <t>Gross Block</t>
  </si>
  <si>
    <t>Net Block</t>
  </si>
  <si>
    <t>Assets</t>
  </si>
  <si>
    <t>Rate of Dep (%)</t>
  </si>
  <si>
    <t>LITTLE SUNFLOWER CO-OP HOUSING SOCIETY LIMITED</t>
  </si>
  <si>
    <t>Water Pump</t>
  </si>
  <si>
    <t>CCTV</t>
  </si>
  <si>
    <t>Water Expenses</t>
  </si>
  <si>
    <t>Ms. Marceline Lasrado</t>
  </si>
  <si>
    <t>Mr. Anthony Francis Silveira</t>
  </si>
  <si>
    <t>Mr. Kunal Kevin Menezes</t>
  </si>
  <si>
    <t>Education &amp; Training Fund</t>
  </si>
  <si>
    <t>Income</t>
  </si>
  <si>
    <t>Property Tax</t>
  </si>
  <si>
    <t>Electricity Expenses</t>
  </si>
  <si>
    <t>Late Payment Interest</t>
  </si>
  <si>
    <t>Lift AMC Expenses</t>
  </si>
  <si>
    <t>Lift Repair  and  Maintenance</t>
  </si>
  <si>
    <t>Garden Maintenance</t>
  </si>
  <si>
    <t>Repair Maintenance - Others</t>
  </si>
  <si>
    <t>Repair Maintenance - Electrical</t>
  </si>
  <si>
    <t>Pest Control Expenses</t>
  </si>
  <si>
    <t>Insurance Expenses</t>
  </si>
  <si>
    <t>Printing  and  Stationery</t>
  </si>
  <si>
    <t>702/802</t>
  </si>
  <si>
    <t>Add: 25% Trfd from Surplus  Income</t>
  </si>
  <si>
    <t>As per my report of even date</t>
  </si>
  <si>
    <t>Contribution Towards Land &amp; Building</t>
  </si>
  <si>
    <t>Balance as per System</t>
  </si>
  <si>
    <t xml:space="preserve">Add: </t>
  </si>
  <si>
    <t>Cheque issued but not presented</t>
  </si>
  <si>
    <t>a. As per statement</t>
  </si>
  <si>
    <t>Less:</t>
  </si>
  <si>
    <t>Cheques deposited but not cleared</t>
  </si>
  <si>
    <t>Balance as per Bank Statement</t>
  </si>
  <si>
    <t>Little Sunflower CHS Ltd</t>
  </si>
  <si>
    <t>Reserve Fund</t>
  </si>
  <si>
    <t>MoveIn -Moveout Charges</t>
  </si>
  <si>
    <t>Repair Maintenance - Plumbing</t>
  </si>
  <si>
    <t>Intercom AMC Expenses</t>
  </si>
  <si>
    <t>Securtiy Deposit Fund</t>
  </si>
  <si>
    <t>Share Capital Fund</t>
  </si>
  <si>
    <t>FDL/43943</t>
  </si>
  <si>
    <t>29.06.2021</t>
  </si>
  <si>
    <t>Pest Control</t>
  </si>
  <si>
    <t>Plot No.19, Lourdes Colony, Orlem, Malad - West, Mumbai - 400 064</t>
  </si>
  <si>
    <t>Vendor &amp; Other Payable</t>
  </si>
  <si>
    <t>TDS Payable</t>
  </si>
  <si>
    <t>SCB</t>
  </si>
  <si>
    <t>Citizen</t>
  </si>
  <si>
    <t>Painting Fund</t>
  </si>
  <si>
    <t>A/c. Head</t>
  </si>
  <si>
    <t>Saraswat Bank</t>
  </si>
  <si>
    <t>Citizen Credit Bank</t>
  </si>
  <si>
    <t>Beetle Telephone</t>
  </si>
  <si>
    <t>CCTV AMC</t>
  </si>
  <si>
    <t>Days</t>
  </si>
  <si>
    <t>Add: Interest received/ Accrued</t>
  </si>
  <si>
    <t>Building Painting Fund</t>
  </si>
  <si>
    <t>Professional Fess - TDS Returns</t>
  </si>
  <si>
    <t>Less: Trf to Contingency Fund</t>
  </si>
  <si>
    <t>Less: Trf to Reserve Fund</t>
  </si>
  <si>
    <t>Less: Trf to Bldg. Painting Fund</t>
  </si>
  <si>
    <t>Less: Trf to Repair Fund</t>
  </si>
  <si>
    <t>Less: Trf to Sinking Fund</t>
  </si>
  <si>
    <t>Interest Income - Savings A/c.</t>
  </si>
  <si>
    <t>Share in Mah. Co-op. Hsg. Finance Soc. Ltd.</t>
  </si>
  <si>
    <t>Shares in Mumbai Dist. Co-op. Hsg. Fed.</t>
  </si>
  <si>
    <t>03.05.2023</t>
  </si>
  <si>
    <t>SVC</t>
  </si>
  <si>
    <t>04.07.2023</t>
  </si>
  <si>
    <t>01.01.2024</t>
  </si>
  <si>
    <t>31.05.2023</t>
  </si>
  <si>
    <t>18.05.2023</t>
  </si>
  <si>
    <t>10.02.2024</t>
  </si>
  <si>
    <t>26.03.2024</t>
  </si>
  <si>
    <t>Miscelleanous Expenses</t>
  </si>
  <si>
    <t>TDS Receivable</t>
  </si>
  <si>
    <t>Adani</t>
  </si>
  <si>
    <t>Ms. Melba Figueiredo</t>
  </si>
  <si>
    <t>31.08.2021</t>
  </si>
  <si>
    <t>11.02.2022</t>
  </si>
  <si>
    <t>17.02.2022</t>
  </si>
  <si>
    <t>14.02.2025</t>
  </si>
  <si>
    <t>16.02.2025</t>
  </si>
  <si>
    <t>Excess of Income over Expenditure</t>
  </si>
  <si>
    <t>Accrued Int. 21-22</t>
  </si>
  <si>
    <t>Less: Refunds during the year</t>
  </si>
  <si>
    <t>Water Expense</t>
  </si>
  <si>
    <t>V.S. Enterprises</t>
  </si>
  <si>
    <t>Period from and upto</t>
  </si>
  <si>
    <t>11.02.2027</t>
  </si>
  <si>
    <t>17.02.2027</t>
  </si>
  <si>
    <t>31.08.2026</t>
  </si>
  <si>
    <t>09.02.2025</t>
  </si>
  <si>
    <t>10.02.2025</t>
  </si>
  <si>
    <t>17.06.2024</t>
  </si>
  <si>
    <t>11.02.2025</t>
  </si>
  <si>
    <t>12.05.2024</t>
  </si>
  <si>
    <t>12.04.2024</t>
  </si>
  <si>
    <t>10.01.2024</t>
  </si>
  <si>
    <t>28.11.2023</t>
  </si>
  <si>
    <t>Federation Subscription</t>
  </si>
  <si>
    <t>Accrued Int. 22-23</t>
  </si>
  <si>
    <t>06.12.2022</t>
  </si>
  <si>
    <t>6605400014698</t>
  </si>
  <si>
    <t>08.12.2022</t>
  </si>
  <si>
    <t>08.12.2027</t>
  </si>
  <si>
    <t>05.12.2027</t>
  </si>
  <si>
    <t>14.04.2025</t>
  </si>
  <si>
    <t>Less: Expense on Grotto maintenance</t>
  </si>
  <si>
    <t>Interest Income - IT Refund</t>
  </si>
  <si>
    <t>25% trf to Reserve Fund</t>
  </si>
  <si>
    <t>Ashna Elevators</t>
  </si>
  <si>
    <t>Professional Fess - IT Returns</t>
  </si>
  <si>
    <t>Mr. Heslyn Greg Silveira</t>
  </si>
  <si>
    <t>Ms. Prescilla Theresa Goveas</t>
  </si>
  <si>
    <t>Grotto Fund</t>
  </si>
  <si>
    <t>Add: Transferred from Reserve Fund</t>
  </si>
  <si>
    <t>Less: Trf to Retained Earnings</t>
  </si>
  <si>
    <t>Accrued Int. 23-24</t>
  </si>
  <si>
    <t>TD0000413093</t>
  </si>
  <si>
    <t>2023-24</t>
  </si>
  <si>
    <t>08.11.2025</t>
  </si>
  <si>
    <t>01.01.2027</t>
  </si>
  <si>
    <t>30.11.2025</t>
  </si>
  <si>
    <t>39864_1</t>
  </si>
  <si>
    <t>39874_1</t>
  </si>
  <si>
    <t>39990_1</t>
  </si>
  <si>
    <t>39995_1</t>
  </si>
  <si>
    <t>41141_1</t>
  </si>
  <si>
    <t>41367_1</t>
  </si>
  <si>
    <t>41369_1</t>
  </si>
  <si>
    <t>41718_1</t>
  </si>
  <si>
    <t>16.03.2014</t>
  </si>
  <si>
    <t>03.10.2023</t>
  </si>
  <si>
    <t>Prepaid</t>
  </si>
  <si>
    <t>Salary/Bonus Expenses</t>
  </si>
  <si>
    <t>Vendor</t>
  </si>
  <si>
    <t>Chq no.</t>
  </si>
  <si>
    <t>Cleared date</t>
  </si>
  <si>
    <t>25.10.2023</t>
  </si>
  <si>
    <t>39880_1</t>
  </si>
  <si>
    <t>Professional Fess - Mandatory returns</t>
  </si>
  <si>
    <t>Less: Trf to Grotto Fund</t>
  </si>
  <si>
    <t xml:space="preserve">Interest Income on FD Redeemed </t>
  </si>
  <si>
    <t xml:space="preserve">Income Tax </t>
  </si>
  <si>
    <t>23.11.2028</t>
  </si>
  <si>
    <t>10.02.2027</t>
  </si>
  <si>
    <t>04.07.2026</t>
  </si>
  <si>
    <t>31.05.2026</t>
  </si>
  <si>
    <t>18.05.2026</t>
  </si>
  <si>
    <t>10.01.2027</t>
  </si>
  <si>
    <t>09.10.2026</t>
  </si>
  <si>
    <t>03.04.2026</t>
  </si>
  <si>
    <t>28.11.2025</t>
  </si>
  <si>
    <t>25.06.2025</t>
  </si>
  <si>
    <t>26.03.2027</t>
  </si>
  <si>
    <t>16.03.2029</t>
  </si>
  <si>
    <t>05.07.2025</t>
  </si>
  <si>
    <t>09.10.2023</t>
  </si>
  <si>
    <t>(Regd. No. BOM/HSG/3365/1972)</t>
  </si>
  <si>
    <t>Expenditure</t>
  </si>
  <si>
    <t>Issued, Subscribed and Paid Up Share Captial</t>
  </si>
  <si>
    <t xml:space="preserve"> (2000 Shares of Rs.50/- each )</t>
  </si>
  <si>
    <t>(280 Shares of Rs.50/- each)</t>
  </si>
  <si>
    <t>Fixed Deposits with Banks (As per Sch I)</t>
  </si>
  <si>
    <t>Accrued Interest on FDRs with Banks</t>
  </si>
  <si>
    <t>Investments &amp; Deposits :</t>
  </si>
  <si>
    <t>Security Deposit with Adani Electricity</t>
  </si>
  <si>
    <t>Prepaid Expenses :</t>
  </si>
  <si>
    <t>Other Current Assets :</t>
  </si>
  <si>
    <t>(Amt. in Rs.)</t>
  </si>
  <si>
    <t>Plot No.19, Lourdes Colony, Orlem, Malad ( West ), Mumbai - 400 064</t>
  </si>
  <si>
    <t>Fixed Assets ( As per Sch II)</t>
  </si>
  <si>
    <r>
      <t xml:space="preserve">Member's Receivables - ( As per </t>
    </r>
    <r>
      <rPr>
        <b/>
        <sz val="11"/>
        <color theme="1"/>
        <rFont val="Calibri"/>
        <family val="2"/>
        <scheme val="minor"/>
      </rPr>
      <t>Sch III )</t>
    </r>
  </si>
  <si>
    <t>Refundable Deposit - ( As per Sch IV )</t>
  </si>
  <si>
    <t>Advance from Members - ( As per Sch V )</t>
  </si>
  <si>
    <t>Payables -  ( As per Sch VI )</t>
  </si>
  <si>
    <t>By Maintenance Contribution from Members:</t>
  </si>
  <si>
    <t>By Property Tax Contribution from Members :</t>
  </si>
  <si>
    <t>By Bank Interest Income</t>
  </si>
  <si>
    <t xml:space="preserve">By Interest Income - Fixed Deposits </t>
  </si>
  <si>
    <t>To Income over Expenditure for the year</t>
  </si>
  <si>
    <t>To Property Tax :</t>
  </si>
  <si>
    <t>To Lift Maintenance :</t>
  </si>
  <si>
    <t>To Repair &amp; Maintenance :</t>
  </si>
  <si>
    <t>To Service Charges :</t>
  </si>
  <si>
    <t>To Office Expenses :</t>
  </si>
  <si>
    <t>provision</t>
  </si>
  <si>
    <t>Ganesh Security</t>
  </si>
  <si>
    <t>Annamalia</t>
  </si>
  <si>
    <t>Bahadur</t>
  </si>
  <si>
    <t>Accrued Int. 24-25</t>
  </si>
  <si>
    <t>6605400014443_1</t>
  </si>
  <si>
    <t>6605300017266_2</t>
  </si>
  <si>
    <t>6605400014434_1</t>
  </si>
  <si>
    <t>6605300017268_2</t>
  </si>
  <si>
    <t>6605300017267_2</t>
  </si>
  <si>
    <t>TD1001257525</t>
  </si>
  <si>
    <t>41796_1</t>
  </si>
  <si>
    <t>41799_1</t>
  </si>
  <si>
    <t>41981_1</t>
  </si>
  <si>
    <t>42877_1</t>
  </si>
  <si>
    <t>42887_1</t>
  </si>
  <si>
    <t>6605400014035_1</t>
  </si>
  <si>
    <t>30.09.2024</t>
  </si>
  <si>
    <t>30.09.2026</t>
  </si>
  <si>
    <t>30.12.2025</t>
  </si>
  <si>
    <t>16.02.2028</t>
  </si>
  <si>
    <t>08.02.2026</t>
  </si>
  <si>
    <t>28.03.2026</t>
  </si>
  <si>
    <t>14.02.2026</t>
  </si>
  <si>
    <t>42878_1</t>
  </si>
  <si>
    <t>42888_1</t>
  </si>
  <si>
    <t>6605500001463_2</t>
  </si>
  <si>
    <t>Fire Fighting System</t>
  </si>
  <si>
    <t>Ms. Chatura K. Fernandes</t>
  </si>
  <si>
    <t>2024-25</t>
  </si>
  <si>
    <t>Terrace Usage Charges</t>
  </si>
  <si>
    <t>Sale of Scrap</t>
  </si>
  <si>
    <t>Less: Expenses incurred during the year</t>
  </si>
  <si>
    <t>17.03.2025</t>
  </si>
  <si>
    <t>17.03.2030</t>
  </si>
  <si>
    <t>30.11.2024</t>
  </si>
  <si>
    <t>30.11.2029</t>
  </si>
  <si>
    <t>10.02.2028</t>
  </si>
  <si>
    <t>11.02.2028</t>
  </si>
  <si>
    <t>09.02.2028</t>
  </si>
  <si>
    <t>12.04.2027</t>
  </si>
  <si>
    <t>13.05.2027</t>
  </si>
  <si>
    <t>14.05.2027</t>
  </si>
  <si>
    <t>14.05.2024</t>
  </si>
  <si>
    <t>07.07.2027</t>
  </si>
  <si>
    <t>10.09.2025</t>
  </si>
  <si>
    <t>08.07.2027</t>
  </si>
  <si>
    <t>08.07.2024</t>
  </si>
  <si>
    <t>Less: Trfd to Repair Fund</t>
  </si>
  <si>
    <t>Little Sunflower C.H.S. Ltd - Income - Non Members &gt; Interest Income - Fixed Deposit  ( 306002 ) &lt;br&gt;Transactions From 01-04-2024 to 31-03-2025</t>
  </si>
  <si>
    <t>Journal No.</t>
  </si>
  <si>
    <t>Posted Date</t>
  </si>
  <si>
    <t>Comments</t>
  </si>
  <si>
    <t>Credit</t>
  </si>
  <si>
    <t>Irene Rosario (TDS reimbursement)</t>
  </si>
  <si>
    <t>Less: Painting and Repair Expenses</t>
  </si>
  <si>
    <t>Add: Excess of Income over Expenditure</t>
  </si>
  <si>
    <t>Fund</t>
  </si>
  <si>
    <t>RF</t>
  </si>
  <si>
    <t>SF</t>
  </si>
  <si>
    <t>CF</t>
  </si>
  <si>
    <t>PF</t>
  </si>
  <si>
    <t>GF</t>
  </si>
  <si>
    <t>SDF</t>
  </si>
  <si>
    <t>SC</t>
  </si>
  <si>
    <t>System</t>
  </si>
  <si>
    <t>Diff</t>
  </si>
  <si>
    <t>Savings Account Interest</t>
  </si>
  <si>
    <t>Contignecy</t>
  </si>
  <si>
    <t>GF/Grotto</t>
  </si>
  <si>
    <t>Painting</t>
  </si>
  <si>
    <t>Reserve</t>
  </si>
  <si>
    <t>Retention</t>
  </si>
  <si>
    <t>Ret</t>
  </si>
  <si>
    <t>Repair</t>
  </si>
  <si>
    <t>Share</t>
  </si>
  <si>
    <t>Security</t>
  </si>
  <si>
    <t>Sinking</t>
  </si>
  <si>
    <t>Add: Donation from Flat 404</t>
  </si>
  <si>
    <t>Add: Provision of Lift Inspection w/back</t>
  </si>
  <si>
    <t>Accrued Int. 25-26</t>
  </si>
  <si>
    <t>TD0000413095_03</t>
  </si>
  <si>
    <t>TD0000413096_03</t>
  </si>
  <si>
    <t>TD0000413097_03</t>
  </si>
  <si>
    <t>TD0000413098_03</t>
  </si>
  <si>
    <t>TD0000413100_03</t>
  </si>
  <si>
    <t>TD0000413488_03</t>
  </si>
  <si>
    <t>41420_02</t>
  </si>
  <si>
    <t>17.02.2026</t>
  </si>
  <si>
    <t>18.02.2029</t>
  </si>
  <si>
    <t>6605400009713_3</t>
  </si>
  <si>
    <t>28.03.2027</t>
  </si>
  <si>
    <t>6605300015439_3</t>
  </si>
  <si>
    <t>08.02.2027</t>
  </si>
  <si>
    <t>6605300011350_3</t>
  </si>
  <si>
    <t>6605400012118_3</t>
  </si>
  <si>
    <t>6605400011724_4</t>
  </si>
  <si>
    <t>08.11.2027</t>
  </si>
  <si>
    <t>30.12.2026</t>
  </si>
  <si>
    <t>6605300015441_3</t>
  </si>
  <si>
    <t>6605400013159_3</t>
  </si>
  <si>
    <t>6605400015102_01</t>
  </si>
  <si>
    <t>30.11.2027</t>
  </si>
  <si>
    <t>16.02.2026</t>
  </si>
  <si>
    <t>2090100003053384_2</t>
  </si>
  <si>
    <t>2090100003053386_2</t>
  </si>
  <si>
    <t>2090100003053396_2</t>
  </si>
  <si>
    <t>2090100003053502_2</t>
  </si>
  <si>
    <t>TD1002026254 </t>
  </si>
  <si>
    <t>17.02.2028</t>
  </si>
  <si>
    <t>TD1002030209 </t>
  </si>
  <si>
    <t>20.02.2026</t>
  </si>
  <si>
    <t>20.02.2028</t>
  </si>
  <si>
    <t>10.01.2026</t>
  </si>
  <si>
    <t>10.01.2028</t>
  </si>
  <si>
    <t>28.11.2027</t>
  </si>
  <si>
    <t>07.11.2026</t>
  </si>
  <si>
    <t>17.11.2026</t>
  </si>
  <si>
    <t>23.01.2027</t>
  </si>
  <si>
    <t>Schedule I - Details of Fixed Deposits as on 31st March 2026</t>
  </si>
  <si>
    <t>Previous Year 2024-25</t>
  </si>
  <si>
    <t>Current Year 2025-26</t>
  </si>
  <si>
    <t xml:space="preserve"> BALANCE SHEET AS AT 31ST MARCH 2026</t>
  </si>
  <si>
    <t>INCOME &amp; EXPENDITURE ACCOUNT FOR THE YEAR ENDED 31ST MARCH 2026</t>
  </si>
  <si>
    <t>JE-2025-0000034</t>
  </si>
  <si>
    <t>14-04-2025</t>
  </si>
  <si>
    <t>Being FD 41420 renewed and remade SVC - RMF</t>
  </si>
  <si>
    <t>RMF</t>
  </si>
  <si>
    <t>JE-2025-0000111</t>
  </si>
  <si>
    <t>25-06-2025</t>
  </si>
  <si>
    <t>Being FD 3053386 renewed and remade CIT - SF</t>
  </si>
  <si>
    <t>JE-2025-0000109</t>
  </si>
  <si>
    <t>Being FD 3053384 renewed and remade CIT - CF</t>
  </si>
  <si>
    <t>JE-2025-0000001</t>
  </si>
  <si>
    <t>30-06-2025</t>
  </si>
  <si>
    <t>Being Int recd on FD  TD102101030043943 - SC SVC</t>
  </si>
  <si>
    <t>JE-2025-0000073</t>
  </si>
  <si>
    <t>Being int on FD 301100 CIT</t>
  </si>
  <si>
    <t>JE-2025-0000113</t>
  </si>
  <si>
    <t>05-07-2025</t>
  </si>
  <si>
    <t>Being FD 3053396 renewed and remade CIT - SDF</t>
  </si>
  <si>
    <t>JE-2025-0000115</t>
  </si>
  <si>
    <t>10-09-2025</t>
  </si>
  <si>
    <t>Being FD 3053502 renewed and remade CIT - CF</t>
  </si>
  <si>
    <t>JE-2025-0000004</t>
  </si>
  <si>
    <t>30-09-2025</t>
  </si>
  <si>
    <t>Being int on FD  102101030043943 SVC</t>
  </si>
  <si>
    <t>JE-2025-0000074</t>
  </si>
  <si>
    <t>JE-2025-0000080</t>
  </si>
  <si>
    <t>07-10-2025</t>
  </si>
  <si>
    <t>JE-2025-0000096</t>
  </si>
  <si>
    <t>08-11-2025</t>
  </si>
  <si>
    <t>Being FD 6605400011724 renewed and remade MDCC - SF</t>
  </si>
  <si>
    <t>JE-2025-0000018</t>
  </si>
  <si>
    <t>28-11-2025</t>
  </si>
  <si>
    <t>Being FD TD0000413097 renewed and remade SCB - RF</t>
  </si>
  <si>
    <t>JE-2025-0000016</t>
  </si>
  <si>
    <t>Being FD TD0000413096 renewed and remade SCB - RMF</t>
  </si>
  <si>
    <t>JE-2025-0000020</t>
  </si>
  <si>
    <t>Being FD TD0000413098 renewed and remade SCB - CF</t>
  </si>
  <si>
    <t>JE-2025-0000014</t>
  </si>
  <si>
    <t>Being FD TD0000413095 renewed and remade SCB - RF</t>
  </si>
  <si>
    <t>JE-2025-0000022</t>
  </si>
  <si>
    <t>Being FD TD0000413100 renewed and remade SCB - PF</t>
  </si>
  <si>
    <t>JE-2025-0000105</t>
  </si>
  <si>
    <t>30-11-2025</t>
  </si>
  <si>
    <t>Being FD 6605400015102 renewed and remade MDCC - SF</t>
  </si>
  <si>
    <t>JE-2025-0000094</t>
  </si>
  <si>
    <t>30-12-2025</t>
  </si>
  <si>
    <t>Being FD 6605400012118 renewed and remade MDCC - SF</t>
  </si>
  <si>
    <t>JE-2025-0000075</t>
  </si>
  <si>
    <t>31-12-2025</t>
  </si>
  <si>
    <t>JE-2025-0000007</t>
  </si>
  <si>
    <t>Being interest recd on fixed deposit TD102101030043943 SVC</t>
  </si>
  <si>
    <t>JE-2025-0000024</t>
  </si>
  <si>
    <t>10-01-2026</t>
  </si>
  <si>
    <t>Being FD TD0000413488 renewed and remade SCB - RMF</t>
  </si>
  <si>
    <t>JE-2025-0000102</t>
  </si>
  <si>
    <t>08-02-2026</t>
  </si>
  <si>
    <t>Being FD 6605400013159 renewed and remade MDCC - SF</t>
  </si>
  <si>
    <t>JE-2025-0000085</t>
  </si>
  <si>
    <t>Being FD 6605300015439 renewed and remade MDCC - RF</t>
  </si>
  <si>
    <t>JE-2025-0000098</t>
  </si>
  <si>
    <t>Being FD 6605300015441 renewed and remade MDCC - CF</t>
  </si>
  <si>
    <t>JE-2025-0000088</t>
  </si>
  <si>
    <t>28-03-2026</t>
  </si>
  <si>
    <t>Being FD 6605300011350 renewed and remade MDCC - CF</t>
  </si>
  <si>
    <t>JE-2025-0000083</t>
  </si>
  <si>
    <t>Being FD 6605400009713 renewed and remade MDCC - SF</t>
  </si>
  <si>
    <t>JE-2025-0000086</t>
  </si>
  <si>
    <t>31-03-2026</t>
  </si>
  <si>
    <t>Being int accu on FD 6605300015439 - RF - MDCC</t>
  </si>
  <si>
    <t>JE-2025-0000087</t>
  </si>
  <si>
    <t>JE-2025-0000068</t>
  </si>
  <si>
    <t>JE-2025-0000089</t>
  </si>
  <si>
    <t>Being int accu on FD 6605300011350 - CF - MDCC</t>
  </si>
  <si>
    <t>JE-2025-0000084</t>
  </si>
  <si>
    <t>Being int accu on FD 6605400009713- SF - MDCC</t>
  </si>
  <si>
    <t>JE-2025-0000076</t>
  </si>
  <si>
    <t>JE-2025-0000072</t>
  </si>
  <si>
    <t>Being int accu on FD 281691 - SF - SVC</t>
  </si>
  <si>
    <t>JE-2025-0000071</t>
  </si>
  <si>
    <t>Being int accu on FD 281681 - CF - SVC</t>
  </si>
  <si>
    <t>JE-2025-0000070</t>
  </si>
  <si>
    <t>Being int accu on FD 281673 - RMF - SVC</t>
  </si>
  <si>
    <t>JE-2025-0000069</t>
  </si>
  <si>
    <t>Being int accu on FD 220754 - GRF - SVC</t>
  </si>
  <si>
    <t>GRF</t>
  </si>
  <si>
    <t>JE-2025-0000116</t>
  </si>
  <si>
    <t>Being int accu on FD 2090100003053502- CF - CIT</t>
  </si>
  <si>
    <t>JE-2025-0000101</t>
  </si>
  <si>
    <t>Being int accu on FD 6605300017268- RMF - MDCC</t>
  </si>
  <si>
    <t>JE-2025-0000114</t>
  </si>
  <si>
    <t>Being int accu on FD 3053396 - SDF - CIT</t>
  </si>
  <si>
    <t>JE-2025-0000112</t>
  </si>
  <si>
    <t>Being int accu on FD 3053386 - SF - CIT</t>
  </si>
  <si>
    <t>JE-2025-0000110</t>
  </si>
  <si>
    <t>Being int accu on FD 3053384 - CF - CIT</t>
  </si>
  <si>
    <t>JE-2025-0000108</t>
  </si>
  <si>
    <t>Being int accu on FD 6605400016067 - SF - MDCC</t>
  </si>
  <si>
    <t>JE-2025-0000107</t>
  </si>
  <si>
    <t>Being int accu on FD 6605400015598 - SF - MDCC</t>
  </si>
  <si>
    <t>JE-2025-0000106</t>
  </si>
  <si>
    <t>Being int accu on FD 6605400015102 - SF - MDCC</t>
  </si>
  <si>
    <t>JE-2025-0000104</t>
  </si>
  <si>
    <t>Being int accu on FD 6605400014698 - SF - MDCC</t>
  </si>
  <si>
    <t>JE-2025-0000103</t>
  </si>
  <si>
    <t>Being int accu on FD 6605400013159 - SF - MDCC</t>
  </si>
  <si>
    <t>JE-2025-0000090</t>
  </si>
  <si>
    <t>Being int accu on FD 6605400014035- SF - MDCC</t>
  </si>
  <si>
    <t>JE-2025-0000100</t>
  </si>
  <si>
    <t>Being int accu on FD 6605300017267 - RF - MDCC</t>
  </si>
  <si>
    <t>JE-2025-0000099</t>
  </si>
  <si>
    <t>Being int accu on FD 6605300015441- CF - MDCC</t>
  </si>
  <si>
    <t>JE-2025-0000097</t>
  </si>
  <si>
    <t>Being int accu on FD 6605400011724- SF - MDCC</t>
  </si>
  <si>
    <t>JE-2025-0000095</t>
  </si>
  <si>
    <t>Being int accu on FD 6605400012118 - SF - MDCCC</t>
  </si>
  <si>
    <t>JE-2025-0000093</t>
  </si>
  <si>
    <t>Being int accu on FD 6605300017266- CF - MDCC</t>
  </si>
  <si>
    <t>JE-2025-0000092</t>
  </si>
  <si>
    <t>Being int accu on FD 6605400014443 - SF - MDCC</t>
  </si>
  <si>
    <t>JE-2025-0000091</t>
  </si>
  <si>
    <t>Being int accu on FD 6605400014434- SF - MDCC</t>
  </si>
  <si>
    <t>JE-2025-0000025</t>
  </si>
  <si>
    <t>Being int accu on FD TD0000413488 - RMF - SCB</t>
  </si>
  <si>
    <t>JE-2025-0000036</t>
  </si>
  <si>
    <t>Being int accu on FD 41718 - CF - SVC</t>
  </si>
  <si>
    <t>JE-2025-0000035</t>
  </si>
  <si>
    <t>Being int accu on FD 41420 - RMF - SVC</t>
  </si>
  <si>
    <t>JE-2025-0000033</t>
  </si>
  <si>
    <t>Being int accu on FD 41369 - SDF - SVC</t>
  </si>
  <si>
    <t>JE-2025-0000032</t>
  </si>
  <si>
    <t>Being int accu on FD 41367 - CF - SVC</t>
  </si>
  <si>
    <t>JE-2025-0000031</t>
  </si>
  <si>
    <t>Being int accu on FD 41141 - SF - SVC</t>
  </si>
  <si>
    <t>JE-2025-0000030</t>
  </si>
  <si>
    <t>Being int accu on FD 39995 - RMF - SVC</t>
  </si>
  <si>
    <t>JE-2025-0000029</t>
  </si>
  <si>
    <t>Being int accu on FD 39990 - SF - SVC</t>
  </si>
  <si>
    <t>JE-2025-0000028</t>
  </si>
  <si>
    <t>Being int accu on FD 39880  - RF - SVC</t>
  </si>
  <si>
    <t>JE-2025-0000027</t>
  </si>
  <si>
    <t>Being int accu on FD 39874 - RF - SVC</t>
  </si>
  <si>
    <t>JE-2025-0000026</t>
  </si>
  <si>
    <t>Being int accru on FD TD1001257525 - PF - SCB</t>
  </si>
  <si>
    <t>JE-2025-0000037</t>
  </si>
  <si>
    <t>Being int accu on FD 41796 - CF - SVC</t>
  </si>
  <si>
    <t>JE-2025-0000023</t>
  </si>
  <si>
    <t>Being int accu on FD TD0000413100 - PF - SCB</t>
  </si>
  <si>
    <t>JE-2025-0000021</t>
  </si>
  <si>
    <t>Being int accu on FD TD0000413098 - CF - SCB</t>
  </si>
  <si>
    <t>JE-2025-0000019</t>
  </si>
  <si>
    <t>Being int accu on FD TD0000413097 - RF - SCB</t>
  </si>
  <si>
    <t>JE-2025-0000017</t>
  </si>
  <si>
    <t>Being int accu on FD TD0000413096 - RMF - SCB</t>
  </si>
  <si>
    <t>JE-2025-0000015</t>
  </si>
  <si>
    <t>JE-2025-0000013</t>
  </si>
  <si>
    <t>Being int accu on FD TD0000413093 - PF - SCB</t>
  </si>
  <si>
    <t>JE-2025-0000012</t>
  </si>
  <si>
    <t>Being int accu on FD 39864 - GRF - SVC</t>
  </si>
  <si>
    <t>JE-2025-0000010</t>
  </si>
  <si>
    <t>Being TD 102101030043943 Int 254.00 and TAX 25.00 SVC</t>
  </si>
  <si>
    <t>JE-2025-0000048</t>
  </si>
  <si>
    <t>Being int accu on FD 43583 - RMF - SVC</t>
  </si>
  <si>
    <t>JE-2025-0000066</t>
  </si>
  <si>
    <t>Being int accu on FD 116861 - RF - SVC</t>
  </si>
  <si>
    <t>JE-2025-0000065</t>
  </si>
  <si>
    <t>Being int accu on FD 116845 - RF - SVC</t>
  </si>
  <si>
    <t>JE-2025-0000064</t>
  </si>
  <si>
    <t>Being int accu on FD 116286 - RMF - SVC</t>
  </si>
  <si>
    <t>JE-2025-0000063</t>
  </si>
  <si>
    <t>Being int accu on FD 116280 - SF - SVC</t>
  </si>
  <si>
    <t>JE-2025-0000062</t>
  </si>
  <si>
    <t>Being int accu on FD 21123 - GRF - SVC</t>
  </si>
  <si>
    <t>JE-2025-0000061</t>
  </si>
  <si>
    <t>Being int accu on FD 21103 - CF - SVC</t>
  </si>
  <si>
    <t>JE-2025-0000060</t>
  </si>
  <si>
    <t>Being int accu on FD 21086 - RMF - SVC</t>
  </si>
  <si>
    <t>JE-2025-0000058</t>
  </si>
  <si>
    <t>Being int recd on FD TD1002030209 SCB CF</t>
  </si>
  <si>
    <t>JE-2025-0000057</t>
  </si>
  <si>
    <t>Being int recd on FD TD1002026254 SCB RMF</t>
  </si>
  <si>
    <t>JE-2025-0000049</t>
  </si>
  <si>
    <t>Being int accu on FD 43584 - CF - SVC</t>
  </si>
  <si>
    <t>JE-2025-0000067</t>
  </si>
  <si>
    <t>Being int accu on FD 220738 - RF - SVC</t>
  </si>
  <si>
    <t>JE-2025-0000047</t>
  </si>
  <si>
    <t>Being int accu on FD 42907 - RMF - SVC</t>
  </si>
  <si>
    <t>JE-2025-0000046</t>
  </si>
  <si>
    <t>Being int accu on FD 42888 - CF - SVC</t>
  </si>
  <si>
    <t>JE-2025-0000045</t>
  </si>
  <si>
    <t>Being int accu on FD 42887 - RMF - SVC</t>
  </si>
  <si>
    <t>JE-2025-0000044</t>
  </si>
  <si>
    <t>Being int accu on FD 42886 - GRF - SVC</t>
  </si>
  <si>
    <t>JE-2025-0000043</t>
  </si>
  <si>
    <t>Being int accu on FD 42878 - GRF - SVC</t>
  </si>
  <si>
    <t>JE-2025-0000042</t>
  </si>
  <si>
    <t>Being int accu on FD 42877 - SDF - SVC</t>
  </si>
  <si>
    <t>JE-2025-0000041</t>
  </si>
  <si>
    <t>Being int accu on FD 42392 - CF - SVC</t>
  </si>
  <si>
    <t>JE-2025-0000040</t>
  </si>
  <si>
    <t>Being int accu on FD 42391 - GRF - SVC</t>
  </si>
  <si>
    <t>JE-2025-0000039</t>
  </si>
  <si>
    <t>Being int accu on FD 41981 - SDF - SVC</t>
  </si>
  <si>
    <t>JE-2025-0000038</t>
  </si>
  <si>
    <t>Being int accu on FD 41799 - SF - SVC</t>
  </si>
  <si>
    <t>31.03.2026</t>
  </si>
  <si>
    <t>Cost as at 01/04/2025</t>
  </si>
  <si>
    <t>Additions on or before 30/09/2025</t>
  </si>
  <si>
    <t>Additions after 30/09/2025</t>
  </si>
  <si>
    <t>Cost as at 31/03/2026</t>
  </si>
  <si>
    <t xml:space="preserve">For the Year     2025-26                                                                     </t>
  </si>
  <si>
    <t>As at 31/03/2026</t>
  </si>
  <si>
    <t>Schedule II - Fixed Assets Details as on 31st March 2026</t>
  </si>
  <si>
    <t>Schedule III - Members Receivable As on 31.03.2026</t>
  </si>
  <si>
    <t>Sch IV - Member Refundable Deposit as at 31.03.2026</t>
  </si>
  <si>
    <t>Sch V - Advance from Members as at 31.03.2026</t>
  </si>
  <si>
    <t xml:space="preserve"> Sch VI - Provisions as of 31.03.2026</t>
  </si>
  <si>
    <t>Mr. Joslyn Pereira, Ms. Leticia Pereira</t>
  </si>
  <si>
    <t>Ms. Joanita Gago</t>
  </si>
  <si>
    <t>Mr. Meltzer Barretto</t>
  </si>
  <si>
    <t>Elaine Pereira, Charmin Nazareth &amp; Dolly Aaron</t>
  </si>
  <si>
    <t>Mr. Jude Anthony D'souza</t>
  </si>
  <si>
    <t>Mr. Dominic D. Mendes, Ms. Bonita E. Mendes</t>
  </si>
  <si>
    <t>Provision and Prepaid workings for FY 2025-26</t>
  </si>
  <si>
    <t>SCF.</t>
  </si>
  <si>
    <t>Being FD 6605500001463 renewed and remade MDCC - GRF</t>
  </si>
  <si>
    <t>RET</t>
  </si>
  <si>
    <t>Being FD 191583 redeeem &amp; credited in bank SVC RET</t>
  </si>
  <si>
    <t xml:space="preserve">The Mumbai District Co-op Fed </t>
  </si>
  <si>
    <t xml:space="preserve">Add: Provision of income tax w/back </t>
  </si>
  <si>
    <t>30.03.2026</t>
  </si>
  <si>
    <t>04.04.2026</t>
  </si>
  <si>
    <t>02.04.2026</t>
  </si>
  <si>
    <t>06.04.2026</t>
  </si>
  <si>
    <t xml:space="preserve">BMC Water </t>
  </si>
  <si>
    <t>SVC  Bank reconciliation statement as on 31st March 2026</t>
  </si>
  <si>
    <t>MDCC   Bank reconciliation statement as on 31st March 2026</t>
  </si>
  <si>
    <t>Saraswat  Bank reconciliation statement as on 31st March 2026</t>
  </si>
  <si>
    <t>Citizen Bank reconciliation statement as on 31st March 2026</t>
  </si>
  <si>
    <t>CIT</t>
  </si>
  <si>
    <t>Share Capital</t>
  </si>
  <si>
    <t>FD</t>
  </si>
  <si>
    <t>Contingency</t>
  </si>
  <si>
    <t>From</t>
  </si>
  <si>
    <t>To</t>
  </si>
  <si>
    <t>Painting Fun</t>
  </si>
  <si>
    <t>Being int accu on FD 220743 - SF - SVC</t>
  </si>
  <si>
    <t>Being int accu on FD 6605500001645 - CF - MDCC</t>
  </si>
  <si>
    <t xml:space="preserve"> </t>
  </si>
  <si>
    <t>FOR LITTLE SUNFLOWER CO-OP HOUSING SOCIETY LIMITED</t>
  </si>
  <si>
    <t>Shri. Bharat C. Boridkar</t>
  </si>
  <si>
    <t>Govt. Certified Panel Auditor</t>
  </si>
  <si>
    <t>[Panel No.: Mumbai-4/C1/1011404]</t>
  </si>
  <si>
    <t>Chairman                       Secretary                       Treasurer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</si>
</sst>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&quot;Mumbai: &quot;dd&quot;th&quot;\ mmmm\,\ yyyy"/>
    <numFmt numFmtId="166" formatCode="_(* #,##0_);_(* \(#,##0\);_(* &quot;-&quot;??_);_(@_)"/>
    <numFmt numFmtId="167" formatCode="_ * #,##0_ ;_ * \-#,##0_ ;_ * &quot;-&quot;??_ ;_ @_ 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1"/>
      <name val="Bookman Old Style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u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3" fillId="0" borderId="5" applyFont="0" applyFill="0" applyBorder="0" applyAlignment="0" applyProtection="0">
      <alignment horizontal="center"/>
    </xf>
    <xf numFmtId="0" fontId="8" fillId="0" borderId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9" applyNumberFormat="0" applyAlignment="0" applyProtection="0"/>
    <xf numFmtId="0" fontId="18" fillId="7" borderId="10" applyNumberFormat="0" applyAlignment="0" applyProtection="0"/>
    <xf numFmtId="0" fontId="19" fillId="7" borderId="9" applyNumberFormat="0" applyAlignment="0" applyProtection="0"/>
    <xf numFmtId="0" fontId="20" fillId="0" borderId="11" applyNumberFormat="0" applyFill="0" applyAlignment="0" applyProtection="0"/>
    <xf numFmtId="0" fontId="21" fillId="8" borderId="12" applyNumberFormat="0" applyAlignment="0" applyProtection="0"/>
    <xf numFmtId="0" fontId="22" fillId="0" borderId="0" applyNumberFormat="0" applyFill="0" applyBorder="0" applyAlignment="0" applyProtection="0"/>
    <xf numFmtId="0" fontId="1" fillId="9" borderId="13" applyNumberFormat="0" applyFont="0" applyAlignment="0" applyProtection="0"/>
    <xf numFmtId="0" fontId="23" fillId="0" borderId="0" applyNumberFormat="0" applyFill="0" applyBorder="0" applyAlignment="0" applyProtection="0"/>
    <xf numFmtId="0" fontId="2" fillId="0" borderId="14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38" fillId="0" borderId="0"/>
  </cellStyleXfs>
  <cellXfs count="28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0" fillId="0" borderId="0" xfId="47" applyFont="1" applyAlignment="1">
      <alignment horizontal="right"/>
    </xf>
    <xf numFmtId="0" fontId="2" fillId="0" borderId="15" xfId="0" applyFont="1" applyBorder="1"/>
    <xf numFmtId="0" fontId="0" fillId="0" borderId="2" xfId="0" applyBorder="1"/>
    <xf numFmtId="164" fontId="0" fillId="0" borderId="0" xfId="1" applyFont="1" applyFill="1"/>
    <xf numFmtId="43" fontId="2" fillId="0" borderId="2" xfId="3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center"/>
    </xf>
    <xf numFmtId="164" fontId="0" fillId="0" borderId="18" xfId="1" applyFont="1" applyFill="1" applyBorder="1" applyAlignment="1"/>
    <xf numFmtId="164" fontId="25" fillId="0" borderId="0" xfId="1" applyFont="1" applyFill="1" applyBorder="1" applyAlignment="1">
      <alignment vertical="center"/>
    </xf>
    <xf numFmtId="164" fontId="1" fillId="0" borderId="0" xfId="1" applyFont="1" applyFill="1" applyBorder="1" applyAlignment="1">
      <alignment horizontal="right"/>
    </xf>
    <xf numFmtId="164" fontId="1" fillId="0" borderId="20" xfId="1" applyFont="1" applyFill="1" applyBorder="1" applyAlignment="1">
      <alignment horizontal="right"/>
    </xf>
    <xf numFmtId="164" fontId="6" fillId="0" borderId="0" xfId="1" applyFont="1" applyFill="1" applyAlignment="1">
      <alignment wrapText="1"/>
    </xf>
    <xf numFmtId="164" fontId="1" fillId="0" borderId="0" xfId="1" applyFont="1" applyFill="1" applyAlignment="1"/>
    <xf numFmtId="164" fontId="2" fillId="0" borderId="20" xfId="1" applyFont="1" applyFill="1" applyBorder="1" applyAlignment="1">
      <alignment horizontal="left" vertical="center"/>
    </xf>
    <xf numFmtId="164" fontId="2" fillId="0" borderId="0" xfId="1" applyFont="1" applyFill="1" applyBorder="1" applyAlignment="1">
      <alignment horizontal="left" vertical="center"/>
    </xf>
    <xf numFmtId="164" fontId="1" fillId="0" borderId="20" xfId="1" applyFont="1" applyFill="1" applyBorder="1" applyAlignment="1"/>
    <xf numFmtId="164" fontId="1" fillId="0" borderId="0" xfId="1" applyFont="1" applyFill="1" applyBorder="1" applyAlignment="1"/>
    <xf numFmtId="164" fontId="2" fillId="0" borderId="18" xfId="1" applyFont="1" applyFill="1" applyBorder="1" applyAlignment="1"/>
    <xf numFmtId="164" fontId="1" fillId="0" borderId="20" xfId="1" applyFont="1" applyFill="1" applyBorder="1" applyAlignment="1">
      <alignment horizontal="left" vertical="center"/>
    </xf>
    <xf numFmtId="164" fontId="1" fillId="0" borderId="0" xfId="1" applyFont="1" applyFill="1" applyBorder="1" applyAlignment="1">
      <alignment horizontal="left" vertical="center"/>
    </xf>
    <xf numFmtId="164" fontId="1" fillId="0" borderId="21" xfId="1" applyFont="1" applyFill="1" applyBorder="1" applyAlignment="1"/>
    <xf numFmtId="164" fontId="1" fillId="0" borderId="16" xfId="1" applyFont="1" applyFill="1" applyBorder="1" applyAlignment="1"/>
    <xf numFmtId="164" fontId="2" fillId="0" borderId="0" xfId="1" applyFont="1" applyFill="1" applyAlignment="1">
      <alignment horizontal="center"/>
    </xf>
    <xf numFmtId="164" fontId="6" fillId="0" borderId="4" xfId="1" applyFont="1" applyBorder="1" applyAlignment="1">
      <alignment vertical="center"/>
    </xf>
    <xf numFmtId="9" fontId="6" fillId="0" borderId="4" xfId="3" quotePrefix="1" applyNumberFormat="1" applyFont="1" applyBorder="1" applyAlignment="1">
      <alignment horizontal="center" vertical="center"/>
    </xf>
    <xf numFmtId="164" fontId="6" fillId="0" borderId="4" xfId="1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1" applyFont="1" applyBorder="1" applyAlignment="1">
      <alignment vertical="center"/>
    </xf>
    <xf numFmtId="9" fontId="6" fillId="0" borderId="2" xfId="3" quotePrefix="1" applyNumberFormat="1" applyFont="1" applyBorder="1" applyAlignment="1">
      <alignment horizontal="center" vertical="center"/>
    </xf>
    <xf numFmtId="164" fontId="6" fillId="0" borderId="2" xfId="1" applyFont="1" applyFill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14" fontId="2" fillId="0" borderId="0" xfId="1" applyNumberFormat="1" applyFont="1" applyFill="1" applyAlignment="1">
      <alignment horizontal="center"/>
    </xf>
    <xf numFmtId="14" fontId="0" fillId="0" borderId="0" xfId="1" applyNumberFormat="1" applyFont="1" applyFill="1"/>
    <xf numFmtId="43" fontId="0" fillId="0" borderId="0" xfId="0" applyNumberFormat="1"/>
    <xf numFmtId="164" fontId="0" fillId="0" borderId="0" xfId="0" applyNumberFormat="1"/>
    <xf numFmtId="164" fontId="0" fillId="0" borderId="4" xfId="1" applyFont="1" applyFill="1" applyBorder="1" applyAlignment="1"/>
    <xf numFmtId="0" fontId="0" fillId="0" borderId="0" xfId="0" applyAlignment="1">
      <alignment wrapText="1"/>
    </xf>
    <xf numFmtId="164" fontId="0" fillId="0" borderId="0" xfId="1" applyFont="1" applyAlignment="1"/>
    <xf numFmtId="164" fontId="2" fillId="0" borderId="23" xfId="1" applyFont="1" applyFill="1" applyBorder="1" applyAlignment="1"/>
    <xf numFmtId="164" fontId="0" fillId="0" borderId="18" xfId="1" applyFont="1" applyBorder="1" applyAlignment="1"/>
    <xf numFmtId="164" fontId="0" fillId="0" borderId="0" xfId="1" applyFont="1" applyFill="1" applyBorder="1" applyAlignment="1"/>
    <xf numFmtId="164" fontId="0" fillId="0" borderId="0" xfId="1" applyFont="1" applyFill="1" applyAlignment="1"/>
    <xf numFmtId="0" fontId="0" fillId="0" borderId="1" xfId="0" applyBorder="1"/>
    <xf numFmtId="166" fontId="0" fillId="0" borderId="0" xfId="1" applyNumberFormat="1" applyFont="1" applyFill="1"/>
    <xf numFmtId="166" fontId="2" fillId="0" borderId="0" xfId="1" applyNumberFormat="1" applyFont="1" applyFill="1" applyAlignment="1">
      <alignment horizontal="center"/>
    </xf>
    <xf numFmtId="166" fontId="0" fillId="0" borderId="0" xfId="1" applyNumberFormat="1" applyFont="1" applyFill="1" applyAlignment="1">
      <alignment horizontal="center"/>
    </xf>
    <xf numFmtId="167" fontId="0" fillId="0" borderId="0" xfId="0" applyNumberFormat="1"/>
    <xf numFmtId="164" fontId="26" fillId="0" borderId="3" xfId="1" applyFont="1" applyFill="1" applyBorder="1" applyAlignment="1">
      <alignment horizontal="right" vertical="center"/>
    </xf>
    <xf numFmtId="43" fontId="26" fillId="0" borderId="3" xfId="3" applyFont="1" applyFill="1" applyBorder="1" applyAlignment="1">
      <alignment horizontal="right" vertical="center"/>
    </xf>
    <xf numFmtId="164" fontId="0" fillId="0" borderId="20" xfId="1" applyFont="1" applyFill="1" applyBorder="1" applyAlignment="1"/>
    <xf numFmtId="0" fontId="2" fillId="0" borderId="22" xfId="0" applyFont="1" applyBorder="1"/>
    <xf numFmtId="0" fontId="2" fillId="0" borderId="2" xfId="0" applyFont="1" applyBorder="1" applyAlignment="1">
      <alignment horizontal="center"/>
    </xf>
    <xf numFmtId="43" fontId="2" fillId="0" borderId="15" xfId="0" applyNumberFormat="1" applyFont="1" applyBorder="1"/>
    <xf numFmtId="164" fontId="0" fillId="0" borderId="0" xfId="1" applyFont="1" applyFill="1" applyBorder="1" applyAlignment="1">
      <alignment vertical="center"/>
    </xf>
    <xf numFmtId="0" fontId="26" fillId="0" borderId="3" xfId="0" applyFont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164" fontId="2" fillId="0" borderId="3" xfId="1" applyFont="1" applyFill="1" applyBorder="1" applyAlignment="1">
      <alignment horizontal="right"/>
    </xf>
    <xf numFmtId="164" fontId="7" fillId="0" borderId="3" xfId="1" applyFont="1" applyFill="1" applyBorder="1" applyAlignment="1">
      <alignment horizontal="center" vertical="center" wrapText="1"/>
    </xf>
    <xf numFmtId="164" fontId="29" fillId="0" borderId="20" xfId="1" applyFont="1" applyFill="1" applyBorder="1" applyAlignment="1">
      <alignment horizontal="left" vertical="center"/>
    </xf>
    <xf numFmtId="0" fontId="30" fillId="0" borderId="20" xfId="1" applyNumberFormat="1" applyFont="1" applyFill="1" applyBorder="1" applyAlignment="1">
      <alignment horizontal="left" vertical="center"/>
    </xf>
    <xf numFmtId="0" fontId="30" fillId="0" borderId="0" xfId="0" applyFont="1"/>
    <xf numFmtId="0" fontId="6" fillId="0" borderId="4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64" fontId="2" fillId="0" borderId="21" xfId="1" applyFont="1" applyFill="1" applyBorder="1" applyAlignment="1"/>
    <xf numFmtId="164" fontId="0" fillId="0" borderId="1" xfId="1" applyFont="1" applyFill="1" applyBorder="1" applyAlignment="1"/>
    <xf numFmtId="164" fontId="0" fillId="0" borderId="27" xfId="1" applyFont="1" applyFill="1" applyBorder="1" applyAlignment="1"/>
    <xf numFmtId="164" fontId="2" fillId="0" borderId="3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16" xfId="1" applyFont="1" applyFill="1" applyBorder="1" applyAlignment="1"/>
    <xf numFmtId="164" fontId="2" fillId="0" borderId="21" xfId="1" applyFont="1" applyFill="1" applyBorder="1" applyAlignment="1">
      <alignment horizontal="left" vertical="center"/>
    </xf>
    <xf numFmtId="164" fontId="1" fillId="0" borderId="21" xfId="1" applyFont="1" applyFill="1" applyBorder="1" applyAlignment="1">
      <alignment horizontal="right"/>
    </xf>
    <xf numFmtId="164" fontId="2" fillId="0" borderId="21" xfId="1" applyFont="1" applyFill="1" applyBorder="1" applyAlignment="1">
      <alignment horizontal="right"/>
    </xf>
    <xf numFmtId="164" fontId="29" fillId="0" borderId="20" xfId="1" applyFont="1" applyFill="1" applyBorder="1" applyAlignment="1"/>
    <xf numFmtId="164" fontId="26" fillId="0" borderId="3" xfId="1" applyFont="1" applyFill="1" applyBorder="1" applyAlignment="1">
      <alignment horizontal="center" vertical="center" wrapText="1"/>
    </xf>
    <xf numFmtId="164" fontId="2" fillId="0" borderId="0" xfId="1" applyFont="1" applyFill="1"/>
    <xf numFmtId="164" fontId="6" fillId="0" borderId="19" xfId="1" applyFont="1" applyBorder="1" applyAlignment="1">
      <alignment vertical="center"/>
    </xf>
    <xf numFmtId="164" fontId="0" fillId="0" borderId="0" xfId="1" applyFont="1" applyFill="1" applyAlignment="1">
      <alignment horizontal="center"/>
    </xf>
    <xf numFmtId="166" fontId="0" fillId="0" borderId="0" xfId="0" applyNumberFormat="1"/>
    <xf numFmtId="164" fontId="6" fillId="0" borderId="0" xfId="1" applyFont="1" applyFill="1" applyBorder="1" applyAlignment="1"/>
    <xf numFmtId="4" fontId="0" fillId="0" borderId="0" xfId="0" applyNumberFormat="1"/>
    <xf numFmtId="0" fontId="33" fillId="0" borderId="0" xfId="0" applyFont="1"/>
    <xf numFmtId="4" fontId="33" fillId="0" borderId="0" xfId="0" applyNumberFormat="1" applyFont="1"/>
    <xf numFmtId="0" fontId="34" fillId="0" borderId="0" xfId="0" applyFont="1"/>
    <xf numFmtId="166" fontId="0" fillId="0" borderId="0" xfId="1" applyNumberFormat="1" applyFont="1" applyFill="1" applyAlignment="1">
      <alignment horizontal="center" vertical="center"/>
    </xf>
    <xf numFmtId="0" fontId="0" fillId="0" borderId="2" xfId="0" applyBorder="1" applyAlignment="1">
      <alignment horizontal="left"/>
    </xf>
    <xf numFmtId="43" fontId="0" fillId="0" borderId="0" xfId="0" applyNumberFormat="1" applyAlignment="1">
      <alignment vertical="center" wrapText="1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164" fontId="0" fillId="0" borderId="2" xfId="1" applyFont="1" applyFill="1" applyBorder="1"/>
    <xf numFmtId="0" fontId="0" fillId="34" borderId="0" xfId="0" applyFill="1"/>
    <xf numFmtId="0" fontId="0" fillId="35" borderId="0" xfId="0" applyFill="1"/>
    <xf numFmtId="2" fontId="0" fillId="36" borderId="0" xfId="0" applyNumberFormat="1" applyFill="1" applyAlignment="1">
      <alignment horizontal="right" vertical="center"/>
    </xf>
    <xf numFmtId="4" fontId="0" fillId="36" borderId="0" xfId="0" applyNumberFormat="1" applyFill="1" applyAlignment="1">
      <alignment horizontal="right" vertical="center"/>
    </xf>
    <xf numFmtId="0" fontId="0" fillId="37" borderId="0" xfId="0" applyFill="1"/>
    <xf numFmtId="4" fontId="0" fillId="38" borderId="0" xfId="0" applyNumberFormat="1" applyFill="1"/>
    <xf numFmtId="0" fontId="0" fillId="38" borderId="0" xfId="0" applyFill="1"/>
    <xf numFmtId="2" fontId="0" fillId="39" borderId="0" xfId="0" applyNumberFormat="1" applyFill="1" applyAlignment="1">
      <alignment horizontal="right" vertical="center"/>
    </xf>
    <xf numFmtId="4" fontId="0" fillId="39" borderId="0" xfId="0" applyNumberFormat="1" applyFill="1" applyAlignment="1">
      <alignment horizontal="right" vertical="center"/>
    </xf>
    <xf numFmtId="0" fontId="0" fillId="40" borderId="0" xfId="0" applyFill="1"/>
    <xf numFmtId="2" fontId="0" fillId="41" borderId="0" xfId="0" applyNumberFormat="1" applyFill="1"/>
    <xf numFmtId="0" fontId="0" fillId="41" borderId="0" xfId="0" applyFill="1"/>
    <xf numFmtId="164" fontId="6" fillId="0" borderId="1" xfId="1" applyFont="1" applyFill="1" applyBorder="1" applyAlignment="1"/>
    <xf numFmtId="164" fontId="0" fillId="0" borderId="0" xfId="0" applyNumberFormat="1" applyAlignment="1">
      <alignment vertical="center" wrapText="1"/>
    </xf>
    <xf numFmtId="0" fontId="26" fillId="0" borderId="0" xfId="0" applyFont="1" applyAlignment="1">
      <alignment vertical="center"/>
    </xf>
    <xf numFmtId="164" fontId="1" fillId="0" borderId="16" xfId="1" applyFont="1" applyFill="1" applyBorder="1" applyAlignment="1">
      <alignment horizontal="right"/>
    </xf>
    <xf numFmtId="164" fontId="1" fillId="0" borderId="21" xfId="1" applyFont="1" applyFill="1" applyBorder="1" applyAlignment="1">
      <alignment horizontal="left" vertical="center"/>
    </xf>
    <xf numFmtId="164" fontId="6" fillId="0" borderId="4" xfId="1" applyFont="1" applyFill="1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19" xfId="0" applyBorder="1" applyAlignment="1">
      <alignment vertical="center"/>
    </xf>
    <xf numFmtId="43" fontId="0" fillId="0" borderId="0" xfId="47" applyFont="1" applyFill="1" applyAlignment="1">
      <alignment horizontal="right"/>
    </xf>
    <xf numFmtId="43" fontId="2" fillId="0" borderId="0" xfId="0" applyNumberFormat="1" applyFont="1"/>
    <xf numFmtId="166" fontId="2" fillId="0" borderId="0" xfId="1" applyNumberFormat="1" applyFont="1" applyFill="1"/>
    <xf numFmtId="166" fontId="0" fillId="0" borderId="0" xfId="1" applyNumberFormat="1" applyFont="1"/>
    <xf numFmtId="0" fontId="0" fillId="42" borderId="0" xfId="0" applyFill="1"/>
    <xf numFmtId="164" fontId="7" fillId="0" borderId="25" xfId="1" applyFont="1" applyFill="1" applyBorder="1" applyAlignment="1">
      <alignment horizontal="center" vertical="center" wrapText="1"/>
    </xf>
    <xf numFmtId="166" fontId="0" fillId="35" borderId="0" xfId="1" applyNumberFormat="1" applyFont="1" applyFill="1"/>
    <xf numFmtId="166" fontId="0" fillId="36" borderId="0" xfId="1" applyNumberFormat="1" applyFont="1" applyFill="1"/>
    <xf numFmtId="166" fontId="0" fillId="37" borderId="0" xfId="1" applyNumberFormat="1" applyFont="1" applyFill="1"/>
    <xf numFmtId="166" fontId="0" fillId="39" borderId="0" xfId="1" applyNumberFormat="1" applyFont="1" applyFill="1"/>
    <xf numFmtId="166" fontId="0" fillId="38" borderId="0" xfId="1" applyNumberFormat="1" applyFont="1" applyFill="1"/>
    <xf numFmtId="166" fontId="0" fillId="41" borderId="1" xfId="1" applyNumberFormat="1" applyFont="1" applyFill="1" applyBorder="1"/>
    <xf numFmtId="166" fontId="34" fillId="0" borderId="0" xfId="1" applyNumberFormat="1" applyFont="1"/>
    <xf numFmtId="164" fontId="2" fillId="0" borderId="20" xfId="1" applyFont="1" applyFill="1" applyBorder="1" applyAlignment="1">
      <alignment vertical="center"/>
    </xf>
    <xf numFmtId="164" fontId="0" fillId="0" borderId="21" xfId="1" applyFont="1" applyFill="1" applyBorder="1" applyAlignment="1">
      <alignment vertical="center"/>
    </xf>
    <xf numFmtId="0" fontId="36" fillId="0" borderId="20" xfId="0" applyFont="1" applyBorder="1" applyAlignment="1">
      <alignment vertical="center"/>
    </xf>
    <xf numFmtId="0" fontId="0" fillId="0" borderId="0" xfId="0" applyAlignment="1">
      <alignment vertical="center"/>
    </xf>
    <xf numFmtId="43" fontId="2" fillId="0" borderId="0" xfId="3" applyFont="1" applyFill="1" applyBorder="1" applyAlignment="1">
      <alignment vertical="center"/>
    </xf>
    <xf numFmtId="43" fontId="0" fillId="0" borderId="0" xfId="3" applyFont="1" applyFill="1" applyBorder="1" applyAlignment="1">
      <alignment vertical="center"/>
    </xf>
    <xf numFmtId="43" fontId="2" fillId="0" borderId="21" xfId="3" applyFont="1" applyFill="1" applyBorder="1" applyAlignment="1">
      <alignment vertical="center"/>
    </xf>
    <xf numFmtId="0" fontId="37" fillId="0" borderId="20" xfId="0" applyFont="1" applyBorder="1" applyAlignment="1">
      <alignment vertical="center"/>
    </xf>
    <xf numFmtId="0" fontId="2" fillId="0" borderId="0" xfId="3" applyNumberFormat="1" applyFont="1" applyFill="1" applyBorder="1" applyAlignment="1">
      <alignment horizontal="left" vertical="center"/>
    </xf>
    <xf numFmtId="0" fontId="0" fillId="0" borderId="0" xfId="3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21" xfId="3" applyNumberFormat="1" applyFont="1" applyFill="1" applyBorder="1" applyAlignment="1">
      <alignment horizontal="left" vertical="center"/>
    </xf>
    <xf numFmtId="1" fontId="7" fillId="0" borderId="20" xfId="49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2" fontId="39" fillId="0" borderId="0" xfId="0" applyNumberFormat="1" applyFont="1" applyAlignment="1">
      <alignment vertical="center"/>
    </xf>
    <xf numFmtId="1" fontId="39" fillId="0" borderId="20" xfId="49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3" applyNumberFormat="1" applyFont="1" applyFill="1" applyBorder="1" applyAlignment="1">
      <alignment horizontal="left" vertical="center"/>
    </xf>
    <xf numFmtId="0" fontId="0" fillId="0" borderId="1" xfId="3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6" xfId="3" applyNumberFormat="1" applyFont="1" applyFill="1" applyBorder="1" applyAlignment="1">
      <alignment horizontal="left" vertical="center"/>
    </xf>
    <xf numFmtId="164" fontId="4" fillId="0" borderId="28" xfId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164" fontId="31" fillId="0" borderId="16" xfId="1" applyFont="1" applyFill="1" applyBorder="1" applyAlignment="1">
      <alignment horizontal="right" vertical="center"/>
    </xf>
    <xf numFmtId="0" fontId="4" fillId="0" borderId="2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2" fillId="0" borderId="16" xfId="0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3" fontId="0" fillId="0" borderId="2" xfId="3" applyFont="1" applyFill="1" applyBorder="1" applyAlignment="1">
      <alignment vertical="center"/>
    </xf>
    <xf numFmtId="43" fontId="0" fillId="0" borderId="2" xfId="3" applyFont="1" applyFill="1" applyBorder="1" applyAlignment="1">
      <alignment horizontal="center" vertical="center"/>
    </xf>
    <xf numFmtId="0" fontId="0" fillId="0" borderId="2" xfId="0" quotePrefix="1" applyBorder="1" applyAlignment="1">
      <alignment horizontal="left" vertical="center"/>
    </xf>
    <xf numFmtId="43" fontId="6" fillId="0" borderId="2" xfId="3" applyFont="1" applyFill="1" applyBorder="1" applyAlignment="1">
      <alignment vertical="center"/>
    </xf>
    <xf numFmtId="43" fontId="6" fillId="0" borderId="2" xfId="3" applyFont="1" applyFill="1" applyBorder="1" applyAlignment="1">
      <alignment horizontal="center" vertical="center"/>
    </xf>
    <xf numFmtId="1" fontId="0" fillId="0" borderId="17" xfId="0" applyNumberFormat="1" applyBorder="1" applyAlignment="1">
      <alignment horizontal="left" vertical="center"/>
    </xf>
    <xf numFmtId="43" fontId="0" fillId="0" borderId="4" xfId="3" applyFont="1" applyFill="1" applyBorder="1" applyAlignment="1">
      <alignment vertical="center"/>
    </xf>
    <xf numFmtId="1" fontId="0" fillId="0" borderId="2" xfId="0" quotePrefix="1" applyNumberFormat="1" applyBorder="1" applyAlignment="1">
      <alignment horizontal="left" vertical="center"/>
    </xf>
    <xf numFmtId="166" fontId="0" fillId="0" borderId="0" xfId="1" applyNumberFormat="1" applyFont="1" applyFill="1" applyAlignment="1">
      <alignment vertical="center"/>
    </xf>
    <xf numFmtId="1" fontId="0" fillId="0" borderId="2" xfId="0" applyNumberFormat="1" applyBorder="1" applyAlignment="1">
      <alignment horizontal="left" vertical="center"/>
    </xf>
    <xf numFmtId="0" fontId="0" fillId="0" borderId="17" xfId="0" applyBorder="1" applyAlignment="1">
      <alignment vertical="center"/>
    </xf>
    <xf numFmtId="43" fontId="0" fillId="0" borderId="19" xfId="3" applyFont="1" applyFill="1" applyBorder="1" applyAlignment="1">
      <alignment vertical="center"/>
    </xf>
    <xf numFmtId="43" fontId="0" fillId="0" borderId="17" xfId="3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43" fontId="2" fillId="0" borderId="3" xfId="3" applyFont="1" applyFill="1" applyBorder="1" applyAlignment="1">
      <alignment vertical="center"/>
    </xf>
    <xf numFmtId="43" fontId="0" fillId="0" borderId="15" xfId="3" applyFont="1" applyFill="1" applyBorder="1" applyAlignment="1">
      <alignment vertical="center"/>
    </xf>
    <xf numFmtId="43" fontId="0" fillId="0" borderId="15" xfId="3" applyFont="1" applyFill="1" applyBorder="1" applyAlignment="1">
      <alignment horizontal="center" vertical="center"/>
    </xf>
    <xf numFmtId="43" fontId="0" fillId="0" borderId="0" xfId="3" applyFont="1" applyFill="1" applyAlignment="1">
      <alignment vertical="center"/>
    </xf>
    <xf numFmtId="43" fontId="0" fillId="0" borderId="0" xfId="3" applyFont="1" applyFill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166" fontId="2" fillId="0" borderId="0" xfId="1" applyNumberFormat="1" applyFont="1" applyFill="1" applyAlignment="1">
      <alignment vertical="center"/>
    </xf>
    <xf numFmtId="164" fontId="6" fillId="0" borderId="2" xfId="0" applyNumberFormat="1" applyFont="1" applyBorder="1" applyAlignment="1">
      <alignment vertical="center"/>
    </xf>
    <xf numFmtId="1" fontId="0" fillId="0" borderId="17" xfId="0" quotePrefix="1" applyNumberFormat="1" applyBorder="1" applyAlignment="1">
      <alignment horizontal="left" vertical="center"/>
    </xf>
    <xf numFmtId="16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6" fillId="0" borderId="19" xfId="0" applyFont="1" applyBorder="1" applyAlignment="1">
      <alignment vertical="center"/>
    </xf>
    <xf numFmtId="43" fontId="6" fillId="0" borderId="19" xfId="3" applyFont="1" applyFill="1" applyBorder="1" applyAlignment="1">
      <alignment vertical="center"/>
    </xf>
    <xf numFmtId="43" fontId="6" fillId="0" borderId="19" xfId="3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43" fontId="1" fillId="0" borderId="2" xfId="3" applyFont="1" applyFill="1" applyBorder="1" applyAlignment="1">
      <alignment vertical="center"/>
    </xf>
    <xf numFmtId="43" fontId="0" fillId="0" borderId="18" xfId="3" applyFont="1" applyFill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5" xfId="3" applyFont="1" applyFill="1" applyBorder="1" applyAlignment="1">
      <alignment vertical="center"/>
    </xf>
    <xf numFmtId="43" fontId="2" fillId="0" borderId="0" xfId="3" applyFont="1" applyFill="1" applyAlignment="1">
      <alignment vertical="center"/>
    </xf>
    <xf numFmtId="43" fontId="0" fillId="0" borderId="3" xfId="3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4" fontId="2" fillId="0" borderId="33" xfId="0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0" fillId="0" borderId="4" xfId="1" applyFont="1" applyFill="1" applyBorder="1"/>
    <xf numFmtId="164" fontId="0" fillId="0" borderId="2" xfId="1" applyFont="1" applyFill="1" applyBorder="1" applyAlignment="1">
      <alignment vertical="center"/>
    </xf>
    <xf numFmtId="164" fontId="1" fillId="0" borderId="2" xfId="1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164" fontId="2" fillId="0" borderId="35" xfId="1" applyFont="1" applyFill="1" applyBorder="1" applyAlignment="1">
      <alignment horizontal="center"/>
    </xf>
    <xf numFmtId="164" fontId="2" fillId="0" borderId="3" xfId="1" applyFont="1" applyFill="1" applyBorder="1"/>
    <xf numFmtId="164" fontId="0" fillId="0" borderId="21" xfId="1" applyFont="1" applyFill="1" applyBorder="1" applyAlignment="1"/>
    <xf numFmtId="164" fontId="2" fillId="0" borderId="25" xfId="1" applyFont="1" applyFill="1" applyBorder="1" applyAlignment="1">
      <alignment vertical="center" wrapText="1"/>
    </xf>
    <xf numFmtId="164" fontId="7" fillId="0" borderId="36" xfId="1" applyFont="1" applyFill="1" applyBorder="1" applyAlignment="1">
      <alignment horizontal="center" vertical="center" wrapText="1"/>
    </xf>
    <xf numFmtId="164" fontId="0" fillId="0" borderId="37" xfId="1" applyFont="1" applyFill="1" applyBorder="1" applyAlignment="1"/>
    <xf numFmtId="164" fontId="2" fillId="0" borderId="38" xfId="1" applyFont="1" applyFill="1" applyBorder="1" applyAlignment="1"/>
    <xf numFmtId="164" fontId="0" fillId="0" borderId="39" xfId="1" applyFont="1" applyFill="1" applyBorder="1" applyAlignment="1"/>
    <xf numFmtId="164" fontId="2" fillId="0" borderId="39" xfId="1" applyFont="1" applyFill="1" applyBorder="1" applyAlignment="1"/>
    <xf numFmtId="164" fontId="2" fillId="0" borderId="36" xfId="1" applyFont="1" applyFill="1" applyBorder="1" applyAlignment="1">
      <alignment vertical="center" wrapText="1"/>
    </xf>
    <xf numFmtId="164" fontId="26" fillId="0" borderId="25" xfId="1" applyFont="1" applyFill="1" applyBorder="1" applyAlignment="1">
      <alignment horizontal="center" vertical="center" wrapText="1"/>
    </xf>
    <xf numFmtId="164" fontId="2" fillId="0" borderId="25" xfId="1" applyFont="1" applyFill="1" applyBorder="1" applyAlignment="1">
      <alignment horizontal="right"/>
    </xf>
    <xf numFmtId="164" fontId="26" fillId="0" borderId="36" xfId="1" applyFont="1" applyFill="1" applyBorder="1" applyAlignment="1">
      <alignment horizontal="center" vertical="center" wrapText="1"/>
    </xf>
    <xf numFmtId="164" fontId="2" fillId="0" borderId="40" xfId="1" applyFont="1" applyFill="1" applyBorder="1" applyAlignment="1">
      <alignment horizontal="left" vertical="center"/>
    </xf>
    <xf numFmtId="164" fontId="2" fillId="0" borderId="40" xfId="1" applyFont="1" applyFill="1" applyBorder="1" applyAlignment="1"/>
    <xf numFmtId="164" fontId="1" fillId="0" borderId="40" xfId="1" applyFont="1" applyFill="1" applyBorder="1" applyAlignment="1"/>
    <xf numFmtId="164" fontId="1" fillId="0" borderId="40" xfId="1" applyFont="1" applyFill="1" applyBorder="1" applyAlignment="1">
      <alignment horizontal="right"/>
    </xf>
    <xf numFmtId="164" fontId="2" fillId="0" borderId="40" xfId="1" applyFont="1" applyFill="1" applyBorder="1" applyAlignment="1">
      <alignment horizontal="right"/>
    </xf>
    <xf numFmtId="164" fontId="2" fillId="0" borderId="41" xfId="1" applyFont="1" applyFill="1" applyBorder="1" applyAlignment="1">
      <alignment horizontal="right"/>
    </xf>
    <xf numFmtId="164" fontId="2" fillId="0" borderId="36" xfId="1" applyFont="1" applyFill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39" fillId="0" borderId="28" xfId="48" applyNumberFormat="1" applyFont="1" applyBorder="1" applyAlignment="1">
      <alignment horizontal="left" vertical="center"/>
    </xf>
    <xf numFmtId="165" fontId="39" fillId="0" borderId="1" xfId="48" applyNumberFormat="1" applyFont="1" applyBorder="1" applyAlignment="1">
      <alignment horizontal="left" vertical="center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1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4" fontId="7" fillId="0" borderId="24" xfId="1" applyFont="1" applyFill="1" applyBorder="1" applyAlignment="1">
      <alignment horizontal="center" vertical="center" wrapText="1"/>
    </xf>
    <xf numFmtId="164" fontId="7" fillId="0" borderId="25" xfId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4" fillId="0" borderId="20" xfId="1" applyFont="1" applyFill="1" applyBorder="1" applyAlignment="1">
      <alignment horizontal="center" vertical="center"/>
    </xf>
    <xf numFmtId="164" fontId="4" fillId="0" borderId="0" xfId="1" applyFont="1" applyFill="1" applyBorder="1" applyAlignment="1">
      <alignment horizontal="center" vertical="center"/>
    </xf>
    <xf numFmtId="164" fontId="4" fillId="0" borderId="21" xfId="1" applyFont="1" applyFill="1" applyBorder="1" applyAlignment="1">
      <alignment horizontal="center" vertical="center"/>
    </xf>
    <xf numFmtId="164" fontId="26" fillId="0" borderId="3" xfId="1" applyFont="1" applyFill="1" applyBorder="1" applyAlignment="1">
      <alignment horizontal="center" vertical="center" wrapText="1"/>
    </xf>
    <xf numFmtId="164" fontId="2" fillId="0" borderId="3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3" fontId="4" fillId="0" borderId="0" xfId="3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4" fontId="2" fillId="0" borderId="0" xfId="1" applyFont="1" applyFill="1" applyAlignment="1">
      <alignment horizontal="center"/>
    </xf>
    <xf numFmtId="14" fontId="0" fillId="0" borderId="0" xfId="1" applyNumberFormat="1" applyFont="1" applyFill="1" applyAlignment="1">
      <alignment horizontal="center"/>
    </xf>
  </cellXfs>
  <cellStyles count="50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 2" xfId="3" xr:uid="{00000000-0005-0000-0000-00001C000000}"/>
    <cellStyle name="Comma 2 3" xfId="47" xr:uid="{00000000-0005-0000-0000-00001D000000}"/>
    <cellStyle name="Comma 3" xfId="2" xr:uid="{00000000-0005-0000-0000-00001E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2" xfId="5" xr:uid="{00000000-0005-0000-0000-000029000000}"/>
    <cellStyle name="Normal_BSPL 2004 NS" xfId="48" xr:uid="{00000000-0005-0000-0000-00002A000000}"/>
    <cellStyle name="Normal_FY 2003-2004  2 2" xfId="49" xr:uid="{8F7C5691-F063-47F1-8558-2E2406099B55}"/>
    <cellStyle name="Note" xfId="20" builtinId="10" customBuiltin="1"/>
    <cellStyle name="Output" xfId="15" builtinId="21" customBuiltin="1"/>
    <cellStyle name="Style 1" xfId="4" xr:uid="{00000000-0005-0000-0000-00002D000000}"/>
    <cellStyle name="Title" xfId="6" builtinId="15" customBuiltin="1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6605300017268_@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7"/>
  <sheetViews>
    <sheetView view="pageBreakPreview" topLeftCell="A58" zoomScaleNormal="100" zoomScaleSheetLayoutView="100" workbookViewId="0">
      <selection activeCell="A78" sqref="A78"/>
    </sheetView>
  </sheetViews>
  <sheetFormatPr defaultColWidth="9.109375" defaultRowHeight="14.4" x14ac:dyDescent="0.3"/>
  <cols>
    <col min="1" max="1" width="14.77734375" style="43" customWidth="1"/>
    <col min="2" max="2" width="37.77734375" bestFit="1" customWidth="1"/>
    <col min="3" max="3" width="13.44140625" style="47" bestFit="1" customWidth="1"/>
    <col min="4" max="4" width="14.77734375" style="47" customWidth="1"/>
    <col min="5" max="5" width="14.77734375" style="43" customWidth="1"/>
    <col min="6" max="6" width="36.44140625" customWidth="1"/>
    <col min="7" max="7" width="13.44140625" style="47" bestFit="1" customWidth="1"/>
    <col min="8" max="8" width="14.77734375" style="43" customWidth="1"/>
    <col min="9" max="9" width="12.33203125" customWidth="1"/>
    <col min="10" max="10" width="15.5546875" customWidth="1"/>
    <col min="11" max="11" width="14.44140625" bestFit="1" customWidth="1"/>
    <col min="12" max="12" width="12.5546875" bestFit="1" customWidth="1"/>
  </cols>
  <sheetData>
    <row r="1" spans="1:12" ht="21" x14ac:dyDescent="0.4">
      <c r="A1" s="245" t="s">
        <v>62</v>
      </c>
      <c r="B1" s="246"/>
      <c r="C1" s="246"/>
      <c r="D1" s="246"/>
      <c r="E1" s="246"/>
      <c r="F1" s="246"/>
      <c r="G1" s="246"/>
      <c r="H1" s="247"/>
    </row>
    <row r="2" spans="1:12" x14ac:dyDescent="0.3">
      <c r="A2" s="248" t="s">
        <v>219</v>
      </c>
      <c r="B2" s="249"/>
      <c r="C2" s="249"/>
      <c r="D2" s="249"/>
      <c r="E2" s="249"/>
      <c r="F2" s="249"/>
      <c r="G2" s="249"/>
      <c r="H2" s="250"/>
    </row>
    <row r="3" spans="1:12" x14ac:dyDescent="0.3">
      <c r="A3" s="248" t="s">
        <v>231</v>
      </c>
      <c r="B3" s="249"/>
      <c r="C3" s="249"/>
      <c r="D3" s="249"/>
      <c r="E3" s="249"/>
      <c r="F3" s="249"/>
      <c r="G3" s="249"/>
      <c r="H3" s="250"/>
    </row>
    <row r="4" spans="1:12" ht="18" x14ac:dyDescent="0.35">
      <c r="A4" s="242" t="s">
        <v>369</v>
      </c>
      <c r="B4" s="243"/>
      <c r="C4" s="243"/>
      <c r="D4" s="243"/>
      <c r="E4" s="243"/>
      <c r="F4" s="243"/>
      <c r="G4" s="243"/>
      <c r="H4" s="244"/>
    </row>
    <row r="5" spans="1:12" s="42" customFormat="1" ht="15.6" x14ac:dyDescent="0.3">
      <c r="A5" s="159"/>
      <c r="B5" s="160"/>
      <c r="C5" s="160"/>
      <c r="D5" s="160"/>
      <c r="E5" s="160"/>
      <c r="F5" s="160"/>
      <c r="G5" s="160"/>
      <c r="H5" s="161" t="s">
        <v>230</v>
      </c>
    </row>
    <row r="6" spans="1:12" ht="31.8" thickBot="1" x14ac:dyDescent="0.35">
      <c r="A6" s="63" t="s">
        <v>367</v>
      </c>
      <c r="B6" s="251" t="s">
        <v>10</v>
      </c>
      <c r="C6" s="251"/>
      <c r="D6" s="222" t="s">
        <v>368</v>
      </c>
      <c r="E6" s="125" t="str">
        <f>A6</f>
        <v>Previous Year 2024-25</v>
      </c>
      <c r="F6" s="252" t="s">
        <v>9</v>
      </c>
      <c r="G6" s="253"/>
      <c r="H6" s="63" t="str">
        <f>D6</f>
        <v>Current Year 2025-26</v>
      </c>
    </row>
    <row r="7" spans="1:12" ht="15" thickTop="1" x14ac:dyDescent="0.3">
      <c r="A7" s="45"/>
      <c r="B7" s="66" t="s">
        <v>11</v>
      </c>
      <c r="C7" s="46"/>
      <c r="D7" s="223"/>
      <c r="E7" s="220"/>
      <c r="F7" s="66" t="s">
        <v>0</v>
      </c>
      <c r="G7" s="46"/>
      <c r="H7" s="74"/>
    </row>
    <row r="8" spans="1:12" ht="15" thickBot="1" x14ac:dyDescent="0.35">
      <c r="A8" s="44">
        <v>100000</v>
      </c>
      <c r="B8" t="s">
        <v>222</v>
      </c>
      <c r="C8" s="46"/>
      <c r="D8" s="224">
        <v>100000</v>
      </c>
      <c r="E8" s="220">
        <v>764</v>
      </c>
      <c r="F8" t="s">
        <v>1</v>
      </c>
      <c r="G8" s="46">
        <v>215</v>
      </c>
      <c r="H8" s="12"/>
    </row>
    <row r="9" spans="1:12" ht="15" thickTop="1" x14ac:dyDescent="0.3">
      <c r="A9" s="12"/>
      <c r="C9" s="46"/>
      <c r="D9" s="225"/>
      <c r="E9" s="220">
        <v>14409</v>
      </c>
      <c r="F9" t="s">
        <v>2</v>
      </c>
      <c r="G9" s="46">
        <f>BRS!C17</f>
        <v>14854</v>
      </c>
      <c r="H9" s="12"/>
      <c r="I9" s="40"/>
    </row>
    <row r="10" spans="1:12" x14ac:dyDescent="0.3">
      <c r="A10" s="12"/>
      <c r="B10" s="66" t="s">
        <v>221</v>
      </c>
      <c r="C10" s="46"/>
      <c r="D10" s="225"/>
      <c r="E10" s="220">
        <v>5895</v>
      </c>
      <c r="F10" t="s">
        <v>110</v>
      </c>
      <c r="G10" s="46">
        <f>BRS!C25</f>
        <v>8321</v>
      </c>
      <c r="H10" s="12"/>
      <c r="J10" s="39"/>
      <c r="K10" s="40"/>
      <c r="L10" s="39">
        <f>J10-K10</f>
        <v>0</v>
      </c>
    </row>
    <row r="11" spans="1:12" x14ac:dyDescent="0.3">
      <c r="A11" s="12">
        <v>14000</v>
      </c>
      <c r="B11" t="s">
        <v>223</v>
      </c>
      <c r="C11" s="46"/>
      <c r="D11" s="226">
        <v>14000</v>
      </c>
      <c r="E11" s="220">
        <v>15608</v>
      </c>
      <c r="F11" t="s">
        <v>111</v>
      </c>
      <c r="G11" s="46">
        <f>BRS!C33</f>
        <v>17851</v>
      </c>
      <c r="H11" s="12"/>
      <c r="I11" s="39"/>
      <c r="J11" s="39"/>
    </row>
    <row r="12" spans="1:12" x14ac:dyDescent="0.3">
      <c r="A12" s="12"/>
      <c r="C12" s="46"/>
      <c r="D12" s="225"/>
      <c r="E12" s="220">
        <v>236540.74</v>
      </c>
      <c r="F12" t="s">
        <v>35</v>
      </c>
      <c r="G12" s="112">
        <f>BRS!C4</f>
        <v>227840.85</v>
      </c>
      <c r="H12" s="22">
        <f>SUM(G8:G12)</f>
        <v>269081.84999999998</v>
      </c>
      <c r="J12" s="39"/>
    </row>
    <row r="13" spans="1:12" x14ac:dyDescent="0.3">
      <c r="A13" s="12"/>
      <c r="B13" s="66" t="s">
        <v>12</v>
      </c>
      <c r="C13" s="46"/>
      <c r="D13" s="225"/>
      <c r="E13" s="220"/>
      <c r="G13" s="46"/>
      <c r="H13" s="12"/>
      <c r="J13" s="39"/>
    </row>
    <row r="14" spans="1:12" x14ac:dyDescent="0.3">
      <c r="A14" s="12">
        <v>627286</v>
      </c>
      <c r="B14" t="s">
        <v>8</v>
      </c>
      <c r="C14" s="46">
        <f>SUM(A14:A17)</f>
        <v>734254</v>
      </c>
      <c r="D14" s="225"/>
      <c r="E14" s="220"/>
      <c r="F14" s="66" t="s">
        <v>226</v>
      </c>
      <c r="G14" s="46"/>
      <c r="H14" s="12"/>
      <c r="J14" s="39"/>
    </row>
    <row r="15" spans="1:12" x14ac:dyDescent="0.3">
      <c r="A15" s="12">
        <v>23174</v>
      </c>
      <c r="B15" t="s">
        <v>83</v>
      </c>
      <c r="C15" s="46">
        <f>IE!D46</f>
        <v>10419</v>
      </c>
      <c r="D15" s="225"/>
      <c r="E15" s="220">
        <v>500</v>
      </c>
      <c r="F15" t="s">
        <v>124</v>
      </c>
      <c r="G15" s="46">
        <v>500</v>
      </c>
      <c r="H15" s="12"/>
      <c r="J15" s="39"/>
    </row>
    <row r="16" spans="1:12" x14ac:dyDescent="0.3">
      <c r="A16" s="12">
        <v>300</v>
      </c>
      <c r="B16" t="s">
        <v>38</v>
      </c>
      <c r="C16" s="46">
        <v>0</v>
      </c>
      <c r="D16" s="225"/>
      <c r="E16" s="220">
        <v>100</v>
      </c>
      <c r="F16" t="s">
        <v>125</v>
      </c>
      <c r="G16" s="46">
        <v>100</v>
      </c>
      <c r="H16" s="12"/>
      <c r="J16" s="39"/>
    </row>
    <row r="17" spans="1:12" x14ac:dyDescent="0.3">
      <c r="A17" s="12">
        <v>83494</v>
      </c>
      <c r="B17" t="s">
        <v>115</v>
      </c>
      <c r="C17" s="77">
        <f>'FD Interest Working'!E117</f>
        <v>95399</v>
      </c>
      <c r="D17" s="226">
        <f>SUM(C14:C17)</f>
        <v>840072</v>
      </c>
      <c r="E17" s="220">
        <v>2500</v>
      </c>
      <c r="F17" t="s">
        <v>36</v>
      </c>
      <c r="G17" s="46">
        <v>2500</v>
      </c>
      <c r="H17" s="12"/>
      <c r="J17" s="39"/>
    </row>
    <row r="18" spans="1:12" x14ac:dyDescent="0.3">
      <c r="A18" s="12"/>
      <c r="C18" s="46"/>
      <c r="D18" s="225"/>
      <c r="E18" s="220">
        <v>8108609</v>
      </c>
      <c r="F18" s="66" t="s">
        <v>224</v>
      </c>
      <c r="G18" s="87">
        <f>'Sch I Fixed Deposits'!D99</f>
        <v>8627401</v>
      </c>
      <c r="H18" s="12"/>
      <c r="J18" s="39"/>
      <c r="K18" s="39"/>
    </row>
    <row r="19" spans="1:12" x14ac:dyDescent="0.3">
      <c r="A19" s="12"/>
      <c r="B19" s="66" t="s">
        <v>175</v>
      </c>
      <c r="C19" s="46"/>
      <c r="D19" s="225"/>
      <c r="E19" s="220">
        <v>576281</v>
      </c>
      <c r="F19" t="s">
        <v>225</v>
      </c>
      <c r="G19" s="73">
        <f>'Sch I Fixed Deposits'!E99+'Sch I Fixed Deposits'!F99+'Sch I Fixed Deposits'!G99+'Sch I Fixed Deposits'!H99+'Sch I Fixed Deposits'!I99</f>
        <v>845260</v>
      </c>
      <c r="H19" s="22">
        <f>SUM(G15:G19)</f>
        <v>9475761</v>
      </c>
      <c r="J19" s="39"/>
    </row>
    <row r="20" spans="1:12" x14ac:dyDescent="0.3">
      <c r="A20" s="12">
        <v>74603</v>
      </c>
      <c r="B20" t="s">
        <v>176</v>
      </c>
      <c r="C20" s="46">
        <f>SUM(A20:A23)</f>
        <v>96383</v>
      </c>
      <c r="D20" s="225"/>
      <c r="E20" s="220"/>
      <c r="G20" s="46"/>
      <c r="H20" s="12"/>
      <c r="J20" s="39"/>
    </row>
    <row r="21" spans="1:12" x14ac:dyDescent="0.3">
      <c r="A21" s="12">
        <v>0</v>
      </c>
      <c r="B21" t="s">
        <v>168</v>
      </c>
      <c r="C21" s="46">
        <v>0</v>
      </c>
      <c r="D21" s="226"/>
      <c r="E21" s="220"/>
      <c r="F21" s="66" t="s">
        <v>3</v>
      </c>
      <c r="G21" s="46"/>
      <c r="H21" s="12"/>
      <c r="J21" s="39"/>
    </row>
    <row r="22" spans="1:12" x14ac:dyDescent="0.3">
      <c r="A22" s="12">
        <v>10000</v>
      </c>
      <c r="B22" t="s">
        <v>325</v>
      </c>
      <c r="C22" s="46">
        <v>0</v>
      </c>
      <c r="D22" s="226"/>
      <c r="E22" s="220">
        <v>12131.5</v>
      </c>
      <c r="F22" t="s">
        <v>227</v>
      </c>
      <c r="G22" s="46"/>
      <c r="H22" s="22">
        <v>12131.5</v>
      </c>
      <c r="J22" s="39"/>
    </row>
    <row r="23" spans="1:12" x14ac:dyDescent="0.3">
      <c r="A23" s="12">
        <v>11780</v>
      </c>
      <c r="B23" t="s">
        <v>115</v>
      </c>
      <c r="C23" s="73">
        <f>'FD Interest Working'!E115</f>
        <v>7902</v>
      </c>
      <c r="D23" s="226">
        <f>SUM(C20:C23)</f>
        <v>104285</v>
      </c>
      <c r="E23" s="220"/>
      <c r="G23" s="46"/>
      <c r="H23" s="12"/>
      <c r="J23" s="39"/>
      <c r="L23" s="86"/>
    </row>
    <row r="24" spans="1:12" x14ac:dyDescent="0.3">
      <c r="A24" s="12"/>
      <c r="C24" s="46"/>
      <c r="D24" s="225"/>
      <c r="E24" s="220"/>
      <c r="F24" s="66" t="s">
        <v>4</v>
      </c>
      <c r="G24" s="46"/>
      <c r="H24" s="12"/>
      <c r="J24" s="39"/>
    </row>
    <row r="25" spans="1:12" x14ac:dyDescent="0.3">
      <c r="A25" s="12"/>
      <c r="B25" s="66" t="s">
        <v>39</v>
      </c>
      <c r="C25" s="46"/>
      <c r="D25" s="225"/>
      <c r="E25" s="220">
        <v>35838000</v>
      </c>
      <c r="F25" t="s">
        <v>37</v>
      </c>
      <c r="G25" s="46"/>
      <c r="H25" s="22">
        <v>35838000</v>
      </c>
      <c r="J25" s="39"/>
    </row>
    <row r="26" spans="1:12" x14ac:dyDescent="0.3">
      <c r="A26" s="12">
        <v>1389293</v>
      </c>
      <c r="B26" t="s">
        <v>8</v>
      </c>
      <c r="C26" s="46">
        <f>SUM(A26:A28)</f>
        <v>1584118</v>
      </c>
      <c r="D26" s="225"/>
      <c r="E26" s="220">
        <v>189800</v>
      </c>
      <c r="F26" s="66" t="s">
        <v>232</v>
      </c>
      <c r="G26" s="46"/>
      <c r="H26" s="22">
        <f>'Sch II Fixed Asset'!H10</f>
        <v>162049</v>
      </c>
      <c r="J26" s="39"/>
    </row>
    <row r="27" spans="1:12" x14ac:dyDescent="0.3">
      <c r="A27" s="12">
        <v>103200</v>
      </c>
      <c r="B27" t="s">
        <v>38</v>
      </c>
      <c r="C27" s="46">
        <v>54000</v>
      </c>
      <c r="D27" s="225"/>
      <c r="E27" s="220"/>
      <c r="F27" s="2"/>
      <c r="G27" s="46"/>
      <c r="H27" s="12"/>
      <c r="J27" s="39"/>
    </row>
    <row r="28" spans="1:12" x14ac:dyDescent="0.3">
      <c r="A28" s="12">
        <v>91625</v>
      </c>
      <c r="B28" t="s">
        <v>115</v>
      </c>
      <c r="C28" s="73">
        <f>'FD Interest Working'!E114</f>
        <v>112301</v>
      </c>
      <c r="D28" s="226">
        <f>SUM(C26:C28)</f>
        <v>1750419</v>
      </c>
      <c r="E28" s="220"/>
      <c r="F28" s="66" t="s">
        <v>5</v>
      </c>
      <c r="G28" s="46"/>
      <c r="H28" s="12"/>
      <c r="J28" s="39"/>
    </row>
    <row r="29" spans="1:12" x14ac:dyDescent="0.3">
      <c r="A29" s="12"/>
      <c r="C29" s="46"/>
      <c r="D29" s="225"/>
      <c r="E29" s="220">
        <v>2870</v>
      </c>
      <c r="F29" t="s">
        <v>233</v>
      </c>
      <c r="G29" s="46"/>
      <c r="H29" s="22">
        <f>'Sch III, IV, V, VI &amp; VII'!D9</f>
        <v>11805</v>
      </c>
      <c r="J29" s="39"/>
    </row>
    <row r="30" spans="1:12" x14ac:dyDescent="0.3">
      <c r="A30" s="45"/>
      <c r="B30" s="66" t="s">
        <v>13</v>
      </c>
      <c r="C30" s="46"/>
      <c r="D30" s="225"/>
      <c r="E30" s="220"/>
      <c r="G30" s="46"/>
      <c r="H30" s="12"/>
      <c r="J30" s="39"/>
    </row>
    <row r="31" spans="1:12" x14ac:dyDescent="0.3">
      <c r="A31" s="12">
        <v>1069196</v>
      </c>
      <c r="B31" t="s">
        <v>8</v>
      </c>
      <c r="C31" s="46">
        <f>SUM(A31:A33)</f>
        <v>1203632</v>
      </c>
      <c r="D31" s="225"/>
      <c r="E31" s="220"/>
      <c r="F31" s="66" t="s">
        <v>228</v>
      </c>
      <c r="G31" s="46"/>
      <c r="H31" s="12"/>
      <c r="J31" s="39"/>
    </row>
    <row r="32" spans="1:12" x14ac:dyDescent="0.3">
      <c r="A32" s="12">
        <v>58224</v>
      </c>
      <c r="B32" t="s">
        <v>14</v>
      </c>
      <c r="C32" s="46">
        <v>58224</v>
      </c>
      <c r="D32" s="225"/>
      <c r="E32" s="220">
        <v>12286</v>
      </c>
      <c r="F32" t="s">
        <v>6</v>
      </c>
      <c r="G32" s="46">
        <v>11701</v>
      </c>
      <c r="H32" s="12"/>
      <c r="J32" s="39"/>
    </row>
    <row r="33" spans="1:11" x14ac:dyDescent="0.3">
      <c r="A33" s="12">
        <v>76212</v>
      </c>
      <c r="B33" t="s">
        <v>115</v>
      </c>
      <c r="C33" s="73">
        <f>'FD Interest Working'!E122</f>
        <v>87678</v>
      </c>
      <c r="D33" s="226">
        <f>SUM(C31:C33)</f>
        <v>1349534</v>
      </c>
      <c r="E33" s="220">
        <v>4295</v>
      </c>
      <c r="F33" t="s">
        <v>49</v>
      </c>
      <c r="G33" s="77">
        <v>4779</v>
      </c>
      <c r="H33" s="22">
        <f>SUM(G32:G33)</f>
        <v>16480</v>
      </c>
      <c r="J33" s="39"/>
    </row>
    <row r="34" spans="1:11" x14ac:dyDescent="0.3">
      <c r="A34" s="12"/>
      <c r="C34" s="46"/>
      <c r="D34" s="225"/>
      <c r="E34" s="220"/>
      <c r="G34" s="46"/>
      <c r="H34" s="22"/>
      <c r="J34" s="39"/>
    </row>
    <row r="35" spans="1:11" x14ac:dyDescent="0.3">
      <c r="A35" s="12"/>
      <c r="B35" s="66" t="s">
        <v>40</v>
      </c>
      <c r="C35" s="46"/>
      <c r="D35" s="225"/>
      <c r="E35" s="220"/>
      <c r="G35" s="46"/>
      <c r="H35" s="12"/>
      <c r="J35" s="39"/>
    </row>
    <row r="36" spans="1:11" x14ac:dyDescent="0.3">
      <c r="A36" s="12">
        <v>4563998</v>
      </c>
      <c r="B36" t="s">
        <v>8</v>
      </c>
      <c r="C36" s="46">
        <f>SUM(A36:A39)</f>
        <v>3453942</v>
      </c>
      <c r="D36" s="225"/>
      <c r="E36" s="220"/>
      <c r="F36" s="66" t="s">
        <v>229</v>
      </c>
      <c r="G36" s="46"/>
      <c r="H36" s="12"/>
      <c r="J36" s="39"/>
    </row>
    <row r="37" spans="1:11" x14ac:dyDescent="0.3">
      <c r="A37" s="12">
        <v>175056</v>
      </c>
      <c r="B37" t="s">
        <v>14</v>
      </c>
      <c r="C37" s="46">
        <v>175056</v>
      </c>
      <c r="D37" s="225"/>
      <c r="E37" s="220">
        <v>50131</v>
      </c>
      <c r="F37" t="s">
        <v>135</v>
      </c>
      <c r="G37" s="77">
        <v>58567</v>
      </c>
      <c r="H37" s="22">
        <f>SUM(G37:G37)</f>
        <v>58567</v>
      </c>
      <c r="J37" s="39"/>
    </row>
    <row r="38" spans="1:11" x14ac:dyDescent="0.3">
      <c r="A38" s="12">
        <v>-1489986</v>
      </c>
      <c r="B38" t="s">
        <v>302</v>
      </c>
      <c r="C38" s="46">
        <f>IE!C20</f>
        <v>-152099</v>
      </c>
      <c r="D38" s="225"/>
      <c r="E38" s="220"/>
      <c r="G38" s="46"/>
      <c r="H38" s="12"/>
      <c r="J38" s="39"/>
      <c r="K38" s="39"/>
    </row>
    <row r="39" spans="1:11" x14ac:dyDescent="0.3">
      <c r="A39" s="12">
        <v>204874</v>
      </c>
      <c r="B39" t="s">
        <v>115</v>
      </c>
      <c r="C39" s="73">
        <f>'FD Interest Working'!E119</f>
        <v>237133</v>
      </c>
      <c r="D39" s="226">
        <f>SUM(C36:C39)</f>
        <v>3714032</v>
      </c>
      <c r="E39" s="220"/>
      <c r="G39" s="46"/>
      <c r="H39" s="12"/>
      <c r="J39" s="39"/>
    </row>
    <row r="40" spans="1:11" x14ac:dyDescent="0.3">
      <c r="A40" s="45"/>
      <c r="C40" s="46"/>
      <c r="D40" s="225"/>
      <c r="E40" s="220"/>
      <c r="G40" s="46"/>
      <c r="H40" s="12"/>
      <c r="J40" s="39"/>
    </row>
    <row r="41" spans="1:11" x14ac:dyDescent="0.3">
      <c r="A41" s="12"/>
      <c r="B41" s="66" t="s">
        <v>116</v>
      </c>
      <c r="C41" s="46"/>
      <c r="D41" s="225"/>
      <c r="E41" s="220"/>
      <c r="G41" s="46"/>
      <c r="H41" s="12"/>
      <c r="J41" s="39"/>
    </row>
    <row r="42" spans="1:11" x14ac:dyDescent="0.3">
      <c r="A42" s="12">
        <v>719610</v>
      </c>
      <c r="B42" t="s">
        <v>8</v>
      </c>
      <c r="C42" s="46">
        <f>SUM(A42:A43)</f>
        <v>767792</v>
      </c>
      <c r="D42" s="225"/>
      <c r="E42" s="220"/>
      <c r="G42" s="46"/>
      <c r="H42" s="12"/>
      <c r="J42" s="39"/>
    </row>
    <row r="43" spans="1:11" x14ac:dyDescent="0.3">
      <c r="A43" s="12">
        <v>48182</v>
      </c>
      <c r="B43" t="s">
        <v>115</v>
      </c>
      <c r="C43" s="73">
        <f>'FD Interest Working'!E116</f>
        <v>55965</v>
      </c>
      <c r="D43" s="226">
        <f>SUM(C42:C43)</f>
        <v>823757</v>
      </c>
      <c r="E43" s="220"/>
      <c r="G43" s="46"/>
      <c r="H43" s="12"/>
      <c r="J43" s="39"/>
    </row>
    <row r="44" spans="1:11" x14ac:dyDescent="0.3">
      <c r="A44" s="45"/>
      <c r="C44" s="46"/>
      <c r="D44" s="225"/>
      <c r="E44" s="220"/>
      <c r="G44" s="46"/>
      <c r="H44" s="12"/>
      <c r="J44" s="39"/>
    </row>
    <row r="45" spans="1:11" x14ac:dyDescent="0.3">
      <c r="A45" s="12"/>
      <c r="B45" s="66" t="s">
        <v>69</v>
      </c>
      <c r="C45" s="46"/>
      <c r="D45" s="225"/>
      <c r="E45" s="220"/>
      <c r="G45" s="46"/>
      <c r="H45" s="12"/>
      <c r="J45" s="39"/>
    </row>
    <row r="46" spans="1:11" x14ac:dyDescent="0.3">
      <c r="A46" s="12">
        <v>19894</v>
      </c>
      <c r="B46" t="s">
        <v>8</v>
      </c>
      <c r="C46" s="46">
        <f>SUM(A46:A48)</f>
        <v>1103</v>
      </c>
      <c r="D46" s="225"/>
      <c r="E46" s="220"/>
      <c r="G46" s="46"/>
      <c r="H46" s="12"/>
      <c r="J46" s="39"/>
    </row>
    <row r="47" spans="1:11" x14ac:dyDescent="0.3">
      <c r="A47" s="12">
        <v>5376</v>
      </c>
      <c r="B47" t="s">
        <v>14</v>
      </c>
      <c r="C47" s="46">
        <v>5376</v>
      </c>
      <c r="D47" s="226"/>
      <c r="E47" s="220"/>
      <c r="G47" s="46"/>
      <c r="H47" s="12"/>
      <c r="J47" s="39"/>
    </row>
    <row r="48" spans="1:11" x14ac:dyDescent="0.3">
      <c r="A48" s="12">
        <v>-24167</v>
      </c>
      <c r="B48" t="s">
        <v>279</v>
      </c>
      <c r="C48" s="77">
        <v>0</v>
      </c>
      <c r="D48" s="226">
        <f>SUM(C46:C48)</f>
        <v>6479</v>
      </c>
      <c r="E48" s="220"/>
      <c r="G48" s="46"/>
      <c r="H48" s="12"/>
      <c r="J48" s="39"/>
    </row>
    <row r="49" spans="1:11" x14ac:dyDescent="0.3">
      <c r="A49" s="12"/>
      <c r="C49" s="46"/>
      <c r="D49" s="225"/>
      <c r="E49" s="220"/>
      <c r="G49" s="46"/>
      <c r="H49" s="12"/>
      <c r="J49" s="39"/>
    </row>
    <row r="50" spans="1:11" x14ac:dyDescent="0.3">
      <c r="A50" s="12"/>
      <c r="B50" s="66" t="s">
        <v>234</v>
      </c>
      <c r="C50" s="46"/>
      <c r="D50" s="225"/>
      <c r="E50" s="220"/>
      <c r="G50" s="46"/>
      <c r="H50" s="12"/>
      <c r="J50" s="39"/>
    </row>
    <row r="51" spans="1:11" x14ac:dyDescent="0.3">
      <c r="A51" s="12">
        <v>84000</v>
      </c>
      <c r="B51" t="s">
        <v>8</v>
      </c>
      <c r="C51" s="46">
        <f>'Sch III, IV, V, VI &amp; VII'!D21</f>
        <v>80000</v>
      </c>
      <c r="D51" s="225"/>
      <c r="E51" s="220"/>
      <c r="G51" s="46"/>
      <c r="H51" s="12"/>
      <c r="J51" s="39"/>
    </row>
    <row r="52" spans="1:11" x14ac:dyDescent="0.3">
      <c r="A52" s="12">
        <v>0</v>
      </c>
      <c r="B52" t="s">
        <v>38</v>
      </c>
      <c r="C52" s="46">
        <v>0</v>
      </c>
      <c r="D52" s="225"/>
      <c r="E52" s="220"/>
      <c r="G52" s="46"/>
      <c r="H52" s="12"/>
      <c r="J52" s="39"/>
    </row>
    <row r="53" spans="1:11" x14ac:dyDescent="0.3">
      <c r="A53" s="12">
        <v>0</v>
      </c>
      <c r="B53" t="s">
        <v>177</v>
      </c>
      <c r="C53" s="46">
        <v>0</v>
      </c>
      <c r="D53" s="226"/>
      <c r="E53" s="220"/>
      <c r="G53" s="46"/>
      <c r="H53" s="12"/>
      <c r="J53" s="39"/>
    </row>
    <row r="54" spans="1:11" x14ac:dyDescent="0.3">
      <c r="A54" s="12">
        <v>-4000</v>
      </c>
      <c r="B54" t="s">
        <v>145</v>
      </c>
      <c r="C54" s="73">
        <v>0</v>
      </c>
      <c r="D54" s="226">
        <f>SUM(C51:C54)</f>
        <v>80000</v>
      </c>
      <c r="E54" s="220"/>
      <c r="G54" s="46"/>
      <c r="H54" s="12"/>
      <c r="J54" s="39"/>
    </row>
    <row r="55" spans="1:11" x14ac:dyDescent="0.3">
      <c r="A55" s="12"/>
      <c r="C55" s="46"/>
      <c r="D55" s="225"/>
      <c r="E55" s="220"/>
      <c r="G55" s="46"/>
      <c r="H55" s="12"/>
      <c r="J55" s="39"/>
    </row>
    <row r="56" spans="1:11" x14ac:dyDescent="0.3">
      <c r="A56" s="12">
        <v>35838000</v>
      </c>
      <c r="B56" t="s">
        <v>85</v>
      </c>
      <c r="C56" s="46"/>
      <c r="D56" s="226">
        <v>35838000</v>
      </c>
      <c r="E56" s="220"/>
      <c r="G56" s="46"/>
      <c r="H56" s="12"/>
      <c r="I56" s="47"/>
      <c r="J56" s="39"/>
    </row>
    <row r="57" spans="1:11" x14ac:dyDescent="0.3">
      <c r="A57" s="45"/>
      <c r="C57" s="46"/>
      <c r="D57" s="225"/>
      <c r="E57" s="220"/>
      <c r="G57" s="46"/>
      <c r="H57" s="12"/>
      <c r="J57" s="39"/>
      <c r="K57" s="39"/>
    </row>
    <row r="58" spans="1:11" x14ac:dyDescent="0.3">
      <c r="A58" s="12">
        <v>23558</v>
      </c>
      <c r="B58" s="66" t="s">
        <v>235</v>
      </c>
      <c r="C58" s="46"/>
      <c r="D58" s="226">
        <f>'Sch III, IV, V, VI &amp; VII'!D31</f>
        <v>31977</v>
      </c>
      <c r="E58" s="220"/>
      <c r="F58" s="40"/>
      <c r="G58" s="46"/>
      <c r="H58" s="12"/>
      <c r="J58" s="39"/>
    </row>
    <row r="59" spans="1:11" x14ac:dyDescent="0.3">
      <c r="A59" s="12"/>
      <c r="C59" s="46"/>
      <c r="D59" s="225"/>
      <c r="E59" s="220"/>
      <c r="G59" s="46"/>
      <c r="H59" s="12"/>
      <c r="I59" s="40"/>
      <c r="J59" s="39"/>
    </row>
    <row r="60" spans="1:11" x14ac:dyDescent="0.3">
      <c r="A60" s="12"/>
      <c r="B60" s="66" t="s">
        <v>15</v>
      </c>
      <c r="C60" s="46"/>
      <c r="D60" s="225"/>
      <c r="E60" s="220"/>
      <c r="G60" s="46"/>
      <c r="H60" s="12"/>
      <c r="J60" s="39"/>
    </row>
    <row r="61" spans="1:11" x14ac:dyDescent="0.3">
      <c r="A61" s="12">
        <v>61831</v>
      </c>
      <c r="B61" s="66" t="s">
        <v>236</v>
      </c>
      <c r="C61" s="46"/>
      <c r="D61" s="226">
        <f>'Sch III, IV, V, VI &amp; VII'!D48</f>
        <v>45591.520000000004</v>
      </c>
      <c r="E61" s="220"/>
      <c r="G61" s="46"/>
      <c r="H61" s="12"/>
      <c r="J61" s="39"/>
    </row>
    <row r="62" spans="1:11" x14ac:dyDescent="0.3">
      <c r="A62" s="12"/>
      <c r="C62" s="46"/>
      <c r="D62" s="225"/>
      <c r="E62" s="220"/>
      <c r="G62" s="46"/>
      <c r="H62" s="12"/>
      <c r="J62" s="39"/>
    </row>
    <row r="63" spans="1:11" x14ac:dyDescent="0.3">
      <c r="A63" s="12"/>
      <c r="B63" s="66" t="s">
        <v>18</v>
      </c>
      <c r="C63" s="46"/>
      <c r="D63" s="225"/>
      <c r="E63" s="220"/>
      <c r="G63" s="46"/>
      <c r="H63" s="12"/>
      <c r="J63" s="39"/>
    </row>
    <row r="64" spans="1:11" x14ac:dyDescent="0.3">
      <c r="A64" s="12">
        <v>1138986.99</v>
      </c>
      <c r="B64" t="s">
        <v>8</v>
      </c>
      <c r="C64" s="46">
        <f>SUM(A64:A67)</f>
        <v>1212107.24</v>
      </c>
      <c r="D64" s="225"/>
      <c r="E64" s="220"/>
      <c r="G64" s="46"/>
      <c r="H64" s="12"/>
      <c r="I64" s="47"/>
    </row>
    <row r="65" spans="1:12" x14ac:dyDescent="0.3">
      <c r="A65" s="12">
        <v>3600</v>
      </c>
      <c r="B65" s="66" t="s">
        <v>326</v>
      </c>
      <c r="C65" s="46">
        <v>0</v>
      </c>
      <c r="D65" s="225"/>
      <c r="E65" s="220"/>
      <c r="G65" s="46"/>
      <c r="H65" s="12"/>
      <c r="I65" s="47"/>
    </row>
    <row r="66" spans="1:12" x14ac:dyDescent="0.3">
      <c r="A66" s="12">
        <v>0</v>
      </c>
      <c r="B66" s="66" t="s">
        <v>598</v>
      </c>
      <c r="C66" s="46">
        <v>2366</v>
      </c>
      <c r="D66" s="225"/>
      <c r="E66" s="220"/>
      <c r="G66" s="46"/>
      <c r="H66" s="12"/>
      <c r="I66" s="47"/>
    </row>
    <row r="67" spans="1:12" x14ac:dyDescent="0.3">
      <c r="A67" s="41">
        <v>69520.25</v>
      </c>
      <c r="B67" t="s">
        <v>303</v>
      </c>
      <c r="C67" s="73">
        <f>IE!D47</f>
        <v>31255.589999999967</v>
      </c>
      <c r="D67" s="226">
        <f>SUM(C64:C67)</f>
        <v>1245728.83</v>
      </c>
      <c r="E67" s="220"/>
      <c r="G67" s="77"/>
      <c r="H67" s="12"/>
      <c r="I67" s="47"/>
    </row>
    <row r="68" spans="1:12" s="76" customFormat="1" ht="19.5" customHeight="1" thickBot="1" x14ac:dyDescent="0.35">
      <c r="A68" s="75">
        <f>SUM(A10:A67)</f>
        <v>45070720.240000002</v>
      </c>
      <c r="B68" s="256" t="s">
        <v>28</v>
      </c>
      <c r="C68" s="257"/>
      <c r="D68" s="227">
        <f>SUM(D9:D67)</f>
        <v>45843875.350000001</v>
      </c>
      <c r="E68" s="221">
        <f>SUM(E8:E67)</f>
        <v>45070720.240000002</v>
      </c>
      <c r="F68" s="254" t="s">
        <v>28</v>
      </c>
      <c r="G68" s="255"/>
      <c r="H68" s="75">
        <f>SUM(H8:H67)</f>
        <v>45843875.350000001</v>
      </c>
      <c r="I68" s="113">
        <f>A68-E68</f>
        <v>0</v>
      </c>
      <c r="J68" s="113">
        <f>D68-H68</f>
        <v>0</v>
      </c>
      <c r="K68" s="94"/>
      <c r="L68" s="94"/>
    </row>
    <row r="69" spans="1:12" ht="15" thickTop="1" x14ac:dyDescent="0.3">
      <c r="A69" s="133"/>
      <c r="B69" s="114"/>
      <c r="C69" s="13"/>
      <c r="D69" s="59"/>
      <c r="E69" s="258"/>
      <c r="F69" s="258"/>
      <c r="G69" s="258"/>
      <c r="H69" s="134"/>
      <c r="J69" s="39"/>
    </row>
    <row r="70" spans="1:12" x14ac:dyDescent="0.3">
      <c r="A70" s="135" t="s">
        <v>84</v>
      </c>
      <c r="B70" s="136"/>
      <c r="C70" s="136"/>
      <c r="D70" s="137"/>
      <c r="E70" s="138"/>
      <c r="F70" s="136"/>
      <c r="G70" s="138"/>
      <c r="H70" s="139"/>
      <c r="I70" s="47"/>
    </row>
    <row r="71" spans="1:12" x14ac:dyDescent="0.3">
      <c r="A71" s="140"/>
      <c r="B71" s="136"/>
      <c r="C71" s="136"/>
      <c r="D71" s="141"/>
      <c r="E71" s="142"/>
      <c r="F71" s="259" t="s">
        <v>618</v>
      </c>
      <c r="G71" s="259"/>
      <c r="H71" s="260"/>
      <c r="I71" s="47"/>
    </row>
    <row r="72" spans="1:12" x14ac:dyDescent="0.3">
      <c r="A72" s="140"/>
      <c r="B72" s="136"/>
      <c r="C72" s="136"/>
      <c r="D72" s="141"/>
      <c r="E72" s="142"/>
      <c r="F72" s="144"/>
      <c r="G72" s="142"/>
      <c r="H72" s="145"/>
      <c r="I72" s="47"/>
    </row>
    <row r="73" spans="1:12" x14ac:dyDescent="0.3">
      <c r="A73" s="140"/>
      <c r="B73" s="136"/>
      <c r="C73" s="136"/>
      <c r="D73" s="141"/>
      <c r="E73" s="142"/>
      <c r="F73" s="144"/>
      <c r="G73" s="142"/>
      <c r="H73" s="145"/>
      <c r="I73" s="47"/>
    </row>
    <row r="74" spans="1:12" s="76" customFormat="1" ht="19.5" customHeight="1" x14ac:dyDescent="0.3">
      <c r="A74" s="146" t="s">
        <v>619</v>
      </c>
      <c r="B74" s="147"/>
      <c r="C74" s="148"/>
      <c r="D74" s="141"/>
      <c r="E74" s="142"/>
      <c r="F74" s="144"/>
      <c r="G74" s="142"/>
      <c r="H74" s="145"/>
      <c r="I74" s="113">
        <f>A68-E68</f>
        <v>0</v>
      </c>
      <c r="J74" s="113">
        <f>D68-H68</f>
        <v>0</v>
      </c>
      <c r="K74" s="94"/>
      <c r="L74" s="94"/>
    </row>
    <row r="75" spans="1:12" s="136" customFormat="1" ht="9.9" customHeight="1" x14ac:dyDescent="0.3">
      <c r="A75" s="149" t="s">
        <v>620</v>
      </c>
      <c r="B75" s="147"/>
      <c r="C75" s="148"/>
      <c r="D75" s="141"/>
      <c r="E75" s="142"/>
      <c r="F75" s="144"/>
      <c r="G75" s="142"/>
      <c r="H75" s="145"/>
      <c r="J75" s="150"/>
    </row>
    <row r="76" spans="1:12" s="136" customFormat="1" ht="15.6" x14ac:dyDescent="0.3">
      <c r="A76" s="149" t="s">
        <v>621</v>
      </c>
      <c r="B76" s="147"/>
      <c r="C76" s="148"/>
      <c r="D76" s="141"/>
      <c r="E76" s="142"/>
      <c r="F76" s="261" t="s">
        <v>622</v>
      </c>
      <c r="G76" s="261"/>
      <c r="H76" s="262"/>
      <c r="J76" s="150"/>
    </row>
    <row r="77" spans="1:12" s="136" customFormat="1" ht="14.1" customHeight="1" x14ac:dyDescent="0.3">
      <c r="A77" s="240">
        <v>46242</v>
      </c>
      <c r="B77" s="241"/>
      <c r="C77" s="241"/>
      <c r="D77" s="152"/>
      <c r="E77" s="153"/>
      <c r="F77" s="154"/>
      <c r="G77" s="153"/>
      <c r="H77" s="155"/>
      <c r="J77" s="150"/>
    </row>
  </sheetData>
  <mergeCells count="12">
    <mergeCell ref="A77:C77"/>
    <mergeCell ref="A4:H4"/>
    <mergeCell ref="A1:H1"/>
    <mergeCell ref="A2:H2"/>
    <mergeCell ref="A3:H3"/>
    <mergeCell ref="B6:C6"/>
    <mergeCell ref="F6:G6"/>
    <mergeCell ref="F68:G68"/>
    <mergeCell ref="B68:C68"/>
    <mergeCell ref="E69:G69"/>
    <mergeCell ref="F71:H71"/>
    <mergeCell ref="F76:H76"/>
  </mergeCells>
  <printOptions horizontalCentered="1"/>
  <pageMargins left="0.39370078740157483" right="0.19685039370078741" top="0.59055118110236227" bottom="0.31496062992125984" header="0.19685039370078741" footer="0.19685039370078741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9"/>
  <sheetViews>
    <sheetView view="pageBreakPreview" topLeftCell="A34" zoomScaleNormal="100" zoomScaleSheetLayoutView="100" workbookViewId="0">
      <selection activeCell="A78" sqref="A78"/>
    </sheetView>
  </sheetViews>
  <sheetFormatPr defaultColWidth="9.109375" defaultRowHeight="14.4" x14ac:dyDescent="0.3"/>
  <cols>
    <col min="1" max="1" width="14.77734375" style="17" customWidth="1"/>
    <col min="2" max="2" width="29.77734375" style="17" customWidth="1"/>
    <col min="3" max="3" width="13.21875" style="17" bestFit="1" customWidth="1"/>
    <col min="4" max="5" width="14.77734375" style="17" customWidth="1"/>
    <col min="6" max="6" width="30.77734375" style="17" customWidth="1"/>
    <col min="7" max="7" width="12.88671875" style="17" bestFit="1" customWidth="1"/>
    <col min="8" max="8" width="14.77734375" style="17" customWidth="1"/>
    <col min="9" max="9" width="9.33203125" style="17" bestFit="1" customWidth="1"/>
    <col min="10" max="10" width="32.21875" style="17" bestFit="1" customWidth="1"/>
    <col min="11" max="11" width="12.33203125" style="17" bestFit="1" customWidth="1"/>
    <col min="12" max="12" width="6" style="17" bestFit="1" customWidth="1"/>
    <col min="13" max="16384" width="9.109375" style="17"/>
  </cols>
  <sheetData>
    <row r="1" spans="1:11" ht="19.5" customHeight="1" x14ac:dyDescent="0.4">
      <c r="A1" s="245" t="s">
        <v>62</v>
      </c>
      <c r="B1" s="246"/>
      <c r="C1" s="246"/>
      <c r="D1" s="246"/>
      <c r="E1" s="246"/>
      <c r="F1" s="246"/>
      <c r="G1" s="246"/>
      <c r="H1" s="247"/>
    </row>
    <row r="2" spans="1:11" x14ac:dyDescent="0.3">
      <c r="A2" s="248" t="str">
        <f>BS!A2</f>
        <v>(Regd. No. BOM/HSG/3365/1972)</v>
      </c>
      <c r="B2" s="249"/>
      <c r="C2" s="249"/>
      <c r="D2" s="249"/>
      <c r="E2" s="249"/>
      <c r="F2" s="249"/>
      <c r="G2" s="249"/>
      <c r="H2" s="250"/>
    </row>
    <row r="3" spans="1:11" x14ac:dyDescent="0.3">
      <c r="A3" s="248" t="s">
        <v>103</v>
      </c>
      <c r="B3" s="249"/>
      <c r="C3" s="249"/>
      <c r="D3" s="249"/>
      <c r="E3" s="249"/>
      <c r="F3" s="249"/>
      <c r="G3" s="249"/>
      <c r="H3" s="250"/>
    </row>
    <row r="4" spans="1:11" ht="15.6" x14ac:dyDescent="0.3">
      <c r="A4" s="263" t="s">
        <v>370</v>
      </c>
      <c r="B4" s="264"/>
      <c r="C4" s="264"/>
      <c r="D4" s="264"/>
      <c r="E4" s="264"/>
      <c r="F4" s="264"/>
      <c r="G4" s="264"/>
      <c r="H4" s="265"/>
    </row>
    <row r="5" spans="1:11" s="16" customFormat="1" ht="15.6" x14ac:dyDescent="0.3">
      <c r="A5" s="156"/>
      <c r="B5" s="157"/>
      <c r="C5" s="157"/>
      <c r="D5" s="157"/>
      <c r="E5" s="157"/>
      <c r="F5" s="157"/>
      <c r="G5" s="157"/>
      <c r="H5" s="158" t="s">
        <v>230</v>
      </c>
    </row>
    <row r="6" spans="1:11" ht="29.4" thickBot="1" x14ac:dyDescent="0.35">
      <c r="A6" s="82" t="str">
        <f>BS!A6</f>
        <v>Previous Year 2024-25</v>
      </c>
      <c r="B6" s="266" t="s">
        <v>220</v>
      </c>
      <c r="C6" s="266"/>
      <c r="D6" s="230" t="str">
        <f>BS!D6</f>
        <v>Current Year 2025-26</v>
      </c>
      <c r="E6" s="228" t="str">
        <f>A6</f>
        <v>Previous Year 2024-25</v>
      </c>
      <c r="F6" s="266" t="s">
        <v>70</v>
      </c>
      <c r="G6" s="266"/>
      <c r="H6" s="82" t="str">
        <f>D6</f>
        <v>Current Year 2025-26</v>
      </c>
    </row>
    <row r="7" spans="1:11" ht="16.8" thickTop="1" x14ac:dyDescent="0.3">
      <c r="A7" s="18"/>
      <c r="B7" s="65" t="s">
        <v>242</v>
      </c>
      <c r="C7" s="78"/>
      <c r="D7" s="231"/>
      <c r="E7" s="19"/>
      <c r="F7" s="64" t="s">
        <v>237</v>
      </c>
      <c r="G7" s="78"/>
      <c r="H7" s="78"/>
    </row>
    <row r="8" spans="1:11" x14ac:dyDescent="0.3">
      <c r="A8" s="15">
        <v>11640</v>
      </c>
      <c r="B8" s="20" t="s">
        <v>71</v>
      </c>
      <c r="C8" s="25"/>
      <c r="D8" s="232">
        <v>16296</v>
      </c>
      <c r="E8" s="14">
        <v>211200</v>
      </c>
      <c r="F8" s="20" t="s">
        <v>19</v>
      </c>
      <c r="G8" s="79">
        <v>211200</v>
      </c>
      <c r="H8" s="25"/>
    </row>
    <row r="9" spans="1:11" x14ac:dyDescent="0.3">
      <c r="A9" s="20"/>
      <c r="B9" s="20"/>
      <c r="C9" s="25"/>
      <c r="D9" s="233"/>
      <c r="E9" s="14">
        <v>48000</v>
      </c>
      <c r="F9" s="20" t="s">
        <v>17</v>
      </c>
      <c r="G9" s="79">
        <v>48000</v>
      </c>
      <c r="H9" s="25"/>
    </row>
    <row r="10" spans="1:11" x14ac:dyDescent="0.3">
      <c r="A10" s="20">
        <v>166014.75</v>
      </c>
      <c r="B10" s="20" t="s">
        <v>72</v>
      </c>
      <c r="C10" s="79">
        <v>179811.41</v>
      </c>
      <c r="D10" s="233"/>
      <c r="E10" s="14">
        <v>115200</v>
      </c>
      <c r="F10" s="20" t="s">
        <v>47</v>
      </c>
      <c r="G10" s="79">
        <v>115200</v>
      </c>
      <c r="H10" s="25"/>
    </row>
    <row r="11" spans="1:11" x14ac:dyDescent="0.3">
      <c r="A11" s="20">
        <v>58634</v>
      </c>
      <c r="B11" s="20" t="s">
        <v>65</v>
      </c>
      <c r="C11" s="115">
        <f>58680+4000</f>
        <v>62680</v>
      </c>
      <c r="D11" s="232">
        <f>SUM(C10:C11)</f>
        <v>242491.41</v>
      </c>
      <c r="E11" s="14">
        <v>181248</v>
      </c>
      <c r="F11" s="20" t="s">
        <v>45</v>
      </c>
      <c r="G11" s="79">
        <v>181248</v>
      </c>
      <c r="H11" s="25"/>
    </row>
    <row r="12" spans="1:11" x14ac:dyDescent="0.3">
      <c r="A12" s="20"/>
      <c r="B12" s="20"/>
      <c r="C12" s="25"/>
      <c r="D12" s="233"/>
      <c r="E12" s="14">
        <v>18837</v>
      </c>
      <c r="F12" s="20" t="s">
        <v>21</v>
      </c>
      <c r="G12" s="25">
        <v>19251</v>
      </c>
      <c r="H12" s="25"/>
      <c r="J12" s="21"/>
      <c r="K12" s="21"/>
    </row>
    <row r="13" spans="1:11" x14ac:dyDescent="0.3">
      <c r="A13" s="23"/>
      <c r="B13" s="65" t="s">
        <v>243</v>
      </c>
      <c r="C13" s="78"/>
      <c r="D13" s="231"/>
      <c r="E13" s="14">
        <v>31550</v>
      </c>
      <c r="F13" s="20" t="s">
        <v>20</v>
      </c>
      <c r="G13" s="25">
        <f>5400+35100</f>
        <v>40500</v>
      </c>
      <c r="H13" s="25"/>
    </row>
    <row r="14" spans="1:11" x14ac:dyDescent="0.3">
      <c r="A14" s="15">
        <v>41253</v>
      </c>
      <c r="B14" s="20" t="s">
        <v>74</v>
      </c>
      <c r="C14" s="25">
        <v>41296</v>
      </c>
      <c r="D14" s="233"/>
      <c r="E14" s="14">
        <v>2132</v>
      </c>
      <c r="F14" s="20" t="s">
        <v>73</v>
      </c>
      <c r="G14" s="25">
        <v>1826</v>
      </c>
      <c r="H14" s="25"/>
    </row>
    <row r="15" spans="1:11" x14ac:dyDescent="0.3">
      <c r="A15" s="15">
        <v>19140</v>
      </c>
      <c r="B15" s="20" t="s">
        <v>75</v>
      </c>
      <c r="C15" s="26">
        <v>73240</v>
      </c>
      <c r="D15" s="232">
        <f>SUM(C14:C15)</f>
        <v>114536</v>
      </c>
      <c r="E15" s="14">
        <v>240000</v>
      </c>
      <c r="F15" s="20" t="s">
        <v>41</v>
      </c>
      <c r="G15" s="79">
        <v>240000</v>
      </c>
      <c r="H15" s="25"/>
    </row>
    <row r="16" spans="1:11" x14ac:dyDescent="0.3">
      <c r="A16" s="20"/>
      <c r="B16" s="20"/>
      <c r="C16" s="25"/>
      <c r="D16" s="234"/>
      <c r="E16" s="14">
        <v>6000</v>
      </c>
      <c r="F16" s="20" t="s">
        <v>95</v>
      </c>
      <c r="G16" s="25">
        <v>2000</v>
      </c>
      <c r="H16" s="25"/>
    </row>
    <row r="17" spans="1:10" x14ac:dyDescent="0.3">
      <c r="A17" s="23"/>
      <c r="B17" s="65" t="s">
        <v>244</v>
      </c>
      <c r="C17" s="78"/>
      <c r="D17" s="231"/>
      <c r="E17" s="14">
        <v>40452</v>
      </c>
      <c r="F17" s="20" t="s">
        <v>6</v>
      </c>
      <c r="G17" s="25">
        <v>40452</v>
      </c>
      <c r="H17" s="25"/>
    </row>
    <row r="18" spans="1:10" x14ac:dyDescent="0.3">
      <c r="A18" s="15">
        <v>48000</v>
      </c>
      <c r="B18" s="20" t="s">
        <v>76</v>
      </c>
      <c r="C18" s="25">
        <v>65400</v>
      </c>
      <c r="D18" s="233"/>
      <c r="E18" s="14">
        <v>5000</v>
      </c>
      <c r="F18" s="55" t="s">
        <v>277</v>
      </c>
      <c r="G18" s="26">
        <v>5000</v>
      </c>
      <c r="H18" s="72">
        <f>SUM(G8:G18)</f>
        <v>904677</v>
      </c>
    </row>
    <row r="19" spans="1:10" x14ac:dyDescent="0.3">
      <c r="A19" s="15">
        <v>1503446</v>
      </c>
      <c r="B19" s="20" t="s">
        <v>77</v>
      </c>
      <c r="C19" s="25">
        <v>158834</v>
      </c>
      <c r="D19" s="233"/>
      <c r="E19" s="21"/>
      <c r="F19" s="20"/>
      <c r="G19" s="25"/>
      <c r="H19" s="79"/>
    </row>
    <row r="20" spans="1:10" x14ac:dyDescent="0.3">
      <c r="A20" s="15">
        <v>-1489986</v>
      </c>
      <c r="B20" s="20" t="s">
        <v>295</v>
      </c>
      <c r="C20" s="25">
        <v>-152099</v>
      </c>
      <c r="D20" s="233"/>
      <c r="E20" s="21"/>
      <c r="F20" s="20"/>
      <c r="G20" s="25"/>
      <c r="H20" s="79"/>
    </row>
    <row r="21" spans="1:10" ht="16.2" x14ac:dyDescent="0.3">
      <c r="A21" s="15">
        <v>11900</v>
      </c>
      <c r="B21" s="20" t="s">
        <v>78</v>
      </c>
      <c r="C21" s="25">
        <v>7730</v>
      </c>
      <c r="D21" s="233"/>
      <c r="E21" s="24"/>
      <c r="F21" s="64" t="s">
        <v>238</v>
      </c>
      <c r="G21" s="78"/>
      <c r="H21" s="78"/>
    </row>
    <row r="22" spans="1:10" x14ac:dyDescent="0.3">
      <c r="A22" s="15">
        <v>21150</v>
      </c>
      <c r="B22" s="20" t="s">
        <v>96</v>
      </c>
      <c r="C22" s="25">
        <v>1150</v>
      </c>
      <c r="D22" s="233"/>
      <c r="E22" s="14">
        <v>9048</v>
      </c>
      <c r="F22" s="20" t="s">
        <v>46</v>
      </c>
      <c r="G22" s="25"/>
      <c r="H22" s="72">
        <v>9048</v>
      </c>
    </row>
    <row r="23" spans="1:10" x14ac:dyDescent="0.3">
      <c r="A23" s="15">
        <v>7788</v>
      </c>
      <c r="B23" s="20" t="s">
        <v>113</v>
      </c>
      <c r="C23" s="25">
        <v>7788</v>
      </c>
      <c r="D23" s="233"/>
      <c r="E23" s="21"/>
      <c r="F23" s="20"/>
      <c r="G23" s="25"/>
      <c r="H23" s="79"/>
    </row>
    <row r="24" spans="1:10" ht="16.2" x14ac:dyDescent="0.3">
      <c r="A24" s="15">
        <v>6490</v>
      </c>
      <c r="B24" s="20" t="s">
        <v>97</v>
      </c>
      <c r="C24" s="26">
        <v>6490</v>
      </c>
      <c r="D24" s="232">
        <f>SUM(C18:C24)</f>
        <v>95293</v>
      </c>
      <c r="E24" s="24"/>
      <c r="F24" s="64" t="s">
        <v>239</v>
      </c>
      <c r="G24" s="78"/>
      <c r="H24" s="78"/>
      <c r="J24" s="47"/>
    </row>
    <row r="25" spans="1:10" x14ac:dyDescent="0.3">
      <c r="A25" s="15"/>
      <c r="B25" s="20"/>
      <c r="C25" s="25"/>
      <c r="D25" s="233"/>
      <c r="E25" s="24">
        <v>1402</v>
      </c>
      <c r="F25" s="20" t="s">
        <v>169</v>
      </c>
      <c r="G25" s="116">
        <v>2770</v>
      </c>
      <c r="H25" s="78"/>
    </row>
    <row r="26" spans="1:10" x14ac:dyDescent="0.3">
      <c r="A26" s="23"/>
      <c r="B26" s="65" t="s">
        <v>245</v>
      </c>
      <c r="C26" s="78"/>
      <c r="D26" s="231"/>
      <c r="E26" s="14">
        <v>17385</v>
      </c>
      <c r="F26" s="20" t="s">
        <v>123</v>
      </c>
      <c r="G26" s="26">
        <v>12713</v>
      </c>
      <c r="H26" s="72">
        <f>SUM(G25:G26)</f>
        <v>15483</v>
      </c>
    </row>
    <row r="27" spans="1:10" x14ac:dyDescent="0.3">
      <c r="A27" s="15">
        <v>264598</v>
      </c>
      <c r="B27" s="20" t="s">
        <v>41</v>
      </c>
      <c r="C27" s="25">
        <v>264000</v>
      </c>
      <c r="D27" s="233"/>
      <c r="E27" s="14"/>
      <c r="F27" s="20"/>
      <c r="G27" s="72"/>
      <c r="H27" s="72"/>
    </row>
    <row r="28" spans="1:10" ht="16.2" x14ac:dyDescent="0.45">
      <c r="A28" s="15">
        <v>5988</v>
      </c>
      <c r="B28" s="20" t="s">
        <v>79</v>
      </c>
      <c r="C28" s="25">
        <v>5216</v>
      </c>
      <c r="D28" s="233"/>
      <c r="E28" s="14">
        <v>526740</v>
      </c>
      <c r="F28" s="81" t="s">
        <v>240</v>
      </c>
      <c r="G28" s="25">
        <v>612056</v>
      </c>
      <c r="H28" s="72"/>
    </row>
    <row r="29" spans="1:10" x14ac:dyDescent="0.3">
      <c r="A29" s="15">
        <v>32553</v>
      </c>
      <c r="B29" s="20" t="s">
        <v>24</v>
      </c>
      <c r="C29" s="25">
        <f>'Sch II Fixed Asset'!G10</f>
        <v>27751</v>
      </c>
      <c r="D29" s="233"/>
      <c r="E29" s="21">
        <v>0</v>
      </c>
      <c r="F29" s="55" t="s">
        <v>203</v>
      </c>
      <c r="G29" s="25">
        <v>0</v>
      </c>
      <c r="H29" s="72"/>
    </row>
    <row r="30" spans="1:10" x14ac:dyDescent="0.3">
      <c r="A30" s="15">
        <v>24744</v>
      </c>
      <c r="B30" s="20" t="s">
        <v>80</v>
      </c>
      <c r="C30" s="25">
        <v>24180</v>
      </c>
      <c r="D30" s="233"/>
      <c r="E30" s="14">
        <v>-91625</v>
      </c>
      <c r="F30" s="20" t="s">
        <v>118</v>
      </c>
      <c r="G30" s="25">
        <f>-'FD Interest Working'!E114</f>
        <v>-112301</v>
      </c>
      <c r="H30" s="25"/>
    </row>
    <row r="31" spans="1:10" x14ac:dyDescent="0.3">
      <c r="A31" s="15">
        <v>826</v>
      </c>
      <c r="B31" s="20" t="s">
        <v>160</v>
      </c>
      <c r="C31" s="25">
        <v>826</v>
      </c>
      <c r="D31" s="233"/>
      <c r="E31" s="14">
        <v>-83494</v>
      </c>
      <c r="F31" s="20" t="s">
        <v>119</v>
      </c>
      <c r="G31" s="25">
        <f>-'FD Interest Working'!E117</f>
        <v>-95399</v>
      </c>
      <c r="H31" s="25"/>
    </row>
    <row r="32" spans="1:10" x14ac:dyDescent="0.3">
      <c r="A32" s="15">
        <v>2800</v>
      </c>
      <c r="B32" s="20" t="s">
        <v>16</v>
      </c>
      <c r="C32" s="26">
        <v>2800</v>
      </c>
      <c r="D32" s="232">
        <f>SUM(C27:C32)</f>
        <v>324773</v>
      </c>
      <c r="E32" s="14">
        <v>-48182</v>
      </c>
      <c r="F32" s="20" t="s">
        <v>120</v>
      </c>
      <c r="G32" s="25">
        <f>-'FD Interest Working'!E116</f>
        <v>-55965</v>
      </c>
      <c r="H32" s="25"/>
    </row>
    <row r="33" spans="1:8" x14ac:dyDescent="0.3">
      <c r="A33" s="20"/>
      <c r="B33" s="20"/>
      <c r="C33" s="25"/>
      <c r="D33" s="233"/>
      <c r="E33" s="14">
        <v>-204874</v>
      </c>
      <c r="F33" s="20" t="s">
        <v>121</v>
      </c>
      <c r="G33" s="25">
        <f>-'FD Interest Working'!E119</f>
        <v>-237133</v>
      </c>
      <c r="H33" s="25"/>
    </row>
    <row r="34" spans="1:8" x14ac:dyDescent="0.3">
      <c r="A34" s="23"/>
      <c r="B34" s="65" t="s">
        <v>246</v>
      </c>
      <c r="C34" s="78"/>
      <c r="D34" s="231"/>
      <c r="E34" s="14">
        <v>-76212</v>
      </c>
      <c r="F34" s="20" t="s">
        <v>122</v>
      </c>
      <c r="G34" s="25">
        <f>-'FD Interest Working'!E122</f>
        <v>-87678</v>
      </c>
      <c r="H34" s="72"/>
    </row>
    <row r="35" spans="1:8" x14ac:dyDescent="0.3">
      <c r="A35" s="15">
        <v>54000</v>
      </c>
      <c r="B35" s="55" t="s">
        <v>195</v>
      </c>
      <c r="C35" s="25">
        <f>42000+9500</f>
        <v>51500</v>
      </c>
      <c r="D35" s="233"/>
      <c r="E35" s="21">
        <v>-11780</v>
      </c>
      <c r="F35" s="55" t="s">
        <v>202</v>
      </c>
      <c r="G35" s="26">
        <f>-'FD Interest Working'!E115</f>
        <v>-7902</v>
      </c>
      <c r="H35" s="80">
        <f>SUM(G28:G35)</f>
        <v>15678</v>
      </c>
    </row>
    <row r="36" spans="1:8" x14ac:dyDescent="0.3">
      <c r="A36" s="15">
        <v>17808</v>
      </c>
      <c r="B36" s="20" t="s">
        <v>22</v>
      </c>
      <c r="C36" s="25">
        <v>19588</v>
      </c>
      <c r="D36" s="233"/>
      <c r="E36" s="21"/>
      <c r="F36" s="20"/>
      <c r="G36" s="25"/>
      <c r="H36" s="72"/>
    </row>
    <row r="37" spans="1:8" x14ac:dyDescent="0.3">
      <c r="A37" s="15">
        <v>2097</v>
      </c>
      <c r="B37" s="20" t="s">
        <v>81</v>
      </c>
      <c r="C37" s="25">
        <v>1884</v>
      </c>
      <c r="D37" s="233"/>
      <c r="E37" s="21">
        <v>3500</v>
      </c>
      <c r="F37" s="20" t="s">
        <v>278</v>
      </c>
      <c r="G37" s="25"/>
      <c r="H37" s="72">
        <v>0</v>
      </c>
    </row>
    <row r="38" spans="1:8" x14ac:dyDescent="0.3">
      <c r="A38" s="15">
        <v>936</v>
      </c>
      <c r="B38" s="20" t="s">
        <v>23</v>
      </c>
      <c r="C38" s="25">
        <v>2570</v>
      </c>
      <c r="D38" s="233"/>
      <c r="E38" s="21"/>
      <c r="F38" s="20"/>
      <c r="G38" s="25"/>
      <c r="H38" s="25"/>
    </row>
    <row r="39" spans="1:8" x14ac:dyDescent="0.3">
      <c r="A39" s="15">
        <v>200</v>
      </c>
      <c r="B39" s="20" t="s">
        <v>25</v>
      </c>
      <c r="C39" s="25">
        <v>60</v>
      </c>
      <c r="D39" s="233"/>
      <c r="E39" s="21"/>
      <c r="F39" s="20"/>
      <c r="G39" s="25"/>
      <c r="H39" s="25"/>
    </row>
    <row r="40" spans="1:8" x14ac:dyDescent="0.3">
      <c r="A40" s="15">
        <v>8000</v>
      </c>
      <c r="B40" s="20" t="s">
        <v>34</v>
      </c>
      <c r="C40" s="25">
        <v>8100</v>
      </c>
      <c r="D40" s="233"/>
      <c r="E40" s="21"/>
      <c r="F40" s="20"/>
      <c r="G40" s="25"/>
      <c r="H40" s="79"/>
    </row>
    <row r="41" spans="1:8" x14ac:dyDescent="0.3">
      <c r="A41" s="15">
        <v>360</v>
      </c>
      <c r="B41" s="20" t="s">
        <v>134</v>
      </c>
      <c r="C41" s="25">
        <v>200</v>
      </c>
      <c r="D41" s="233"/>
      <c r="E41" s="21"/>
      <c r="F41" s="20"/>
      <c r="G41" s="25"/>
      <c r="H41" s="79"/>
    </row>
    <row r="42" spans="1:8" x14ac:dyDescent="0.3">
      <c r="A42" s="20">
        <v>28326</v>
      </c>
      <c r="B42" s="20" t="s">
        <v>43</v>
      </c>
      <c r="C42" s="25">
        <v>25670</v>
      </c>
      <c r="D42" s="233"/>
      <c r="E42" s="21"/>
      <c r="F42" s="20"/>
      <c r="G42" s="25"/>
      <c r="H42" s="25"/>
    </row>
    <row r="43" spans="1:8" x14ac:dyDescent="0.3">
      <c r="A43" s="20">
        <v>127</v>
      </c>
      <c r="B43" s="20" t="s">
        <v>48</v>
      </c>
      <c r="C43" s="25">
        <v>250</v>
      </c>
      <c r="D43" s="233"/>
      <c r="E43" s="21"/>
      <c r="F43" s="20"/>
      <c r="G43" s="25"/>
      <c r="H43" s="25"/>
    </row>
    <row r="44" spans="1:8" x14ac:dyDescent="0.3">
      <c r="A44" s="20"/>
      <c r="B44" s="20"/>
      <c r="C44" s="25"/>
      <c r="D44" s="232">
        <f>SUM(C35:C43)</f>
        <v>109822</v>
      </c>
      <c r="E44" s="21"/>
      <c r="F44" s="20"/>
      <c r="G44" s="25"/>
      <c r="H44" s="25"/>
    </row>
    <row r="45" spans="1:8" ht="16.2" x14ac:dyDescent="0.3">
      <c r="A45" s="20"/>
      <c r="B45" s="64" t="s">
        <v>241</v>
      </c>
      <c r="C45" s="79"/>
      <c r="D45" s="233"/>
      <c r="E45" s="21"/>
      <c r="F45" s="20"/>
      <c r="G45" s="25"/>
      <c r="H45" s="25"/>
    </row>
    <row r="46" spans="1:8" x14ac:dyDescent="0.3">
      <c r="A46" s="20">
        <v>23174</v>
      </c>
      <c r="B46" s="20" t="s">
        <v>170</v>
      </c>
      <c r="C46" s="25"/>
      <c r="D46" s="235">
        <f>ROUND((H48-SUM(D8:D44))*0.25,0)</f>
        <v>10419</v>
      </c>
      <c r="E46" s="21"/>
      <c r="F46" s="20"/>
      <c r="G46" s="25"/>
      <c r="H46" s="25"/>
    </row>
    <row r="47" spans="1:8" x14ac:dyDescent="0.3">
      <c r="A47" s="15">
        <v>69520.25</v>
      </c>
      <c r="B47" s="20" t="s">
        <v>143</v>
      </c>
      <c r="C47" s="25"/>
      <c r="D47" s="236">
        <f>H48-SUM(D8:D46)</f>
        <v>31255.589999999967</v>
      </c>
      <c r="E47" s="21"/>
      <c r="F47" s="20"/>
      <c r="G47" s="25"/>
      <c r="H47" s="25"/>
    </row>
    <row r="48" spans="1:8" ht="15" thickBot="1" x14ac:dyDescent="0.35">
      <c r="A48" s="62">
        <f>SUM(A7:A47)</f>
        <v>941527</v>
      </c>
      <c r="B48" s="267" t="s">
        <v>28</v>
      </c>
      <c r="C48" s="267"/>
      <c r="D48" s="237">
        <f>SUM(D7:D47)</f>
        <v>944886</v>
      </c>
      <c r="E48" s="229">
        <f>SUM(E8:E47)</f>
        <v>941527</v>
      </c>
      <c r="F48" s="267" t="s">
        <v>28</v>
      </c>
      <c r="G48" s="267"/>
      <c r="H48" s="62">
        <f>SUM(H8:H47)</f>
        <v>944886</v>
      </c>
    </row>
    <row r="49" spans="1:12" customFormat="1" ht="15" thickTop="1" x14ac:dyDescent="0.3">
      <c r="A49" s="133"/>
      <c r="B49" s="114"/>
      <c r="C49" s="13"/>
      <c r="D49" s="59"/>
      <c r="E49" s="258"/>
      <c r="F49" s="258"/>
      <c r="G49" s="258"/>
      <c r="H49" s="134"/>
      <c r="J49" s="39"/>
    </row>
    <row r="50" spans="1:12" customFormat="1" x14ac:dyDescent="0.3">
      <c r="A50" s="135" t="s">
        <v>84</v>
      </c>
      <c r="B50" s="136"/>
      <c r="C50" s="136"/>
      <c r="D50" s="137"/>
      <c r="E50" s="138"/>
      <c r="F50" s="136"/>
      <c r="G50" s="138"/>
      <c r="H50" s="139"/>
      <c r="I50" s="47"/>
    </row>
    <row r="51" spans="1:12" customFormat="1" x14ac:dyDescent="0.3">
      <c r="A51" s="140"/>
      <c r="B51" s="136"/>
      <c r="C51" s="136"/>
      <c r="D51" s="141"/>
      <c r="E51" s="142"/>
      <c r="F51" s="259" t="s">
        <v>618</v>
      </c>
      <c r="G51" s="259"/>
      <c r="H51" s="260"/>
      <c r="I51" s="47"/>
    </row>
    <row r="52" spans="1:12" customFormat="1" x14ac:dyDescent="0.3">
      <c r="A52" s="140"/>
      <c r="B52" s="136"/>
      <c r="C52" s="136"/>
      <c r="D52" s="141"/>
      <c r="E52" s="142"/>
      <c r="F52" s="144"/>
      <c r="G52" s="142"/>
      <c r="H52" s="145"/>
      <c r="I52" s="47"/>
    </row>
    <row r="53" spans="1:12" customFormat="1" x14ac:dyDescent="0.3">
      <c r="A53" s="140"/>
      <c r="B53" s="136"/>
      <c r="C53" s="136"/>
      <c r="D53" s="141"/>
      <c r="E53" s="142"/>
      <c r="F53" s="144"/>
      <c r="G53" s="142"/>
      <c r="H53" s="145"/>
      <c r="I53" s="47"/>
    </row>
    <row r="54" spans="1:12" s="76" customFormat="1" ht="19.5" customHeight="1" x14ac:dyDescent="0.3">
      <c r="A54" s="146" t="s">
        <v>619</v>
      </c>
      <c r="B54" s="147"/>
      <c r="C54" s="148"/>
      <c r="D54" s="141"/>
      <c r="E54" s="142"/>
      <c r="F54" s="144"/>
      <c r="G54" s="142"/>
      <c r="H54" s="145"/>
      <c r="I54" s="113">
        <f>A48-E48</f>
        <v>0</v>
      </c>
      <c r="J54" s="113">
        <f>D48-H48</f>
        <v>0</v>
      </c>
      <c r="K54" s="94"/>
      <c r="L54" s="94"/>
    </row>
    <row r="55" spans="1:12" s="136" customFormat="1" ht="9.9" customHeight="1" x14ac:dyDescent="0.3">
      <c r="A55" s="149" t="s">
        <v>620</v>
      </c>
      <c r="B55" s="147"/>
      <c r="C55" s="148"/>
      <c r="D55" s="141"/>
      <c r="E55" s="142"/>
      <c r="F55" s="144"/>
      <c r="G55" s="142"/>
      <c r="H55" s="145"/>
      <c r="J55" s="150"/>
    </row>
    <row r="56" spans="1:12" s="136" customFormat="1" ht="15.6" x14ac:dyDescent="0.3">
      <c r="A56" s="149" t="s">
        <v>621</v>
      </c>
      <c r="B56" s="147"/>
      <c r="C56" s="148"/>
      <c r="D56" s="141"/>
      <c r="E56" s="142"/>
      <c r="F56" s="261" t="s">
        <v>622</v>
      </c>
      <c r="G56" s="261"/>
      <c r="H56" s="262"/>
      <c r="J56" s="150"/>
    </row>
    <row r="57" spans="1:12" s="136" customFormat="1" ht="14.1" customHeight="1" x14ac:dyDescent="0.3">
      <c r="A57" s="240">
        <v>46242</v>
      </c>
      <c r="B57" s="241"/>
      <c r="C57" s="241"/>
      <c r="D57" s="152"/>
      <c r="E57" s="153"/>
      <c r="F57" s="154"/>
      <c r="G57" s="153"/>
      <c r="H57" s="155"/>
      <c r="J57" s="150"/>
    </row>
    <row r="58" spans="1:12" x14ac:dyDescent="0.3">
      <c r="I58" s="21"/>
    </row>
    <row r="59" spans="1:12" x14ac:dyDescent="0.3">
      <c r="I59" s="21"/>
    </row>
  </sheetData>
  <mergeCells count="12">
    <mergeCell ref="A57:C57"/>
    <mergeCell ref="A1:H1"/>
    <mergeCell ref="A4:H4"/>
    <mergeCell ref="B6:C6"/>
    <mergeCell ref="F6:G6"/>
    <mergeCell ref="A2:H2"/>
    <mergeCell ref="A3:H3"/>
    <mergeCell ref="B48:C48"/>
    <mergeCell ref="F48:G48"/>
    <mergeCell ref="E49:G49"/>
    <mergeCell ref="F51:H51"/>
    <mergeCell ref="F56:H56"/>
  </mergeCells>
  <printOptions horizontalCentered="1"/>
  <pageMargins left="0.39370078740157483" right="0.11811023622047245" top="0.59055118110236227" bottom="0.19685039370078741" header="0.19685039370078741" footer="0.19685039370078741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1"/>
  <sheetViews>
    <sheetView view="pageBreakPreview" zoomScaleNormal="97" zoomScaleSheetLayoutView="100" workbookViewId="0">
      <pane xSplit="2" ySplit="3" topLeftCell="C7" activePane="bottomRight" state="frozen"/>
      <selection activeCell="A78" sqref="A78"/>
      <selection pane="topRight" activeCell="A78" sqref="A78"/>
      <selection pane="bottomLeft" activeCell="A78" sqref="A78"/>
      <selection pane="bottomRight" activeCell="A78" sqref="A78"/>
    </sheetView>
  </sheetViews>
  <sheetFormatPr defaultColWidth="9.109375" defaultRowHeight="14.4" x14ac:dyDescent="0.3"/>
  <cols>
    <col min="1" max="1" width="3.44140625" style="151" bestFit="1" customWidth="1"/>
    <col min="2" max="2" width="20.5546875" style="136" bestFit="1" customWidth="1"/>
    <col min="3" max="3" width="11.6640625" style="136" bestFit="1" customWidth="1"/>
    <col min="4" max="4" width="13.5546875" style="136" bestFit="1" customWidth="1"/>
    <col min="5" max="5" width="9.88671875" style="136" bestFit="1" customWidth="1"/>
    <col min="6" max="6" width="11" style="136" bestFit="1" customWidth="1"/>
    <col min="7" max="7" width="11.33203125" style="136" bestFit="1" customWidth="1"/>
    <col min="8" max="9" width="12.44140625" style="136" bestFit="1" customWidth="1"/>
    <col min="10" max="10" width="13.5546875" style="136" bestFit="1" customWidth="1"/>
    <col min="11" max="11" width="11.6640625" style="136" bestFit="1" customWidth="1"/>
    <col min="12" max="12" width="15.21875" style="136" bestFit="1" customWidth="1"/>
    <col min="13" max="13" width="7.44140625" style="151" bestFit="1" customWidth="1"/>
    <col min="14" max="14" width="7.6640625" style="151" bestFit="1" customWidth="1"/>
    <col min="15" max="15" width="6.44140625" style="136" bestFit="1" customWidth="1"/>
    <col min="16" max="16" width="9.109375" style="136"/>
    <col min="17" max="17" width="31.33203125" style="136" bestFit="1" customWidth="1"/>
    <col min="18" max="18" width="13.5546875" style="136" bestFit="1" customWidth="1"/>
    <col min="19" max="20" width="10.77734375" style="136" bestFit="1" customWidth="1"/>
    <col min="21" max="16384" width="9.109375" style="136"/>
  </cols>
  <sheetData>
    <row r="1" spans="1:14" ht="21" x14ac:dyDescent="0.3">
      <c r="A1" s="272" t="s">
        <v>62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4"/>
    </row>
    <row r="2" spans="1:14" ht="15.6" x14ac:dyDescent="0.3">
      <c r="A2" s="163"/>
      <c r="B2" s="268" t="s">
        <v>366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9"/>
    </row>
    <row r="3" spans="1:14" ht="43.2" x14ac:dyDescent="0.3">
      <c r="A3" s="162" t="s">
        <v>42</v>
      </c>
      <c r="B3" s="162" t="s">
        <v>26</v>
      </c>
      <c r="C3" s="162" t="s">
        <v>27</v>
      </c>
      <c r="D3" s="162" t="s">
        <v>33</v>
      </c>
      <c r="E3" s="162" t="s">
        <v>144</v>
      </c>
      <c r="F3" s="162" t="s">
        <v>161</v>
      </c>
      <c r="G3" s="162" t="s">
        <v>178</v>
      </c>
      <c r="H3" s="162" t="s">
        <v>251</v>
      </c>
      <c r="I3" s="162" t="s">
        <v>327</v>
      </c>
      <c r="J3" s="162" t="s">
        <v>28</v>
      </c>
      <c r="K3" s="162" t="s">
        <v>29</v>
      </c>
      <c r="L3" s="162" t="s">
        <v>30</v>
      </c>
      <c r="M3" s="7" t="s">
        <v>31</v>
      </c>
      <c r="N3" s="162" t="s">
        <v>32</v>
      </c>
    </row>
    <row r="4" spans="1:14" x14ac:dyDescent="0.3">
      <c r="B4" s="164" t="s">
        <v>13</v>
      </c>
    </row>
    <row r="5" spans="1:14" x14ac:dyDescent="0.3">
      <c r="A5" s="165">
        <v>1</v>
      </c>
      <c r="B5" s="166">
        <v>116280</v>
      </c>
      <c r="C5" s="118" t="s">
        <v>156</v>
      </c>
      <c r="D5" s="167">
        <v>132475</v>
      </c>
      <c r="E5" s="167">
        <v>0</v>
      </c>
      <c r="F5" s="167">
        <v>0</v>
      </c>
      <c r="G5" s="167">
        <v>0</v>
      </c>
      <c r="H5" s="167">
        <f>8371-838</f>
        <v>7533</v>
      </c>
      <c r="I5" s="167">
        <f>10035-1004</f>
        <v>9031</v>
      </c>
      <c r="J5" s="167">
        <f>SUM(D5:I5)</f>
        <v>149039</v>
      </c>
      <c r="K5" s="167" t="s">
        <v>288</v>
      </c>
      <c r="L5" s="167">
        <v>163135</v>
      </c>
      <c r="M5" s="168">
        <v>7</v>
      </c>
      <c r="N5" s="168" t="s">
        <v>127</v>
      </c>
    </row>
    <row r="6" spans="1:14" x14ac:dyDescent="0.3">
      <c r="A6" s="165">
        <v>2</v>
      </c>
      <c r="B6" s="166" t="s">
        <v>188</v>
      </c>
      <c r="C6" s="118" t="s">
        <v>158</v>
      </c>
      <c r="D6" s="167">
        <v>123554</v>
      </c>
      <c r="E6" s="167">
        <v>0</v>
      </c>
      <c r="F6" s="167">
        <v>0</v>
      </c>
      <c r="G6" s="167">
        <f>2023-203</f>
        <v>1820</v>
      </c>
      <c r="H6" s="167">
        <f>9314-931</f>
        <v>8383</v>
      </c>
      <c r="I6" s="167">
        <f>9937-993</f>
        <v>8944</v>
      </c>
      <c r="J6" s="167">
        <f t="shared" ref="J6:J21" si="0">SUM(D6:I6)</f>
        <v>142701</v>
      </c>
      <c r="K6" s="167" t="s">
        <v>210</v>
      </c>
      <c r="L6" s="167">
        <v>153275</v>
      </c>
      <c r="M6" s="168">
        <v>7.25</v>
      </c>
      <c r="N6" s="168" t="s">
        <v>127</v>
      </c>
    </row>
    <row r="7" spans="1:14" x14ac:dyDescent="0.3">
      <c r="A7" s="165">
        <v>3</v>
      </c>
      <c r="B7" s="166" t="s">
        <v>186</v>
      </c>
      <c r="C7" s="118" t="s">
        <v>128</v>
      </c>
      <c r="D7" s="167">
        <v>105722</v>
      </c>
      <c r="E7" s="167">
        <v>0</v>
      </c>
      <c r="F7" s="167">
        <v>0</v>
      </c>
      <c r="G7" s="167">
        <f>5375-540</f>
        <v>4835</v>
      </c>
      <c r="H7" s="167">
        <f>7634-763</f>
        <v>6871</v>
      </c>
      <c r="I7" s="167">
        <f>8109-197-202-204-207</f>
        <v>7299</v>
      </c>
      <c r="J7" s="167">
        <f t="shared" si="0"/>
        <v>124727</v>
      </c>
      <c r="K7" s="167" t="s">
        <v>207</v>
      </c>
      <c r="L7" s="167">
        <v>129234</v>
      </c>
      <c r="M7" s="168">
        <v>6.75</v>
      </c>
      <c r="N7" s="168" t="s">
        <v>127</v>
      </c>
    </row>
    <row r="8" spans="1:14" x14ac:dyDescent="0.3">
      <c r="A8" s="165">
        <v>4</v>
      </c>
      <c r="B8" s="166" t="s">
        <v>259</v>
      </c>
      <c r="C8" s="118" t="s">
        <v>157</v>
      </c>
      <c r="D8" s="167">
        <v>101079</v>
      </c>
      <c r="E8" s="167">
        <v>0</v>
      </c>
      <c r="F8" s="167">
        <v>0</v>
      </c>
      <c r="G8" s="167">
        <v>0</v>
      </c>
      <c r="H8" s="167">
        <f>6257-626</f>
        <v>5631</v>
      </c>
      <c r="I8" s="167">
        <f>6811-682</f>
        <v>6129</v>
      </c>
      <c r="J8" s="167">
        <f t="shared" si="0"/>
        <v>112839</v>
      </c>
      <c r="K8" s="167" t="s">
        <v>287</v>
      </c>
      <c r="L8" s="167">
        <v>121748</v>
      </c>
      <c r="M8" s="168">
        <v>6.25</v>
      </c>
      <c r="N8" s="168" t="s">
        <v>127</v>
      </c>
    </row>
    <row r="9" spans="1:14" x14ac:dyDescent="0.3">
      <c r="A9" s="165">
        <v>5</v>
      </c>
      <c r="B9" s="169" t="s">
        <v>352</v>
      </c>
      <c r="C9" s="118" t="s">
        <v>214</v>
      </c>
      <c r="D9" s="167">
        <v>79595</v>
      </c>
      <c r="E9" s="167">
        <v>0</v>
      </c>
      <c r="F9" s="167">
        <v>0</v>
      </c>
      <c r="G9" s="167">
        <v>0</v>
      </c>
      <c r="H9" s="167">
        <v>0</v>
      </c>
      <c r="I9" s="167">
        <f>5473-1218</f>
        <v>4255</v>
      </c>
      <c r="J9" s="167">
        <f t="shared" si="0"/>
        <v>83850</v>
      </c>
      <c r="K9" s="170" t="s">
        <v>363</v>
      </c>
      <c r="L9" s="170"/>
      <c r="M9" s="171">
        <v>7</v>
      </c>
      <c r="N9" s="168" t="s">
        <v>107</v>
      </c>
    </row>
    <row r="10" spans="1:14" x14ac:dyDescent="0.3">
      <c r="A10" s="165">
        <v>6</v>
      </c>
      <c r="B10" s="166" t="s">
        <v>343</v>
      </c>
      <c r="C10" s="118" t="s">
        <v>181</v>
      </c>
      <c r="D10" s="167">
        <v>47366</v>
      </c>
      <c r="E10" s="167">
        <v>0</v>
      </c>
      <c r="F10" s="167">
        <v>0</v>
      </c>
      <c r="G10" s="167">
        <v>0</v>
      </c>
      <c r="H10" s="167">
        <v>0</v>
      </c>
      <c r="I10" s="167">
        <f>1245-125</f>
        <v>1120</v>
      </c>
      <c r="J10" s="167">
        <f t="shared" si="0"/>
        <v>48486</v>
      </c>
      <c r="K10" s="167" t="s">
        <v>344</v>
      </c>
      <c r="L10" s="167">
        <v>53992</v>
      </c>
      <c r="M10" s="168">
        <v>6.6</v>
      </c>
      <c r="N10" s="168" t="s">
        <v>56</v>
      </c>
    </row>
    <row r="11" spans="1:14" x14ac:dyDescent="0.3">
      <c r="A11" s="165">
        <v>7</v>
      </c>
      <c r="B11" s="172">
        <v>220743</v>
      </c>
      <c r="C11" s="118" t="s">
        <v>282</v>
      </c>
      <c r="D11" s="167">
        <v>10000</v>
      </c>
      <c r="E11" s="167">
        <v>0</v>
      </c>
      <c r="F11" s="167">
        <v>0</v>
      </c>
      <c r="G11" s="167">
        <v>0</v>
      </c>
      <c r="H11" s="167">
        <f>238-24</f>
        <v>214</v>
      </c>
      <c r="I11" s="167">
        <f>732-74</f>
        <v>658</v>
      </c>
      <c r="J11" s="167">
        <f>SUM(D11:I11)</f>
        <v>10872</v>
      </c>
      <c r="K11" s="165" t="s">
        <v>283</v>
      </c>
      <c r="L11" s="167">
        <v>14148</v>
      </c>
      <c r="M11" s="168">
        <v>7</v>
      </c>
      <c r="N11" s="168" t="s">
        <v>127</v>
      </c>
    </row>
    <row r="12" spans="1:14" x14ac:dyDescent="0.3">
      <c r="A12" s="165">
        <v>8</v>
      </c>
      <c r="B12" s="169" t="s">
        <v>342</v>
      </c>
      <c r="C12" s="118" t="s">
        <v>266</v>
      </c>
      <c r="D12" s="167">
        <v>77337</v>
      </c>
      <c r="E12" s="167">
        <v>0</v>
      </c>
      <c r="F12" s="167">
        <v>0</v>
      </c>
      <c r="G12" s="167">
        <v>0</v>
      </c>
      <c r="H12" s="167">
        <v>0</v>
      </c>
      <c r="I12" s="167">
        <f>1314-132</f>
        <v>1182</v>
      </c>
      <c r="J12" s="167">
        <f t="shared" si="0"/>
        <v>78519</v>
      </c>
      <c r="K12" s="167" t="s">
        <v>345</v>
      </c>
      <c r="L12" s="167">
        <v>82610</v>
      </c>
      <c r="M12" s="168">
        <v>6.65</v>
      </c>
      <c r="N12" s="168" t="s">
        <v>56</v>
      </c>
    </row>
    <row r="13" spans="1:14" x14ac:dyDescent="0.3">
      <c r="A13" s="165">
        <v>9</v>
      </c>
      <c r="B13" s="169" t="s">
        <v>252</v>
      </c>
      <c r="C13" s="118" t="s">
        <v>142</v>
      </c>
      <c r="D13" s="167">
        <v>43658</v>
      </c>
      <c r="E13" s="167">
        <v>0</v>
      </c>
      <c r="F13" s="167">
        <v>0</v>
      </c>
      <c r="G13" s="167">
        <v>0</v>
      </c>
      <c r="H13" s="167">
        <f>362-36</f>
        <v>326</v>
      </c>
      <c r="I13" s="167">
        <f>3150-315</f>
        <v>2835</v>
      </c>
      <c r="J13" s="167">
        <f t="shared" si="0"/>
        <v>46819</v>
      </c>
      <c r="K13" s="167" t="s">
        <v>267</v>
      </c>
      <c r="L13" s="167">
        <v>53762</v>
      </c>
      <c r="M13" s="168">
        <v>7</v>
      </c>
      <c r="N13" s="168" t="s">
        <v>56</v>
      </c>
    </row>
    <row r="14" spans="1:14" x14ac:dyDescent="0.3">
      <c r="A14" s="165">
        <v>10</v>
      </c>
      <c r="B14" s="169" t="s">
        <v>347</v>
      </c>
      <c r="C14" s="118" t="s">
        <v>268</v>
      </c>
      <c r="D14" s="167">
        <v>89832</v>
      </c>
      <c r="E14" s="167">
        <v>0</v>
      </c>
      <c r="F14" s="167">
        <v>0</v>
      </c>
      <c r="G14" s="167">
        <v>0</v>
      </c>
      <c r="H14" s="167">
        <v>0</v>
      </c>
      <c r="I14" s="167">
        <f>840-84</f>
        <v>756</v>
      </c>
      <c r="J14" s="167">
        <f t="shared" si="0"/>
        <v>90588</v>
      </c>
      <c r="K14" s="167" t="s">
        <v>340</v>
      </c>
      <c r="L14" s="167">
        <v>95956</v>
      </c>
      <c r="M14" s="168">
        <v>6.65</v>
      </c>
      <c r="N14" s="168" t="s">
        <v>56</v>
      </c>
    </row>
    <row r="15" spans="1:14" x14ac:dyDescent="0.3">
      <c r="A15" s="165">
        <v>11</v>
      </c>
      <c r="B15" s="169" t="s">
        <v>337</v>
      </c>
      <c r="C15" s="118" t="s">
        <v>269</v>
      </c>
      <c r="D15" s="167">
        <v>26499</v>
      </c>
      <c r="E15" s="167">
        <v>0</v>
      </c>
      <c r="F15" s="167">
        <v>0</v>
      </c>
      <c r="G15" s="167">
        <v>0</v>
      </c>
      <c r="H15" s="167">
        <v>0</v>
      </c>
      <c r="I15" s="167">
        <f>19-2</f>
        <v>17</v>
      </c>
      <c r="J15" s="167">
        <f t="shared" si="0"/>
        <v>26516</v>
      </c>
      <c r="K15" s="167" t="s">
        <v>338</v>
      </c>
      <c r="L15" s="167">
        <v>28306</v>
      </c>
      <c r="M15" s="168">
        <v>6.65</v>
      </c>
      <c r="N15" s="168" t="s">
        <v>56</v>
      </c>
    </row>
    <row r="16" spans="1:14" x14ac:dyDescent="0.3">
      <c r="A16" s="165">
        <v>12</v>
      </c>
      <c r="B16" s="166" t="s">
        <v>263</v>
      </c>
      <c r="C16" s="118" t="s">
        <v>129</v>
      </c>
      <c r="D16" s="167">
        <v>67120</v>
      </c>
      <c r="E16" s="167">
        <v>0</v>
      </c>
      <c r="F16" s="167">
        <v>0</v>
      </c>
      <c r="G16" s="167">
        <f>1191-119</f>
        <v>1072</v>
      </c>
      <c r="H16" s="167">
        <f>4958-496</f>
        <v>4462</v>
      </c>
      <c r="I16" s="167">
        <f>5282-528</f>
        <v>4754</v>
      </c>
      <c r="J16" s="167">
        <f t="shared" si="0"/>
        <v>77408</v>
      </c>
      <c r="K16" s="167" t="s">
        <v>182</v>
      </c>
      <c r="L16" s="167">
        <v>82898</v>
      </c>
      <c r="M16" s="168">
        <v>7.25</v>
      </c>
      <c r="N16" s="168" t="s">
        <v>56</v>
      </c>
    </row>
    <row r="17" spans="1:20" x14ac:dyDescent="0.3">
      <c r="A17" s="165">
        <v>13</v>
      </c>
      <c r="B17" s="169" t="s">
        <v>163</v>
      </c>
      <c r="C17" s="118" t="s">
        <v>164</v>
      </c>
      <c r="D17" s="173">
        <v>58224</v>
      </c>
      <c r="E17" s="167">
        <v>0</v>
      </c>
      <c r="F17" s="167">
        <f>1171-117</f>
        <v>1054</v>
      </c>
      <c r="G17" s="167">
        <f>3845-384</f>
        <v>3461</v>
      </c>
      <c r="H17" s="167">
        <f>4070-408</f>
        <v>3662</v>
      </c>
      <c r="I17" s="167">
        <f>4306-430</f>
        <v>3876</v>
      </c>
      <c r="J17" s="167">
        <f t="shared" si="0"/>
        <v>70277</v>
      </c>
      <c r="K17" s="167" t="s">
        <v>165</v>
      </c>
      <c r="L17" s="167">
        <v>79782</v>
      </c>
      <c r="M17" s="168">
        <v>6.35</v>
      </c>
      <c r="N17" s="168" t="s">
        <v>56</v>
      </c>
      <c r="R17" s="143" t="s">
        <v>304</v>
      </c>
      <c r="S17" s="143" t="s">
        <v>610</v>
      </c>
      <c r="T17" s="143" t="s">
        <v>313</v>
      </c>
    </row>
    <row r="18" spans="1:20" x14ac:dyDescent="0.3">
      <c r="A18" s="165">
        <v>14</v>
      </c>
      <c r="B18" s="174" t="s">
        <v>254</v>
      </c>
      <c r="C18" s="118" t="s">
        <v>141</v>
      </c>
      <c r="D18" s="173">
        <v>67192</v>
      </c>
      <c r="E18" s="167">
        <v>0</v>
      </c>
      <c r="F18" s="167">
        <v>0</v>
      </c>
      <c r="G18" s="167">
        <v>0</v>
      </c>
      <c r="H18" s="167">
        <f>584-58</f>
        <v>526</v>
      </c>
      <c r="I18" s="167">
        <f>4851-485</f>
        <v>4366</v>
      </c>
      <c r="J18" s="167">
        <f t="shared" si="0"/>
        <v>72084</v>
      </c>
      <c r="K18" s="167" t="s">
        <v>270</v>
      </c>
      <c r="L18" s="167">
        <v>82743</v>
      </c>
      <c r="M18" s="168">
        <v>7</v>
      </c>
      <c r="N18" s="168" t="s">
        <v>56</v>
      </c>
      <c r="Q18" s="136" t="s">
        <v>609</v>
      </c>
      <c r="R18" s="175">
        <f>BS!D11</f>
        <v>14000</v>
      </c>
      <c r="S18" s="175">
        <f>J97</f>
        <v>14000</v>
      </c>
      <c r="T18" s="175">
        <f>R18-S18</f>
        <v>0</v>
      </c>
    </row>
    <row r="19" spans="1:20" x14ac:dyDescent="0.3">
      <c r="A19" s="165">
        <v>15</v>
      </c>
      <c r="B19" s="176" t="s">
        <v>348</v>
      </c>
      <c r="C19" s="118" t="s">
        <v>183</v>
      </c>
      <c r="D19" s="167">
        <v>66916</v>
      </c>
      <c r="E19" s="173">
        <v>0</v>
      </c>
      <c r="F19" s="173">
        <v>0</v>
      </c>
      <c r="G19" s="173">
        <v>0</v>
      </c>
      <c r="H19" s="173">
        <v>0</v>
      </c>
      <c r="I19" s="173">
        <f>1489-149</f>
        <v>1340</v>
      </c>
      <c r="J19" s="167">
        <f t="shared" si="0"/>
        <v>68256</v>
      </c>
      <c r="K19" s="167" t="s">
        <v>349</v>
      </c>
      <c r="L19" s="167">
        <v>76276</v>
      </c>
      <c r="M19" s="168">
        <v>6.6</v>
      </c>
      <c r="N19" s="168" t="s">
        <v>56</v>
      </c>
      <c r="Q19" s="136" t="str">
        <f>BS!B13</f>
        <v>Reserve and Surplus Fund</v>
      </c>
      <c r="R19" s="175">
        <f>BS!D17</f>
        <v>840072</v>
      </c>
      <c r="S19" s="175">
        <f>J47</f>
        <v>1414865</v>
      </c>
      <c r="T19" s="175">
        <f>R19-S19</f>
        <v>-574793</v>
      </c>
    </row>
    <row r="20" spans="1:20" x14ac:dyDescent="0.3">
      <c r="A20" s="165">
        <v>16</v>
      </c>
      <c r="B20" s="176">
        <v>6605400015598</v>
      </c>
      <c r="C20" s="118" t="s">
        <v>264</v>
      </c>
      <c r="D20" s="167">
        <v>58224</v>
      </c>
      <c r="E20" s="167">
        <v>0</v>
      </c>
      <c r="F20" s="167">
        <v>0</v>
      </c>
      <c r="G20" s="167">
        <v>0</v>
      </c>
      <c r="H20" s="167">
        <f>2287-229</f>
        <v>2058</v>
      </c>
      <c r="I20" s="167">
        <f>4794-480</f>
        <v>4314</v>
      </c>
      <c r="J20" s="167">
        <f t="shared" si="0"/>
        <v>64596</v>
      </c>
      <c r="K20" s="167" t="s">
        <v>265</v>
      </c>
      <c r="L20" s="167">
        <v>67885</v>
      </c>
      <c r="M20" s="168">
        <v>7.75</v>
      </c>
      <c r="N20" s="168" t="s">
        <v>56</v>
      </c>
      <c r="Q20" s="136" t="str">
        <f>BS!B19</f>
        <v>Grotto Fund</v>
      </c>
      <c r="R20" s="175">
        <f>BS!D23</f>
        <v>104285</v>
      </c>
      <c r="S20" s="175">
        <f>J78</f>
        <v>122767</v>
      </c>
      <c r="T20" s="175">
        <f t="shared" ref="T20:T25" si="1">R20-S20</f>
        <v>-18482</v>
      </c>
    </row>
    <row r="21" spans="1:20" x14ac:dyDescent="0.3">
      <c r="A21" s="165">
        <v>17</v>
      </c>
      <c r="B21" s="176">
        <v>281691</v>
      </c>
      <c r="C21" s="118" t="s">
        <v>280</v>
      </c>
      <c r="D21" s="167">
        <v>17030</v>
      </c>
      <c r="E21" s="167">
        <v>0</v>
      </c>
      <c r="F21" s="167">
        <v>0</v>
      </c>
      <c r="G21" s="167">
        <v>0</v>
      </c>
      <c r="H21" s="167">
        <f>48-4</f>
        <v>44</v>
      </c>
      <c r="I21" s="167">
        <f>1224-124</f>
        <v>1100</v>
      </c>
      <c r="J21" s="167">
        <f t="shared" si="0"/>
        <v>18174</v>
      </c>
      <c r="K21" s="167" t="s">
        <v>281</v>
      </c>
      <c r="L21" s="167">
        <v>24094</v>
      </c>
      <c r="M21" s="168">
        <v>7</v>
      </c>
      <c r="N21" s="168" t="s">
        <v>127</v>
      </c>
      <c r="Q21" s="136" t="str">
        <f>BS!B25</f>
        <v>Contingency Fund</v>
      </c>
      <c r="R21" s="175">
        <f>BS!D28</f>
        <v>1750419</v>
      </c>
      <c r="S21" s="175">
        <f>J68</f>
        <v>1814135</v>
      </c>
      <c r="T21" s="175">
        <f t="shared" si="1"/>
        <v>-63716</v>
      </c>
    </row>
    <row r="22" spans="1:20" x14ac:dyDescent="0.3">
      <c r="A22" s="165">
        <v>18</v>
      </c>
      <c r="B22" s="172">
        <v>6605400016067</v>
      </c>
      <c r="C22" s="177" t="s">
        <v>350</v>
      </c>
      <c r="D22" s="178">
        <v>65324</v>
      </c>
      <c r="E22" s="178">
        <v>0</v>
      </c>
      <c r="F22" s="178">
        <v>0</v>
      </c>
      <c r="G22" s="178">
        <v>0</v>
      </c>
      <c r="H22" s="178">
        <v>0</v>
      </c>
      <c r="I22" s="178">
        <f>499-50</f>
        <v>449</v>
      </c>
      <c r="J22" s="167">
        <f>SUM(D22:I22)</f>
        <v>65773</v>
      </c>
      <c r="K22" s="179" t="s">
        <v>336</v>
      </c>
      <c r="L22" s="178">
        <v>79852</v>
      </c>
      <c r="M22" s="168">
        <v>6.75</v>
      </c>
      <c r="N22" s="168" t="s">
        <v>56</v>
      </c>
      <c r="Q22" s="136" t="str">
        <f>BS!B30</f>
        <v>Sinking Fund</v>
      </c>
      <c r="R22" s="175">
        <f>BS!D33</f>
        <v>1349534</v>
      </c>
      <c r="S22" s="175">
        <f>J23</f>
        <v>1351524</v>
      </c>
      <c r="T22" s="175">
        <f t="shared" si="1"/>
        <v>-1990</v>
      </c>
    </row>
    <row r="23" spans="1:20" ht="15" thickBot="1" x14ac:dyDescent="0.35">
      <c r="A23" s="180"/>
      <c r="B23" s="181"/>
      <c r="C23" s="182"/>
      <c r="D23" s="183">
        <f>SUM(D5:D22)</f>
        <v>1237147</v>
      </c>
      <c r="E23" s="183">
        <f t="shared" ref="E23:J23" si="2">SUM(E5:E22)</f>
        <v>0</v>
      </c>
      <c r="F23" s="183">
        <f t="shared" si="2"/>
        <v>1054</v>
      </c>
      <c r="G23" s="183">
        <f t="shared" si="2"/>
        <v>11188</v>
      </c>
      <c r="H23" s="183">
        <f t="shared" si="2"/>
        <v>39710</v>
      </c>
      <c r="I23" s="183">
        <f t="shared" si="2"/>
        <v>62425</v>
      </c>
      <c r="J23" s="183">
        <f t="shared" si="2"/>
        <v>1351524</v>
      </c>
      <c r="K23" s="184"/>
      <c r="L23" s="183">
        <f>SUM(L5:L22)</f>
        <v>1389696</v>
      </c>
      <c r="M23" s="180"/>
      <c r="N23" s="185"/>
      <c r="Q23" s="150" t="str">
        <f>BS!B35</f>
        <v>Repair Fund</v>
      </c>
      <c r="R23" s="175">
        <f>BS!D39</f>
        <v>3714032</v>
      </c>
      <c r="S23" s="175">
        <f>J38</f>
        <v>3798231</v>
      </c>
      <c r="T23" s="175">
        <f t="shared" si="1"/>
        <v>-84199</v>
      </c>
    </row>
    <row r="24" spans="1:20" ht="7.95" customHeight="1" thickTop="1" x14ac:dyDescent="0.3">
      <c r="B24" s="144"/>
      <c r="D24" s="137"/>
      <c r="E24" s="137"/>
      <c r="F24" s="137"/>
      <c r="G24" s="137"/>
      <c r="H24" s="137"/>
      <c r="I24" s="137"/>
      <c r="J24" s="137"/>
      <c r="K24" s="186"/>
      <c r="L24" s="186"/>
      <c r="N24" s="187"/>
      <c r="Q24" s="136" t="str">
        <f>BS!B41</f>
        <v>Building Painting Fund</v>
      </c>
      <c r="R24" s="175">
        <f>BS!D43</f>
        <v>823757</v>
      </c>
      <c r="S24" s="175">
        <f>J93</f>
        <v>828409</v>
      </c>
      <c r="T24" s="175">
        <f>R24-S24</f>
        <v>-4652</v>
      </c>
    </row>
    <row r="25" spans="1:20" x14ac:dyDescent="0.3">
      <c r="B25" s="164" t="s">
        <v>40</v>
      </c>
      <c r="D25" s="137"/>
      <c r="E25" s="137"/>
      <c r="F25" s="137"/>
      <c r="G25" s="137"/>
      <c r="H25" s="137"/>
      <c r="I25" s="137"/>
      <c r="J25" s="137"/>
      <c r="K25" s="186"/>
      <c r="L25" s="186"/>
      <c r="N25" s="187"/>
      <c r="Q25" s="136" t="str">
        <f>BS!B50</f>
        <v>Refundable Deposit - ( As per Sch IV )</v>
      </c>
      <c r="R25" s="175">
        <f>BS!D54</f>
        <v>80000</v>
      </c>
      <c r="S25" s="175">
        <f>J85</f>
        <v>128730</v>
      </c>
      <c r="T25" s="175">
        <f t="shared" si="1"/>
        <v>-48730</v>
      </c>
    </row>
    <row r="26" spans="1:20" x14ac:dyDescent="0.3">
      <c r="A26" s="165">
        <v>19</v>
      </c>
      <c r="B26" s="166">
        <v>116286</v>
      </c>
      <c r="C26" s="118" t="s">
        <v>156</v>
      </c>
      <c r="D26" s="188">
        <v>397435</v>
      </c>
      <c r="E26" s="167">
        <v>0</v>
      </c>
      <c r="F26" s="167">
        <v>0</v>
      </c>
      <c r="G26" s="167">
        <v>0</v>
      </c>
      <c r="H26" s="167">
        <f>25114-2510</f>
        <v>22604</v>
      </c>
      <c r="I26" s="167">
        <f>30105-3012</f>
        <v>27093</v>
      </c>
      <c r="J26" s="167">
        <f>SUM(D26:I26)</f>
        <v>447132</v>
      </c>
      <c r="K26" s="167" t="s">
        <v>288</v>
      </c>
      <c r="L26" s="167">
        <v>498417</v>
      </c>
      <c r="M26" s="168">
        <v>7</v>
      </c>
      <c r="N26" s="168" t="s">
        <v>127</v>
      </c>
      <c r="R26" s="175"/>
      <c r="S26" s="175"/>
      <c r="T26" s="175"/>
    </row>
    <row r="27" spans="1:20" x14ac:dyDescent="0.3">
      <c r="A27" s="165">
        <v>20</v>
      </c>
      <c r="B27" s="166" t="s">
        <v>187</v>
      </c>
      <c r="C27" s="118" t="s">
        <v>128</v>
      </c>
      <c r="D27" s="188">
        <v>317235</v>
      </c>
      <c r="E27" s="167">
        <v>0</v>
      </c>
      <c r="F27" s="167">
        <v>0</v>
      </c>
      <c r="G27" s="167">
        <f>16127-1611</f>
        <v>14516</v>
      </c>
      <c r="H27" s="167">
        <f>22909-2291</f>
        <v>20618</v>
      </c>
      <c r="I27" s="167">
        <f>24332-2434</f>
        <v>21898</v>
      </c>
      <c r="J27" s="167">
        <f t="shared" ref="J27:J37" si="3">SUM(D27:I27)</f>
        <v>374267</v>
      </c>
      <c r="K27" s="167" t="s">
        <v>207</v>
      </c>
      <c r="L27" s="167">
        <v>387786</v>
      </c>
      <c r="M27" s="168">
        <v>6.75</v>
      </c>
      <c r="N27" s="168" t="s">
        <v>127</v>
      </c>
      <c r="R27" s="189">
        <f>SUM(R18:R26)</f>
        <v>8676099</v>
      </c>
      <c r="S27" s="189">
        <f>SUM(S18:S26)</f>
        <v>9472661</v>
      </c>
      <c r="T27" s="189">
        <f>SUM(T18:T26)</f>
        <v>-796562</v>
      </c>
    </row>
    <row r="28" spans="1:20" x14ac:dyDescent="0.3">
      <c r="A28" s="165">
        <v>21</v>
      </c>
      <c r="B28" s="166" t="s">
        <v>334</v>
      </c>
      <c r="C28" s="118" t="s">
        <v>167</v>
      </c>
      <c r="D28" s="188">
        <v>486439</v>
      </c>
      <c r="E28" s="167">
        <v>0</v>
      </c>
      <c r="F28" s="167">
        <v>0</v>
      </c>
      <c r="G28" s="167">
        <v>0</v>
      </c>
      <c r="H28" s="167">
        <v>0</v>
      </c>
      <c r="I28" s="167">
        <f>7283+8627+8804+1+8902-728-863-880-890</f>
        <v>30256</v>
      </c>
      <c r="J28" s="167">
        <f t="shared" si="3"/>
        <v>516695</v>
      </c>
      <c r="K28" s="167" t="s">
        <v>289</v>
      </c>
      <c r="L28" s="167">
        <v>562121</v>
      </c>
      <c r="M28" s="168">
        <v>7</v>
      </c>
      <c r="N28" s="168" t="s">
        <v>127</v>
      </c>
    </row>
    <row r="29" spans="1:20" x14ac:dyDescent="0.3">
      <c r="A29" s="165">
        <v>22</v>
      </c>
      <c r="B29" s="166" t="s">
        <v>262</v>
      </c>
      <c r="C29" s="118" t="s">
        <v>153</v>
      </c>
      <c r="D29" s="188">
        <v>376597</v>
      </c>
      <c r="E29" s="167">
        <v>0</v>
      </c>
      <c r="F29" s="167">
        <v>0</v>
      </c>
      <c r="G29" s="167">
        <v>0</v>
      </c>
      <c r="H29" s="167">
        <f>3756-375</f>
        <v>3381</v>
      </c>
      <c r="I29" s="167">
        <f>27234-2723</f>
        <v>24511</v>
      </c>
      <c r="J29" s="167">
        <f t="shared" si="3"/>
        <v>404489</v>
      </c>
      <c r="K29" s="167" t="s">
        <v>284</v>
      </c>
      <c r="L29" s="167">
        <v>463756</v>
      </c>
      <c r="M29" s="168">
        <v>7</v>
      </c>
      <c r="N29" s="168" t="s">
        <v>127</v>
      </c>
      <c r="R29" s="136" t="s">
        <v>612</v>
      </c>
      <c r="S29" s="136" t="s">
        <v>613</v>
      </c>
    </row>
    <row r="30" spans="1:20" x14ac:dyDescent="0.3">
      <c r="A30" s="165">
        <v>23</v>
      </c>
      <c r="B30" s="166">
        <v>42907</v>
      </c>
      <c r="C30" s="118" t="s">
        <v>140</v>
      </c>
      <c r="D30" s="188">
        <v>175056</v>
      </c>
      <c r="E30" s="167">
        <f>1185-119</f>
        <v>1066</v>
      </c>
      <c r="F30" s="167">
        <f>10326-1034</f>
        <v>9292</v>
      </c>
      <c r="G30" s="167">
        <f>10935-1094</f>
        <v>9841</v>
      </c>
      <c r="H30" s="167">
        <f>11447-1143</f>
        <v>10304</v>
      </c>
      <c r="I30" s="167">
        <f>12051-1205</f>
        <v>10846</v>
      </c>
      <c r="J30" s="167">
        <f t="shared" si="3"/>
        <v>216405</v>
      </c>
      <c r="K30" s="167" t="s">
        <v>150</v>
      </c>
      <c r="L30" s="167">
        <v>232888</v>
      </c>
      <c r="M30" s="168">
        <v>5.75</v>
      </c>
      <c r="N30" s="168" t="s">
        <v>127</v>
      </c>
      <c r="R30" s="136" t="s">
        <v>94</v>
      </c>
      <c r="S30" s="136" t="s">
        <v>611</v>
      </c>
    </row>
    <row r="31" spans="1:20" x14ac:dyDescent="0.3">
      <c r="A31" s="165">
        <v>24</v>
      </c>
      <c r="B31" s="166">
        <v>43583</v>
      </c>
      <c r="C31" s="118" t="s">
        <v>162</v>
      </c>
      <c r="D31" s="188">
        <v>175056</v>
      </c>
      <c r="E31" s="167">
        <v>0</v>
      </c>
      <c r="F31" s="167">
        <f>3767-378</f>
        <v>3389</v>
      </c>
      <c r="G31" s="167">
        <f>12349-1235</f>
        <v>11114</v>
      </c>
      <c r="H31" s="167">
        <f>13090-1311</f>
        <v>11779</v>
      </c>
      <c r="I31" s="167">
        <f>13903-1390</f>
        <v>12513</v>
      </c>
      <c r="J31" s="167">
        <f t="shared" si="3"/>
        <v>213851</v>
      </c>
      <c r="K31" s="167" t="s">
        <v>166</v>
      </c>
      <c r="L31" s="167">
        <v>244641</v>
      </c>
      <c r="M31" s="168">
        <v>6.75</v>
      </c>
      <c r="N31" s="168" t="s">
        <v>127</v>
      </c>
      <c r="R31" s="136" t="s">
        <v>94</v>
      </c>
      <c r="S31" s="136" t="s">
        <v>614</v>
      </c>
    </row>
    <row r="32" spans="1:20" x14ac:dyDescent="0.3">
      <c r="A32" s="165">
        <v>25</v>
      </c>
      <c r="B32" s="166" t="s">
        <v>255</v>
      </c>
      <c r="C32" s="32" t="s">
        <v>142</v>
      </c>
      <c r="D32" s="190">
        <v>262486</v>
      </c>
      <c r="E32" s="170">
        <v>0</v>
      </c>
      <c r="F32" s="170">
        <v>0</v>
      </c>
      <c r="G32" s="170">
        <v>0</v>
      </c>
      <c r="H32" s="170">
        <f>2185-219</f>
        <v>1966</v>
      </c>
      <c r="I32" s="170">
        <f>18951-1895</f>
        <v>17056</v>
      </c>
      <c r="J32" s="167">
        <f t="shared" si="3"/>
        <v>281508</v>
      </c>
      <c r="K32" s="167" t="s">
        <v>267</v>
      </c>
      <c r="L32" s="167">
        <v>323236</v>
      </c>
      <c r="M32" s="168">
        <v>7</v>
      </c>
      <c r="N32" s="171" t="s">
        <v>56</v>
      </c>
      <c r="R32" s="136" t="s">
        <v>323</v>
      </c>
      <c r="S32" s="136" t="s">
        <v>324</v>
      </c>
    </row>
    <row r="33" spans="1:18" x14ac:dyDescent="0.3">
      <c r="A33" s="165">
        <v>26</v>
      </c>
      <c r="B33" s="166" t="s">
        <v>329</v>
      </c>
      <c r="C33" s="118" t="s">
        <v>213</v>
      </c>
      <c r="D33" s="188">
        <v>282129</v>
      </c>
      <c r="E33" s="167">
        <v>0</v>
      </c>
      <c r="F33" s="167">
        <v>0</v>
      </c>
      <c r="G33" s="167">
        <v>0</v>
      </c>
      <c r="H33" s="167">
        <v>0</v>
      </c>
      <c r="I33" s="167">
        <f>6629-663</f>
        <v>5966</v>
      </c>
      <c r="J33" s="167">
        <f t="shared" si="3"/>
        <v>288095</v>
      </c>
      <c r="K33" s="167" t="s">
        <v>362</v>
      </c>
      <c r="L33" s="167">
        <v>322836</v>
      </c>
      <c r="M33" s="168">
        <v>6.8</v>
      </c>
      <c r="N33" s="168" t="s">
        <v>106</v>
      </c>
    </row>
    <row r="34" spans="1:18" x14ac:dyDescent="0.3">
      <c r="A34" s="165">
        <v>27</v>
      </c>
      <c r="B34" s="166" t="s">
        <v>333</v>
      </c>
      <c r="C34" s="118" t="s">
        <v>360</v>
      </c>
      <c r="D34" s="188">
        <v>463557</v>
      </c>
      <c r="E34" s="167">
        <v>0</v>
      </c>
      <c r="F34" s="167">
        <v>0</v>
      </c>
      <c r="G34" s="167">
        <v>0</v>
      </c>
      <c r="H34" s="167">
        <v>0</v>
      </c>
      <c r="I34" s="167">
        <f>7118-712</f>
        <v>6406</v>
      </c>
      <c r="J34" s="167">
        <f t="shared" si="3"/>
        <v>469963</v>
      </c>
      <c r="K34" s="167" t="s">
        <v>361</v>
      </c>
      <c r="L34" s="167">
        <v>530482</v>
      </c>
      <c r="M34" s="168">
        <v>6.8</v>
      </c>
      <c r="N34" s="168" t="s">
        <v>106</v>
      </c>
    </row>
    <row r="35" spans="1:18" x14ac:dyDescent="0.3">
      <c r="A35" s="165">
        <v>28</v>
      </c>
      <c r="B35" s="174">
        <v>21086</v>
      </c>
      <c r="C35" s="118" t="s">
        <v>218</v>
      </c>
      <c r="D35" s="188">
        <v>175056</v>
      </c>
      <c r="E35" s="167">
        <v>0</v>
      </c>
      <c r="F35" s="167">
        <v>0</v>
      </c>
      <c r="G35" s="167">
        <f>5908-591</f>
        <v>5317</v>
      </c>
      <c r="H35" s="167">
        <f>12927-663</f>
        <v>12264</v>
      </c>
      <c r="I35" s="167">
        <f>13761-1377</f>
        <v>12384</v>
      </c>
      <c r="J35" s="167">
        <f t="shared" si="3"/>
        <v>205021</v>
      </c>
      <c r="K35" s="167" t="s">
        <v>211</v>
      </c>
      <c r="L35" s="167">
        <v>215571</v>
      </c>
      <c r="M35" s="168">
        <v>7</v>
      </c>
      <c r="N35" s="168" t="s">
        <v>127</v>
      </c>
    </row>
    <row r="36" spans="1:18" x14ac:dyDescent="0.3">
      <c r="A36" s="165">
        <v>29</v>
      </c>
      <c r="B36" s="174">
        <v>281673</v>
      </c>
      <c r="C36" s="118" t="s">
        <v>280</v>
      </c>
      <c r="D36" s="188">
        <v>122568</v>
      </c>
      <c r="E36" s="167">
        <v>0</v>
      </c>
      <c r="F36" s="167">
        <v>0</v>
      </c>
      <c r="G36" s="167">
        <v>0</v>
      </c>
      <c r="H36" s="167">
        <f>346-34</f>
        <v>312</v>
      </c>
      <c r="I36" s="167">
        <f>8807-882</f>
        <v>7925</v>
      </c>
      <c r="J36" s="167">
        <f t="shared" si="3"/>
        <v>130805</v>
      </c>
      <c r="K36" s="167" t="s">
        <v>281</v>
      </c>
      <c r="L36" s="167">
        <v>173407</v>
      </c>
      <c r="M36" s="168">
        <v>7</v>
      </c>
      <c r="N36" s="168" t="s">
        <v>127</v>
      </c>
    </row>
    <row r="37" spans="1:18" x14ac:dyDescent="0.3">
      <c r="A37" s="165">
        <v>30</v>
      </c>
      <c r="B37" s="191" t="s">
        <v>355</v>
      </c>
      <c r="C37" s="177" t="s">
        <v>335</v>
      </c>
      <c r="D37" s="192">
        <v>250000</v>
      </c>
      <c r="E37" s="178">
        <v>0</v>
      </c>
      <c r="F37" s="178">
        <v>0</v>
      </c>
      <c r="G37" s="178">
        <v>0</v>
      </c>
      <c r="H37" s="178">
        <v>0</v>
      </c>
      <c r="I37" s="178">
        <v>0</v>
      </c>
      <c r="J37" s="167">
        <f t="shared" si="3"/>
        <v>250000</v>
      </c>
      <c r="K37" s="179" t="s">
        <v>356</v>
      </c>
      <c r="L37" s="167">
        <v>250000</v>
      </c>
      <c r="M37" s="168">
        <v>6.8</v>
      </c>
      <c r="N37" s="168" t="s">
        <v>106</v>
      </c>
    </row>
    <row r="38" spans="1:18" ht="15" thickBot="1" x14ac:dyDescent="0.35">
      <c r="A38" s="180"/>
      <c r="B38" s="181"/>
      <c r="C38" s="182"/>
      <c r="D38" s="183">
        <f>SUM(D26:D37)</f>
        <v>3483614</v>
      </c>
      <c r="E38" s="183">
        <f>SUM(E26:E37)</f>
        <v>1066</v>
      </c>
      <c r="F38" s="183">
        <f t="shared" ref="F38" si="4">SUM(F26:F37)</f>
        <v>12681</v>
      </c>
      <c r="G38" s="183">
        <f>SUM(G26:G37)</f>
        <v>40788</v>
      </c>
      <c r="H38" s="183">
        <f>SUM(H26:H37)</f>
        <v>83228</v>
      </c>
      <c r="I38" s="183">
        <f>SUM(I26:I37)</f>
        <v>176854</v>
      </c>
      <c r="J38" s="183">
        <f>SUM(J26:J37)</f>
        <v>3798231</v>
      </c>
      <c r="K38" s="184"/>
      <c r="L38" s="183">
        <f>SUM(L26:L37)</f>
        <v>4205141</v>
      </c>
      <c r="M38" s="180"/>
      <c r="N38" s="185"/>
      <c r="O38" s="193"/>
    </row>
    <row r="39" spans="1:18" ht="7.95" customHeight="1" thickTop="1" x14ac:dyDescent="0.3">
      <c r="B39" s="144"/>
      <c r="D39" s="137"/>
      <c r="E39" s="137"/>
      <c r="F39" s="137"/>
      <c r="G39" s="137"/>
      <c r="H39" s="137"/>
      <c r="I39" s="137"/>
      <c r="J39" s="137"/>
      <c r="K39" s="186"/>
      <c r="L39" s="186"/>
      <c r="N39" s="187"/>
    </row>
    <row r="40" spans="1:18" x14ac:dyDescent="0.3">
      <c r="B40" s="164" t="s">
        <v>94</v>
      </c>
      <c r="D40" s="194"/>
    </row>
    <row r="41" spans="1:18" x14ac:dyDescent="0.3">
      <c r="A41" s="165">
        <v>31</v>
      </c>
      <c r="B41" s="169" t="s">
        <v>339</v>
      </c>
      <c r="C41" s="118" t="s">
        <v>268</v>
      </c>
      <c r="D41" s="167">
        <v>26872</v>
      </c>
      <c r="E41" s="167">
        <v>0</v>
      </c>
      <c r="F41" s="167">
        <v>0</v>
      </c>
      <c r="G41" s="167">
        <v>0</v>
      </c>
      <c r="H41" s="167">
        <v>0</v>
      </c>
      <c r="I41" s="167">
        <f>250-25</f>
        <v>225</v>
      </c>
      <c r="J41" s="167">
        <f>SUM(D41:I41)</f>
        <v>27097</v>
      </c>
      <c r="K41" s="167" t="s">
        <v>340</v>
      </c>
      <c r="L41" s="167">
        <v>28704</v>
      </c>
      <c r="M41" s="168">
        <v>6.65</v>
      </c>
      <c r="N41" s="168" t="s">
        <v>56</v>
      </c>
    </row>
    <row r="42" spans="1:18" x14ac:dyDescent="0.3">
      <c r="A42" s="165">
        <v>32</v>
      </c>
      <c r="B42" s="166" t="s">
        <v>328</v>
      </c>
      <c r="C42" s="118" t="s">
        <v>213</v>
      </c>
      <c r="D42" s="167">
        <v>28075</v>
      </c>
      <c r="E42" s="167">
        <v>0</v>
      </c>
      <c r="F42" s="167">
        <v>0</v>
      </c>
      <c r="G42" s="167">
        <v>0</v>
      </c>
      <c r="H42" s="167">
        <v>0</v>
      </c>
      <c r="I42" s="167">
        <f>660-66</f>
        <v>594</v>
      </c>
      <c r="J42" s="167">
        <f t="shared" ref="J42:J45" si="5">SUM(D42:I42)</f>
        <v>28669</v>
      </c>
      <c r="K42" s="167" t="s">
        <v>362</v>
      </c>
      <c r="L42" s="167">
        <v>32126</v>
      </c>
      <c r="M42" s="168">
        <v>6.8</v>
      </c>
      <c r="N42" s="168" t="s">
        <v>106</v>
      </c>
    </row>
    <row r="43" spans="1:18" x14ac:dyDescent="0.3">
      <c r="A43" s="165">
        <v>33</v>
      </c>
      <c r="B43" s="166" t="s">
        <v>200</v>
      </c>
      <c r="C43" s="118" t="s">
        <v>130</v>
      </c>
      <c r="D43" s="167">
        <v>13585</v>
      </c>
      <c r="E43" s="167">
        <v>0</v>
      </c>
      <c r="F43" s="167">
        <v>0</v>
      </c>
      <c r="G43" s="167">
        <f>811-81</f>
        <v>730</v>
      </c>
      <c r="H43" s="167">
        <f>1026-103</f>
        <v>923</v>
      </c>
      <c r="I43" s="167">
        <f>1091-27-27-27-28</f>
        <v>982</v>
      </c>
      <c r="J43" s="167">
        <f t="shared" si="5"/>
        <v>16220</v>
      </c>
      <c r="K43" s="167" t="s">
        <v>208</v>
      </c>
      <c r="L43" s="167">
        <v>16729</v>
      </c>
      <c r="M43" s="168">
        <v>7</v>
      </c>
      <c r="N43" s="168" t="s">
        <v>127</v>
      </c>
    </row>
    <row r="44" spans="1:18" x14ac:dyDescent="0.3">
      <c r="A44" s="165">
        <v>34</v>
      </c>
      <c r="B44" s="195" t="s">
        <v>256</v>
      </c>
      <c r="C44" s="196" t="s">
        <v>142</v>
      </c>
      <c r="D44" s="197">
        <v>299931</v>
      </c>
      <c r="E44" s="197">
        <v>0</v>
      </c>
      <c r="F44" s="197">
        <v>0</v>
      </c>
      <c r="G44" s="197">
        <v>0</v>
      </c>
      <c r="H44" s="197">
        <f>2496-250</f>
        <v>2246</v>
      </c>
      <c r="I44" s="197">
        <f>21655-2166</f>
        <v>19489</v>
      </c>
      <c r="J44" s="167">
        <f t="shared" si="5"/>
        <v>321666</v>
      </c>
      <c r="K44" s="178" t="s">
        <v>267</v>
      </c>
      <c r="L44" s="197">
        <v>369347</v>
      </c>
      <c r="M44" s="198">
        <v>7</v>
      </c>
      <c r="N44" s="198" t="s">
        <v>56</v>
      </c>
    </row>
    <row r="45" spans="1:18" x14ac:dyDescent="0.3">
      <c r="A45" s="165">
        <v>36</v>
      </c>
      <c r="B45" s="176">
        <v>116861</v>
      </c>
      <c r="C45" s="32" t="s">
        <v>290</v>
      </c>
      <c r="D45" s="170">
        <v>453931</v>
      </c>
      <c r="E45" s="170">
        <v>0</v>
      </c>
      <c r="F45" s="170">
        <v>0</v>
      </c>
      <c r="G45" s="170">
        <v>0</v>
      </c>
      <c r="H45" s="170">
        <f>28595-2860</f>
        <v>25735</v>
      </c>
      <c r="I45" s="170">
        <f>34378-3437</f>
        <v>30941</v>
      </c>
      <c r="J45" s="167">
        <f t="shared" si="5"/>
        <v>510607</v>
      </c>
      <c r="K45" s="167" t="s">
        <v>289</v>
      </c>
      <c r="L45" s="170">
        <v>558988</v>
      </c>
      <c r="M45" s="171">
        <v>7</v>
      </c>
      <c r="N45" s="171" t="s">
        <v>127</v>
      </c>
    </row>
    <row r="46" spans="1:18" x14ac:dyDescent="0.3">
      <c r="A46" s="165">
        <v>37</v>
      </c>
      <c r="B46" s="176">
        <v>116845</v>
      </c>
      <c r="C46" s="32" t="s">
        <v>290</v>
      </c>
      <c r="D46" s="170">
        <v>453931</v>
      </c>
      <c r="E46" s="170">
        <v>0</v>
      </c>
      <c r="F46" s="170">
        <v>0</v>
      </c>
      <c r="G46" s="170">
        <v>0</v>
      </c>
      <c r="H46" s="170">
        <f>28595-2860</f>
        <v>25735</v>
      </c>
      <c r="I46" s="170">
        <f>34378-3438</f>
        <v>30940</v>
      </c>
      <c r="J46" s="167">
        <f>SUM(D46:I46)</f>
        <v>510606</v>
      </c>
      <c r="K46" s="167" t="s">
        <v>289</v>
      </c>
      <c r="L46" s="170">
        <v>558988</v>
      </c>
      <c r="M46" s="171">
        <v>7</v>
      </c>
      <c r="N46" s="171" t="s">
        <v>127</v>
      </c>
    </row>
    <row r="47" spans="1:18" ht="15" thickBot="1" x14ac:dyDescent="0.35">
      <c r="A47" s="180"/>
      <c r="B47" s="181"/>
      <c r="C47" s="182"/>
      <c r="D47" s="183">
        <f>SUM(D41:D46)</f>
        <v>1276325</v>
      </c>
      <c r="E47" s="183">
        <f t="shared" ref="E47:J47" si="6">SUM(E41:E46)</f>
        <v>0</v>
      </c>
      <c r="F47" s="183">
        <f t="shared" si="6"/>
        <v>0</v>
      </c>
      <c r="G47" s="183">
        <f t="shared" si="6"/>
        <v>730</v>
      </c>
      <c r="H47" s="183">
        <f t="shared" si="6"/>
        <v>54639</v>
      </c>
      <c r="I47" s="183">
        <f t="shared" si="6"/>
        <v>83171</v>
      </c>
      <c r="J47" s="183">
        <f t="shared" si="6"/>
        <v>1414865</v>
      </c>
      <c r="K47" s="184"/>
      <c r="L47" s="183">
        <f>SUM(L41:L46)</f>
        <v>1564882</v>
      </c>
      <c r="M47" s="185"/>
      <c r="N47" s="185"/>
      <c r="R47" s="150"/>
    </row>
    <row r="48" spans="1:18" ht="7.95" customHeight="1" thickTop="1" x14ac:dyDescent="0.3">
      <c r="B48" s="144"/>
      <c r="D48" s="137"/>
      <c r="E48" s="137"/>
      <c r="F48" s="137"/>
      <c r="G48" s="137"/>
      <c r="H48" s="137"/>
      <c r="I48" s="137"/>
      <c r="J48" s="137"/>
      <c r="K48" s="186"/>
      <c r="L48" s="186"/>
      <c r="N48" s="187"/>
      <c r="O48" s="193"/>
      <c r="Q48" s="150"/>
    </row>
    <row r="49" spans="1:18" x14ac:dyDescent="0.3">
      <c r="B49" s="164" t="s">
        <v>39</v>
      </c>
      <c r="D49" s="137"/>
      <c r="E49" s="137"/>
      <c r="F49" s="137"/>
      <c r="G49" s="137"/>
      <c r="H49" s="137"/>
      <c r="I49" s="137"/>
      <c r="J49" s="137"/>
      <c r="K49" s="186"/>
      <c r="L49" s="186"/>
      <c r="N49" s="187"/>
    </row>
    <row r="50" spans="1:18" x14ac:dyDescent="0.3">
      <c r="A50" s="165">
        <v>38</v>
      </c>
      <c r="B50" s="169" t="s">
        <v>346</v>
      </c>
      <c r="C50" s="118" t="s">
        <v>268</v>
      </c>
      <c r="D50" s="167">
        <v>140715</v>
      </c>
      <c r="E50" s="167">
        <v>0</v>
      </c>
      <c r="F50" s="167">
        <v>0</v>
      </c>
      <c r="G50" s="167">
        <v>0</v>
      </c>
      <c r="H50" s="167">
        <v>0</v>
      </c>
      <c r="I50" s="167">
        <f>1317-132</f>
        <v>1185</v>
      </c>
      <c r="J50" s="167">
        <f>SUM(D50:I50)</f>
        <v>141900</v>
      </c>
      <c r="K50" s="167" t="s">
        <v>340</v>
      </c>
      <c r="L50" s="167">
        <v>150309</v>
      </c>
      <c r="M50" s="168">
        <v>6.65</v>
      </c>
      <c r="N50" s="168" t="s">
        <v>56</v>
      </c>
    </row>
    <row r="51" spans="1:18" x14ac:dyDescent="0.3">
      <c r="A51" s="165">
        <v>39</v>
      </c>
      <c r="B51" s="166" t="s">
        <v>330</v>
      </c>
      <c r="C51" s="118" t="s">
        <v>213</v>
      </c>
      <c r="D51" s="167">
        <v>35505</v>
      </c>
      <c r="E51" s="167">
        <v>0</v>
      </c>
      <c r="F51" s="167">
        <v>0</v>
      </c>
      <c r="G51" s="167">
        <v>0</v>
      </c>
      <c r="H51" s="167">
        <v>0</v>
      </c>
      <c r="I51" s="167">
        <f>834-84</f>
        <v>750</v>
      </c>
      <c r="J51" s="167">
        <f>SUM(D51:I51)</f>
        <v>36255</v>
      </c>
      <c r="K51" s="167" t="s">
        <v>362</v>
      </c>
      <c r="L51" s="167">
        <v>40628</v>
      </c>
      <c r="M51" s="168">
        <v>6.8</v>
      </c>
      <c r="N51" s="168" t="s">
        <v>106</v>
      </c>
    </row>
    <row r="52" spans="1:18" x14ac:dyDescent="0.3">
      <c r="A52" s="165">
        <v>40</v>
      </c>
      <c r="B52" s="166" t="s">
        <v>185</v>
      </c>
      <c r="C52" s="118" t="s">
        <v>130</v>
      </c>
      <c r="D52" s="167">
        <v>13585</v>
      </c>
      <c r="E52" s="167">
        <v>0</v>
      </c>
      <c r="F52" s="167">
        <v>0</v>
      </c>
      <c r="G52" s="167">
        <f>811-80</f>
        <v>731</v>
      </c>
      <c r="H52" s="167">
        <f>1026-103</f>
        <v>923</v>
      </c>
      <c r="I52" s="167">
        <f>266+271+275+279-26-27-28-27</f>
        <v>983</v>
      </c>
      <c r="J52" s="167">
        <f>SUM(D52:I52)</f>
        <v>16222</v>
      </c>
      <c r="K52" s="167" t="s">
        <v>208</v>
      </c>
      <c r="L52" s="167">
        <v>16729</v>
      </c>
      <c r="M52" s="168">
        <v>7</v>
      </c>
      <c r="N52" s="168" t="s">
        <v>127</v>
      </c>
    </row>
    <row r="53" spans="1:18" x14ac:dyDescent="0.3">
      <c r="A53" s="165">
        <v>41</v>
      </c>
      <c r="B53" s="172">
        <v>6605500001645</v>
      </c>
      <c r="C53" s="199" t="s">
        <v>335</v>
      </c>
      <c r="D53" s="197">
        <v>23174</v>
      </c>
      <c r="E53" s="197">
        <v>0</v>
      </c>
      <c r="F53" s="197">
        <v>0</v>
      </c>
      <c r="G53" s="197">
        <v>0</v>
      </c>
      <c r="H53" s="197">
        <v>0</v>
      </c>
      <c r="I53" s="197">
        <f>177-18</f>
        <v>159</v>
      </c>
      <c r="J53" s="167">
        <f>SUM(D53:I53)</f>
        <v>23333</v>
      </c>
      <c r="K53" s="179" t="s">
        <v>336</v>
      </c>
      <c r="L53" s="170">
        <v>28328</v>
      </c>
      <c r="M53" s="171">
        <v>6.75</v>
      </c>
      <c r="N53" s="171" t="s">
        <v>56</v>
      </c>
    </row>
    <row r="54" spans="1:18" x14ac:dyDescent="0.3">
      <c r="A54" s="165">
        <v>42</v>
      </c>
      <c r="B54" s="200" t="s">
        <v>253</v>
      </c>
      <c r="C54" s="32" t="s">
        <v>142</v>
      </c>
      <c r="D54" s="170">
        <v>64785</v>
      </c>
      <c r="E54" s="170">
        <v>0</v>
      </c>
      <c r="F54" s="170">
        <v>0</v>
      </c>
      <c r="G54" s="170">
        <v>0</v>
      </c>
      <c r="H54" s="170">
        <f>538-54</f>
        <v>484</v>
      </c>
      <c r="I54" s="170">
        <f>4677-468</f>
        <v>4209</v>
      </c>
      <c r="J54" s="167">
        <f t="shared" ref="J54:J66" si="7">SUM(D54:I54)</f>
        <v>69478</v>
      </c>
      <c r="K54" s="167" t="s">
        <v>267</v>
      </c>
      <c r="L54" s="167">
        <v>79779</v>
      </c>
      <c r="M54" s="168">
        <v>7</v>
      </c>
      <c r="N54" s="171" t="s">
        <v>56</v>
      </c>
    </row>
    <row r="55" spans="1:18" x14ac:dyDescent="0.3">
      <c r="A55" s="165">
        <v>43</v>
      </c>
      <c r="B55" s="169" t="s">
        <v>341</v>
      </c>
      <c r="C55" s="118" t="s">
        <v>269</v>
      </c>
      <c r="D55" s="167">
        <v>37105</v>
      </c>
      <c r="E55" s="167">
        <v>0</v>
      </c>
      <c r="F55" s="167">
        <v>0</v>
      </c>
      <c r="G55" s="167">
        <v>0</v>
      </c>
      <c r="H55" s="167">
        <v>0</v>
      </c>
      <c r="I55" s="167">
        <f>27-3</f>
        <v>24</v>
      </c>
      <c r="J55" s="167">
        <f>SUM(D55:I55)</f>
        <v>37129</v>
      </c>
      <c r="K55" s="167" t="s">
        <v>338</v>
      </c>
      <c r="L55" s="167">
        <v>39635</v>
      </c>
      <c r="M55" s="168">
        <v>6.65</v>
      </c>
      <c r="N55" s="168" t="s">
        <v>56</v>
      </c>
    </row>
    <row r="56" spans="1:18" x14ac:dyDescent="0.3">
      <c r="A56" s="165">
        <v>44</v>
      </c>
      <c r="B56" s="166" t="s">
        <v>258</v>
      </c>
      <c r="C56" s="118" t="s">
        <v>157</v>
      </c>
      <c r="D56" s="167">
        <v>104165</v>
      </c>
      <c r="E56" s="167">
        <v>0</v>
      </c>
      <c r="F56" s="167">
        <v>0</v>
      </c>
      <c r="G56" s="167">
        <v>0</v>
      </c>
      <c r="H56" s="167">
        <f>6448-644</f>
        <v>5804</v>
      </c>
      <c r="I56" s="167">
        <f>7020-704</f>
        <v>6316</v>
      </c>
      <c r="J56" s="167">
        <f t="shared" si="7"/>
        <v>116285</v>
      </c>
      <c r="K56" s="167" t="s">
        <v>287</v>
      </c>
      <c r="L56" s="167">
        <v>125456</v>
      </c>
      <c r="M56" s="168">
        <v>6.25</v>
      </c>
      <c r="N56" s="168" t="s">
        <v>127</v>
      </c>
    </row>
    <row r="57" spans="1:18" x14ac:dyDescent="0.3">
      <c r="A57" s="165">
        <v>45</v>
      </c>
      <c r="B57" s="166">
        <v>42392</v>
      </c>
      <c r="C57" s="118" t="s">
        <v>138</v>
      </c>
      <c r="D57" s="167">
        <v>253640</v>
      </c>
      <c r="E57" s="167">
        <f>8363-838</f>
        <v>7525</v>
      </c>
      <c r="F57" s="167">
        <f>14903-1492</f>
        <v>13411</v>
      </c>
      <c r="G57" s="167">
        <f>15712-1571</f>
        <v>14141</v>
      </c>
      <c r="H57" s="167">
        <f>16476-1648</f>
        <v>14828</v>
      </c>
      <c r="I57" s="167">
        <f>17322-1732</f>
        <v>15590</v>
      </c>
      <c r="J57" s="167">
        <f t="shared" si="7"/>
        <v>319135</v>
      </c>
      <c r="K57" s="167" t="s">
        <v>151</v>
      </c>
      <c r="L57" s="167">
        <v>334948</v>
      </c>
      <c r="M57" s="168">
        <v>5.6</v>
      </c>
      <c r="N57" s="168" t="s">
        <v>127</v>
      </c>
    </row>
    <row r="58" spans="1:18" x14ac:dyDescent="0.3">
      <c r="A58" s="165">
        <v>46</v>
      </c>
      <c r="B58" s="166" t="s">
        <v>189</v>
      </c>
      <c r="C58" s="118" t="s">
        <v>132</v>
      </c>
      <c r="D58" s="167">
        <v>124632</v>
      </c>
      <c r="E58" s="167">
        <v>0</v>
      </c>
      <c r="F58" s="167">
        <v>0</v>
      </c>
      <c r="G58" s="167">
        <f>1287-128</f>
        <v>1159</v>
      </c>
      <c r="H58" s="167">
        <f>9346-934</f>
        <v>8412</v>
      </c>
      <c r="I58" s="167">
        <f>9970-997</f>
        <v>8973</v>
      </c>
      <c r="J58" s="167">
        <f t="shared" si="7"/>
        <v>143176</v>
      </c>
      <c r="K58" s="167" t="s">
        <v>206</v>
      </c>
      <c r="L58" s="167">
        <v>154612</v>
      </c>
      <c r="M58" s="168">
        <v>5.75</v>
      </c>
      <c r="N58" s="168" t="s">
        <v>127</v>
      </c>
    </row>
    <row r="59" spans="1:18" x14ac:dyDescent="0.3">
      <c r="A59" s="165">
        <v>47</v>
      </c>
      <c r="B59" s="166" t="s">
        <v>191</v>
      </c>
      <c r="C59" s="118" t="s">
        <v>133</v>
      </c>
      <c r="D59" s="167">
        <v>10230</v>
      </c>
      <c r="E59" s="167">
        <v>0</v>
      </c>
      <c r="F59" s="167">
        <v>0</v>
      </c>
      <c r="G59" s="167">
        <f>12-1</f>
        <v>11</v>
      </c>
      <c r="H59" s="167">
        <f>761-77</f>
        <v>684</v>
      </c>
      <c r="I59" s="167">
        <f>196+202+206+207-20-20-21-20</f>
        <v>730</v>
      </c>
      <c r="J59" s="167">
        <f t="shared" si="7"/>
        <v>11655</v>
      </c>
      <c r="K59" s="167" t="s">
        <v>215</v>
      </c>
      <c r="L59" s="167">
        <v>12691</v>
      </c>
      <c r="M59" s="168">
        <v>7.25</v>
      </c>
      <c r="N59" s="168" t="s">
        <v>127</v>
      </c>
      <c r="O59" s="150"/>
    </row>
    <row r="60" spans="1:18" x14ac:dyDescent="0.3">
      <c r="A60" s="165">
        <v>48</v>
      </c>
      <c r="B60" s="166" t="s">
        <v>272</v>
      </c>
      <c r="C60" s="118" t="s">
        <v>155</v>
      </c>
      <c r="D60" s="167">
        <v>108481</v>
      </c>
      <c r="E60" s="167">
        <v>0</v>
      </c>
      <c r="F60" s="167">
        <v>0</v>
      </c>
      <c r="G60" s="167">
        <v>0</v>
      </c>
      <c r="H60" s="167">
        <f>1061-107</f>
        <v>954</v>
      </c>
      <c r="I60" s="167">
        <f>7844-784</f>
        <v>7060</v>
      </c>
      <c r="J60" s="167">
        <f t="shared" si="7"/>
        <v>116495</v>
      </c>
      <c r="K60" s="167" t="s">
        <v>285</v>
      </c>
      <c r="L60" s="167">
        <v>135588</v>
      </c>
      <c r="M60" s="168">
        <v>7</v>
      </c>
      <c r="N60" s="168" t="s">
        <v>127</v>
      </c>
      <c r="O60" s="150"/>
    </row>
    <row r="61" spans="1:18" x14ac:dyDescent="0.3">
      <c r="A61" s="165">
        <v>49</v>
      </c>
      <c r="B61" s="166">
        <v>43584</v>
      </c>
      <c r="C61" s="118" t="s">
        <v>162</v>
      </c>
      <c r="D61" s="167">
        <v>100800</v>
      </c>
      <c r="E61" s="167">
        <v>0</v>
      </c>
      <c r="F61" s="167">
        <f>2169-218</f>
        <v>1951</v>
      </c>
      <c r="G61" s="167">
        <f>7111-711</f>
        <v>6400</v>
      </c>
      <c r="H61" s="167">
        <f>7537-754</f>
        <v>6783</v>
      </c>
      <c r="I61" s="167">
        <f>8006-800</f>
        <v>7206</v>
      </c>
      <c r="J61" s="167">
        <f t="shared" si="7"/>
        <v>123140</v>
      </c>
      <c r="K61" s="167" t="s">
        <v>166</v>
      </c>
      <c r="L61" s="167">
        <v>140868</v>
      </c>
      <c r="M61" s="168">
        <v>6.75</v>
      </c>
      <c r="N61" s="168" t="s">
        <v>127</v>
      </c>
    </row>
    <row r="62" spans="1:18" x14ac:dyDescent="0.3">
      <c r="A62" s="165">
        <v>50</v>
      </c>
      <c r="B62" s="166" t="s">
        <v>331</v>
      </c>
      <c r="C62" s="118" t="s">
        <v>213</v>
      </c>
      <c r="D62" s="167">
        <v>77374</v>
      </c>
      <c r="E62" s="167">
        <v>0</v>
      </c>
      <c r="F62" s="167">
        <v>0</v>
      </c>
      <c r="G62" s="167">
        <v>0</v>
      </c>
      <c r="H62" s="167">
        <v>0</v>
      </c>
      <c r="I62" s="167">
        <f>1818-182</f>
        <v>1636</v>
      </c>
      <c r="J62" s="167">
        <f t="shared" si="7"/>
        <v>79010</v>
      </c>
      <c r="K62" s="167" t="s">
        <v>362</v>
      </c>
      <c r="L62" s="167">
        <v>88538</v>
      </c>
      <c r="M62" s="168">
        <v>6.8</v>
      </c>
      <c r="N62" s="168" t="s">
        <v>106</v>
      </c>
    </row>
    <row r="63" spans="1:18" x14ac:dyDescent="0.3">
      <c r="A63" s="165">
        <v>51</v>
      </c>
      <c r="B63" s="169" t="s">
        <v>351</v>
      </c>
      <c r="C63" s="167" t="s">
        <v>214</v>
      </c>
      <c r="D63" s="167">
        <v>154203</v>
      </c>
      <c r="E63" s="167">
        <v>0</v>
      </c>
      <c r="F63" s="167">
        <v>0</v>
      </c>
      <c r="G63" s="167">
        <v>0</v>
      </c>
      <c r="H63" s="167">
        <v>0</v>
      </c>
      <c r="I63" s="167">
        <v>8245</v>
      </c>
      <c r="J63" s="167">
        <f t="shared" si="7"/>
        <v>162448</v>
      </c>
      <c r="K63" s="167" t="s">
        <v>363</v>
      </c>
      <c r="L63" s="167"/>
      <c r="M63" s="168">
        <v>7</v>
      </c>
      <c r="N63" s="168" t="s">
        <v>107</v>
      </c>
    </row>
    <row r="64" spans="1:18" x14ac:dyDescent="0.3">
      <c r="A64" s="165">
        <v>52</v>
      </c>
      <c r="B64" s="169" t="s">
        <v>354</v>
      </c>
      <c r="C64" s="118" t="s">
        <v>292</v>
      </c>
      <c r="D64" s="167">
        <v>97472</v>
      </c>
      <c r="E64" s="167">
        <v>0</v>
      </c>
      <c r="F64" s="167">
        <v>0</v>
      </c>
      <c r="G64" s="167">
        <v>0</v>
      </c>
      <c r="H64" s="167">
        <v>0</v>
      </c>
      <c r="I64" s="167">
        <f>6393-2878</f>
        <v>3515</v>
      </c>
      <c r="J64" s="167">
        <f t="shared" si="7"/>
        <v>100987</v>
      </c>
      <c r="K64" s="167" t="s">
        <v>365</v>
      </c>
      <c r="L64" s="167">
        <v>106151</v>
      </c>
      <c r="M64" s="168">
        <v>6.5</v>
      </c>
      <c r="N64" s="168" t="s">
        <v>107</v>
      </c>
      <c r="Q64" s="150"/>
      <c r="R64" s="150"/>
    </row>
    <row r="65" spans="1:15" x14ac:dyDescent="0.3">
      <c r="A65" s="165">
        <v>53</v>
      </c>
      <c r="B65" s="174">
        <v>21103</v>
      </c>
      <c r="C65" s="118" t="s">
        <v>193</v>
      </c>
      <c r="D65" s="167">
        <v>104400</v>
      </c>
      <c r="E65" s="167">
        <v>0</v>
      </c>
      <c r="F65" s="167">
        <v>0</v>
      </c>
      <c r="G65" s="167">
        <f>3523-353</f>
        <v>3170</v>
      </c>
      <c r="H65" s="167">
        <f>7710-772</f>
        <v>6938</v>
      </c>
      <c r="I65" s="167">
        <f>8207-820</f>
        <v>7387</v>
      </c>
      <c r="J65" s="167">
        <f t="shared" si="7"/>
        <v>121895</v>
      </c>
      <c r="K65" s="167" t="s">
        <v>211</v>
      </c>
      <c r="L65" s="167">
        <v>128562</v>
      </c>
      <c r="M65" s="168">
        <v>7</v>
      </c>
      <c r="N65" s="168" t="s">
        <v>127</v>
      </c>
    </row>
    <row r="66" spans="1:15" x14ac:dyDescent="0.3">
      <c r="A66" s="165">
        <v>54</v>
      </c>
      <c r="B66" s="191">
        <v>281681</v>
      </c>
      <c r="C66" s="177" t="s">
        <v>280</v>
      </c>
      <c r="D66" s="178">
        <v>123938</v>
      </c>
      <c r="E66" s="178">
        <v>0</v>
      </c>
      <c r="F66" s="178">
        <v>0</v>
      </c>
      <c r="G66" s="178">
        <v>0</v>
      </c>
      <c r="H66" s="178">
        <f>350-35</f>
        <v>315</v>
      </c>
      <c r="I66" s="178">
        <f>8905-890</f>
        <v>8015</v>
      </c>
      <c r="J66" s="167">
        <f t="shared" si="7"/>
        <v>132268</v>
      </c>
      <c r="K66" s="179" t="s">
        <v>281</v>
      </c>
      <c r="L66" s="178">
        <v>175345</v>
      </c>
      <c r="M66" s="168">
        <v>7</v>
      </c>
      <c r="N66" s="168" t="s">
        <v>127</v>
      </c>
    </row>
    <row r="67" spans="1:15" x14ac:dyDescent="0.3">
      <c r="A67" s="165">
        <v>55</v>
      </c>
      <c r="B67" s="191" t="s">
        <v>357</v>
      </c>
      <c r="C67" s="177" t="s">
        <v>358</v>
      </c>
      <c r="D67" s="178">
        <v>63324</v>
      </c>
      <c r="E67" s="178">
        <v>0</v>
      </c>
      <c r="F67" s="178">
        <v>0</v>
      </c>
      <c r="G67" s="178">
        <v>0</v>
      </c>
      <c r="H67" s="178">
        <v>0</v>
      </c>
      <c r="I67" s="178">
        <v>0</v>
      </c>
      <c r="J67" s="167">
        <f>SUM(D67:I67)</f>
        <v>63324</v>
      </c>
      <c r="K67" s="179" t="s">
        <v>359</v>
      </c>
      <c r="L67" s="178">
        <v>63324</v>
      </c>
      <c r="M67" s="168">
        <v>6.8</v>
      </c>
      <c r="N67" s="168" t="s">
        <v>106</v>
      </c>
    </row>
    <row r="68" spans="1:15" ht="15" thickBot="1" x14ac:dyDescent="0.35">
      <c r="A68" s="180"/>
      <c r="B68" s="181"/>
      <c r="C68" s="182"/>
      <c r="D68" s="183">
        <f>SUM(D50:D67)</f>
        <v>1637528</v>
      </c>
      <c r="E68" s="183">
        <f t="shared" ref="E68:H68" si="8">SUM(E50:E67)</f>
        <v>7525</v>
      </c>
      <c r="F68" s="183">
        <f t="shared" si="8"/>
        <v>15362</v>
      </c>
      <c r="G68" s="183">
        <f t="shared" si="8"/>
        <v>25612</v>
      </c>
      <c r="H68" s="183">
        <f t="shared" si="8"/>
        <v>46125</v>
      </c>
      <c r="I68" s="183">
        <f>SUM(I50:I67)</f>
        <v>81983</v>
      </c>
      <c r="J68" s="183">
        <f>SUM(J50:J67)</f>
        <v>1814135</v>
      </c>
      <c r="K68" s="184"/>
      <c r="L68" s="183">
        <f>SUM(L50:L67)</f>
        <v>1821491</v>
      </c>
      <c r="M68" s="180"/>
      <c r="N68" s="185"/>
      <c r="O68" s="193"/>
    </row>
    <row r="69" spans="1:15" ht="7.95" customHeight="1" thickTop="1" x14ac:dyDescent="0.3">
      <c r="K69" s="186"/>
      <c r="L69" s="186"/>
    </row>
    <row r="70" spans="1:15" x14ac:dyDescent="0.3">
      <c r="B70" s="164" t="s">
        <v>175</v>
      </c>
      <c r="K70" s="186"/>
      <c r="L70" s="186"/>
    </row>
    <row r="71" spans="1:15" x14ac:dyDescent="0.3">
      <c r="A71" s="165">
        <v>56</v>
      </c>
      <c r="B71" s="166">
        <v>42886</v>
      </c>
      <c r="C71" s="118" t="s">
        <v>139</v>
      </c>
      <c r="D71" s="167">
        <v>10000</v>
      </c>
      <c r="E71" s="167">
        <f>77-8</f>
        <v>69</v>
      </c>
      <c r="F71" s="167">
        <f>591-61</f>
        <v>530</v>
      </c>
      <c r="G71" s="167">
        <f>624-63</f>
        <v>561</v>
      </c>
      <c r="H71" s="167">
        <f>655-67</f>
        <v>588</v>
      </c>
      <c r="I71" s="167">
        <f>688-68</f>
        <v>620</v>
      </c>
      <c r="J71" s="167">
        <f>SUM(D71:I71)</f>
        <v>12368</v>
      </c>
      <c r="K71" s="167" t="s">
        <v>149</v>
      </c>
      <c r="L71" s="167">
        <v>13304</v>
      </c>
      <c r="M71" s="168">
        <v>5.75</v>
      </c>
      <c r="N71" s="168" t="s">
        <v>127</v>
      </c>
    </row>
    <row r="72" spans="1:15" x14ac:dyDescent="0.3">
      <c r="A72" s="165">
        <v>57</v>
      </c>
      <c r="B72" s="166" t="s">
        <v>184</v>
      </c>
      <c r="C72" s="118" t="s">
        <v>131</v>
      </c>
      <c r="D72" s="167">
        <v>18320</v>
      </c>
      <c r="E72" s="201">
        <v>0</v>
      </c>
      <c r="F72" s="201">
        <v>0</v>
      </c>
      <c r="G72" s="201">
        <f>1140-115</f>
        <v>1025</v>
      </c>
      <c r="H72" s="201">
        <f>1386-138</f>
        <v>1248</v>
      </c>
      <c r="I72" s="201">
        <f>1476-148</f>
        <v>1328</v>
      </c>
      <c r="J72" s="167">
        <f t="shared" ref="J72:J77" si="9">SUM(D72:I72)</f>
        <v>21921</v>
      </c>
      <c r="K72" s="167" t="s">
        <v>209</v>
      </c>
      <c r="L72" s="167">
        <v>22560</v>
      </c>
      <c r="M72" s="168">
        <v>7</v>
      </c>
      <c r="N72" s="168" t="s">
        <v>127</v>
      </c>
    </row>
    <row r="73" spans="1:15" x14ac:dyDescent="0.3">
      <c r="A73" s="165">
        <v>58</v>
      </c>
      <c r="B73" s="166">
        <v>42391</v>
      </c>
      <c r="C73" s="118" t="s">
        <v>101</v>
      </c>
      <c r="D73" s="167">
        <v>13202</v>
      </c>
      <c r="E73" s="167">
        <f>435-45</f>
        <v>390</v>
      </c>
      <c r="F73" s="167">
        <f>775-79</f>
        <v>696</v>
      </c>
      <c r="G73" s="167">
        <f>819-82</f>
        <v>737</v>
      </c>
      <c r="H73" s="167">
        <f>857-85</f>
        <v>772</v>
      </c>
      <c r="I73" s="167">
        <f>901-90</f>
        <v>811</v>
      </c>
      <c r="J73" s="167">
        <f t="shared" si="9"/>
        <v>16608</v>
      </c>
      <c r="K73" s="167" t="s">
        <v>151</v>
      </c>
      <c r="L73" s="167">
        <v>17434</v>
      </c>
      <c r="M73" s="168">
        <v>5.6</v>
      </c>
      <c r="N73" s="168" t="s">
        <v>127</v>
      </c>
    </row>
    <row r="74" spans="1:15" x14ac:dyDescent="0.3">
      <c r="A74" s="165">
        <v>59</v>
      </c>
      <c r="B74" s="166" t="s">
        <v>271</v>
      </c>
      <c r="C74" s="118" t="s">
        <v>152</v>
      </c>
      <c r="D74" s="167">
        <v>19837</v>
      </c>
      <c r="E74" s="167">
        <v>0</v>
      </c>
      <c r="F74" s="167">
        <v>0</v>
      </c>
      <c r="G74" s="167">
        <v>0</v>
      </c>
      <c r="H74" s="167">
        <f>202-21</f>
        <v>181</v>
      </c>
      <c r="I74" s="167">
        <f>1435-143</f>
        <v>1292</v>
      </c>
      <c r="J74" s="167">
        <f t="shared" si="9"/>
        <v>21310</v>
      </c>
      <c r="K74" s="167" t="s">
        <v>286</v>
      </c>
      <c r="L74" s="167">
        <v>24428</v>
      </c>
      <c r="M74" s="168">
        <v>7</v>
      </c>
      <c r="N74" s="168" t="s">
        <v>127</v>
      </c>
    </row>
    <row r="75" spans="1:15" x14ac:dyDescent="0.3">
      <c r="A75" s="165">
        <v>60</v>
      </c>
      <c r="B75" s="169" t="s">
        <v>273</v>
      </c>
      <c r="C75" s="118" t="s">
        <v>142</v>
      </c>
      <c r="D75" s="167">
        <v>26118</v>
      </c>
      <c r="E75" s="167">
        <v>0</v>
      </c>
      <c r="F75" s="167">
        <v>0</v>
      </c>
      <c r="G75" s="167">
        <v>0</v>
      </c>
      <c r="H75" s="167">
        <f>217-22</f>
        <v>195</v>
      </c>
      <c r="I75" s="167">
        <f>1884-189</f>
        <v>1695</v>
      </c>
      <c r="J75" s="167">
        <f>SUM(D75:I75)</f>
        <v>28008</v>
      </c>
      <c r="K75" s="167" t="s">
        <v>267</v>
      </c>
      <c r="L75" s="167">
        <v>32163</v>
      </c>
      <c r="M75" s="168">
        <v>7</v>
      </c>
      <c r="N75" s="168" t="s">
        <v>56</v>
      </c>
    </row>
    <row r="76" spans="1:15" x14ac:dyDescent="0.3">
      <c r="A76" s="165">
        <v>61</v>
      </c>
      <c r="B76" s="176">
        <v>21123</v>
      </c>
      <c r="C76" s="118" t="s">
        <v>218</v>
      </c>
      <c r="D76" s="167">
        <v>10000</v>
      </c>
      <c r="E76" s="167">
        <v>0</v>
      </c>
      <c r="F76" s="167">
        <v>0</v>
      </c>
      <c r="G76" s="167">
        <f>338-33</f>
        <v>305</v>
      </c>
      <c r="H76" s="167">
        <f>738-73</f>
        <v>665</v>
      </c>
      <c r="I76" s="167">
        <f>786-77</f>
        <v>709</v>
      </c>
      <c r="J76" s="167">
        <f t="shared" si="9"/>
        <v>11679</v>
      </c>
      <c r="K76" s="167" t="s">
        <v>211</v>
      </c>
      <c r="L76" s="167">
        <v>12314</v>
      </c>
      <c r="M76" s="168">
        <v>7</v>
      </c>
      <c r="N76" s="168" t="s">
        <v>127</v>
      </c>
    </row>
    <row r="77" spans="1:15" x14ac:dyDescent="0.3">
      <c r="A77" s="165">
        <v>62</v>
      </c>
      <c r="B77" s="172">
        <v>220754</v>
      </c>
      <c r="C77" s="177" t="s">
        <v>282</v>
      </c>
      <c r="D77" s="178">
        <v>10000</v>
      </c>
      <c r="E77" s="178">
        <v>0</v>
      </c>
      <c r="F77" s="178">
        <v>0</v>
      </c>
      <c r="G77" s="178">
        <v>0</v>
      </c>
      <c r="H77" s="178">
        <f>238-24</f>
        <v>214</v>
      </c>
      <c r="I77" s="178">
        <f>732-73</f>
        <v>659</v>
      </c>
      <c r="J77" s="167">
        <f t="shared" si="9"/>
        <v>10873</v>
      </c>
      <c r="K77" s="179" t="s">
        <v>283</v>
      </c>
      <c r="L77" s="178">
        <v>14148</v>
      </c>
      <c r="M77" s="168">
        <v>7</v>
      </c>
      <c r="N77" s="168" t="s">
        <v>127</v>
      </c>
    </row>
    <row r="78" spans="1:15" ht="15" thickBot="1" x14ac:dyDescent="0.35">
      <c r="A78" s="180"/>
      <c r="B78" s="182"/>
      <c r="C78" s="182"/>
      <c r="D78" s="183">
        <f>SUM(D71:D77)</f>
        <v>107477</v>
      </c>
      <c r="E78" s="183">
        <f t="shared" ref="E78:J78" si="10">SUM(E71:E77)</f>
        <v>459</v>
      </c>
      <c r="F78" s="183">
        <f t="shared" si="10"/>
        <v>1226</v>
      </c>
      <c r="G78" s="183">
        <f t="shared" si="10"/>
        <v>2628</v>
      </c>
      <c r="H78" s="183">
        <f t="shared" si="10"/>
        <v>3863</v>
      </c>
      <c r="I78" s="183">
        <f t="shared" si="10"/>
        <v>7114</v>
      </c>
      <c r="J78" s="183">
        <f t="shared" si="10"/>
        <v>122767</v>
      </c>
      <c r="K78" s="184"/>
      <c r="L78" s="183">
        <f>SUM(L71:L77)</f>
        <v>136351</v>
      </c>
      <c r="M78" s="180"/>
      <c r="N78" s="180"/>
      <c r="O78" s="193"/>
    </row>
    <row r="79" spans="1:15" ht="7.95" customHeight="1" thickTop="1" x14ac:dyDescent="0.3">
      <c r="D79" s="202"/>
      <c r="E79" s="150"/>
      <c r="K79" s="186"/>
      <c r="L79" s="186"/>
    </row>
    <row r="80" spans="1:15" x14ac:dyDescent="0.3">
      <c r="B80" s="203" t="s">
        <v>98</v>
      </c>
      <c r="K80" s="186"/>
      <c r="L80" s="186"/>
    </row>
    <row r="81" spans="1:23" x14ac:dyDescent="0.3">
      <c r="A81" s="165">
        <v>63</v>
      </c>
      <c r="B81" s="166" t="s">
        <v>260</v>
      </c>
      <c r="C81" s="118" t="s">
        <v>154</v>
      </c>
      <c r="D81" s="167">
        <v>14225</v>
      </c>
      <c r="E81" s="167">
        <v>0</v>
      </c>
      <c r="F81" s="167">
        <v>0</v>
      </c>
      <c r="G81" s="167">
        <v>0</v>
      </c>
      <c r="H81" s="167">
        <f>801-81</f>
        <v>720</v>
      </c>
      <c r="I81" s="167">
        <f>1071-108</f>
        <v>963</v>
      </c>
      <c r="J81" s="167">
        <f>SUM(D81:I81)</f>
        <v>15908</v>
      </c>
      <c r="K81" s="165" t="s">
        <v>291</v>
      </c>
      <c r="L81" s="167">
        <v>17618</v>
      </c>
      <c r="M81" s="168">
        <v>7</v>
      </c>
      <c r="N81" s="168" t="s">
        <v>127</v>
      </c>
    </row>
    <row r="82" spans="1:23" x14ac:dyDescent="0.3">
      <c r="A82" s="165">
        <v>64</v>
      </c>
      <c r="B82" s="166" t="s">
        <v>261</v>
      </c>
      <c r="C82" s="118" t="s">
        <v>152</v>
      </c>
      <c r="D82" s="167">
        <v>59518</v>
      </c>
      <c r="E82" s="167">
        <v>0</v>
      </c>
      <c r="F82" s="167">
        <v>0</v>
      </c>
      <c r="G82" s="167">
        <v>0</v>
      </c>
      <c r="H82" s="167">
        <f>605-61</f>
        <v>544</v>
      </c>
      <c r="I82" s="167">
        <f>4305-430</f>
        <v>3875</v>
      </c>
      <c r="J82" s="167">
        <f t="shared" ref="J82:J84" si="11">SUM(D82:I82)</f>
        <v>63937</v>
      </c>
      <c r="K82" s="165" t="s">
        <v>286</v>
      </c>
      <c r="L82" s="167">
        <v>73293</v>
      </c>
      <c r="M82" s="168">
        <v>7</v>
      </c>
      <c r="N82" s="168" t="s">
        <v>127</v>
      </c>
    </row>
    <row r="83" spans="1:23" x14ac:dyDescent="0.3">
      <c r="A83" s="165">
        <v>65</v>
      </c>
      <c r="B83" s="166" t="s">
        <v>190</v>
      </c>
      <c r="C83" s="118" t="s">
        <v>132</v>
      </c>
      <c r="D83" s="167">
        <v>11667</v>
      </c>
      <c r="E83" s="167">
        <v>0</v>
      </c>
      <c r="F83" s="167">
        <v>0</v>
      </c>
      <c r="G83" s="167">
        <f>121-12</f>
        <v>109</v>
      </c>
      <c r="H83" s="167">
        <f>874-88</f>
        <v>786</v>
      </c>
      <c r="I83" s="167">
        <f>934-94</f>
        <v>840</v>
      </c>
      <c r="J83" s="167">
        <f t="shared" si="11"/>
        <v>13402</v>
      </c>
      <c r="K83" s="165" t="s">
        <v>206</v>
      </c>
      <c r="L83" s="167">
        <v>14473</v>
      </c>
      <c r="M83" s="168">
        <v>7.25</v>
      </c>
      <c r="N83" s="168" t="s">
        <v>127</v>
      </c>
    </row>
    <row r="84" spans="1:23" x14ac:dyDescent="0.3">
      <c r="A84" s="165">
        <v>66</v>
      </c>
      <c r="B84" s="169" t="s">
        <v>353</v>
      </c>
      <c r="C84" s="118" t="s">
        <v>217</v>
      </c>
      <c r="D84" s="167">
        <v>33842</v>
      </c>
      <c r="E84" s="167">
        <v>0</v>
      </c>
      <c r="F84" s="167">
        <v>0</v>
      </c>
      <c r="G84" s="167">
        <v>0</v>
      </c>
      <c r="H84" s="167">
        <v>0</v>
      </c>
      <c r="I84" s="167">
        <f>2219-578</f>
        <v>1641</v>
      </c>
      <c r="J84" s="167">
        <f t="shared" si="11"/>
        <v>35483</v>
      </c>
      <c r="K84" s="165" t="s">
        <v>364</v>
      </c>
      <c r="L84" s="167">
        <v>36902</v>
      </c>
      <c r="M84" s="168">
        <v>6.6</v>
      </c>
      <c r="N84" s="168" t="s">
        <v>107</v>
      </c>
    </row>
    <row r="85" spans="1:23" ht="15" thickBot="1" x14ac:dyDescent="0.35">
      <c r="A85" s="180"/>
      <c r="B85" s="182"/>
      <c r="C85" s="182"/>
      <c r="D85" s="183">
        <f>SUM(D81:D84)</f>
        <v>119252</v>
      </c>
      <c r="E85" s="183">
        <f t="shared" ref="E85" si="12">SUM(E81:E84)</f>
        <v>0</v>
      </c>
      <c r="F85" s="183">
        <f t="shared" ref="F85" si="13">SUM(F81:F84)</f>
        <v>0</v>
      </c>
      <c r="G85" s="183">
        <f t="shared" ref="G85" si="14">SUM(G81:G84)</f>
        <v>109</v>
      </c>
      <c r="H85" s="183">
        <f t="shared" ref="H85" si="15">SUM(H81:H84)</f>
        <v>2050</v>
      </c>
      <c r="I85" s="183">
        <f t="shared" ref="I85" si="16">SUM(I81:I84)</f>
        <v>7319</v>
      </c>
      <c r="J85" s="183">
        <f t="shared" ref="J85" si="17">SUM(J81:J84)</f>
        <v>128730</v>
      </c>
      <c r="K85" s="204"/>
      <c r="L85" s="183">
        <f>SUM(L81:L84)</f>
        <v>142286</v>
      </c>
      <c r="M85" s="180"/>
      <c r="N85" s="180"/>
      <c r="O85" s="193"/>
    </row>
    <row r="86" spans="1:23" ht="7.95" customHeight="1" thickTop="1" x14ac:dyDescent="0.3">
      <c r="D86" s="137"/>
      <c r="E86" s="137"/>
      <c r="F86" s="137"/>
      <c r="G86" s="137"/>
      <c r="H86" s="137"/>
      <c r="I86" s="137"/>
      <c r="J86" s="137"/>
      <c r="K86" s="205"/>
      <c r="L86" s="137"/>
    </row>
    <row r="87" spans="1:23" x14ac:dyDescent="0.3">
      <c r="B87" s="203" t="s">
        <v>108</v>
      </c>
      <c r="D87" s="137"/>
      <c r="E87" s="137"/>
      <c r="F87" s="137"/>
      <c r="G87" s="137"/>
      <c r="H87" s="137"/>
      <c r="I87" s="137"/>
      <c r="J87" s="137"/>
      <c r="K87" s="205"/>
      <c r="L87" s="137"/>
    </row>
    <row r="88" spans="1:23" x14ac:dyDescent="0.3">
      <c r="A88" s="165">
        <v>67</v>
      </c>
      <c r="B88" s="166" t="s">
        <v>332</v>
      </c>
      <c r="C88" s="118" t="s">
        <v>159</v>
      </c>
      <c r="D88" s="167">
        <v>248538</v>
      </c>
      <c r="E88" s="167">
        <v>0</v>
      </c>
      <c r="F88" s="167">
        <v>0</v>
      </c>
      <c r="G88" s="167">
        <v>0</v>
      </c>
      <c r="H88" s="167">
        <v>0</v>
      </c>
      <c r="I88" s="167">
        <f>5840-584</f>
        <v>5256</v>
      </c>
      <c r="J88" s="167">
        <f>SUM(D88:I88)</f>
        <v>253794</v>
      </c>
      <c r="K88" s="167" t="s">
        <v>362</v>
      </c>
      <c r="L88" s="167">
        <v>284398</v>
      </c>
      <c r="M88" s="168">
        <v>6.8</v>
      </c>
      <c r="N88" s="168" t="s">
        <v>106</v>
      </c>
    </row>
    <row r="89" spans="1:23" x14ac:dyDescent="0.3">
      <c r="A89" s="165">
        <v>68</v>
      </c>
      <c r="B89" s="176">
        <v>101043011000368</v>
      </c>
      <c r="C89" s="118" t="s">
        <v>199</v>
      </c>
      <c r="D89" s="167">
        <v>25000</v>
      </c>
      <c r="E89" s="167">
        <v>0</v>
      </c>
      <c r="F89" s="167">
        <v>0</v>
      </c>
      <c r="G89" s="167">
        <v>0</v>
      </c>
      <c r="H89" s="167">
        <v>0</v>
      </c>
      <c r="I89" s="167">
        <v>0</v>
      </c>
      <c r="J89" s="167">
        <f>SUM(D89:I89)</f>
        <v>25000</v>
      </c>
      <c r="K89" s="167" t="s">
        <v>205</v>
      </c>
      <c r="L89" s="167">
        <v>25000</v>
      </c>
      <c r="M89" s="168">
        <v>7</v>
      </c>
      <c r="N89" s="168" t="s">
        <v>107</v>
      </c>
    </row>
    <row r="90" spans="1:23" x14ac:dyDescent="0.3">
      <c r="A90" s="165">
        <v>35</v>
      </c>
      <c r="B90" s="176">
        <v>220738</v>
      </c>
      <c r="C90" s="32" t="s">
        <v>282</v>
      </c>
      <c r="D90" s="170">
        <v>5051</v>
      </c>
      <c r="E90" s="170">
        <v>0</v>
      </c>
      <c r="F90" s="170">
        <v>0</v>
      </c>
      <c r="G90" s="170">
        <v>0</v>
      </c>
      <c r="H90" s="170">
        <f>120-11</f>
        <v>109</v>
      </c>
      <c r="I90" s="170">
        <f>370-37</f>
        <v>333</v>
      </c>
      <c r="J90" s="167">
        <f>SUM(D90:I90)</f>
        <v>5493</v>
      </c>
      <c r="K90" s="167" t="s">
        <v>283</v>
      </c>
      <c r="L90" s="170">
        <v>7146</v>
      </c>
      <c r="M90" s="171">
        <v>7</v>
      </c>
      <c r="N90" s="171" t="s">
        <v>127</v>
      </c>
    </row>
    <row r="91" spans="1:23" x14ac:dyDescent="0.3">
      <c r="A91" s="165">
        <v>69</v>
      </c>
      <c r="B91" s="118" t="s">
        <v>179</v>
      </c>
      <c r="C91" s="118" t="s">
        <v>126</v>
      </c>
      <c r="D91" s="167">
        <v>187833</v>
      </c>
      <c r="E91" s="167">
        <v>0</v>
      </c>
      <c r="F91" s="167">
        <v>0</v>
      </c>
      <c r="G91" s="167">
        <f>12418-1242</f>
        <v>11176</v>
      </c>
      <c r="H91" s="167">
        <f>14472-1448</f>
        <v>13024</v>
      </c>
      <c r="I91" s="167">
        <f>15337-1532</f>
        <v>13805</v>
      </c>
      <c r="J91" s="167">
        <f t="shared" ref="J91:J92" si="18">SUM(D91:I91)</f>
        <v>225838</v>
      </c>
      <c r="K91" s="167" t="s">
        <v>212</v>
      </c>
      <c r="L91" s="167">
        <v>230558</v>
      </c>
      <c r="M91" s="168">
        <v>7.1</v>
      </c>
      <c r="N91" s="168" t="s">
        <v>106</v>
      </c>
    </row>
    <row r="92" spans="1:23" x14ac:dyDescent="0.3">
      <c r="A92" s="165">
        <v>70</v>
      </c>
      <c r="B92" s="118" t="s">
        <v>257</v>
      </c>
      <c r="C92" s="118" t="s">
        <v>294</v>
      </c>
      <c r="D92" s="167">
        <v>285636</v>
      </c>
      <c r="E92" s="167">
        <v>0</v>
      </c>
      <c r="F92" s="167">
        <v>0</v>
      </c>
      <c r="G92" s="167">
        <v>0</v>
      </c>
      <c r="H92" s="167">
        <f>14845-1484</f>
        <v>13361</v>
      </c>
      <c r="I92" s="167">
        <f>21429-2142</f>
        <v>19287</v>
      </c>
      <c r="J92" s="167">
        <f t="shared" si="18"/>
        <v>318284</v>
      </c>
      <c r="K92" s="167" t="s">
        <v>293</v>
      </c>
      <c r="L92" s="167">
        <v>351743</v>
      </c>
      <c r="M92" s="168">
        <v>7</v>
      </c>
      <c r="N92" s="168" t="s">
        <v>106</v>
      </c>
    </row>
    <row r="93" spans="1:23" ht="15" thickBot="1" x14ac:dyDescent="0.35">
      <c r="A93" s="180"/>
      <c r="B93" s="182"/>
      <c r="C93" s="182"/>
      <c r="D93" s="183">
        <f t="shared" ref="D93:J93" si="19">SUM(D88:D92)</f>
        <v>752058</v>
      </c>
      <c r="E93" s="183">
        <f t="shared" si="19"/>
        <v>0</v>
      </c>
      <c r="F93" s="183">
        <f t="shared" si="19"/>
        <v>0</v>
      </c>
      <c r="G93" s="183">
        <f t="shared" si="19"/>
        <v>11176</v>
      </c>
      <c r="H93" s="183">
        <f t="shared" si="19"/>
        <v>26494</v>
      </c>
      <c r="I93" s="183">
        <f t="shared" si="19"/>
        <v>38681</v>
      </c>
      <c r="J93" s="183">
        <f t="shared" si="19"/>
        <v>828409</v>
      </c>
      <c r="K93" s="204"/>
      <c r="L93" s="183">
        <f t="shared" ref="L93" si="20">SUM(L88:L92)</f>
        <v>898845</v>
      </c>
      <c r="M93" s="180"/>
      <c r="N93" s="180"/>
      <c r="O93" s="193"/>
    </row>
    <row r="94" spans="1:23" ht="7.95" customHeight="1" thickTop="1" x14ac:dyDescent="0.3">
      <c r="K94" s="186"/>
      <c r="L94" s="186"/>
    </row>
    <row r="95" spans="1:23" x14ac:dyDescent="0.3">
      <c r="B95" s="203" t="s">
        <v>99</v>
      </c>
      <c r="K95" s="186"/>
      <c r="L95" s="186"/>
    </row>
    <row r="96" spans="1:23" s="203" customFormat="1" x14ac:dyDescent="0.3">
      <c r="A96" s="165">
        <v>71</v>
      </c>
      <c r="B96" s="118" t="s">
        <v>100</v>
      </c>
      <c r="C96" s="118" t="s">
        <v>192</v>
      </c>
      <c r="D96" s="167">
        <v>14000</v>
      </c>
      <c r="E96" s="167">
        <v>0</v>
      </c>
      <c r="F96" s="167">
        <v>0</v>
      </c>
      <c r="G96" s="167">
        <v>0</v>
      </c>
      <c r="H96" s="167">
        <v>0</v>
      </c>
      <c r="I96" s="167">
        <v>0</v>
      </c>
      <c r="J96" s="167">
        <f>SUM(D96:I96)</f>
        <v>14000</v>
      </c>
      <c r="K96" s="167" t="s">
        <v>216</v>
      </c>
      <c r="L96" s="167">
        <v>14000</v>
      </c>
      <c r="M96" s="165">
        <v>7.25</v>
      </c>
      <c r="N96" s="168" t="s">
        <v>127</v>
      </c>
      <c r="Q96" s="136"/>
      <c r="R96" s="136"/>
      <c r="S96" s="136"/>
      <c r="T96" s="136"/>
      <c r="U96" s="136"/>
      <c r="V96" s="136"/>
      <c r="W96" s="136"/>
    </row>
    <row r="97" spans="1:23" ht="15" thickBot="1" x14ac:dyDescent="0.35">
      <c r="A97" s="180"/>
      <c r="B97" s="182"/>
      <c r="C97" s="182"/>
      <c r="D97" s="183">
        <f>SUM(D96:D96)</f>
        <v>14000</v>
      </c>
      <c r="E97" s="183">
        <f t="shared" ref="E97:G97" si="21">SUM(E96:E96)</f>
        <v>0</v>
      </c>
      <c r="F97" s="183">
        <f t="shared" si="21"/>
        <v>0</v>
      </c>
      <c r="G97" s="183">
        <f t="shared" si="21"/>
        <v>0</v>
      </c>
      <c r="H97" s="206">
        <v>0</v>
      </c>
      <c r="I97" s="206">
        <v>0</v>
      </c>
      <c r="J97" s="183">
        <f t="shared" ref="J97" si="22">SUM(J96:J96)</f>
        <v>14000</v>
      </c>
      <c r="K97" s="204"/>
      <c r="L97" s="183">
        <f>SUM(L96:L96)</f>
        <v>14000</v>
      </c>
      <c r="M97" s="207"/>
      <c r="N97" s="208"/>
      <c r="O97" s="193"/>
      <c r="Q97" s="203"/>
      <c r="R97" s="203"/>
      <c r="S97" s="203"/>
      <c r="T97" s="203"/>
    </row>
    <row r="98" spans="1:23" ht="7.95" customHeight="1" thickTop="1" thickBot="1" x14ac:dyDescent="0.35">
      <c r="K98" s="186"/>
      <c r="L98" s="186"/>
      <c r="O98" s="193"/>
      <c r="U98" s="203"/>
      <c r="V98" s="203"/>
      <c r="W98" s="203"/>
    </row>
    <row r="99" spans="1:23" ht="21" customHeight="1" thickBot="1" x14ac:dyDescent="0.35">
      <c r="A99" s="180"/>
      <c r="B99" s="270" t="s">
        <v>57</v>
      </c>
      <c r="C99" s="271"/>
      <c r="D99" s="209">
        <f t="shared" ref="D99:J99" si="23">D23+D38+D47+D68+D78+D85+D93+D97</f>
        <v>8627401</v>
      </c>
      <c r="E99" s="209">
        <f t="shared" si="23"/>
        <v>9050</v>
      </c>
      <c r="F99" s="209">
        <f t="shared" si="23"/>
        <v>30323</v>
      </c>
      <c r="G99" s="209">
        <f t="shared" si="23"/>
        <v>92231</v>
      </c>
      <c r="H99" s="209">
        <f t="shared" si="23"/>
        <v>256109</v>
      </c>
      <c r="I99" s="209">
        <f t="shared" si="23"/>
        <v>457547</v>
      </c>
      <c r="J99" s="209">
        <f t="shared" si="23"/>
        <v>9472661</v>
      </c>
      <c r="K99" s="210"/>
      <c r="L99" s="209">
        <f>L23+L38+L47+L68+L78+L85+L93+L97</f>
        <v>10172692</v>
      </c>
      <c r="M99" s="211"/>
      <c r="N99" s="212"/>
    </row>
    <row r="100" spans="1:23" ht="15" thickTop="1" x14ac:dyDescent="0.3">
      <c r="E100" s="213"/>
      <c r="F100" s="213"/>
      <c r="G100" s="213"/>
      <c r="H100" s="213"/>
      <c r="I100" s="213"/>
      <c r="Q100" s="136" t="s">
        <v>617</v>
      </c>
    </row>
    <row r="101" spans="1:23" x14ac:dyDescent="0.3">
      <c r="G101" s="150"/>
      <c r="H101" s="150"/>
      <c r="I101" s="150"/>
    </row>
  </sheetData>
  <mergeCells count="3">
    <mergeCell ref="B2:N2"/>
    <mergeCell ref="B99:C99"/>
    <mergeCell ref="A1:N1"/>
  </mergeCells>
  <hyperlinks>
    <hyperlink ref="B32" r:id="rId1" display="6605300017268_@" xr:uid="{DCAB6D59-7AA3-4C61-B169-C56C58F82930}"/>
  </hyperlinks>
  <printOptions horizontalCentered="1"/>
  <pageMargins left="0.39370078740157483" right="0.23622047244094491" top="0.39370078740157483" bottom="0.19685039370078741" header="0.19685039370078741" footer="0.19685039370078741"/>
  <pageSetup paperSize="9" scale="55" orientation="portrait" copies="15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1"/>
  <sheetViews>
    <sheetView view="pageBreakPreview" zoomScaleNormal="100" zoomScaleSheetLayoutView="100" workbookViewId="0">
      <selection activeCell="A78" sqref="A78"/>
    </sheetView>
  </sheetViews>
  <sheetFormatPr defaultRowHeight="14.4" x14ac:dyDescent="0.3"/>
  <cols>
    <col min="1" max="1" width="21.109375" style="136" customWidth="1"/>
    <col min="2" max="2" width="12.88671875" style="136" bestFit="1" customWidth="1"/>
    <col min="3" max="3" width="13.109375" style="136" bestFit="1" customWidth="1"/>
    <col min="4" max="4" width="11.5546875" style="136" bestFit="1" customWidth="1"/>
    <col min="5" max="5" width="12.88671875" style="136" bestFit="1" customWidth="1"/>
    <col min="6" max="6" width="8.109375" style="136" bestFit="1" customWidth="1"/>
    <col min="7" max="7" width="12.33203125" style="136" bestFit="1" customWidth="1"/>
    <col min="8" max="8" width="17" style="136" bestFit="1" customWidth="1"/>
    <col min="9" max="16384" width="8.88671875" style="136"/>
  </cols>
  <sheetData>
    <row r="1" spans="1:8" ht="21" x14ac:dyDescent="0.3">
      <c r="A1" s="275" t="s">
        <v>62</v>
      </c>
      <c r="B1" s="275"/>
      <c r="C1" s="275"/>
      <c r="D1" s="275"/>
      <c r="E1" s="275"/>
      <c r="F1" s="275"/>
      <c r="G1" s="275"/>
      <c r="H1" s="275"/>
    </row>
    <row r="2" spans="1:8" ht="15.6" x14ac:dyDescent="0.3">
      <c r="A2" s="276" t="s">
        <v>581</v>
      </c>
      <c r="B2" s="276"/>
      <c r="C2" s="276"/>
      <c r="D2" s="276"/>
      <c r="E2" s="276"/>
      <c r="F2" s="276"/>
      <c r="G2" s="276"/>
      <c r="H2" s="276"/>
    </row>
    <row r="3" spans="1:8" x14ac:dyDescent="0.3">
      <c r="A3" s="31"/>
      <c r="B3" s="277" t="s">
        <v>58</v>
      </c>
      <c r="C3" s="278"/>
      <c r="D3" s="278"/>
      <c r="E3" s="278"/>
      <c r="F3" s="277" t="s">
        <v>24</v>
      </c>
      <c r="G3" s="277"/>
      <c r="H3" s="36" t="s">
        <v>59</v>
      </c>
    </row>
    <row r="4" spans="1:8" ht="43.8" thickBot="1" x14ac:dyDescent="0.35">
      <c r="A4" s="68" t="s">
        <v>60</v>
      </c>
      <c r="B4" s="68" t="s">
        <v>575</v>
      </c>
      <c r="C4" s="68" t="s">
        <v>576</v>
      </c>
      <c r="D4" s="68" t="s">
        <v>577</v>
      </c>
      <c r="E4" s="68" t="s">
        <v>578</v>
      </c>
      <c r="F4" s="68" t="s">
        <v>61</v>
      </c>
      <c r="G4" s="68" t="s">
        <v>579</v>
      </c>
      <c r="H4" s="69" t="s">
        <v>580</v>
      </c>
    </row>
    <row r="5" spans="1:8" ht="25.05" customHeight="1" thickTop="1" x14ac:dyDescent="0.3">
      <c r="A5" s="67" t="s">
        <v>112</v>
      </c>
      <c r="B5" s="28">
        <v>242</v>
      </c>
      <c r="C5" s="28">
        <v>0</v>
      </c>
      <c r="D5" s="28">
        <v>0</v>
      </c>
      <c r="E5" s="28">
        <f>+B5+C5+D5</f>
        <v>242</v>
      </c>
      <c r="F5" s="29">
        <v>0.15</v>
      </c>
      <c r="G5" s="117">
        <f>ROUND(((B5+C5)*F5)+(D5*F5)/2,)</f>
        <v>36</v>
      </c>
      <c r="H5" s="30">
        <f t="shared" ref="H5" si="0">+E5-G5</f>
        <v>206</v>
      </c>
    </row>
    <row r="6" spans="1:8" ht="25.05" customHeight="1" x14ac:dyDescent="0.3">
      <c r="A6" s="31" t="s">
        <v>63</v>
      </c>
      <c r="B6" s="28">
        <v>41717</v>
      </c>
      <c r="C6" s="28">
        <v>0</v>
      </c>
      <c r="D6" s="28">
        <v>0</v>
      </c>
      <c r="E6" s="28">
        <f t="shared" ref="E6:E9" si="1">+B6+C6+D6</f>
        <v>41717</v>
      </c>
      <c r="F6" s="29">
        <v>0.15</v>
      </c>
      <c r="G6" s="117">
        <f t="shared" ref="G6:G9" si="2">ROUND(((B6+C6)*F6)+(D6*F6)/2,)</f>
        <v>6258</v>
      </c>
      <c r="H6" s="30">
        <f t="shared" ref="H6:H9" si="3">+E6-G6</f>
        <v>35459</v>
      </c>
    </row>
    <row r="7" spans="1:8" ht="25.05" customHeight="1" x14ac:dyDescent="0.3">
      <c r="A7" s="32" t="s">
        <v>7</v>
      </c>
      <c r="B7" s="33">
        <v>14405</v>
      </c>
      <c r="C7" s="33">
        <v>0</v>
      </c>
      <c r="D7" s="33">
        <v>0</v>
      </c>
      <c r="E7" s="33">
        <f t="shared" si="1"/>
        <v>14405</v>
      </c>
      <c r="F7" s="34">
        <v>0.1</v>
      </c>
      <c r="G7" s="117">
        <f t="shared" si="2"/>
        <v>1441</v>
      </c>
      <c r="H7" s="35">
        <f t="shared" si="3"/>
        <v>12964</v>
      </c>
    </row>
    <row r="8" spans="1:8" ht="25.05" customHeight="1" x14ac:dyDescent="0.3">
      <c r="A8" s="118" t="s">
        <v>64</v>
      </c>
      <c r="B8" s="33">
        <v>38892</v>
      </c>
      <c r="C8" s="33">
        <v>0</v>
      </c>
      <c r="D8" s="33">
        <v>0</v>
      </c>
      <c r="E8" s="33">
        <f t="shared" si="1"/>
        <v>38892</v>
      </c>
      <c r="F8" s="34">
        <v>0.15</v>
      </c>
      <c r="G8" s="117">
        <f t="shared" si="2"/>
        <v>5834</v>
      </c>
      <c r="H8" s="35">
        <f t="shared" si="3"/>
        <v>33058</v>
      </c>
    </row>
    <row r="9" spans="1:8" ht="25.05" customHeight="1" x14ac:dyDescent="0.3">
      <c r="A9" s="119" t="s">
        <v>274</v>
      </c>
      <c r="B9" s="84">
        <v>94544</v>
      </c>
      <c r="C9" s="84">
        <v>0</v>
      </c>
      <c r="D9" s="33">
        <v>0</v>
      </c>
      <c r="E9" s="84">
        <f t="shared" si="1"/>
        <v>94544</v>
      </c>
      <c r="F9" s="34">
        <v>0.15</v>
      </c>
      <c r="G9" s="117">
        <f t="shared" si="2"/>
        <v>14182</v>
      </c>
      <c r="H9" s="35">
        <f t="shared" si="3"/>
        <v>80362</v>
      </c>
    </row>
    <row r="10" spans="1:8" ht="25.05" customHeight="1" thickBot="1" x14ac:dyDescent="0.35">
      <c r="A10" s="60" t="s">
        <v>28</v>
      </c>
      <c r="B10" s="53">
        <f>SUM(B5:B9)</f>
        <v>189800</v>
      </c>
      <c r="C10" s="53">
        <f>SUM(C5:C9)</f>
        <v>0</v>
      </c>
      <c r="D10" s="53">
        <f>SUM(D5:D9)</f>
        <v>0</v>
      </c>
      <c r="E10" s="53">
        <f>SUM(E5:E9)</f>
        <v>189800</v>
      </c>
      <c r="F10" s="54"/>
      <c r="G10" s="53">
        <f>SUM(G5:G9)</f>
        <v>27751</v>
      </c>
      <c r="H10" s="53">
        <f>SUM(H5:H9)</f>
        <v>162049</v>
      </c>
    </row>
    <row r="11" spans="1:8" ht="21.9" customHeight="1" thickTop="1" x14ac:dyDescent="0.3">
      <c r="B11" s="150"/>
    </row>
  </sheetData>
  <mergeCells count="4">
    <mergeCell ref="A1:H1"/>
    <mergeCell ref="A2:H2"/>
    <mergeCell ref="B3:E3"/>
    <mergeCell ref="F3:G3"/>
  </mergeCells>
  <printOptions horizontalCentered="1"/>
  <pageMargins left="0.39370078740157483" right="0.19685039370078741" top="0.59055118110236227" bottom="0.55118110236220474" header="0.19685039370078741" footer="0.19685039370078741"/>
  <pageSetup paperSize="9" scale="8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"/>
  <sheetViews>
    <sheetView view="pageBreakPreview" zoomScaleNormal="100" zoomScaleSheetLayoutView="100" workbookViewId="0">
      <selection activeCell="A78" sqref="A78"/>
    </sheetView>
  </sheetViews>
  <sheetFormatPr defaultColWidth="9.109375" defaultRowHeight="14.4" x14ac:dyDescent="0.3"/>
  <cols>
    <col min="1" max="1" width="6.88671875" bestFit="1" customWidth="1"/>
    <col min="2" max="2" width="12" bestFit="1" customWidth="1"/>
    <col min="3" max="3" width="41.33203125" bestFit="1" customWidth="1"/>
    <col min="4" max="4" width="14.77734375" style="6" customWidth="1"/>
    <col min="7" max="7" width="9.5546875" bestFit="1" customWidth="1"/>
  </cols>
  <sheetData>
    <row r="1" spans="1:5" ht="18" x14ac:dyDescent="0.3">
      <c r="A1" s="281" t="s">
        <v>62</v>
      </c>
      <c r="B1" s="281"/>
      <c r="C1" s="281"/>
      <c r="D1" s="281"/>
      <c r="E1" s="10"/>
    </row>
    <row r="2" spans="1:5" ht="15.6" x14ac:dyDescent="0.3">
      <c r="A2" s="280" t="s">
        <v>582</v>
      </c>
      <c r="B2" s="280"/>
      <c r="C2" s="280"/>
      <c r="D2" s="280"/>
    </row>
    <row r="3" spans="1:5" ht="15" thickBot="1" x14ac:dyDescent="0.35">
      <c r="A3" s="217" t="s">
        <v>50</v>
      </c>
      <c r="B3" s="217" t="s">
        <v>51</v>
      </c>
      <c r="C3" s="217" t="s">
        <v>52</v>
      </c>
      <c r="D3" s="218" t="s">
        <v>53</v>
      </c>
    </row>
    <row r="4" spans="1:5" x14ac:dyDescent="0.3">
      <c r="A4" s="11">
        <v>1</v>
      </c>
      <c r="B4" s="11">
        <v>302</v>
      </c>
      <c r="C4" s="9" t="s">
        <v>173</v>
      </c>
      <c r="D4" s="214">
        <v>8815</v>
      </c>
    </row>
    <row r="5" spans="1:5" x14ac:dyDescent="0.3">
      <c r="A5" s="8">
        <v>2</v>
      </c>
      <c r="B5" s="95">
        <v>104</v>
      </c>
      <c r="C5" s="5" t="s">
        <v>586</v>
      </c>
      <c r="D5" s="99">
        <v>6</v>
      </c>
    </row>
    <row r="6" spans="1:5" x14ac:dyDescent="0.3">
      <c r="A6" s="8">
        <v>3</v>
      </c>
      <c r="B6" s="95">
        <v>201</v>
      </c>
      <c r="C6" s="5" t="s">
        <v>587</v>
      </c>
      <c r="D6" s="99">
        <v>2794</v>
      </c>
    </row>
    <row r="7" spans="1:5" x14ac:dyDescent="0.3">
      <c r="A7" s="8">
        <v>4</v>
      </c>
      <c r="B7" s="95">
        <v>202</v>
      </c>
      <c r="C7" s="5" t="s">
        <v>588</v>
      </c>
      <c r="D7" s="99">
        <v>161</v>
      </c>
    </row>
    <row r="8" spans="1:5" x14ac:dyDescent="0.3">
      <c r="A8" s="8">
        <v>5</v>
      </c>
      <c r="B8" s="95">
        <v>204</v>
      </c>
      <c r="C8" s="5" t="s">
        <v>589</v>
      </c>
      <c r="D8" s="99">
        <v>29</v>
      </c>
    </row>
    <row r="9" spans="1:5" ht="15" thickBot="1" x14ac:dyDescent="0.35">
      <c r="A9" s="71"/>
      <c r="B9" s="71"/>
      <c r="C9" s="70" t="s">
        <v>28</v>
      </c>
      <c r="D9" s="219">
        <f>SUM(D4:D8)</f>
        <v>11805</v>
      </c>
    </row>
    <row r="10" spans="1:5" ht="15" thickTop="1" x14ac:dyDescent="0.3"/>
    <row r="12" spans="1:5" ht="15.6" x14ac:dyDescent="0.3">
      <c r="A12" s="280" t="s">
        <v>583</v>
      </c>
      <c r="B12" s="280"/>
      <c r="C12" s="280"/>
      <c r="D12" s="280"/>
    </row>
    <row r="13" spans="1:5" ht="15" thickBot="1" x14ac:dyDescent="0.35">
      <c r="A13" s="217" t="s">
        <v>50</v>
      </c>
      <c r="B13" s="217" t="s">
        <v>51</v>
      </c>
      <c r="C13" s="217" t="s">
        <v>52</v>
      </c>
      <c r="D13" s="218" t="s">
        <v>53</v>
      </c>
    </row>
    <row r="14" spans="1:5" x14ac:dyDescent="0.3">
      <c r="A14" s="8">
        <v>1</v>
      </c>
      <c r="B14" s="8">
        <v>101</v>
      </c>
      <c r="C14" s="93" t="s">
        <v>137</v>
      </c>
      <c r="D14" s="216">
        <v>10000</v>
      </c>
    </row>
    <row r="15" spans="1:5" x14ac:dyDescent="0.3">
      <c r="A15" s="8">
        <v>2</v>
      </c>
      <c r="B15" s="8">
        <v>203</v>
      </c>
      <c r="C15" s="5" t="s">
        <v>66</v>
      </c>
      <c r="D15" s="99">
        <v>10000</v>
      </c>
    </row>
    <row r="16" spans="1:5" x14ac:dyDescent="0.3">
      <c r="A16" s="8">
        <v>3</v>
      </c>
      <c r="B16" s="8">
        <v>502</v>
      </c>
      <c r="C16" s="5" t="s">
        <v>67</v>
      </c>
      <c r="D16" s="99">
        <v>10000</v>
      </c>
    </row>
    <row r="17" spans="1:4" x14ac:dyDescent="0.3">
      <c r="A17" s="8">
        <v>4</v>
      </c>
      <c r="B17" s="8">
        <v>503</v>
      </c>
      <c r="C17" s="5" t="s">
        <v>68</v>
      </c>
      <c r="D17" s="99">
        <v>10000</v>
      </c>
    </row>
    <row r="18" spans="1:4" x14ac:dyDescent="0.3">
      <c r="A18" s="8">
        <v>5</v>
      </c>
      <c r="B18" s="8">
        <v>504</v>
      </c>
      <c r="C18" s="5" t="s">
        <v>174</v>
      </c>
      <c r="D18" s="99">
        <v>10000</v>
      </c>
    </row>
    <row r="19" spans="1:4" x14ac:dyDescent="0.3">
      <c r="A19" s="8">
        <v>6</v>
      </c>
      <c r="B19" s="8">
        <v>602</v>
      </c>
      <c r="C19" s="5" t="s">
        <v>275</v>
      </c>
      <c r="D19" s="99">
        <v>10000</v>
      </c>
    </row>
    <row r="20" spans="1:4" x14ac:dyDescent="0.3">
      <c r="A20" s="8">
        <v>7</v>
      </c>
      <c r="B20" s="8" t="s">
        <v>82</v>
      </c>
      <c r="C20" s="5" t="s">
        <v>54</v>
      </c>
      <c r="D20" s="99">
        <v>20000</v>
      </c>
    </row>
    <row r="21" spans="1:4" ht="15" thickBot="1" x14ac:dyDescent="0.35">
      <c r="A21" s="71"/>
      <c r="B21" s="71"/>
      <c r="C21" s="70" t="s">
        <v>28</v>
      </c>
      <c r="D21" s="219">
        <f>SUM(D14:D20)</f>
        <v>80000</v>
      </c>
    </row>
    <row r="22" spans="1:4" ht="15" thickTop="1" x14ac:dyDescent="0.3"/>
    <row r="24" spans="1:4" ht="15.6" x14ac:dyDescent="0.3">
      <c r="A24" s="280" t="s">
        <v>62</v>
      </c>
      <c r="B24" s="280"/>
      <c r="C24" s="280"/>
      <c r="D24" s="280"/>
    </row>
    <row r="25" spans="1:4" ht="15.6" x14ac:dyDescent="0.3">
      <c r="A25" s="280" t="s">
        <v>584</v>
      </c>
      <c r="B25" s="280"/>
      <c r="C25" s="280"/>
      <c r="D25" s="280"/>
    </row>
    <row r="26" spans="1:4" ht="15" thickBot="1" x14ac:dyDescent="0.35">
      <c r="A26" s="217" t="s">
        <v>50</v>
      </c>
      <c r="B26" s="217" t="s">
        <v>51</v>
      </c>
      <c r="C26" s="217" t="s">
        <v>52</v>
      </c>
      <c r="D26" s="218" t="s">
        <v>53</v>
      </c>
    </row>
    <row r="27" spans="1:4" x14ac:dyDescent="0.3">
      <c r="A27" s="8">
        <v>1</v>
      </c>
      <c r="B27" s="95">
        <v>203</v>
      </c>
      <c r="C27" s="5" t="s">
        <v>66</v>
      </c>
      <c r="D27" s="99">
        <v>4174</v>
      </c>
    </row>
    <row r="28" spans="1:4" x14ac:dyDescent="0.3">
      <c r="A28" s="8">
        <v>2</v>
      </c>
      <c r="B28" s="95">
        <v>102</v>
      </c>
      <c r="C28" s="5" t="s">
        <v>590</v>
      </c>
      <c r="D28" s="99">
        <v>2765</v>
      </c>
    </row>
    <row r="29" spans="1:4" x14ac:dyDescent="0.3">
      <c r="A29" s="8">
        <v>3</v>
      </c>
      <c r="B29" s="95">
        <v>403</v>
      </c>
      <c r="C29" s="5" t="s">
        <v>591</v>
      </c>
      <c r="D29" s="99">
        <v>2765</v>
      </c>
    </row>
    <row r="30" spans="1:4" x14ac:dyDescent="0.3">
      <c r="A30" s="8">
        <v>4</v>
      </c>
      <c r="B30" s="95">
        <v>404</v>
      </c>
      <c r="C30" s="5" t="s">
        <v>55</v>
      </c>
      <c r="D30" s="99">
        <v>22273</v>
      </c>
    </row>
    <row r="31" spans="1:4" ht="15" thickBot="1" x14ac:dyDescent="0.35">
      <c r="A31" s="71"/>
      <c r="B31" s="71"/>
      <c r="C31" s="70" t="s">
        <v>28</v>
      </c>
      <c r="D31" s="219">
        <f>SUM(D27:D30)</f>
        <v>31977</v>
      </c>
    </row>
    <row r="32" spans="1:4" ht="15" thickTop="1" x14ac:dyDescent="0.3"/>
    <row r="34" spans="1:4" ht="15.6" x14ac:dyDescent="0.3">
      <c r="A34" s="279" t="s">
        <v>585</v>
      </c>
      <c r="B34" s="279"/>
      <c r="C34" s="279"/>
      <c r="D34" s="279"/>
    </row>
    <row r="35" spans="1:4" ht="15" thickBot="1" x14ac:dyDescent="0.35">
      <c r="A35" s="217" t="s">
        <v>50</v>
      </c>
      <c r="B35" s="217" t="s">
        <v>180</v>
      </c>
      <c r="C35" s="217" t="s">
        <v>104</v>
      </c>
      <c r="D35" s="218" t="s">
        <v>276</v>
      </c>
    </row>
    <row r="36" spans="1:4" x14ac:dyDescent="0.3">
      <c r="A36" s="8">
        <v>1</v>
      </c>
      <c r="B36" s="215">
        <v>381</v>
      </c>
      <c r="C36" s="118" t="s">
        <v>105</v>
      </c>
      <c r="D36" s="215">
        <f>742-126</f>
        <v>616</v>
      </c>
    </row>
    <row r="37" spans="1:4" x14ac:dyDescent="0.3">
      <c r="A37" s="8">
        <v>2</v>
      </c>
      <c r="B37" s="215">
        <v>2800</v>
      </c>
      <c r="C37" s="118" t="s">
        <v>16</v>
      </c>
      <c r="D37" s="215">
        <v>2800</v>
      </c>
    </row>
    <row r="38" spans="1:4" x14ac:dyDescent="0.3">
      <c r="A38" s="8">
        <v>3</v>
      </c>
      <c r="B38" s="215">
        <v>12690</v>
      </c>
      <c r="C38" s="118" t="s">
        <v>171</v>
      </c>
      <c r="D38" s="215">
        <v>10236</v>
      </c>
    </row>
    <row r="39" spans="1:4" x14ac:dyDescent="0.3">
      <c r="A39" s="8">
        <v>4</v>
      </c>
      <c r="B39" s="215">
        <v>14590</v>
      </c>
      <c r="C39" s="118" t="s">
        <v>136</v>
      </c>
      <c r="D39" s="215">
        <v>14149.52</v>
      </c>
    </row>
    <row r="40" spans="1:4" x14ac:dyDescent="0.3">
      <c r="A40" s="8">
        <v>5</v>
      </c>
      <c r="B40" s="215">
        <v>18953</v>
      </c>
      <c r="C40" s="118" t="s">
        <v>17</v>
      </c>
      <c r="D40" s="215">
        <v>4195</v>
      </c>
    </row>
    <row r="41" spans="1:4" x14ac:dyDescent="0.3">
      <c r="A41" s="8">
        <v>6</v>
      </c>
      <c r="B41" s="215">
        <v>6270</v>
      </c>
      <c r="C41" s="118" t="s">
        <v>147</v>
      </c>
      <c r="D41" s="215">
        <v>6270</v>
      </c>
    </row>
    <row r="42" spans="1:4" x14ac:dyDescent="0.3">
      <c r="A42" s="8">
        <v>7</v>
      </c>
      <c r="B42" s="215">
        <v>0</v>
      </c>
      <c r="C42" s="118" t="s">
        <v>204</v>
      </c>
      <c r="D42" s="215">
        <v>199</v>
      </c>
    </row>
    <row r="43" spans="1:4" x14ac:dyDescent="0.3">
      <c r="A43" s="8">
        <v>8</v>
      </c>
      <c r="B43" s="215">
        <v>147</v>
      </c>
      <c r="C43" s="118" t="s">
        <v>301</v>
      </c>
      <c r="D43" s="215">
        <v>0</v>
      </c>
    </row>
    <row r="44" spans="1:4" x14ac:dyDescent="0.3">
      <c r="A44" s="8">
        <v>9</v>
      </c>
      <c r="B44" s="215">
        <v>1000</v>
      </c>
      <c r="C44" s="118" t="s">
        <v>117</v>
      </c>
      <c r="D44" s="215">
        <v>1000</v>
      </c>
    </row>
    <row r="45" spans="1:4" x14ac:dyDescent="0.3">
      <c r="A45" s="8">
        <v>10</v>
      </c>
      <c r="B45" s="215">
        <v>3500</v>
      </c>
      <c r="C45" s="118" t="s">
        <v>172</v>
      </c>
      <c r="D45" s="215">
        <v>3800</v>
      </c>
    </row>
    <row r="46" spans="1:4" x14ac:dyDescent="0.3">
      <c r="A46" s="8">
        <v>11</v>
      </c>
      <c r="B46" s="215">
        <v>1500</v>
      </c>
      <c r="C46" s="118" t="s">
        <v>201</v>
      </c>
      <c r="D46" s="215">
        <v>1500</v>
      </c>
    </row>
    <row r="47" spans="1:4" x14ac:dyDescent="0.3">
      <c r="A47" s="8">
        <v>12</v>
      </c>
      <c r="B47" s="215">
        <v>0</v>
      </c>
      <c r="C47" s="118" t="s">
        <v>597</v>
      </c>
      <c r="D47" s="215">
        <v>826</v>
      </c>
    </row>
    <row r="48" spans="1:4" ht="15" thickBot="1" x14ac:dyDescent="0.35">
      <c r="A48" s="71"/>
      <c r="B48" s="71">
        <v>61831</v>
      </c>
      <c r="C48" s="70" t="s">
        <v>28</v>
      </c>
      <c r="D48" s="219">
        <f>SUM(D36:D47)</f>
        <v>45591.520000000004</v>
      </c>
    </row>
    <row r="49" spans="2:7" ht="15" thickTop="1" x14ac:dyDescent="0.3">
      <c r="B49" s="59"/>
      <c r="C49" s="39"/>
      <c r="G49" s="39"/>
    </row>
    <row r="50" spans="2:7" x14ac:dyDescent="0.3">
      <c r="B50" s="59"/>
      <c r="C50" s="39"/>
    </row>
  </sheetData>
  <mergeCells count="6">
    <mergeCell ref="A34:D34"/>
    <mergeCell ref="A25:D25"/>
    <mergeCell ref="A1:D1"/>
    <mergeCell ref="A2:D2"/>
    <mergeCell ref="A12:D12"/>
    <mergeCell ref="A24:D24"/>
  </mergeCells>
  <printOptions horizontalCentered="1"/>
  <pageMargins left="0.39370078740157483" right="0.19685039370078741" top="0.59055118110236227" bottom="0.39370078740157483" header="0.19685039370078741" footer="0.19685039370078741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6"/>
  <sheetViews>
    <sheetView workbookViewId="0">
      <selection activeCell="F16" sqref="F16"/>
    </sheetView>
  </sheetViews>
  <sheetFormatPr defaultColWidth="9.109375" defaultRowHeight="14.4" x14ac:dyDescent="0.3"/>
  <cols>
    <col min="1" max="1" width="5.5546875" bestFit="1" customWidth="1"/>
    <col min="2" max="2" width="40.109375" customWidth="1"/>
    <col min="3" max="3" width="11.5546875" bestFit="1" customWidth="1"/>
    <col min="5" max="5" width="10.109375" bestFit="1" customWidth="1"/>
    <col min="7" max="7" width="22" bestFit="1" customWidth="1"/>
    <col min="9" max="9" width="11.5546875" bestFit="1" customWidth="1"/>
  </cols>
  <sheetData>
    <row r="1" spans="1:9" s="2" customFormat="1" ht="19.5" customHeight="1" x14ac:dyDescent="0.3">
      <c r="A1" s="238" t="s">
        <v>93</v>
      </c>
      <c r="B1" s="238"/>
      <c r="C1" s="238"/>
    </row>
    <row r="2" spans="1:9" s="2" customFormat="1" x14ac:dyDescent="0.3">
      <c r="A2" s="239" t="s">
        <v>604</v>
      </c>
      <c r="B2" s="239"/>
      <c r="C2" s="239"/>
    </row>
    <row r="3" spans="1:9" s="2" customFormat="1" x14ac:dyDescent="0.3">
      <c r="A3"/>
      <c r="B3"/>
      <c r="C3" s="1" t="s">
        <v>53</v>
      </c>
    </row>
    <row r="4" spans="1:9" s="2" customFormat="1" x14ac:dyDescent="0.3">
      <c r="A4"/>
      <c r="B4" t="s">
        <v>86</v>
      </c>
      <c r="C4" s="3">
        <v>227840.85</v>
      </c>
      <c r="E4" s="57" t="s">
        <v>27</v>
      </c>
      <c r="F4" s="57" t="s">
        <v>53</v>
      </c>
      <c r="G4" s="57" t="s">
        <v>196</v>
      </c>
      <c r="H4" s="57" t="s">
        <v>197</v>
      </c>
      <c r="I4" s="57" t="s">
        <v>198</v>
      </c>
    </row>
    <row r="5" spans="1:9" x14ac:dyDescent="0.3">
      <c r="C5" s="3"/>
      <c r="E5" s="93" t="s">
        <v>574</v>
      </c>
      <c r="F5" s="5">
        <v>14683</v>
      </c>
      <c r="G5" s="93" t="s">
        <v>603</v>
      </c>
      <c r="H5" s="8">
        <v>48939</v>
      </c>
      <c r="I5" s="93" t="s">
        <v>600</v>
      </c>
    </row>
    <row r="6" spans="1:9" s="2" customFormat="1" x14ac:dyDescent="0.3">
      <c r="A6" t="s">
        <v>87</v>
      </c>
      <c r="B6" s="2" t="s">
        <v>88</v>
      </c>
      <c r="C6" s="3"/>
      <c r="E6" s="5" t="s">
        <v>574</v>
      </c>
      <c r="F6" s="5">
        <v>14618</v>
      </c>
      <c r="G6" s="5" t="s">
        <v>603</v>
      </c>
      <c r="H6" s="61">
        <v>48938</v>
      </c>
      <c r="I6" s="5" t="s">
        <v>600</v>
      </c>
    </row>
    <row r="7" spans="1:9" s="2" customFormat="1" x14ac:dyDescent="0.3">
      <c r="A7"/>
      <c r="B7" t="s">
        <v>89</v>
      </c>
      <c r="C7" s="3">
        <f>F10</f>
        <v>58581</v>
      </c>
      <c r="E7" s="5" t="s">
        <v>599</v>
      </c>
      <c r="F7" s="5">
        <v>21780</v>
      </c>
      <c r="G7" s="5" t="s">
        <v>248</v>
      </c>
      <c r="H7" s="61">
        <v>48937</v>
      </c>
      <c r="I7" s="5" t="s">
        <v>602</v>
      </c>
    </row>
    <row r="8" spans="1:9" x14ac:dyDescent="0.3">
      <c r="C8" s="3"/>
      <c r="E8" s="5" t="s">
        <v>599</v>
      </c>
      <c r="F8" s="5">
        <v>3500</v>
      </c>
      <c r="G8" s="5" t="s">
        <v>249</v>
      </c>
      <c r="H8" s="61">
        <v>48936</v>
      </c>
      <c r="I8" s="5" t="s">
        <v>600</v>
      </c>
    </row>
    <row r="9" spans="1:9" x14ac:dyDescent="0.3">
      <c r="A9" t="s">
        <v>90</v>
      </c>
      <c r="B9" s="2" t="s">
        <v>91</v>
      </c>
      <c r="E9" s="5" t="s">
        <v>599</v>
      </c>
      <c r="F9" s="5">
        <v>4000</v>
      </c>
      <c r="G9" s="5" t="s">
        <v>250</v>
      </c>
      <c r="H9" s="61">
        <v>48935</v>
      </c>
      <c r="I9" s="5" t="s">
        <v>601</v>
      </c>
    </row>
    <row r="10" spans="1:9" ht="15" thickBot="1" x14ac:dyDescent="0.35">
      <c r="C10" s="3"/>
      <c r="E10" s="2"/>
      <c r="F10" s="56">
        <f>SUM(F5:F9)</f>
        <v>58581</v>
      </c>
      <c r="G10" s="2"/>
      <c r="H10" s="2"/>
      <c r="I10" s="2"/>
    </row>
    <row r="11" spans="1:9" ht="15.6" thickTop="1" thickBot="1" x14ac:dyDescent="0.35">
      <c r="B11" s="4" t="s">
        <v>92</v>
      </c>
      <c r="C11" s="58">
        <f>C4+C7+C10</f>
        <v>286421.84999999998</v>
      </c>
    </row>
    <row r="12" spans="1:9" ht="15" thickTop="1" x14ac:dyDescent="0.3">
      <c r="C12" s="39"/>
      <c r="E12" s="40"/>
    </row>
    <row r="14" spans="1:9" ht="19.8" x14ac:dyDescent="0.3">
      <c r="A14" s="238" t="s">
        <v>93</v>
      </c>
      <c r="B14" s="238"/>
      <c r="C14" s="238"/>
    </row>
    <row r="15" spans="1:9" x14ac:dyDescent="0.3">
      <c r="A15" s="239" t="s">
        <v>605</v>
      </c>
      <c r="B15" s="239"/>
      <c r="C15" s="239"/>
    </row>
    <row r="16" spans="1:9" x14ac:dyDescent="0.3">
      <c r="C16" s="1" t="s">
        <v>53</v>
      </c>
    </row>
    <row r="17" spans="1:3" x14ac:dyDescent="0.3">
      <c r="B17" t="s">
        <v>86</v>
      </c>
      <c r="C17" s="120">
        <v>14854</v>
      </c>
    </row>
    <row r="18" spans="1:3" x14ac:dyDescent="0.3">
      <c r="C18" s="120"/>
    </row>
    <row r="19" spans="1:3" ht="15" thickBot="1" x14ac:dyDescent="0.35">
      <c r="B19" s="4" t="s">
        <v>92</v>
      </c>
      <c r="C19" s="58">
        <f>C17</f>
        <v>14854</v>
      </c>
    </row>
    <row r="20" spans="1:3" ht="15" thickTop="1" x14ac:dyDescent="0.3">
      <c r="B20" s="2"/>
      <c r="C20" s="121"/>
    </row>
    <row r="22" spans="1:3" ht="19.8" x14ac:dyDescent="0.3">
      <c r="A22" s="238" t="s">
        <v>93</v>
      </c>
      <c r="B22" s="238"/>
      <c r="C22" s="238"/>
    </row>
    <row r="23" spans="1:3" x14ac:dyDescent="0.3">
      <c r="A23" s="239" t="s">
        <v>606</v>
      </c>
      <c r="B23" s="239"/>
      <c r="C23" s="239"/>
    </row>
    <row r="24" spans="1:3" x14ac:dyDescent="0.3">
      <c r="C24" s="1" t="s">
        <v>53</v>
      </c>
    </row>
    <row r="25" spans="1:3" x14ac:dyDescent="0.3">
      <c r="B25" t="s">
        <v>86</v>
      </c>
      <c r="C25" s="120">
        <v>8321</v>
      </c>
    </row>
    <row r="26" spans="1:3" x14ac:dyDescent="0.3">
      <c r="C26" s="120"/>
    </row>
    <row r="27" spans="1:3" ht="15" thickBot="1" x14ac:dyDescent="0.35">
      <c r="B27" s="4" t="s">
        <v>92</v>
      </c>
      <c r="C27" s="58">
        <f>C25</f>
        <v>8321</v>
      </c>
    </row>
    <row r="28" spans="1:3" ht="15" thickTop="1" x14ac:dyDescent="0.3">
      <c r="B28" s="2"/>
      <c r="C28" s="121"/>
    </row>
    <row r="30" spans="1:3" ht="19.8" x14ac:dyDescent="0.3">
      <c r="A30" s="238" t="s">
        <v>93</v>
      </c>
      <c r="B30" s="238"/>
      <c r="C30" s="238"/>
    </row>
    <row r="31" spans="1:3" x14ac:dyDescent="0.3">
      <c r="A31" s="239" t="s">
        <v>607</v>
      </c>
      <c r="B31" s="239"/>
      <c r="C31" s="239"/>
    </row>
    <row r="32" spans="1:3" x14ac:dyDescent="0.3">
      <c r="C32" s="1" t="s">
        <v>53</v>
      </c>
    </row>
    <row r="33" spans="2:3" x14ac:dyDescent="0.3">
      <c r="B33" t="s">
        <v>86</v>
      </c>
      <c r="C33" s="120">
        <v>17851</v>
      </c>
    </row>
    <row r="34" spans="2:3" x14ac:dyDescent="0.3">
      <c r="C34" s="120"/>
    </row>
    <row r="35" spans="2:3" ht="15" thickBot="1" x14ac:dyDescent="0.35">
      <c r="B35" s="4" t="s">
        <v>92</v>
      </c>
      <c r="C35" s="58">
        <f>C33</f>
        <v>17851</v>
      </c>
    </row>
    <row r="36" spans="2:3" ht="15" thickTop="1" x14ac:dyDescent="0.3"/>
  </sheetData>
  <mergeCells count="8">
    <mergeCell ref="A22:C22"/>
    <mergeCell ref="A23:C23"/>
    <mergeCell ref="A30:C30"/>
    <mergeCell ref="A31:C31"/>
    <mergeCell ref="A1:C1"/>
    <mergeCell ref="A14:C14"/>
    <mergeCell ref="A2:C2"/>
    <mergeCell ref="A15:C15"/>
  </mergeCells>
  <printOptions horizontalCentered="1" verticalCentered="1"/>
  <pageMargins left="0.11811023622047245" right="0.11811023622047245" top="0.15748031496062992" bottom="0.15748031496062992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tabSelected="1" workbookViewId="0">
      <selection activeCell="H31" sqref="H31"/>
    </sheetView>
  </sheetViews>
  <sheetFormatPr defaultColWidth="9.109375" defaultRowHeight="14.4" x14ac:dyDescent="0.3"/>
  <cols>
    <col min="1" max="1" width="9.21875" style="85" bestFit="1" customWidth="1"/>
    <col min="2" max="2" width="15.21875" style="38" bestFit="1" customWidth="1"/>
    <col min="3" max="3" width="10.44140625" style="38" bestFit="1" customWidth="1"/>
    <col min="4" max="4" width="10.21875" style="51" bestFit="1" customWidth="1"/>
    <col min="5" max="5" width="9.21875" style="6" bestFit="1" customWidth="1"/>
    <col min="6" max="6" width="10.109375" style="6" bestFit="1" customWidth="1"/>
    <col min="7" max="7" width="10.21875" style="6" bestFit="1" customWidth="1"/>
    <col min="8" max="8" width="22.21875" style="6" customWidth="1"/>
    <col min="9" max="9" width="3.44140625" style="6" bestFit="1" customWidth="1"/>
    <col min="10" max="10" width="11.5546875" style="6" bestFit="1" customWidth="1"/>
    <col min="11" max="16384" width="9.109375" style="6"/>
  </cols>
  <sheetData>
    <row r="1" spans="1:6" x14ac:dyDescent="0.3">
      <c r="A1" s="282" t="s">
        <v>592</v>
      </c>
      <c r="B1" s="282"/>
      <c r="C1" s="282"/>
      <c r="D1" s="282"/>
    </row>
    <row r="2" spans="1:6" x14ac:dyDescent="0.3">
      <c r="A2" s="27" t="s">
        <v>42</v>
      </c>
      <c r="B2" s="37" t="s">
        <v>109</v>
      </c>
    </row>
    <row r="3" spans="1:6" x14ac:dyDescent="0.3">
      <c r="A3" s="92">
        <v>1</v>
      </c>
      <c r="B3" s="38" t="s">
        <v>146</v>
      </c>
    </row>
    <row r="4" spans="1:6" x14ac:dyDescent="0.3">
      <c r="A4" s="51"/>
      <c r="B4" s="283" t="s">
        <v>148</v>
      </c>
      <c r="C4" s="283"/>
      <c r="D4" s="50" t="s">
        <v>114</v>
      </c>
      <c r="E4" s="27" t="s">
        <v>53</v>
      </c>
    </row>
    <row r="5" spans="1:6" x14ac:dyDescent="0.3">
      <c r="A5" s="51"/>
      <c r="B5" s="38">
        <v>45995</v>
      </c>
      <c r="C5" s="38">
        <v>46086</v>
      </c>
      <c r="D5" s="51">
        <f>+C5-B5</f>
        <v>91</v>
      </c>
      <c r="E5" s="49">
        <v>14683</v>
      </c>
    </row>
    <row r="6" spans="1:6" x14ac:dyDescent="0.3">
      <c r="A6" s="51"/>
      <c r="B6" s="38">
        <f>+C5</f>
        <v>46086</v>
      </c>
      <c r="C6" s="38">
        <v>46112</v>
      </c>
      <c r="D6" s="51">
        <f>+C6-B6</f>
        <v>26</v>
      </c>
      <c r="E6" s="122">
        <f>ROUND((E5*D6)/D5,0)</f>
        <v>4195</v>
      </c>
      <c r="F6" s="83" t="s">
        <v>247</v>
      </c>
    </row>
    <row r="7" spans="1:6" x14ac:dyDescent="0.3">
      <c r="A7" s="51"/>
      <c r="E7" s="49"/>
    </row>
    <row r="8" spans="1:6" x14ac:dyDescent="0.3">
      <c r="A8" s="51">
        <v>2</v>
      </c>
      <c r="B8" s="38" t="s">
        <v>102</v>
      </c>
      <c r="E8" s="49"/>
    </row>
    <row r="9" spans="1:6" x14ac:dyDescent="0.3">
      <c r="A9" s="51"/>
      <c r="B9" s="38">
        <v>46054</v>
      </c>
      <c r="C9" s="38">
        <v>46418</v>
      </c>
      <c r="D9" s="51">
        <f>+C9-B9+1</f>
        <v>365</v>
      </c>
      <c r="E9" s="49">
        <v>5700</v>
      </c>
    </row>
    <row r="10" spans="1:6" x14ac:dyDescent="0.3">
      <c r="A10" s="51"/>
      <c r="B10" s="38">
        <v>46113</v>
      </c>
      <c r="C10" s="38">
        <f>+C9</f>
        <v>46418</v>
      </c>
      <c r="D10" s="51">
        <f t="shared" ref="D10" si="0">+C10-B10+1</f>
        <v>306</v>
      </c>
      <c r="E10" s="122">
        <f>ROUND(E9*D10/D9,)</f>
        <v>4779</v>
      </c>
      <c r="F10" s="83" t="s">
        <v>194</v>
      </c>
    </row>
    <row r="11" spans="1:6" x14ac:dyDescent="0.3">
      <c r="A11" s="51"/>
      <c r="E11" s="49"/>
    </row>
    <row r="12" spans="1:6" x14ac:dyDescent="0.3">
      <c r="A12" s="51">
        <v>3</v>
      </c>
      <c r="B12" s="38" t="s">
        <v>44</v>
      </c>
      <c r="E12" s="49"/>
    </row>
    <row r="13" spans="1:6" x14ac:dyDescent="0.3">
      <c r="B13" s="38">
        <v>45929</v>
      </c>
      <c r="C13" s="38">
        <v>46293</v>
      </c>
      <c r="D13" s="51">
        <f>+C13-B13+1</f>
        <v>365</v>
      </c>
      <c r="E13" s="49">
        <v>23595</v>
      </c>
    </row>
    <row r="14" spans="1:6" x14ac:dyDescent="0.3">
      <c r="B14" s="38">
        <v>46113</v>
      </c>
      <c r="C14" s="38">
        <f>+C13</f>
        <v>46293</v>
      </c>
      <c r="D14" s="51">
        <f t="shared" ref="D14" si="1">+C14-B14+1</f>
        <v>181</v>
      </c>
      <c r="E14" s="122">
        <f>ROUND(E13*D14/D13,)</f>
        <v>11701</v>
      </c>
      <c r="F14" s="83" t="s">
        <v>194</v>
      </c>
    </row>
    <row r="15" spans="1:6" x14ac:dyDescent="0.3">
      <c r="E15" s="49"/>
    </row>
    <row r="16" spans="1:6" x14ac:dyDescent="0.3">
      <c r="E16" s="49"/>
    </row>
    <row r="17" spans="8:10" x14ac:dyDescent="0.3">
      <c r="H17"/>
      <c r="I17"/>
      <c r="J17" s="52"/>
    </row>
  </sheetData>
  <mergeCells count="2">
    <mergeCell ref="A1:D1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A870-212F-40A5-AF15-F72707382F21}">
  <sheetPr filterMode="1"/>
  <dimension ref="A1:I126"/>
  <sheetViews>
    <sheetView zoomScale="102" zoomScaleNormal="102" workbookViewId="0">
      <selection activeCell="M119" sqref="M119"/>
    </sheetView>
  </sheetViews>
  <sheetFormatPr defaultRowHeight="14.4" x14ac:dyDescent="0.3"/>
  <cols>
    <col min="1" max="1" width="14.77734375" bestFit="1" customWidth="1"/>
    <col min="2" max="2" width="28.109375" bestFit="1" customWidth="1"/>
    <col min="3" max="3" width="93.6640625" bestFit="1" customWidth="1"/>
    <col min="4" max="4" width="11.6640625" bestFit="1" customWidth="1"/>
    <col min="5" max="5" width="11.44140625" bestFit="1" customWidth="1"/>
    <col min="7" max="7" width="6" bestFit="1" customWidth="1"/>
    <col min="8" max="8" width="11.5546875" bestFit="1" customWidth="1"/>
  </cols>
  <sheetData>
    <row r="1" spans="1:8" x14ac:dyDescent="0.3">
      <c r="A1" s="249" t="s">
        <v>296</v>
      </c>
      <c r="B1" s="249"/>
      <c r="C1" s="249"/>
      <c r="D1" s="249"/>
      <c r="E1" s="249"/>
    </row>
    <row r="2" spans="1:8" x14ac:dyDescent="0.3">
      <c r="A2" s="89" t="s">
        <v>297</v>
      </c>
      <c r="B2" s="89" t="s">
        <v>298</v>
      </c>
      <c r="C2" s="89" t="s">
        <v>299</v>
      </c>
      <c r="D2" s="89" t="s">
        <v>300</v>
      </c>
      <c r="E2" s="89" t="s">
        <v>304</v>
      </c>
      <c r="G2" s="89"/>
      <c r="H2" s="89"/>
    </row>
    <row r="3" spans="1:8" hidden="1" x14ac:dyDescent="0.3">
      <c r="A3" t="s">
        <v>371</v>
      </c>
      <c r="B3" t="s">
        <v>372</v>
      </c>
      <c r="C3" t="s">
        <v>373</v>
      </c>
      <c r="D3" s="105">
        <v>1184</v>
      </c>
      <c r="E3" s="96" t="s">
        <v>374</v>
      </c>
    </row>
    <row r="4" spans="1:8" hidden="1" x14ac:dyDescent="0.3">
      <c r="A4" t="s">
        <v>375</v>
      </c>
      <c r="B4" t="s">
        <v>376</v>
      </c>
      <c r="C4" t="s">
        <v>377</v>
      </c>
      <c r="D4" s="110">
        <v>1218</v>
      </c>
      <c r="E4" s="96" t="s">
        <v>306</v>
      </c>
    </row>
    <row r="5" spans="1:8" hidden="1" x14ac:dyDescent="0.3">
      <c r="A5" t="s">
        <v>378</v>
      </c>
      <c r="B5" t="s">
        <v>376</v>
      </c>
      <c r="C5" t="s">
        <v>379</v>
      </c>
      <c r="D5" s="101">
        <v>2358</v>
      </c>
      <c r="E5" s="97" t="s">
        <v>307</v>
      </c>
    </row>
    <row r="6" spans="1:8" hidden="1" x14ac:dyDescent="0.3">
      <c r="A6" t="s">
        <v>380</v>
      </c>
      <c r="B6" t="s">
        <v>381</v>
      </c>
      <c r="C6" t="s">
        <v>382</v>
      </c>
      <c r="D6" s="100">
        <v>253</v>
      </c>
      <c r="E6" s="97" t="s">
        <v>593</v>
      </c>
    </row>
    <row r="7" spans="1:8" hidden="1" x14ac:dyDescent="0.3">
      <c r="A7" t="s">
        <v>383</v>
      </c>
      <c r="B7" t="s">
        <v>381</v>
      </c>
      <c r="C7" t="s">
        <v>384</v>
      </c>
      <c r="D7">
        <v>438</v>
      </c>
      <c r="E7" s="97" t="s">
        <v>308</v>
      </c>
    </row>
    <row r="8" spans="1:8" hidden="1" x14ac:dyDescent="0.3">
      <c r="A8" t="s">
        <v>385</v>
      </c>
      <c r="B8" t="s">
        <v>386</v>
      </c>
      <c r="C8" t="s">
        <v>387</v>
      </c>
      <c r="D8" s="109">
        <v>578</v>
      </c>
      <c r="E8" s="97" t="s">
        <v>310</v>
      </c>
    </row>
    <row r="9" spans="1:8" hidden="1" x14ac:dyDescent="0.3">
      <c r="A9" t="s">
        <v>388</v>
      </c>
      <c r="B9" t="s">
        <v>389</v>
      </c>
      <c r="C9" t="s">
        <v>390</v>
      </c>
      <c r="D9" s="101">
        <v>2878</v>
      </c>
      <c r="E9" s="97" t="s">
        <v>307</v>
      </c>
    </row>
    <row r="10" spans="1:8" hidden="1" x14ac:dyDescent="0.3">
      <c r="A10" t="s">
        <v>391</v>
      </c>
      <c r="B10" t="s">
        <v>392</v>
      </c>
      <c r="C10" t="s">
        <v>393</v>
      </c>
      <c r="D10" s="100">
        <v>254</v>
      </c>
      <c r="E10" s="97" t="s">
        <v>593</v>
      </c>
    </row>
    <row r="11" spans="1:8" hidden="1" x14ac:dyDescent="0.3">
      <c r="A11" t="s">
        <v>394</v>
      </c>
      <c r="B11" t="s">
        <v>392</v>
      </c>
      <c r="C11" t="s">
        <v>384</v>
      </c>
      <c r="D11">
        <v>438</v>
      </c>
      <c r="E11" s="97" t="s">
        <v>308</v>
      </c>
    </row>
    <row r="12" spans="1:8" hidden="1" x14ac:dyDescent="0.3">
      <c r="A12" t="s">
        <v>395</v>
      </c>
      <c r="B12" t="s">
        <v>396</v>
      </c>
      <c r="C12" t="s">
        <v>596</v>
      </c>
      <c r="D12">
        <v>6134</v>
      </c>
      <c r="E12" s="97" t="s">
        <v>595</v>
      </c>
    </row>
    <row r="13" spans="1:8" hidden="1" x14ac:dyDescent="0.3">
      <c r="A13" t="s">
        <v>397</v>
      </c>
      <c r="B13" t="s">
        <v>398</v>
      </c>
      <c r="C13" t="s">
        <v>399</v>
      </c>
      <c r="D13" s="111">
        <v>2194</v>
      </c>
      <c r="E13" s="97" t="s">
        <v>306</v>
      </c>
    </row>
    <row r="14" spans="1:8" hidden="1" x14ac:dyDescent="0.3">
      <c r="A14" t="s">
        <v>400</v>
      </c>
      <c r="B14" t="s">
        <v>401</v>
      </c>
      <c r="C14" t="s">
        <v>402</v>
      </c>
      <c r="D14">
        <v>1605</v>
      </c>
      <c r="E14" s="107" t="s">
        <v>307</v>
      </c>
    </row>
    <row r="15" spans="1:8" hidden="1" x14ac:dyDescent="0.3">
      <c r="A15" t="s">
        <v>403</v>
      </c>
      <c r="B15" t="s">
        <v>401</v>
      </c>
      <c r="C15" t="s">
        <v>404</v>
      </c>
      <c r="D15" s="106">
        <v>12756</v>
      </c>
      <c r="E15" s="97" t="s">
        <v>374</v>
      </c>
    </row>
    <row r="16" spans="1:8" hidden="1" x14ac:dyDescent="0.3">
      <c r="A16" t="s">
        <v>405</v>
      </c>
      <c r="B16" t="s">
        <v>401</v>
      </c>
      <c r="C16" t="s">
        <v>406</v>
      </c>
      <c r="D16" s="101">
        <v>3499</v>
      </c>
      <c r="E16" s="97" t="s">
        <v>307</v>
      </c>
    </row>
    <row r="17" spans="1:5" x14ac:dyDescent="0.3">
      <c r="A17" t="s">
        <v>407</v>
      </c>
      <c r="B17" t="s">
        <v>401</v>
      </c>
      <c r="C17" t="s">
        <v>408</v>
      </c>
      <c r="D17">
        <v>1270</v>
      </c>
      <c r="E17" s="107" t="s">
        <v>305</v>
      </c>
    </row>
    <row r="18" spans="1:5" hidden="1" x14ac:dyDescent="0.3">
      <c r="A18" t="s">
        <v>409</v>
      </c>
      <c r="B18" t="s">
        <v>401</v>
      </c>
      <c r="C18" t="s">
        <v>410</v>
      </c>
      <c r="D18" s="104">
        <v>11237</v>
      </c>
      <c r="E18" s="97" t="s">
        <v>308</v>
      </c>
    </row>
    <row r="19" spans="1:5" hidden="1" x14ac:dyDescent="0.3">
      <c r="A19" t="s">
        <v>411</v>
      </c>
      <c r="B19" t="s">
        <v>412</v>
      </c>
      <c r="C19" t="s">
        <v>413</v>
      </c>
      <c r="D19" s="111">
        <v>3397</v>
      </c>
      <c r="E19" s="97" t="s">
        <v>306</v>
      </c>
    </row>
    <row r="20" spans="1:5" hidden="1" x14ac:dyDescent="0.3">
      <c r="A20" t="s">
        <v>414</v>
      </c>
      <c r="B20" t="s">
        <v>415</v>
      </c>
      <c r="C20" t="s">
        <v>416</v>
      </c>
      <c r="D20" s="111">
        <v>4301</v>
      </c>
      <c r="E20" s="97" t="s">
        <v>306</v>
      </c>
    </row>
    <row r="21" spans="1:5" hidden="1" x14ac:dyDescent="0.3">
      <c r="A21" t="s">
        <v>417</v>
      </c>
      <c r="B21" t="s">
        <v>418</v>
      </c>
      <c r="C21" t="s">
        <v>384</v>
      </c>
      <c r="D21">
        <v>438</v>
      </c>
      <c r="E21" s="97" t="s">
        <v>308</v>
      </c>
    </row>
    <row r="22" spans="1:5" hidden="1" x14ac:dyDescent="0.3">
      <c r="A22" t="s">
        <v>419</v>
      </c>
      <c r="B22" t="s">
        <v>418</v>
      </c>
      <c r="C22" t="s">
        <v>420</v>
      </c>
      <c r="D22" s="100">
        <v>254</v>
      </c>
      <c r="E22" s="97" t="s">
        <v>593</v>
      </c>
    </row>
    <row r="23" spans="1:5" hidden="1" x14ac:dyDescent="0.3">
      <c r="A23" t="s">
        <v>421</v>
      </c>
      <c r="B23" t="s">
        <v>422</v>
      </c>
      <c r="C23" t="s">
        <v>423</v>
      </c>
      <c r="D23" s="106">
        <v>24661</v>
      </c>
      <c r="E23" s="97" t="s">
        <v>374</v>
      </c>
    </row>
    <row r="24" spans="1:5" hidden="1" x14ac:dyDescent="0.3">
      <c r="A24" t="s">
        <v>424</v>
      </c>
      <c r="B24" t="s">
        <v>425</v>
      </c>
      <c r="C24" t="s">
        <v>426</v>
      </c>
      <c r="D24" s="111">
        <v>5736</v>
      </c>
      <c r="E24" s="98" t="s">
        <v>306</v>
      </c>
    </row>
    <row r="25" spans="1:5" x14ac:dyDescent="0.3">
      <c r="A25" t="s">
        <v>427</v>
      </c>
      <c r="B25" t="s">
        <v>425</v>
      </c>
      <c r="C25" t="s">
        <v>428</v>
      </c>
      <c r="D25">
        <v>1717</v>
      </c>
      <c r="E25" s="107" t="s">
        <v>305</v>
      </c>
    </row>
    <row r="26" spans="1:5" hidden="1" x14ac:dyDescent="0.3">
      <c r="A26" t="s">
        <v>429</v>
      </c>
      <c r="B26" t="s">
        <v>425</v>
      </c>
      <c r="C26" t="s">
        <v>430</v>
      </c>
      <c r="D26" s="101">
        <v>8985</v>
      </c>
      <c r="E26" s="97" t="s">
        <v>307</v>
      </c>
    </row>
    <row r="27" spans="1:5" hidden="1" x14ac:dyDescent="0.3">
      <c r="A27" t="s">
        <v>431</v>
      </c>
      <c r="B27" t="s">
        <v>432</v>
      </c>
      <c r="C27" t="s">
        <v>433</v>
      </c>
      <c r="D27" s="101">
        <v>2716</v>
      </c>
      <c r="E27" s="98" t="s">
        <v>307</v>
      </c>
    </row>
    <row r="28" spans="1:5" hidden="1" x14ac:dyDescent="0.3">
      <c r="A28" t="s">
        <v>434</v>
      </c>
      <c r="B28" t="s">
        <v>432</v>
      </c>
      <c r="C28" t="s">
        <v>435</v>
      </c>
      <c r="D28" s="111">
        <v>1940</v>
      </c>
      <c r="E28" s="98" t="s">
        <v>306</v>
      </c>
    </row>
    <row r="29" spans="1:5" x14ac:dyDescent="0.3">
      <c r="A29" t="s">
        <v>436</v>
      </c>
      <c r="B29" t="s">
        <v>437</v>
      </c>
      <c r="C29" t="s">
        <v>438</v>
      </c>
      <c r="D29">
        <v>250</v>
      </c>
      <c r="E29" s="108" t="s">
        <v>305</v>
      </c>
    </row>
    <row r="30" spans="1:5" hidden="1" x14ac:dyDescent="0.3">
      <c r="A30" t="s">
        <v>439</v>
      </c>
      <c r="B30" t="s">
        <v>437</v>
      </c>
      <c r="C30" t="s">
        <v>594</v>
      </c>
      <c r="D30">
        <v>1884</v>
      </c>
      <c r="E30" s="102" t="s">
        <v>454</v>
      </c>
    </row>
    <row r="31" spans="1:5" hidden="1" x14ac:dyDescent="0.3">
      <c r="A31" t="s">
        <v>440</v>
      </c>
      <c r="B31" t="s">
        <v>437</v>
      </c>
      <c r="C31" t="s">
        <v>615</v>
      </c>
      <c r="D31" s="109">
        <v>732</v>
      </c>
      <c r="E31" s="98" t="s">
        <v>306</v>
      </c>
    </row>
    <row r="32" spans="1:5" hidden="1" x14ac:dyDescent="0.3">
      <c r="A32" t="s">
        <v>441</v>
      </c>
      <c r="B32" t="s">
        <v>437</v>
      </c>
      <c r="C32" t="s">
        <v>442</v>
      </c>
      <c r="D32" s="101">
        <v>27</v>
      </c>
      <c r="E32" s="98" t="s">
        <v>307</v>
      </c>
    </row>
    <row r="33" spans="1:5" hidden="1" x14ac:dyDescent="0.3">
      <c r="A33" t="s">
        <v>443</v>
      </c>
      <c r="B33" t="s">
        <v>437</v>
      </c>
      <c r="C33" t="s">
        <v>444</v>
      </c>
      <c r="D33" s="111">
        <v>19</v>
      </c>
      <c r="E33" s="98" t="s">
        <v>306</v>
      </c>
    </row>
    <row r="34" spans="1:5" hidden="1" x14ac:dyDescent="0.3">
      <c r="A34" t="s">
        <v>445</v>
      </c>
      <c r="B34" t="s">
        <v>437</v>
      </c>
      <c r="C34" t="s">
        <v>384</v>
      </c>
      <c r="D34">
        <v>438</v>
      </c>
      <c r="E34" s="97" t="s">
        <v>308</v>
      </c>
    </row>
    <row r="35" spans="1:5" hidden="1" x14ac:dyDescent="0.3">
      <c r="A35" t="s">
        <v>446</v>
      </c>
      <c r="B35" t="s">
        <v>437</v>
      </c>
      <c r="C35" t="s">
        <v>447</v>
      </c>
      <c r="D35" s="111">
        <v>1224</v>
      </c>
      <c r="E35" s="98" t="s">
        <v>306</v>
      </c>
    </row>
    <row r="36" spans="1:5" hidden="1" x14ac:dyDescent="0.3">
      <c r="A36" t="s">
        <v>448</v>
      </c>
      <c r="B36" t="s">
        <v>437</v>
      </c>
      <c r="C36" t="s">
        <v>449</v>
      </c>
      <c r="D36" s="101">
        <v>8905</v>
      </c>
      <c r="E36" s="98" t="s">
        <v>307</v>
      </c>
    </row>
    <row r="37" spans="1:5" hidden="1" x14ac:dyDescent="0.3">
      <c r="A37" t="s">
        <v>450</v>
      </c>
      <c r="B37" t="s">
        <v>437</v>
      </c>
      <c r="C37" t="s">
        <v>451</v>
      </c>
      <c r="D37" s="106">
        <v>8807</v>
      </c>
      <c r="E37" s="98" t="s">
        <v>374</v>
      </c>
    </row>
    <row r="38" spans="1:5" hidden="1" x14ac:dyDescent="0.3">
      <c r="A38" t="s">
        <v>452</v>
      </c>
      <c r="B38" t="s">
        <v>437</v>
      </c>
      <c r="C38" t="s">
        <v>453</v>
      </c>
      <c r="D38">
        <v>732</v>
      </c>
      <c r="E38" s="103" t="s">
        <v>454</v>
      </c>
    </row>
    <row r="39" spans="1:5" hidden="1" x14ac:dyDescent="0.3">
      <c r="A39" t="s">
        <v>455</v>
      </c>
      <c r="B39" t="s">
        <v>437</v>
      </c>
      <c r="C39" t="s">
        <v>456</v>
      </c>
      <c r="D39" s="101">
        <v>3515</v>
      </c>
      <c r="E39" s="98" t="s">
        <v>307</v>
      </c>
    </row>
    <row r="40" spans="1:5" hidden="1" x14ac:dyDescent="0.3">
      <c r="A40" t="s">
        <v>457</v>
      </c>
      <c r="B40" t="s">
        <v>437</v>
      </c>
      <c r="C40" t="s">
        <v>458</v>
      </c>
      <c r="D40" s="106">
        <v>18951</v>
      </c>
      <c r="E40" s="98" t="s">
        <v>374</v>
      </c>
    </row>
    <row r="41" spans="1:5" hidden="1" x14ac:dyDescent="0.3">
      <c r="A41" t="s">
        <v>459</v>
      </c>
      <c r="B41" t="s">
        <v>437</v>
      </c>
      <c r="C41" t="s">
        <v>460</v>
      </c>
      <c r="D41" s="109">
        <v>1641</v>
      </c>
      <c r="E41" s="98" t="s">
        <v>310</v>
      </c>
    </row>
    <row r="42" spans="1:5" hidden="1" x14ac:dyDescent="0.3">
      <c r="A42" t="s">
        <v>461</v>
      </c>
      <c r="B42" t="s">
        <v>437</v>
      </c>
      <c r="C42" t="s">
        <v>462</v>
      </c>
      <c r="D42" s="111">
        <v>4255</v>
      </c>
      <c r="E42" s="97" t="s">
        <v>306</v>
      </c>
    </row>
    <row r="43" spans="1:5" hidden="1" x14ac:dyDescent="0.3">
      <c r="A43" t="s">
        <v>463</v>
      </c>
      <c r="B43" t="s">
        <v>437</v>
      </c>
      <c r="C43" t="s">
        <v>464</v>
      </c>
      <c r="D43" s="101">
        <v>8245</v>
      </c>
      <c r="E43" s="97" t="s">
        <v>307</v>
      </c>
    </row>
    <row r="44" spans="1:5" hidden="1" x14ac:dyDescent="0.3">
      <c r="A44" t="s">
        <v>465</v>
      </c>
      <c r="B44" t="s">
        <v>437</v>
      </c>
      <c r="C44" t="s">
        <v>466</v>
      </c>
      <c r="D44" s="111">
        <v>499</v>
      </c>
      <c r="E44" s="98" t="s">
        <v>306</v>
      </c>
    </row>
    <row r="45" spans="1:5" hidden="1" x14ac:dyDescent="0.3">
      <c r="A45" t="s">
        <v>467</v>
      </c>
      <c r="B45" t="s">
        <v>437</v>
      </c>
      <c r="C45" t="s">
        <v>468</v>
      </c>
      <c r="D45" s="111">
        <v>4794</v>
      </c>
      <c r="E45" s="98" t="s">
        <v>306</v>
      </c>
    </row>
    <row r="46" spans="1:5" hidden="1" x14ac:dyDescent="0.3">
      <c r="A46" t="s">
        <v>469</v>
      </c>
      <c r="B46" t="s">
        <v>437</v>
      </c>
      <c r="C46" t="s">
        <v>470</v>
      </c>
      <c r="D46" s="111">
        <v>1489</v>
      </c>
      <c r="E46" s="98" t="s">
        <v>306</v>
      </c>
    </row>
    <row r="47" spans="1:5" hidden="1" x14ac:dyDescent="0.3">
      <c r="A47" t="s">
        <v>471</v>
      </c>
      <c r="B47" t="s">
        <v>437</v>
      </c>
      <c r="C47" t="s">
        <v>472</v>
      </c>
      <c r="D47" s="111">
        <v>4306</v>
      </c>
      <c r="E47" s="98" t="s">
        <v>306</v>
      </c>
    </row>
    <row r="48" spans="1:5" hidden="1" x14ac:dyDescent="0.3">
      <c r="A48" t="s">
        <v>473</v>
      </c>
      <c r="B48" t="s">
        <v>437</v>
      </c>
      <c r="C48" t="s">
        <v>474</v>
      </c>
      <c r="D48" s="111">
        <v>840</v>
      </c>
      <c r="E48" s="98" t="s">
        <v>306</v>
      </c>
    </row>
    <row r="49" spans="1:5" hidden="1" x14ac:dyDescent="0.3">
      <c r="A49" t="s">
        <v>475</v>
      </c>
      <c r="B49" t="s">
        <v>437</v>
      </c>
      <c r="C49" t="s">
        <v>476</v>
      </c>
      <c r="D49" s="111">
        <v>5282</v>
      </c>
      <c r="E49" s="98" t="s">
        <v>306</v>
      </c>
    </row>
    <row r="50" spans="1:5" x14ac:dyDescent="0.3">
      <c r="A50" t="s">
        <v>477</v>
      </c>
      <c r="B50" t="s">
        <v>437</v>
      </c>
      <c r="C50" t="s">
        <v>478</v>
      </c>
      <c r="D50">
        <v>21655</v>
      </c>
      <c r="E50" s="107" t="s">
        <v>305</v>
      </c>
    </row>
    <row r="51" spans="1:5" hidden="1" x14ac:dyDescent="0.3">
      <c r="A51" t="s">
        <v>479</v>
      </c>
      <c r="B51" t="s">
        <v>437</v>
      </c>
      <c r="C51" t="s">
        <v>480</v>
      </c>
      <c r="D51" s="101">
        <v>1317</v>
      </c>
      <c r="E51" s="97" t="s">
        <v>307</v>
      </c>
    </row>
    <row r="52" spans="1:5" hidden="1" x14ac:dyDescent="0.3">
      <c r="A52" t="s">
        <v>481</v>
      </c>
      <c r="B52" t="s">
        <v>437</v>
      </c>
      <c r="C52" t="s">
        <v>482</v>
      </c>
      <c r="D52" s="111">
        <v>1245</v>
      </c>
      <c r="E52" s="97" t="s">
        <v>306</v>
      </c>
    </row>
    <row r="53" spans="1:5" hidden="1" x14ac:dyDescent="0.3">
      <c r="A53" t="s">
        <v>483</v>
      </c>
      <c r="B53" t="s">
        <v>437</v>
      </c>
      <c r="C53" t="s">
        <v>484</v>
      </c>
      <c r="D53" s="111">
        <v>1314</v>
      </c>
      <c r="E53" s="98" t="s">
        <v>306</v>
      </c>
    </row>
    <row r="54" spans="1:5" hidden="1" x14ac:dyDescent="0.3">
      <c r="A54" t="s">
        <v>485</v>
      </c>
      <c r="B54" t="s">
        <v>437</v>
      </c>
      <c r="C54" t="s">
        <v>486</v>
      </c>
      <c r="D54" s="101">
        <v>4677</v>
      </c>
      <c r="E54" s="98" t="s">
        <v>307</v>
      </c>
    </row>
    <row r="55" spans="1:5" hidden="1" x14ac:dyDescent="0.3">
      <c r="A55" t="s">
        <v>487</v>
      </c>
      <c r="B55" t="s">
        <v>437</v>
      </c>
      <c r="C55" t="s">
        <v>488</v>
      </c>
      <c r="D55" s="111">
        <v>3150</v>
      </c>
      <c r="E55" s="98" t="s">
        <v>306</v>
      </c>
    </row>
    <row r="56" spans="1:5" hidden="1" x14ac:dyDescent="0.3">
      <c r="A56" t="s">
        <v>489</v>
      </c>
      <c r="B56" t="s">
        <v>437</v>
      </c>
      <c r="C56" t="s">
        <v>490</v>
      </c>
      <c r="D56" s="111">
        <v>4851</v>
      </c>
      <c r="E56" s="98" t="s">
        <v>306</v>
      </c>
    </row>
    <row r="57" spans="1:5" hidden="1" x14ac:dyDescent="0.3">
      <c r="A57" t="s">
        <v>491</v>
      </c>
      <c r="B57" t="s">
        <v>437</v>
      </c>
      <c r="C57" t="s">
        <v>492</v>
      </c>
      <c r="D57" s="106">
        <v>7118</v>
      </c>
      <c r="E57" s="97" t="s">
        <v>374</v>
      </c>
    </row>
    <row r="58" spans="1:5" hidden="1" x14ac:dyDescent="0.3">
      <c r="A58" t="s">
        <v>493</v>
      </c>
      <c r="B58" t="s">
        <v>437</v>
      </c>
      <c r="C58" t="s">
        <v>494</v>
      </c>
      <c r="D58" s="101">
        <v>811</v>
      </c>
      <c r="E58" s="98" t="s">
        <v>307</v>
      </c>
    </row>
    <row r="59" spans="1:5" hidden="1" x14ac:dyDescent="0.3">
      <c r="A59" t="s">
        <v>495</v>
      </c>
      <c r="B59" t="s">
        <v>437</v>
      </c>
      <c r="C59" t="s">
        <v>496</v>
      </c>
      <c r="D59" s="106">
        <v>33617</v>
      </c>
      <c r="E59" s="98" t="s">
        <v>374</v>
      </c>
    </row>
    <row r="60" spans="1:5" hidden="1" x14ac:dyDescent="0.3">
      <c r="A60" t="s">
        <v>497</v>
      </c>
      <c r="B60" t="s">
        <v>437</v>
      </c>
      <c r="C60" t="s">
        <v>498</v>
      </c>
      <c r="D60" s="109">
        <v>934</v>
      </c>
      <c r="E60" s="98" t="s">
        <v>310</v>
      </c>
    </row>
    <row r="61" spans="1:5" hidden="1" x14ac:dyDescent="0.3">
      <c r="A61" t="s">
        <v>499</v>
      </c>
      <c r="B61" t="s">
        <v>437</v>
      </c>
      <c r="C61" t="s">
        <v>500</v>
      </c>
      <c r="D61" s="101">
        <v>9970</v>
      </c>
      <c r="E61" s="98" t="s">
        <v>307</v>
      </c>
    </row>
    <row r="62" spans="1:5" hidden="1" x14ac:dyDescent="0.3">
      <c r="A62" t="s">
        <v>501</v>
      </c>
      <c r="B62" t="s">
        <v>437</v>
      </c>
      <c r="C62" t="s">
        <v>502</v>
      </c>
      <c r="D62" s="111">
        <v>9937</v>
      </c>
      <c r="E62" s="98" t="s">
        <v>306</v>
      </c>
    </row>
    <row r="63" spans="1:5" hidden="1" x14ac:dyDescent="0.3">
      <c r="A63" t="s">
        <v>503</v>
      </c>
      <c r="B63" t="s">
        <v>437</v>
      </c>
      <c r="C63" t="s">
        <v>504</v>
      </c>
      <c r="D63" s="106">
        <v>24332</v>
      </c>
      <c r="E63" s="98" t="s">
        <v>374</v>
      </c>
    </row>
    <row r="64" spans="1:5" hidden="1" x14ac:dyDescent="0.3">
      <c r="A64" t="s">
        <v>505</v>
      </c>
      <c r="B64" t="s">
        <v>437</v>
      </c>
      <c r="C64" t="s">
        <v>506</v>
      </c>
      <c r="D64" s="111">
        <v>8109</v>
      </c>
      <c r="E64" s="98" t="s">
        <v>306</v>
      </c>
    </row>
    <row r="65" spans="1:5" x14ac:dyDescent="0.3">
      <c r="A65" t="s">
        <v>507</v>
      </c>
      <c r="B65" t="s">
        <v>437</v>
      </c>
      <c r="C65" t="s">
        <v>508</v>
      </c>
      <c r="D65">
        <v>1091</v>
      </c>
      <c r="E65" s="108" t="s">
        <v>305</v>
      </c>
    </row>
    <row r="66" spans="1:5" hidden="1" x14ac:dyDescent="0.3">
      <c r="A66" t="s">
        <v>509</v>
      </c>
      <c r="B66" t="s">
        <v>437</v>
      </c>
      <c r="C66" t="s">
        <v>510</v>
      </c>
      <c r="D66">
        <v>1091</v>
      </c>
      <c r="E66" s="108" t="s">
        <v>307</v>
      </c>
    </row>
    <row r="67" spans="1:5" hidden="1" x14ac:dyDescent="0.3">
      <c r="A67" t="s">
        <v>511</v>
      </c>
      <c r="B67" t="s">
        <v>437</v>
      </c>
      <c r="C67" t="s">
        <v>512</v>
      </c>
      <c r="D67" s="104">
        <v>21429</v>
      </c>
      <c r="E67" s="97" t="s">
        <v>308</v>
      </c>
    </row>
    <row r="68" spans="1:5" hidden="1" x14ac:dyDescent="0.3">
      <c r="A68" t="s">
        <v>513</v>
      </c>
      <c r="B68" t="s">
        <v>437</v>
      </c>
      <c r="C68" t="s">
        <v>514</v>
      </c>
      <c r="D68" s="101">
        <v>7020</v>
      </c>
      <c r="E68" s="98" t="s">
        <v>307</v>
      </c>
    </row>
    <row r="69" spans="1:5" hidden="1" x14ac:dyDescent="0.3">
      <c r="A69" t="s">
        <v>515</v>
      </c>
      <c r="B69" t="s">
        <v>437</v>
      </c>
      <c r="C69" t="s">
        <v>516</v>
      </c>
      <c r="D69" s="104">
        <v>5840</v>
      </c>
      <c r="E69" s="98" t="s">
        <v>308</v>
      </c>
    </row>
    <row r="70" spans="1:5" hidden="1" x14ac:dyDescent="0.3">
      <c r="A70" t="s">
        <v>517</v>
      </c>
      <c r="B70" t="s">
        <v>437</v>
      </c>
      <c r="C70" t="s">
        <v>518</v>
      </c>
      <c r="D70" s="101">
        <v>1818</v>
      </c>
      <c r="E70" s="98" t="s">
        <v>307</v>
      </c>
    </row>
    <row r="71" spans="1:5" hidden="1" x14ac:dyDescent="0.3">
      <c r="A71" t="s">
        <v>519</v>
      </c>
      <c r="B71" t="s">
        <v>437</v>
      </c>
      <c r="C71" t="s">
        <v>520</v>
      </c>
      <c r="D71">
        <v>834</v>
      </c>
      <c r="E71" s="108" t="s">
        <v>307</v>
      </c>
    </row>
    <row r="72" spans="1:5" hidden="1" x14ac:dyDescent="0.3">
      <c r="A72" t="s">
        <v>521</v>
      </c>
      <c r="B72" t="s">
        <v>437</v>
      </c>
      <c r="C72" t="s">
        <v>522</v>
      </c>
      <c r="D72" s="106">
        <v>6629</v>
      </c>
      <c r="E72" s="98" t="s">
        <v>374</v>
      </c>
    </row>
    <row r="73" spans="1:5" x14ac:dyDescent="0.3">
      <c r="A73" t="s">
        <v>523</v>
      </c>
      <c r="B73" t="s">
        <v>437</v>
      </c>
      <c r="C73" t="s">
        <v>408</v>
      </c>
      <c r="D73">
        <v>660</v>
      </c>
      <c r="E73" s="108" t="s">
        <v>305</v>
      </c>
    </row>
    <row r="74" spans="1:5" hidden="1" x14ac:dyDescent="0.3">
      <c r="A74" t="s">
        <v>524</v>
      </c>
      <c r="B74" t="s">
        <v>437</v>
      </c>
      <c r="C74" t="s">
        <v>525</v>
      </c>
      <c r="D74" s="104">
        <v>15337</v>
      </c>
      <c r="E74" s="97" t="s">
        <v>308</v>
      </c>
    </row>
    <row r="75" spans="1:5" hidden="1" x14ac:dyDescent="0.3">
      <c r="A75" t="s">
        <v>526</v>
      </c>
      <c r="B75" t="s">
        <v>437</v>
      </c>
      <c r="C75" t="s">
        <v>527</v>
      </c>
      <c r="D75">
        <v>1476</v>
      </c>
      <c r="E75" s="102" t="s">
        <v>454</v>
      </c>
    </row>
    <row r="76" spans="1:5" hidden="1" x14ac:dyDescent="0.3">
      <c r="A76" t="s">
        <v>528</v>
      </c>
      <c r="B76" t="s">
        <v>437</v>
      </c>
      <c r="C76" t="s">
        <v>529</v>
      </c>
      <c r="D76" s="100">
        <v>254</v>
      </c>
      <c r="E76" s="97" t="s">
        <v>593</v>
      </c>
    </row>
    <row r="77" spans="1:5" hidden="1" x14ac:dyDescent="0.3">
      <c r="A77" t="s">
        <v>530</v>
      </c>
      <c r="B77" t="s">
        <v>437</v>
      </c>
      <c r="C77" t="s">
        <v>531</v>
      </c>
      <c r="D77" s="106">
        <v>13903</v>
      </c>
      <c r="E77" s="98" t="s">
        <v>374</v>
      </c>
    </row>
    <row r="78" spans="1:5" x14ac:dyDescent="0.3">
      <c r="A78" t="s">
        <v>532</v>
      </c>
      <c r="B78" t="s">
        <v>437</v>
      </c>
      <c r="C78" t="s">
        <v>533</v>
      </c>
      <c r="D78">
        <v>34378</v>
      </c>
      <c r="E78" s="108" t="s">
        <v>305</v>
      </c>
    </row>
    <row r="79" spans="1:5" x14ac:dyDescent="0.3">
      <c r="A79" t="s">
        <v>534</v>
      </c>
      <c r="B79" t="s">
        <v>437</v>
      </c>
      <c r="C79" t="s">
        <v>535</v>
      </c>
      <c r="D79">
        <v>34378</v>
      </c>
      <c r="E79" s="107" t="s">
        <v>305</v>
      </c>
    </row>
    <row r="80" spans="1:5" hidden="1" x14ac:dyDescent="0.3">
      <c r="A80" t="s">
        <v>536</v>
      </c>
      <c r="B80" t="s">
        <v>437</v>
      </c>
      <c r="C80" t="s">
        <v>537</v>
      </c>
      <c r="D80" s="106">
        <v>30105</v>
      </c>
      <c r="E80" s="98" t="s">
        <v>374</v>
      </c>
    </row>
    <row r="81" spans="1:5" hidden="1" x14ac:dyDescent="0.3">
      <c r="A81" t="s">
        <v>538</v>
      </c>
      <c r="B81" t="s">
        <v>437</v>
      </c>
      <c r="C81" t="s">
        <v>539</v>
      </c>
      <c r="D81" s="111">
        <v>10035</v>
      </c>
      <c r="E81" s="98" t="s">
        <v>306</v>
      </c>
    </row>
    <row r="82" spans="1:5" hidden="1" x14ac:dyDescent="0.3">
      <c r="A82" t="s">
        <v>540</v>
      </c>
      <c r="B82" t="s">
        <v>437</v>
      </c>
      <c r="C82" t="s">
        <v>541</v>
      </c>
      <c r="D82">
        <v>786</v>
      </c>
      <c r="E82" s="103" t="s">
        <v>454</v>
      </c>
    </row>
    <row r="83" spans="1:5" hidden="1" x14ac:dyDescent="0.3">
      <c r="A83" t="s">
        <v>542</v>
      </c>
      <c r="B83" t="s">
        <v>437</v>
      </c>
      <c r="C83" t="s">
        <v>543</v>
      </c>
      <c r="D83" s="101">
        <v>8207</v>
      </c>
      <c r="E83" s="98" t="s">
        <v>307</v>
      </c>
    </row>
    <row r="84" spans="1:5" hidden="1" x14ac:dyDescent="0.3">
      <c r="A84" t="s">
        <v>544</v>
      </c>
      <c r="B84" t="s">
        <v>437</v>
      </c>
      <c r="C84" t="s">
        <v>545</v>
      </c>
      <c r="D84" s="106">
        <v>13761</v>
      </c>
      <c r="E84" s="98" t="s">
        <v>374</v>
      </c>
    </row>
    <row r="85" spans="1:5" hidden="1" x14ac:dyDescent="0.3">
      <c r="A85" t="s">
        <v>546</v>
      </c>
      <c r="B85" t="s">
        <v>437</v>
      </c>
      <c r="C85" t="s">
        <v>547</v>
      </c>
      <c r="D85" s="101">
        <v>474</v>
      </c>
      <c r="E85" s="98" t="s">
        <v>307</v>
      </c>
    </row>
    <row r="86" spans="1:5" hidden="1" x14ac:dyDescent="0.3">
      <c r="A86" t="s">
        <v>548</v>
      </c>
      <c r="B86" t="s">
        <v>437</v>
      </c>
      <c r="C86" t="s">
        <v>549</v>
      </c>
      <c r="D86" s="106">
        <v>2024</v>
      </c>
      <c r="E86" s="97" t="s">
        <v>374</v>
      </c>
    </row>
    <row r="87" spans="1:5" hidden="1" x14ac:dyDescent="0.3">
      <c r="A87" t="s">
        <v>550</v>
      </c>
      <c r="B87" t="s">
        <v>437</v>
      </c>
      <c r="C87" t="s">
        <v>551</v>
      </c>
      <c r="D87" s="101">
        <v>8006</v>
      </c>
      <c r="E87" s="98" t="s">
        <v>307</v>
      </c>
    </row>
    <row r="88" spans="1:5" hidden="1" x14ac:dyDescent="0.3">
      <c r="A88" t="s">
        <v>552</v>
      </c>
      <c r="B88" t="s">
        <v>437</v>
      </c>
      <c r="C88" t="s">
        <v>553</v>
      </c>
      <c r="D88">
        <v>370</v>
      </c>
      <c r="E88" s="107" t="s">
        <v>308</v>
      </c>
    </row>
    <row r="89" spans="1:5" hidden="1" x14ac:dyDescent="0.3">
      <c r="A89" t="s">
        <v>554</v>
      </c>
      <c r="B89" t="s">
        <v>437</v>
      </c>
      <c r="C89" t="s">
        <v>555</v>
      </c>
      <c r="D89" s="106">
        <v>12051</v>
      </c>
      <c r="E89" s="97" t="s">
        <v>374</v>
      </c>
    </row>
    <row r="90" spans="1:5" hidden="1" x14ac:dyDescent="0.3">
      <c r="A90" t="s">
        <v>556</v>
      </c>
      <c r="B90" t="s">
        <v>437</v>
      </c>
      <c r="C90" t="s">
        <v>557</v>
      </c>
      <c r="D90" s="101">
        <v>7844</v>
      </c>
      <c r="E90" s="97" t="s">
        <v>307</v>
      </c>
    </row>
    <row r="91" spans="1:5" hidden="1" x14ac:dyDescent="0.3">
      <c r="A91" t="s">
        <v>558</v>
      </c>
      <c r="B91" t="s">
        <v>437</v>
      </c>
      <c r="C91" t="s">
        <v>559</v>
      </c>
      <c r="D91" s="106">
        <v>27234</v>
      </c>
      <c r="E91" s="97" t="s">
        <v>374</v>
      </c>
    </row>
    <row r="92" spans="1:5" hidden="1" x14ac:dyDescent="0.3">
      <c r="A92" t="s">
        <v>560</v>
      </c>
      <c r="B92" t="s">
        <v>437</v>
      </c>
      <c r="C92" t="s">
        <v>561</v>
      </c>
      <c r="D92">
        <v>688</v>
      </c>
      <c r="E92" s="102" t="s">
        <v>454</v>
      </c>
    </row>
    <row r="93" spans="1:5" hidden="1" x14ac:dyDescent="0.3">
      <c r="A93" t="s">
        <v>562</v>
      </c>
      <c r="B93" t="s">
        <v>437</v>
      </c>
      <c r="C93" t="s">
        <v>563</v>
      </c>
      <c r="D93">
        <v>1435</v>
      </c>
      <c r="E93" s="102" t="s">
        <v>454</v>
      </c>
    </row>
    <row r="94" spans="1:5" hidden="1" x14ac:dyDescent="0.3">
      <c r="A94" t="s">
        <v>564</v>
      </c>
      <c r="B94" t="s">
        <v>437</v>
      </c>
      <c r="C94" t="s">
        <v>565</v>
      </c>
      <c r="D94" s="109">
        <v>4305</v>
      </c>
      <c r="E94" s="97" t="s">
        <v>310</v>
      </c>
    </row>
    <row r="95" spans="1:5" hidden="1" x14ac:dyDescent="0.3">
      <c r="A95" t="s">
        <v>566</v>
      </c>
      <c r="B95" t="s">
        <v>437</v>
      </c>
      <c r="C95" t="s">
        <v>567</v>
      </c>
      <c r="D95" s="101">
        <v>17322</v>
      </c>
      <c r="E95" s="98" t="s">
        <v>307</v>
      </c>
    </row>
    <row r="96" spans="1:5" hidden="1" x14ac:dyDescent="0.3">
      <c r="A96" t="s">
        <v>568</v>
      </c>
      <c r="B96" t="s">
        <v>437</v>
      </c>
      <c r="C96" t="s">
        <v>569</v>
      </c>
      <c r="D96">
        <v>901</v>
      </c>
      <c r="E96" s="103" t="s">
        <v>454</v>
      </c>
    </row>
    <row r="97" spans="1:8" hidden="1" x14ac:dyDescent="0.3">
      <c r="A97" t="s">
        <v>570</v>
      </c>
      <c r="B97" t="s">
        <v>437</v>
      </c>
      <c r="C97" t="s">
        <v>571</v>
      </c>
      <c r="D97" s="109">
        <v>1071</v>
      </c>
      <c r="E97" s="98" t="s">
        <v>310</v>
      </c>
    </row>
    <row r="98" spans="1:8" hidden="1" x14ac:dyDescent="0.3">
      <c r="A98" t="s">
        <v>572</v>
      </c>
      <c r="B98" t="s">
        <v>437</v>
      </c>
      <c r="C98" t="s">
        <v>573</v>
      </c>
      <c r="D98" s="111">
        <v>6811</v>
      </c>
      <c r="E98" s="98" t="s">
        <v>306</v>
      </c>
    </row>
    <row r="99" spans="1:8" hidden="1" x14ac:dyDescent="0.3">
      <c r="B99" t="s">
        <v>574</v>
      </c>
      <c r="C99" t="s">
        <v>616</v>
      </c>
      <c r="D99">
        <v>177</v>
      </c>
      <c r="E99" s="107" t="s">
        <v>307</v>
      </c>
    </row>
    <row r="100" spans="1:8" hidden="1" x14ac:dyDescent="0.3">
      <c r="A100" s="89"/>
      <c r="B100" s="89"/>
      <c r="D100" s="90">
        <f>SUM(D3:D99)</f>
        <v>612056</v>
      </c>
      <c r="E100" s="90"/>
    </row>
    <row r="102" spans="1:8" x14ac:dyDescent="0.3">
      <c r="E102" s="88"/>
    </row>
    <row r="104" spans="1:8" x14ac:dyDescent="0.3">
      <c r="D104" t="s">
        <v>32</v>
      </c>
      <c r="E104" t="s">
        <v>312</v>
      </c>
      <c r="F104" t="s">
        <v>313</v>
      </c>
    </row>
    <row r="105" spans="1:8" x14ac:dyDescent="0.3">
      <c r="D105">
        <v>360712</v>
      </c>
      <c r="E105">
        <v>360712</v>
      </c>
      <c r="F105" s="91">
        <f>D105-E105</f>
        <v>0</v>
      </c>
      <c r="H105" t="s">
        <v>127</v>
      </c>
    </row>
    <row r="106" spans="1:8" x14ac:dyDescent="0.3">
      <c r="D106">
        <v>26440</v>
      </c>
      <c r="E106">
        <v>26440</v>
      </c>
      <c r="F106">
        <f>D106-E106</f>
        <v>0</v>
      </c>
      <c r="H106" t="s">
        <v>608</v>
      </c>
    </row>
    <row r="107" spans="1:8" x14ac:dyDescent="0.3">
      <c r="D107">
        <v>107713</v>
      </c>
      <c r="E107">
        <v>107713</v>
      </c>
      <c r="F107">
        <f>D107-E107</f>
        <v>0</v>
      </c>
      <c r="H107" t="s">
        <v>56</v>
      </c>
    </row>
    <row r="108" spans="1:8" x14ac:dyDescent="0.3">
      <c r="D108" s="48">
        <v>117191</v>
      </c>
      <c r="E108" s="48">
        <v>117191</v>
      </c>
      <c r="F108">
        <f>D108-E108</f>
        <v>0</v>
      </c>
      <c r="H108" t="s">
        <v>106</v>
      </c>
    </row>
    <row r="109" spans="1:8" x14ac:dyDescent="0.3">
      <c r="D109">
        <f>SUBTOTAL(9,D105:D108)</f>
        <v>612056</v>
      </c>
      <c r="E109">
        <f>SUBTOTAL(9,E105:E108)</f>
        <v>612056</v>
      </c>
    </row>
    <row r="111" spans="1:8" x14ac:dyDescent="0.3">
      <c r="F111">
        <v>11207</v>
      </c>
      <c r="G111" s="91" t="s">
        <v>314</v>
      </c>
    </row>
    <row r="114" spans="4:9" x14ac:dyDescent="0.3">
      <c r="E114" s="126">
        <v>112301</v>
      </c>
      <c r="F114" s="91" t="s">
        <v>315</v>
      </c>
      <c r="G114" s="91" t="s">
        <v>307</v>
      </c>
    </row>
    <row r="115" spans="4:9" x14ac:dyDescent="0.3">
      <c r="E115" s="127">
        <v>7902</v>
      </c>
      <c r="F115" s="91" t="s">
        <v>316</v>
      </c>
      <c r="G115" s="91" t="s">
        <v>309</v>
      </c>
    </row>
    <row r="116" spans="4:9" x14ac:dyDescent="0.3">
      <c r="D116" s="124"/>
      <c r="E116" s="128">
        <v>55965</v>
      </c>
      <c r="F116" s="91" t="s">
        <v>317</v>
      </c>
      <c r="G116" s="91" t="s">
        <v>308</v>
      </c>
    </row>
    <row r="117" spans="4:9" x14ac:dyDescent="0.3">
      <c r="D117" s="124"/>
      <c r="E117" s="129">
        <v>95399</v>
      </c>
      <c r="F117" s="91" t="s">
        <v>318</v>
      </c>
      <c r="G117" s="91" t="s">
        <v>305</v>
      </c>
    </row>
    <row r="118" spans="4:9" x14ac:dyDescent="0.3">
      <c r="E118" s="123">
        <v>6134</v>
      </c>
      <c r="F118" s="91" t="s">
        <v>319</v>
      </c>
      <c r="G118" s="91" t="s">
        <v>320</v>
      </c>
    </row>
    <row r="119" spans="4:9" x14ac:dyDescent="0.3">
      <c r="E119" s="130">
        <v>237133</v>
      </c>
      <c r="F119" s="91" t="s">
        <v>321</v>
      </c>
      <c r="G119" s="91" t="s">
        <v>374</v>
      </c>
    </row>
    <row r="120" spans="4:9" x14ac:dyDescent="0.3">
      <c r="E120" s="123">
        <v>1015</v>
      </c>
      <c r="F120" s="91" t="s">
        <v>322</v>
      </c>
      <c r="G120" s="91" t="s">
        <v>311</v>
      </c>
    </row>
    <row r="121" spans="4:9" x14ac:dyDescent="0.3">
      <c r="E121" s="123">
        <v>8529</v>
      </c>
      <c r="F121" s="91" t="s">
        <v>323</v>
      </c>
      <c r="G121" s="91" t="s">
        <v>310</v>
      </c>
    </row>
    <row r="122" spans="4:9" x14ac:dyDescent="0.3">
      <c r="D122" s="124"/>
      <c r="E122" s="131">
        <v>87678</v>
      </c>
      <c r="F122" s="91" t="s">
        <v>324</v>
      </c>
      <c r="G122" s="91" t="s">
        <v>306</v>
      </c>
    </row>
    <row r="123" spans="4:9" x14ac:dyDescent="0.3">
      <c r="E123" s="123">
        <f>SUBTOTAL(9,E114:E122)</f>
        <v>612056</v>
      </c>
    </row>
    <row r="124" spans="4:9" x14ac:dyDescent="0.3">
      <c r="E124" s="132">
        <f>E114+E115+E116+E117+E119+E122</f>
        <v>596378</v>
      </c>
      <c r="F124" s="91"/>
      <c r="G124" s="91"/>
      <c r="H124" s="123"/>
      <c r="I124" s="86"/>
    </row>
    <row r="126" spans="4:9" x14ac:dyDescent="0.3">
      <c r="E126" s="86"/>
    </row>
  </sheetData>
  <autoFilter ref="A2:H100" xr:uid="{32B9A870-212F-40A5-AF15-F72707382F21}">
    <filterColumn colId="4">
      <filters>
        <filter val="RF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BS</vt:lpstr>
      <vt:lpstr>IE</vt:lpstr>
      <vt:lpstr>Sch I Fixed Deposits</vt:lpstr>
      <vt:lpstr>Sch II Fixed Asset</vt:lpstr>
      <vt:lpstr>Sch III, IV, V, VI &amp; VII</vt:lpstr>
      <vt:lpstr>BRS</vt:lpstr>
      <vt:lpstr>Working</vt:lpstr>
      <vt:lpstr>FD Interest Working</vt:lpstr>
      <vt:lpstr>BRS!Print_Area</vt:lpstr>
      <vt:lpstr>BS!Print_Area</vt:lpstr>
      <vt:lpstr>IE!Print_Area</vt:lpstr>
      <vt:lpstr>'Sch I Fixed Deposits'!Print_Area</vt:lpstr>
      <vt:lpstr>'Sch II Fixed Asset'!Print_Area</vt:lpstr>
      <vt:lpstr>'Sch III, IV, V, VI &amp; VII'!Print_Area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bharatboridkar@gmail.com</cp:lastModifiedBy>
  <cp:lastPrinted>2026-08-11T13:49:35Z</cp:lastPrinted>
  <dcterms:created xsi:type="dcterms:W3CDTF">2014-04-24T04:31:36Z</dcterms:created>
  <dcterms:modified xsi:type="dcterms:W3CDTF">2026-08-11T13:49:48Z</dcterms:modified>
</cp:coreProperties>
</file>